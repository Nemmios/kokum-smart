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duan" sheetId="1" state="visible" r:id="rId1"/>
    <sheet xmlns:r="http://schemas.openxmlformats.org/officeDocument/2006/relationships" name="Murid" sheetId="2" state="visible" r:id="rId2"/>
    <sheet xmlns:r="http://schemas.openxmlformats.org/officeDocument/2006/relationships" name="KP" sheetId="3" state="visible" r:id="rId3"/>
    <sheet xmlns:r="http://schemas.openxmlformats.org/officeDocument/2006/relationships" name="UB" sheetId="4" state="visible" r:id="rId4"/>
    <sheet xmlns:r="http://schemas.openxmlformats.org/officeDocument/2006/relationships" name="SP" sheetId="5" state="visible" r:id="rId5"/>
    <sheet xmlns:r="http://schemas.openxmlformats.org/officeDocument/2006/relationships" name="Ekstra" sheetId="6" state="visible" r:id="rId6"/>
    <sheet xmlns:r="http://schemas.openxmlformats.org/officeDocument/2006/relationships" name="Rumusan" sheetId="7" state="visible" r:id="rId7"/>
    <sheet xmlns:r="http://schemas.openxmlformats.org/officeDocument/2006/relationships" name="Rujukan" sheetId="8" state="visible" r:id="rId8"/>
  </sheets>
  <definedNames>
    <definedName name="L_JKP">Rujukan!$A$5:$A$13</definedName>
    <definedName name="S_JKP">Rujukan!$B$5:$B$13</definedName>
    <definedName name="T_JKP">Rujukan!$A$5:$B$13</definedName>
    <definedName name="L_JSP">Rujukan!$E$5:$E$24</definedName>
    <definedName name="S_JSP">Rujukan!$F$5:$F$24</definedName>
    <definedName name="T_JSP">Rujukan!$E$5:$F$24</definedName>
    <definedName name="L_JUB">Rujukan!$I$5:$I$72</definedName>
    <definedName name="S_JUB">Rujukan!$J$5:$J$72</definedName>
    <definedName name="T_JUB">Rujukan!$I$5:$J$72</definedName>
    <definedName name="L_KOM">Rujukan!$M$5:$M$17</definedName>
    <definedName name="S_KOM">Rujukan!$N$5:$N$17</definedName>
    <definedName name="T_KOM">Rujukan!$M$5:$N$17</definedName>
    <definedName name="L_KHID">Rujukan!$Q$5:$Q$8</definedName>
    <definedName name="S_KHID">Rujukan!$R$5:$R$8</definedName>
    <definedName name="T_KHID">Rujukan!$Q$5:$R$8</definedName>
    <definedName name="L_PER">Rujukan!$U$5:$U$10</definedName>
    <definedName name="S_PER">Rujukan!$V$5:$V$10</definedName>
    <definedName name="T_PER">Rujukan!$U$5:$V$10</definedName>
    <definedName name="L_JENIS">Rujukan!$Y$5:$Y$7</definedName>
    <definedName name="S_JENIS">Rujukan!$Z$5:$Z$7</definedName>
    <definedName name="T_JENIS">Rujukan!$Y$5:$Z$7</definedName>
    <definedName name="L_KED">Rujukan!$AC$5:$AC$9</definedName>
    <definedName name="S_KED">Rujukan!$AD$5:$AD$9</definedName>
    <definedName name="T_KED">Rujukan!$AC$5:$AD$9</definedName>
    <definedName name="T_LIBAT">Rujukan!$AH$5:$AJ$10</definedName>
    <definedName name="T_CAPAI">Rujukan!$AM$5:$AQ$10</definedName>
    <definedName name="L_PERK">Rujukan!$AS$5:$AS$11</definedName>
    <definedName name="S_PERK">Rujukan!$AT$5:$AT$11</definedName>
    <definedName name="T_PERK">Rujukan!$AS$5:$AT$11</definedName>
    <definedName name="L_ANUG">Rujukan!$AW$5:$AW$20</definedName>
    <definedName name="S_ANUG">Rujukan!$AX$5:$AX$20</definedName>
    <definedName name="T_ANUG">Rujukan!$AW$5:$AX$20</definedName>
    <definedName name="L_NILAM">Rujukan!$BA$5:$BA$9</definedName>
    <definedName name="S_NILAM">Rujukan!$BB$5:$BB$9</definedName>
    <definedName name="T_NILAM">Rujukan!$BA$5:$BB$9</definedName>
    <definedName name="L_TIMSS">Rujukan!$BE$5:$BE$7</definedName>
    <definedName name="S_TIMSS">Rujukan!$BF$5:$BF$7</definedName>
    <definedName name="T_TIMSS">Rujukan!$BE$5:$BF$7</definedName>
    <definedName name="L_STATUS">Rujukan!$BI$5:$BI$6</definedName>
    <definedName name="S_STATUS">Rujukan!$BJ$5:$BJ$6</definedName>
    <definedName name="T_STATUS">Rujukan!$BI$5:$BJ$6</definedName>
    <definedName name="_xlnm._FilterDatabase" localSheetId="1" hidden="1">'Murid'!$A$4:$G$1004</definedName>
    <definedName name="_xlnm._FilterDatabase" localSheetId="2" hidden="1">'KP'!$A$4:$X$1004</definedName>
    <definedName name="_xlnm._FilterDatabase" localSheetId="3" hidden="1">'UB'!$A$4:$X$1004</definedName>
    <definedName name="_xlnm._FilterDatabase" localSheetId="4" hidden="1">'SP'!$A$4:$X$1004</definedName>
    <definedName name="_xlnm._FilterDatabase" localSheetId="5" hidden="1">'Ekstra'!$A$4:$V$1004</definedName>
    <definedName name="_xlnm._FilterDatabase" localSheetId="6" hidden="1">'Rumusan'!$A$4:$L$1004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5C45"/>
      <sz val="13"/>
    </font>
    <font>
      <name val="Arial"/>
      <i val="1"/>
      <color rgb="00595959"/>
      <sz val="9"/>
    </font>
    <font>
      <name val="Arial"/>
      <b val="1"/>
      <color rgb="001F5C45"/>
      <sz val="11"/>
    </font>
    <font>
      <name val="Arial"/>
      <color rgb="00000000"/>
      <sz val="10"/>
    </font>
    <font>
      <name val="Arial"/>
      <b val="1"/>
      <color rgb="001F5C45"/>
      <sz val="9"/>
    </font>
    <font>
      <name val="Arial"/>
      <color rgb="00000000"/>
      <sz val="9"/>
    </font>
    <font>
      <name val="Arial"/>
      <color rgb="00C00000"/>
      <sz val="8"/>
    </font>
    <font>
      <name val="Arial"/>
      <color rgb="00808080"/>
      <sz val="8"/>
    </font>
    <font>
      <name val="Arial"/>
      <b val="1"/>
      <color rgb="001F5C45"/>
      <sz val="8"/>
    </font>
    <font>
      <name val="Arial"/>
      <i val="1"/>
      <color rgb="00C00000"/>
      <sz val="8"/>
    </font>
    <font>
      <name val="Arial"/>
      <b val="1"/>
      <color rgb="00FFFFFF"/>
      <sz val="9"/>
    </font>
    <font>
      <name val="Arial"/>
      <b val="1"/>
      <color rgb="00000000"/>
      <sz val="9"/>
    </font>
  </fonts>
  <fills count="6">
    <fill>
      <patternFill/>
    </fill>
    <fill>
      <patternFill patternType="gray125"/>
    </fill>
    <fill>
      <patternFill patternType="solid">
        <fgColor rgb="00FFF2CC"/>
        <bgColor rgb="00FFF2CC"/>
      </patternFill>
    </fill>
    <fill>
      <patternFill patternType="solid">
        <fgColor rgb="00F8CBAD"/>
        <bgColor rgb="00F8CBAD"/>
      </patternFill>
    </fill>
    <fill>
      <patternFill patternType="solid">
        <fgColor rgb="001F5C45"/>
        <bgColor rgb="001F5C45"/>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2" borderId="1" pivotButton="0" quotePrefix="0" xfId="0"/>
    <xf numFmtId="0" fontId="4" fillId="0" borderId="0" pivotButton="0" quotePrefix="0" xfId="0"/>
    <xf numFmtId="0" fontId="4" fillId="0" borderId="1" pivotButton="0" quotePrefix="0" xfId="0"/>
    <xf numFmtId="0" fontId="4" fillId="3" borderId="1" pivotButton="0" quotePrefix="0" xfId="0"/>
    <xf numFmtId="0" fontId="11" fillId="4" borderId="1" applyAlignment="1" pivotButton="0" quotePrefix="0" xfId="0">
      <alignment horizontal="center" vertical="center" wrapText="1"/>
    </xf>
    <xf numFmtId="0" fontId="6" fillId="0" borderId="1" applyAlignment="1" pivotButton="0" quotePrefix="0" xfId="0">
      <alignment horizontal="center"/>
    </xf>
    <xf numFmtId="0" fontId="6" fillId="2" borderId="1" pivotButton="0" quotePrefix="0" xfId="0"/>
    <xf numFmtId="49" fontId="6" fillId="2" borderId="1" pivotButton="0" quotePrefix="0" xfId="0"/>
    <xf numFmtId="0" fontId="5" fillId="5" borderId="1" applyAlignment="1" pivotButton="0" quotePrefix="0" xfId="0">
      <alignment horizontal="center"/>
    </xf>
    <xf numFmtId="0" fontId="0" fillId="0" borderId="1" pivotButton="0" quotePrefix="0" xfId="0"/>
    <xf numFmtId="0" fontId="6" fillId="0" borderId="1" pivotButton="0" quotePrefix="0" xfId="0"/>
    <xf numFmtId="49" fontId="6" fillId="0" borderId="1" pivotButton="0" quotePrefix="0" xfId="0"/>
    <xf numFmtId="2" fontId="6" fillId="0" borderId="1" applyAlignment="1" pivotButton="0" quotePrefix="0" xfId="0">
      <alignment horizontal="center"/>
    </xf>
    <xf numFmtId="2" fontId="12" fillId="0" borderId="1" applyAlignment="1" pivotButton="0" quotePrefix="0" xfId="0">
      <alignment horizontal="center"/>
    </xf>
    <xf numFmtId="0" fontId="12" fillId="0" borderId="1" applyAlignment="1" pivotButton="0" quotePrefix="0" xfId="0">
      <alignment horizontal="center"/>
    </xf>
    <xf numFmtId="0" fontId="5" fillId="0" borderId="0" pivotButton="0" quotePrefix="0" xfId="0"/>
    <xf numFmtId="0" fontId="9"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0" borderId="0" pivotButton="0" quotePrefix="0" xfId="0"/>
  </cellXfs>
  <cellStyles count="1">
    <cellStyle name="Normal" xfId="0" builtinId="0" hidden="0"/>
  </cellStyles>
  <dxfs count="5">
    <dxf>
      <fill>
        <patternFill patternType="solid">
          <fgColor rgb="00F8CBAD"/>
          <bgColor rgb="00F8CBAD"/>
        </patternFill>
      </fill>
    </dxf>
    <dxf>
      <fill>
        <patternFill patternType="solid">
          <fgColor rgb="00C6EFCE"/>
          <bgColor rgb="00C6EFCE"/>
        </patternFill>
      </fill>
    </dxf>
    <dxf>
      <fill>
        <patternFill patternType="solid">
          <fgColor rgb="00DDEBF7"/>
          <bgColor rgb="00DDEBF7"/>
        </patternFill>
      </fill>
    </dxf>
    <dxf>
      <fill>
        <patternFill patternType="solid">
          <fgColor rgb="00FFF2CC"/>
          <bgColor rgb="00FFF2CC"/>
        </patternFill>
      </fill>
    </dxf>
    <dxf>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5C45"/>
    <outlinePr summaryBelow="1" summaryRight="1"/>
    <pageSetUpPr/>
  </sheetPr>
  <dimension ref="A1:C49"/>
  <sheetViews>
    <sheetView showGridLines="0" workbookViewId="0">
      <selection activeCell="A1" sqref="A1"/>
    </sheetView>
  </sheetViews>
  <sheetFormatPr baseColWidth="8" defaultRowHeight="15"/>
  <cols>
    <col width="3" customWidth="1" min="1" max="1"/>
    <col width="30" customWidth="1" min="2" max="2"/>
    <col width="90" customWidth="1" min="3" max="3"/>
  </cols>
  <sheetData>
    <row r="1">
      <c r="A1" s="1" t="inlineStr">
        <is>
          <t>TEMPLAT KIRAAN PAJSK 2026 · SEKOLAH MENENGAH</t>
        </is>
      </c>
    </row>
    <row r="2">
      <c r="A2" s="2" t="inlineStr">
        <is>
          <t>Berdasarkan Garis Panduan PAJSK Sekolah Menengah (KPM) dan diselaraskan dengan paparan MOEIS SPPB.</t>
        </is>
      </c>
    </row>
    <row r="5">
      <c r="B5" s="3" t="inlineStr">
        <is>
          <t>CARA GUNA</t>
        </is>
      </c>
    </row>
    <row r="6">
      <c r="B6" s="4" t="inlineStr">
        <is>
          <t>1. Murid</t>
        </is>
      </c>
      <c r="C6" s="4" t="inlineStr">
        <is>
          <t>Isi Nama, No. MyKad, Tingkatan dan Kelas. MyKad mesti tepat (robot padankan murid melalui MyKad). Status TL = tidak ditaksir (robot akan matikan suis DITAKSIR).</t>
        </is>
      </c>
    </row>
    <row r="7">
      <c r="B7" s="4" t="inlineStr">
        <is>
          <t>2. KP, UB, SP</t>
        </is>
      </c>
      <c r="C7" s="4" t="inlineStr">
        <is>
          <t>Guru penasihat tapis (filter) lajur "Unit / Aktiviti Utama", kemudian isi petak kuning.</t>
        </is>
      </c>
    </row>
    <row r="8">
      <c r="B8" s="4" t="inlineStr">
        <is>
          <t>3. Ekstra</t>
        </is>
      </c>
      <c r="C8" s="4" t="inlineStr">
        <is>
          <t>Isi ikut 5 bahagian tab Ekstra Kurikulum MOEIS.</t>
        </is>
      </c>
    </row>
    <row r="9">
      <c r="B9" s="4" t="inlineStr">
        <is>
          <t>4. Rumusan</t>
        </is>
      </c>
      <c r="C9" s="4" t="inlineStr">
        <is>
          <t>GPA dan Gred dikira automatik. Semak sebelum dimasukkan ke MOEIS.</t>
        </is>
      </c>
    </row>
    <row r="10">
      <c r="B10" s="4" t="inlineStr">
        <is>
          <t>5. Robot PAJSK</t>
        </is>
      </c>
      <c r="C10" s="4" t="inlineStr">
        <is>
          <t>Robot membaca fail ini dan mengisi halaman pensel MOEIS. Guru semak dan tekan Simpan sendiri. Nama unit sekolah dipadankan dengan senarai aktiviti MOEIS sekali sahaja dalam robot. Jangan ubah susunan lajur atau teks pilihan.</t>
        </is>
      </c>
    </row>
    <row r="12">
      <c r="B12" s="3" t="inlineStr">
        <is>
          <t>PETUNJUK WARNA</t>
        </is>
      </c>
    </row>
    <row r="13">
      <c r="B13" s="5" t="inlineStr">
        <is>
          <t>Petak kuning</t>
        </is>
      </c>
      <c r="C13" s="6" t="inlineStr">
        <is>
          <t>Diisi oleh guru (pilih daripada senarai dropdown).</t>
        </is>
      </c>
    </row>
    <row r="14">
      <c r="B14" s="7" t="inlineStr">
        <is>
          <t>Petak putih</t>
        </is>
      </c>
      <c r="C14" s="6" t="inlineStr">
        <is>
          <t>Formula automatik. Jangan diubah.</t>
        </is>
      </c>
    </row>
    <row r="15">
      <c r="B15" s="8" t="inlineStr">
        <is>
          <t>Petak merah</t>
        </is>
      </c>
      <c r="C15" s="6" t="inlineStr">
        <is>
          <t>Amaran: komitmen berulang, atau peringkat/jenis tidak lengkap.</t>
        </is>
      </c>
    </row>
    <row r="17">
      <c r="B17" s="3" t="inlineStr">
        <is>
          <t>PECAHAN MARKAH SETIAP BIDANG (KP / UB / SP) = 110</t>
        </is>
      </c>
    </row>
    <row r="18">
      <c r="B18" s="4" t="inlineStr">
        <is>
          <t>Jawatan (10)</t>
        </is>
      </c>
      <c r="C18" s="4" t="inlineStr">
        <is>
          <t>Senarai jawatan sama seperti dropdown MOEIS. Aktiviti utama sahaja.</t>
        </is>
      </c>
    </row>
    <row r="19">
      <c r="B19" s="4" t="inlineStr">
        <is>
          <t>Kehadiran (40)</t>
        </is>
      </c>
      <c r="C19" s="4" t="inlineStr">
        <is>
          <t>12 perjumpaan = 40. Setiap kali hadir = 3.33.</t>
        </is>
      </c>
    </row>
    <row r="20">
      <c r="B20" s="4" t="inlineStr">
        <is>
          <t>Komitmen (10)</t>
        </is>
      </c>
      <c r="C20" s="4" t="inlineStr">
        <is>
          <t>Maksimum 4 pilihan. Aktiviti utama sahaja.</t>
        </is>
      </c>
    </row>
    <row r="21">
      <c r="B21" s="4" t="inlineStr">
        <is>
          <t>Khidmat Sumbangan (10)</t>
        </is>
      </c>
      <c r="C21" s="4" t="inlineStr">
        <is>
          <t>Maksimum 1 pilihan, peringkat sekolah. Aktiviti utama sahaja.</t>
        </is>
      </c>
    </row>
    <row r="22">
      <c r="B22" s="4" t="inlineStr">
        <is>
          <t>Pelibatan (20)</t>
        </is>
      </c>
      <c r="C22" s="4" t="inlineStr">
        <is>
          <t>Peringkat x Pelibatan 1/2/3. Peringkat sekolah = 0. Ambil tertinggi (utama/tambahan).</t>
        </is>
      </c>
    </row>
    <row r="23">
      <c r="B23" s="4" t="inlineStr">
        <is>
          <t>Pencapaian (20)</t>
        </is>
      </c>
      <c r="C23" s="4" t="inlineStr">
        <is>
          <t>Peringkat x Kedudukan (Johan-Kelima). Ambil tertinggi (utama/tambahan).</t>
        </is>
      </c>
    </row>
    <row r="24">
      <c r="B24" s="4" t="inlineStr">
        <is>
          <t>Markah 100</t>
        </is>
      </c>
      <c r="C24" s="4" t="inlineStr">
        <is>
          <t>Jumlah / 110 x 100. Sama seperti "Markah Peratus" dalam MOEIS (contoh: 4 -&gt; 3.64).</t>
        </is>
      </c>
    </row>
    <row r="26">
      <c r="B26" s="3" t="inlineStr">
        <is>
          <t>GPA DAN GRED</t>
        </is>
      </c>
    </row>
    <row r="27">
      <c r="B27" s="4" t="inlineStr">
        <is>
          <t>GPA</t>
        </is>
      </c>
      <c r="C27" s="4" t="inlineStr">
        <is>
          <t>Purata 2 markah terbaik daripada KP, UB, SP + Ekstra Kurikulum (maks. 10).</t>
        </is>
      </c>
    </row>
    <row r="28">
      <c r="B28" s="4" t="inlineStr">
        <is>
          <t>Contoh (Jadual 20)</t>
        </is>
      </c>
      <c r="C28" s="4" t="inlineStr">
        <is>
          <t>KP 86, UB 70, SP 59, Ekstra 5  -&gt;  (86 + 70) / 2 = 78  -&gt;  78 + 5 = 83 (Gred A)</t>
        </is>
      </c>
    </row>
    <row r="29">
      <c r="B29" s="4" t="inlineStr">
        <is>
          <t>Gred</t>
        </is>
      </c>
      <c r="C29" s="4" t="inlineStr">
        <is>
          <t>A 80-100 Cemerlang · B 60-79.9 Kepujian · C 40-59.9 Baik · D 20-39.9 Kurang Memuaskan · E 0-19.9 Tidak Memuaskan · TL Tidak Laksana</t>
        </is>
      </c>
    </row>
    <row r="31">
      <c r="B31" s="3" t="inlineStr">
        <is>
          <t>CONTOH SATU MURID (format pengisian)</t>
        </is>
      </c>
    </row>
    <row r="32">
      <c r="B32" s="4" t="inlineStr">
        <is>
          <t>Unit</t>
        </is>
      </c>
      <c r="C32" s="4" t="inlineStr">
        <is>
          <t>KELAB SEJARAH</t>
        </is>
      </c>
    </row>
    <row r="33">
      <c r="B33" s="4" t="inlineStr">
        <is>
          <t>Jawatan</t>
        </is>
      </c>
      <c r="C33" s="4" t="inlineStr">
        <is>
          <t>SETIAUSAHA  -&gt;  7</t>
        </is>
      </c>
    </row>
    <row r="34">
      <c r="B34" s="4" t="inlineStr">
        <is>
          <t>Bil. Hadir</t>
        </is>
      </c>
      <c r="C34" s="4" t="inlineStr">
        <is>
          <t>10  -&gt;  33.30</t>
        </is>
      </c>
    </row>
    <row r="35">
      <c r="B35" s="4" t="inlineStr">
        <is>
          <t>Komitmen</t>
        </is>
      </c>
      <c r="C35" s="4" t="inlineStr">
        <is>
          <t>MENEPATI WAKTU, MENUNJUKKAN MINAT, MENGIKUT ARAHAN, MEMBERI KERJASAMA  -&gt;  8</t>
        </is>
      </c>
    </row>
    <row r="36">
      <c r="B36" s="4" t="inlineStr">
        <is>
          <t>Khidmat Sumbangan</t>
        </is>
      </c>
      <c r="C36" s="4" t="inlineStr">
        <is>
          <t>4 - SOKONGAN  -&gt;  5</t>
        </is>
      </c>
    </row>
    <row r="37">
      <c r="B37" s="4" t="inlineStr">
        <is>
          <t>Pelibatan</t>
        </is>
      </c>
      <c r="C37" s="4" t="inlineStr">
        <is>
          <t>ZON/DAERAH + PELIBATAN 1  -&gt;  11</t>
        </is>
      </c>
    </row>
    <row r="38">
      <c r="B38" s="4" t="inlineStr">
        <is>
          <t>Pencapaian</t>
        </is>
      </c>
      <c r="C38" s="4" t="inlineStr">
        <is>
          <t>ZON/DAERAH + KETIGA  -&gt;  9</t>
        </is>
      </c>
    </row>
    <row r="39">
      <c r="B39" s="4" t="inlineStr">
        <is>
          <t>Jumlah</t>
        </is>
      </c>
      <c r="C39" s="4" t="inlineStr">
        <is>
          <t>73.30 / 110  -&gt;  Markah 66.64 / 100</t>
        </is>
      </c>
    </row>
    <row r="41">
      <c r="B41" s="3" t="inlineStr">
        <is>
          <t>ANDAIAN &amp; CATATAN</t>
        </is>
      </c>
    </row>
    <row r="42" ht="28" customHeight="1">
      <c r="B42" s="4" t="inlineStr">
        <is>
          <t>•  Sumber setiap skor ditunjukkan dalam sheet Rujukan: MOEIS (disahkan), Garis panduan, atau Anggaran (merah).</t>
        </is>
      </c>
    </row>
    <row r="43" ht="28" customHeight="1">
      <c r="B43" s="4" t="inlineStr">
        <is>
          <t>•  Skor jawatan dalam MOEIS berbeza dengan Jadual 3 garis panduan (contoh: SETIAUSAHA = 7 dalam MOEIS, 8 dalam PDF). Templat mengikut MOEIS.</t>
        </is>
      </c>
    </row>
    <row r="44" ht="28" customHeight="1">
      <c r="B44" s="4" t="inlineStr">
        <is>
          <t>•  Pencapaian peringkat BAHAGIAN (SABAH/SARAWAK) tiada dalam garis panduan: skor anggaran.</t>
        </is>
      </c>
    </row>
    <row r="45" ht="28" customHeight="1">
      <c r="B45" s="4" t="inlineStr">
        <is>
          <t>•  Kehadiran 7 kali: jadual garis panduan menulis 23.21, tetapi 7 x 3.33 = 23.31. Templat guna 23.31.</t>
        </is>
      </c>
    </row>
    <row r="46" ht="28" customHeight="1">
      <c r="B46" s="4" t="inlineStr">
        <is>
          <t>•  Khidmat Masyarakat, NILAM dan Skor Ekstra: cara MOEIS mengira belum disahkan (anggaran).</t>
        </is>
      </c>
    </row>
    <row r="47" ht="28" customHeight="1">
      <c r="B47" s="4" t="inlineStr">
        <is>
          <t>•  GPA dihadkan maksimum 100.</t>
        </is>
      </c>
    </row>
    <row r="48" ht="28" customHeight="1">
      <c r="B48" s="4" t="inlineStr">
        <is>
          <t>•  Markah dalam fail ini ialah ANGGARAN untuk semakan guru. Paparan MOEIS adalah muktamad.</t>
        </is>
      </c>
    </row>
    <row r="49" ht="28" customHeight="1">
      <c r="B49" s="4" t="inlineStr">
        <is>
          <t>•  Fail ini mengandungi data peribadi murid (MyKad). Simpan dengan selamat dan jangan kongsi dalam kumpulan WhatsApp.</t>
        </is>
      </c>
    </row>
  </sheetData>
  <mergeCells count="8">
    <mergeCell ref="B44:C44"/>
    <mergeCell ref="B47:C47"/>
    <mergeCell ref="B48:C48"/>
    <mergeCell ref="B45:C45"/>
    <mergeCell ref="B46:C46"/>
    <mergeCell ref="B42:C42"/>
    <mergeCell ref="B49:C49"/>
    <mergeCell ref="B43:C43"/>
  </mergeCells>
  <pageMargins left="0.75" right="0.75" top="1" bottom="1" header="0.5" footer="0.5"/>
</worksheet>
</file>

<file path=xl/worksheets/sheet2.xml><?xml version="1.0" encoding="utf-8"?>
<worksheet xmlns="http://schemas.openxmlformats.org/spreadsheetml/2006/main">
  <sheetPr>
    <tabColor rgb="001F5C45"/>
    <outlinePr summaryBelow="1" summaryRight="1"/>
    <pageSetUpPr/>
  </sheetPr>
  <dimension ref="A1:G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6" customWidth="1" min="3" max="3"/>
    <col width="11" customWidth="1" min="4" max="4"/>
    <col width="14" customWidth="1" min="5" max="5"/>
    <col width="11" customWidth="1" min="6" max="6"/>
    <col width="36" customWidth="1" min="7" max="7"/>
  </cols>
  <sheetData>
    <row r="1">
      <c r="A1" s="1" t="inlineStr">
        <is>
          <t>SENARAI MURID</t>
        </is>
      </c>
    </row>
    <row r="2">
      <c r="A2" s="2" t="inlineStr">
        <is>
          <t>Isi petak kuning. Sheet lain mengambil nama daripada sini secara automatik. No. MyKad mesti tepat: robot memadankan murid MOEIS melalui MyKad.</t>
        </is>
      </c>
    </row>
    <row r="4" ht="42" customHeight="1">
      <c r="A4" s="9" t="inlineStr">
        <is>
          <t>Bil</t>
        </is>
      </c>
      <c r="B4" s="9" t="inlineStr">
        <is>
          <t>Nama Murid</t>
        </is>
      </c>
      <c r="C4" s="9" t="inlineStr">
        <is>
          <t>No. MyKad</t>
        </is>
      </c>
      <c r="D4" s="9" t="inlineStr">
        <is>
          <t>Tingkatan</t>
        </is>
      </c>
      <c r="E4" s="9" t="inlineStr">
        <is>
          <t>Kelas</t>
        </is>
      </c>
      <c r="F4" s="9" t="inlineStr">
        <is>
          <t>Status</t>
        </is>
      </c>
      <c r="G4" s="9" t="inlineStr">
        <is>
          <t>Catatan</t>
        </is>
      </c>
    </row>
    <row r="5">
      <c r="A5" s="10">
        <f>IF(B5="","",1)</f>
        <v/>
      </c>
      <c r="B5" s="11" t="n"/>
      <c r="C5" s="12" t="n"/>
      <c r="D5" s="11" t="n"/>
      <c r="E5" s="11" t="n"/>
      <c r="F5" s="11" t="n"/>
      <c r="G5" s="11" t="n"/>
    </row>
    <row r="6">
      <c r="A6" s="10">
        <f>IF(B6="","",2)</f>
        <v/>
      </c>
      <c r="B6" s="11" t="n"/>
      <c r="C6" s="12" t="n"/>
      <c r="D6" s="11" t="n"/>
      <c r="E6" s="11" t="n"/>
      <c r="F6" s="11" t="n"/>
      <c r="G6" s="11" t="n"/>
    </row>
    <row r="7">
      <c r="A7" s="10">
        <f>IF(B7="","",3)</f>
        <v/>
      </c>
      <c r="B7" s="11" t="n"/>
      <c r="C7" s="12" t="n"/>
      <c r="D7" s="11" t="n"/>
      <c r="E7" s="11" t="n"/>
      <c r="F7" s="11" t="n"/>
      <c r="G7" s="11" t="n"/>
    </row>
    <row r="8">
      <c r="A8" s="10">
        <f>IF(B8="","",4)</f>
        <v/>
      </c>
      <c r="B8" s="11" t="n"/>
      <c r="C8" s="12" t="n"/>
      <c r="D8" s="11" t="n"/>
      <c r="E8" s="11" t="n"/>
      <c r="F8" s="11" t="n"/>
      <c r="G8" s="11" t="n"/>
    </row>
    <row r="9">
      <c r="A9" s="10">
        <f>IF(B9="","",5)</f>
        <v/>
      </c>
      <c r="B9" s="11" t="n"/>
      <c r="C9" s="12" t="n"/>
      <c r="D9" s="11" t="n"/>
      <c r="E9" s="11" t="n"/>
      <c r="F9" s="11" t="n"/>
      <c r="G9" s="11" t="n"/>
    </row>
    <row r="10">
      <c r="A10" s="10">
        <f>IF(B10="","",6)</f>
        <v/>
      </c>
      <c r="B10" s="11" t="n"/>
      <c r="C10" s="12" t="n"/>
      <c r="D10" s="11" t="n"/>
      <c r="E10" s="11" t="n"/>
      <c r="F10" s="11" t="n"/>
      <c r="G10" s="11" t="n"/>
    </row>
    <row r="11">
      <c r="A11" s="10">
        <f>IF(B11="","",7)</f>
        <v/>
      </c>
      <c r="B11" s="11" t="n"/>
      <c r="C11" s="12" t="n"/>
      <c r="D11" s="11" t="n"/>
      <c r="E11" s="11" t="n"/>
      <c r="F11" s="11" t="n"/>
      <c r="G11" s="11" t="n"/>
    </row>
    <row r="12">
      <c r="A12" s="10">
        <f>IF(B12="","",8)</f>
        <v/>
      </c>
      <c r="B12" s="11" t="n"/>
      <c r="C12" s="12" t="n"/>
      <c r="D12" s="11" t="n"/>
      <c r="E12" s="11" t="n"/>
      <c r="F12" s="11" t="n"/>
      <c r="G12" s="11" t="n"/>
    </row>
    <row r="13">
      <c r="A13" s="10">
        <f>IF(B13="","",9)</f>
        <v/>
      </c>
      <c r="B13" s="11" t="n"/>
      <c r="C13" s="12" t="n"/>
      <c r="D13" s="11" t="n"/>
      <c r="E13" s="11" t="n"/>
      <c r="F13" s="11" t="n"/>
      <c r="G13" s="11" t="n"/>
    </row>
    <row r="14">
      <c r="A14" s="10">
        <f>IF(B14="","",10)</f>
        <v/>
      </c>
      <c r="B14" s="11" t="n"/>
      <c r="C14" s="12" t="n"/>
      <c r="D14" s="11" t="n"/>
      <c r="E14" s="11" t="n"/>
      <c r="F14" s="11" t="n"/>
      <c r="G14" s="11" t="n"/>
    </row>
    <row r="15">
      <c r="A15" s="10">
        <f>IF(B15="","",11)</f>
        <v/>
      </c>
      <c r="B15" s="11" t="n"/>
      <c r="C15" s="12" t="n"/>
      <c r="D15" s="11" t="n"/>
      <c r="E15" s="11" t="n"/>
      <c r="F15" s="11" t="n"/>
      <c r="G15" s="11" t="n"/>
    </row>
    <row r="16">
      <c r="A16" s="10">
        <f>IF(B16="","",12)</f>
        <v/>
      </c>
      <c r="B16" s="11" t="n"/>
      <c r="C16" s="12" t="n"/>
      <c r="D16" s="11" t="n"/>
      <c r="E16" s="11" t="n"/>
      <c r="F16" s="11" t="n"/>
      <c r="G16" s="11" t="n"/>
    </row>
    <row r="17">
      <c r="A17" s="10">
        <f>IF(B17="","",13)</f>
        <v/>
      </c>
      <c r="B17" s="11" t="n"/>
      <c r="C17" s="12" t="n"/>
      <c r="D17" s="11" t="n"/>
      <c r="E17" s="11" t="n"/>
      <c r="F17" s="11" t="n"/>
      <c r="G17" s="11" t="n"/>
    </row>
    <row r="18">
      <c r="A18" s="10">
        <f>IF(B18="","",14)</f>
        <v/>
      </c>
      <c r="B18" s="11" t="n"/>
      <c r="C18" s="12" t="n"/>
      <c r="D18" s="11" t="n"/>
      <c r="E18" s="11" t="n"/>
      <c r="F18" s="11" t="n"/>
      <c r="G18" s="11" t="n"/>
    </row>
    <row r="19">
      <c r="A19" s="10">
        <f>IF(B19="","",15)</f>
        <v/>
      </c>
      <c r="B19" s="11" t="n"/>
      <c r="C19" s="12" t="n"/>
      <c r="D19" s="11" t="n"/>
      <c r="E19" s="11" t="n"/>
      <c r="F19" s="11" t="n"/>
      <c r="G19" s="11" t="n"/>
    </row>
    <row r="20">
      <c r="A20" s="10">
        <f>IF(B20="","",16)</f>
        <v/>
      </c>
      <c r="B20" s="11" t="n"/>
      <c r="C20" s="12" t="n"/>
      <c r="D20" s="11" t="n"/>
      <c r="E20" s="11" t="n"/>
      <c r="F20" s="11" t="n"/>
      <c r="G20" s="11" t="n"/>
    </row>
    <row r="21">
      <c r="A21" s="10">
        <f>IF(B21="","",17)</f>
        <v/>
      </c>
      <c r="B21" s="11" t="n"/>
      <c r="C21" s="12" t="n"/>
      <c r="D21" s="11" t="n"/>
      <c r="E21" s="11" t="n"/>
      <c r="F21" s="11" t="n"/>
      <c r="G21" s="11" t="n"/>
    </row>
    <row r="22">
      <c r="A22" s="10">
        <f>IF(B22="","",18)</f>
        <v/>
      </c>
      <c r="B22" s="11" t="n"/>
      <c r="C22" s="12" t="n"/>
      <c r="D22" s="11" t="n"/>
      <c r="E22" s="11" t="n"/>
      <c r="F22" s="11" t="n"/>
      <c r="G22" s="11" t="n"/>
    </row>
    <row r="23">
      <c r="A23" s="10">
        <f>IF(B23="","",19)</f>
        <v/>
      </c>
      <c r="B23" s="11" t="n"/>
      <c r="C23" s="12" t="n"/>
      <c r="D23" s="11" t="n"/>
      <c r="E23" s="11" t="n"/>
      <c r="F23" s="11" t="n"/>
      <c r="G23" s="11" t="n"/>
    </row>
    <row r="24">
      <c r="A24" s="10">
        <f>IF(B24="","",20)</f>
        <v/>
      </c>
      <c r="B24" s="11" t="n"/>
      <c r="C24" s="12" t="n"/>
      <c r="D24" s="11" t="n"/>
      <c r="E24" s="11" t="n"/>
      <c r="F24" s="11" t="n"/>
      <c r="G24" s="11" t="n"/>
    </row>
    <row r="25">
      <c r="A25" s="10">
        <f>IF(B25="","",21)</f>
        <v/>
      </c>
      <c r="B25" s="11" t="n"/>
      <c r="C25" s="12" t="n"/>
      <c r="D25" s="11" t="n"/>
      <c r="E25" s="11" t="n"/>
      <c r="F25" s="11" t="n"/>
      <c r="G25" s="11" t="n"/>
    </row>
    <row r="26">
      <c r="A26" s="10">
        <f>IF(B26="","",22)</f>
        <v/>
      </c>
      <c r="B26" s="11" t="n"/>
      <c r="C26" s="12" t="n"/>
      <c r="D26" s="11" t="n"/>
      <c r="E26" s="11" t="n"/>
      <c r="F26" s="11" t="n"/>
      <c r="G26" s="11" t="n"/>
    </row>
    <row r="27">
      <c r="A27" s="10">
        <f>IF(B27="","",23)</f>
        <v/>
      </c>
      <c r="B27" s="11" t="n"/>
      <c r="C27" s="12" t="n"/>
      <c r="D27" s="11" t="n"/>
      <c r="E27" s="11" t="n"/>
      <c r="F27" s="11" t="n"/>
      <c r="G27" s="11" t="n"/>
    </row>
    <row r="28">
      <c r="A28" s="10">
        <f>IF(B28="","",24)</f>
        <v/>
      </c>
      <c r="B28" s="11" t="n"/>
      <c r="C28" s="12" t="n"/>
      <c r="D28" s="11" t="n"/>
      <c r="E28" s="11" t="n"/>
      <c r="F28" s="11" t="n"/>
      <c r="G28" s="11" t="n"/>
    </row>
    <row r="29">
      <c r="A29" s="10">
        <f>IF(B29="","",25)</f>
        <v/>
      </c>
      <c r="B29" s="11" t="n"/>
      <c r="C29" s="12" t="n"/>
      <c r="D29" s="11" t="n"/>
      <c r="E29" s="11" t="n"/>
      <c r="F29" s="11" t="n"/>
      <c r="G29" s="11" t="n"/>
    </row>
    <row r="30">
      <c r="A30" s="10">
        <f>IF(B30="","",26)</f>
        <v/>
      </c>
      <c r="B30" s="11" t="n"/>
      <c r="C30" s="12" t="n"/>
      <c r="D30" s="11" t="n"/>
      <c r="E30" s="11" t="n"/>
      <c r="F30" s="11" t="n"/>
      <c r="G30" s="11" t="n"/>
    </row>
    <row r="31">
      <c r="A31" s="10">
        <f>IF(B31="","",27)</f>
        <v/>
      </c>
      <c r="B31" s="11" t="n"/>
      <c r="C31" s="12" t="n"/>
      <c r="D31" s="11" t="n"/>
      <c r="E31" s="11" t="n"/>
      <c r="F31" s="11" t="n"/>
      <c r="G31" s="11" t="n"/>
    </row>
    <row r="32">
      <c r="A32" s="10">
        <f>IF(B32="","",28)</f>
        <v/>
      </c>
      <c r="B32" s="11" t="n"/>
      <c r="C32" s="12" t="n"/>
      <c r="D32" s="11" t="n"/>
      <c r="E32" s="11" t="n"/>
      <c r="F32" s="11" t="n"/>
      <c r="G32" s="11" t="n"/>
    </row>
    <row r="33">
      <c r="A33" s="10">
        <f>IF(B33="","",29)</f>
        <v/>
      </c>
      <c r="B33" s="11" t="n"/>
      <c r="C33" s="12" t="n"/>
      <c r="D33" s="11" t="n"/>
      <c r="E33" s="11" t="n"/>
      <c r="F33" s="11" t="n"/>
      <c r="G33" s="11" t="n"/>
    </row>
    <row r="34">
      <c r="A34" s="10">
        <f>IF(B34="","",30)</f>
        <v/>
      </c>
      <c r="B34" s="11" t="n"/>
      <c r="C34" s="12" t="n"/>
      <c r="D34" s="11" t="n"/>
      <c r="E34" s="11" t="n"/>
      <c r="F34" s="11" t="n"/>
      <c r="G34" s="11" t="n"/>
    </row>
    <row r="35">
      <c r="A35" s="10">
        <f>IF(B35="","",31)</f>
        <v/>
      </c>
      <c r="B35" s="11" t="n"/>
      <c r="C35" s="12" t="n"/>
      <c r="D35" s="11" t="n"/>
      <c r="E35" s="11" t="n"/>
      <c r="F35" s="11" t="n"/>
      <c r="G35" s="11" t="n"/>
    </row>
    <row r="36">
      <c r="A36" s="10">
        <f>IF(B36="","",32)</f>
        <v/>
      </c>
      <c r="B36" s="11" t="n"/>
      <c r="C36" s="12" t="n"/>
      <c r="D36" s="11" t="n"/>
      <c r="E36" s="11" t="n"/>
      <c r="F36" s="11" t="n"/>
      <c r="G36" s="11" t="n"/>
    </row>
    <row r="37">
      <c r="A37" s="10">
        <f>IF(B37="","",33)</f>
        <v/>
      </c>
      <c r="B37" s="11" t="n"/>
      <c r="C37" s="12" t="n"/>
      <c r="D37" s="11" t="n"/>
      <c r="E37" s="11" t="n"/>
      <c r="F37" s="11" t="n"/>
      <c r="G37" s="11" t="n"/>
    </row>
    <row r="38">
      <c r="A38" s="10">
        <f>IF(B38="","",34)</f>
        <v/>
      </c>
      <c r="B38" s="11" t="n"/>
      <c r="C38" s="12" t="n"/>
      <c r="D38" s="11" t="n"/>
      <c r="E38" s="11" t="n"/>
      <c r="F38" s="11" t="n"/>
      <c r="G38" s="11" t="n"/>
    </row>
    <row r="39">
      <c r="A39" s="10">
        <f>IF(B39="","",35)</f>
        <v/>
      </c>
      <c r="B39" s="11" t="n"/>
      <c r="C39" s="12" t="n"/>
      <c r="D39" s="11" t="n"/>
      <c r="E39" s="11" t="n"/>
      <c r="F39" s="11" t="n"/>
      <c r="G39" s="11" t="n"/>
    </row>
    <row r="40">
      <c r="A40" s="10">
        <f>IF(B40="","",36)</f>
        <v/>
      </c>
      <c r="B40" s="11" t="n"/>
      <c r="C40" s="12" t="n"/>
      <c r="D40" s="11" t="n"/>
      <c r="E40" s="11" t="n"/>
      <c r="F40" s="11" t="n"/>
      <c r="G40" s="11" t="n"/>
    </row>
    <row r="41">
      <c r="A41" s="10">
        <f>IF(B41="","",37)</f>
        <v/>
      </c>
      <c r="B41" s="11" t="n"/>
      <c r="C41" s="12" t="n"/>
      <c r="D41" s="11" t="n"/>
      <c r="E41" s="11" t="n"/>
      <c r="F41" s="11" t="n"/>
      <c r="G41" s="11" t="n"/>
    </row>
    <row r="42">
      <c r="A42" s="10">
        <f>IF(B42="","",38)</f>
        <v/>
      </c>
      <c r="B42" s="11" t="n"/>
      <c r="C42" s="12" t="n"/>
      <c r="D42" s="11" t="n"/>
      <c r="E42" s="11" t="n"/>
      <c r="F42" s="11" t="n"/>
      <c r="G42" s="11" t="n"/>
    </row>
    <row r="43">
      <c r="A43" s="10">
        <f>IF(B43="","",39)</f>
        <v/>
      </c>
      <c r="B43" s="11" t="n"/>
      <c r="C43" s="12" t="n"/>
      <c r="D43" s="11" t="n"/>
      <c r="E43" s="11" t="n"/>
      <c r="F43" s="11" t="n"/>
      <c r="G43" s="11" t="n"/>
    </row>
    <row r="44">
      <c r="A44" s="10">
        <f>IF(B44="","",40)</f>
        <v/>
      </c>
      <c r="B44" s="11" t="n"/>
      <c r="C44" s="12" t="n"/>
      <c r="D44" s="11" t="n"/>
      <c r="E44" s="11" t="n"/>
      <c r="F44" s="11" t="n"/>
      <c r="G44" s="11" t="n"/>
    </row>
    <row r="45">
      <c r="A45" s="10">
        <f>IF(B45="","",41)</f>
        <v/>
      </c>
      <c r="B45" s="11" t="n"/>
      <c r="C45" s="12" t="n"/>
      <c r="D45" s="11" t="n"/>
      <c r="E45" s="11" t="n"/>
      <c r="F45" s="11" t="n"/>
      <c r="G45" s="11" t="n"/>
    </row>
    <row r="46">
      <c r="A46" s="10">
        <f>IF(B46="","",42)</f>
        <v/>
      </c>
      <c r="B46" s="11" t="n"/>
      <c r="C46" s="12" t="n"/>
      <c r="D46" s="11" t="n"/>
      <c r="E46" s="11" t="n"/>
      <c r="F46" s="11" t="n"/>
      <c r="G46" s="11" t="n"/>
    </row>
    <row r="47">
      <c r="A47" s="10">
        <f>IF(B47="","",43)</f>
        <v/>
      </c>
      <c r="B47" s="11" t="n"/>
      <c r="C47" s="12" t="n"/>
      <c r="D47" s="11" t="n"/>
      <c r="E47" s="11" t="n"/>
      <c r="F47" s="11" t="n"/>
      <c r="G47" s="11" t="n"/>
    </row>
    <row r="48">
      <c r="A48" s="10">
        <f>IF(B48="","",44)</f>
        <v/>
      </c>
      <c r="B48" s="11" t="n"/>
      <c r="C48" s="12" t="n"/>
      <c r="D48" s="11" t="n"/>
      <c r="E48" s="11" t="n"/>
      <c r="F48" s="11" t="n"/>
      <c r="G48" s="11" t="n"/>
    </row>
    <row r="49">
      <c r="A49" s="10">
        <f>IF(B49="","",45)</f>
        <v/>
      </c>
      <c r="B49" s="11" t="n"/>
      <c r="C49" s="12" t="n"/>
      <c r="D49" s="11" t="n"/>
      <c r="E49" s="11" t="n"/>
      <c r="F49" s="11" t="n"/>
      <c r="G49" s="11" t="n"/>
    </row>
    <row r="50">
      <c r="A50" s="10">
        <f>IF(B50="","",46)</f>
        <v/>
      </c>
      <c r="B50" s="11" t="n"/>
      <c r="C50" s="12" t="n"/>
      <c r="D50" s="11" t="n"/>
      <c r="E50" s="11" t="n"/>
      <c r="F50" s="11" t="n"/>
      <c r="G50" s="11" t="n"/>
    </row>
    <row r="51">
      <c r="A51" s="10">
        <f>IF(B51="","",47)</f>
        <v/>
      </c>
      <c r="B51" s="11" t="n"/>
      <c r="C51" s="12" t="n"/>
      <c r="D51" s="11" t="n"/>
      <c r="E51" s="11" t="n"/>
      <c r="F51" s="11" t="n"/>
      <c r="G51" s="11" t="n"/>
    </row>
    <row r="52">
      <c r="A52" s="10">
        <f>IF(B52="","",48)</f>
        <v/>
      </c>
      <c r="B52" s="11" t="n"/>
      <c r="C52" s="12" t="n"/>
      <c r="D52" s="11" t="n"/>
      <c r="E52" s="11" t="n"/>
      <c r="F52" s="11" t="n"/>
      <c r="G52" s="11" t="n"/>
    </row>
    <row r="53">
      <c r="A53" s="10">
        <f>IF(B53="","",49)</f>
        <v/>
      </c>
      <c r="B53" s="11" t="n"/>
      <c r="C53" s="12" t="n"/>
      <c r="D53" s="11" t="n"/>
      <c r="E53" s="11" t="n"/>
      <c r="F53" s="11" t="n"/>
      <c r="G53" s="11" t="n"/>
    </row>
    <row r="54">
      <c r="A54" s="10">
        <f>IF(B54="","",50)</f>
        <v/>
      </c>
      <c r="B54" s="11" t="n"/>
      <c r="C54" s="12" t="n"/>
      <c r="D54" s="11" t="n"/>
      <c r="E54" s="11" t="n"/>
      <c r="F54" s="11" t="n"/>
      <c r="G54" s="11" t="n"/>
    </row>
    <row r="55">
      <c r="A55" s="10">
        <f>IF(B55="","",51)</f>
        <v/>
      </c>
      <c r="B55" s="11" t="n"/>
      <c r="C55" s="12" t="n"/>
      <c r="D55" s="11" t="n"/>
      <c r="E55" s="11" t="n"/>
      <c r="F55" s="11" t="n"/>
      <c r="G55" s="11" t="n"/>
    </row>
    <row r="56">
      <c r="A56" s="10">
        <f>IF(B56="","",52)</f>
        <v/>
      </c>
      <c r="B56" s="11" t="n"/>
      <c r="C56" s="12" t="n"/>
      <c r="D56" s="11" t="n"/>
      <c r="E56" s="11" t="n"/>
      <c r="F56" s="11" t="n"/>
      <c r="G56" s="11" t="n"/>
    </row>
    <row r="57">
      <c r="A57" s="10">
        <f>IF(B57="","",53)</f>
        <v/>
      </c>
      <c r="B57" s="11" t="n"/>
      <c r="C57" s="12" t="n"/>
      <c r="D57" s="11" t="n"/>
      <c r="E57" s="11" t="n"/>
      <c r="F57" s="11" t="n"/>
      <c r="G57" s="11" t="n"/>
    </row>
    <row r="58">
      <c r="A58" s="10">
        <f>IF(B58="","",54)</f>
        <v/>
      </c>
      <c r="B58" s="11" t="n"/>
      <c r="C58" s="12" t="n"/>
      <c r="D58" s="11" t="n"/>
      <c r="E58" s="11" t="n"/>
      <c r="F58" s="11" t="n"/>
      <c r="G58" s="11" t="n"/>
    </row>
    <row r="59">
      <c r="A59" s="10">
        <f>IF(B59="","",55)</f>
        <v/>
      </c>
      <c r="B59" s="11" t="n"/>
      <c r="C59" s="12" t="n"/>
      <c r="D59" s="11" t="n"/>
      <c r="E59" s="11" t="n"/>
      <c r="F59" s="11" t="n"/>
      <c r="G59" s="11" t="n"/>
    </row>
    <row r="60">
      <c r="A60" s="10">
        <f>IF(B60="","",56)</f>
        <v/>
      </c>
      <c r="B60" s="11" t="n"/>
      <c r="C60" s="12" t="n"/>
      <c r="D60" s="11" t="n"/>
      <c r="E60" s="11" t="n"/>
      <c r="F60" s="11" t="n"/>
      <c r="G60" s="11" t="n"/>
    </row>
    <row r="61">
      <c r="A61" s="10">
        <f>IF(B61="","",57)</f>
        <v/>
      </c>
      <c r="B61" s="11" t="n"/>
      <c r="C61" s="12" t="n"/>
      <c r="D61" s="11" t="n"/>
      <c r="E61" s="11" t="n"/>
      <c r="F61" s="11" t="n"/>
      <c r="G61" s="11" t="n"/>
    </row>
    <row r="62">
      <c r="A62" s="10">
        <f>IF(B62="","",58)</f>
        <v/>
      </c>
      <c r="B62" s="11" t="n"/>
      <c r="C62" s="12" t="n"/>
      <c r="D62" s="11" t="n"/>
      <c r="E62" s="11" t="n"/>
      <c r="F62" s="11" t="n"/>
      <c r="G62" s="11" t="n"/>
    </row>
    <row r="63">
      <c r="A63" s="10">
        <f>IF(B63="","",59)</f>
        <v/>
      </c>
      <c r="B63" s="11" t="n"/>
      <c r="C63" s="12" t="n"/>
      <c r="D63" s="11" t="n"/>
      <c r="E63" s="11" t="n"/>
      <c r="F63" s="11" t="n"/>
      <c r="G63" s="11" t="n"/>
    </row>
    <row r="64">
      <c r="A64" s="10">
        <f>IF(B64="","",60)</f>
        <v/>
      </c>
      <c r="B64" s="11" t="n"/>
      <c r="C64" s="12" t="n"/>
      <c r="D64" s="11" t="n"/>
      <c r="E64" s="11" t="n"/>
      <c r="F64" s="11" t="n"/>
      <c r="G64" s="11" t="n"/>
    </row>
    <row r="65">
      <c r="A65" s="10">
        <f>IF(B65="","",61)</f>
        <v/>
      </c>
      <c r="B65" s="11" t="n"/>
      <c r="C65" s="12" t="n"/>
      <c r="D65" s="11" t="n"/>
      <c r="E65" s="11" t="n"/>
      <c r="F65" s="11" t="n"/>
      <c r="G65" s="11" t="n"/>
    </row>
    <row r="66">
      <c r="A66" s="10">
        <f>IF(B66="","",62)</f>
        <v/>
      </c>
      <c r="B66" s="11" t="n"/>
      <c r="C66" s="12" t="n"/>
      <c r="D66" s="11" t="n"/>
      <c r="E66" s="11" t="n"/>
      <c r="F66" s="11" t="n"/>
      <c r="G66" s="11" t="n"/>
    </row>
    <row r="67">
      <c r="A67" s="10">
        <f>IF(B67="","",63)</f>
        <v/>
      </c>
      <c r="B67" s="11" t="n"/>
      <c r="C67" s="12" t="n"/>
      <c r="D67" s="11" t="n"/>
      <c r="E67" s="11" t="n"/>
      <c r="F67" s="11" t="n"/>
      <c r="G67" s="11" t="n"/>
    </row>
    <row r="68">
      <c r="A68" s="10">
        <f>IF(B68="","",64)</f>
        <v/>
      </c>
      <c r="B68" s="11" t="n"/>
      <c r="C68" s="12" t="n"/>
      <c r="D68" s="11" t="n"/>
      <c r="E68" s="11" t="n"/>
      <c r="F68" s="11" t="n"/>
      <c r="G68" s="11" t="n"/>
    </row>
    <row r="69">
      <c r="A69" s="10">
        <f>IF(B69="","",65)</f>
        <v/>
      </c>
      <c r="B69" s="11" t="n"/>
      <c r="C69" s="12" t="n"/>
      <c r="D69" s="11" t="n"/>
      <c r="E69" s="11" t="n"/>
      <c r="F69" s="11" t="n"/>
      <c r="G69" s="11" t="n"/>
    </row>
    <row r="70">
      <c r="A70" s="10">
        <f>IF(B70="","",66)</f>
        <v/>
      </c>
      <c r="B70" s="11" t="n"/>
      <c r="C70" s="12" t="n"/>
      <c r="D70" s="11" t="n"/>
      <c r="E70" s="11" t="n"/>
      <c r="F70" s="11" t="n"/>
      <c r="G70" s="11" t="n"/>
    </row>
    <row r="71">
      <c r="A71" s="10">
        <f>IF(B71="","",67)</f>
        <v/>
      </c>
      <c r="B71" s="11" t="n"/>
      <c r="C71" s="12" t="n"/>
      <c r="D71" s="11" t="n"/>
      <c r="E71" s="11" t="n"/>
      <c r="F71" s="11" t="n"/>
      <c r="G71" s="11" t="n"/>
    </row>
    <row r="72">
      <c r="A72" s="10">
        <f>IF(B72="","",68)</f>
        <v/>
      </c>
      <c r="B72" s="11" t="n"/>
      <c r="C72" s="12" t="n"/>
      <c r="D72" s="11" t="n"/>
      <c r="E72" s="11" t="n"/>
      <c r="F72" s="11" t="n"/>
      <c r="G72" s="11" t="n"/>
    </row>
    <row r="73">
      <c r="A73" s="10">
        <f>IF(B73="","",69)</f>
        <v/>
      </c>
      <c r="B73" s="11" t="n"/>
      <c r="C73" s="12" t="n"/>
      <c r="D73" s="11" t="n"/>
      <c r="E73" s="11" t="n"/>
      <c r="F73" s="11" t="n"/>
      <c r="G73" s="11" t="n"/>
    </row>
    <row r="74">
      <c r="A74" s="10">
        <f>IF(B74="","",70)</f>
        <v/>
      </c>
      <c r="B74" s="11" t="n"/>
      <c r="C74" s="12" t="n"/>
      <c r="D74" s="11" t="n"/>
      <c r="E74" s="11" t="n"/>
      <c r="F74" s="11" t="n"/>
      <c r="G74" s="11" t="n"/>
    </row>
    <row r="75">
      <c r="A75" s="10">
        <f>IF(B75="","",71)</f>
        <v/>
      </c>
      <c r="B75" s="11" t="n"/>
      <c r="C75" s="12" t="n"/>
      <c r="D75" s="11" t="n"/>
      <c r="E75" s="11" t="n"/>
      <c r="F75" s="11" t="n"/>
      <c r="G75" s="11" t="n"/>
    </row>
    <row r="76">
      <c r="A76" s="10">
        <f>IF(B76="","",72)</f>
        <v/>
      </c>
      <c r="B76" s="11" t="n"/>
      <c r="C76" s="12" t="n"/>
      <c r="D76" s="11" t="n"/>
      <c r="E76" s="11" t="n"/>
      <c r="F76" s="11" t="n"/>
      <c r="G76" s="11" t="n"/>
    </row>
    <row r="77">
      <c r="A77" s="10">
        <f>IF(B77="","",73)</f>
        <v/>
      </c>
      <c r="B77" s="11" t="n"/>
      <c r="C77" s="12" t="n"/>
      <c r="D77" s="11" t="n"/>
      <c r="E77" s="11" t="n"/>
      <c r="F77" s="11" t="n"/>
      <c r="G77" s="11" t="n"/>
    </row>
    <row r="78">
      <c r="A78" s="10">
        <f>IF(B78="","",74)</f>
        <v/>
      </c>
      <c r="B78" s="11" t="n"/>
      <c r="C78" s="12" t="n"/>
      <c r="D78" s="11" t="n"/>
      <c r="E78" s="11" t="n"/>
      <c r="F78" s="11" t="n"/>
      <c r="G78" s="11" t="n"/>
    </row>
    <row r="79">
      <c r="A79" s="10">
        <f>IF(B79="","",75)</f>
        <v/>
      </c>
      <c r="B79" s="11" t="n"/>
      <c r="C79" s="12" t="n"/>
      <c r="D79" s="11" t="n"/>
      <c r="E79" s="11" t="n"/>
      <c r="F79" s="11" t="n"/>
      <c r="G79" s="11" t="n"/>
    </row>
    <row r="80">
      <c r="A80" s="10">
        <f>IF(B80="","",76)</f>
        <v/>
      </c>
      <c r="B80" s="11" t="n"/>
      <c r="C80" s="12" t="n"/>
      <c r="D80" s="11" t="n"/>
      <c r="E80" s="11" t="n"/>
      <c r="F80" s="11" t="n"/>
      <c r="G80" s="11" t="n"/>
    </row>
    <row r="81">
      <c r="A81" s="10">
        <f>IF(B81="","",77)</f>
        <v/>
      </c>
      <c r="B81" s="11" t="n"/>
      <c r="C81" s="12" t="n"/>
      <c r="D81" s="11" t="n"/>
      <c r="E81" s="11" t="n"/>
      <c r="F81" s="11" t="n"/>
      <c r="G81" s="11" t="n"/>
    </row>
    <row r="82">
      <c r="A82" s="10">
        <f>IF(B82="","",78)</f>
        <v/>
      </c>
      <c r="B82" s="11" t="n"/>
      <c r="C82" s="12" t="n"/>
      <c r="D82" s="11" t="n"/>
      <c r="E82" s="11" t="n"/>
      <c r="F82" s="11" t="n"/>
      <c r="G82" s="11" t="n"/>
    </row>
    <row r="83">
      <c r="A83" s="10">
        <f>IF(B83="","",79)</f>
        <v/>
      </c>
      <c r="B83" s="11" t="n"/>
      <c r="C83" s="12" t="n"/>
      <c r="D83" s="11" t="n"/>
      <c r="E83" s="11" t="n"/>
      <c r="F83" s="11" t="n"/>
      <c r="G83" s="11" t="n"/>
    </row>
    <row r="84">
      <c r="A84" s="10">
        <f>IF(B84="","",80)</f>
        <v/>
      </c>
      <c r="B84" s="11" t="n"/>
      <c r="C84" s="12" t="n"/>
      <c r="D84" s="11" t="n"/>
      <c r="E84" s="11" t="n"/>
      <c r="F84" s="11" t="n"/>
      <c r="G84" s="11" t="n"/>
    </row>
    <row r="85">
      <c r="A85" s="10">
        <f>IF(B85="","",81)</f>
        <v/>
      </c>
      <c r="B85" s="11" t="n"/>
      <c r="C85" s="12" t="n"/>
      <c r="D85" s="11" t="n"/>
      <c r="E85" s="11" t="n"/>
      <c r="F85" s="11" t="n"/>
      <c r="G85" s="11" t="n"/>
    </row>
    <row r="86">
      <c r="A86" s="10">
        <f>IF(B86="","",82)</f>
        <v/>
      </c>
      <c r="B86" s="11" t="n"/>
      <c r="C86" s="12" t="n"/>
      <c r="D86" s="11" t="n"/>
      <c r="E86" s="11" t="n"/>
      <c r="F86" s="11" t="n"/>
      <c r="G86" s="11" t="n"/>
    </row>
    <row r="87">
      <c r="A87" s="10">
        <f>IF(B87="","",83)</f>
        <v/>
      </c>
      <c r="B87" s="11" t="n"/>
      <c r="C87" s="12" t="n"/>
      <c r="D87" s="11" t="n"/>
      <c r="E87" s="11" t="n"/>
      <c r="F87" s="11" t="n"/>
      <c r="G87" s="11" t="n"/>
    </row>
    <row r="88">
      <c r="A88" s="10">
        <f>IF(B88="","",84)</f>
        <v/>
      </c>
      <c r="B88" s="11" t="n"/>
      <c r="C88" s="12" t="n"/>
      <c r="D88" s="11" t="n"/>
      <c r="E88" s="11" t="n"/>
      <c r="F88" s="11" t="n"/>
      <c r="G88" s="11" t="n"/>
    </row>
    <row r="89">
      <c r="A89" s="10">
        <f>IF(B89="","",85)</f>
        <v/>
      </c>
      <c r="B89" s="11" t="n"/>
      <c r="C89" s="12" t="n"/>
      <c r="D89" s="11" t="n"/>
      <c r="E89" s="11" t="n"/>
      <c r="F89" s="11" t="n"/>
      <c r="G89" s="11" t="n"/>
    </row>
    <row r="90">
      <c r="A90" s="10">
        <f>IF(B90="","",86)</f>
        <v/>
      </c>
      <c r="B90" s="11" t="n"/>
      <c r="C90" s="12" t="n"/>
      <c r="D90" s="11" t="n"/>
      <c r="E90" s="11" t="n"/>
      <c r="F90" s="11" t="n"/>
      <c r="G90" s="11" t="n"/>
    </row>
    <row r="91">
      <c r="A91" s="10">
        <f>IF(B91="","",87)</f>
        <v/>
      </c>
      <c r="B91" s="11" t="n"/>
      <c r="C91" s="12" t="n"/>
      <c r="D91" s="11" t="n"/>
      <c r="E91" s="11" t="n"/>
      <c r="F91" s="11" t="n"/>
      <c r="G91" s="11" t="n"/>
    </row>
    <row r="92">
      <c r="A92" s="10">
        <f>IF(B92="","",88)</f>
        <v/>
      </c>
      <c r="B92" s="11" t="n"/>
      <c r="C92" s="12" t="n"/>
      <c r="D92" s="11" t="n"/>
      <c r="E92" s="11" t="n"/>
      <c r="F92" s="11" t="n"/>
      <c r="G92" s="11" t="n"/>
    </row>
    <row r="93">
      <c r="A93" s="10">
        <f>IF(B93="","",89)</f>
        <v/>
      </c>
      <c r="B93" s="11" t="n"/>
      <c r="C93" s="12" t="n"/>
      <c r="D93" s="11" t="n"/>
      <c r="E93" s="11" t="n"/>
      <c r="F93" s="11" t="n"/>
      <c r="G93" s="11" t="n"/>
    </row>
    <row r="94">
      <c r="A94" s="10">
        <f>IF(B94="","",90)</f>
        <v/>
      </c>
      <c r="B94" s="11" t="n"/>
      <c r="C94" s="12" t="n"/>
      <c r="D94" s="11" t="n"/>
      <c r="E94" s="11" t="n"/>
      <c r="F94" s="11" t="n"/>
      <c r="G94" s="11" t="n"/>
    </row>
    <row r="95">
      <c r="A95" s="10">
        <f>IF(B95="","",91)</f>
        <v/>
      </c>
      <c r="B95" s="11" t="n"/>
      <c r="C95" s="12" t="n"/>
      <c r="D95" s="11" t="n"/>
      <c r="E95" s="11" t="n"/>
      <c r="F95" s="11" t="n"/>
      <c r="G95" s="11" t="n"/>
    </row>
    <row r="96">
      <c r="A96" s="10">
        <f>IF(B96="","",92)</f>
        <v/>
      </c>
      <c r="B96" s="11" t="n"/>
      <c r="C96" s="12" t="n"/>
      <c r="D96" s="11" t="n"/>
      <c r="E96" s="11" t="n"/>
      <c r="F96" s="11" t="n"/>
      <c r="G96" s="11" t="n"/>
    </row>
    <row r="97">
      <c r="A97" s="10">
        <f>IF(B97="","",93)</f>
        <v/>
      </c>
      <c r="B97" s="11" t="n"/>
      <c r="C97" s="12" t="n"/>
      <c r="D97" s="11" t="n"/>
      <c r="E97" s="11" t="n"/>
      <c r="F97" s="11" t="n"/>
      <c r="G97" s="11" t="n"/>
    </row>
    <row r="98">
      <c r="A98" s="10">
        <f>IF(B98="","",94)</f>
        <v/>
      </c>
      <c r="B98" s="11" t="n"/>
      <c r="C98" s="12" t="n"/>
      <c r="D98" s="11" t="n"/>
      <c r="E98" s="11" t="n"/>
      <c r="F98" s="11" t="n"/>
      <c r="G98" s="11" t="n"/>
    </row>
    <row r="99">
      <c r="A99" s="10">
        <f>IF(B99="","",95)</f>
        <v/>
      </c>
      <c r="B99" s="11" t="n"/>
      <c r="C99" s="12" t="n"/>
      <c r="D99" s="11" t="n"/>
      <c r="E99" s="11" t="n"/>
      <c r="F99" s="11" t="n"/>
      <c r="G99" s="11" t="n"/>
    </row>
    <row r="100">
      <c r="A100" s="10">
        <f>IF(B100="","",96)</f>
        <v/>
      </c>
      <c r="B100" s="11" t="n"/>
      <c r="C100" s="12" t="n"/>
      <c r="D100" s="11" t="n"/>
      <c r="E100" s="11" t="n"/>
      <c r="F100" s="11" t="n"/>
      <c r="G100" s="11" t="n"/>
    </row>
    <row r="101">
      <c r="A101" s="10">
        <f>IF(B101="","",97)</f>
        <v/>
      </c>
      <c r="B101" s="11" t="n"/>
      <c r="C101" s="12" t="n"/>
      <c r="D101" s="11" t="n"/>
      <c r="E101" s="11" t="n"/>
      <c r="F101" s="11" t="n"/>
      <c r="G101" s="11" t="n"/>
    </row>
    <row r="102">
      <c r="A102" s="10">
        <f>IF(B102="","",98)</f>
        <v/>
      </c>
      <c r="B102" s="11" t="n"/>
      <c r="C102" s="12" t="n"/>
      <c r="D102" s="11" t="n"/>
      <c r="E102" s="11" t="n"/>
      <c r="F102" s="11" t="n"/>
      <c r="G102" s="11" t="n"/>
    </row>
    <row r="103">
      <c r="A103" s="10">
        <f>IF(B103="","",99)</f>
        <v/>
      </c>
      <c r="B103" s="11" t="n"/>
      <c r="C103" s="12" t="n"/>
      <c r="D103" s="11" t="n"/>
      <c r="E103" s="11" t="n"/>
      <c r="F103" s="11" t="n"/>
      <c r="G103" s="11" t="n"/>
    </row>
    <row r="104">
      <c r="A104" s="10">
        <f>IF(B104="","",100)</f>
        <v/>
      </c>
      <c r="B104" s="11" t="n"/>
      <c r="C104" s="12" t="n"/>
      <c r="D104" s="11" t="n"/>
      <c r="E104" s="11" t="n"/>
      <c r="F104" s="11" t="n"/>
      <c r="G104" s="11" t="n"/>
    </row>
    <row r="105">
      <c r="A105" s="10">
        <f>IF(B105="","",101)</f>
        <v/>
      </c>
      <c r="B105" s="11" t="n"/>
      <c r="C105" s="12" t="n"/>
      <c r="D105" s="11" t="n"/>
      <c r="E105" s="11" t="n"/>
      <c r="F105" s="11" t="n"/>
      <c r="G105" s="11" t="n"/>
    </row>
    <row r="106">
      <c r="A106" s="10">
        <f>IF(B106="","",102)</f>
        <v/>
      </c>
      <c r="B106" s="11" t="n"/>
      <c r="C106" s="12" t="n"/>
      <c r="D106" s="11" t="n"/>
      <c r="E106" s="11" t="n"/>
      <c r="F106" s="11" t="n"/>
      <c r="G106" s="11" t="n"/>
    </row>
    <row r="107">
      <c r="A107" s="10">
        <f>IF(B107="","",103)</f>
        <v/>
      </c>
      <c r="B107" s="11" t="n"/>
      <c r="C107" s="12" t="n"/>
      <c r="D107" s="11" t="n"/>
      <c r="E107" s="11" t="n"/>
      <c r="F107" s="11" t="n"/>
      <c r="G107" s="11" t="n"/>
    </row>
    <row r="108">
      <c r="A108" s="10">
        <f>IF(B108="","",104)</f>
        <v/>
      </c>
      <c r="B108" s="11" t="n"/>
      <c r="C108" s="12" t="n"/>
      <c r="D108" s="11" t="n"/>
      <c r="E108" s="11" t="n"/>
      <c r="F108" s="11" t="n"/>
      <c r="G108" s="11" t="n"/>
    </row>
    <row r="109">
      <c r="A109" s="10">
        <f>IF(B109="","",105)</f>
        <v/>
      </c>
      <c r="B109" s="11" t="n"/>
      <c r="C109" s="12" t="n"/>
      <c r="D109" s="11" t="n"/>
      <c r="E109" s="11" t="n"/>
      <c r="F109" s="11" t="n"/>
      <c r="G109" s="11" t="n"/>
    </row>
    <row r="110">
      <c r="A110" s="10">
        <f>IF(B110="","",106)</f>
        <v/>
      </c>
      <c r="B110" s="11" t="n"/>
      <c r="C110" s="12" t="n"/>
      <c r="D110" s="11" t="n"/>
      <c r="E110" s="11" t="n"/>
      <c r="F110" s="11" t="n"/>
      <c r="G110" s="11" t="n"/>
    </row>
    <row r="111">
      <c r="A111" s="10">
        <f>IF(B111="","",107)</f>
        <v/>
      </c>
      <c r="B111" s="11" t="n"/>
      <c r="C111" s="12" t="n"/>
      <c r="D111" s="11" t="n"/>
      <c r="E111" s="11" t="n"/>
      <c r="F111" s="11" t="n"/>
      <c r="G111" s="11" t="n"/>
    </row>
    <row r="112">
      <c r="A112" s="10">
        <f>IF(B112="","",108)</f>
        <v/>
      </c>
      <c r="B112" s="11" t="n"/>
      <c r="C112" s="12" t="n"/>
      <c r="D112" s="11" t="n"/>
      <c r="E112" s="11" t="n"/>
      <c r="F112" s="11" t="n"/>
      <c r="G112" s="11" t="n"/>
    </row>
    <row r="113">
      <c r="A113" s="10">
        <f>IF(B113="","",109)</f>
        <v/>
      </c>
      <c r="B113" s="11" t="n"/>
      <c r="C113" s="12" t="n"/>
      <c r="D113" s="11" t="n"/>
      <c r="E113" s="11" t="n"/>
      <c r="F113" s="11" t="n"/>
      <c r="G113" s="11" t="n"/>
    </row>
    <row r="114">
      <c r="A114" s="10">
        <f>IF(B114="","",110)</f>
        <v/>
      </c>
      <c r="B114" s="11" t="n"/>
      <c r="C114" s="12" t="n"/>
      <c r="D114" s="11" t="n"/>
      <c r="E114" s="11" t="n"/>
      <c r="F114" s="11" t="n"/>
      <c r="G114" s="11" t="n"/>
    </row>
    <row r="115">
      <c r="A115" s="10">
        <f>IF(B115="","",111)</f>
        <v/>
      </c>
      <c r="B115" s="11" t="n"/>
      <c r="C115" s="12" t="n"/>
      <c r="D115" s="11" t="n"/>
      <c r="E115" s="11" t="n"/>
      <c r="F115" s="11" t="n"/>
      <c r="G115" s="11" t="n"/>
    </row>
    <row r="116">
      <c r="A116" s="10">
        <f>IF(B116="","",112)</f>
        <v/>
      </c>
      <c r="B116" s="11" t="n"/>
      <c r="C116" s="12" t="n"/>
      <c r="D116" s="11" t="n"/>
      <c r="E116" s="11" t="n"/>
      <c r="F116" s="11" t="n"/>
      <c r="G116" s="11" t="n"/>
    </row>
    <row r="117">
      <c r="A117" s="10">
        <f>IF(B117="","",113)</f>
        <v/>
      </c>
      <c r="B117" s="11" t="n"/>
      <c r="C117" s="12" t="n"/>
      <c r="D117" s="11" t="n"/>
      <c r="E117" s="11" t="n"/>
      <c r="F117" s="11" t="n"/>
      <c r="G117" s="11" t="n"/>
    </row>
    <row r="118">
      <c r="A118" s="10">
        <f>IF(B118="","",114)</f>
        <v/>
      </c>
      <c r="B118" s="11" t="n"/>
      <c r="C118" s="12" t="n"/>
      <c r="D118" s="11" t="n"/>
      <c r="E118" s="11" t="n"/>
      <c r="F118" s="11" t="n"/>
      <c r="G118" s="11" t="n"/>
    </row>
    <row r="119">
      <c r="A119" s="10">
        <f>IF(B119="","",115)</f>
        <v/>
      </c>
      <c r="B119" s="11" t="n"/>
      <c r="C119" s="12" t="n"/>
      <c r="D119" s="11" t="n"/>
      <c r="E119" s="11" t="n"/>
      <c r="F119" s="11" t="n"/>
      <c r="G119" s="11" t="n"/>
    </row>
    <row r="120">
      <c r="A120" s="10">
        <f>IF(B120="","",116)</f>
        <v/>
      </c>
      <c r="B120" s="11" t="n"/>
      <c r="C120" s="12" t="n"/>
      <c r="D120" s="11" t="n"/>
      <c r="E120" s="11" t="n"/>
      <c r="F120" s="11" t="n"/>
      <c r="G120" s="11" t="n"/>
    </row>
    <row r="121">
      <c r="A121" s="10">
        <f>IF(B121="","",117)</f>
        <v/>
      </c>
      <c r="B121" s="11" t="n"/>
      <c r="C121" s="12" t="n"/>
      <c r="D121" s="11" t="n"/>
      <c r="E121" s="11" t="n"/>
      <c r="F121" s="11" t="n"/>
      <c r="G121" s="11" t="n"/>
    </row>
    <row r="122">
      <c r="A122" s="10">
        <f>IF(B122="","",118)</f>
        <v/>
      </c>
      <c r="B122" s="11" t="n"/>
      <c r="C122" s="12" t="n"/>
      <c r="D122" s="11" t="n"/>
      <c r="E122" s="11" t="n"/>
      <c r="F122" s="11" t="n"/>
      <c r="G122" s="11" t="n"/>
    </row>
    <row r="123">
      <c r="A123" s="10">
        <f>IF(B123="","",119)</f>
        <v/>
      </c>
      <c r="B123" s="11" t="n"/>
      <c r="C123" s="12" t="n"/>
      <c r="D123" s="11" t="n"/>
      <c r="E123" s="11" t="n"/>
      <c r="F123" s="11" t="n"/>
      <c r="G123" s="11" t="n"/>
    </row>
    <row r="124">
      <c r="A124" s="10">
        <f>IF(B124="","",120)</f>
        <v/>
      </c>
      <c r="B124" s="11" t="n"/>
      <c r="C124" s="12" t="n"/>
      <c r="D124" s="11" t="n"/>
      <c r="E124" s="11" t="n"/>
      <c r="F124" s="11" t="n"/>
      <c r="G124" s="11" t="n"/>
    </row>
    <row r="125">
      <c r="A125" s="10">
        <f>IF(B125="","",121)</f>
        <v/>
      </c>
      <c r="B125" s="11" t="n"/>
      <c r="C125" s="12" t="n"/>
      <c r="D125" s="11" t="n"/>
      <c r="E125" s="11" t="n"/>
      <c r="F125" s="11" t="n"/>
      <c r="G125" s="11" t="n"/>
    </row>
    <row r="126">
      <c r="A126" s="10">
        <f>IF(B126="","",122)</f>
        <v/>
      </c>
      <c r="B126" s="11" t="n"/>
      <c r="C126" s="12" t="n"/>
      <c r="D126" s="11" t="n"/>
      <c r="E126" s="11" t="n"/>
      <c r="F126" s="11" t="n"/>
      <c r="G126" s="11" t="n"/>
    </row>
    <row r="127">
      <c r="A127" s="10">
        <f>IF(B127="","",123)</f>
        <v/>
      </c>
      <c r="B127" s="11" t="n"/>
      <c r="C127" s="12" t="n"/>
      <c r="D127" s="11" t="n"/>
      <c r="E127" s="11" t="n"/>
      <c r="F127" s="11" t="n"/>
      <c r="G127" s="11" t="n"/>
    </row>
    <row r="128">
      <c r="A128" s="10">
        <f>IF(B128="","",124)</f>
        <v/>
      </c>
      <c r="B128" s="11" t="n"/>
      <c r="C128" s="12" t="n"/>
      <c r="D128" s="11" t="n"/>
      <c r="E128" s="11" t="n"/>
      <c r="F128" s="11" t="n"/>
      <c r="G128" s="11" t="n"/>
    </row>
    <row r="129">
      <c r="A129" s="10">
        <f>IF(B129="","",125)</f>
        <v/>
      </c>
      <c r="B129" s="11" t="n"/>
      <c r="C129" s="12" t="n"/>
      <c r="D129" s="11" t="n"/>
      <c r="E129" s="11" t="n"/>
      <c r="F129" s="11" t="n"/>
      <c r="G129" s="11" t="n"/>
    </row>
    <row r="130">
      <c r="A130" s="10">
        <f>IF(B130="","",126)</f>
        <v/>
      </c>
      <c r="B130" s="11" t="n"/>
      <c r="C130" s="12" t="n"/>
      <c r="D130" s="11" t="n"/>
      <c r="E130" s="11" t="n"/>
      <c r="F130" s="11" t="n"/>
      <c r="G130" s="11" t="n"/>
    </row>
    <row r="131">
      <c r="A131" s="10">
        <f>IF(B131="","",127)</f>
        <v/>
      </c>
      <c r="B131" s="11" t="n"/>
      <c r="C131" s="12" t="n"/>
      <c r="D131" s="11" t="n"/>
      <c r="E131" s="11" t="n"/>
      <c r="F131" s="11" t="n"/>
      <c r="G131" s="11" t="n"/>
    </row>
    <row r="132">
      <c r="A132" s="10">
        <f>IF(B132="","",128)</f>
        <v/>
      </c>
      <c r="B132" s="11" t="n"/>
      <c r="C132" s="12" t="n"/>
      <c r="D132" s="11" t="n"/>
      <c r="E132" s="11" t="n"/>
      <c r="F132" s="11" t="n"/>
      <c r="G132" s="11" t="n"/>
    </row>
    <row r="133">
      <c r="A133" s="10">
        <f>IF(B133="","",129)</f>
        <v/>
      </c>
      <c r="B133" s="11" t="n"/>
      <c r="C133" s="12" t="n"/>
      <c r="D133" s="11" t="n"/>
      <c r="E133" s="11" t="n"/>
      <c r="F133" s="11" t="n"/>
      <c r="G133" s="11" t="n"/>
    </row>
    <row r="134">
      <c r="A134" s="10">
        <f>IF(B134="","",130)</f>
        <v/>
      </c>
      <c r="B134" s="11" t="n"/>
      <c r="C134" s="12" t="n"/>
      <c r="D134" s="11" t="n"/>
      <c r="E134" s="11" t="n"/>
      <c r="F134" s="11" t="n"/>
      <c r="G134" s="11" t="n"/>
    </row>
    <row r="135">
      <c r="A135" s="10">
        <f>IF(B135="","",131)</f>
        <v/>
      </c>
      <c r="B135" s="11" t="n"/>
      <c r="C135" s="12" t="n"/>
      <c r="D135" s="11" t="n"/>
      <c r="E135" s="11" t="n"/>
      <c r="F135" s="11" t="n"/>
      <c r="G135" s="11" t="n"/>
    </row>
    <row r="136">
      <c r="A136" s="10">
        <f>IF(B136="","",132)</f>
        <v/>
      </c>
      <c r="B136" s="11" t="n"/>
      <c r="C136" s="12" t="n"/>
      <c r="D136" s="11" t="n"/>
      <c r="E136" s="11" t="n"/>
      <c r="F136" s="11" t="n"/>
      <c r="G136" s="11" t="n"/>
    </row>
    <row r="137">
      <c r="A137" s="10">
        <f>IF(B137="","",133)</f>
        <v/>
      </c>
      <c r="B137" s="11" t="n"/>
      <c r="C137" s="12" t="n"/>
      <c r="D137" s="11" t="n"/>
      <c r="E137" s="11" t="n"/>
      <c r="F137" s="11" t="n"/>
      <c r="G137" s="11" t="n"/>
    </row>
    <row r="138">
      <c r="A138" s="10">
        <f>IF(B138="","",134)</f>
        <v/>
      </c>
      <c r="B138" s="11" t="n"/>
      <c r="C138" s="12" t="n"/>
      <c r="D138" s="11" t="n"/>
      <c r="E138" s="11" t="n"/>
      <c r="F138" s="11" t="n"/>
      <c r="G138" s="11" t="n"/>
    </row>
    <row r="139">
      <c r="A139" s="10">
        <f>IF(B139="","",135)</f>
        <v/>
      </c>
      <c r="B139" s="11" t="n"/>
      <c r="C139" s="12" t="n"/>
      <c r="D139" s="11" t="n"/>
      <c r="E139" s="11" t="n"/>
      <c r="F139" s="11" t="n"/>
      <c r="G139" s="11" t="n"/>
    </row>
    <row r="140">
      <c r="A140" s="10">
        <f>IF(B140="","",136)</f>
        <v/>
      </c>
      <c r="B140" s="11" t="n"/>
      <c r="C140" s="12" t="n"/>
      <c r="D140" s="11" t="n"/>
      <c r="E140" s="11" t="n"/>
      <c r="F140" s="11" t="n"/>
      <c r="G140" s="11" t="n"/>
    </row>
    <row r="141">
      <c r="A141" s="10">
        <f>IF(B141="","",137)</f>
        <v/>
      </c>
      <c r="B141" s="11" t="n"/>
      <c r="C141" s="12" t="n"/>
      <c r="D141" s="11" t="n"/>
      <c r="E141" s="11" t="n"/>
      <c r="F141" s="11" t="n"/>
      <c r="G141" s="11" t="n"/>
    </row>
    <row r="142">
      <c r="A142" s="10">
        <f>IF(B142="","",138)</f>
        <v/>
      </c>
      <c r="B142" s="11" t="n"/>
      <c r="C142" s="12" t="n"/>
      <c r="D142" s="11" t="n"/>
      <c r="E142" s="11" t="n"/>
      <c r="F142" s="11" t="n"/>
      <c r="G142" s="11" t="n"/>
    </row>
    <row r="143">
      <c r="A143" s="10">
        <f>IF(B143="","",139)</f>
        <v/>
      </c>
      <c r="B143" s="11" t="n"/>
      <c r="C143" s="12" t="n"/>
      <c r="D143" s="11" t="n"/>
      <c r="E143" s="11" t="n"/>
      <c r="F143" s="11" t="n"/>
      <c r="G143" s="11" t="n"/>
    </row>
    <row r="144">
      <c r="A144" s="10">
        <f>IF(B144="","",140)</f>
        <v/>
      </c>
      <c r="B144" s="11" t="n"/>
      <c r="C144" s="12" t="n"/>
      <c r="D144" s="11" t="n"/>
      <c r="E144" s="11" t="n"/>
      <c r="F144" s="11" t="n"/>
      <c r="G144" s="11" t="n"/>
    </row>
    <row r="145">
      <c r="A145" s="10">
        <f>IF(B145="","",141)</f>
        <v/>
      </c>
      <c r="B145" s="11" t="n"/>
      <c r="C145" s="12" t="n"/>
      <c r="D145" s="11" t="n"/>
      <c r="E145" s="11" t="n"/>
      <c r="F145" s="11" t="n"/>
      <c r="G145" s="11" t="n"/>
    </row>
    <row r="146">
      <c r="A146" s="10">
        <f>IF(B146="","",142)</f>
        <v/>
      </c>
      <c r="B146" s="11" t="n"/>
      <c r="C146" s="12" t="n"/>
      <c r="D146" s="11" t="n"/>
      <c r="E146" s="11" t="n"/>
      <c r="F146" s="11" t="n"/>
      <c r="G146" s="11" t="n"/>
    </row>
    <row r="147">
      <c r="A147" s="10">
        <f>IF(B147="","",143)</f>
        <v/>
      </c>
      <c r="B147" s="11" t="n"/>
      <c r="C147" s="12" t="n"/>
      <c r="D147" s="11" t="n"/>
      <c r="E147" s="11" t="n"/>
      <c r="F147" s="11" t="n"/>
      <c r="G147" s="11" t="n"/>
    </row>
    <row r="148">
      <c r="A148" s="10">
        <f>IF(B148="","",144)</f>
        <v/>
      </c>
      <c r="B148" s="11" t="n"/>
      <c r="C148" s="12" t="n"/>
      <c r="D148" s="11" t="n"/>
      <c r="E148" s="11" t="n"/>
      <c r="F148" s="11" t="n"/>
      <c r="G148" s="11" t="n"/>
    </row>
    <row r="149">
      <c r="A149" s="10">
        <f>IF(B149="","",145)</f>
        <v/>
      </c>
      <c r="B149" s="11" t="n"/>
      <c r="C149" s="12" t="n"/>
      <c r="D149" s="11" t="n"/>
      <c r="E149" s="11" t="n"/>
      <c r="F149" s="11" t="n"/>
      <c r="G149" s="11" t="n"/>
    </row>
    <row r="150">
      <c r="A150" s="10">
        <f>IF(B150="","",146)</f>
        <v/>
      </c>
      <c r="B150" s="11" t="n"/>
      <c r="C150" s="12" t="n"/>
      <c r="D150" s="11" t="n"/>
      <c r="E150" s="11" t="n"/>
      <c r="F150" s="11" t="n"/>
      <c r="G150" s="11" t="n"/>
    </row>
    <row r="151">
      <c r="A151" s="10">
        <f>IF(B151="","",147)</f>
        <v/>
      </c>
      <c r="B151" s="11" t="n"/>
      <c r="C151" s="12" t="n"/>
      <c r="D151" s="11" t="n"/>
      <c r="E151" s="11" t="n"/>
      <c r="F151" s="11" t="n"/>
      <c r="G151" s="11" t="n"/>
    </row>
    <row r="152">
      <c r="A152" s="10">
        <f>IF(B152="","",148)</f>
        <v/>
      </c>
      <c r="B152" s="11" t="n"/>
      <c r="C152" s="12" t="n"/>
      <c r="D152" s="11" t="n"/>
      <c r="E152" s="11" t="n"/>
      <c r="F152" s="11" t="n"/>
      <c r="G152" s="11" t="n"/>
    </row>
    <row r="153">
      <c r="A153" s="10">
        <f>IF(B153="","",149)</f>
        <v/>
      </c>
      <c r="B153" s="11" t="n"/>
      <c r="C153" s="12" t="n"/>
      <c r="D153" s="11" t="n"/>
      <c r="E153" s="11" t="n"/>
      <c r="F153" s="11" t="n"/>
      <c r="G153" s="11" t="n"/>
    </row>
    <row r="154">
      <c r="A154" s="10">
        <f>IF(B154="","",150)</f>
        <v/>
      </c>
      <c r="B154" s="11" t="n"/>
      <c r="C154" s="12" t="n"/>
      <c r="D154" s="11" t="n"/>
      <c r="E154" s="11" t="n"/>
      <c r="F154" s="11" t="n"/>
      <c r="G154" s="11" t="n"/>
    </row>
    <row r="155">
      <c r="A155" s="10">
        <f>IF(B155="","",151)</f>
        <v/>
      </c>
      <c r="B155" s="11" t="n"/>
      <c r="C155" s="12" t="n"/>
      <c r="D155" s="11" t="n"/>
      <c r="E155" s="11" t="n"/>
      <c r="F155" s="11" t="n"/>
      <c r="G155" s="11" t="n"/>
    </row>
    <row r="156">
      <c r="A156" s="10">
        <f>IF(B156="","",152)</f>
        <v/>
      </c>
      <c r="B156" s="11" t="n"/>
      <c r="C156" s="12" t="n"/>
      <c r="D156" s="11" t="n"/>
      <c r="E156" s="11" t="n"/>
      <c r="F156" s="11" t="n"/>
      <c r="G156" s="11" t="n"/>
    </row>
    <row r="157">
      <c r="A157" s="10">
        <f>IF(B157="","",153)</f>
        <v/>
      </c>
      <c r="B157" s="11" t="n"/>
      <c r="C157" s="12" t="n"/>
      <c r="D157" s="11" t="n"/>
      <c r="E157" s="11" t="n"/>
      <c r="F157" s="11" t="n"/>
      <c r="G157" s="11" t="n"/>
    </row>
    <row r="158">
      <c r="A158" s="10">
        <f>IF(B158="","",154)</f>
        <v/>
      </c>
      <c r="B158" s="11" t="n"/>
      <c r="C158" s="12" t="n"/>
      <c r="D158" s="11" t="n"/>
      <c r="E158" s="11" t="n"/>
      <c r="F158" s="11" t="n"/>
      <c r="G158" s="11" t="n"/>
    </row>
    <row r="159">
      <c r="A159" s="10">
        <f>IF(B159="","",155)</f>
        <v/>
      </c>
      <c r="B159" s="11" t="n"/>
      <c r="C159" s="12" t="n"/>
      <c r="D159" s="11" t="n"/>
      <c r="E159" s="11" t="n"/>
      <c r="F159" s="11" t="n"/>
      <c r="G159" s="11" t="n"/>
    </row>
    <row r="160">
      <c r="A160" s="10">
        <f>IF(B160="","",156)</f>
        <v/>
      </c>
      <c r="B160" s="11" t="n"/>
      <c r="C160" s="12" t="n"/>
      <c r="D160" s="11" t="n"/>
      <c r="E160" s="11" t="n"/>
      <c r="F160" s="11" t="n"/>
      <c r="G160" s="11" t="n"/>
    </row>
    <row r="161">
      <c r="A161" s="10">
        <f>IF(B161="","",157)</f>
        <v/>
      </c>
      <c r="B161" s="11" t="n"/>
      <c r="C161" s="12" t="n"/>
      <c r="D161" s="11" t="n"/>
      <c r="E161" s="11" t="n"/>
      <c r="F161" s="11" t="n"/>
      <c r="G161" s="11" t="n"/>
    </row>
    <row r="162">
      <c r="A162" s="10">
        <f>IF(B162="","",158)</f>
        <v/>
      </c>
      <c r="B162" s="11" t="n"/>
      <c r="C162" s="12" t="n"/>
      <c r="D162" s="11" t="n"/>
      <c r="E162" s="11" t="n"/>
      <c r="F162" s="11" t="n"/>
      <c r="G162" s="11" t="n"/>
    </row>
    <row r="163">
      <c r="A163" s="10">
        <f>IF(B163="","",159)</f>
        <v/>
      </c>
      <c r="B163" s="11" t="n"/>
      <c r="C163" s="12" t="n"/>
      <c r="D163" s="11" t="n"/>
      <c r="E163" s="11" t="n"/>
      <c r="F163" s="11" t="n"/>
      <c r="G163" s="11" t="n"/>
    </row>
    <row r="164">
      <c r="A164" s="10">
        <f>IF(B164="","",160)</f>
        <v/>
      </c>
      <c r="B164" s="11" t="n"/>
      <c r="C164" s="12" t="n"/>
      <c r="D164" s="11" t="n"/>
      <c r="E164" s="11" t="n"/>
      <c r="F164" s="11" t="n"/>
      <c r="G164" s="11" t="n"/>
    </row>
    <row r="165">
      <c r="A165" s="10">
        <f>IF(B165="","",161)</f>
        <v/>
      </c>
      <c r="B165" s="11" t="n"/>
      <c r="C165" s="12" t="n"/>
      <c r="D165" s="11" t="n"/>
      <c r="E165" s="11" t="n"/>
      <c r="F165" s="11" t="n"/>
      <c r="G165" s="11" t="n"/>
    </row>
    <row r="166">
      <c r="A166" s="10">
        <f>IF(B166="","",162)</f>
        <v/>
      </c>
      <c r="B166" s="11" t="n"/>
      <c r="C166" s="12" t="n"/>
      <c r="D166" s="11" t="n"/>
      <c r="E166" s="11" t="n"/>
      <c r="F166" s="11" t="n"/>
      <c r="G166" s="11" t="n"/>
    </row>
    <row r="167">
      <c r="A167" s="10">
        <f>IF(B167="","",163)</f>
        <v/>
      </c>
      <c r="B167" s="11" t="n"/>
      <c r="C167" s="12" t="n"/>
      <c r="D167" s="11" t="n"/>
      <c r="E167" s="11" t="n"/>
      <c r="F167" s="11" t="n"/>
      <c r="G167" s="11" t="n"/>
    </row>
    <row r="168">
      <c r="A168" s="10">
        <f>IF(B168="","",164)</f>
        <v/>
      </c>
      <c r="B168" s="11" t="n"/>
      <c r="C168" s="12" t="n"/>
      <c r="D168" s="11" t="n"/>
      <c r="E168" s="11" t="n"/>
      <c r="F168" s="11" t="n"/>
      <c r="G168" s="11" t="n"/>
    </row>
    <row r="169">
      <c r="A169" s="10">
        <f>IF(B169="","",165)</f>
        <v/>
      </c>
      <c r="B169" s="11" t="n"/>
      <c r="C169" s="12" t="n"/>
      <c r="D169" s="11" t="n"/>
      <c r="E169" s="11" t="n"/>
      <c r="F169" s="11" t="n"/>
      <c r="G169" s="11" t="n"/>
    </row>
    <row r="170">
      <c r="A170" s="10">
        <f>IF(B170="","",166)</f>
        <v/>
      </c>
      <c r="B170" s="11" t="n"/>
      <c r="C170" s="12" t="n"/>
      <c r="D170" s="11" t="n"/>
      <c r="E170" s="11" t="n"/>
      <c r="F170" s="11" t="n"/>
      <c r="G170" s="11" t="n"/>
    </row>
    <row r="171">
      <c r="A171" s="10">
        <f>IF(B171="","",167)</f>
        <v/>
      </c>
      <c r="B171" s="11" t="n"/>
      <c r="C171" s="12" t="n"/>
      <c r="D171" s="11" t="n"/>
      <c r="E171" s="11" t="n"/>
      <c r="F171" s="11" t="n"/>
      <c r="G171" s="11" t="n"/>
    </row>
    <row r="172">
      <c r="A172" s="10">
        <f>IF(B172="","",168)</f>
        <v/>
      </c>
      <c r="B172" s="11" t="n"/>
      <c r="C172" s="12" t="n"/>
      <c r="D172" s="11" t="n"/>
      <c r="E172" s="11" t="n"/>
      <c r="F172" s="11" t="n"/>
      <c r="G172" s="11" t="n"/>
    </row>
    <row r="173">
      <c r="A173" s="10">
        <f>IF(B173="","",169)</f>
        <v/>
      </c>
      <c r="B173" s="11" t="n"/>
      <c r="C173" s="12" t="n"/>
      <c r="D173" s="11" t="n"/>
      <c r="E173" s="11" t="n"/>
      <c r="F173" s="11" t="n"/>
      <c r="G173" s="11" t="n"/>
    </row>
    <row r="174">
      <c r="A174" s="10">
        <f>IF(B174="","",170)</f>
        <v/>
      </c>
      <c r="B174" s="11" t="n"/>
      <c r="C174" s="12" t="n"/>
      <c r="D174" s="11" t="n"/>
      <c r="E174" s="11" t="n"/>
      <c r="F174" s="11" t="n"/>
      <c r="G174" s="11" t="n"/>
    </row>
    <row r="175">
      <c r="A175" s="10">
        <f>IF(B175="","",171)</f>
        <v/>
      </c>
      <c r="B175" s="11" t="n"/>
      <c r="C175" s="12" t="n"/>
      <c r="D175" s="11" t="n"/>
      <c r="E175" s="11" t="n"/>
      <c r="F175" s="11" t="n"/>
      <c r="G175" s="11" t="n"/>
    </row>
    <row r="176">
      <c r="A176" s="10">
        <f>IF(B176="","",172)</f>
        <v/>
      </c>
      <c r="B176" s="11" t="n"/>
      <c r="C176" s="12" t="n"/>
      <c r="D176" s="11" t="n"/>
      <c r="E176" s="11" t="n"/>
      <c r="F176" s="11" t="n"/>
      <c r="G176" s="11" t="n"/>
    </row>
    <row r="177">
      <c r="A177" s="10">
        <f>IF(B177="","",173)</f>
        <v/>
      </c>
      <c r="B177" s="11" t="n"/>
      <c r="C177" s="12" t="n"/>
      <c r="D177" s="11" t="n"/>
      <c r="E177" s="11" t="n"/>
      <c r="F177" s="11" t="n"/>
      <c r="G177" s="11" t="n"/>
    </row>
    <row r="178">
      <c r="A178" s="10">
        <f>IF(B178="","",174)</f>
        <v/>
      </c>
      <c r="B178" s="11" t="n"/>
      <c r="C178" s="12" t="n"/>
      <c r="D178" s="11" t="n"/>
      <c r="E178" s="11" t="n"/>
      <c r="F178" s="11" t="n"/>
      <c r="G178" s="11" t="n"/>
    </row>
    <row r="179">
      <c r="A179" s="10">
        <f>IF(B179="","",175)</f>
        <v/>
      </c>
      <c r="B179" s="11" t="n"/>
      <c r="C179" s="12" t="n"/>
      <c r="D179" s="11" t="n"/>
      <c r="E179" s="11" t="n"/>
      <c r="F179" s="11" t="n"/>
      <c r="G179" s="11" t="n"/>
    </row>
    <row r="180">
      <c r="A180" s="10">
        <f>IF(B180="","",176)</f>
        <v/>
      </c>
      <c r="B180" s="11" t="n"/>
      <c r="C180" s="12" t="n"/>
      <c r="D180" s="11" t="n"/>
      <c r="E180" s="11" t="n"/>
      <c r="F180" s="11" t="n"/>
      <c r="G180" s="11" t="n"/>
    </row>
    <row r="181">
      <c r="A181" s="10">
        <f>IF(B181="","",177)</f>
        <v/>
      </c>
      <c r="B181" s="11" t="n"/>
      <c r="C181" s="12" t="n"/>
      <c r="D181" s="11" t="n"/>
      <c r="E181" s="11" t="n"/>
      <c r="F181" s="11" t="n"/>
      <c r="G181" s="11" t="n"/>
    </row>
    <row r="182">
      <c r="A182" s="10">
        <f>IF(B182="","",178)</f>
        <v/>
      </c>
      <c r="B182" s="11" t="n"/>
      <c r="C182" s="12" t="n"/>
      <c r="D182" s="11" t="n"/>
      <c r="E182" s="11" t="n"/>
      <c r="F182" s="11" t="n"/>
      <c r="G182" s="11" t="n"/>
    </row>
    <row r="183">
      <c r="A183" s="10">
        <f>IF(B183="","",179)</f>
        <v/>
      </c>
      <c r="B183" s="11" t="n"/>
      <c r="C183" s="12" t="n"/>
      <c r="D183" s="11" t="n"/>
      <c r="E183" s="11" t="n"/>
      <c r="F183" s="11" t="n"/>
      <c r="G183" s="11" t="n"/>
    </row>
    <row r="184">
      <c r="A184" s="10">
        <f>IF(B184="","",180)</f>
        <v/>
      </c>
      <c r="B184" s="11" t="n"/>
      <c r="C184" s="12" t="n"/>
      <c r="D184" s="11" t="n"/>
      <c r="E184" s="11" t="n"/>
      <c r="F184" s="11" t="n"/>
      <c r="G184" s="11" t="n"/>
    </row>
    <row r="185">
      <c r="A185" s="10">
        <f>IF(B185="","",181)</f>
        <v/>
      </c>
      <c r="B185" s="11" t="n"/>
      <c r="C185" s="12" t="n"/>
      <c r="D185" s="11" t="n"/>
      <c r="E185" s="11" t="n"/>
      <c r="F185" s="11" t="n"/>
      <c r="G185" s="11" t="n"/>
    </row>
    <row r="186">
      <c r="A186" s="10">
        <f>IF(B186="","",182)</f>
        <v/>
      </c>
      <c r="B186" s="11" t="n"/>
      <c r="C186" s="12" t="n"/>
      <c r="D186" s="11" t="n"/>
      <c r="E186" s="11" t="n"/>
      <c r="F186" s="11" t="n"/>
      <c r="G186" s="11" t="n"/>
    </row>
    <row r="187">
      <c r="A187" s="10">
        <f>IF(B187="","",183)</f>
        <v/>
      </c>
      <c r="B187" s="11" t="n"/>
      <c r="C187" s="12" t="n"/>
      <c r="D187" s="11" t="n"/>
      <c r="E187" s="11" t="n"/>
      <c r="F187" s="11" t="n"/>
      <c r="G187" s="11" t="n"/>
    </row>
    <row r="188">
      <c r="A188" s="10">
        <f>IF(B188="","",184)</f>
        <v/>
      </c>
      <c r="B188" s="11" t="n"/>
      <c r="C188" s="12" t="n"/>
      <c r="D188" s="11" t="n"/>
      <c r="E188" s="11" t="n"/>
      <c r="F188" s="11" t="n"/>
      <c r="G188" s="11" t="n"/>
    </row>
    <row r="189">
      <c r="A189" s="10">
        <f>IF(B189="","",185)</f>
        <v/>
      </c>
      <c r="B189" s="11" t="n"/>
      <c r="C189" s="12" t="n"/>
      <c r="D189" s="11" t="n"/>
      <c r="E189" s="11" t="n"/>
      <c r="F189" s="11" t="n"/>
      <c r="G189" s="11" t="n"/>
    </row>
    <row r="190">
      <c r="A190" s="10">
        <f>IF(B190="","",186)</f>
        <v/>
      </c>
      <c r="B190" s="11" t="n"/>
      <c r="C190" s="12" t="n"/>
      <c r="D190" s="11" t="n"/>
      <c r="E190" s="11" t="n"/>
      <c r="F190" s="11" t="n"/>
      <c r="G190" s="11" t="n"/>
    </row>
    <row r="191">
      <c r="A191" s="10">
        <f>IF(B191="","",187)</f>
        <v/>
      </c>
      <c r="B191" s="11" t="n"/>
      <c r="C191" s="12" t="n"/>
      <c r="D191" s="11" t="n"/>
      <c r="E191" s="11" t="n"/>
      <c r="F191" s="11" t="n"/>
      <c r="G191" s="11" t="n"/>
    </row>
    <row r="192">
      <c r="A192" s="10">
        <f>IF(B192="","",188)</f>
        <v/>
      </c>
      <c r="B192" s="11" t="n"/>
      <c r="C192" s="12" t="n"/>
      <c r="D192" s="11" t="n"/>
      <c r="E192" s="11" t="n"/>
      <c r="F192" s="11" t="n"/>
      <c r="G192" s="11" t="n"/>
    </row>
    <row r="193">
      <c r="A193" s="10">
        <f>IF(B193="","",189)</f>
        <v/>
      </c>
      <c r="B193" s="11" t="n"/>
      <c r="C193" s="12" t="n"/>
      <c r="D193" s="11" t="n"/>
      <c r="E193" s="11" t="n"/>
      <c r="F193" s="11" t="n"/>
      <c r="G193" s="11" t="n"/>
    </row>
    <row r="194">
      <c r="A194" s="10">
        <f>IF(B194="","",190)</f>
        <v/>
      </c>
      <c r="B194" s="11" t="n"/>
      <c r="C194" s="12" t="n"/>
      <c r="D194" s="11" t="n"/>
      <c r="E194" s="11" t="n"/>
      <c r="F194" s="11" t="n"/>
      <c r="G194" s="11" t="n"/>
    </row>
    <row r="195">
      <c r="A195" s="10">
        <f>IF(B195="","",191)</f>
        <v/>
      </c>
      <c r="B195" s="11" t="n"/>
      <c r="C195" s="12" t="n"/>
      <c r="D195" s="11" t="n"/>
      <c r="E195" s="11" t="n"/>
      <c r="F195" s="11" t="n"/>
      <c r="G195" s="11" t="n"/>
    </row>
    <row r="196">
      <c r="A196" s="10">
        <f>IF(B196="","",192)</f>
        <v/>
      </c>
      <c r="B196" s="11" t="n"/>
      <c r="C196" s="12" t="n"/>
      <c r="D196" s="11" t="n"/>
      <c r="E196" s="11" t="n"/>
      <c r="F196" s="11" t="n"/>
      <c r="G196" s="11" t="n"/>
    </row>
    <row r="197">
      <c r="A197" s="10">
        <f>IF(B197="","",193)</f>
        <v/>
      </c>
      <c r="B197" s="11" t="n"/>
      <c r="C197" s="12" t="n"/>
      <c r="D197" s="11" t="n"/>
      <c r="E197" s="11" t="n"/>
      <c r="F197" s="11" t="n"/>
      <c r="G197" s="11" t="n"/>
    </row>
    <row r="198">
      <c r="A198" s="10">
        <f>IF(B198="","",194)</f>
        <v/>
      </c>
      <c r="B198" s="11" t="n"/>
      <c r="C198" s="12" t="n"/>
      <c r="D198" s="11" t="n"/>
      <c r="E198" s="11" t="n"/>
      <c r="F198" s="11" t="n"/>
      <c r="G198" s="11" t="n"/>
    </row>
    <row r="199">
      <c r="A199" s="10">
        <f>IF(B199="","",195)</f>
        <v/>
      </c>
      <c r="B199" s="11" t="n"/>
      <c r="C199" s="12" t="n"/>
      <c r="D199" s="11" t="n"/>
      <c r="E199" s="11" t="n"/>
      <c r="F199" s="11" t="n"/>
      <c r="G199" s="11" t="n"/>
    </row>
    <row r="200">
      <c r="A200" s="10">
        <f>IF(B200="","",196)</f>
        <v/>
      </c>
      <c r="B200" s="11" t="n"/>
      <c r="C200" s="12" t="n"/>
      <c r="D200" s="11" t="n"/>
      <c r="E200" s="11" t="n"/>
      <c r="F200" s="11" t="n"/>
      <c r="G200" s="11" t="n"/>
    </row>
    <row r="201">
      <c r="A201" s="10">
        <f>IF(B201="","",197)</f>
        <v/>
      </c>
      <c r="B201" s="11" t="n"/>
      <c r="C201" s="12" t="n"/>
      <c r="D201" s="11" t="n"/>
      <c r="E201" s="11" t="n"/>
      <c r="F201" s="11" t="n"/>
      <c r="G201" s="11" t="n"/>
    </row>
    <row r="202">
      <c r="A202" s="10">
        <f>IF(B202="","",198)</f>
        <v/>
      </c>
      <c r="B202" s="11" t="n"/>
      <c r="C202" s="12" t="n"/>
      <c r="D202" s="11" t="n"/>
      <c r="E202" s="11" t="n"/>
      <c r="F202" s="11" t="n"/>
      <c r="G202" s="11" t="n"/>
    </row>
    <row r="203">
      <c r="A203" s="10">
        <f>IF(B203="","",199)</f>
        <v/>
      </c>
      <c r="B203" s="11" t="n"/>
      <c r="C203" s="12" t="n"/>
      <c r="D203" s="11" t="n"/>
      <c r="E203" s="11" t="n"/>
      <c r="F203" s="11" t="n"/>
      <c r="G203" s="11" t="n"/>
    </row>
    <row r="204">
      <c r="A204" s="10">
        <f>IF(B204="","",200)</f>
        <v/>
      </c>
      <c r="B204" s="11" t="n"/>
      <c r="C204" s="12" t="n"/>
      <c r="D204" s="11" t="n"/>
      <c r="E204" s="11" t="n"/>
      <c r="F204" s="11" t="n"/>
      <c r="G204" s="11" t="n"/>
    </row>
    <row r="205">
      <c r="A205" s="10">
        <f>IF(B205="","",201)</f>
        <v/>
      </c>
      <c r="B205" s="11" t="n"/>
      <c r="C205" s="12" t="n"/>
      <c r="D205" s="11" t="n"/>
      <c r="E205" s="11" t="n"/>
      <c r="F205" s="11" t="n"/>
      <c r="G205" s="11" t="n"/>
    </row>
    <row r="206">
      <c r="A206" s="10">
        <f>IF(B206="","",202)</f>
        <v/>
      </c>
      <c r="B206" s="11" t="n"/>
      <c r="C206" s="12" t="n"/>
      <c r="D206" s="11" t="n"/>
      <c r="E206" s="11" t="n"/>
      <c r="F206" s="11" t="n"/>
      <c r="G206" s="11" t="n"/>
    </row>
    <row r="207">
      <c r="A207" s="10">
        <f>IF(B207="","",203)</f>
        <v/>
      </c>
      <c r="B207" s="11" t="n"/>
      <c r="C207" s="12" t="n"/>
      <c r="D207" s="11" t="n"/>
      <c r="E207" s="11" t="n"/>
      <c r="F207" s="11" t="n"/>
      <c r="G207" s="11" t="n"/>
    </row>
    <row r="208">
      <c r="A208" s="10">
        <f>IF(B208="","",204)</f>
        <v/>
      </c>
      <c r="B208" s="11" t="n"/>
      <c r="C208" s="12" t="n"/>
      <c r="D208" s="11" t="n"/>
      <c r="E208" s="11" t="n"/>
      <c r="F208" s="11" t="n"/>
      <c r="G208" s="11" t="n"/>
    </row>
    <row r="209">
      <c r="A209" s="10">
        <f>IF(B209="","",205)</f>
        <v/>
      </c>
      <c r="B209" s="11" t="n"/>
      <c r="C209" s="12" t="n"/>
      <c r="D209" s="11" t="n"/>
      <c r="E209" s="11" t="n"/>
      <c r="F209" s="11" t="n"/>
      <c r="G209" s="11" t="n"/>
    </row>
    <row r="210">
      <c r="A210" s="10">
        <f>IF(B210="","",206)</f>
        <v/>
      </c>
      <c r="B210" s="11" t="n"/>
      <c r="C210" s="12" t="n"/>
      <c r="D210" s="11" t="n"/>
      <c r="E210" s="11" t="n"/>
      <c r="F210" s="11" t="n"/>
      <c r="G210" s="11" t="n"/>
    </row>
    <row r="211">
      <c r="A211" s="10">
        <f>IF(B211="","",207)</f>
        <v/>
      </c>
      <c r="B211" s="11" t="n"/>
      <c r="C211" s="12" t="n"/>
      <c r="D211" s="11" t="n"/>
      <c r="E211" s="11" t="n"/>
      <c r="F211" s="11" t="n"/>
      <c r="G211" s="11" t="n"/>
    </row>
    <row r="212">
      <c r="A212" s="10">
        <f>IF(B212="","",208)</f>
        <v/>
      </c>
      <c r="B212" s="11" t="n"/>
      <c r="C212" s="12" t="n"/>
      <c r="D212" s="11" t="n"/>
      <c r="E212" s="11" t="n"/>
      <c r="F212" s="11" t="n"/>
      <c r="G212" s="11" t="n"/>
    </row>
    <row r="213">
      <c r="A213" s="10">
        <f>IF(B213="","",209)</f>
        <v/>
      </c>
      <c r="B213" s="11" t="n"/>
      <c r="C213" s="12" t="n"/>
      <c r="D213" s="11" t="n"/>
      <c r="E213" s="11" t="n"/>
      <c r="F213" s="11" t="n"/>
      <c r="G213" s="11" t="n"/>
    </row>
    <row r="214">
      <c r="A214" s="10">
        <f>IF(B214="","",210)</f>
        <v/>
      </c>
      <c r="B214" s="11" t="n"/>
      <c r="C214" s="12" t="n"/>
      <c r="D214" s="11" t="n"/>
      <c r="E214" s="11" t="n"/>
      <c r="F214" s="11" t="n"/>
      <c r="G214" s="11" t="n"/>
    </row>
    <row r="215">
      <c r="A215" s="10">
        <f>IF(B215="","",211)</f>
        <v/>
      </c>
      <c r="B215" s="11" t="n"/>
      <c r="C215" s="12" t="n"/>
      <c r="D215" s="11" t="n"/>
      <c r="E215" s="11" t="n"/>
      <c r="F215" s="11" t="n"/>
      <c r="G215" s="11" t="n"/>
    </row>
    <row r="216">
      <c r="A216" s="10">
        <f>IF(B216="","",212)</f>
        <v/>
      </c>
      <c r="B216" s="11" t="n"/>
      <c r="C216" s="12" t="n"/>
      <c r="D216" s="11" t="n"/>
      <c r="E216" s="11" t="n"/>
      <c r="F216" s="11" t="n"/>
      <c r="G216" s="11" t="n"/>
    </row>
    <row r="217">
      <c r="A217" s="10">
        <f>IF(B217="","",213)</f>
        <v/>
      </c>
      <c r="B217" s="11" t="n"/>
      <c r="C217" s="12" t="n"/>
      <c r="D217" s="11" t="n"/>
      <c r="E217" s="11" t="n"/>
      <c r="F217" s="11" t="n"/>
      <c r="G217" s="11" t="n"/>
    </row>
    <row r="218">
      <c r="A218" s="10">
        <f>IF(B218="","",214)</f>
        <v/>
      </c>
      <c r="B218" s="11" t="n"/>
      <c r="C218" s="12" t="n"/>
      <c r="D218" s="11" t="n"/>
      <c r="E218" s="11" t="n"/>
      <c r="F218" s="11" t="n"/>
      <c r="G218" s="11" t="n"/>
    </row>
    <row r="219">
      <c r="A219" s="10">
        <f>IF(B219="","",215)</f>
        <v/>
      </c>
      <c r="B219" s="11" t="n"/>
      <c r="C219" s="12" t="n"/>
      <c r="D219" s="11" t="n"/>
      <c r="E219" s="11" t="n"/>
      <c r="F219" s="11" t="n"/>
      <c r="G219" s="11" t="n"/>
    </row>
    <row r="220">
      <c r="A220" s="10">
        <f>IF(B220="","",216)</f>
        <v/>
      </c>
      <c r="B220" s="11" t="n"/>
      <c r="C220" s="12" t="n"/>
      <c r="D220" s="11" t="n"/>
      <c r="E220" s="11" t="n"/>
      <c r="F220" s="11" t="n"/>
      <c r="G220" s="11" t="n"/>
    </row>
    <row r="221">
      <c r="A221" s="10">
        <f>IF(B221="","",217)</f>
        <v/>
      </c>
      <c r="B221" s="11" t="n"/>
      <c r="C221" s="12" t="n"/>
      <c r="D221" s="11" t="n"/>
      <c r="E221" s="11" t="n"/>
      <c r="F221" s="11" t="n"/>
      <c r="G221" s="11" t="n"/>
    </row>
    <row r="222">
      <c r="A222" s="10">
        <f>IF(B222="","",218)</f>
        <v/>
      </c>
      <c r="B222" s="11" t="n"/>
      <c r="C222" s="12" t="n"/>
      <c r="D222" s="11" t="n"/>
      <c r="E222" s="11" t="n"/>
      <c r="F222" s="11" t="n"/>
      <c r="G222" s="11" t="n"/>
    </row>
    <row r="223">
      <c r="A223" s="10">
        <f>IF(B223="","",219)</f>
        <v/>
      </c>
      <c r="B223" s="11" t="n"/>
      <c r="C223" s="12" t="n"/>
      <c r="D223" s="11" t="n"/>
      <c r="E223" s="11" t="n"/>
      <c r="F223" s="11" t="n"/>
      <c r="G223" s="11" t="n"/>
    </row>
    <row r="224">
      <c r="A224" s="10">
        <f>IF(B224="","",220)</f>
        <v/>
      </c>
      <c r="B224" s="11" t="n"/>
      <c r="C224" s="12" t="n"/>
      <c r="D224" s="11" t="n"/>
      <c r="E224" s="11" t="n"/>
      <c r="F224" s="11" t="n"/>
      <c r="G224" s="11" t="n"/>
    </row>
    <row r="225">
      <c r="A225" s="10">
        <f>IF(B225="","",221)</f>
        <v/>
      </c>
      <c r="B225" s="11" t="n"/>
      <c r="C225" s="12" t="n"/>
      <c r="D225" s="11" t="n"/>
      <c r="E225" s="11" t="n"/>
      <c r="F225" s="11" t="n"/>
      <c r="G225" s="11" t="n"/>
    </row>
    <row r="226">
      <c r="A226" s="10">
        <f>IF(B226="","",222)</f>
        <v/>
      </c>
      <c r="B226" s="11" t="n"/>
      <c r="C226" s="12" t="n"/>
      <c r="D226" s="11" t="n"/>
      <c r="E226" s="11" t="n"/>
      <c r="F226" s="11" t="n"/>
      <c r="G226" s="11" t="n"/>
    </row>
    <row r="227">
      <c r="A227" s="10">
        <f>IF(B227="","",223)</f>
        <v/>
      </c>
      <c r="B227" s="11" t="n"/>
      <c r="C227" s="12" t="n"/>
      <c r="D227" s="11" t="n"/>
      <c r="E227" s="11" t="n"/>
      <c r="F227" s="11" t="n"/>
      <c r="G227" s="11" t="n"/>
    </row>
    <row r="228">
      <c r="A228" s="10">
        <f>IF(B228="","",224)</f>
        <v/>
      </c>
      <c r="B228" s="11" t="n"/>
      <c r="C228" s="12" t="n"/>
      <c r="D228" s="11" t="n"/>
      <c r="E228" s="11" t="n"/>
      <c r="F228" s="11" t="n"/>
      <c r="G228" s="11" t="n"/>
    </row>
    <row r="229">
      <c r="A229" s="10">
        <f>IF(B229="","",225)</f>
        <v/>
      </c>
      <c r="B229" s="11" t="n"/>
      <c r="C229" s="12" t="n"/>
      <c r="D229" s="11" t="n"/>
      <c r="E229" s="11" t="n"/>
      <c r="F229" s="11" t="n"/>
      <c r="G229" s="11" t="n"/>
    </row>
    <row r="230">
      <c r="A230" s="10">
        <f>IF(B230="","",226)</f>
        <v/>
      </c>
      <c r="B230" s="11" t="n"/>
      <c r="C230" s="12" t="n"/>
      <c r="D230" s="11" t="n"/>
      <c r="E230" s="11" t="n"/>
      <c r="F230" s="11" t="n"/>
      <c r="G230" s="11" t="n"/>
    </row>
    <row r="231">
      <c r="A231" s="10">
        <f>IF(B231="","",227)</f>
        <v/>
      </c>
      <c r="B231" s="11" t="n"/>
      <c r="C231" s="12" t="n"/>
      <c r="D231" s="11" t="n"/>
      <c r="E231" s="11" t="n"/>
      <c r="F231" s="11" t="n"/>
      <c r="G231" s="11" t="n"/>
    </row>
    <row r="232">
      <c r="A232" s="10">
        <f>IF(B232="","",228)</f>
        <v/>
      </c>
      <c r="B232" s="11" t="n"/>
      <c r="C232" s="12" t="n"/>
      <c r="D232" s="11" t="n"/>
      <c r="E232" s="11" t="n"/>
      <c r="F232" s="11" t="n"/>
      <c r="G232" s="11" t="n"/>
    </row>
    <row r="233">
      <c r="A233" s="10">
        <f>IF(B233="","",229)</f>
        <v/>
      </c>
      <c r="B233" s="11" t="n"/>
      <c r="C233" s="12" t="n"/>
      <c r="D233" s="11" t="n"/>
      <c r="E233" s="11" t="n"/>
      <c r="F233" s="11" t="n"/>
      <c r="G233" s="11" t="n"/>
    </row>
    <row r="234">
      <c r="A234" s="10">
        <f>IF(B234="","",230)</f>
        <v/>
      </c>
      <c r="B234" s="11" t="n"/>
      <c r="C234" s="12" t="n"/>
      <c r="D234" s="11" t="n"/>
      <c r="E234" s="11" t="n"/>
      <c r="F234" s="11" t="n"/>
      <c r="G234" s="11" t="n"/>
    </row>
    <row r="235">
      <c r="A235" s="10">
        <f>IF(B235="","",231)</f>
        <v/>
      </c>
      <c r="B235" s="11" t="n"/>
      <c r="C235" s="12" t="n"/>
      <c r="D235" s="11" t="n"/>
      <c r="E235" s="11" t="n"/>
      <c r="F235" s="11" t="n"/>
      <c r="G235" s="11" t="n"/>
    </row>
    <row r="236">
      <c r="A236" s="10">
        <f>IF(B236="","",232)</f>
        <v/>
      </c>
      <c r="B236" s="11" t="n"/>
      <c r="C236" s="12" t="n"/>
      <c r="D236" s="11" t="n"/>
      <c r="E236" s="11" t="n"/>
      <c r="F236" s="11" t="n"/>
      <c r="G236" s="11" t="n"/>
    </row>
    <row r="237">
      <c r="A237" s="10">
        <f>IF(B237="","",233)</f>
        <v/>
      </c>
      <c r="B237" s="11" t="n"/>
      <c r="C237" s="12" t="n"/>
      <c r="D237" s="11" t="n"/>
      <c r="E237" s="11" t="n"/>
      <c r="F237" s="11" t="n"/>
      <c r="G237" s="11" t="n"/>
    </row>
    <row r="238">
      <c r="A238" s="10">
        <f>IF(B238="","",234)</f>
        <v/>
      </c>
      <c r="B238" s="11" t="n"/>
      <c r="C238" s="12" t="n"/>
      <c r="D238" s="11" t="n"/>
      <c r="E238" s="11" t="n"/>
      <c r="F238" s="11" t="n"/>
      <c r="G238" s="11" t="n"/>
    </row>
    <row r="239">
      <c r="A239" s="10">
        <f>IF(B239="","",235)</f>
        <v/>
      </c>
      <c r="B239" s="11" t="n"/>
      <c r="C239" s="12" t="n"/>
      <c r="D239" s="11" t="n"/>
      <c r="E239" s="11" t="n"/>
      <c r="F239" s="11" t="n"/>
      <c r="G239" s="11" t="n"/>
    </row>
    <row r="240">
      <c r="A240" s="10">
        <f>IF(B240="","",236)</f>
        <v/>
      </c>
      <c r="B240" s="11" t="n"/>
      <c r="C240" s="12" t="n"/>
      <c r="D240" s="11" t="n"/>
      <c r="E240" s="11" t="n"/>
      <c r="F240" s="11" t="n"/>
      <c r="G240" s="11" t="n"/>
    </row>
    <row r="241">
      <c r="A241" s="10">
        <f>IF(B241="","",237)</f>
        <v/>
      </c>
      <c r="B241" s="11" t="n"/>
      <c r="C241" s="12" t="n"/>
      <c r="D241" s="11" t="n"/>
      <c r="E241" s="11" t="n"/>
      <c r="F241" s="11" t="n"/>
      <c r="G241" s="11" t="n"/>
    </row>
    <row r="242">
      <c r="A242" s="10">
        <f>IF(B242="","",238)</f>
        <v/>
      </c>
      <c r="B242" s="11" t="n"/>
      <c r="C242" s="12" t="n"/>
      <c r="D242" s="11" t="n"/>
      <c r="E242" s="11" t="n"/>
      <c r="F242" s="11" t="n"/>
      <c r="G242" s="11" t="n"/>
    </row>
    <row r="243">
      <c r="A243" s="10">
        <f>IF(B243="","",239)</f>
        <v/>
      </c>
      <c r="B243" s="11" t="n"/>
      <c r="C243" s="12" t="n"/>
      <c r="D243" s="11" t="n"/>
      <c r="E243" s="11" t="n"/>
      <c r="F243" s="11" t="n"/>
      <c r="G243" s="11" t="n"/>
    </row>
    <row r="244">
      <c r="A244" s="10">
        <f>IF(B244="","",240)</f>
        <v/>
      </c>
      <c r="B244" s="11" t="n"/>
      <c r="C244" s="12" t="n"/>
      <c r="D244" s="11" t="n"/>
      <c r="E244" s="11" t="n"/>
      <c r="F244" s="11" t="n"/>
      <c r="G244" s="11" t="n"/>
    </row>
    <row r="245">
      <c r="A245" s="10">
        <f>IF(B245="","",241)</f>
        <v/>
      </c>
      <c r="B245" s="11" t="n"/>
      <c r="C245" s="12" t="n"/>
      <c r="D245" s="11" t="n"/>
      <c r="E245" s="11" t="n"/>
      <c r="F245" s="11" t="n"/>
      <c r="G245" s="11" t="n"/>
    </row>
    <row r="246">
      <c r="A246" s="10">
        <f>IF(B246="","",242)</f>
        <v/>
      </c>
      <c r="B246" s="11" t="n"/>
      <c r="C246" s="12" t="n"/>
      <c r="D246" s="11" t="n"/>
      <c r="E246" s="11" t="n"/>
      <c r="F246" s="11" t="n"/>
      <c r="G246" s="11" t="n"/>
    </row>
    <row r="247">
      <c r="A247" s="10">
        <f>IF(B247="","",243)</f>
        <v/>
      </c>
      <c r="B247" s="11" t="n"/>
      <c r="C247" s="12" t="n"/>
      <c r="D247" s="11" t="n"/>
      <c r="E247" s="11" t="n"/>
      <c r="F247" s="11" t="n"/>
      <c r="G247" s="11" t="n"/>
    </row>
    <row r="248">
      <c r="A248" s="10">
        <f>IF(B248="","",244)</f>
        <v/>
      </c>
      <c r="B248" s="11" t="n"/>
      <c r="C248" s="12" t="n"/>
      <c r="D248" s="11" t="n"/>
      <c r="E248" s="11" t="n"/>
      <c r="F248" s="11" t="n"/>
      <c r="G248" s="11" t="n"/>
    </row>
    <row r="249">
      <c r="A249" s="10">
        <f>IF(B249="","",245)</f>
        <v/>
      </c>
      <c r="B249" s="11" t="n"/>
      <c r="C249" s="12" t="n"/>
      <c r="D249" s="11" t="n"/>
      <c r="E249" s="11" t="n"/>
      <c r="F249" s="11" t="n"/>
      <c r="G249" s="11" t="n"/>
    </row>
    <row r="250">
      <c r="A250" s="10">
        <f>IF(B250="","",246)</f>
        <v/>
      </c>
      <c r="B250" s="11" t="n"/>
      <c r="C250" s="12" t="n"/>
      <c r="D250" s="11" t="n"/>
      <c r="E250" s="11" t="n"/>
      <c r="F250" s="11" t="n"/>
      <c r="G250" s="11" t="n"/>
    </row>
    <row r="251">
      <c r="A251" s="10">
        <f>IF(B251="","",247)</f>
        <v/>
      </c>
      <c r="B251" s="11" t="n"/>
      <c r="C251" s="12" t="n"/>
      <c r="D251" s="11" t="n"/>
      <c r="E251" s="11" t="n"/>
      <c r="F251" s="11" t="n"/>
      <c r="G251" s="11" t="n"/>
    </row>
    <row r="252">
      <c r="A252" s="10">
        <f>IF(B252="","",248)</f>
        <v/>
      </c>
      <c r="B252" s="11" t="n"/>
      <c r="C252" s="12" t="n"/>
      <c r="D252" s="11" t="n"/>
      <c r="E252" s="11" t="n"/>
      <c r="F252" s="11" t="n"/>
      <c r="G252" s="11" t="n"/>
    </row>
    <row r="253">
      <c r="A253" s="10">
        <f>IF(B253="","",249)</f>
        <v/>
      </c>
      <c r="B253" s="11" t="n"/>
      <c r="C253" s="12" t="n"/>
      <c r="D253" s="11" t="n"/>
      <c r="E253" s="11" t="n"/>
      <c r="F253" s="11" t="n"/>
      <c r="G253" s="11" t="n"/>
    </row>
    <row r="254">
      <c r="A254" s="10">
        <f>IF(B254="","",250)</f>
        <v/>
      </c>
      <c r="B254" s="11" t="n"/>
      <c r="C254" s="12" t="n"/>
      <c r="D254" s="11" t="n"/>
      <c r="E254" s="11" t="n"/>
      <c r="F254" s="11" t="n"/>
      <c r="G254" s="11" t="n"/>
    </row>
    <row r="255">
      <c r="A255" s="10">
        <f>IF(B255="","",251)</f>
        <v/>
      </c>
      <c r="B255" s="11" t="n"/>
      <c r="C255" s="12" t="n"/>
      <c r="D255" s="11" t="n"/>
      <c r="E255" s="11" t="n"/>
      <c r="F255" s="11" t="n"/>
      <c r="G255" s="11" t="n"/>
    </row>
    <row r="256">
      <c r="A256" s="10">
        <f>IF(B256="","",252)</f>
        <v/>
      </c>
      <c r="B256" s="11" t="n"/>
      <c r="C256" s="12" t="n"/>
      <c r="D256" s="11" t="n"/>
      <c r="E256" s="11" t="n"/>
      <c r="F256" s="11" t="n"/>
      <c r="G256" s="11" t="n"/>
    </row>
    <row r="257">
      <c r="A257" s="10">
        <f>IF(B257="","",253)</f>
        <v/>
      </c>
      <c r="B257" s="11" t="n"/>
      <c r="C257" s="12" t="n"/>
      <c r="D257" s="11" t="n"/>
      <c r="E257" s="11" t="n"/>
      <c r="F257" s="11" t="n"/>
      <c r="G257" s="11" t="n"/>
    </row>
    <row r="258">
      <c r="A258" s="10">
        <f>IF(B258="","",254)</f>
        <v/>
      </c>
      <c r="B258" s="11" t="n"/>
      <c r="C258" s="12" t="n"/>
      <c r="D258" s="11" t="n"/>
      <c r="E258" s="11" t="n"/>
      <c r="F258" s="11" t="n"/>
      <c r="G258" s="11" t="n"/>
    </row>
    <row r="259">
      <c r="A259" s="10">
        <f>IF(B259="","",255)</f>
        <v/>
      </c>
      <c r="B259" s="11" t="n"/>
      <c r="C259" s="12" t="n"/>
      <c r="D259" s="11" t="n"/>
      <c r="E259" s="11" t="n"/>
      <c r="F259" s="11" t="n"/>
      <c r="G259" s="11" t="n"/>
    </row>
    <row r="260">
      <c r="A260" s="10">
        <f>IF(B260="","",256)</f>
        <v/>
      </c>
      <c r="B260" s="11" t="n"/>
      <c r="C260" s="12" t="n"/>
      <c r="D260" s="11" t="n"/>
      <c r="E260" s="11" t="n"/>
      <c r="F260" s="11" t="n"/>
      <c r="G260" s="11" t="n"/>
    </row>
    <row r="261">
      <c r="A261" s="10">
        <f>IF(B261="","",257)</f>
        <v/>
      </c>
      <c r="B261" s="11" t="n"/>
      <c r="C261" s="12" t="n"/>
      <c r="D261" s="11" t="n"/>
      <c r="E261" s="11" t="n"/>
      <c r="F261" s="11" t="n"/>
      <c r="G261" s="11" t="n"/>
    </row>
    <row r="262">
      <c r="A262" s="10">
        <f>IF(B262="","",258)</f>
        <v/>
      </c>
      <c r="B262" s="11" t="n"/>
      <c r="C262" s="12" t="n"/>
      <c r="D262" s="11" t="n"/>
      <c r="E262" s="11" t="n"/>
      <c r="F262" s="11" t="n"/>
      <c r="G262" s="11" t="n"/>
    </row>
    <row r="263">
      <c r="A263" s="10">
        <f>IF(B263="","",259)</f>
        <v/>
      </c>
      <c r="B263" s="11" t="n"/>
      <c r="C263" s="12" t="n"/>
      <c r="D263" s="11" t="n"/>
      <c r="E263" s="11" t="n"/>
      <c r="F263" s="11" t="n"/>
      <c r="G263" s="11" t="n"/>
    </row>
    <row r="264">
      <c r="A264" s="10">
        <f>IF(B264="","",260)</f>
        <v/>
      </c>
      <c r="B264" s="11" t="n"/>
      <c r="C264" s="12" t="n"/>
      <c r="D264" s="11" t="n"/>
      <c r="E264" s="11" t="n"/>
      <c r="F264" s="11" t="n"/>
      <c r="G264" s="11" t="n"/>
    </row>
    <row r="265">
      <c r="A265" s="10">
        <f>IF(B265="","",261)</f>
        <v/>
      </c>
      <c r="B265" s="11" t="n"/>
      <c r="C265" s="12" t="n"/>
      <c r="D265" s="11" t="n"/>
      <c r="E265" s="11" t="n"/>
      <c r="F265" s="11" t="n"/>
      <c r="G265" s="11" t="n"/>
    </row>
    <row r="266">
      <c r="A266" s="10">
        <f>IF(B266="","",262)</f>
        <v/>
      </c>
      <c r="B266" s="11" t="n"/>
      <c r="C266" s="12" t="n"/>
      <c r="D266" s="11" t="n"/>
      <c r="E266" s="11" t="n"/>
      <c r="F266" s="11" t="n"/>
      <c r="G266" s="11" t="n"/>
    </row>
    <row r="267">
      <c r="A267" s="10">
        <f>IF(B267="","",263)</f>
        <v/>
      </c>
      <c r="B267" s="11" t="n"/>
      <c r="C267" s="12" t="n"/>
      <c r="D267" s="11" t="n"/>
      <c r="E267" s="11" t="n"/>
      <c r="F267" s="11" t="n"/>
      <c r="G267" s="11" t="n"/>
    </row>
    <row r="268">
      <c r="A268" s="10">
        <f>IF(B268="","",264)</f>
        <v/>
      </c>
      <c r="B268" s="11" t="n"/>
      <c r="C268" s="12" t="n"/>
      <c r="D268" s="11" t="n"/>
      <c r="E268" s="11" t="n"/>
      <c r="F268" s="11" t="n"/>
      <c r="G268" s="11" t="n"/>
    </row>
    <row r="269">
      <c r="A269" s="10">
        <f>IF(B269="","",265)</f>
        <v/>
      </c>
      <c r="B269" s="11" t="n"/>
      <c r="C269" s="12" t="n"/>
      <c r="D269" s="11" t="n"/>
      <c r="E269" s="11" t="n"/>
      <c r="F269" s="11" t="n"/>
      <c r="G269" s="11" t="n"/>
    </row>
    <row r="270">
      <c r="A270" s="10">
        <f>IF(B270="","",266)</f>
        <v/>
      </c>
      <c r="B270" s="11" t="n"/>
      <c r="C270" s="12" t="n"/>
      <c r="D270" s="11" t="n"/>
      <c r="E270" s="11" t="n"/>
      <c r="F270" s="11" t="n"/>
      <c r="G270" s="11" t="n"/>
    </row>
    <row r="271">
      <c r="A271" s="10">
        <f>IF(B271="","",267)</f>
        <v/>
      </c>
      <c r="B271" s="11" t="n"/>
      <c r="C271" s="12" t="n"/>
      <c r="D271" s="11" t="n"/>
      <c r="E271" s="11" t="n"/>
      <c r="F271" s="11" t="n"/>
      <c r="G271" s="11" t="n"/>
    </row>
    <row r="272">
      <c r="A272" s="10">
        <f>IF(B272="","",268)</f>
        <v/>
      </c>
      <c r="B272" s="11" t="n"/>
      <c r="C272" s="12" t="n"/>
      <c r="D272" s="11" t="n"/>
      <c r="E272" s="11" t="n"/>
      <c r="F272" s="11" t="n"/>
      <c r="G272" s="11" t="n"/>
    </row>
    <row r="273">
      <c r="A273" s="10">
        <f>IF(B273="","",269)</f>
        <v/>
      </c>
      <c r="B273" s="11" t="n"/>
      <c r="C273" s="12" t="n"/>
      <c r="D273" s="11" t="n"/>
      <c r="E273" s="11" t="n"/>
      <c r="F273" s="11" t="n"/>
      <c r="G273" s="11" t="n"/>
    </row>
    <row r="274">
      <c r="A274" s="10">
        <f>IF(B274="","",270)</f>
        <v/>
      </c>
      <c r="B274" s="11" t="n"/>
      <c r="C274" s="12" t="n"/>
      <c r="D274" s="11" t="n"/>
      <c r="E274" s="11" t="n"/>
      <c r="F274" s="11" t="n"/>
      <c r="G274" s="11" t="n"/>
    </row>
    <row r="275">
      <c r="A275" s="10">
        <f>IF(B275="","",271)</f>
        <v/>
      </c>
      <c r="B275" s="11" t="n"/>
      <c r="C275" s="12" t="n"/>
      <c r="D275" s="11" t="n"/>
      <c r="E275" s="11" t="n"/>
      <c r="F275" s="11" t="n"/>
      <c r="G275" s="11" t="n"/>
    </row>
    <row r="276">
      <c r="A276" s="10">
        <f>IF(B276="","",272)</f>
        <v/>
      </c>
      <c r="B276" s="11" t="n"/>
      <c r="C276" s="12" t="n"/>
      <c r="D276" s="11" t="n"/>
      <c r="E276" s="11" t="n"/>
      <c r="F276" s="11" t="n"/>
      <c r="G276" s="11" t="n"/>
    </row>
    <row r="277">
      <c r="A277" s="10">
        <f>IF(B277="","",273)</f>
        <v/>
      </c>
      <c r="B277" s="11" t="n"/>
      <c r="C277" s="12" t="n"/>
      <c r="D277" s="11" t="n"/>
      <c r="E277" s="11" t="n"/>
      <c r="F277" s="11" t="n"/>
      <c r="G277" s="11" t="n"/>
    </row>
    <row r="278">
      <c r="A278" s="10">
        <f>IF(B278="","",274)</f>
        <v/>
      </c>
      <c r="B278" s="11" t="n"/>
      <c r="C278" s="12" t="n"/>
      <c r="D278" s="11" t="n"/>
      <c r="E278" s="11" t="n"/>
      <c r="F278" s="11" t="n"/>
      <c r="G278" s="11" t="n"/>
    </row>
    <row r="279">
      <c r="A279" s="10">
        <f>IF(B279="","",275)</f>
        <v/>
      </c>
      <c r="B279" s="11" t="n"/>
      <c r="C279" s="12" t="n"/>
      <c r="D279" s="11" t="n"/>
      <c r="E279" s="11" t="n"/>
      <c r="F279" s="11" t="n"/>
      <c r="G279" s="11" t="n"/>
    </row>
    <row r="280">
      <c r="A280" s="10">
        <f>IF(B280="","",276)</f>
        <v/>
      </c>
      <c r="B280" s="11" t="n"/>
      <c r="C280" s="12" t="n"/>
      <c r="D280" s="11" t="n"/>
      <c r="E280" s="11" t="n"/>
      <c r="F280" s="11" t="n"/>
      <c r="G280" s="11" t="n"/>
    </row>
    <row r="281">
      <c r="A281" s="10">
        <f>IF(B281="","",277)</f>
        <v/>
      </c>
      <c r="B281" s="11" t="n"/>
      <c r="C281" s="12" t="n"/>
      <c r="D281" s="11" t="n"/>
      <c r="E281" s="11" t="n"/>
      <c r="F281" s="11" t="n"/>
      <c r="G281" s="11" t="n"/>
    </row>
    <row r="282">
      <c r="A282" s="10">
        <f>IF(B282="","",278)</f>
        <v/>
      </c>
      <c r="B282" s="11" t="n"/>
      <c r="C282" s="12" t="n"/>
      <c r="D282" s="11" t="n"/>
      <c r="E282" s="11" t="n"/>
      <c r="F282" s="11" t="n"/>
      <c r="G282" s="11" t="n"/>
    </row>
    <row r="283">
      <c r="A283" s="10">
        <f>IF(B283="","",279)</f>
        <v/>
      </c>
      <c r="B283" s="11" t="n"/>
      <c r="C283" s="12" t="n"/>
      <c r="D283" s="11" t="n"/>
      <c r="E283" s="11" t="n"/>
      <c r="F283" s="11" t="n"/>
      <c r="G283" s="11" t="n"/>
    </row>
    <row r="284">
      <c r="A284" s="10">
        <f>IF(B284="","",280)</f>
        <v/>
      </c>
      <c r="B284" s="11" t="n"/>
      <c r="C284" s="12" t="n"/>
      <c r="D284" s="11" t="n"/>
      <c r="E284" s="11" t="n"/>
      <c r="F284" s="11" t="n"/>
      <c r="G284" s="11" t="n"/>
    </row>
    <row r="285">
      <c r="A285" s="10">
        <f>IF(B285="","",281)</f>
        <v/>
      </c>
      <c r="B285" s="11" t="n"/>
      <c r="C285" s="12" t="n"/>
      <c r="D285" s="11" t="n"/>
      <c r="E285" s="11" t="n"/>
      <c r="F285" s="11" t="n"/>
      <c r="G285" s="11" t="n"/>
    </row>
    <row r="286">
      <c r="A286" s="10">
        <f>IF(B286="","",282)</f>
        <v/>
      </c>
      <c r="B286" s="11" t="n"/>
      <c r="C286" s="12" t="n"/>
      <c r="D286" s="11" t="n"/>
      <c r="E286" s="11" t="n"/>
      <c r="F286" s="11" t="n"/>
      <c r="G286" s="11" t="n"/>
    </row>
    <row r="287">
      <c r="A287" s="10">
        <f>IF(B287="","",283)</f>
        <v/>
      </c>
      <c r="B287" s="11" t="n"/>
      <c r="C287" s="12" t="n"/>
      <c r="D287" s="11" t="n"/>
      <c r="E287" s="11" t="n"/>
      <c r="F287" s="11" t="n"/>
      <c r="G287" s="11" t="n"/>
    </row>
    <row r="288">
      <c r="A288" s="10">
        <f>IF(B288="","",284)</f>
        <v/>
      </c>
      <c r="B288" s="11" t="n"/>
      <c r="C288" s="12" t="n"/>
      <c r="D288" s="11" t="n"/>
      <c r="E288" s="11" t="n"/>
      <c r="F288" s="11" t="n"/>
      <c r="G288" s="11" t="n"/>
    </row>
    <row r="289">
      <c r="A289" s="10">
        <f>IF(B289="","",285)</f>
        <v/>
      </c>
      <c r="B289" s="11" t="n"/>
      <c r="C289" s="12" t="n"/>
      <c r="D289" s="11" t="n"/>
      <c r="E289" s="11" t="n"/>
      <c r="F289" s="11" t="n"/>
      <c r="G289" s="11" t="n"/>
    </row>
    <row r="290">
      <c r="A290" s="10">
        <f>IF(B290="","",286)</f>
        <v/>
      </c>
      <c r="B290" s="11" t="n"/>
      <c r="C290" s="12" t="n"/>
      <c r="D290" s="11" t="n"/>
      <c r="E290" s="11" t="n"/>
      <c r="F290" s="11" t="n"/>
      <c r="G290" s="11" t="n"/>
    </row>
    <row r="291">
      <c r="A291" s="10">
        <f>IF(B291="","",287)</f>
        <v/>
      </c>
      <c r="B291" s="11" t="n"/>
      <c r="C291" s="12" t="n"/>
      <c r="D291" s="11" t="n"/>
      <c r="E291" s="11" t="n"/>
      <c r="F291" s="11" t="n"/>
      <c r="G291" s="11" t="n"/>
    </row>
    <row r="292">
      <c r="A292" s="10">
        <f>IF(B292="","",288)</f>
        <v/>
      </c>
      <c r="B292" s="11" t="n"/>
      <c r="C292" s="12" t="n"/>
      <c r="D292" s="11" t="n"/>
      <c r="E292" s="11" t="n"/>
      <c r="F292" s="11" t="n"/>
      <c r="G292" s="11" t="n"/>
    </row>
    <row r="293">
      <c r="A293" s="10">
        <f>IF(B293="","",289)</f>
        <v/>
      </c>
      <c r="B293" s="11" t="n"/>
      <c r="C293" s="12" t="n"/>
      <c r="D293" s="11" t="n"/>
      <c r="E293" s="11" t="n"/>
      <c r="F293" s="11" t="n"/>
      <c r="G293" s="11" t="n"/>
    </row>
    <row r="294">
      <c r="A294" s="10">
        <f>IF(B294="","",290)</f>
        <v/>
      </c>
      <c r="B294" s="11" t="n"/>
      <c r="C294" s="12" t="n"/>
      <c r="D294" s="11" t="n"/>
      <c r="E294" s="11" t="n"/>
      <c r="F294" s="11" t="n"/>
      <c r="G294" s="11" t="n"/>
    </row>
    <row r="295">
      <c r="A295" s="10">
        <f>IF(B295="","",291)</f>
        <v/>
      </c>
      <c r="B295" s="11" t="n"/>
      <c r="C295" s="12" t="n"/>
      <c r="D295" s="11" t="n"/>
      <c r="E295" s="11" t="n"/>
      <c r="F295" s="11" t="n"/>
      <c r="G295" s="11" t="n"/>
    </row>
    <row r="296">
      <c r="A296" s="10">
        <f>IF(B296="","",292)</f>
        <v/>
      </c>
      <c r="B296" s="11" t="n"/>
      <c r="C296" s="12" t="n"/>
      <c r="D296" s="11" t="n"/>
      <c r="E296" s="11" t="n"/>
      <c r="F296" s="11" t="n"/>
      <c r="G296" s="11" t="n"/>
    </row>
    <row r="297">
      <c r="A297" s="10">
        <f>IF(B297="","",293)</f>
        <v/>
      </c>
      <c r="B297" s="11" t="n"/>
      <c r="C297" s="12" t="n"/>
      <c r="D297" s="11" t="n"/>
      <c r="E297" s="11" t="n"/>
      <c r="F297" s="11" t="n"/>
      <c r="G297" s="11" t="n"/>
    </row>
    <row r="298">
      <c r="A298" s="10">
        <f>IF(B298="","",294)</f>
        <v/>
      </c>
      <c r="B298" s="11" t="n"/>
      <c r="C298" s="12" t="n"/>
      <c r="D298" s="11" t="n"/>
      <c r="E298" s="11" t="n"/>
      <c r="F298" s="11" t="n"/>
      <c r="G298" s="11" t="n"/>
    </row>
    <row r="299">
      <c r="A299" s="10">
        <f>IF(B299="","",295)</f>
        <v/>
      </c>
      <c r="B299" s="11" t="n"/>
      <c r="C299" s="12" t="n"/>
      <c r="D299" s="11" t="n"/>
      <c r="E299" s="11" t="n"/>
      <c r="F299" s="11" t="n"/>
      <c r="G299" s="11" t="n"/>
    </row>
    <row r="300">
      <c r="A300" s="10">
        <f>IF(B300="","",296)</f>
        <v/>
      </c>
      <c r="B300" s="11" t="n"/>
      <c r="C300" s="12" t="n"/>
      <c r="D300" s="11" t="n"/>
      <c r="E300" s="11" t="n"/>
      <c r="F300" s="11" t="n"/>
      <c r="G300" s="11" t="n"/>
    </row>
    <row r="301">
      <c r="A301" s="10">
        <f>IF(B301="","",297)</f>
        <v/>
      </c>
      <c r="B301" s="11" t="n"/>
      <c r="C301" s="12" t="n"/>
      <c r="D301" s="11" t="n"/>
      <c r="E301" s="11" t="n"/>
      <c r="F301" s="11" t="n"/>
      <c r="G301" s="11" t="n"/>
    </row>
    <row r="302">
      <c r="A302" s="10">
        <f>IF(B302="","",298)</f>
        <v/>
      </c>
      <c r="B302" s="11" t="n"/>
      <c r="C302" s="12" t="n"/>
      <c r="D302" s="11" t="n"/>
      <c r="E302" s="11" t="n"/>
      <c r="F302" s="11" t="n"/>
      <c r="G302" s="11" t="n"/>
    </row>
    <row r="303">
      <c r="A303" s="10">
        <f>IF(B303="","",299)</f>
        <v/>
      </c>
      <c r="B303" s="11" t="n"/>
      <c r="C303" s="12" t="n"/>
      <c r="D303" s="11" t="n"/>
      <c r="E303" s="11" t="n"/>
      <c r="F303" s="11" t="n"/>
      <c r="G303" s="11" t="n"/>
    </row>
    <row r="304">
      <c r="A304" s="10">
        <f>IF(B304="","",300)</f>
        <v/>
      </c>
      <c r="B304" s="11" t="n"/>
      <c r="C304" s="12" t="n"/>
      <c r="D304" s="11" t="n"/>
      <c r="E304" s="11" t="n"/>
      <c r="F304" s="11" t="n"/>
      <c r="G304" s="11" t="n"/>
    </row>
    <row r="305">
      <c r="A305" s="10">
        <f>IF(B305="","",301)</f>
        <v/>
      </c>
      <c r="B305" s="11" t="n"/>
      <c r="C305" s="12" t="n"/>
      <c r="D305" s="11" t="n"/>
      <c r="E305" s="11" t="n"/>
      <c r="F305" s="11" t="n"/>
      <c r="G305" s="11" t="n"/>
    </row>
    <row r="306">
      <c r="A306" s="10">
        <f>IF(B306="","",302)</f>
        <v/>
      </c>
      <c r="B306" s="11" t="n"/>
      <c r="C306" s="12" t="n"/>
      <c r="D306" s="11" t="n"/>
      <c r="E306" s="11" t="n"/>
      <c r="F306" s="11" t="n"/>
      <c r="G306" s="11" t="n"/>
    </row>
    <row r="307">
      <c r="A307" s="10">
        <f>IF(B307="","",303)</f>
        <v/>
      </c>
      <c r="B307" s="11" t="n"/>
      <c r="C307" s="12" t="n"/>
      <c r="D307" s="11" t="n"/>
      <c r="E307" s="11" t="n"/>
      <c r="F307" s="11" t="n"/>
      <c r="G307" s="11" t="n"/>
    </row>
    <row r="308">
      <c r="A308" s="10">
        <f>IF(B308="","",304)</f>
        <v/>
      </c>
      <c r="B308" s="11" t="n"/>
      <c r="C308" s="12" t="n"/>
      <c r="D308" s="11" t="n"/>
      <c r="E308" s="11" t="n"/>
      <c r="F308" s="11" t="n"/>
      <c r="G308" s="11" t="n"/>
    </row>
    <row r="309">
      <c r="A309" s="10">
        <f>IF(B309="","",305)</f>
        <v/>
      </c>
      <c r="B309" s="11" t="n"/>
      <c r="C309" s="12" t="n"/>
      <c r="D309" s="11" t="n"/>
      <c r="E309" s="11" t="n"/>
      <c r="F309" s="11" t="n"/>
      <c r="G309" s="11" t="n"/>
    </row>
    <row r="310">
      <c r="A310" s="10">
        <f>IF(B310="","",306)</f>
        <v/>
      </c>
      <c r="B310" s="11" t="n"/>
      <c r="C310" s="12" t="n"/>
      <c r="D310" s="11" t="n"/>
      <c r="E310" s="11" t="n"/>
      <c r="F310" s="11" t="n"/>
      <c r="G310" s="11" t="n"/>
    </row>
    <row r="311">
      <c r="A311" s="10">
        <f>IF(B311="","",307)</f>
        <v/>
      </c>
      <c r="B311" s="11" t="n"/>
      <c r="C311" s="12" t="n"/>
      <c r="D311" s="11" t="n"/>
      <c r="E311" s="11" t="n"/>
      <c r="F311" s="11" t="n"/>
      <c r="G311" s="11" t="n"/>
    </row>
    <row r="312">
      <c r="A312" s="10">
        <f>IF(B312="","",308)</f>
        <v/>
      </c>
      <c r="B312" s="11" t="n"/>
      <c r="C312" s="12" t="n"/>
      <c r="D312" s="11" t="n"/>
      <c r="E312" s="11" t="n"/>
      <c r="F312" s="11" t="n"/>
      <c r="G312" s="11" t="n"/>
    </row>
    <row r="313">
      <c r="A313" s="10">
        <f>IF(B313="","",309)</f>
        <v/>
      </c>
      <c r="B313" s="11" t="n"/>
      <c r="C313" s="12" t="n"/>
      <c r="D313" s="11" t="n"/>
      <c r="E313" s="11" t="n"/>
      <c r="F313" s="11" t="n"/>
      <c r="G313" s="11" t="n"/>
    </row>
    <row r="314">
      <c r="A314" s="10">
        <f>IF(B314="","",310)</f>
        <v/>
      </c>
      <c r="B314" s="11" t="n"/>
      <c r="C314" s="12" t="n"/>
      <c r="D314" s="11" t="n"/>
      <c r="E314" s="11" t="n"/>
      <c r="F314" s="11" t="n"/>
      <c r="G314" s="11" t="n"/>
    </row>
    <row r="315">
      <c r="A315" s="10">
        <f>IF(B315="","",311)</f>
        <v/>
      </c>
      <c r="B315" s="11" t="n"/>
      <c r="C315" s="12" t="n"/>
      <c r="D315" s="11" t="n"/>
      <c r="E315" s="11" t="n"/>
      <c r="F315" s="11" t="n"/>
      <c r="G315" s="11" t="n"/>
    </row>
    <row r="316">
      <c r="A316" s="10">
        <f>IF(B316="","",312)</f>
        <v/>
      </c>
      <c r="B316" s="11" t="n"/>
      <c r="C316" s="12" t="n"/>
      <c r="D316" s="11" t="n"/>
      <c r="E316" s="11" t="n"/>
      <c r="F316" s="11" t="n"/>
      <c r="G316" s="11" t="n"/>
    </row>
    <row r="317">
      <c r="A317" s="10">
        <f>IF(B317="","",313)</f>
        <v/>
      </c>
      <c r="B317" s="11" t="n"/>
      <c r="C317" s="12" t="n"/>
      <c r="D317" s="11" t="n"/>
      <c r="E317" s="11" t="n"/>
      <c r="F317" s="11" t="n"/>
      <c r="G317" s="11" t="n"/>
    </row>
    <row r="318">
      <c r="A318" s="10">
        <f>IF(B318="","",314)</f>
        <v/>
      </c>
      <c r="B318" s="11" t="n"/>
      <c r="C318" s="12" t="n"/>
      <c r="D318" s="11" t="n"/>
      <c r="E318" s="11" t="n"/>
      <c r="F318" s="11" t="n"/>
      <c r="G318" s="11" t="n"/>
    </row>
    <row r="319">
      <c r="A319" s="10">
        <f>IF(B319="","",315)</f>
        <v/>
      </c>
      <c r="B319" s="11" t="n"/>
      <c r="C319" s="12" t="n"/>
      <c r="D319" s="11" t="n"/>
      <c r="E319" s="11" t="n"/>
      <c r="F319" s="11" t="n"/>
      <c r="G319" s="11" t="n"/>
    </row>
    <row r="320">
      <c r="A320" s="10">
        <f>IF(B320="","",316)</f>
        <v/>
      </c>
      <c r="B320" s="11" t="n"/>
      <c r="C320" s="12" t="n"/>
      <c r="D320" s="11" t="n"/>
      <c r="E320" s="11" t="n"/>
      <c r="F320" s="11" t="n"/>
      <c r="G320" s="11" t="n"/>
    </row>
    <row r="321">
      <c r="A321" s="10">
        <f>IF(B321="","",317)</f>
        <v/>
      </c>
      <c r="B321" s="11" t="n"/>
      <c r="C321" s="12" t="n"/>
      <c r="D321" s="11" t="n"/>
      <c r="E321" s="11" t="n"/>
      <c r="F321" s="11" t="n"/>
      <c r="G321" s="11" t="n"/>
    </row>
    <row r="322">
      <c r="A322" s="10">
        <f>IF(B322="","",318)</f>
        <v/>
      </c>
      <c r="B322" s="11" t="n"/>
      <c r="C322" s="12" t="n"/>
      <c r="D322" s="11" t="n"/>
      <c r="E322" s="11" t="n"/>
      <c r="F322" s="11" t="n"/>
      <c r="G322" s="11" t="n"/>
    </row>
    <row r="323">
      <c r="A323" s="10">
        <f>IF(B323="","",319)</f>
        <v/>
      </c>
      <c r="B323" s="11" t="n"/>
      <c r="C323" s="12" t="n"/>
      <c r="D323" s="11" t="n"/>
      <c r="E323" s="11" t="n"/>
      <c r="F323" s="11" t="n"/>
      <c r="G323" s="11" t="n"/>
    </row>
    <row r="324">
      <c r="A324" s="10">
        <f>IF(B324="","",320)</f>
        <v/>
      </c>
      <c r="B324" s="11" t="n"/>
      <c r="C324" s="12" t="n"/>
      <c r="D324" s="11" t="n"/>
      <c r="E324" s="11" t="n"/>
      <c r="F324" s="11" t="n"/>
      <c r="G324" s="11" t="n"/>
    </row>
    <row r="325">
      <c r="A325" s="10">
        <f>IF(B325="","",321)</f>
        <v/>
      </c>
      <c r="B325" s="11" t="n"/>
      <c r="C325" s="12" t="n"/>
      <c r="D325" s="11" t="n"/>
      <c r="E325" s="11" t="n"/>
      <c r="F325" s="11" t="n"/>
      <c r="G325" s="11" t="n"/>
    </row>
    <row r="326">
      <c r="A326" s="10">
        <f>IF(B326="","",322)</f>
        <v/>
      </c>
      <c r="B326" s="11" t="n"/>
      <c r="C326" s="12" t="n"/>
      <c r="D326" s="11" t="n"/>
      <c r="E326" s="11" t="n"/>
      <c r="F326" s="11" t="n"/>
      <c r="G326" s="11" t="n"/>
    </row>
    <row r="327">
      <c r="A327" s="10">
        <f>IF(B327="","",323)</f>
        <v/>
      </c>
      <c r="B327" s="11" t="n"/>
      <c r="C327" s="12" t="n"/>
      <c r="D327" s="11" t="n"/>
      <c r="E327" s="11" t="n"/>
      <c r="F327" s="11" t="n"/>
      <c r="G327" s="11" t="n"/>
    </row>
    <row r="328">
      <c r="A328" s="10">
        <f>IF(B328="","",324)</f>
        <v/>
      </c>
      <c r="B328" s="11" t="n"/>
      <c r="C328" s="12" t="n"/>
      <c r="D328" s="11" t="n"/>
      <c r="E328" s="11" t="n"/>
      <c r="F328" s="11" t="n"/>
      <c r="G328" s="11" t="n"/>
    </row>
    <row r="329">
      <c r="A329" s="10">
        <f>IF(B329="","",325)</f>
        <v/>
      </c>
      <c r="B329" s="11" t="n"/>
      <c r="C329" s="12" t="n"/>
      <c r="D329" s="11" t="n"/>
      <c r="E329" s="11" t="n"/>
      <c r="F329" s="11" t="n"/>
      <c r="G329" s="11" t="n"/>
    </row>
    <row r="330">
      <c r="A330" s="10">
        <f>IF(B330="","",326)</f>
        <v/>
      </c>
      <c r="B330" s="11" t="n"/>
      <c r="C330" s="12" t="n"/>
      <c r="D330" s="11" t="n"/>
      <c r="E330" s="11" t="n"/>
      <c r="F330" s="11" t="n"/>
      <c r="G330" s="11" t="n"/>
    </row>
    <row r="331">
      <c r="A331" s="10">
        <f>IF(B331="","",327)</f>
        <v/>
      </c>
      <c r="B331" s="11" t="n"/>
      <c r="C331" s="12" t="n"/>
      <c r="D331" s="11" t="n"/>
      <c r="E331" s="11" t="n"/>
      <c r="F331" s="11" t="n"/>
      <c r="G331" s="11" t="n"/>
    </row>
    <row r="332">
      <c r="A332" s="10">
        <f>IF(B332="","",328)</f>
        <v/>
      </c>
      <c r="B332" s="11" t="n"/>
      <c r="C332" s="12" t="n"/>
      <c r="D332" s="11" t="n"/>
      <c r="E332" s="11" t="n"/>
      <c r="F332" s="11" t="n"/>
      <c r="G332" s="11" t="n"/>
    </row>
    <row r="333">
      <c r="A333" s="10">
        <f>IF(B333="","",329)</f>
        <v/>
      </c>
      <c r="B333" s="11" t="n"/>
      <c r="C333" s="12" t="n"/>
      <c r="D333" s="11" t="n"/>
      <c r="E333" s="11" t="n"/>
      <c r="F333" s="11" t="n"/>
      <c r="G333" s="11" t="n"/>
    </row>
    <row r="334">
      <c r="A334" s="10">
        <f>IF(B334="","",330)</f>
        <v/>
      </c>
      <c r="B334" s="11" t="n"/>
      <c r="C334" s="12" t="n"/>
      <c r="D334" s="11" t="n"/>
      <c r="E334" s="11" t="n"/>
      <c r="F334" s="11" t="n"/>
      <c r="G334" s="11" t="n"/>
    </row>
    <row r="335">
      <c r="A335" s="10">
        <f>IF(B335="","",331)</f>
        <v/>
      </c>
      <c r="B335" s="11" t="n"/>
      <c r="C335" s="12" t="n"/>
      <c r="D335" s="11" t="n"/>
      <c r="E335" s="11" t="n"/>
      <c r="F335" s="11" t="n"/>
      <c r="G335" s="11" t="n"/>
    </row>
    <row r="336">
      <c r="A336" s="10">
        <f>IF(B336="","",332)</f>
        <v/>
      </c>
      <c r="B336" s="11" t="n"/>
      <c r="C336" s="12" t="n"/>
      <c r="D336" s="11" t="n"/>
      <c r="E336" s="11" t="n"/>
      <c r="F336" s="11" t="n"/>
      <c r="G336" s="11" t="n"/>
    </row>
    <row r="337">
      <c r="A337" s="10">
        <f>IF(B337="","",333)</f>
        <v/>
      </c>
      <c r="B337" s="11" t="n"/>
      <c r="C337" s="12" t="n"/>
      <c r="D337" s="11" t="n"/>
      <c r="E337" s="11" t="n"/>
      <c r="F337" s="11" t="n"/>
      <c r="G337" s="11" t="n"/>
    </row>
    <row r="338">
      <c r="A338" s="10">
        <f>IF(B338="","",334)</f>
        <v/>
      </c>
      <c r="B338" s="11" t="n"/>
      <c r="C338" s="12" t="n"/>
      <c r="D338" s="11" t="n"/>
      <c r="E338" s="11" t="n"/>
      <c r="F338" s="11" t="n"/>
      <c r="G338" s="11" t="n"/>
    </row>
    <row r="339">
      <c r="A339" s="10">
        <f>IF(B339="","",335)</f>
        <v/>
      </c>
      <c r="B339" s="11" t="n"/>
      <c r="C339" s="12" t="n"/>
      <c r="D339" s="11" t="n"/>
      <c r="E339" s="11" t="n"/>
      <c r="F339" s="11" t="n"/>
      <c r="G339" s="11" t="n"/>
    </row>
    <row r="340">
      <c r="A340" s="10">
        <f>IF(B340="","",336)</f>
        <v/>
      </c>
      <c r="B340" s="11" t="n"/>
      <c r="C340" s="12" t="n"/>
      <c r="D340" s="11" t="n"/>
      <c r="E340" s="11" t="n"/>
      <c r="F340" s="11" t="n"/>
      <c r="G340" s="11" t="n"/>
    </row>
    <row r="341">
      <c r="A341" s="10">
        <f>IF(B341="","",337)</f>
        <v/>
      </c>
      <c r="B341" s="11" t="n"/>
      <c r="C341" s="12" t="n"/>
      <c r="D341" s="11" t="n"/>
      <c r="E341" s="11" t="n"/>
      <c r="F341" s="11" t="n"/>
      <c r="G341" s="11" t="n"/>
    </row>
    <row r="342">
      <c r="A342" s="10">
        <f>IF(B342="","",338)</f>
        <v/>
      </c>
      <c r="B342" s="11" t="n"/>
      <c r="C342" s="12" t="n"/>
      <c r="D342" s="11" t="n"/>
      <c r="E342" s="11" t="n"/>
      <c r="F342" s="11" t="n"/>
      <c r="G342" s="11" t="n"/>
    </row>
    <row r="343">
      <c r="A343" s="10">
        <f>IF(B343="","",339)</f>
        <v/>
      </c>
      <c r="B343" s="11" t="n"/>
      <c r="C343" s="12" t="n"/>
      <c r="D343" s="11" t="n"/>
      <c r="E343" s="11" t="n"/>
      <c r="F343" s="11" t="n"/>
      <c r="G343" s="11" t="n"/>
    </row>
    <row r="344">
      <c r="A344" s="10">
        <f>IF(B344="","",340)</f>
        <v/>
      </c>
      <c r="B344" s="11" t="n"/>
      <c r="C344" s="12" t="n"/>
      <c r="D344" s="11" t="n"/>
      <c r="E344" s="11" t="n"/>
      <c r="F344" s="11" t="n"/>
      <c r="G344" s="11" t="n"/>
    </row>
    <row r="345">
      <c r="A345" s="10">
        <f>IF(B345="","",341)</f>
        <v/>
      </c>
      <c r="B345" s="11" t="n"/>
      <c r="C345" s="12" t="n"/>
      <c r="D345" s="11" t="n"/>
      <c r="E345" s="11" t="n"/>
      <c r="F345" s="11" t="n"/>
      <c r="G345" s="11" t="n"/>
    </row>
    <row r="346">
      <c r="A346" s="10">
        <f>IF(B346="","",342)</f>
        <v/>
      </c>
      <c r="B346" s="11" t="n"/>
      <c r="C346" s="12" t="n"/>
      <c r="D346" s="11" t="n"/>
      <c r="E346" s="11" t="n"/>
      <c r="F346" s="11" t="n"/>
      <c r="G346" s="11" t="n"/>
    </row>
    <row r="347">
      <c r="A347" s="10">
        <f>IF(B347="","",343)</f>
        <v/>
      </c>
      <c r="B347" s="11" t="n"/>
      <c r="C347" s="12" t="n"/>
      <c r="D347" s="11" t="n"/>
      <c r="E347" s="11" t="n"/>
      <c r="F347" s="11" t="n"/>
      <c r="G347" s="11" t="n"/>
    </row>
    <row r="348">
      <c r="A348" s="10">
        <f>IF(B348="","",344)</f>
        <v/>
      </c>
      <c r="B348" s="11" t="n"/>
      <c r="C348" s="12" t="n"/>
      <c r="D348" s="11" t="n"/>
      <c r="E348" s="11" t="n"/>
      <c r="F348" s="11" t="n"/>
      <c r="G348" s="11" t="n"/>
    </row>
    <row r="349">
      <c r="A349" s="10">
        <f>IF(B349="","",345)</f>
        <v/>
      </c>
      <c r="B349" s="11" t="n"/>
      <c r="C349" s="12" t="n"/>
      <c r="D349" s="11" t="n"/>
      <c r="E349" s="11" t="n"/>
      <c r="F349" s="11" t="n"/>
      <c r="G349" s="11" t="n"/>
    </row>
    <row r="350">
      <c r="A350" s="10">
        <f>IF(B350="","",346)</f>
        <v/>
      </c>
      <c r="B350" s="11" t="n"/>
      <c r="C350" s="12" t="n"/>
      <c r="D350" s="11" t="n"/>
      <c r="E350" s="11" t="n"/>
      <c r="F350" s="11" t="n"/>
      <c r="G350" s="11" t="n"/>
    </row>
    <row r="351">
      <c r="A351" s="10">
        <f>IF(B351="","",347)</f>
        <v/>
      </c>
      <c r="B351" s="11" t="n"/>
      <c r="C351" s="12" t="n"/>
      <c r="D351" s="11" t="n"/>
      <c r="E351" s="11" t="n"/>
      <c r="F351" s="11" t="n"/>
      <c r="G351" s="11" t="n"/>
    </row>
    <row r="352">
      <c r="A352" s="10">
        <f>IF(B352="","",348)</f>
        <v/>
      </c>
      <c r="B352" s="11" t="n"/>
      <c r="C352" s="12" t="n"/>
      <c r="D352" s="11" t="n"/>
      <c r="E352" s="11" t="n"/>
      <c r="F352" s="11" t="n"/>
      <c r="G352" s="11" t="n"/>
    </row>
    <row r="353">
      <c r="A353" s="10">
        <f>IF(B353="","",349)</f>
        <v/>
      </c>
      <c r="B353" s="11" t="n"/>
      <c r="C353" s="12" t="n"/>
      <c r="D353" s="11" t="n"/>
      <c r="E353" s="11" t="n"/>
      <c r="F353" s="11" t="n"/>
      <c r="G353" s="11" t="n"/>
    </row>
    <row r="354">
      <c r="A354" s="10">
        <f>IF(B354="","",350)</f>
        <v/>
      </c>
      <c r="B354" s="11" t="n"/>
      <c r="C354" s="12" t="n"/>
      <c r="D354" s="11" t="n"/>
      <c r="E354" s="11" t="n"/>
      <c r="F354" s="11" t="n"/>
      <c r="G354" s="11" t="n"/>
    </row>
    <row r="355">
      <c r="A355" s="10">
        <f>IF(B355="","",351)</f>
        <v/>
      </c>
      <c r="B355" s="11" t="n"/>
      <c r="C355" s="12" t="n"/>
      <c r="D355" s="11" t="n"/>
      <c r="E355" s="11" t="n"/>
      <c r="F355" s="11" t="n"/>
      <c r="G355" s="11" t="n"/>
    </row>
    <row r="356">
      <c r="A356" s="10">
        <f>IF(B356="","",352)</f>
        <v/>
      </c>
      <c r="B356" s="11" t="n"/>
      <c r="C356" s="12" t="n"/>
      <c r="D356" s="11" t="n"/>
      <c r="E356" s="11" t="n"/>
      <c r="F356" s="11" t="n"/>
      <c r="G356" s="11" t="n"/>
    </row>
    <row r="357">
      <c r="A357" s="10">
        <f>IF(B357="","",353)</f>
        <v/>
      </c>
      <c r="B357" s="11" t="n"/>
      <c r="C357" s="12" t="n"/>
      <c r="D357" s="11" t="n"/>
      <c r="E357" s="11" t="n"/>
      <c r="F357" s="11" t="n"/>
      <c r="G357" s="11" t="n"/>
    </row>
    <row r="358">
      <c r="A358" s="10">
        <f>IF(B358="","",354)</f>
        <v/>
      </c>
      <c r="B358" s="11" t="n"/>
      <c r="C358" s="12" t="n"/>
      <c r="D358" s="11" t="n"/>
      <c r="E358" s="11" t="n"/>
      <c r="F358" s="11" t="n"/>
      <c r="G358" s="11" t="n"/>
    </row>
    <row r="359">
      <c r="A359" s="10">
        <f>IF(B359="","",355)</f>
        <v/>
      </c>
      <c r="B359" s="11" t="n"/>
      <c r="C359" s="12" t="n"/>
      <c r="D359" s="11" t="n"/>
      <c r="E359" s="11" t="n"/>
      <c r="F359" s="11" t="n"/>
      <c r="G359" s="11" t="n"/>
    </row>
    <row r="360">
      <c r="A360" s="10">
        <f>IF(B360="","",356)</f>
        <v/>
      </c>
      <c r="B360" s="11" t="n"/>
      <c r="C360" s="12" t="n"/>
      <c r="D360" s="11" t="n"/>
      <c r="E360" s="11" t="n"/>
      <c r="F360" s="11" t="n"/>
      <c r="G360" s="11" t="n"/>
    </row>
    <row r="361">
      <c r="A361" s="10">
        <f>IF(B361="","",357)</f>
        <v/>
      </c>
      <c r="B361" s="11" t="n"/>
      <c r="C361" s="12" t="n"/>
      <c r="D361" s="11" t="n"/>
      <c r="E361" s="11" t="n"/>
      <c r="F361" s="11" t="n"/>
      <c r="G361" s="11" t="n"/>
    </row>
    <row r="362">
      <c r="A362" s="10">
        <f>IF(B362="","",358)</f>
        <v/>
      </c>
      <c r="B362" s="11" t="n"/>
      <c r="C362" s="12" t="n"/>
      <c r="D362" s="11" t="n"/>
      <c r="E362" s="11" t="n"/>
      <c r="F362" s="11" t="n"/>
      <c r="G362" s="11" t="n"/>
    </row>
    <row r="363">
      <c r="A363" s="10">
        <f>IF(B363="","",359)</f>
        <v/>
      </c>
      <c r="B363" s="11" t="n"/>
      <c r="C363" s="12" t="n"/>
      <c r="D363" s="11" t="n"/>
      <c r="E363" s="11" t="n"/>
      <c r="F363" s="11" t="n"/>
      <c r="G363" s="11" t="n"/>
    </row>
    <row r="364">
      <c r="A364" s="10">
        <f>IF(B364="","",360)</f>
        <v/>
      </c>
      <c r="B364" s="11" t="n"/>
      <c r="C364" s="12" t="n"/>
      <c r="D364" s="11" t="n"/>
      <c r="E364" s="11" t="n"/>
      <c r="F364" s="11" t="n"/>
      <c r="G364" s="11" t="n"/>
    </row>
    <row r="365">
      <c r="A365" s="10">
        <f>IF(B365="","",361)</f>
        <v/>
      </c>
      <c r="B365" s="11" t="n"/>
      <c r="C365" s="12" t="n"/>
      <c r="D365" s="11" t="n"/>
      <c r="E365" s="11" t="n"/>
      <c r="F365" s="11" t="n"/>
      <c r="G365" s="11" t="n"/>
    </row>
    <row r="366">
      <c r="A366" s="10">
        <f>IF(B366="","",362)</f>
        <v/>
      </c>
      <c r="B366" s="11" t="n"/>
      <c r="C366" s="12" t="n"/>
      <c r="D366" s="11" t="n"/>
      <c r="E366" s="11" t="n"/>
      <c r="F366" s="11" t="n"/>
      <c r="G366" s="11" t="n"/>
    </row>
    <row r="367">
      <c r="A367" s="10">
        <f>IF(B367="","",363)</f>
        <v/>
      </c>
      <c r="B367" s="11" t="n"/>
      <c r="C367" s="12" t="n"/>
      <c r="D367" s="11" t="n"/>
      <c r="E367" s="11" t="n"/>
      <c r="F367" s="11" t="n"/>
      <c r="G367" s="11" t="n"/>
    </row>
    <row r="368">
      <c r="A368" s="10">
        <f>IF(B368="","",364)</f>
        <v/>
      </c>
      <c r="B368" s="11" t="n"/>
      <c r="C368" s="12" t="n"/>
      <c r="D368" s="11" t="n"/>
      <c r="E368" s="11" t="n"/>
      <c r="F368" s="11" t="n"/>
      <c r="G368" s="11" t="n"/>
    </row>
    <row r="369">
      <c r="A369" s="10">
        <f>IF(B369="","",365)</f>
        <v/>
      </c>
      <c r="B369" s="11" t="n"/>
      <c r="C369" s="12" t="n"/>
      <c r="D369" s="11" t="n"/>
      <c r="E369" s="11" t="n"/>
      <c r="F369" s="11" t="n"/>
      <c r="G369" s="11" t="n"/>
    </row>
    <row r="370">
      <c r="A370" s="10">
        <f>IF(B370="","",366)</f>
        <v/>
      </c>
      <c r="B370" s="11" t="n"/>
      <c r="C370" s="12" t="n"/>
      <c r="D370" s="11" t="n"/>
      <c r="E370" s="11" t="n"/>
      <c r="F370" s="11" t="n"/>
      <c r="G370" s="11" t="n"/>
    </row>
    <row r="371">
      <c r="A371" s="10">
        <f>IF(B371="","",367)</f>
        <v/>
      </c>
      <c r="B371" s="11" t="n"/>
      <c r="C371" s="12" t="n"/>
      <c r="D371" s="11" t="n"/>
      <c r="E371" s="11" t="n"/>
      <c r="F371" s="11" t="n"/>
      <c r="G371" s="11" t="n"/>
    </row>
    <row r="372">
      <c r="A372" s="10">
        <f>IF(B372="","",368)</f>
        <v/>
      </c>
      <c r="B372" s="11" t="n"/>
      <c r="C372" s="12" t="n"/>
      <c r="D372" s="11" t="n"/>
      <c r="E372" s="11" t="n"/>
      <c r="F372" s="11" t="n"/>
      <c r="G372" s="11" t="n"/>
    </row>
    <row r="373">
      <c r="A373" s="10">
        <f>IF(B373="","",369)</f>
        <v/>
      </c>
      <c r="B373" s="11" t="n"/>
      <c r="C373" s="12" t="n"/>
      <c r="D373" s="11" t="n"/>
      <c r="E373" s="11" t="n"/>
      <c r="F373" s="11" t="n"/>
      <c r="G373" s="11" t="n"/>
    </row>
    <row r="374">
      <c r="A374" s="10">
        <f>IF(B374="","",370)</f>
        <v/>
      </c>
      <c r="B374" s="11" t="n"/>
      <c r="C374" s="12" t="n"/>
      <c r="D374" s="11" t="n"/>
      <c r="E374" s="11" t="n"/>
      <c r="F374" s="11" t="n"/>
      <c r="G374" s="11" t="n"/>
    </row>
    <row r="375">
      <c r="A375" s="10">
        <f>IF(B375="","",371)</f>
        <v/>
      </c>
      <c r="B375" s="11" t="n"/>
      <c r="C375" s="12" t="n"/>
      <c r="D375" s="11" t="n"/>
      <c r="E375" s="11" t="n"/>
      <c r="F375" s="11" t="n"/>
      <c r="G375" s="11" t="n"/>
    </row>
    <row r="376">
      <c r="A376" s="10">
        <f>IF(B376="","",372)</f>
        <v/>
      </c>
      <c r="B376" s="11" t="n"/>
      <c r="C376" s="12" t="n"/>
      <c r="D376" s="11" t="n"/>
      <c r="E376" s="11" t="n"/>
      <c r="F376" s="11" t="n"/>
      <c r="G376" s="11" t="n"/>
    </row>
    <row r="377">
      <c r="A377" s="10">
        <f>IF(B377="","",373)</f>
        <v/>
      </c>
      <c r="B377" s="11" t="n"/>
      <c r="C377" s="12" t="n"/>
      <c r="D377" s="11" t="n"/>
      <c r="E377" s="11" t="n"/>
      <c r="F377" s="11" t="n"/>
      <c r="G377" s="11" t="n"/>
    </row>
    <row r="378">
      <c r="A378" s="10">
        <f>IF(B378="","",374)</f>
        <v/>
      </c>
      <c r="B378" s="11" t="n"/>
      <c r="C378" s="12" t="n"/>
      <c r="D378" s="11" t="n"/>
      <c r="E378" s="11" t="n"/>
      <c r="F378" s="11" t="n"/>
      <c r="G378" s="11" t="n"/>
    </row>
    <row r="379">
      <c r="A379" s="10">
        <f>IF(B379="","",375)</f>
        <v/>
      </c>
      <c r="B379" s="11" t="n"/>
      <c r="C379" s="12" t="n"/>
      <c r="D379" s="11" t="n"/>
      <c r="E379" s="11" t="n"/>
      <c r="F379" s="11" t="n"/>
      <c r="G379" s="11" t="n"/>
    </row>
    <row r="380">
      <c r="A380" s="10">
        <f>IF(B380="","",376)</f>
        <v/>
      </c>
      <c r="B380" s="11" t="n"/>
      <c r="C380" s="12" t="n"/>
      <c r="D380" s="11" t="n"/>
      <c r="E380" s="11" t="n"/>
      <c r="F380" s="11" t="n"/>
      <c r="G380" s="11" t="n"/>
    </row>
    <row r="381">
      <c r="A381" s="10">
        <f>IF(B381="","",377)</f>
        <v/>
      </c>
      <c r="B381" s="11" t="n"/>
      <c r="C381" s="12" t="n"/>
      <c r="D381" s="11" t="n"/>
      <c r="E381" s="11" t="n"/>
      <c r="F381" s="11" t="n"/>
      <c r="G381" s="11" t="n"/>
    </row>
    <row r="382">
      <c r="A382" s="10">
        <f>IF(B382="","",378)</f>
        <v/>
      </c>
      <c r="B382" s="11" t="n"/>
      <c r="C382" s="12" t="n"/>
      <c r="D382" s="11" t="n"/>
      <c r="E382" s="11" t="n"/>
      <c r="F382" s="11" t="n"/>
      <c r="G382" s="11" t="n"/>
    </row>
    <row r="383">
      <c r="A383" s="10">
        <f>IF(B383="","",379)</f>
        <v/>
      </c>
      <c r="B383" s="11" t="n"/>
      <c r="C383" s="12" t="n"/>
      <c r="D383" s="11" t="n"/>
      <c r="E383" s="11" t="n"/>
      <c r="F383" s="11" t="n"/>
      <c r="G383" s="11" t="n"/>
    </row>
    <row r="384">
      <c r="A384" s="10">
        <f>IF(B384="","",380)</f>
        <v/>
      </c>
      <c r="B384" s="11" t="n"/>
      <c r="C384" s="12" t="n"/>
      <c r="D384" s="11" t="n"/>
      <c r="E384" s="11" t="n"/>
      <c r="F384" s="11" t="n"/>
      <c r="G384" s="11" t="n"/>
    </row>
    <row r="385">
      <c r="A385" s="10">
        <f>IF(B385="","",381)</f>
        <v/>
      </c>
      <c r="B385" s="11" t="n"/>
      <c r="C385" s="12" t="n"/>
      <c r="D385" s="11" t="n"/>
      <c r="E385" s="11" t="n"/>
      <c r="F385" s="11" t="n"/>
      <c r="G385" s="11" t="n"/>
    </row>
    <row r="386">
      <c r="A386" s="10">
        <f>IF(B386="","",382)</f>
        <v/>
      </c>
      <c r="B386" s="11" t="n"/>
      <c r="C386" s="12" t="n"/>
      <c r="D386" s="11" t="n"/>
      <c r="E386" s="11" t="n"/>
      <c r="F386" s="11" t="n"/>
      <c r="G386" s="11" t="n"/>
    </row>
    <row r="387">
      <c r="A387" s="10">
        <f>IF(B387="","",383)</f>
        <v/>
      </c>
      <c r="B387" s="11" t="n"/>
      <c r="C387" s="12" t="n"/>
      <c r="D387" s="11" t="n"/>
      <c r="E387" s="11" t="n"/>
      <c r="F387" s="11" t="n"/>
      <c r="G387" s="11" t="n"/>
    </row>
    <row r="388">
      <c r="A388" s="10">
        <f>IF(B388="","",384)</f>
        <v/>
      </c>
      <c r="B388" s="11" t="n"/>
      <c r="C388" s="12" t="n"/>
      <c r="D388" s="11" t="n"/>
      <c r="E388" s="11" t="n"/>
      <c r="F388" s="11" t="n"/>
      <c r="G388" s="11" t="n"/>
    </row>
    <row r="389">
      <c r="A389" s="10">
        <f>IF(B389="","",385)</f>
        <v/>
      </c>
      <c r="B389" s="11" t="n"/>
      <c r="C389" s="12" t="n"/>
      <c r="D389" s="11" t="n"/>
      <c r="E389" s="11" t="n"/>
      <c r="F389" s="11" t="n"/>
      <c r="G389" s="11" t="n"/>
    </row>
    <row r="390">
      <c r="A390" s="10">
        <f>IF(B390="","",386)</f>
        <v/>
      </c>
      <c r="B390" s="11" t="n"/>
      <c r="C390" s="12" t="n"/>
      <c r="D390" s="11" t="n"/>
      <c r="E390" s="11" t="n"/>
      <c r="F390" s="11" t="n"/>
      <c r="G390" s="11" t="n"/>
    </row>
    <row r="391">
      <c r="A391" s="10">
        <f>IF(B391="","",387)</f>
        <v/>
      </c>
      <c r="B391" s="11" t="n"/>
      <c r="C391" s="12" t="n"/>
      <c r="D391" s="11" t="n"/>
      <c r="E391" s="11" t="n"/>
      <c r="F391" s="11" t="n"/>
      <c r="G391" s="11" t="n"/>
    </row>
    <row r="392">
      <c r="A392" s="10">
        <f>IF(B392="","",388)</f>
        <v/>
      </c>
      <c r="B392" s="11" t="n"/>
      <c r="C392" s="12" t="n"/>
      <c r="D392" s="11" t="n"/>
      <c r="E392" s="11" t="n"/>
      <c r="F392" s="11" t="n"/>
      <c r="G392" s="11" t="n"/>
    </row>
    <row r="393">
      <c r="A393" s="10">
        <f>IF(B393="","",389)</f>
        <v/>
      </c>
      <c r="B393" s="11" t="n"/>
      <c r="C393" s="12" t="n"/>
      <c r="D393" s="11" t="n"/>
      <c r="E393" s="11" t="n"/>
      <c r="F393" s="11" t="n"/>
      <c r="G393" s="11" t="n"/>
    </row>
    <row r="394">
      <c r="A394" s="10">
        <f>IF(B394="","",390)</f>
        <v/>
      </c>
      <c r="B394" s="11" t="n"/>
      <c r="C394" s="12" t="n"/>
      <c r="D394" s="11" t="n"/>
      <c r="E394" s="11" t="n"/>
      <c r="F394" s="11" t="n"/>
      <c r="G394" s="11" t="n"/>
    </row>
    <row r="395">
      <c r="A395" s="10">
        <f>IF(B395="","",391)</f>
        <v/>
      </c>
      <c r="B395" s="11" t="n"/>
      <c r="C395" s="12" t="n"/>
      <c r="D395" s="11" t="n"/>
      <c r="E395" s="11" t="n"/>
      <c r="F395" s="11" t="n"/>
      <c r="G395" s="11" t="n"/>
    </row>
    <row r="396">
      <c r="A396" s="10">
        <f>IF(B396="","",392)</f>
        <v/>
      </c>
      <c r="B396" s="11" t="n"/>
      <c r="C396" s="12" t="n"/>
      <c r="D396" s="11" t="n"/>
      <c r="E396" s="11" t="n"/>
      <c r="F396" s="11" t="n"/>
      <c r="G396" s="11" t="n"/>
    </row>
    <row r="397">
      <c r="A397" s="10">
        <f>IF(B397="","",393)</f>
        <v/>
      </c>
      <c r="B397" s="11" t="n"/>
      <c r="C397" s="12" t="n"/>
      <c r="D397" s="11" t="n"/>
      <c r="E397" s="11" t="n"/>
      <c r="F397" s="11" t="n"/>
      <c r="G397" s="11" t="n"/>
    </row>
    <row r="398">
      <c r="A398" s="10">
        <f>IF(B398="","",394)</f>
        <v/>
      </c>
      <c r="B398" s="11" t="n"/>
      <c r="C398" s="12" t="n"/>
      <c r="D398" s="11" t="n"/>
      <c r="E398" s="11" t="n"/>
      <c r="F398" s="11" t="n"/>
      <c r="G398" s="11" t="n"/>
    </row>
    <row r="399">
      <c r="A399" s="10">
        <f>IF(B399="","",395)</f>
        <v/>
      </c>
      <c r="B399" s="11" t="n"/>
      <c r="C399" s="12" t="n"/>
      <c r="D399" s="11" t="n"/>
      <c r="E399" s="11" t="n"/>
      <c r="F399" s="11" t="n"/>
      <c r="G399" s="11" t="n"/>
    </row>
    <row r="400">
      <c r="A400" s="10">
        <f>IF(B400="","",396)</f>
        <v/>
      </c>
      <c r="B400" s="11" t="n"/>
      <c r="C400" s="12" t="n"/>
      <c r="D400" s="11" t="n"/>
      <c r="E400" s="11" t="n"/>
      <c r="F400" s="11" t="n"/>
      <c r="G400" s="11" t="n"/>
    </row>
    <row r="401">
      <c r="A401" s="10">
        <f>IF(B401="","",397)</f>
        <v/>
      </c>
      <c r="B401" s="11" t="n"/>
      <c r="C401" s="12" t="n"/>
      <c r="D401" s="11" t="n"/>
      <c r="E401" s="11" t="n"/>
      <c r="F401" s="11" t="n"/>
      <c r="G401" s="11" t="n"/>
    </row>
    <row r="402">
      <c r="A402" s="10">
        <f>IF(B402="","",398)</f>
        <v/>
      </c>
      <c r="B402" s="11" t="n"/>
      <c r="C402" s="12" t="n"/>
      <c r="D402" s="11" t="n"/>
      <c r="E402" s="11" t="n"/>
      <c r="F402" s="11" t="n"/>
      <c r="G402" s="11" t="n"/>
    </row>
    <row r="403">
      <c r="A403" s="10">
        <f>IF(B403="","",399)</f>
        <v/>
      </c>
      <c r="B403" s="11" t="n"/>
      <c r="C403" s="12" t="n"/>
      <c r="D403" s="11" t="n"/>
      <c r="E403" s="11" t="n"/>
      <c r="F403" s="11" t="n"/>
      <c r="G403" s="11" t="n"/>
    </row>
    <row r="404">
      <c r="A404" s="10">
        <f>IF(B404="","",400)</f>
        <v/>
      </c>
      <c r="B404" s="11" t="n"/>
      <c r="C404" s="12" t="n"/>
      <c r="D404" s="11" t="n"/>
      <c r="E404" s="11" t="n"/>
      <c r="F404" s="11" t="n"/>
      <c r="G404" s="11" t="n"/>
    </row>
    <row r="405">
      <c r="A405" s="10">
        <f>IF(B405="","",401)</f>
        <v/>
      </c>
      <c r="B405" s="11" t="n"/>
      <c r="C405" s="12" t="n"/>
      <c r="D405" s="11" t="n"/>
      <c r="E405" s="11" t="n"/>
      <c r="F405" s="11" t="n"/>
      <c r="G405" s="11" t="n"/>
    </row>
    <row r="406">
      <c r="A406" s="10">
        <f>IF(B406="","",402)</f>
        <v/>
      </c>
      <c r="B406" s="11" t="n"/>
      <c r="C406" s="12" t="n"/>
      <c r="D406" s="11" t="n"/>
      <c r="E406" s="11" t="n"/>
      <c r="F406" s="11" t="n"/>
      <c r="G406" s="11" t="n"/>
    </row>
    <row r="407">
      <c r="A407" s="10">
        <f>IF(B407="","",403)</f>
        <v/>
      </c>
      <c r="B407" s="11" t="n"/>
      <c r="C407" s="12" t="n"/>
      <c r="D407" s="11" t="n"/>
      <c r="E407" s="11" t="n"/>
      <c r="F407" s="11" t="n"/>
      <c r="G407" s="11" t="n"/>
    </row>
    <row r="408">
      <c r="A408" s="10">
        <f>IF(B408="","",404)</f>
        <v/>
      </c>
      <c r="B408" s="11" t="n"/>
      <c r="C408" s="12" t="n"/>
      <c r="D408" s="11" t="n"/>
      <c r="E408" s="11" t="n"/>
      <c r="F408" s="11" t="n"/>
      <c r="G408" s="11" t="n"/>
    </row>
    <row r="409">
      <c r="A409" s="10">
        <f>IF(B409="","",405)</f>
        <v/>
      </c>
      <c r="B409" s="11" t="n"/>
      <c r="C409" s="12" t="n"/>
      <c r="D409" s="11" t="n"/>
      <c r="E409" s="11" t="n"/>
      <c r="F409" s="11" t="n"/>
      <c r="G409" s="11" t="n"/>
    </row>
    <row r="410">
      <c r="A410" s="10">
        <f>IF(B410="","",406)</f>
        <v/>
      </c>
      <c r="B410" s="11" t="n"/>
      <c r="C410" s="12" t="n"/>
      <c r="D410" s="11" t="n"/>
      <c r="E410" s="11" t="n"/>
      <c r="F410" s="11" t="n"/>
      <c r="G410" s="11" t="n"/>
    </row>
    <row r="411">
      <c r="A411" s="10">
        <f>IF(B411="","",407)</f>
        <v/>
      </c>
      <c r="B411" s="11" t="n"/>
      <c r="C411" s="12" t="n"/>
      <c r="D411" s="11" t="n"/>
      <c r="E411" s="11" t="n"/>
      <c r="F411" s="11" t="n"/>
      <c r="G411" s="11" t="n"/>
    </row>
    <row r="412">
      <c r="A412" s="10">
        <f>IF(B412="","",408)</f>
        <v/>
      </c>
      <c r="B412" s="11" t="n"/>
      <c r="C412" s="12" t="n"/>
      <c r="D412" s="11" t="n"/>
      <c r="E412" s="11" t="n"/>
      <c r="F412" s="11" t="n"/>
      <c r="G412" s="11" t="n"/>
    </row>
    <row r="413">
      <c r="A413" s="10">
        <f>IF(B413="","",409)</f>
        <v/>
      </c>
      <c r="B413" s="11" t="n"/>
      <c r="C413" s="12" t="n"/>
      <c r="D413" s="11" t="n"/>
      <c r="E413" s="11" t="n"/>
      <c r="F413" s="11" t="n"/>
      <c r="G413" s="11" t="n"/>
    </row>
    <row r="414">
      <c r="A414" s="10">
        <f>IF(B414="","",410)</f>
        <v/>
      </c>
      <c r="B414" s="11" t="n"/>
      <c r="C414" s="12" t="n"/>
      <c r="D414" s="11" t="n"/>
      <c r="E414" s="11" t="n"/>
      <c r="F414" s="11" t="n"/>
      <c r="G414" s="11" t="n"/>
    </row>
    <row r="415">
      <c r="A415" s="10">
        <f>IF(B415="","",411)</f>
        <v/>
      </c>
      <c r="B415" s="11" t="n"/>
      <c r="C415" s="12" t="n"/>
      <c r="D415" s="11" t="n"/>
      <c r="E415" s="11" t="n"/>
      <c r="F415" s="11" t="n"/>
      <c r="G415" s="11" t="n"/>
    </row>
    <row r="416">
      <c r="A416" s="10">
        <f>IF(B416="","",412)</f>
        <v/>
      </c>
      <c r="B416" s="11" t="n"/>
      <c r="C416" s="12" t="n"/>
      <c r="D416" s="11" t="n"/>
      <c r="E416" s="11" t="n"/>
      <c r="F416" s="11" t="n"/>
      <c r="G416" s="11" t="n"/>
    </row>
    <row r="417">
      <c r="A417" s="10">
        <f>IF(B417="","",413)</f>
        <v/>
      </c>
      <c r="B417" s="11" t="n"/>
      <c r="C417" s="12" t="n"/>
      <c r="D417" s="11" t="n"/>
      <c r="E417" s="11" t="n"/>
      <c r="F417" s="11" t="n"/>
      <c r="G417" s="11" t="n"/>
    </row>
    <row r="418">
      <c r="A418" s="10">
        <f>IF(B418="","",414)</f>
        <v/>
      </c>
      <c r="B418" s="11" t="n"/>
      <c r="C418" s="12" t="n"/>
      <c r="D418" s="11" t="n"/>
      <c r="E418" s="11" t="n"/>
      <c r="F418" s="11" t="n"/>
      <c r="G418" s="11" t="n"/>
    </row>
    <row r="419">
      <c r="A419" s="10">
        <f>IF(B419="","",415)</f>
        <v/>
      </c>
      <c r="B419" s="11" t="n"/>
      <c r="C419" s="12" t="n"/>
      <c r="D419" s="11" t="n"/>
      <c r="E419" s="11" t="n"/>
      <c r="F419" s="11" t="n"/>
      <c r="G419" s="11" t="n"/>
    </row>
    <row r="420">
      <c r="A420" s="10">
        <f>IF(B420="","",416)</f>
        <v/>
      </c>
      <c r="B420" s="11" t="n"/>
      <c r="C420" s="12" t="n"/>
      <c r="D420" s="11" t="n"/>
      <c r="E420" s="11" t="n"/>
      <c r="F420" s="11" t="n"/>
      <c r="G420" s="11" t="n"/>
    </row>
    <row r="421">
      <c r="A421" s="10">
        <f>IF(B421="","",417)</f>
        <v/>
      </c>
      <c r="B421" s="11" t="n"/>
      <c r="C421" s="12" t="n"/>
      <c r="D421" s="11" t="n"/>
      <c r="E421" s="11" t="n"/>
      <c r="F421" s="11" t="n"/>
      <c r="G421" s="11" t="n"/>
    </row>
    <row r="422">
      <c r="A422" s="10">
        <f>IF(B422="","",418)</f>
        <v/>
      </c>
      <c r="B422" s="11" t="n"/>
      <c r="C422" s="12" t="n"/>
      <c r="D422" s="11" t="n"/>
      <c r="E422" s="11" t="n"/>
      <c r="F422" s="11" t="n"/>
      <c r="G422" s="11" t="n"/>
    </row>
    <row r="423">
      <c r="A423" s="10">
        <f>IF(B423="","",419)</f>
        <v/>
      </c>
      <c r="B423" s="11" t="n"/>
      <c r="C423" s="12" t="n"/>
      <c r="D423" s="11" t="n"/>
      <c r="E423" s="11" t="n"/>
      <c r="F423" s="11" t="n"/>
      <c r="G423" s="11" t="n"/>
    </row>
    <row r="424">
      <c r="A424" s="10">
        <f>IF(B424="","",420)</f>
        <v/>
      </c>
      <c r="B424" s="11" t="n"/>
      <c r="C424" s="12" t="n"/>
      <c r="D424" s="11" t="n"/>
      <c r="E424" s="11" t="n"/>
      <c r="F424" s="11" t="n"/>
      <c r="G424" s="11" t="n"/>
    </row>
    <row r="425">
      <c r="A425" s="10">
        <f>IF(B425="","",421)</f>
        <v/>
      </c>
      <c r="B425" s="11" t="n"/>
      <c r="C425" s="12" t="n"/>
      <c r="D425" s="11" t="n"/>
      <c r="E425" s="11" t="n"/>
      <c r="F425" s="11" t="n"/>
      <c r="G425" s="11" t="n"/>
    </row>
    <row r="426">
      <c r="A426" s="10">
        <f>IF(B426="","",422)</f>
        <v/>
      </c>
      <c r="B426" s="11" t="n"/>
      <c r="C426" s="12" t="n"/>
      <c r="D426" s="11" t="n"/>
      <c r="E426" s="11" t="n"/>
      <c r="F426" s="11" t="n"/>
      <c r="G426" s="11" t="n"/>
    </row>
    <row r="427">
      <c r="A427" s="10">
        <f>IF(B427="","",423)</f>
        <v/>
      </c>
      <c r="B427" s="11" t="n"/>
      <c r="C427" s="12" t="n"/>
      <c r="D427" s="11" t="n"/>
      <c r="E427" s="11" t="n"/>
      <c r="F427" s="11" t="n"/>
      <c r="G427" s="11" t="n"/>
    </row>
    <row r="428">
      <c r="A428" s="10">
        <f>IF(B428="","",424)</f>
        <v/>
      </c>
      <c r="B428" s="11" t="n"/>
      <c r="C428" s="12" t="n"/>
      <c r="D428" s="11" t="n"/>
      <c r="E428" s="11" t="n"/>
      <c r="F428" s="11" t="n"/>
      <c r="G428" s="11" t="n"/>
    </row>
    <row r="429">
      <c r="A429" s="10">
        <f>IF(B429="","",425)</f>
        <v/>
      </c>
      <c r="B429" s="11" t="n"/>
      <c r="C429" s="12" t="n"/>
      <c r="D429" s="11" t="n"/>
      <c r="E429" s="11" t="n"/>
      <c r="F429" s="11" t="n"/>
      <c r="G429" s="11" t="n"/>
    </row>
    <row r="430">
      <c r="A430" s="10">
        <f>IF(B430="","",426)</f>
        <v/>
      </c>
      <c r="B430" s="11" t="n"/>
      <c r="C430" s="12" t="n"/>
      <c r="D430" s="11" t="n"/>
      <c r="E430" s="11" t="n"/>
      <c r="F430" s="11" t="n"/>
      <c r="G430" s="11" t="n"/>
    </row>
    <row r="431">
      <c r="A431" s="10">
        <f>IF(B431="","",427)</f>
        <v/>
      </c>
      <c r="B431" s="11" t="n"/>
      <c r="C431" s="12" t="n"/>
      <c r="D431" s="11" t="n"/>
      <c r="E431" s="11" t="n"/>
      <c r="F431" s="11" t="n"/>
      <c r="G431" s="11" t="n"/>
    </row>
    <row r="432">
      <c r="A432" s="10">
        <f>IF(B432="","",428)</f>
        <v/>
      </c>
      <c r="B432" s="11" t="n"/>
      <c r="C432" s="12" t="n"/>
      <c r="D432" s="11" t="n"/>
      <c r="E432" s="11" t="n"/>
      <c r="F432" s="11" t="n"/>
      <c r="G432" s="11" t="n"/>
    </row>
    <row r="433">
      <c r="A433" s="10">
        <f>IF(B433="","",429)</f>
        <v/>
      </c>
      <c r="B433" s="11" t="n"/>
      <c r="C433" s="12" t="n"/>
      <c r="D433" s="11" t="n"/>
      <c r="E433" s="11" t="n"/>
      <c r="F433" s="11" t="n"/>
      <c r="G433" s="11" t="n"/>
    </row>
    <row r="434">
      <c r="A434" s="10">
        <f>IF(B434="","",430)</f>
        <v/>
      </c>
      <c r="B434" s="11" t="n"/>
      <c r="C434" s="12" t="n"/>
      <c r="D434" s="11" t="n"/>
      <c r="E434" s="11" t="n"/>
      <c r="F434" s="11" t="n"/>
      <c r="G434" s="11" t="n"/>
    </row>
    <row r="435">
      <c r="A435" s="10">
        <f>IF(B435="","",431)</f>
        <v/>
      </c>
      <c r="B435" s="11" t="n"/>
      <c r="C435" s="12" t="n"/>
      <c r="D435" s="11" t="n"/>
      <c r="E435" s="11" t="n"/>
      <c r="F435" s="11" t="n"/>
      <c r="G435" s="11" t="n"/>
    </row>
    <row r="436">
      <c r="A436" s="10">
        <f>IF(B436="","",432)</f>
        <v/>
      </c>
      <c r="B436" s="11" t="n"/>
      <c r="C436" s="12" t="n"/>
      <c r="D436" s="11" t="n"/>
      <c r="E436" s="11" t="n"/>
      <c r="F436" s="11" t="n"/>
      <c r="G436" s="11" t="n"/>
    </row>
    <row r="437">
      <c r="A437" s="10">
        <f>IF(B437="","",433)</f>
        <v/>
      </c>
      <c r="B437" s="11" t="n"/>
      <c r="C437" s="12" t="n"/>
      <c r="D437" s="11" t="n"/>
      <c r="E437" s="11" t="n"/>
      <c r="F437" s="11" t="n"/>
      <c r="G437" s="11" t="n"/>
    </row>
    <row r="438">
      <c r="A438" s="10">
        <f>IF(B438="","",434)</f>
        <v/>
      </c>
      <c r="B438" s="11" t="n"/>
      <c r="C438" s="12" t="n"/>
      <c r="D438" s="11" t="n"/>
      <c r="E438" s="11" t="n"/>
      <c r="F438" s="11" t="n"/>
      <c r="G438" s="11" t="n"/>
    </row>
    <row r="439">
      <c r="A439" s="10">
        <f>IF(B439="","",435)</f>
        <v/>
      </c>
      <c r="B439" s="11" t="n"/>
      <c r="C439" s="12" t="n"/>
      <c r="D439" s="11" t="n"/>
      <c r="E439" s="11" t="n"/>
      <c r="F439" s="11" t="n"/>
      <c r="G439" s="11" t="n"/>
    </row>
    <row r="440">
      <c r="A440" s="10">
        <f>IF(B440="","",436)</f>
        <v/>
      </c>
      <c r="B440" s="11" t="n"/>
      <c r="C440" s="12" t="n"/>
      <c r="D440" s="11" t="n"/>
      <c r="E440" s="11" t="n"/>
      <c r="F440" s="11" t="n"/>
      <c r="G440" s="11" t="n"/>
    </row>
    <row r="441">
      <c r="A441" s="10">
        <f>IF(B441="","",437)</f>
        <v/>
      </c>
      <c r="B441" s="11" t="n"/>
      <c r="C441" s="12" t="n"/>
      <c r="D441" s="11" t="n"/>
      <c r="E441" s="11" t="n"/>
      <c r="F441" s="11" t="n"/>
      <c r="G441" s="11" t="n"/>
    </row>
    <row r="442">
      <c r="A442" s="10">
        <f>IF(B442="","",438)</f>
        <v/>
      </c>
      <c r="B442" s="11" t="n"/>
      <c r="C442" s="12" t="n"/>
      <c r="D442" s="11" t="n"/>
      <c r="E442" s="11" t="n"/>
      <c r="F442" s="11" t="n"/>
      <c r="G442" s="11" t="n"/>
    </row>
    <row r="443">
      <c r="A443" s="10">
        <f>IF(B443="","",439)</f>
        <v/>
      </c>
      <c r="B443" s="11" t="n"/>
      <c r="C443" s="12" t="n"/>
      <c r="D443" s="11" t="n"/>
      <c r="E443" s="11" t="n"/>
      <c r="F443" s="11" t="n"/>
      <c r="G443" s="11" t="n"/>
    </row>
    <row r="444">
      <c r="A444" s="10">
        <f>IF(B444="","",440)</f>
        <v/>
      </c>
      <c r="B444" s="11" t="n"/>
      <c r="C444" s="12" t="n"/>
      <c r="D444" s="11" t="n"/>
      <c r="E444" s="11" t="n"/>
      <c r="F444" s="11" t="n"/>
      <c r="G444" s="11" t="n"/>
    </row>
    <row r="445">
      <c r="A445" s="10">
        <f>IF(B445="","",441)</f>
        <v/>
      </c>
      <c r="B445" s="11" t="n"/>
      <c r="C445" s="12" t="n"/>
      <c r="D445" s="11" t="n"/>
      <c r="E445" s="11" t="n"/>
      <c r="F445" s="11" t="n"/>
      <c r="G445" s="11" t="n"/>
    </row>
    <row r="446">
      <c r="A446" s="10">
        <f>IF(B446="","",442)</f>
        <v/>
      </c>
      <c r="B446" s="11" t="n"/>
      <c r="C446" s="12" t="n"/>
      <c r="D446" s="11" t="n"/>
      <c r="E446" s="11" t="n"/>
      <c r="F446" s="11" t="n"/>
      <c r="G446" s="11" t="n"/>
    </row>
    <row r="447">
      <c r="A447" s="10">
        <f>IF(B447="","",443)</f>
        <v/>
      </c>
      <c r="B447" s="11" t="n"/>
      <c r="C447" s="12" t="n"/>
      <c r="D447" s="11" t="n"/>
      <c r="E447" s="11" t="n"/>
      <c r="F447" s="11" t="n"/>
      <c r="G447" s="11" t="n"/>
    </row>
    <row r="448">
      <c r="A448" s="10">
        <f>IF(B448="","",444)</f>
        <v/>
      </c>
      <c r="B448" s="11" t="n"/>
      <c r="C448" s="12" t="n"/>
      <c r="D448" s="11" t="n"/>
      <c r="E448" s="11" t="n"/>
      <c r="F448" s="11" t="n"/>
      <c r="G448" s="11" t="n"/>
    </row>
    <row r="449">
      <c r="A449" s="10">
        <f>IF(B449="","",445)</f>
        <v/>
      </c>
      <c r="B449" s="11" t="n"/>
      <c r="C449" s="12" t="n"/>
      <c r="D449" s="11" t="n"/>
      <c r="E449" s="11" t="n"/>
      <c r="F449" s="11" t="n"/>
      <c r="G449" s="11" t="n"/>
    </row>
    <row r="450">
      <c r="A450" s="10">
        <f>IF(B450="","",446)</f>
        <v/>
      </c>
      <c r="B450" s="11" t="n"/>
      <c r="C450" s="12" t="n"/>
      <c r="D450" s="11" t="n"/>
      <c r="E450" s="11" t="n"/>
      <c r="F450" s="11" t="n"/>
      <c r="G450" s="11" t="n"/>
    </row>
    <row r="451">
      <c r="A451" s="10">
        <f>IF(B451="","",447)</f>
        <v/>
      </c>
      <c r="B451" s="11" t="n"/>
      <c r="C451" s="12" t="n"/>
      <c r="D451" s="11" t="n"/>
      <c r="E451" s="11" t="n"/>
      <c r="F451" s="11" t="n"/>
      <c r="G451" s="11" t="n"/>
    </row>
    <row r="452">
      <c r="A452" s="10">
        <f>IF(B452="","",448)</f>
        <v/>
      </c>
      <c r="B452" s="11" t="n"/>
      <c r="C452" s="12" t="n"/>
      <c r="D452" s="11" t="n"/>
      <c r="E452" s="11" t="n"/>
      <c r="F452" s="11" t="n"/>
      <c r="G452" s="11" t="n"/>
    </row>
    <row r="453">
      <c r="A453" s="10">
        <f>IF(B453="","",449)</f>
        <v/>
      </c>
      <c r="B453" s="11" t="n"/>
      <c r="C453" s="12" t="n"/>
      <c r="D453" s="11" t="n"/>
      <c r="E453" s="11" t="n"/>
      <c r="F453" s="11" t="n"/>
      <c r="G453" s="11" t="n"/>
    </row>
    <row r="454">
      <c r="A454" s="10">
        <f>IF(B454="","",450)</f>
        <v/>
      </c>
      <c r="B454" s="11" t="n"/>
      <c r="C454" s="12" t="n"/>
      <c r="D454" s="11" t="n"/>
      <c r="E454" s="11" t="n"/>
      <c r="F454" s="11" t="n"/>
      <c r="G454" s="11" t="n"/>
    </row>
    <row r="455">
      <c r="A455" s="10">
        <f>IF(B455="","",451)</f>
        <v/>
      </c>
      <c r="B455" s="11" t="n"/>
      <c r="C455" s="12" t="n"/>
      <c r="D455" s="11" t="n"/>
      <c r="E455" s="11" t="n"/>
      <c r="F455" s="11" t="n"/>
      <c r="G455" s="11" t="n"/>
    </row>
    <row r="456">
      <c r="A456" s="10">
        <f>IF(B456="","",452)</f>
        <v/>
      </c>
      <c r="B456" s="11" t="n"/>
      <c r="C456" s="12" t="n"/>
      <c r="D456" s="11" t="n"/>
      <c r="E456" s="11" t="n"/>
      <c r="F456" s="11" t="n"/>
      <c r="G456" s="11" t="n"/>
    </row>
    <row r="457">
      <c r="A457" s="10">
        <f>IF(B457="","",453)</f>
        <v/>
      </c>
      <c r="B457" s="11" t="n"/>
      <c r="C457" s="12" t="n"/>
      <c r="D457" s="11" t="n"/>
      <c r="E457" s="11" t="n"/>
      <c r="F457" s="11" t="n"/>
      <c r="G457" s="11" t="n"/>
    </row>
    <row r="458">
      <c r="A458" s="10">
        <f>IF(B458="","",454)</f>
        <v/>
      </c>
      <c r="B458" s="11" t="n"/>
      <c r="C458" s="12" t="n"/>
      <c r="D458" s="11" t="n"/>
      <c r="E458" s="11" t="n"/>
      <c r="F458" s="11" t="n"/>
      <c r="G458" s="11" t="n"/>
    </row>
    <row r="459">
      <c r="A459" s="10">
        <f>IF(B459="","",455)</f>
        <v/>
      </c>
      <c r="B459" s="11" t="n"/>
      <c r="C459" s="12" t="n"/>
      <c r="D459" s="11" t="n"/>
      <c r="E459" s="11" t="n"/>
      <c r="F459" s="11" t="n"/>
      <c r="G459" s="11" t="n"/>
    </row>
    <row r="460">
      <c r="A460" s="10">
        <f>IF(B460="","",456)</f>
        <v/>
      </c>
      <c r="B460" s="11" t="n"/>
      <c r="C460" s="12" t="n"/>
      <c r="D460" s="11" t="n"/>
      <c r="E460" s="11" t="n"/>
      <c r="F460" s="11" t="n"/>
      <c r="G460" s="11" t="n"/>
    </row>
    <row r="461">
      <c r="A461" s="10">
        <f>IF(B461="","",457)</f>
        <v/>
      </c>
      <c r="B461" s="11" t="n"/>
      <c r="C461" s="12" t="n"/>
      <c r="D461" s="11" t="n"/>
      <c r="E461" s="11" t="n"/>
      <c r="F461" s="11" t="n"/>
      <c r="G461" s="11" t="n"/>
    </row>
    <row r="462">
      <c r="A462" s="10">
        <f>IF(B462="","",458)</f>
        <v/>
      </c>
      <c r="B462" s="11" t="n"/>
      <c r="C462" s="12" t="n"/>
      <c r="D462" s="11" t="n"/>
      <c r="E462" s="11" t="n"/>
      <c r="F462" s="11" t="n"/>
      <c r="G462" s="11" t="n"/>
    </row>
    <row r="463">
      <c r="A463" s="10">
        <f>IF(B463="","",459)</f>
        <v/>
      </c>
      <c r="B463" s="11" t="n"/>
      <c r="C463" s="12" t="n"/>
      <c r="D463" s="11" t="n"/>
      <c r="E463" s="11" t="n"/>
      <c r="F463" s="11" t="n"/>
      <c r="G463" s="11" t="n"/>
    </row>
    <row r="464">
      <c r="A464" s="10">
        <f>IF(B464="","",460)</f>
        <v/>
      </c>
      <c r="B464" s="11" t="n"/>
      <c r="C464" s="12" t="n"/>
      <c r="D464" s="11" t="n"/>
      <c r="E464" s="11" t="n"/>
      <c r="F464" s="11" t="n"/>
      <c r="G464" s="11" t="n"/>
    </row>
    <row r="465">
      <c r="A465" s="10">
        <f>IF(B465="","",461)</f>
        <v/>
      </c>
      <c r="B465" s="11" t="n"/>
      <c r="C465" s="12" t="n"/>
      <c r="D465" s="11" t="n"/>
      <c r="E465" s="11" t="n"/>
      <c r="F465" s="11" t="n"/>
      <c r="G465" s="11" t="n"/>
    </row>
    <row r="466">
      <c r="A466" s="10">
        <f>IF(B466="","",462)</f>
        <v/>
      </c>
      <c r="B466" s="11" t="n"/>
      <c r="C466" s="12" t="n"/>
      <c r="D466" s="11" t="n"/>
      <c r="E466" s="11" t="n"/>
      <c r="F466" s="11" t="n"/>
      <c r="G466" s="11" t="n"/>
    </row>
    <row r="467">
      <c r="A467" s="10">
        <f>IF(B467="","",463)</f>
        <v/>
      </c>
      <c r="B467" s="11" t="n"/>
      <c r="C467" s="12" t="n"/>
      <c r="D467" s="11" t="n"/>
      <c r="E467" s="11" t="n"/>
      <c r="F467" s="11" t="n"/>
      <c r="G467" s="11" t="n"/>
    </row>
    <row r="468">
      <c r="A468" s="10">
        <f>IF(B468="","",464)</f>
        <v/>
      </c>
      <c r="B468" s="11" t="n"/>
      <c r="C468" s="12" t="n"/>
      <c r="D468" s="11" t="n"/>
      <c r="E468" s="11" t="n"/>
      <c r="F468" s="11" t="n"/>
      <c r="G468" s="11" t="n"/>
    </row>
    <row r="469">
      <c r="A469" s="10">
        <f>IF(B469="","",465)</f>
        <v/>
      </c>
      <c r="B469" s="11" t="n"/>
      <c r="C469" s="12" t="n"/>
      <c r="D469" s="11" t="n"/>
      <c r="E469" s="11" t="n"/>
      <c r="F469" s="11" t="n"/>
      <c r="G469" s="11" t="n"/>
    </row>
    <row r="470">
      <c r="A470" s="10">
        <f>IF(B470="","",466)</f>
        <v/>
      </c>
      <c r="B470" s="11" t="n"/>
      <c r="C470" s="12" t="n"/>
      <c r="D470" s="11" t="n"/>
      <c r="E470" s="11" t="n"/>
      <c r="F470" s="11" t="n"/>
      <c r="G470" s="11" t="n"/>
    </row>
    <row r="471">
      <c r="A471" s="10">
        <f>IF(B471="","",467)</f>
        <v/>
      </c>
      <c r="B471" s="11" t="n"/>
      <c r="C471" s="12" t="n"/>
      <c r="D471" s="11" t="n"/>
      <c r="E471" s="11" t="n"/>
      <c r="F471" s="11" t="n"/>
      <c r="G471" s="11" t="n"/>
    </row>
    <row r="472">
      <c r="A472" s="10">
        <f>IF(B472="","",468)</f>
        <v/>
      </c>
      <c r="B472" s="11" t="n"/>
      <c r="C472" s="12" t="n"/>
      <c r="D472" s="11" t="n"/>
      <c r="E472" s="11" t="n"/>
      <c r="F472" s="11" t="n"/>
      <c r="G472" s="11" t="n"/>
    </row>
    <row r="473">
      <c r="A473" s="10">
        <f>IF(B473="","",469)</f>
        <v/>
      </c>
      <c r="B473" s="11" t="n"/>
      <c r="C473" s="12" t="n"/>
      <c r="D473" s="11" t="n"/>
      <c r="E473" s="11" t="n"/>
      <c r="F473" s="11" t="n"/>
      <c r="G473" s="11" t="n"/>
    </row>
    <row r="474">
      <c r="A474" s="10">
        <f>IF(B474="","",470)</f>
        <v/>
      </c>
      <c r="B474" s="11" t="n"/>
      <c r="C474" s="12" t="n"/>
      <c r="D474" s="11" t="n"/>
      <c r="E474" s="11" t="n"/>
      <c r="F474" s="11" t="n"/>
      <c r="G474" s="11" t="n"/>
    </row>
    <row r="475">
      <c r="A475" s="10">
        <f>IF(B475="","",471)</f>
        <v/>
      </c>
      <c r="B475" s="11" t="n"/>
      <c r="C475" s="12" t="n"/>
      <c r="D475" s="11" t="n"/>
      <c r="E475" s="11" t="n"/>
      <c r="F475" s="11" t="n"/>
      <c r="G475" s="11" t="n"/>
    </row>
    <row r="476">
      <c r="A476" s="10">
        <f>IF(B476="","",472)</f>
        <v/>
      </c>
      <c r="B476" s="11" t="n"/>
      <c r="C476" s="12" t="n"/>
      <c r="D476" s="11" t="n"/>
      <c r="E476" s="11" t="n"/>
      <c r="F476" s="11" t="n"/>
      <c r="G476" s="11" t="n"/>
    </row>
    <row r="477">
      <c r="A477" s="10">
        <f>IF(B477="","",473)</f>
        <v/>
      </c>
      <c r="B477" s="11" t="n"/>
      <c r="C477" s="12" t="n"/>
      <c r="D477" s="11" t="n"/>
      <c r="E477" s="11" t="n"/>
      <c r="F477" s="11" t="n"/>
      <c r="G477" s="11" t="n"/>
    </row>
    <row r="478">
      <c r="A478" s="10">
        <f>IF(B478="","",474)</f>
        <v/>
      </c>
      <c r="B478" s="11" t="n"/>
      <c r="C478" s="12" t="n"/>
      <c r="D478" s="11" t="n"/>
      <c r="E478" s="11" t="n"/>
      <c r="F478" s="11" t="n"/>
      <c r="G478" s="11" t="n"/>
    </row>
    <row r="479">
      <c r="A479" s="10">
        <f>IF(B479="","",475)</f>
        <v/>
      </c>
      <c r="B479" s="11" t="n"/>
      <c r="C479" s="12" t="n"/>
      <c r="D479" s="11" t="n"/>
      <c r="E479" s="11" t="n"/>
      <c r="F479" s="11" t="n"/>
      <c r="G479" s="11" t="n"/>
    </row>
    <row r="480">
      <c r="A480" s="10">
        <f>IF(B480="","",476)</f>
        <v/>
      </c>
      <c r="B480" s="11" t="n"/>
      <c r="C480" s="12" t="n"/>
      <c r="D480" s="11" t="n"/>
      <c r="E480" s="11" t="n"/>
      <c r="F480" s="11" t="n"/>
      <c r="G480" s="11" t="n"/>
    </row>
    <row r="481">
      <c r="A481" s="10">
        <f>IF(B481="","",477)</f>
        <v/>
      </c>
      <c r="B481" s="11" t="n"/>
      <c r="C481" s="12" t="n"/>
      <c r="D481" s="11" t="n"/>
      <c r="E481" s="11" t="n"/>
      <c r="F481" s="11" t="n"/>
      <c r="G481" s="11" t="n"/>
    </row>
    <row r="482">
      <c r="A482" s="10">
        <f>IF(B482="","",478)</f>
        <v/>
      </c>
      <c r="B482" s="11" t="n"/>
      <c r="C482" s="12" t="n"/>
      <c r="D482" s="11" t="n"/>
      <c r="E482" s="11" t="n"/>
      <c r="F482" s="11" t="n"/>
      <c r="G482" s="11" t="n"/>
    </row>
    <row r="483">
      <c r="A483" s="10">
        <f>IF(B483="","",479)</f>
        <v/>
      </c>
      <c r="B483" s="11" t="n"/>
      <c r="C483" s="12" t="n"/>
      <c r="D483" s="11" t="n"/>
      <c r="E483" s="11" t="n"/>
      <c r="F483" s="11" t="n"/>
      <c r="G483" s="11" t="n"/>
    </row>
    <row r="484">
      <c r="A484" s="10">
        <f>IF(B484="","",480)</f>
        <v/>
      </c>
      <c r="B484" s="11" t="n"/>
      <c r="C484" s="12" t="n"/>
      <c r="D484" s="11" t="n"/>
      <c r="E484" s="11" t="n"/>
      <c r="F484" s="11" t="n"/>
      <c r="G484" s="11" t="n"/>
    </row>
    <row r="485">
      <c r="A485" s="10">
        <f>IF(B485="","",481)</f>
        <v/>
      </c>
      <c r="B485" s="11" t="n"/>
      <c r="C485" s="12" t="n"/>
      <c r="D485" s="11" t="n"/>
      <c r="E485" s="11" t="n"/>
      <c r="F485" s="11" t="n"/>
      <c r="G485" s="11" t="n"/>
    </row>
    <row r="486">
      <c r="A486" s="10">
        <f>IF(B486="","",482)</f>
        <v/>
      </c>
      <c r="B486" s="11" t="n"/>
      <c r="C486" s="12" t="n"/>
      <c r="D486" s="11" t="n"/>
      <c r="E486" s="11" t="n"/>
      <c r="F486" s="11" t="n"/>
      <c r="G486" s="11" t="n"/>
    </row>
    <row r="487">
      <c r="A487" s="10">
        <f>IF(B487="","",483)</f>
        <v/>
      </c>
      <c r="B487" s="11" t="n"/>
      <c r="C487" s="12" t="n"/>
      <c r="D487" s="11" t="n"/>
      <c r="E487" s="11" t="n"/>
      <c r="F487" s="11" t="n"/>
      <c r="G487" s="11" t="n"/>
    </row>
    <row r="488">
      <c r="A488" s="10">
        <f>IF(B488="","",484)</f>
        <v/>
      </c>
      <c r="B488" s="11" t="n"/>
      <c r="C488" s="12" t="n"/>
      <c r="D488" s="11" t="n"/>
      <c r="E488" s="11" t="n"/>
      <c r="F488" s="11" t="n"/>
      <c r="G488" s="11" t="n"/>
    </row>
    <row r="489">
      <c r="A489" s="10">
        <f>IF(B489="","",485)</f>
        <v/>
      </c>
      <c r="B489" s="11" t="n"/>
      <c r="C489" s="12" t="n"/>
      <c r="D489" s="11" t="n"/>
      <c r="E489" s="11" t="n"/>
      <c r="F489" s="11" t="n"/>
      <c r="G489" s="11" t="n"/>
    </row>
    <row r="490">
      <c r="A490" s="10">
        <f>IF(B490="","",486)</f>
        <v/>
      </c>
      <c r="B490" s="11" t="n"/>
      <c r="C490" s="12" t="n"/>
      <c r="D490" s="11" t="n"/>
      <c r="E490" s="11" t="n"/>
      <c r="F490" s="11" t="n"/>
      <c r="G490" s="11" t="n"/>
    </row>
    <row r="491">
      <c r="A491" s="10">
        <f>IF(B491="","",487)</f>
        <v/>
      </c>
      <c r="B491" s="11" t="n"/>
      <c r="C491" s="12" t="n"/>
      <c r="D491" s="11" t="n"/>
      <c r="E491" s="11" t="n"/>
      <c r="F491" s="11" t="n"/>
      <c r="G491" s="11" t="n"/>
    </row>
    <row r="492">
      <c r="A492" s="10">
        <f>IF(B492="","",488)</f>
        <v/>
      </c>
      <c r="B492" s="11" t="n"/>
      <c r="C492" s="12" t="n"/>
      <c r="D492" s="11" t="n"/>
      <c r="E492" s="11" t="n"/>
      <c r="F492" s="11" t="n"/>
      <c r="G492" s="11" t="n"/>
    </row>
    <row r="493">
      <c r="A493" s="10">
        <f>IF(B493="","",489)</f>
        <v/>
      </c>
      <c r="B493" s="11" t="n"/>
      <c r="C493" s="12" t="n"/>
      <c r="D493" s="11" t="n"/>
      <c r="E493" s="11" t="n"/>
      <c r="F493" s="11" t="n"/>
      <c r="G493" s="11" t="n"/>
    </row>
    <row r="494">
      <c r="A494" s="10">
        <f>IF(B494="","",490)</f>
        <v/>
      </c>
      <c r="B494" s="11" t="n"/>
      <c r="C494" s="12" t="n"/>
      <c r="D494" s="11" t="n"/>
      <c r="E494" s="11" t="n"/>
      <c r="F494" s="11" t="n"/>
      <c r="G494" s="11" t="n"/>
    </row>
    <row r="495">
      <c r="A495" s="10">
        <f>IF(B495="","",491)</f>
        <v/>
      </c>
      <c r="B495" s="11" t="n"/>
      <c r="C495" s="12" t="n"/>
      <c r="D495" s="11" t="n"/>
      <c r="E495" s="11" t="n"/>
      <c r="F495" s="11" t="n"/>
      <c r="G495" s="11" t="n"/>
    </row>
    <row r="496">
      <c r="A496" s="10">
        <f>IF(B496="","",492)</f>
        <v/>
      </c>
      <c r="B496" s="11" t="n"/>
      <c r="C496" s="12" t="n"/>
      <c r="D496" s="11" t="n"/>
      <c r="E496" s="11" t="n"/>
      <c r="F496" s="11" t="n"/>
      <c r="G496" s="11" t="n"/>
    </row>
    <row r="497">
      <c r="A497" s="10">
        <f>IF(B497="","",493)</f>
        <v/>
      </c>
      <c r="B497" s="11" t="n"/>
      <c r="C497" s="12" t="n"/>
      <c r="D497" s="11" t="n"/>
      <c r="E497" s="11" t="n"/>
      <c r="F497" s="11" t="n"/>
      <c r="G497" s="11" t="n"/>
    </row>
    <row r="498">
      <c r="A498" s="10">
        <f>IF(B498="","",494)</f>
        <v/>
      </c>
      <c r="B498" s="11" t="n"/>
      <c r="C498" s="12" t="n"/>
      <c r="D498" s="11" t="n"/>
      <c r="E498" s="11" t="n"/>
      <c r="F498" s="11" t="n"/>
      <c r="G498" s="11" t="n"/>
    </row>
    <row r="499">
      <c r="A499" s="10">
        <f>IF(B499="","",495)</f>
        <v/>
      </c>
      <c r="B499" s="11" t="n"/>
      <c r="C499" s="12" t="n"/>
      <c r="D499" s="11" t="n"/>
      <c r="E499" s="11" t="n"/>
      <c r="F499" s="11" t="n"/>
      <c r="G499" s="11" t="n"/>
    </row>
    <row r="500">
      <c r="A500" s="10">
        <f>IF(B500="","",496)</f>
        <v/>
      </c>
      <c r="B500" s="11" t="n"/>
      <c r="C500" s="12" t="n"/>
      <c r="D500" s="11" t="n"/>
      <c r="E500" s="11" t="n"/>
      <c r="F500" s="11" t="n"/>
      <c r="G500" s="11" t="n"/>
    </row>
    <row r="501">
      <c r="A501" s="10">
        <f>IF(B501="","",497)</f>
        <v/>
      </c>
      <c r="B501" s="11" t="n"/>
      <c r="C501" s="12" t="n"/>
      <c r="D501" s="11" t="n"/>
      <c r="E501" s="11" t="n"/>
      <c r="F501" s="11" t="n"/>
      <c r="G501" s="11" t="n"/>
    </row>
    <row r="502">
      <c r="A502" s="10">
        <f>IF(B502="","",498)</f>
        <v/>
      </c>
      <c r="B502" s="11" t="n"/>
      <c r="C502" s="12" t="n"/>
      <c r="D502" s="11" t="n"/>
      <c r="E502" s="11" t="n"/>
      <c r="F502" s="11" t="n"/>
      <c r="G502" s="11" t="n"/>
    </row>
    <row r="503">
      <c r="A503" s="10">
        <f>IF(B503="","",499)</f>
        <v/>
      </c>
      <c r="B503" s="11" t="n"/>
      <c r="C503" s="12" t="n"/>
      <c r="D503" s="11" t="n"/>
      <c r="E503" s="11" t="n"/>
      <c r="F503" s="11" t="n"/>
      <c r="G503" s="11" t="n"/>
    </row>
    <row r="504">
      <c r="A504" s="10">
        <f>IF(B504="","",500)</f>
        <v/>
      </c>
      <c r="B504" s="11" t="n"/>
      <c r="C504" s="12" t="n"/>
      <c r="D504" s="11" t="n"/>
      <c r="E504" s="11" t="n"/>
      <c r="F504" s="11" t="n"/>
      <c r="G504" s="11" t="n"/>
    </row>
    <row r="505">
      <c r="A505" s="10">
        <f>IF(B505="","",501)</f>
        <v/>
      </c>
      <c r="B505" s="11" t="n"/>
      <c r="C505" s="12" t="n"/>
      <c r="D505" s="11" t="n"/>
      <c r="E505" s="11" t="n"/>
      <c r="F505" s="11" t="n"/>
      <c r="G505" s="11" t="n"/>
    </row>
    <row r="506">
      <c r="A506" s="10">
        <f>IF(B506="","",502)</f>
        <v/>
      </c>
      <c r="B506" s="11" t="n"/>
      <c r="C506" s="12" t="n"/>
      <c r="D506" s="11" t="n"/>
      <c r="E506" s="11" t="n"/>
      <c r="F506" s="11" t="n"/>
      <c r="G506" s="11" t="n"/>
    </row>
    <row r="507">
      <c r="A507" s="10">
        <f>IF(B507="","",503)</f>
        <v/>
      </c>
      <c r="B507" s="11" t="n"/>
      <c r="C507" s="12" t="n"/>
      <c r="D507" s="11" t="n"/>
      <c r="E507" s="11" t="n"/>
      <c r="F507" s="11" t="n"/>
      <c r="G507" s="11" t="n"/>
    </row>
    <row r="508">
      <c r="A508" s="10">
        <f>IF(B508="","",504)</f>
        <v/>
      </c>
      <c r="B508" s="11" t="n"/>
      <c r="C508" s="12" t="n"/>
      <c r="D508" s="11" t="n"/>
      <c r="E508" s="11" t="n"/>
      <c r="F508" s="11" t="n"/>
      <c r="G508" s="11" t="n"/>
    </row>
    <row r="509">
      <c r="A509" s="10">
        <f>IF(B509="","",505)</f>
        <v/>
      </c>
      <c r="B509" s="11" t="n"/>
      <c r="C509" s="12" t="n"/>
      <c r="D509" s="11" t="n"/>
      <c r="E509" s="11" t="n"/>
      <c r="F509" s="11" t="n"/>
      <c r="G509" s="11" t="n"/>
    </row>
    <row r="510">
      <c r="A510" s="10">
        <f>IF(B510="","",506)</f>
        <v/>
      </c>
      <c r="B510" s="11" t="n"/>
      <c r="C510" s="12" t="n"/>
      <c r="D510" s="11" t="n"/>
      <c r="E510" s="11" t="n"/>
      <c r="F510" s="11" t="n"/>
      <c r="G510" s="11" t="n"/>
    </row>
    <row r="511">
      <c r="A511" s="10">
        <f>IF(B511="","",507)</f>
        <v/>
      </c>
      <c r="B511" s="11" t="n"/>
      <c r="C511" s="12" t="n"/>
      <c r="D511" s="11" t="n"/>
      <c r="E511" s="11" t="n"/>
      <c r="F511" s="11" t="n"/>
      <c r="G511" s="11" t="n"/>
    </row>
    <row r="512">
      <c r="A512" s="10">
        <f>IF(B512="","",508)</f>
        <v/>
      </c>
      <c r="B512" s="11" t="n"/>
      <c r="C512" s="12" t="n"/>
      <c r="D512" s="11" t="n"/>
      <c r="E512" s="11" t="n"/>
      <c r="F512" s="11" t="n"/>
      <c r="G512" s="11" t="n"/>
    </row>
    <row r="513">
      <c r="A513" s="10">
        <f>IF(B513="","",509)</f>
        <v/>
      </c>
      <c r="B513" s="11" t="n"/>
      <c r="C513" s="12" t="n"/>
      <c r="D513" s="11" t="n"/>
      <c r="E513" s="11" t="n"/>
      <c r="F513" s="11" t="n"/>
      <c r="G513" s="11" t="n"/>
    </row>
    <row r="514">
      <c r="A514" s="10">
        <f>IF(B514="","",510)</f>
        <v/>
      </c>
      <c r="B514" s="11" t="n"/>
      <c r="C514" s="12" t="n"/>
      <c r="D514" s="11" t="n"/>
      <c r="E514" s="11" t="n"/>
      <c r="F514" s="11" t="n"/>
      <c r="G514" s="11" t="n"/>
    </row>
    <row r="515">
      <c r="A515" s="10">
        <f>IF(B515="","",511)</f>
        <v/>
      </c>
      <c r="B515" s="11" t="n"/>
      <c r="C515" s="12" t="n"/>
      <c r="D515" s="11" t="n"/>
      <c r="E515" s="11" t="n"/>
      <c r="F515" s="11" t="n"/>
      <c r="G515" s="11" t="n"/>
    </row>
    <row r="516">
      <c r="A516" s="10">
        <f>IF(B516="","",512)</f>
        <v/>
      </c>
      <c r="B516" s="11" t="n"/>
      <c r="C516" s="12" t="n"/>
      <c r="D516" s="11" t="n"/>
      <c r="E516" s="11" t="n"/>
      <c r="F516" s="11" t="n"/>
      <c r="G516" s="11" t="n"/>
    </row>
    <row r="517">
      <c r="A517" s="10">
        <f>IF(B517="","",513)</f>
        <v/>
      </c>
      <c r="B517" s="11" t="n"/>
      <c r="C517" s="12" t="n"/>
      <c r="D517" s="11" t="n"/>
      <c r="E517" s="11" t="n"/>
      <c r="F517" s="11" t="n"/>
      <c r="G517" s="11" t="n"/>
    </row>
    <row r="518">
      <c r="A518" s="10">
        <f>IF(B518="","",514)</f>
        <v/>
      </c>
      <c r="B518" s="11" t="n"/>
      <c r="C518" s="12" t="n"/>
      <c r="D518" s="11" t="n"/>
      <c r="E518" s="11" t="n"/>
      <c r="F518" s="11" t="n"/>
      <c r="G518" s="11" t="n"/>
    </row>
    <row r="519">
      <c r="A519" s="10">
        <f>IF(B519="","",515)</f>
        <v/>
      </c>
      <c r="B519" s="11" t="n"/>
      <c r="C519" s="12" t="n"/>
      <c r="D519" s="11" t="n"/>
      <c r="E519" s="11" t="n"/>
      <c r="F519" s="11" t="n"/>
      <c r="G519" s="11" t="n"/>
    </row>
    <row r="520">
      <c r="A520" s="10">
        <f>IF(B520="","",516)</f>
        <v/>
      </c>
      <c r="B520" s="11" t="n"/>
      <c r="C520" s="12" t="n"/>
      <c r="D520" s="11" t="n"/>
      <c r="E520" s="11" t="n"/>
      <c r="F520" s="11" t="n"/>
      <c r="G520" s="11" t="n"/>
    </row>
    <row r="521">
      <c r="A521" s="10">
        <f>IF(B521="","",517)</f>
        <v/>
      </c>
      <c r="B521" s="11" t="n"/>
      <c r="C521" s="12" t="n"/>
      <c r="D521" s="11" t="n"/>
      <c r="E521" s="11" t="n"/>
      <c r="F521" s="11" t="n"/>
      <c r="G521" s="11" t="n"/>
    </row>
    <row r="522">
      <c r="A522" s="10">
        <f>IF(B522="","",518)</f>
        <v/>
      </c>
      <c r="B522" s="11" t="n"/>
      <c r="C522" s="12" t="n"/>
      <c r="D522" s="11" t="n"/>
      <c r="E522" s="11" t="n"/>
      <c r="F522" s="11" t="n"/>
      <c r="G522" s="11" t="n"/>
    </row>
    <row r="523">
      <c r="A523" s="10">
        <f>IF(B523="","",519)</f>
        <v/>
      </c>
      <c r="B523" s="11" t="n"/>
      <c r="C523" s="12" t="n"/>
      <c r="D523" s="11" t="n"/>
      <c r="E523" s="11" t="n"/>
      <c r="F523" s="11" t="n"/>
      <c r="G523" s="11" t="n"/>
    </row>
    <row r="524">
      <c r="A524" s="10">
        <f>IF(B524="","",520)</f>
        <v/>
      </c>
      <c r="B524" s="11" t="n"/>
      <c r="C524" s="12" t="n"/>
      <c r="D524" s="11" t="n"/>
      <c r="E524" s="11" t="n"/>
      <c r="F524" s="11" t="n"/>
      <c r="G524" s="11" t="n"/>
    </row>
    <row r="525">
      <c r="A525" s="10">
        <f>IF(B525="","",521)</f>
        <v/>
      </c>
      <c r="B525" s="11" t="n"/>
      <c r="C525" s="12" t="n"/>
      <c r="D525" s="11" t="n"/>
      <c r="E525" s="11" t="n"/>
      <c r="F525" s="11" t="n"/>
      <c r="G525" s="11" t="n"/>
    </row>
    <row r="526">
      <c r="A526" s="10">
        <f>IF(B526="","",522)</f>
        <v/>
      </c>
      <c r="B526" s="11" t="n"/>
      <c r="C526" s="12" t="n"/>
      <c r="D526" s="11" t="n"/>
      <c r="E526" s="11" t="n"/>
      <c r="F526" s="11" t="n"/>
      <c r="G526" s="11" t="n"/>
    </row>
    <row r="527">
      <c r="A527" s="10">
        <f>IF(B527="","",523)</f>
        <v/>
      </c>
      <c r="B527" s="11" t="n"/>
      <c r="C527" s="12" t="n"/>
      <c r="D527" s="11" t="n"/>
      <c r="E527" s="11" t="n"/>
      <c r="F527" s="11" t="n"/>
      <c r="G527" s="11" t="n"/>
    </row>
    <row r="528">
      <c r="A528" s="10">
        <f>IF(B528="","",524)</f>
        <v/>
      </c>
      <c r="B528" s="11" t="n"/>
      <c r="C528" s="12" t="n"/>
      <c r="D528" s="11" t="n"/>
      <c r="E528" s="11" t="n"/>
      <c r="F528" s="11" t="n"/>
      <c r="G528" s="11" t="n"/>
    </row>
    <row r="529">
      <c r="A529" s="10">
        <f>IF(B529="","",525)</f>
        <v/>
      </c>
      <c r="B529" s="11" t="n"/>
      <c r="C529" s="12" t="n"/>
      <c r="D529" s="11" t="n"/>
      <c r="E529" s="11" t="n"/>
      <c r="F529" s="11" t="n"/>
      <c r="G529" s="11" t="n"/>
    </row>
    <row r="530">
      <c r="A530" s="10">
        <f>IF(B530="","",526)</f>
        <v/>
      </c>
      <c r="B530" s="11" t="n"/>
      <c r="C530" s="12" t="n"/>
      <c r="D530" s="11" t="n"/>
      <c r="E530" s="11" t="n"/>
      <c r="F530" s="11" t="n"/>
      <c r="G530" s="11" t="n"/>
    </row>
    <row r="531">
      <c r="A531" s="10">
        <f>IF(B531="","",527)</f>
        <v/>
      </c>
      <c r="B531" s="11" t="n"/>
      <c r="C531" s="12" t="n"/>
      <c r="D531" s="11" t="n"/>
      <c r="E531" s="11" t="n"/>
      <c r="F531" s="11" t="n"/>
      <c r="G531" s="11" t="n"/>
    </row>
    <row r="532">
      <c r="A532" s="10">
        <f>IF(B532="","",528)</f>
        <v/>
      </c>
      <c r="B532" s="11" t="n"/>
      <c r="C532" s="12" t="n"/>
      <c r="D532" s="11" t="n"/>
      <c r="E532" s="11" t="n"/>
      <c r="F532" s="11" t="n"/>
      <c r="G532" s="11" t="n"/>
    </row>
    <row r="533">
      <c r="A533" s="10">
        <f>IF(B533="","",529)</f>
        <v/>
      </c>
      <c r="B533" s="11" t="n"/>
      <c r="C533" s="12" t="n"/>
      <c r="D533" s="11" t="n"/>
      <c r="E533" s="11" t="n"/>
      <c r="F533" s="11" t="n"/>
      <c r="G533" s="11" t="n"/>
    </row>
    <row r="534">
      <c r="A534" s="10">
        <f>IF(B534="","",530)</f>
        <v/>
      </c>
      <c r="B534" s="11" t="n"/>
      <c r="C534" s="12" t="n"/>
      <c r="D534" s="11" t="n"/>
      <c r="E534" s="11" t="n"/>
      <c r="F534" s="11" t="n"/>
      <c r="G534" s="11" t="n"/>
    </row>
    <row r="535">
      <c r="A535" s="10">
        <f>IF(B535="","",531)</f>
        <v/>
      </c>
      <c r="B535" s="11" t="n"/>
      <c r="C535" s="12" t="n"/>
      <c r="D535" s="11" t="n"/>
      <c r="E535" s="11" t="n"/>
      <c r="F535" s="11" t="n"/>
      <c r="G535" s="11" t="n"/>
    </row>
    <row r="536">
      <c r="A536" s="10">
        <f>IF(B536="","",532)</f>
        <v/>
      </c>
      <c r="B536" s="11" t="n"/>
      <c r="C536" s="12" t="n"/>
      <c r="D536" s="11" t="n"/>
      <c r="E536" s="11" t="n"/>
      <c r="F536" s="11" t="n"/>
      <c r="G536" s="11" t="n"/>
    </row>
    <row r="537">
      <c r="A537" s="10">
        <f>IF(B537="","",533)</f>
        <v/>
      </c>
      <c r="B537" s="11" t="n"/>
      <c r="C537" s="12" t="n"/>
      <c r="D537" s="11" t="n"/>
      <c r="E537" s="11" t="n"/>
      <c r="F537" s="11" t="n"/>
      <c r="G537" s="11" t="n"/>
    </row>
    <row r="538">
      <c r="A538" s="10">
        <f>IF(B538="","",534)</f>
        <v/>
      </c>
      <c r="B538" s="11" t="n"/>
      <c r="C538" s="12" t="n"/>
      <c r="D538" s="11" t="n"/>
      <c r="E538" s="11" t="n"/>
      <c r="F538" s="11" t="n"/>
      <c r="G538" s="11" t="n"/>
    </row>
    <row r="539">
      <c r="A539" s="10">
        <f>IF(B539="","",535)</f>
        <v/>
      </c>
      <c r="B539" s="11" t="n"/>
      <c r="C539" s="12" t="n"/>
      <c r="D539" s="11" t="n"/>
      <c r="E539" s="11" t="n"/>
      <c r="F539" s="11" t="n"/>
      <c r="G539" s="11" t="n"/>
    </row>
    <row r="540">
      <c r="A540" s="10">
        <f>IF(B540="","",536)</f>
        <v/>
      </c>
      <c r="B540" s="11" t="n"/>
      <c r="C540" s="12" t="n"/>
      <c r="D540" s="11" t="n"/>
      <c r="E540" s="11" t="n"/>
      <c r="F540" s="11" t="n"/>
      <c r="G540" s="11" t="n"/>
    </row>
    <row r="541">
      <c r="A541" s="10">
        <f>IF(B541="","",537)</f>
        <v/>
      </c>
      <c r="B541" s="11" t="n"/>
      <c r="C541" s="12" t="n"/>
      <c r="D541" s="11" t="n"/>
      <c r="E541" s="11" t="n"/>
      <c r="F541" s="11" t="n"/>
      <c r="G541" s="11" t="n"/>
    </row>
    <row r="542">
      <c r="A542" s="10">
        <f>IF(B542="","",538)</f>
        <v/>
      </c>
      <c r="B542" s="11" t="n"/>
      <c r="C542" s="12" t="n"/>
      <c r="D542" s="11" t="n"/>
      <c r="E542" s="11" t="n"/>
      <c r="F542" s="11" t="n"/>
      <c r="G542" s="11" t="n"/>
    </row>
    <row r="543">
      <c r="A543" s="10">
        <f>IF(B543="","",539)</f>
        <v/>
      </c>
      <c r="B543" s="11" t="n"/>
      <c r="C543" s="12" t="n"/>
      <c r="D543" s="11" t="n"/>
      <c r="E543" s="11" t="n"/>
      <c r="F543" s="11" t="n"/>
      <c r="G543" s="11" t="n"/>
    </row>
    <row r="544">
      <c r="A544" s="10">
        <f>IF(B544="","",540)</f>
        <v/>
      </c>
      <c r="B544" s="11" t="n"/>
      <c r="C544" s="12" t="n"/>
      <c r="D544" s="11" t="n"/>
      <c r="E544" s="11" t="n"/>
      <c r="F544" s="11" t="n"/>
      <c r="G544" s="11" t="n"/>
    </row>
    <row r="545">
      <c r="A545" s="10">
        <f>IF(B545="","",541)</f>
        <v/>
      </c>
      <c r="B545" s="11" t="n"/>
      <c r="C545" s="12" t="n"/>
      <c r="D545" s="11" t="n"/>
      <c r="E545" s="11" t="n"/>
      <c r="F545" s="11" t="n"/>
      <c r="G545" s="11" t="n"/>
    </row>
    <row r="546">
      <c r="A546" s="10">
        <f>IF(B546="","",542)</f>
        <v/>
      </c>
      <c r="B546" s="11" t="n"/>
      <c r="C546" s="12" t="n"/>
      <c r="D546" s="11" t="n"/>
      <c r="E546" s="11" t="n"/>
      <c r="F546" s="11" t="n"/>
      <c r="G546" s="11" t="n"/>
    </row>
    <row r="547">
      <c r="A547" s="10">
        <f>IF(B547="","",543)</f>
        <v/>
      </c>
      <c r="B547" s="11" t="n"/>
      <c r="C547" s="12" t="n"/>
      <c r="D547" s="11" t="n"/>
      <c r="E547" s="11" t="n"/>
      <c r="F547" s="11" t="n"/>
      <c r="G547" s="11" t="n"/>
    </row>
    <row r="548">
      <c r="A548" s="10">
        <f>IF(B548="","",544)</f>
        <v/>
      </c>
      <c r="B548" s="11" t="n"/>
      <c r="C548" s="12" t="n"/>
      <c r="D548" s="11" t="n"/>
      <c r="E548" s="11" t="n"/>
      <c r="F548" s="11" t="n"/>
      <c r="G548" s="11" t="n"/>
    </row>
    <row r="549">
      <c r="A549" s="10">
        <f>IF(B549="","",545)</f>
        <v/>
      </c>
      <c r="B549" s="11" t="n"/>
      <c r="C549" s="12" t="n"/>
      <c r="D549" s="11" t="n"/>
      <c r="E549" s="11" t="n"/>
      <c r="F549" s="11" t="n"/>
      <c r="G549" s="11" t="n"/>
    </row>
    <row r="550">
      <c r="A550" s="10">
        <f>IF(B550="","",546)</f>
        <v/>
      </c>
      <c r="B550" s="11" t="n"/>
      <c r="C550" s="12" t="n"/>
      <c r="D550" s="11" t="n"/>
      <c r="E550" s="11" t="n"/>
      <c r="F550" s="11" t="n"/>
      <c r="G550" s="11" t="n"/>
    </row>
    <row r="551">
      <c r="A551" s="10">
        <f>IF(B551="","",547)</f>
        <v/>
      </c>
      <c r="B551" s="11" t="n"/>
      <c r="C551" s="12" t="n"/>
      <c r="D551" s="11" t="n"/>
      <c r="E551" s="11" t="n"/>
      <c r="F551" s="11" t="n"/>
      <c r="G551" s="11" t="n"/>
    </row>
    <row r="552">
      <c r="A552" s="10">
        <f>IF(B552="","",548)</f>
        <v/>
      </c>
      <c r="B552" s="11" t="n"/>
      <c r="C552" s="12" t="n"/>
      <c r="D552" s="11" t="n"/>
      <c r="E552" s="11" t="n"/>
      <c r="F552" s="11" t="n"/>
      <c r="G552" s="11" t="n"/>
    </row>
    <row r="553">
      <c r="A553" s="10">
        <f>IF(B553="","",549)</f>
        <v/>
      </c>
      <c r="B553" s="11" t="n"/>
      <c r="C553" s="12" t="n"/>
      <c r="D553" s="11" t="n"/>
      <c r="E553" s="11" t="n"/>
      <c r="F553" s="11" t="n"/>
      <c r="G553" s="11" t="n"/>
    </row>
    <row r="554">
      <c r="A554" s="10">
        <f>IF(B554="","",550)</f>
        <v/>
      </c>
      <c r="B554" s="11" t="n"/>
      <c r="C554" s="12" t="n"/>
      <c r="D554" s="11" t="n"/>
      <c r="E554" s="11" t="n"/>
      <c r="F554" s="11" t="n"/>
      <c r="G554" s="11" t="n"/>
    </row>
    <row r="555">
      <c r="A555" s="10">
        <f>IF(B555="","",551)</f>
        <v/>
      </c>
      <c r="B555" s="11" t="n"/>
      <c r="C555" s="12" t="n"/>
      <c r="D555" s="11" t="n"/>
      <c r="E555" s="11" t="n"/>
      <c r="F555" s="11" t="n"/>
      <c r="G555" s="11" t="n"/>
    </row>
    <row r="556">
      <c r="A556" s="10">
        <f>IF(B556="","",552)</f>
        <v/>
      </c>
      <c r="B556" s="11" t="n"/>
      <c r="C556" s="12" t="n"/>
      <c r="D556" s="11" t="n"/>
      <c r="E556" s="11" t="n"/>
      <c r="F556" s="11" t="n"/>
      <c r="G556" s="11" t="n"/>
    </row>
    <row r="557">
      <c r="A557" s="10">
        <f>IF(B557="","",553)</f>
        <v/>
      </c>
      <c r="B557" s="11" t="n"/>
      <c r="C557" s="12" t="n"/>
      <c r="D557" s="11" t="n"/>
      <c r="E557" s="11" t="n"/>
      <c r="F557" s="11" t="n"/>
      <c r="G557" s="11" t="n"/>
    </row>
    <row r="558">
      <c r="A558" s="10">
        <f>IF(B558="","",554)</f>
        <v/>
      </c>
      <c r="B558" s="11" t="n"/>
      <c r="C558" s="12" t="n"/>
      <c r="D558" s="11" t="n"/>
      <c r="E558" s="11" t="n"/>
      <c r="F558" s="11" t="n"/>
      <c r="G558" s="11" t="n"/>
    </row>
    <row r="559">
      <c r="A559" s="10">
        <f>IF(B559="","",555)</f>
        <v/>
      </c>
      <c r="B559" s="11" t="n"/>
      <c r="C559" s="12" t="n"/>
      <c r="D559" s="11" t="n"/>
      <c r="E559" s="11" t="n"/>
      <c r="F559" s="11" t="n"/>
      <c r="G559" s="11" t="n"/>
    </row>
    <row r="560">
      <c r="A560" s="10">
        <f>IF(B560="","",556)</f>
        <v/>
      </c>
      <c r="B560" s="11" t="n"/>
      <c r="C560" s="12" t="n"/>
      <c r="D560" s="11" t="n"/>
      <c r="E560" s="11" t="n"/>
      <c r="F560" s="11" t="n"/>
      <c r="G560" s="11" t="n"/>
    </row>
    <row r="561">
      <c r="A561" s="10">
        <f>IF(B561="","",557)</f>
        <v/>
      </c>
      <c r="B561" s="11" t="n"/>
      <c r="C561" s="12" t="n"/>
      <c r="D561" s="11" t="n"/>
      <c r="E561" s="11" t="n"/>
      <c r="F561" s="11" t="n"/>
      <c r="G561" s="11" t="n"/>
    </row>
    <row r="562">
      <c r="A562" s="10">
        <f>IF(B562="","",558)</f>
        <v/>
      </c>
      <c r="B562" s="11" t="n"/>
      <c r="C562" s="12" t="n"/>
      <c r="D562" s="11" t="n"/>
      <c r="E562" s="11" t="n"/>
      <c r="F562" s="11" t="n"/>
      <c r="G562" s="11" t="n"/>
    </row>
    <row r="563">
      <c r="A563" s="10">
        <f>IF(B563="","",559)</f>
        <v/>
      </c>
      <c r="B563" s="11" t="n"/>
      <c r="C563" s="12" t="n"/>
      <c r="D563" s="11" t="n"/>
      <c r="E563" s="11" t="n"/>
      <c r="F563" s="11" t="n"/>
      <c r="G563" s="11" t="n"/>
    </row>
    <row r="564">
      <c r="A564" s="10">
        <f>IF(B564="","",560)</f>
        <v/>
      </c>
      <c r="B564" s="11" t="n"/>
      <c r="C564" s="12" t="n"/>
      <c r="D564" s="11" t="n"/>
      <c r="E564" s="11" t="n"/>
      <c r="F564" s="11" t="n"/>
      <c r="G564" s="11" t="n"/>
    </row>
    <row r="565">
      <c r="A565" s="10">
        <f>IF(B565="","",561)</f>
        <v/>
      </c>
      <c r="B565" s="11" t="n"/>
      <c r="C565" s="12" t="n"/>
      <c r="D565" s="11" t="n"/>
      <c r="E565" s="11" t="n"/>
      <c r="F565" s="11" t="n"/>
      <c r="G565" s="11" t="n"/>
    </row>
    <row r="566">
      <c r="A566" s="10">
        <f>IF(B566="","",562)</f>
        <v/>
      </c>
      <c r="B566" s="11" t="n"/>
      <c r="C566" s="12" t="n"/>
      <c r="D566" s="11" t="n"/>
      <c r="E566" s="11" t="n"/>
      <c r="F566" s="11" t="n"/>
      <c r="G566" s="11" t="n"/>
    </row>
    <row r="567">
      <c r="A567" s="10">
        <f>IF(B567="","",563)</f>
        <v/>
      </c>
      <c r="B567" s="11" t="n"/>
      <c r="C567" s="12" t="n"/>
      <c r="D567" s="11" t="n"/>
      <c r="E567" s="11" t="n"/>
      <c r="F567" s="11" t="n"/>
      <c r="G567" s="11" t="n"/>
    </row>
    <row r="568">
      <c r="A568" s="10">
        <f>IF(B568="","",564)</f>
        <v/>
      </c>
      <c r="B568" s="11" t="n"/>
      <c r="C568" s="12" t="n"/>
      <c r="D568" s="11" t="n"/>
      <c r="E568" s="11" t="n"/>
      <c r="F568" s="11" t="n"/>
      <c r="G568" s="11" t="n"/>
    </row>
    <row r="569">
      <c r="A569" s="10">
        <f>IF(B569="","",565)</f>
        <v/>
      </c>
      <c r="B569" s="11" t="n"/>
      <c r="C569" s="12" t="n"/>
      <c r="D569" s="11" t="n"/>
      <c r="E569" s="11" t="n"/>
      <c r="F569" s="11" t="n"/>
      <c r="G569" s="11" t="n"/>
    </row>
    <row r="570">
      <c r="A570" s="10">
        <f>IF(B570="","",566)</f>
        <v/>
      </c>
      <c r="B570" s="11" t="n"/>
      <c r="C570" s="12" t="n"/>
      <c r="D570" s="11" t="n"/>
      <c r="E570" s="11" t="n"/>
      <c r="F570" s="11" t="n"/>
      <c r="G570" s="11" t="n"/>
    </row>
    <row r="571">
      <c r="A571" s="10">
        <f>IF(B571="","",567)</f>
        <v/>
      </c>
      <c r="B571" s="11" t="n"/>
      <c r="C571" s="12" t="n"/>
      <c r="D571" s="11" t="n"/>
      <c r="E571" s="11" t="n"/>
      <c r="F571" s="11" t="n"/>
      <c r="G571" s="11" t="n"/>
    </row>
    <row r="572">
      <c r="A572" s="10">
        <f>IF(B572="","",568)</f>
        <v/>
      </c>
      <c r="B572" s="11" t="n"/>
      <c r="C572" s="12" t="n"/>
      <c r="D572" s="11" t="n"/>
      <c r="E572" s="11" t="n"/>
      <c r="F572" s="11" t="n"/>
      <c r="G572" s="11" t="n"/>
    </row>
    <row r="573">
      <c r="A573" s="10">
        <f>IF(B573="","",569)</f>
        <v/>
      </c>
      <c r="B573" s="11" t="n"/>
      <c r="C573" s="12" t="n"/>
      <c r="D573" s="11" t="n"/>
      <c r="E573" s="11" t="n"/>
      <c r="F573" s="11" t="n"/>
      <c r="G573" s="11" t="n"/>
    </row>
    <row r="574">
      <c r="A574" s="10">
        <f>IF(B574="","",570)</f>
        <v/>
      </c>
      <c r="B574" s="11" t="n"/>
      <c r="C574" s="12" t="n"/>
      <c r="D574" s="11" t="n"/>
      <c r="E574" s="11" t="n"/>
      <c r="F574" s="11" t="n"/>
      <c r="G574" s="11" t="n"/>
    </row>
    <row r="575">
      <c r="A575" s="10">
        <f>IF(B575="","",571)</f>
        <v/>
      </c>
      <c r="B575" s="11" t="n"/>
      <c r="C575" s="12" t="n"/>
      <c r="D575" s="11" t="n"/>
      <c r="E575" s="11" t="n"/>
      <c r="F575" s="11" t="n"/>
      <c r="G575" s="11" t="n"/>
    </row>
    <row r="576">
      <c r="A576" s="10">
        <f>IF(B576="","",572)</f>
        <v/>
      </c>
      <c r="B576" s="11" t="n"/>
      <c r="C576" s="12" t="n"/>
      <c r="D576" s="11" t="n"/>
      <c r="E576" s="11" t="n"/>
      <c r="F576" s="11" t="n"/>
      <c r="G576" s="11" t="n"/>
    </row>
    <row r="577">
      <c r="A577" s="10">
        <f>IF(B577="","",573)</f>
        <v/>
      </c>
      <c r="B577" s="11" t="n"/>
      <c r="C577" s="12" t="n"/>
      <c r="D577" s="11" t="n"/>
      <c r="E577" s="11" t="n"/>
      <c r="F577" s="11" t="n"/>
      <c r="G577" s="11" t="n"/>
    </row>
    <row r="578">
      <c r="A578" s="10">
        <f>IF(B578="","",574)</f>
        <v/>
      </c>
      <c r="B578" s="11" t="n"/>
      <c r="C578" s="12" t="n"/>
      <c r="D578" s="11" t="n"/>
      <c r="E578" s="11" t="n"/>
      <c r="F578" s="11" t="n"/>
      <c r="G578" s="11" t="n"/>
    </row>
    <row r="579">
      <c r="A579" s="10">
        <f>IF(B579="","",575)</f>
        <v/>
      </c>
      <c r="B579" s="11" t="n"/>
      <c r="C579" s="12" t="n"/>
      <c r="D579" s="11" t="n"/>
      <c r="E579" s="11" t="n"/>
      <c r="F579" s="11" t="n"/>
      <c r="G579" s="11" t="n"/>
    </row>
    <row r="580">
      <c r="A580" s="10">
        <f>IF(B580="","",576)</f>
        <v/>
      </c>
      <c r="B580" s="11" t="n"/>
      <c r="C580" s="12" t="n"/>
      <c r="D580" s="11" t="n"/>
      <c r="E580" s="11" t="n"/>
      <c r="F580" s="11" t="n"/>
      <c r="G580" s="11" t="n"/>
    </row>
    <row r="581">
      <c r="A581" s="10">
        <f>IF(B581="","",577)</f>
        <v/>
      </c>
      <c r="B581" s="11" t="n"/>
      <c r="C581" s="12" t="n"/>
      <c r="D581" s="11" t="n"/>
      <c r="E581" s="11" t="n"/>
      <c r="F581" s="11" t="n"/>
      <c r="G581" s="11" t="n"/>
    </row>
    <row r="582">
      <c r="A582" s="10">
        <f>IF(B582="","",578)</f>
        <v/>
      </c>
      <c r="B582" s="11" t="n"/>
      <c r="C582" s="12" t="n"/>
      <c r="D582" s="11" t="n"/>
      <c r="E582" s="11" t="n"/>
      <c r="F582" s="11" t="n"/>
      <c r="G582" s="11" t="n"/>
    </row>
    <row r="583">
      <c r="A583" s="10">
        <f>IF(B583="","",579)</f>
        <v/>
      </c>
      <c r="B583" s="11" t="n"/>
      <c r="C583" s="12" t="n"/>
      <c r="D583" s="11" t="n"/>
      <c r="E583" s="11" t="n"/>
      <c r="F583" s="11" t="n"/>
      <c r="G583" s="11" t="n"/>
    </row>
    <row r="584">
      <c r="A584" s="10">
        <f>IF(B584="","",580)</f>
        <v/>
      </c>
      <c r="B584" s="11" t="n"/>
      <c r="C584" s="12" t="n"/>
      <c r="D584" s="11" t="n"/>
      <c r="E584" s="11" t="n"/>
      <c r="F584" s="11" t="n"/>
      <c r="G584" s="11" t="n"/>
    </row>
    <row r="585">
      <c r="A585" s="10">
        <f>IF(B585="","",581)</f>
        <v/>
      </c>
      <c r="B585" s="11" t="n"/>
      <c r="C585" s="12" t="n"/>
      <c r="D585" s="11" t="n"/>
      <c r="E585" s="11" t="n"/>
      <c r="F585" s="11" t="n"/>
      <c r="G585" s="11" t="n"/>
    </row>
    <row r="586">
      <c r="A586" s="10">
        <f>IF(B586="","",582)</f>
        <v/>
      </c>
      <c r="B586" s="11" t="n"/>
      <c r="C586" s="12" t="n"/>
      <c r="D586" s="11" t="n"/>
      <c r="E586" s="11" t="n"/>
      <c r="F586" s="11" t="n"/>
      <c r="G586" s="11" t="n"/>
    </row>
    <row r="587">
      <c r="A587" s="10">
        <f>IF(B587="","",583)</f>
        <v/>
      </c>
      <c r="B587" s="11" t="n"/>
      <c r="C587" s="12" t="n"/>
      <c r="D587" s="11" t="n"/>
      <c r="E587" s="11" t="n"/>
      <c r="F587" s="11" t="n"/>
      <c r="G587" s="11" t="n"/>
    </row>
    <row r="588">
      <c r="A588" s="10">
        <f>IF(B588="","",584)</f>
        <v/>
      </c>
      <c r="B588" s="11" t="n"/>
      <c r="C588" s="12" t="n"/>
      <c r="D588" s="11" t="n"/>
      <c r="E588" s="11" t="n"/>
      <c r="F588" s="11" t="n"/>
      <c r="G588" s="11" t="n"/>
    </row>
    <row r="589">
      <c r="A589" s="10">
        <f>IF(B589="","",585)</f>
        <v/>
      </c>
      <c r="B589" s="11" t="n"/>
      <c r="C589" s="12" t="n"/>
      <c r="D589" s="11" t="n"/>
      <c r="E589" s="11" t="n"/>
      <c r="F589" s="11" t="n"/>
      <c r="G589" s="11" t="n"/>
    </row>
    <row r="590">
      <c r="A590" s="10">
        <f>IF(B590="","",586)</f>
        <v/>
      </c>
      <c r="B590" s="11" t="n"/>
      <c r="C590" s="12" t="n"/>
      <c r="D590" s="11" t="n"/>
      <c r="E590" s="11" t="n"/>
      <c r="F590" s="11" t="n"/>
      <c r="G590" s="11" t="n"/>
    </row>
    <row r="591">
      <c r="A591" s="10">
        <f>IF(B591="","",587)</f>
        <v/>
      </c>
      <c r="B591" s="11" t="n"/>
      <c r="C591" s="12" t="n"/>
      <c r="D591" s="11" t="n"/>
      <c r="E591" s="11" t="n"/>
      <c r="F591" s="11" t="n"/>
      <c r="G591" s="11" t="n"/>
    </row>
    <row r="592">
      <c r="A592" s="10">
        <f>IF(B592="","",588)</f>
        <v/>
      </c>
      <c r="B592" s="11" t="n"/>
      <c r="C592" s="12" t="n"/>
      <c r="D592" s="11" t="n"/>
      <c r="E592" s="11" t="n"/>
      <c r="F592" s="11" t="n"/>
      <c r="G592" s="11" t="n"/>
    </row>
    <row r="593">
      <c r="A593" s="10">
        <f>IF(B593="","",589)</f>
        <v/>
      </c>
      <c r="B593" s="11" t="n"/>
      <c r="C593" s="12" t="n"/>
      <c r="D593" s="11" t="n"/>
      <c r="E593" s="11" t="n"/>
      <c r="F593" s="11" t="n"/>
      <c r="G593" s="11" t="n"/>
    </row>
    <row r="594">
      <c r="A594" s="10">
        <f>IF(B594="","",590)</f>
        <v/>
      </c>
      <c r="B594" s="11" t="n"/>
      <c r="C594" s="12" t="n"/>
      <c r="D594" s="11" t="n"/>
      <c r="E594" s="11" t="n"/>
      <c r="F594" s="11" t="n"/>
      <c r="G594" s="11" t="n"/>
    </row>
    <row r="595">
      <c r="A595" s="10">
        <f>IF(B595="","",591)</f>
        <v/>
      </c>
      <c r="B595" s="11" t="n"/>
      <c r="C595" s="12" t="n"/>
      <c r="D595" s="11" t="n"/>
      <c r="E595" s="11" t="n"/>
      <c r="F595" s="11" t="n"/>
      <c r="G595" s="11" t="n"/>
    </row>
    <row r="596">
      <c r="A596" s="10">
        <f>IF(B596="","",592)</f>
        <v/>
      </c>
      <c r="B596" s="11" t="n"/>
      <c r="C596" s="12" t="n"/>
      <c r="D596" s="11" t="n"/>
      <c r="E596" s="11" t="n"/>
      <c r="F596" s="11" t="n"/>
      <c r="G596" s="11" t="n"/>
    </row>
    <row r="597">
      <c r="A597" s="10">
        <f>IF(B597="","",593)</f>
        <v/>
      </c>
      <c r="B597" s="11" t="n"/>
      <c r="C597" s="12" t="n"/>
      <c r="D597" s="11" t="n"/>
      <c r="E597" s="11" t="n"/>
      <c r="F597" s="11" t="n"/>
      <c r="G597" s="11" t="n"/>
    </row>
    <row r="598">
      <c r="A598" s="10">
        <f>IF(B598="","",594)</f>
        <v/>
      </c>
      <c r="B598" s="11" t="n"/>
      <c r="C598" s="12" t="n"/>
      <c r="D598" s="11" t="n"/>
      <c r="E598" s="11" t="n"/>
      <c r="F598" s="11" t="n"/>
      <c r="G598" s="11" t="n"/>
    </row>
    <row r="599">
      <c r="A599" s="10">
        <f>IF(B599="","",595)</f>
        <v/>
      </c>
      <c r="B599" s="11" t="n"/>
      <c r="C599" s="12" t="n"/>
      <c r="D599" s="11" t="n"/>
      <c r="E599" s="11" t="n"/>
      <c r="F599" s="11" t="n"/>
      <c r="G599" s="11" t="n"/>
    </row>
    <row r="600">
      <c r="A600" s="10">
        <f>IF(B600="","",596)</f>
        <v/>
      </c>
      <c r="B600" s="11" t="n"/>
      <c r="C600" s="12" t="n"/>
      <c r="D600" s="11" t="n"/>
      <c r="E600" s="11" t="n"/>
      <c r="F600" s="11" t="n"/>
      <c r="G600" s="11" t="n"/>
    </row>
    <row r="601">
      <c r="A601" s="10">
        <f>IF(B601="","",597)</f>
        <v/>
      </c>
      <c r="B601" s="11" t="n"/>
      <c r="C601" s="12" t="n"/>
      <c r="D601" s="11" t="n"/>
      <c r="E601" s="11" t="n"/>
      <c r="F601" s="11" t="n"/>
      <c r="G601" s="11" t="n"/>
    </row>
    <row r="602">
      <c r="A602" s="10">
        <f>IF(B602="","",598)</f>
        <v/>
      </c>
      <c r="B602" s="11" t="n"/>
      <c r="C602" s="12" t="n"/>
      <c r="D602" s="11" t="n"/>
      <c r="E602" s="11" t="n"/>
      <c r="F602" s="11" t="n"/>
      <c r="G602" s="11" t="n"/>
    </row>
    <row r="603">
      <c r="A603" s="10">
        <f>IF(B603="","",599)</f>
        <v/>
      </c>
      <c r="B603" s="11" t="n"/>
      <c r="C603" s="12" t="n"/>
      <c r="D603" s="11" t="n"/>
      <c r="E603" s="11" t="n"/>
      <c r="F603" s="11" t="n"/>
      <c r="G603" s="11" t="n"/>
    </row>
    <row r="604">
      <c r="A604" s="10">
        <f>IF(B604="","",600)</f>
        <v/>
      </c>
      <c r="B604" s="11" t="n"/>
      <c r="C604" s="12" t="n"/>
      <c r="D604" s="11" t="n"/>
      <c r="E604" s="11" t="n"/>
      <c r="F604" s="11" t="n"/>
      <c r="G604" s="11" t="n"/>
    </row>
    <row r="605">
      <c r="A605" s="10">
        <f>IF(B605="","",601)</f>
        <v/>
      </c>
      <c r="B605" s="11" t="n"/>
      <c r="C605" s="12" t="n"/>
      <c r="D605" s="11" t="n"/>
      <c r="E605" s="11" t="n"/>
      <c r="F605" s="11" t="n"/>
      <c r="G605" s="11" t="n"/>
    </row>
    <row r="606">
      <c r="A606" s="10">
        <f>IF(B606="","",602)</f>
        <v/>
      </c>
      <c r="B606" s="11" t="n"/>
      <c r="C606" s="12" t="n"/>
      <c r="D606" s="11" t="n"/>
      <c r="E606" s="11" t="n"/>
      <c r="F606" s="11" t="n"/>
      <c r="G606" s="11" t="n"/>
    </row>
    <row r="607">
      <c r="A607" s="10">
        <f>IF(B607="","",603)</f>
        <v/>
      </c>
      <c r="B607" s="11" t="n"/>
      <c r="C607" s="12" t="n"/>
      <c r="D607" s="11" t="n"/>
      <c r="E607" s="11" t="n"/>
      <c r="F607" s="11" t="n"/>
      <c r="G607" s="11" t="n"/>
    </row>
    <row r="608">
      <c r="A608" s="10">
        <f>IF(B608="","",604)</f>
        <v/>
      </c>
      <c r="B608" s="11" t="n"/>
      <c r="C608" s="12" t="n"/>
      <c r="D608" s="11" t="n"/>
      <c r="E608" s="11" t="n"/>
      <c r="F608" s="11" t="n"/>
      <c r="G608" s="11" t="n"/>
    </row>
    <row r="609">
      <c r="A609" s="10">
        <f>IF(B609="","",605)</f>
        <v/>
      </c>
      <c r="B609" s="11" t="n"/>
      <c r="C609" s="12" t="n"/>
      <c r="D609" s="11" t="n"/>
      <c r="E609" s="11" t="n"/>
      <c r="F609" s="11" t="n"/>
      <c r="G609" s="11" t="n"/>
    </row>
    <row r="610">
      <c r="A610" s="10">
        <f>IF(B610="","",606)</f>
        <v/>
      </c>
      <c r="B610" s="11" t="n"/>
      <c r="C610" s="12" t="n"/>
      <c r="D610" s="11" t="n"/>
      <c r="E610" s="11" t="n"/>
      <c r="F610" s="11" t="n"/>
      <c r="G610" s="11" t="n"/>
    </row>
    <row r="611">
      <c r="A611" s="10">
        <f>IF(B611="","",607)</f>
        <v/>
      </c>
      <c r="B611" s="11" t="n"/>
      <c r="C611" s="12" t="n"/>
      <c r="D611" s="11" t="n"/>
      <c r="E611" s="11" t="n"/>
      <c r="F611" s="11" t="n"/>
      <c r="G611" s="11" t="n"/>
    </row>
    <row r="612">
      <c r="A612" s="10">
        <f>IF(B612="","",608)</f>
        <v/>
      </c>
      <c r="B612" s="11" t="n"/>
      <c r="C612" s="12" t="n"/>
      <c r="D612" s="11" t="n"/>
      <c r="E612" s="11" t="n"/>
      <c r="F612" s="11" t="n"/>
      <c r="G612" s="11" t="n"/>
    </row>
    <row r="613">
      <c r="A613" s="10">
        <f>IF(B613="","",609)</f>
        <v/>
      </c>
      <c r="B613" s="11" t="n"/>
      <c r="C613" s="12" t="n"/>
      <c r="D613" s="11" t="n"/>
      <c r="E613" s="11" t="n"/>
      <c r="F613" s="11" t="n"/>
      <c r="G613" s="11" t="n"/>
    </row>
    <row r="614">
      <c r="A614" s="10">
        <f>IF(B614="","",610)</f>
        <v/>
      </c>
      <c r="B614" s="11" t="n"/>
      <c r="C614" s="12" t="n"/>
      <c r="D614" s="11" t="n"/>
      <c r="E614" s="11" t="n"/>
      <c r="F614" s="11" t="n"/>
      <c r="G614" s="11" t="n"/>
    </row>
    <row r="615">
      <c r="A615" s="10">
        <f>IF(B615="","",611)</f>
        <v/>
      </c>
      <c r="B615" s="11" t="n"/>
      <c r="C615" s="12" t="n"/>
      <c r="D615" s="11" t="n"/>
      <c r="E615" s="11" t="n"/>
      <c r="F615" s="11" t="n"/>
      <c r="G615" s="11" t="n"/>
    </row>
    <row r="616">
      <c r="A616" s="10">
        <f>IF(B616="","",612)</f>
        <v/>
      </c>
      <c r="B616" s="11" t="n"/>
      <c r="C616" s="12" t="n"/>
      <c r="D616" s="11" t="n"/>
      <c r="E616" s="11" t="n"/>
      <c r="F616" s="11" t="n"/>
      <c r="G616" s="11" t="n"/>
    </row>
    <row r="617">
      <c r="A617" s="10">
        <f>IF(B617="","",613)</f>
        <v/>
      </c>
      <c r="B617" s="11" t="n"/>
      <c r="C617" s="12" t="n"/>
      <c r="D617" s="11" t="n"/>
      <c r="E617" s="11" t="n"/>
      <c r="F617" s="11" t="n"/>
      <c r="G617" s="11" t="n"/>
    </row>
    <row r="618">
      <c r="A618" s="10">
        <f>IF(B618="","",614)</f>
        <v/>
      </c>
      <c r="B618" s="11" t="n"/>
      <c r="C618" s="12" t="n"/>
      <c r="D618" s="11" t="n"/>
      <c r="E618" s="11" t="n"/>
      <c r="F618" s="11" t="n"/>
      <c r="G618" s="11" t="n"/>
    </row>
    <row r="619">
      <c r="A619" s="10">
        <f>IF(B619="","",615)</f>
        <v/>
      </c>
      <c r="B619" s="11" t="n"/>
      <c r="C619" s="12" t="n"/>
      <c r="D619" s="11" t="n"/>
      <c r="E619" s="11" t="n"/>
      <c r="F619" s="11" t="n"/>
      <c r="G619" s="11" t="n"/>
    </row>
    <row r="620">
      <c r="A620" s="10">
        <f>IF(B620="","",616)</f>
        <v/>
      </c>
      <c r="B620" s="11" t="n"/>
      <c r="C620" s="12" t="n"/>
      <c r="D620" s="11" t="n"/>
      <c r="E620" s="11" t="n"/>
      <c r="F620" s="11" t="n"/>
      <c r="G620" s="11" t="n"/>
    </row>
    <row r="621">
      <c r="A621" s="10">
        <f>IF(B621="","",617)</f>
        <v/>
      </c>
      <c r="B621" s="11" t="n"/>
      <c r="C621" s="12" t="n"/>
      <c r="D621" s="11" t="n"/>
      <c r="E621" s="11" t="n"/>
      <c r="F621" s="11" t="n"/>
      <c r="G621" s="11" t="n"/>
    </row>
    <row r="622">
      <c r="A622" s="10">
        <f>IF(B622="","",618)</f>
        <v/>
      </c>
      <c r="B622" s="11" t="n"/>
      <c r="C622" s="12" t="n"/>
      <c r="D622" s="11" t="n"/>
      <c r="E622" s="11" t="n"/>
      <c r="F622" s="11" t="n"/>
      <c r="G622" s="11" t="n"/>
    </row>
    <row r="623">
      <c r="A623" s="10">
        <f>IF(B623="","",619)</f>
        <v/>
      </c>
      <c r="B623" s="11" t="n"/>
      <c r="C623" s="12" t="n"/>
      <c r="D623" s="11" t="n"/>
      <c r="E623" s="11" t="n"/>
      <c r="F623" s="11" t="n"/>
      <c r="G623" s="11" t="n"/>
    </row>
    <row r="624">
      <c r="A624" s="10">
        <f>IF(B624="","",620)</f>
        <v/>
      </c>
      <c r="B624" s="11" t="n"/>
      <c r="C624" s="12" t="n"/>
      <c r="D624" s="11" t="n"/>
      <c r="E624" s="11" t="n"/>
      <c r="F624" s="11" t="n"/>
      <c r="G624" s="11" t="n"/>
    </row>
    <row r="625">
      <c r="A625" s="10">
        <f>IF(B625="","",621)</f>
        <v/>
      </c>
      <c r="B625" s="11" t="n"/>
      <c r="C625" s="12" t="n"/>
      <c r="D625" s="11" t="n"/>
      <c r="E625" s="11" t="n"/>
      <c r="F625" s="11" t="n"/>
      <c r="G625" s="11" t="n"/>
    </row>
    <row r="626">
      <c r="A626" s="10">
        <f>IF(B626="","",622)</f>
        <v/>
      </c>
      <c r="B626" s="11" t="n"/>
      <c r="C626" s="12" t="n"/>
      <c r="D626" s="11" t="n"/>
      <c r="E626" s="11" t="n"/>
      <c r="F626" s="11" t="n"/>
      <c r="G626" s="11" t="n"/>
    </row>
    <row r="627">
      <c r="A627" s="10">
        <f>IF(B627="","",623)</f>
        <v/>
      </c>
      <c r="B627" s="11" t="n"/>
      <c r="C627" s="12" t="n"/>
      <c r="D627" s="11" t="n"/>
      <c r="E627" s="11" t="n"/>
      <c r="F627" s="11" t="n"/>
      <c r="G627" s="11" t="n"/>
    </row>
    <row r="628">
      <c r="A628" s="10">
        <f>IF(B628="","",624)</f>
        <v/>
      </c>
      <c r="B628" s="11" t="n"/>
      <c r="C628" s="12" t="n"/>
      <c r="D628" s="11" t="n"/>
      <c r="E628" s="11" t="n"/>
      <c r="F628" s="11" t="n"/>
      <c r="G628" s="11" t="n"/>
    </row>
    <row r="629">
      <c r="A629" s="10">
        <f>IF(B629="","",625)</f>
        <v/>
      </c>
      <c r="B629" s="11" t="n"/>
      <c r="C629" s="12" t="n"/>
      <c r="D629" s="11" t="n"/>
      <c r="E629" s="11" t="n"/>
      <c r="F629" s="11" t="n"/>
      <c r="G629" s="11" t="n"/>
    </row>
    <row r="630">
      <c r="A630" s="10">
        <f>IF(B630="","",626)</f>
        <v/>
      </c>
      <c r="B630" s="11" t="n"/>
      <c r="C630" s="12" t="n"/>
      <c r="D630" s="11" t="n"/>
      <c r="E630" s="11" t="n"/>
      <c r="F630" s="11" t="n"/>
      <c r="G630" s="11" t="n"/>
    </row>
    <row r="631">
      <c r="A631" s="10">
        <f>IF(B631="","",627)</f>
        <v/>
      </c>
      <c r="B631" s="11" t="n"/>
      <c r="C631" s="12" t="n"/>
      <c r="D631" s="11" t="n"/>
      <c r="E631" s="11" t="n"/>
      <c r="F631" s="11" t="n"/>
      <c r="G631" s="11" t="n"/>
    </row>
    <row r="632">
      <c r="A632" s="10">
        <f>IF(B632="","",628)</f>
        <v/>
      </c>
      <c r="B632" s="11" t="n"/>
      <c r="C632" s="12" t="n"/>
      <c r="D632" s="11" t="n"/>
      <c r="E632" s="11" t="n"/>
      <c r="F632" s="11" t="n"/>
      <c r="G632" s="11" t="n"/>
    </row>
    <row r="633">
      <c r="A633" s="10">
        <f>IF(B633="","",629)</f>
        <v/>
      </c>
      <c r="B633" s="11" t="n"/>
      <c r="C633" s="12" t="n"/>
      <c r="D633" s="11" t="n"/>
      <c r="E633" s="11" t="n"/>
      <c r="F633" s="11" t="n"/>
      <c r="G633" s="11" t="n"/>
    </row>
    <row r="634">
      <c r="A634" s="10">
        <f>IF(B634="","",630)</f>
        <v/>
      </c>
      <c r="B634" s="11" t="n"/>
      <c r="C634" s="12" t="n"/>
      <c r="D634" s="11" t="n"/>
      <c r="E634" s="11" t="n"/>
      <c r="F634" s="11" t="n"/>
      <c r="G634" s="11" t="n"/>
    </row>
    <row r="635">
      <c r="A635" s="10">
        <f>IF(B635="","",631)</f>
        <v/>
      </c>
      <c r="B635" s="11" t="n"/>
      <c r="C635" s="12" t="n"/>
      <c r="D635" s="11" t="n"/>
      <c r="E635" s="11" t="n"/>
      <c r="F635" s="11" t="n"/>
      <c r="G635" s="11" t="n"/>
    </row>
    <row r="636">
      <c r="A636" s="10">
        <f>IF(B636="","",632)</f>
        <v/>
      </c>
      <c r="B636" s="11" t="n"/>
      <c r="C636" s="12" t="n"/>
      <c r="D636" s="11" t="n"/>
      <c r="E636" s="11" t="n"/>
      <c r="F636" s="11" t="n"/>
      <c r="G636" s="11" t="n"/>
    </row>
    <row r="637">
      <c r="A637" s="10">
        <f>IF(B637="","",633)</f>
        <v/>
      </c>
      <c r="B637" s="11" t="n"/>
      <c r="C637" s="12" t="n"/>
      <c r="D637" s="11" t="n"/>
      <c r="E637" s="11" t="n"/>
      <c r="F637" s="11" t="n"/>
      <c r="G637" s="11" t="n"/>
    </row>
    <row r="638">
      <c r="A638" s="10">
        <f>IF(B638="","",634)</f>
        <v/>
      </c>
      <c r="B638" s="11" t="n"/>
      <c r="C638" s="12" t="n"/>
      <c r="D638" s="11" t="n"/>
      <c r="E638" s="11" t="n"/>
      <c r="F638" s="11" t="n"/>
      <c r="G638" s="11" t="n"/>
    </row>
    <row r="639">
      <c r="A639" s="10">
        <f>IF(B639="","",635)</f>
        <v/>
      </c>
      <c r="B639" s="11" t="n"/>
      <c r="C639" s="12" t="n"/>
      <c r="D639" s="11" t="n"/>
      <c r="E639" s="11" t="n"/>
      <c r="F639" s="11" t="n"/>
      <c r="G639" s="11" t="n"/>
    </row>
    <row r="640">
      <c r="A640" s="10">
        <f>IF(B640="","",636)</f>
        <v/>
      </c>
      <c r="B640" s="11" t="n"/>
      <c r="C640" s="12" t="n"/>
      <c r="D640" s="11" t="n"/>
      <c r="E640" s="11" t="n"/>
      <c r="F640" s="11" t="n"/>
      <c r="G640" s="11" t="n"/>
    </row>
    <row r="641">
      <c r="A641" s="10">
        <f>IF(B641="","",637)</f>
        <v/>
      </c>
      <c r="B641" s="11" t="n"/>
      <c r="C641" s="12" t="n"/>
      <c r="D641" s="11" t="n"/>
      <c r="E641" s="11" t="n"/>
      <c r="F641" s="11" t="n"/>
      <c r="G641" s="11" t="n"/>
    </row>
    <row r="642">
      <c r="A642" s="10">
        <f>IF(B642="","",638)</f>
        <v/>
      </c>
      <c r="B642" s="11" t="n"/>
      <c r="C642" s="12" t="n"/>
      <c r="D642" s="11" t="n"/>
      <c r="E642" s="11" t="n"/>
      <c r="F642" s="11" t="n"/>
      <c r="G642" s="11" t="n"/>
    </row>
    <row r="643">
      <c r="A643" s="10">
        <f>IF(B643="","",639)</f>
        <v/>
      </c>
      <c r="B643" s="11" t="n"/>
      <c r="C643" s="12" t="n"/>
      <c r="D643" s="11" t="n"/>
      <c r="E643" s="11" t="n"/>
      <c r="F643" s="11" t="n"/>
      <c r="G643" s="11" t="n"/>
    </row>
    <row r="644">
      <c r="A644" s="10">
        <f>IF(B644="","",640)</f>
        <v/>
      </c>
      <c r="B644" s="11" t="n"/>
      <c r="C644" s="12" t="n"/>
      <c r="D644" s="11" t="n"/>
      <c r="E644" s="11" t="n"/>
      <c r="F644" s="11" t="n"/>
      <c r="G644" s="11" t="n"/>
    </row>
    <row r="645">
      <c r="A645" s="10">
        <f>IF(B645="","",641)</f>
        <v/>
      </c>
      <c r="B645" s="11" t="n"/>
      <c r="C645" s="12" t="n"/>
      <c r="D645" s="11" t="n"/>
      <c r="E645" s="11" t="n"/>
      <c r="F645" s="11" t="n"/>
      <c r="G645" s="11" t="n"/>
    </row>
    <row r="646">
      <c r="A646" s="10">
        <f>IF(B646="","",642)</f>
        <v/>
      </c>
      <c r="B646" s="11" t="n"/>
      <c r="C646" s="12" t="n"/>
      <c r="D646" s="11" t="n"/>
      <c r="E646" s="11" t="n"/>
      <c r="F646" s="11" t="n"/>
      <c r="G646" s="11" t="n"/>
    </row>
    <row r="647">
      <c r="A647" s="10">
        <f>IF(B647="","",643)</f>
        <v/>
      </c>
      <c r="B647" s="11" t="n"/>
      <c r="C647" s="12" t="n"/>
      <c r="D647" s="11" t="n"/>
      <c r="E647" s="11" t="n"/>
      <c r="F647" s="11" t="n"/>
      <c r="G647" s="11" t="n"/>
    </row>
    <row r="648">
      <c r="A648" s="10">
        <f>IF(B648="","",644)</f>
        <v/>
      </c>
      <c r="B648" s="11" t="n"/>
      <c r="C648" s="12" t="n"/>
      <c r="D648" s="11" t="n"/>
      <c r="E648" s="11" t="n"/>
      <c r="F648" s="11" t="n"/>
      <c r="G648" s="11" t="n"/>
    </row>
    <row r="649">
      <c r="A649" s="10">
        <f>IF(B649="","",645)</f>
        <v/>
      </c>
      <c r="B649" s="11" t="n"/>
      <c r="C649" s="12" t="n"/>
      <c r="D649" s="11" t="n"/>
      <c r="E649" s="11" t="n"/>
      <c r="F649" s="11" t="n"/>
      <c r="G649" s="11" t="n"/>
    </row>
    <row r="650">
      <c r="A650" s="10">
        <f>IF(B650="","",646)</f>
        <v/>
      </c>
      <c r="B650" s="11" t="n"/>
      <c r="C650" s="12" t="n"/>
      <c r="D650" s="11" t="n"/>
      <c r="E650" s="11" t="n"/>
      <c r="F650" s="11" t="n"/>
      <c r="G650" s="11" t="n"/>
    </row>
    <row r="651">
      <c r="A651" s="10">
        <f>IF(B651="","",647)</f>
        <v/>
      </c>
      <c r="B651" s="11" t="n"/>
      <c r="C651" s="12" t="n"/>
      <c r="D651" s="11" t="n"/>
      <c r="E651" s="11" t="n"/>
      <c r="F651" s="11" t="n"/>
      <c r="G651" s="11" t="n"/>
    </row>
    <row r="652">
      <c r="A652" s="10">
        <f>IF(B652="","",648)</f>
        <v/>
      </c>
      <c r="B652" s="11" t="n"/>
      <c r="C652" s="12" t="n"/>
      <c r="D652" s="11" t="n"/>
      <c r="E652" s="11" t="n"/>
      <c r="F652" s="11" t="n"/>
      <c r="G652" s="11" t="n"/>
    </row>
    <row r="653">
      <c r="A653" s="10">
        <f>IF(B653="","",649)</f>
        <v/>
      </c>
      <c r="B653" s="11" t="n"/>
      <c r="C653" s="12" t="n"/>
      <c r="D653" s="11" t="n"/>
      <c r="E653" s="11" t="n"/>
      <c r="F653" s="11" t="n"/>
      <c r="G653" s="11" t="n"/>
    </row>
    <row r="654">
      <c r="A654" s="10">
        <f>IF(B654="","",650)</f>
        <v/>
      </c>
      <c r="B654" s="11" t="n"/>
      <c r="C654" s="12" t="n"/>
      <c r="D654" s="11" t="n"/>
      <c r="E654" s="11" t="n"/>
      <c r="F654" s="11" t="n"/>
      <c r="G654" s="11" t="n"/>
    </row>
    <row r="655">
      <c r="A655" s="10">
        <f>IF(B655="","",651)</f>
        <v/>
      </c>
      <c r="B655" s="11" t="n"/>
      <c r="C655" s="12" t="n"/>
      <c r="D655" s="11" t="n"/>
      <c r="E655" s="11" t="n"/>
      <c r="F655" s="11" t="n"/>
      <c r="G655" s="11" t="n"/>
    </row>
    <row r="656">
      <c r="A656" s="10">
        <f>IF(B656="","",652)</f>
        <v/>
      </c>
      <c r="B656" s="11" t="n"/>
      <c r="C656" s="12" t="n"/>
      <c r="D656" s="11" t="n"/>
      <c r="E656" s="11" t="n"/>
      <c r="F656" s="11" t="n"/>
      <c r="G656" s="11" t="n"/>
    </row>
    <row r="657">
      <c r="A657" s="10">
        <f>IF(B657="","",653)</f>
        <v/>
      </c>
      <c r="B657" s="11" t="n"/>
      <c r="C657" s="12" t="n"/>
      <c r="D657" s="11" t="n"/>
      <c r="E657" s="11" t="n"/>
      <c r="F657" s="11" t="n"/>
      <c r="G657" s="11" t="n"/>
    </row>
    <row r="658">
      <c r="A658" s="10">
        <f>IF(B658="","",654)</f>
        <v/>
      </c>
      <c r="B658" s="11" t="n"/>
      <c r="C658" s="12" t="n"/>
      <c r="D658" s="11" t="n"/>
      <c r="E658" s="11" t="n"/>
      <c r="F658" s="11" t="n"/>
      <c r="G658" s="11" t="n"/>
    </row>
    <row r="659">
      <c r="A659" s="10">
        <f>IF(B659="","",655)</f>
        <v/>
      </c>
      <c r="B659" s="11" t="n"/>
      <c r="C659" s="12" t="n"/>
      <c r="D659" s="11" t="n"/>
      <c r="E659" s="11" t="n"/>
      <c r="F659" s="11" t="n"/>
      <c r="G659" s="11" t="n"/>
    </row>
    <row r="660">
      <c r="A660" s="10">
        <f>IF(B660="","",656)</f>
        <v/>
      </c>
      <c r="B660" s="11" t="n"/>
      <c r="C660" s="12" t="n"/>
      <c r="D660" s="11" t="n"/>
      <c r="E660" s="11" t="n"/>
      <c r="F660" s="11" t="n"/>
      <c r="G660" s="11" t="n"/>
    </row>
    <row r="661">
      <c r="A661" s="10">
        <f>IF(B661="","",657)</f>
        <v/>
      </c>
      <c r="B661" s="11" t="n"/>
      <c r="C661" s="12" t="n"/>
      <c r="D661" s="11" t="n"/>
      <c r="E661" s="11" t="n"/>
      <c r="F661" s="11" t="n"/>
      <c r="G661" s="11" t="n"/>
    </row>
    <row r="662">
      <c r="A662" s="10">
        <f>IF(B662="","",658)</f>
        <v/>
      </c>
      <c r="B662" s="11" t="n"/>
      <c r="C662" s="12" t="n"/>
      <c r="D662" s="11" t="n"/>
      <c r="E662" s="11" t="n"/>
      <c r="F662" s="11" t="n"/>
      <c r="G662" s="11" t="n"/>
    </row>
    <row r="663">
      <c r="A663" s="10">
        <f>IF(B663="","",659)</f>
        <v/>
      </c>
      <c r="B663" s="11" t="n"/>
      <c r="C663" s="12" t="n"/>
      <c r="D663" s="11" t="n"/>
      <c r="E663" s="11" t="n"/>
      <c r="F663" s="11" t="n"/>
      <c r="G663" s="11" t="n"/>
    </row>
    <row r="664">
      <c r="A664" s="10">
        <f>IF(B664="","",660)</f>
        <v/>
      </c>
      <c r="B664" s="11" t="n"/>
      <c r="C664" s="12" t="n"/>
      <c r="D664" s="11" t="n"/>
      <c r="E664" s="11" t="n"/>
      <c r="F664" s="11" t="n"/>
      <c r="G664" s="11" t="n"/>
    </row>
    <row r="665">
      <c r="A665" s="10">
        <f>IF(B665="","",661)</f>
        <v/>
      </c>
      <c r="B665" s="11" t="n"/>
      <c r="C665" s="12" t="n"/>
      <c r="D665" s="11" t="n"/>
      <c r="E665" s="11" t="n"/>
      <c r="F665" s="11" t="n"/>
      <c r="G665" s="11" t="n"/>
    </row>
    <row r="666">
      <c r="A666" s="10">
        <f>IF(B666="","",662)</f>
        <v/>
      </c>
      <c r="B666" s="11" t="n"/>
      <c r="C666" s="12" t="n"/>
      <c r="D666" s="11" t="n"/>
      <c r="E666" s="11" t="n"/>
      <c r="F666" s="11" t="n"/>
      <c r="G666" s="11" t="n"/>
    </row>
    <row r="667">
      <c r="A667" s="10">
        <f>IF(B667="","",663)</f>
        <v/>
      </c>
      <c r="B667" s="11" t="n"/>
      <c r="C667" s="12" t="n"/>
      <c r="D667" s="11" t="n"/>
      <c r="E667" s="11" t="n"/>
      <c r="F667" s="11" t="n"/>
      <c r="G667" s="11" t="n"/>
    </row>
    <row r="668">
      <c r="A668" s="10">
        <f>IF(B668="","",664)</f>
        <v/>
      </c>
      <c r="B668" s="11" t="n"/>
      <c r="C668" s="12" t="n"/>
      <c r="D668" s="11" t="n"/>
      <c r="E668" s="11" t="n"/>
      <c r="F668" s="11" t="n"/>
      <c r="G668" s="11" t="n"/>
    </row>
    <row r="669">
      <c r="A669" s="10">
        <f>IF(B669="","",665)</f>
        <v/>
      </c>
      <c r="B669" s="11" t="n"/>
      <c r="C669" s="12" t="n"/>
      <c r="D669" s="11" t="n"/>
      <c r="E669" s="11" t="n"/>
      <c r="F669" s="11" t="n"/>
      <c r="G669" s="11" t="n"/>
    </row>
    <row r="670">
      <c r="A670" s="10">
        <f>IF(B670="","",666)</f>
        <v/>
      </c>
      <c r="B670" s="11" t="n"/>
      <c r="C670" s="12" t="n"/>
      <c r="D670" s="11" t="n"/>
      <c r="E670" s="11" t="n"/>
      <c r="F670" s="11" t="n"/>
      <c r="G670" s="11" t="n"/>
    </row>
    <row r="671">
      <c r="A671" s="10">
        <f>IF(B671="","",667)</f>
        <v/>
      </c>
      <c r="B671" s="11" t="n"/>
      <c r="C671" s="12" t="n"/>
      <c r="D671" s="11" t="n"/>
      <c r="E671" s="11" t="n"/>
      <c r="F671" s="11" t="n"/>
      <c r="G671" s="11" t="n"/>
    </row>
    <row r="672">
      <c r="A672" s="10">
        <f>IF(B672="","",668)</f>
        <v/>
      </c>
      <c r="B672" s="11" t="n"/>
      <c r="C672" s="12" t="n"/>
      <c r="D672" s="11" t="n"/>
      <c r="E672" s="11" t="n"/>
      <c r="F672" s="11" t="n"/>
      <c r="G672" s="11" t="n"/>
    </row>
    <row r="673">
      <c r="A673" s="10">
        <f>IF(B673="","",669)</f>
        <v/>
      </c>
      <c r="B673" s="11" t="n"/>
      <c r="C673" s="12" t="n"/>
      <c r="D673" s="11" t="n"/>
      <c r="E673" s="11" t="n"/>
      <c r="F673" s="11" t="n"/>
      <c r="G673" s="11" t="n"/>
    </row>
    <row r="674">
      <c r="A674" s="10">
        <f>IF(B674="","",670)</f>
        <v/>
      </c>
      <c r="B674" s="11" t="n"/>
      <c r="C674" s="12" t="n"/>
      <c r="D674" s="11" t="n"/>
      <c r="E674" s="11" t="n"/>
      <c r="F674" s="11" t="n"/>
      <c r="G674" s="11" t="n"/>
    </row>
    <row r="675">
      <c r="A675" s="10">
        <f>IF(B675="","",671)</f>
        <v/>
      </c>
      <c r="B675" s="11" t="n"/>
      <c r="C675" s="12" t="n"/>
      <c r="D675" s="11" t="n"/>
      <c r="E675" s="11" t="n"/>
      <c r="F675" s="11" t="n"/>
      <c r="G675" s="11" t="n"/>
    </row>
    <row r="676">
      <c r="A676" s="10">
        <f>IF(B676="","",672)</f>
        <v/>
      </c>
      <c r="B676" s="11" t="n"/>
      <c r="C676" s="12" t="n"/>
      <c r="D676" s="11" t="n"/>
      <c r="E676" s="11" t="n"/>
      <c r="F676" s="11" t="n"/>
      <c r="G676" s="11" t="n"/>
    </row>
    <row r="677">
      <c r="A677" s="10">
        <f>IF(B677="","",673)</f>
        <v/>
      </c>
      <c r="B677" s="11" t="n"/>
      <c r="C677" s="12" t="n"/>
      <c r="D677" s="11" t="n"/>
      <c r="E677" s="11" t="n"/>
      <c r="F677" s="11" t="n"/>
      <c r="G677" s="11" t="n"/>
    </row>
    <row r="678">
      <c r="A678" s="10">
        <f>IF(B678="","",674)</f>
        <v/>
      </c>
      <c r="B678" s="11" t="n"/>
      <c r="C678" s="12" t="n"/>
      <c r="D678" s="11" t="n"/>
      <c r="E678" s="11" t="n"/>
      <c r="F678" s="11" t="n"/>
      <c r="G678" s="11" t="n"/>
    </row>
    <row r="679">
      <c r="A679" s="10">
        <f>IF(B679="","",675)</f>
        <v/>
      </c>
      <c r="B679" s="11" t="n"/>
      <c r="C679" s="12" t="n"/>
      <c r="D679" s="11" t="n"/>
      <c r="E679" s="11" t="n"/>
      <c r="F679" s="11" t="n"/>
      <c r="G679" s="11" t="n"/>
    </row>
    <row r="680">
      <c r="A680" s="10">
        <f>IF(B680="","",676)</f>
        <v/>
      </c>
      <c r="B680" s="11" t="n"/>
      <c r="C680" s="12" t="n"/>
      <c r="D680" s="11" t="n"/>
      <c r="E680" s="11" t="n"/>
      <c r="F680" s="11" t="n"/>
      <c r="G680" s="11" t="n"/>
    </row>
    <row r="681">
      <c r="A681" s="10">
        <f>IF(B681="","",677)</f>
        <v/>
      </c>
      <c r="B681" s="11" t="n"/>
      <c r="C681" s="12" t="n"/>
      <c r="D681" s="11" t="n"/>
      <c r="E681" s="11" t="n"/>
      <c r="F681" s="11" t="n"/>
      <c r="G681" s="11" t="n"/>
    </row>
    <row r="682">
      <c r="A682" s="10">
        <f>IF(B682="","",678)</f>
        <v/>
      </c>
      <c r="B682" s="11" t="n"/>
      <c r="C682" s="12" t="n"/>
      <c r="D682" s="11" t="n"/>
      <c r="E682" s="11" t="n"/>
      <c r="F682" s="11" t="n"/>
      <c r="G682" s="11" t="n"/>
    </row>
    <row r="683">
      <c r="A683" s="10">
        <f>IF(B683="","",679)</f>
        <v/>
      </c>
      <c r="B683" s="11" t="n"/>
      <c r="C683" s="12" t="n"/>
      <c r="D683" s="11" t="n"/>
      <c r="E683" s="11" t="n"/>
      <c r="F683" s="11" t="n"/>
      <c r="G683" s="11" t="n"/>
    </row>
    <row r="684">
      <c r="A684" s="10">
        <f>IF(B684="","",680)</f>
        <v/>
      </c>
      <c r="B684" s="11" t="n"/>
      <c r="C684" s="12" t="n"/>
      <c r="D684" s="11" t="n"/>
      <c r="E684" s="11" t="n"/>
      <c r="F684" s="11" t="n"/>
      <c r="G684" s="11" t="n"/>
    </row>
    <row r="685">
      <c r="A685" s="10">
        <f>IF(B685="","",681)</f>
        <v/>
      </c>
      <c r="B685" s="11" t="n"/>
      <c r="C685" s="12" t="n"/>
      <c r="D685" s="11" t="n"/>
      <c r="E685" s="11" t="n"/>
      <c r="F685" s="11" t="n"/>
      <c r="G685" s="11" t="n"/>
    </row>
    <row r="686">
      <c r="A686" s="10">
        <f>IF(B686="","",682)</f>
        <v/>
      </c>
      <c r="B686" s="11" t="n"/>
      <c r="C686" s="12" t="n"/>
      <c r="D686" s="11" t="n"/>
      <c r="E686" s="11" t="n"/>
      <c r="F686" s="11" t="n"/>
      <c r="G686" s="11" t="n"/>
    </row>
    <row r="687">
      <c r="A687" s="10">
        <f>IF(B687="","",683)</f>
        <v/>
      </c>
      <c r="B687" s="11" t="n"/>
      <c r="C687" s="12" t="n"/>
      <c r="D687" s="11" t="n"/>
      <c r="E687" s="11" t="n"/>
      <c r="F687" s="11" t="n"/>
      <c r="G687" s="11" t="n"/>
    </row>
    <row r="688">
      <c r="A688" s="10">
        <f>IF(B688="","",684)</f>
        <v/>
      </c>
      <c r="B688" s="11" t="n"/>
      <c r="C688" s="12" t="n"/>
      <c r="D688" s="11" t="n"/>
      <c r="E688" s="11" t="n"/>
      <c r="F688" s="11" t="n"/>
      <c r="G688" s="11" t="n"/>
    </row>
    <row r="689">
      <c r="A689" s="10">
        <f>IF(B689="","",685)</f>
        <v/>
      </c>
      <c r="B689" s="11" t="n"/>
      <c r="C689" s="12" t="n"/>
      <c r="D689" s="11" t="n"/>
      <c r="E689" s="11" t="n"/>
      <c r="F689" s="11" t="n"/>
      <c r="G689" s="11" t="n"/>
    </row>
    <row r="690">
      <c r="A690" s="10">
        <f>IF(B690="","",686)</f>
        <v/>
      </c>
      <c r="B690" s="11" t="n"/>
      <c r="C690" s="12" t="n"/>
      <c r="D690" s="11" t="n"/>
      <c r="E690" s="11" t="n"/>
      <c r="F690" s="11" t="n"/>
      <c r="G690" s="11" t="n"/>
    </row>
    <row r="691">
      <c r="A691" s="10">
        <f>IF(B691="","",687)</f>
        <v/>
      </c>
      <c r="B691" s="11" t="n"/>
      <c r="C691" s="12" t="n"/>
      <c r="D691" s="11" t="n"/>
      <c r="E691" s="11" t="n"/>
      <c r="F691" s="11" t="n"/>
      <c r="G691" s="11" t="n"/>
    </row>
    <row r="692">
      <c r="A692" s="10">
        <f>IF(B692="","",688)</f>
        <v/>
      </c>
      <c r="B692" s="11" t="n"/>
      <c r="C692" s="12" t="n"/>
      <c r="D692" s="11" t="n"/>
      <c r="E692" s="11" t="n"/>
      <c r="F692" s="11" t="n"/>
      <c r="G692" s="11" t="n"/>
    </row>
    <row r="693">
      <c r="A693" s="10">
        <f>IF(B693="","",689)</f>
        <v/>
      </c>
      <c r="B693" s="11" t="n"/>
      <c r="C693" s="12" t="n"/>
      <c r="D693" s="11" t="n"/>
      <c r="E693" s="11" t="n"/>
      <c r="F693" s="11" t="n"/>
      <c r="G693" s="11" t="n"/>
    </row>
    <row r="694">
      <c r="A694" s="10">
        <f>IF(B694="","",690)</f>
        <v/>
      </c>
      <c r="B694" s="11" t="n"/>
      <c r="C694" s="12" t="n"/>
      <c r="D694" s="11" t="n"/>
      <c r="E694" s="11" t="n"/>
      <c r="F694" s="11" t="n"/>
      <c r="G694" s="11" t="n"/>
    </row>
    <row r="695">
      <c r="A695" s="10">
        <f>IF(B695="","",691)</f>
        <v/>
      </c>
      <c r="B695" s="11" t="n"/>
      <c r="C695" s="12" t="n"/>
      <c r="D695" s="11" t="n"/>
      <c r="E695" s="11" t="n"/>
      <c r="F695" s="11" t="n"/>
      <c r="G695" s="11" t="n"/>
    </row>
    <row r="696">
      <c r="A696" s="10">
        <f>IF(B696="","",692)</f>
        <v/>
      </c>
      <c r="B696" s="11" t="n"/>
      <c r="C696" s="12" t="n"/>
      <c r="D696" s="11" t="n"/>
      <c r="E696" s="11" t="n"/>
      <c r="F696" s="11" t="n"/>
      <c r="G696" s="11" t="n"/>
    </row>
    <row r="697">
      <c r="A697" s="10">
        <f>IF(B697="","",693)</f>
        <v/>
      </c>
      <c r="B697" s="11" t="n"/>
      <c r="C697" s="12" t="n"/>
      <c r="D697" s="11" t="n"/>
      <c r="E697" s="11" t="n"/>
      <c r="F697" s="11" t="n"/>
      <c r="G697" s="11" t="n"/>
    </row>
    <row r="698">
      <c r="A698" s="10">
        <f>IF(B698="","",694)</f>
        <v/>
      </c>
      <c r="B698" s="11" t="n"/>
      <c r="C698" s="12" t="n"/>
      <c r="D698" s="11" t="n"/>
      <c r="E698" s="11" t="n"/>
      <c r="F698" s="11" t="n"/>
      <c r="G698" s="11" t="n"/>
    </row>
    <row r="699">
      <c r="A699" s="10">
        <f>IF(B699="","",695)</f>
        <v/>
      </c>
      <c r="B699" s="11" t="n"/>
      <c r="C699" s="12" t="n"/>
      <c r="D699" s="11" t="n"/>
      <c r="E699" s="11" t="n"/>
      <c r="F699" s="11" t="n"/>
      <c r="G699" s="11" t="n"/>
    </row>
    <row r="700">
      <c r="A700" s="10">
        <f>IF(B700="","",696)</f>
        <v/>
      </c>
      <c r="B700" s="11" t="n"/>
      <c r="C700" s="12" t="n"/>
      <c r="D700" s="11" t="n"/>
      <c r="E700" s="11" t="n"/>
      <c r="F700" s="11" t="n"/>
      <c r="G700" s="11" t="n"/>
    </row>
    <row r="701">
      <c r="A701" s="10">
        <f>IF(B701="","",697)</f>
        <v/>
      </c>
      <c r="B701" s="11" t="n"/>
      <c r="C701" s="12" t="n"/>
      <c r="D701" s="11" t="n"/>
      <c r="E701" s="11" t="n"/>
      <c r="F701" s="11" t="n"/>
      <c r="G701" s="11" t="n"/>
    </row>
    <row r="702">
      <c r="A702" s="10">
        <f>IF(B702="","",698)</f>
        <v/>
      </c>
      <c r="B702" s="11" t="n"/>
      <c r="C702" s="12" t="n"/>
      <c r="D702" s="11" t="n"/>
      <c r="E702" s="11" t="n"/>
      <c r="F702" s="11" t="n"/>
      <c r="G702" s="11" t="n"/>
    </row>
    <row r="703">
      <c r="A703" s="10">
        <f>IF(B703="","",699)</f>
        <v/>
      </c>
      <c r="B703" s="11" t="n"/>
      <c r="C703" s="12" t="n"/>
      <c r="D703" s="11" t="n"/>
      <c r="E703" s="11" t="n"/>
      <c r="F703" s="11" t="n"/>
      <c r="G703" s="11" t="n"/>
    </row>
    <row r="704">
      <c r="A704" s="10">
        <f>IF(B704="","",700)</f>
        <v/>
      </c>
      <c r="B704" s="11" t="n"/>
      <c r="C704" s="12" t="n"/>
      <c r="D704" s="11" t="n"/>
      <c r="E704" s="11" t="n"/>
      <c r="F704" s="11" t="n"/>
      <c r="G704" s="11" t="n"/>
    </row>
    <row r="705">
      <c r="A705" s="10">
        <f>IF(B705="","",701)</f>
        <v/>
      </c>
      <c r="B705" s="11" t="n"/>
      <c r="C705" s="12" t="n"/>
      <c r="D705" s="11" t="n"/>
      <c r="E705" s="11" t="n"/>
      <c r="F705" s="11" t="n"/>
      <c r="G705" s="11" t="n"/>
    </row>
    <row r="706">
      <c r="A706" s="10">
        <f>IF(B706="","",702)</f>
        <v/>
      </c>
      <c r="B706" s="11" t="n"/>
      <c r="C706" s="12" t="n"/>
      <c r="D706" s="11" t="n"/>
      <c r="E706" s="11" t="n"/>
      <c r="F706" s="11" t="n"/>
      <c r="G706" s="11" t="n"/>
    </row>
    <row r="707">
      <c r="A707" s="10">
        <f>IF(B707="","",703)</f>
        <v/>
      </c>
      <c r="B707" s="11" t="n"/>
      <c r="C707" s="12" t="n"/>
      <c r="D707" s="11" t="n"/>
      <c r="E707" s="11" t="n"/>
      <c r="F707" s="11" t="n"/>
      <c r="G707" s="11" t="n"/>
    </row>
    <row r="708">
      <c r="A708" s="10">
        <f>IF(B708="","",704)</f>
        <v/>
      </c>
      <c r="B708" s="11" t="n"/>
      <c r="C708" s="12" t="n"/>
      <c r="D708" s="11" t="n"/>
      <c r="E708" s="11" t="n"/>
      <c r="F708" s="11" t="n"/>
      <c r="G708" s="11" t="n"/>
    </row>
    <row r="709">
      <c r="A709" s="10">
        <f>IF(B709="","",705)</f>
        <v/>
      </c>
      <c r="B709" s="11" t="n"/>
      <c r="C709" s="12" t="n"/>
      <c r="D709" s="11" t="n"/>
      <c r="E709" s="11" t="n"/>
      <c r="F709" s="11" t="n"/>
      <c r="G709" s="11" t="n"/>
    </row>
    <row r="710">
      <c r="A710" s="10">
        <f>IF(B710="","",706)</f>
        <v/>
      </c>
      <c r="B710" s="11" t="n"/>
      <c r="C710" s="12" t="n"/>
      <c r="D710" s="11" t="n"/>
      <c r="E710" s="11" t="n"/>
      <c r="F710" s="11" t="n"/>
      <c r="G710" s="11" t="n"/>
    </row>
    <row r="711">
      <c r="A711" s="10">
        <f>IF(B711="","",707)</f>
        <v/>
      </c>
      <c r="B711" s="11" t="n"/>
      <c r="C711" s="12" t="n"/>
      <c r="D711" s="11" t="n"/>
      <c r="E711" s="11" t="n"/>
      <c r="F711" s="11" t="n"/>
      <c r="G711" s="11" t="n"/>
    </row>
    <row r="712">
      <c r="A712" s="10">
        <f>IF(B712="","",708)</f>
        <v/>
      </c>
      <c r="B712" s="11" t="n"/>
      <c r="C712" s="12" t="n"/>
      <c r="D712" s="11" t="n"/>
      <c r="E712" s="11" t="n"/>
      <c r="F712" s="11" t="n"/>
      <c r="G712" s="11" t="n"/>
    </row>
    <row r="713">
      <c r="A713" s="10">
        <f>IF(B713="","",709)</f>
        <v/>
      </c>
      <c r="B713" s="11" t="n"/>
      <c r="C713" s="12" t="n"/>
      <c r="D713" s="11" t="n"/>
      <c r="E713" s="11" t="n"/>
      <c r="F713" s="11" t="n"/>
      <c r="G713" s="11" t="n"/>
    </row>
    <row r="714">
      <c r="A714" s="10">
        <f>IF(B714="","",710)</f>
        <v/>
      </c>
      <c r="B714" s="11" t="n"/>
      <c r="C714" s="12" t="n"/>
      <c r="D714" s="11" t="n"/>
      <c r="E714" s="11" t="n"/>
      <c r="F714" s="11" t="n"/>
      <c r="G714" s="11" t="n"/>
    </row>
    <row r="715">
      <c r="A715" s="10">
        <f>IF(B715="","",711)</f>
        <v/>
      </c>
      <c r="B715" s="11" t="n"/>
      <c r="C715" s="12" t="n"/>
      <c r="D715" s="11" t="n"/>
      <c r="E715" s="11" t="n"/>
      <c r="F715" s="11" t="n"/>
      <c r="G715" s="11" t="n"/>
    </row>
    <row r="716">
      <c r="A716" s="10">
        <f>IF(B716="","",712)</f>
        <v/>
      </c>
      <c r="B716" s="11" t="n"/>
      <c r="C716" s="12" t="n"/>
      <c r="D716" s="11" t="n"/>
      <c r="E716" s="11" t="n"/>
      <c r="F716" s="11" t="n"/>
      <c r="G716" s="11" t="n"/>
    </row>
    <row r="717">
      <c r="A717" s="10">
        <f>IF(B717="","",713)</f>
        <v/>
      </c>
      <c r="B717" s="11" t="n"/>
      <c r="C717" s="12" t="n"/>
      <c r="D717" s="11" t="n"/>
      <c r="E717" s="11" t="n"/>
      <c r="F717" s="11" t="n"/>
      <c r="G717" s="11" t="n"/>
    </row>
    <row r="718">
      <c r="A718" s="10">
        <f>IF(B718="","",714)</f>
        <v/>
      </c>
      <c r="B718" s="11" t="n"/>
      <c r="C718" s="12" t="n"/>
      <c r="D718" s="11" t="n"/>
      <c r="E718" s="11" t="n"/>
      <c r="F718" s="11" t="n"/>
      <c r="G718" s="11" t="n"/>
    </row>
    <row r="719">
      <c r="A719" s="10">
        <f>IF(B719="","",715)</f>
        <v/>
      </c>
      <c r="B719" s="11" t="n"/>
      <c r="C719" s="12" t="n"/>
      <c r="D719" s="11" t="n"/>
      <c r="E719" s="11" t="n"/>
      <c r="F719" s="11" t="n"/>
      <c r="G719" s="11" t="n"/>
    </row>
    <row r="720">
      <c r="A720" s="10">
        <f>IF(B720="","",716)</f>
        <v/>
      </c>
      <c r="B720" s="11" t="n"/>
      <c r="C720" s="12" t="n"/>
      <c r="D720" s="11" t="n"/>
      <c r="E720" s="11" t="n"/>
      <c r="F720" s="11" t="n"/>
      <c r="G720" s="11" t="n"/>
    </row>
    <row r="721">
      <c r="A721" s="10">
        <f>IF(B721="","",717)</f>
        <v/>
      </c>
      <c r="B721" s="11" t="n"/>
      <c r="C721" s="12" t="n"/>
      <c r="D721" s="11" t="n"/>
      <c r="E721" s="11" t="n"/>
      <c r="F721" s="11" t="n"/>
      <c r="G721" s="11" t="n"/>
    </row>
    <row r="722">
      <c r="A722" s="10">
        <f>IF(B722="","",718)</f>
        <v/>
      </c>
      <c r="B722" s="11" t="n"/>
      <c r="C722" s="12" t="n"/>
      <c r="D722" s="11" t="n"/>
      <c r="E722" s="11" t="n"/>
      <c r="F722" s="11" t="n"/>
      <c r="G722" s="11" t="n"/>
    </row>
    <row r="723">
      <c r="A723" s="10">
        <f>IF(B723="","",719)</f>
        <v/>
      </c>
      <c r="B723" s="11" t="n"/>
      <c r="C723" s="12" t="n"/>
      <c r="D723" s="11" t="n"/>
      <c r="E723" s="11" t="n"/>
      <c r="F723" s="11" t="n"/>
      <c r="G723" s="11" t="n"/>
    </row>
    <row r="724">
      <c r="A724" s="10">
        <f>IF(B724="","",720)</f>
        <v/>
      </c>
      <c r="B724" s="11" t="n"/>
      <c r="C724" s="12" t="n"/>
      <c r="D724" s="11" t="n"/>
      <c r="E724" s="11" t="n"/>
      <c r="F724" s="11" t="n"/>
      <c r="G724" s="11" t="n"/>
    </row>
    <row r="725">
      <c r="A725" s="10">
        <f>IF(B725="","",721)</f>
        <v/>
      </c>
      <c r="B725" s="11" t="n"/>
      <c r="C725" s="12" t="n"/>
      <c r="D725" s="11" t="n"/>
      <c r="E725" s="11" t="n"/>
      <c r="F725" s="11" t="n"/>
      <c r="G725" s="11" t="n"/>
    </row>
    <row r="726">
      <c r="A726" s="10">
        <f>IF(B726="","",722)</f>
        <v/>
      </c>
      <c r="B726" s="11" t="n"/>
      <c r="C726" s="12" t="n"/>
      <c r="D726" s="11" t="n"/>
      <c r="E726" s="11" t="n"/>
      <c r="F726" s="11" t="n"/>
      <c r="G726" s="11" t="n"/>
    </row>
    <row r="727">
      <c r="A727" s="10">
        <f>IF(B727="","",723)</f>
        <v/>
      </c>
      <c r="B727" s="11" t="n"/>
      <c r="C727" s="12" t="n"/>
      <c r="D727" s="11" t="n"/>
      <c r="E727" s="11" t="n"/>
      <c r="F727" s="11" t="n"/>
      <c r="G727" s="11" t="n"/>
    </row>
    <row r="728">
      <c r="A728" s="10">
        <f>IF(B728="","",724)</f>
        <v/>
      </c>
      <c r="B728" s="11" t="n"/>
      <c r="C728" s="12" t="n"/>
      <c r="D728" s="11" t="n"/>
      <c r="E728" s="11" t="n"/>
      <c r="F728" s="11" t="n"/>
      <c r="G728" s="11" t="n"/>
    </row>
    <row r="729">
      <c r="A729" s="10">
        <f>IF(B729="","",725)</f>
        <v/>
      </c>
      <c r="B729" s="11" t="n"/>
      <c r="C729" s="12" t="n"/>
      <c r="D729" s="11" t="n"/>
      <c r="E729" s="11" t="n"/>
      <c r="F729" s="11" t="n"/>
      <c r="G729" s="11" t="n"/>
    </row>
    <row r="730">
      <c r="A730" s="10">
        <f>IF(B730="","",726)</f>
        <v/>
      </c>
      <c r="B730" s="11" t="n"/>
      <c r="C730" s="12" t="n"/>
      <c r="D730" s="11" t="n"/>
      <c r="E730" s="11" t="n"/>
      <c r="F730" s="11" t="n"/>
      <c r="G730" s="11" t="n"/>
    </row>
    <row r="731">
      <c r="A731" s="10">
        <f>IF(B731="","",727)</f>
        <v/>
      </c>
      <c r="B731" s="11" t="n"/>
      <c r="C731" s="12" t="n"/>
      <c r="D731" s="11" t="n"/>
      <c r="E731" s="11" t="n"/>
      <c r="F731" s="11" t="n"/>
      <c r="G731" s="11" t="n"/>
    </row>
    <row r="732">
      <c r="A732" s="10">
        <f>IF(B732="","",728)</f>
        <v/>
      </c>
      <c r="B732" s="11" t="n"/>
      <c r="C732" s="12" t="n"/>
      <c r="D732" s="11" t="n"/>
      <c r="E732" s="11" t="n"/>
      <c r="F732" s="11" t="n"/>
      <c r="G732" s="11" t="n"/>
    </row>
    <row r="733">
      <c r="A733" s="10">
        <f>IF(B733="","",729)</f>
        <v/>
      </c>
      <c r="B733" s="11" t="n"/>
      <c r="C733" s="12" t="n"/>
      <c r="D733" s="11" t="n"/>
      <c r="E733" s="11" t="n"/>
      <c r="F733" s="11" t="n"/>
      <c r="G733" s="11" t="n"/>
    </row>
    <row r="734">
      <c r="A734" s="10">
        <f>IF(B734="","",730)</f>
        <v/>
      </c>
      <c r="B734" s="11" t="n"/>
      <c r="C734" s="12" t="n"/>
      <c r="D734" s="11" t="n"/>
      <c r="E734" s="11" t="n"/>
      <c r="F734" s="11" t="n"/>
      <c r="G734" s="11" t="n"/>
    </row>
    <row r="735">
      <c r="A735" s="10">
        <f>IF(B735="","",731)</f>
        <v/>
      </c>
      <c r="B735" s="11" t="n"/>
      <c r="C735" s="12" t="n"/>
      <c r="D735" s="11" t="n"/>
      <c r="E735" s="11" t="n"/>
      <c r="F735" s="11" t="n"/>
      <c r="G735" s="11" t="n"/>
    </row>
    <row r="736">
      <c r="A736" s="10">
        <f>IF(B736="","",732)</f>
        <v/>
      </c>
      <c r="B736" s="11" t="n"/>
      <c r="C736" s="12" t="n"/>
      <c r="D736" s="11" t="n"/>
      <c r="E736" s="11" t="n"/>
      <c r="F736" s="11" t="n"/>
      <c r="G736" s="11" t="n"/>
    </row>
    <row r="737">
      <c r="A737" s="10">
        <f>IF(B737="","",733)</f>
        <v/>
      </c>
      <c r="B737" s="11" t="n"/>
      <c r="C737" s="12" t="n"/>
      <c r="D737" s="11" t="n"/>
      <c r="E737" s="11" t="n"/>
      <c r="F737" s="11" t="n"/>
      <c r="G737" s="11" t="n"/>
    </row>
    <row r="738">
      <c r="A738" s="10">
        <f>IF(B738="","",734)</f>
        <v/>
      </c>
      <c r="B738" s="11" t="n"/>
      <c r="C738" s="12" t="n"/>
      <c r="D738" s="11" t="n"/>
      <c r="E738" s="11" t="n"/>
      <c r="F738" s="11" t="n"/>
      <c r="G738" s="11" t="n"/>
    </row>
    <row r="739">
      <c r="A739" s="10">
        <f>IF(B739="","",735)</f>
        <v/>
      </c>
      <c r="B739" s="11" t="n"/>
      <c r="C739" s="12" t="n"/>
      <c r="D739" s="11" t="n"/>
      <c r="E739" s="11" t="n"/>
      <c r="F739" s="11" t="n"/>
      <c r="G739" s="11" t="n"/>
    </row>
    <row r="740">
      <c r="A740" s="10">
        <f>IF(B740="","",736)</f>
        <v/>
      </c>
      <c r="B740" s="11" t="n"/>
      <c r="C740" s="12" t="n"/>
      <c r="D740" s="11" t="n"/>
      <c r="E740" s="11" t="n"/>
      <c r="F740" s="11" t="n"/>
      <c r="G740" s="11" t="n"/>
    </row>
    <row r="741">
      <c r="A741" s="10">
        <f>IF(B741="","",737)</f>
        <v/>
      </c>
      <c r="B741" s="11" t="n"/>
      <c r="C741" s="12" t="n"/>
      <c r="D741" s="11" t="n"/>
      <c r="E741" s="11" t="n"/>
      <c r="F741" s="11" t="n"/>
      <c r="G741" s="11" t="n"/>
    </row>
    <row r="742">
      <c r="A742" s="10">
        <f>IF(B742="","",738)</f>
        <v/>
      </c>
      <c r="B742" s="11" t="n"/>
      <c r="C742" s="12" t="n"/>
      <c r="D742" s="11" t="n"/>
      <c r="E742" s="11" t="n"/>
      <c r="F742" s="11" t="n"/>
      <c r="G742" s="11" t="n"/>
    </row>
    <row r="743">
      <c r="A743" s="10">
        <f>IF(B743="","",739)</f>
        <v/>
      </c>
      <c r="B743" s="11" t="n"/>
      <c r="C743" s="12" t="n"/>
      <c r="D743" s="11" t="n"/>
      <c r="E743" s="11" t="n"/>
      <c r="F743" s="11" t="n"/>
      <c r="G743" s="11" t="n"/>
    </row>
    <row r="744">
      <c r="A744" s="10">
        <f>IF(B744="","",740)</f>
        <v/>
      </c>
      <c r="B744" s="11" t="n"/>
      <c r="C744" s="12" t="n"/>
      <c r="D744" s="11" t="n"/>
      <c r="E744" s="11" t="n"/>
      <c r="F744" s="11" t="n"/>
      <c r="G744" s="11" t="n"/>
    </row>
    <row r="745">
      <c r="A745" s="10">
        <f>IF(B745="","",741)</f>
        <v/>
      </c>
      <c r="B745" s="11" t="n"/>
      <c r="C745" s="12" t="n"/>
      <c r="D745" s="11" t="n"/>
      <c r="E745" s="11" t="n"/>
      <c r="F745" s="11" t="n"/>
      <c r="G745" s="11" t="n"/>
    </row>
    <row r="746">
      <c r="A746" s="10">
        <f>IF(B746="","",742)</f>
        <v/>
      </c>
      <c r="B746" s="11" t="n"/>
      <c r="C746" s="12" t="n"/>
      <c r="D746" s="11" t="n"/>
      <c r="E746" s="11" t="n"/>
      <c r="F746" s="11" t="n"/>
      <c r="G746" s="11" t="n"/>
    </row>
    <row r="747">
      <c r="A747" s="10">
        <f>IF(B747="","",743)</f>
        <v/>
      </c>
      <c r="B747" s="11" t="n"/>
      <c r="C747" s="12" t="n"/>
      <c r="D747" s="11" t="n"/>
      <c r="E747" s="11" t="n"/>
      <c r="F747" s="11" t="n"/>
      <c r="G747" s="11" t="n"/>
    </row>
    <row r="748">
      <c r="A748" s="10">
        <f>IF(B748="","",744)</f>
        <v/>
      </c>
      <c r="B748" s="11" t="n"/>
      <c r="C748" s="12" t="n"/>
      <c r="D748" s="11" t="n"/>
      <c r="E748" s="11" t="n"/>
      <c r="F748" s="11" t="n"/>
      <c r="G748" s="11" t="n"/>
    </row>
    <row r="749">
      <c r="A749" s="10">
        <f>IF(B749="","",745)</f>
        <v/>
      </c>
      <c r="B749" s="11" t="n"/>
      <c r="C749" s="12" t="n"/>
      <c r="D749" s="11" t="n"/>
      <c r="E749" s="11" t="n"/>
      <c r="F749" s="11" t="n"/>
      <c r="G749" s="11" t="n"/>
    </row>
    <row r="750">
      <c r="A750" s="10">
        <f>IF(B750="","",746)</f>
        <v/>
      </c>
      <c r="B750" s="11" t="n"/>
      <c r="C750" s="12" t="n"/>
      <c r="D750" s="11" t="n"/>
      <c r="E750" s="11" t="n"/>
      <c r="F750" s="11" t="n"/>
      <c r="G750" s="11" t="n"/>
    </row>
    <row r="751">
      <c r="A751" s="10">
        <f>IF(B751="","",747)</f>
        <v/>
      </c>
      <c r="B751" s="11" t="n"/>
      <c r="C751" s="12" t="n"/>
      <c r="D751" s="11" t="n"/>
      <c r="E751" s="11" t="n"/>
      <c r="F751" s="11" t="n"/>
      <c r="G751" s="11" t="n"/>
    </row>
    <row r="752">
      <c r="A752" s="10">
        <f>IF(B752="","",748)</f>
        <v/>
      </c>
      <c r="B752" s="11" t="n"/>
      <c r="C752" s="12" t="n"/>
      <c r="D752" s="11" t="n"/>
      <c r="E752" s="11" t="n"/>
      <c r="F752" s="11" t="n"/>
      <c r="G752" s="11" t="n"/>
    </row>
    <row r="753">
      <c r="A753" s="10">
        <f>IF(B753="","",749)</f>
        <v/>
      </c>
      <c r="B753" s="11" t="n"/>
      <c r="C753" s="12" t="n"/>
      <c r="D753" s="11" t="n"/>
      <c r="E753" s="11" t="n"/>
      <c r="F753" s="11" t="n"/>
      <c r="G753" s="11" t="n"/>
    </row>
    <row r="754">
      <c r="A754" s="10">
        <f>IF(B754="","",750)</f>
        <v/>
      </c>
      <c r="B754" s="11" t="n"/>
      <c r="C754" s="12" t="n"/>
      <c r="D754" s="11" t="n"/>
      <c r="E754" s="11" t="n"/>
      <c r="F754" s="11" t="n"/>
      <c r="G754" s="11" t="n"/>
    </row>
    <row r="755">
      <c r="A755" s="10">
        <f>IF(B755="","",751)</f>
        <v/>
      </c>
      <c r="B755" s="11" t="n"/>
      <c r="C755" s="12" t="n"/>
      <c r="D755" s="11" t="n"/>
      <c r="E755" s="11" t="n"/>
      <c r="F755" s="11" t="n"/>
      <c r="G755" s="11" t="n"/>
    </row>
    <row r="756">
      <c r="A756" s="10">
        <f>IF(B756="","",752)</f>
        <v/>
      </c>
      <c r="B756" s="11" t="n"/>
      <c r="C756" s="12" t="n"/>
      <c r="D756" s="11" t="n"/>
      <c r="E756" s="11" t="n"/>
      <c r="F756" s="11" t="n"/>
      <c r="G756" s="11" t="n"/>
    </row>
    <row r="757">
      <c r="A757" s="10">
        <f>IF(B757="","",753)</f>
        <v/>
      </c>
      <c r="B757" s="11" t="n"/>
      <c r="C757" s="12" t="n"/>
      <c r="D757" s="11" t="n"/>
      <c r="E757" s="11" t="n"/>
      <c r="F757" s="11" t="n"/>
      <c r="G757" s="11" t="n"/>
    </row>
    <row r="758">
      <c r="A758" s="10">
        <f>IF(B758="","",754)</f>
        <v/>
      </c>
      <c r="B758" s="11" t="n"/>
      <c r="C758" s="12" t="n"/>
      <c r="D758" s="11" t="n"/>
      <c r="E758" s="11" t="n"/>
      <c r="F758" s="11" t="n"/>
      <c r="G758" s="11" t="n"/>
    </row>
    <row r="759">
      <c r="A759" s="10">
        <f>IF(B759="","",755)</f>
        <v/>
      </c>
      <c r="B759" s="11" t="n"/>
      <c r="C759" s="12" t="n"/>
      <c r="D759" s="11" t="n"/>
      <c r="E759" s="11" t="n"/>
      <c r="F759" s="11" t="n"/>
      <c r="G759" s="11" t="n"/>
    </row>
    <row r="760">
      <c r="A760" s="10">
        <f>IF(B760="","",756)</f>
        <v/>
      </c>
      <c r="B760" s="11" t="n"/>
      <c r="C760" s="12" t="n"/>
      <c r="D760" s="11" t="n"/>
      <c r="E760" s="11" t="n"/>
      <c r="F760" s="11" t="n"/>
      <c r="G760" s="11" t="n"/>
    </row>
    <row r="761">
      <c r="A761" s="10">
        <f>IF(B761="","",757)</f>
        <v/>
      </c>
      <c r="B761" s="11" t="n"/>
      <c r="C761" s="12" t="n"/>
      <c r="D761" s="11" t="n"/>
      <c r="E761" s="11" t="n"/>
      <c r="F761" s="11" t="n"/>
      <c r="G761" s="11" t="n"/>
    </row>
    <row r="762">
      <c r="A762" s="10">
        <f>IF(B762="","",758)</f>
        <v/>
      </c>
      <c r="B762" s="11" t="n"/>
      <c r="C762" s="12" t="n"/>
      <c r="D762" s="11" t="n"/>
      <c r="E762" s="11" t="n"/>
      <c r="F762" s="11" t="n"/>
      <c r="G762" s="11" t="n"/>
    </row>
    <row r="763">
      <c r="A763" s="10">
        <f>IF(B763="","",759)</f>
        <v/>
      </c>
      <c r="B763" s="11" t="n"/>
      <c r="C763" s="12" t="n"/>
      <c r="D763" s="11" t="n"/>
      <c r="E763" s="11" t="n"/>
      <c r="F763" s="11" t="n"/>
      <c r="G763" s="11" t="n"/>
    </row>
    <row r="764">
      <c r="A764" s="10">
        <f>IF(B764="","",760)</f>
        <v/>
      </c>
      <c r="B764" s="11" t="n"/>
      <c r="C764" s="12" t="n"/>
      <c r="D764" s="11" t="n"/>
      <c r="E764" s="11" t="n"/>
      <c r="F764" s="11" t="n"/>
      <c r="G764" s="11" t="n"/>
    </row>
    <row r="765">
      <c r="A765" s="10">
        <f>IF(B765="","",761)</f>
        <v/>
      </c>
      <c r="B765" s="11" t="n"/>
      <c r="C765" s="12" t="n"/>
      <c r="D765" s="11" t="n"/>
      <c r="E765" s="11" t="n"/>
      <c r="F765" s="11" t="n"/>
      <c r="G765" s="11" t="n"/>
    </row>
    <row r="766">
      <c r="A766" s="10">
        <f>IF(B766="","",762)</f>
        <v/>
      </c>
      <c r="B766" s="11" t="n"/>
      <c r="C766" s="12" t="n"/>
      <c r="D766" s="11" t="n"/>
      <c r="E766" s="11" t="n"/>
      <c r="F766" s="11" t="n"/>
      <c r="G766" s="11" t="n"/>
    </row>
    <row r="767">
      <c r="A767" s="10">
        <f>IF(B767="","",763)</f>
        <v/>
      </c>
      <c r="B767" s="11" t="n"/>
      <c r="C767" s="12" t="n"/>
      <c r="D767" s="11" t="n"/>
      <c r="E767" s="11" t="n"/>
      <c r="F767" s="11" t="n"/>
      <c r="G767" s="11" t="n"/>
    </row>
    <row r="768">
      <c r="A768" s="10">
        <f>IF(B768="","",764)</f>
        <v/>
      </c>
      <c r="B768" s="11" t="n"/>
      <c r="C768" s="12" t="n"/>
      <c r="D768" s="11" t="n"/>
      <c r="E768" s="11" t="n"/>
      <c r="F768" s="11" t="n"/>
      <c r="G768" s="11" t="n"/>
    </row>
    <row r="769">
      <c r="A769" s="10">
        <f>IF(B769="","",765)</f>
        <v/>
      </c>
      <c r="B769" s="11" t="n"/>
      <c r="C769" s="12" t="n"/>
      <c r="D769" s="11" t="n"/>
      <c r="E769" s="11" t="n"/>
      <c r="F769" s="11" t="n"/>
      <c r="G769" s="11" t="n"/>
    </row>
    <row r="770">
      <c r="A770" s="10">
        <f>IF(B770="","",766)</f>
        <v/>
      </c>
      <c r="B770" s="11" t="n"/>
      <c r="C770" s="12" t="n"/>
      <c r="D770" s="11" t="n"/>
      <c r="E770" s="11" t="n"/>
      <c r="F770" s="11" t="n"/>
      <c r="G770" s="11" t="n"/>
    </row>
    <row r="771">
      <c r="A771" s="10">
        <f>IF(B771="","",767)</f>
        <v/>
      </c>
      <c r="B771" s="11" t="n"/>
      <c r="C771" s="12" t="n"/>
      <c r="D771" s="11" t="n"/>
      <c r="E771" s="11" t="n"/>
      <c r="F771" s="11" t="n"/>
      <c r="G771" s="11" t="n"/>
    </row>
    <row r="772">
      <c r="A772" s="10">
        <f>IF(B772="","",768)</f>
        <v/>
      </c>
      <c r="B772" s="11" t="n"/>
      <c r="C772" s="12" t="n"/>
      <c r="D772" s="11" t="n"/>
      <c r="E772" s="11" t="n"/>
      <c r="F772" s="11" t="n"/>
      <c r="G772" s="11" t="n"/>
    </row>
    <row r="773">
      <c r="A773" s="10">
        <f>IF(B773="","",769)</f>
        <v/>
      </c>
      <c r="B773" s="11" t="n"/>
      <c r="C773" s="12" t="n"/>
      <c r="D773" s="11" t="n"/>
      <c r="E773" s="11" t="n"/>
      <c r="F773" s="11" t="n"/>
      <c r="G773" s="11" t="n"/>
    </row>
    <row r="774">
      <c r="A774" s="10">
        <f>IF(B774="","",770)</f>
        <v/>
      </c>
      <c r="B774" s="11" t="n"/>
      <c r="C774" s="12" t="n"/>
      <c r="D774" s="11" t="n"/>
      <c r="E774" s="11" t="n"/>
      <c r="F774" s="11" t="n"/>
      <c r="G774" s="11" t="n"/>
    </row>
    <row r="775">
      <c r="A775" s="10">
        <f>IF(B775="","",771)</f>
        <v/>
      </c>
      <c r="B775" s="11" t="n"/>
      <c r="C775" s="12" t="n"/>
      <c r="D775" s="11" t="n"/>
      <c r="E775" s="11" t="n"/>
      <c r="F775" s="11" t="n"/>
      <c r="G775" s="11" t="n"/>
    </row>
    <row r="776">
      <c r="A776" s="10">
        <f>IF(B776="","",772)</f>
        <v/>
      </c>
      <c r="B776" s="11" t="n"/>
      <c r="C776" s="12" t="n"/>
      <c r="D776" s="11" t="n"/>
      <c r="E776" s="11" t="n"/>
      <c r="F776" s="11" t="n"/>
      <c r="G776" s="11" t="n"/>
    </row>
    <row r="777">
      <c r="A777" s="10">
        <f>IF(B777="","",773)</f>
        <v/>
      </c>
      <c r="B777" s="11" t="n"/>
      <c r="C777" s="12" t="n"/>
      <c r="D777" s="11" t="n"/>
      <c r="E777" s="11" t="n"/>
      <c r="F777" s="11" t="n"/>
      <c r="G777" s="11" t="n"/>
    </row>
    <row r="778">
      <c r="A778" s="10">
        <f>IF(B778="","",774)</f>
        <v/>
      </c>
      <c r="B778" s="11" t="n"/>
      <c r="C778" s="12" t="n"/>
      <c r="D778" s="11" t="n"/>
      <c r="E778" s="11" t="n"/>
      <c r="F778" s="11" t="n"/>
      <c r="G778" s="11" t="n"/>
    </row>
    <row r="779">
      <c r="A779" s="10">
        <f>IF(B779="","",775)</f>
        <v/>
      </c>
      <c r="B779" s="11" t="n"/>
      <c r="C779" s="12" t="n"/>
      <c r="D779" s="11" t="n"/>
      <c r="E779" s="11" t="n"/>
      <c r="F779" s="11" t="n"/>
      <c r="G779" s="11" t="n"/>
    </row>
    <row r="780">
      <c r="A780" s="10">
        <f>IF(B780="","",776)</f>
        <v/>
      </c>
      <c r="B780" s="11" t="n"/>
      <c r="C780" s="12" t="n"/>
      <c r="D780" s="11" t="n"/>
      <c r="E780" s="11" t="n"/>
      <c r="F780" s="11" t="n"/>
      <c r="G780" s="11" t="n"/>
    </row>
    <row r="781">
      <c r="A781" s="10">
        <f>IF(B781="","",777)</f>
        <v/>
      </c>
      <c r="B781" s="11" t="n"/>
      <c r="C781" s="12" t="n"/>
      <c r="D781" s="11" t="n"/>
      <c r="E781" s="11" t="n"/>
      <c r="F781" s="11" t="n"/>
      <c r="G781" s="11" t="n"/>
    </row>
    <row r="782">
      <c r="A782" s="10">
        <f>IF(B782="","",778)</f>
        <v/>
      </c>
      <c r="B782" s="11" t="n"/>
      <c r="C782" s="12" t="n"/>
      <c r="D782" s="11" t="n"/>
      <c r="E782" s="11" t="n"/>
      <c r="F782" s="11" t="n"/>
      <c r="G782" s="11" t="n"/>
    </row>
    <row r="783">
      <c r="A783" s="10">
        <f>IF(B783="","",779)</f>
        <v/>
      </c>
      <c r="B783" s="11" t="n"/>
      <c r="C783" s="12" t="n"/>
      <c r="D783" s="11" t="n"/>
      <c r="E783" s="11" t="n"/>
      <c r="F783" s="11" t="n"/>
      <c r="G783" s="11" t="n"/>
    </row>
    <row r="784">
      <c r="A784" s="10">
        <f>IF(B784="","",780)</f>
        <v/>
      </c>
      <c r="B784" s="11" t="n"/>
      <c r="C784" s="12" t="n"/>
      <c r="D784" s="11" t="n"/>
      <c r="E784" s="11" t="n"/>
      <c r="F784" s="11" t="n"/>
      <c r="G784" s="11" t="n"/>
    </row>
    <row r="785">
      <c r="A785" s="10">
        <f>IF(B785="","",781)</f>
        <v/>
      </c>
      <c r="B785" s="11" t="n"/>
      <c r="C785" s="12" t="n"/>
      <c r="D785" s="11" t="n"/>
      <c r="E785" s="11" t="n"/>
      <c r="F785" s="11" t="n"/>
      <c r="G785" s="11" t="n"/>
    </row>
    <row r="786">
      <c r="A786" s="10">
        <f>IF(B786="","",782)</f>
        <v/>
      </c>
      <c r="B786" s="11" t="n"/>
      <c r="C786" s="12" t="n"/>
      <c r="D786" s="11" t="n"/>
      <c r="E786" s="11" t="n"/>
      <c r="F786" s="11" t="n"/>
      <c r="G786" s="11" t="n"/>
    </row>
    <row r="787">
      <c r="A787" s="10">
        <f>IF(B787="","",783)</f>
        <v/>
      </c>
      <c r="B787" s="11" t="n"/>
      <c r="C787" s="12" t="n"/>
      <c r="D787" s="11" t="n"/>
      <c r="E787" s="11" t="n"/>
      <c r="F787" s="11" t="n"/>
      <c r="G787" s="11" t="n"/>
    </row>
    <row r="788">
      <c r="A788" s="10">
        <f>IF(B788="","",784)</f>
        <v/>
      </c>
      <c r="B788" s="11" t="n"/>
      <c r="C788" s="12" t="n"/>
      <c r="D788" s="11" t="n"/>
      <c r="E788" s="11" t="n"/>
      <c r="F788" s="11" t="n"/>
      <c r="G788" s="11" t="n"/>
    </row>
    <row r="789">
      <c r="A789" s="10">
        <f>IF(B789="","",785)</f>
        <v/>
      </c>
      <c r="B789" s="11" t="n"/>
      <c r="C789" s="12" t="n"/>
      <c r="D789" s="11" t="n"/>
      <c r="E789" s="11" t="n"/>
      <c r="F789" s="11" t="n"/>
      <c r="G789" s="11" t="n"/>
    </row>
    <row r="790">
      <c r="A790" s="10">
        <f>IF(B790="","",786)</f>
        <v/>
      </c>
      <c r="B790" s="11" t="n"/>
      <c r="C790" s="12" t="n"/>
      <c r="D790" s="11" t="n"/>
      <c r="E790" s="11" t="n"/>
      <c r="F790" s="11" t="n"/>
      <c r="G790" s="11" t="n"/>
    </row>
    <row r="791">
      <c r="A791" s="10">
        <f>IF(B791="","",787)</f>
        <v/>
      </c>
      <c r="B791" s="11" t="n"/>
      <c r="C791" s="12" t="n"/>
      <c r="D791" s="11" t="n"/>
      <c r="E791" s="11" t="n"/>
      <c r="F791" s="11" t="n"/>
      <c r="G791" s="11" t="n"/>
    </row>
    <row r="792">
      <c r="A792" s="10">
        <f>IF(B792="","",788)</f>
        <v/>
      </c>
      <c r="B792" s="11" t="n"/>
      <c r="C792" s="12" t="n"/>
      <c r="D792" s="11" t="n"/>
      <c r="E792" s="11" t="n"/>
      <c r="F792" s="11" t="n"/>
      <c r="G792" s="11" t="n"/>
    </row>
    <row r="793">
      <c r="A793" s="10">
        <f>IF(B793="","",789)</f>
        <v/>
      </c>
      <c r="B793" s="11" t="n"/>
      <c r="C793" s="12" t="n"/>
      <c r="D793" s="11" t="n"/>
      <c r="E793" s="11" t="n"/>
      <c r="F793" s="11" t="n"/>
      <c r="G793" s="11" t="n"/>
    </row>
    <row r="794">
      <c r="A794" s="10">
        <f>IF(B794="","",790)</f>
        <v/>
      </c>
      <c r="B794" s="11" t="n"/>
      <c r="C794" s="12" t="n"/>
      <c r="D794" s="11" t="n"/>
      <c r="E794" s="11" t="n"/>
      <c r="F794" s="11" t="n"/>
      <c r="G794" s="11" t="n"/>
    </row>
    <row r="795">
      <c r="A795" s="10">
        <f>IF(B795="","",791)</f>
        <v/>
      </c>
      <c r="B795" s="11" t="n"/>
      <c r="C795" s="12" t="n"/>
      <c r="D795" s="11" t="n"/>
      <c r="E795" s="11" t="n"/>
      <c r="F795" s="11" t="n"/>
      <c r="G795" s="11" t="n"/>
    </row>
    <row r="796">
      <c r="A796" s="10">
        <f>IF(B796="","",792)</f>
        <v/>
      </c>
      <c r="B796" s="11" t="n"/>
      <c r="C796" s="12" t="n"/>
      <c r="D796" s="11" t="n"/>
      <c r="E796" s="11" t="n"/>
      <c r="F796" s="11" t="n"/>
      <c r="G796" s="11" t="n"/>
    </row>
    <row r="797">
      <c r="A797" s="10">
        <f>IF(B797="","",793)</f>
        <v/>
      </c>
      <c r="B797" s="11" t="n"/>
      <c r="C797" s="12" t="n"/>
      <c r="D797" s="11" t="n"/>
      <c r="E797" s="11" t="n"/>
      <c r="F797" s="11" t="n"/>
      <c r="G797" s="11" t="n"/>
    </row>
    <row r="798">
      <c r="A798" s="10">
        <f>IF(B798="","",794)</f>
        <v/>
      </c>
      <c r="B798" s="11" t="n"/>
      <c r="C798" s="12" t="n"/>
      <c r="D798" s="11" t="n"/>
      <c r="E798" s="11" t="n"/>
      <c r="F798" s="11" t="n"/>
      <c r="G798" s="11" t="n"/>
    </row>
    <row r="799">
      <c r="A799" s="10">
        <f>IF(B799="","",795)</f>
        <v/>
      </c>
      <c r="B799" s="11" t="n"/>
      <c r="C799" s="12" t="n"/>
      <c r="D799" s="11" t="n"/>
      <c r="E799" s="11" t="n"/>
      <c r="F799" s="11" t="n"/>
      <c r="G799" s="11" t="n"/>
    </row>
    <row r="800">
      <c r="A800" s="10">
        <f>IF(B800="","",796)</f>
        <v/>
      </c>
      <c r="B800" s="11" t="n"/>
      <c r="C800" s="12" t="n"/>
      <c r="D800" s="11" t="n"/>
      <c r="E800" s="11" t="n"/>
      <c r="F800" s="11" t="n"/>
      <c r="G800" s="11" t="n"/>
    </row>
    <row r="801">
      <c r="A801" s="10">
        <f>IF(B801="","",797)</f>
        <v/>
      </c>
      <c r="B801" s="11" t="n"/>
      <c r="C801" s="12" t="n"/>
      <c r="D801" s="11" t="n"/>
      <c r="E801" s="11" t="n"/>
      <c r="F801" s="11" t="n"/>
      <c r="G801" s="11" t="n"/>
    </row>
    <row r="802">
      <c r="A802" s="10">
        <f>IF(B802="","",798)</f>
        <v/>
      </c>
      <c r="B802" s="11" t="n"/>
      <c r="C802" s="12" t="n"/>
      <c r="D802" s="11" t="n"/>
      <c r="E802" s="11" t="n"/>
      <c r="F802" s="11" t="n"/>
      <c r="G802" s="11" t="n"/>
    </row>
    <row r="803">
      <c r="A803" s="10">
        <f>IF(B803="","",799)</f>
        <v/>
      </c>
      <c r="B803" s="11" t="n"/>
      <c r="C803" s="12" t="n"/>
      <c r="D803" s="11" t="n"/>
      <c r="E803" s="11" t="n"/>
      <c r="F803" s="11" t="n"/>
      <c r="G803" s="11" t="n"/>
    </row>
    <row r="804">
      <c r="A804" s="10">
        <f>IF(B804="","",800)</f>
        <v/>
      </c>
      <c r="B804" s="11" t="n"/>
      <c r="C804" s="12" t="n"/>
      <c r="D804" s="11" t="n"/>
      <c r="E804" s="11" t="n"/>
      <c r="F804" s="11" t="n"/>
      <c r="G804" s="11" t="n"/>
    </row>
    <row r="805">
      <c r="A805" s="10">
        <f>IF(B805="","",801)</f>
        <v/>
      </c>
      <c r="B805" s="11" t="n"/>
      <c r="C805" s="12" t="n"/>
      <c r="D805" s="11" t="n"/>
      <c r="E805" s="11" t="n"/>
      <c r="F805" s="11" t="n"/>
      <c r="G805" s="11" t="n"/>
    </row>
    <row r="806">
      <c r="A806" s="10">
        <f>IF(B806="","",802)</f>
        <v/>
      </c>
      <c r="B806" s="11" t="n"/>
      <c r="C806" s="12" t="n"/>
      <c r="D806" s="11" t="n"/>
      <c r="E806" s="11" t="n"/>
      <c r="F806" s="11" t="n"/>
      <c r="G806" s="11" t="n"/>
    </row>
    <row r="807">
      <c r="A807" s="10">
        <f>IF(B807="","",803)</f>
        <v/>
      </c>
      <c r="B807" s="11" t="n"/>
      <c r="C807" s="12" t="n"/>
      <c r="D807" s="11" t="n"/>
      <c r="E807" s="11" t="n"/>
      <c r="F807" s="11" t="n"/>
      <c r="G807" s="11" t="n"/>
    </row>
    <row r="808">
      <c r="A808" s="10">
        <f>IF(B808="","",804)</f>
        <v/>
      </c>
      <c r="B808" s="11" t="n"/>
      <c r="C808" s="12" t="n"/>
      <c r="D808" s="11" t="n"/>
      <c r="E808" s="11" t="n"/>
      <c r="F808" s="11" t="n"/>
      <c r="G808" s="11" t="n"/>
    </row>
    <row r="809">
      <c r="A809" s="10">
        <f>IF(B809="","",805)</f>
        <v/>
      </c>
      <c r="B809" s="11" t="n"/>
      <c r="C809" s="12" t="n"/>
      <c r="D809" s="11" t="n"/>
      <c r="E809" s="11" t="n"/>
      <c r="F809" s="11" t="n"/>
      <c r="G809" s="11" t="n"/>
    </row>
    <row r="810">
      <c r="A810" s="10">
        <f>IF(B810="","",806)</f>
        <v/>
      </c>
      <c r="B810" s="11" t="n"/>
      <c r="C810" s="12" t="n"/>
      <c r="D810" s="11" t="n"/>
      <c r="E810" s="11" t="n"/>
      <c r="F810" s="11" t="n"/>
      <c r="G810" s="11" t="n"/>
    </row>
    <row r="811">
      <c r="A811" s="10">
        <f>IF(B811="","",807)</f>
        <v/>
      </c>
      <c r="B811" s="11" t="n"/>
      <c r="C811" s="12" t="n"/>
      <c r="D811" s="11" t="n"/>
      <c r="E811" s="11" t="n"/>
      <c r="F811" s="11" t="n"/>
      <c r="G811" s="11" t="n"/>
    </row>
    <row r="812">
      <c r="A812" s="10">
        <f>IF(B812="","",808)</f>
        <v/>
      </c>
      <c r="B812" s="11" t="n"/>
      <c r="C812" s="12" t="n"/>
      <c r="D812" s="11" t="n"/>
      <c r="E812" s="11" t="n"/>
      <c r="F812" s="11" t="n"/>
      <c r="G812" s="11" t="n"/>
    </row>
    <row r="813">
      <c r="A813" s="10">
        <f>IF(B813="","",809)</f>
        <v/>
      </c>
      <c r="B813" s="11" t="n"/>
      <c r="C813" s="12" t="n"/>
      <c r="D813" s="11" t="n"/>
      <c r="E813" s="11" t="n"/>
      <c r="F813" s="11" t="n"/>
      <c r="G813" s="11" t="n"/>
    </row>
    <row r="814">
      <c r="A814" s="10">
        <f>IF(B814="","",810)</f>
        <v/>
      </c>
      <c r="B814" s="11" t="n"/>
      <c r="C814" s="12" t="n"/>
      <c r="D814" s="11" t="n"/>
      <c r="E814" s="11" t="n"/>
      <c r="F814" s="11" t="n"/>
      <c r="G814" s="11" t="n"/>
    </row>
    <row r="815">
      <c r="A815" s="10">
        <f>IF(B815="","",811)</f>
        <v/>
      </c>
      <c r="B815" s="11" t="n"/>
      <c r="C815" s="12" t="n"/>
      <c r="D815" s="11" t="n"/>
      <c r="E815" s="11" t="n"/>
      <c r="F815" s="11" t="n"/>
      <c r="G815" s="11" t="n"/>
    </row>
    <row r="816">
      <c r="A816" s="10">
        <f>IF(B816="","",812)</f>
        <v/>
      </c>
      <c r="B816" s="11" t="n"/>
      <c r="C816" s="12" t="n"/>
      <c r="D816" s="11" t="n"/>
      <c r="E816" s="11" t="n"/>
      <c r="F816" s="11" t="n"/>
      <c r="G816" s="11" t="n"/>
    </row>
    <row r="817">
      <c r="A817" s="10">
        <f>IF(B817="","",813)</f>
        <v/>
      </c>
      <c r="B817" s="11" t="n"/>
      <c r="C817" s="12" t="n"/>
      <c r="D817" s="11" t="n"/>
      <c r="E817" s="11" t="n"/>
      <c r="F817" s="11" t="n"/>
      <c r="G817" s="11" t="n"/>
    </row>
    <row r="818">
      <c r="A818" s="10">
        <f>IF(B818="","",814)</f>
        <v/>
      </c>
      <c r="B818" s="11" t="n"/>
      <c r="C818" s="12" t="n"/>
      <c r="D818" s="11" t="n"/>
      <c r="E818" s="11" t="n"/>
      <c r="F818" s="11" t="n"/>
      <c r="G818" s="11" t="n"/>
    </row>
    <row r="819">
      <c r="A819" s="10">
        <f>IF(B819="","",815)</f>
        <v/>
      </c>
      <c r="B819" s="11" t="n"/>
      <c r="C819" s="12" t="n"/>
      <c r="D819" s="11" t="n"/>
      <c r="E819" s="11" t="n"/>
      <c r="F819" s="11" t="n"/>
      <c r="G819" s="11" t="n"/>
    </row>
    <row r="820">
      <c r="A820" s="10">
        <f>IF(B820="","",816)</f>
        <v/>
      </c>
      <c r="B820" s="11" t="n"/>
      <c r="C820" s="12" t="n"/>
      <c r="D820" s="11" t="n"/>
      <c r="E820" s="11" t="n"/>
      <c r="F820" s="11" t="n"/>
      <c r="G820" s="11" t="n"/>
    </row>
    <row r="821">
      <c r="A821" s="10">
        <f>IF(B821="","",817)</f>
        <v/>
      </c>
      <c r="B821" s="11" t="n"/>
      <c r="C821" s="12" t="n"/>
      <c r="D821" s="11" t="n"/>
      <c r="E821" s="11" t="n"/>
      <c r="F821" s="11" t="n"/>
      <c r="G821" s="11" t="n"/>
    </row>
    <row r="822">
      <c r="A822" s="10">
        <f>IF(B822="","",818)</f>
        <v/>
      </c>
      <c r="B822" s="11" t="n"/>
      <c r="C822" s="12" t="n"/>
      <c r="D822" s="11" t="n"/>
      <c r="E822" s="11" t="n"/>
      <c r="F822" s="11" t="n"/>
      <c r="G822" s="11" t="n"/>
    </row>
    <row r="823">
      <c r="A823" s="10">
        <f>IF(B823="","",819)</f>
        <v/>
      </c>
      <c r="B823" s="11" t="n"/>
      <c r="C823" s="12" t="n"/>
      <c r="D823" s="11" t="n"/>
      <c r="E823" s="11" t="n"/>
      <c r="F823" s="11" t="n"/>
      <c r="G823" s="11" t="n"/>
    </row>
    <row r="824">
      <c r="A824" s="10">
        <f>IF(B824="","",820)</f>
        <v/>
      </c>
      <c r="B824" s="11" t="n"/>
      <c r="C824" s="12" t="n"/>
      <c r="D824" s="11" t="n"/>
      <c r="E824" s="11" t="n"/>
      <c r="F824" s="11" t="n"/>
      <c r="G824" s="11" t="n"/>
    </row>
    <row r="825">
      <c r="A825" s="10">
        <f>IF(B825="","",821)</f>
        <v/>
      </c>
      <c r="B825" s="11" t="n"/>
      <c r="C825" s="12" t="n"/>
      <c r="D825" s="11" t="n"/>
      <c r="E825" s="11" t="n"/>
      <c r="F825" s="11" t="n"/>
      <c r="G825" s="11" t="n"/>
    </row>
    <row r="826">
      <c r="A826" s="10">
        <f>IF(B826="","",822)</f>
        <v/>
      </c>
      <c r="B826" s="11" t="n"/>
      <c r="C826" s="12" t="n"/>
      <c r="D826" s="11" t="n"/>
      <c r="E826" s="11" t="n"/>
      <c r="F826" s="11" t="n"/>
      <c r="G826" s="11" t="n"/>
    </row>
    <row r="827">
      <c r="A827" s="10">
        <f>IF(B827="","",823)</f>
        <v/>
      </c>
      <c r="B827" s="11" t="n"/>
      <c r="C827" s="12" t="n"/>
      <c r="D827" s="11" t="n"/>
      <c r="E827" s="11" t="n"/>
      <c r="F827" s="11" t="n"/>
      <c r="G827" s="11" t="n"/>
    </row>
    <row r="828">
      <c r="A828" s="10">
        <f>IF(B828="","",824)</f>
        <v/>
      </c>
      <c r="B828" s="11" t="n"/>
      <c r="C828" s="12" t="n"/>
      <c r="D828" s="11" t="n"/>
      <c r="E828" s="11" t="n"/>
      <c r="F828" s="11" t="n"/>
      <c r="G828" s="11" t="n"/>
    </row>
    <row r="829">
      <c r="A829" s="10">
        <f>IF(B829="","",825)</f>
        <v/>
      </c>
      <c r="B829" s="11" t="n"/>
      <c r="C829" s="12" t="n"/>
      <c r="D829" s="11" t="n"/>
      <c r="E829" s="11" t="n"/>
      <c r="F829" s="11" t="n"/>
      <c r="G829" s="11" t="n"/>
    </row>
    <row r="830">
      <c r="A830" s="10">
        <f>IF(B830="","",826)</f>
        <v/>
      </c>
      <c r="B830" s="11" t="n"/>
      <c r="C830" s="12" t="n"/>
      <c r="D830" s="11" t="n"/>
      <c r="E830" s="11" t="n"/>
      <c r="F830" s="11" t="n"/>
      <c r="G830" s="11" t="n"/>
    </row>
    <row r="831">
      <c r="A831" s="10">
        <f>IF(B831="","",827)</f>
        <v/>
      </c>
      <c r="B831" s="11" t="n"/>
      <c r="C831" s="12" t="n"/>
      <c r="D831" s="11" t="n"/>
      <c r="E831" s="11" t="n"/>
      <c r="F831" s="11" t="n"/>
      <c r="G831" s="11" t="n"/>
    </row>
    <row r="832">
      <c r="A832" s="10">
        <f>IF(B832="","",828)</f>
        <v/>
      </c>
      <c r="B832" s="11" t="n"/>
      <c r="C832" s="12" t="n"/>
      <c r="D832" s="11" t="n"/>
      <c r="E832" s="11" t="n"/>
      <c r="F832" s="11" t="n"/>
      <c r="G832" s="11" t="n"/>
    </row>
    <row r="833">
      <c r="A833" s="10">
        <f>IF(B833="","",829)</f>
        <v/>
      </c>
      <c r="B833" s="11" t="n"/>
      <c r="C833" s="12" t="n"/>
      <c r="D833" s="11" t="n"/>
      <c r="E833" s="11" t="n"/>
      <c r="F833" s="11" t="n"/>
      <c r="G833" s="11" t="n"/>
    </row>
    <row r="834">
      <c r="A834" s="10">
        <f>IF(B834="","",830)</f>
        <v/>
      </c>
      <c r="B834" s="11" t="n"/>
      <c r="C834" s="12" t="n"/>
      <c r="D834" s="11" t="n"/>
      <c r="E834" s="11" t="n"/>
      <c r="F834" s="11" t="n"/>
      <c r="G834" s="11" t="n"/>
    </row>
    <row r="835">
      <c r="A835" s="10">
        <f>IF(B835="","",831)</f>
        <v/>
      </c>
      <c r="B835" s="11" t="n"/>
      <c r="C835" s="12" t="n"/>
      <c r="D835" s="11" t="n"/>
      <c r="E835" s="11" t="n"/>
      <c r="F835" s="11" t="n"/>
      <c r="G835" s="11" t="n"/>
    </row>
    <row r="836">
      <c r="A836" s="10">
        <f>IF(B836="","",832)</f>
        <v/>
      </c>
      <c r="B836" s="11" t="n"/>
      <c r="C836" s="12" t="n"/>
      <c r="D836" s="11" t="n"/>
      <c r="E836" s="11" t="n"/>
      <c r="F836" s="11" t="n"/>
      <c r="G836" s="11" t="n"/>
    </row>
    <row r="837">
      <c r="A837" s="10">
        <f>IF(B837="","",833)</f>
        <v/>
      </c>
      <c r="B837" s="11" t="n"/>
      <c r="C837" s="12" t="n"/>
      <c r="D837" s="11" t="n"/>
      <c r="E837" s="11" t="n"/>
      <c r="F837" s="11" t="n"/>
      <c r="G837" s="11" t="n"/>
    </row>
    <row r="838">
      <c r="A838" s="10">
        <f>IF(B838="","",834)</f>
        <v/>
      </c>
      <c r="B838" s="11" t="n"/>
      <c r="C838" s="12" t="n"/>
      <c r="D838" s="11" t="n"/>
      <c r="E838" s="11" t="n"/>
      <c r="F838" s="11" t="n"/>
      <c r="G838" s="11" t="n"/>
    </row>
    <row r="839">
      <c r="A839" s="10">
        <f>IF(B839="","",835)</f>
        <v/>
      </c>
      <c r="B839" s="11" t="n"/>
      <c r="C839" s="12" t="n"/>
      <c r="D839" s="11" t="n"/>
      <c r="E839" s="11" t="n"/>
      <c r="F839" s="11" t="n"/>
      <c r="G839" s="11" t="n"/>
    </row>
    <row r="840">
      <c r="A840" s="10">
        <f>IF(B840="","",836)</f>
        <v/>
      </c>
      <c r="B840" s="11" t="n"/>
      <c r="C840" s="12" t="n"/>
      <c r="D840" s="11" t="n"/>
      <c r="E840" s="11" t="n"/>
      <c r="F840" s="11" t="n"/>
      <c r="G840" s="11" t="n"/>
    </row>
    <row r="841">
      <c r="A841" s="10">
        <f>IF(B841="","",837)</f>
        <v/>
      </c>
      <c r="B841" s="11" t="n"/>
      <c r="C841" s="12" t="n"/>
      <c r="D841" s="11" t="n"/>
      <c r="E841" s="11" t="n"/>
      <c r="F841" s="11" t="n"/>
      <c r="G841" s="11" t="n"/>
    </row>
    <row r="842">
      <c r="A842" s="10">
        <f>IF(B842="","",838)</f>
        <v/>
      </c>
      <c r="B842" s="11" t="n"/>
      <c r="C842" s="12" t="n"/>
      <c r="D842" s="11" t="n"/>
      <c r="E842" s="11" t="n"/>
      <c r="F842" s="11" t="n"/>
      <c r="G842" s="11" t="n"/>
    </row>
    <row r="843">
      <c r="A843" s="10">
        <f>IF(B843="","",839)</f>
        <v/>
      </c>
      <c r="B843" s="11" t="n"/>
      <c r="C843" s="12" t="n"/>
      <c r="D843" s="11" t="n"/>
      <c r="E843" s="11" t="n"/>
      <c r="F843" s="11" t="n"/>
      <c r="G843" s="11" t="n"/>
    </row>
    <row r="844">
      <c r="A844" s="10">
        <f>IF(B844="","",840)</f>
        <v/>
      </c>
      <c r="B844" s="11" t="n"/>
      <c r="C844" s="12" t="n"/>
      <c r="D844" s="11" t="n"/>
      <c r="E844" s="11" t="n"/>
      <c r="F844" s="11" t="n"/>
      <c r="G844" s="11" t="n"/>
    </row>
    <row r="845">
      <c r="A845" s="10">
        <f>IF(B845="","",841)</f>
        <v/>
      </c>
      <c r="B845" s="11" t="n"/>
      <c r="C845" s="12" t="n"/>
      <c r="D845" s="11" t="n"/>
      <c r="E845" s="11" t="n"/>
      <c r="F845" s="11" t="n"/>
      <c r="G845" s="11" t="n"/>
    </row>
    <row r="846">
      <c r="A846" s="10">
        <f>IF(B846="","",842)</f>
        <v/>
      </c>
      <c r="B846" s="11" t="n"/>
      <c r="C846" s="12" t="n"/>
      <c r="D846" s="11" t="n"/>
      <c r="E846" s="11" t="n"/>
      <c r="F846" s="11" t="n"/>
      <c r="G846" s="11" t="n"/>
    </row>
    <row r="847">
      <c r="A847" s="10">
        <f>IF(B847="","",843)</f>
        <v/>
      </c>
      <c r="B847" s="11" t="n"/>
      <c r="C847" s="12" t="n"/>
      <c r="D847" s="11" t="n"/>
      <c r="E847" s="11" t="n"/>
      <c r="F847" s="11" t="n"/>
      <c r="G847" s="11" t="n"/>
    </row>
    <row r="848">
      <c r="A848" s="10">
        <f>IF(B848="","",844)</f>
        <v/>
      </c>
      <c r="B848" s="11" t="n"/>
      <c r="C848" s="12" t="n"/>
      <c r="D848" s="11" t="n"/>
      <c r="E848" s="11" t="n"/>
      <c r="F848" s="11" t="n"/>
      <c r="G848" s="11" t="n"/>
    </row>
    <row r="849">
      <c r="A849" s="10">
        <f>IF(B849="","",845)</f>
        <v/>
      </c>
      <c r="B849" s="11" t="n"/>
      <c r="C849" s="12" t="n"/>
      <c r="D849" s="11" t="n"/>
      <c r="E849" s="11" t="n"/>
      <c r="F849" s="11" t="n"/>
      <c r="G849" s="11" t="n"/>
    </row>
    <row r="850">
      <c r="A850" s="10">
        <f>IF(B850="","",846)</f>
        <v/>
      </c>
      <c r="B850" s="11" t="n"/>
      <c r="C850" s="12" t="n"/>
      <c r="D850" s="11" t="n"/>
      <c r="E850" s="11" t="n"/>
      <c r="F850" s="11" t="n"/>
      <c r="G850" s="11" t="n"/>
    </row>
    <row r="851">
      <c r="A851" s="10">
        <f>IF(B851="","",847)</f>
        <v/>
      </c>
      <c r="B851" s="11" t="n"/>
      <c r="C851" s="12" t="n"/>
      <c r="D851" s="11" t="n"/>
      <c r="E851" s="11" t="n"/>
      <c r="F851" s="11" t="n"/>
      <c r="G851" s="11" t="n"/>
    </row>
    <row r="852">
      <c r="A852" s="10">
        <f>IF(B852="","",848)</f>
        <v/>
      </c>
      <c r="B852" s="11" t="n"/>
      <c r="C852" s="12" t="n"/>
      <c r="D852" s="11" t="n"/>
      <c r="E852" s="11" t="n"/>
      <c r="F852" s="11" t="n"/>
      <c r="G852" s="11" t="n"/>
    </row>
    <row r="853">
      <c r="A853" s="10">
        <f>IF(B853="","",849)</f>
        <v/>
      </c>
      <c r="B853" s="11" t="n"/>
      <c r="C853" s="12" t="n"/>
      <c r="D853" s="11" t="n"/>
      <c r="E853" s="11" t="n"/>
      <c r="F853" s="11" t="n"/>
      <c r="G853" s="11" t="n"/>
    </row>
    <row r="854">
      <c r="A854" s="10">
        <f>IF(B854="","",850)</f>
        <v/>
      </c>
      <c r="B854" s="11" t="n"/>
      <c r="C854" s="12" t="n"/>
      <c r="D854" s="11" t="n"/>
      <c r="E854" s="11" t="n"/>
      <c r="F854" s="11" t="n"/>
      <c r="G854" s="11" t="n"/>
    </row>
    <row r="855">
      <c r="A855" s="10">
        <f>IF(B855="","",851)</f>
        <v/>
      </c>
      <c r="B855" s="11" t="n"/>
      <c r="C855" s="12" t="n"/>
      <c r="D855" s="11" t="n"/>
      <c r="E855" s="11" t="n"/>
      <c r="F855" s="11" t="n"/>
      <c r="G855" s="11" t="n"/>
    </row>
    <row r="856">
      <c r="A856" s="10">
        <f>IF(B856="","",852)</f>
        <v/>
      </c>
      <c r="B856" s="11" t="n"/>
      <c r="C856" s="12" t="n"/>
      <c r="D856" s="11" t="n"/>
      <c r="E856" s="11" t="n"/>
      <c r="F856" s="11" t="n"/>
      <c r="G856" s="11" t="n"/>
    </row>
    <row r="857">
      <c r="A857" s="10">
        <f>IF(B857="","",853)</f>
        <v/>
      </c>
      <c r="B857" s="11" t="n"/>
      <c r="C857" s="12" t="n"/>
      <c r="D857" s="11" t="n"/>
      <c r="E857" s="11" t="n"/>
      <c r="F857" s="11" t="n"/>
      <c r="G857" s="11" t="n"/>
    </row>
    <row r="858">
      <c r="A858" s="10">
        <f>IF(B858="","",854)</f>
        <v/>
      </c>
      <c r="B858" s="11" t="n"/>
      <c r="C858" s="12" t="n"/>
      <c r="D858" s="11" t="n"/>
      <c r="E858" s="11" t="n"/>
      <c r="F858" s="11" t="n"/>
      <c r="G858" s="11" t="n"/>
    </row>
    <row r="859">
      <c r="A859" s="10">
        <f>IF(B859="","",855)</f>
        <v/>
      </c>
      <c r="B859" s="11" t="n"/>
      <c r="C859" s="12" t="n"/>
      <c r="D859" s="11" t="n"/>
      <c r="E859" s="11" t="n"/>
      <c r="F859" s="11" t="n"/>
      <c r="G859" s="11" t="n"/>
    </row>
    <row r="860">
      <c r="A860" s="10">
        <f>IF(B860="","",856)</f>
        <v/>
      </c>
      <c r="B860" s="11" t="n"/>
      <c r="C860" s="12" t="n"/>
      <c r="D860" s="11" t="n"/>
      <c r="E860" s="11" t="n"/>
      <c r="F860" s="11" t="n"/>
      <c r="G860" s="11" t="n"/>
    </row>
    <row r="861">
      <c r="A861" s="10">
        <f>IF(B861="","",857)</f>
        <v/>
      </c>
      <c r="B861" s="11" t="n"/>
      <c r="C861" s="12" t="n"/>
      <c r="D861" s="11" t="n"/>
      <c r="E861" s="11" t="n"/>
      <c r="F861" s="11" t="n"/>
      <c r="G861" s="11" t="n"/>
    </row>
    <row r="862">
      <c r="A862" s="10">
        <f>IF(B862="","",858)</f>
        <v/>
      </c>
      <c r="B862" s="11" t="n"/>
      <c r="C862" s="12" t="n"/>
      <c r="D862" s="11" t="n"/>
      <c r="E862" s="11" t="n"/>
      <c r="F862" s="11" t="n"/>
      <c r="G862" s="11" t="n"/>
    </row>
    <row r="863">
      <c r="A863" s="10">
        <f>IF(B863="","",859)</f>
        <v/>
      </c>
      <c r="B863" s="11" t="n"/>
      <c r="C863" s="12" t="n"/>
      <c r="D863" s="11" t="n"/>
      <c r="E863" s="11" t="n"/>
      <c r="F863" s="11" t="n"/>
      <c r="G863" s="11" t="n"/>
    </row>
    <row r="864">
      <c r="A864" s="10">
        <f>IF(B864="","",860)</f>
        <v/>
      </c>
      <c r="B864" s="11" t="n"/>
      <c r="C864" s="12" t="n"/>
      <c r="D864" s="11" t="n"/>
      <c r="E864" s="11" t="n"/>
      <c r="F864" s="11" t="n"/>
      <c r="G864" s="11" t="n"/>
    </row>
    <row r="865">
      <c r="A865" s="10">
        <f>IF(B865="","",861)</f>
        <v/>
      </c>
      <c r="B865" s="11" t="n"/>
      <c r="C865" s="12" t="n"/>
      <c r="D865" s="11" t="n"/>
      <c r="E865" s="11" t="n"/>
      <c r="F865" s="11" t="n"/>
      <c r="G865" s="11" t="n"/>
    </row>
    <row r="866">
      <c r="A866" s="10">
        <f>IF(B866="","",862)</f>
        <v/>
      </c>
      <c r="B866" s="11" t="n"/>
      <c r="C866" s="12" t="n"/>
      <c r="D866" s="11" t="n"/>
      <c r="E866" s="11" t="n"/>
      <c r="F866" s="11" t="n"/>
      <c r="G866" s="11" t="n"/>
    </row>
    <row r="867">
      <c r="A867" s="10">
        <f>IF(B867="","",863)</f>
        <v/>
      </c>
      <c r="B867" s="11" t="n"/>
      <c r="C867" s="12" t="n"/>
      <c r="D867" s="11" t="n"/>
      <c r="E867" s="11" t="n"/>
      <c r="F867" s="11" t="n"/>
      <c r="G867" s="11" t="n"/>
    </row>
    <row r="868">
      <c r="A868" s="10">
        <f>IF(B868="","",864)</f>
        <v/>
      </c>
      <c r="B868" s="11" t="n"/>
      <c r="C868" s="12" t="n"/>
      <c r="D868" s="11" t="n"/>
      <c r="E868" s="11" t="n"/>
      <c r="F868" s="11" t="n"/>
      <c r="G868" s="11" t="n"/>
    </row>
    <row r="869">
      <c r="A869" s="10">
        <f>IF(B869="","",865)</f>
        <v/>
      </c>
      <c r="B869" s="11" t="n"/>
      <c r="C869" s="12" t="n"/>
      <c r="D869" s="11" t="n"/>
      <c r="E869" s="11" t="n"/>
      <c r="F869" s="11" t="n"/>
      <c r="G869" s="11" t="n"/>
    </row>
    <row r="870">
      <c r="A870" s="10">
        <f>IF(B870="","",866)</f>
        <v/>
      </c>
      <c r="B870" s="11" t="n"/>
      <c r="C870" s="12" t="n"/>
      <c r="D870" s="11" t="n"/>
      <c r="E870" s="11" t="n"/>
      <c r="F870" s="11" t="n"/>
      <c r="G870" s="11" t="n"/>
    </row>
    <row r="871">
      <c r="A871" s="10">
        <f>IF(B871="","",867)</f>
        <v/>
      </c>
      <c r="B871" s="11" t="n"/>
      <c r="C871" s="12" t="n"/>
      <c r="D871" s="11" t="n"/>
      <c r="E871" s="11" t="n"/>
      <c r="F871" s="11" t="n"/>
      <c r="G871" s="11" t="n"/>
    </row>
    <row r="872">
      <c r="A872" s="10">
        <f>IF(B872="","",868)</f>
        <v/>
      </c>
      <c r="B872" s="11" t="n"/>
      <c r="C872" s="12" t="n"/>
      <c r="D872" s="11" t="n"/>
      <c r="E872" s="11" t="n"/>
      <c r="F872" s="11" t="n"/>
      <c r="G872" s="11" t="n"/>
    </row>
    <row r="873">
      <c r="A873" s="10">
        <f>IF(B873="","",869)</f>
        <v/>
      </c>
      <c r="B873" s="11" t="n"/>
      <c r="C873" s="12" t="n"/>
      <c r="D873" s="11" t="n"/>
      <c r="E873" s="11" t="n"/>
      <c r="F873" s="11" t="n"/>
      <c r="G873" s="11" t="n"/>
    </row>
    <row r="874">
      <c r="A874" s="10">
        <f>IF(B874="","",870)</f>
        <v/>
      </c>
      <c r="B874" s="11" t="n"/>
      <c r="C874" s="12" t="n"/>
      <c r="D874" s="11" t="n"/>
      <c r="E874" s="11" t="n"/>
      <c r="F874" s="11" t="n"/>
      <c r="G874" s="11" t="n"/>
    </row>
    <row r="875">
      <c r="A875" s="10">
        <f>IF(B875="","",871)</f>
        <v/>
      </c>
      <c r="B875" s="11" t="n"/>
      <c r="C875" s="12" t="n"/>
      <c r="D875" s="11" t="n"/>
      <c r="E875" s="11" t="n"/>
      <c r="F875" s="11" t="n"/>
      <c r="G875" s="11" t="n"/>
    </row>
    <row r="876">
      <c r="A876" s="10">
        <f>IF(B876="","",872)</f>
        <v/>
      </c>
      <c r="B876" s="11" t="n"/>
      <c r="C876" s="12" t="n"/>
      <c r="D876" s="11" t="n"/>
      <c r="E876" s="11" t="n"/>
      <c r="F876" s="11" t="n"/>
      <c r="G876" s="11" t="n"/>
    </row>
    <row r="877">
      <c r="A877" s="10">
        <f>IF(B877="","",873)</f>
        <v/>
      </c>
      <c r="B877" s="11" t="n"/>
      <c r="C877" s="12" t="n"/>
      <c r="D877" s="11" t="n"/>
      <c r="E877" s="11" t="n"/>
      <c r="F877" s="11" t="n"/>
      <c r="G877" s="11" t="n"/>
    </row>
    <row r="878">
      <c r="A878" s="10">
        <f>IF(B878="","",874)</f>
        <v/>
      </c>
      <c r="B878" s="11" t="n"/>
      <c r="C878" s="12" t="n"/>
      <c r="D878" s="11" t="n"/>
      <c r="E878" s="11" t="n"/>
      <c r="F878" s="11" t="n"/>
      <c r="G878" s="11" t="n"/>
    </row>
    <row r="879">
      <c r="A879" s="10">
        <f>IF(B879="","",875)</f>
        <v/>
      </c>
      <c r="B879" s="11" t="n"/>
      <c r="C879" s="12" t="n"/>
      <c r="D879" s="11" t="n"/>
      <c r="E879" s="11" t="n"/>
      <c r="F879" s="11" t="n"/>
      <c r="G879" s="11" t="n"/>
    </row>
    <row r="880">
      <c r="A880" s="10">
        <f>IF(B880="","",876)</f>
        <v/>
      </c>
      <c r="B880" s="11" t="n"/>
      <c r="C880" s="12" t="n"/>
      <c r="D880" s="11" t="n"/>
      <c r="E880" s="11" t="n"/>
      <c r="F880" s="11" t="n"/>
      <c r="G880" s="11" t="n"/>
    </row>
    <row r="881">
      <c r="A881" s="10">
        <f>IF(B881="","",877)</f>
        <v/>
      </c>
      <c r="B881" s="11" t="n"/>
      <c r="C881" s="12" t="n"/>
      <c r="D881" s="11" t="n"/>
      <c r="E881" s="11" t="n"/>
      <c r="F881" s="11" t="n"/>
      <c r="G881" s="11" t="n"/>
    </row>
    <row r="882">
      <c r="A882" s="10">
        <f>IF(B882="","",878)</f>
        <v/>
      </c>
      <c r="B882" s="11" t="n"/>
      <c r="C882" s="12" t="n"/>
      <c r="D882" s="11" t="n"/>
      <c r="E882" s="11" t="n"/>
      <c r="F882" s="11" t="n"/>
      <c r="G882" s="11" t="n"/>
    </row>
    <row r="883">
      <c r="A883" s="10">
        <f>IF(B883="","",879)</f>
        <v/>
      </c>
      <c r="B883" s="11" t="n"/>
      <c r="C883" s="12" t="n"/>
      <c r="D883" s="11" t="n"/>
      <c r="E883" s="11" t="n"/>
      <c r="F883" s="11" t="n"/>
      <c r="G883" s="11" t="n"/>
    </row>
    <row r="884">
      <c r="A884" s="10">
        <f>IF(B884="","",880)</f>
        <v/>
      </c>
      <c r="B884" s="11" t="n"/>
      <c r="C884" s="12" t="n"/>
      <c r="D884" s="11" t="n"/>
      <c r="E884" s="11" t="n"/>
      <c r="F884" s="11" t="n"/>
      <c r="G884" s="11" t="n"/>
    </row>
    <row r="885">
      <c r="A885" s="10">
        <f>IF(B885="","",881)</f>
        <v/>
      </c>
      <c r="B885" s="11" t="n"/>
      <c r="C885" s="12" t="n"/>
      <c r="D885" s="11" t="n"/>
      <c r="E885" s="11" t="n"/>
      <c r="F885" s="11" t="n"/>
      <c r="G885" s="11" t="n"/>
    </row>
    <row r="886">
      <c r="A886" s="10">
        <f>IF(B886="","",882)</f>
        <v/>
      </c>
      <c r="B886" s="11" t="n"/>
      <c r="C886" s="12" t="n"/>
      <c r="D886" s="11" t="n"/>
      <c r="E886" s="11" t="n"/>
      <c r="F886" s="11" t="n"/>
      <c r="G886" s="11" t="n"/>
    </row>
    <row r="887">
      <c r="A887" s="10">
        <f>IF(B887="","",883)</f>
        <v/>
      </c>
      <c r="B887" s="11" t="n"/>
      <c r="C887" s="12" t="n"/>
      <c r="D887" s="11" t="n"/>
      <c r="E887" s="11" t="n"/>
      <c r="F887" s="11" t="n"/>
      <c r="G887" s="11" t="n"/>
    </row>
    <row r="888">
      <c r="A888" s="10">
        <f>IF(B888="","",884)</f>
        <v/>
      </c>
      <c r="B888" s="11" t="n"/>
      <c r="C888" s="12" t="n"/>
      <c r="D888" s="11" t="n"/>
      <c r="E888" s="11" t="n"/>
      <c r="F888" s="11" t="n"/>
      <c r="G888" s="11" t="n"/>
    </row>
    <row r="889">
      <c r="A889" s="10">
        <f>IF(B889="","",885)</f>
        <v/>
      </c>
      <c r="B889" s="11" t="n"/>
      <c r="C889" s="12" t="n"/>
      <c r="D889" s="11" t="n"/>
      <c r="E889" s="11" t="n"/>
      <c r="F889" s="11" t="n"/>
      <c r="G889" s="11" t="n"/>
    </row>
    <row r="890">
      <c r="A890" s="10">
        <f>IF(B890="","",886)</f>
        <v/>
      </c>
      <c r="B890" s="11" t="n"/>
      <c r="C890" s="12" t="n"/>
      <c r="D890" s="11" t="n"/>
      <c r="E890" s="11" t="n"/>
      <c r="F890" s="11" t="n"/>
      <c r="G890" s="11" t="n"/>
    </row>
    <row r="891">
      <c r="A891" s="10">
        <f>IF(B891="","",887)</f>
        <v/>
      </c>
      <c r="B891" s="11" t="n"/>
      <c r="C891" s="12" t="n"/>
      <c r="D891" s="11" t="n"/>
      <c r="E891" s="11" t="n"/>
      <c r="F891" s="11" t="n"/>
      <c r="G891" s="11" t="n"/>
    </row>
    <row r="892">
      <c r="A892" s="10">
        <f>IF(B892="","",888)</f>
        <v/>
      </c>
      <c r="B892" s="11" t="n"/>
      <c r="C892" s="12" t="n"/>
      <c r="D892" s="11" t="n"/>
      <c r="E892" s="11" t="n"/>
      <c r="F892" s="11" t="n"/>
      <c r="G892" s="11" t="n"/>
    </row>
    <row r="893">
      <c r="A893" s="10">
        <f>IF(B893="","",889)</f>
        <v/>
      </c>
      <c r="B893" s="11" t="n"/>
      <c r="C893" s="12" t="n"/>
      <c r="D893" s="11" t="n"/>
      <c r="E893" s="11" t="n"/>
      <c r="F893" s="11" t="n"/>
      <c r="G893" s="11" t="n"/>
    </row>
    <row r="894">
      <c r="A894" s="10">
        <f>IF(B894="","",890)</f>
        <v/>
      </c>
      <c r="B894" s="11" t="n"/>
      <c r="C894" s="12" t="n"/>
      <c r="D894" s="11" t="n"/>
      <c r="E894" s="11" t="n"/>
      <c r="F894" s="11" t="n"/>
      <c r="G894" s="11" t="n"/>
    </row>
    <row r="895">
      <c r="A895" s="10">
        <f>IF(B895="","",891)</f>
        <v/>
      </c>
      <c r="B895" s="11" t="n"/>
      <c r="C895" s="12" t="n"/>
      <c r="D895" s="11" t="n"/>
      <c r="E895" s="11" t="n"/>
      <c r="F895" s="11" t="n"/>
      <c r="G895" s="11" t="n"/>
    </row>
    <row r="896">
      <c r="A896" s="10">
        <f>IF(B896="","",892)</f>
        <v/>
      </c>
      <c r="B896" s="11" t="n"/>
      <c r="C896" s="12" t="n"/>
      <c r="D896" s="11" t="n"/>
      <c r="E896" s="11" t="n"/>
      <c r="F896" s="11" t="n"/>
      <c r="G896" s="11" t="n"/>
    </row>
    <row r="897">
      <c r="A897" s="10">
        <f>IF(B897="","",893)</f>
        <v/>
      </c>
      <c r="B897" s="11" t="n"/>
      <c r="C897" s="12" t="n"/>
      <c r="D897" s="11" t="n"/>
      <c r="E897" s="11" t="n"/>
      <c r="F897" s="11" t="n"/>
      <c r="G897" s="11" t="n"/>
    </row>
    <row r="898">
      <c r="A898" s="10">
        <f>IF(B898="","",894)</f>
        <v/>
      </c>
      <c r="B898" s="11" t="n"/>
      <c r="C898" s="12" t="n"/>
      <c r="D898" s="11" t="n"/>
      <c r="E898" s="11" t="n"/>
      <c r="F898" s="11" t="n"/>
      <c r="G898" s="11" t="n"/>
    </row>
    <row r="899">
      <c r="A899" s="10">
        <f>IF(B899="","",895)</f>
        <v/>
      </c>
      <c r="B899" s="11" t="n"/>
      <c r="C899" s="12" t="n"/>
      <c r="D899" s="11" t="n"/>
      <c r="E899" s="11" t="n"/>
      <c r="F899" s="11" t="n"/>
      <c r="G899" s="11" t="n"/>
    </row>
    <row r="900">
      <c r="A900" s="10">
        <f>IF(B900="","",896)</f>
        <v/>
      </c>
      <c r="B900" s="11" t="n"/>
      <c r="C900" s="12" t="n"/>
      <c r="D900" s="11" t="n"/>
      <c r="E900" s="11" t="n"/>
      <c r="F900" s="11" t="n"/>
      <c r="G900" s="11" t="n"/>
    </row>
    <row r="901">
      <c r="A901" s="10">
        <f>IF(B901="","",897)</f>
        <v/>
      </c>
      <c r="B901" s="11" t="n"/>
      <c r="C901" s="12" t="n"/>
      <c r="D901" s="11" t="n"/>
      <c r="E901" s="11" t="n"/>
      <c r="F901" s="11" t="n"/>
      <c r="G901" s="11" t="n"/>
    </row>
    <row r="902">
      <c r="A902" s="10">
        <f>IF(B902="","",898)</f>
        <v/>
      </c>
      <c r="B902" s="11" t="n"/>
      <c r="C902" s="12" t="n"/>
      <c r="D902" s="11" t="n"/>
      <c r="E902" s="11" t="n"/>
      <c r="F902" s="11" t="n"/>
      <c r="G902" s="11" t="n"/>
    </row>
    <row r="903">
      <c r="A903" s="10">
        <f>IF(B903="","",899)</f>
        <v/>
      </c>
      <c r="B903" s="11" t="n"/>
      <c r="C903" s="12" t="n"/>
      <c r="D903" s="11" t="n"/>
      <c r="E903" s="11" t="n"/>
      <c r="F903" s="11" t="n"/>
      <c r="G903" s="11" t="n"/>
    </row>
    <row r="904">
      <c r="A904" s="10">
        <f>IF(B904="","",900)</f>
        <v/>
      </c>
      <c r="B904" s="11" t="n"/>
      <c r="C904" s="12" t="n"/>
      <c r="D904" s="11" t="n"/>
      <c r="E904" s="11" t="n"/>
      <c r="F904" s="11" t="n"/>
      <c r="G904" s="11" t="n"/>
    </row>
    <row r="905">
      <c r="A905" s="10">
        <f>IF(B905="","",901)</f>
        <v/>
      </c>
      <c r="B905" s="11" t="n"/>
      <c r="C905" s="12" t="n"/>
      <c r="D905" s="11" t="n"/>
      <c r="E905" s="11" t="n"/>
      <c r="F905" s="11" t="n"/>
      <c r="G905" s="11" t="n"/>
    </row>
    <row r="906">
      <c r="A906" s="10">
        <f>IF(B906="","",902)</f>
        <v/>
      </c>
      <c r="B906" s="11" t="n"/>
      <c r="C906" s="12" t="n"/>
      <c r="D906" s="11" t="n"/>
      <c r="E906" s="11" t="n"/>
      <c r="F906" s="11" t="n"/>
      <c r="G906" s="11" t="n"/>
    </row>
    <row r="907">
      <c r="A907" s="10">
        <f>IF(B907="","",903)</f>
        <v/>
      </c>
      <c r="B907" s="11" t="n"/>
      <c r="C907" s="12" t="n"/>
      <c r="D907" s="11" t="n"/>
      <c r="E907" s="11" t="n"/>
      <c r="F907" s="11" t="n"/>
      <c r="G907" s="11" t="n"/>
    </row>
    <row r="908">
      <c r="A908" s="10">
        <f>IF(B908="","",904)</f>
        <v/>
      </c>
      <c r="B908" s="11" t="n"/>
      <c r="C908" s="12" t="n"/>
      <c r="D908" s="11" t="n"/>
      <c r="E908" s="11" t="n"/>
      <c r="F908" s="11" t="n"/>
      <c r="G908" s="11" t="n"/>
    </row>
    <row r="909">
      <c r="A909" s="10">
        <f>IF(B909="","",905)</f>
        <v/>
      </c>
      <c r="B909" s="11" t="n"/>
      <c r="C909" s="12" t="n"/>
      <c r="D909" s="11" t="n"/>
      <c r="E909" s="11" t="n"/>
      <c r="F909" s="11" t="n"/>
      <c r="G909" s="11" t="n"/>
    </row>
    <row r="910">
      <c r="A910" s="10">
        <f>IF(B910="","",906)</f>
        <v/>
      </c>
      <c r="B910" s="11" t="n"/>
      <c r="C910" s="12" t="n"/>
      <c r="D910" s="11" t="n"/>
      <c r="E910" s="11" t="n"/>
      <c r="F910" s="11" t="n"/>
      <c r="G910" s="11" t="n"/>
    </row>
    <row r="911">
      <c r="A911" s="10">
        <f>IF(B911="","",907)</f>
        <v/>
      </c>
      <c r="B911" s="11" t="n"/>
      <c r="C911" s="12" t="n"/>
      <c r="D911" s="11" t="n"/>
      <c r="E911" s="11" t="n"/>
      <c r="F911" s="11" t="n"/>
      <c r="G911" s="11" t="n"/>
    </row>
    <row r="912">
      <c r="A912" s="10">
        <f>IF(B912="","",908)</f>
        <v/>
      </c>
      <c r="B912" s="11" t="n"/>
      <c r="C912" s="12" t="n"/>
      <c r="D912" s="11" t="n"/>
      <c r="E912" s="11" t="n"/>
      <c r="F912" s="11" t="n"/>
      <c r="G912" s="11" t="n"/>
    </row>
    <row r="913">
      <c r="A913" s="10">
        <f>IF(B913="","",909)</f>
        <v/>
      </c>
      <c r="B913" s="11" t="n"/>
      <c r="C913" s="12" t="n"/>
      <c r="D913" s="11" t="n"/>
      <c r="E913" s="11" t="n"/>
      <c r="F913" s="11" t="n"/>
      <c r="G913" s="11" t="n"/>
    </row>
    <row r="914">
      <c r="A914" s="10">
        <f>IF(B914="","",910)</f>
        <v/>
      </c>
      <c r="B914" s="11" t="n"/>
      <c r="C914" s="12" t="n"/>
      <c r="D914" s="11" t="n"/>
      <c r="E914" s="11" t="n"/>
      <c r="F914" s="11" t="n"/>
      <c r="G914" s="11" t="n"/>
    </row>
    <row r="915">
      <c r="A915" s="10">
        <f>IF(B915="","",911)</f>
        <v/>
      </c>
      <c r="B915" s="11" t="n"/>
      <c r="C915" s="12" t="n"/>
      <c r="D915" s="11" t="n"/>
      <c r="E915" s="11" t="n"/>
      <c r="F915" s="11" t="n"/>
      <c r="G915" s="11" t="n"/>
    </row>
    <row r="916">
      <c r="A916" s="10">
        <f>IF(B916="","",912)</f>
        <v/>
      </c>
      <c r="B916" s="11" t="n"/>
      <c r="C916" s="12" t="n"/>
      <c r="D916" s="11" t="n"/>
      <c r="E916" s="11" t="n"/>
      <c r="F916" s="11" t="n"/>
      <c r="G916" s="11" t="n"/>
    </row>
    <row r="917">
      <c r="A917" s="10">
        <f>IF(B917="","",913)</f>
        <v/>
      </c>
      <c r="B917" s="11" t="n"/>
      <c r="C917" s="12" t="n"/>
      <c r="D917" s="11" t="n"/>
      <c r="E917" s="11" t="n"/>
      <c r="F917" s="11" t="n"/>
      <c r="G917" s="11" t="n"/>
    </row>
    <row r="918">
      <c r="A918" s="10">
        <f>IF(B918="","",914)</f>
        <v/>
      </c>
      <c r="B918" s="11" t="n"/>
      <c r="C918" s="12" t="n"/>
      <c r="D918" s="11" t="n"/>
      <c r="E918" s="11" t="n"/>
      <c r="F918" s="11" t="n"/>
      <c r="G918" s="11" t="n"/>
    </row>
    <row r="919">
      <c r="A919" s="10">
        <f>IF(B919="","",915)</f>
        <v/>
      </c>
      <c r="B919" s="11" t="n"/>
      <c r="C919" s="12" t="n"/>
      <c r="D919" s="11" t="n"/>
      <c r="E919" s="11" t="n"/>
      <c r="F919" s="11" t="n"/>
      <c r="G919" s="11" t="n"/>
    </row>
    <row r="920">
      <c r="A920" s="10">
        <f>IF(B920="","",916)</f>
        <v/>
      </c>
      <c r="B920" s="11" t="n"/>
      <c r="C920" s="12" t="n"/>
      <c r="D920" s="11" t="n"/>
      <c r="E920" s="11" t="n"/>
      <c r="F920" s="11" t="n"/>
      <c r="G920" s="11" t="n"/>
    </row>
    <row r="921">
      <c r="A921" s="10">
        <f>IF(B921="","",917)</f>
        <v/>
      </c>
      <c r="B921" s="11" t="n"/>
      <c r="C921" s="12" t="n"/>
      <c r="D921" s="11" t="n"/>
      <c r="E921" s="11" t="n"/>
      <c r="F921" s="11" t="n"/>
      <c r="G921" s="11" t="n"/>
    </row>
    <row r="922">
      <c r="A922" s="10">
        <f>IF(B922="","",918)</f>
        <v/>
      </c>
      <c r="B922" s="11" t="n"/>
      <c r="C922" s="12" t="n"/>
      <c r="D922" s="11" t="n"/>
      <c r="E922" s="11" t="n"/>
      <c r="F922" s="11" t="n"/>
      <c r="G922" s="11" t="n"/>
    </row>
    <row r="923">
      <c r="A923" s="10">
        <f>IF(B923="","",919)</f>
        <v/>
      </c>
      <c r="B923" s="11" t="n"/>
      <c r="C923" s="12" t="n"/>
      <c r="D923" s="11" t="n"/>
      <c r="E923" s="11" t="n"/>
      <c r="F923" s="11" t="n"/>
      <c r="G923" s="11" t="n"/>
    </row>
    <row r="924">
      <c r="A924" s="10">
        <f>IF(B924="","",920)</f>
        <v/>
      </c>
      <c r="B924" s="11" t="n"/>
      <c r="C924" s="12" t="n"/>
      <c r="D924" s="11" t="n"/>
      <c r="E924" s="11" t="n"/>
      <c r="F924" s="11" t="n"/>
      <c r="G924" s="11" t="n"/>
    </row>
    <row r="925">
      <c r="A925" s="10">
        <f>IF(B925="","",921)</f>
        <v/>
      </c>
      <c r="B925" s="11" t="n"/>
      <c r="C925" s="12" t="n"/>
      <c r="D925" s="11" t="n"/>
      <c r="E925" s="11" t="n"/>
      <c r="F925" s="11" t="n"/>
      <c r="G925" s="11" t="n"/>
    </row>
    <row r="926">
      <c r="A926" s="10">
        <f>IF(B926="","",922)</f>
        <v/>
      </c>
      <c r="B926" s="11" t="n"/>
      <c r="C926" s="12" t="n"/>
      <c r="D926" s="11" t="n"/>
      <c r="E926" s="11" t="n"/>
      <c r="F926" s="11" t="n"/>
      <c r="G926" s="11" t="n"/>
    </row>
    <row r="927">
      <c r="A927" s="10">
        <f>IF(B927="","",923)</f>
        <v/>
      </c>
      <c r="B927" s="11" t="n"/>
      <c r="C927" s="12" t="n"/>
      <c r="D927" s="11" t="n"/>
      <c r="E927" s="11" t="n"/>
      <c r="F927" s="11" t="n"/>
      <c r="G927" s="11" t="n"/>
    </row>
    <row r="928">
      <c r="A928" s="10">
        <f>IF(B928="","",924)</f>
        <v/>
      </c>
      <c r="B928" s="11" t="n"/>
      <c r="C928" s="12" t="n"/>
      <c r="D928" s="11" t="n"/>
      <c r="E928" s="11" t="n"/>
      <c r="F928" s="11" t="n"/>
      <c r="G928" s="11" t="n"/>
    </row>
    <row r="929">
      <c r="A929" s="10">
        <f>IF(B929="","",925)</f>
        <v/>
      </c>
      <c r="B929" s="11" t="n"/>
      <c r="C929" s="12" t="n"/>
      <c r="D929" s="11" t="n"/>
      <c r="E929" s="11" t="n"/>
      <c r="F929" s="11" t="n"/>
      <c r="G929" s="11" t="n"/>
    </row>
    <row r="930">
      <c r="A930" s="10">
        <f>IF(B930="","",926)</f>
        <v/>
      </c>
      <c r="B930" s="11" t="n"/>
      <c r="C930" s="12" t="n"/>
      <c r="D930" s="11" t="n"/>
      <c r="E930" s="11" t="n"/>
      <c r="F930" s="11" t="n"/>
      <c r="G930" s="11" t="n"/>
    </row>
    <row r="931">
      <c r="A931" s="10">
        <f>IF(B931="","",927)</f>
        <v/>
      </c>
      <c r="B931" s="11" t="n"/>
      <c r="C931" s="12" t="n"/>
      <c r="D931" s="11" t="n"/>
      <c r="E931" s="11" t="n"/>
      <c r="F931" s="11" t="n"/>
      <c r="G931" s="11" t="n"/>
    </row>
    <row r="932">
      <c r="A932" s="10">
        <f>IF(B932="","",928)</f>
        <v/>
      </c>
      <c r="B932" s="11" t="n"/>
      <c r="C932" s="12" t="n"/>
      <c r="D932" s="11" t="n"/>
      <c r="E932" s="11" t="n"/>
      <c r="F932" s="11" t="n"/>
      <c r="G932" s="11" t="n"/>
    </row>
    <row r="933">
      <c r="A933" s="10">
        <f>IF(B933="","",929)</f>
        <v/>
      </c>
      <c r="B933" s="11" t="n"/>
      <c r="C933" s="12" t="n"/>
      <c r="D933" s="11" t="n"/>
      <c r="E933" s="11" t="n"/>
      <c r="F933" s="11" t="n"/>
      <c r="G933" s="11" t="n"/>
    </row>
    <row r="934">
      <c r="A934" s="10">
        <f>IF(B934="","",930)</f>
        <v/>
      </c>
      <c r="B934" s="11" t="n"/>
      <c r="C934" s="12" t="n"/>
      <c r="D934" s="11" t="n"/>
      <c r="E934" s="11" t="n"/>
      <c r="F934" s="11" t="n"/>
      <c r="G934" s="11" t="n"/>
    </row>
    <row r="935">
      <c r="A935" s="10">
        <f>IF(B935="","",931)</f>
        <v/>
      </c>
      <c r="B935" s="11" t="n"/>
      <c r="C935" s="12" t="n"/>
      <c r="D935" s="11" t="n"/>
      <c r="E935" s="11" t="n"/>
      <c r="F935" s="11" t="n"/>
      <c r="G935" s="11" t="n"/>
    </row>
    <row r="936">
      <c r="A936" s="10">
        <f>IF(B936="","",932)</f>
        <v/>
      </c>
      <c r="B936" s="11" t="n"/>
      <c r="C936" s="12" t="n"/>
      <c r="D936" s="11" t="n"/>
      <c r="E936" s="11" t="n"/>
      <c r="F936" s="11" t="n"/>
      <c r="G936" s="11" t="n"/>
    </row>
    <row r="937">
      <c r="A937" s="10">
        <f>IF(B937="","",933)</f>
        <v/>
      </c>
      <c r="B937" s="11" t="n"/>
      <c r="C937" s="12" t="n"/>
      <c r="D937" s="11" t="n"/>
      <c r="E937" s="11" t="n"/>
      <c r="F937" s="11" t="n"/>
      <c r="G937" s="11" t="n"/>
    </row>
    <row r="938">
      <c r="A938" s="10">
        <f>IF(B938="","",934)</f>
        <v/>
      </c>
      <c r="B938" s="11" t="n"/>
      <c r="C938" s="12" t="n"/>
      <c r="D938" s="11" t="n"/>
      <c r="E938" s="11" t="n"/>
      <c r="F938" s="11" t="n"/>
      <c r="G938" s="11" t="n"/>
    </row>
    <row r="939">
      <c r="A939" s="10">
        <f>IF(B939="","",935)</f>
        <v/>
      </c>
      <c r="B939" s="11" t="n"/>
      <c r="C939" s="12" t="n"/>
      <c r="D939" s="11" t="n"/>
      <c r="E939" s="11" t="n"/>
      <c r="F939" s="11" t="n"/>
      <c r="G939" s="11" t="n"/>
    </row>
    <row r="940">
      <c r="A940" s="10">
        <f>IF(B940="","",936)</f>
        <v/>
      </c>
      <c r="B940" s="11" t="n"/>
      <c r="C940" s="12" t="n"/>
      <c r="D940" s="11" t="n"/>
      <c r="E940" s="11" t="n"/>
      <c r="F940" s="11" t="n"/>
      <c r="G940" s="11" t="n"/>
    </row>
    <row r="941">
      <c r="A941" s="10">
        <f>IF(B941="","",937)</f>
        <v/>
      </c>
      <c r="B941" s="11" t="n"/>
      <c r="C941" s="12" t="n"/>
      <c r="D941" s="11" t="n"/>
      <c r="E941" s="11" t="n"/>
      <c r="F941" s="11" t="n"/>
      <c r="G941" s="11" t="n"/>
    </row>
    <row r="942">
      <c r="A942" s="10">
        <f>IF(B942="","",938)</f>
        <v/>
      </c>
      <c r="B942" s="11" t="n"/>
      <c r="C942" s="12" t="n"/>
      <c r="D942" s="11" t="n"/>
      <c r="E942" s="11" t="n"/>
      <c r="F942" s="11" t="n"/>
      <c r="G942" s="11" t="n"/>
    </row>
    <row r="943">
      <c r="A943" s="10">
        <f>IF(B943="","",939)</f>
        <v/>
      </c>
      <c r="B943" s="11" t="n"/>
      <c r="C943" s="12" t="n"/>
      <c r="D943" s="11" t="n"/>
      <c r="E943" s="11" t="n"/>
      <c r="F943" s="11" t="n"/>
      <c r="G943" s="11" t="n"/>
    </row>
    <row r="944">
      <c r="A944" s="10">
        <f>IF(B944="","",940)</f>
        <v/>
      </c>
      <c r="B944" s="11" t="n"/>
      <c r="C944" s="12" t="n"/>
      <c r="D944" s="11" t="n"/>
      <c r="E944" s="11" t="n"/>
      <c r="F944" s="11" t="n"/>
      <c r="G944" s="11" t="n"/>
    </row>
    <row r="945">
      <c r="A945" s="10">
        <f>IF(B945="","",941)</f>
        <v/>
      </c>
      <c r="B945" s="11" t="n"/>
      <c r="C945" s="12" t="n"/>
      <c r="D945" s="11" t="n"/>
      <c r="E945" s="11" t="n"/>
      <c r="F945" s="11" t="n"/>
      <c r="G945" s="11" t="n"/>
    </row>
    <row r="946">
      <c r="A946" s="10">
        <f>IF(B946="","",942)</f>
        <v/>
      </c>
      <c r="B946" s="11" t="n"/>
      <c r="C946" s="12" t="n"/>
      <c r="D946" s="11" t="n"/>
      <c r="E946" s="11" t="n"/>
      <c r="F946" s="11" t="n"/>
      <c r="G946" s="11" t="n"/>
    </row>
    <row r="947">
      <c r="A947" s="10">
        <f>IF(B947="","",943)</f>
        <v/>
      </c>
      <c r="B947" s="11" t="n"/>
      <c r="C947" s="12" t="n"/>
      <c r="D947" s="11" t="n"/>
      <c r="E947" s="11" t="n"/>
      <c r="F947" s="11" t="n"/>
      <c r="G947" s="11" t="n"/>
    </row>
    <row r="948">
      <c r="A948" s="10">
        <f>IF(B948="","",944)</f>
        <v/>
      </c>
      <c r="B948" s="11" t="n"/>
      <c r="C948" s="12" t="n"/>
      <c r="D948" s="11" t="n"/>
      <c r="E948" s="11" t="n"/>
      <c r="F948" s="11" t="n"/>
      <c r="G948" s="11" t="n"/>
    </row>
    <row r="949">
      <c r="A949" s="10">
        <f>IF(B949="","",945)</f>
        <v/>
      </c>
      <c r="B949" s="11" t="n"/>
      <c r="C949" s="12" t="n"/>
      <c r="D949" s="11" t="n"/>
      <c r="E949" s="11" t="n"/>
      <c r="F949" s="11" t="n"/>
      <c r="G949" s="11" t="n"/>
    </row>
    <row r="950">
      <c r="A950" s="10">
        <f>IF(B950="","",946)</f>
        <v/>
      </c>
      <c r="B950" s="11" t="n"/>
      <c r="C950" s="12" t="n"/>
      <c r="D950" s="11" t="n"/>
      <c r="E950" s="11" t="n"/>
      <c r="F950" s="11" t="n"/>
      <c r="G950" s="11" t="n"/>
    </row>
    <row r="951">
      <c r="A951" s="10">
        <f>IF(B951="","",947)</f>
        <v/>
      </c>
      <c r="B951" s="11" t="n"/>
      <c r="C951" s="12" t="n"/>
      <c r="D951" s="11" t="n"/>
      <c r="E951" s="11" t="n"/>
      <c r="F951" s="11" t="n"/>
      <c r="G951" s="11" t="n"/>
    </row>
    <row r="952">
      <c r="A952" s="10">
        <f>IF(B952="","",948)</f>
        <v/>
      </c>
      <c r="B952" s="11" t="n"/>
      <c r="C952" s="12" t="n"/>
      <c r="D952" s="11" t="n"/>
      <c r="E952" s="11" t="n"/>
      <c r="F952" s="11" t="n"/>
      <c r="G952" s="11" t="n"/>
    </row>
    <row r="953">
      <c r="A953" s="10">
        <f>IF(B953="","",949)</f>
        <v/>
      </c>
      <c r="B953" s="11" t="n"/>
      <c r="C953" s="12" t="n"/>
      <c r="D953" s="11" t="n"/>
      <c r="E953" s="11" t="n"/>
      <c r="F953" s="11" t="n"/>
      <c r="G953" s="11" t="n"/>
    </row>
    <row r="954">
      <c r="A954" s="10">
        <f>IF(B954="","",950)</f>
        <v/>
      </c>
      <c r="B954" s="11" t="n"/>
      <c r="C954" s="12" t="n"/>
      <c r="D954" s="11" t="n"/>
      <c r="E954" s="11" t="n"/>
      <c r="F954" s="11" t="n"/>
      <c r="G954" s="11" t="n"/>
    </row>
    <row r="955">
      <c r="A955" s="10">
        <f>IF(B955="","",951)</f>
        <v/>
      </c>
      <c r="B955" s="11" t="n"/>
      <c r="C955" s="12" t="n"/>
      <c r="D955" s="11" t="n"/>
      <c r="E955" s="11" t="n"/>
      <c r="F955" s="11" t="n"/>
      <c r="G955" s="11" t="n"/>
    </row>
    <row r="956">
      <c r="A956" s="10">
        <f>IF(B956="","",952)</f>
        <v/>
      </c>
      <c r="B956" s="11" t="n"/>
      <c r="C956" s="12" t="n"/>
      <c r="D956" s="11" t="n"/>
      <c r="E956" s="11" t="n"/>
      <c r="F956" s="11" t="n"/>
      <c r="G956" s="11" t="n"/>
    </row>
    <row r="957">
      <c r="A957" s="10">
        <f>IF(B957="","",953)</f>
        <v/>
      </c>
      <c r="B957" s="11" t="n"/>
      <c r="C957" s="12" t="n"/>
      <c r="D957" s="11" t="n"/>
      <c r="E957" s="11" t="n"/>
      <c r="F957" s="11" t="n"/>
      <c r="G957" s="11" t="n"/>
    </row>
    <row r="958">
      <c r="A958" s="10">
        <f>IF(B958="","",954)</f>
        <v/>
      </c>
      <c r="B958" s="11" t="n"/>
      <c r="C958" s="12" t="n"/>
      <c r="D958" s="11" t="n"/>
      <c r="E958" s="11" t="n"/>
      <c r="F958" s="11" t="n"/>
      <c r="G958" s="11" t="n"/>
    </row>
    <row r="959">
      <c r="A959" s="10">
        <f>IF(B959="","",955)</f>
        <v/>
      </c>
      <c r="B959" s="11" t="n"/>
      <c r="C959" s="12" t="n"/>
      <c r="D959" s="11" t="n"/>
      <c r="E959" s="11" t="n"/>
      <c r="F959" s="11" t="n"/>
      <c r="G959" s="11" t="n"/>
    </row>
    <row r="960">
      <c r="A960" s="10">
        <f>IF(B960="","",956)</f>
        <v/>
      </c>
      <c r="B960" s="11" t="n"/>
      <c r="C960" s="12" t="n"/>
      <c r="D960" s="11" t="n"/>
      <c r="E960" s="11" t="n"/>
      <c r="F960" s="11" t="n"/>
      <c r="G960" s="11" t="n"/>
    </row>
    <row r="961">
      <c r="A961" s="10">
        <f>IF(B961="","",957)</f>
        <v/>
      </c>
      <c r="B961" s="11" t="n"/>
      <c r="C961" s="12" t="n"/>
      <c r="D961" s="11" t="n"/>
      <c r="E961" s="11" t="n"/>
      <c r="F961" s="11" t="n"/>
      <c r="G961" s="11" t="n"/>
    </row>
    <row r="962">
      <c r="A962" s="10">
        <f>IF(B962="","",958)</f>
        <v/>
      </c>
      <c r="B962" s="11" t="n"/>
      <c r="C962" s="12" t="n"/>
      <c r="D962" s="11" t="n"/>
      <c r="E962" s="11" t="n"/>
      <c r="F962" s="11" t="n"/>
      <c r="G962" s="11" t="n"/>
    </row>
    <row r="963">
      <c r="A963" s="10">
        <f>IF(B963="","",959)</f>
        <v/>
      </c>
      <c r="B963" s="11" t="n"/>
      <c r="C963" s="12" t="n"/>
      <c r="D963" s="11" t="n"/>
      <c r="E963" s="11" t="n"/>
      <c r="F963" s="11" t="n"/>
      <c r="G963" s="11" t="n"/>
    </row>
    <row r="964">
      <c r="A964" s="10">
        <f>IF(B964="","",960)</f>
        <v/>
      </c>
      <c r="B964" s="11" t="n"/>
      <c r="C964" s="12" t="n"/>
      <c r="D964" s="11" t="n"/>
      <c r="E964" s="11" t="n"/>
      <c r="F964" s="11" t="n"/>
      <c r="G964" s="11" t="n"/>
    </row>
    <row r="965">
      <c r="A965" s="10">
        <f>IF(B965="","",961)</f>
        <v/>
      </c>
      <c r="B965" s="11" t="n"/>
      <c r="C965" s="12" t="n"/>
      <c r="D965" s="11" t="n"/>
      <c r="E965" s="11" t="n"/>
      <c r="F965" s="11" t="n"/>
      <c r="G965" s="11" t="n"/>
    </row>
    <row r="966">
      <c r="A966" s="10">
        <f>IF(B966="","",962)</f>
        <v/>
      </c>
      <c r="B966" s="11" t="n"/>
      <c r="C966" s="12" t="n"/>
      <c r="D966" s="11" t="n"/>
      <c r="E966" s="11" t="n"/>
      <c r="F966" s="11" t="n"/>
      <c r="G966" s="11" t="n"/>
    </row>
    <row r="967">
      <c r="A967" s="10">
        <f>IF(B967="","",963)</f>
        <v/>
      </c>
      <c r="B967" s="11" t="n"/>
      <c r="C967" s="12" t="n"/>
      <c r="D967" s="11" t="n"/>
      <c r="E967" s="11" t="n"/>
      <c r="F967" s="11" t="n"/>
      <c r="G967" s="11" t="n"/>
    </row>
    <row r="968">
      <c r="A968" s="10">
        <f>IF(B968="","",964)</f>
        <v/>
      </c>
      <c r="B968" s="11" t="n"/>
      <c r="C968" s="12" t="n"/>
      <c r="D968" s="11" t="n"/>
      <c r="E968" s="11" t="n"/>
      <c r="F968" s="11" t="n"/>
      <c r="G968" s="11" t="n"/>
    </row>
    <row r="969">
      <c r="A969" s="10">
        <f>IF(B969="","",965)</f>
        <v/>
      </c>
      <c r="B969" s="11" t="n"/>
      <c r="C969" s="12" t="n"/>
      <c r="D969" s="11" t="n"/>
      <c r="E969" s="11" t="n"/>
      <c r="F969" s="11" t="n"/>
      <c r="G969" s="11" t="n"/>
    </row>
    <row r="970">
      <c r="A970" s="10">
        <f>IF(B970="","",966)</f>
        <v/>
      </c>
      <c r="B970" s="11" t="n"/>
      <c r="C970" s="12" t="n"/>
      <c r="D970" s="11" t="n"/>
      <c r="E970" s="11" t="n"/>
      <c r="F970" s="11" t="n"/>
      <c r="G970" s="11" t="n"/>
    </row>
    <row r="971">
      <c r="A971" s="10">
        <f>IF(B971="","",967)</f>
        <v/>
      </c>
      <c r="B971" s="11" t="n"/>
      <c r="C971" s="12" t="n"/>
      <c r="D971" s="11" t="n"/>
      <c r="E971" s="11" t="n"/>
      <c r="F971" s="11" t="n"/>
      <c r="G971" s="11" t="n"/>
    </row>
    <row r="972">
      <c r="A972" s="10">
        <f>IF(B972="","",968)</f>
        <v/>
      </c>
      <c r="B972" s="11" t="n"/>
      <c r="C972" s="12" t="n"/>
      <c r="D972" s="11" t="n"/>
      <c r="E972" s="11" t="n"/>
      <c r="F972" s="11" t="n"/>
      <c r="G972" s="11" t="n"/>
    </row>
    <row r="973">
      <c r="A973" s="10">
        <f>IF(B973="","",969)</f>
        <v/>
      </c>
      <c r="B973" s="11" t="n"/>
      <c r="C973" s="12" t="n"/>
      <c r="D973" s="11" t="n"/>
      <c r="E973" s="11" t="n"/>
      <c r="F973" s="11" t="n"/>
      <c r="G973" s="11" t="n"/>
    </row>
    <row r="974">
      <c r="A974" s="10">
        <f>IF(B974="","",970)</f>
        <v/>
      </c>
      <c r="B974" s="11" t="n"/>
      <c r="C974" s="12" t="n"/>
      <c r="D974" s="11" t="n"/>
      <c r="E974" s="11" t="n"/>
      <c r="F974" s="11" t="n"/>
      <c r="G974" s="11" t="n"/>
    </row>
    <row r="975">
      <c r="A975" s="10">
        <f>IF(B975="","",971)</f>
        <v/>
      </c>
      <c r="B975" s="11" t="n"/>
      <c r="C975" s="12" t="n"/>
      <c r="D975" s="11" t="n"/>
      <c r="E975" s="11" t="n"/>
      <c r="F975" s="11" t="n"/>
      <c r="G975" s="11" t="n"/>
    </row>
    <row r="976">
      <c r="A976" s="10">
        <f>IF(B976="","",972)</f>
        <v/>
      </c>
      <c r="B976" s="11" t="n"/>
      <c r="C976" s="12" t="n"/>
      <c r="D976" s="11" t="n"/>
      <c r="E976" s="11" t="n"/>
      <c r="F976" s="11" t="n"/>
      <c r="G976" s="11" t="n"/>
    </row>
    <row r="977">
      <c r="A977" s="10">
        <f>IF(B977="","",973)</f>
        <v/>
      </c>
      <c r="B977" s="11" t="n"/>
      <c r="C977" s="12" t="n"/>
      <c r="D977" s="11" t="n"/>
      <c r="E977" s="11" t="n"/>
      <c r="F977" s="11" t="n"/>
      <c r="G977" s="11" t="n"/>
    </row>
    <row r="978">
      <c r="A978" s="10">
        <f>IF(B978="","",974)</f>
        <v/>
      </c>
      <c r="B978" s="11" t="n"/>
      <c r="C978" s="12" t="n"/>
      <c r="D978" s="11" t="n"/>
      <c r="E978" s="11" t="n"/>
      <c r="F978" s="11" t="n"/>
      <c r="G978" s="11" t="n"/>
    </row>
    <row r="979">
      <c r="A979" s="10">
        <f>IF(B979="","",975)</f>
        <v/>
      </c>
      <c r="B979" s="11" t="n"/>
      <c r="C979" s="12" t="n"/>
      <c r="D979" s="11" t="n"/>
      <c r="E979" s="11" t="n"/>
      <c r="F979" s="11" t="n"/>
      <c r="G979" s="11" t="n"/>
    </row>
    <row r="980">
      <c r="A980" s="10">
        <f>IF(B980="","",976)</f>
        <v/>
      </c>
      <c r="B980" s="11" t="n"/>
      <c r="C980" s="12" t="n"/>
      <c r="D980" s="11" t="n"/>
      <c r="E980" s="11" t="n"/>
      <c r="F980" s="11" t="n"/>
      <c r="G980" s="11" t="n"/>
    </row>
    <row r="981">
      <c r="A981" s="10">
        <f>IF(B981="","",977)</f>
        <v/>
      </c>
      <c r="B981" s="11" t="n"/>
      <c r="C981" s="12" t="n"/>
      <c r="D981" s="11" t="n"/>
      <c r="E981" s="11" t="n"/>
      <c r="F981" s="11" t="n"/>
      <c r="G981" s="11" t="n"/>
    </row>
    <row r="982">
      <c r="A982" s="10">
        <f>IF(B982="","",978)</f>
        <v/>
      </c>
      <c r="B982" s="11" t="n"/>
      <c r="C982" s="12" t="n"/>
      <c r="D982" s="11" t="n"/>
      <c r="E982" s="11" t="n"/>
      <c r="F982" s="11" t="n"/>
      <c r="G982" s="11" t="n"/>
    </row>
    <row r="983">
      <c r="A983" s="10">
        <f>IF(B983="","",979)</f>
        <v/>
      </c>
      <c r="B983" s="11" t="n"/>
      <c r="C983" s="12" t="n"/>
      <c r="D983" s="11" t="n"/>
      <c r="E983" s="11" t="n"/>
      <c r="F983" s="11" t="n"/>
      <c r="G983" s="11" t="n"/>
    </row>
    <row r="984">
      <c r="A984" s="10">
        <f>IF(B984="","",980)</f>
        <v/>
      </c>
      <c r="B984" s="11" t="n"/>
      <c r="C984" s="12" t="n"/>
      <c r="D984" s="11" t="n"/>
      <c r="E984" s="11" t="n"/>
      <c r="F984" s="11" t="n"/>
      <c r="G984" s="11" t="n"/>
    </row>
    <row r="985">
      <c r="A985" s="10">
        <f>IF(B985="","",981)</f>
        <v/>
      </c>
      <c r="B985" s="11" t="n"/>
      <c r="C985" s="12" t="n"/>
      <c r="D985" s="11" t="n"/>
      <c r="E985" s="11" t="n"/>
      <c r="F985" s="11" t="n"/>
      <c r="G985" s="11" t="n"/>
    </row>
    <row r="986">
      <c r="A986" s="10">
        <f>IF(B986="","",982)</f>
        <v/>
      </c>
      <c r="B986" s="11" t="n"/>
      <c r="C986" s="12" t="n"/>
      <c r="D986" s="11" t="n"/>
      <c r="E986" s="11" t="n"/>
      <c r="F986" s="11" t="n"/>
      <c r="G986" s="11" t="n"/>
    </row>
    <row r="987">
      <c r="A987" s="10">
        <f>IF(B987="","",983)</f>
        <v/>
      </c>
      <c r="B987" s="11" t="n"/>
      <c r="C987" s="12" t="n"/>
      <c r="D987" s="11" t="n"/>
      <c r="E987" s="11" t="n"/>
      <c r="F987" s="11" t="n"/>
      <c r="G987" s="11" t="n"/>
    </row>
    <row r="988">
      <c r="A988" s="10">
        <f>IF(B988="","",984)</f>
        <v/>
      </c>
      <c r="B988" s="11" t="n"/>
      <c r="C988" s="12" t="n"/>
      <c r="D988" s="11" t="n"/>
      <c r="E988" s="11" t="n"/>
      <c r="F988" s="11" t="n"/>
      <c r="G988" s="11" t="n"/>
    </row>
    <row r="989">
      <c r="A989" s="10">
        <f>IF(B989="","",985)</f>
        <v/>
      </c>
      <c r="B989" s="11" t="n"/>
      <c r="C989" s="12" t="n"/>
      <c r="D989" s="11" t="n"/>
      <c r="E989" s="11" t="n"/>
      <c r="F989" s="11" t="n"/>
      <c r="G989" s="11" t="n"/>
    </row>
    <row r="990">
      <c r="A990" s="10">
        <f>IF(B990="","",986)</f>
        <v/>
      </c>
      <c r="B990" s="11" t="n"/>
      <c r="C990" s="12" t="n"/>
      <c r="D990" s="11" t="n"/>
      <c r="E990" s="11" t="n"/>
      <c r="F990" s="11" t="n"/>
      <c r="G990" s="11" t="n"/>
    </row>
    <row r="991">
      <c r="A991" s="10">
        <f>IF(B991="","",987)</f>
        <v/>
      </c>
      <c r="B991" s="11" t="n"/>
      <c r="C991" s="12" t="n"/>
      <c r="D991" s="11" t="n"/>
      <c r="E991" s="11" t="n"/>
      <c r="F991" s="11" t="n"/>
      <c r="G991" s="11" t="n"/>
    </row>
    <row r="992">
      <c r="A992" s="10">
        <f>IF(B992="","",988)</f>
        <v/>
      </c>
      <c r="B992" s="11" t="n"/>
      <c r="C992" s="12" t="n"/>
      <c r="D992" s="11" t="n"/>
      <c r="E992" s="11" t="n"/>
      <c r="F992" s="11" t="n"/>
      <c r="G992" s="11" t="n"/>
    </row>
    <row r="993">
      <c r="A993" s="10">
        <f>IF(B993="","",989)</f>
        <v/>
      </c>
      <c r="B993" s="11" t="n"/>
      <c r="C993" s="12" t="n"/>
      <c r="D993" s="11" t="n"/>
      <c r="E993" s="11" t="n"/>
      <c r="F993" s="11" t="n"/>
      <c r="G993" s="11" t="n"/>
    </row>
    <row r="994">
      <c r="A994" s="10">
        <f>IF(B994="","",990)</f>
        <v/>
      </c>
      <c r="B994" s="11" t="n"/>
      <c r="C994" s="12" t="n"/>
      <c r="D994" s="11" t="n"/>
      <c r="E994" s="11" t="n"/>
      <c r="F994" s="11" t="n"/>
      <c r="G994" s="11" t="n"/>
    </row>
    <row r="995">
      <c r="A995" s="10">
        <f>IF(B995="","",991)</f>
        <v/>
      </c>
      <c r="B995" s="11" t="n"/>
      <c r="C995" s="12" t="n"/>
      <c r="D995" s="11" t="n"/>
      <c r="E995" s="11" t="n"/>
      <c r="F995" s="11" t="n"/>
      <c r="G995" s="11" t="n"/>
    </row>
    <row r="996">
      <c r="A996" s="10">
        <f>IF(B996="","",992)</f>
        <v/>
      </c>
      <c r="B996" s="11" t="n"/>
      <c r="C996" s="12" t="n"/>
      <c r="D996" s="11" t="n"/>
      <c r="E996" s="11" t="n"/>
      <c r="F996" s="11" t="n"/>
      <c r="G996" s="11" t="n"/>
    </row>
    <row r="997">
      <c r="A997" s="10">
        <f>IF(B997="","",993)</f>
        <v/>
      </c>
      <c r="B997" s="11" t="n"/>
      <c r="C997" s="12" t="n"/>
      <c r="D997" s="11" t="n"/>
      <c r="E997" s="11" t="n"/>
      <c r="F997" s="11" t="n"/>
      <c r="G997" s="11" t="n"/>
    </row>
    <row r="998">
      <c r="A998" s="10">
        <f>IF(B998="","",994)</f>
        <v/>
      </c>
      <c r="B998" s="11" t="n"/>
      <c r="C998" s="12" t="n"/>
      <c r="D998" s="11" t="n"/>
      <c r="E998" s="11" t="n"/>
      <c r="F998" s="11" t="n"/>
      <c r="G998" s="11" t="n"/>
    </row>
    <row r="999">
      <c r="A999" s="10">
        <f>IF(B999="","",995)</f>
        <v/>
      </c>
      <c r="B999" s="11" t="n"/>
      <c r="C999" s="12" t="n"/>
      <c r="D999" s="11" t="n"/>
      <c r="E999" s="11" t="n"/>
      <c r="F999" s="11" t="n"/>
      <c r="G999" s="11" t="n"/>
    </row>
    <row r="1000">
      <c r="A1000" s="10">
        <f>IF(B1000="","",996)</f>
        <v/>
      </c>
      <c r="B1000" s="11" t="n"/>
      <c r="C1000" s="12" t="n"/>
      <c r="D1000" s="11" t="n"/>
      <c r="E1000" s="11" t="n"/>
      <c r="F1000" s="11" t="n"/>
      <c r="G1000" s="11" t="n"/>
    </row>
    <row r="1001">
      <c r="A1001" s="10">
        <f>IF(B1001="","",997)</f>
        <v/>
      </c>
      <c r="B1001" s="11" t="n"/>
      <c r="C1001" s="12" t="n"/>
      <c r="D1001" s="11" t="n"/>
      <c r="E1001" s="11" t="n"/>
      <c r="F1001" s="11" t="n"/>
      <c r="G1001" s="11" t="n"/>
    </row>
    <row r="1002">
      <c r="A1002" s="10">
        <f>IF(B1002="","",998)</f>
        <v/>
      </c>
      <c r="B1002" s="11" t="n"/>
      <c r="C1002" s="12" t="n"/>
      <c r="D1002" s="11" t="n"/>
      <c r="E1002" s="11" t="n"/>
      <c r="F1002" s="11" t="n"/>
      <c r="G1002" s="11" t="n"/>
    </row>
    <row r="1003">
      <c r="A1003" s="10">
        <f>IF(B1003="","",999)</f>
        <v/>
      </c>
      <c r="B1003" s="11" t="n"/>
      <c r="C1003" s="12" t="n"/>
      <c r="D1003" s="11" t="n"/>
      <c r="E1003" s="11" t="n"/>
      <c r="F1003" s="11" t="n"/>
      <c r="G1003" s="11" t="n"/>
    </row>
    <row r="1004">
      <c r="A1004" s="10">
        <f>IF(B1004="","",1000)</f>
        <v/>
      </c>
      <c r="B1004" s="11" t="n"/>
      <c r="C1004" s="12" t="n"/>
      <c r="D1004" s="11" t="n"/>
      <c r="E1004" s="11" t="n"/>
      <c r="F1004" s="11" t="n"/>
      <c r="G1004" s="11" t="n"/>
    </row>
  </sheetData>
  <autoFilter ref="A4:G1004"/>
  <dataValidations count="1">
    <dataValidation sqref="F5:F1004" showDropDown="0" showInputMessage="0" showErrorMessage="1" allowBlank="1" errorTitle="Pilihan tidak sah" error="Pilih TL atau KELUAR, atau biarkan kosong." type="list">
      <formula1>=L_STATUS</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X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1" customWidth="1" min="4" max="4"/>
    <col width="30" customWidth="1" min="5" max="5"/>
    <col width="34" customWidth="1" min="6" max="6"/>
    <col width="9" customWidth="1" min="7" max="7"/>
    <col width="9" customWidth="1" min="8" max="8"/>
    <col width="9" customWidth="1" min="9" max="9"/>
    <col width="26" customWidth="1" min="10" max="10"/>
    <col width="26" customWidth="1" min="11" max="11"/>
    <col width="26" customWidth="1" min="12" max="12"/>
    <col width="26" customWidth="1" min="13" max="13"/>
    <col width="11" customWidth="1" min="14" max="14"/>
    <col width="34" customWidth="1" min="15" max="15"/>
    <col width="9" customWidth="1" min="16" max="16"/>
    <col width="24" customWidth="1" min="17" max="17"/>
    <col width="30" customWidth="1" min="18" max="18"/>
    <col width="11" customWidth="1" min="19" max="19"/>
    <col width="24" customWidth="1" min="20" max="20"/>
    <col width="12" customWidth="1" min="21" max="21"/>
    <col width="12" customWidth="1" min="22" max="22"/>
    <col width="9" customWidth="1" min="23" max="23"/>
    <col width="9" customWidth="1" min="24" max="24"/>
  </cols>
  <sheetData>
    <row r="1">
      <c r="A1" s="1" t="inlineStr">
        <is>
          <t>KELAB &amp; PERSATUAN (KP)</t>
        </is>
      </c>
    </row>
    <row r="2">
      <c r="A2" s="2" t="inlineStr">
        <is>
          <t>Isi petak kuning. Pelibatan &amp; Pencapaian: ambil yang TERTINGGI (aktiviti utama atau tambahan). Jawatan, Komitmen &amp; Khidmat: aktiviti utama sahaja.</t>
        </is>
      </c>
    </row>
    <row r="3">
      <c r="F3" s="13" t="inlineStr">
        <is>
          <t>Jawatan</t>
        </is>
      </c>
      <c r="G3" s="14" t="n"/>
      <c r="H3" s="13" t="inlineStr">
        <is>
          <t>Kehadiran</t>
        </is>
      </c>
      <c r="I3" s="14" t="n"/>
      <c r="J3" s="13" t="inlineStr">
        <is>
          <t>Komitmen (maks. 4 pilihan)</t>
        </is>
      </c>
      <c r="K3" s="14" t="n"/>
      <c r="L3" s="14" t="n"/>
      <c r="M3" s="14" t="n"/>
      <c r="N3" s="14" t="n"/>
      <c r="O3" s="13" t="inlineStr">
        <is>
          <t>Khidmat Sumbangan</t>
        </is>
      </c>
      <c r="P3" s="14" t="n"/>
      <c r="Q3" s="13" t="inlineStr">
        <is>
          <t>Pelibatan</t>
        </is>
      </c>
      <c r="R3" s="14" t="n"/>
      <c r="S3" s="14" t="n"/>
      <c r="T3" s="13" t="inlineStr">
        <is>
          <t>Pencapaian</t>
        </is>
      </c>
      <c r="U3" s="14" t="n"/>
      <c r="V3" s="14" t="n"/>
      <c r="W3" s="13" t="inlineStr">
        <is>
          <t>Markah</t>
        </is>
      </c>
      <c r="X3" s="14" t="n"/>
    </row>
    <row r="4" ht="42" customHeight="1">
      <c r="A4" s="9" t="inlineStr">
        <is>
          <t>Bil</t>
        </is>
      </c>
      <c r="B4" s="9" t="inlineStr">
        <is>
          <t>Nama Murid</t>
        </is>
      </c>
      <c r="C4" s="9" t="inlineStr">
        <is>
          <t>No. MyKad</t>
        </is>
      </c>
      <c r="D4" s="9" t="inlineStr">
        <is>
          <t>Kelas</t>
        </is>
      </c>
      <c r="E4" s="9" t="inlineStr">
        <is>
          <t>Unit / Aktiviti Utama</t>
        </is>
      </c>
      <c r="F4" s="9" t="inlineStr">
        <is>
          <t>Jawatan</t>
        </is>
      </c>
      <c r="G4" s="9" t="inlineStr">
        <is>
          <t>Skor
Jawatan</t>
        </is>
      </c>
      <c r="H4" s="9" t="inlineStr">
        <is>
          <t>Bil. Hadir
(0-12)</t>
        </is>
      </c>
      <c r="I4" s="9" t="inlineStr">
        <is>
          <t>Skor Hadir
(40)</t>
        </is>
      </c>
      <c r="J4" s="9" t="inlineStr">
        <is>
          <t>Komitmen 1</t>
        </is>
      </c>
      <c r="K4" s="9" t="inlineStr">
        <is>
          <t>Komitmen 2</t>
        </is>
      </c>
      <c r="L4" s="9" t="inlineStr">
        <is>
          <t>Komitmen 3</t>
        </is>
      </c>
      <c r="M4" s="9" t="inlineStr">
        <is>
          <t>Komitmen 4</t>
        </is>
      </c>
      <c r="N4" s="9" t="inlineStr">
        <is>
          <t>Skor
Komitmen
(10)</t>
        </is>
      </c>
      <c r="O4" s="9" t="inlineStr">
        <is>
          <t>Khidmat Sumbangan</t>
        </is>
      </c>
      <c r="P4" s="9" t="inlineStr">
        <is>
          <t>Skor
Khidmat
(10)</t>
        </is>
      </c>
      <c r="Q4" s="9" t="inlineStr">
        <is>
          <t>Pelibatan:
Peringkat</t>
        </is>
      </c>
      <c r="R4" s="9" t="inlineStr">
        <is>
          <t>Pelibatan:
Jenis</t>
        </is>
      </c>
      <c r="S4" s="9" t="inlineStr">
        <is>
          <t>Skor
Pelibatan
(20)</t>
        </is>
      </c>
      <c r="T4" s="9" t="inlineStr">
        <is>
          <t>Pencapaian:
Peringkat</t>
        </is>
      </c>
      <c r="U4" s="9" t="inlineStr">
        <is>
          <t>Pencapaian:
Kedudukan</t>
        </is>
      </c>
      <c r="V4" s="9" t="inlineStr">
        <is>
          <t>Skor
Pencapaian
(20)</t>
        </is>
      </c>
      <c r="W4" s="9" t="inlineStr">
        <is>
          <t>Jumlah
(110)</t>
        </is>
      </c>
      <c r="X4" s="9" t="inlineStr">
        <is>
          <t>Markah
(100)</t>
        </is>
      </c>
    </row>
    <row r="5">
      <c r="A5" s="15">
        <f>Murid!A5</f>
        <v/>
      </c>
      <c r="B5" s="15">
        <f>IF(Murid!B5="","",Murid!B5)</f>
        <v/>
      </c>
      <c r="C5" s="16">
        <f>IF(Murid!C5="","",Murid!C5)</f>
        <v/>
      </c>
      <c r="D5" s="15">
        <f>IF(Murid!E5="","",Murid!E5)</f>
        <v/>
      </c>
      <c r="E5" s="11" t="n"/>
      <c r="F5" s="11" t="n"/>
      <c r="G5" s="10">
        <f>IF(F5="","",IFERROR(VLOOKUP(F5,T_JKP,2,FALSE),0))</f>
        <v/>
      </c>
      <c r="H5" s="11" t="n"/>
      <c r="I5" s="17">
        <f>IF(H5="","",IF(H5&gt;=12,40,ROUND(H5*3.33,2)))</f>
        <v/>
      </c>
      <c r="J5" s="11" t="n"/>
      <c r="K5" s="11" t="n"/>
      <c r="L5" s="11" t="n"/>
      <c r="M5" s="11" t="n"/>
      <c r="N5" s="10">
        <f>IF(COUNTA(J5:M5)=0,"",MIN(10,SUMPRODUCT((COUNTIF(J5:M5,L_KOM)&gt;0)*S_KOM)))</f>
        <v/>
      </c>
      <c r="O5" s="11" t="n"/>
      <c r="P5" s="10">
        <f>IF(O5="","",IFERROR(VLOOKUP(O5,T_KHID,2,FALSE),0))</f>
        <v/>
      </c>
      <c r="Q5" s="11" t="n"/>
      <c r="R5" s="11" t="n"/>
      <c r="S5" s="10">
        <f>IF(AND(Q5="",R5=""),"",IFERROR(INDEX(T_LIBAT,MATCH(Q5,L_PER,0),MATCH(R5,L_JENIS,0)),0))</f>
        <v/>
      </c>
      <c r="T5" s="11" t="n"/>
      <c r="U5" s="11" t="n"/>
      <c r="V5" s="10">
        <f>IF(AND(T5="",U5=""),"",IFERROR(INDEX(T_CAPAI,MATCH(T5,L_PER,0),MATCH(U5,L_KED,0)),0))</f>
        <v/>
      </c>
      <c r="W5" s="17">
        <f>IF(OR(B5="",E5="",COUNTA(F5,H5,J5:M5,O5,Q5:R5,T5:U5)=0),"",SUM(G5,I5,N5,P5,S5,V5))</f>
        <v/>
      </c>
      <c r="X5" s="18">
        <f>IF(W5="","",IF(Murid!F5="TL","TL",ROUND(W5/110*100,2)))</f>
        <v/>
      </c>
    </row>
    <row r="6">
      <c r="A6" s="15">
        <f>Murid!A6</f>
        <v/>
      </c>
      <c r="B6" s="15">
        <f>IF(Murid!B6="","",Murid!B6)</f>
        <v/>
      </c>
      <c r="C6" s="16">
        <f>IF(Murid!C6="","",Murid!C6)</f>
        <v/>
      </c>
      <c r="D6" s="15">
        <f>IF(Murid!E6="","",Murid!E6)</f>
        <v/>
      </c>
      <c r="E6" s="11" t="n"/>
      <c r="F6" s="11" t="n"/>
      <c r="G6" s="10">
        <f>IF(F6="","",IFERROR(VLOOKUP(F6,T_JKP,2,FALSE),0))</f>
        <v/>
      </c>
      <c r="H6" s="11" t="n"/>
      <c r="I6" s="17">
        <f>IF(H6="","",IF(H6&gt;=12,40,ROUND(H6*3.33,2)))</f>
        <v/>
      </c>
      <c r="J6" s="11" t="n"/>
      <c r="K6" s="11" t="n"/>
      <c r="L6" s="11" t="n"/>
      <c r="M6" s="11" t="n"/>
      <c r="N6" s="10">
        <f>IF(COUNTA(J6:M6)=0,"",MIN(10,SUMPRODUCT((COUNTIF(J6:M6,L_KOM)&gt;0)*S_KOM)))</f>
        <v/>
      </c>
      <c r="O6" s="11" t="n"/>
      <c r="P6" s="10">
        <f>IF(O6="","",IFERROR(VLOOKUP(O6,T_KHID,2,FALSE),0))</f>
        <v/>
      </c>
      <c r="Q6" s="11" t="n"/>
      <c r="R6" s="11" t="n"/>
      <c r="S6" s="10">
        <f>IF(AND(Q6="",R6=""),"",IFERROR(INDEX(T_LIBAT,MATCH(Q6,L_PER,0),MATCH(R6,L_JENIS,0)),0))</f>
        <v/>
      </c>
      <c r="T6" s="11" t="n"/>
      <c r="U6" s="11" t="n"/>
      <c r="V6" s="10">
        <f>IF(AND(T6="",U6=""),"",IFERROR(INDEX(T_CAPAI,MATCH(T6,L_PER,0),MATCH(U6,L_KED,0)),0))</f>
        <v/>
      </c>
      <c r="W6" s="17">
        <f>IF(OR(B6="",E6="",COUNTA(F6,H6,J6:M6,O6,Q6:R6,T6:U6)=0),"",SUM(G6,I6,N6,P6,S6,V6))</f>
        <v/>
      </c>
      <c r="X6" s="18">
        <f>IF(W6="","",IF(Murid!F6="TL","TL",ROUND(W6/110*100,2)))</f>
        <v/>
      </c>
    </row>
    <row r="7">
      <c r="A7" s="15">
        <f>Murid!A7</f>
        <v/>
      </c>
      <c r="B7" s="15">
        <f>IF(Murid!B7="","",Murid!B7)</f>
        <v/>
      </c>
      <c r="C7" s="16">
        <f>IF(Murid!C7="","",Murid!C7)</f>
        <v/>
      </c>
      <c r="D7" s="15">
        <f>IF(Murid!E7="","",Murid!E7)</f>
        <v/>
      </c>
      <c r="E7" s="11" t="n"/>
      <c r="F7" s="11" t="n"/>
      <c r="G7" s="10">
        <f>IF(F7="","",IFERROR(VLOOKUP(F7,T_JKP,2,FALSE),0))</f>
        <v/>
      </c>
      <c r="H7" s="11" t="n"/>
      <c r="I7" s="17">
        <f>IF(H7="","",IF(H7&gt;=12,40,ROUND(H7*3.33,2)))</f>
        <v/>
      </c>
      <c r="J7" s="11" t="n"/>
      <c r="K7" s="11" t="n"/>
      <c r="L7" s="11" t="n"/>
      <c r="M7" s="11" t="n"/>
      <c r="N7" s="10">
        <f>IF(COUNTA(J7:M7)=0,"",MIN(10,SUMPRODUCT((COUNTIF(J7:M7,L_KOM)&gt;0)*S_KOM)))</f>
        <v/>
      </c>
      <c r="O7" s="11" t="n"/>
      <c r="P7" s="10">
        <f>IF(O7="","",IFERROR(VLOOKUP(O7,T_KHID,2,FALSE),0))</f>
        <v/>
      </c>
      <c r="Q7" s="11" t="n"/>
      <c r="R7" s="11" t="n"/>
      <c r="S7" s="10">
        <f>IF(AND(Q7="",R7=""),"",IFERROR(INDEX(T_LIBAT,MATCH(Q7,L_PER,0),MATCH(R7,L_JENIS,0)),0))</f>
        <v/>
      </c>
      <c r="T7" s="11" t="n"/>
      <c r="U7" s="11" t="n"/>
      <c r="V7" s="10">
        <f>IF(AND(T7="",U7=""),"",IFERROR(INDEX(T_CAPAI,MATCH(T7,L_PER,0),MATCH(U7,L_KED,0)),0))</f>
        <v/>
      </c>
      <c r="W7" s="17">
        <f>IF(OR(B7="",E7="",COUNTA(F7,H7,J7:M7,O7,Q7:R7,T7:U7)=0),"",SUM(G7,I7,N7,P7,S7,V7))</f>
        <v/>
      </c>
      <c r="X7" s="18">
        <f>IF(W7="","",IF(Murid!F7="TL","TL",ROUND(W7/110*100,2)))</f>
        <v/>
      </c>
    </row>
    <row r="8">
      <c r="A8" s="15">
        <f>Murid!A8</f>
        <v/>
      </c>
      <c r="B8" s="15">
        <f>IF(Murid!B8="","",Murid!B8)</f>
        <v/>
      </c>
      <c r="C8" s="16">
        <f>IF(Murid!C8="","",Murid!C8)</f>
        <v/>
      </c>
      <c r="D8" s="15">
        <f>IF(Murid!E8="","",Murid!E8)</f>
        <v/>
      </c>
      <c r="E8" s="11" t="n"/>
      <c r="F8" s="11" t="n"/>
      <c r="G8" s="10">
        <f>IF(F8="","",IFERROR(VLOOKUP(F8,T_JKP,2,FALSE),0))</f>
        <v/>
      </c>
      <c r="H8" s="11" t="n"/>
      <c r="I8" s="17">
        <f>IF(H8="","",IF(H8&gt;=12,40,ROUND(H8*3.33,2)))</f>
        <v/>
      </c>
      <c r="J8" s="11" t="n"/>
      <c r="K8" s="11" t="n"/>
      <c r="L8" s="11" t="n"/>
      <c r="M8" s="11" t="n"/>
      <c r="N8" s="10">
        <f>IF(COUNTA(J8:M8)=0,"",MIN(10,SUMPRODUCT((COUNTIF(J8:M8,L_KOM)&gt;0)*S_KOM)))</f>
        <v/>
      </c>
      <c r="O8" s="11" t="n"/>
      <c r="P8" s="10">
        <f>IF(O8="","",IFERROR(VLOOKUP(O8,T_KHID,2,FALSE),0))</f>
        <v/>
      </c>
      <c r="Q8" s="11" t="n"/>
      <c r="R8" s="11" t="n"/>
      <c r="S8" s="10">
        <f>IF(AND(Q8="",R8=""),"",IFERROR(INDEX(T_LIBAT,MATCH(Q8,L_PER,0),MATCH(R8,L_JENIS,0)),0))</f>
        <v/>
      </c>
      <c r="T8" s="11" t="n"/>
      <c r="U8" s="11" t="n"/>
      <c r="V8" s="10">
        <f>IF(AND(T8="",U8=""),"",IFERROR(INDEX(T_CAPAI,MATCH(T8,L_PER,0),MATCH(U8,L_KED,0)),0))</f>
        <v/>
      </c>
      <c r="W8" s="17">
        <f>IF(OR(B8="",E8="",COUNTA(F8,H8,J8:M8,O8,Q8:R8,T8:U8)=0),"",SUM(G8,I8,N8,P8,S8,V8))</f>
        <v/>
      </c>
      <c r="X8" s="18">
        <f>IF(W8="","",IF(Murid!F8="TL","TL",ROUND(W8/110*100,2)))</f>
        <v/>
      </c>
    </row>
    <row r="9">
      <c r="A9" s="15">
        <f>Murid!A9</f>
        <v/>
      </c>
      <c r="B9" s="15">
        <f>IF(Murid!B9="","",Murid!B9)</f>
        <v/>
      </c>
      <c r="C9" s="16">
        <f>IF(Murid!C9="","",Murid!C9)</f>
        <v/>
      </c>
      <c r="D9" s="15">
        <f>IF(Murid!E9="","",Murid!E9)</f>
        <v/>
      </c>
      <c r="E9" s="11" t="n"/>
      <c r="F9" s="11" t="n"/>
      <c r="G9" s="10">
        <f>IF(F9="","",IFERROR(VLOOKUP(F9,T_JKP,2,FALSE),0))</f>
        <v/>
      </c>
      <c r="H9" s="11" t="n"/>
      <c r="I9" s="17">
        <f>IF(H9="","",IF(H9&gt;=12,40,ROUND(H9*3.33,2)))</f>
        <v/>
      </c>
      <c r="J9" s="11" t="n"/>
      <c r="K9" s="11" t="n"/>
      <c r="L9" s="11" t="n"/>
      <c r="M9" s="11" t="n"/>
      <c r="N9" s="10">
        <f>IF(COUNTA(J9:M9)=0,"",MIN(10,SUMPRODUCT((COUNTIF(J9:M9,L_KOM)&gt;0)*S_KOM)))</f>
        <v/>
      </c>
      <c r="O9" s="11" t="n"/>
      <c r="P9" s="10">
        <f>IF(O9="","",IFERROR(VLOOKUP(O9,T_KHID,2,FALSE),0))</f>
        <v/>
      </c>
      <c r="Q9" s="11" t="n"/>
      <c r="R9" s="11" t="n"/>
      <c r="S9" s="10">
        <f>IF(AND(Q9="",R9=""),"",IFERROR(INDEX(T_LIBAT,MATCH(Q9,L_PER,0),MATCH(R9,L_JENIS,0)),0))</f>
        <v/>
      </c>
      <c r="T9" s="11" t="n"/>
      <c r="U9" s="11" t="n"/>
      <c r="V9" s="10">
        <f>IF(AND(T9="",U9=""),"",IFERROR(INDEX(T_CAPAI,MATCH(T9,L_PER,0),MATCH(U9,L_KED,0)),0))</f>
        <v/>
      </c>
      <c r="W9" s="17">
        <f>IF(OR(B9="",E9="",COUNTA(F9,H9,J9:M9,O9,Q9:R9,T9:U9)=0),"",SUM(G9,I9,N9,P9,S9,V9))</f>
        <v/>
      </c>
      <c r="X9" s="18">
        <f>IF(W9="","",IF(Murid!F9="TL","TL",ROUND(W9/110*100,2)))</f>
        <v/>
      </c>
    </row>
    <row r="10">
      <c r="A10" s="15">
        <f>Murid!A10</f>
        <v/>
      </c>
      <c r="B10" s="15">
        <f>IF(Murid!B10="","",Murid!B10)</f>
        <v/>
      </c>
      <c r="C10" s="16">
        <f>IF(Murid!C10="","",Murid!C10)</f>
        <v/>
      </c>
      <c r="D10" s="15">
        <f>IF(Murid!E10="","",Murid!E10)</f>
        <v/>
      </c>
      <c r="E10" s="11" t="n"/>
      <c r="F10" s="11" t="n"/>
      <c r="G10" s="10">
        <f>IF(F10="","",IFERROR(VLOOKUP(F10,T_JKP,2,FALSE),0))</f>
        <v/>
      </c>
      <c r="H10" s="11" t="n"/>
      <c r="I10" s="17">
        <f>IF(H10="","",IF(H10&gt;=12,40,ROUND(H10*3.33,2)))</f>
        <v/>
      </c>
      <c r="J10" s="11" t="n"/>
      <c r="K10" s="11" t="n"/>
      <c r="L10" s="11" t="n"/>
      <c r="M10" s="11" t="n"/>
      <c r="N10" s="10">
        <f>IF(COUNTA(J10:M10)=0,"",MIN(10,SUMPRODUCT((COUNTIF(J10:M10,L_KOM)&gt;0)*S_KOM)))</f>
        <v/>
      </c>
      <c r="O10" s="11" t="n"/>
      <c r="P10" s="10">
        <f>IF(O10="","",IFERROR(VLOOKUP(O10,T_KHID,2,FALSE),0))</f>
        <v/>
      </c>
      <c r="Q10" s="11" t="n"/>
      <c r="R10" s="11" t="n"/>
      <c r="S10" s="10">
        <f>IF(AND(Q10="",R10=""),"",IFERROR(INDEX(T_LIBAT,MATCH(Q10,L_PER,0),MATCH(R10,L_JENIS,0)),0))</f>
        <v/>
      </c>
      <c r="T10" s="11" t="n"/>
      <c r="U10" s="11" t="n"/>
      <c r="V10" s="10">
        <f>IF(AND(T10="",U10=""),"",IFERROR(INDEX(T_CAPAI,MATCH(T10,L_PER,0),MATCH(U10,L_KED,0)),0))</f>
        <v/>
      </c>
      <c r="W10" s="17">
        <f>IF(OR(B10="",E10="",COUNTA(F10,H10,J10:M10,O10,Q10:R10,T10:U10)=0),"",SUM(G10,I10,N10,P10,S10,V10))</f>
        <v/>
      </c>
      <c r="X10" s="18">
        <f>IF(W10="","",IF(Murid!F10="TL","TL",ROUND(W10/110*100,2)))</f>
        <v/>
      </c>
    </row>
    <row r="11">
      <c r="A11" s="15">
        <f>Murid!A11</f>
        <v/>
      </c>
      <c r="B11" s="15">
        <f>IF(Murid!B11="","",Murid!B11)</f>
        <v/>
      </c>
      <c r="C11" s="16">
        <f>IF(Murid!C11="","",Murid!C11)</f>
        <v/>
      </c>
      <c r="D11" s="15">
        <f>IF(Murid!E11="","",Murid!E11)</f>
        <v/>
      </c>
      <c r="E11" s="11" t="n"/>
      <c r="F11" s="11" t="n"/>
      <c r="G11" s="10">
        <f>IF(F11="","",IFERROR(VLOOKUP(F11,T_JKP,2,FALSE),0))</f>
        <v/>
      </c>
      <c r="H11" s="11" t="n"/>
      <c r="I11" s="17">
        <f>IF(H11="","",IF(H11&gt;=12,40,ROUND(H11*3.33,2)))</f>
        <v/>
      </c>
      <c r="J11" s="11" t="n"/>
      <c r="K11" s="11" t="n"/>
      <c r="L11" s="11" t="n"/>
      <c r="M11" s="11" t="n"/>
      <c r="N11" s="10">
        <f>IF(COUNTA(J11:M11)=0,"",MIN(10,SUMPRODUCT((COUNTIF(J11:M11,L_KOM)&gt;0)*S_KOM)))</f>
        <v/>
      </c>
      <c r="O11" s="11" t="n"/>
      <c r="P11" s="10">
        <f>IF(O11="","",IFERROR(VLOOKUP(O11,T_KHID,2,FALSE),0))</f>
        <v/>
      </c>
      <c r="Q11" s="11" t="n"/>
      <c r="R11" s="11" t="n"/>
      <c r="S11" s="10">
        <f>IF(AND(Q11="",R11=""),"",IFERROR(INDEX(T_LIBAT,MATCH(Q11,L_PER,0),MATCH(R11,L_JENIS,0)),0))</f>
        <v/>
      </c>
      <c r="T11" s="11" t="n"/>
      <c r="U11" s="11" t="n"/>
      <c r="V11" s="10">
        <f>IF(AND(T11="",U11=""),"",IFERROR(INDEX(T_CAPAI,MATCH(T11,L_PER,0),MATCH(U11,L_KED,0)),0))</f>
        <v/>
      </c>
      <c r="W11" s="17">
        <f>IF(OR(B11="",E11="",COUNTA(F11,H11,J11:M11,O11,Q11:R11,T11:U11)=0),"",SUM(G11,I11,N11,P11,S11,V11))</f>
        <v/>
      </c>
      <c r="X11" s="18">
        <f>IF(W11="","",IF(Murid!F11="TL","TL",ROUND(W11/110*100,2)))</f>
        <v/>
      </c>
    </row>
    <row r="12">
      <c r="A12" s="15">
        <f>Murid!A12</f>
        <v/>
      </c>
      <c r="B12" s="15">
        <f>IF(Murid!B12="","",Murid!B12)</f>
        <v/>
      </c>
      <c r="C12" s="16">
        <f>IF(Murid!C12="","",Murid!C12)</f>
        <v/>
      </c>
      <c r="D12" s="15">
        <f>IF(Murid!E12="","",Murid!E12)</f>
        <v/>
      </c>
      <c r="E12" s="11" t="n"/>
      <c r="F12" s="11" t="n"/>
      <c r="G12" s="10">
        <f>IF(F12="","",IFERROR(VLOOKUP(F12,T_JKP,2,FALSE),0))</f>
        <v/>
      </c>
      <c r="H12" s="11" t="n"/>
      <c r="I12" s="17">
        <f>IF(H12="","",IF(H12&gt;=12,40,ROUND(H12*3.33,2)))</f>
        <v/>
      </c>
      <c r="J12" s="11" t="n"/>
      <c r="K12" s="11" t="n"/>
      <c r="L12" s="11" t="n"/>
      <c r="M12" s="11" t="n"/>
      <c r="N12" s="10">
        <f>IF(COUNTA(J12:M12)=0,"",MIN(10,SUMPRODUCT((COUNTIF(J12:M12,L_KOM)&gt;0)*S_KOM)))</f>
        <v/>
      </c>
      <c r="O12" s="11" t="n"/>
      <c r="P12" s="10">
        <f>IF(O12="","",IFERROR(VLOOKUP(O12,T_KHID,2,FALSE),0))</f>
        <v/>
      </c>
      <c r="Q12" s="11" t="n"/>
      <c r="R12" s="11" t="n"/>
      <c r="S12" s="10">
        <f>IF(AND(Q12="",R12=""),"",IFERROR(INDEX(T_LIBAT,MATCH(Q12,L_PER,0),MATCH(R12,L_JENIS,0)),0))</f>
        <v/>
      </c>
      <c r="T12" s="11" t="n"/>
      <c r="U12" s="11" t="n"/>
      <c r="V12" s="10">
        <f>IF(AND(T12="",U12=""),"",IFERROR(INDEX(T_CAPAI,MATCH(T12,L_PER,0),MATCH(U12,L_KED,0)),0))</f>
        <v/>
      </c>
      <c r="W12" s="17">
        <f>IF(OR(B12="",E12="",COUNTA(F12,H12,J12:M12,O12,Q12:R12,T12:U12)=0),"",SUM(G12,I12,N12,P12,S12,V12))</f>
        <v/>
      </c>
      <c r="X12" s="18">
        <f>IF(W12="","",IF(Murid!F12="TL","TL",ROUND(W12/110*100,2)))</f>
        <v/>
      </c>
    </row>
    <row r="13">
      <c r="A13" s="15">
        <f>Murid!A13</f>
        <v/>
      </c>
      <c r="B13" s="15">
        <f>IF(Murid!B13="","",Murid!B13)</f>
        <v/>
      </c>
      <c r="C13" s="16">
        <f>IF(Murid!C13="","",Murid!C13)</f>
        <v/>
      </c>
      <c r="D13" s="15">
        <f>IF(Murid!E13="","",Murid!E13)</f>
        <v/>
      </c>
      <c r="E13" s="11" t="n"/>
      <c r="F13" s="11" t="n"/>
      <c r="G13" s="10">
        <f>IF(F13="","",IFERROR(VLOOKUP(F13,T_JKP,2,FALSE),0))</f>
        <v/>
      </c>
      <c r="H13" s="11" t="n"/>
      <c r="I13" s="17">
        <f>IF(H13="","",IF(H13&gt;=12,40,ROUND(H13*3.33,2)))</f>
        <v/>
      </c>
      <c r="J13" s="11" t="n"/>
      <c r="K13" s="11" t="n"/>
      <c r="L13" s="11" t="n"/>
      <c r="M13" s="11" t="n"/>
      <c r="N13" s="10">
        <f>IF(COUNTA(J13:M13)=0,"",MIN(10,SUMPRODUCT((COUNTIF(J13:M13,L_KOM)&gt;0)*S_KOM)))</f>
        <v/>
      </c>
      <c r="O13" s="11" t="n"/>
      <c r="P13" s="10">
        <f>IF(O13="","",IFERROR(VLOOKUP(O13,T_KHID,2,FALSE),0))</f>
        <v/>
      </c>
      <c r="Q13" s="11" t="n"/>
      <c r="R13" s="11" t="n"/>
      <c r="S13" s="10">
        <f>IF(AND(Q13="",R13=""),"",IFERROR(INDEX(T_LIBAT,MATCH(Q13,L_PER,0),MATCH(R13,L_JENIS,0)),0))</f>
        <v/>
      </c>
      <c r="T13" s="11" t="n"/>
      <c r="U13" s="11" t="n"/>
      <c r="V13" s="10">
        <f>IF(AND(T13="",U13=""),"",IFERROR(INDEX(T_CAPAI,MATCH(T13,L_PER,0),MATCH(U13,L_KED,0)),0))</f>
        <v/>
      </c>
      <c r="W13" s="17">
        <f>IF(OR(B13="",E13="",COUNTA(F13,H13,J13:M13,O13,Q13:R13,T13:U13)=0),"",SUM(G13,I13,N13,P13,S13,V13))</f>
        <v/>
      </c>
      <c r="X13" s="18">
        <f>IF(W13="","",IF(Murid!F13="TL","TL",ROUND(W13/110*100,2)))</f>
        <v/>
      </c>
    </row>
    <row r="14">
      <c r="A14" s="15">
        <f>Murid!A14</f>
        <v/>
      </c>
      <c r="B14" s="15">
        <f>IF(Murid!B14="","",Murid!B14)</f>
        <v/>
      </c>
      <c r="C14" s="16">
        <f>IF(Murid!C14="","",Murid!C14)</f>
        <v/>
      </c>
      <c r="D14" s="15">
        <f>IF(Murid!E14="","",Murid!E14)</f>
        <v/>
      </c>
      <c r="E14" s="11" t="n"/>
      <c r="F14" s="11" t="n"/>
      <c r="G14" s="10">
        <f>IF(F14="","",IFERROR(VLOOKUP(F14,T_JKP,2,FALSE),0))</f>
        <v/>
      </c>
      <c r="H14" s="11" t="n"/>
      <c r="I14" s="17">
        <f>IF(H14="","",IF(H14&gt;=12,40,ROUND(H14*3.33,2)))</f>
        <v/>
      </c>
      <c r="J14" s="11" t="n"/>
      <c r="K14" s="11" t="n"/>
      <c r="L14" s="11" t="n"/>
      <c r="M14" s="11" t="n"/>
      <c r="N14" s="10">
        <f>IF(COUNTA(J14:M14)=0,"",MIN(10,SUMPRODUCT((COUNTIF(J14:M14,L_KOM)&gt;0)*S_KOM)))</f>
        <v/>
      </c>
      <c r="O14" s="11" t="n"/>
      <c r="P14" s="10">
        <f>IF(O14="","",IFERROR(VLOOKUP(O14,T_KHID,2,FALSE),0))</f>
        <v/>
      </c>
      <c r="Q14" s="11" t="n"/>
      <c r="R14" s="11" t="n"/>
      <c r="S14" s="10">
        <f>IF(AND(Q14="",R14=""),"",IFERROR(INDEX(T_LIBAT,MATCH(Q14,L_PER,0),MATCH(R14,L_JENIS,0)),0))</f>
        <v/>
      </c>
      <c r="T14" s="11" t="n"/>
      <c r="U14" s="11" t="n"/>
      <c r="V14" s="10">
        <f>IF(AND(T14="",U14=""),"",IFERROR(INDEX(T_CAPAI,MATCH(T14,L_PER,0),MATCH(U14,L_KED,0)),0))</f>
        <v/>
      </c>
      <c r="W14" s="17">
        <f>IF(OR(B14="",E14="",COUNTA(F14,H14,J14:M14,O14,Q14:R14,T14:U14)=0),"",SUM(G14,I14,N14,P14,S14,V14))</f>
        <v/>
      </c>
      <c r="X14" s="18">
        <f>IF(W14="","",IF(Murid!F14="TL","TL",ROUND(W14/110*100,2)))</f>
        <v/>
      </c>
    </row>
    <row r="15">
      <c r="A15" s="15">
        <f>Murid!A15</f>
        <v/>
      </c>
      <c r="B15" s="15">
        <f>IF(Murid!B15="","",Murid!B15)</f>
        <v/>
      </c>
      <c r="C15" s="16">
        <f>IF(Murid!C15="","",Murid!C15)</f>
        <v/>
      </c>
      <c r="D15" s="15">
        <f>IF(Murid!E15="","",Murid!E15)</f>
        <v/>
      </c>
      <c r="E15" s="11" t="n"/>
      <c r="F15" s="11" t="n"/>
      <c r="G15" s="10">
        <f>IF(F15="","",IFERROR(VLOOKUP(F15,T_JKP,2,FALSE),0))</f>
        <v/>
      </c>
      <c r="H15" s="11" t="n"/>
      <c r="I15" s="17">
        <f>IF(H15="","",IF(H15&gt;=12,40,ROUND(H15*3.33,2)))</f>
        <v/>
      </c>
      <c r="J15" s="11" t="n"/>
      <c r="K15" s="11" t="n"/>
      <c r="L15" s="11" t="n"/>
      <c r="M15" s="11" t="n"/>
      <c r="N15" s="10">
        <f>IF(COUNTA(J15:M15)=0,"",MIN(10,SUMPRODUCT((COUNTIF(J15:M15,L_KOM)&gt;0)*S_KOM)))</f>
        <v/>
      </c>
      <c r="O15" s="11" t="n"/>
      <c r="P15" s="10">
        <f>IF(O15="","",IFERROR(VLOOKUP(O15,T_KHID,2,FALSE),0))</f>
        <v/>
      </c>
      <c r="Q15" s="11" t="n"/>
      <c r="R15" s="11" t="n"/>
      <c r="S15" s="10">
        <f>IF(AND(Q15="",R15=""),"",IFERROR(INDEX(T_LIBAT,MATCH(Q15,L_PER,0),MATCH(R15,L_JENIS,0)),0))</f>
        <v/>
      </c>
      <c r="T15" s="11" t="n"/>
      <c r="U15" s="11" t="n"/>
      <c r="V15" s="10">
        <f>IF(AND(T15="",U15=""),"",IFERROR(INDEX(T_CAPAI,MATCH(T15,L_PER,0),MATCH(U15,L_KED,0)),0))</f>
        <v/>
      </c>
      <c r="W15" s="17">
        <f>IF(OR(B15="",E15="",COUNTA(F15,H15,J15:M15,O15,Q15:R15,T15:U15)=0),"",SUM(G15,I15,N15,P15,S15,V15))</f>
        <v/>
      </c>
      <c r="X15" s="18">
        <f>IF(W15="","",IF(Murid!F15="TL","TL",ROUND(W15/110*100,2)))</f>
        <v/>
      </c>
    </row>
    <row r="16">
      <c r="A16" s="15">
        <f>Murid!A16</f>
        <v/>
      </c>
      <c r="B16" s="15">
        <f>IF(Murid!B16="","",Murid!B16)</f>
        <v/>
      </c>
      <c r="C16" s="16">
        <f>IF(Murid!C16="","",Murid!C16)</f>
        <v/>
      </c>
      <c r="D16" s="15">
        <f>IF(Murid!E16="","",Murid!E16)</f>
        <v/>
      </c>
      <c r="E16" s="11" t="n"/>
      <c r="F16" s="11" t="n"/>
      <c r="G16" s="10">
        <f>IF(F16="","",IFERROR(VLOOKUP(F16,T_JKP,2,FALSE),0))</f>
        <v/>
      </c>
      <c r="H16" s="11" t="n"/>
      <c r="I16" s="17">
        <f>IF(H16="","",IF(H16&gt;=12,40,ROUND(H16*3.33,2)))</f>
        <v/>
      </c>
      <c r="J16" s="11" t="n"/>
      <c r="K16" s="11" t="n"/>
      <c r="L16" s="11" t="n"/>
      <c r="M16" s="11" t="n"/>
      <c r="N16" s="10">
        <f>IF(COUNTA(J16:M16)=0,"",MIN(10,SUMPRODUCT((COUNTIF(J16:M16,L_KOM)&gt;0)*S_KOM)))</f>
        <v/>
      </c>
      <c r="O16" s="11" t="n"/>
      <c r="P16" s="10">
        <f>IF(O16="","",IFERROR(VLOOKUP(O16,T_KHID,2,FALSE),0))</f>
        <v/>
      </c>
      <c r="Q16" s="11" t="n"/>
      <c r="R16" s="11" t="n"/>
      <c r="S16" s="10">
        <f>IF(AND(Q16="",R16=""),"",IFERROR(INDEX(T_LIBAT,MATCH(Q16,L_PER,0),MATCH(R16,L_JENIS,0)),0))</f>
        <v/>
      </c>
      <c r="T16" s="11" t="n"/>
      <c r="U16" s="11" t="n"/>
      <c r="V16" s="10">
        <f>IF(AND(T16="",U16=""),"",IFERROR(INDEX(T_CAPAI,MATCH(T16,L_PER,0),MATCH(U16,L_KED,0)),0))</f>
        <v/>
      </c>
      <c r="W16" s="17">
        <f>IF(OR(B16="",E16="",COUNTA(F16,H16,J16:M16,O16,Q16:R16,T16:U16)=0),"",SUM(G16,I16,N16,P16,S16,V16))</f>
        <v/>
      </c>
      <c r="X16" s="18">
        <f>IF(W16="","",IF(Murid!F16="TL","TL",ROUND(W16/110*100,2)))</f>
        <v/>
      </c>
    </row>
    <row r="17">
      <c r="A17" s="15">
        <f>Murid!A17</f>
        <v/>
      </c>
      <c r="B17" s="15">
        <f>IF(Murid!B17="","",Murid!B17)</f>
        <v/>
      </c>
      <c r="C17" s="16">
        <f>IF(Murid!C17="","",Murid!C17)</f>
        <v/>
      </c>
      <c r="D17" s="15">
        <f>IF(Murid!E17="","",Murid!E17)</f>
        <v/>
      </c>
      <c r="E17" s="11" t="n"/>
      <c r="F17" s="11" t="n"/>
      <c r="G17" s="10">
        <f>IF(F17="","",IFERROR(VLOOKUP(F17,T_JKP,2,FALSE),0))</f>
        <v/>
      </c>
      <c r="H17" s="11" t="n"/>
      <c r="I17" s="17">
        <f>IF(H17="","",IF(H17&gt;=12,40,ROUND(H17*3.33,2)))</f>
        <v/>
      </c>
      <c r="J17" s="11" t="n"/>
      <c r="K17" s="11" t="n"/>
      <c r="L17" s="11" t="n"/>
      <c r="M17" s="11" t="n"/>
      <c r="N17" s="10">
        <f>IF(COUNTA(J17:M17)=0,"",MIN(10,SUMPRODUCT((COUNTIF(J17:M17,L_KOM)&gt;0)*S_KOM)))</f>
        <v/>
      </c>
      <c r="O17" s="11" t="n"/>
      <c r="P17" s="10">
        <f>IF(O17="","",IFERROR(VLOOKUP(O17,T_KHID,2,FALSE),0))</f>
        <v/>
      </c>
      <c r="Q17" s="11" t="n"/>
      <c r="R17" s="11" t="n"/>
      <c r="S17" s="10">
        <f>IF(AND(Q17="",R17=""),"",IFERROR(INDEX(T_LIBAT,MATCH(Q17,L_PER,0),MATCH(R17,L_JENIS,0)),0))</f>
        <v/>
      </c>
      <c r="T17" s="11" t="n"/>
      <c r="U17" s="11" t="n"/>
      <c r="V17" s="10">
        <f>IF(AND(T17="",U17=""),"",IFERROR(INDEX(T_CAPAI,MATCH(T17,L_PER,0),MATCH(U17,L_KED,0)),0))</f>
        <v/>
      </c>
      <c r="W17" s="17">
        <f>IF(OR(B17="",E17="",COUNTA(F17,H17,J17:M17,O17,Q17:R17,T17:U17)=0),"",SUM(G17,I17,N17,P17,S17,V17))</f>
        <v/>
      </c>
      <c r="X17" s="18">
        <f>IF(W17="","",IF(Murid!F17="TL","TL",ROUND(W17/110*100,2)))</f>
        <v/>
      </c>
    </row>
    <row r="18">
      <c r="A18" s="15">
        <f>Murid!A18</f>
        <v/>
      </c>
      <c r="B18" s="15">
        <f>IF(Murid!B18="","",Murid!B18)</f>
        <v/>
      </c>
      <c r="C18" s="16">
        <f>IF(Murid!C18="","",Murid!C18)</f>
        <v/>
      </c>
      <c r="D18" s="15">
        <f>IF(Murid!E18="","",Murid!E18)</f>
        <v/>
      </c>
      <c r="E18" s="11" t="n"/>
      <c r="F18" s="11" t="n"/>
      <c r="G18" s="10">
        <f>IF(F18="","",IFERROR(VLOOKUP(F18,T_JKP,2,FALSE),0))</f>
        <v/>
      </c>
      <c r="H18" s="11" t="n"/>
      <c r="I18" s="17">
        <f>IF(H18="","",IF(H18&gt;=12,40,ROUND(H18*3.33,2)))</f>
        <v/>
      </c>
      <c r="J18" s="11" t="n"/>
      <c r="K18" s="11" t="n"/>
      <c r="L18" s="11" t="n"/>
      <c r="M18" s="11" t="n"/>
      <c r="N18" s="10">
        <f>IF(COUNTA(J18:M18)=0,"",MIN(10,SUMPRODUCT((COUNTIF(J18:M18,L_KOM)&gt;0)*S_KOM)))</f>
        <v/>
      </c>
      <c r="O18" s="11" t="n"/>
      <c r="P18" s="10">
        <f>IF(O18="","",IFERROR(VLOOKUP(O18,T_KHID,2,FALSE),0))</f>
        <v/>
      </c>
      <c r="Q18" s="11" t="n"/>
      <c r="R18" s="11" t="n"/>
      <c r="S18" s="10">
        <f>IF(AND(Q18="",R18=""),"",IFERROR(INDEX(T_LIBAT,MATCH(Q18,L_PER,0),MATCH(R18,L_JENIS,0)),0))</f>
        <v/>
      </c>
      <c r="T18" s="11" t="n"/>
      <c r="U18" s="11" t="n"/>
      <c r="V18" s="10">
        <f>IF(AND(T18="",U18=""),"",IFERROR(INDEX(T_CAPAI,MATCH(T18,L_PER,0),MATCH(U18,L_KED,0)),0))</f>
        <v/>
      </c>
      <c r="W18" s="17">
        <f>IF(OR(B18="",E18="",COUNTA(F18,H18,J18:M18,O18,Q18:R18,T18:U18)=0),"",SUM(G18,I18,N18,P18,S18,V18))</f>
        <v/>
      </c>
      <c r="X18" s="18">
        <f>IF(W18="","",IF(Murid!F18="TL","TL",ROUND(W18/110*100,2)))</f>
        <v/>
      </c>
    </row>
    <row r="19">
      <c r="A19" s="15">
        <f>Murid!A19</f>
        <v/>
      </c>
      <c r="B19" s="15">
        <f>IF(Murid!B19="","",Murid!B19)</f>
        <v/>
      </c>
      <c r="C19" s="16">
        <f>IF(Murid!C19="","",Murid!C19)</f>
        <v/>
      </c>
      <c r="D19" s="15">
        <f>IF(Murid!E19="","",Murid!E19)</f>
        <v/>
      </c>
      <c r="E19" s="11" t="n"/>
      <c r="F19" s="11" t="n"/>
      <c r="G19" s="10">
        <f>IF(F19="","",IFERROR(VLOOKUP(F19,T_JKP,2,FALSE),0))</f>
        <v/>
      </c>
      <c r="H19" s="11" t="n"/>
      <c r="I19" s="17">
        <f>IF(H19="","",IF(H19&gt;=12,40,ROUND(H19*3.33,2)))</f>
        <v/>
      </c>
      <c r="J19" s="11" t="n"/>
      <c r="K19" s="11" t="n"/>
      <c r="L19" s="11" t="n"/>
      <c r="M19" s="11" t="n"/>
      <c r="N19" s="10">
        <f>IF(COUNTA(J19:M19)=0,"",MIN(10,SUMPRODUCT((COUNTIF(J19:M19,L_KOM)&gt;0)*S_KOM)))</f>
        <v/>
      </c>
      <c r="O19" s="11" t="n"/>
      <c r="P19" s="10">
        <f>IF(O19="","",IFERROR(VLOOKUP(O19,T_KHID,2,FALSE),0))</f>
        <v/>
      </c>
      <c r="Q19" s="11" t="n"/>
      <c r="R19" s="11" t="n"/>
      <c r="S19" s="10">
        <f>IF(AND(Q19="",R19=""),"",IFERROR(INDEX(T_LIBAT,MATCH(Q19,L_PER,0),MATCH(R19,L_JENIS,0)),0))</f>
        <v/>
      </c>
      <c r="T19" s="11" t="n"/>
      <c r="U19" s="11" t="n"/>
      <c r="V19" s="10">
        <f>IF(AND(T19="",U19=""),"",IFERROR(INDEX(T_CAPAI,MATCH(T19,L_PER,0),MATCH(U19,L_KED,0)),0))</f>
        <v/>
      </c>
      <c r="W19" s="17">
        <f>IF(OR(B19="",E19="",COUNTA(F19,H19,J19:M19,O19,Q19:R19,T19:U19)=0),"",SUM(G19,I19,N19,P19,S19,V19))</f>
        <v/>
      </c>
      <c r="X19" s="18">
        <f>IF(W19="","",IF(Murid!F19="TL","TL",ROUND(W19/110*100,2)))</f>
        <v/>
      </c>
    </row>
    <row r="20">
      <c r="A20" s="15">
        <f>Murid!A20</f>
        <v/>
      </c>
      <c r="B20" s="15">
        <f>IF(Murid!B20="","",Murid!B20)</f>
        <v/>
      </c>
      <c r="C20" s="16">
        <f>IF(Murid!C20="","",Murid!C20)</f>
        <v/>
      </c>
      <c r="D20" s="15">
        <f>IF(Murid!E20="","",Murid!E20)</f>
        <v/>
      </c>
      <c r="E20" s="11" t="n"/>
      <c r="F20" s="11" t="n"/>
      <c r="G20" s="10">
        <f>IF(F20="","",IFERROR(VLOOKUP(F20,T_JKP,2,FALSE),0))</f>
        <v/>
      </c>
      <c r="H20" s="11" t="n"/>
      <c r="I20" s="17">
        <f>IF(H20="","",IF(H20&gt;=12,40,ROUND(H20*3.33,2)))</f>
        <v/>
      </c>
      <c r="J20" s="11" t="n"/>
      <c r="K20" s="11" t="n"/>
      <c r="L20" s="11" t="n"/>
      <c r="M20" s="11" t="n"/>
      <c r="N20" s="10">
        <f>IF(COUNTA(J20:M20)=0,"",MIN(10,SUMPRODUCT((COUNTIF(J20:M20,L_KOM)&gt;0)*S_KOM)))</f>
        <v/>
      </c>
      <c r="O20" s="11" t="n"/>
      <c r="P20" s="10">
        <f>IF(O20="","",IFERROR(VLOOKUP(O20,T_KHID,2,FALSE),0))</f>
        <v/>
      </c>
      <c r="Q20" s="11" t="n"/>
      <c r="R20" s="11" t="n"/>
      <c r="S20" s="10">
        <f>IF(AND(Q20="",R20=""),"",IFERROR(INDEX(T_LIBAT,MATCH(Q20,L_PER,0),MATCH(R20,L_JENIS,0)),0))</f>
        <v/>
      </c>
      <c r="T20" s="11" t="n"/>
      <c r="U20" s="11" t="n"/>
      <c r="V20" s="10">
        <f>IF(AND(T20="",U20=""),"",IFERROR(INDEX(T_CAPAI,MATCH(T20,L_PER,0),MATCH(U20,L_KED,0)),0))</f>
        <v/>
      </c>
      <c r="W20" s="17">
        <f>IF(OR(B20="",E20="",COUNTA(F20,H20,J20:M20,O20,Q20:R20,T20:U20)=0),"",SUM(G20,I20,N20,P20,S20,V20))</f>
        <v/>
      </c>
      <c r="X20" s="18">
        <f>IF(W20="","",IF(Murid!F20="TL","TL",ROUND(W20/110*100,2)))</f>
        <v/>
      </c>
    </row>
    <row r="21">
      <c r="A21" s="15">
        <f>Murid!A21</f>
        <v/>
      </c>
      <c r="B21" s="15">
        <f>IF(Murid!B21="","",Murid!B21)</f>
        <v/>
      </c>
      <c r="C21" s="16">
        <f>IF(Murid!C21="","",Murid!C21)</f>
        <v/>
      </c>
      <c r="D21" s="15">
        <f>IF(Murid!E21="","",Murid!E21)</f>
        <v/>
      </c>
      <c r="E21" s="11" t="n"/>
      <c r="F21" s="11" t="n"/>
      <c r="G21" s="10">
        <f>IF(F21="","",IFERROR(VLOOKUP(F21,T_JKP,2,FALSE),0))</f>
        <v/>
      </c>
      <c r="H21" s="11" t="n"/>
      <c r="I21" s="17">
        <f>IF(H21="","",IF(H21&gt;=12,40,ROUND(H21*3.33,2)))</f>
        <v/>
      </c>
      <c r="J21" s="11" t="n"/>
      <c r="K21" s="11" t="n"/>
      <c r="L21" s="11" t="n"/>
      <c r="M21" s="11" t="n"/>
      <c r="N21" s="10">
        <f>IF(COUNTA(J21:M21)=0,"",MIN(10,SUMPRODUCT((COUNTIF(J21:M21,L_KOM)&gt;0)*S_KOM)))</f>
        <v/>
      </c>
      <c r="O21" s="11" t="n"/>
      <c r="P21" s="10">
        <f>IF(O21="","",IFERROR(VLOOKUP(O21,T_KHID,2,FALSE),0))</f>
        <v/>
      </c>
      <c r="Q21" s="11" t="n"/>
      <c r="R21" s="11" t="n"/>
      <c r="S21" s="10">
        <f>IF(AND(Q21="",R21=""),"",IFERROR(INDEX(T_LIBAT,MATCH(Q21,L_PER,0),MATCH(R21,L_JENIS,0)),0))</f>
        <v/>
      </c>
      <c r="T21" s="11" t="n"/>
      <c r="U21" s="11" t="n"/>
      <c r="V21" s="10">
        <f>IF(AND(T21="",U21=""),"",IFERROR(INDEX(T_CAPAI,MATCH(T21,L_PER,0),MATCH(U21,L_KED,0)),0))</f>
        <v/>
      </c>
      <c r="W21" s="17">
        <f>IF(OR(B21="",E21="",COUNTA(F21,H21,J21:M21,O21,Q21:R21,T21:U21)=0),"",SUM(G21,I21,N21,P21,S21,V21))</f>
        <v/>
      </c>
      <c r="X21" s="18">
        <f>IF(W21="","",IF(Murid!F21="TL","TL",ROUND(W21/110*100,2)))</f>
        <v/>
      </c>
    </row>
    <row r="22">
      <c r="A22" s="15">
        <f>Murid!A22</f>
        <v/>
      </c>
      <c r="B22" s="15">
        <f>IF(Murid!B22="","",Murid!B22)</f>
        <v/>
      </c>
      <c r="C22" s="16">
        <f>IF(Murid!C22="","",Murid!C22)</f>
        <v/>
      </c>
      <c r="D22" s="15">
        <f>IF(Murid!E22="","",Murid!E22)</f>
        <v/>
      </c>
      <c r="E22" s="11" t="n"/>
      <c r="F22" s="11" t="n"/>
      <c r="G22" s="10">
        <f>IF(F22="","",IFERROR(VLOOKUP(F22,T_JKP,2,FALSE),0))</f>
        <v/>
      </c>
      <c r="H22" s="11" t="n"/>
      <c r="I22" s="17">
        <f>IF(H22="","",IF(H22&gt;=12,40,ROUND(H22*3.33,2)))</f>
        <v/>
      </c>
      <c r="J22" s="11" t="n"/>
      <c r="K22" s="11" t="n"/>
      <c r="L22" s="11" t="n"/>
      <c r="M22" s="11" t="n"/>
      <c r="N22" s="10">
        <f>IF(COUNTA(J22:M22)=0,"",MIN(10,SUMPRODUCT((COUNTIF(J22:M22,L_KOM)&gt;0)*S_KOM)))</f>
        <v/>
      </c>
      <c r="O22" s="11" t="n"/>
      <c r="P22" s="10">
        <f>IF(O22="","",IFERROR(VLOOKUP(O22,T_KHID,2,FALSE),0))</f>
        <v/>
      </c>
      <c r="Q22" s="11" t="n"/>
      <c r="R22" s="11" t="n"/>
      <c r="S22" s="10">
        <f>IF(AND(Q22="",R22=""),"",IFERROR(INDEX(T_LIBAT,MATCH(Q22,L_PER,0),MATCH(R22,L_JENIS,0)),0))</f>
        <v/>
      </c>
      <c r="T22" s="11" t="n"/>
      <c r="U22" s="11" t="n"/>
      <c r="V22" s="10">
        <f>IF(AND(T22="",U22=""),"",IFERROR(INDEX(T_CAPAI,MATCH(T22,L_PER,0),MATCH(U22,L_KED,0)),0))</f>
        <v/>
      </c>
      <c r="W22" s="17">
        <f>IF(OR(B22="",E22="",COUNTA(F22,H22,J22:M22,O22,Q22:R22,T22:U22)=0),"",SUM(G22,I22,N22,P22,S22,V22))</f>
        <v/>
      </c>
      <c r="X22" s="18">
        <f>IF(W22="","",IF(Murid!F22="TL","TL",ROUND(W22/110*100,2)))</f>
        <v/>
      </c>
    </row>
    <row r="23">
      <c r="A23" s="15">
        <f>Murid!A23</f>
        <v/>
      </c>
      <c r="B23" s="15">
        <f>IF(Murid!B23="","",Murid!B23)</f>
        <v/>
      </c>
      <c r="C23" s="16">
        <f>IF(Murid!C23="","",Murid!C23)</f>
        <v/>
      </c>
      <c r="D23" s="15">
        <f>IF(Murid!E23="","",Murid!E23)</f>
        <v/>
      </c>
      <c r="E23" s="11" t="n"/>
      <c r="F23" s="11" t="n"/>
      <c r="G23" s="10">
        <f>IF(F23="","",IFERROR(VLOOKUP(F23,T_JKP,2,FALSE),0))</f>
        <v/>
      </c>
      <c r="H23" s="11" t="n"/>
      <c r="I23" s="17">
        <f>IF(H23="","",IF(H23&gt;=12,40,ROUND(H23*3.33,2)))</f>
        <v/>
      </c>
      <c r="J23" s="11" t="n"/>
      <c r="K23" s="11" t="n"/>
      <c r="L23" s="11" t="n"/>
      <c r="M23" s="11" t="n"/>
      <c r="N23" s="10">
        <f>IF(COUNTA(J23:M23)=0,"",MIN(10,SUMPRODUCT((COUNTIF(J23:M23,L_KOM)&gt;0)*S_KOM)))</f>
        <v/>
      </c>
      <c r="O23" s="11" t="n"/>
      <c r="P23" s="10">
        <f>IF(O23="","",IFERROR(VLOOKUP(O23,T_KHID,2,FALSE),0))</f>
        <v/>
      </c>
      <c r="Q23" s="11" t="n"/>
      <c r="R23" s="11" t="n"/>
      <c r="S23" s="10">
        <f>IF(AND(Q23="",R23=""),"",IFERROR(INDEX(T_LIBAT,MATCH(Q23,L_PER,0),MATCH(R23,L_JENIS,0)),0))</f>
        <v/>
      </c>
      <c r="T23" s="11" t="n"/>
      <c r="U23" s="11" t="n"/>
      <c r="V23" s="10">
        <f>IF(AND(T23="",U23=""),"",IFERROR(INDEX(T_CAPAI,MATCH(T23,L_PER,0),MATCH(U23,L_KED,0)),0))</f>
        <v/>
      </c>
      <c r="W23" s="17">
        <f>IF(OR(B23="",E23="",COUNTA(F23,H23,J23:M23,O23,Q23:R23,T23:U23)=0),"",SUM(G23,I23,N23,P23,S23,V23))</f>
        <v/>
      </c>
      <c r="X23" s="18">
        <f>IF(W23="","",IF(Murid!F23="TL","TL",ROUND(W23/110*100,2)))</f>
        <v/>
      </c>
    </row>
    <row r="24">
      <c r="A24" s="15">
        <f>Murid!A24</f>
        <v/>
      </c>
      <c r="B24" s="15">
        <f>IF(Murid!B24="","",Murid!B24)</f>
        <v/>
      </c>
      <c r="C24" s="16">
        <f>IF(Murid!C24="","",Murid!C24)</f>
        <v/>
      </c>
      <c r="D24" s="15">
        <f>IF(Murid!E24="","",Murid!E24)</f>
        <v/>
      </c>
      <c r="E24" s="11" t="n"/>
      <c r="F24" s="11" t="n"/>
      <c r="G24" s="10">
        <f>IF(F24="","",IFERROR(VLOOKUP(F24,T_JKP,2,FALSE),0))</f>
        <v/>
      </c>
      <c r="H24" s="11" t="n"/>
      <c r="I24" s="17">
        <f>IF(H24="","",IF(H24&gt;=12,40,ROUND(H24*3.33,2)))</f>
        <v/>
      </c>
      <c r="J24" s="11" t="n"/>
      <c r="K24" s="11" t="n"/>
      <c r="L24" s="11" t="n"/>
      <c r="M24" s="11" t="n"/>
      <c r="N24" s="10">
        <f>IF(COUNTA(J24:M24)=0,"",MIN(10,SUMPRODUCT((COUNTIF(J24:M24,L_KOM)&gt;0)*S_KOM)))</f>
        <v/>
      </c>
      <c r="O24" s="11" t="n"/>
      <c r="P24" s="10">
        <f>IF(O24="","",IFERROR(VLOOKUP(O24,T_KHID,2,FALSE),0))</f>
        <v/>
      </c>
      <c r="Q24" s="11" t="n"/>
      <c r="R24" s="11" t="n"/>
      <c r="S24" s="10">
        <f>IF(AND(Q24="",R24=""),"",IFERROR(INDEX(T_LIBAT,MATCH(Q24,L_PER,0),MATCH(R24,L_JENIS,0)),0))</f>
        <v/>
      </c>
      <c r="T24" s="11" t="n"/>
      <c r="U24" s="11" t="n"/>
      <c r="V24" s="10">
        <f>IF(AND(T24="",U24=""),"",IFERROR(INDEX(T_CAPAI,MATCH(T24,L_PER,0),MATCH(U24,L_KED,0)),0))</f>
        <v/>
      </c>
      <c r="W24" s="17">
        <f>IF(OR(B24="",E24="",COUNTA(F24,H24,J24:M24,O24,Q24:R24,T24:U24)=0),"",SUM(G24,I24,N24,P24,S24,V24))</f>
        <v/>
      </c>
      <c r="X24" s="18">
        <f>IF(W24="","",IF(Murid!F24="TL","TL",ROUND(W24/110*100,2)))</f>
        <v/>
      </c>
    </row>
    <row r="25">
      <c r="A25" s="15">
        <f>Murid!A25</f>
        <v/>
      </c>
      <c r="B25" s="15">
        <f>IF(Murid!B25="","",Murid!B25)</f>
        <v/>
      </c>
      <c r="C25" s="16">
        <f>IF(Murid!C25="","",Murid!C25)</f>
        <v/>
      </c>
      <c r="D25" s="15">
        <f>IF(Murid!E25="","",Murid!E25)</f>
        <v/>
      </c>
      <c r="E25" s="11" t="n"/>
      <c r="F25" s="11" t="n"/>
      <c r="G25" s="10">
        <f>IF(F25="","",IFERROR(VLOOKUP(F25,T_JKP,2,FALSE),0))</f>
        <v/>
      </c>
      <c r="H25" s="11" t="n"/>
      <c r="I25" s="17">
        <f>IF(H25="","",IF(H25&gt;=12,40,ROUND(H25*3.33,2)))</f>
        <v/>
      </c>
      <c r="J25" s="11" t="n"/>
      <c r="K25" s="11" t="n"/>
      <c r="L25" s="11" t="n"/>
      <c r="M25" s="11" t="n"/>
      <c r="N25" s="10">
        <f>IF(COUNTA(J25:M25)=0,"",MIN(10,SUMPRODUCT((COUNTIF(J25:M25,L_KOM)&gt;0)*S_KOM)))</f>
        <v/>
      </c>
      <c r="O25" s="11" t="n"/>
      <c r="P25" s="10">
        <f>IF(O25="","",IFERROR(VLOOKUP(O25,T_KHID,2,FALSE),0))</f>
        <v/>
      </c>
      <c r="Q25" s="11" t="n"/>
      <c r="R25" s="11" t="n"/>
      <c r="S25" s="10">
        <f>IF(AND(Q25="",R25=""),"",IFERROR(INDEX(T_LIBAT,MATCH(Q25,L_PER,0),MATCH(R25,L_JENIS,0)),0))</f>
        <v/>
      </c>
      <c r="T25" s="11" t="n"/>
      <c r="U25" s="11" t="n"/>
      <c r="V25" s="10">
        <f>IF(AND(T25="",U25=""),"",IFERROR(INDEX(T_CAPAI,MATCH(T25,L_PER,0),MATCH(U25,L_KED,0)),0))</f>
        <v/>
      </c>
      <c r="W25" s="17">
        <f>IF(OR(B25="",E25="",COUNTA(F25,H25,J25:M25,O25,Q25:R25,T25:U25)=0),"",SUM(G25,I25,N25,P25,S25,V25))</f>
        <v/>
      </c>
      <c r="X25" s="18">
        <f>IF(W25="","",IF(Murid!F25="TL","TL",ROUND(W25/110*100,2)))</f>
        <v/>
      </c>
    </row>
    <row r="26">
      <c r="A26" s="15">
        <f>Murid!A26</f>
        <v/>
      </c>
      <c r="B26" s="15">
        <f>IF(Murid!B26="","",Murid!B26)</f>
        <v/>
      </c>
      <c r="C26" s="16">
        <f>IF(Murid!C26="","",Murid!C26)</f>
        <v/>
      </c>
      <c r="D26" s="15">
        <f>IF(Murid!E26="","",Murid!E26)</f>
        <v/>
      </c>
      <c r="E26" s="11" t="n"/>
      <c r="F26" s="11" t="n"/>
      <c r="G26" s="10">
        <f>IF(F26="","",IFERROR(VLOOKUP(F26,T_JKP,2,FALSE),0))</f>
        <v/>
      </c>
      <c r="H26" s="11" t="n"/>
      <c r="I26" s="17">
        <f>IF(H26="","",IF(H26&gt;=12,40,ROUND(H26*3.33,2)))</f>
        <v/>
      </c>
      <c r="J26" s="11" t="n"/>
      <c r="K26" s="11" t="n"/>
      <c r="L26" s="11" t="n"/>
      <c r="M26" s="11" t="n"/>
      <c r="N26" s="10">
        <f>IF(COUNTA(J26:M26)=0,"",MIN(10,SUMPRODUCT((COUNTIF(J26:M26,L_KOM)&gt;0)*S_KOM)))</f>
        <v/>
      </c>
      <c r="O26" s="11" t="n"/>
      <c r="P26" s="10">
        <f>IF(O26="","",IFERROR(VLOOKUP(O26,T_KHID,2,FALSE),0))</f>
        <v/>
      </c>
      <c r="Q26" s="11" t="n"/>
      <c r="R26" s="11" t="n"/>
      <c r="S26" s="10">
        <f>IF(AND(Q26="",R26=""),"",IFERROR(INDEX(T_LIBAT,MATCH(Q26,L_PER,0),MATCH(R26,L_JENIS,0)),0))</f>
        <v/>
      </c>
      <c r="T26" s="11" t="n"/>
      <c r="U26" s="11" t="n"/>
      <c r="V26" s="10">
        <f>IF(AND(T26="",U26=""),"",IFERROR(INDEX(T_CAPAI,MATCH(T26,L_PER,0),MATCH(U26,L_KED,0)),0))</f>
        <v/>
      </c>
      <c r="W26" s="17">
        <f>IF(OR(B26="",E26="",COUNTA(F26,H26,J26:M26,O26,Q26:R26,T26:U26)=0),"",SUM(G26,I26,N26,P26,S26,V26))</f>
        <v/>
      </c>
      <c r="X26" s="18">
        <f>IF(W26="","",IF(Murid!F26="TL","TL",ROUND(W26/110*100,2)))</f>
        <v/>
      </c>
    </row>
    <row r="27">
      <c r="A27" s="15">
        <f>Murid!A27</f>
        <v/>
      </c>
      <c r="B27" s="15">
        <f>IF(Murid!B27="","",Murid!B27)</f>
        <v/>
      </c>
      <c r="C27" s="16">
        <f>IF(Murid!C27="","",Murid!C27)</f>
        <v/>
      </c>
      <c r="D27" s="15">
        <f>IF(Murid!E27="","",Murid!E27)</f>
        <v/>
      </c>
      <c r="E27" s="11" t="n"/>
      <c r="F27" s="11" t="n"/>
      <c r="G27" s="10">
        <f>IF(F27="","",IFERROR(VLOOKUP(F27,T_JKP,2,FALSE),0))</f>
        <v/>
      </c>
      <c r="H27" s="11" t="n"/>
      <c r="I27" s="17">
        <f>IF(H27="","",IF(H27&gt;=12,40,ROUND(H27*3.33,2)))</f>
        <v/>
      </c>
      <c r="J27" s="11" t="n"/>
      <c r="K27" s="11" t="n"/>
      <c r="L27" s="11" t="n"/>
      <c r="M27" s="11" t="n"/>
      <c r="N27" s="10">
        <f>IF(COUNTA(J27:M27)=0,"",MIN(10,SUMPRODUCT((COUNTIF(J27:M27,L_KOM)&gt;0)*S_KOM)))</f>
        <v/>
      </c>
      <c r="O27" s="11" t="n"/>
      <c r="P27" s="10">
        <f>IF(O27="","",IFERROR(VLOOKUP(O27,T_KHID,2,FALSE),0))</f>
        <v/>
      </c>
      <c r="Q27" s="11" t="n"/>
      <c r="R27" s="11" t="n"/>
      <c r="S27" s="10">
        <f>IF(AND(Q27="",R27=""),"",IFERROR(INDEX(T_LIBAT,MATCH(Q27,L_PER,0),MATCH(R27,L_JENIS,0)),0))</f>
        <v/>
      </c>
      <c r="T27" s="11" t="n"/>
      <c r="U27" s="11" t="n"/>
      <c r="V27" s="10">
        <f>IF(AND(T27="",U27=""),"",IFERROR(INDEX(T_CAPAI,MATCH(T27,L_PER,0),MATCH(U27,L_KED,0)),0))</f>
        <v/>
      </c>
      <c r="W27" s="17">
        <f>IF(OR(B27="",E27="",COUNTA(F27,H27,J27:M27,O27,Q27:R27,T27:U27)=0),"",SUM(G27,I27,N27,P27,S27,V27))</f>
        <v/>
      </c>
      <c r="X27" s="18">
        <f>IF(W27="","",IF(Murid!F27="TL","TL",ROUND(W27/110*100,2)))</f>
        <v/>
      </c>
    </row>
    <row r="28">
      <c r="A28" s="15">
        <f>Murid!A28</f>
        <v/>
      </c>
      <c r="B28" s="15">
        <f>IF(Murid!B28="","",Murid!B28)</f>
        <v/>
      </c>
      <c r="C28" s="16">
        <f>IF(Murid!C28="","",Murid!C28)</f>
        <v/>
      </c>
      <c r="D28" s="15">
        <f>IF(Murid!E28="","",Murid!E28)</f>
        <v/>
      </c>
      <c r="E28" s="11" t="n"/>
      <c r="F28" s="11" t="n"/>
      <c r="G28" s="10">
        <f>IF(F28="","",IFERROR(VLOOKUP(F28,T_JKP,2,FALSE),0))</f>
        <v/>
      </c>
      <c r="H28" s="11" t="n"/>
      <c r="I28" s="17">
        <f>IF(H28="","",IF(H28&gt;=12,40,ROUND(H28*3.33,2)))</f>
        <v/>
      </c>
      <c r="J28" s="11" t="n"/>
      <c r="K28" s="11" t="n"/>
      <c r="L28" s="11" t="n"/>
      <c r="M28" s="11" t="n"/>
      <c r="N28" s="10">
        <f>IF(COUNTA(J28:M28)=0,"",MIN(10,SUMPRODUCT((COUNTIF(J28:M28,L_KOM)&gt;0)*S_KOM)))</f>
        <v/>
      </c>
      <c r="O28" s="11" t="n"/>
      <c r="P28" s="10">
        <f>IF(O28="","",IFERROR(VLOOKUP(O28,T_KHID,2,FALSE),0))</f>
        <v/>
      </c>
      <c r="Q28" s="11" t="n"/>
      <c r="R28" s="11" t="n"/>
      <c r="S28" s="10">
        <f>IF(AND(Q28="",R28=""),"",IFERROR(INDEX(T_LIBAT,MATCH(Q28,L_PER,0),MATCH(R28,L_JENIS,0)),0))</f>
        <v/>
      </c>
      <c r="T28" s="11" t="n"/>
      <c r="U28" s="11" t="n"/>
      <c r="V28" s="10">
        <f>IF(AND(T28="",U28=""),"",IFERROR(INDEX(T_CAPAI,MATCH(T28,L_PER,0),MATCH(U28,L_KED,0)),0))</f>
        <v/>
      </c>
      <c r="W28" s="17">
        <f>IF(OR(B28="",E28="",COUNTA(F28,H28,J28:M28,O28,Q28:R28,T28:U28)=0),"",SUM(G28,I28,N28,P28,S28,V28))</f>
        <v/>
      </c>
      <c r="X28" s="18">
        <f>IF(W28="","",IF(Murid!F28="TL","TL",ROUND(W28/110*100,2)))</f>
        <v/>
      </c>
    </row>
    <row r="29">
      <c r="A29" s="15">
        <f>Murid!A29</f>
        <v/>
      </c>
      <c r="B29" s="15">
        <f>IF(Murid!B29="","",Murid!B29)</f>
        <v/>
      </c>
      <c r="C29" s="16">
        <f>IF(Murid!C29="","",Murid!C29)</f>
        <v/>
      </c>
      <c r="D29" s="15">
        <f>IF(Murid!E29="","",Murid!E29)</f>
        <v/>
      </c>
      <c r="E29" s="11" t="n"/>
      <c r="F29" s="11" t="n"/>
      <c r="G29" s="10">
        <f>IF(F29="","",IFERROR(VLOOKUP(F29,T_JKP,2,FALSE),0))</f>
        <v/>
      </c>
      <c r="H29" s="11" t="n"/>
      <c r="I29" s="17">
        <f>IF(H29="","",IF(H29&gt;=12,40,ROUND(H29*3.33,2)))</f>
        <v/>
      </c>
      <c r="J29" s="11" t="n"/>
      <c r="K29" s="11" t="n"/>
      <c r="L29" s="11" t="n"/>
      <c r="M29" s="11" t="n"/>
      <c r="N29" s="10">
        <f>IF(COUNTA(J29:M29)=0,"",MIN(10,SUMPRODUCT((COUNTIF(J29:M29,L_KOM)&gt;0)*S_KOM)))</f>
        <v/>
      </c>
      <c r="O29" s="11" t="n"/>
      <c r="P29" s="10">
        <f>IF(O29="","",IFERROR(VLOOKUP(O29,T_KHID,2,FALSE),0))</f>
        <v/>
      </c>
      <c r="Q29" s="11" t="n"/>
      <c r="R29" s="11" t="n"/>
      <c r="S29" s="10">
        <f>IF(AND(Q29="",R29=""),"",IFERROR(INDEX(T_LIBAT,MATCH(Q29,L_PER,0),MATCH(R29,L_JENIS,0)),0))</f>
        <v/>
      </c>
      <c r="T29" s="11" t="n"/>
      <c r="U29" s="11" t="n"/>
      <c r="V29" s="10">
        <f>IF(AND(T29="",U29=""),"",IFERROR(INDEX(T_CAPAI,MATCH(T29,L_PER,0),MATCH(U29,L_KED,0)),0))</f>
        <v/>
      </c>
      <c r="W29" s="17">
        <f>IF(OR(B29="",E29="",COUNTA(F29,H29,J29:M29,O29,Q29:R29,T29:U29)=0),"",SUM(G29,I29,N29,P29,S29,V29))</f>
        <v/>
      </c>
      <c r="X29" s="18">
        <f>IF(W29="","",IF(Murid!F29="TL","TL",ROUND(W29/110*100,2)))</f>
        <v/>
      </c>
    </row>
    <row r="30">
      <c r="A30" s="15">
        <f>Murid!A30</f>
        <v/>
      </c>
      <c r="B30" s="15">
        <f>IF(Murid!B30="","",Murid!B30)</f>
        <v/>
      </c>
      <c r="C30" s="16">
        <f>IF(Murid!C30="","",Murid!C30)</f>
        <v/>
      </c>
      <c r="D30" s="15">
        <f>IF(Murid!E30="","",Murid!E30)</f>
        <v/>
      </c>
      <c r="E30" s="11" t="n"/>
      <c r="F30" s="11" t="n"/>
      <c r="G30" s="10">
        <f>IF(F30="","",IFERROR(VLOOKUP(F30,T_JKP,2,FALSE),0))</f>
        <v/>
      </c>
      <c r="H30" s="11" t="n"/>
      <c r="I30" s="17">
        <f>IF(H30="","",IF(H30&gt;=12,40,ROUND(H30*3.33,2)))</f>
        <v/>
      </c>
      <c r="J30" s="11" t="n"/>
      <c r="K30" s="11" t="n"/>
      <c r="L30" s="11" t="n"/>
      <c r="M30" s="11" t="n"/>
      <c r="N30" s="10">
        <f>IF(COUNTA(J30:M30)=0,"",MIN(10,SUMPRODUCT((COUNTIF(J30:M30,L_KOM)&gt;0)*S_KOM)))</f>
        <v/>
      </c>
      <c r="O30" s="11" t="n"/>
      <c r="P30" s="10">
        <f>IF(O30="","",IFERROR(VLOOKUP(O30,T_KHID,2,FALSE),0))</f>
        <v/>
      </c>
      <c r="Q30" s="11" t="n"/>
      <c r="R30" s="11" t="n"/>
      <c r="S30" s="10">
        <f>IF(AND(Q30="",R30=""),"",IFERROR(INDEX(T_LIBAT,MATCH(Q30,L_PER,0),MATCH(R30,L_JENIS,0)),0))</f>
        <v/>
      </c>
      <c r="T30" s="11" t="n"/>
      <c r="U30" s="11" t="n"/>
      <c r="V30" s="10">
        <f>IF(AND(T30="",U30=""),"",IFERROR(INDEX(T_CAPAI,MATCH(T30,L_PER,0),MATCH(U30,L_KED,0)),0))</f>
        <v/>
      </c>
      <c r="W30" s="17">
        <f>IF(OR(B30="",E30="",COUNTA(F30,H30,J30:M30,O30,Q30:R30,T30:U30)=0),"",SUM(G30,I30,N30,P30,S30,V30))</f>
        <v/>
      </c>
      <c r="X30" s="18">
        <f>IF(W30="","",IF(Murid!F30="TL","TL",ROUND(W30/110*100,2)))</f>
        <v/>
      </c>
    </row>
    <row r="31">
      <c r="A31" s="15">
        <f>Murid!A31</f>
        <v/>
      </c>
      <c r="B31" s="15">
        <f>IF(Murid!B31="","",Murid!B31)</f>
        <v/>
      </c>
      <c r="C31" s="16">
        <f>IF(Murid!C31="","",Murid!C31)</f>
        <v/>
      </c>
      <c r="D31" s="15">
        <f>IF(Murid!E31="","",Murid!E31)</f>
        <v/>
      </c>
      <c r="E31" s="11" t="n"/>
      <c r="F31" s="11" t="n"/>
      <c r="G31" s="10">
        <f>IF(F31="","",IFERROR(VLOOKUP(F31,T_JKP,2,FALSE),0))</f>
        <v/>
      </c>
      <c r="H31" s="11" t="n"/>
      <c r="I31" s="17">
        <f>IF(H31="","",IF(H31&gt;=12,40,ROUND(H31*3.33,2)))</f>
        <v/>
      </c>
      <c r="J31" s="11" t="n"/>
      <c r="K31" s="11" t="n"/>
      <c r="L31" s="11" t="n"/>
      <c r="M31" s="11" t="n"/>
      <c r="N31" s="10">
        <f>IF(COUNTA(J31:M31)=0,"",MIN(10,SUMPRODUCT((COUNTIF(J31:M31,L_KOM)&gt;0)*S_KOM)))</f>
        <v/>
      </c>
      <c r="O31" s="11" t="n"/>
      <c r="P31" s="10">
        <f>IF(O31="","",IFERROR(VLOOKUP(O31,T_KHID,2,FALSE),0))</f>
        <v/>
      </c>
      <c r="Q31" s="11" t="n"/>
      <c r="R31" s="11" t="n"/>
      <c r="S31" s="10">
        <f>IF(AND(Q31="",R31=""),"",IFERROR(INDEX(T_LIBAT,MATCH(Q31,L_PER,0),MATCH(R31,L_JENIS,0)),0))</f>
        <v/>
      </c>
      <c r="T31" s="11" t="n"/>
      <c r="U31" s="11" t="n"/>
      <c r="V31" s="10">
        <f>IF(AND(T31="",U31=""),"",IFERROR(INDEX(T_CAPAI,MATCH(T31,L_PER,0),MATCH(U31,L_KED,0)),0))</f>
        <v/>
      </c>
      <c r="W31" s="17">
        <f>IF(OR(B31="",E31="",COUNTA(F31,H31,J31:M31,O31,Q31:R31,T31:U31)=0),"",SUM(G31,I31,N31,P31,S31,V31))</f>
        <v/>
      </c>
      <c r="X31" s="18">
        <f>IF(W31="","",IF(Murid!F31="TL","TL",ROUND(W31/110*100,2)))</f>
        <v/>
      </c>
    </row>
    <row r="32">
      <c r="A32" s="15">
        <f>Murid!A32</f>
        <v/>
      </c>
      <c r="B32" s="15">
        <f>IF(Murid!B32="","",Murid!B32)</f>
        <v/>
      </c>
      <c r="C32" s="16">
        <f>IF(Murid!C32="","",Murid!C32)</f>
        <v/>
      </c>
      <c r="D32" s="15">
        <f>IF(Murid!E32="","",Murid!E32)</f>
        <v/>
      </c>
      <c r="E32" s="11" t="n"/>
      <c r="F32" s="11" t="n"/>
      <c r="G32" s="10">
        <f>IF(F32="","",IFERROR(VLOOKUP(F32,T_JKP,2,FALSE),0))</f>
        <v/>
      </c>
      <c r="H32" s="11" t="n"/>
      <c r="I32" s="17">
        <f>IF(H32="","",IF(H32&gt;=12,40,ROUND(H32*3.33,2)))</f>
        <v/>
      </c>
      <c r="J32" s="11" t="n"/>
      <c r="K32" s="11" t="n"/>
      <c r="L32" s="11" t="n"/>
      <c r="M32" s="11" t="n"/>
      <c r="N32" s="10">
        <f>IF(COUNTA(J32:M32)=0,"",MIN(10,SUMPRODUCT((COUNTIF(J32:M32,L_KOM)&gt;0)*S_KOM)))</f>
        <v/>
      </c>
      <c r="O32" s="11" t="n"/>
      <c r="P32" s="10">
        <f>IF(O32="","",IFERROR(VLOOKUP(O32,T_KHID,2,FALSE),0))</f>
        <v/>
      </c>
      <c r="Q32" s="11" t="n"/>
      <c r="R32" s="11" t="n"/>
      <c r="S32" s="10">
        <f>IF(AND(Q32="",R32=""),"",IFERROR(INDEX(T_LIBAT,MATCH(Q32,L_PER,0),MATCH(R32,L_JENIS,0)),0))</f>
        <v/>
      </c>
      <c r="T32" s="11" t="n"/>
      <c r="U32" s="11" t="n"/>
      <c r="V32" s="10">
        <f>IF(AND(T32="",U32=""),"",IFERROR(INDEX(T_CAPAI,MATCH(T32,L_PER,0),MATCH(U32,L_KED,0)),0))</f>
        <v/>
      </c>
      <c r="W32" s="17">
        <f>IF(OR(B32="",E32="",COUNTA(F32,H32,J32:M32,O32,Q32:R32,T32:U32)=0),"",SUM(G32,I32,N32,P32,S32,V32))</f>
        <v/>
      </c>
      <c r="X32" s="18">
        <f>IF(W32="","",IF(Murid!F32="TL","TL",ROUND(W32/110*100,2)))</f>
        <v/>
      </c>
    </row>
    <row r="33">
      <c r="A33" s="15">
        <f>Murid!A33</f>
        <v/>
      </c>
      <c r="B33" s="15">
        <f>IF(Murid!B33="","",Murid!B33)</f>
        <v/>
      </c>
      <c r="C33" s="16">
        <f>IF(Murid!C33="","",Murid!C33)</f>
        <v/>
      </c>
      <c r="D33" s="15">
        <f>IF(Murid!E33="","",Murid!E33)</f>
        <v/>
      </c>
      <c r="E33" s="11" t="n"/>
      <c r="F33" s="11" t="n"/>
      <c r="G33" s="10">
        <f>IF(F33="","",IFERROR(VLOOKUP(F33,T_JKP,2,FALSE),0))</f>
        <v/>
      </c>
      <c r="H33" s="11" t="n"/>
      <c r="I33" s="17">
        <f>IF(H33="","",IF(H33&gt;=12,40,ROUND(H33*3.33,2)))</f>
        <v/>
      </c>
      <c r="J33" s="11" t="n"/>
      <c r="K33" s="11" t="n"/>
      <c r="L33" s="11" t="n"/>
      <c r="M33" s="11" t="n"/>
      <c r="N33" s="10">
        <f>IF(COUNTA(J33:M33)=0,"",MIN(10,SUMPRODUCT((COUNTIF(J33:M33,L_KOM)&gt;0)*S_KOM)))</f>
        <v/>
      </c>
      <c r="O33" s="11" t="n"/>
      <c r="P33" s="10">
        <f>IF(O33="","",IFERROR(VLOOKUP(O33,T_KHID,2,FALSE),0))</f>
        <v/>
      </c>
      <c r="Q33" s="11" t="n"/>
      <c r="R33" s="11" t="n"/>
      <c r="S33" s="10">
        <f>IF(AND(Q33="",R33=""),"",IFERROR(INDEX(T_LIBAT,MATCH(Q33,L_PER,0),MATCH(R33,L_JENIS,0)),0))</f>
        <v/>
      </c>
      <c r="T33" s="11" t="n"/>
      <c r="U33" s="11" t="n"/>
      <c r="V33" s="10">
        <f>IF(AND(T33="",U33=""),"",IFERROR(INDEX(T_CAPAI,MATCH(T33,L_PER,0),MATCH(U33,L_KED,0)),0))</f>
        <v/>
      </c>
      <c r="W33" s="17">
        <f>IF(OR(B33="",E33="",COUNTA(F33,H33,J33:M33,O33,Q33:R33,T33:U33)=0),"",SUM(G33,I33,N33,P33,S33,V33))</f>
        <v/>
      </c>
      <c r="X33" s="18">
        <f>IF(W33="","",IF(Murid!F33="TL","TL",ROUND(W33/110*100,2)))</f>
        <v/>
      </c>
    </row>
    <row r="34">
      <c r="A34" s="15">
        <f>Murid!A34</f>
        <v/>
      </c>
      <c r="B34" s="15">
        <f>IF(Murid!B34="","",Murid!B34)</f>
        <v/>
      </c>
      <c r="C34" s="16">
        <f>IF(Murid!C34="","",Murid!C34)</f>
        <v/>
      </c>
      <c r="D34" s="15">
        <f>IF(Murid!E34="","",Murid!E34)</f>
        <v/>
      </c>
      <c r="E34" s="11" t="n"/>
      <c r="F34" s="11" t="n"/>
      <c r="G34" s="10">
        <f>IF(F34="","",IFERROR(VLOOKUP(F34,T_JKP,2,FALSE),0))</f>
        <v/>
      </c>
      <c r="H34" s="11" t="n"/>
      <c r="I34" s="17">
        <f>IF(H34="","",IF(H34&gt;=12,40,ROUND(H34*3.33,2)))</f>
        <v/>
      </c>
      <c r="J34" s="11" t="n"/>
      <c r="K34" s="11" t="n"/>
      <c r="L34" s="11" t="n"/>
      <c r="M34" s="11" t="n"/>
      <c r="N34" s="10">
        <f>IF(COUNTA(J34:M34)=0,"",MIN(10,SUMPRODUCT((COUNTIF(J34:M34,L_KOM)&gt;0)*S_KOM)))</f>
        <v/>
      </c>
      <c r="O34" s="11" t="n"/>
      <c r="P34" s="10">
        <f>IF(O34="","",IFERROR(VLOOKUP(O34,T_KHID,2,FALSE),0))</f>
        <v/>
      </c>
      <c r="Q34" s="11" t="n"/>
      <c r="R34" s="11" t="n"/>
      <c r="S34" s="10">
        <f>IF(AND(Q34="",R34=""),"",IFERROR(INDEX(T_LIBAT,MATCH(Q34,L_PER,0),MATCH(R34,L_JENIS,0)),0))</f>
        <v/>
      </c>
      <c r="T34" s="11" t="n"/>
      <c r="U34" s="11" t="n"/>
      <c r="V34" s="10">
        <f>IF(AND(T34="",U34=""),"",IFERROR(INDEX(T_CAPAI,MATCH(T34,L_PER,0),MATCH(U34,L_KED,0)),0))</f>
        <v/>
      </c>
      <c r="W34" s="17">
        <f>IF(OR(B34="",E34="",COUNTA(F34,H34,J34:M34,O34,Q34:R34,T34:U34)=0),"",SUM(G34,I34,N34,P34,S34,V34))</f>
        <v/>
      </c>
      <c r="X34" s="18">
        <f>IF(W34="","",IF(Murid!F34="TL","TL",ROUND(W34/110*100,2)))</f>
        <v/>
      </c>
    </row>
    <row r="35">
      <c r="A35" s="15">
        <f>Murid!A35</f>
        <v/>
      </c>
      <c r="B35" s="15">
        <f>IF(Murid!B35="","",Murid!B35)</f>
        <v/>
      </c>
      <c r="C35" s="16">
        <f>IF(Murid!C35="","",Murid!C35)</f>
        <v/>
      </c>
      <c r="D35" s="15">
        <f>IF(Murid!E35="","",Murid!E35)</f>
        <v/>
      </c>
      <c r="E35" s="11" t="n"/>
      <c r="F35" s="11" t="n"/>
      <c r="G35" s="10">
        <f>IF(F35="","",IFERROR(VLOOKUP(F35,T_JKP,2,FALSE),0))</f>
        <v/>
      </c>
      <c r="H35" s="11" t="n"/>
      <c r="I35" s="17">
        <f>IF(H35="","",IF(H35&gt;=12,40,ROUND(H35*3.33,2)))</f>
        <v/>
      </c>
      <c r="J35" s="11" t="n"/>
      <c r="K35" s="11" t="n"/>
      <c r="L35" s="11" t="n"/>
      <c r="M35" s="11" t="n"/>
      <c r="N35" s="10">
        <f>IF(COUNTA(J35:M35)=0,"",MIN(10,SUMPRODUCT((COUNTIF(J35:M35,L_KOM)&gt;0)*S_KOM)))</f>
        <v/>
      </c>
      <c r="O35" s="11" t="n"/>
      <c r="P35" s="10">
        <f>IF(O35="","",IFERROR(VLOOKUP(O35,T_KHID,2,FALSE),0))</f>
        <v/>
      </c>
      <c r="Q35" s="11" t="n"/>
      <c r="R35" s="11" t="n"/>
      <c r="S35" s="10">
        <f>IF(AND(Q35="",R35=""),"",IFERROR(INDEX(T_LIBAT,MATCH(Q35,L_PER,0),MATCH(R35,L_JENIS,0)),0))</f>
        <v/>
      </c>
      <c r="T35" s="11" t="n"/>
      <c r="U35" s="11" t="n"/>
      <c r="V35" s="10">
        <f>IF(AND(T35="",U35=""),"",IFERROR(INDEX(T_CAPAI,MATCH(T35,L_PER,0),MATCH(U35,L_KED,0)),0))</f>
        <v/>
      </c>
      <c r="W35" s="17">
        <f>IF(OR(B35="",E35="",COUNTA(F35,H35,J35:M35,O35,Q35:R35,T35:U35)=0),"",SUM(G35,I35,N35,P35,S35,V35))</f>
        <v/>
      </c>
      <c r="X35" s="18">
        <f>IF(W35="","",IF(Murid!F35="TL","TL",ROUND(W35/110*100,2)))</f>
        <v/>
      </c>
    </row>
    <row r="36">
      <c r="A36" s="15">
        <f>Murid!A36</f>
        <v/>
      </c>
      <c r="B36" s="15">
        <f>IF(Murid!B36="","",Murid!B36)</f>
        <v/>
      </c>
      <c r="C36" s="16">
        <f>IF(Murid!C36="","",Murid!C36)</f>
        <v/>
      </c>
      <c r="D36" s="15">
        <f>IF(Murid!E36="","",Murid!E36)</f>
        <v/>
      </c>
      <c r="E36" s="11" t="n"/>
      <c r="F36" s="11" t="n"/>
      <c r="G36" s="10">
        <f>IF(F36="","",IFERROR(VLOOKUP(F36,T_JKP,2,FALSE),0))</f>
        <v/>
      </c>
      <c r="H36" s="11" t="n"/>
      <c r="I36" s="17">
        <f>IF(H36="","",IF(H36&gt;=12,40,ROUND(H36*3.33,2)))</f>
        <v/>
      </c>
      <c r="J36" s="11" t="n"/>
      <c r="K36" s="11" t="n"/>
      <c r="L36" s="11" t="n"/>
      <c r="M36" s="11" t="n"/>
      <c r="N36" s="10">
        <f>IF(COUNTA(J36:M36)=0,"",MIN(10,SUMPRODUCT((COUNTIF(J36:M36,L_KOM)&gt;0)*S_KOM)))</f>
        <v/>
      </c>
      <c r="O36" s="11" t="n"/>
      <c r="P36" s="10">
        <f>IF(O36="","",IFERROR(VLOOKUP(O36,T_KHID,2,FALSE),0))</f>
        <v/>
      </c>
      <c r="Q36" s="11" t="n"/>
      <c r="R36" s="11" t="n"/>
      <c r="S36" s="10">
        <f>IF(AND(Q36="",R36=""),"",IFERROR(INDEX(T_LIBAT,MATCH(Q36,L_PER,0),MATCH(R36,L_JENIS,0)),0))</f>
        <v/>
      </c>
      <c r="T36" s="11" t="n"/>
      <c r="U36" s="11" t="n"/>
      <c r="V36" s="10">
        <f>IF(AND(T36="",U36=""),"",IFERROR(INDEX(T_CAPAI,MATCH(T36,L_PER,0),MATCH(U36,L_KED,0)),0))</f>
        <v/>
      </c>
      <c r="W36" s="17">
        <f>IF(OR(B36="",E36="",COUNTA(F36,H36,J36:M36,O36,Q36:R36,T36:U36)=0),"",SUM(G36,I36,N36,P36,S36,V36))</f>
        <v/>
      </c>
      <c r="X36" s="18">
        <f>IF(W36="","",IF(Murid!F36="TL","TL",ROUND(W36/110*100,2)))</f>
        <v/>
      </c>
    </row>
    <row r="37">
      <c r="A37" s="15">
        <f>Murid!A37</f>
        <v/>
      </c>
      <c r="B37" s="15">
        <f>IF(Murid!B37="","",Murid!B37)</f>
        <v/>
      </c>
      <c r="C37" s="16">
        <f>IF(Murid!C37="","",Murid!C37)</f>
        <v/>
      </c>
      <c r="D37" s="15">
        <f>IF(Murid!E37="","",Murid!E37)</f>
        <v/>
      </c>
      <c r="E37" s="11" t="n"/>
      <c r="F37" s="11" t="n"/>
      <c r="G37" s="10">
        <f>IF(F37="","",IFERROR(VLOOKUP(F37,T_JKP,2,FALSE),0))</f>
        <v/>
      </c>
      <c r="H37" s="11" t="n"/>
      <c r="I37" s="17">
        <f>IF(H37="","",IF(H37&gt;=12,40,ROUND(H37*3.33,2)))</f>
        <v/>
      </c>
      <c r="J37" s="11" t="n"/>
      <c r="K37" s="11" t="n"/>
      <c r="L37" s="11" t="n"/>
      <c r="M37" s="11" t="n"/>
      <c r="N37" s="10">
        <f>IF(COUNTA(J37:M37)=0,"",MIN(10,SUMPRODUCT((COUNTIF(J37:M37,L_KOM)&gt;0)*S_KOM)))</f>
        <v/>
      </c>
      <c r="O37" s="11" t="n"/>
      <c r="P37" s="10">
        <f>IF(O37="","",IFERROR(VLOOKUP(O37,T_KHID,2,FALSE),0))</f>
        <v/>
      </c>
      <c r="Q37" s="11" t="n"/>
      <c r="R37" s="11" t="n"/>
      <c r="S37" s="10">
        <f>IF(AND(Q37="",R37=""),"",IFERROR(INDEX(T_LIBAT,MATCH(Q37,L_PER,0),MATCH(R37,L_JENIS,0)),0))</f>
        <v/>
      </c>
      <c r="T37" s="11" t="n"/>
      <c r="U37" s="11" t="n"/>
      <c r="V37" s="10">
        <f>IF(AND(T37="",U37=""),"",IFERROR(INDEX(T_CAPAI,MATCH(T37,L_PER,0),MATCH(U37,L_KED,0)),0))</f>
        <v/>
      </c>
      <c r="W37" s="17">
        <f>IF(OR(B37="",E37="",COUNTA(F37,H37,J37:M37,O37,Q37:R37,T37:U37)=0),"",SUM(G37,I37,N37,P37,S37,V37))</f>
        <v/>
      </c>
      <c r="X37" s="18">
        <f>IF(W37="","",IF(Murid!F37="TL","TL",ROUND(W37/110*100,2)))</f>
        <v/>
      </c>
    </row>
    <row r="38">
      <c r="A38" s="15">
        <f>Murid!A38</f>
        <v/>
      </c>
      <c r="B38" s="15">
        <f>IF(Murid!B38="","",Murid!B38)</f>
        <v/>
      </c>
      <c r="C38" s="16">
        <f>IF(Murid!C38="","",Murid!C38)</f>
        <v/>
      </c>
      <c r="D38" s="15">
        <f>IF(Murid!E38="","",Murid!E38)</f>
        <v/>
      </c>
      <c r="E38" s="11" t="n"/>
      <c r="F38" s="11" t="n"/>
      <c r="G38" s="10">
        <f>IF(F38="","",IFERROR(VLOOKUP(F38,T_JKP,2,FALSE),0))</f>
        <v/>
      </c>
      <c r="H38" s="11" t="n"/>
      <c r="I38" s="17">
        <f>IF(H38="","",IF(H38&gt;=12,40,ROUND(H38*3.33,2)))</f>
        <v/>
      </c>
      <c r="J38" s="11" t="n"/>
      <c r="K38" s="11" t="n"/>
      <c r="L38" s="11" t="n"/>
      <c r="M38" s="11" t="n"/>
      <c r="N38" s="10">
        <f>IF(COUNTA(J38:M38)=0,"",MIN(10,SUMPRODUCT((COUNTIF(J38:M38,L_KOM)&gt;0)*S_KOM)))</f>
        <v/>
      </c>
      <c r="O38" s="11" t="n"/>
      <c r="P38" s="10">
        <f>IF(O38="","",IFERROR(VLOOKUP(O38,T_KHID,2,FALSE),0))</f>
        <v/>
      </c>
      <c r="Q38" s="11" t="n"/>
      <c r="R38" s="11" t="n"/>
      <c r="S38" s="10">
        <f>IF(AND(Q38="",R38=""),"",IFERROR(INDEX(T_LIBAT,MATCH(Q38,L_PER,0),MATCH(R38,L_JENIS,0)),0))</f>
        <v/>
      </c>
      <c r="T38" s="11" t="n"/>
      <c r="U38" s="11" t="n"/>
      <c r="V38" s="10">
        <f>IF(AND(T38="",U38=""),"",IFERROR(INDEX(T_CAPAI,MATCH(T38,L_PER,0),MATCH(U38,L_KED,0)),0))</f>
        <v/>
      </c>
      <c r="W38" s="17">
        <f>IF(OR(B38="",E38="",COUNTA(F38,H38,J38:M38,O38,Q38:R38,T38:U38)=0),"",SUM(G38,I38,N38,P38,S38,V38))</f>
        <v/>
      </c>
      <c r="X38" s="18">
        <f>IF(W38="","",IF(Murid!F38="TL","TL",ROUND(W38/110*100,2)))</f>
        <v/>
      </c>
    </row>
    <row r="39">
      <c r="A39" s="15">
        <f>Murid!A39</f>
        <v/>
      </c>
      <c r="B39" s="15">
        <f>IF(Murid!B39="","",Murid!B39)</f>
        <v/>
      </c>
      <c r="C39" s="16">
        <f>IF(Murid!C39="","",Murid!C39)</f>
        <v/>
      </c>
      <c r="D39" s="15">
        <f>IF(Murid!E39="","",Murid!E39)</f>
        <v/>
      </c>
      <c r="E39" s="11" t="n"/>
      <c r="F39" s="11" t="n"/>
      <c r="G39" s="10">
        <f>IF(F39="","",IFERROR(VLOOKUP(F39,T_JKP,2,FALSE),0))</f>
        <v/>
      </c>
      <c r="H39" s="11" t="n"/>
      <c r="I39" s="17">
        <f>IF(H39="","",IF(H39&gt;=12,40,ROUND(H39*3.33,2)))</f>
        <v/>
      </c>
      <c r="J39" s="11" t="n"/>
      <c r="K39" s="11" t="n"/>
      <c r="L39" s="11" t="n"/>
      <c r="M39" s="11" t="n"/>
      <c r="N39" s="10">
        <f>IF(COUNTA(J39:M39)=0,"",MIN(10,SUMPRODUCT((COUNTIF(J39:M39,L_KOM)&gt;0)*S_KOM)))</f>
        <v/>
      </c>
      <c r="O39" s="11" t="n"/>
      <c r="P39" s="10">
        <f>IF(O39="","",IFERROR(VLOOKUP(O39,T_KHID,2,FALSE),0))</f>
        <v/>
      </c>
      <c r="Q39" s="11" t="n"/>
      <c r="R39" s="11" t="n"/>
      <c r="S39" s="10">
        <f>IF(AND(Q39="",R39=""),"",IFERROR(INDEX(T_LIBAT,MATCH(Q39,L_PER,0),MATCH(R39,L_JENIS,0)),0))</f>
        <v/>
      </c>
      <c r="T39" s="11" t="n"/>
      <c r="U39" s="11" t="n"/>
      <c r="V39" s="10">
        <f>IF(AND(T39="",U39=""),"",IFERROR(INDEX(T_CAPAI,MATCH(T39,L_PER,0),MATCH(U39,L_KED,0)),0))</f>
        <v/>
      </c>
      <c r="W39" s="17">
        <f>IF(OR(B39="",E39="",COUNTA(F39,H39,J39:M39,O39,Q39:R39,T39:U39)=0),"",SUM(G39,I39,N39,P39,S39,V39))</f>
        <v/>
      </c>
      <c r="X39" s="18">
        <f>IF(W39="","",IF(Murid!F39="TL","TL",ROUND(W39/110*100,2)))</f>
        <v/>
      </c>
    </row>
    <row r="40">
      <c r="A40" s="15">
        <f>Murid!A40</f>
        <v/>
      </c>
      <c r="B40" s="15">
        <f>IF(Murid!B40="","",Murid!B40)</f>
        <v/>
      </c>
      <c r="C40" s="16">
        <f>IF(Murid!C40="","",Murid!C40)</f>
        <v/>
      </c>
      <c r="D40" s="15">
        <f>IF(Murid!E40="","",Murid!E40)</f>
        <v/>
      </c>
      <c r="E40" s="11" t="n"/>
      <c r="F40" s="11" t="n"/>
      <c r="G40" s="10">
        <f>IF(F40="","",IFERROR(VLOOKUP(F40,T_JKP,2,FALSE),0))</f>
        <v/>
      </c>
      <c r="H40" s="11" t="n"/>
      <c r="I40" s="17">
        <f>IF(H40="","",IF(H40&gt;=12,40,ROUND(H40*3.33,2)))</f>
        <v/>
      </c>
      <c r="J40" s="11" t="n"/>
      <c r="K40" s="11" t="n"/>
      <c r="L40" s="11" t="n"/>
      <c r="M40" s="11" t="n"/>
      <c r="N40" s="10">
        <f>IF(COUNTA(J40:M40)=0,"",MIN(10,SUMPRODUCT((COUNTIF(J40:M40,L_KOM)&gt;0)*S_KOM)))</f>
        <v/>
      </c>
      <c r="O40" s="11" t="n"/>
      <c r="P40" s="10">
        <f>IF(O40="","",IFERROR(VLOOKUP(O40,T_KHID,2,FALSE),0))</f>
        <v/>
      </c>
      <c r="Q40" s="11" t="n"/>
      <c r="R40" s="11" t="n"/>
      <c r="S40" s="10">
        <f>IF(AND(Q40="",R40=""),"",IFERROR(INDEX(T_LIBAT,MATCH(Q40,L_PER,0),MATCH(R40,L_JENIS,0)),0))</f>
        <v/>
      </c>
      <c r="T40" s="11" t="n"/>
      <c r="U40" s="11" t="n"/>
      <c r="V40" s="10">
        <f>IF(AND(T40="",U40=""),"",IFERROR(INDEX(T_CAPAI,MATCH(T40,L_PER,0),MATCH(U40,L_KED,0)),0))</f>
        <v/>
      </c>
      <c r="W40" s="17">
        <f>IF(OR(B40="",E40="",COUNTA(F40,H40,J40:M40,O40,Q40:R40,T40:U40)=0),"",SUM(G40,I40,N40,P40,S40,V40))</f>
        <v/>
      </c>
      <c r="X40" s="18">
        <f>IF(W40="","",IF(Murid!F40="TL","TL",ROUND(W40/110*100,2)))</f>
        <v/>
      </c>
    </row>
    <row r="41">
      <c r="A41" s="15">
        <f>Murid!A41</f>
        <v/>
      </c>
      <c r="B41" s="15">
        <f>IF(Murid!B41="","",Murid!B41)</f>
        <v/>
      </c>
      <c r="C41" s="16">
        <f>IF(Murid!C41="","",Murid!C41)</f>
        <v/>
      </c>
      <c r="D41" s="15">
        <f>IF(Murid!E41="","",Murid!E41)</f>
        <v/>
      </c>
      <c r="E41" s="11" t="n"/>
      <c r="F41" s="11" t="n"/>
      <c r="G41" s="10">
        <f>IF(F41="","",IFERROR(VLOOKUP(F41,T_JKP,2,FALSE),0))</f>
        <v/>
      </c>
      <c r="H41" s="11" t="n"/>
      <c r="I41" s="17">
        <f>IF(H41="","",IF(H41&gt;=12,40,ROUND(H41*3.33,2)))</f>
        <v/>
      </c>
      <c r="J41" s="11" t="n"/>
      <c r="K41" s="11" t="n"/>
      <c r="L41" s="11" t="n"/>
      <c r="M41" s="11" t="n"/>
      <c r="N41" s="10">
        <f>IF(COUNTA(J41:M41)=0,"",MIN(10,SUMPRODUCT((COUNTIF(J41:M41,L_KOM)&gt;0)*S_KOM)))</f>
        <v/>
      </c>
      <c r="O41" s="11" t="n"/>
      <c r="P41" s="10">
        <f>IF(O41="","",IFERROR(VLOOKUP(O41,T_KHID,2,FALSE),0))</f>
        <v/>
      </c>
      <c r="Q41" s="11" t="n"/>
      <c r="R41" s="11" t="n"/>
      <c r="S41" s="10">
        <f>IF(AND(Q41="",R41=""),"",IFERROR(INDEX(T_LIBAT,MATCH(Q41,L_PER,0),MATCH(R41,L_JENIS,0)),0))</f>
        <v/>
      </c>
      <c r="T41" s="11" t="n"/>
      <c r="U41" s="11" t="n"/>
      <c r="V41" s="10">
        <f>IF(AND(T41="",U41=""),"",IFERROR(INDEX(T_CAPAI,MATCH(T41,L_PER,0),MATCH(U41,L_KED,0)),0))</f>
        <v/>
      </c>
      <c r="W41" s="17">
        <f>IF(OR(B41="",E41="",COUNTA(F41,H41,J41:M41,O41,Q41:R41,T41:U41)=0),"",SUM(G41,I41,N41,P41,S41,V41))</f>
        <v/>
      </c>
      <c r="X41" s="18">
        <f>IF(W41="","",IF(Murid!F41="TL","TL",ROUND(W41/110*100,2)))</f>
        <v/>
      </c>
    </row>
    <row r="42">
      <c r="A42" s="15">
        <f>Murid!A42</f>
        <v/>
      </c>
      <c r="B42" s="15">
        <f>IF(Murid!B42="","",Murid!B42)</f>
        <v/>
      </c>
      <c r="C42" s="16">
        <f>IF(Murid!C42="","",Murid!C42)</f>
        <v/>
      </c>
      <c r="D42" s="15">
        <f>IF(Murid!E42="","",Murid!E42)</f>
        <v/>
      </c>
      <c r="E42" s="11" t="n"/>
      <c r="F42" s="11" t="n"/>
      <c r="G42" s="10">
        <f>IF(F42="","",IFERROR(VLOOKUP(F42,T_JKP,2,FALSE),0))</f>
        <v/>
      </c>
      <c r="H42" s="11" t="n"/>
      <c r="I42" s="17">
        <f>IF(H42="","",IF(H42&gt;=12,40,ROUND(H42*3.33,2)))</f>
        <v/>
      </c>
      <c r="J42" s="11" t="n"/>
      <c r="K42" s="11" t="n"/>
      <c r="L42" s="11" t="n"/>
      <c r="M42" s="11" t="n"/>
      <c r="N42" s="10">
        <f>IF(COUNTA(J42:M42)=0,"",MIN(10,SUMPRODUCT((COUNTIF(J42:M42,L_KOM)&gt;0)*S_KOM)))</f>
        <v/>
      </c>
      <c r="O42" s="11" t="n"/>
      <c r="P42" s="10">
        <f>IF(O42="","",IFERROR(VLOOKUP(O42,T_KHID,2,FALSE),0))</f>
        <v/>
      </c>
      <c r="Q42" s="11" t="n"/>
      <c r="R42" s="11" t="n"/>
      <c r="S42" s="10">
        <f>IF(AND(Q42="",R42=""),"",IFERROR(INDEX(T_LIBAT,MATCH(Q42,L_PER,0),MATCH(R42,L_JENIS,0)),0))</f>
        <v/>
      </c>
      <c r="T42" s="11" t="n"/>
      <c r="U42" s="11" t="n"/>
      <c r="V42" s="10">
        <f>IF(AND(T42="",U42=""),"",IFERROR(INDEX(T_CAPAI,MATCH(T42,L_PER,0),MATCH(U42,L_KED,0)),0))</f>
        <v/>
      </c>
      <c r="W42" s="17">
        <f>IF(OR(B42="",E42="",COUNTA(F42,H42,J42:M42,O42,Q42:R42,T42:U42)=0),"",SUM(G42,I42,N42,P42,S42,V42))</f>
        <v/>
      </c>
      <c r="X42" s="18">
        <f>IF(W42="","",IF(Murid!F42="TL","TL",ROUND(W42/110*100,2)))</f>
        <v/>
      </c>
    </row>
    <row r="43">
      <c r="A43" s="15">
        <f>Murid!A43</f>
        <v/>
      </c>
      <c r="B43" s="15">
        <f>IF(Murid!B43="","",Murid!B43)</f>
        <v/>
      </c>
      <c r="C43" s="16">
        <f>IF(Murid!C43="","",Murid!C43)</f>
        <v/>
      </c>
      <c r="D43" s="15">
        <f>IF(Murid!E43="","",Murid!E43)</f>
        <v/>
      </c>
      <c r="E43" s="11" t="n"/>
      <c r="F43" s="11" t="n"/>
      <c r="G43" s="10">
        <f>IF(F43="","",IFERROR(VLOOKUP(F43,T_JKP,2,FALSE),0))</f>
        <v/>
      </c>
      <c r="H43" s="11" t="n"/>
      <c r="I43" s="17">
        <f>IF(H43="","",IF(H43&gt;=12,40,ROUND(H43*3.33,2)))</f>
        <v/>
      </c>
      <c r="J43" s="11" t="n"/>
      <c r="K43" s="11" t="n"/>
      <c r="L43" s="11" t="n"/>
      <c r="M43" s="11" t="n"/>
      <c r="N43" s="10">
        <f>IF(COUNTA(J43:M43)=0,"",MIN(10,SUMPRODUCT((COUNTIF(J43:M43,L_KOM)&gt;0)*S_KOM)))</f>
        <v/>
      </c>
      <c r="O43" s="11" t="n"/>
      <c r="P43" s="10">
        <f>IF(O43="","",IFERROR(VLOOKUP(O43,T_KHID,2,FALSE),0))</f>
        <v/>
      </c>
      <c r="Q43" s="11" t="n"/>
      <c r="R43" s="11" t="n"/>
      <c r="S43" s="10">
        <f>IF(AND(Q43="",R43=""),"",IFERROR(INDEX(T_LIBAT,MATCH(Q43,L_PER,0),MATCH(R43,L_JENIS,0)),0))</f>
        <v/>
      </c>
      <c r="T43" s="11" t="n"/>
      <c r="U43" s="11" t="n"/>
      <c r="V43" s="10">
        <f>IF(AND(T43="",U43=""),"",IFERROR(INDEX(T_CAPAI,MATCH(T43,L_PER,0),MATCH(U43,L_KED,0)),0))</f>
        <v/>
      </c>
      <c r="W43" s="17">
        <f>IF(OR(B43="",E43="",COUNTA(F43,H43,J43:M43,O43,Q43:R43,T43:U43)=0),"",SUM(G43,I43,N43,P43,S43,V43))</f>
        <v/>
      </c>
      <c r="X43" s="18">
        <f>IF(W43="","",IF(Murid!F43="TL","TL",ROUND(W43/110*100,2)))</f>
        <v/>
      </c>
    </row>
    <row r="44">
      <c r="A44" s="15">
        <f>Murid!A44</f>
        <v/>
      </c>
      <c r="B44" s="15">
        <f>IF(Murid!B44="","",Murid!B44)</f>
        <v/>
      </c>
      <c r="C44" s="16">
        <f>IF(Murid!C44="","",Murid!C44)</f>
        <v/>
      </c>
      <c r="D44" s="15">
        <f>IF(Murid!E44="","",Murid!E44)</f>
        <v/>
      </c>
      <c r="E44" s="11" t="n"/>
      <c r="F44" s="11" t="n"/>
      <c r="G44" s="10">
        <f>IF(F44="","",IFERROR(VLOOKUP(F44,T_JKP,2,FALSE),0))</f>
        <v/>
      </c>
      <c r="H44" s="11" t="n"/>
      <c r="I44" s="17">
        <f>IF(H44="","",IF(H44&gt;=12,40,ROUND(H44*3.33,2)))</f>
        <v/>
      </c>
      <c r="J44" s="11" t="n"/>
      <c r="K44" s="11" t="n"/>
      <c r="L44" s="11" t="n"/>
      <c r="M44" s="11" t="n"/>
      <c r="N44" s="10">
        <f>IF(COUNTA(J44:M44)=0,"",MIN(10,SUMPRODUCT((COUNTIF(J44:M44,L_KOM)&gt;0)*S_KOM)))</f>
        <v/>
      </c>
      <c r="O44" s="11" t="n"/>
      <c r="P44" s="10">
        <f>IF(O44="","",IFERROR(VLOOKUP(O44,T_KHID,2,FALSE),0))</f>
        <v/>
      </c>
      <c r="Q44" s="11" t="n"/>
      <c r="R44" s="11" t="n"/>
      <c r="S44" s="10">
        <f>IF(AND(Q44="",R44=""),"",IFERROR(INDEX(T_LIBAT,MATCH(Q44,L_PER,0),MATCH(R44,L_JENIS,0)),0))</f>
        <v/>
      </c>
      <c r="T44" s="11" t="n"/>
      <c r="U44" s="11" t="n"/>
      <c r="V44" s="10">
        <f>IF(AND(T44="",U44=""),"",IFERROR(INDEX(T_CAPAI,MATCH(T44,L_PER,0),MATCH(U44,L_KED,0)),0))</f>
        <v/>
      </c>
      <c r="W44" s="17">
        <f>IF(OR(B44="",E44="",COUNTA(F44,H44,J44:M44,O44,Q44:R44,T44:U44)=0),"",SUM(G44,I44,N44,P44,S44,V44))</f>
        <v/>
      </c>
      <c r="X44" s="18">
        <f>IF(W44="","",IF(Murid!F44="TL","TL",ROUND(W44/110*100,2)))</f>
        <v/>
      </c>
    </row>
    <row r="45">
      <c r="A45" s="15">
        <f>Murid!A45</f>
        <v/>
      </c>
      <c r="B45" s="15">
        <f>IF(Murid!B45="","",Murid!B45)</f>
        <v/>
      </c>
      <c r="C45" s="16">
        <f>IF(Murid!C45="","",Murid!C45)</f>
        <v/>
      </c>
      <c r="D45" s="15">
        <f>IF(Murid!E45="","",Murid!E45)</f>
        <v/>
      </c>
      <c r="E45" s="11" t="n"/>
      <c r="F45" s="11" t="n"/>
      <c r="G45" s="10">
        <f>IF(F45="","",IFERROR(VLOOKUP(F45,T_JKP,2,FALSE),0))</f>
        <v/>
      </c>
      <c r="H45" s="11" t="n"/>
      <c r="I45" s="17">
        <f>IF(H45="","",IF(H45&gt;=12,40,ROUND(H45*3.33,2)))</f>
        <v/>
      </c>
      <c r="J45" s="11" t="n"/>
      <c r="K45" s="11" t="n"/>
      <c r="L45" s="11" t="n"/>
      <c r="M45" s="11" t="n"/>
      <c r="N45" s="10">
        <f>IF(COUNTA(J45:M45)=0,"",MIN(10,SUMPRODUCT((COUNTIF(J45:M45,L_KOM)&gt;0)*S_KOM)))</f>
        <v/>
      </c>
      <c r="O45" s="11" t="n"/>
      <c r="P45" s="10">
        <f>IF(O45="","",IFERROR(VLOOKUP(O45,T_KHID,2,FALSE),0))</f>
        <v/>
      </c>
      <c r="Q45" s="11" t="n"/>
      <c r="R45" s="11" t="n"/>
      <c r="S45" s="10">
        <f>IF(AND(Q45="",R45=""),"",IFERROR(INDEX(T_LIBAT,MATCH(Q45,L_PER,0),MATCH(R45,L_JENIS,0)),0))</f>
        <v/>
      </c>
      <c r="T45" s="11" t="n"/>
      <c r="U45" s="11" t="n"/>
      <c r="V45" s="10">
        <f>IF(AND(T45="",U45=""),"",IFERROR(INDEX(T_CAPAI,MATCH(T45,L_PER,0),MATCH(U45,L_KED,0)),0))</f>
        <v/>
      </c>
      <c r="W45" s="17">
        <f>IF(OR(B45="",E45="",COUNTA(F45,H45,J45:M45,O45,Q45:R45,T45:U45)=0),"",SUM(G45,I45,N45,P45,S45,V45))</f>
        <v/>
      </c>
      <c r="X45" s="18">
        <f>IF(W45="","",IF(Murid!F45="TL","TL",ROUND(W45/110*100,2)))</f>
        <v/>
      </c>
    </row>
    <row r="46">
      <c r="A46" s="15">
        <f>Murid!A46</f>
        <v/>
      </c>
      <c r="B46" s="15">
        <f>IF(Murid!B46="","",Murid!B46)</f>
        <v/>
      </c>
      <c r="C46" s="16">
        <f>IF(Murid!C46="","",Murid!C46)</f>
        <v/>
      </c>
      <c r="D46" s="15">
        <f>IF(Murid!E46="","",Murid!E46)</f>
        <v/>
      </c>
      <c r="E46" s="11" t="n"/>
      <c r="F46" s="11" t="n"/>
      <c r="G46" s="10">
        <f>IF(F46="","",IFERROR(VLOOKUP(F46,T_JKP,2,FALSE),0))</f>
        <v/>
      </c>
      <c r="H46" s="11" t="n"/>
      <c r="I46" s="17">
        <f>IF(H46="","",IF(H46&gt;=12,40,ROUND(H46*3.33,2)))</f>
        <v/>
      </c>
      <c r="J46" s="11" t="n"/>
      <c r="K46" s="11" t="n"/>
      <c r="L46" s="11" t="n"/>
      <c r="M46" s="11" t="n"/>
      <c r="N46" s="10">
        <f>IF(COUNTA(J46:M46)=0,"",MIN(10,SUMPRODUCT((COUNTIF(J46:M46,L_KOM)&gt;0)*S_KOM)))</f>
        <v/>
      </c>
      <c r="O46" s="11" t="n"/>
      <c r="P46" s="10">
        <f>IF(O46="","",IFERROR(VLOOKUP(O46,T_KHID,2,FALSE),0))</f>
        <v/>
      </c>
      <c r="Q46" s="11" t="n"/>
      <c r="R46" s="11" t="n"/>
      <c r="S46" s="10">
        <f>IF(AND(Q46="",R46=""),"",IFERROR(INDEX(T_LIBAT,MATCH(Q46,L_PER,0),MATCH(R46,L_JENIS,0)),0))</f>
        <v/>
      </c>
      <c r="T46" s="11" t="n"/>
      <c r="U46" s="11" t="n"/>
      <c r="V46" s="10">
        <f>IF(AND(T46="",U46=""),"",IFERROR(INDEX(T_CAPAI,MATCH(T46,L_PER,0),MATCH(U46,L_KED,0)),0))</f>
        <v/>
      </c>
      <c r="W46" s="17">
        <f>IF(OR(B46="",E46="",COUNTA(F46,H46,J46:M46,O46,Q46:R46,T46:U46)=0),"",SUM(G46,I46,N46,P46,S46,V46))</f>
        <v/>
      </c>
      <c r="X46" s="18">
        <f>IF(W46="","",IF(Murid!F46="TL","TL",ROUND(W46/110*100,2)))</f>
        <v/>
      </c>
    </row>
    <row r="47">
      <c r="A47" s="15">
        <f>Murid!A47</f>
        <v/>
      </c>
      <c r="B47" s="15">
        <f>IF(Murid!B47="","",Murid!B47)</f>
        <v/>
      </c>
      <c r="C47" s="16">
        <f>IF(Murid!C47="","",Murid!C47)</f>
        <v/>
      </c>
      <c r="D47" s="15">
        <f>IF(Murid!E47="","",Murid!E47)</f>
        <v/>
      </c>
      <c r="E47" s="11" t="n"/>
      <c r="F47" s="11" t="n"/>
      <c r="G47" s="10">
        <f>IF(F47="","",IFERROR(VLOOKUP(F47,T_JKP,2,FALSE),0))</f>
        <v/>
      </c>
      <c r="H47" s="11" t="n"/>
      <c r="I47" s="17">
        <f>IF(H47="","",IF(H47&gt;=12,40,ROUND(H47*3.33,2)))</f>
        <v/>
      </c>
      <c r="J47" s="11" t="n"/>
      <c r="K47" s="11" t="n"/>
      <c r="L47" s="11" t="n"/>
      <c r="M47" s="11" t="n"/>
      <c r="N47" s="10">
        <f>IF(COUNTA(J47:M47)=0,"",MIN(10,SUMPRODUCT((COUNTIF(J47:M47,L_KOM)&gt;0)*S_KOM)))</f>
        <v/>
      </c>
      <c r="O47" s="11" t="n"/>
      <c r="P47" s="10">
        <f>IF(O47="","",IFERROR(VLOOKUP(O47,T_KHID,2,FALSE),0))</f>
        <v/>
      </c>
      <c r="Q47" s="11" t="n"/>
      <c r="R47" s="11" t="n"/>
      <c r="S47" s="10">
        <f>IF(AND(Q47="",R47=""),"",IFERROR(INDEX(T_LIBAT,MATCH(Q47,L_PER,0),MATCH(R47,L_JENIS,0)),0))</f>
        <v/>
      </c>
      <c r="T47" s="11" t="n"/>
      <c r="U47" s="11" t="n"/>
      <c r="V47" s="10">
        <f>IF(AND(T47="",U47=""),"",IFERROR(INDEX(T_CAPAI,MATCH(T47,L_PER,0),MATCH(U47,L_KED,0)),0))</f>
        <v/>
      </c>
      <c r="W47" s="17">
        <f>IF(OR(B47="",E47="",COUNTA(F47,H47,J47:M47,O47,Q47:R47,T47:U47)=0),"",SUM(G47,I47,N47,P47,S47,V47))</f>
        <v/>
      </c>
      <c r="X47" s="18">
        <f>IF(W47="","",IF(Murid!F47="TL","TL",ROUND(W47/110*100,2)))</f>
        <v/>
      </c>
    </row>
    <row r="48">
      <c r="A48" s="15">
        <f>Murid!A48</f>
        <v/>
      </c>
      <c r="B48" s="15">
        <f>IF(Murid!B48="","",Murid!B48)</f>
        <v/>
      </c>
      <c r="C48" s="16">
        <f>IF(Murid!C48="","",Murid!C48)</f>
        <v/>
      </c>
      <c r="D48" s="15">
        <f>IF(Murid!E48="","",Murid!E48)</f>
        <v/>
      </c>
      <c r="E48" s="11" t="n"/>
      <c r="F48" s="11" t="n"/>
      <c r="G48" s="10">
        <f>IF(F48="","",IFERROR(VLOOKUP(F48,T_JKP,2,FALSE),0))</f>
        <v/>
      </c>
      <c r="H48" s="11" t="n"/>
      <c r="I48" s="17">
        <f>IF(H48="","",IF(H48&gt;=12,40,ROUND(H48*3.33,2)))</f>
        <v/>
      </c>
      <c r="J48" s="11" t="n"/>
      <c r="K48" s="11" t="n"/>
      <c r="L48" s="11" t="n"/>
      <c r="M48" s="11" t="n"/>
      <c r="N48" s="10">
        <f>IF(COUNTA(J48:M48)=0,"",MIN(10,SUMPRODUCT((COUNTIF(J48:M48,L_KOM)&gt;0)*S_KOM)))</f>
        <v/>
      </c>
      <c r="O48" s="11" t="n"/>
      <c r="P48" s="10">
        <f>IF(O48="","",IFERROR(VLOOKUP(O48,T_KHID,2,FALSE),0))</f>
        <v/>
      </c>
      <c r="Q48" s="11" t="n"/>
      <c r="R48" s="11" t="n"/>
      <c r="S48" s="10">
        <f>IF(AND(Q48="",R48=""),"",IFERROR(INDEX(T_LIBAT,MATCH(Q48,L_PER,0),MATCH(R48,L_JENIS,0)),0))</f>
        <v/>
      </c>
      <c r="T48" s="11" t="n"/>
      <c r="U48" s="11" t="n"/>
      <c r="V48" s="10">
        <f>IF(AND(T48="",U48=""),"",IFERROR(INDEX(T_CAPAI,MATCH(T48,L_PER,0),MATCH(U48,L_KED,0)),0))</f>
        <v/>
      </c>
      <c r="W48" s="17">
        <f>IF(OR(B48="",E48="",COUNTA(F48,H48,J48:M48,O48,Q48:R48,T48:U48)=0),"",SUM(G48,I48,N48,P48,S48,V48))</f>
        <v/>
      </c>
      <c r="X48" s="18">
        <f>IF(W48="","",IF(Murid!F48="TL","TL",ROUND(W48/110*100,2)))</f>
        <v/>
      </c>
    </row>
    <row r="49">
      <c r="A49" s="15">
        <f>Murid!A49</f>
        <v/>
      </c>
      <c r="B49" s="15">
        <f>IF(Murid!B49="","",Murid!B49)</f>
        <v/>
      </c>
      <c r="C49" s="16">
        <f>IF(Murid!C49="","",Murid!C49)</f>
        <v/>
      </c>
      <c r="D49" s="15">
        <f>IF(Murid!E49="","",Murid!E49)</f>
        <v/>
      </c>
      <c r="E49" s="11" t="n"/>
      <c r="F49" s="11" t="n"/>
      <c r="G49" s="10">
        <f>IF(F49="","",IFERROR(VLOOKUP(F49,T_JKP,2,FALSE),0))</f>
        <v/>
      </c>
      <c r="H49" s="11" t="n"/>
      <c r="I49" s="17">
        <f>IF(H49="","",IF(H49&gt;=12,40,ROUND(H49*3.33,2)))</f>
        <v/>
      </c>
      <c r="J49" s="11" t="n"/>
      <c r="K49" s="11" t="n"/>
      <c r="L49" s="11" t="n"/>
      <c r="M49" s="11" t="n"/>
      <c r="N49" s="10">
        <f>IF(COUNTA(J49:M49)=0,"",MIN(10,SUMPRODUCT((COUNTIF(J49:M49,L_KOM)&gt;0)*S_KOM)))</f>
        <v/>
      </c>
      <c r="O49" s="11" t="n"/>
      <c r="P49" s="10">
        <f>IF(O49="","",IFERROR(VLOOKUP(O49,T_KHID,2,FALSE),0))</f>
        <v/>
      </c>
      <c r="Q49" s="11" t="n"/>
      <c r="R49" s="11" t="n"/>
      <c r="S49" s="10">
        <f>IF(AND(Q49="",R49=""),"",IFERROR(INDEX(T_LIBAT,MATCH(Q49,L_PER,0),MATCH(R49,L_JENIS,0)),0))</f>
        <v/>
      </c>
      <c r="T49" s="11" t="n"/>
      <c r="U49" s="11" t="n"/>
      <c r="V49" s="10">
        <f>IF(AND(T49="",U49=""),"",IFERROR(INDEX(T_CAPAI,MATCH(T49,L_PER,0),MATCH(U49,L_KED,0)),0))</f>
        <v/>
      </c>
      <c r="W49" s="17">
        <f>IF(OR(B49="",E49="",COUNTA(F49,H49,J49:M49,O49,Q49:R49,T49:U49)=0),"",SUM(G49,I49,N49,P49,S49,V49))</f>
        <v/>
      </c>
      <c r="X49" s="18">
        <f>IF(W49="","",IF(Murid!F49="TL","TL",ROUND(W49/110*100,2)))</f>
        <v/>
      </c>
    </row>
    <row r="50">
      <c r="A50" s="15">
        <f>Murid!A50</f>
        <v/>
      </c>
      <c r="B50" s="15">
        <f>IF(Murid!B50="","",Murid!B50)</f>
        <v/>
      </c>
      <c r="C50" s="16">
        <f>IF(Murid!C50="","",Murid!C50)</f>
        <v/>
      </c>
      <c r="D50" s="15">
        <f>IF(Murid!E50="","",Murid!E50)</f>
        <v/>
      </c>
      <c r="E50" s="11" t="n"/>
      <c r="F50" s="11" t="n"/>
      <c r="G50" s="10">
        <f>IF(F50="","",IFERROR(VLOOKUP(F50,T_JKP,2,FALSE),0))</f>
        <v/>
      </c>
      <c r="H50" s="11" t="n"/>
      <c r="I50" s="17">
        <f>IF(H50="","",IF(H50&gt;=12,40,ROUND(H50*3.33,2)))</f>
        <v/>
      </c>
      <c r="J50" s="11" t="n"/>
      <c r="K50" s="11" t="n"/>
      <c r="L50" s="11" t="n"/>
      <c r="M50" s="11" t="n"/>
      <c r="N50" s="10">
        <f>IF(COUNTA(J50:M50)=0,"",MIN(10,SUMPRODUCT((COUNTIF(J50:M50,L_KOM)&gt;0)*S_KOM)))</f>
        <v/>
      </c>
      <c r="O50" s="11" t="n"/>
      <c r="P50" s="10">
        <f>IF(O50="","",IFERROR(VLOOKUP(O50,T_KHID,2,FALSE),0))</f>
        <v/>
      </c>
      <c r="Q50" s="11" t="n"/>
      <c r="R50" s="11" t="n"/>
      <c r="S50" s="10">
        <f>IF(AND(Q50="",R50=""),"",IFERROR(INDEX(T_LIBAT,MATCH(Q50,L_PER,0),MATCH(R50,L_JENIS,0)),0))</f>
        <v/>
      </c>
      <c r="T50" s="11" t="n"/>
      <c r="U50" s="11" t="n"/>
      <c r="V50" s="10">
        <f>IF(AND(T50="",U50=""),"",IFERROR(INDEX(T_CAPAI,MATCH(T50,L_PER,0),MATCH(U50,L_KED,0)),0))</f>
        <v/>
      </c>
      <c r="W50" s="17">
        <f>IF(OR(B50="",E50="",COUNTA(F50,H50,J50:M50,O50,Q50:R50,T50:U50)=0),"",SUM(G50,I50,N50,P50,S50,V50))</f>
        <v/>
      </c>
      <c r="X50" s="18">
        <f>IF(W50="","",IF(Murid!F50="TL","TL",ROUND(W50/110*100,2)))</f>
        <v/>
      </c>
    </row>
    <row r="51">
      <c r="A51" s="15">
        <f>Murid!A51</f>
        <v/>
      </c>
      <c r="B51" s="15">
        <f>IF(Murid!B51="","",Murid!B51)</f>
        <v/>
      </c>
      <c r="C51" s="16">
        <f>IF(Murid!C51="","",Murid!C51)</f>
        <v/>
      </c>
      <c r="D51" s="15">
        <f>IF(Murid!E51="","",Murid!E51)</f>
        <v/>
      </c>
      <c r="E51" s="11" t="n"/>
      <c r="F51" s="11" t="n"/>
      <c r="G51" s="10">
        <f>IF(F51="","",IFERROR(VLOOKUP(F51,T_JKP,2,FALSE),0))</f>
        <v/>
      </c>
      <c r="H51" s="11" t="n"/>
      <c r="I51" s="17">
        <f>IF(H51="","",IF(H51&gt;=12,40,ROUND(H51*3.33,2)))</f>
        <v/>
      </c>
      <c r="J51" s="11" t="n"/>
      <c r="K51" s="11" t="n"/>
      <c r="L51" s="11" t="n"/>
      <c r="M51" s="11" t="n"/>
      <c r="N51" s="10">
        <f>IF(COUNTA(J51:M51)=0,"",MIN(10,SUMPRODUCT((COUNTIF(J51:M51,L_KOM)&gt;0)*S_KOM)))</f>
        <v/>
      </c>
      <c r="O51" s="11" t="n"/>
      <c r="P51" s="10">
        <f>IF(O51="","",IFERROR(VLOOKUP(O51,T_KHID,2,FALSE),0))</f>
        <v/>
      </c>
      <c r="Q51" s="11" t="n"/>
      <c r="R51" s="11" t="n"/>
      <c r="S51" s="10">
        <f>IF(AND(Q51="",R51=""),"",IFERROR(INDEX(T_LIBAT,MATCH(Q51,L_PER,0),MATCH(R51,L_JENIS,0)),0))</f>
        <v/>
      </c>
      <c r="T51" s="11" t="n"/>
      <c r="U51" s="11" t="n"/>
      <c r="V51" s="10">
        <f>IF(AND(T51="",U51=""),"",IFERROR(INDEX(T_CAPAI,MATCH(T51,L_PER,0),MATCH(U51,L_KED,0)),0))</f>
        <v/>
      </c>
      <c r="W51" s="17">
        <f>IF(OR(B51="",E51="",COUNTA(F51,H51,J51:M51,O51,Q51:R51,T51:U51)=0),"",SUM(G51,I51,N51,P51,S51,V51))</f>
        <v/>
      </c>
      <c r="X51" s="18">
        <f>IF(W51="","",IF(Murid!F51="TL","TL",ROUND(W51/110*100,2)))</f>
        <v/>
      </c>
    </row>
    <row r="52">
      <c r="A52" s="15">
        <f>Murid!A52</f>
        <v/>
      </c>
      <c r="B52" s="15">
        <f>IF(Murid!B52="","",Murid!B52)</f>
        <v/>
      </c>
      <c r="C52" s="16">
        <f>IF(Murid!C52="","",Murid!C52)</f>
        <v/>
      </c>
      <c r="D52" s="15">
        <f>IF(Murid!E52="","",Murid!E52)</f>
        <v/>
      </c>
      <c r="E52" s="11" t="n"/>
      <c r="F52" s="11" t="n"/>
      <c r="G52" s="10">
        <f>IF(F52="","",IFERROR(VLOOKUP(F52,T_JKP,2,FALSE),0))</f>
        <v/>
      </c>
      <c r="H52" s="11" t="n"/>
      <c r="I52" s="17">
        <f>IF(H52="","",IF(H52&gt;=12,40,ROUND(H52*3.33,2)))</f>
        <v/>
      </c>
      <c r="J52" s="11" t="n"/>
      <c r="K52" s="11" t="n"/>
      <c r="L52" s="11" t="n"/>
      <c r="M52" s="11" t="n"/>
      <c r="N52" s="10">
        <f>IF(COUNTA(J52:M52)=0,"",MIN(10,SUMPRODUCT((COUNTIF(J52:M52,L_KOM)&gt;0)*S_KOM)))</f>
        <v/>
      </c>
      <c r="O52" s="11" t="n"/>
      <c r="P52" s="10">
        <f>IF(O52="","",IFERROR(VLOOKUP(O52,T_KHID,2,FALSE),0))</f>
        <v/>
      </c>
      <c r="Q52" s="11" t="n"/>
      <c r="R52" s="11" t="n"/>
      <c r="S52" s="10">
        <f>IF(AND(Q52="",R52=""),"",IFERROR(INDEX(T_LIBAT,MATCH(Q52,L_PER,0),MATCH(R52,L_JENIS,0)),0))</f>
        <v/>
      </c>
      <c r="T52" s="11" t="n"/>
      <c r="U52" s="11" t="n"/>
      <c r="V52" s="10">
        <f>IF(AND(T52="",U52=""),"",IFERROR(INDEX(T_CAPAI,MATCH(T52,L_PER,0),MATCH(U52,L_KED,0)),0))</f>
        <v/>
      </c>
      <c r="W52" s="17">
        <f>IF(OR(B52="",E52="",COUNTA(F52,H52,J52:M52,O52,Q52:R52,T52:U52)=0),"",SUM(G52,I52,N52,P52,S52,V52))</f>
        <v/>
      </c>
      <c r="X52" s="18">
        <f>IF(W52="","",IF(Murid!F52="TL","TL",ROUND(W52/110*100,2)))</f>
        <v/>
      </c>
    </row>
    <row r="53">
      <c r="A53" s="15">
        <f>Murid!A53</f>
        <v/>
      </c>
      <c r="B53" s="15">
        <f>IF(Murid!B53="","",Murid!B53)</f>
        <v/>
      </c>
      <c r="C53" s="16">
        <f>IF(Murid!C53="","",Murid!C53)</f>
        <v/>
      </c>
      <c r="D53" s="15">
        <f>IF(Murid!E53="","",Murid!E53)</f>
        <v/>
      </c>
      <c r="E53" s="11" t="n"/>
      <c r="F53" s="11" t="n"/>
      <c r="G53" s="10">
        <f>IF(F53="","",IFERROR(VLOOKUP(F53,T_JKP,2,FALSE),0))</f>
        <v/>
      </c>
      <c r="H53" s="11" t="n"/>
      <c r="I53" s="17">
        <f>IF(H53="","",IF(H53&gt;=12,40,ROUND(H53*3.33,2)))</f>
        <v/>
      </c>
      <c r="J53" s="11" t="n"/>
      <c r="K53" s="11" t="n"/>
      <c r="L53" s="11" t="n"/>
      <c r="M53" s="11" t="n"/>
      <c r="N53" s="10">
        <f>IF(COUNTA(J53:M53)=0,"",MIN(10,SUMPRODUCT((COUNTIF(J53:M53,L_KOM)&gt;0)*S_KOM)))</f>
        <v/>
      </c>
      <c r="O53" s="11" t="n"/>
      <c r="P53" s="10">
        <f>IF(O53="","",IFERROR(VLOOKUP(O53,T_KHID,2,FALSE),0))</f>
        <v/>
      </c>
      <c r="Q53" s="11" t="n"/>
      <c r="R53" s="11" t="n"/>
      <c r="S53" s="10">
        <f>IF(AND(Q53="",R53=""),"",IFERROR(INDEX(T_LIBAT,MATCH(Q53,L_PER,0),MATCH(R53,L_JENIS,0)),0))</f>
        <v/>
      </c>
      <c r="T53" s="11" t="n"/>
      <c r="U53" s="11" t="n"/>
      <c r="V53" s="10">
        <f>IF(AND(T53="",U53=""),"",IFERROR(INDEX(T_CAPAI,MATCH(T53,L_PER,0),MATCH(U53,L_KED,0)),0))</f>
        <v/>
      </c>
      <c r="W53" s="17">
        <f>IF(OR(B53="",E53="",COUNTA(F53,H53,J53:M53,O53,Q53:R53,T53:U53)=0),"",SUM(G53,I53,N53,P53,S53,V53))</f>
        <v/>
      </c>
      <c r="X53" s="18">
        <f>IF(W53="","",IF(Murid!F53="TL","TL",ROUND(W53/110*100,2)))</f>
        <v/>
      </c>
    </row>
    <row r="54">
      <c r="A54" s="15">
        <f>Murid!A54</f>
        <v/>
      </c>
      <c r="B54" s="15">
        <f>IF(Murid!B54="","",Murid!B54)</f>
        <v/>
      </c>
      <c r="C54" s="16">
        <f>IF(Murid!C54="","",Murid!C54)</f>
        <v/>
      </c>
      <c r="D54" s="15">
        <f>IF(Murid!E54="","",Murid!E54)</f>
        <v/>
      </c>
      <c r="E54" s="11" t="n"/>
      <c r="F54" s="11" t="n"/>
      <c r="G54" s="10">
        <f>IF(F54="","",IFERROR(VLOOKUP(F54,T_JKP,2,FALSE),0))</f>
        <v/>
      </c>
      <c r="H54" s="11" t="n"/>
      <c r="I54" s="17">
        <f>IF(H54="","",IF(H54&gt;=12,40,ROUND(H54*3.33,2)))</f>
        <v/>
      </c>
      <c r="J54" s="11" t="n"/>
      <c r="K54" s="11" t="n"/>
      <c r="L54" s="11" t="n"/>
      <c r="M54" s="11" t="n"/>
      <c r="N54" s="10">
        <f>IF(COUNTA(J54:M54)=0,"",MIN(10,SUMPRODUCT((COUNTIF(J54:M54,L_KOM)&gt;0)*S_KOM)))</f>
        <v/>
      </c>
      <c r="O54" s="11" t="n"/>
      <c r="P54" s="10">
        <f>IF(O54="","",IFERROR(VLOOKUP(O54,T_KHID,2,FALSE),0))</f>
        <v/>
      </c>
      <c r="Q54" s="11" t="n"/>
      <c r="R54" s="11" t="n"/>
      <c r="S54" s="10">
        <f>IF(AND(Q54="",R54=""),"",IFERROR(INDEX(T_LIBAT,MATCH(Q54,L_PER,0),MATCH(R54,L_JENIS,0)),0))</f>
        <v/>
      </c>
      <c r="T54" s="11" t="n"/>
      <c r="U54" s="11" t="n"/>
      <c r="V54" s="10">
        <f>IF(AND(T54="",U54=""),"",IFERROR(INDEX(T_CAPAI,MATCH(T54,L_PER,0),MATCH(U54,L_KED,0)),0))</f>
        <v/>
      </c>
      <c r="W54" s="17">
        <f>IF(OR(B54="",E54="",COUNTA(F54,H54,J54:M54,O54,Q54:R54,T54:U54)=0),"",SUM(G54,I54,N54,P54,S54,V54))</f>
        <v/>
      </c>
      <c r="X54" s="18">
        <f>IF(W54="","",IF(Murid!F54="TL","TL",ROUND(W54/110*100,2)))</f>
        <v/>
      </c>
    </row>
    <row r="55">
      <c r="A55" s="15">
        <f>Murid!A55</f>
        <v/>
      </c>
      <c r="B55" s="15">
        <f>IF(Murid!B55="","",Murid!B55)</f>
        <v/>
      </c>
      <c r="C55" s="16">
        <f>IF(Murid!C55="","",Murid!C55)</f>
        <v/>
      </c>
      <c r="D55" s="15">
        <f>IF(Murid!E55="","",Murid!E55)</f>
        <v/>
      </c>
      <c r="E55" s="11" t="n"/>
      <c r="F55" s="11" t="n"/>
      <c r="G55" s="10">
        <f>IF(F55="","",IFERROR(VLOOKUP(F55,T_JKP,2,FALSE),0))</f>
        <v/>
      </c>
      <c r="H55" s="11" t="n"/>
      <c r="I55" s="17">
        <f>IF(H55="","",IF(H55&gt;=12,40,ROUND(H55*3.33,2)))</f>
        <v/>
      </c>
      <c r="J55" s="11" t="n"/>
      <c r="K55" s="11" t="n"/>
      <c r="L55" s="11" t="n"/>
      <c r="M55" s="11" t="n"/>
      <c r="N55" s="10">
        <f>IF(COUNTA(J55:M55)=0,"",MIN(10,SUMPRODUCT((COUNTIF(J55:M55,L_KOM)&gt;0)*S_KOM)))</f>
        <v/>
      </c>
      <c r="O55" s="11" t="n"/>
      <c r="P55" s="10">
        <f>IF(O55="","",IFERROR(VLOOKUP(O55,T_KHID,2,FALSE),0))</f>
        <v/>
      </c>
      <c r="Q55" s="11" t="n"/>
      <c r="R55" s="11" t="n"/>
      <c r="S55" s="10">
        <f>IF(AND(Q55="",R55=""),"",IFERROR(INDEX(T_LIBAT,MATCH(Q55,L_PER,0),MATCH(R55,L_JENIS,0)),0))</f>
        <v/>
      </c>
      <c r="T55" s="11" t="n"/>
      <c r="U55" s="11" t="n"/>
      <c r="V55" s="10">
        <f>IF(AND(T55="",U55=""),"",IFERROR(INDEX(T_CAPAI,MATCH(T55,L_PER,0),MATCH(U55,L_KED,0)),0))</f>
        <v/>
      </c>
      <c r="W55" s="17">
        <f>IF(OR(B55="",E55="",COUNTA(F55,H55,J55:M55,O55,Q55:R55,T55:U55)=0),"",SUM(G55,I55,N55,P55,S55,V55))</f>
        <v/>
      </c>
      <c r="X55" s="18">
        <f>IF(W55="","",IF(Murid!F55="TL","TL",ROUND(W55/110*100,2)))</f>
        <v/>
      </c>
    </row>
    <row r="56">
      <c r="A56" s="15">
        <f>Murid!A56</f>
        <v/>
      </c>
      <c r="B56" s="15">
        <f>IF(Murid!B56="","",Murid!B56)</f>
        <v/>
      </c>
      <c r="C56" s="16">
        <f>IF(Murid!C56="","",Murid!C56)</f>
        <v/>
      </c>
      <c r="D56" s="15">
        <f>IF(Murid!E56="","",Murid!E56)</f>
        <v/>
      </c>
      <c r="E56" s="11" t="n"/>
      <c r="F56" s="11" t="n"/>
      <c r="G56" s="10">
        <f>IF(F56="","",IFERROR(VLOOKUP(F56,T_JKP,2,FALSE),0))</f>
        <v/>
      </c>
      <c r="H56" s="11" t="n"/>
      <c r="I56" s="17">
        <f>IF(H56="","",IF(H56&gt;=12,40,ROUND(H56*3.33,2)))</f>
        <v/>
      </c>
      <c r="J56" s="11" t="n"/>
      <c r="K56" s="11" t="n"/>
      <c r="L56" s="11" t="n"/>
      <c r="M56" s="11" t="n"/>
      <c r="N56" s="10">
        <f>IF(COUNTA(J56:M56)=0,"",MIN(10,SUMPRODUCT((COUNTIF(J56:M56,L_KOM)&gt;0)*S_KOM)))</f>
        <v/>
      </c>
      <c r="O56" s="11" t="n"/>
      <c r="P56" s="10">
        <f>IF(O56="","",IFERROR(VLOOKUP(O56,T_KHID,2,FALSE),0))</f>
        <v/>
      </c>
      <c r="Q56" s="11" t="n"/>
      <c r="R56" s="11" t="n"/>
      <c r="S56" s="10">
        <f>IF(AND(Q56="",R56=""),"",IFERROR(INDEX(T_LIBAT,MATCH(Q56,L_PER,0),MATCH(R56,L_JENIS,0)),0))</f>
        <v/>
      </c>
      <c r="T56" s="11" t="n"/>
      <c r="U56" s="11" t="n"/>
      <c r="V56" s="10">
        <f>IF(AND(T56="",U56=""),"",IFERROR(INDEX(T_CAPAI,MATCH(T56,L_PER,0),MATCH(U56,L_KED,0)),0))</f>
        <v/>
      </c>
      <c r="W56" s="17">
        <f>IF(OR(B56="",E56="",COUNTA(F56,H56,J56:M56,O56,Q56:R56,T56:U56)=0),"",SUM(G56,I56,N56,P56,S56,V56))</f>
        <v/>
      </c>
      <c r="X56" s="18">
        <f>IF(W56="","",IF(Murid!F56="TL","TL",ROUND(W56/110*100,2)))</f>
        <v/>
      </c>
    </row>
    <row r="57">
      <c r="A57" s="15">
        <f>Murid!A57</f>
        <v/>
      </c>
      <c r="B57" s="15">
        <f>IF(Murid!B57="","",Murid!B57)</f>
        <v/>
      </c>
      <c r="C57" s="16">
        <f>IF(Murid!C57="","",Murid!C57)</f>
        <v/>
      </c>
      <c r="D57" s="15">
        <f>IF(Murid!E57="","",Murid!E57)</f>
        <v/>
      </c>
      <c r="E57" s="11" t="n"/>
      <c r="F57" s="11" t="n"/>
      <c r="G57" s="10">
        <f>IF(F57="","",IFERROR(VLOOKUP(F57,T_JKP,2,FALSE),0))</f>
        <v/>
      </c>
      <c r="H57" s="11" t="n"/>
      <c r="I57" s="17">
        <f>IF(H57="","",IF(H57&gt;=12,40,ROUND(H57*3.33,2)))</f>
        <v/>
      </c>
      <c r="J57" s="11" t="n"/>
      <c r="K57" s="11" t="n"/>
      <c r="L57" s="11" t="n"/>
      <c r="M57" s="11" t="n"/>
      <c r="N57" s="10">
        <f>IF(COUNTA(J57:M57)=0,"",MIN(10,SUMPRODUCT((COUNTIF(J57:M57,L_KOM)&gt;0)*S_KOM)))</f>
        <v/>
      </c>
      <c r="O57" s="11" t="n"/>
      <c r="P57" s="10">
        <f>IF(O57="","",IFERROR(VLOOKUP(O57,T_KHID,2,FALSE),0))</f>
        <v/>
      </c>
      <c r="Q57" s="11" t="n"/>
      <c r="R57" s="11" t="n"/>
      <c r="S57" s="10">
        <f>IF(AND(Q57="",R57=""),"",IFERROR(INDEX(T_LIBAT,MATCH(Q57,L_PER,0),MATCH(R57,L_JENIS,0)),0))</f>
        <v/>
      </c>
      <c r="T57" s="11" t="n"/>
      <c r="U57" s="11" t="n"/>
      <c r="V57" s="10">
        <f>IF(AND(T57="",U57=""),"",IFERROR(INDEX(T_CAPAI,MATCH(T57,L_PER,0),MATCH(U57,L_KED,0)),0))</f>
        <v/>
      </c>
      <c r="W57" s="17">
        <f>IF(OR(B57="",E57="",COUNTA(F57,H57,J57:M57,O57,Q57:R57,T57:U57)=0),"",SUM(G57,I57,N57,P57,S57,V57))</f>
        <v/>
      </c>
      <c r="X57" s="18">
        <f>IF(W57="","",IF(Murid!F57="TL","TL",ROUND(W57/110*100,2)))</f>
        <v/>
      </c>
    </row>
    <row r="58">
      <c r="A58" s="15">
        <f>Murid!A58</f>
        <v/>
      </c>
      <c r="B58" s="15">
        <f>IF(Murid!B58="","",Murid!B58)</f>
        <v/>
      </c>
      <c r="C58" s="16">
        <f>IF(Murid!C58="","",Murid!C58)</f>
        <v/>
      </c>
      <c r="D58" s="15">
        <f>IF(Murid!E58="","",Murid!E58)</f>
        <v/>
      </c>
      <c r="E58" s="11" t="n"/>
      <c r="F58" s="11" t="n"/>
      <c r="G58" s="10">
        <f>IF(F58="","",IFERROR(VLOOKUP(F58,T_JKP,2,FALSE),0))</f>
        <v/>
      </c>
      <c r="H58" s="11" t="n"/>
      <c r="I58" s="17">
        <f>IF(H58="","",IF(H58&gt;=12,40,ROUND(H58*3.33,2)))</f>
        <v/>
      </c>
      <c r="J58" s="11" t="n"/>
      <c r="K58" s="11" t="n"/>
      <c r="L58" s="11" t="n"/>
      <c r="M58" s="11" t="n"/>
      <c r="N58" s="10">
        <f>IF(COUNTA(J58:M58)=0,"",MIN(10,SUMPRODUCT((COUNTIF(J58:M58,L_KOM)&gt;0)*S_KOM)))</f>
        <v/>
      </c>
      <c r="O58" s="11" t="n"/>
      <c r="P58" s="10">
        <f>IF(O58="","",IFERROR(VLOOKUP(O58,T_KHID,2,FALSE),0))</f>
        <v/>
      </c>
      <c r="Q58" s="11" t="n"/>
      <c r="R58" s="11" t="n"/>
      <c r="S58" s="10">
        <f>IF(AND(Q58="",R58=""),"",IFERROR(INDEX(T_LIBAT,MATCH(Q58,L_PER,0),MATCH(R58,L_JENIS,0)),0))</f>
        <v/>
      </c>
      <c r="T58" s="11" t="n"/>
      <c r="U58" s="11" t="n"/>
      <c r="V58" s="10">
        <f>IF(AND(T58="",U58=""),"",IFERROR(INDEX(T_CAPAI,MATCH(T58,L_PER,0),MATCH(U58,L_KED,0)),0))</f>
        <v/>
      </c>
      <c r="W58" s="17">
        <f>IF(OR(B58="",E58="",COUNTA(F58,H58,J58:M58,O58,Q58:R58,T58:U58)=0),"",SUM(G58,I58,N58,P58,S58,V58))</f>
        <v/>
      </c>
      <c r="X58" s="18">
        <f>IF(W58="","",IF(Murid!F58="TL","TL",ROUND(W58/110*100,2)))</f>
        <v/>
      </c>
    </row>
    <row r="59">
      <c r="A59" s="15">
        <f>Murid!A59</f>
        <v/>
      </c>
      <c r="B59" s="15">
        <f>IF(Murid!B59="","",Murid!B59)</f>
        <v/>
      </c>
      <c r="C59" s="16">
        <f>IF(Murid!C59="","",Murid!C59)</f>
        <v/>
      </c>
      <c r="D59" s="15">
        <f>IF(Murid!E59="","",Murid!E59)</f>
        <v/>
      </c>
      <c r="E59" s="11" t="n"/>
      <c r="F59" s="11" t="n"/>
      <c r="G59" s="10">
        <f>IF(F59="","",IFERROR(VLOOKUP(F59,T_JKP,2,FALSE),0))</f>
        <v/>
      </c>
      <c r="H59" s="11" t="n"/>
      <c r="I59" s="17">
        <f>IF(H59="","",IF(H59&gt;=12,40,ROUND(H59*3.33,2)))</f>
        <v/>
      </c>
      <c r="J59" s="11" t="n"/>
      <c r="K59" s="11" t="n"/>
      <c r="L59" s="11" t="n"/>
      <c r="M59" s="11" t="n"/>
      <c r="N59" s="10">
        <f>IF(COUNTA(J59:M59)=0,"",MIN(10,SUMPRODUCT((COUNTIF(J59:M59,L_KOM)&gt;0)*S_KOM)))</f>
        <v/>
      </c>
      <c r="O59" s="11" t="n"/>
      <c r="P59" s="10">
        <f>IF(O59="","",IFERROR(VLOOKUP(O59,T_KHID,2,FALSE),0))</f>
        <v/>
      </c>
      <c r="Q59" s="11" t="n"/>
      <c r="R59" s="11" t="n"/>
      <c r="S59" s="10">
        <f>IF(AND(Q59="",R59=""),"",IFERROR(INDEX(T_LIBAT,MATCH(Q59,L_PER,0),MATCH(R59,L_JENIS,0)),0))</f>
        <v/>
      </c>
      <c r="T59" s="11" t="n"/>
      <c r="U59" s="11" t="n"/>
      <c r="V59" s="10">
        <f>IF(AND(T59="",U59=""),"",IFERROR(INDEX(T_CAPAI,MATCH(T59,L_PER,0),MATCH(U59,L_KED,0)),0))</f>
        <v/>
      </c>
      <c r="W59" s="17">
        <f>IF(OR(B59="",E59="",COUNTA(F59,H59,J59:M59,O59,Q59:R59,T59:U59)=0),"",SUM(G59,I59,N59,P59,S59,V59))</f>
        <v/>
      </c>
      <c r="X59" s="18">
        <f>IF(W59="","",IF(Murid!F59="TL","TL",ROUND(W59/110*100,2)))</f>
        <v/>
      </c>
    </row>
    <row r="60">
      <c r="A60" s="15">
        <f>Murid!A60</f>
        <v/>
      </c>
      <c r="B60" s="15">
        <f>IF(Murid!B60="","",Murid!B60)</f>
        <v/>
      </c>
      <c r="C60" s="16">
        <f>IF(Murid!C60="","",Murid!C60)</f>
        <v/>
      </c>
      <c r="D60" s="15">
        <f>IF(Murid!E60="","",Murid!E60)</f>
        <v/>
      </c>
      <c r="E60" s="11" t="n"/>
      <c r="F60" s="11" t="n"/>
      <c r="G60" s="10">
        <f>IF(F60="","",IFERROR(VLOOKUP(F60,T_JKP,2,FALSE),0))</f>
        <v/>
      </c>
      <c r="H60" s="11" t="n"/>
      <c r="I60" s="17">
        <f>IF(H60="","",IF(H60&gt;=12,40,ROUND(H60*3.33,2)))</f>
        <v/>
      </c>
      <c r="J60" s="11" t="n"/>
      <c r="K60" s="11" t="n"/>
      <c r="L60" s="11" t="n"/>
      <c r="M60" s="11" t="n"/>
      <c r="N60" s="10">
        <f>IF(COUNTA(J60:M60)=0,"",MIN(10,SUMPRODUCT((COUNTIF(J60:M60,L_KOM)&gt;0)*S_KOM)))</f>
        <v/>
      </c>
      <c r="O60" s="11" t="n"/>
      <c r="P60" s="10">
        <f>IF(O60="","",IFERROR(VLOOKUP(O60,T_KHID,2,FALSE),0))</f>
        <v/>
      </c>
      <c r="Q60" s="11" t="n"/>
      <c r="R60" s="11" t="n"/>
      <c r="S60" s="10">
        <f>IF(AND(Q60="",R60=""),"",IFERROR(INDEX(T_LIBAT,MATCH(Q60,L_PER,0),MATCH(R60,L_JENIS,0)),0))</f>
        <v/>
      </c>
      <c r="T60" s="11" t="n"/>
      <c r="U60" s="11" t="n"/>
      <c r="V60" s="10">
        <f>IF(AND(T60="",U60=""),"",IFERROR(INDEX(T_CAPAI,MATCH(T60,L_PER,0),MATCH(U60,L_KED,0)),0))</f>
        <v/>
      </c>
      <c r="W60" s="17">
        <f>IF(OR(B60="",E60="",COUNTA(F60,H60,J60:M60,O60,Q60:R60,T60:U60)=0),"",SUM(G60,I60,N60,P60,S60,V60))</f>
        <v/>
      </c>
      <c r="X60" s="18">
        <f>IF(W60="","",IF(Murid!F60="TL","TL",ROUND(W60/110*100,2)))</f>
        <v/>
      </c>
    </row>
    <row r="61">
      <c r="A61" s="15">
        <f>Murid!A61</f>
        <v/>
      </c>
      <c r="B61" s="15">
        <f>IF(Murid!B61="","",Murid!B61)</f>
        <v/>
      </c>
      <c r="C61" s="16">
        <f>IF(Murid!C61="","",Murid!C61)</f>
        <v/>
      </c>
      <c r="D61" s="15">
        <f>IF(Murid!E61="","",Murid!E61)</f>
        <v/>
      </c>
      <c r="E61" s="11" t="n"/>
      <c r="F61" s="11" t="n"/>
      <c r="G61" s="10">
        <f>IF(F61="","",IFERROR(VLOOKUP(F61,T_JKP,2,FALSE),0))</f>
        <v/>
      </c>
      <c r="H61" s="11" t="n"/>
      <c r="I61" s="17">
        <f>IF(H61="","",IF(H61&gt;=12,40,ROUND(H61*3.33,2)))</f>
        <v/>
      </c>
      <c r="J61" s="11" t="n"/>
      <c r="K61" s="11" t="n"/>
      <c r="L61" s="11" t="n"/>
      <c r="M61" s="11" t="n"/>
      <c r="N61" s="10">
        <f>IF(COUNTA(J61:M61)=0,"",MIN(10,SUMPRODUCT((COUNTIF(J61:M61,L_KOM)&gt;0)*S_KOM)))</f>
        <v/>
      </c>
      <c r="O61" s="11" t="n"/>
      <c r="P61" s="10">
        <f>IF(O61="","",IFERROR(VLOOKUP(O61,T_KHID,2,FALSE),0))</f>
        <v/>
      </c>
      <c r="Q61" s="11" t="n"/>
      <c r="R61" s="11" t="n"/>
      <c r="S61" s="10">
        <f>IF(AND(Q61="",R61=""),"",IFERROR(INDEX(T_LIBAT,MATCH(Q61,L_PER,0),MATCH(R61,L_JENIS,0)),0))</f>
        <v/>
      </c>
      <c r="T61" s="11" t="n"/>
      <c r="U61" s="11" t="n"/>
      <c r="V61" s="10">
        <f>IF(AND(T61="",U61=""),"",IFERROR(INDEX(T_CAPAI,MATCH(T61,L_PER,0),MATCH(U61,L_KED,0)),0))</f>
        <v/>
      </c>
      <c r="W61" s="17">
        <f>IF(OR(B61="",E61="",COUNTA(F61,H61,J61:M61,O61,Q61:R61,T61:U61)=0),"",SUM(G61,I61,N61,P61,S61,V61))</f>
        <v/>
      </c>
      <c r="X61" s="18">
        <f>IF(W61="","",IF(Murid!F61="TL","TL",ROUND(W61/110*100,2)))</f>
        <v/>
      </c>
    </row>
    <row r="62">
      <c r="A62" s="15">
        <f>Murid!A62</f>
        <v/>
      </c>
      <c r="B62" s="15">
        <f>IF(Murid!B62="","",Murid!B62)</f>
        <v/>
      </c>
      <c r="C62" s="16">
        <f>IF(Murid!C62="","",Murid!C62)</f>
        <v/>
      </c>
      <c r="D62" s="15">
        <f>IF(Murid!E62="","",Murid!E62)</f>
        <v/>
      </c>
      <c r="E62" s="11" t="n"/>
      <c r="F62" s="11" t="n"/>
      <c r="G62" s="10">
        <f>IF(F62="","",IFERROR(VLOOKUP(F62,T_JKP,2,FALSE),0))</f>
        <v/>
      </c>
      <c r="H62" s="11" t="n"/>
      <c r="I62" s="17">
        <f>IF(H62="","",IF(H62&gt;=12,40,ROUND(H62*3.33,2)))</f>
        <v/>
      </c>
      <c r="J62" s="11" t="n"/>
      <c r="K62" s="11" t="n"/>
      <c r="L62" s="11" t="n"/>
      <c r="M62" s="11" t="n"/>
      <c r="N62" s="10">
        <f>IF(COUNTA(J62:M62)=0,"",MIN(10,SUMPRODUCT((COUNTIF(J62:M62,L_KOM)&gt;0)*S_KOM)))</f>
        <v/>
      </c>
      <c r="O62" s="11" t="n"/>
      <c r="P62" s="10">
        <f>IF(O62="","",IFERROR(VLOOKUP(O62,T_KHID,2,FALSE),0))</f>
        <v/>
      </c>
      <c r="Q62" s="11" t="n"/>
      <c r="R62" s="11" t="n"/>
      <c r="S62" s="10">
        <f>IF(AND(Q62="",R62=""),"",IFERROR(INDEX(T_LIBAT,MATCH(Q62,L_PER,0),MATCH(R62,L_JENIS,0)),0))</f>
        <v/>
      </c>
      <c r="T62" s="11" t="n"/>
      <c r="U62" s="11" t="n"/>
      <c r="V62" s="10">
        <f>IF(AND(T62="",U62=""),"",IFERROR(INDEX(T_CAPAI,MATCH(T62,L_PER,0),MATCH(U62,L_KED,0)),0))</f>
        <v/>
      </c>
      <c r="W62" s="17">
        <f>IF(OR(B62="",E62="",COUNTA(F62,H62,J62:M62,O62,Q62:R62,T62:U62)=0),"",SUM(G62,I62,N62,P62,S62,V62))</f>
        <v/>
      </c>
      <c r="X62" s="18">
        <f>IF(W62="","",IF(Murid!F62="TL","TL",ROUND(W62/110*100,2)))</f>
        <v/>
      </c>
    </row>
    <row r="63">
      <c r="A63" s="15">
        <f>Murid!A63</f>
        <v/>
      </c>
      <c r="B63" s="15">
        <f>IF(Murid!B63="","",Murid!B63)</f>
        <v/>
      </c>
      <c r="C63" s="16">
        <f>IF(Murid!C63="","",Murid!C63)</f>
        <v/>
      </c>
      <c r="D63" s="15">
        <f>IF(Murid!E63="","",Murid!E63)</f>
        <v/>
      </c>
      <c r="E63" s="11" t="n"/>
      <c r="F63" s="11" t="n"/>
      <c r="G63" s="10">
        <f>IF(F63="","",IFERROR(VLOOKUP(F63,T_JKP,2,FALSE),0))</f>
        <v/>
      </c>
      <c r="H63" s="11" t="n"/>
      <c r="I63" s="17">
        <f>IF(H63="","",IF(H63&gt;=12,40,ROUND(H63*3.33,2)))</f>
        <v/>
      </c>
      <c r="J63" s="11" t="n"/>
      <c r="K63" s="11" t="n"/>
      <c r="L63" s="11" t="n"/>
      <c r="M63" s="11" t="n"/>
      <c r="N63" s="10">
        <f>IF(COUNTA(J63:M63)=0,"",MIN(10,SUMPRODUCT((COUNTIF(J63:M63,L_KOM)&gt;0)*S_KOM)))</f>
        <v/>
      </c>
      <c r="O63" s="11" t="n"/>
      <c r="P63" s="10">
        <f>IF(O63="","",IFERROR(VLOOKUP(O63,T_KHID,2,FALSE),0))</f>
        <v/>
      </c>
      <c r="Q63" s="11" t="n"/>
      <c r="R63" s="11" t="n"/>
      <c r="S63" s="10">
        <f>IF(AND(Q63="",R63=""),"",IFERROR(INDEX(T_LIBAT,MATCH(Q63,L_PER,0),MATCH(R63,L_JENIS,0)),0))</f>
        <v/>
      </c>
      <c r="T63" s="11" t="n"/>
      <c r="U63" s="11" t="n"/>
      <c r="V63" s="10">
        <f>IF(AND(T63="",U63=""),"",IFERROR(INDEX(T_CAPAI,MATCH(T63,L_PER,0),MATCH(U63,L_KED,0)),0))</f>
        <v/>
      </c>
      <c r="W63" s="17">
        <f>IF(OR(B63="",E63="",COUNTA(F63,H63,J63:M63,O63,Q63:R63,T63:U63)=0),"",SUM(G63,I63,N63,P63,S63,V63))</f>
        <v/>
      </c>
      <c r="X63" s="18">
        <f>IF(W63="","",IF(Murid!F63="TL","TL",ROUND(W63/110*100,2)))</f>
        <v/>
      </c>
    </row>
    <row r="64">
      <c r="A64" s="15">
        <f>Murid!A64</f>
        <v/>
      </c>
      <c r="B64" s="15">
        <f>IF(Murid!B64="","",Murid!B64)</f>
        <v/>
      </c>
      <c r="C64" s="16">
        <f>IF(Murid!C64="","",Murid!C64)</f>
        <v/>
      </c>
      <c r="D64" s="15">
        <f>IF(Murid!E64="","",Murid!E64)</f>
        <v/>
      </c>
      <c r="E64" s="11" t="n"/>
      <c r="F64" s="11" t="n"/>
      <c r="G64" s="10">
        <f>IF(F64="","",IFERROR(VLOOKUP(F64,T_JKP,2,FALSE),0))</f>
        <v/>
      </c>
      <c r="H64" s="11" t="n"/>
      <c r="I64" s="17">
        <f>IF(H64="","",IF(H64&gt;=12,40,ROUND(H64*3.33,2)))</f>
        <v/>
      </c>
      <c r="J64" s="11" t="n"/>
      <c r="K64" s="11" t="n"/>
      <c r="L64" s="11" t="n"/>
      <c r="M64" s="11" t="n"/>
      <c r="N64" s="10">
        <f>IF(COUNTA(J64:M64)=0,"",MIN(10,SUMPRODUCT((COUNTIF(J64:M64,L_KOM)&gt;0)*S_KOM)))</f>
        <v/>
      </c>
      <c r="O64" s="11" t="n"/>
      <c r="P64" s="10">
        <f>IF(O64="","",IFERROR(VLOOKUP(O64,T_KHID,2,FALSE),0))</f>
        <v/>
      </c>
      <c r="Q64" s="11" t="n"/>
      <c r="R64" s="11" t="n"/>
      <c r="S64" s="10">
        <f>IF(AND(Q64="",R64=""),"",IFERROR(INDEX(T_LIBAT,MATCH(Q64,L_PER,0),MATCH(R64,L_JENIS,0)),0))</f>
        <v/>
      </c>
      <c r="T64" s="11" t="n"/>
      <c r="U64" s="11" t="n"/>
      <c r="V64" s="10">
        <f>IF(AND(T64="",U64=""),"",IFERROR(INDEX(T_CAPAI,MATCH(T64,L_PER,0),MATCH(U64,L_KED,0)),0))</f>
        <v/>
      </c>
      <c r="W64" s="17">
        <f>IF(OR(B64="",E64="",COUNTA(F64,H64,J64:M64,O64,Q64:R64,T64:U64)=0),"",SUM(G64,I64,N64,P64,S64,V64))</f>
        <v/>
      </c>
      <c r="X64" s="18">
        <f>IF(W64="","",IF(Murid!F64="TL","TL",ROUND(W64/110*100,2)))</f>
        <v/>
      </c>
    </row>
    <row r="65">
      <c r="A65" s="15">
        <f>Murid!A65</f>
        <v/>
      </c>
      <c r="B65" s="15">
        <f>IF(Murid!B65="","",Murid!B65)</f>
        <v/>
      </c>
      <c r="C65" s="16">
        <f>IF(Murid!C65="","",Murid!C65)</f>
        <v/>
      </c>
      <c r="D65" s="15">
        <f>IF(Murid!E65="","",Murid!E65)</f>
        <v/>
      </c>
      <c r="E65" s="11" t="n"/>
      <c r="F65" s="11" t="n"/>
      <c r="G65" s="10">
        <f>IF(F65="","",IFERROR(VLOOKUP(F65,T_JKP,2,FALSE),0))</f>
        <v/>
      </c>
      <c r="H65" s="11" t="n"/>
      <c r="I65" s="17">
        <f>IF(H65="","",IF(H65&gt;=12,40,ROUND(H65*3.33,2)))</f>
        <v/>
      </c>
      <c r="J65" s="11" t="n"/>
      <c r="K65" s="11" t="n"/>
      <c r="L65" s="11" t="n"/>
      <c r="M65" s="11" t="n"/>
      <c r="N65" s="10">
        <f>IF(COUNTA(J65:M65)=0,"",MIN(10,SUMPRODUCT((COUNTIF(J65:M65,L_KOM)&gt;0)*S_KOM)))</f>
        <v/>
      </c>
      <c r="O65" s="11" t="n"/>
      <c r="P65" s="10">
        <f>IF(O65="","",IFERROR(VLOOKUP(O65,T_KHID,2,FALSE),0))</f>
        <v/>
      </c>
      <c r="Q65" s="11" t="n"/>
      <c r="R65" s="11" t="n"/>
      <c r="S65" s="10">
        <f>IF(AND(Q65="",R65=""),"",IFERROR(INDEX(T_LIBAT,MATCH(Q65,L_PER,0),MATCH(R65,L_JENIS,0)),0))</f>
        <v/>
      </c>
      <c r="T65" s="11" t="n"/>
      <c r="U65" s="11" t="n"/>
      <c r="V65" s="10">
        <f>IF(AND(T65="",U65=""),"",IFERROR(INDEX(T_CAPAI,MATCH(T65,L_PER,0),MATCH(U65,L_KED,0)),0))</f>
        <v/>
      </c>
      <c r="W65" s="17">
        <f>IF(OR(B65="",E65="",COUNTA(F65,H65,J65:M65,O65,Q65:R65,T65:U65)=0),"",SUM(G65,I65,N65,P65,S65,V65))</f>
        <v/>
      </c>
      <c r="X65" s="18">
        <f>IF(W65="","",IF(Murid!F65="TL","TL",ROUND(W65/110*100,2)))</f>
        <v/>
      </c>
    </row>
    <row r="66">
      <c r="A66" s="15">
        <f>Murid!A66</f>
        <v/>
      </c>
      <c r="B66" s="15">
        <f>IF(Murid!B66="","",Murid!B66)</f>
        <v/>
      </c>
      <c r="C66" s="16">
        <f>IF(Murid!C66="","",Murid!C66)</f>
        <v/>
      </c>
      <c r="D66" s="15">
        <f>IF(Murid!E66="","",Murid!E66)</f>
        <v/>
      </c>
      <c r="E66" s="11" t="n"/>
      <c r="F66" s="11" t="n"/>
      <c r="G66" s="10">
        <f>IF(F66="","",IFERROR(VLOOKUP(F66,T_JKP,2,FALSE),0))</f>
        <v/>
      </c>
      <c r="H66" s="11" t="n"/>
      <c r="I66" s="17">
        <f>IF(H66="","",IF(H66&gt;=12,40,ROUND(H66*3.33,2)))</f>
        <v/>
      </c>
      <c r="J66" s="11" t="n"/>
      <c r="K66" s="11" t="n"/>
      <c r="L66" s="11" t="n"/>
      <c r="M66" s="11" t="n"/>
      <c r="N66" s="10">
        <f>IF(COUNTA(J66:M66)=0,"",MIN(10,SUMPRODUCT((COUNTIF(J66:M66,L_KOM)&gt;0)*S_KOM)))</f>
        <v/>
      </c>
      <c r="O66" s="11" t="n"/>
      <c r="P66" s="10">
        <f>IF(O66="","",IFERROR(VLOOKUP(O66,T_KHID,2,FALSE),0))</f>
        <v/>
      </c>
      <c r="Q66" s="11" t="n"/>
      <c r="R66" s="11" t="n"/>
      <c r="S66" s="10">
        <f>IF(AND(Q66="",R66=""),"",IFERROR(INDEX(T_LIBAT,MATCH(Q66,L_PER,0),MATCH(R66,L_JENIS,0)),0))</f>
        <v/>
      </c>
      <c r="T66" s="11" t="n"/>
      <c r="U66" s="11" t="n"/>
      <c r="V66" s="10">
        <f>IF(AND(T66="",U66=""),"",IFERROR(INDEX(T_CAPAI,MATCH(T66,L_PER,0),MATCH(U66,L_KED,0)),0))</f>
        <v/>
      </c>
      <c r="W66" s="17">
        <f>IF(OR(B66="",E66="",COUNTA(F66,H66,J66:M66,O66,Q66:R66,T66:U66)=0),"",SUM(G66,I66,N66,P66,S66,V66))</f>
        <v/>
      </c>
      <c r="X66" s="18">
        <f>IF(W66="","",IF(Murid!F66="TL","TL",ROUND(W66/110*100,2)))</f>
        <v/>
      </c>
    </row>
    <row r="67">
      <c r="A67" s="15">
        <f>Murid!A67</f>
        <v/>
      </c>
      <c r="B67" s="15">
        <f>IF(Murid!B67="","",Murid!B67)</f>
        <v/>
      </c>
      <c r="C67" s="16">
        <f>IF(Murid!C67="","",Murid!C67)</f>
        <v/>
      </c>
      <c r="D67" s="15">
        <f>IF(Murid!E67="","",Murid!E67)</f>
        <v/>
      </c>
      <c r="E67" s="11" t="n"/>
      <c r="F67" s="11" t="n"/>
      <c r="G67" s="10">
        <f>IF(F67="","",IFERROR(VLOOKUP(F67,T_JKP,2,FALSE),0))</f>
        <v/>
      </c>
      <c r="H67" s="11" t="n"/>
      <c r="I67" s="17">
        <f>IF(H67="","",IF(H67&gt;=12,40,ROUND(H67*3.33,2)))</f>
        <v/>
      </c>
      <c r="J67" s="11" t="n"/>
      <c r="K67" s="11" t="n"/>
      <c r="L67" s="11" t="n"/>
      <c r="M67" s="11" t="n"/>
      <c r="N67" s="10">
        <f>IF(COUNTA(J67:M67)=0,"",MIN(10,SUMPRODUCT((COUNTIF(J67:M67,L_KOM)&gt;0)*S_KOM)))</f>
        <v/>
      </c>
      <c r="O67" s="11" t="n"/>
      <c r="P67" s="10">
        <f>IF(O67="","",IFERROR(VLOOKUP(O67,T_KHID,2,FALSE),0))</f>
        <v/>
      </c>
      <c r="Q67" s="11" t="n"/>
      <c r="R67" s="11" t="n"/>
      <c r="S67" s="10">
        <f>IF(AND(Q67="",R67=""),"",IFERROR(INDEX(T_LIBAT,MATCH(Q67,L_PER,0),MATCH(R67,L_JENIS,0)),0))</f>
        <v/>
      </c>
      <c r="T67" s="11" t="n"/>
      <c r="U67" s="11" t="n"/>
      <c r="V67" s="10">
        <f>IF(AND(T67="",U67=""),"",IFERROR(INDEX(T_CAPAI,MATCH(T67,L_PER,0),MATCH(U67,L_KED,0)),0))</f>
        <v/>
      </c>
      <c r="W67" s="17">
        <f>IF(OR(B67="",E67="",COUNTA(F67,H67,J67:M67,O67,Q67:R67,T67:U67)=0),"",SUM(G67,I67,N67,P67,S67,V67))</f>
        <v/>
      </c>
      <c r="X67" s="18">
        <f>IF(W67="","",IF(Murid!F67="TL","TL",ROUND(W67/110*100,2)))</f>
        <v/>
      </c>
    </row>
    <row r="68">
      <c r="A68" s="15">
        <f>Murid!A68</f>
        <v/>
      </c>
      <c r="B68" s="15">
        <f>IF(Murid!B68="","",Murid!B68)</f>
        <v/>
      </c>
      <c r="C68" s="16">
        <f>IF(Murid!C68="","",Murid!C68)</f>
        <v/>
      </c>
      <c r="D68" s="15">
        <f>IF(Murid!E68="","",Murid!E68)</f>
        <v/>
      </c>
      <c r="E68" s="11" t="n"/>
      <c r="F68" s="11" t="n"/>
      <c r="G68" s="10">
        <f>IF(F68="","",IFERROR(VLOOKUP(F68,T_JKP,2,FALSE),0))</f>
        <v/>
      </c>
      <c r="H68" s="11" t="n"/>
      <c r="I68" s="17">
        <f>IF(H68="","",IF(H68&gt;=12,40,ROUND(H68*3.33,2)))</f>
        <v/>
      </c>
      <c r="J68" s="11" t="n"/>
      <c r="K68" s="11" t="n"/>
      <c r="L68" s="11" t="n"/>
      <c r="M68" s="11" t="n"/>
      <c r="N68" s="10">
        <f>IF(COUNTA(J68:M68)=0,"",MIN(10,SUMPRODUCT((COUNTIF(J68:M68,L_KOM)&gt;0)*S_KOM)))</f>
        <v/>
      </c>
      <c r="O68" s="11" t="n"/>
      <c r="P68" s="10">
        <f>IF(O68="","",IFERROR(VLOOKUP(O68,T_KHID,2,FALSE),0))</f>
        <v/>
      </c>
      <c r="Q68" s="11" t="n"/>
      <c r="R68" s="11" t="n"/>
      <c r="S68" s="10">
        <f>IF(AND(Q68="",R68=""),"",IFERROR(INDEX(T_LIBAT,MATCH(Q68,L_PER,0),MATCH(R68,L_JENIS,0)),0))</f>
        <v/>
      </c>
      <c r="T68" s="11" t="n"/>
      <c r="U68" s="11" t="n"/>
      <c r="V68" s="10">
        <f>IF(AND(T68="",U68=""),"",IFERROR(INDEX(T_CAPAI,MATCH(T68,L_PER,0),MATCH(U68,L_KED,0)),0))</f>
        <v/>
      </c>
      <c r="W68" s="17">
        <f>IF(OR(B68="",E68="",COUNTA(F68,H68,J68:M68,O68,Q68:R68,T68:U68)=0),"",SUM(G68,I68,N68,P68,S68,V68))</f>
        <v/>
      </c>
      <c r="X68" s="18">
        <f>IF(W68="","",IF(Murid!F68="TL","TL",ROUND(W68/110*100,2)))</f>
        <v/>
      </c>
    </row>
    <row r="69">
      <c r="A69" s="15">
        <f>Murid!A69</f>
        <v/>
      </c>
      <c r="B69" s="15">
        <f>IF(Murid!B69="","",Murid!B69)</f>
        <v/>
      </c>
      <c r="C69" s="16">
        <f>IF(Murid!C69="","",Murid!C69)</f>
        <v/>
      </c>
      <c r="D69" s="15">
        <f>IF(Murid!E69="","",Murid!E69)</f>
        <v/>
      </c>
      <c r="E69" s="11" t="n"/>
      <c r="F69" s="11" t="n"/>
      <c r="G69" s="10">
        <f>IF(F69="","",IFERROR(VLOOKUP(F69,T_JKP,2,FALSE),0))</f>
        <v/>
      </c>
      <c r="H69" s="11" t="n"/>
      <c r="I69" s="17">
        <f>IF(H69="","",IF(H69&gt;=12,40,ROUND(H69*3.33,2)))</f>
        <v/>
      </c>
      <c r="J69" s="11" t="n"/>
      <c r="K69" s="11" t="n"/>
      <c r="L69" s="11" t="n"/>
      <c r="M69" s="11" t="n"/>
      <c r="N69" s="10">
        <f>IF(COUNTA(J69:M69)=0,"",MIN(10,SUMPRODUCT((COUNTIF(J69:M69,L_KOM)&gt;0)*S_KOM)))</f>
        <v/>
      </c>
      <c r="O69" s="11" t="n"/>
      <c r="P69" s="10">
        <f>IF(O69="","",IFERROR(VLOOKUP(O69,T_KHID,2,FALSE),0))</f>
        <v/>
      </c>
      <c r="Q69" s="11" t="n"/>
      <c r="R69" s="11" t="n"/>
      <c r="S69" s="10">
        <f>IF(AND(Q69="",R69=""),"",IFERROR(INDEX(T_LIBAT,MATCH(Q69,L_PER,0),MATCH(R69,L_JENIS,0)),0))</f>
        <v/>
      </c>
      <c r="T69" s="11" t="n"/>
      <c r="U69" s="11" t="n"/>
      <c r="V69" s="10">
        <f>IF(AND(T69="",U69=""),"",IFERROR(INDEX(T_CAPAI,MATCH(T69,L_PER,0),MATCH(U69,L_KED,0)),0))</f>
        <v/>
      </c>
      <c r="W69" s="17">
        <f>IF(OR(B69="",E69="",COUNTA(F69,H69,J69:M69,O69,Q69:R69,T69:U69)=0),"",SUM(G69,I69,N69,P69,S69,V69))</f>
        <v/>
      </c>
      <c r="X69" s="18">
        <f>IF(W69="","",IF(Murid!F69="TL","TL",ROUND(W69/110*100,2)))</f>
        <v/>
      </c>
    </row>
    <row r="70">
      <c r="A70" s="15">
        <f>Murid!A70</f>
        <v/>
      </c>
      <c r="B70" s="15">
        <f>IF(Murid!B70="","",Murid!B70)</f>
        <v/>
      </c>
      <c r="C70" s="16">
        <f>IF(Murid!C70="","",Murid!C70)</f>
        <v/>
      </c>
      <c r="D70" s="15">
        <f>IF(Murid!E70="","",Murid!E70)</f>
        <v/>
      </c>
      <c r="E70" s="11" t="n"/>
      <c r="F70" s="11" t="n"/>
      <c r="G70" s="10">
        <f>IF(F70="","",IFERROR(VLOOKUP(F70,T_JKP,2,FALSE),0))</f>
        <v/>
      </c>
      <c r="H70" s="11" t="n"/>
      <c r="I70" s="17">
        <f>IF(H70="","",IF(H70&gt;=12,40,ROUND(H70*3.33,2)))</f>
        <v/>
      </c>
      <c r="J70" s="11" t="n"/>
      <c r="K70" s="11" t="n"/>
      <c r="L70" s="11" t="n"/>
      <c r="M70" s="11" t="n"/>
      <c r="N70" s="10">
        <f>IF(COUNTA(J70:M70)=0,"",MIN(10,SUMPRODUCT((COUNTIF(J70:M70,L_KOM)&gt;0)*S_KOM)))</f>
        <v/>
      </c>
      <c r="O70" s="11" t="n"/>
      <c r="P70" s="10">
        <f>IF(O70="","",IFERROR(VLOOKUP(O70,T_KHID,2,FALSE),0))</f>
        <v/>
      </c>
      <c r="Q70" s="11" t="n"/>
      <c r="R70" s="11" t="n"/>
      <c r="S70" s="10">
        <f>IF(AND(Q70="",R70=""),"",IFERROR(INDEX(T_LIBAT,MATCH(Q70,L_PER,0),MATCH(R70,L_JENIS,0)),0))</f>
        <v/>
      </c>
      <c r="T70" s="11" t="n"/>
      <c r="U70" s="11" t="n"/>
      <c r="V70" s="10">
        <f>IF(AND(T70="",U70=""),"",IFERROR(INDEX(T_CAPAI,MATCH(T70,L_PER,0),MATCH(U70,L_KED,0)),0))</f>
        <v/>
      </c>
      <c r="W70" s="17">
        <f>IF(OR(B70="",E70="",COUNTA(F70,H70,J70:M70,O70,Q70:R70,T70:U70)=0),"",SUM(G70,I70,N70,P70,S70,V70))</f>
        <v/>
      </c>
      <c r="X70" s="18">
        <f>IF(W70="","",IF(Murid!F70="TL","TL",ROUND(W70/110*100,2)))</f>
        <v/>
      </c>
    </row>
    <row r="71">
      <c r="A71" s="15">
        <f>Murid!A71</f>
        <v/>
      </c>
      <c r="B71" s="15">
        <f>IF(Murid!B71="","",Murid!B71)</f>
        <v/>
      </c>
      <c r="C71" s="16">
        <f>IF(Murid!C71="","",Murid!C71)</f>
        <v/>
      </c>
      <c r="D71" s="15">
        <f>IF(Murid!E71="","",Murid!E71)</f>
        <v/>
      </c>
      <c r="E71" s="11" t="n"/>
      <c r="F71" s="11" t="n"/>
      <c r="G71" s="10">
        <f>IF(F71="","",IFERROR(VLOOKUP(F71,T_JKP,2,FALSE),0))</f>
        <v/>
      </c>
      <c r="H71" s="11" t="n"/>
      <c r="I71" s="17">
        <f>IF(H71="","",IF(H71&gt;=12,40,ROUND(H71*3.33,2)))</f>
        <v/>
      </c>
      <c r="J71" s="11" t="n"/>
      <c r="K71" s="11" t="n"/>
      <c r="L71" s="11" t="n"/>
      <c r="M71" s="11" t="n"/>
      <c r="N71" s="10">
        <f>IF(COUNTA(J71:M71)=0,"",MIN(10,SUMPRODUCT((COUNTIF(J71:M71,L_KOM)&gt;0)*S_KOM)))</f>
        <v/>
      </c>
      <c r="O71" s="11" t="n"/>
      <c r="P71" s="10">
        <f>IF(O71="","",IFERROR(VLOOKUP(O71,T_KHID,2,FALSE),0))</f>
        <v/>
      </c>
      <c r="Q71" s="11" t="n"/>
      <c r="R71" s="11" t="n"/>
      <c r="S71" s="10">
        <f>IF(AND(Q71="",R71=""),"",IFERROR(INDEX(T_LIBAT,MATCH(Q71,L_PER,0),MATCH(R71,L_JENIS,0)),0))</f>
        <v/>
      </c>
      <c r="T71" s="11" t="n"/>
      <c r="U71" s="11" t="n"/>
      <c r="V71" s="10">
        <f>IF(AND(T71="",U71=""),"",IFERROR(INDEX(T_CAPAI,MATCH(T71,L_PER,0),MATCH(U71,L_KED,0)),0))</f>
        <v/>
      </c>
      <c r="W71" s="17">
        <f>IF(OR(B71="",E71="",COUNTA(F71,H71,J71:M71,O71,Q71:R71,T71:U71)=0),"",SUM(G71,I71,N71,P71,S71,V71))</f>
        <v/>
      </c>
      <c r="X71" s="18">
        <f>IF(W71="","",IF(Murid!F71="TL","TL",ROUND(W71/110*100,2)))</f>
        <v/>
      </c>
    </row>
    <row r="72">
      <c r="A72" s="15">
        <f>Murid!A72</f>
        <v/>
      </c>
      <c r="B72" s="15">
        <f>IF(Murid!B72="","",Murid!B72)</f>
        <v/>
      </c>
      <c r="C72" s="16">
        <f>IF(Murid!C72="","",Murid!C72)</f>
        <v/>
      </c>
      <c r="D72" s="15">
        <f>IF(Murid!E72="","",Murid!E72)</f>
        <v/>
      </c>
      <c r="E72" s="11" t="n"/>
      <c r="F72" s="11" t="n"/>
      <c r="G72" s="10">
        <f>IF(F72="","",IFERROR(VLOOKUP(F72,T_JKP,2,FALSE),0))</f>
        <v/>
      </c>
      <c r="H72" s="11" t="n"/>
      <c r="I72" s="17">
        <f>IF(H72="","",IF(H72&gt;=12,40,ROUND(H72*3.33,2)))</f>
        <v/>
      </c>
      <c r="J72" s="11" t="n"/>
      <c r="K72" s="11" t="n"/>
      <c r="L72" s="11" t="n"/>
      <c r="M72" s="11" t="n"/>
      <c r="N72" s="10">
        <f>IF(COUNTA(J72:M72)=0,"",MIN(10,SUMPRODUCT((COUNTIF(J72:M72,L_KOM)&gt;0)*S_KOM)))</f>
        <v/>
      </c>
      <c r="O72" s="11" t="n"/>
      <c r="P72" s="10">
        <f>IF(O72="","",IFERROR(VLOOKUP(O72,T_KHID,2,FALSE),0))</f>
        <v/>
      </c>
      <c r="Q72" s="11" t="n"/>
      <c r="R72" s="11" t="n"/>
      <c r="S72" s="10">
        <f>IF(AND(Q72="",R72=""),"",IFERROR(INDEX(T_LIBAT,MATCH(Q72,L_PER,0),MATCH(R72,L_JENIS,0)),0))</f>
        <v/>
      </c>
      <c r="T72" s="11" t="n"/>
      <c r="U72" s="11" t="n"/>
      <c r="V72" s="10">
        <f>IF(AND(T72="",U72=""),"",IFERROR(INDEX(T_CAPAI,MATCH(T72,L_PER,0),MATCH(U72,L_KED,0)),0))</f>
        <v/>
      </c>
      <c r="W72" s="17">
        <f>IF(OR(B72="",E72="",COUNTA(F72,H72,J72:M72,O72,Q72:R72,T72:U72)=0),"",SUM(G72,I72,N72,P72,S72,V72))</f>
        <v/>
      </c>
      <c r="X72" s="18">
        <f>IF(W72="","",IF(Murid!F72="TL","TL",ROUND(W72/110*100,2)))</f>
        <v/>
      </c>
    </row>
    <row r="73">
      <c r="A73" s="15">
        <f>Murid!A73</f>
        <v/>
      </c>
      <c r="B73" s="15">
        <f>IF(Murid!B73="","",Murid!B73)</f>
        <v/>
      </c>
      <c r="C73" s="16">
        <f>IF(Murid!C73="","",Murid!C73)</f>
        <v/>
      </c>
      <c r="D73" s="15">
        <f>IF(Murid!E73="","",Murid!E73)</f>
        <v/>
      </c>
      <c r="E73" s="11" t="n"/>
      <c r="F73" s="11" t="n"/>
      <c r="G73" s="10">
        <f>IF(F73="","",IFERROR(VLOOKUP(F73,T_JKP,2,FALSE),0))</f>
        <v/>
      </c>
      <c r="H73" s="11" t="n"/>
      <c r="I73" s="17">
        <f>IF(H73="","",IF(H73&gt;=12,40,ROUND(H73*3.33,2)))</f>
        <v/>
      </c>
      <c r="J73" s="11" t="n"/>
      <c r="K73" s="11" t="n"/>
      <c r="L73" s="11" t="n"/>
      <c r="M73" s="11" t="n"/>
      <c r="N73" s="10">
        <f>IF(COUNTA(J73:M73)=0,"",MIN(10,SUMPRODUCT((COUNTIF(J73:M73,L_KOM)&gt;0)*S_KOM)))</f>
        <v/>
      </c>
      <c r="O73" s="11" t="n"/>
      <c r="P73" s="10">
        <f>IF(O73="","",IFERROR(VLOOKUP(O73,T_KHID,2,FALSE),0))</f>
        <v/>
      </c>
      <c r="Q73" s="11" t="n"/>
      <c r="R73" s="11" t="n"/>
      <c r="S73" s="10">
        <f>IF(AND(Q73="",R73=""),"",IFERROR(INDEX(T_LIBAT,MATCH(Q73,L_PER,0),MATCH(R73,L_JENIS,0)),0))</f>
        <v/>
      </c>
      <c r="T73" s="11" t="n"/>
      <c r="U73" s="11" t="n"/>
      <c r="V73" s="10">
        <f>IF(AND(T73="",U73=""),"",IFERROR(INDEX(T_CAPAI,MATCH(T73,L_PER,0),MATCH(U73,L_KED,0)),0))</f>
        <v/>
      </c>
      <c r="W73" s="17">
        <f>IF(OR(B73="",E73="",COUNTA(F73,H73,J73:M73,O73,Q73:R73,T73:U73)=0),"",SUM(G73,I73,N73,P73,S73,V73))</f>
        <v/>
      </c>
      <c r="X73" s="18">
        <f>IF(W73="","",IF(Murid!F73="TL","TL",ROUND(W73/110*100,2)))</f>
        <v/>
      </c>
    </row>
    <row r="74">
      <c r="A74" s="15">
        <f>Murid!A74</f>
        <v/>
      </c>
      <c r="B74" s="15">
        <f>IF(Murid!B74="","",Murid!B74)</f>
        <v/>
      </c>
      <c r="C74" s="16">
        <f>IF(Murid!C74="","",Murid!C74)</f>
        <v/>
      </c>
      <c r="D74" s="15">
        <f>IF(Murid!E74="","",Murid!E74)</f>
        <v/>
      </c>
      <c r="E74" s="11" t="n"/>
      <c r="F74" s="11" t="n"/>
      <c r="G74" s="10">
        <f>IF(F74="","",IFERROR(VLOOKUP(F74,T_JKP,2,FALSE),0))</f>
        <v/>
      </c>
      <c r="H74" s="11" t="n"/>
      <c r="I74" s="17">
        <f>IF(H74="","",IF(H74&gt;=12,40,ROUND(H74*3.33,2)))</f>
        <v/>
      </c>
      <c r="J74" s="11" t="n"/>
      <c r="K74" s="11" t="n"/>
      <c r="L74" s="11" t="n"/>
      <c r="M74" s="11" t="n"/>
      <c r="N74" s="10">
        <f>IF(COUNTA(J74:M74)=0,"",MIN(10,SUMPRODUCT((COUNTIF(J74:M74,L_KOM)&gt;0)*S_KOM)))</f>
        <v/>
      </c>
      <c r="O74" s="11" t="n"/>
      <c r="P74" s="10">
        <f>IF(O74="","",IFERROR(VLOOKUP(O74,T_KHID,2,FALSE),0))</f>
        <v/>
      </c>
      <c r="Q74" s="11" t="n"/>
      <c r="R74" s="11" t="n"/>
      <c r="S74" s="10">
        <f>IF(AND(Q74="",R74=""),"",IFERROR(INDEX(T_LIBAT,MATCH(Q74,L_PER,0),MATCH(R74,L_JENIS,0)),0))</f>
        <v/>
      </c>
      <c r="T74" s="11" t="n"/>
      <c r="U74" s="11" t="n"/>
      <c r="V74" s="10">
        <f>IF(AND(T74="",U74=""),"",IFERROR(INDEX(T_CAPAI,MATCH(T74,L_PER,0),MATCH(U74,L_KED,0)),0))</f>
        <v/>
      </c>
      <c r="W74" s="17">
        <f>IF(OR(B74="",E74="",COUNTA(F74,H74,J74:M74,O74,Q74:R74,T74:U74)=0),"",SUM(G74,I74,N74,P74,S74,V74))</f>
        <v/>
      </c>
      <c r="X74" s="18">
        <f>IF(W74="","",IF(Murid!F74="TL","TL",ROUND(W74/110*100,2)))</f>
        <v/>
      </c>
    </row>
    <row r="75">
      <c r="A75" s="15">
        <f>Murid!A75</f>
        <v/>
      </c>
      <c r="B75" s="15">
        <f>IF(Murid!B75="","",Murid!B75)</f>
        <v/>
      </c>
      <c r="C75" s="16">
        <f>IF(Murid!C75="","",Murid!C75)</f>
        <v/>
      </c>
      <c r="D75" s="15">
        <f>IF(Murid!E75="","",Murid!E75)</f>
        <v/>
      </c>
      <c r="E75" s="11" t="n"/>
      <c r="F75" s="11" t="n"/>
      <c r="G75" s="10">
        <f>IF(F75="","",IFERROR(VLOOKUP(F75,T_JKP,2,FALSE),0))</f>
        <v/>
      </c>
      <c r="H75" s="11" t="n"/>
      <c r="I75" s="17">
        <f>IF(H75="","",IF(H75&gt;=12,40,ROUND(H75*3.33,2)))</f>
        <v/>
      </c>
      <c r="J75" s="11" t="n"/>
      <c r="K75" s="11" t="n"/>
      <c r="L75" s="11" t="n"/>
      <c r="M75" s="11" t="n"/>
      <c r="N75" s="10">
        <f>IF(COUNTA(J75:M75)=0,"",MIN(10,SUMPRODUCT((COUNTIF(J75:M75,L_KOM)&gt;0)*S_KOM)))</f>
        <v/>
      </c>
      <c r="O75" s="11" t="n"/>
      <c r="P75" s="10">
        <f>IF(O75="","",IFERROR(VLOOKUP(O75,T_KHID,2,FALSE),0))</f>
        <v/>
      </c>
      <c r="Q75" s="11" t="n"/>
      <c r="R75" s="11" t="n"/>
      <c r="S75" s="10">
        <f>IF(AND(Q75="",R75=""),"",IFERROR(INDEX(T_LIBAT,MATCH(Q75,L_PER,0),MATCH(R75,L_JENIS,0)),0))</f>
        <v/>
      </c>
      <c r="T75" s="11" t="n"/>
      <c r="U75" s="11" t="n"/>
      <c r="V75" s="10">
        <f>IF(AND(T75="",U75=""),"",IFERROR(INDEX(T_CAPAI,MATCH(T75,L_PER,0),MATCH(U75,L_KED,0)),0))</f>
        <v/>
      </c>
      <c r="W75" s="17">
        <f>IF(OR(B75="",E75="",COUNTA(F75,H75,J75:M75,O75,Q75:R75,T75:U75)=0),"",SUM(G75,I75,N75,P75,S75,V75))</f>
        <v/>
      </c>
      <c r="X75" s="18">
        <f>IF(W75="","",IF(Murid!F75="TL","TL",ROUND(W75/110*100,2)))</f>
        <v/>
      </c>
    </row>
    <row r="76">
      <c r="A76" s="15">
        <f>Murid!A76</f>
        <v/>
      </c>
      <c r="B76" s="15">
        <f>IF(Murid!B76="","",Murid!B76)</f>
        <v/>
      </c>
      <c r="C76" s="16">
        <f>IF(Murid!C76="","",Murid!C76)</f>
        <v/>
      </c>
      <c r="D76" s="15">
        <f>IF(Murid!E76="","",Murid!E76)</f>
        <v/>
      </c>
      <c r="E76" s="11" t="n"/>
      <c r="F76" s="11" t="n"/>
      <c r="G76" s="10">
        <f>IF(F76="","",IFERROR(VLOOKUP(F76,T_JKP,2,FALSE),0))</f>
        <v/>
      </c>
      <c r="H76" s="11" t="n"/>
      <c r="I76" s="17">
        <f>IF(H76="","",IF(H76&gt;=12,40,ROUND(H76*3.33,2)))</f>
        <v/>
      </c>
      <c r="J76" s="11" t="n"/>
      <c r="K76" s="11" t="n"/>
      <c r="L76" s="11" t="n"/>
      <c r="M76" s="11" t="n"/>
      <c r="N76" s="10">
        <f>IF(COUNTA(J76:M76)=0,"",MIN(10,SUMPRODUCT((COUNTIF(J76:M76,L_KOM)&gt;0)*S_KOM)))</f>
        <v/>
      </c>
      <c r="O76" s="11" t="n"/>
      <c r="P76" s="10">
        <f>IF(O76="","",IFERROR(VLOOKUP(O76,T_KHID,2,FALSE),0))</f>
        <v/>
      </c>
      <c r="Q76" s="11" t="n"/>
      <c r="R76" s="11" t="n"/>
      <c r="S76" s="10">
        <f>IF(AND(Q76="",R76=""),"",IFERROR(INDEX(T_LIBAT,MATCH(Q76,L_PER,0),MATCH(R76,L_JENIS,0)),0))</f>
        <v/>
      </c>
      <c r="T76" s="11" t="n"/>
      <c r="U76" s="11" t="n"/>
      <c r="V76" s="10">
        <f>IF(AND(T76="",U76=""),"",IFERROR(INDEX(T_CAPAI,MATCH(T76,L_PER,0),MATCH(U76,L_KED,0)),0))</f>
        <v/>
      </c>
      <c r="W76" s="17">
        <f>IF(OR(B76="",E76="",COUNTA(F76,H76,J76:M76,O76,Q76:R76,T76:U76)=0),"",SUM(G76,I76,N76,P76,S76,V76))</f>
        <v/>
      </c>
      <c r="X76" s="18">
        <f>IF(W76="","",IF(Murid!F76="TL","TL",ROUND(W76/110*100,2)))</f>
        <v/>
      </c>
    </row>
    <row r="77">
      <c r="A77" s="15">
        <f>Murid!A77</f>
        <v/>
      </c>
      <c r="B77" s="15">
        <f>IF(Murid!B77="","",Murid!B77)</f>
        <v/>
      </c>
      <c r="C77" s="16">
        <f>IF(Murid!C77="","",Murid!C77)</f>
        <v/>
      </c>
      <c r="D77" s="15">
        <f>IF(Murid!E77="","",Murid!E77)</f>
        <v/>
      </c>
      <c r="E77" s="11" t="n"/>
      <c r="F77" s="11" t="n"/>
      <c r="G77" s="10">
        <f>IF(F77="","",IFERROR(VLOOKUP(F77,T_JKP,2,FALSE),0))</f>
        <v/>
      </c>
      <c r="H77" s="11" t="n"/>
      <c r="I77" s="17">
        <f>IF(H77="","",IF(H77&gt;=12,40,ROUND(H77*3.33,2)))</f>
        <v/>
      </c>
      <c r="J77" s="11" t="n"/>
      <c r="K77" s="11" t="n"/>
      <c r="L77" s="11" t="n"/>
      <c r="M77" s="11" t="n"/>
      <c r="N77" s="10">
        <f>IF(COUNTA(J77:M77)=0,"",MIN(10,SUMPRODUCT((COUNTIF(J77:M77,L_KOM)&gt;0)*S_KOM)))</f>
        <v/>
      </c>
      <c r="O77" s="11" t="n"/>
      <c r="P77" s="10">
        <f>IF(O77="","",IFERROR(VLOOKUP(O77,T_KHID,2,FALSE),0))</f>
        <v/>
      </c>
      <c r="Q77" s="11" t="n"/>
      <c r="R77" s="11" t="n"/>
      <c r="S77" s="10">
        <f>IF(AND(Q77="",R77=""),"",IFERROR(INDEX(T_LIBAT,MATCH(Q77,L_PER,0),MATCH(R77,L_JENIS,0)),0))</f>
        <v/>
      </c>
      <c r="T77" s="11" t="n"/>
      <c r="U77" s="11" t="n"/>
      <c r="V77" s="10">
        <f>IF(AND(T77="",U77=""),"",IFERROR(INDEX(T_CAPAI,MATCH(T77,L_PER,0),MATCH(U77,L_KED,0)),0))</f>
        <v/>
      </c>
      <c r="W77" s="17">
        <f>IF(OR(B77="",E77="",COUNTA(F77,H77,J77:M77,O77,Q77:R77,T77:U77)=0),"",SUM(G77,I77,N77,P77,S77,V77))</f>
        <v/>
      </c>
      <c r="X77" s="18">
        <f>IF(W77="","",IF(Murid!F77="TL","TL",ROUND(W77/110*100,2)))</f>
        <v/>
      </c>
    </row>
    <row r="78">
      <c r="A78" s="15">
        <f>Murid!A78</f>
        <v/>
      </c>
      <c r="B78" s="15">
        <f>IF(Murid!B78="","",Murid!B78)</f>
        <v/>
      </c>
      <c r="C78" s="16">
        <f>IF(Murid!C78="","",Murid!C78)</f>
        <v/>
      </c>
      <c r="D78" s="15">
        <f>IF(Murid!E78="","",Murid!E78)</f>
        <v/>
      </c>
      <c r="E78" s="11" t="n"/>
      <c r="F78" s="11" t="n"/>
      <c r="G78" s="10">
        <f>IF(F78="","",IFERROR(VLOOKUP(F78,T_JKP,2,FALSE),0))</f>
        <v/>
      </c>
      <c r="H78" s="11" t="n"/>
      <c r="I78" s="17">
        <f>IF(H78="","",IF(H78&gt;=12,40,ROUND(H78*3.33,2)))</f>
        <v/>
      </c>
      <c r="J78" s="11" t="n"/>
      <c r="K78" s="11" t="n"/>
      <c r="L78" s="11" t="n"/>
      <c r="M78" s="11" t="n"/>
      <c r="N78" s="10">
        <f>IF(COUNTA(J78:M78)=0,"",MIN(10,SUMPRODUCT((COUNTIF(J78:M78,L_KOM)&gt;0)*S_KOM)))</f>
        <v/>
      </c>
      <c r="O78" s="11" t="n"/>
      <c r="P78" s="10">
        <f>IF(O78="","",IFERROR(VLOOKUP(O78,T_KHID,2,FALSE),0))</f>
        <v/>
      </c>
      <c r="Q78" s="11" t="n"/>
      <c r="R78" s="11" t="n"/>
      <c r="S78" s="10">
        <f>IF(AND(Q78="",R78=""),"",IFERROR(INDEX(T_LIBAT,MATCH(Q78,L_PER,0),MATCH(R78,L_JENIS,0)),0))</f>
        <v/>
      </c>
      <c r="T78" s="11" t="n"/>
      <c r="U78" s="11" t="n"/>
      <c r="V78" s="10">
        <f>IF(AND(T78="",U78=""),"",IFERROR(INDEX(T_CAPAI,MATCH(T78,L_PER,0),MATCH(U78,L_KED,0)),0))</f>
        <v/>
      </c>
      <c r="W78" s="17">
        <f>IF(OR(B78="",E78="",COUNTA(F78,H78,J78:M78,O78,Q78:R78,T78:U78)=0),"",SUM(G78,I78,N78,P78,S78,V78))</f>
        <v/>
      </c>
      <c r="X78" s="18">
        <f>IF(W78="","",IF(Murid!F78="TL","TL",ROUND(W78/110*100,2)))</f>
        <v/>
      </c>
    </row>
    <row r="79">
      <c r="A79" s="15">
        <f>Murid!A79</f>
        <v/>
      </c>
      <c r="B79" s="15">
        <f>IF(Murid!B79="","",Murid!B79)</f>
        <v/>
      </c>
      <c r="C79" s="16">
        <f>IF(Murid!C79="","",Murid!C79)</f>
        <v/>
      </c>
      <c r="D79" s="15">
        <f>IF(Murid!E79="","",Murid!E79)</f>
        <v/>
      </c>
      <c r="E79" s="11" t="n"/>
      <c r="F79" s="11" t="n"/>
      <c r="G79" s="10">
        <f>IF(F79="","",IFERROR(VLOOKUP(F79,T_JKP,2,FALSE),0))</f>
        <v/>
      </c>
      <c r="H79" s="11" t="n"/>
      <c r="I79" s="17">
        <f>IF(H79="","",IF(H79&gt;=12,40,ROUND(H79*3.33,2)))</f>
        <v/>
      </c>
      <c r="J79" s="11" t="n"/>
      <c r="K79" s="11" t="n"/>
      <c r="L79" s="11" t="n"/>
      <c r="M79" s="11" t="n"/>
      <c r="N79" s="10">
        <f>IF(COUNTA(J79:M79)=0,"",MIN(10,SUMPRODUCT((COUNTIF(J79:M79,L_KOM)&gt;0)*S_KOM)))</f>
        <v/>
      </c>
      <c r="O79" s="11" t="n"/>
      <c r="P79" s="10">
        <f>IF(O79="","",IFERROR(VLOOKUP(O79,T_KHID,2,FALSE),0))</f>
        <v/>
      </c>
      <c r="Q79" s="11" t="n"/>
      <c r="R79" s="11" t="n"/>
      <c r="S79" s="10">
        <f>IF(AND(Q79="",R79=""),"",IFERROR(INDEX(T_LIBAT,MATCH(Q79,L_PER,0),MATCH(R79,L_JENIS,0)),0))</f>
        <v/>
      </c>
      <c r="T79" s="11" t="n"/>
      <c r="U79" s="11" t="n"/>
      <c r="V79" s="10">
        <f>IF(AND(T79="",U79=""),"",IFERROR(INDEX(T_CAPAI,MATCH(T79,L_PER,0),MATCH(U79,L_KED,0)),0))</f>
        <v/>
      </c>
      <c r="W79" s="17">
        <f>IF(OR(B79="",E79="",COUNTA(F79,H79,J79:M79,O79,Q79:R79,T79:U79)=0),"",SUM(G79,I79,N79,P79,S79,V79))</f>
        <v/>
      </c>
      <c r="X79" s="18">
        <f>IF(W79="","",IF(Murid!F79="TL","TL",ROUND(W79/110*100,2)))</f>
        <v/>
      </c>
    </row>
    <row r="80">
      <c r="A80" s="15">
        <f>Murid!A80</f>
        <v/>
      </c>
      <c r="B80" s="15">
        <f>IF(Murid!B80="","",Murid!B80)</f>
        <v/>
      </c>
      <c r="C80" s="16">
        <f>IF(Murid!C80="","",Murid!C80)</f>
        <v/>
      </c>
      <c r="D80" s="15">
        <f>IF(Murid!E80="","",Murid!E80)</f>
        <v/>
      </c>
      <c r="E80" s="11" t="n"/>
      <c r="F80" s="11" t="n"/>
      <c r="G80" s="10">
        <f>IF(F80="","",IFERROR(VLOOKUP(F80,T_JKP,2,FALSE),0))</f>
        <v/>
      </c>
      <c r="H80" s="11" t="n"/>
      <c r="I80" s="17">
        <f>IF(H80="","",IF(H80&gt;=12,40,ROUND(H80*3.33,2)))</f>
        <v/>
      </c>
      <c r="J80" s="11" t="n"/>
      <c r="K80" s="11" t="n"/>
      <c r="L80" s="11" t="n"/>
      <c r="M80" s="11" t="n"/>
      <c r="N80" s="10">
        <f>IF(COUNTA(J80:M80)=0,"",MIN(10,SUMPRODUCT((COUNTIF(J80:M80,L_KOM)&gt;0)*S_KOM)))</f>
        <v/>
      </c>
      <c r="O80" s="11" t="n"/>
      <c r="P80" s="10">
        <f>IF(O80="","",IFERROR(VLOOKUP(O80,T_KHID,2,FALSE),0))</f>
        <v/>
      </c>
      <c r="Q80" s="11" t="n"/>
      <c r="R80" s="11" t="n"/>
      <c r="S80" s="10">
        <f>IF(AND(Q80="",R80=""),"",IFERROR(INDEX(T_LIBAT,MATCH(Q80,L_PER,0),MATCH(R80,L_JENIS,0)),0))</f>
        <v/>
      </c>
      <c r="T80" s="11" t="n"/>
      <c r="U80" s="11" t="n"/>
      <c r="V80" s="10">
        <f>IF(AND(T80="",U80=""),"",IFERROR(INDEX(T_CAPAI,MATCH(T80,L_PER,0),MATCH(U80,L_KED,0)),0))</f>
        <v/>
      </c>
      <c r="W80" s="17">
        <f>IF(OR(B80="",E80="",COUNTA(F80,H80,J80:M80,O80,Q80:R80,T80:U80)=0),"",SUM(G80,I80,N80,P80,S80,V80))</f>
        <v/>
      </c>
      <c r="X80" s="18">
        <f>IF(W80="","",IF(Murid!F80="TL","TL",ROUND(W80/110*100,2)))</f>
        <v/>
      </c>
    </row>
    <row r="81">
      <c r="A81" s="15">
        <f>Murid!A81</f>
        <v/>
      </c>
      <c r="B81" s="15">
        <f>IF(Murid!B81="","",Murid!B81)</f>
        <v/>
      </c>
      <c r="C81" s="16">
        <f>IF(Murid!C81="","",Murid!C81)</f>
        <v/>
      </c>
      <c r="D81" s="15">
        <f>IF(Murid!E81="","",Murid!E81)</f>
        <v/>
      </c>
      <c r="E81" s="11" t="n"/>
      <c r="F81" s="11" t="n"/>
      <c r="G81" s="10">
        <f>IF(F81="","",IFERROR(VLOOKUP(F81,T_JKP,2,FALSE),0))</f>
        <v/>
      </c>
      <c r="H81" s="11" t="n"/>
      <c r="I81" s="17">
        <f>IF(H81="","",IF(H81&gt;=12,40,ROUND(H81*3.33,2)))</f>
        <v/>
      </c>
      <c r="J81" s="11" t="n"/>
      <c r="K81" s="11" t="n"/>
      <c r="L81" s="11" t="n"/>
      <c r="M81" s="11" t="n"/>
      <c r="N81" s="10">
        <f>IF(COUNTA(J81:M81)=0,"",MIN(10,SUMPRODUCT((COUNTIF(J81:M81,L_KOM)&gt;0)*S_KOM)))</f>
        <v/>
      </c>
      <c r="O81" s="11" t="n"/>
      <c r="P81" s="10">
        <f>IF(O81="","",IFERROR(VLOOKUP(O81,T_KHID,2,FALSE),0))</f>
        <v/>
      </c>
      <c r="Q81" s="11" t="n"/>
      <c r="R81" s="11" t="n"/>
      <c r="S81" s="10">
        <f>IF(AND(Q81="",R81=""),"",IFERROR(INDEX(T_LIBAT,MATCH(Q81,L_PER,0),MATCH(R81,L_JENIS,0)),0))</f>
        <v/>
      </c>
      <c r="T81" s="11" t="n"/>
      <c r="U81" s="11" t="n"/>
      <c r="V81" s="10">
        <f>IF(AND(T81="",U81=""),"",IFERROR(INDEX(T_CAPAI,MATCH(T81,L_PER,0),MATCH(U81,L_KED,0)),0))</f>
        <v/>
      </c>
      <c r="W81" s="17">
        <f>IF(OR(B81="",E81="",COUNTA(F81,H81,J81:M81,O81,Q81:R81,T81:U81)=0),"",SUM(G81,I81,N81,P81,S81,V81))</f>
        <v/>
      </c>
      <c r="X81" s="18">
        <f>IF(W81="","",IF(Murid!F81="TL","TL",ROUND(W81/110*100,2)))</f>
        <v/>
      </c>
    </row>
    <row r="82">
      <c r="A82" s="15">
        <f>Murid!A82</f>
        <v/>
      </c>
      <c r="B82" s="15">
        <f>IF(Murid!B82="","",Murid!B82)</f>
        <v/>
      </c>
      <c r="C82" s="16">
        <f>IF(Murid!C82="","",Murid!C82)</f>
        <v/>
      </c>
      <c r="D82" s="15">
        <f>IF(Murid!E82="","",Murid!E82)</f>
        <v/>
      </c>
      <c r="E82" s="11" t="n"/>
      <c r="F82" s="11" t="n"/>
      <c r="G82" s="10">
        <f>IF(F82="","",IFERROR(VLOOKUP(F82,T_JKP,2,FALSE),0))</f>
        <v/>
      </c>
      <c r="H82" s="11" t="n"/>
      <c r="I82" s="17">
        <f>IF(H82="","",IF(H82&gt;=12,40,ROUND(H82*3.33,2)))</f>
        <v/>
      </c>
      <c r="J82" s="11" t="n"/>
      <c r="K82" s="11" t="n"/>
      <c r="L82" s="11" t="n"/>
      <c r="M82" s="11" t="n"/>
      <c r="N82" s="10">
        <f>IF(COUNTA(J82:M82)=0,"",MIN(10,SUMPRODUCT((COUNTIF(J82:M82,L_KOM)&gt;0)*S_KOM)))</f>
        <v/>
      </c>
      <c r="O82" s="11" t="n"/>
      <c r="P82" s="10">
        <f>IF(O82="","",IFERROR(VLOOKUP(O82,T_KHID,2,FALSE),0))</f>
        <v/>
      </c>
      <c r="Q82" s="11" t="n"/>
      <c r="R82" s="11" t="n"/>
      <c r="S82" s="10">
        <f>IF(AND(Q82="",R82=""),"",IFERROR(INDEX(T_LIBAT,MATCH(Q82,L_PER,0),MATCH(R82,L_JENIS,0)),0))</f>
        <v/>
      </c>
      <c r="T82" s="11" t="n"/>
      <c r="U82" s="11" t="n"/>
      <c r="V82" s="10">
        <f>IF(AND(T82="",U82=""),"",IFERROR(INDEX(T_CAPAI,MATCH(T82,L_PER,0),MATCH(U82,L_KED,0)),0))</f>
        <v/>
      </c>
      <c r="W82" s="17">
        <f>IF(OR(B82="",E82="",COUNTA(F82,H82,J82:M82,O82,Q82:R82,T82:U82)=0),"",SUM(G82,I82,N82,P82,S82,V82))</f>
        <v/>
      </c>
      <c r="X82" s="18">
        <f>IF(W82="","",IF(Murid!F82="TL","TL",ROUND(W82/110*100,2)))</f>
        <v/>
      </c>
    </row>
    <row r="83">
      <c r="A83" s="15">
        <f>Murid!A83</f>
        <v/>
      </c>
      <c r="B83" s="15">
        <f>IF(Murid!B83="","",Murid!B83)</f>
        <v/>
      </c>
      <c r="C83" s="16">
        <f>IF(Murid!C83="","",Murid!C83)</f>
        <v/>
      </c>
      <c r="D83" s="15">
        <f>IF(Murid!E83="","",Murid!E83)</f>
        <v/>
      </c>
      <c r="E83" s="11" t="n"/>
      <c r="F83" s="11" t="n"/>
      <c r="G83" s="10">
        <f>IF(F83="","",IFERROR(VLOOKUP(F83,T_JKP,2,FALSE),0))</f>
        <v/>
      </c>
      <c r="H83" s="11" t="n"/>
      <c r="I83" s="17">
        <f>IF(H83="","",IF(H83&gt;=12,40,ROUND(H83*3.33,2)))</f>
        <v/>
      </c>
      <c r="J83" s="11" t="n"/>
      <c r="K83" s="11" t="n"/>
      <c r="L83" s="11" t="n"/>
      <c r="M83" s="11" t="n"/>
      <c r="N83" s="10">
        <f>IF(COUNTA(J83:M83)=0,"",MIN(10,SUMPRODUCT((COUNTIF(J83:M83,L_KOM)&gt;0)*S_KOM)))</f>
        <v/>
      </c>
      <c r="O83" s="11" t="n"/>
      <c r="P83" s="10">
        <f>IF(O83="","",IFERROR(VLOOKUP(O83,T_KHID,2,FALSE),0))</f>
        <v/>
      </c>
      <c r="Q83" s="11" t="n"/>
      <c r="R83" s="11" t="n"/>
      <c r="S83" s="10">
        <f>IF(AND(Q83="",R83=""),"",IFERROR(INDEX(T_LIBAT,MATCH(Q83,L_PER,0),MATCH(R83,L_JENIS,0)),0))</f>
        <v/>
      </c>
      <c r="T83" s="11" t="n"/>
      <c r="U83" s="11" t="n"/>
      <c r="V83" s="10">
        <f>IF(AND(T83="",U83=""),"",IFERROR(INDEX(T_CAPAI,MATCH(T83,L_PER,0),MATCH(U83,L_KED,0)),0))</f>
        <v/>
      </c>
      <c r="W83" s="17">
        <f>IF(OR(B83="",E83="",COUNTA(F83,H83,J83:M83,O83,Q83:R83,T83:U83)=0),"",SUM(G83,I83,N83,P83,S83,V83))</f>
        <v/>
      </c>
      <c r="X83" s="18">
        <f>IF(W83="","",IF(Murid!F83="TL","TL",ROUND(W83/110*100,2)))</f>
        <v/>
      </c>
    </row>
    <row r="84">
      <c r="A84" s="15">
        <f>Murid!A84</f>
        <v/>
      </c>
      <c r="B84" s="15">
        <f>IF(Murid!B84="","",Murid!B84)</f>
        <v/>
      </c>
      <c r="C84" s="16">
        <f>IF(Murid!C84="","",Murid!C84)</f>
        <v/>
      </c>
      <c r="D84" s="15">
        <f>IF(Murid!E84="","",Murid!E84)</f>
        <v/>
      </c>
      <c r="E84" s="11" t="n"/>
      <c r="F84" s="11" t="n"/>
      <c r="G84" s="10">
        <f>IF(F84="","",IFERROR(VLOOKUP(F84,T_JKP,2,FALSE),0))</f>
        <v/>
      </c>
      <c r="H84" s="11" t="n"/>
      <c r="I84" s="17">
        <f>IF(H84="","",IF(H84&gt;=12,40,ROUND(H84*3.33,2)))</f>
        <v/>
      </c>
      <c r="J84" s="11" t="n"/>
      <c r="K84" s="11" t="n"/>
      <c r="L84" s="11" t="n"/>
      <c r="M84" s="11" t="n"/>
      <c r="N84" s="10">
        <f>IF(COUNTA(J84:M84)=0,"",MIN(10,SUMPRODUCT((COUNTIF(J84:M84,L_KOM)&gt;0)*S_KOM)))</f>
        <v/>
      </c>
      <c r="O84" s="11" t="n"/>
      <c r="P84" s="10">
        <f>IF(O84="","",IFERROR(VLOOKUP(O84,T_KHID,2,FALSE),0))</f>
        <v/>
      </c>
      <c r="Q84" s="11" t="n"/>
      <c r="R84" s="11" t="n"/>
      <c r="S84" s="10">
        <f>IF(AND(Q84="",R84=""),"",IFERROR(INDEX(T_LIBAT,MATCH(Q84,L_PER,0),MATCH(R84,L_JENIS,0)),0))</f>
        <v/>
      </c>
      <c r="T84" s="11" t="n"/>
      <c r="U84" s="11" t="n"/>
      <c r="V84" s="10">
        <f>IF(AND(T84="",U84=""),"",IFERROR(INDEX(T_CAPAI,MATCH(T84,L_PER,0),MATCH(U84,L_KED,0)),0))</f>
        <v/>
      </c>
      <c r="W84" s="17">
        <f>IF(OR(B84="",E84="",COUNTA(F84,H84,J84:M84,O84,Q84:R84,T84:U84)=0),"",SUM(G84,I84,N84,P84,S84,V84))</f>
        <v/>
      </c>
      <c r="X84" s="18">
        <f>IF(W84="","",IF(Murid!F84="TL","TL",ROUND(W84/110*100,2)))</f>
        <v/>
      </c>
    </row>
    <row r="85">
      <c r="A85" s="15">
        <f>Murid!A85</f>
        <v/>
      </c>
      <c r="B85" s="15">
        <f>IF(Murid!B85="","",Murid!B85)</f>
        <v/>
      </c>
      <c r="C85" s="16">
        <f>IF(Murid!C85="","",Murid!C85)</f>
        <v/>
      </c>
      <c r="D85" s="15">
        <f>IF(Murid!E85="","",Murid!E85)</f>
        <v/>
      </c>
      <c r="E85" s="11" t="n"/>
      <c r="F85" s="11" t="n"/>
      <c r="G85" s="10">
        <f>IF(F85="","",IFERROR(VLOOKUP(F85,T_JKP,2,FALSE),0))</f>
        <v/>
      </c>
      <c r="H85" s="11" t="n"/>
      <c r="I85" s="17">
        <f>IF(H85="","",IF(H85&gt;=12,40,ROUND(H85*3.33,2)))</f>
        <v/>
      </c>
      <c r="J85" s="11" t="n"/>
      <c r="K85" s="11" t="n"/>
      <c r="L85" s="11" t="n"/>
      <c r="M85" s="11" t="n"/>
      <c r="N85" s="10">
        <f>IF(COUNTA(J85:M85)=0,"",MIN(10,SUMPRODUCT((COUNTIF(J85:M85,L_KOM)&gt;0)*S_KOM)))</f>
        <v/>
      </c>
      <c r="O85" s="11" t="n"/>
      <c r="P85" s="10">
        <f>IF(O85="","",IFERROR(VLOOKUP(O85,T_KHID,2,FALSE),0))</f>
        <v/>
      </c>
      <c r="Q85" s="11" t="n"/>
      <c r="R85" s="11" t="n"/>
      <c r="S85" s="10">
        <f>IF(AND(Q85="",R85=""),"",IFERROR(INDEX(T_LIBAT,MATCH(Q85,L_PER,0),MATCH(R85,L_JENIS,0)),0))</f>
        <v/>
      </c>
      <c r="T85" s="11" t="n"/>
      <c r="U85" s="11" t="n"/>
      <c r="V85" s="10">
        <f>IF(AND(T85="",U85=""),"",IFERROR(INDEX(T_CAPAI,MATCH(T85,L_PER,0),MATCH(U85,L_KED,0)),0))</f>
        <v/>
      </c>
      <c r="W85" s="17">
        <f>IF(OR(B85="",E85="",COUNTA(F85,H85,J85:M85,O85,Q85:R85,T85:U85)=0),"",SUM(G85,I85,N85,P85,S85,V85))</f>
        <v/>
      </c>
      <c r="X85" s="18">
        <f>IF(W85="","",IF(Murid!F85="TL","TL",ROUND(W85/110*100,2)))</f>
        <v/>
      </c>
    </row>
    <row r="86">
      <c r="A86" s="15">
        <f>Murid!A86</f>
        <v/>
      </c>
      <c r="B86" s="15">
        <f>IF(Murid!B86="","",Murid!B86)</f>
        <v/>
      </c>
      <c r="C86" s="16">
        <f>IF(Murid!C86="","",Murid!C86)</f>
        <v/>
      </c>
      <c r="D86" s="15">
        <f>IF(Murid!E86="","",Murid!E86)</f>
        <v/>
      </c>
      <c r="E86" s="11" t="n"/>
      <c r="F86" s="11" t="n"/>
      <c r="G86" s="10">
        <f>IF(F86="","",IFERROR(VLOOKUP(F86,T_JKP,2,FALSE),0))</f>
        <v/>
      </c>
      <c r="H86" s="11" t="n"/>
      <c r="I86" s="17">
        <f>IF(H86="","",IF(H86&gt;=12,40,ROUND(H86*3.33,2)))</f>
        <v/>
      </c>
      <c r="J86" s="11" t="n"/>
      <c r="K86" s="11" t="n"/>
      <c r="L86" s="11" t="n"/>
      <c r="M86" s="11" t="n"/>
      <c r="N86" s="10">
        <f>IF(COUNTA(J86:M86)=0,"",MIN(10,SUMPRODUCT((COUNTIF(J86:M86,L_KOM)&gt;0)*S_KOM)))</f>
        <v/>
      </c>
      <c r="O86" s="11" t="n"/>
      <c r="P86" s="10">
        <f>IF(O86="","",IFERROR(VLOOKUP(O86,T_KHID,2,FALSE),0))</f>
        <v/>
      </c>
      <c r="Q86" s="11" t="n"/>
      <c r="R86" s="11" t="n"/>
      <c r="S86" s="10">
        <f>IF(AND(Q86="",R86=""),"",IFERROR(INDEX(T_LIBAT,MATCH(Q86,L_PER,0),MATCH(R86,L_JENIS,0)),0))</f>
        <v/>
      </c>
      <c r="T86" s="11" t="n"/>
      <c r="U86" s="11" t="n"/>
      <c r="V86" s="10">
        <f>IF(AND(T86="",U86=""),"",IFERROR(INDEX(T_CAPAI,MATCH(T86,L_PER,0),MATCH(U86,L_KED,0)),0))</f>
        <v/>
      </c>
      <c r="W86" s="17">
        <f>IF(OR(B86="",E86="",COUNTA(F86,H86,J86:M86,O86,Q86:R86,T86:U86)=0),"",SUM(G86,I86,N86,P86,S86,V86))</f>
        <v/>
      </c>
      <c r="X86" s="18">
        <f>IF(W86="","",IF(Murid!F86="TL","TL",ROUND(W86/110*100,2)))</f>
        <v/>
      </c>
    </row>
    <row r="87">
      <c r="A87" s="15">
        <f>Murid!A87</f>
        <v/>
      </c>
      <c r="B87" s="15">
        <f>IF(Murid!B87="","",Murid!B87)</f>
        <v/>
      </c>
      <c r="C87" s="16">
        <f>IF(Murid!C87="","",Murid!C87)</f>
        <v/>
      </c>
      <c r="D87" s="15">
        <f>IF(Murid!E87="","",Murid!E87)</f>
        <v/>
      </c>
      <c r="E87" s="11" t="n"/>
      <c r="F87" s="11" t="n"/>
      <c r="G87" s="10">
        <f>IF(F87="","",IFERROR(VLOOKUP(F87,T_JKP,2,FALSE),0))</f>
        <v/>
      </c>
      <c r="H87" s="11" t="n"/>
      <c r="I87" s="17">
        <f>IF(H87="","",IF(H87&gt;=12,40,ROUND(H87*3.33,2)))</f>
        <v/>
      </c>
      <c r="J87" s="11" t="n"/>
      <c r="K87" s="11" t="n"/>
      <c r="L87" s="11" t="n"/>
      <c r="M87" s="11" t="n"/>
      <c r="N87" s="10">
        <f>IF(COUNTA(J87:M87)=0,"",MIN(10,SUMPRODUCT((COUNTIF(J87:M87,L_KOM)&gt;0)*S_KOM)))</f>
        <v/>
      </c>
      <c r="O87" s="11" t="n"/>
      <c r="P87" s="10">
        <f>IF(O87="","",IFERROR(VLOOKUP(O87,T_KHID,2,FALSE),0))</f>
        <v/>
      </c>
      <c r="Q87" s="11" t="n"/>
      <c r="R87" s="11" t="n"/>
      <c r="S87" s="10">
        <f>IF(AND(Q87="",R87=""),"",IFERROR(INDEX(T_LIBAT,MATCH(Q87,L_PER,0),MATCH(R87,L_JENIS,0)),0))</f>
        <v/>
      </c>
      <c r="T87" s="11" t="n"/>
      <c r="U87" s="11" t="n"/>
      <c r="V87" s="10">
        <f>IF(AND(T87="",U87=""),"",IFERROR(INDEX(T_CAPAI,MATCH(T87,L_PER,0),MATCH(U87,L_KED,0)),0))</f>
        <v/>
      </c>
      <c r="W87" s="17">
        <f>IF(OR(B87="",E87="",COUNTA(F87,H87,J87:M87,O87,Q87:R87,T87:U87)=0),"",SUM(G87,I87,N87,P87,S87,V87))</f>
        <v/>
      </c>
      <c r="X87" s="18">
        <f>IF(W87="","",IF(Murid!F87="TL","TL",ROUND(W87/110*100,2)))</f>
        <v/>
      </c>
    </row>
    <row r="88">
      <c r="A88" s="15">
        <f>Murid!A88</f>
        <v/>
      </c>
      <c r="B88" s="15">
        <f>IF(Murid!B88="","",Murid!B88)</f>
        <v/>
      </c>
      <c r="C88" s="16">
        <f>IF(Murid!C88="","",Murid!C88)</f>
        <v/>
      </c>
      <c r="D88" s="15">
        <f>IF(Murid!E88="","",Murid!E88)</f>
        <v/>
      </c>
      <c r="E88" s="11" t="n"/>
      <c r="F88" s="11" t="n"/>
      <c r="G88" s="10">
        <f>IF(F88="","",IFERROR(VLOOKUP(F88,T_JKP,2,FALSE),0))</f>
        <v/>
      </c>
      <c r="H88" s="11" t="n"/>
      <c r="I88" s="17">
        <f>IF(H88="","",IF(H88&gt;=12,40,ROUND(H88*3.33,2)))</f>
        <v/>
      </c>
      <c r="J88" s="11" t="n"/>
      <c r="K88" s="11" t="n"/>
      <c r="L88" s="11" t="n"/>
      <c r="M88" s="11" t="n"/>
      <c r="N88" s="10">
        <f>IF(COUNTA(J88:M88)=0,"",MIN(10,SUMPRODUCT((COUNTIF(J88:M88,L_KOM)&gt;0)*S_KOM)))</f>
        <v/>
      </c>
      <c r="O88" s="11" t="n"/>
      <c r="P88" s="10">
        <f>IF(O88="","",IFERROR(VLOOKUP(O88,T_KHID,2,FALSE),0))</f>
        <v/>
      </c>
      <c r="Q88" s="11" t="n"/>
      <c r="R88" s="11" t="n"/>
      <c r="S88" s="10">
        <f>IF(AND(Q88="",R88=""),"",IFERROR(INDEX(T_LIBAT,MATCH(Q88,L_PER,0),MATCH(R88,L_JENIS,0)),0))</f>
        <v/>
      </c>
      <c r="T88" s="11" t="n"/>
      <c r="U88" s="11" t="n"/>
      <c r="V88" s="10">
        <f>IF(AND(T88="",U88=""),"",IFERROR(INDEX(T_CAPAI,MATCH(T88,L_PER,0),MATCH(U88,L_KED,0)),0))</f>
        <v/>
      </c>
      <c r="W88" s="17">
        <f>IF(OR(B88="",E88="",COUNTA(F88,H88,J88:M88,O88,Q88:R88,T88:U88)=0),"",SUM(G88,I88,N88,P88,S88,V88))</f>
        <v/>
      </c>
      <c r="X88" s="18">
        <f>IF(W88="","",IF(Murid!F88="TL","TL",ROUND(W88/110*100,2)))</f>
        <v/>
      </c>
    </row>
    <row r="89">
      <c r="A89" s="15">
        <f>Murid!A89</f>
        <v/>
      </c>
      <c r="B89" s="15">
        <f>IF(Murid!B89="","",Murid!B89)</f>
        <v/>
      </c>
      <c r="C89" s="16">
        <f>IF(Murid!C89="","",Murid!C89)</f>
        <v/>
      </c>
      <c r="D89" s="15">
        <f>IF(Murid!E89="","",Murid!E89)</f>
        <v/>
      </c>
      <c r="E89" s="11" t="n"/>
      <c r="F89" s="11" t="n"/>
      <c r="G89" s="10">
        <f>IF(F89="","",IFERROR(VLOOKUP(F89,T_JKP,2,FALSE),0))</f>
        <v/>
      </c>
      <c r="H89" s="11" t="n"/>
      <c r="I89" s="17">
        <f>IF(H89="","",IF(H89&gt;=12,40,ROUND(H89*3.33,2)))</f>
        <v/>
      </c>
      <c r="J89" s="11" t="n"/>
      <c r="K89" s="11" t="n"/>
      <c r="L89" s="11" t="n"/>
      <c r="M89" s="11" t="n"/>
      <c r="N89" s="10">
        <f>IF(COUNTA(J89:M89)=0,"",MIN(10,SUMPRODUCT((COUNTIF(J89:M89,L_KOM)&gt;0)*S_KOM)))</f>
        <v/>
      </c>
      <c r="O89" s="11" t="n"/>
      <c r="P89" s="10">
        <f>IF(O89="","",IFERROR(VLOOKUP(O89,T_KHID,2,FALSE),0))</f>
        <v/>
      </c>
      <c r="Q89" s="11" t="n"/>
      <c r="R89" s="11" t="n"/>
      <c r="S89" s="10">
        <f>IF(AND(Q89="",R89=""),"",IFERROR(INDEX(T_LIBAT,MATCH(Q89,L_PER,0),MATCH(R89,L_JENIS,0)),0))</f>
        <v/>
      </c>
      <c r="T89" s="11" t="n"/>
      <c r="U89" s="11" t="n"/>
      <c r="V89" s="10">
        <f>IF(AND(T89="",U89=""),"",IFERROR(INDEX(T_CAPAI,MATCH(T89,L_PER,0),MATCH(U89,L_KED,0)),0))</f>
        <v/>
      </c>
      <c r="W89" s="17">
        <f>IF(OR(B89="",E89="",COUNTA(F89,H89,J89:M89,O89,Q89:R89,T89:U89)=0),"",SUM(G89,I89,N89,P89,S89,V89))</f>
        <v/>
      </c>
      <c r="X89" s="18">
        <f>IF(W89="","",IF(Murid!F89="TL","TL",ROUND(W89/110*100,2)))</f>
        <v/>
      </c>
    </row>
    <row r="90">
      <c r="A90" s="15">
        <f>Murid!A90</f>
        <v/>
      </c>
      <c r="B90" s="15">
        <f>IF(Murid!B90="","",Murid!B90)</f>
        <v/>
      </c>
      <c r="C90" s="16">
        <f>IF(Murid!C90="","",Murid!C90)</f>
        <v/>
      </c>
      <c r="D90" s="15">
        <f>IF(Murid!E90="","",Murid!E90)</f>
        <v/>
      </c>
      <c r="E90" s="11" t="n"/>
      <c r="F90" s="11" t="n"/>
      <c r="G90" s="10">
        <f>IF(F90="","",IFERROR(VLOOKUP(F90,T_JKP,2,FALSE),0))</f>
        <v/>
      </c>
      <c r="H90" s="11" t="n"/>
      <c r="I90" s="17">
        <f>IF(H90="","",IF(H90&gt;=12,40,ROUND(H90*3.33,2)))</f>
        <v/>
      </c>
      <c r="J90" s="11" t="n"/>
      <c r="K90" s="11" t="n"/>
      <c r="L90" s="11" t="n"/>
      <c r="M90" s="11" t="n"/>
      <c r="N90" s="10">
        <f>IF(COUNTA(J90:M90)=0,"",MIN(10,SUMPRODUCT((COUNTIF(J90:M90,L_KOM)&gt;0)*S_KOM)))</f>
        <v/>
      </c>
      <c r="O90" s="11" t="n"/>
      <c r="P90" s="10">
        <f>IF(O90="","",IFERROR(VLOOKUP(O90,T_KHID,2,FALSE),0))</f>
        <v/>
      </c>
      <c r="Q90" s="11" t="n"/>
      <c r="R90" s="11" t="n"/>
      <c r="S90" s="10">
        <f>IF(AND(Q90="",R90=""),"",IFERROR(INDEX(T_LIBAT,MATCH(Q90,L_PER,0),MATCH(R90,L_JENIS,0)),0))</f>
        <v/>
      </c>
      <c r="T90" s="11" t="n"/>
      <c r="U90" s="11" t="n"/>
      <c r="V90" s="10">
        <f>IF(AND(T90="",U90=""),"",IFERROR(INDEX(T_CAPAI,MATCH(T90,L_PER,0),MATCH(U90,L_KED,0)),0))</f>
        <v/>
      </c>
      <c r="W90" s="17">
        <f>IF(OR(B90="",E90="",COUNTA(F90,H90,J90:M90,O90,Q90:R90,T90:U90)=0),"",SUM(G90,I90,N90,P90,S90,V90))</f>
        <v/>
      </c>
      <c r="X90" s="18">
        <f>IF(W90="","",IF(Murid!F90="TL","TL",ROUND(W90/110*100,2)))</f>
        <v/>
      </c>
    </row>
    <row r="91">
      <c r="A91" s="15">
        <f>Murid!A91</f>
        <v/>
      </c>
      <c r="B91" s="15">
        <f>IF(Murid!B91="","",Murid!B91)</f>
        <v/>
      </c>
      <c r="C91" s="16">
        <f>IF(Murid!C91="","",Murid!C91)</f>
        <v/>
      </c>
      <c r="D91" s="15">
        <f>IF(Murid!E91="","",Murid!E91)</f>
        <v/>
      </c>
      <c r="E91" s="11" t="n"/>
      <c r="F91" s="11" t="n"/>
      <c r="G91" s="10">
        <f>IF(F91="","",IFERROR(VLOOKUP(F91,T_JKP,2,FALSE),0))</f>
        <v/>
      </c>
      <c r="H91" s="11" t="n"/>
      <c r="I91" s="17">
        <f>IF(H91="","",IF(H91&gt;=12,40,ROUND(H91*3.33,2)))</f>
        <v/>
      </c>
      <c r="J91" s="11" t="n"/>
      <c r="K91" s="11" t="n"/>
      <c r="L91" s="11" t="n"/>
      <c r="M91" s="11" t="n"/>
      <c r="N91" s="10">
        <f>IF(COUNTA(J91:M91)=0,"",MIN(10,SUMPRODUCT((COUNTIF(J91:M91,L_KOM)&gt;0)*S_KOM)))</f>
        <v/>
      </c>
      <c r="O91" s="11" t="n"/>
      <c r="P91" s="10">
        <f>IF(O91="","",IFERROR(VLOOKUP(O91,T_KHID,2,FALSE),0))</f>
        <v/>
      </c>
      <c r="Q91" s="11" t="n"/>
      <c r="R91" s="11" t="n"/>
      <c r="S91" s="10">
        <f>IF(AND(Q91="",R91=""),"",IFERROR(INDEX(T_LIBAT,MATCH(Q91,L_PER,0),MATCH(R91,L_JENIS,0)),0))</f>
        <v/>
      </c>
      <c r="T91" s="11" t="n"/>
      <c r="U91" s="11" t="n"/>
      <c r="V91" s="10">
        <f>IF(AND(T91="",U91=""),"",IFERROR(INDEX(T_CAPAI,MATCH(T91,L_PER,0),MATCH(U91,L_KED,0)),0))</f>
        <v/>
      </c>
      <c r="W91" s="17">
        <f>IF(OR(B91="",E91="",COUNTA(F91,H91,J91:M91,O91,Q91:R91,T91:U91)=0),"",SUM(G91,I91,N91,P91,S91,V91))</f>
        <v/>
      </c>
      <c r="X91" s="18">
        <f>IF(W91="","",IF(Murid!F91="TL","TL",ROUND(W91/110*100,2)))</f>
        <v/>
      </c>
    </row>
    <row r="92">
      <c r="A92" s="15">
        <f>Murid!A92</f>
        <v/>
      </c>
      <c r="B92" s="15">
        <f>IF(Murid!B92="","",Murid!B92)</f>
        <v/>
      </c>
      <c r="C92" s="16">
        <f>IF(Murid!C92="","",Murid!C92)</f>
        <v/>
      </c>
      <c r="D92" s="15">
        <f>IF(Murid!E92="","",Murid!E92)</f>
        <v/>
      </c>
      <c r="E92" s="11" t="n"/>
      <c r="F92" s="11" t="n"/>
      <c r="G92" s="10">
        <f>IF(F92="","",IFERROR(VLOOKUP(F92,T_JKP,2,FALSE),0))</f>
        <v/>
      </c>
      <c r="H92" s="11" t="n"/>
      <c r="I92" s="17">
        <f>IF(H92="","",IF(H92&gt;=12,40,ROUND(H92*3.33,2)))</f>
        <v/>
      </c>
      <c r="J92" s="11" t="n"/>
      <c r="K92" s="11" t="n"/>
      <c r="L92" s="11" t="n"/>
      <c r="M92" s="11" t="n"/>
      <c r="N92" s="10">
        <f>IF(COUNTA(J92:M92)=0,"",MIN(10,SUMPRODUCT((COUNTIF(J92:M92,L_KOM)&gt;0)*S_KOM)))</f>
        <v/>
      </c>
      <c r="O92" s="11" t="n"/>
      <c r="P92" s="10">
        <f>IF(O92="","",IFERROR(VLOOKUP(O92,T_KHID,2,FALSE),0))</f>
        <v/>
      </c>
      <c r="Q92" s="11" t="n"/>
      <c r="R92" s="11" t="n"/>
      <c r="S92" s="10">
        <f>IF(AND(Q92="",R92=""),"",IFERROR(INDEX(T_LIBAT,MATCH(Q92,L_PER,0),MATCH(R92,L_JENIS,0)),0))</f>
        <v/>
      </c>
      <c r="T92" s="11" t="n"/>
      <c r="U92" s="11" t="n"/>
      <c r="V92" s="10">
        <f>IF(AND(T92="",U92=""),"",IFERROR(INDEX(T_CAPAI,MATCH(T92,L_PER,0),MATCH(U92,L_KED,0)),0))</f>
        <v/>
      </c>
      <c r="W92" s="17">
        <f>IF(OR(B92="",E92="",COUNTA(F92,H92,J92:M92,O92,Q92:R92,T92:U92)=0),"",SUM(G92,I92,N92,P92,S92,V92))</f>
        <v/>
      </c>
      <c r="X92" s="18">
        <f>IF(W92="","",IF(Murid!F92="TL","TL",ROUND(W92/110*100,2)))</f>
        <v/>
      </c>
    </row>
    <row r="93">
      <c r="A93" s="15">
        <f>Murid!A93</f>
        <v/>
      </c>
      <c r="B93" s="15">
        <f>IF(Murid!B93="","",Murid!B93)</f>
        <v/>
      </c>
      <c r="C93" s="16">
        <f>IF(Murid!C93="","",Murid!C93)</f>
        <v/>
      </c>
      <c r="D93" s="15">
        <f>IF(Murid!E93="","",Murid!E93)</f>
        <v/>
      </c>
      <c r="E93" s="11" t="n"/>
      <c r="F93" s="11" t="n"/>
      <c r="G93" s="10">
        <f>IF(F93="","",IFERROR(VLOOKUP(F93,T_JKP,2,FALSE),0))</f>
        <v/>
      </c>
      <c r="H93" s="11" t="n"/>
      <c r="I93" s="17">
        <f>IF(H93="","",IF(H93&gt;=12,40,ROUND(H93*3.33,2)))</f>
        <v/>
      </c>
      <c r="J93" s="11" t="n"/>
      <c r="K93" s="11" t="n"/>
      <c r="L93" s="11" t="n"/>
      <c r="M93" s="11" t="n"/>
      <c r="N93" s="10">
        <f>IF(COUNTA(J93:M93)=0,"",MIN(10,SUMPRODUCT((COUNTIF(J93:M93,L_KOM)&gt;0)*S_KOM)))</f>
        <v/>
      </c>
      <c r="O93" s="11" t="n"/>
      <c r="P93" s="10">
        <f>IF(O93="","",IFERROR(VLOOKUP(O93,T_KHID,2,FALSE),0))</f>
        <v/>
      </c>
      <c r="Q93" s="11" t="n"/>
      <c r="R93" s="11" t="n"/>
      <c r="S93" s="10">
        <f>IF(AND(Q93="",R93=""),"",IFERROR(INDEX(T_LIBAT,MATCH(Q93,L_PER,0),MATCH(R93,L_JENIS,0)),0))</f>
        <v/>
      </c>
      <c r="T93" s="11" t="n"/>
      <c r="U93" s="11" t="n"/>
      <c r="V93" s="10">
        <f>IF(AND(T93="",U93=""),"",IFERROR(INDEX(T_CAPAI,MATCH(T93,L_PER,0),MATCH(U93,L_KED,0)),0))</f>
        <v/>
      </c>
      <c r="W93" s="17">
        <f>IF(OR(B93="",E93="",COUNTA(F93,H93,J93:M93,O93,Q93:R93,T93:U93)=0),"",SUM(G93,I93,N93,P93,S93,V93))</f>
        <v/>
      </c>
      <c r="X93" s="18">
        <f>IF(W93="","",IF(Murid!F93="TL","TL",ROUND(W93/110*100,2)))</f>
        <v/>
      </c>
    </row>
    <row r="94">
      <c r="A94" s="15">
        <f>Murid!A94</f>
        <v/>
      </c>
      <c r="B94" s="15">
        <f>IF(Murid!B94="","",Murid!B94)</f>
        <v/>
      </c>
      <c r="C94" s="16">
        <f>IF(Murid!C94="","",Murid!C94)</f>
        <v/>
      </c>
      <c r="D94" s="15">
        <f>IF(Murid!E94="","",Murid!E94)</f>
        <v/>
      </c>
      <c r="E94" s="11" t="n"/>
      <c r="F94" s="11" t="n"/>
      <c r="G94" s="10">
        <f>IF(F94="","",IFERROR(VLOOKUP(F94,T_JKP,2,FALSE),0))</f>
        <v/>
      </c>
      <c r="H94" s="11" t="n"/>
      <c r="I94" s="17">
        <f>IF(H94="","",IF(H94&gt;=12,40,ROUND(H94*3.33,2)))</f>
        <v/>
      </c>
      <c r="J94" s="11" t="n"/>
      <c r="K94" s="11" t="n"/>
      <c r="L94" s="11" t="n"/>
      <c r="M94" s="11" t="n"/>
      <c r="N94" s="10">
        <f>IF(COUNTA(J94:M94)=0,"",MIN(10,SUMPRODUCT((COUNTIF(J94:M94,L_KOM)&gt;0)*S_KOM)))</f>
        <v/>
      </c>
      <c r="O94" s="11" t="n"/>
      <c r="P94" s="10">
        <f>IF(O94="","",IFERROR(VLOOKUP(O94,T_KHID,2,FALSE),0))</f>
        <v/>
      </c>
      <c r="Q94" s="11" t="n"/>
      <c r="R94" s="11" t="n"/>
      <c r="S94" s="10">
        <f>IF(AND(Q94="",R94=""),"",IFERROR(INDEX(T_LIBAT,MATCH(Q94,L_PER,0),MATCH(R94,L_JENIS,0)),0))</f>
        <v/>
      </c>
      <c r="T94" s="11" t="n"/>
      <c r="U94" s="11" t="n"/>
      <c r="V94" s="10">
        <f>IF(AND(T94="",U94=""),"",IFERROR(INDEX(T_CAPAI,MATCH(T94,L_PER,0),MATCH(U94,L_KED,0)),0))</f>
        <v/>
      </c>
      <c r="W94" s="17">
        <f>IF(OR(B94="",E94="",COUNTA(F94,H94,J94:M94,O94,Q94:R94,T94:U94)=0),"",SUM(G94,I94,N94,P94,S94,V94))</f>
        <v/>
      </c>
      <c r="X94" s="18">
        <f>IF(W94="","",IF(Murid!F94="TL","TL",ROUND(W94/110*100,2)))</f>
        <v/>
      </c>
    </row>
    <row r="95">
      <c r="A95" s="15">
        <f>Murid!A95</f>
        <v/>
      </c>
      <c r="B95" s="15">
        <f>IF(Murid!B95="","",Murid!B95)</f>
        <v/>
      </c>
      <c r="C95" s="16">
        <f>IF(Murid!C95="","",Murid!C95)</f>
        <v/>
      </c>
      <c r="D95" s="15">
        <f>IF(Murid!E95="","",Murid!E95)</f>
        <v/>
      </c>
      <c r="E95" s="11" t="n"/>
      <c r="F95" s="11" t="n"/>
      <c r="G95" s="10">
        <f>IF(F95="","",IFERROR(VLOOKUP(F95,T_JKP,2,FALSE),0))</f>
        <v/>
      </c>
      <c r="H95" s="11" t="n"/>
      <c r="I95" s="17">
        <f>IF(H95="","",IF(H95&gt;=12,40,ROUND(H95*3.33,2)))</f>
        <v/>
      </c>
      <c r="J95" s="11" t="n"/>
      <c r="K95" s="11" t="n"/>
      <c r="L95" s="11" t="n"/>
      <c r="M95" s="11" t="n"/>
      <c r="N95" s="10">
        <f>IF(COUNTA(J95:M95)=0,"",MIN(10,SUMPRODUCT((COUNTIF(J95:M95,L_KOM)&gt;0)*S_KOM)))</f>
        <v/>
      </c>
      <c r="O95" s="11" t="n"/>
      <c r="P95" s="10">
        <f>IF(O95="","",IFERROR(VLOOKUP(O95,T_KHID,2,FALSE),0))</f>
        <v/>
      </c>
      <c r="Q95" s="11" t="n"/>
      <c r="R95" s="11" t="n"/>
      <c r="S95" s="10">
        <f>IF(AND(Q95="",R95=""),"",IFERROR(INDEX(T_LIBAT,MATCH(Q95,L_PER,0),MATCH(R95,L_JENIS,0)),0))</f>
        <v/>
      </c>
      <c r="T95" s="11" t="n"/>
      <c r="U95" s="11" t="n"/>
      <c r="V95" s="10">
        <f>IF(AND(T95="",U95=""),"",IFERROR(INDEX(T_CAPAI,MATCH(T95,L_PER,0),MATCH(U95,L_KED,0)),0))</f>
        <v/>
      </c>
      <c r="W95" s="17">
        <f>IF(OR(B95="",E95="",COUNTA(F95,H95,J95:M95,O95,Q95:R95,T95:U95)=0),"",SUM(G95,I95,N95,P95,S95,V95))</f>
        <v/>
      </c>
      <c r="X95" s="18">
        <f>IF(W95="","",IF(Murid!F95="TL","TL",ROUND(W95/110*100,2)))</f>
        <v/>
      </c>
    </row>
    <row r="96">
      <c r="A96" s="15">
        <f>Murid!A96</f>
        <v/>
      </c>
      <c r="B96" s="15">
        <f>IF(Murid!B96="","",Murid!B96)</f>
        <v/>
      </c>
      <c r="C96" s="16">
        <f>IF(Murid!C96="","",Murid!C96)</f>
        <v/>
      </c>
      <c r="D96" s="15">
        <f>IF(Murid!E96="","",Murid!E96)</f>
        <v/>
      </c>
      <c r="E96" s="11" t="n"/>
      <c r="F96" s="11" t="n"/>
      <c r="G96" s="10">
        <f>IF(F96="","",IFERROR(VLOOKUP(F96,T_JKP,2,FALSE),0))</f>
        <v/>
      </c>
      <c r="H96" s="11" t="n"/>
      <c r="I96" s="17">
        <f>IF(H96="","",IF(H96&gt;=12,40,ROUND(H96*3.33,2)))</f>
        <v/>
      </c>
      <c r="J96" s="11" t="n"/>
      <c r="K96" s="11" t="n"/>
      <c r="L96" s="11" t="n"/>
      <c r="M96" s="11" t="n"/>
      <c r="N96" s="10">
        <f>IF(COUNTA(J96:M96)=0,"",MIN(10,SUMPRODUCT((COUNTIF(J96:M96,L_KOM)&gt;0)*S_KOM)))</f>
        <v/>
      </c>
      <c r="O96" s="11" t="n"/>
      <c r="P96" s="10">
        <f>IF(O96="","",IFERROR(VLOOKUP(O96,T_KHID,2,FALSE),0))</f>
        <v/>
      </c>
      <c r="Q96" s="11" t="n"/>
      <c r="R96" s="11" t="n"/>
      <c r="S96" s="10">
        <f>IF(AND(Q96="",R96=""),"",IFERROR(INDEX(T_LIBAT,MATCH(Q96,L_PER,0),MATCH(R96,L_JENIS,0)),0))</f>
        <v/>
      </c>
      <c r="T96" s="11" t="n"/>
      <c r="U96" s="11" t="n"/>
      <c r="V96" s="10">
        <f>IF(AND(T96="",U96=""),"",IFERROR(INDEX(T_CAPAI,MATCH(T96,L_PER,0),MATCH(U96,L_KED,0)),0))</f>
        <v/>
      </c>
      <c r="W96" s="17">
        <f>IF(OR(B96="",E96="",COUNTA(F96,H96,J96:M96,O96,Q96:R96,T96:U96)=0),"",SUM(G96,I96,N96,P96,S96,V96))</f>
        <v/>
      </c>
      <c r="X96" s="18">
        <f>IF(W96="","",IF(Murid!F96="TL","TL",ROUND(W96/110*100,2)))</f>
        <v/>
      </c>
    </row>
    <row r="97">
      <c r="A97" s="15">
        <f>Murid!A97</f>
        <v/>
      </c>
      <c r="B97" s="15">
        <f>IF(Murid!B97="","",Murid!B97)</f>
        <v/>
      </c>
      <c r="C97" s="16">
        <f>IF(Murid!C97="","",Murid!C97)</f>
        <v/>
      </c>
      <c r="D97" s="15">
        <f>IF(Murid!E97="","",Murid!E97)</f>
        <v/>
      </c>
      <c r="E97" s="11" t="n"/>
      <c r="F97" s="11" t="n"/>
      <c r="G97" s="10">
        <f>IF(F97="","",IFERROR(VLOOKUP(F97,T_JKP,2,FALSE),0))</f>
        <v/>
      </c>
      <c r="H97" s="11" t="n"/>
      <c r="I97" s="17">
        <f>IF(H97="","",IF(H97&gt;=12,40,ROUND(H97*3.33,2)))</f>
        <v/>
      </c>
      <c r="J97" s="11" t="n"/>
      <c r="K97" s="11" t="n"/>
      <c r="L97" s="11" t="n"/>
      <c r="M97" s="11" t="n"/>
      <c r="N97" s="10">
        <f>IF(COUNTA(J97:M97)=0,"",MIN(10,SUMPRODUCT((COUNTIF(J97:M97,L_KOM)&gt;0)*S_KOM)))</f>
        <v/>
      </c>
      <c r="O97" s="11" t="n"/>
      <c r="P97" s="10">
        <f>IF(O97="","",IFERROR(VLOOKUP(O97,T_KHID,2,FALSE),0))</f>
        <v/>
      </c>
      <c r="Q97" s="11" t="n"/>
      <c r="R97" s="11" t="n"/>
      <c r="S97" s="10">
        <f>IF(AND(Q97="",R97=""),"",IFERROR(INDEX(T_LIBAT,MATCH(Q97,L_PER,0),MATCH(R97,L_JENIS,0)),0))</f>
        <v/>
      </c>
      <c r="T97" s="11" t="n"/>
      <c r="U97" s="11" t="n"/>
      <c r="V97" s="10">
        <f>IF(AND(T97="",U97=""),"",IFERROR(INDEX(T_CAPAI,MATCH(T97,L_PER,0),MATCH(U97,L_KED,0)),0))</f>
        <v/>
      </c>
      <c r="W97" s="17">
        <f>IF(OR(B97="",E97="",COUNTA(F97,H97,J97:M97,O97,Q97:R97,T97:U97)=0),"",SUM(G97,I97,N97,P97,S97,V97))</f>
        <v/>
      </c>
      <c r="X97" s="18">
        <f>IF(W97="","",IF(Murid!F97="TL","TL",ROUND(W97/110*100,2)))</f>
        <v/>
      </c>
    </row>
    <row r="98">
      <c r="A98" s="15">
        <f>Murid!A98</f>
        <v/>
      </c>
      <c r="B98" s="15">
        <f>IF(Murid!B98="","",Murid!B98)</f>
        <v/>
      </c>
      <c r="C98" s="16">
        <f>IF(Murid!C98="","",Murid!C98)</f>
        <v/>
      </c>
      <c r="D98" s="15">
        <f>IF(Murid!E98="","",Murid!E98)</f>
        <v/>
      </c>
      <c r="E98" s="11" t="n"/>
      <c r="F98" s="11" t="n"/>
      <c r="G98" s="10">
        <f>IF(F98="","",IFERROR(VLOOKUP(F98,T_JKP,2,FALSE),0))</f>
        <v/>
      </c>
      <c r="H98" s="11" t="n"/>
      <c r="I98" s="17">
        <f>IF(H98="","",IF(H98&gt;=12,40,ROUND(H98*3.33,2)))</f>
        <v/>
      </c>
      <c r="J98" s="11" t="n"/>
      <c r="K98" s="11" t="n"/>
      <c r="L98" s="11" t="n"/>
      <c r="M98" s="11" t="n"/>
      <c r="N98" s="10">
        <f>IF(COUNTA(J98:M98)=0,"",MIN(10,SUMPRODUCT((COUNTIF(J98:M98,L_KOM)&gt;0)*S_KOM)))</f>
        <v/>
      </c>
      <c r="O98" s="11" t="n"/>
      <c r="P98" s="10">
        <f>IF(O98="","",IFERROR(VLOOKUP(O98,T_KHID,2,FALSE),0))</f>
        <v/>
      </c>
      <c r="Q98" s="11" t="n"/>
      <c r="R98" s="11" t="n"/>
      <c r="S98" s="10">
        <f>IF(AND(Q98="",R98=""),"",IFERROR(INDEX(T_LIBAT,MATCH(Q98,L_PER,0),MATCH(R98,L_JENIS,0)),0))</f>
        <v/>
      </c>
      <c r="T98" s="11" t="n"/>
      <c r="U98" s="11" t="n"/>
      <c r="V98" s="10">
        <f>IF(AND(T98="",U98=""),"",IFERROR(INDEX(T_CAPAI,MATCH(T98,L_PER,0),MATCH(U98,L_KED,0)),0))</f>
        <v/>
      </c>
      <c r="W98" s="17">
        <f>IF(OR(B98="",E98="",COUNTA(F98,H98,J98:M98,O98,Q98:R98,T98:U98)=0),"",SUM(G98,I98,N98,P98,S98,V98))</f>
        <v/>
      </c>
      <c r="X98" s="18">
        <f>IF(W98="","",IF(Murid!F98="TL","TL",ROUND(W98/110*100,2)))</f>
        <v/>
      </c>
    </row>
    <row r="99">
      <c r="A99" s="15">
        <f>Murid!A99</f>
        <v/>
      </c>
      <c r="B99" s="15">
        <f>IF(Murid!B99="","",Murid!B99)</f>
        <v/>
      </c>
      <c r="C99" s="16">
        <f>IF(Murid!C99="","",Murid!C99)</f>
        <v/>
      </c>
      <c r="D99" s="15">
        <f>IF(Murid!E99="","",Murid!E99)</f>
        <v/>
      </c>
      <c r="E99" s="11" t="n"/>
      <c r="F99" s="11" t="n"/>
      <c r="G99" s="10">
        <f>IF(F99="","",IFERROR(VLOOKUP(F99,T_JKP,2,FALSE),0))</f>
        <v/>
      </c>
      <c r="H99" s="11" t="n"/>
      <c r="I99" s="17">
        <f>IF(H99="","",IF(H99&gt;=12,40,ROUND(H99*3.33,2)))</f>
        <v/>
      </c>
      <c r="J99" s="11" t="n"/>
      <c r="K99" s="11" t="n"/>
      <c r="L99" s="11" t="n"/>
      <c r="M99" s="11" t="n"/>
      <c r="N99" s="10">
        <f>IF(COUNTA(J99:M99)=0,"",MIN(10,SUMPRODUCT((COUNTIF(J99:M99,L_KOM)&gt;0)*S_KOM)))</f>
        <v/>
      </c>
      <c r="O99" s="11" t="n"/>
      <c r="P99" s="10">
        <f>IF(O99="","",IFERROR(VLOOKUP(O99,T_KHID,2,FALSE),0))</f>
        <v/>
      </c>
      <c r="Q99" s="11" t="n"/>
      <c r="R99" s="11" t="n"/>
      <c r="S99" s="10">
        <f>IF(AND(Q99="",R99=""),"",IFERROR(INDEX(T_LIBAT,MATCH(Q99,L_PER,0),MATCH(R99,L_JENIS,0)),0))</f>
        <v/>
      </c>
      <c r="T99" s="11" t="n"/>
      <c r="U99" s="11" t="n"/>
      <c r="V99" s="10">
        <f>IF(AND(T99="",U99=""),"",IFERROR(INDEX(T_CAPAI,MATCH(T99,L_PER,0),MATCH(U99,L_KED,0)),0))</f>
        <v/>
      </c>
      <c r="W99" s="17">
        <f>IF(OR(B99="",E99="",COUNTA(F99,H99,J99:M99,O99,Q99:R99,T99:U99)=0),"",SUM(G99,I99,N99,P99,S99,V99))</f>
        <v/>
      </c>
      <c r="X99" s="18">
        <f>IF(W99="","",IF(Murid!F99="TL","TL",ROUND(W99/110*100,2)))</f>
        <v/>
      </c>
    </row>
    <row r="100">
      <c r="A100" s="15">
        <f>Murid!A100</f>
        <v/>
      </c>
      <c r="B100" s="15">
        <f>IF(Murid!B100="","",Murid!B100)</f>
        <v/>
      </c>
      <c r="C100" s="16">
        <f>IF(Murid!C100="","",Murid!C100)</f>
        <v/>
      </c>
      <c r="D100" s="15">
        <f>IF(Murid!E100="","",Murid!E100)</f>
        <v/>
      </c>
      <c r="E100" s="11" t="n"/>
      <c r="F100" s="11" t="n"/>
      <c r="G100" s="10">
        <f>IF(F100="","",IFERROR(VLOOKUP(F100,T_JKP,2,FALSE),0))</f>
        <v/>
      </c>
      <c r="H100" s="11" t="n"/>
      <c r="I100" s="17">
        <f>IF(H100="","",IF(H100&gt;=12,40,ROUND(H100*3.33,2)))</f>
        <v/>
      </c>
      <c r="J100" s="11" t="n"/>
      <c r="K100" s="11" t="n"/>
      <c r="L100" s="11" t="n"/>
      <c r="M100" s="11" t="n"/>
      <c r="N100" s="10">
        <f>IF(COUNTA(J100:M100)=0,"",MIN(10,SUMPRODUCT((COUNTIF(J100:M100,L_KOM)&gt;0)*S_KOM)))</f>
        <v/>
      </c>
      <c r="O100" s="11" t="n"/>
      <c r="P100" s="10">
        <f>IF(O100="","",IFERROR(VLOOKUP(O100,T_KHID,2,FALSE),0))</f>
        <v/>
      </c>
      <c r="Q100" s="11" t="n"/>
      <c r="R100" s="11" t="n"/>
      <c r="S100" s="10">
        <f>IF(AND(Q100="",R100=""),"",IFERROR(INDEX(T_LIBAT,MATCH(Q100,L_PER,0),MATCH(R100,L_JENIS,0)),0))</f>
        <v/>
      </c>
      <c r="T100" s="11" t="n"/>
      <c r="U100" s="11" t="n"/>
      <c r="V100" s="10">
        <f>IF(AND(T100="",U100=""),"",IFERROR(INDEX(T_CAPAI,MATCH(T100,L_PER,0),MATCH(U100,L_KED,0)),0))</f>
        <v/>
      </c>
      <c r="W100" s="17">
        <f>IF(OR(B100="",E100="",COUNTA(F100,H100,J100:M100,O100,Q100:R100,T100:U100)=0),"",SUM(G100,I100,N100,P100,S100,V100))</f>
        <v/>
      </c>
      <c r="X100" s="18">
        <f>IF(W100="","",IF(Murid!F100="TL","TL",ROUND(W100/110*100,2)))</f>
        <v/>
      </c>
    </row>
    <row r="101">
      <c r="A101" s="15">
        <f>Murid!A101</f>
        <v/>
      </c>
      <c r="B101" s="15">
        <f>IF(Murid!B101="","",Murid!B101)</f>
        <v/>
      </c>
      <c r="C101" s="16">
        <f>IF(Murid!C101="","",Murid!C101)</f>
        <v/>
      </c>
      <c r="D101" s="15">
        <f>IF(Murid!E101="","",Murid!E101)</f>
        <v/>
      </c>
      <c r="E101" s="11" t="n"/>
      <c r="F101" s="11" t="n"/>
      <c r="G101" s="10">
        <f>IF(F101="","",IFERROR(VLOOKUP(F101,T_JKP,2,FALSE),0))</f>
        <v/>
      </c>
      <c r="H101" s="11" t="n"/>
      <c r="I101" s="17">
        <f>IF(H101="","",IF(H101&gt;=12,40,ROUND(H101*3.33,2)))</f>
        <v/>
      </c>
      <c r="J101" s="11" t="n"/>
      <c r="K101" s="11" t="n"/>
      <c r="L101" s="11" t="n"/>
      <c r="M101" s="11" t="n"/>
      <c r="N101" s="10">
        <f>IF(COUNTA(J101:M101)=0,"",MIN(10,SUMPRODUCT((COUNTIF(J101:M101,L_KOM)&gt;0)*S_KOM)))</f>
        <v/>
      </c>
      <c r="O101" s="11" t="n"/>
      <c r="P101" s="10">
        <f>IF(O101="","",IFERROR(VLOOKUP(O101,T_KHID,2,FALSE),0))</f>
        <v/>
      </c>
      <c r="Q101" s="11" t="n"/>
      <c r="R101" s="11" t="n"/>
      <c r="S101" s="10">
        <f>IF(AND(Q101="",R101=""),"",IFERROR(INDEX(T_LIBAT,MATCH(Q101,L_PER,0),MATCH(R101,L_JENIS,0)),0))</f>
        <v/>
      </c>
      <c r="T101" s="11" t="n"/>
      <c r="U101" s="11" t="n"/>
      <c r="V101" s="10">
        <f>IF(AND(T101="",U101=""),"",IFERROR(INDEX(T_CAPAI,MATCH(T101,L_PER,0),MATCH(U101,L_KED,0)),0))</f>
        <v/>
      </c>
      <c r="W101" s="17">
        <f>IF(OR(B101="",E101="",COUNTA(F101,H101,J101:M101,O101,Q101:R101,T101:U101)=0),"",SUM(G101,I101,N101,P101,S101,V101))</f>
        <v/>
      </c>
      <c r="X101" s="18">
        <f>IF(W101="","",IF(Murid!F101="TL","TL",ROUND(W101/110*100,2)))</f>
        <v/>
      </c>
    </row>
    <row r="102">
      <c r="A102" s="15">
        <f>Murid!A102</f>
        <v/>
      </c>
      <c r="B102" s="15">
        <f>IF(Murid!B102="","",Murid!B102)</f>
        <v/>
      </c>
      <c r="C102" s="16">
        <f>IF(Murid!C102="","",Murid!C102)</f>
        <v/>
      </c>
      <c r="D102" s="15">
        <f>IF(Murid!E102="","",Murid!E102)</f>
        <v/>
      </c>
      <c r="E102" s="11" t="n"/>
      <c r="F102" s="11" t="n"/>
      <c r="G102" s="10">
        <f>IF(F102="","",IFERROR(VLOOKUP(F102,T_JKP,2,FALSE),0))</f>
        <v/>
      </c>
      <c r="H102" s="11" t="n"/>
      <c r="I102" s="17">
        <f>IF(H102="","",IF(H102&gt;=12,40,ROUND(H102*3.33,2)))</f>
        <v/>
      </c>
      <c r="J102" s="11" t="n"/>
      <c r="K102" s="11" t="n"/>
      <c r="L102" s="11" t="n"/>
      <c r="M102" s="11" t="n"/>
      <c r="N102" s="10">
        <f>IF(COUNTA(J102:M102)=0,"",MIN(10,SUMPRODUCT((COUNTIF(J102:M102,L_KOM)&gt;0)*S_KOM)))</f>
        <v/>
      </c>
      <c r="O102" s="11" t="n"/>
      <c r="P102" s="10">
        <f>IF(O102="","",IFERROR(VLOOKUP(O102,T_KHID,2,FALSE),0))</f>
        <v/>
      </c>
      <c r="Q102" s="11" t="n"/>
      <c r="R102" s="11" t="n"/>
      <c r="S102" s="10">
        <f>IF(AND(Q102="",R102=""),"",IFERROR(INDEX(T_LIBAT,MATCH(Q102,L_PER,0),MATCH(R102,L_JENIS,0)),0))</f>
        <v/>
      </c>
      <c r="T102" s="11" t="n"/>
      <c r="U102" s="11" t="n"/>
      <c r="V102" s="10">
        <f>IF(AND(T102="",U102=""),"",IFERROR(INDEX(T_CAPAI,MATCH(T102,L_PER,0),MATCH(U102,L_KED,0)),0))</f>
        <v/>
      </c>
      <c r="W102" s="17">
        <f>IF(OR(B102="",E102="",COUNTA(F102,H102,J102:M102,O102,Q102:R102,T102:U102)=0),"",SUM(G102,I102,N102,P102,S102,V102))</f>
        <v/>
      </c>
      <c r="X102" s="18">
        <f>IF(W102="","",IF(Murid!F102="TL","TL",ROUND(W102/110*100,2)))</f>
        <v/>
      </c>
    </row>
    <row r="103">
      <c r="A103" s="15">
        <f>Murid!A103</f>
        <v/>
      </c>
      <c r="B103" s="15">
        <f>IF(Murid!B103="","",Murid!B103)</f>
        <v/>
      </c>
      <c r="C103" s="16">
        <f>IF(Murid!C103="","",Murid!C103)</f>
        <v/>
      </c>
      <c r="D103" s="15">
        <f>IF(Murid!E103="","",Murid!E103)</f>
        <v/>
      </c>
      <c r="E103" s="11" t="n"/>
      <c r="F103" s="11" t="n"/>
      <c r="G103" s="10">
        <f>IF(F103="","",IFERROR(VLOOKUP(F103,T_JKP,2,FALSE),0))</f>
        <v/>
      </c>
      <c r="H103" s="11" t="n"/>
      <c r="I103" s="17">
        <f>IF(H103="","",IF(H103&gt;=12,40,ROUND(H103*3.33,2)))</f>
        <v/>
      </c>
      <c r="J103" s="11" t="n"/>
      <c r="K103" s="11" t="n"/>
      <c r="L103" s="11" t="n"/>
      <c r="M103" s="11" t="n"/>
      <c r="N103" s="10">
        <f>IF(COUNTA(J103:M103)=0,"",MIN(10,SUMPRODUCT((COUNTIF(J103:M103,L_KOM)&gt;0)*S_KOM)))</f>
        <v/>
      </c>
      <c r="O103" s="11" t="n"/>
      <c r="P103" s="10">
        <f>IF(O103="","",IFERROR(VLOOKUP(O103,T_KHID,2,FALSE),0))</f>
        <v/>
      </c>
      <c r="Q103" s="11" t="n"/>
      <c r="R103" s="11" t="n"/>
      <c r="S103" s="10">
        <f>IF(AND(Q103="",R103=""),"",IFERROR(INDEX(T_LIBAT,MATCH(Q103,L_PER,0),MATCH(R103,L_JENIS,0)),0))</f>
        <v/>
      </c>
      <c r="T103" s="11" t="n"/>
      <c r="U103" s="11" t="n"/>
      <c r="V103" s="10">
        <f>IF(AND(T103="",U103=""),"",IFERROR(INDEX(T_CAPAI,MATCH(T103,L_PER,0),MATCH(U103,L_KED,0)),0))</f>
        <v/>
      </c>
      <c r="W103" s="17">
        <f>IF(OR(B103="",E103="",COUNTA(F103,H103,J103:M103,O103,Q103:R103,T103:U103)=0),"",SUM(G103,I103,N103,P103,S103,V103))</f>
        <v/>
      </c>
      <c r="X103" s="18">
        <f>IF(W103="","",IF(Murid!F103="TL","TL",ROUND(W103/110*100,2)))</f>
        <v/>
      </c>
    </row>
    <row r="104">
      <c r="A104" s="15">
        <f>Murid!A104</f>
        <v/>
      </c>
      <c r="B104" s="15">
        <f>IF(Murid!B104="","",Murid!B104)</f>
        <v/>
      </c>
      <c r="C104" s="16">
        <f>IF(Murid!C104="","",Murid!C104)</f>
        <v/>
      </c>
      <c r="D104" s="15">
        <f>IF(Murid!E104="","",Murid!E104)</f>
        <v/>
      </c>
      <c r="E104" s="11" t="n"/>
      <c r="F104" s="11" t="n"/>
      <c r="G104" s="10">
        <f>IF(F104="","",IFERROR(VLOOKUP(F104,T_JKP,2,FALSE),0))</f>
        <v/>
      </c>
      <c r="H104" s="11" t="n"/>
      <c r="I104" s="17">
        <f>IF(H104="","",IF(H104&gt;=12,40,ROUND(H104*3.33,2)))</f>
        <v/>
      </c>
      <c r="J104" s="11" t="n"/>
      <c r="K104" s="11" t="n"/>
      <c r="L104" s="11" t="n"/>
      <c r="M104" s="11" t="n"/>
      <c r="N104" s="10">
        <f>IF(COUNTA(J104:M104)=0,"",MIN(10,SUMPRODUCT((COUNTIF(J104:M104,L_KOM)&gt;0)*S_KOM)))</f>
        <v/>
      </c>
      <c r="O104" s="11" t="n"/>
      <c r="P104" s="10">
        <f>IF(O104="","",IFERROR(VLOOKUP(O104,T_KHID,2,FALSE),0))</f>
        <v/>
      </c>
      <c r="Q104" s="11" t="n"/>
      <c r="R104" s="11" t="n"/>
      <c r="S104" s="10">
        <f>IF(AND(Q104="",R104=""),"",IFERROR(INDEX(T_LIBAT,MATCH(Q104,L_PER,0),MATCH(R104,L_JENIS,0)),0))</f>
        <v/>
      </c>
      <c r="T104" s="11" t="n"/>
      <c r="U104" s="11" t="n"/>
      <c r="V104" s="10">
        <f>IF(AND(T104="",U104=""),"",IFERROR(INDEX(T_CAPAI,MATCH(T104,L_PER,0),MATCH(U104,L_KED,0)),0))</f>
        <v/>
      </c>
      <c r="W104" s="17">
        <f>IF(OR(B104="",E104="",COUNTA(F104,H104,J104:M104,O104,Q104:R104,T104:U104)=0),"",SUM(G104,I104,N104,P104,S104,V104))</f>
        <v/>
      </c>
      <c r="X104" s="18">
        <f>IF(W104="","",IF(Murid!F104="TL","TL",ROUND(W104/110*100,2)))</f>
        <v/>
      </c>
    </row>
    <row r="105">
      <c r="A105" s="15">
        <f>Murid!A105</f>
        <v/>
      </c>
      <c r="B105" s="15">
        <f>IF(Murid!B105="","",Murid!B105)</f>
        <v/>
      </c>
      <c r="C105" s="16">
        <f>IF(Murid!C105="","",Murid!C105)</f>
        <v/>
      </c>
      <c r="D105" s="15">
        <f>IF(Murid!E105="","",Murid!E105)</f>
        <v/>
      </c>
      <c r="E105" s="11" t="n"/>
      <c r="F105" s="11" t="n"/>
      <c r="G105" s="10">
        <f>IF(F105="","",IFERROR(VLOOKUP(F105,T_JKP,2,FALSE),0))</f>
        <v/>
      </c>
      <c r="H105" s="11" t="n"/>
      <c r="I105" s="17">
        <f>IF(H105="","",IF(H105&gt;=12,40,ROUND(H105*3.33,2)))</f>
        <v/>
      </c>
      <c r="J105" s="11" t="n"/>
      <c r="K105" s="11" t="n"/>
      <c r="L105" s="11" t="n"/>
      <c r="M105" s="11" t="n"/>
      <c r="N105" s="10">
        <f>IF(COUNTA(J105:M105)=0,"",MIN(10,SUMPRODUCT((COUNTIF(J105:M105,L_KOM)&gt;0)*S_KOM)))</f>
        <v/>
      </c>
      <c r="O105" s="11" t="n"/>
      <c r="P105" s="10">
        <f>IF(O105="","",IFERROR(VLOOKUP(O105,T_KHID,2,FALSE),0))</f>
        <v/>
      </c>
      <c r="Q105" s="11" t="n"/>
      <c r="R105" s="11" t="n"/>
      <c r="S105" s="10">
        <f>IF(AND(Q105="",R105=""),"",IFERROR(INDEX(T_LIBAT,MATCH(Q105,L_PER,0),MATCH(R105,L_JENIS,0)),0))</f>
        <v/>
      </c>
      <c r="T105" s="11" t="n"/>
      <c r="U105" s="11" t="n"/>
      <c r="V105" s="10">
        <f>IF(AND(T105="",U105=""),"",IFERROR(INDEX(T_CAPAI,MATCH(T105,L_PER,0),MATCH(U105,L_KED,0)),0))</f>
        <v/>
      </c>
      <c r="W105" s="17">
        <f>IF(OR(B105="",E105="",COUNTA(F105,H105,J105:M105,O105,Q105:R105,T105:U105)=0),"",SUM(G105,I105,N105,P105,S105,V105))</f>
        <v/>
      </c>
      <c r="X105" s="18">
        <f>IF(W105="","",IF(Murid!F105="TL","TL",ROUND(W105/110*100,2)))</f>
        <v/>
      </c>
    </row>
    <row r="106">
      <c r="A106" s="15">
        <f>Murid!A106</f>
        <v/>
      </c>
      <c r="B106" s="15">
        <f>IF(Murid!B106="","",Murid!B106)</f>
        <v/>
      </c>
      <c r="C106" s="16">
        <f>IF(Murid!C106="","",Murid!C106)</f>
        <v/>
      </c>
      <c r="D106" s="15">
        <f>IF(Murid!E106="","",Murid!E106)</f>
        <v/>
      </c>
      <c r="E106" s="11" t="n"/>
      <c r="F106" s="11" t="n"/>
      <c r="G106" s="10">
        <f>IF(F106="","",IFERROR(VLOOKUP(F106,T_JKP,2,FALSE),0))</f>
        <v/>
      </c>
      <c r="H106" s="11" t="n"/>
      <c r="I106" s="17">
        <f>IF(H106="","",IF(H106&gt;=12,40,ROUND(H106*3.33,2)))</f>
        <v/>
      </c>
      <c r="J106" s="11" t="n"/>
      <c r="K106" s="11" t="n"/>
      <c r="L106" s="11" t="n"/>
      <c r="M106" s="11" t="n"/>
      <c r="N106" s="10">
        <f>IF(COUNTA(J106:M106)=0,"",MIN(10,SUMPRODUCT((COUNTIF(J106:M106,L_KOM)&gt;0)*S_KOM)))</f>
        <v/>
      </c>
      <c r="O106" s="11" t="n"/>
      <c r="P106" s="10">
        <f>IF(O106="","",IFERROR(VLOOKUP(O106,T_KHID,2,FALSE),0))</f>
        <v/>
      </c>
      <c r="Q106" s="11" t="n"/>
      <c r="R106" s="11" t="n"/>
      <c r="S106" s="10">
        <f>IF(AND(Q106="",R106=""),"",IFERROR(INDEX(T_LIBAT,MATCH(Q106,L_PER,0),MATCH(R106,L_JENIS,0)),0))</f>
        <v/>
      </c>
      <c r="T106" s="11" t="n"/>
      <c r="U106" s="11" t="n"/>
      <c r="V106" s="10">
        <f>IF(AND(T106="",U106=""),"",IFERROR(INDEX(T_CAPAI,MATCH(T106,L_PER,0),MATCH(U106,L_KED,0)),0))</f>
        <v/>
      </c>
      <c r="W106" s="17">
        <f>IF(OR(B106="",E106="",COUNTA(F106,H106,J106:M106,O106,Q106:R106,T106:U106)=0),"",SUM(G106,I106,N106,P106,S106,V106))</f>
        <v/>
      </c>
      <c r="X106" s="18">
        <f>IF(W106="","",IF(Murid!F106="TL","TL",ROUND(W106/110*100,2)))</f>
        <v/>
      </c>
    </row>
    <row r="107">
      <c r="A107" s="15">
        <f>Murid!A107</f>
        <v/>
      </c>
      <c r="B107" s="15">
        <f>IF(Murid!B107="","",Murid!B107)</f>
        <v/>
      </c>
      <c r="C107" s="16">
        <f>IF(Murid!C107="","",Murid!C107)</f>
        <v/>
      </c>
      <c r="D107" s="15">
        <f>IF(Murid!E107="","",Murid!E107)</f>
        <v/>
      </c>
      <c r="E107" s="11" t="n"/>
      <c r="F107" s="11" t="n"/>
      <c r="G107" s="10">
        <f>IF(F107="","",IFERROR(VLOOKUP(F107,T_JKP,2,FALSE),0))</f>
        <v/>
      </c>
      <c r="H107" s="11" t="n"/>
      <c r="I107" s="17">
        <f>IF(H107="","",IF(H107&gt;=12,40,ROUND(H107*3.33,2)))</f>
        <v/>
      </c>
      <c r="J107" s="11" t="n"/>
      <c r="K107" s="11" t="n"/>
      <c r="L107" s="11" t="n"/>
      <c r="M107" s="11" t="n"/>
      <c r="N107" s="10">
        <f>IF(COUNTA(J107:M107)=0,"",MIN(10,SUMPRODUCT((COUNTIF(J107:M107,L_KOM)&gt;0)*S_KOM)))</f>
        <v/>
      </c>
      <c r="O107" s="11" t="n"/>
      <c r="P107" s="10">
        <f>IF(O107="","",IFERROR(VLOOKUP(O107,T_KHID,2,FALSE),0))</f>
        <v/>
      </c>
      <c r="Q107" s="11" t="n"/>
      <c r="R107" s="11" t="n"/>
      <c r="S107" s="10">
        <f>IF(AND(Q107="",R107=""),"",IFERROR(INDEX(T_LIBAT,MATCH(Q107,L_PER,0),MATCH(R107,L_JENIS,0)),0))</f>
        <v/>
      </c>
      <c r="T107" s="11" t="n"/>
      <c r="U107" s="11" t="n"/>
      <c r="V107" s="10">
        <f>IF(AND(T107="",U107=""),"",IFERROR(INDEX(T_CAPAI,MATCH(T107,L_PER,0),MATCH(U107,L_KED,0)),0))</f>
        <v/>
      </c>
      <c r="W107" s="17">
        <f>IF(OR(B107="",E107="",COUNTA(F107,H107,J107:M107,O107,Q107:R107,T107:U107)=0),"",SUM(G107,I107,N107,P107,S107,V107))</f>
        <v/>
      </c>
      <c r="X107" s="18">
        <f>IF(W107="","",IF(Murid!F107="TL","TL",ROUND(W107/110*100,2)))</f>
        <v/>
      </c>
    </row>
    <row r="108">
      <c r="A108" s="15">
        <f>Murid!A108</f>
        <v/>
      </c>
      <c r="B108" s="15">
        <f>IF(Murid!B108="","",Murid!B108)</f>
        <v/>
      </c>
      <c r="C108" s="16">
        <f>IF(Murid!C108="","",Murid!C108)</f>
        <v/>
      </c>
      <c r="D108" s="15">
        <f>IF(Murid!E108="","",Murid!E108)</f>
        <v/>
      </c>
      <c r="E108" s="11" t="n"/>
      <c r="F108" s="11" t="n"/>
      <c r="G108" s="10">
        <f>IF(F108="","",IFERROR(VLOOKUP(F108,T_JKP,2,FALSE),0))</f>
        <v/>
      </c>
      <c r="H108" s="11" t="n"/>
      <c r="I108" s="17">
        <f>IF(H108="","",IF(H108&gt;=12,40,ROUND(H108*3.33,2)))</f>
        <v/>
      </c>
      <c r="J108" s="11" t="n"/>
      <c r="K108" s="11" t="n"/>
      <c r="L108" s="11" t="n"/>
      <c r="M108" s="11" t="n"/>
      <c r="N108" s="10">
        <f>IF(COUNTA(J108:M108)=0,"",MIN(10,SUMPRODUCT((COUNTIF(J108:M108,L_KOM)&gt;0)*S_KOM)))</f>
        <v/>
      </c>
      <c r="O108" s="11" t="n"/>
      <c r="P108" s="10">
        <f>IF(O108="","",IFERROR(VLOOKUP(O108,T_KHID,2,FALSE),0))</f>
        <v/>
      </c>
      <c r="Q108" s="11" t="n"/>
      <c r="R108" s="11" t="n"/>
      <c r="S108" s="10">
        <f>IF(AND(Q108="",R108=""),"",IFERROR(INDEX(T_LIBAT,MATCH(Q108,L_PER,0),MATCH(R108,L_JENIS,0)),0))</f>
        <v/>
      </c>
      <c r="T108" s="11" t="n"/>
      <c r="U108" s="11" t="n"/>
      <c r="V108" s="10">
        <f>IF(AND(T108="",U108=""),"",IFERROR(INDEX(T_CAPAI,MATCH(T108,L_PER,0),MATCH(U108,L_KED,0)),0))</f>
        <v/>
      </c>
      <c r="W108" s="17">
        <f>IF(OR(B108="",E108="",COUNTA(F108,H108,J108:M108,O108,Q108:R108,T108:U108)=0),"",SUM(G108,I108,N108,P108,S108,V108))</f>
        <v/>
      </c>
      <c r="X108" s="18">
        <f>IF(W108="","",IF(Murid!F108="TL","TL",ROUND(W108/110*100,2)))</f>
        <v/>
      </c>
    </row>
    <row r="109">
      <c r="A109" s="15">
        <f>Murid!A109</f>
        <v/>
      </c>
      <c r="B109" s="15">
        <f>IF(Murid!B109="","",Murid!B109)</f>
        <v/>
      </c>
      <c r="C109" s="16">
        <f>IF(Murid!C109="","",Murid!C109)</f>
        <v/>
      </c>
      <c r="D109" s="15">
        <f>IF(Murid!E109="","",Murid!E109)</f>
        <v/>
      </c>
      <c r="E109" s="11" t="n"/>
      <c r="F109" s="11" t="n"/>
      <c r="G109" s="10">
        <f>IF(F109="","",IFERROR(VLOOKUP(F109,T_JKP,2,FALSE),0))</f>
        <v/>
      </c>
      <c r="H109" s="11" t="n"/>
      <c r="I109" s="17">
        <f>IF(H109="","",IF(H109&gt;=12,40,ROUND(H109*3.33,2)))</f>
        <v/>
      </c>
      <c r="J109" s="11" t="n"/>
      <c r="K109" s="11" t="n"/>
      <c r="L109" s="11" t="n"/>
      <c r="M109" s="11" t="n"/>
      <c r="N109" s="10">
        <f>IF(COUNTA(J109:M109)=0,"",MIN(10,SUMPRODUCT((COUNTIF(J109:M109,L_KOM)&gt;0)*S_KOM)))</f>
        <v/>
      </c>
      <c r="O109" s="11" t="n"/>
      <c r="P109" s="10">
        <f>IF(O109="","",IFERROR(VLOOKUP(O109,T_KHID,2,FALSE),0))</f>
        <v/>
      </c>
      <c r="Q109" s="11" t="n"/>
      <c r="R109" s="11" t="n"/>
      <c r="S109" s="10">
        <f>IF(AND(Q109="",R109=""),"",IFERROR(INDEX(T_LIBAT,MATCH(Q109,L_PER,0),MATCH(R109,L_JENIS,0)),0))</f>
        <v/>
      </c>
      <c r="T109" s="11" t="n"/>
      <c r="U109" s="11" t="n"/>
      <c r="V109" s="10">
        <f>IF(AND(T109="",U109=""),"",IFERROR(INDEX(T_CAPAI,MATCH(T109,L_PER,0),MATCH(U109,L_KED,0)),0))</f>
        <v/>
      </c>
      <c r="W109" s="17">
        <f>IF(OR(B109="",E109="",COUNTA(F109,H109,J109:M109,O109,Q109:R109,T109:U109)=0),"",SUM(G109,I109,N109,P109,S109,V109))</f>
        <v/>
      </c>
      <c r="X109" s="18">
        <f>IF(W109="","",IF(Murid!F109="TL","TL",ROUND(W109/110*100,2)))</f>
        <v/>
      </c>
    </row>
    <row r="110">
      <c r="A110" s="15">
        <f>Murid!A110</f>
        <v/>
      </c>
      <c r="B110" s="15">
        <f>IF(Murid!B110="","",Murid!B110)</f>
        <v/>
      </c>
      <c r="C110" s="16">
        <f>IF(Murid!C110="","",Murid!C110)</f>
        <v/>
      </c>
      <c r="D110" s="15">
        <f>IF(Murid!E110="","",Murid!E110)</f>
        <v/>
      </c>
      <c r="E110" s="11" t="n"/>
      <c r="F110" s="11" t="n"/>
      <c r="G110" s="10">
        <f>IF(F110="","",IFERROR(VLOOKUP(F110,T_JKP,2,FALSE),0))</f>
        <v/>
      </c>
      <c r="H110" s="11" t="n"/>
      <c r="I110" s="17">
        <f>IF(H110="","",IF(H110&gt;=12,40,ROUND(H110*3.33,2)))</f>
        <v/>
      </c>
      <c r="J110" s="11" t="n"/>
      <c r="K110" s="11" t="n"/>
      <c r="L110" s="11" t="n"/>
      <c r="M110" s="11" t="n"/>
      <c r="N110" s="10">
        <f>IF(COUNTA(J110:M110)=0,"",MIN(10,SUMPRODUCT((COUNTIF(J110:M110,L_KOM)&gt;0)*S_KOM)))</f>
        <v/>
      </c>
      <c r="O110" s="11" t="n"/>
      <c r="P110" s="10">
        <f>IF(O110="","",IFERROR(VLOOKUP(O110,T_KHID,2,FALSE),0))</f>
        <v/>
      </c>
      <c r="Q110" s="11" t="n"/>
      <c r="R110" s="11" t="n"/>
      <c r="S110" s="10">
        <f>IF(AND(Q110="",R110=""),"",IFERROR(INDEX(T_LIBAT,MATCH(Q110,L_PER,0),MATCH(R110,L_JENIS,0)),0))</f>
        <v/>
      </c>
      <c r="T110" s="11" t="n"/>
      <c r="U110" s="11" t="n"/>
      <c r="V110" s="10">
        <f>IF(AND(T110="",U110=""),"",IFERROR(INDEX(T_CAPAI,MATCH(T110,L_PER,0),MATCH(U110,L_KED,0)),0))</f>
        <v/>
      </c>
      <c r="W110" s="17">
        <f>IF(OR(B110="",E110="",COUNTA(F110,H110,J110:M110,O110,Q110:R110,T110:U110)=0),"",SUM(G110,I110,N110,P110,S110,V110))</f>
        <v/>
      </c>
      <c r="X110" s="18">
        <f>IF(W110="","",IF(Murid!F110="TL","TL",ROUND(W110/110*100,2)))</f>
        <v/>
      </c>
    </row>
    <row r="111">
      <c r="A111" s="15">
        <f>Murid!A111</f>
        <v/>
      </c>
      <c r="B111" s="15">
        <f>IF(Murid!B111="","",Murid!B111)</f>
        <v/>
      </c>
      <c r="C111" s="16">
        <f>IF(Murid!C111="","",Murid!C111)</f>
        <v/>
      </c>
      <c r="D111" s="15">
        <f>IF(Murid!E111="","",Murid!E111)</f>
        <v/>
      </c>
      <c r="E111" s="11" t="n"/>
      <c r="F111" s="11" t="n"/>
      <c r="G111" s="10">
        <f>IF(F111="","",IFERROR(VLOOKUP(F111,T_JKP,2,FALSE),0))</f>
        <v/>
      </c>
      <c r="H111" s="11" t="n"/>
      <c r="I111" s="17">
        <f>IF(H111="","",IF(H111&gt;=12,40,ROUND(H111*3.33,2)))</f>
        <v/>
      </c>
      <c r="J111" s="11" t="n"/>
      <c r="K111" s="11" t="n"/>
      <c r="L111" s="11" t="n"/>
      <c r="M111" s="11" t="n"/>
      <c r="N111" s="10">
        <f>IF(COUNTA(J111:M111)=0,"",MIN(10,SUMPRODUCT((COUNTIF(J111:M111,L_KOM)&gt;0)*S_KOM)))</f>
        <v/>
      </c>
      <c r="O111" s="11" t="n"/>
      <c r="P111" s="10">
        <f>IF(O111="","",IFERROR(VLOOKUP(O111,T_KHID,2,FALSE),0))</f>
        <v/>
      </c>
      <c r="Q111" s="11" t="n"/>
      <c r="R111" s="11" t="n"/>
      <c r="S111" s="10">
        <f>IF(AND(Q111="",R111=""),"",IFERROR(INDEX(T_LIBAT,MATCH(Q111,L_PER,0),MATCH(R111,L_JENIS,0)),0))</f>
        <v/>
      </c>
      <c r="T111" s="11" t="n"/>
      <c r="U111" s="11" t="n"/>
      <c r="V111" s="10">
        <f>IF(AND(T111="",U111=""),"",IFERROR(INDEX(T_CAPAI,MATCH(T111,L_PER,0),MATCH(U111,L_KED,0)),0))</f>
        <v/>
      </c>
      <c r="W111" s="17">
        <f>IF(OR(B111="",E111="",COUNTA(F111,H111,J111:M111,O111,Q111:R111,T111:U111)=0),"",SUM(G111,I111,N111,P111,S111,V111))</f>
        <v/>
      </c>
      <c r="X111" s="18">
        <f>IF(W111="","",IF(Murid!F111="TL","TL",ROUND(W111/110*100,2)))</f>
        <v/>
      </c>
    </row>
    <row r="112">
      <c r="A112" s="15">
        <f>Murid!A112</f>
        <v/>
      </c>
      <c r="B112" s="15">
        <f>IF(Murid!B112="","",Murid!B112)</f>
        <v/>
      </c>
      <c r="C112" s="16">
        <f>IF(Murid!C112="","",Murid!C112)</f>
        <v/>
      </c>
      <c r="D112" s="15">
        <f>IF(Murid!E112="","",Murid!E112)</f>
        <v/>
      </c>
      <c r="E112" s="11" t="n"/>
      <c r="F112" s="11" t="n"/>
      <c r="G112" s="10">
        <f>IF(F112="","",IFERROR(VLOOKUP(F112,T_JKP,2,FALSE),0))</f>
        <v/>
      </c>
      <c r="H112" s="11" t="n"/>
      <c r="I112" s="17">
        <f>IF(H112="","",IF(H112&gt;=12,40,ROUND(H112*3.33,2)))</f>
        <v/>
      </c>
      <c r="J112" s="11" t="n"/>
      <c r="K112" s="11" t="n"/>
      <c r="L112" s="11" t="n"/>
      <c r="M112" s="11" t="n"/>
      <c r="N112" s="10">
        <f>IF(COUNTA(J112:M112)=0,"",MIN(10,SUMPRODUCT((COUNTIF(J112:M112,L_KOM)&gt;0)*S_KOM)))</f>
        <v/>
      </c>
      <c r="O112" s="11" t="n"/>
      <c r="P112" s="10">
        <f>IF(O112="","",IFERROR(VLOOKUP(O112,T_KHID,2,FALSE),0))</f>
        <v/>
      </c>
      <c r="Q112" s="11" t="n"/>
      <c r="R112" s="11" t="n"/>
      <c r="S112" s="10">
        <f>IF(AND(Q112="",R112=""),"",IFERROR(INDEX(T_LIBAT,MATCH(Q112,L_PER,0),MATCH(R112,L_JENIS,0)),0))</f>
        <v/>
      </c>
      <c r="T112" s="11" t="n"/>
      <c r="U112" s="11" t="n"/>
      <c r="V112" s="10">
        <f>IF(AND(T112="",U112=""),"",IFERROR(INDEX(T_CAPAI,MATCH(T112,L_PER,0),MATCH(U112,L_KED,0)),0))</f>
        <v/>
      </c>
      <c r="W112" s="17">
        <f>IF(OR(B112="",E112="",COUNTA(F112,H112,J112:M112,O112,Q112:R112,T112:U112)=0),"",SUM(G112,I112,N112,P112,S112,V112))</f>
        <v/>
      </c>
      <c r="X112" s="18">
        <f>IF(W112="","",IF(Murid!F112="TL","TL",ROUND(W112/110*100,2)))</f>
        <v/>
      </c>
    </row>
    <row r="113">
      <c r="A113" s="15">
        <f>Murid!A113</f>
        <v/>
      </c>
      <c r="B113" s="15">
        <f>IF(Murid!B113="","",Murid!B113)</f>
        <v/>
      </c>
      <c r="C113" s="16">
        <f>IF(Murid!C113="","",Murid!C113)</f>
        <v/>
      </c>
      <c r="D113" s="15">
        <f>IF(Murid!E113="","",Murid!E113)</f>
        <v/>
      </c>
      <c r="E113" s="11" t="n"/>
      <c r="F113" s="11" t="n"/>
      <c r="G113" s="10">
        <f>IF(F113="","",IFERROR(VLOOKUP(F113,T_JKP,2,FALSE),0))</f>
        <v/>
      </c>
      <c r="H113" s="11" t="n"/>
      <c r="I113" s="17">
        <f>IF(H113="","",IF(H113&gt;=12,40,ROUND(H113*3.33,2)))</f>
        <v/>
      </c>
      <c r="J113" s="11" t="n"/>
      <c r="K113" s="11" t="n"/>
      <c r="L113" s="11" t="n"/>
      <c r="M113" s="11" t="n"/>
      <c r="N113" s="10">
        <f>IF(COUNTA(J113:M113)=0,"",MIN(10,SUMPRODUCT((COUNTIF(J113:M113,L_KOM)&gt;0)*S_KOM)))</f>
        <v/>
      </c>
      <c r="O113" s="11" t="n"/>
      <c r="P113" s="10">
        <f>IF(O113="","",IFERROR(VLOOKUP(O113,T_KHID,2,FALSE),0))</f>
        <v/>
      </c>
      <c r="Q113" s="11" t="n"/>
      <c r="R113" s="11" t="n"/>
      <c r="S113" s="10">
        <f>IF(AND(Q113="",R113=""),"",IFERROR(INDEX(T_LIBAT,MATCH(Q113,L_PER,0),MATCH(R113,L_JENIS,0)),0))</f>
        <v/>
      </c>
      <c r="T113" s="11" t="n"/>
      <c r="U113" s="11" t="n"/>
      <c r="V113" s="10">
        <f>IF(AND(T113="",U113=""),"",IFERROR(INDEX(T_CAPAI,MATCH(T113,L_PER,0),MATCH(U113,L_KED,0)),0))</f>
        <v/>
      </c>
      <c r="W113" s="17">
        <f>IF(OR(B113="",E113="",COUNTA(F113,H113,J113:M113,O113,Q113:R113,T113:U113)=0),"",SUM(G113,I113,N113,P113,S113,V113))</f>
        <v/>
      </c>
      <c r="X113" s="18">
        <f>IF(W113="","",IF(Murid!F113="TL","TL",ROUND(W113/110*100,2)))</f>
        <v/>
      </c>
    </row>
    <row r="114">
      <c r="A114" s="15">
        <f>Murid!A114</f>
        <v/>
      </c>
      <c r="B114" s="15">
        <f>IF(Murid!B114="","",Murid!B114)</f>
        <v/>
      </c>
      <c r="C114" s="16">
        <f>IF(Murid!C114="","",Murid!C114)</f>
        <v/>
      </c>
      <c r="D114" s="15">
        <f>IF(Murid!E114="","",Murid!E114)</f>
        <v/>
      </c>
      <c r="E114" s="11" t="n"/>
      <c r="F114" s="11" t="n"/>
      <c r="G114" s="10">
        <f>IF(F114="","",IFERROR(VLOOKUP(F114,T_JKP,2,FALSE),0))</f>
        <v/>
      </c>
      <c r="H114" s="11" t="n"/>
      <c r="I114" s="17">
        <f>IF(H114="","",IF(H114&gt;=12,40,ROUND(H114*3.33,2)))</f>
        <v/>
      </c>
      <c r="J114" s="11" t="n"/>
      <c r="K114" s="11" t="n"/>
      <c r="L114" s="11" t="n"/>
      <c r="M114" s="11" t="n"/>
      <c r="N114" s="10">
        <f>IF(COUNTA(J114:M114)=0,"",MIN(10,SUMPRODUCT((COUNTIF(J114:M114,L_KOM)&gt;0)*S_KOM)))</f>
        <v/>
      </c>
      <c r="O114" s="11" t="n"/>
      <c r="P114" s="10">
        <f>IF(O114="","",IFERROR(VLOOKUP(O114,T_KHID,2,FALSE),0))</f>
        <v/>
      </c>
      <c r="Q114" s="11" t="n"/>
      <c r="R114" s="11" t="n"/>
      <c r="S114" s="10">
        <f>IF(AND(Q114="",R114=""),"",IFERROR(INDEX(T_LIBAT,MATCH(Q114,L_PER,0),MATCH(R114,L_JENIS,0)),0))</f>
        <v/>
      </c>
      <c r="T114" s="11" t="n"/>
      <c r="U114" s="11" t="n"/>
      <c r="V114" s="10">
        <f>IF(AND(T114="",U114=""),"",IFERROR(INDEX(T_CAPAI,MATCH(T114,L_PER,0),MATCH(U114,L_KED,0)),0))</f>
        <v/>
      </c>
      <c r="W114" s="17">
        <f>IF(OR(B114="",E114="",COUNTA(F114,H114,J114:M114,O114,Q114:R114,T114:U114)=0),"",SUM(G114,I114,N114,P114,S114,V114))</f>
        <v/>
      </c>
      <c r="X114" s="18">
        <f>IF(W114="","",IF(Murid!F114="TL","TL",ROUND(W114/110*100,2)))</f>
        <v/>
      </c>
    </row>
    <row r="115">
      <c r="A115" s="15">
        <f>Murid!A115</f>
        <v/>
      </c>
      <c r="B115" s="15">
        <f>IF(Murid!B115="","",Murid!B115)</f>
        <v/>
      </c>
      <c r="C115" s="16">
        <f>IF(Murid!C115="","",Murid!C115)</f>
        <v/>
      </c>
      <c r="D115" s="15">
        <f>IF(Murid!E115="","",Murid!E115)</f>
        <v/>
      </c>
      <c r="E115" s="11" t="n"/>
      <c r="F115" s="11" t="n"/>
      <c r="G115" s="10">
        <f>IF(F115="","",IFERROR(VLOOKUP(F115,T_JKP,2,FALSE),0))</f>
        <v/>
      </c>
      <c r="H115" s="11" t="n"/>
      <c r="I115" s="17">
        <f>IF(H115="","",IF(H115&gt;=12,40,ROUND(H115*3.33,2)))</f>
        <v/>
      </c>
      <c r="J115" s="11" t="n"/>
      <c r="K115" s="11" t="n"/>
      <c r="L115" s="11" t="n"/>
      <c r="M115" s="11" t="n"/>
      <c r="N115" s="10">
        <f>IF(COUNTA(J115:M115)=0,"",MIN(10,SUMPRODUCT((COUNTIF(J115:M115,L_KOM)&gt;0)*S_KOM)))</f>
        <v/>
      </c>
      <c r="O115" s="11" t="n"/>
      <c r="P115" s="10">
        <f>IF(O115="","",IFERROR(VLOOKUP(O115,T_KHID,2,FALSE),0))</f>
        <v/>
      </c>
      <c r="Q115" s="11" t="n"/>
      <c r="R115" s="11" t="n"/>
      <c r="S115" s="10">
        <f>IF(AND(Q115="",R115=""),"",IFERROR(INDEX(T_LIBAT,MATCH(Q115,L_PER,0),MATCH(R115,L_JENIS,0)),0))</f>
        <v/>
      </c>
      <c r="T115" s="11" t="n"/>
      <c r="U115" s="11" t="n"/>
      <c r="V115" s="10">
        <f>IF(AND(T115="",U115=""),"",IFERROR(INDEX(T_CAPAI,MATCH(T115,L_PER,0),MATCH(U115,L_KED,0)),0))</f>
        <v/>
      </c>
      <c r="W115" s="17">
        <f>IF(OR(B115="",E115="",COUNTA(F115,H115,J115:M115,O115,Q115:R115,T115:U115)=0),"",SUM(G115,I115,N115,P115,S115,V115))</f>
        <v/>
      </c>
      <c r="X115" s="18">
        <f>IF(W115="","",IF(Murid!F115="TL","TL",ROUND(W115/110*100,2)))</f>
        <v/>
      </c>
    </row>
    <row r="116">
      <c r="A116" s="15">
        <f>Murid!A116</f>
        <v/>
      </c>
      <c r="B116" s="15">
        <f>IF(Murid!B116="","",Murid!B116)</f>
        <v/>
      </c>
      <c r="C116" s="16">
        <f>IF(Murid!C116="","",Murid!C116)</f>
        <v/>
      </c>
      <c r="D116" s="15">
        <f>IF(Murid!E116="","",Murid!E116)</f>
        <v/>
      </c>
      <c r="E116" s="11" t="n"/>
      <c r="F116" s="11" t="n"/>
      <c r="G116" s="10">
        <f>IF(F116="","",IFERROR(VLOOKUP(F116,T_JKP,2,FALSE),0))</f>
        <v/>
      </c>
      <c r="H116" s="11" t="n"/>
      <c r="I116" s="17">
        <f>IF(H116="","",IF(H116&gt;=12,40,ROUND(H116*3.33,2)))</f>
        <v/>
      </c>
      <c r="J116" s="11" t="n"/>
      <c r="K116" s="11" t="n"/>
      <c r="L116" s="11" t="n"/>
      <c r="M116" s="11" t="n"/>
      <c r="N116" s="10">
        <f>IF(COUNTA(J116:M116)=0,"",MIN(10,SUMPRODUCT((COUNTIF(J116:M116,L_KOM)&gt;0)*S_KOM)))</f>
        <v/>
      </c>
      <c r="O116" s="11" t="n"/>
      <c r="P116" s="10">
        <f>IF(O116="","",IFERROR(VLOOKUP(O116,T_KHID,2,FALSE),0))</f>
        <v/>
      </c>
      <c r="Q116" s="11" t="n"/>
      <c r="R116" s="11" t="n"/>
      <c r="S116" s="10">
        <f>IF(AND(Q116="",R116=""),"",IFERROR(INDEX(T_LIBAT,MATCH(Q116,L_PER,0),MATCH(R116,L_JENIS,0)),0))</f>
        <v/>
      </c>
      <c r="T116" s="11" t="n"/>
      <c r="U116" s="11" t="n"/>
      <c r="V116" s="10">
        <f>IF(AND(T116="",U116=""),"",IFERROR(INDEX(T_CAPAI,MATCH(T116,L_PER,0),MATCH(U116,L_KED,0)),0))</f>
        <v/>
      </c>
      <c r="W116" s="17">
        <f>IF(OR(B116="",E116="",COUNTA(F116,H116,J116:M116,O116,Q116:R116,T116:U116)=0),"",SUM(G116,I116,N116,P116,S116,V116))</f>
        <v/>
      </c>
      <c r="X116" s="18">
        <f>IF(W116="","",IF(Murid!F116="TL","TL",ROUND(W116/110*100,2)))</f>
        <v/>
      </c>
    </row>
    <row r="117">
      <c r="A117" s="15">
        <f>Murid!A117</f>
        <v/>
      </c>
      <c r="B117" s="15">
        <f>IF(Murid!B117="","",Murid!B117)</f>
        <v/>
      </c>
      <c r="C117" s="16">
        <f>IF(Murid!C117="","",Murid!C117)</f>
        <v/>
      </c>
      <c r="D117" s="15">
        <f>IF(Murid!E117="","",Murid!E117)</f>
        <v/>
      </c>
      <c r="E117" s="11" t="n"/>
      <c r="F117" s="11" t="n"/>
      <c r="G117" s="10">
        <f>IF(F117="","",IFERROR(VLOOKUP(F117,T_JKP,2,FALSE),0))</f>
        <v/>
      </c>
      <c r="H117" s="11" t="n"/>
      <c r="I117" s="17">
        <f>IF(H117="","",IF(H117&gt;=12,40,ROUND(H117*3.33,2)))</f>
        <v/>
      </c>
      <c r="J117" s="11" t="n"/>
      <c r="K117" s="11" t="n"/>
      <c r="L117" s="11" t="n"/>
      <c r="M117" s="11" t="n"/>
      <c r="N117" s="10">
        <f>IF(COUNTA(J117:M117)=0,"",MIN(10,SUMPRODUCT((COUNTIF(J117:M117,L_KOM)&gt;0)*S_KOM)))</f>
        <v/>
      </c>
      <c r="O117" s="11" t="n"/>
      <c r="P117" s="10">
        <f>IF(O117="","",IFERROR(VLOOKUP(O117,T_KHID,2,FALSE),0))</f>
        <v/>
      </c>
      <c r="Q117" s="11" t="n"/>
      <c r="R117" s="11" t="n"/>
      <c r="S117" s="10">
        <f>IF(AND(Q117="",R117=""),"",IFERROR(INDEX(T_LIBAT,MATCH(Q117,L_PER,0),MATCH(R117,L_JENIS,0)),0))</f>
        <v/>
      </c>
      <c r="T117" s="11" t="n"/>
      <c r="U117" s="11" t="n"/>
      <c r="V117" s="10">
        <f>IF(AND(T117="",U117=""),"",IFERROR(INDEX(T_CAPAI,MATCH(T117,L_PER,0),MATCH(U117,L_KED,0)),0))</f>
        <v/>
      </c>
      <c r="W117" s="17">
        <f>IF(OR(B117="",E117="",COUNTA(F117,H117,J117:M117,O117,Q117:R117,T117:U117)=0),"",SUM(G117,I117,N117,P117,S117,V117))</f>
        <v/>
      </c>
      <c r="X117" s="18">
        <f>IF(W117="","",IF(Murid!F117="TL","TL",ROUND(W117/110*100,2)))</f>
        <v/>
      </c>
    </row>
    <row r="118">
      <c r="A118" s="15">
        <f>Murid!A118</f>
        <v/>
      </c>
      <c r="B118" s="15">
        <f>IF(Murid!B118="","",Murid!B118)</f>
        <v/>
      </c>
      <c r="C118" s="16">
        <f>IF(Murid!C118="","",Murid!C118)</f>
        <v/>
      </c>
      <c r="D118" s="15">
        <f>IF(Murid!E118="","",Murid!E118)</f>
        <v/>
      </c>
      <c r="E118" s="11" t="n"/>
      <c r="F118" s="11" t="n"/>
      <c r="G118" s="10">
        <f>IF(F118="","",IFERROR(VLOOKUP(F118,T_JKP,2,FALSE),0))</f>
        <v/>
      </c>
      <c r="H118" s="11" t="n"/>
      <c r="I118" s="17">
        <f>IF(H118="","",IF(H118&gt;=12,40,ROUND(H118*3.33,2)))</f>
        <v/>
      </c>
      <c r="J118" s="11" t="n"/>
      <c r="K118" s="11" t="n"/>
      <c r="L118" s="11" t="n"/>
      <c r="M118" s="11" t="n"/>
      <c r="N118" s="10">
        <f>IF(COUNTA(J118:M118)=0,"",MIN(10,SUMPRODUCT((COUNTIF(J118:M118,L_KOM)&gt;0)*S_KOM)))</f>
        <v/>
      </c>
      <c r="O118" s="11" t="n"/>
      <c r="P118" s="10">
        <f>IF(O118="","",IFERROR(VLOOKUP(O118,T_KHID,2,FALSE),0))</f>
        <v/>
      </c>
      <c r="Q118" s="11" t="n"/>
      <c r="R118" s="11" t="n"/>
      <c r="S118" s="10">
        <f>IF(AND(Q118="",R118=""),"",IFERROR(INDEX(T_LIBAT,MATCH(Q118,L_PER,0),MATCH(R118,L_JENIS,0)),0))</f>
        <v/>
      </c>
      <c r="T118" s="11" t="n"/>
      <c r="U118" s="11" t="n"/>
      <c r="V118" s="10">
        <f>IF(AND(T118="",U118=""),"",IFERROR(INDEX(T_CAPAI,MATCH(T118,L_PER,0),MATCH(U118,L_KED,0)),0))</f>
        <v/>
      </c>
      <c r="W118" s="17">
        <f>IF(OR(B118="",E118="",COUNTA(F118,H118,J118:M118,O118,Q118:R118,T118:U118)=0),"",SUM(G118,I118,N118,P118,S118,V118))</f>
        <v/>
      </c>
      <c r="X118" s="18">
        <f>IF(W118="","",IF(Murid!F118="TL","TL",ROUND(W118/110*100,2)))</f>
        <v/>
      </c>
    </row>
    <row r="119">
      <c r="A119" s="15">
        <f>Murid!A119</f>
        <v/>
      </c>
      <c r="B119" s="15">
        <f>IF(Murid!B119="","",Murid!B119)</f>
        <v/>
      </c>
      <c r="C119" s="16">
        <f>IF(Murid!C119="","",Murid!C119)</f>
        <v/>
      </c>
      <c r="D119" s="15">
        <f>IF(Murid!E119="","",Murid!E119)</f>
        <v/>
      </c>
      <c r="E119" s="11" t="n"/>
      <c r="F119" s="11" t="n"/>
      <c r="G119" s="10">
        <f>IF(F119="","",IFERROR(VLOOKUP(F119,T_JKP,2,FALSE),0))</f>
        <v/>
      </c>
      <c r="H119" s="11" t="n"/>
      <c r="I119" s="17">
        <f>IF(H119="","",IF(H119&gt;=12,40,ROUND(H119*3.33,2)))</f>
        <v/>
      </c>
      <c r="J119" s="11" t="n"/>
      <c r="K119" s="11" t="n"/>
      <c r="L119" s="11" t="n"/>
      <c r="M119" s="11" t="n"/>
      <c r="N119" s="10">
        <f>IF(COUNTA(J119:M119)=0,"",MIN(10,SUMPRODUCT((COUNTIF(J119:M119,L_KOM)&gt;0)*S_KOM)))</f>
        <v/>
      </c>
      <c r="O119" s="11" t="n"/>
      <c r="P119" s="10">
        <f>IF(O119="","",IFERROR(VLOOKUP(O119,T_KHID,2,FALSE),0))</f>
        <v/>
      </c>
      <c r="Q119" s="11" t="n"/>
      <c r="R119" s="11" t="n"/>
      <c r="S119" s="10">
        <f>IF(AND(Q119="",R119=""),"",IFERROR(INDEX(T_LIBAT,MATCH(Q119,L_PER,0),MATCH(R119,L_JENIS,0)),0))</f>
        <v/>
      </c>
      <c r="T119" s="11" t="n"/>
      <c r="U119" s="11" t="n"/>
      <c r="V119" s="10">
        <f>IF(AND(T119="",U119=""),"",IFERROR(INDEX(T_CAPAI,MATCH(T119,L_PER,0),MATCH(U119,L_KED,0)),0))</f>
        <v/>
      </c>
      <c r="W119" s="17">
        <f>IF(OR(B119="",E119="",COUNTA(F119,H119,J119:M119,O119,Q119:R119,T119:U119)=0),"",SUM(G119,I119,N119,P119,S119,V119))</f>
        <v/>
      </c>
      <c r="X119" s="18">
        <f>IF(W119="","",IF(Murid!F119="TL","TL",ROUND(W119/110*100,2)))</f>
        <v/>
      </c>
    </row>
    <row r="120">
      <c r="A120" s="15">
        <f>Murid!A120</f>
        <v/>
      </c>
      <c r="B120" s="15">
        <f>IF(Murid!B120="","",Murid!B120)</f>
        <v/>
      </c>
      <c r="C120" s="16">
        <f>IF(Murid!C120="","",Murid!C120)</f>
        <v/>
      </c>
      <c r="D120" s="15">
        <f>IF(Murid!E120="","",Murid!E120)</f>
        <v/>
      </c>
      <c r="E120" s="11" t="n"/>
      <c r="F120" s="11" t="n"/>
      <c r="G120" s="10">
        <f>IF(F120="","",IFERROR(VLOOKUP(F120,T_JKP,2,FALSE),0))</f>
        <v/>
      </c>
      <c r="H120" s="11" t="n"/>
      <c r="I120" s="17">
        <f>IF(H120="","",IF(H120&gt;=12,40,ROUND(H120*3.33,2)))</f>
        <v/>
      </c>
      <c r="J120" s="11" t="n"/>
      <c r="K120" s="11" t="n"/>
      <c r="L120" s="11" t="n"/>
      <c r="M120" s="11" t="n"/>
      <c r="N120" s="10">
        <f>IF(COUNTA(J120:M120)=0,"",MIN(10,SUMPRODUCT((COUNTIF(J120:M120,L_KOM)&gt;0)*S_KOM)))</f>
        <v/>
      </c>
      <c r="O120" s="11" t="n"/>
      <c r="P120" s="10">
        <f>IF(O120="","",IFERROR(VLOOKUP(O120,T_KHID,2,FALSE),0))</f>
        <v/>
      </c>
      <c r="Q120" s="11" t="n"/>
      <c r="R120" s="11" t="n"/>
      <c r="S120" s="10">
        <f>IF(AND(Q120="",R120=""),"",IFERROR(INDEX(T_LIBAT,MATCH(Q120,L_PER,0),MATCH(R120,L_JENIS,0)),0))</f>
        <v/>
      </c>
      <c r="T120" s="11" t="n"/>
      <c r="U120" s="11" t="n"/>
      <c r="V120" s="10">
        <f>IF(AND(T120="",U120=""),"",IFERROR(INDEX(T_CAPAI,MATCH(T120,L_PER,0),MATCH(U120,L_KED,0)),0))</f>
        <v/>
      </c>
      <c r="W120" s="17">
        <f>IF(OR(B120="",E120="",COUNTA(F120,H120,J120:M120,O120,Q120:R120,T120:U120)=0),"",SUM(G120,I120,N120,P120,S120,V120))</f>
        <v/>
      </c>
      <c r="X120" s="18">
        <f>IF(W120="","",IF(Murid!F120="TL","TL",ROUND(W120/110*100,2)))</f>
        <v/>
      </c>
    </row>
    <row r="121">
      <c r="A121" s="15">
        <f>Murid!A121</f>
        <v/>
      </c>
      <c r="B121" s="15">
        <f>IF(Murid!B121="","",Murid!B121)</f>
        <v/>
      </c>
      <c r="C121" s="16">
        <f>IF(Murid!C121="","",Murid!C121)</f>
        <v/>
      </c>
      <c r="D121" s="15">
        <f>IF(Murid!E121="","",Murid!E121)</f>
        <v/>
      </c>
      <c r="E121" s="11" t="n"/>
      <c r="F121" s="11" t="n"/>
      <c r="G121" s="10">
        <f>IF(F121="","",IFERROR(VLOOKUP(F121,T_JKP,2,FALSE),0))</f>
        <v/>
      </c>
      <c r="H121" s="11" t="n"/>
      <c r="I121" s="17">
        <f>IF(H121="","",IF(H121&gt;=12,40,ROUND(H121*3.33,2)))</f>
        <v/>
      </c>
      <c r="J121" s="11" t="n"/>
      <c r="K121" s="11" t="n"/>
      <c r="L121" s="11" t="n"/>
      <c r="M121" s="11" t="n"/>
      <c r="N121" s="10">
        <f>IF(COUNTA(J121:M121)=0,"",MIN(10,SUMPRODUCT((COUNTIF(J121:M121,L_KOM)&gt;0)*S_KOM)))</f>
        <v/>
      </c>
      <c r="O121" s="11" t="n"/>
      <c r="P121" s="10">
        <f>IF(O121="","",IFERROR(VLOOKUP(O121,T_KHID,2,FALSE),0))</f>
        <v/>
      </c>
      <c r="Q121" s="11" t="n"/>
      <c r="R121" s="11" t="n"/>
      <c r="S121" s="10">
        <f>IF(AND(Q121="",R121=""),"",IFERROR(INDEX(T_LIBAT,MATCH(Q121,L_PER,0),MATCH(R121,L_JENIS,0)),0))</f>
        <v/>
      </c>
      <c r="T121" s="11" t="n"/>
      <c r="U121" s="11" t="n"/>
      <c r="V121" s="10">
        <f>IF(AND(T121="",U121=""),"",IFERROR(INDEX(T_CAPAI,MATCH(T121,L_PER,0),MATCH(U121,L_KED,0)),0))</f>
        <v/>
      </c>
      <c r="W121" s="17">
        <f>IF(OR(B121="",E121="",COUNTA(F121,H121,J121:M121,O121,Q121:R121,T121:U121)=0),"",SUM(G121,I121,N121,P121,S121,V121))</f>
        <v/>
      </c>
      <c r="X121" s="18">
        <f>IF(W121="","",IF(Murid!F121="TL","TL",ROUND(W121/110*100,2)))</f>
        <v/>
      </c>
    </row>
    <row r="122">
      <c r="A122" s="15">
        <f>Murid!A122</f>
        <v/>
      </c>
      <c r="B122" s="15">
        <f>IF(Murid!B122="","",Murid!B122)</f>
        <v/>
      </c>
      <c r="C122" s="16">
        <f>IF(Murid!C122="","",Murid!C122)</f>
        <v/>
      </c>
      <c r="D122" s="15">
        <f>IF(Murid!E122="","",Murid!E122)</f>
        <v/>
      </c>
      <c r="E122" s="11" t="n"/>
      <c r="F122" s="11" t="n"/>
      <c r="G122" s="10">
        <f>IF(F122="","",IFERROR(VLOOKUP(F122,T_JKP,2,FALSE),0))</f>
        <v/>
      </c>
      <c r="H122" s="11" t="n"/>
      <c r="I122" s="17">
        <f>IF(H122="","",IF(H122&gt;=12,40,ROUND(H122*3.33,2)))</f>
        <v/>
      </c>
      <c r="J122" s="11" t="n"/>
      <c r="K122" s="11" t="n"/>
      <c r="L122" s="11" t="n"/>
      <c r="M122" s="11" t="n"/>
      <c r="N122" s="10">
        <f>IF(COUNTA(J122:M122)=0,"",MIN(10,SUMPRODUCT((COUNTIF(J122:M122,L_KOM)&gt;0)*S_KOM)))</f>
        <v/>
      </c>
      <c r="O122" s="11" t="n"/>
      <c r="P122" s="10">
        <f>IF(O122="","",IFERROR(VLOOKUP(O122,T_KHID,2,FALSE),0))</f>
        <v/>
      </c>
      <c r="Q122" s="11" t="n"/>
      <c r="R122" s="11" t="n"/>
      <c r="S122" s="10">
        <f>IF(AND(Q122="",R122=""),"",IFERROR(INDEX(T_LIBAT,MATCH(Q122,L_PER,0),MATCH(R122,L_JENIS,0)),0))</f>
        <v/>
      </c>
      <c r="T122" s="11" t="n"/>
      <c r="U122" s="11" t="n"/>
      <c r="V122" s="10">
        <f>IF(AND(T122="",U122=""),"",IFERROR(INDEX(T_CAPAI,MATCH(T122,L_PER,0),MATCH(U122,L_KED,0)),0))</f>
        <v/>
      </c>
      <c r="W122" s="17">
        <f>IF(OR(B122="",E122="",COUNTA(F122,H122,J122:M122,O122,Q122:R122,T122:U122)=0),"",SUM(G122,I122,N122,P122,S122,V122))</f>
        <v/>
      </c>
      <c r="X122" s="18">
        <f>IF(W122="","",IF(Murid!F122="TL","TL",ROUND(W122/110*100,2)))</f>
        <v/>
      </c>
    </row>
    <row r="123">
      <c r="A123" s="15">
        <f>Murid!A123</f>
        <v/>
      </c>
      <c r="B123" s="15">
        <f>IF(Murid!B123="","",Murid!B123)</f>
        <v/>
      </c>
      <c r="C123" s="16">
        <f>IF(Murid!C123="","",Murid!C123)</f>
        <v/>
      </c>
      <c r="D123" s="15">
        <f>IF(Murid!E123="","",Murid!E123)</f>
        <v/>
      </c>
      <c r="E123" s="11" t="n"/>
      <c r="F123" s="11" t="n"/>
      <c r="G123" s="10">
        <f>IF(F123="","",IFERROR(VLOOKUP(F123,T_JKP,2,FALSE),0))</f>
        <v/>
      </c>
      <c r="H123" s="11" t="n"/>
      <c r="I123" s="17">
        <f>IF(H123="","",IF(H123&gt;=12,40,ROUND(H123*3.33,2)))</f>
        <v/>
      </c>
      <c r="J123" s="11" t="n"/>
      <c r="K123" s="11" t="n"/>
      <c r="L123" s="11" t="n"/>
      <c r="M123" s="11" t="n"/>
      <c r="N123" s="10">
        <f>IF(COUNTA(J123:M123)=0,"",MIN(10,SUMPRODUCT((COUNTIF(J123:M123,L_KOM)&gt;0)*S_KOM)))</f>
        <v/>
      </c>
      <c r="O123" s="11" t="n"/>
      <c r="P123" s="10">
        <f>IF(O123="","",IFERROR(VLOOKUP(O123,T_KHID,2,FALSE),0))</f>
        <v/>
      </c>
      <c r="Q123" s="11" t="n"/>
      <c r="R123" s="11" t="n"/>
      <c r="S123" s="10">
        <f>IF(AND(Q123="",R123=""),"",IFERROR(INDEX(T_LIBAT,MATCH(Q123,L_PER,0),MATCH(R123,L_JENIS,0)),0))</f>
        <v/>
      </c>
      <c r="T123" s="11" t="n"/>
      <c r="U123" s="11" t="n"/>
      <c r="V123" s="10">
        <f>IF(AND(T123="",U123=""),"",IFERROR(INDEX(T_CAPAI,MATCH(T123,L_PER,0),MATCH(U123,L_KED,0)),0))</f>
        <v/>
      </c>
      <c r="W123" s="17">
        <f>IF(OR(B123="",E123="",COUNTA(F123,H123,J123:M123,O123,Q123:R123,T123:U123)=0),"",SUM(G123,I123,N123,P123,S123,V123))</f>
        <v/>
      </c>
      <c r="X123" s="18">
        <f>IF(W123="","",IF(Murid!F123="TL","TL",ROUND(W123/110*100,2)))</f>
        <v/>
      </c>
    </row>
    <row r="124">
      <c r="A124" s="15">
        <f>Murid!A124</f>
        <v/>
      </c>
      <c r="B124" s="15">
        <f>IF(Murid!B124="","",Murid!B124)</f>
        <v/>
      </c>
      <c r="C124" s="16">
        <f>IF(Murid!C124="","",Murid!C124)</f>
        <v/>
      </c>
      <c r="D124" s="15">
        <f>IF(Murid!E124="","",Murid!E124)</f>
        <v/>
      </c>
      <c r="E124" s="11" t="n"/>
      <c r="F124" s="11" t="n"/>
      <c r="G124" s="10">
        <f>IF(F124="","",IFERROR(VLOOKUP(F124,T_JKP,2,FALSE),0))</f>
        <v/>
      </c>
      <c r="H124" s="11" t="n"/>
      <c r="I124" s="17">
        <f>IF(H124="","",IF(H124&gt;=12,40,ROUND(H124*3.33,2)))</f>
        <v/>
      </c>
      <c r="J124" s="11" t="n"/>
      <c r="K124" s="11" t="n"/>
      <c r="L124" s="11" t="n"/>
      <c r="M124" s="11" t="n"/>
      <c r="N124" s="10">
        <f>IF(COUNTA(J124:M124)=0,"",MIN(10,SUMPRODUCT((COUNTIF(J124:M124,L_KOM)&gt;0)*S_KOM)))</f>
        <v/>
      </c>
      <c r="O124" s="11" t="n"/>
      <c r="P124" s="10">
        <f>IF(O124="","",IFERROR(VLOOKUP(O124,T_KHID,2,FALSE),0))</f>
        <v/>
      </c>
      <c r="Q124" s="11" t="n"/>
      <c r="R124" s="11" t="n"/>
      <c r="S124" s="10">
        <f>IF(AND(Q124="",R124=""),"",IFERROR(INDEX(T_LIBAT,MATCH(Q124,L_PER,0),MATCH(R124,L_JENIS,0)),0))</f>
        <v/>
      </c>
      <c r="T124" s="11" t="n"/>
      <c r="U124" s="11" t="n"/>
      <c r="V124" s="10">
        <f>IF(AND(T124="",U124=""),"",IFERROR(INDEX(T_CAPAI,MATCH(T124,L_PER,0),MATCH(U124,L_KED,0)),0))</f>
        <v/>
      </c>
      <c r="W124" s="17">
        <f>IF(OR(B124="",E124="",COUNTA(F124,H124,J124:M124,O124,Q124:R124,T124:U124)=0),"",SUM(G124,I124,N124,P124,S124,V124))</f>
        <v/>
      </c>
      <c r="X124" s="18">
        <f>IF(W124="","",IF(Murid!F124="TL","TL",ROUND(W124/110*100,2)))</f>
        <v/>
      </c>
    </row>
    <row r="125">
      <c r="A125" s="15">
        <f>Murid!A125</f>
        <v/>
      </c>
      <c r="B125" s="15">
        <f>IF(Murid!B125="","",Murid!B125)</f>
        <v/>
      </c>
      <c r="C125" s="16">
        <f>IF(Murid!C125="","",Murid!C125)</f>
        <v/>
      </c>
      <c r="D125" s="15">
        <f>IF(Murid!E125="","",Murid!E125)</f>
        <v/>
      </c>
      <c r="E125" s="11" t="n"/>
      <c r="F125" s="11" t="n"/>
      <c r="G125" s="10">
        <f>IF(F125="","",IFERROR(VLOOKUP(F125,T_JKP,2,FALSE),0))</f>
        <v/>
      </c>
      <c r="H125" s="11" t="n"/>
      <c r="I125" s="17">
        <f>IF(H125="","",IF(H125&gt;=12,40,ROUND(H125*3.33,2)))</f>
        <v/>
      </c>
      <c r="J125" s="11" t="n"/>
      <c r="K125" s="11" t="n"/>
      <c r="L125" s="11" t="n"/>
      <c r="M125" s="11" t="n"/>
      <c r="N125" s="10">
        <f>IF(COUNTA(J125:M125)=0,"",MIN(10,SUMPRODUCT((COUNTIF(J125:M125,L_KOM)&gt;0)*S_KOM)))</f>
        <v/>
      </c>
      <c r="O125" s="11" t="n"/>
      <c r="P125" s="10">
        <f>IF(O125="","",IFERROR(VLOOKUP(O125,T_KHID,2,FALSE),0))</f>
        <v/>
      </c>
      <c r="Q125" s="11" t="n"/>
      <c r="R125" s="11" t="n"/>
      <c r="S125" s="10">
        <f>IF(AND(Q125="",R125=""),"",IFERROR(INDEX(T_LIBAT,MATCH(Q125,L_PER,0),MATCH(R125,L_JENIS,0)),0))</f>
        <v/>
      </c>
      <c r="T125" s="11" t="n"/>
      <c r="U125" s="11" t="n"/>
      <c r="V125" s="10">
        <f>IF(AND(T125="",U125=""),"",IFERROR(INDEX(T_CAPAI,MATCH(T125,L_PER,0),MATCH(U125,L_KED,0)),0))</f>
        <v/>
      </c>
      <c r="W125" s="17">
        <f>IF(OR(B125="",E125="",COUNTA(F125,H125,J125:M125,O125,Q125:R125,T125:U125)=0),"",SUM(G125,I125,N125,P125,S125,V125))</f>
        <v/>
      </c>
      <c r="X125" s="18">
        <f>IF(W125="","",IF(Murid!F125="TL","TL",ROUND(W125/110*100,2)))</f>
        <v/>
      </c>
    </row>
    <row r="126">
      <c r="A126" s="15">
        <f>Murid!A126</f>
        <v/>
      </c>
      <c r="B126" s="15">
        <f>IF(Murid!B126="","",Murid!B126)</f>
        <v/>
      </c>
      <c r="C126" s="16">
        <f>IF(Murid!C126="","",Murid!C126)</f>
        <v/>
      </c>
      <c r="D126" s="15">
        <f>IF(Murid!E126="","",Murid!E126)</f>
        <v/>
      </c>
      <c r="E126" s="11" t="n"/>
      <c r="F126" s="11" t="n"/>
      <c r="G126" s="10">
        <f>IF(F126="","",IFERROR(VLOOKUP(F126,T_JKP,2,FALSE),0))</f>
        <v/>
      </c>
      <c r="H126" s="11" t="n"/>
      <c r="I126" s="17">
        <f>IF(H126="","",IF(H126&gt;=12,40,ROUND(H126*3.33,2)))</f>
        <v/>
      </c>
      <c r="J126" s="11" t="n"/>
      <c r="K126" s="11" t="n"/>
      <c r="L126" s="11" t="n"/>
      <c r="M126" s="11" t="n"/>
      <c r="N126" s="10">
        <f>IF(COUNTA(J126:M126)=0,"",MIN(10,SUMPRODUCT((COUNTIF(J126:M126,L_KOM)&gt;0)*S_KOM)))</f>
        <v/>
      </c>
      <c r="O126" s="11" t="n"/>
      <c r="P126" s="10">
        <f>IF(O126="","",IFERROR(VLOOKUP(O126,T_KHID,2,FALSE),0))</f>
        <v/>
      </c>
      <c r="Q126" s="11" t="n"/>
      <c r="R126" s="11" t="n"/>
      <c r="S126" s="10">
        <f>IF(AND(Q126="",R126=""),"",IFERROR(INDEX(T_LIBAT,MATCH(Q126,L_PER,0),MATCH(R126,L_JENIS,0)),0))</f>
        <v/>
      </c>
      <c r="T126" s="11" t="n"/>
      <c r="U126" s="11" t="n"/>
      <c r="V126" s="10">
        <f>IF(AND(T126="",U126=""),"",IFERROR(INDEX(T_CAPAI,MATCH(T126,L_PER,0),MATCH(U126,L_KED,0)),0))</f>
        <v/>
      </c>
      <c r="W126" s="17">
        <f>IF(OR(B126="",E126="",COUNTA(F126,H126,J126:M126,O126,Q126:R126,T126:U126)=0),"",SUM(G126,I126,N126,P126,S126,V126))</f>
        <v/>
      </c>
      <c r="X126" s="18">
        <f>IF(W126="","",IF(Murid!F126="TL","TL",ROUND(W126/110*100,2)))</f>
        <v/>
      </c>
    </row>
    <row r="127">
      <c r="A127" s="15">
        <f>Murid!A127</f>
        <v/>
      </c>
      <c r="B127" s="15">
        <f>IF(Murid!B127="","",Murid!B127)</f>
        <v/>
      </c>
      <c r="C127" s="16">
        <f>IF(Murid!C127="","",Murid!C127)</f>
        <v/>
      </c>
      <c r="D127" s="15">
        <f>IF(Murid!E127="","",Murid!E127)</f>
        <v/>
      </c>
      <c r="E127" s="11" t="n"/>
      <c r="F127" s="11" t="n"/>
      <c r="G127" s="10">
        <f>IF(F127="","",IFERROR(VLOOKUP(F127,T_JKP,2,FALSE),0))</f>
        <v/>
      </c>
      <c r="H127" s="11" t="n"/>
      <c r="I127" s="17">
        <f>IF(H127="","",IF(H127&gt;=12,40,ROUND(H127*3.33,2)))</f>
        <v/>
      </c>
      <c r="J127" s="11" t="n"/>
      <c r="K127" s="11" t="n"/>
      <c r="L127" s="11" t="n"/>
      <c r="M127" s="11" t="n"/>
      <c r="N127" s="10">
        <f>IF(COUNTA(J127:M127)=0,"",MIN(10,SUMPRODUCT((COUNTIF(J127:M127,L_KOM)&gt;0)*S_KOM)))</f>
        <v/>
      </c>
      <c r="O127" s="11" t="n"/>
      <c r="P127" s="10">
        <f>IF(O127="","",IFERROR(VLOOKUP(O127,T_KHID,2,FALSE),0))</f>
        <v/>
      </c>
      <c r="Q127" s="11" t="n"/>
      <c r="R127" s="11" t="n"/>
      <c r="S127" s="10">
        <f>IF(AND(Q127="",R127=""),"",IFERROR(INDEX(T_LIBAT,MATCH(Q127,L_PER,0),MATCH(R127,L_JENIS,0)),0))</f>
        <v/>
      </c>
      <c r="T127" s="11" t="n"/>
      <c r="U127" s="11" t="n"/>
      <c r="V127" s="10">
        <f>IF(AND(T127="",U127=""),"",IFERROR(INDEX(T_CAPAI,MATCH(T127,L_PER,0),MATCH(U127,L_KED,0)),0))</f>
        <v/>
      </c>
      <c r="W127" s="17">
        <f>IF(OR(B127="",E127="",COUNTA(F127,H127,J127:M127,O127,Q127:R127,T127:U127)=0),"",SUM(G127,I127,N127,P127,S127,V127))</f>
        <v/>
      </c>
      <c r="X127" s="18">
        <f>IF(W127="","",IF(Murid!F127="TL","TL",ROUND(W127/110*100,2)))</f>
        <v/>
      </c>
    </row>
    <row r="128">
      <c r="A128" s="15">
        <f>Murid!A128</f>
        <v/>
      </c>
      <c r="B128" s="15">
        <f>IF(Murid!B128="","",Murid!B128)</f>
        <v/>
      </c>
      <c r="C128" s="16">
        <f>IF(Murid!C128="","",Murid!C128)</f>
        <v/>
      </c>
      <c r="D128" s="15">
        <f>IF(Murid!E128="","",Murid!E128)</f>
        <v/>
      </c>
      <c r="E128" s="11" t="n"/>
      <c r="F128" s="11" t="n"/>
      <c r="G128" s="10">
        <f>IF(F128="","",IFERROR(VLOOKUP(F128,T_JKP,2,FALSE),0))</f>
        <v/>
      </c>
      <c r="H128" s="11" t="n"/>
      <c r="I128" s="17">
        <f>IF(H128="","",IF(H128&gt;=12,40,ROUND(H128*3.33,2)))</f>
        <v/>
      </c>
      <c r="J128" s="11" t="n"/>
      <c r="K128" s="11" t="n"/>
      <c r="L128" s="11" t="n"/>
      <c r="M128" s="11" t="n"/>
      <c r="N128" s="10">
        <f>IF(COUNTA(J128:M128)=0,"",MIN(10,SUMPRODUCT((COUNTIF(J128:M128,L_KOM)&gt;0)*S_KOM)))</f>
        <v/>
      </c>
      <c r="O128" s="11" t="n"/>
      <c r="P128" s="10">
        <f>IF(O128="","",IFERROR(VLOOKUP(O128,T_KHID,2,FALSE),0))</f>
        <v/>
      </c>
      <c r="Q128" s="11" t="n"/>
      <c r="R128" s="11" t="n"/>
      <c r="S128" s="10">
        <f>IF(AND(Q128="",R128=""),"",IFERROR(INDEX(T_LIBAT,MATCH(Q128,L_PER,0),MATCH(R128,L_JENIS,0)),0))</f>
        <v/>
      </c>
      <c r="T128" s="11" t="n"/>
      <c r="U128" s="11" t="n"/>
      <c r="V128" s="10">
        <f>IF(AND(T128="",U128=""),"",IFERROR(INDEX(T_CAPAI,MATCH(T128,L_PER,0),MATCH(U128,L_KED,0)),0))</f>
        <v/>
      </c>
      <c r="W128" s="17">
        <f>IF(OR(B128="",E128="",COUNTA(F128,H128,J128:M128,O128,Q128:R128,T128:U128)=0),"",SUM(G128,I128,N128,P128,S128,V128))</f>
        <v/>
      </c>
      <c r="X128" s="18">
        <f>IF(W128="","",IF(Murid!F128="TL","TL",ROUND(W128/110*100,2)))</f>
        <v/>
      </c>
    </row>
    <row r="129">
      <c r="A129" s="15">
        <f>Murid!A129</f>
        <v/>
      </c>
      <c r="B129" s="15">
        <f>IF(Murid!B129="","",Murid!B129)</f>
        <v/>
      </c>
      <c r="C129" s="16">
        <f>IF(Murid!C129="","",Murid!C129)</f>
        <v/>
      </c>
      <c r="D129" s="15">
        <f>IF(Murid!E129="","",Murid!E129)</f>
        <v/>
      </c>
      <c r="E129" s="11" t="n"/>
      <c r="F129" s="11" t="n"/>
      <c r="G129" s="10">
        <f>IF(F129="","",IFERROR(VLOOKUP(F129,T_JKP,2,FALSE),0))</f>
        <v/>
      </c>
      <c r="H129" s="11" t="n"/>
      <c r="I129" s="17">
        <f>IF(H129="","",IF(H129&gt;=12,40,ROUND(H129*3.33,2)))</f>
        <v/>
      </c>
      <c r="J129" s="11" t="n"/>
      <c r="K129" s="11" t="n"/>
      <c r="L129" s="11" t="n"/>
      <c r="M129" s="11" t="n"/>
      <c r="N129" s="10">
        <f>IF(COUNTA(J129:M129)=0,"",MIN(10,SUMPRODUCT((COUNTIF(J129:M129,L_KOM)&gt;0)*S_KOM)))</f>
        <v/>
      </c>
      <c r="O129" s="11" t="n"/>
      <c r="P129" s="10">
        <f>IF(O129="","",IFERROR(VLOOKUP(O129,T_KHID,2,FALSE),0))</f>
        <v/>
      </c>
      <c r="Q129" s="11" t="n"/>
      <c r="R129" s="11" t="n"/>
      <c r="S129" s="10">
        <f>IF(AND(Q129="",R129=""),"",IFERROR(INDEX(T_LIBAT,MATCH(Q129,L_PER,0),MATCH(R129,L_JENIS,0)),0))</f>
        <v/>
      </c>
      <c r="T129" s="11" t="n"/>
      <c r="U129" s="11" t="n"/>
      <c r="V129" s="10">
        <f>IF(AND(T129="",U129=""),"",IFERROR(INDEX(T_CAPAI,MATCH(T129,L_PER,0),MATCH(U129,L_KED,0)),0))</f>
        <v/>
      </c>
      <c r="W129" s="17">
        <f>IF(OR(B129="",E129="",COUNTA(F129,H129,J129:M129,O129,Q129:R129,T129:U129)=0),"",SUM(G129,I129,N129,P129,S129,V129))</f>
        <v/>
      </c>
      <c r="X129" s="18">
        <f>IF(W129="","",IF(Murid!F129="TL","TL",ROUND(W129/110*100,2)))</f>
        <v/>
      </c>
    </row>
    <row r="130">
      <c r="A130" s="15">
        <f>Murid!A130</f>
        <v/>
      </c>
      <c r="B130" s="15">
        <f>IF(Murid!B130="","",Murid!B130)</f>
        <v/>
      </c>
      <c r="C130" s="16">
        <f>IF(Murid!C130="","",Murid!C130)</f>
        <v/>
      </c>
      <c r="D130" s="15">
        <f>IF(Murid!E130="","",Murid!E130)</f>
        <v/>
      </c>
      <c r="E130" s="11" t="n"/>
      <c r="F130" s="11" t="n"/>
      <c r="G130" s="10">
        <f>IF(F130="","",IFERROR(VLOOKUP(F130,T_JKP,2,FALSE),0))</f>
        <v/>
      </c>
      <c r="H130" s="11" t="n"/>
      <c r="I130" s="17">
        <f>IF(H130="","",IF(H130&gt;=12,40,ROUND(H130*3.33,2)))</f>
        <v/>
      </c>
      <c r="J130" s="11" t="n"/>
      <c r="K130" s="11" t="n"/>
      <c r="L130" s="11" t="n"/>
      <c r="M130" s="11" t="n"/>
      <c r="N130" s="10">
        <f>IF(COUNTA(J130:M130)=0,"",MIN(10,SUMPRODUCT((COUNTIF(J130:M130,L_KOM)&gt;0)*S_KOM)))</f>
        <v/>
      </c>
      <c r="O130" s="11" t="n"/>
      <c r="P130" s="10">
        <f>IF(O130="","",IFERROR(VLOOKUP(O130,T_KHID,2,FALSE),0))</f>
        <v/>
      </c>
      <c r="Q130" s="11" t="n"/>
      <c r="R130" s="11" t="n"/>
      <c r="S130" s="10">
        <f>IF(AND(Q130="",R130=""),"",IFERROR(INDEX(T_LIBAT,MATCH(Q130,L_PER,0),MATCH(R130,L_JENIS,0)),0))</f>
        <v/>
      </c>
      <c r="T130" s="11" t="n"/>
      <c r="U130" s="11" t="n"/>
      <c r="V130" s="10">
        <f>IF(AND(T130="",U130=""),"",IFERROR(INDEX(T_CAPAI,MATCH(T130,L_PER,0),MATCH(U130,L_KED,0)),0))</f>
        <v/>
      </c>
      <c r="W130" s="17">
        <f>IF(OR(B130="",E130="",COUNTA(F130,H130,J130:M130,O130,Q130:R130,T130:U130)=0),"",SUM(G130,I130,N130,P130,S130,V130))</f>
        <v/>
      </c>
      <c r="X130" s="18">
        <f>IF(W130="","",IF(Murid!F130="TL","TL",ROUND(W130/110*100,2)))</f>
        <v/>
      </c>
    </row>
    <row r="131">
      <c r="A131" s="15">
        <f>Murid!A131</f>
        <v/>
      </c>
      <c r="B131" s="15">
        <f>IF(Murid!B131="","",Murid!B131)</f>
        <v/>
      </c>
      <c r="C131" s="16">
        <f>IF(Murid!C131="","",Murid!C131)</f>
        <v/>
      </c>
      <c r="D131" s="15">
        <f>IF(Murid!E131="","",Murid!E131)</f>
        <v/>
      </c>
      <c r="E131" s="11" t="n"/>
      <c r="F131" s="11" t="n"/>
      <c r="G131" s="10">
        <f>IF(F131="","",IFERROR(VLOOKUP(F131,T_JKP,2,FALSE),0))</f>
        <v/>
      </c>
      <c r="H131" s="11" t="n"/>
      <c r="I131" s="17">
        <f>IF(H131="","",IF(H131&gt;=12,40,ROUND(H131*3.33,2)))</f>
        <v/>
      </c>
      <c r="J131" s="11" t="n"/>
      <c r="K131" s="11" t="n"/>
      <c r="L131" s="11" t="n"/>
      <c r="M131" s="11" t="n"/>
      <c r="N131" s="10">
        <f>IF(COUNTA(J131:M131)=0,"",MIN(10,SUMPRODUCT((COUNTIF(J131:M131,L_KOM)&gt;0)*S_KOM)))</f>
        <v/>
      </c>
      <c r="O131" s="11" t="n"/>
      <c r="P131" s="10">
        <f>IF(O131="","",IFERROR(VLOOKUP(O131,T_KHID,2,FALSE),0))</f>
        <v/>
      </c>
      <c r="Q131" s="11" t="n"/>
      <c r="R131" s="11" t="n"/>
      <c r="S131" s="10">
        <f>IF(AND(Q131="",R131=""),"",IFERROR(INDEX(T_LIBAT,MATCH(Q131,L_PER,0),MATCH(R131,L_JENIS,0)),0))</f>
        <v/>
      </c>
      <c r="T131" s="11" t="n"/>
      <c r="U131" s="11" t="n"/>
      <c r="V131" s="10">
        <f>IF(AND(T131="",U131=""),"",IFERROR(INDEX(T_CAPAI,MATCH(T131,L_PER,0),MATCH(U131,L_KED,0)),0))</f>
        <v/>
      </c>
      <c r="W131" s="17">
        <f>IF(OR(B131="",E131="",COUNTA(F131,H131,J131:M131,O131,Q131:R131,T131:U131)=0),"",SUM(G131,I131,N131,P131,S131,V131))</f>
        <v/>
      </c>
      <c r="X131" s="18">
        <f>IF(W131="","",IF(Murid!F131="TL","TL",ROUND(W131/110*100,2)))</f>
        <v/>
      </c>
    </row>
    <row r="132">
      <c r="A132" s="15">
        <f>Murid!A132</f>
        <v/>
      </c>
      <c r="B132" s="15">
        <f>IF(Murid!B132="","",Murid!B132)</f>
        <v/>
      </c>
      <c r="C132" s="16">
        <f>IF(Murid!C132="","",Murid!C132)</f>
        <v/>
      </c>
      <c r="D132" s="15">
        <f>IF(Murid!E132="","",Murid!E132)</f>
        <v/>
      </c>
      <c r="E132" s="11" t="n"/>
      <c r="F132" s="11" t="n"/>
      <c r="G132" s="10">
        <f>IF(F132="","",IFERROR(VLOOKUP(F132,T_JKP,2,FALSE),0))</f>
        <v/>
      </c>
      <c r="H132" s="11" t="n"/>
      <c r="I132" s="17">
        <f>IF(H132="","",IF(H132&gt;=12,40,ROUND(H132*3.33,2)))</f>
        <v/>
      </c>
      <c r="J132" s="11" t="n"/>
      <c r="K132" s="11" t="n"/>
      <c r="L132" s="11" t="n"/>
      <c r="M132" s="11" t="n"/>
      <c r="N132" s="10">
        <f>IF(COUNTA(J132:M132)=0,"",MIN(10,SUMPRODUCT((COUNTIF(J132:M132,L_KOM)&gt;0)*S_KOM)))</f>
        <v/>
      </c>
      <c r="O132" s="11" t="n"/>
      <c r="P132" s="10">
        <f>IF(O132="","",IFERROR(VLOOKUP(O132,T_KHID,2,FALSE),0))</f>
        <v/>
      </c>
      <c r="Q132" s="11" t="n"/>
      <c r="R132" s="11" t="n"/>
      <c r="S132" s="10">
        <f>IF(AND(Q132="",R132=""),"",IFERROR(INDEX(T_LIBAT,MATCH(Q132,L_PER,0),MATCH(R132,L_JENIS,0)),0))</f>
        <v/>
      </c>
      <c r="T132" s="11" t="n"/>
      <c r="U132" s="11" t="n"/>
      <c r="V132" s="10">
        <f>IF(AND(T132="",U132=""),"",IFERROR(INDEX(T_CAPAI,MATCH(T132,L_PER,0),MATCH(U132,L_KED,0)),0))</f>
        <v/>
      </c>
      <c r="W132" s="17">
        <f>IF(OR(B132="",E132="",COUNTA(F132,H132,J132:M132,O132,Q132:R132,T132:U132)=0),"",SUM(G132,I132,N132,P132,S132,V132))</f>
        <v/>
      </c>
      <c r="X132" s="18">
        <f>IF(W132="","",IF(Murid!F132="TL","TL",ROUND(W132/110*100,2)))</f>
        <v/>
      </c>
    </row>
    <row r="133">
      <c r="A133" s="15">
        <f>Murid!A133</f>
        <v/>
      </c>
      <c r="B133" s="15">
        <f>IF(Murid!B133="","",Murid!B133)</f>
        <v/>
      </c>
      <c r="C133" s="16">
        <f>IF(Murid!C133="","",Murid!C133)</f>
        <v/>
      </c>
      <c r="D133" s="15">
        <f>IF(Murid!E133="","",Murid!E133)</f>
        <v/>
      </c>
      <c r="E133" s="11" t="n"/>
      <c r="F133" s="11" t="n"/>
      <c r="G133" s="10">
        <f>IF(F133="","",IFERROR(VLOOKUP(F133,T_JKP,2,FALSE),0))</f>
        <v/>
      </c>
      <c r="H133" s="11" t="n"/>
      <c r="I133" s="17">
        <f>IF(H133="","",IF(H133&gt;=12,40,ROUND(H133*3.33,2)))</f>
        <v/>
      </c>
      <c r="J133" s="11" t="n"/>
      <c r="K133" s="11" t="n"/>
      <c r="L133" s="11" t="n"/>
      <c r="M133" s="11" t="n"/>
      <c r="N133" s="10">
        <f>IF(COUNTA(J133:M133)=0,"",MIN(10,SUMPRODUCT((COUNTIF(J133:M133,L_KOM)&gt;0)*S_KOM)))</f>
        <v/>
      </c>
      <c r="O133" s="11" t="n"/>
      <c r="P133" s="10">
        <f>IF(O133="","",IFERROR(VLOOKUP(O133,T_KHID,2,FALSE),0))</f>
        <v/>
      </c>
      <c r="Q133" s="11" t="n"/>
      <c r="R133" s="11" t="n"/>
      <c r="S133" s="10">
        <f>IF(AND(Q133="",R133=""),"",IFERROR(INDEX(T_LIBAT,MATCH(Q133,L_PER,0),MATCH(R133,L_JENIS,0)),0))</f>
        <v/>
      </c>
      <c r="T133" s="11" t="n"/>
      <c r="U133" s="11" t="n"/>
      <c r="V133" s="10">
        <f>IF(AND(T133="",U133=""),"",IFERROR(INDEX(T_CAPAI,MATCH(T133,L_PER,0),MATCH(U133,L_KED,0)),0))</f>
        <v/>
      </c>
      <c r="W133" s="17">
        <f>IF(OR(B133="",E133="",COUNTA(F133,H133,J133:M133,O133,Q133:R133,T133:U133)=0),"",SUM(G133,I133,N133,P133,S133,V133))</f>
        <v/>
      </c>
      <c r="X133" s="18">
        <f>IF(W133="","",IF(Murid!F133="TL","TL",ROUND(W133/110*100,2)))</f>
        <v/>
      </c>
    </row>
    <row r="134">
      <c r="A134" s="15">
        <f>Murid!A134</f>
        <v/>
      </c>
      <c r="B134" s="15">
        <f>IF(Murid!B134="","",Murid!B134)</f>
        <v/>
      </c>
      <c r="C134" s="16">
        <f>IF(Murid!C134="","",Murid!C134)</f>
        <v/>
      </c>
      <c r="D134" s="15">
        <f>IF(Murid!E134="","",Murid!E134)</f>
        <v/>
      </c>
      <c r="E134" s="11" t="n"/>
      <c r="F134" s="11" t="n"/>
      <c r="G134" s="10">
        <f>IF(F134="","",IFERROR(VLOOKUP(F134,T_JKP,2,FALSE),0))</f>
        <v/>
      </c>
      <c r="H134" s="11" t="n"/>
      <c r="I134" s="17">
        <f>IF(H134="","",IF(H134&gt;=12,40,ROUND(H134*3.33,2)))</f>
        <v/>
      </c>
      <c r="J134" s="11" t="n"/>
      <c r="K134" s="11" t="n"/>
      <c r="L134" s="11" t="n"/>
      <c r="M134" s="11" t="n"/>
      <c r="N134" s="10">
        <f>IF(COUNTA(J134:M134)=0,"",MIN(10,SUMPRODUCT((COUNTIF(J134:M134,L_KOM)&gt;0)*S_KOM)))</f>
        <v/>
      </c>
      <c r="O134" s="11" t="n"/>
      <c r="P134" s="10">
        <f>IF(O134="","",IFERROR(VLOOKUP(O134,T_KHID,2,FALSE),0))</f>
        <v/>
      </c>
      <c r="Q134" s="11" t="n"/>
      <c r="R134" s="11" t="n"/>
      <c r="S134" s="10">
        <f>IF(AND(Q134="",R134=""),"",IFERROR(INDEX(T_LIBAT,MATCH(Q134,L_PER,0),MATCH(R134,L_JENIS,0)),0))</f>
        <v/>
      </c>
      <c r="T134" s="11" t="n"/>
      <c r="U134" s="11" t="n"/>
      <c r="V134" s="10">
        <f>IF(AND(T134="",U134=""),"",IFERROR(INDEX(T_CAPAI,MATCH(T134,L_PER,0),MATCH(U134,L_KED,0)),0))</f>
        <v/>
      </c>
      <c r="W134" s="17">
        <f>IF(OR(B134="",E134="",COUNTA(F134,H134,J134:M134,O134,Q134:R134,T134:U134)=0),"",SUM(G134,I134,N134,P134,S134,V134))</f>
        <v/>
      </c>
      <c r="X134" s="18">
        <f>IF(W134="","",IF(Murid!F134="TL","TL",ROUND(W134/110*100,2)))</f>
        <v/>
      </c>
    </row>
    <row r="135">
      <c r="A135" s="15">
        <f>Murid!A135</f>
        <v/>
      </c>
      <c r="B135" s="15">
        <f>IF(Murid!B135="","",Murid!B135)</f>
        <v/>
      </c>
      <c r="C135" s="16">
        <f>IF(Murid!C135="","",Murid!C135)</f>
        <v/>
      </c>
      <c r="D135" s="15">
        <f>IF(Murid!E135="","",Murid!E135)</f>
        <v/>
      </c>
      <c r="E135" s="11" t="n"/>
      <c r="F135" s="11" t="n"/>
      <c r="G135" s="10">
        <f>IF(F135="","",IFERROR(VLOOKUP(F135,T_JKP,2,FALSE),0))</f>
        <v/>
      </c>
      <c r="H135" s="11" t="n"/>
      <c r="I135" s="17">
        <f>IF(H135="","",IF(H135&gt;=12,40,ROUND(H135*3.33,2)))</f>
        <v/>
      </c>
      <c r="J135" s="11" t="n"/>
      <c r="K135" s="11" t="n"/>
      <c r="L135" s="11" t="n"/>
      <c r="M135" s="11" t="n"/>
      <c r="N135" s="10">
        <f>IF(COUNTA(J135:M135)=0,"",MIN(10,SUMPRODUCT((COUNTIF(J135:M135,L_KOM)&gt;0)*S_KOM)))</f>
        <v/>
      </c>
      <c r="O135" s="11" t="n"/>
      <c r="P135" s="10">
        <f>IF(O135="","",IFERROR(VLOOKUP(O135,T_KHID,2,FALSE),0))</f>
        <v/>
      </c>
      <c r="Q135" s="11" t="n"/>
      <c r="R135" s="11" t="n"/>
      <c r="S135" s="10">
        <f>IF(AND(Q135="",R135=""),"",IFERROR(INDEX(T_LIBAT,MATCH(Q135,L_PER,0),MATCH(R135,L_JENIS,0)),0))</f>
        <v/>
      </c>
      <c r="T135" s="11" t="n"/>
      <c r="U135" s="11" t="n"/>
      <c r="V135" s="10">
        <f>IF(AND(T135="",U135=""),"",IFERROR(INDEX(T_CAPAI,MATCH(T135,L_PER,0),MATCH(U135,L_KED,0)),0))</f>
        <v/>
      </c>
      <c r="W135" s="17">
        <f>IF(OR(B135="",E135="",COUNTA(F135,H135,J135:M135,O135,Q135:R135,T135:U135)=0),"",SUM(G135,I135,N135,P135,S135,V135))</f>
        <v/>
      </c>
      <c r="X135" s="18">
        <f>IF(W135="","",IF(Murid!F135="TL","TL",ROUND(W135/110*100,2)))</f>
        <v/>
      </c>
    </row>
    <row r="136">
      <c r="A136" s="15">
        <f>Murid!A136</f>
        <v/>
      </c>
      <c r="B136" s="15">
        <f>IF(Murid!B136="","",Murid!B136)</f>
        <v/>
      </c>
      <c r="C136" s="16">
        <f>IF(Murid!C136="","",Murid!C136)</f>
        <v/>
      </c>
      <c r="D136" s="15">
        <f>IF(Murid!E136="","",Murid!E136)</f>
        <v/>
      </c>
      <c r="E136" s="11" t="n"/>
      <c r="F136" s="11" t="n"/>
      <c r="G136" s="10">
        <f>IF(F136="","",IFERROR(VLOOKUP(F136,T_JKP,2,FALSE),0))</f>
        <v/>
      </c>
      <c r="H136" s="11" t="n"/>
      <c r="I136" s="17">
        <f>IF(H136="","",IF(H136&gt;=12,40,ROUND(H136*3.33,2)))</f>
        <v/>
      </c>
      <c r="J136" s="11" t="n"/>
      <c r="K136" s="11" t="n"/>
      <c r="L136" s="11" t="n"/>
      <c r="M136" s="11" t="n"/>
      <c r="N136" s="10">
        <f>IF(COUNTA(J136:M136)=0,"",MIN(10,SUMPRODUCT((COUNTIF(J136:M136,L_KOM)&gt;0)*S_KOM)))</f>
        <v/>
      </c>
      <c r="O136" s="11" t="n"/>
      <c r="P136" s="10">
        <f>IF(O136="","",IFERROR(VLOOKUP(O136,T_KHID,2,FALSE),0))</f>
        <v/>
      </c>
      <c r="Q136" s="11" t="n"/>
      <c r="R136" s="11" t="n"/>
      <c r="S136" s="10">
        <f>IF(AND(Q136="",R136=""),"",IFERROR(INDEX(T_LIBAT,MATCH(Q136,L_PER,0),MATCH(R136,L_JENIS,0)),0))</f>
        <v/>
      </c>
      <c r="T136" s="11" t="n"/>
      <c r="U136" s="11" t="n"/>
      <c r="V136" s="10">
        <f>IF(AND(T136="",U136=""),"",IFERROR(INDEX(T_CAPAI,MATCH(T136,L_PER,0),MATCH(U136,L_KED,0)),0))</f>
        <v/>
      </c>
      <c r="W136" s="17">
        <f>IF(OR(B136="",E136="",COUNTA(F136,H136,J136:M136,O136,Q136:R136,T136:U136)=0),"",SUM(G136,I136,N136,P136,S136,V136))</f>
        <v/>
      </c>
      <c r="X136" s="18">
        <f>IF(W136="","",IF(Murid!F136="TL","TL",ROUND(W136/110*100,2)))</f>
        <v/>
      </c>
    </row>
    <row r="137">
      <c r="A137" s="15">
        <f>Murid!A137</f>
        <v/>
      </c>
      <c r="B137" s="15">
        <f>IF(Murid!B137="","",Murid!B137)</f>
        <v/>
      </c>
      <c r="C137" s="16">
        <f>IF(Murid!C137="","",Murid!C137)</f>
        <v/>
      </c>
      <c r="D137" s="15">
        <f>IF(Murid!E137="","",Murid!E137)</f>
        <v/>
      </c>
      <c r="E137" s="11" t="n"/>
      <c r="F137" s="11" t="n"/>
      <c r="G137" s="10">
        <f>IF(F137="","",IFERROR(VLOOKUP(F137,T_JKP,2,FALSE),0))</f>
        <v/>
      </c>
      <c r="H137" s="11" t="n"/>
      <c r="I137" s="17">
        <f>IF(H137="","",IF(H137&gt;=12,40,ROUND(H137*3.33,2)))</f>
        <v/>
      </c>
      <c r="J137" s="11" t="n"/>
      <c r="K137" s="11" t="n"/>
      <c r="L137" s="11" t="n"/>
      <c r="M137" s="11" t="n"/>
      <c r="N137" s="10">
        <f>IF(COUNTA(J137:M137)=0,"",MIN(10,SUMPRODUCT((COUNTIF(J137:M137,L_KOM)&gt;0)*S_KOM)))</f>
        <v/>
      </c>
      <c r="O137" s="11" t="n"/>
      <c r="P137" s="10">
        <f>IF(O137="","",IFERROR(VLOOKUP(O137,T_KHID,2,FALSE),0))</f>
        <v/>
      </c>
      <c r="Q137" s="11" t="n"/>
      <c r="R137" s="11" t="n"/>
      <c r="S137" s="10">
        <f>IF(AND(Q137="",R137=""),"",IFERROR(INDEX(T_LIBAT,MATCH(Q137,L_PER,0),MATCH(R137,L_JENIS,0)),0))</f>
        <v/>
      </c>
      <c r="T137" s="11" t="n"/>
      <c r="U137" s="11" t="n"/>
      <c r="V137" s="10">
        <f>IF(AND(T137="",U137=""),"",IFERROR(INDEX(T_CAPAI,MATCH(T137,L_PER,0),MATCH(U137,L_KED,0)),0))</f>
        <v/>
      </c>
      <c r="W137" s="17">
        <f>IF(OR(B137="",E137="",COUNTA(F137,H137,J137:M137,O137,Q137:R137,T137:U137)=0),"",SUM(G137,I137,N137,P137,S137,V137))</f>
        <v/>
      </c>
      <c r="X137" s="18">
        <f>IF(W137="","",IF(Murid!F137="TL","TL",ROUND(W137/110*100,2)))</f>
        <v/>
      </c>
    </row>
    <row r="138">
      <c r="A138" s="15">
        <f>Murid!A138</f>
        <v/>
      </c>
      <c r="B138" s="15">
        <f>IF(Murid!B138="","",Murid!B138)</f>
        <v/>
      </c>
      <c r="C138" s="16">
        <f>IF(Murid!C138="","",Murid!C138)</f>
        <v/>
      </c>
      <c r="D138" s="15">
        <f>IF(Murid!E138="","",Murid!E138)</f>
        <v/>
      </c>
      <c r="E138" s="11" t="n"/>
      <c r="F138" s="11" t="n"/>
      <c r="G138" s="10">
        <f>IF(F138="","",IFERROR(VLOOKUP(F138,T_JKP,2,FALSE),0))</f>
        <v/>
      </c>
      <c r="H138" s="11" t="n"/>
      <c r="I138" s="17">
        <f>IF(H138="","",IF(H138&gt;=12,40,ROUND(H138*3.33,2)))</f>
        <v/>
      </c>
      <c r="J138" s="11" t="n"/>
      <c r="K138" s="11" t="n"/>
      <c r="L138" s="11" t="n"/>
      <c r="M138" s="11" t="n"/>
      <c r="N138" s="10">
        <f>IF(COUNTA(J138:M138)=0,"",MIN(10,SUMPRODUCT((COUNTIF(J138:M138,L_KOM)&gt;0)*S_KOM)))</f>
        <v/>
      </c>
      <c r="O138" s="11" t="n"/>
      <c r="P138" s="10">
        <f>IF(O138="","",IFERROR(VLOOKUP(O138,T_KHID,2,FALSE),0))</f>
        <v/>
      </c>
      <c r="Q138" s="11" t="n"/>
      <c r="R138" s="11" t="n"/>
      <c r="S138" s="10">
        <f>IF(AND(Q138="",R138=""),"",IFERROR(INDEX(T_LIBAT,MATCH(Q138,L_PER,0),MATCH(R138,L_JENIS,0)),0))</f>
        <v/>
      </c>
      <c r="T138" s="11" t="n"/>
      <c r="U138" s="11" t="n"/>
      <c r="V138" s="10">
        <f>IF(AND(T138="",U138=""),"",IFERROR(INDEX(T_CAPAI,MATCH(T138,L_PER,0),MATCH(U138,L_KED,0)),0))</f>
        <v/>
      </c>
      <c r="W138" s="17">
        <f>IF(OR(B138="",E138="",COUNTA(F138,H138,J138:M138,O138,Q138:R138,T138:U138)=0),"",SUM(G138,I138,N138,P138,S138,V138))</f>
        <v/>
      </c>
      <c r="X138" s="18">
        <f>IF(W138="","",IF(Murid!F138="TL","TL",ROUND(W138/110*100,2)))</f>
        <v/>
      </c>
    </row>
    <row r="139">
      <c r="A139" s="15">
        <f>Murid!A139</f>
        <v/>
      </c>
      <c r="B139" s="15">
        <f>IF(Murid!B139="","",Murid!B139)</f>
        <v/>
      </c>
      <c r="C139" s="16">
        <f>IF(Murid!C139="","",Murid!C139)</f>
        <v/>
      </c>
      <c r="D139" s="15">
        <f>IF(Murid!E139="","",Murid!E139)</f>
        <v/>
      </c>
      <c r="E139" s="11" t="n"/>
      <c r="F139" s="11" t="n"/>
      <c r="G139" s="10">
        <f>IF(F139="","",IFERROR(VLOOKUP(F139,T_JKP,2,FALSE),0))</f>
        <v/>
      </c>
      <c r="H139" s="11" t="n"/>
      <c r="I139" s="17">
        <f>IF(H139="","",IF(H139&gt;=12,40,ROUND(H139*3.33,2)))</f>
        <v/>
      </c>
      <c r="J139" s="11" t="n"/>
      <c r="K139" s="11" t="n"/>
      <c r="L139" s="11" t="n"/>
      <c r="M139" s="11" t="n"/>
      <c r="N139" s="10">
        <f>IF(COUNTA(J139:M139)=0,"",MIN(10,SUMPRODUCT((COUNTIF(J139:M139,L_KOM)&gt;0)*S_KOM)))</f>
        <v/>
      </c>
      <c r="O139" s="11" t="n"/>
      <c r="P139" s="10">
        <f>IF(O139="","",IFERROR(VLOOKUP(O139,T_KHID,2,FALSE),0))</f>
        <v/>
      </c>
      <c r="Q139" s="11" t="n"/>
      <c r="R139" s="11" t="n"/>
      <c r="S139" s="10">
        <f>IF(AND(Q139="",R139=""),"",IFERROR(INDEX(T_LIBAT,MATCH(Q139,L_PER,0),MATCH(R139,L_JENIS,0)),0))</f>
        <v/>
      </c>
      <c r="T139" s="11" t="n"/>
      <c r="U139" s="11" t="n"/>
      <c r="V139" s="10">
        <f>IF(AND(T139="",U139=""),"",IFERROR(INDEX(T_CAPAI,MATCH(T139,L_PER,0),MATCH(U139,L_KED,0)),0))</f>
        <v/>
      </c>
      <c r="W139" s="17">
        <f>IF(OR(B139="",E139="",COUNTA(F139,H139,J139:M139,O139,Q139:R139,T139:U139)=0),"",SUM(G139,I139,N139,P139,S139,V139))</f>
        <v/>
      </c>
      <c r="X139" s="18">
        <f>IF(W139="","",IF(Murid!F139="TL","TL",ROUND(W139/110*100,2)))</f>
        <v/>
      </c>
    </row>
    <row r="140">
      <c r="A140" s="15">
        <f>Murid!A140</f>
        <v/>
      </c>
      <c r="B140" s="15">
        <f>IF(Murid!B140="","",Murid!B140)</f>
        <v/>
      </c>
      <c r="C140" s="16">
        <f>IF(Murid!C140="","",Murid!C140)</f>
        <v/>
      </c>
      <c r="D140" s="15">
        <f>IF(Murid!E140="","",Murid!E140)</f>
        <v/>
      </c>
      <c r="E140" s="11" t="n"/>
      <c r="F140" s="11" t="n"/>
      <c r="G140" s="10">
        <f>IF(F140="","",IFERROR(VLOOKUP(F140,T_JKP,2,FALSE),0))</f>
        <v/>
      </c>
      <c r="H140" s="11" t="n"/>
      <c r="I140" s="17">
        <f>IF(H140="","",IF(H140&gt;=12,40,ROUND(H140*3.33,2)))</f>
        <v/>
      </c>
      <c r="J140" s="11" t="n"/>
      <c r="K140" s="11" t="n"/>
      <c r="L140" s="11" t="n"/>
      <c r="M140" s="11" t="n"/>
      <c r="N140" s="10">
        <f>IF(COUNTA(J140:M140)=0,"",MIN(10,SUMPRODUCT((COUNTIF(J140:M140,L_KOM)&gt;0)*S_KOM)))</f>
        <v/>
      </c>
      <c r="O140" s="11" t="n"/>
      <c r="P140" s="10">
        <f>IF(O140="","",IFERROR(VLOOKUP(O140,T_KHID,2,FALSE),0))</f>
        <v/>
      </c>
      <c r="Q140" s="11" t="n"/>
      <c r="R140" s="11" t="n"/>
      <c r="S140" s="10">
        <f>IF(AND(Q140="",R140=""),"",IFERROR(INDEX(T_LIBAT,MATCH(Q140,L_PER,0),MATCH(R140,L_JENIS,0)),0))</f>
        <v/>
      </c>
      <c r="T140" s="11" t="n"/>
      <c r="U140" s="11" t="n"/>
      <c r="V140" s="10">
        <f>IF(AND(T140="",U140=""),"",IFERROR(INDEX(T_CAPAI,MATCH(T140,L_PER,0),MATCH(U140,L_KED,0)),0))</f>
        <v/>
      </c>
      <c r="W140" s="17">
        <f>IF(OR(B140="",E140="",COUNTA(F140,H140,J140:M140,O140,Q140:R140,T140:U140)=0),"",SUM(G140,I140,N140,P140,S140,V140))</f>
        <v/>
      </c>
      <c r="X140" s="18">
        <f>IF(W140="","",IF(Murid!F140="TL","TL",ROUND(W140/110*100,2)))</f>
        <v/>
      </c>
    </row>
    <row r="141">
      <c r="A141" s="15">
        <f>Murid!A141</f>
        <v/>
      </c>
      <c r="B141" s="15">
        <f>IF(Murid!B141="","",Murid!B141)</f>
        <v/>
      </c>
      <c r="C141" s="16">
        <f>IF(Murid!C141="","",Murid!C141)</f>
        <v/>
      </c>
      <c r="D141" s="15">
        <f>IF(Murid!E141="","",Murid!E141)</f>
        <v/>
      </c>
      <c r="E141" s="11" t="n"/>
      <c r="F141" s="11" t="n"/>
      <c r="G141" s="10">
        <f>IF(F141="","",IFERROR(VLOOKUP(F141,T_JKP,2,FALSE),0))</f>
        <v/>
      </c>
      <c r="H141" s="11" t="n"/>
      <c r="I141" s="17">
        <f>IF(H141="","",IF(H141&gt;=12,40,ROUND(H141*3.33,2)))</f>
        <v/>
      </c>
      <c r="J141" s="11" t="n"/>
      <c r="K141" s="11" t="n"/>
      <c r="L141" s="11" t="n"/>
      <c r="M141" s="11" t="n"/>
      <c r="N141" s="10">
        <f>IF(COUNTA(J141:M141)=0,"",MIN(10,SUMPRODUCT((COUNTIF(J141:M141,L_KOM)&gt;0)*S_KOM)))</f>
        <v/>
      </c>
      <c r="O141" s="11" t="n"/>
      <c r="P141" s="10">
        <f>IF(O141="","",IFERROR(VLOOKUP(O141,T_KHID,2,FALSE),0))</f>
        <v/>
      </c>
      <c r="Q141" s="11" t="n"/>
      <c r="R141" s="11" t="n"/>
      <c r="S141" s="10">
        <f>IF(AND(Q141="",R141=""),"",IFERROR(INDEX(T_LIBAT,MATCH(Q141,L_PER,0),MATCH(R141,L_JENIS,0)),0))</f>
        <v/>
      </c>
      <c r="T141" s="11" t="n"/>
      <c r="U141" s="11" t="n"/>
      <c r="V141" s="10">
        <f>IF(AND(T141="",U141=""),"",IFERROR(INDEX(T_CAPAI,MATCH(T141,L_PER,0),MATCH(U141,L_KED,0)),0))</f>
        <v/>
      </c>
      <c r="W141" s="17">
        <f>IF(OR(B141="",E141="",COUNTA(F141,H141,J141:M141,O141,Q141:R141,T141:U141)=0),"",SUM(G141,I141,N141,P141,S141,V141))</f>
        <v/>
      </c>
      <c r="X141" s="18">
        <f>IF(W141="","",IF(Murid!F141="TL","TL",ROUND(W141/110*100,2)))</f>
        <v/>
      </c>
    </row>
    <row r="142">
      <c r="A142" s="15">
        <f>Murid!A142</f>
        <v/>
      </c>
      <c r="B142" s="15">
        <f>IF(Murid!B142="","",Murid!B142)</f>
        <v/>
      </c>
      <c r="C142" s="16">
        <f>IF(Murid!C142="","",Murid!C142)</f>
        <v/>
      </c>
      <c r="D142" s="15">
        <f>IF(Murid!E142="","",Murid!E142)</f>
        <v/>
      </c>
      <c r="E142" s="11" t="n"/>
      <c r="F142" s="11" t="n"/>
      <c r="G142" s="10">
        <f>IF(F142="","",IFERROR(VLOOKUP(F142,T_JKP,2,FALSE),0))</f>
        <v/>
      </c>
      <c r="H142" s="11" t="n"/>
      <c r="I142" s="17">
        <f>IF(H142="","",IF(H142&gt;=12,40,ROUND(H142*3.33,2)))</f>
        <v/>
      </c>
      <c r="J142" s="11" t="n"/>
      <c r="K142" s="11" t="n"/>
      <c r="L142" s="11" t="n"/>
      <c r="M142" s="11" t="n"/>
      <c r="N142" s="10">
        <f>IF(COUNTA(J142:M142)=0,"",MIN(10,SUMPRODUCT((COUNTIF(J142:M142,L_KOM)&gt;0)*S_KOM)))</f>
        <v/>
      </c>
      <c r="O142" s="11" t="n"/>
      <c r="P142" s="10">
        <f>IF(O142="","",IFERROR(VLOOKUP(O142,T_KHID,2,FALSE),0))</f>
        <v/>
      </c>
      <c r="Q142" s="11" t="n"/>
      <c r="R142" s="11" t="n"/>
      <c r="S142" s="10">
        <f>IF(AND(Q142="",R142=""),"",IFERROR(INDEX(T_LIBAT,MATCH(Q142,L_PER,0),MATCH(R142,L_JENIS,0)),0))</f>
        <v/>
      </c>
      <c r="T142" s="11" t="n"/>
      <c r="U142" s="11" t="n"/>
      <c r="V142" s="10">
        <f>IF(AND(T142="",U142=""),"",IFERROR(INDEX(T_CAPAI,MATCH(T142,L_PER,0),MATCH(U142,L_KED,0)),0))</f>
        <v/>
      </c>
      <c r="W142" s="17">
        <f>IF(OR(B142="",E142="",COUNTA(F142,H142,J142:M142,O142,Q142:R142,T142:U142)=0),"",SUM(G142,I142,N142,P142,S142,V142))</f>
        <v/>
      </c>
      <c r="X142" s="18">
        <f>IF(W142="","",IF(Murid!F142="TL","TL",ROUND(W142/110*100,2)))</f>
        <v/>
      </c>
    </row>
    <row r="143">
      <c r="A143" s="15">
        <f>Murid!A143</f>
        <v/>
      </c>
      <c r="B143" s="15">
        <f>IF(Murid!B143="","",Murid!B143)</f>
        <v/>
      </c>
      <c r="C143" s="16">
        <f>IF(Murid!C143="","",Murid!C143)</f>
        <v/>
      </c>
      <c r="D143" s="15">
        <f>IF(Murid!E143="","",Murid!E143)</f>
        <v/>
      </c>
      <c r="E143" s="11" t="n"/>
      <c r="F143" s="11" t="n"/>
      <c r="G143" s="10">
        <f>IF(F143="","",IFERROR(VLOOKUP(F143,T_JKP,2,FALSE),0))</f>
        <v/>
      </c>
      <c r="H143" s="11" t="n"/>
      <c r="I143" s="17">
        <f>IF(H143="","",IF(H143&gt;=12,40,ROUND(H143*3.33,2)))</f>
        <v/>
      </c>
      <c r="J143" s="11" t="n"/>
      <c r="K143" s="11" t="n"/>
      <c r="L143" s="11" t="n"/>
      <c r="M143" s="11" t="n"/>
      <c r="N143" s="10">
        <f>IF(COUNTA(J143:M143)=0,"",MIN(10,SUMPRODUCT((COUNTIF(J143:M143,L_KOM)&gt;0)*S_KOM)))</f>
        <v/>
      </c>
      <c r="O143" s="11" t="n"/>
      <c r="P143" s="10">
        <f>IF(O143="","",IFERROR(VLOOKUP(O143,T_KHID,2,FALSE),0))</f>
        <v/>
      </c>
      <c r="Q143" s="11" t="n"/>
      <c r="R143" s="11" t="n"/>
      <c r="S143" s="10">
        <f>IF(AND(Q143="",R143=""),"",IFERROR(INDEX(T_LIBAT,MATCH(Q143,L_PER,0),MATCH(R143,L_JENIS,0)),0))</f>
        <v/>
      </c>
      <c r="T143" s="11" t="n"/>
      <c r="U143" s="11" t="n"/>
      <c r="V143" s="10">
        <f>IF(AND(T143="",U143=""),"",IFERROR(INDEX(T_CAPAI,MATCH(T143,L_PER,0),MATCH(U143,L_KED,0)),0))</f>
        <v/>
      </c>
      <c r="W143" s="17">
        <f>IF(OR(B143="",E143="",COUNTA(F143,H143,J143:M143,O143,Q143:R143,T143:U143)=0),"",SUM(G143,I143,N143,P143,S143,V143))</f>
        <v/>
      </c>
      <c r="X143" s="18">
        <f>IF(W143="","",IF(Murid!F143="TL","TL",ROUND(W143/110*100,2)))</f>
        <v/>
      </c>
    </row>
    <row r="144">
      <c r="A144" s="15">
        <f>Murid!A144</f>
        <v/>
      </c>
      <c r="B144" s="15">
        <f>IF(Murid!B144="","",Murid!B144)</f>
        <v/>
      </c>
      <c r="C144" s="16">
        <f>IF(Murid!C144="","",Murid!C144)</f>
        <v/>
      </c>
      <c r="D144" s="15">
        <f>IF(Murid!E144="","",Murid!E144)</f>
        <v/>
      </c>
      <c r="E144" s="11" t="n"/>
      <c r="F144" s="11" t="n"/>
      <c r="G144" s="10">
        <f>IF(F144="","",IFERROR(VLOOKUP(F144,T_JKP,2,FALSE),0))</f>
        <v/>
      </c>
      <c r="H144" s="11" t="n"/>
      <c r="I144" s="17">
        <f>IF(H144="","",IF(H144&gt;=12,40,ROUND(H144*3.33,2)))</f>
        <v/>
      </c>
      <c r="J144" s="11" t="n"/>
      <c r="K144" s="11" t="n"/>
      <c r="L144" s="11" t="n"/>
      <c r="M144" s="11" t="n"/>
      <c r="N144" s="10">
        <f>IF(COUNTA(J144:M144)=0,"",MIN(10,SUMPRODUCT((COUNTIF(J144:M144,L_KOM)&gt;0)*S_KOM)))</f>
        <v/>
      </c>
      <c r="O144" s="11" t="n"/>
      <c r="P144" s="10">
        <f>IF(O144="","",IFERROR(VLOOKUP(O144,T_KHID,2,FALSE),0))</f>
        <v/>
      </c>
      <c r="Q144" s="11" t="n"/>
      <c r="R144" s="11" t="n"/>
      <c r="S144" s="10">
        <f>IF(AND(Q144="",R144=""),"",IFERROR(INDEX(T_LIBAT,MATCH(Q144,L_PER,0),MATCH(R144,L_JENIS,0)),0))</f>
        <v/>
      </c>
      <c r="T144" s="11" t="n"/>
      <c r="U144" s="11" t="n"/>
      <c r="V144" s="10">
        <f>IF(AND(T144="",U144=""),"",IFERROR(INDEX(T_CAPAI,MATCH(T144,L_PER,0),MATCH(U144,L_KED,0)),0))</f>
        <v/>
      </c>
      <c r="W144" s="17">
        <f>IF(OR(B144="",E144="",COUNTA(F144,H144,J144:M144,O144,Q144:R144,T144:U144)=0),"",SUM(G144,I144,N144,P144,S144,V144))</f>
        <v/>
      </c>
      <c r="X144" s="18">
        <f>IF(W144="","",IF(Murid!F144="TL","TL",ROUND(W144/110*100,2)))</f>
        <v/>
      </c>
    </row>
    <row r="145">
      <c r="A145" s="15">
        <f>Murid!A145</f>
        <v/>
      </c>
      <c r="B145" s="15">
        <f>IF(Murid!B145="","",Murid!B145)</f>
        <v/>
      </c>
      <c r="C145" s="16">
        <f>IF(Murid!C145="","",Murid!C145)</f>
        <v/>
      </c>
      <c r="D145" s="15">
        <f>IF(Murid!E145="","",Murid!E145)</f>
        <v/>
      </c>
      <c r="E145" s="11" t="n"/>
      <c r="F145" s="11" t="n"/>
      <c r="G145" s="10">
        <f>IF(F145="","",IFERROR(VLOOKUP(F145,T_JKP,2,FALSE),0))</f>
        <v/>
      </c>
      <c r="H145" s="11" t="n"/>
      <c r="I145" s="17">
        <f>IF(H145="","",IF(H145&gt;=12,40,ROUND(H145*3.33,2)))</f>
        <v/>
      </c>
      <c r="J145" s="11" t="n"/>
      <c r="K145" s="11" t="n"/>
      <c r="L145" s="11" t="n"/>
      <c r="M145" s="11" t="n"/>
      <c r="N145" s="10">
        <f>IF(COUNTA(J145:M145)=0,"",MIN(10,SUMPRODUCT((COUNTIF(J145:M145,L_KOM)&gt;0)*S_KOM)))</f>
        <v/>
      </c>
      <c r="O145" s="11" t="n"/>
      <c r="P145" s="10">
        <f>IF(O145="","",IFERROR(VLOOKUP(O145,T_KHID,2,FALSE),0))</f>
        <v/>
      </c>
      <c r="Q145" s="11" t="n"/>
      <c r="R145" s="11" t="n"/>
      <c r="S145" s="10">
        <f>IF(AND(Q145="",R145=""),"",IFERROR(INDEX(T_LIBAT,MATCH(Q145,L_PER,0),MATCH(R145,L_JENIS,0)),0))</f>
        <v/>
      </c>
      <c r="T145" s="11" t="n"/>
      <c r="U145" s="11" t="n"/>
      <c r="V145" s="10">
        <f>IF(AND(T145="",U145=""),"",IFERROR(INDEX(T_CAPAI,MATCH(T145,L_PER,0),MATCH(U145,L_KED,0)),0))</f>
        <v/>
      </c>
      <c r="W145" s="17">
        <f>IF(OR(B145="",E145="",COUNTA(F145,H145,J145:M145,O145,Q145:R145,T145:U145)=0),"",SUM(G145,I145,N145,P145,S145,V145))</f>
        <v/>
      </c>
      <c r="X145" s="18">
        <f>IF(W145="","",IF(Murid!F145="TL","TL",ROUND(W145/110*100,2)))</f>
        <v/>
      </c>
    </row>
    <row r="146">
      <c r="A146" s="15">
        <f>Murid!A146</f>
        <v/>
      </c>
      <c r="B146" s="15">
        <f>IF(Murid!B146="","",Murid!B146)</f>
        <v/>
      </c>
      <c r="C146" s="16">
        <f>IF(Murid!C146="","",Murid!C146)</f>
        <v/>
      </c>
      <c r="D146" s="15">
        <f>IF(Murid!E146="","",Murid!E146)</f>
        <v/>
      </c>
      <c r="E146" s="11" t="n"/>
      <c r="F146" s="11" t="n"/>
      <c r="G146" s="10">
        <f>IF(F146="","",IFERROR(VLOOKUP(F146,T_JKP,2,FALSE),0))</f>
        <v/>
      </c>
      <c r="H146" s="11" t="n"/>
      <c r="I146" s="17">
        <f>IF(H146="","",IF(H146&gt;=12,40,ROUND(H146*3.33,2)))</f>
        <v/>
      </c>
      <c r="J146" s="11" t="n"/>
      <c r="K146" s="11" t="n"/>
      <c r="L146" s="11" t="n"/>
      <c r="M146" s="11" t="n"/>
      <c r="N146" s="10">
        <f>IF(COUNTA(J146:M146)=0,"",MIN(10,SUMPRODUCT((COUNTIF(J146:M146,L_KOM)&gt;0)*S_KOM)))</f>
        <v/>
      </c>
      <c r="O146" s="11" t="n"/>
      <c r="P146" s="10">
        <f>IF(O146="","",IFERROR(VLOOKUP(O146,T_KHID,2,FALSE),0))</f>
        <v/>
      </c>
      <c r="Q146" s="11" t="n"/>
      <c r="R146" s="11" t="n"/>
      <c r="S146" s="10">
        <f>IF(AND(Q146="",R146=""),"",IFERROR(INDEX(T_LIBAT,MATCH(Q146,L_PER,0),MATCH(R146,L_JENIS,0)),0))</f>
        <v/>
      </c>
      <c r="T146" s="11" t="n"/>
      <c r="U146" s="11" t="n"/>
      <c r="V146" s="10">
        <f>IF(AND(T146="",U146=""),"",IFERROR(INDEX(T_CAPAI,MATCH(T146,L_PER,0),MATCH(U146,L_KED,0)),0))</f>
        <v/>
      </c>
      <c r="W146" s="17">
        <f>IF(OR(B146="",E146="",COUNTA(F146,H146,J146:M146,O146,Q146:R146,T146:U146)=0),"",SUM(G146,I146,N146,P146,S146,V146))</f>
        <v/>
      </c>
      <c r="X146" s="18">
        <f>IF(W146="","",IF(Murid!F146="TL","TL",ROUND(W146/110*100,2)))</f>
        <v/>
      </c>
    </row>
    <row r="147">
      <c r="A147" s="15">
        <f>Murid!A147</f>
        <v/>
      </c>
      <c r="B147" s="15">
        <f>IF(Murid!B147="","",Murid!B147)</f>
        <v/>
      </c>
      <c r="C147" s="16">
        <f>IF(Murid!C147="","",Murid!C147)</f>
        <v/>
      </c>
      <c r="D147" s="15">
        <f>IF(Murid!E147="","",Murid!E147)</f>
        <v/>
      </c>
      <c r="E147" s="11" t="n"/>
      <c r="F147" s="11" t="n"/>
      <c r="G147" s="10">
        <f>IF(F147="","",IFERROR(VLOOKUP(F147,T_JKP,2,FALSE),0))</f>
        <v/>
      </c>
      <c r="H147" s="11" t="n"/>
      <c r="I147" s="17">
        <f>IF(H147="","",IF(H147&gt;=12,40,ROUND(H147*3.33,2)))</f>
        <v/>
      </c>
      <c r="J147" s="11" t="n"/>
      <c r="K147" s="11" t="n"/>
      <c r="L147" s="11" t="n"/>
      <c r="M147" s="11" t="n"/>
      <c r="N147" s="10">
        <f>IF(COUNTA(J147:M147)=0,"",MIN(10,SUMPRODUCT((COUNTIF(J147:M147,L_KOM)&gt;0)*S_KOM)))</f>
        <v/>
      </c>
      <c r="O147" s="11" t="n"/>
      <c r="P147" s="10">
        <f>IF(O147="","",IFERROR(VLOOKUP(O147,T_KHID,2,FALSE),0))</f>
        <v/>
      </c>
      <c r="Q147" s="11" t="n"/>
      <c r="R147" s="11" t="n"/>
      <c r="S147" s="10">
        <f>IF(AND(Q147="",R147=""),"",IFERROR(INDEX(T_LIBAT,MATCH(Q147,L_PER,0),MATCH(R147,L_JENIS,0)),0))</f>
        <v/>
      </c>
      <c r="T147" s="11" t="n"/>
      <c r="U147" s="11" t="n"/>
      <c r="V147" s="10">
        <f>IF(AND(T147="",U147=""),"",IFERROR(INDEX(T_CAPAI,MATCH(T147,L_PER,0),MATCH(U147,L_KED,0)),0))</f>
        <v/>
      </c>
      <c r="W147" s="17">
        <f>IF(OR(B147="",E147="",COUNTA(F147,H147,J147:M147,O147,Q147:R147,T147:U147)=0),"",SUM(G147,I147,N147,P147,S147,V147))</f>
        <v/>
      </c>
      <c r="X147" s="18">
        <f>IF(W147="","",IF(Murid!F147="TL","TL",ROUND(W147/110*100,2)))</f>
        <v/>
      </c>
    </row>
    <row r="148">
      <c r="A148" s="15">
        <f>Murid!A148</f>
        <v/>
      </c>
      <c r="B148" s="15">
        <f>IF(Murid!B148="","",Murid!B148)</f>
        <v/>
      </c>
      <c r="C148" s="16">
        <f>IF(Murid!C148="","",Murid!C148)</f>
        <v/>
      </c>
      <c r="D148" s="15">
        <f>IF(Murid!E148="","",Murid!E148)</f>
        <v/>
      </c>
      <c r="E148" s="11" t="n"/>
      <c r="F148" s="11" t="n"/>
      <c r="G148" s="10">
        <f>IF(F148="","",IFERROR(VLOOKUP(F148,T_JKP,2,FALSE),0))</f>
        <v/>
      </c>
      <c r="H148" s="11" t="n"/>
      <c r="I148" s="17">
        <f>IF(H148="","",IF(H148&gt;=12,40,ROUND(H148*3.33,2)))</f>
        <v/>
      </c>
      <c r="J148" s="11" t="n"/>
      <c r="K148" s="11" t="n"/>
      <c r="L148" s="11" t="n"/>
      <c r="M148" s="11" t="n"/>
      <c r="N148" s="10">
        <f>IF(COUNTA(J148:M148)=0,"",MIN(10,SUMPRODUCT((COUNTIF(J148:M148,L_KOM)&gt;0)*S_KOM)))</f>
        <v/>
      </c>
      <c r="O148" s="11" t="n"/>
      <c r="P148" s="10">
        <f>IF(O148="","",IFERROR(VLOOKUP(O148,T_KHID,2,FALSE),0))</f>
        <v/>
      </c>
      <c r="Q148" s="11" t="n"/>
      <c r="R148" s="11" t="n"/>
      <c r="S148" s="10">
        <f>IF(AND(Q148="",R148=""),"",IFERROR(INDEX(T_LIBAT,MATCH(Q148,L_PER,0),MATCH(R148,L_JENIS,0)),0))</f>
        <v/>
      </c>
      <c r="T148" s="11" t="n"/>
      <c r="U148" s="11" t="n"/>
      <c r="V148" s="10">
        <f>IF(AND(T148="",U148=""),"",IFERROR(INDEX(T_CAPAI,MATCH(T148,L_PER,0),MATCH(U148,L_KED,0)),0))</f>
        <v/>
      </c>
      <c r="W148" s="17">
        <f>IF(OR(B148="",E148="",COUNTA(F148,H148,J148:M148,O148,Q148:R148,T148:U148)=0),"",SUM(G148,I148,N148,P148,S148,V148))</f>
        <v/>
      </c>
      <c r="X148" s="18">
        <f>IF(W148="","",IF(Murid!F148="TL","TL",ROUND(W148/110*100,2)))</f>
        <v/>
      </c>
    </row>
    <row r="149">
      <c r="A149" s="15">
        <f>Murid!A149</f>
        <v/>
      </c>
      <c r="B149" s="15">
        <f>IF(Murid!B149="","",Murid!B149)</f>
        <v/>
      </c>
      <c r="C149" s="16">
        <f>IF(Murid!C149="","",Murid!C149)</f>
        <v/>
      </c>
      <c r="D149" s="15">
        <f>IF(Murid!E149="","",Murid!E149)</f>
        <v/>
      </c>
      <c r="E149" s="11" t="n"/>
      <c r="F149" s="11" t="n"/>
      <c r="G149" s="10">
        <f>IF(F149="","",IFERROR(VLOOKUP(F149,T_JKP,2,FALSE),0))</f>
        <v/>
      </c>
      <c r="H149" s="11" t="n"/>
      <c r="I149" s="17">
        <f>IF(H149="","",IF(H149&gt;=12,40,ROUND(H149*3.33,2)))</f>
        <v/>
      </c>
      <c r="J149" s="11" t="n"/>
      <c r="K149" s="11" t="n"/>
      <c r="L149" s="11" t="n"/>
      <c r="M149" s="11" t="n"/>
      <c r="N149" s="10">
        <f>IF(COUNTA(J149:M149)=0,"",MIN(10,SUMPRODUCT((COUNTIF(J149:M149,L_KOM)&gt;0)*S_KOM)))</f>
        <v/>
      </c>
      <c r="O149" s="11" t="n"/>
      <c r="P149" s="10">
        <f>IF(O149="","",IFERROR(VLOOKUP(O149,T_KHID,2,FALSE),0))</f>
        <v/>
      </c>
      <c r="Q149" s="11" t="n"/>
      <c r="R149" s="11" t="n"/>
      <c r="S149" s="10">
        <f>IF(AND(Q149="",R149=""),"",IFERROR(INDEX(T_LIBAT,MATCH(Q149,L_PER,0),MATCH(R149,L_JENIS,0)),0))</f>
        <v/>
      </c>
      <c r="T149" s="11" t="n"/>
      <c r="U149" s="11" t="n"/>
      <c r="V149" s="10">
        <f>IF(AND(T149="",U149=""),"",IFERROR(INDEX(T_CAPAI,MATCH(T149,L_PER,0),MATCH(U149,L_KED,0)),0))</f>
        <v/>
      </c>
      <c r="W149" s="17">
        <f>IF(OR(B149="",E149="",COUNTA(F149,H149,J149:M149,O149,Q149:R149,T149:U149)=0),"",SUM(G149,I149,N149,P149,S149,V149))</f>
        <v/>
      </c>
      <c r="X149" s="18">
        <f>IF(W149="","",IF(Murid!F149="TL","TL",ROUND(W149/110*100,2)))</f>
        <v/>
      </c>
    </row>
    <row r="150">
      <c r="A150" s="15">
        <f>Murid!A150</f>
        <v/>
      </c>
      <c r="B150" s="15">
        <f>IF(Murid!B150="","",Murid!B150)</f>
        <v/>
      </c>
      <c r="C150" s="16">
        <f>IF(Murid!C150="","",Murid!C150)</f>
        <v/>
      </c>
      <c r="D150" s="15">
        <f>IF(Murid!E150="","",Murid!E150)</f>
        <v/>
      </c>
      <c r="E150" s="11" t="n"/>
      <c r="F150" s="11" t="n"/>
      <c r="G150" s="10">
        <f>IF(F150="","",IFERROR(VLOOKUP(F150,T_JKP,2,FALSE),0))</f>
        <v/>
      </c>
      <c r="H150" s="11" t="n"/>
      <c r="I150" s="17">
        <f>IF(H150="","",IF(H150&gt;=12,40,ROUND(H150*3.33,2)))</f>
        <v/>
      </c>
      <c r="J150" s="11" t="n"/>
      <c r="K150" s="11" t="n"/>
      <c r="L150" s="11" t="n"/>
      <c r="M150" s="11" t="n"/>
      <c r="N150" s="10">
        <f>IF(COUNTA(J150:M150)=0,"",MIN(10,SUMPRODUCT((COUNTIF(J150:M150,L_KOM)&gt;0)*S_KOM)))</f>
        <v/>
      </c>
      <c r="O150" s="11" t="n"/>
      <c r="P150" s="10">
        <f>IF(O150="","",IFERROR(VLOOKUP(O150,T_KHID,2,FALSE),0))</f>
        <v/>
      </c>
      <c r="Q150" s="11" t="n"/>
      <c r="R150" s="11" t="n"/>
      <c r="S150" s="10">
        <f>IF(AND(Q150="",R150=""),"",IFERROR(INDEX(T_LIBAT,MATCH(Q150,L_PER,0),MATCH(R150,L_JENIS,0)),0))</f>
        <v/>
      </c>
      <c r="T150" s="11" t="n"/>
      <c r="U150" s="11" t="n"/>
      <c r="V150" s="10">
        <f>IF(AND(T150="",U150=""),"",IFERROR(INDEX(T_CAPAI,MATCH(T150,L_PER,0),MATCH(U150,L_KED,0)),0))</f>
        <v/>
      </c>
      <c r="W150" s="17">
        <f>IF(OR(B150="",E150="",COUNTA(F150,H150,J150:M150,O150,Q150:R150,T150:U150)=0),"",SUM(G150,I150,N150,P150,S150,V150))</f>
        <v/>
      </c>
      <c r="X150" s="18">
        <f>IF(W150="","",IF(Murid!F150="TL","TL",ROUND(W150/110*100,2)))</f>
        <v/>
      </c>
    </row>
    <row r="151">
      <c r="A151" s="15">
        <f>Murid!A151</f>
        <v/>
      </c>
      <c r="B151" s="15">
        <f>IF(Murid!B151="","",Murid!B151)</f>
        <v/>
      </c>
      <c r="C151" s="16">
        <f>IF(Murid!C151="","",Murid!C151)</f>
        <v/>
      </c>
      <c r="D151" s="15">
        <f>IF(Murid!E151="","",Murid!E151)</f>
        <v/>
      </c>
      <c r="E151" s="11" t="n"/>
      <c r="F151" s="11" t="n"/>
      <c r="G151" s="10">
        <f>IF(F151="","",IFERROR(VLOOKUP(F151,T_JKP,2,FALSE),0))</f>
        <v/>
      </c>
      <c r="H151" s="11" t="n"/>
      <c r="I151" s="17">
        <f>IF(H151="","",IF(H151&gt;=12,40,ROUND(H151*3.33,2)))</f>
        <v/>
      </c>
      <c r="J151" s="11" t="n"/>
      <c r="K151" s="11" t="n"/>
      <c r="L151" s="11" t="n"/>
      <c r="M151" s="11" t="n"/>
      <c r="N151" s="10">
        <f>IF(COUNTA(J151:M151)=0,"",MIN(10,SUMPRODUCT((COUNTIF(J151:M151,L_KOM)&gt;0)*S_KOM)))</f>
        <v/>
      </c>
      <c r="O151" s="11" t="n"/>
      <c r="P151" s="10">
        <f>IF(O151="","",IFERROR(VLOOKUP(O151,T_KHID,2,FALSE),0))</f>
        <v/>
      </c>
      <c r="Q151" s="11" t="n"/>
      <c r="R151" s="11" t="n"/>
      <c r="S151" s="10">
        <f>IF(AND(Q151="",R151=""),"",IFERROR(INDEX(T_LIBAT,MATCH(Q151,L_PER,0),MATCH(R151,L_JENIS,0)),0))</f>
        <v/>
      </c>
      <c r="T151" s="11" t="n"/>
      <c r="U151" s="11" t="n"/>
      <c r="V151" s="10">
        <f>IF(AND(T151="",U151=""),"",IFERROR(INDEX(T_CAPAI,MATCH(T151,L_PER,0),MATCH(U151,L_KED,0)),0))</f>
        <v/>
      </c>
      <c r="W151" s="17">
        <f>IF(OR(B151="",E151="",COUNTA(F151,H151,J151:M151,O151,Q151:R151,T151:U151)=0),"",SUM(G151,I151,N151,P151,S151,V151))</f>
        <v/>
      </c>
      <c r="X151" s="18">
        <f>IF(W151="","",IF(Murid!F151="TL","TL",ROUND(W151/110*100,2)))</f>
        <v/>
      </c>
    </row>
    <row r="152">
      <c r="A152" s="15">
        <f>Murid!A152</f>
        <v/>
      </c>
      <c r="B152" s="15">
        <f>IF(Murid!B152="","",Murid!B152)</f>
        <v/>
      </c>
      <c r="C152" s="16">
        <f>IF(Murid!C152="","",Murid!C152)</f>
        <v/>
      </c>
      <c r="D152" s="15">
        <f>IF(Murid!E152="","",Murid!E152)</f>
        <v/>
      </c>
      <c r="E152" s="11" t="n"/>
      <c r="F152" s="11" t="n"/>
      <c r="G152" s="10">
        <f>IF(F152="","",IFERROR(VLOOKUP(F152,T_JKP,2,FALSE),0))</f>
        <v/>
      </c>
      <c r="H152" s="11" t="n"/>
      <c r="I152" s="17">
        <f>IF(H152="","",IF(H152&gt;=12,40,ROUND(H152*3.33,2)))</f>
        <v/>
      </c>
      <c r="J152" s="11" t="n"/>
      <c r="K152" s="11" t="n"/>
      <c r="L152" s="11" t="n"/>
      <c r="M152" s="11" t="n"/>
      <c r="N152" s="10">
        <f>IF(COUNTA(J152:M152)=0,"",MIN(10,SUMPRODUCT((COUNTIF(J152:M152,L_KOM)&gt;0)*S_KOM)))</f>
        <v/>
      </c>
      <c r="O152" s="11" t="n"/>
      <c r="P152" s="10">
        <f>IF(O152="","",IFERROR(VLOOKUP(O152,T_KHID,2,FALSE),0))</f>
        <v/>
      </c>
      <c r="Q152" s="11" t="n"/>
      <c r="R152" s="11" t="n"/>
      <c r="S152" s="10">
        <f>IF(AND(Q152="",R152=""),"",IFERROR(INDEX(T_LIBAT,MATCH(Q152,L_PER,0),MATCH(R152,L_JENIS,0)),0))</f>
        <v/>
      </c>
      <c r="T152" s="11" t="n"/>
      <c r="U152" s="11" t="n"/>
      <c r="V152" s="10">
        <f>IF(AND(T152="",U152=""),"",IFERROR(INDEX(T_CAPAI,MATCH(T152,L_PER,0),MATCH(U152,L_KED,0)),0))</f>
        <v/>
      </c>
      <c r="W152" s="17">
        <f>IF(OR(B152="",E152="",COUNTA(F152,H152,J152:M152,O152,Q152:R152,T152:U152)=0),"",SUM(G152,I152,N152,P152,S152,V152))</f>
        <v/>
      </c>
      <c r="X152" s="18">
        <f>IF(W152="","",IF(Murid!F152="TL","TL",ROUND(W152/110*100,2)))</f>
        <v/>
      </c>
    </row>
    <row r="153">
      <c r="A153" s="15">
        <f>Murid!A153</f>
        <v/>
      </c>
      <c r="B153" s="15">
        <f>IF(Murid!B153="","",Murid!B153)</f>
        <v/>
      </c>
      <c r="C153" s="16">
        <f>IF(Murid!C153="","",Murid!C153)</f>
        <v/>
      </c>
      <c r="D153" s="15">
        <f>IF(Murid!E153="","",Murid!E153)</f>
        <v/>
      </c>
      <c r="E153" s="11" t="n"/>
      <c r="F153" s="11" t="n"/>
      <c r="G153" s="10">
        <f>IF(F153="","",IFERROR(VLOOKUP(F153,T_JKP,2,FALSE),0))</f>
        <v/>
      </c>
      <c r="H153" s="11" t="n"/>
      <c r="I153" s="17">
        <f>IF(H153="","",IF(H153&gt;=12,40,ROUND(H153*3.33,2)))</f>
        <v/>
      </c>
      <c r="J153" s="11" t="n"/>
      <c r="K153" s="11" t="n"/>
      <c r="L153" s="11" t="n"/>
      <c r="M153" s="11" t="n"/>
      <c r="N153" s="10">
        <f>IF(COUNTA(J153:M153)=0,"",MIN(10,SUMPRODUCT((COUNTIF(J153:M153,L_KOM)&gt;0)*S_KOM)))</f>
        <v/>
      </c>
      <c r="O153" s="11" t="n"/>
      <c r="P153" s="10">
        <f>IF(O153="","",IFERROR(VLOOKUP(O153,T_KHID,2,FALSE),0))</f>
        <v/>
      </c>
      <c r="Q153" s="11" t="n"/>
      <c r="R153" s="11" t="n"/>
      <c r="S153" s="10">
        <f>IF(AND(Q153="",R153=""),"",IFERROR(INDEX(T_LIBAT,MATCH(Q153,L_PER,0),MATCH(R153,L_JENIS,0)),0))</f>
        <v/>
      </c>
      <c r="T153" s="11" t="n"/>
      <c r="U153" s="11" t="n"/>
      <c r="V153" s="10">
        <f>IF(AND(T153="",U153=""),"",IFERROR(INDEX(T_CAPAI,MATCH(T153,L_PER,0),MATCH(U153,L_KED,0)),0))</f>
        <v/>
      </c>
      <c r="W153" s="17">
        <f>IF(OR(B153="",E153="",COUNTA(F153,H153,J153:M153,O153,Q153:R153,T153:U153)=0),"",SUM(G153,I153,N153,P153,S153,V153))</f>
        <v/>
      </c>
      <c r="X153" s="18">
        <f>IF(W153="","",IF(Murid!F153="TL","TL",ROUND(W153/110*100,2)))</f>
        <v/>
      </c>
    </row>
    <row r="154">
      <c r="A154" s="15">
        <f>Murid!A154</f>
        <v/>
      </c>
      <c r="B154" s="15">
        <f>IF(Murid!B154="","",Murid!B154)</f>
        <v/>
      </c>
      <c r="C154" s="16">
        <f>IF(Murid!C154="","",Murid!C154)</f>
        <v/>
      </c>
      <c r="D154" s="15">
        <f>IF(Murid!E154="","",Murid!E154)</f>
        <v/>
      </c>
      <c r="E154" s="11" t="n"/>
      <c r="F154" s="11" t="n"/>
      <c r="G154" s="10">
        <f>IF(F154="","",IFERROR(VLOOKUP(F154,T_JKP,2,FALSE),0))</f>
        <v/>
      </c>
      <c r="H154" s="11" t="n"/>
      <c r="I154" s="17">
        <f>IF(H154="","",IF(H154&gt;=12,40,ROUND(H154*3.33,2)))</f>
        <v/>
      </c>
      <c r="J154" s="11" t="n"/>
      <c r="K154" s="11" t="n"/>
      <c r="L154" s="11" t="n"/>
      <c r="M154" s="11" t="n"/>
      <c r="N154" s="10">
        <f>IF(COUNTA(J154:M154)=0,"",MIN(10,SUMPRODUCT((COUNTIF(J154:M154,L_KOM)&gt;0)*S_KOM)))</f>
        <v/>
      </c>
      <c r="O154" s="11" t="n"/>
      <c r="P154" s="10">
        <f>IF(O154="","",IFERROR(VLOOKUP(O154,T_KHID,2,FALSE),0))</f>
        <v/>
      </c>
      <c r="Q154" s="11" t="n"/>
      <c r="R154" s="11" t="n"/>
      <c r="S154" s="10">
        <f>IF(AND(Q154="",R154=""),"",IFERROR(INDEX(T_LIBAT,MATCH(Q154,L_PER,0),MATCH(R154,L_JENIS,0)),0))</f>
        <v/>
      </c>
      <c r="T154" s="11" t="n"/>
      <c r="U154" s="11" t="n"/>
      <c r="V154" s="10">
        <f>IF(AND(T154="",U154=""),"",IFERROR(INDEX(T_CAPAI,MATCH(T154,L_PER,0),MATCH(U154,L_KED,0)),0))</f>
        <v/>
      </c>
      <c r="W154" s="17">
        <f>IF(OR(B154="",E154="",COUNTA(F154,H154,J154:M154,O154,Q154:R154,T154:U154)=0),"",SUM(G154,I154,N154,P154,S154,V154))</f>
        <v/>
      </c>
      <c r="X154" s="18">
        <f>IF(W154="","",IF(Murid!F154="TL","TL",ROUND(W154/110*100,2)))</f>
        <v/>
      </c>
    </row>
    <row r="155">
      <c r="A155" s="15">
        <f>Murid!A155</f>
        <v/>
      </c>
      <c r="B155" s="15">
        <f>IF(Murid!B155="","",Murid!B155)</f>
        <v/>
      </c>
      <c r="C155" s="16">
        <f>IF(Murid!C155="","",Murid!C155)</f>
        <v/>
      </c>
      <c r="D155" s="15">
        <f>IF(Murid!E155="","",Murid!E155)</f>
        <v/>
      </c>
      <c r="E155" s="11" t="n"/>
      <c r="F155" s="11" t="n"/>
      <c r="G155" s="10">
        <f>IF(F155="","",IFERROR(VLOOKUP(F155,T_JKP,2,FALSE),0))</f>
        <v/>
      </c>
      <c r="H155" s="11" t="n"/>
      <c r="I155" s="17">
        <f>IF(H155="","",IF(H155&gt;=12,40,ROUND(H155*3.33,2)))</f>
        <v/>
      </c>
      <c r="J155" s="11" t="n"/>
      <c r="K155" s="11" t="n"/>
      <c r="L155" s="11" t="n"/>
      <c r="M155" s="11" t="n"/>
      <c r="N155" s="10">
        <f>IF(COUNTA(J155:M155)=0,"",MIN(10,SUMPRODUCT((COUNTIF(J155:M155,L_KOM)&gt;0)*S_KOM)))</f>
        <v/>
      </c>
      <c r="O155" s="11" t="n"/>
      <c r="P155" s="10">
        <f>IF(O155="","",IFERROR(VLOOKUP(O155,T_KHID,2,FALSE),0))</f>
        <v/>
      </c>
      <c r="Q155" s="11" t="n"/>
      <c r="R155" s="11" t="n"/>
      <c r="S155" s="10">
        <f>IF(AND(Q155="",R155=""),"",IFERROR(INDEX(T_LIBAT,MATCH(Q155,L_PER,0),MATCH(R155,L_JENIS,0)),0))</f>
        <v/>
      </c>
      <c r="T155" s="11" t="n"/>
      <c r="U155" s="11" t="n"/>
      <c r="V155" s="10">
        <f>IF(AND(T155="",U155=""),"",IFERROR(INDEX(T_CAPAI,MATCH(T155,L_PER,0),MATCH(U155,L_KED,0)),0))</f>
        <v/>
      </c>
      <c r="W155" s="17">
        <f>IF(OR(B155="",E155="",COUNTA(F155,H155,J155:M155,O155,Q155:R155,T155:U155)=0),"",SUM(G155,I155,N155,P155,S155,V155))</f>
        <v/>
      </c>
      <c r="X155" s="18">
        <f>IF(W155="","",IF(Murid!F155="TL","TL",ROUND(W155/110*100,2)))</f>
        <v/>
      </c>
    </row>
    <row r="156">
      <c r="A156" s="15">
        <f>Murid!A156</f>
        <v/>
      </c>
      <c r="B156" s="15">
        <f>IF(Murid!B156="","",Murid!B156)</f>
        <v/>
      </c>
      <c r="C156" s="16">
        <f>IF(Murid!C156="","",Murid!C156)</f>
        <v/>
      </c>
      <c r="D156" s="15">
        <f>IF(Murid!E156="","",Murid!E156)</f>
        <v/>
      </c>
      <c r="E156" s="11" t="n"/>
      <c r="F156" s="11" t="n"/>
      <c r="G156" s="10">
        <f>IF(F156="","",IFERROR(VLOOKUP(F156,T_JKP,2,FALSE),0))</f>
        <v/>
      </c>
      <c r="H156" s="11" t="n"/>
      <c r="I156" s="17">
        <f>IF(H156="","",IF(H156&gt;=12,40,ROUND(H156*3.33,2)))</f>
        <v/>
      </c>
      <c r="J156" s="11" t="n"/>
      <c r="K156" s="11" t="n"/>
      <c r="L156" s="11" t="n"/>
      <c r="M156" s="11" t="n"/>
      <c r="N156" s="10">
        <f>IF(COUNTA(J156:M156)=0,"",MIN(10,SUMPRODUCT((COUNTIF(J156:M156,L_KOM)&gt;0)*S_KOM)))</f>
        <v/>
      </c>
      <c r="O156" s="11" t="n"/>
      <c r="P156" s="10">
        <f>IF(O156="","",IFERROR(VLOOKUP(O156,T_KHID,2,FALSE),0))</f>
        <v/>
      </c>
      <c r="Q156" s="11" t="n"/>
      <c r="R156" s="11" t="n"/>
      <c r="S156" s="10">
        <f>IF(AND(Q156="",R156=""),"",IFERROR(INDEX(T_LIBAT,MATCH(Q156,L_PER,0),MATCH(R156,L_JENIS,0)),0))</f>
        <v/>
      </c>
      <c r="T156" s="11" t="n"/>
      <c r="U156" s="11" t="n"/>
      <c r="V156" s="10">
        <f>IF(AND(T156="",U156=""),"",IFERROR(INDEX(T_CAPAI,MATCH(T156,L_PER,0),MATCH(U156,L_KED,0)),0))</f>
        <v/>
      </c>
      <c r="W156" s="17">
        <f>IF(OR(B156="",E156="",COUNTA(F156,H156,J156:M156,O156,Q156:R156,T156:U156)=0),"",SUM(G156,I156,N156,P156,S156,V156))</f>
        <v/>
      </c>
      <c r="X156" s="18">
        <f>IF(W156="","",IF(Murid!F156="TL","TL",ROUND(W156/110*100,2)))</f>
        <v/>
      </c>
    </row>
    <row r="157">
      <c r="A157" s="15">
        <f>Murid!A157</f>
        <v/>
      </c>
      <c r="B157" s="15">
        <f>IF(Murid!B157="","",Murid!B157)</f>
        <v/>
      </c>
      <c r="C157" s="16">
        <f>IF(Murid!C157="","",Murid!C157)</f>
        <v/>
      </c>
      <c r="D157" s="15">
        <f>IF(Murid!E157="","",Murid!E157)</f>
        <v/>
      </c>
      <c r="E157" s="11" t="n"/>
      <c r="F157" s="11" t="n"/>
      <c r="G157" s="10">
        <f>IF(F157="","",IFERROR(VLOOKUP(F157,T_JKP,2,FALSE),0))</f>
        <v/>
      </c>
      <c r="H157" s="11" t="n"/>
      <c r="I157" s="17">
        <f>IF(H157="","",IF(H157&gt;=12,40,ROUND(H157*3.33,2)))</f>
        <v/>
      </c>
      <c r="J157" s="11" t="n"/>
      <c r="K157" s="11" t="n"/>
      <c r="L157" s="11" t="n"/>
      <c r="M157" s="11" t="n"/>
      <c r="N157" s="10">
        <f>IF(COUNTA(J157:M157)=0,"",MIN(10,SUMPRODUCT((COUNTIF(J157:M157,L_KOM)&gt;0)*S_KOM)))</f>
        <v/>
      </c>
      <c r="O157" s="11" t="n"/>
      <c r="P157" s="10">
        <f>IF(O157="","",IFERROR(VLOOKUP(O157,T_KHID,2,FALSE),0))</f>
        <v/>
      </c>
      <c r="Q157" s="11" t="n"/>
      <c r="R157" s="11" t="n"/>
      <c r="S157" s="10">
        <f>IF(AND(Q157="",R157=""),"",IFERROR(INDEX(T_LIBAT,MATCH(Q157,L_PER,0),MATCH(R157,L_JENIS,0)),0))</f>
        <v/>
      </c>
      <c r="T157" s="11" t="n"/>
      <c r="U157" s="11" t="n"/>
      <c r="V157" s="10">
        <f>IF(AND(T157="",U157=""),"",IFERROR(INDEX(T_CAPAI,MATCH(T157,L_PER,0),MATCH(U157,L_KED,0)),0))</f>
        <v/>
      </c>
      <c r="W157" s="17">
        <f>IF(OR(B157="",E157="",COUNTA(F157,H157,J157:M157,O157,Q157:R157,T157:U157)=0),"",SUM(G157,I157,N157,P157,S157,V157))</f>
        <v/>
      </c>
      <c r="X157" s="18">
        <f>IF(W157="","",IF(Murid!F157="TL","TL",ROUND(W157/110*100,2)))</f>
        <v/>
      </c>
    </row>
    <row r="158">
      <c r="A158" s="15">
        <f>Murid!A158</f>
        <v/>
      </c>
      <c r="B158" s="15">
        <f>IF(Murid!B158="","",Murid!B158)</f>
        <v/>
      </c>
      <c r="C158" s="16">
        <f>IF(Murid!C158="","",Murid!C158)</f>
        <v/>
      </c>
      <c r="D158" s="15">
        <f>IF(Murid!E158="","",Murid!E158)</f>
        <v/>
      </c>
      <c r="E158" s="11" t="n"/>
      <c r="F158" s="11" t="n"/>
      <c r="G158" s="10">
        <f>IF(F158="","",IFERROR(VLOOKUP(F158,T_JKP,2,FALSE),0))</f>
        <v/>
      </c>
      <c r="H158" s="11" t="n"/>
      <c r="I158" s="17">
        <f>IF(H158="","",IF(H158&gt;=12,40,ROUND(H158*3.33,2)))</f>
        <v/>
      </c>
      <c r="J158" s="11" t="n"/>
      <c r="K158" s="11" t="n"/>
      <c r="L158" s="11" t="n"/>
      <c r="M158" s="11" t="n"/>
      <c r="N158" s="10">
        <f>IF(COUNTA(J158:M158)=0,"",MIN(10,SUMPRODUCT((COUNTIF(J158:M158,L_KOM)&gt;0)*S_KOM)))</f>
        <v/>
      </c>
      <c r="O158" s="11" t="n"/>
      <c r="P158" s="10">
        <f>IF(O158="","",IFERROR(VLOOKUP(O158,T_KHID,2,FALSE),0))</f>
        <v/>
      </c>
      <c r="Q158" s="11" t="n"/>
      <c r="R158" s="11" t="n"/>
      <c r="S158" s="10">
        <f>IF(AND(Q158="",R158=""),"",IFERROR(INDEX(T_LIBAT,MATCH(Q158,L_PER,0),MATCH(R158,L_JENIS,0)),0))</f>
        <v/>
      </c>
      <c r="T158" s="11" t="n"/>
      <c r="U158" s="11" t="n"/>
      <c r="V158" s="10">
        <f>IF(AND(T158="",U158=""),"",IFERROR(INDEX(T_CAPAI,MATCH(T158,L_PER,0),MATCH(U158,L_KED,0)),0))</f>
        <v/>
      </c>
      <c r="W158" s="17">
        <f>IF(OR(B158="",E158="",COUNTA(F158,H158,J158:M158,O158,Q158:R158,T158:U158)=0),"",SUM(G158,I158,N158,P158,S158,V158))</f>
        <v/>
      </c>
      <c r="X158" s="18">
        <f>IF(W158="","",IF(Murid!F158="TL","TL",ROUND(W158/110*100,2)))</f>
        <v/>
      </c>
    </row>
    <row r="159">
      <c r="A159" s="15">
        <f>Murid!A159</f>
        <v/>
      </c>
      <c r="B159" s="15">
        <f>IF(Murid!B159="","",Murid!B159)</f>
        <v/>
      </c>
      <c r="C159" s="16">
        <f>IF(Murid!C159="","",Murid!C159)</f>
        <v/>
      </c>
      <c r="D159" s="15">
        <f>IF(Murid!E159="","",Murid!E159)</f>
        <v/>
      </c>
      <c r="E159" s="11" t="n"/>
      <c r="F159" s="11" t="n"/>
      <c r="G159" s="10">
        <f>IF(F159="","",IFERROR(VLOOKUP(F159,T_JKP,2,FALSE),0))</f>
        <v/>
      </c>
      <c r="H159" s="11" t="n"/>
      <c r="I159" s="17">
        <f>IF(H159="","",IF(H159&gt;=12,40,ROUND(H159*3.33,2)))</f>
        <v/>
      </c>
      <c r="J159" s="11" t="n"/>
      <c r="K159" s="11" t="n"/>
      <c r="L159" s="11" t="n"/>
      <c r="M159" s="11" t="n"/>
      <c r="N159" s="10">
        <f>IF(COUNTA(J159:M159)=0,"",MIN(10,SUMPRODUCT((COUNTIF(J159:M159,L_KOM)&gt;0)*S_KOM)))</f>
        <v/>
      </c>
      <c r="O159" s="11" t="n"/>
      <c r="P159" s="10">
        <f>IF(O159="","",IFERROR(VLOOKUP(O159,T_KHID,2,FALSE),0))</f>
        <v/>
      </c>
      <c r="Q159" s="11" t="n"/>
      <c r="R159" s="11" t="n"/>
      <c r="S159" s="10">
        <f>IF(AND(Q159="",R159=""),"",IFERROR(INDEX(T_LIBAT,MATCH(Q159,L_PER,0),MATCH(R159,L_JENIS,0)),0))</f>
        <v/>
      </c>
      <c r="T159" s="11" t="n"/>
      <c r="U159" s="11" t="n"/>
      <c r="V159" s="10">
        <f>IF(AND(T159="",U159=""),"",IFERROR(INDEX(T_CAPAI,MATCH(T159,L_PER,0),MATCH(U159,L_KED,0)),0))</f>
        <v/>
      </c>
      <c r="W159" s="17">
        <f>IF(OR(B159="",E159="",COUNTA(F159,H159,J159:M159,O159,Q159:R159,T159:U159)=0),"",SUM(G159,I159,N159,P159,S159,V159))</f>
        <v/>
      </c>
      <c r="X159" s="18">
        <f>IF(W159="","",IF(Murid!F159="TL","TL",ROUND(W159/110*100,2)))</f>
        <v/>
      </c>
    </row>
    <row r="160">
      <c r="A160" s="15">
        <f>Murid!A160</f>
        <v/>
      </c>
      <c r="B160" s="15">
        <f>IF(Murid!B160="","",Murid!B160)</f>
        <v/>
      </c>
      <c r="C160" s="16">
        <f>IF(Murid!C160="","",Murid!C160)</f>
        <v/>
      </c>
      <c r="D160" s="15">
        <f>IF(Murid!E160="","",Murid!E160)</f>
        <v/>
      </c>
      <c r="E160" s="11" t="n"/>
      <c r="F160" s="11" t="n"/>
      <c r="G160" s="10">
        <f>IF(F160="","",IFERROR(VLOOKUP(F160,T_JKP,2,FALSE),0))</f>
        <v/>
      </c>
      <c r="H160" s="11" t="n"/>
      <c r="I160" s="17">
        <f>IF(H160="","",IF(H160&gt;=12,40,ROUND(H160*3.33,2)))</f>
        <v/>
      </c>
      <c r="J160" s="11" t="n"/>
      <c r="K160" s="11" t="n"/>
      <c r="L160" s="11" t="n"/>
      <c r="M160" s="11" t="n"/>
      <c r="N160" s="10">
        <f>IF(COUNTA(J160:M160)=0,"",MIN(10,SUMPRODUCT((COUNTIF(J160:M160,L_KOM)&gt;0)*S_KOM)))</f>
        <v/>
      </c>
      <c r="O160" s="11" t="n"/>
      <c r="P160" s="10">
        <f>IF(O160="","",IFERROR(VLOOKUP(O160,T_KHID,2,FALSE),0))</f>
        <v/>
      </c>
      <c r="Q160" s="11" t="n"/>
      <c r="R160" s="11" t="n"/>
      <c r="S160" s="10">
        <f>IF(AND(Q160="",R160=""),"",IFERROR(INDEX(T_LIBAT,MATCH(Q160,L_PER,0),MATCH(R160,L_JENIS,0)),0))</f>
        <v/>
      </c>
      <c r="T160" s="11" t="n"/>
      <c r="U160" s="11" t="n"/>
      <c r="V160" s="10">
        <f>IF(AND(T160="",U160=""),"",IFERROR(INDEX(T_CAPAI,MATCH(T160,L_PER,0),MATCH(U160,L_KED,0)),0))</f>
        <v/>
      </c>
      <c r="W160" s="17">
        <f>IF(OR(B160="",E160="",COUNTA(F160,H160,J160:M160,O160,Q160:R160,T160:U160)=0),"",SUM(G160,I160,N160,P160,S160,V160))</f>
        <v/>
      </c>
      <c r="X160" s="18">
        <f>IF(W160="","",IF(Murid!F160="TL","TL",ROUND(W160/110*100,2)))</f>
        <v/>
      </c>
    </row>
    <row r="161">
      <c r="A161" s="15">
        <f>Murid!A161</f>
        <v/>
      </c>
      <c r="B161" s="15">
        <f>IF(Murid!B161="","",Murid!B161)</f>
        <v/>
      </c>
      <c r="C161" s="16">
        <f>IF(Murid!C161="","",Murid!C161)</f>
        <v/>
      </c>
      <c r="D161" s="15">
        <f>IF(Murid!E161="","",Murid!E161)</f>
        <v/>
      </c>
      <c r="E161" s="11" t="n"/>
      <c r="F161" s="11" t="n"/>
      <c r="G161" s="10">
        <f>IF(F161="","",IFERROR(VLOOKUP(F161,T_JKP,2,FALSE),0))</f>
        <v/>
      </c>
      <c r="H161" s="11" t="n"/>
      <c r="I161" s="17">
        <f>IF(H161="","",IF(H161&gt;=12,40,ROUND(H161*3.33,2)))</f>
        <v/>
      </c>
      <c r="J161" s="11" t="n"/>
      <c r="K161" s="11" t="n"/>
      <c r="L161" s="11" t="n"/>
      <c r="M161" s="11" t="n"/>
      <c r="N161" s="10">
        <f>IF(COUNTA(J161:M161)=0,"",MIN(10,SUMPRODUCT((COUNTIF(J161:M161,L_KOM)&gt;0)*S_KOM)))</f>
        <v/>
      </c>
      <c r="O161" s="11" t="n"/>
      <c r="P161" s="10">
        <f>IF(O161="","",IFERROR(VLOOKUP(O161,T_KHID,2,FALSE),0))</f>
        <v/>
      </c>
      <c r="Q161" s="11" t="n"/>
      <c r="R161" s="11" t="n"/>
      <c r="S161" s="10">
        <f>IF(AND(Q161="",R161=""),"",IFERROR(INDEX(T_LIBAT,MATCH(Q161,L_PER,0),MATCH(R161,L_JENIS,0)),0))</f>
        <v/>
      </c>
      <c r="T161" s="11" t="n"/>
      <c r="U161" s="11" t="n"/>
      <c r="V161" s="10">
        <f>IF(AND(T161="",U161=""),"",IFERROR(INDEX(T_CAPAI,MATCH(T161,L_PER,0),MATCH(U161,L_KED,0)),0))</f>
        <v/>
      </c>
      <c r="W161" s="17">
        <f>IF(OR(B161="",E161="",COUNTA(F161,H161,J161:M161,O161,Q161:R161,T161:U161)=0),"",SUM(G161,I161,N161,P161,S161,V161))</f>
        <v/>
      </c>
      <c r="X161" s="18">
        <f>IF(W161="","",IF(Murid!F161="TL","TL",ROUND(W161/110*100,2)))</f>
        <v/>
      </c>
    </row>
    <row r="162">
      <c r="A162" s="15">
        <f>Murid!A162</f>
        <v/>
      </c>
      <c r="B162" s="15">
        <f>IF(Murid!B162="","",Murid!B162)</f>
        <v/>
      </c>
      <c r="C162" s="16">
        <f>IF(Murid!C162="","",Murid!C162)</f>
        <v/>
      </c>
      <c r="D162" s="15">
        <f>IF(Murid!E162="","",Murid!E162)</f>
        <v/>
      </c>
      <c r="E162" s="11" t="n"/>
      <c r="F162" s="11" t="n"/>
      <c r="G162" s="10">
        <f>IF(F162="","",IFERROR(VLOOKUP(F162,T_JKP,2,FALSE),0))</f>
        <v/>
      </c>
      <c r="H162" s="11" t="n"/>
      <c r="I162" s="17">
        <f>IF(H162="","",IF(H162&gt;=12,40,ROUND(H162*3.33,2)))</f>
        <v/>
      </c>
      <c r="J162" s="11" t="n"/>
      <c r="K162" s="11" t="n"/>
      <c r="L162" s="11" t="n"/>
      <c r="M162" s="11" t="n"/>
      <c r="N162" s="10">
        <f>IF(COUNTA(J162:M162)=0,"",MIN(10,SUMPRODUCT((COUNTIF(J162:M162,L_KOM)&gt;0)*S_KOM)))</f>
        <v/>
      </c>
      <c r="O162" s="11" t="n"/>
      <c r="P162" s="10">
        <f>IF(O162="","",IFERROR(VLOOKUP(O162,T_KHID,2,FALSE),0))</f>
        <v/>
      </c>
      <c r="Q162" s="11" t="n"/>
      <c r="R162" s="11" t="n"/>
      <c r="S162" s="10">
        <f>IF(AND(Q162="",R162=""),"",IFERROR(INDEX(T_LIBAT,MATCH(Q162,L_PER,0),MATCH(R162,L_JENIS,0)),0))</f>
        <v/>
      </c>
      <c r="T162" s="11" t="n"/>
      <c r="U162" s="11" t="n"/>
      <c r="V162" s="10">
        <f>IF(AND(T162="",U162=""),"",IFERROR(INDEX(T_CAPAI,MATCH(T162,L_PER,0),MATCH(U162,L_KED,0)),0))</f>
        <v/>
      </c>
      <c r="W162" s="17">
        <f>IF(OR(B162="",E162="",COUNTA(F162,H162,J162:M162,O162,Q162:R162,T162:U162)=0),"",SUM(G162,I162,N162,P162,S162,V162))</f>
        <v/>
      </c>
      <c r="X162" s="18">
        <f>IF(W162="","",IF(Murid!F162="TL","TL",ROUND(W162/110*100,2)))</f>
        <v/>
      </c>
    </row>
    <row r="163">
      <c r="A163" s="15">
        <f>Murid!A163</f>
        <v/>
      </c>
      <c r="B163" s="15">
        <f>IF(Murid!B163="","",Murid!B163)</f>
        <v/>
      </c>
      <c r="C163" s="16">
        <f>IF(Murid!C163="","",Murid!C163)</f>
        <v/>
      </c>
      <c r="D163" s="15">
        <f>IF(Murid!E163="","",Murid!E163)</f>
        <v/>
      </c>
      <c r="E163" s="11" t="n"/>
      <c r="F163" s="11" t="n"/>
      <c r="G163" s="10">
        <f>IF(F163="","",IFERROR(VLOOKUP(F163,T_JKP,2,FALSE),0))</f>
        <v/>
      </c>
      <c r="H163" s="11" t="n"/>
      <c r="I163" s="17">
        <f>IF(H163="","",IF(H163&gt;=12,40,ROUND(H163*3.33,2)))</f>
        <v/>
      </c>
      <c r="J163" s="11" t="n"/>
      <c r="K163" s="11" t="n"/>
      <c r="L163" s="11" t="n"/>
      <c r="M163" s="11" t="n"/>
      <c r="N163" s="10">
        <f>IF(COUNTA(J163:M163)=0,"",MIN(10,SUMPRODUCT((COUNTIF(J163:M163,L_KOM)&gt;0)*S_KOM)))</f>
        <v/>
      </c>
      <c r="O163" s="11" t="n"/>
      <c r="P163" s="10">
        <f>IF(O163="","",IFERROR(VLOOKUP(O163,T_KHID,2,FALSE),0))</f>
        <v/>
      </c>
      <c r="Q163" s="11" t="n"/>
      <c r="R163" s="11" t="n"/>
      <c r="S163" s="10">
        <f>IF(AND(Q163="",R163=""),"",IFERROR(INDEX(T_LIBAT,MATCH(Q163,L_PER,0),MATCH(R163,L_JENIS,0)),0))</f>
        <v/>
      </c>
      <c r="T163" s="11" t="n"/>
      <c r="U163" s="11" t="n"/>
      <c r="V163" s="10">
        <f>IF(AND(T163="",U163=""),"",IFERROR(INDEX(T_CAPAI,MATCH(T163,L_PER,0),MATCH(U163,L_KED,0)),0))</f>
        <v/>
      </c>
      <c r="W163" s="17">
        <f>IF(OR(B163="",E163="",COUNTA(F163,H163,J163:M163,O163,Q163:R163,T163:U163)=0),"",SUM(G163,I163,N163,P163,S163,V163))</f>
        <v/>
      </c>
      <c r="X163" s="18">
        <f>IF(W163="","",IF(Murid!F163="TL","TL",ROUND(W163/110*100,2)))</f>
        <v/>
      </c>
    </row>
    <row r="164">
      <c r="A164" s="15">
        <f>Murid!A164</f>
        <v/>
      </c>
      <c r="B164" s="15">
        <f>IF(Murid!B164="","",Murid!B164)</f>
        <v/>
      </c>
      <c r="C164" s="16">
        <f>IF(Murid!C164="","",Murid!C164)</f>
        <v/>
      </c>
      <c r="D164" s="15">
        <f>IF(Murid!E164="","",Murid!E164)</f>
        <v/>
      </c>
      <c r="E164" s="11" t="n"/>
      <c r="F164" s="11" t="n"/>
      <c r="G164" s="10">
        <f>IF(F164="","",IFERROR(VLOOKUP(F164,T_JKP,2,FALSE),0))</f>
        <v/>
      </c>
      <c r="H164" s="11" t="n"/>
      <c r="I164" s="17">
        <f>IF(H164="","",IF(H164&gt;=12,40,ROUND(H164*3.33,2)))</f>
        <v/>
      </c>
      <c r="J164" s="11" t="n"/>
      <c r="K164" s="11" t="n"/>
      <c r="L164" s="11" t="n"/>
      <c r="M164" s="11" t="n"/>
      <c r="N164" s="10">
        <f>IF(COUNTA(J164:M164)=0,"",MIN(10,SUMPRODUCT((COUNTIF(J164:M164,L_KOM)&gt;0)*S_KOM)))</f>
        <v/>
      </c>
      <c r="O164" s="11" t="n"/>
      <c r="P164" s="10">
        <f>IF(O164="","",IFERROR(VLOOKUP(O164,T_KHID,2,FALSE),0))</f>
        <v/>
      </c>
      <c r="Q164" s="11" t="n"/>
      <c r="R164" s="11" t="n"/>
      <c r="S164" s="10">
        <f>IF(AND(Q164="",R164=""),"",IFERROR(INDEX(T_LIBAT,MATCH(Q164,L_PER,0),MATCH(R164,L_JENIS,0)),0))</f>
        <v/>
      </c>
      <c r="T164" s="11" t="n"/>
      <c r="U164" s="11" t="n"/>
      <c r="V164" s="10">
        <f>IF(AND(T164="",U164=""),"",IFERROR(INDEX(T_CAPAI,MATCH(T164,L_PER,0),MATCH(U164,L_KED,0)),0))</f>
        <v/>
      </c>
      <c r="W164" s="17">
        <f>IF(OR(B164="",E164="",COUNTA(F164,H164,J164:M164,O164,Q164:R164,T164:U164)=0),"",SUM(G164,I164,N164,P164,S164,V164))</f>
        <v/>
      </c>
      <c r="X164" s="18">
        <f>IF(W164="","",IF(Murid!F164="TL","TL",ROUND(W164/110*100,2)))</f>
        <v/>
      </c>
    </row>
    <row r="165">
      <c r="A165" s="15">
        <f>Murid!A165</f>
        <v/>
      </c>
      <c r="B165" s="15">
        <f>IF(Murid!B165="","",Murid!B165)</f>
        <v/>
      </c>
      <c r="C165" s="16">
        <f>IF(Murid!C165="","",Murid!C165)</f>
        <v/>
      </c>
      <c r="D165" s="15">
        <f>IF(Murid!E165="","",Murid!E165)</f>
        <v/>
      </c>
      <c r="E165" s="11" t="n"/>
      <c r="F165" s="11" t="n"/>
      <c r="G165" s="10">
        <f>IF(F165="","",IFERROR(VLOOKUP(F165,T_JKP,2,FALSE),0))</f>
        <v/>
      </c>
      <c r="H165" s="11" t="n"/>
      <c r="I165" s="17">
        <f>IF(H165="","",IF(H165&gt;=12,40,ROUND(H165*3.33,2)))</f>
        <v/>
      </c>
      <c r="J165" s="11" t="n"/>
      <c r="K165" s="11" t="n"/>
      <c r="L165" s="11" t="n"/>
      <c r="M165" s="11" t="n"/>
      <c r="N165" s="10">
        <f>IF(COUNTA(J165:M165)=0,"",MIN(10,SUMPRODUCT((COUNTIF(J165:M165,L_KOM)&gt;0)*S_KOM)))</f>
        <v/>
      </c>
      <c r="O165" s="11" t="n"/>
      <c r="P165" s="10">
        <f>IF(O165="","",IFERROR(VLOOKUP(O165,T_KHID,2,FALSE),0))</f>
        <v/>
      </c>
      <c r="Q165" s="11" t="n"/>
      <c r="R165" s="11" t="n"/>
      <c r="S165" s="10">
        <f>IF(AND(Q165="",R165=""),"",IFERROR(INDEX(T_LIBAT,MATCH(Q165,L_PER,0),MATCH(R165,L_JENIS,0)),0))</f>
        <v/>
      </c>
      <c r="T165" s="11" t="n"/>
      <c r="U165" s="11" t="n"/>
      <c r="V165" s="10">
        <f>IF(AND(T165="",U165=""),"",IFERROR(INDEX(T_CAPAI,MATCH(T165,L_PER,0),MATCH(U165,L_KED,0)),0))</f>
        <v/>
      </c>
      <c r="W165" s="17">
        <f>IF(OR(B165="",E165="",COUNTA(F165,H165,J165:M165,O165,Q165:R165,T165:U165)=0),"",SUM(G165,I165,N165,P165,S165,V165))</f>
        <v/>
      </c>
      <c r="X165" s="18">
        <f>IF(W165="","",IF(Murid!F165="TL","TL",ROUND(W165/110*100,2)))</f>
        <v/>
      </c>
    </row>
    <row r="166">
      <c r="A166" s="15">
        <f>Murid!A166</f>
        <v/>
      </c>
      <c r="B166" s="15">
        <f>IF(Murid!B166="","",Murid!B166)</f>
        <v/>
      </c>
      <c r="C166" s="16">
        <f>IF(Murid!C166="","",Murid!C166)</f>
        <v/>
      </c>
      <c r="D166" s="15">
        <f>IF(Murid!E166="","",Murid!E166)</f>
        <v/>
      </c>
      <c r="E166" s="11" t="n"/>
      <c r="F166" s="11" t="n"/>
      <c r="G166" s="10">
        <f>IF(F166="","",IFERROR(VLOOKUP(F166,T_JKP,2,FALSE),0))</f>
        <v/>
      </c>
      <c r="H166" s="11" t="n"/>
      <c r="I166" s="17">
        <f>IF(H166="","",IF(H166&gt;=12,40,ROUND(H166*3.33,2)))</f>
        <v/>
      </c>
      <c r="J166" s="11" t="n"/>
      <c r="K166" s="11" t="n"/>
      <c r="L166" s="11" t="n"/>
      <c r="M166" s="11" t="n"/>
      <c r="N166" s="10">
        <f>IF(COUNTA(J166:M166)=0,"",MIN(10,SUMPRODUCT((COUNTIF(J166:M166,L_KOM)&gt;0)*S_KOM)))</f>
        <v/>
      </c>
      <c r="O166" s="11" t="n"/>
      <c r="P166" s="10">
        <f>IF(O166="","",IFERROR(VLOOKUP(O166,T_KHID,2,FALSE),0))</f>
        <v/>
      </c>
      <c r="Q166" s="11" t="n"/>
      <c r="R166" s="11" t="n"/>
      <c r="S166" s="10">
        <f>IF(AND(Q166="",R166=""),"",IFERROR(INDEX(T_LIBAT,MATCH(Q166,L_PER,0),MATCH(R166,L_JENIS,0)),0))</f>
        <v/>
      </c>
      <c r="T166" s="11" t="n"/>
      <c r="U166" s="11" t="n"/>
      <c r="V166" s="10">
        <f>IF(AND(T166="",U166=""),"",IFERROR(INDEX(T_CAPAI,MATCH(T166,L_PER,0),MATCH(U166,L_KED,0)),0))</f>
        <v/>
      </c>
      <c r="W166" s="17">
        <f>IF(OR(B166="",E166="",COUNTA(F166,H166,J166:M166,O166,Q166:R166,T166:U166)=0),"",SUM(G166,I166,N166,P166,S166,V166))</f>
        <v/>
      </c>
      <c r="X166" s="18">
        <f>IF(W166="","",IF(Murid!F166="TL","TL",ROUND(W166/110*100,2)))</f>
        <v/>
      </c>
    </row>
    <row r="167">
      <c r="A167" s="15">
        <f>Murid!A167</f>
        <v/>
      </c>
      <c r="B167" s="15">
        <f>IF(Murid!B167="","",Murid!B167)</f>
        <v/>
      </c>
      <c r="C167" s="16">
        <f>IF(Murid!C167="","",Murid!C167)</f>
        <v/>
      </c>
      <c r="D167" s="15">
        <f>IF(Murid!E167="","",Murid!E167)</f>
        <v/>
      </c>
      <c r="E167" s="11" t="n"/>
      <c r="F167" s="11" t="n"/>
      <c r="G167" s="10">
        <f>IF(F167="","",IFERROR(VLOOKUP(F167,T_JKP,2,FALSE),0))</f>
        <v/>
      </c>
      <c r="H167" s="11" t="n"/>
      <c r="I167" s="17">
        <f>IF(H167="","",IF(H167&gt;=12,40,ROUND(H167*3.33,2)))</f>
        <v/>
      </c>
      <c r="J167" s="11" t="n"/>
      <c r="K167" s="11" t="n"/>
      <c r="L167" s="11" t="n"/>
      <c r="M167" s="11" t="n"/>
      <c r="N167" s="10">
        <f>IF(COUNTA(J167:M167)=0,"",MIN(10,SUMPRODUCT((COUNTIF(J167:M167,L_KOM)&gt;0)*S_KOM)))</f>
        <v/>
      </c>
      <c r="O167" s="11" t="n"/>
      <c r="P167" s="10">
        <f>IF(O167="","",IFERROR(VLOOKUP(O167,T_KHID,2,FALSE),0))</f>
        <v/>
      </c>
      <c r="Q167" s="11" t="n"/>
      <c r="R167" s="11" t="n"/>
      <c r="S167" s="10">
        <f>IF(AND(Q167="",R167=""),"",IFERROR(INDEX(T_LIBAT,MATCH(Q167,L_PER,0),MATCH(R167,L_JENIS,0)),0))</f>
        <v/>
      </c>
      <c r="T167" s="11" t="n"/>
      <c r="U167" s="11" t="n"/>
      <c r="V167" s="10">
        <f>IF(AND(T167="",U167=""),"",IFERROR(INDEX(T_CAPAI,MATCH(T167,L_PER,0),MATCH(U167,L_KED,0)),0))</f>
        <v/>
      </c>
      <c r="W167" s="17">
        <f>IF(OR(B167="",E167="",COUNTA(F167,H167,J167:M167,O167,Q167:R167,T167:U167)=0),"",SUM(G167,I167,N167,P167,S167,V167))</f>
        <v/>
      </c>
      <c r="X167" s="18">
        <f>IF(W167="","",IF(Murid!F167="TL","TL",ROUND(W167/110*100,2)))</f>
        <v/>
      </c>
    </row>
    <row r="168">
      <c r="A168" s="15">
        <f>Murid!A168</f>
        <v/>
      </c>
      <c r="B168" s="15">
        <f>IF(Murid!B168="","",Murid!B168)</f>
        <v/>
      </c>
      <c r="C168" s="16">
        <f>IF(Murid!C168="","",Murid!C168)</f>
        <v/>
      </c>
      <c r="D168" s="15">
        <f>IF(Murid!E168="","",Murid!E168)</f>
        <v/>
      </c>
      <c r="E168" s="11" t="n"/>
      <c r="F168" s="11" t="n"/>
      <c r="G168" s="10">
        <f>IF(F168="","",IFERROR(VLOOKUP(F168,T_JKP,2,FALSE),0))</f>
        <v/>
      </c>
      <c r="H168" s="11" t="n"/>
      <c r="I168" s="17">
        <f>IF(H168="","",IF(H168&gt;=12,40,ROUND(H168*3.33,2)))</f>
        <v/>
      </c>
      <c r="J168" s="11" t="n"/>
      <c r="K168" s="11" t="n"/>
      <c r="L168" s="11" t="n"/>
      <c r="M168" s="11" t="n"/>
      <c r="N168" s="10">
        <f>IF(COUNTA(J168:M168)=0,"",MIN(10,SUMPRODUCT((COUNTIF(J168:M168,L_KOM)&gt;0)*S_KOM)))</f>
        <v/>
      </c>
      <c r="O168" s="11" t="n"/>
      <c r="P168" s="10">
        <f>IF(O168="","",IFERROR(VLOOKUP(O168,T_KHID,2,FALSE),0))</f>
        <v/>
      </c>
      <c r="Q168" s="11" t="n"/>
      <c r="R168" s="11" t="n"/>
      <c r="S168" s="10">
        <f>IF(AND(Q168="",R168=""),"",IFERROR(INDEX(T_LIBAT,MATCH(Q168,L_PER,0),MATCH(R168,L_JENIS,0)),0))</f>
        <v/>
      </c>
      <c r="T168" s="11" t="n"/>
      <c r="U168" s="11" t="n"/>
      <c r="V168" s="10">
        <f>IF(AND(T168="",U168=""),"",IFERROR(INDEX(T_CAPAI,MATCH(T168,L_PER,0),MATCH(U168,L_KED,0)),0))</f>
        <v/>
      </c>
      <c r="W168" s="17">
        <f>IF(OR(B168="",E168="",COUNTA(F168,H168,J168:M168,O168,Q168:R168,T168:U168)=0),"",SUM(G168,I168,N168,P168,S168,V168))</f>
        <v/>
      </c>
      <c r="X168" s="18">
        <f>IF(W168="","",IF(Murid!F168="TL","TL",ROUND(W168/110*100,2)))</f>
        <v/>
      </c>
    </row>
    <row r="169">
      <c r="A169" s="15">
        <f>Murid!A169</f>
        <v/>
      </c>
      <c r="B169" s="15">
        <f>IF(Murid!B169="","",Murid!B169)</f>
        <v/>
      </c>
      <c r="C169" s="16">
        <f>IF(Murid!C169="","",Murid!C169)</f>
        <v/>
      </c>
      <c r="D169" s="15">
        <f>IF(Murid!E169="","",Murid!E169)</f>
        <v/>
      </c>
      <c r="E169" s="11" t="n"/>
      <c r="F169" s="11" t="n"/>
      <c r="G169" s="10">
        <f>IF(F169="","",IFERROR(VLOOKUP(F169,T_JKP,2,FALSE),0))</f>
        <v/>
      </c>
      <c r="H169" s="11" t="n"/>
      <c r="I169" s="17">
        <f>IF(H169="","",IF(H169&gt;=12,40,ROUND(H169*3.33,2)))</f>
        <v/>
      </c>
      <c r="J169" s="11" t="n"/>
      <c r="K169" s="11" t="n"/>
      <c r="L169" s="11" t="n"/>
      <c r="M169" s="11" t="n"/>
      <c r="N169" s="10">
        <f>IF(COUNTA(J169:M169)=0,"",MIN(10,SUMPRODUCT((COUNTIF(J169:M169,L_KOM)&gt;0)*S_KOM)))</f>
        <v/>
      </c>
      <c r="O169" s="11" t="n"/>
      <c r="P169" s="10">
        <f>IF(O169="","",IFERROR(VLOOKUP(O169,T_KHID,2,FALSE),0))</f>
        <v/>
      </c>
      <c r="Q169" s="11" t="n"/>
      <c r="R169" s="11" t="n"/>
      <c r="S169" s="10">
        <f>IF(AND(Q169="",R169=""),"",IFERROR(INDEX(T_LIBAT,MATCH(Q169,L_PER,0),MATCH(R169,L_JENIS,0)),0))</f>
        <v/>
      </c>
      <c r="T169" s="11" t="n"/>
      <c r="U169" s="11" t="n"/>
      <c r="V169" s="10">
        <f>IF(AND(T169="",U169=""),"",IFERROR(INDEX(T_CAPAI,MATCH(T169,L_PER,0),MATCH(U169,L_KED,0)),0))</f>
        <v/>
      </c>
      <c r="W169" s="17">
        <f>IF(OR(B169="",E169="",COUNTA(F169,H169,J169:M169,O169,Q169:R169,T169:U169)=0),"",SUM(G169,I169,N169,P169,S169,V169))</f>
        <v/>
      </c>
      <c r="X169" s="18">
        <f>IF(W169="","",IF(Murid!F169="TL","TL",ROUND(W169/110*100,2)))</f>
        <v/>
      </c>
    </row>
    <row r="170">
      <c r="A170" s="15">
        <f>Murid!A170</f>
        <v/>
      </c>
      <c r="B170" s="15">
        <f>IF(Murid!B170="","",Murid!B170)</f>
        <v/>
      </c>
      <c r="C170" s="16">
        <f>IF(Murid!C170="","",Murid!C170)</f>
        <v/>
      </c>
      <c r="D170" s="15">
        <f>IF(Murid!E170="","",Murid!E170)</f>
        <v/>
      </c>
      <c r="E170" s="11" t="n"/>
      <c r="F170" s="11" t="n"/>
      <c r="G170" s="10">
        <f>IF(F170="","",IFERROR(VLOOKUP(F170,T_JKP,2,FALSE),0))</f>
        <v/>
      </c>
      <c r="H170" s="11" t="n"/>
      <c r="I170" s="17">
        <f>IF(H170="","",IF(H170&gt;=12,40,ROUND(H170*3.33,2)))</f>
        <v/>
      </c>
      <c r="J170" s="11" t="n"/>
      <c r="K170" s="11" t="n"/>
      <c r="L170" s="11" t="n"/>
      <c r="M170" s="11" t="n"/>
      <c r="N170" s="10">
        <f>IF(COUNTA(J170:M170)=0,"",MIN(10,SUMPRODUCT((COUNTIF(J170:M170,L_KOM)&gt;0)*S_KOM)))</f>
        <v/>
      </c>
      <c r="O170" s="11" t="n"/>
      <c r="P170" s="10">
        <f>IF(O170="","",IFERROR(VLOOKUP(O170,T_KHID,2,FALSE),0))</f>
        <v/>
      </c>
      <c r="Q170" s="11" t="n"/>
      <c r="R170" s="11" t="n"/>
      <c r="S170" s="10">
        <f>IF(AND(Q170="",R170=""),"",IFERROR(INDEX(T_LIBAT,MATCH(Q170,L_PER,0),MATCH(R170,L_JENIS,0)),0))</f>
        <v/>
      </c>
      <c r="T170" s="11" t="n"/>
      <c r="U170" s="11" t="n"/>
      <c r="V170" s="10">
        <f>IF(AND(T170="",U170=""),"",IFERROR(INDEX(T_CAPAI,MATCH(T170,L_PER,0),MATCH(U170,L_KED,0)),0))</f>
        <v/>
      </c>
      <c r="W170" s="17">
        <f>IF(OR(B170="",E170="",COUNTA(F170,H170,J170:M170,O170,Q170:R170,T170:U170)=0),"",SUM(G170,I170,N170,P170,S170,V170))</f>
        <v/>
      </c>
      <c r="X170" s="18">
        <f>IF(W170="","",IF(Murid!F170="TL","TL",ROUND(W170/110*100,2)))</f>
        <v/>
      </c>
    </row>
    <row r="171">
      <c r="A171" s="15">
        <f>Murid!A171</f>
        <v/>
      </c>
      <c r="B171" s="15">
        <f>IF(Murid!B171="","",Murid!B171)</f>
        <v/>
      </c>
      <c r="C171" s="16">
        <f>IF(Murid!C171="","",Murid!C171)</f>
        <v/>
      </c>
      <c r="D171" s="15">
        <f>IF(Murid!E171="","",Murid!E171)</f>
        <v/>
      </c>
      <c r="E171" s="11" t="n"/>
      <c r="F171" s="11" t="n"/>
      <c r="G171" s="10">
        <f>IF(F171="","",IFERROR(VLOOKUP(F171,T_JKP,2,FALSE),0))</f>
        <v/>
      </c>
      <c r="H171" s="11" t="n"/>
      <c r="I171" s="17">
        <f>IF(H171="","",IF(H171&gt;=12,40,ROUND(H171*3.33,2)))</f>
        <v/>
      </c>
      <c r="J171" s="11" t="n"/>
      <c r="K171" s="11" t="n"/>
      <c r="L171" s="11" t="n"/>
      <c r="M171" s="11" t="n"/>
      <c r="N171" s="10">
        <f>IF(COUNTA(J171:M171)=0,"",MIN(10,SUMPRODUCT((COUNTIF(J171:M171,L_KOM)&gt;0)*S_KOM)))</f>
        <v/>
      </c>
      <c r="O171" s="11" t="n"/>
      <c r="P171" s="10">
        <f>IF(O171="","",IFERROR(VLOOKUP(O171,T_KHID,2,FALSE),0))</f>
        <v/>
      </c>
      <c r="Q171" s="11" t="n"/>
      <c r="R171" s="11" t="n"/>
      <c r="S171" s="10">
        <f>IF(AND(Q171="",R171=""),"",IFERROR(INDEX(T_LIBAT,MATCH(Q171,L_PER,0),MATCH(R171,L_JENIS,0)),0))</f>
        <v/>
      </c>
      <c r="T171" s="11" t="n"/>
      <c r="U171" s="11" t="n"/>
      <c r="V171" s="10">
        <f>IF(AND(T171="",U171=""),"",IFERROR(INDEX(T_CAPAI,MATCH(T171,L_PER,0),MATCH(U171,L_KED,0)),0))</f>
        <v/>
      </c>
      <c r="W171" s="17">
        <f>IF(OR(B171="",E171="",COUNTA(F171,H171,J171:M171,O171,Q171:R171,T171:U171)=0),"",SUM(G171,I171,N171,P171,S171,V171))</f>
        <v/>
      </c>
      <c r="X171" s="18">
        <f>IF(W171="","",IF(Murid!F171="TL","TL",ROUND(W171/110*100,2)))</f>
        <v/>
      </c>
    </row>
    <row r="172">
      <c r="A172" s="15">
        <f>Murid!A172</f>
        <v/>
      </c>
      <c r="B172" s="15">
        <f>IF(Murid!B172="","",Murid!B172)</f>
        <v/>
      </c>
      <c r="C172" s="16">
        <f>IF(Murid!C172="","",Murid!C172)</f>
        <v/>
      </c>
      <c r="D172" s="15">
        <f>IF(Murid!E172="","",Murid!E172)</f>
        <v/>
      </c>
      <c r="E172" s="11" t="n"/>
      <c r="F172" s="11" t="n"/>
      <c r="G172" s="10">
        <f>IF(F172="","",IFERROR(VLOOKUP(F172,T_JKP,2,FALSE),0))</f>
        <v/>
      </c>
      <c r="H172" s="11" t="n"/>
      <c r="I172" s="17">
        <f>IF(H172="","",IF(H172&gt;=12,40,ROUND(H172*3.33,2)))</f>
        <v/>
      </c>
      <c r="J172" s="11" t="n"/>
      <c r="K172" s="11" t="n"/>
      <c r="L172" s="11" t="n"/>
      <c r="M172" s="11" t="n"/>
      <c r="N172" s="10">
        <f>IF(COUNTA(J172:M172)=0,"",MIN(10,SUMPRODUCT((COUNTIF(J172:M172,L_KOM)&gt;0)*S_KOM)))</f>
        <v/>
      </c>
      <c r="O172" s="11" t="n"/>
      <c r="P172" s="10">
        <f>IF(O172="","",IFERROR(VLOOKUP(O172,T_KHID,2,FALSE),0))</f>
        <v/>
      </c>
      <c r="Q172" s="11" t="n"/>
      <c r="R172" s="11" t="n"/>
      <c r="S172" s="10">
        <f>IF(AND(Q172="",R172=""),"",IFERROR(INDEX(T_LIBAT,MATCH(Q172,L_PER,0),MATCH(R172,L_JENIS,0)),0))</f>
        <v/>
      </c>
      <c r="T172" s="11" t="n"/>
      <c r="U172" s="11" t="n"/>
      <c r="V172" s="10">
        <f>IF(AND(T172="",U172=""),"",IFERROR(INDEX(T_CAPAI,MATCH(T172,L_PER,0),MATCH(U172,L_KED,0)),0))</f>
        <v/>
      </c>
      <c r="W172" s="17">
        <f>IF(OR(B172="",E172="",COUNTA(F172,H172,J172:M172,O172,Q172:R172,T172:U172)=0),"",SUM(G172,I172,N172,P172,S172,V172))</f>
        <v/>
      </c>
      <c r="X172" s="18">
        <f>IF(W172="","",IF(Murid!F172="TL","TL",ROUND(W172/110*100,2)))</f>
        <v/>
      </c>
    </row>
    <row r="173">
      <c r="A173" s="15">
        <f>Murid!A173</f>
        <v/>
      </c>
      <c r="B173" s="15">
        <f>IF(Murid!B173="","",Murid!B173)</f>
        <v/>
      </c>
      <c r="C173" s="16">
        <f>IF(Murid!C173="","",Murid!C173)</f>
        <v/>
      </c>
      <c r="D173" s="15">
        <f>IF(Murid!E173="","",Murid!E173)</f>
        <v/>
      </c>
      <c r="E173" s="11" t="n"/>
      <c r="F173" s="11" t="n"/>
      <c r="G173" s="10">
        <f>IF(F173="","",IFERROR(VLOOKUP(F173,T_JKP,2,FALSE),0))</f>
        <v/>
      </c>
      <c r="H173" s="11" t="n"/>
      <c r="I173" s="17">
        <f>IF(H173="","",IF(H173&gt;=12,40,ROUND(H173*3.33,2)))</f>
        <v/>
      </c>
      <c r="J173" s="11" t="n"/>
      <c r="K173" s="11" t="n"/>
      <c r="L173" s="11" t="n"/>
      <c r="M173" s="11" t="n"/>
      <c r="N173" s="10">
        <f>IF(COUNTA(J173:M173)=0,"",MIN(10,SUMPRODUCT((COUNTIF(J173:M173,L_KOM)&gt;0)*S_KOM)))</f>
        <v/>
      </c>
      <c r="O173" s="11" t="n"/>
      <c r="P173" s="10">
        <f>IF(O173="","",IFERROR(VLOOKUP(O173,T_KHID,2,FALSE),0))</f>
        <v/>
      </c>
      <c r="Q173" s="11" t="n"/>
      <c r="R173" s="11" t="n"/>
      <c r="S173" s="10">
        <f>IF(AND(Q173="",R173=""),"",IFERROR(INDEX(T_LIBAT,MATCH(Q173,L_PER,0),MATCH(R173,L_JENIS,0)),0))</f>
        <v/>
      </c>
      <c r="T173" s="11" t="n"/>
      <c r="U173" s="11" t="n"/>
      <c r="V173" s="10">
        <f>IF(AND(T173="",U173=""),"",IFERROR(INDEX(T_CAPAI,MATCH(T173,L_PER,0),MATCH(U173,L_KED,0)),0))</f>
        <v/>
      </c>
      <c r="W173" s="17">
        <f>IF(OR(B173="",E173="",COUNTA(F173,H173,J173:M173,O173,Q173:R173,T173:U173)=0),"",SUM(G173,I173,N173,P173,S173,V173))</f>
        <v/>
      </c>
      <c r="X173" s="18">
        <f>IF(W173="","",IF(Murid!F173="TL","TL",ROUND(W173/110*100,2)))</f>
        <v/>
      </c>
    </row>
    <row r="174">
      <c r="A174" s="15">
        <f>Murid!A174</f>
        <v/>
      </c>
      <c r="B174" s="15">
        <f>IF(Murid!B174="","",Murid!B174)</f>
        <v/>
      </c>
      <c r="C174" s="16">
        <f>IF(Murid!C174="","",Murid!C174)</f>
        <v/>
      </c>
      <c r="D174" s="15">
        <f>IF(Murid!E174="","",Murid!E174)</f>
        <v/>
      </c>
      <c r="E174" s="11" t="n"/>
      <c r="F174" s="11" t="n"/>
      <c r="G174" s="10">
        <f>IF(F174="","",IFERROR(VLOOKUP(F174,T_JKP,2,FALSE),0))</f>
        <v/>
      </c>
      <c r="H174" s="11" t="n"/>
      <c r="I174" s="17">
        <f>IF(H174="","",IF(H174&gt;=12,40,ROUND(H174*3.33,2)))</f>
        <v/>
      </c>
      <c r="J174" s="11" t="n"/>
      <c r="K174" s="11" t="n"/>
      <c r="L174" s="11" t="n"/>
      <c r="M174" s="11" t="n"/>
      <c r="N174" s="10">
        <f>IF(COUNTA(J174:M174)=0,"",MIN(10,SUMPRODUCT((COUNTIF(J174:M174,L_KOM)&gt;0)*S_KOM)))</f>
        <v/>
      </c>
      <c r="O174" s="11" t="n"/>
      <c r="P174" s="10">
        <f>IF(O174="","",IFERROR(VLOOKUP(O174,T_KHID,2,FALSE),0))</f>
        <v/>
      </c>
      <c r="Q174" s="11" t="n"/>
      <c r="R174" s="11" t="n"/>
      <c r="S174" s="10">
        <f>IF(AND(Q174="",R174=""),"",IFERROR(INDEX(T_LIBAT,MATCH(Q174,L_PER,0),MATCH(R174,L_JENIS,0)),0))</f>
        <v/>
      </c>
      <c r="T174" s="11" t="n"/>
      <c r="U174" s="11" t="n"/>
      <c r="V174" s="10">
        <f>IF(AND(T174="",U174=""),"",IFERROR(INDEX(T_CAPAI,MATCH(T174,L_PER,0),MATCH(U174,L_KED,0)),0))</f>
        <v/>
      </c>
      <c r="W174" s="17">
        <f>IF(OR(B174="",E174="",COUNTA(F174,H174,J174:M174,O174,Q174:R174,T174:U174)=0),"",SUM(G174,I174,N174,P174,S174,V174))</f>
        <v/>
      </c>
      <c r="X174" s="18">
        <f>IF(W174="","",IF(Murid!F174="TL","TL",ROUND(W174/110*100,2)))</f>
        <v/>
      </c>
    </row>
    <row r="175">
      <c r="A175" s="15">
        <f>Murid!A175</f>
        <v/>
      </c>
      <c r="B175" s="15">
        <f>IF(Murid!B175="","",Murid!B175)</f>
        <v/>
      </c>
      <c r="C175" s="16">
        <f>IF(Murid!C175="","",Murid!C175)</f>
        <v/>
      </c>
      <c r="D175" s="15">
        <f>IF(Murid!E175="","",Murid!E175)</f>
        <v/>
      </c>
      <c r="E175" s="11" t="n"/>
      <c r="F175" s="11" t="n"/>
      <c r="G175" s="10">
        <f>IF(F175="","",IFERROR(VLOOKUP(F175,T_JKP,2,FALSE),0))</f>
        <v/>
      </c>
      <c r="H175" s="11" t="n"/>
      <c r="I175" s="17">
        <f>IF(H175="","",IF(H175&gt;=12,40,ROUND(H175*3.33,2)))</f>
        <v/>
      </c>
      <c r="J175" s="11" t="n"/>
      <c r="K175" s="11" t="n"/>
      <c r="L175" s="11" t="n"/>
      <c r="M175" s="11" t="n"/>
      <c r="N175" s="10">
        <f>IF(COUNTA(J175:M175)=0,"",MIN(10,SUMPRODUCT((COUNTIF(J175:M175,L_KOM)&gt;0)*S_KOM)))</f>
        <v/>
      </c>
      <c r="O175" s="11" t="n"/>
      <c r="P175" s="10">
        <f>IF(O175="","",IFERROR(VLOOKUP(O175,T_KHID,2,FALSE),0))</f>
        <v/>
      </c>
      <c r="Q175" s="11" t="n"/>
      <c r="R175" s="11" t="n"/>
      <c r="S175" s="10">
        <f>IF(AND(Q175="",R175=""),"",IFERROR(INDEX(T_LIBAT,MATCH(Q175,L_PER,0),MATCH(R175,L_JENIS,0)),0))</f>
        <v/>
      </c>
      <c r="T175" s="11" t="n"/>
      <c r="U175" s="11" t="n"/>
      <c r="V175" s="10">
        <f>IF(AND(T175="",U175=""),"",IFERROR(INDEX(T_CAPAI,MATCH(T175,L_PER,0),MATCH(U175,L_KED,0)),0))</f>
        <v/>
      </c>
      <c r="W175" s="17">
        <f>IF(OR(B175="",E175="",COUNTA(F175,H175,J175:M175,O175,Q175:R175,T175:U175)=0),"",SUM(G175,I175,N175,P175,S175,V175))</f>
        <v/>
      </c>
      <c r="X175" s="18">
        <f>IF(W175="","",IF(Murid!F175="TL","TL",ROUND(W175/110*100,2)))</f>
        <v/>
      </c>
    </row>
    <row r="176">
      <c r="A176" s="15">
        <f>Murid!A176</f>
        <v/>
      </c>
      <c r="B176" s="15">
        <f>IF(Murid!B176="","",Murid!B176)</f>
        <v/>
      </c>
      <c r="C176" s="16">
        <f>IF(Murid!C176="","",Murid!C176)</f>
        <v/>
      </c>
      <c r="D176" s="15">
        <f>IF(Murid!E176="","",Murid!E176)</f>
        <v/>
      </c>
      <c r="E176" s="11" t="n"/>
      <c r="F176" s="11" t="n"/>
      <c r="G176" s="10">
        <f>IF(F176="","",IFERROR(VLOOKUP(F176,T_JKP,2,FALSE),0))</f>
        <v/>
      </c>
      <c r="H176" s="11" t="n"/>
      <c r="I176" s="17">
        <f>IF(H176="","",IF(H176&gt;=12,40,ROUND(H176*3.33,2)))</f>
        <v/>
      </c>
      <c r="J176" s="11" t="n"/>
      <c r="K176" s="11" t="n"/>
      <c r="L176" s="11" t="n"/>
      <c r="M176" s="11" t="n"/>
      <c r="N176" s="10">
        <f>IF(COUNTA(J176:M176)=0,"",MIN(10,SUMPRODUCT((COUNTIF(J176:M176,L_KOM)&gt;0)*S_KOM)))</f>
        <v/>
      </c>
      <c r="O176" s="11" t="n"/>
      <c r="P176" s="10">
        <f>IF(O176="","",IFERROR(VLOOKUP(O176,T_KHID,2,FALSE),0))</f>
        <v/>
      </c>
      <c r="Q176" s="11" t="n"/>
      <c r="R176" s="11" t="n"/>
      <c r="S176" s="10">
        <f>IF(AND(Q176="",R176=""),"",IFERROR(INDEX(T_LIBAT,MATCH(Q176,L_PER,0),MATCH(R176,L_JENIS,0)),0))</f>
        <v/>
      </c>
      <c r="T176" s="11" t="n"/>
      <c r="U176" s="11" t="n"/>
      <c r="V176" s="10">
        <f>IF(AND(T176="",U176=""),"",IFERROR(INDEX(T_CAPAI,MATCH(T176,L_PER,0),MATCH(U176,L_KED,0)),0))</f>
        <v/>
      </c>
      <c r="W176" s="17">
        <f>IF(OR(B176="",E176="",COUNTA(F176,H176,J176:M176,O176,Q176:R176,T176:U176)=0),"",SUM(G176,I176,N176,P176,S176,V176))</f>
        <v/>
      </c>
      <c r="X176" s="18">
        <f>IF(W176="","",IF(Murid!F176="TL","TL",ROUND(W176/110*100,2)))</f>
        <v/>
      </c>
    </row>
    <row r="177">
      <c r="A177" s="15">
        <f>Murid!A177</f>
        <v/>
      </c>
      <c r="B177" s="15">
        <f>IF(Murid!B177="","",Murid!B177)</f>
        <v/>
      </c>
      <c r="C177" s="16">
        <f>IF(Murid!C177="","",Murid!C177)</f>
        <v/>
      </c>
      <c r="D177" s="15">
        <f>IF(Murid!E177="","",Murid!E177)</f>
        <v/>
      </c>
      <c r="E177" s="11" t="n"/>
      <c r="F177" s="11" t="n"/>
      <c r="G177" s="10">
        <f>IF(F177="","",IFERROR(VLOOKUP(F177,T_JKP,2,FALSE),0))</f>
        <v/>
      </c>
      <c r="H177" s="11" t="n"/>
      <c r="I177" s="17">
        <f>IF(H177="","",IF(H177&gt;=12,40,ROUND(H177*3.33,2)))</f>
        <v/>
      </c>
      <c r="J177" s="11" t="n"/>
      <c r="K177" s="11" t="n"/>
      <c r="L177" s="11" t="n"/>
      <c r="M177" s="11" t="n"/>
      <c r="N177" s="10">
        <f>IF(COUNTA(J177:M177)=0,"",MIN(10,SUMPRODUCT((COUNTIF(J177:M177,L_KOM)&gt;0)*S_KOM)))</f>
        <v/>
      </c>
      <c r="O177" s="11" t="n"/>
      <c r="P177" s="10">
        <f>IF(O177="","",IFERROR(VLOOKUP(O177,T_KHID,2,FALSE),0))</f>
        <v/>
      </c>
      <c r="Q177" s="11" t="n"/>
      <c r="R177" s="11" t="n"/>
      <c r="S177" s="10">
        <f>IF(AND(Q177="",R177=""),"",IFERROR(INDEX(T_LIBAT,MATCH(Q177,L_PER,0),MATCH(R177,L_JENIS,0)),0))</f>
        <v/>
      </c>
      <c r="T177" s="11" t="n"/>
      <c r="U177" s="11" t="n"/>
      <c r="V177" s="10">
        <f>IF(AND(T177="",U177=""),"",IFERROR(INDEX(T_CAPAI,MATCH(T177,L_PER,0),MATCH(U177,L_KED,0)),0))</f>
        <v/>
      </c>
      <c r="W177" s="17">
        <f>IF(OR(B177="",E177="",COUNTA(F177,H177,J177:M177,O177,Q177:R177,T177:U177)=0),"",SUM(G177,I177,N177,P177,S177,V177))</f>
        <v/>
      </c>
      <c r="X177" s="18">
        <f>IF(W177="","",IF(Murid!F177="TL","TL",ROUND(W177/110*100,2)))</f>
        <v/>
      </c>
    </row>
    <row r="178">
      <c r="A178" s="15">
        <f>Murid!A178</f>
        <v/>
      </c>
      <c r="B178" s="15">
        <f>IF(Murid!B178="","",Murid!B178)</f>
        <v/>
      </c>
      <c r="C178" s="16">
        <f>IF(Murid!C178="","",Murid!C178)</f>
        <v/>
      </c>
      <c r="D178" s="15">
        <f>IF(Murid!E178="","",Murid!E178)</f>
        <v/>
      </c>
      <c r="E178" s="11" t="n"/>
      <c r="F178" s="11" t="n"/>
      <c r="G178" s="10">
        <f>IF(F178="","",IFERROR(VLOOKUP(F178,T_JKP,2,FALSE),0))</f>
        <v/>
      </c>
      <c r="H178" s="11" t="n"/>
      <c r="I178" s="17">
        <f>IF(H178="","",IF(H178&gt;=12,40,ROUND(H178*3.33,2)))</f>
        <v/>
      </c>
      <c r="J178" s="11" t="n"/>
      <c r="K178" s="11" t="n"/>
      <c r="L178" s="11" t="n"/>
      <c r="M178" s="11" t="n"/>
      <c r="N178" s="10">
        <f>IF(COUNTA(J178:M178)=0,"",MIN(10,SUMPRODUCT((COUNTIF(J178:M178,L_KOM)&gt;0)*S_KOM)))</f>
        <v/>
      </c>
      <c r="O178" s="11" t="n"/>
      <c r="P178" s="10">
        <f>IF(O178="","",IFERROR(VLOOKUP(O178,T_KHID,2,FALSE),0))</f>
        <v/>
      </c>
      <c r="Q178" s="11" t="n"/>
      <c r="R178" s="11" t="n"/>
      <c r="S178" s="10">
        <f>IF(AND(Q178="",R178=""),"",IFERROR(INDEX(T_LIBAT,MATCH(Q178,L_PER,0),MATCH(R178,L_JENIS,0)),0))</f>
        <v/>
      </c>
      <c r="T178" s="11" t="n"/>
      <c r="U178" s="11" t="n"/>
      <c r="V178" s="10">
        <f>IF(AND(T178="",U178=""),"",IFERROR(INDEX(T_CAPAI,MATCH(T178,L_PER,0),MATCH(U178,L_KED,0)),0))</f>
        <v/>
      </c>
      <c r="W178" s="17">
        <f>IF(OR(B178="",E178="",COUNTA(F178,H178,J178:M178,O178,Q178:R178,T178:U178)=0),"",SUM(G178,I178,N178,P178,S178,V178))</f>
        <v/>
      </c>
      <c r="X178" s="18">
        <f>IF(W178="","",IF(Murid!F178="TL","TL",ROUND(W178/110*100,2)))</f>
        <v/>
      </c>
    </row>
    <row r="179">
      <c r="A179" s="15">
        <f>Murid!A179</f>
        <v/>
      </c>
      <c r="B179" s="15">
        <f>IF(Murid!B179="","",Murid!B179)</f>
        <v/>
      </c>
      <c r="C179" s="16">
        <f>IF(Murid!C179="","",Murid!C179)</f>
        <v/>
      </c>
      <c r="D179" s="15">
        <f>IF(Murid!E179="","",Murid!E179)</f>
        <v/>
      </c>
      <c r="E179" s="11" t="n"/>
      <c r="F179" s="11" t="n"/>
      <c r="G179" s="10">
        <f>IF(F179="","",IFERROR(VLOOKUP(F179,T_JKP,2,FALSE),0))</f>
        <v/>
      </c>
      <c r="H179" s="11" t="n"/>
      <c r="I179" s="17">
        <f>IF(H179="","",IF(H179&gt;=12,40,ROUND(H179*3.33,2)))</f>
        <v/>
      </c>
      <c r="J179" s="11" t="n"/>
      <c r="K179" s="11" t="n"/>
      <c r="L179" s="11" t="n"/>
      <c r="M179" s="11" t="n"/>
      <c r="N179" s="10">
        <f>IF(COUNTA(J179:M179)=0,"",MIN(10,SUMPRODUCT((COUNTIF(J179:M179,L_KOM)&gt;0)*S_KOM)))</f>
        <v/>
      </c>
      <c r="O179" s="11" t="n"/>
      <c r="P179" s="10">
        <f>IF(O179="","",IFERROR(VLOOKUP(O179,T_KHID,2,FALSE),0))</f>
        <v/>
      </c>
      <c r="Q179" s="11" t="n"/>
      <c r="R179" s="11" t="n"/>
      <c r="S179" s="10">
        <f>IF(AND(Q179="",R179=""),"",IFERROR(INDEX(T_LIBAT,MATCH(Q179,L_PER,0),MATCH(R179,L_JENIS,0)),0))</f>
        <v/>
      </c>
      <c r="T179" s="11" t="n"/>
      <c r="U179" s="11" t="n"/>
      <c r="V179" s="10">
        <f>IF(AND(T179="",U179=""),"",IFERROR(INDEX(T_CAPAI,MATCH(T179,L_PER,0),MATCH(U179,L_KED,0)),0))</f>
        <v/>
      </c>
      <c r="W179" s="17">
        <f>IF(OR(B179="",E179="",COUNTA(F179,H179,J179:M179,O179,Q179:R179,T179:U179)=0),"",SUM(G179,I179,N179,P179,S179,V179))</f>
        <v/>
      </c>
      <c r="X179" s="18">
        <f>IF(W179="","",IF(Murid!F179="TL","TL",ROUND(W179/110*100,2)))</f>
        <v/>
      </c>
    </row>
    <row r="180">
      <c r="A180" s="15">
        <f>Murid!A180</f>
        <v/>
      </c>
      <c r="B180" s="15">
        <f>IF(Murid!B180="","",Murid!B180)</f>
        <v/>
      </c>
      <c r="C180" s="16">
        <f>IF(Murid!C180="","",Murid!C180)</f>
        <v/>
      </c>
      <c r="D180" s="15">
        <f>IF(Murid!E180="","",Murid!E180)</f>
        <v/>
      </c>
      <c r="E180" s="11" t="n"/>
      <c r="F180" s="11" t="n"/>
      <c r="G180" s="10">
        <f>IF(F180="","",IFERROR(VLOOKUP(F180,T_JKP,2,FALSE),0))</f>
        <v/>
      </c>
      <c r="H180" s="11" t="n"/>
      <c r="I180" s="17">
        <f>IF(H180="","",IF(H180&gt;=12,40,ROUND(H180*3.33,2)))</f>
        <v/>
      </c>
      <c r="J180" s="11" t="n"/>
      <c r="K180" s="11" t="n"/>
      <c r="L180" s="11" t="n"/>
      <c r="M180" s="11" t="n"/>
      <c r="N180" s="10">
        <f>IF(COUNTA(J180:M180)=0,"",MIN(10,SUMPRODUCT((COUNTIF(J180:M180,L_KOM)&gt;0)*S_KOM)))</f>
        <v/>
      </c>
      <c r="O180" s="11" t="n"/>
      <c r="P180" s="10">
        <f>IF(O180="","",IFERROR(VLOOKUP(O180,T_KHID,2,FALSE),0))</f>
        <v/>
      </c>
      <c r="Q180" s="11" t="n"/>
      <c r="R180" s="11" t="n"/>
      <c r="S180" s="10">
        <f>IF(AND(Q180="",R180=""),"",IFERROR(INDEX(T_LIBAT,MATCH(Q180,L_PER,0),MATCH(R180,L_JENIS,0)),0))</f>
        <v/>
      </c>
      <c r="T180" s="11" t="n"/>
      <c r="U180" s="11" t="n"/>
      <c r="V180" s="10">
        <f>IF(AND(T180="",U180=""),"",IFERROR(INDEX(T_CAPAI,MATCH(T180,L_PER,0),MATCH(U180,L_KED,0)),0))</f>
        <v/>
      </c>
      <c r="W180" s="17">
        <f>IF(OR(B180="",E180="",COUNTA(F180,H180,J180:M180,O180,Q180:R180,T180:U180)=0),"",SUM(G180,I180,N180,P180,S180,V180))</f>
        <v/>
      </c>
      <c r="X180" s="18">
        <f>IF(W180="","",IF(Murid!F180="TL","TL",ROUND(W180/110*100,2)))</f>
        <v/>
      </c>
    </row>
    <row r="181">
      <c r="A181" s="15">
        <f>Murid!A181</f>
        <v/>
      </c>
      <c r="B181" s="15">
        <f>IF(Murid!B181="","",Murid!B181)</f>
        <v/>
      </c>
      <c r="C181" s="16">
        <f>IF(Murid!C181="","",Murid!C181)</f>
        <v/>
      </c>
      <c r="D181" s="15">
        <f>IF(Murid!E181="","",Murid!E181)</f>
        <v/>
      </c>
      <c r="E181" s="11" t="n"/>
      <c r="F181" s="11" t="n"/>
      <c r="G181" s="10">
        <f>IF(F181="","",IFERROR(VLOOKUP(F181,T_JKP,2,FALSE),0))</f>
        <v/>
      </c>
      <c r="H181" s="11" t="n"/>
      <c r="I181" s="17">
        <f>IF(H181="","",IF(H181&gt;=12,40,ROUND(H181*3.33,2)))</f>
        <v/>
      </c>
      <c r="J181" s="11" t="n"/>
      <c r="K181" s="11" t="n"/>
      <c r="L181" s="11" t="n"/>
      <c r="M181" s="11" t="n"/>
      <c r="N181" s="10">
        <f>IF(COUNTA(J181:M181)=0,"",MIN(10,SUMPRODUCT((COUNTIF(J181:M181,L_KOM)&gt;0)*S_KOM)))</f>
        <v/>
      </c>
      <c r="O181" s="11" t="n"/>
      <c r="P181" s="10">
        <f>IF(O181="","",IFERROR(VLOOKUP(O181,T_KHID,2,FALSE),0))</f>
        <v/>
      </c>
      <c r="Q181" s="11" t="n"/>
      <c r="R181" s="11" t="n"/>
      <c r="S181" s="10">
        <f>IF(AND(Q181="",R181=""),"",IFERROR(INDEX(T_LIBAT,MATCH(Q181,L_PER,0),MATCH(R181,L_JENIS,0)),0))</f>
        <v/>
      </c>
      <c r="T181" s="11" t="n"/>
      <c r="U181" s="11" t="n"/>
      <c r="V181" s="10">
        <f>IF(AND(T181="",U181=""),"",IFERROR(INDEX(T_CAPAI,MATCH(T181,L_PER,0),MATCH(U181,L_KED,0)),0))</f>
        <v/>
      </c>
      <c r="W181" s="17">
        <f>IF(OR(B181="",E181="",COUNTA(F181,H181,J181:M181,O181,Q181:R181,T181:U181)=0),"",SUM(G181,I181,N181,P181,S181,V181))</f>
        <v/>
      </c>
      <c r="X181" s="18">
        <f>IF(W181="","",IF(Murid!F181="TL","TL",ROUND(W181/110*100,2)))</f>
        <v/>
      </c>
    </row>
    <row r="182">
      <c r="A182" s="15">
        <f>Murid!A182</f>
        <v/>
      </c>
      <c r="B182" s="15">
        <f>IF(Murid!B182="","",Murid!B182)</f>
        <v/>
      </c>
      <c r="C182" s="16">
        <f>IF(Murid!C182="","",Murid!C182)</f>
        <v/>
      </c>
      <c r="D182" s="15">
        <f>IF(Murid!E182="","",Murid!E182)</f>
        <v/>
      </c>
      <c r="E182" s="11" t="n"/>
      <c r="F182" s="11" t="n"/>
      <c r="G182" s="10">
        <f>IF(F182="","",IFERROR(VLOOKUP(F182,T_JKP,2,FALSE),0))</f>
        <v/>
      </c>
      <c r="H182" s="11" t="n"/>
      <c r="I182" s="17">
        <f>IF(H182="","",IF(H182&gt;=12,40,ROUND(H182*3.33,2)))</f>
        <v/>
      </c>
      <c r="J182" s="11" t="n"/>
      <c r="K182" s="11" t="n"/>
      <c r="L182" s="11" t="n"/>
      <c r="M182" s="11" t="n"/>
      <c r="N182" s="10">
        <f>IF(COUNTA(J182:M182)=0,"",MIN(10,SUMPRODUCT((COUNTIF(J182:M182,L_KOM)&gt;0)*S_KOM)))</f>
        <v/>
      </c>
      <c r="O182" s="11" t="n"/>
      <c r="P182" s="10">
        <f>IF(O182="","",IFERROR(VLOOKUP(O182,T_KHID,2,FALSE),0))</f>
        <v/>
      </c>
      <c r="Q182" s="11" t="n"/>
      <c r="R182" s="11" t="n"/>
      <c r="S182" s="10">
        <f>IF(AND(Q182="",R182=""),"",IFERROR(INDEX(T_LIBAT,MATCH(Q182,L_PER,0),MATCH(R182,L_JENIS,0)),0))</f>
        <v/>
      </c>
      <c r="T182" s="11" t="n"/>
      <c r="U182" s="11" t="n"/>
      <c r="V182" s="10">
        <f>IF(AND(T182="",U182=""),"",IFERROR(INDEX(T_CAPAI,MATCH(T182,L_PER,0),MATCH(U182,L_KED,0)),0))</f>
        <v/>
      </c>
      <c r="W182" s="17">
        <f>IF(OR(B182="",E182="",COUNTA(F182,H182,J182:M182,O182,Q182:R182,T182:U182)=0),"",SUM(G182,I182,N182,P182,S182,V182))</f>
        <v/>
      </c>
      <c r="X182" s="18">
        <f>IF(W182="","",IF(Murid!F182="TL","TL",ROUND(W182/110*100,2)))</f>
        <v/>
      </c>
    </row>
    <row r="183">
      <c r="A183" s="15">
        <f>Murid!A183</f>
        <v/>
      </c>
      <c r="B183" s="15">
        <f>IF(Murid!B183="","",Murid!B183)</f>
        <v/>
      </c>
      <c r="C183" s="16">
        <f>IF(Murid!C183="","",Murid!C183)</f>
        <v/>
      </c>
      <c r="D183" s="15">
        <f>IF(Murid!E183="","",Murid!E183)</f>
        <v/>
      </c>
      <c r="E183" s="11" t="n"/>
      <c r="F183" s="11" t="n"/>
      <c r="G183" s="10">
        <f>IF(F183="","",IFERROR(VLOOKUP(F183,T_JKP,2,FALSE),0))</f>
        <v/>
      </c>
      <c r="H183" s="11" t="n"/>
      <c r="I183" s="17">
        <f>IF(H183="","",IF(H183&gt;=12,40,ROUND(H183*3.33,2)))</f>
        <v/>
      </c>
      <c r="J183" s="11" t="n"/>
      <c r="K183" s="11" t="n"/>
      <c r="L183" s="11" t="n"/>
      <c r="M183" s="11" t="n"/>
      <c r="N183" s="10">
        <f>IF(COUNTA(J183:M183)=0,"",MIN(10,SUMPRODUCT((COUNTIF(J183:M183,L_KOM)&gt;0)*S_KOM)))</f>
        <v/>
      </c>
      <c r="O183" s="11" t="n"/>
      <c r="P183" s="10">
        <f>IF(O183="","",IFERROR(VLOOKUP(O183,T_KHID,2,FALSE),0))</f>
        <v/>
      </c>
      <c r="Q183" s="11" t="n"/>
      <c r="R183" s="11" t="n"/>
      <c r="S183" s="10">
        <f>IF(AND(Q183="",R183=""),"",IFERROR(INDEX(T_LIBAT,MATCH(Q183,L_PER,0),MATCH(R183,L_JENIS,0)),0))</f>
        <v/>
      </c>
      <c r="T183" s="11" t="n"/>
      <c r="U183" s="11" t="n"/>
      <c r="V183" s="10">
        <f>IF(AND(T183="",U183=""),"",IFERROR(INDEX(T_CAPAI,MATCH(T183,L_PER,0),MATCH(U183,L_KED,0)),0))</f>
        <v/>
      </c>
      <c r="W183" s="17">
        <f>IF(OR(B183="",E183="",COUNTA(F183,H183,J183:M183,O183,Q183:R183,T183:U183)=0),"",SUM(G183,I183,N183,P183,S183,V183))</f>
        <v/>
      </c>
      <c r="X183" s="18">
        <f>IF(W183="","",IF(Murid!F183="TL","TL",ROUND(W183/110*100,2)))</f>
        <v/>
      </c>
    </row>
    <row r="184">
      <c r="A184" s="15">
        <f>Murid!A184</f>
        <v/>
      </c>
      <c r="B184" s="15">
        <f>IF(Murid!B184="","",Murid!B184)</f>
        <v/>
      </c>
      <c r="C184" s="16">
        <f>IF(Murid!C184="","",Murid!C184)</f>
        <v/>
      </c>
      <c r="D184" s="15">
        <f>IF(Murid!E184="","",Murid!E184)</f>
        <v/>
      </c>
      <c r="E184" s="11" t="n"/>
      <c r="F184" s="11" t="n"/>
      <c r="G184" s="10">
        <f>IF(F184="","",IFERROR(VLOOKUP(F184,T_JKP,2,FALSE),0))</f>
        <v/>
      </c>
      <c r="H184" s="11" t="n"/>
      <c r="I184" s="17">
        <f>IF(H184="","",IF(H184&gt;=12,40,ROUND(H184*3.33,2)))</f>
        <v/>
      </c>
      <c r="J184" s="11" t="n"/>
      <c r="K184" s="11" t="n"/>
      <c r="L184" s="11" t="n"/>
      <c r="M184" s="11" t="n"/>
      <c r="N184" s="10">
        <f>IF(COUNTA(J184:M184)=0,"",MIN(10,SUMPRODUCT((COUNTIF(J184:M184,L_KOM)&gt;0)*S_KOM)))</f>
        <v/>
      </c>
      <c r="O184" s="11" t="n"/>
      <c r="P184" s="10">
        <f>IF(O184="","",IFERROR(VLOOKUP(O184,T_KHID,2,FALSE),0))</f>
        <v/>
      </c>
      <c r="Q184" s="11" t="n"/>
      <c r="R184" s="11" t="n"/>
      <c r="S184" s="10">
        <f>IF(AND(Q184="",R184=""),"",IFERROR(INDEX(T_LIBAT,MATCH(Q184,L_PER,0),MATCH(R184,L_JENIS,0)),0))</f>
        <v/>
      </c>
      <c r="T184" s="11" t="n"/>
      <c r="U184" s="11" t="n"/>
      <c r="V184" s="10">
        <f>IF(AND(T184="",U184=""),"",IFERROR(INDEX(T_CAPAI,MATCH(T184,L_PER,0),MATCH(U184,L_KED,0)),0))</f>
        <v/>
      </c>
      <c r="W184" s="17">
        <f>IF(OR(B184="",E184="",COUNTA(F184,H184,J184:M184,O184,Q184:R184,T184:U184)=0),"",SUM(G184,I184,N184,P184,S184,V184))</f>
        <v/>
      </c>
      <c r="X184" s="18">
        <f>IF(W184="","",IF(Murid!F184="TL","TL",ROUND(W184/110*100,2)))</f>
        <v/>
      </c>
    </row>
    <row r="185">
      <c r="A185" s="15">
        <f>Murid!A185</f>
        <v/>
      </c>
      <c r="B185" s="15">
        <f>IF(Murid!B185="","",Murid!B185)</f>
        <v/>
      </c>
      <c r="C185" s="16">
        <f>IF(Murid!C185="","",Murid!C185)</f>
        <v/>
      </c>
      <c r="D185" s="15">
        <f>IF(Murid!E185="","",Murid!E185)</f>
        <v/>
      </c>
      <c r="E185" s="11" t="n"/>
      <c r="F185" s="11" t="n"/>
      <c r="G185" s="10">
        <f>IF(F185="","",IFERROR(VLOOKUP(F185,T_JKP,2,FALSE),0))</f>
        <v/>
      </c>
      <c r="H185" s="11" t="n"/>
      <c r="I185" s="17">
        <f>IF(H185="","",IF(H185&gt;=12,40,ROUND(H185*3.33,2)))</f>
        <v/>
      </c>
      <c r="J185" s="11" t="n"/>
      <c r="K185" s="11" t="n"/>
      <c r="L185" s="11" t="n"/>
      <c r="M185" s="11" t="n"/>
      <c r="N185" s="10">
        <f>IF(COUNTA(J185:M185)=0,"",MIN(10,SUMPRODUCT((COUNTIF(J185:M185,L_KOM)&gt;0)*S_KOM)))</f>
        <v/>
      </c>
      <c r="O185" s="11" t="n"/>
      <c r="P185" s="10">
        <f>IF(O185="","",IFERROR(VLOOKUP(O185,T_KHID,2,FALSE),0))</f>
        <v/>
      </c>
      <c r="Q185" s="11" t="n"/>
      <c r="R185" s="11" t="n"/>
      <c r="S185" s="10">
        <f>IF(AND(Q185="",R185=""),"",IFERROR(INDEX(T_LIBAT,MATCH(Q185,L_PER,0),MATCH(R185,L_JENIS,0)),0))</f>
        <v/>
      </c>
      <c r="T185" s="11" t="n"/>
      <c r="U185" s="11" t="n"/>
      <c r="V185" s="10">
        <f>IF(AND(T185="",U185=""),"",IFERROR(INDEX(T_CAPAI,MATCH(T185,L_PER,0),MATCH(U185,L_KED,0)),0))</f>
        <v/>
      </c>
      <c r="W185" s="17">
        <f>IF(OR(B185="",E185="",COUNTA(F185,H185,J185:M185,O185,Q185:R185,T185:U185)=0),"",SUM(G185,I185,N185,P185,S185,V185))</f>
        <v/>
      </c>
      <c r="X185" s="18">
        <f>IF(W185="","",IF(Murid!F185="TL","TL",ROUND(W185/110*100,2)))</f>
        <v/>
      </c>
    </row>
    <row r="186">
      <c r="A186" s="15">
        <f>Murid!A186</f>
        <v/>
      </c>
      <c r="B186" s="15">
        <f>IF(Murid!B186="","",Murid!B186)</f>
        <v/>
      </c>
      <c r="C186" s="16">
        <f>IF(Murid!C186="","",Murid!C186)</f>
        <v/>
      </c>
      <c r="D186" s="15">
        <f>IF(Murid!E186="","",Murid!E186)</f>
        <v/>
      </c>
      <c r="E186" s="11" t="n"/>
      <c r="F186" s="11" t="n"/>
      <c r="G186" s="10">
        <f>IF(F186="","",IFERROR(VLOOKUP(F186,T_JKP,2,FALSE),0))</f>
        <v/>
      </c>
      <c r="H186" s="11" t="n"/>
      <c r="I186" s="17">
        <f>IF(H186="","",IF(H186&gt;=12,40,ROUND(H186*3.33,2)))</f>
        <v/>
      </c>
      <c r="J186" s="11" t="n"/>
      <c r="K186" s="11" t="n"/>
      <c r="L186" s="11" t="n"/>
      <c r="M186" s="11" t="n"/>
      <c r="N186" s="10">
        <f>IF(COUNTA(J186:M186)=0,"",MIN(10,SUMPRODUCT((COUNTIF(J186:M186,L_KOM)&gt;0)*S_KOM)))</f>
        <v/>
      </c>
      <c r="O186" s="11" t="n"/>
      <c r="P186" s="10">
        <f>IF(O186="","",IFERROR(VLOOKUP(O186,T_KHID,2,FALSE),0))</f>
        <v/>
      </c>
      <c r="Q186" s="11" t="n"/>
      <c r="R186" s="11" t="n"/>
      <c r="S186" s="10">
        <f>IF(AND(Q186="",R186=""),"",IFERROR(INDEX(T_LIBAT,MATCH(Q186,L_PER,0),MATCH(R186,L_JENIS,0)),0))</f>
        <v/>
      </c>
      <c r="T186" s="11" t="n"/>
      <c r="U186" s="11" t="n"/>
      <c r="V186" s="10">
        <f>IF(AND(T186="",U186=""),"",IFERROR(INDEX(T_CAPAI,MATCH(T186,L_PER,0),MATCH(U186,L_KED,0)),0))</f>
        <v/>
      </c>
      <c r="W186" s="17">
        <f>IF(OR(B186="",E186="",COUNTA(F186,H186,J186:M186,O186,Q186:R186,T186:U186)=0),"",SUM(G186,I186,N186,P186,S186,V186))</f>
        <v/>
      </c>
      <c r="X186" s="18">
        <f>IF(W186="","",IF(Murid!F186="TL","TL",ROUND(W186/110*100,2)))</f>
        <v/>
      </c>
    </row>
    <row r="187">
      <c r="A187" s="15">
        <f>Murid!A187</f>
        <v/>
      </c>
      <c r="B187" s="15">
        <f>IF(Murid!B187="","",Murid!B187)</f>
        <v/>
      </c>
      <c r="C187" s="16">
        <f>IF(Murid!C187="","",Murid!C187)</f>
        <v/>
      </c>
      <c r="D187" s="15">
        <f>IF(Murid!E187="","",Murid!E187)</f>
        <v/>
      </c>
      <c r="E187" s="11" t="n"/>
      <c r="F187" s="11" t="n"/>
      <c r="G187" s="10">
        <f>IF(F187="","",IFERROR(VLOOKUP(F187,T_JKP,2,FALSE),0))</f>
        <v/>
      </c>
      <c r="H187" s="11" t="n"/>
      <c r="I187" s="17">
        <f>IF(H187="","",IF(H187&gt;=12,40,ROUND(H187*3.33,2)))</f>
        <v/>
      </c>
      <c r="J187" s="11" t="n"/>
      <c r="K187" s="11" t="n"/>
      <c r="L187" s="11" t="n"/>
      <c r="M187" s="11" t="n"/>
      <c r="N187" s="10">
        <f>IF(COUNTA(J187:M187)=0,"",MIN(10,SUMPRODUCT((COUNTIF(J187:M187,L_KOM)&gt;0)*S_KOM)))</f>
        <v/>
      </c>
      <c r="O187" s="11" t="n"/>
      <c r="P187" s="10">
        <f>IF(O187="","",IFERROR(VLOOKUP(O187,T_KHID,2,FALSE),0))</f>
        <v/>
      </c>
      <c r="Q187" s="11" t="n"/>
      <c r="R187" s="11" t="n"/>
      <c r="S187" s="10">
        <f>IF(AND(Q187="",R187=""),"",IFERROR(INDEX(T_LIBAT,MATCH(Q187,L_PER,0),MATCH(R187,L_JENIS,0)),0))</f>
        <v/>
      </c>
      <c r="T187" s="11" t="n"/>
      <c r="U187" s="11" t="n"/>
      <c r="V187" s="10">
        <f>IF(AND(T187="",U187=""),"",IFERROR(INDEX(T_CAPAI,MATCH(T187,L_PER,0),MATCH(U187,L_KED,0)),0))</f>
        <v/>
      </c>
      <c r="W187" s="17">
        <f>IF(OR(B187="",E187="",COUNTA(F187,H187,J187:M187,O187,Q187:R187,T187:U187)=0),"",SUM(G187,I187,N187,P187,S187,V187))</f>
        <v/>
      </c>
      <c r="X187" s="18">
        <f>IF(W187="","",IF(Murid!F187="TL","TL",ROUND(W187/110*100,2)))</f>
        <v/>
      </c>
    </row>
    <row r="188">
      <c r="A188" s="15">
        <f>Murid!A188</f>
        <v/>
      </c>
      <c r="B188" s="15">
        <f>IF(Murid!B188="","",Murid!B188)</f>
        <v/>
      </c>
      <c r="C188" s="16">
        <f>IF(Murid!C188="","",Murid!C188)</f>
        <v/>
      </c>
      <c r="D188" s="15">
        <f>IF(Murid!E188="","",Murid!E188)</f>
        <v/>
      </c>
      <c r="E188" s="11" t="n"/>
      <c r="F188" s="11" t="n"/>
      <c r="G188" s="10">
        <f>IF(F188="","",IFERROR(VLOOKUP(F188,T_JKP,2,FALSE),0))</f>
        <v/>
      </c>
      <c r="H188" s="11" t="n"/>
      <c r="I188" s="17">
        <f>IF(H188="","",IF(H188&gt;=12,40,ROUND(H188*3.33,2)))</f>
        <v/>
      </c>
      <c r="J188" s="11" t="n"/>
      <c r="K188" s="11" t="n"/>
      <c r="L188" s="11" t="n"/>
      <c r="M188" s="11" t="n"/>
      <c r="N188" s="10">
        <f>IF(COUNTA(J188:M188)=0,"",MIN(10,SUMPRODUCT((COUNTIF(J188:M188,L_KOM)&gt;0)*S_KOM)))</f>
        <v/>
      </c>
      <c r="O188" s="11" t="n"/>
      <c r="P188" s="10">
        <f>IF(O188="","",IFERROR(VLOOKUP(O188,T_KHID,2,FALSE),0))</f>
        <v/>
      </c>
      <c r="Q188" s="11" t="n"/>
      <c r="R188" s="11" t="n"/>
      <c r="S188" s="10">
        <f>IF(AND(Q188="",R188=""),"",IFERROR(INDEX(T_LIBAT,MATCH(Q188,L_PER,0),MATCH(R188,L_JENIS,0)),0))</f>
        <v/>
      </c>
      <c r="T188" s="11" t="n"/>
      <c r="U188" s="11" t="n"/>
      <c r="V188" s="10">
        <f>IF(AND(T188="",U188=""),"",IFERROR(INDEX(T_CAPAI,MATCH(T188,L_PER,0),MATCH(U188,L_KED,0)),0))</f>
        <v/>
      </c>
      <c r="W188" s="17">
        <f>IF(OR(B188="",E188="",COUNTA(F188,H188,J188:M188,O188,Q188:R188,T188:U188)=0),"",SUM(G188,I188,N188,P188,S188,V188))</f>
        <v/>
      </c>
      <c r="X188" s="18">
        <f>IF(W188="","",IF(Murid!F188="TL","TL",ROUND(W188/110*100,2)))</f>
        <v/>
      </c>
    </row>
    <row r="189">
      <c r="A189" s="15">
        <f>Murid!A189</f>
        <v/>
      </c>
      <c r="B189" s="15">
        <f>IF(Murid!B189="","",Murid!B189)</f>
        <v/>
      </c>
      <c r="C189" s="16">
        <f>IF(Murid!C189="","",Murid!C189)</f>
        <v/>
      </c>
      <c r="D189" s="15">
        <f>IF(Murid!E189="","",Murid!E189)</f>
        <v/>
      </c>
      <c r="E189" s="11" t="n"/>
      <c r="F189" s="11" t="n"/>
      <c r="G189" s="10">
        <f>IF(F189="","",IFERROR(VLOOKUP(F189,T_JKP,2,FALSE),0))</f>
        <v/>
      </c>
      <c r="H189" s="11" t="n"/>
      <c r="I189" s="17">
        <f>IF(H189="","",IF(H189&gt;=12,40,ROUND(H189*3.33,2)))</f>
        <v/>
      </c>
      <c r="J189" s="11" t="n"/>
      <c r="K189" s="11" t="n"/>
      <c r="L189" s="11" t="n"/>
      <c r="M189" s="11" t="n"/>
      <c r="N189" s="10">
        <f>IF(COUNTA(J189:M189)=0,"",MIN(10,SUMPRODUCT((COUNTIF(J189:M189,L_KOM)&gt;0)*S_KOM)))</f>
        <v/>
      </c>
      <c r="O189" s="11" t="n"/>
      <c r="P189" s="10">
        <f>IF(O189="","",IFERROR(VLOOKUP(O189,T_KHID,2,FALSE),0))</f>
        <v/>
      </c>
      <c r="Q189" s="11" t="n"/>
      <c r="R189" s="11" t="n"/>
      <c r="S189" s="10">
        <f>IF(AND(Q189="",R189=""),"",IFERROR(INDEX(T_LIBAT,MATCH(Q189,L_PER,0),MATCH(R189,L_JENIS,0)),0))</f>
        <v/>
      </c>
      <c r="T189" s="11" t="n"/>
      <c r="U189" s="11" t="n"/>
      <c r="V189" s="10">
        <f>IF(AND(T189="",U189=""),"",IFERROR(INDEX(T_CAPAI,MATCH(T189,L_PER,0),MATCH(U189,L_KED,0)),0))</f>
        <v/>
      </c>
      <c r="W189" s="17">
        <f>IF(OR(B189="",E189="",COUNTA(F189,H189,J189:M189,O189,Q189:R189,T189:U189)=0),"",SUM(G189,I189,N189,P189,S189,V189))</f>
        <v/>
      </c>
      <c r="X189" s="18">
        <f>IF(W189="","",IF(Murid!F189="TL","TL",ROUND(W189/110*100,2)))</f>
        <v/>
      </c>
    </row>
    <row r="190">
      <c r="A190" s="15">
        <f>Murid!A190</f>
        <v/>
      </c>
      <c r="B190" s="15">
        <f>IF(Murid!B190="","",Murid!B190)</f>
        <v/>
      </c>
      <c r="C190" s="16">
        <f>IF(Murid!C190="","",Murid!C190)</f>
        <v/>
      </c>
      <c r="D190" s="15">
        <f>IF(Murid!E190="","",Murid!E190)</f>
        <v/>
      </c>
      <c r="E190" s="11" t="n"/>
      <c r="F190" s="11" t="n"/>
      <c r="G190" s="10">
        <f>IF(F190="","",IFERROR(VLOOKUP(F190,T_JKP,2,FALSE),0))</f>
        <v/>
      </c>
      <c r="H190" s="11" t="n"/>
      <c r="I190" s="17">
        <f>IF(H190="","",IF(H190&gt;=12,40,ROUND(H190*3.33,2)))</f>
        <v/>
      </c>
      <c r="J190" s="11" t="n"/>
      <c r="K190" s="11" t="n"/>
      <c r="L190" s="11" t="n"/>
      <c r="M190" s="11" t="n"/>
      <c r="N190" s="10">
        <f>IF(COUNTA(J190:M190)=0,"",MIN(10,SUMPRODUCT((COUNTIF(J190:M190,L_KOM)&gt;0)*S_KOM)))</f>
        <v/>
      </c>
      <c r="O190" s="11" t="n"/>
      <c r="P190" s="10">
        <f>IF(O190="","",IFERROR(VLOOKUP(O190,T_KHID,2,FALSE),0))</f>
        <v/>
      </c>
      <c r="Q190" s="11" t="n"/>
      <c r="R190" s="11" t="n"/>
      <c r="S190" s="10">
        <f>IF(AND(Q190="",R190=""),"",IFERROR(INDEX(T_LIBAT,MATCH(Q190,L_PER,0),MATCH(R190,L_JENIS,0)),0))</f>
        <v/>
      </c>
      <c r="T190" s="11" t="n"/>
      <c r="U190" s="11" t="n"/>
      <c r="V190" s="10">
        <f>IF(AND(T190="",U190=""),"",IFERROR(INDEX(T_CAPAI,MATCH(T190,L_PER,0),MATCH(U190,L_KED,0)),0))</f>
        <v/>
      </c>
      <c r="W190" s="17">
        <f>IF(OR(B190="",E190="",COUNTA(F190,H190,J190:M190,O190,Q190:R190,T190:U190)=0),"",SUM(G190,I190,N190,P190,S190,V190))</f>
        <v/>
      </c>
      <c r="X190" s="18">
        <f>IF(W190="","",IF(Murid!F190="TL","TL",ROUND(W190/110*100,2)))</f>
        <v/>
      </c>
    </row>
    <row r="191">
      <c r="A191" s="15">
        <f>Murid!A191</f>
        <v/>
      </c>
      <c r="B191" s="15">
        <f>IF(Murid!B191="","",Murid!B191)</f>
        <v/>
      </c>
      <c r="C191" s="16">
        <f>IF(Murid!C191="","",Murid!C191)</f>
        <v/>
      </c>
      <c r="D191" s="15">
        <f>IF(Murid!E191="","",Murid!E191)</f>
        <v/>
      </c>
      <c r="E191" s="11" t="n"/>
      <c r="F191" s="11" t="n"/>
      <c r="G191" s="10">
        <f>IF(F191="","",IFERROR(VLOOKUP(F191,T_JKP,2,FALSE),0))</f>
        <v/>
      </c>
      <c r="H191" s="11" t="n"/>
      <c r="I191" s="17">
        <f>IF(H191="","",IF(H191&gt;=12,40,ROUND(H191*3.33,2)))</f>
        <v/>
      </c>
      <c r="J191" s="11" t="n"/>
      <c r="K191" s="11" t="n"/>
      <c r="L191" s="11" t="n"/>
      <c r="M191" s="11" t="n"/>
      <c r="N191" s="10">
        <f>IF(COUNTA(J191:M191)=0,"",MIN(10,SUMPRODUCT((COUNTIF(J191:M191,L_KOM)&gt;0)*S_KOM)))</f>
        <v/>
      </c>
      <c r="O191" s="11" t="n"/>
      <c r="P191" s="10">
        <f>IF(O191="","",IFERROR(VLOOKUP(O191,T_KHID,2,FALSE),0))</f>
        <v/>
      </c>
      <c r="Q191" s="11" t="n"/>
      <c r="R191" s="11" t="n"/>
      <c r="S191" s="10">
        <f>IF(AND(Q191="",R191=""),"",IFERROR(INDEX(T_LIBAT,MATCH(Q191,L_PER,0),MATCH(R191,L_JENIS,0)),0))</f>
        <v/>
      </c>
      <c r="T191" s="11" t="n"/>
      <c r="U191" s="11" t="n"/>
      <c r="V191" s="10">
        <f>IF(AND(T191="",U191=""),"",IFERROR(INDEX(T_CAPAI,MATCH(T191,L_PER,0),MATCH(U191,L_KED,0)),0))</f>
        <v/>
      </c>
      <c r="W191" s="17">
        <f>IF(OR(B191="",E191="",COUNTA(F191,H191,J191:M191,O191,Q191:R191,T191:U191)=0),"",SUM(G191,I191,N191,P191,S191,V191))</f>
        <v/>
      </c>
      <c r="X191" s="18">
        <f>IF(W191="","",IF(Murid!F191="TL","TL",ROUND(W191/110*100,2)))</f>
        <v/>
      </c>
    </row>
    <row r="192">
      <c r="A192" s="15">
        <f>Murid!A192</f>
        <v/>
      </c>
      <c r="B192" s="15">
        <f>IF(Murid!B192="","",Murid!B192)</f>
        <v/>
      </c>
      <c r="C192" s="16">
        <f>IF(Murid!C192="","",Murid!C192)</f>
        <v/>
      </c>
      <c r="D192" s="15">
        <f>IF(Murid!E192="","",Murid!E192)</f>
        <v/>
      </c>
      <c r="E192" s="11" t="n"/>
      <c r="F192" s="11" t="n"/>
      <c r="G192" s="10">
        <f>IF(F192="","",IFERROR(VLOOKUP(F192,T_JKP,2,FALSE),0))</f>
        <v/>
      </c>
      <c r="H192" s="11" t="n"/>
      <c r="I192" s="17">
        <f>IF(H192="","",IF(H192&gt;=12,40,ROUND(H192*3.33,2)))</f>
        <v/>
      </c>
      <c r="J192" s="11" t="n"/>
      <c r="K192" s="11" t="n"/>
      <c r="L192" s="11" t="n"/>
      <c r="M192" s="11" t="n"/>
      <c r="N192" s="10">
        <f>IF(COUNTA(J192:M192)=0,"",MIN(10,SUMPRODUCT((COUNTIF(J192:M192,L_KOM)&gt;0)*S_KOM)))</f>
        <v/>
      </c>
      <c r="O192" s="11" t="n"/>
      <c r="P192" s="10">
        <f>IF(O192="","",IFERROR(VLOOKUP(O192,T_KHID,2,FALSE),0))</f>
        <v/>
      </c>
      <c r="Q192" s="11" t="n"/>
      <c r="R192" s="11" t="n"/>
      <c r="S192" s="10">
        <f>IF(AND(Q192="",R192=""),"",IFERROR(INDEX(T_LIBAT,MATCH(Q192,L_PER,0),MATCH(R192,L_JENIS,0)),0))</f>
        <v/>
      </c>
      <c r="T192" s="11" t="n"/>
      <c r="U192" s="11" t="n"/>
      <c r="V192" s="10">
        <f>IF(AND(T192="",U192=""),"",IFERROR(INDEX(T_CAPAI,MATCH(T192,L_PER,0),MATCH(U192,L_KED,0)),0))</f>
        <v/>
      </c>
      <c r="W192" s="17">
        <f>IF(OR(B192="",E192="",COUNTA(F192,H192,J192:M192,O192,Q192:R192,T192:U192)=0),"",SUM(G192,I192,N192,P192,S192,V192))</f>
        <v/>
      </c>
      <c r="X192" s="18">
        <f>IF(W192="","",IF(Murid!F192="TL","TL",ROUND(W192/110*100,2)))</f>
        <v/>
      </c>
    </row>
    <row r="193">
      <c r="A193" s="15">
        <f>Murid!A193</f>
        <v/>
      </c>
      <c r="B193" s="15">
        <f>IF(Murid!B193="","",Murid!B193)</f>
        <v/>
      </c>
      <c r="C193" s="16">
        <f>IF(Murid!C193="","",Murid!C193)</f>
        <v/>
      </c>
      <c r="D193" s="15">
        <f>IF(Murid!E193="","",Murid!E193)</f>
        <v/>
      </c>
      <c r="E193" s="11" t="n"/>
      <c r="F193" s="11" t="n"/>
      <c r="G193" s="10">
        <f>IF(F193="","",IFERROR(VLOOKUP(F193,T_JKP,2,FALSE),0))</f>
        <v/>
      </c>
      <c r="H193" s="11" t="n"/>
      <c r="I193" s="17">
        <f>IF(H193="","",IF(H193&gt;=12,40,ROUND(H193*3.33,2)))</f>
        <v/>
      </c>
      <c r="J193" s="11" t="n"/>
      <c r="K193" s="11" t="n"/>
      <c r="L193" s="11" t="n"/>
      <c r="M193" s="11" t="n"/>
      <c r="N193" s="10">
        <f>IF(COUNTA(J193:M193)=0,"",MIN(10,SUMPRODUCT((COUNTIF(J193:M193,L_KOM)&gt;0)*S_KOM)))</f>
        <v/>
      </c>
      <c r="O193" s="11" t="n"/>
      <c r="P193" s="10">
        <f>IF(O193="","",IFERROR(VLOOKUP(O193,T_KHID,2,FALSE),0))</f>
        <v/>
      </c>
      <c r="Q193" s="11" t="n"/>
      <c r="R193" s="11" t="n"/>
      <c r="S193" s="10">
        <f>IF(AND(Q193="",R193=""),"",IFERROR(INDEX(T_LIBAT,MATCH(Q193,L_PER,0),MATCH(R193,L_JENIS,0)),0))</f>
        <v/>
      </c>
      <c r="T193" s="11" t="n"/>
      <c r="U193" s="11" t="n"/>
      <c r="V193" s="10">
        <f>IF(AND(T193="",U193=""),"",IFERROR(INDEX(T_CAPAI,MATCH(T193,L_PER,0),MATCH(U193,L_KED,0)),0))</f>
        <v/>
      </c>
      <c r="W193" s="17">
        <f>IF(OR(B193="",E193="",COUNTA(F193,H193,J193:M193,O193,Q193:R193,T193:U193)=0),"",SUM(G193,I193,N193,P193,S193,V193))</f>
        <v/>
      </c>
      <c r="X193" s="18">
        <f>IF(W193="","",IF(Murid!F193="TL","TL",ROUND(W193/110*100,2)))</f>
        <v/>
      </c>
    </row>
    <row r="194">
      <c r="A194" s="15">
        <f>Murid!A194</f>
        <v/>
      </c>
      <c r="B194" s="15">
        <f>IF(Murid!B194="","",Murid!B194)</f>
        <v/>
      </c>
      <c r="C194" s="16">
        <f>IF(Murid!C194="","",Murid!C194)</f>
        <v/>
      </c>
      <c r="D194" s="15">
        <f>IF(Murid!E194="","",Murid!E194)</f>
        <v/>
      </c>
      <c r="E194" s="11" t="n"/>
      <c r="F194" s="11" t="n"/>
      <c r="G194" s="10">
        <f>IF(F194="","",IFERROR(VLOOKUP(F194,T_JKP,2,FALSE),0))</f>
        <v/>
      </c>
      <c r="H194" s="11" t="n"/>
      <c r="I194" s="17">
        <f>IF(H194="","",IF(H194&gt;=12,40,ROUND(H194*3.33,2)))</f>
        <v/>
      </c>
      <c r="J194" s="11" t="n"/>
      <c r="K194" s="11" t="n"/>
      <c r="L194" s="11" t="n"/>
      <c r="M194" s="11" t="n"/>
      <c r="N194" s="10">
        <f>IF(COUNTA(J194:M194)=0,"",MIN(10,SUMPRODUCT((COUNTIF(J194:M194,L_KOM)&gt;0)*S_KOM)))</f>
        <v/>
      </c>
      <c r="O194" s="11" t="n"/>
      <c r="P194" s="10">
        <f>IF(O194="","",IFERROR(VLOOKUP(O194,T_KHID,2,FALSE),0))</f>
        <v/>
      </c>
      <c r="Q194" s="11" t="n"/>
      <c r="R194" s="11" t="n"/>
      <c r="S194" s="10">
        <f>IF(AND(Q194="",R194=""),"",IFERROR(INDEX(T_LIBAT,MATCH(Q194,L_PER,0),MATCH(R194,L_JENIS,0)),0))</f>
        <v/>
      </c>
      <c r="T194" s="11" t="n"/>
      <c r="U194" s="11" t="n"/>
      <c r="V194" s="10">
        <f>IF(AND(T194="",U194=""),"",IFERROR(INDEX(T_CAPAI,MATCH(T194,L_PER,0),MATCH(U194,L_KED,0)),0))</f>
        <v/>
      </c>
      <c r="W194" s="17">
        <f>IF(OR(B194="",E194="",COUNTA(F194,H194,J194:M194,O194,Q194:R194,T194:U194)=0),"",SUM(G194,I194,N194,P194,S194,V194))</f>
        <v/>
      </c>
      <c r="X194" s="18">
        <f>IF(W194="","",IF(Murid!F194="TL","TL",ROUND(W194/110*100,2)))</f>
        <v/>
      </c>
    </row>
    <row r="195">
      <c r="A195" s="15">
        <f>Murid!A195</f>
        <v/>
      </c>
      <c r="B195" s="15">
        <f>IF(Murid!B195="","",Murid!B195)</f>
        <v/>
      </c>
      <c r="C195" s="16">
        <f>IF(Murid!C195="","",Murid!C195)</f>
        <v/>
      </c>
      <c r="D195" s="15">
        <f>IF(Murid!E195="","",Murid!E195)</f>
        <v/>
      </c>
      <c r="E195" s="11" t="n"/>
      <c r="F195" s="11" t="n"/>
      <c r="G195" s="10">
        <f>IF(F195="","",IFERROR(VLOOKUP(F195,T_JKP,2,FALSE),0))</f>
        <v/>
      </c>
      <c r="H195" s="11" t="n"/>
      <c r="I195" s="17">
        <f>IF(H195="","",IF(H195&gt;=12,40,ROUND(H195*3.33,2)))</f>
        <v/>
      </c>
      <c r="J195" s="11" t="n"/>
      <c r="K195" s="11" t="n"/>
      <c r="L195" s="11" t="n"/>
      <c r="M195" s="11" t="n"/>
      <c r="N195" s="10">
        <f>IF(COUNTA(J195:M195)=0,"",MIN(10,SUMPRODUCT((COUNTIF(J195:M195,L_KOM)&gt;0)*S_KOM)))</f>
        <v/>
      </c>
      <c r="O195" s="11" t="n"/>
      <c r="P195" s="10">
        <f>IF(O195="","",IFERROR(VLOOKUP(O195,T_KHID,2,FALSE),0))</f>
        <v/>
      </c>
      <c r="Q195" s="11" t="n"/>
      <c r="R195" s="11" t="n"/>
      <c r="S195" s="10">
        <f>IF(AND(Q195="",R195=""),"",IFERROR(INDEX(T_LIBAT,MATCH(Q195,L_PER,0),MATCH(R195,L_JENIS,0)),0))</f>
        <v/>
      </c>
      <c r="T195" s="11" t="n"/>
      <c r="U195" s="11" t="n"/>
      <c r="V195" s="10">
        <f>IF(AND(T195="",U195=""),"",IFERROR(INDEX(T_CAPAI,MATCH(T195,L_PER,0),MATCH(U195,L_KED,0)),0))</f>
        <v/>
      </c>
      <c r="W195" s="17">
        <f>IF(OR(B195="",E195="",COUNTA(F195,H195,J195:M195,O195,Q195:R195,T195:U195)=0),"",SUM(G195,I195,N195,P195,S195,V195))</f>
        <v/>
      </c>
      <c r="X195" s="18">
        <f>IF(W195="","",IF(Murid!F195="TL","TL",ROUND(W195/110*100,2)))</f>
        <v/>
      </c>
    </row>
    <row r="196">
      <c r="A196" s="15">
        <f>Murid!A196</f>
        <v/>
      </c>
      <c r="B196" s="15">
        <f>IF(Murid!B196="","",Murid!B196)</f>
        <v/>
      </c>
      <c r="C196" s="16">
        <f>IF(Murid!C196="","",Murid!C196)</f>
        <v/>
      </c>
      <c r="D196" s="15">
        <f>IF(Murid!E196="","",Murid!E196)</f>
        <v/>
      </c>
      <c r="E196" s="11" t="n"/>
      <c r="F196" s="11" t="n"/>
      <c r="G196" s="10">
        <f>IF(F196="","",IFERROR(VLOOKUP(F196,T_JKP,2,FALSE),0))</f>
        <v/>
      </c>
      <c r="H196" s="11" t="n"/>
      <c r="I196" s="17">
        <f>IF(H196="","",IF(H196&gt;=12,40,ROUND(H196*3.33,2)))</f>
        <v/>
      </c>
      <c r="J196" s="11" t="n"/>
      <c r="K196" s="11" t="n"/>
      <c r="L196" s="11" t="n"/>
      <c r="M196" s="11" t="n"/>
      <c r="N196" s="10">
        <f>IF(COUNTA(J196:M196)=0,"",MIN(10,SUMPRODUCT((COUNTIF(J196:M196,L_KOM)&gt;0)*S_KOM)))</f>
        <v/>
      </c>
      <c r="O196" s="11" t="n"/>
      <c r="P196" s="10">
        <f>IF(O196="","",IFERROR(VLOOKUP(O196,T_KHID,2,FALSE),0))</f>
        <v/>
      </c>
      <c r="Q196" s="11" t="n"/>
      <c r="R196" s="11" t="n"/>
      <c r="S196" s="10">
        <f>IF(AND(Q196="",R196=""),"",IFERROR(INDEX(T_LIBAT,MATCH(Q196,L_PER,0),MATCH(R196,L_JENIS,0)),0))</f>
        <v/>
      </c>
      <c r="T196" s="11" t="n"/>
      <c r="U196" s="11" t="n"/>
      <c r="V196" s="10">
        <f>IF(AND(T196="",U196=""),"",IFERROR(INDEX(T_CAPAI,MATCH(T196,L_PER,0),MATCH(U196,L_KED,0)),0))</f>
        <v/>
      </c>
      <c r="W196" s="17">
        <f>IF(OR(B196="",E196="",COUNTA(F196,H196,J196:M196,O196,Q196:R196,T196:U196)=0),"",SUM(G196,I196,N196,P196,S196,V196))</f>
        <v/>
      </c>
      <c r="X196" s="18">
        <f>IF(W196="","",IF(Murid!F196="TL","TL",ROUND(W196/110*100,2)))</f>
        <v/>
      </c>
    </row>
    <row r="197">
      <c r="A197" s="15">
        <f>Murid!A197</f>
        <v/>
      </c>
      <c r="B197" s="15">
        <f>IF(Murid!B197="","",Murid!B197)</f>
        <v/>
      </c>
      <c r="C197" s="16">
        <f>IF(Murid!C197="","",Murid!C197)</f>
        <v/>
      </c>
      <c r="D197" s="15">
        <f>IF(Murid!E197="","",Murid!E197)</f>
        <v/>
      </c>
      <c r="E197" s="11" t="n"/>
      <c r="F197" s="11" t="n"/>
      <c r="G197" s="10">
        <f>IF(F197="","",IFERROR(VLOOKUP(F197,T_JKP,2,FALSE),0))</f>
        <v/>
      </c>
      <c r="H197" s="11" t="n"/>
      <c r="I197" s="17">
        <f>IF(H197="","",IF(H197&gt;=12,40,ROUND(H197*3.33,2)))</f>
        <v/>
      </c>
      <c r="J197" s="11" t="n"/>
      <c r="K197" s="11" t="n"/>
      <c r="L197" s="11" t="n"/>
      <c r="M197" s="11" t="n"/>
      <c r="N197" s="10">
        <f>IF(COUNTA(J197:M197)=0,"",MIN(10,SUMPRODUCT((COUNTIF(J197:M197,L_KOM)&gt;0)*S_KOM)))</f>
        <v/>
      </c>
      <c r="O197" s="11" t="n"/>
      <c r="P197" s="10">
        <f>IF(O197="","",IFERROR(VLOOKUP(O197,T_KHID,2,FALSE),0))</f>
        <v/>
      </c>
      <c r="Q197" s="11" t="n"/>
      <c r="R197" s="11" t="n"/>
      <c r="S197" s="10">
        <f>IF(AND(Q197="",R197=""),"",IFERROR(INDEX(T_LIBAT,MATCH(Q197,L_PER,0),MATCH(R197,L_JENIS,0)),0))</f>
        <v/>
      </c>
      <c r="T197" s="11" t="n"/>
      <c r="U197" s="11" t="n"/>
      <c r="V197" s="10">
        <f>IF(AND(T197="",U197=""),"",IFERROR(INDEX(T_CAPAI,MATCH(T197,L_PER,0),MATCH(U197,L_KED,0)),0))</f>
        <v/>
      </c>
      <c r="W197" s="17">
        <f>IF(OR(B197="",E197="",COUNTA(F197,H197,J197:M197,O197,Q197:R197,T197:U197)=0),"",SUM(G197,I197,N197,P197,S197,V197))</f>
        <v/>
      </c>
      <c r="X197" s="18">
        <f>IF(W197="","",IF(Murid!F197="TL","TL",ROUND(W197/110*100,2)))</f>
        <v/>
      </c>
    </row>
    <row r="198">
      <c r="A198" s="15">
        <f>Murid!A198</f>
        <v/>
      </c>
      <c r="B198" s="15">
        <f>IF(Murid!B198="","",Murid!B198)</f>
        <v/>
      </c>
      <c r="C198" s="16">
        <f>IF(Murid!C198="","",Murid!C198)</f>
        <v/>
      </c>
      <c r="D198" s="15">
        <f>IF(Murid!E198="","",Murid!E198)</f>
        <v/>
      </c>
      <c r="E198" s="11" t="n"/>
      <c r="F198" s="11" t="n"/>
      <c r="G198" s="10">
        <f>IF(F198="","",IFERROR(VLOOKUP(F198,T_JKP,2,FALSE),0))</f>
        <v/>
      </c>
      <c r="H198" s="11" t="n"/>
      <c r="I198" s="17">
        <f>IF(H198="","",IF(H198&gt;=12,40,ROUND(H198*3.33,2)))</f>
        <v/>
      </c>
      <c r="J198" s="11" t="n"/>
      <c r="K198" s="11" t="n"/>
      <c r="L198" s="11" t="n"/>
      <c r="M198" s="11" t="n"/>
      <c r="N198" s="10">
        <f>IF(COUNTA(J198:M198)=0,"",MIN(10,SUMPRODUCT((COUNTIF(J198:M198,L_KOM)&gt;0)*S_KOM)))</f>
        <v/>
      </c>
      <c r="O198" s="11" t="n"/>
      <c r="P198" s="10">
        <f>IF(O198="","",IFERROR(VLOOKUP(O198,T_KHID,2,FALSE),0))</f>
        <v/>
      </c>
      <c r="Q198" s="11" t="n"/>
      <c r="R198" s="11" t="n"/>
      <c r="S198" s="10">
        <f>IF(AND(Q198="",R198=""),"",IFERROR(INDEX(T_LIBAT,MATCH(Q198,L_PER,0),MATCH(R198,L_JENIS,0)),0))</f>
        <v/>
      </c>
      <c r="T198" s="11" t="n"/>
      <c r="U198" s="11" t="n"/>
      <c r="V198" s="10">
        <f>IF(AND(T198="",U198=""),"",IFERROR(INDEX(T_CAPAI,MATCH(T198,L_PER,0),MATCH(U198,L_KED,0)),0))</f>
        <v/>
      </c>
      <c r="W198" s="17">
        <f>IF(OR(B198="",E198="",COUNTA(F198,H198,J198:M198,O198,Q198:R198,T198:U198)=0),"",SUM(G198,I198,N198,P198,S198,V198))</f>
        <v/>
      </c>
      <c r="X198" s="18">
        <f>IF(W198="","",IF(Murid!F198="TL","TL",ROUND(W198/110*100,2)))</f>
        <v/>
      </c>
    </row>
    <row r="199">
      <c r="A199" s="15">
        <f>Murid!A199</f>
        <v/>
      </c>
      <c r="B199" s="15">
        <f>IF(Murid!B199="","",Murid!B199)</f>
        <v/>
      </c>
      <c r="C199" s="16">
        <f>IF(Murid!C199="","",Murid!C199)</f>
        <v/>
      </c>
      <c r="D199" s="15">
        <f>IF(Murid!E199="","",Murid!E199)</f>
        <v/>
      </c>
      <c r="E199" s="11" t="n"/>
      <c r="F199" s="11" t="n"/>
      <c r="G199" s="10">
        <f>IF(F199="","",IFERROR(VLOOKUP(F199,T_JKP,2,FALSE),0))</f>
        <v/>
      </c>
      <c r="H199" s="11" t="n"/>
      <c r="I199" s="17">
        <f>IF(H199="","",IF(H199&gt;=12,40,ROUND(H199*3.33,2)))</f>
        <v/>
      </c>
      <c r="J199" s="11" t="n"/>
      <c r="K199" s="11" t="n"/>
      <c r="L199" s="11" t="n"/>
      <c r="M199" s="11" t="n"/>
      <c r="N199" s="10">
        <f>IF(COUNTA(J199:M199)=0,"",MIN(10,SUMPRODUCT((COUNTIF(J199:M199,L_KOM)&gt;0)*S_KOM)))</f>
        <v/>
      </c>
      <c r="O199" s="11" t="n"/>
      <c r="P199" s="10">
        <f>IF(O199="","",IFERROR(VLOOKUP(O199,T_KHID,2,FALSE),0))</f>
        <v/>
      </c>
      <c r="Q199" s="11" t="n"/>
      <c r="R199" s="11" t="n"/>
      <c r="S199" s="10">
        <f>IF(AND(Q199="",R199=""),"",IFERROR(INDEX(T_LIBAT,MATCH(Q199,L_PER,0),MATCH(R199,L_JENIS,0)),0))</f>
        <v/>
      </c>
      <c r="T199" s="11" t="n"/>
      <c r="U199" s="11" t="n"/>
      <c r="V199" s="10">
        <f>IF(AND(T199="",U199=""),"",IFERROR(INDEX(T_CAPAI,MATCH(T199,L_PER,0),MATCH(U199,L_KED,0)),0))</f>
        <v/>
      </c>
      <c r="W199" s="17">
        <f>IF(OR(B199="",E199="",COUNTA(F199,H199,J199:M199,O199,Q199:R199,T199:U199)=0),"",SUM(G199,I199,N199,P199,S199,V199))</f>
        <v/>
      </c>
      <c r="X199" s="18">
        <f>IF(W199="","",IF(Murid!F199="TL","TL",ROUND(W199/110*100,2)))</f>
        <v/>
      </c>
    </row>
    <row r="200">
      <c r="A200" s="15">
        <f>Murid!A200</f>
        <v/>
      </c>
      <c r="B200" s="15">
        <f>IF(Murid!B200="","",Murid!B200)</f>
        <v/>
      </c>
      <c r="C200" s="16">
        <f>IF(Murid!C200="","",Murid!C200)</f>
        <v/>
      </c>
      <c r="D200" s="15">
        <f>IF(Murid!E200="","",Murid!E200)</f>
        <v/>
      </c>
      <c r="E200" s="11" t="n"/>
      <c r="F200" s="11" t="n"/>
      <c r="G200" s="10">
        <f>IF(F200="","",IFERROR(VLOOKUP(F200,T_JKP,2,FALSE),0))</f>
        <v/>
      </c>
      <c r="H200" s="11" t="n"/>
      <c r="I200" s="17">
        <f>IF(H200="","",IF(H200&gt;=12,40,ROUND(H200*3.33,2)))</f>
        <v/>
      </c>
      <c r="J200" s="11" t="n"/>
      <c r="K200" s="11" t="n"/>
      <c r="L200" s="11" t="n"/>
      <c r="M200" s="11" t="n"/>
      <c r="N200" s="10">
        <f>IF(COUNTA(J200:M200)=0,"",MIN(10,SUMPRODUCT((COUNTIF(J200:M200,L_KOM)&gt;0)*S_KOM)))</f>
        <v/>
      </c>
      <c r="O200" s="11" t="n"/>
      <c r="P200" s="10">
        <f>IF(O200="","",IFERROR(VLOOKUP(O200,T_KHID,2,FALSE),0))</f>
        <v/>
      </c>
      <c r="Q200" s="11" t="n"/>
      <c r="R200" s="11" t="n"/>
      <c r="S200" s="10">
        <f>IF(AND(Q200="",R200=""),"",IFERROR(INDEX(T_LIBAT,MATCH(Q200,L_PER,0),MATCH(R200,L_JENIS,0)),0))</f>
        <v/>
      </c>
      <c r="T200" s="11" t="n"/>
      <c r="U200" s="11" t="n"/>
      <c r="V200" s="10">
        <f>IF(AND(T200="",U200=""),"",IFERROR(INDEX(T_CAPAI,MATCH(T200,L_PER,0),MATCH(U200,L_KED,0)),0))</f>
        <v/>
      </c>
      <c r="W200" s="17">
        <f>IF(OR(B200="",E200="",COUNTA(F200,H200,J200:M200,O200,Q200:R200,T200:U200)=0),"",SUM(G200,I200,N200,P200,S200,V200))</f>
        <v/>
      </c>
      <c r="X200" s="18">
        <f>IF(W200="","",IF(Murid!F200="TL","TL",ROUND(W200/110*100,2)))</f>
        <v/>
      </c>
    </row>
    <row r="201">
      <c r="A201" s="15">
        <f>Murid!A201</f>
        <v/>
      </c>
      <c r="B201" s="15">
        <f>IF(Murid!B201="","",Murid!B201)</f>
        <v/>
      </c>
      <c r="C201" s="16">
        <f>IF(Murid!C201="","",Murid!C201)</f>
        <v/>
      </c>
      <c r="D201" s="15">
        <f>IF(Murid!E201="","",Murid!E201)</f>
        <v/>
      </c>
      <c r="E201" s="11" t="n"/>
      <c r="F201" s="11" t="n"/>
      <c r="G201" s="10">
        <f>IF(F201="","",IFERROR(VLOOKUP(F201,T_JKP,2,FALSE),0))</f>
        <v/>
      </c>
      <c r="H201" s="11" t="n"/>
      <c r="I201" s="17">
        <f>IF(H201="","",IF(H201&gt;=12,40,ROUND(H201*3.33,2)))</f>
        <v/>
      </c>
      <c r="J201" s="11" t="n"/>
      <c r="K201" s="11" t="n"/>
      <c r="L201" s="11" t="n"/>
      <c r="M201" s="11" t="n"/>
      <c r="N201" s="10">
        <f>IF(COUNTA(J201:M201)=0,"",MIN(10,SUMPRODUCT((COUNTIF(J201:M201,L_KOM)&gt;0)*S_KOM)))</f>
        <v/>
      </c>
      <c r="O201" s="11" t="n"/>
      <c r="P201" s="10">
        <f>IF(O201="","",IFERROR(VLOOKUP(O201,T_KHID,2,FALSE),0))</f>
        <v/>
      </c>
      <c r="Q201" s="11" t="n"/>
      <c r="R201" s="11" t="n"/>
      <c r="S201" s="10">
        <f>IF(AND(Q201="",R201=""),"",IFERROR(INDEX(T_LIBAT,MATCH(Q201,L_PER,0),MATCH(R201,L_JENIS,0)),0))</f>
        <v/>
      </c>
      <c r="T201" s="11" t="n"/>
      <c r="U201" s="11" t="n"/>
      <c r="V201" s="10">
        <f>IF(AND(T201="",U201=""),"",IFERROR(INDEX(T_CAPAI,MATCH(T201,L_PER,0),MATCH(U201,L_KED,0)),0))</f>
        <v/>
      </c>
      <c r="W201" s="17">
        <f>IF(OR(B201="",E201="",COUNTA(F201,H201,J201:M201,O201,Q201:R201,T201:U201)=0),"",SUM(G201,I201,N201,P201,S201,V201))</f>
        <v/>
      </c>
      <c r="X201" s="18">
        <f>IF(W201="","",IF(Murid!F201="TL","TL",ROUND(W201/110*100,2)))</f>
        <v/>
      </c>
    </row>
    <row r="202">
      <c r="A202" s="15">
        <f>Murid!A202</f>
        <v/>
      </c>
      <c r="B202" s="15">
        <f>IF(Murid!B202="","",Murid!B202)</f>
        <v/>
      </c>
      <c r="C202" s="16">
        <f>IF(Murid!C202="","",Murid!C202)</f>
        <v/>
      </c>
      <c r="D202" s="15">
        <f>IF(Murid!E202="","",Murid!E202)</f>
        <v/>
      </c>
      <c r="E202" s="11" t="n"/>
      <c r="F202" s="11" t="n"/>
      <c r="G202" s="10">
        <f>IF(F202="","",IFERROR(VLOOKUP(F202,T_JKP,2,FALSE),0))</f>
        <v/>
      </c>
      <c r="H202" s="11" t="n"/>
      <c r="I202" s="17">
        <f>IF(H202="","",IF(H202&gt;=12,40,ROUND(H202*3.33,2)))</f>
        <v/>
      </c>
      <c r="J202" s="11" t="n"/>
      <c r="K202" s="11" t="n"/>
      <c r="L202" s="11" t="n"/>
      <c r="M202" s="11" t="n"/>
      <c r="N202" s="10">
        <f>IF(COUNTA(J202:M202)=0,"",MIN(10,SUMPRODUCT((COUNTIF(J202:M202,L_KOM)&gt;0)*S_KOM)))</f>
        <v/>
      </c>
      <c r="O202" s="11" t="n"/>
      <c r="P202" s="10">
        <f>IF(O202="","",IFERROR(VLOOKUP(O202,T_KHID,2,FALSE),0))</f>
        <v/>
      </c>
      <c r="Q202" s="11" t="n"/>
      <c r="R202" s="11" t="n"/>
      <c r="S202" s="10">
        <f>IF(AND(Q202="",R202=""),"",IFERROR(INDEX(T_LIBAT,MATCH(Q202,L_PER,0),MATCH(R202,L_JENIS,0)),0))</f>
        <v/>
      </c>
      <c r="T202" s="11" t="n"/>
      <c r="U202" s="11" t="n"/>
      <c r="V202" s="10">
        <f>IF(AND(T202="",U202=""),"",IFERROR(INDEX(T_CAPAI,MATCH(T202,L_PER,0),MATCH(U202,L_KED,0)),0))</f>
        <v/>
      </c>
      <c r="W202" s="17">
        <f>IF(OR(B202="",E202="",COUNTA(F202,H202,J202:M202,O202,Q202:R202,T202:U202)=0),"",SUM(G202,I202,N202,P202,S202,V202))</f>
        <v/>
      </c>
      <c r="X202" s="18">
        <f>IF(W202="","",IF(Murid!F202="TL","TL",ROUND(W202/110*100,2)))</f>
        <v/>
      </c>
    </row>
    <row r="203">
      <c r="A203" s="15">
        <f>Murid!A203</f>
        <v/>
      </c>
      <c r="B203" s="15">
        <f>IF(Murid!B203="","",Murid!B203)</f>
        <v/>
      </c>
      <c r="C203" s="16">
        <f>IF(Murid!C203="","",Murid!C203)</f>
        <v/>
      </c>
      <c r="D203" s="15">
        <f>IF(Murid!E203="","",Murid!E203)</f>
        <v/>
      </c>
      <c r="E203" s="11" t="n"/>
      <c r="F203" s="11" t="n"/>
      <c r="G203" s="10">
        <f>IF(F203="","",IFERROR(VLOOKUP(F203,T_JKP,2,FALSE),0))</f>
        <v/>
      </c>
      <c r="H203" s="11" t="n"/>
      <c r="I203" s="17">
        <f>IF(H203="","",IF(H203&gt;=12,40,ROUND(H203*3.33,2)))</f>
        <v/>
      </c>
      <c r="J203" s="11" t="n"/>
      <c r="K203" s="11" t="n"/>
      <c r="L203" s="11" t="n"/>
      <c r="M203" s="11" t="n"/>
      <c r="N203" s="10">
        <f>IF(COUNTA(J203:M203)=0,"",MIN(10,SUMPRODUCT((COUNTIF(J203:M203,L_KOM)&gt;0)*S_KOM)))</f>
        <v/>
      </c>
      <c r="O203" s="11" t="n"/>
      <c r="P203" s="10">
        <f>IF(O203="","",IFERROR(VLOOKUP(O203,T_KHID,2,FALSE),0))</f>
        <v/>
      </c>
      <c r="Q203" s="11" t="n"/>
      <c r="R203" s="11" t="n"/>
      <c r="S203" s="10">
        <f>IF(AND(Q203="",R203=""),"",IFERROR(INDEX(T_LIBAT,MATCH(Q203,L_PER,0),MATCH(R203,L_JENIS,0)),0))</f>
        <v/>
      </c>
      <c r="T203" s="11" t="n"/>
      <c r="U203" s="11" t="n"/>
      <c r="V203" s="10">
        <f>IF(AND(T203="",U203=""),"",IFERROR(INDEX(T_CAPAI,MATCH(T203,L_PER,0),MATCH(U203,L_KED,0)),0))</f>
        <v/>
      </c>
      <c r="W203" s="17">
        <f>IF(OR(B203="",E203="",COUNTA(F203,H203,J203:M203,O203,Q203:R203,T203:U203)=0),"",SUM(G203,I203,N203,P203,S203,V203))</f>
        <v/>
      </c>
      <c r="X203" s="18">
        <f>IF(W203="","",IF(Murid!F203="TL","TL",ROUND(W203/110*100,2)))</f>
        <v/>
      </c>
    </row>
    <row r="204">
      <c r="A204" s="15">
        <f>Murid!A204</f>
        <v/>
      </c>
      <c r="B204" s="15">
        <f>IF(Murid!B204="","",Murid!B204)</f>
        <v/>
      </c>
      <c r="C204" s="16">
        <f>IF(Murid!C204="","",Murid!C204)</f>
        <v/>
      </c>
      <c r="D204" s="15">
        <f>IF(Murid!E204="","",Murid!E204)</f>
        <v/>
      </c>
      <c r="E204" s="11" t="n"/>
      <c r="F204" s="11" t="n"/>
      <c r="G204" s="10">
        <f>IF(F204="","",IFERROR(VLOOKUP(F204,T_JKP,2,FALSE),0))</f>
        <v/>
      </c>
      <c r="H204" s="11" t="n"/>
      <c r="I204" s="17">
        <f>IF(H204="","",IF(H204&gt;=12,40,ROUND(H204*3.33,2)))</f>
        <v/>
      </c>
      <c r="J204" s="11" t="n"/>
      <c r="K204" s="11" t="n"/>
      <c r="L204" s="11" t="n"/>
      <c r="M204" s="11" t="n"/>
      <c r="N204" s="10">
        <f>IF(COUNTA(J204:M204)=0,"",MIN(10,SUMPRODUCT((COUNTIF(J204:M204,L_KOM)&gt;0)*S_KOM)))</f>
        <v/>
      </c>
      <c r="O204" s="11" t="n"/>
      <c r="P204" s="10">
        <f>IF(O204="","",IFERROR(VLOOKUP(O204,T_KHID,2,FALSE),0))</f>
        <v/>
      </c>
      <c r="Q204" s="11" t="n"/>
      <c r="R204" s="11" t="n"/>
      <c r="S204" s="10">
        <f>IF(AND(Q204="",R204=""),"",IFERROR(INDEX(T_LIBAT,MATCH(Q204,L_PER,0),MATCH(R204,L_JENIS,0)),0))</f>
        <v/>
      </c>
      <c r="T204" s="11" t="n"/>
      <c r="U204" s="11" t="n"/>
      <c r="V204" s="10">
        <f>IF(AND(T204="",U204=""),"",IFERROR(INDEX(T_CAPAI,MATCH(T204,L_PER,0),MATCH(U204,L_KED,0)),0))</f>
        <v/>
      </c>
      <c r="W204" s="17">
        <f>IF(OR(B204="",E204="",COUNTA(F204,H204,J204:M204,O204,Q204:R204,T204:U204)=0),"",SUM(G204,I204,N204,P204,S204,V204))</f>
        <v/>
      </c>
      <c r="X204" s="18">
        <f>IF(W204="","",IF(Murid!F204="TL","TL",ROUND(W204/110*100,2)))</f>
        <v/>
      </c>
    </row>
    <row r="205">
      <c r="A205" s="15">
        <f>Murid!A205</f>
        <v/>
      </c>
      <c r="B205" s="15">
        <f>IF(Murid!B205="","",Murid!B205)</f>
        <v/>
      </c>
      <c r="C205" s="16">
        <f>IF(Murid!C205="","",Murid!C205)</f>
        <v/>
      </c>
      <c r="D205" s="15">
        <f>IF(Murid!E205="","",Murid!E205)</f>
        <v/>
      </c>
      <c r="E205" s="11" t="n"/>
      <c r="F205" s="11" t="n"/>
      <c r="G205" s="10">
        <f>IF(F205="","",IFERROR(VLOOKUP(F205,T_JKP,2,FALSE),0))</f>
        <v/>
      </c>
      <c r="H205" s="11" t="n"/>
      <c r="I205" s="17">
        <f>IF(H205="","",IF(H205&gt;=12,40,ROUND(H205*3.33,2)))</f>
        <v/>
      </c>
      <c r="J205" s="11" t="n"/>
      <c r="K205" s="11" t="n"/>
      <c r="L205" s="11" t="n"/>
      <c r="M205" s="11" t="n"/>
      <c r="N205" s="10">
        <f>IF(COUNTA(J205:M205)=0,"",MIN(10,SUMPRODUCT((COUNTIF(J205:M205,L_KOM)&gt;0)*S_KOM)))</f>
        <v/>
      </c>
      <c r="O205" s="11" t="n"/>
      <c r="P205" s="10">
        <f>IF(O205="","",IFERROR(VLOOKUP(O205,T_KHID,2,FALSE),0))</f>
        <v/>
      </c>
      <c r="Q205" s="11" t="n"/>
      <c r="R205" s="11" t="n"/>
      <c r="S205" s="10">
        <f>IF(AND(Q205="",R205=""),"",IFERROR(INDEX(T_LIBAT,MATCH(Q205,L_PER,0),MATCH(R205,L_JENIS,0)),0))</f>
        <v/>
      </c>
      <c r="T205" s="11" t="n"/>
      <c r="U205" s="11" t="n"/>
      <c r="V205" s="10">
        <f>IF(AND(T205="",U205=""),"",IFERROR(INDEX(T_CAPAI,MATCH(T205,L_PER,0),MATCH(U205,L_KED,0)),0))</f>
        <v/>
      </c>
      <c r="W205" s="17">
        <f>IF(OR(B205="",E205="",COUNTA(F205,H205,J205:M205,O205,Q205:R205,T205:U205)=0),"",SUM(G205,I205,N205,P205,S205,V205))</f>
        <v/>
      </c>
      <c r="X205" s="18">
        <f>IF(W205="","",IF(Murid!F205="TL","TL",ROUND(W205/110*100,2)))</f>
        <v/>
      </c>
    </row>
    <row r="206">
      <c r="A206" s="15">
        <f>Murid!A206</f>
        <v/>
      </c>
      <c r="B206" s="15">
        <f>IF(Murid!B206="","",Murid!B206)</f>
        <v/>
      </c>
      <c r="C206" s="16">
        <f>IF(Murid!C206="","",Murid!C206)</f>
        <v/>
      </c>
      <c r="D206" s="15">
        <f>IF(Murid!E206="","",Murid!E206)</f>
        <v/>
      </c>
      <c r="E206" s="11" t="n"/>
      <c r="F206" s="11" t="n"/>
      <c r="G206" s="10">
        <f>IF(F206="","",IFERROR(VLOOKUP(F206,T_JKP,2,FALSE),0))</f>
        <v/>
      </c>
      <c r="H206" s="11" t="n"/>
      <c r="I206" s="17">
        <f>IF(H206="","",IF(H206&gt;=12,40,ROUND(H206*3.33,2)))</f>
        <v/>
      </c>
      <c r="J206" s="11" t="n"/>
      <c r="K206" s="11" t="n"/>
      <c r="L206" s="11" t="n"/>
      <c r="M206" s="11" t="n"/>
      <c r="N206" s="10">
        <f>IF(COUNTA(J206:M206)=0,"",MIN(10,SUMPRODUCT((COUNTIF(J206:M206,L_KOM)&gt;0)*S_KOM)))</f>
        <v/>
      </c>
      <c r="O206" s="11" t="n"/>
      <c r="P206" s="10">
        <f>IF(O206="","",IFERROR(VLOOKUP(O206,T_KHID,2,FALSE),0))</f>
        <v/>
      </c>
      <c r="Q206" s="11" t="n"/>
      <c r="R206" s="11" t="n"/>
      <c r="S206" s="10">
        <f>IF(AND(Q206="",R206=""),"",IFERROR(INDEX(T_LIBAT,MATCH(Q206,L_PER,0),MATCH(R206,L_JENIS,0)),0))</f>
        <v/>
      </c>
      <c r="T206" s="11" t="n"/>
      <c r="U206" s="11" t="n"/>
      <c r="V206" s="10">
        <f>IF(AND(T206="",U206=""),"",IFERROR(INDEX(T_CAPAI,MATCH(T206,L_PER,0),MATCH(U206,L_KED,0)),0))</f>
        <v/>
      </c>
      <c r="W206" s="17">
        <f>IF(OR(B206="",E206="",COUNTA(F206,H206,J206:M206,O206,Q206:R206,T206:U206)=0),"",SUM(G206,I206,N206,P206,S206,V206))</f>
        <v/>
      </c>
      <c r="X206" s="18">
        <f>IF(W206="","",IF(Murid!F206="TL","TL",ROUND(W206/110*100,2)))</f>
        <v/>
      </c>
    </row>
    <row r="207">
      <c r="A207" s="15">
        <f>Murid!A207</f>
        <v/>
      </c>
      <c r="B207" s="15">
        <f>IF(Murid!B207="","",Murid!B207)</f>
        <v/>
      </c>
      <c r="C207" s="16">
        <f>IF(Murid!C207="","",Murid!C207)</f>
        <v/>
      </c>
      <c r="D207" s="15">
        <f>IF(Murid!E207="","",Murid!E207)</f>
        <v/>
      </c>
      <c r="E207" s="11" t="n"/>
      <c r="F207" s="11" t="n"/>
      <c r="G207" s="10">
        <f>IF(F207="","",IFERROR(VLOOKUP(F207,T_JKP,2,FALSE),0))</f>
        <v/>
      </c>
      <c r="H207" s="11" t="n"/>
      <c r="I207" s="17">
        <f>IF(H207="","",IF(H207&gt;=12,40,ROUND(H207*3.33,2)))</f>
        <v/>
      </c>
      <c r="J207" s="11" t="n"/>
      <c r="K207" s="11" t="n"/>
      <c r="L207" s="11" t="n"/>
      <c r="M207" s="11" t="n"/>
      <c r="N207" s="10">
        <f>IF(COUNTA(J207:M207)=0,"",MIN(10,SUMPRODUCT((COUNTIF(J207:M207,L_KOM)&gt;0)*S_KOM)))</f>
        <v/>
      </c>
      <c r="O207" s="11" t="n"/>
      <c r="P207" s="10">
        <f>IF(O207="","",IFERROR(VLOOKUP(O207,T_KHID,2,FALSE),0))</f>
        <v/>
      </c>
      <c r="Q207" s="11" t="n"/>
      <c r="R207" s="11" t="n"/>
      <c r="S207" s="10">
        <f>IF(AND(Q207="",R207=""),"",IFERROR(INDEX(T_LIBAT,MATCH(Q207,L_PER,0),MATCH(R207,L_JENIS,0)),0))</f>
        <v/>
      </c>
      <c r="T207" s="11" t="n"/>
      <c r="U207" s="11" t="n"/>
      <c r="V207" s="10">
        <f>IF(AND(T207="",U207=""),"",IFERROR(INDEX(T_CAPAI,MATCH(T207,L_PER,0),MATCH(U207,L_KED,0)),0))</f>
        <v/>
      </c>
      <c r="W207" s="17">
        <f>IF(OR(B207="",E207="",COUNTA(F207,H207,J207:M207,O207,Q207:R207,T207:U207)=0),"",SUM(G207,I207,N207,P207,S207,V207))</f>
        <v/>
      </c>
      <c r="X207" s="18">
        <f>IF(W207="","",IF(Murid!F207="TL","TL",ROUND(W207/110*100,2)))</f>
        <v/>
      </c>
    </row>
    <row r="208">
      <c r="A208" s="15">
        <f>Murid!A208</f>
        <v/>
      </c>
      <c r="B208" s="15">
        <f>IF(Murid!B208="","",Murid!B208)</f>
        <v/>
      </c>
      <c r="C208" s="16">
        <f>IF(Murid!C208="","",Murid!C208)</f>
        <v/>
      </c>
      <c r="D208" s="15">
        <f>IF(Murid!E208="","",Murid!E208)</f>
        <v/>
      </c>
      <c r="E208" s="11" t="n"/>
      <c r="F208" s="11" t="n"/>
      <c r="G208" s="10">
        <f>IF(F208="","",IFERROR(VLOOKUP(F208,T_JKP,2,FALSE),0))</f>
        <v/>
      </c>
      <c r="H208" s="11" t="n"/>
      <c r="I208" s="17">
        <f>IF(H208="","",IF(H208&gt;=12,40,ROUND(H208*3.33,2)))</f>
        <v/>
      </c>
      <c r="J208" s="11" t="n"/>
      <c r="K208" s="11" t="n"/>
      <c r="L208" s="11" t="n"/>
      <c r="M208" s="11" t="n"/>
      <c r="N208" s="10">
        <f>IF(COUNTA(J208:M208)=0,"",MIN(10,SUMPRODUCT((COUNTIF(J208:M208,L_KOM)&gt;0)*S_KOM)))</f>
        <v/>
      </c>
      <c r="O208" s="11" t="n"/>
      <c r="P208" s="10">
        <f>IF(O208="","",IFERROR(VLOOKUP(O208,T_KHID,2,FALSE),0))</f>
        <v/>
      </c>
      <c r="Q208" s="11" t="n"/>
      <c r="R208" s="11" t="n"/>
      <c r="S208" s="10">
        <f>IF(AND(Q208="",R208=""),"",IFERROR(INDEX(T_LIBAT,MATCH(Q208,L_PER,0),MATCH(R208,L_JENIS,0)),0))</f>
        <v/>
      </c>
      <c r="T208" s="11" t="n"/>
      <c r="U208" s="11" t="n"/>
      <c r="V208" s="10">
        <f>IF(AND(T208="",U208=""),"",IFERROR(INDEX(T_CAPAI,MATCH(T208,L_PER,0),MATCH(U208,L_KED,0)),0))</f>
        <v/>
      </c>
      <c r="W208" s="17">
        <f>IF(OR(B208="",E208="",COUNTA(F208,H208,J208:M208,O208,Q208:R208,T208:U208)=0),"",SUM(G208,I208,N208,P208,S208,V208))</f>
        <v/>
      </c>
      <c r="X208" s="18">
        <f>IF(W208="","",IF(Murid!F208="TL","TL",ROUND(W208/110*100,2)))</f>
        <v/>
      </c>
    </row>
    <row r="209">
      <c r="A209" s="15">
        <f>Murid!A209</f>
        <v/>
      </c>
      <c r="B209" s="15">
        <f>IF(Murid!B209="","",Murid!B209)</f>
        <v/>
      </c>
      <c r="C209" s="16">
        <f>IF(Murid!C209="","",Murid!C209)</f>
        <v/>
      </c>
      <c r="D209" s="15">
        <f>IF(Murid!E209="","",Murid!E209)</f>
        <v/>
      </c>
      <c r="E209" s="11" t="n"/>
      <c r="F209" s="11" t="n"/>
      <c r="G209" s="10">
        <f>IF(F209="","",IFERROR(VLOOKUP(F209,T_JKP,2,FALSE),0))</f>
        <v/>
      </c>
      <c r="H209" s="11" t="n"/>
      <c r="I209" s="17">
        <f>IF(H209="","",IF(H209&gt;=12,40,ROUND(H209*3.33,2)))</f>
        <v/>
      </c>
      <c r="J209" s="11" t="n"/>
      <c r="K209" s="11" t="n"/>
      <c r="L209" s="11" t="n"/>
      <c r="M209" s="11" t="n"/>
      <c r="N209" s="10">
        <f>IF(COUNTA(J209:M209)=0,"",MIN(10,SUMPRODUCT((COUNTIF(J209:M209,L_KOM)&gt;0)*S_KOM)))</f>
        <v/>
      </c>
      <c r="O209" s="11" t="n"/>
      <c r="P209" s="10">
        <f>IF(O209="","",IFERROR(VLOOKUP(O209,T_KHID,2,FALSE),0))</f>
        <v/>
      </c>
      <c r="Q209" s="11" t="n"/>
      <c r="R209" s="11" t="n"/>
      <c r="S209" s="10">
        <f>IF(AND(Q209="",R209=""),"",IFERROR(INDEX(T_LIBAT,MATCH(Q209,L_PER,0),MATCH(R209,L_JENIS,0)),0))</f>
        <v/>
      </c>
      <c r="T209" s="11" t="n"/>
      <c r="U209" s="11" t="n"/>
      <c r="V209" s="10">
        <f>IF(AND(T209="",U209=""),"",IFERROR(INDEX(T_CAPAI,MATCH(T209,L_PER,0),MATCH(U209,L_KED,0)),0))</f>
        <v/>
      </c>
      <c r="W209" s="17">
        <f>IF(OR(B209="",E209="",COUNTA(F209,H209,J209:M209,O209,Q209:R209,T209:U209)=0),"",SUM(G209,I209,N209,P209,S209,V209))</f>
        <v/>
      </c>
      <c r="X209" s="18">
        <f>IF(W209="","",IF(Murid!F209="TL","TL",ROUND(W209/110*100,2)))</f>
        <v/>
      </c>
    </row>
    <row r="210">
      <c r="A210" s="15">
        <f>Murid!A210</f>
        <v/>
      </c>
      <c r="B210" s="15">
        <f>IF(Murid!B210="","",Murid!B210)</f>
        <v/>
      </c>
      <c r="C210" s="16">
        <f>IF(Murid!C210="","",Murid!C210)</f>
        <v/>
      </c>
      <c r="D210" s="15">
        <f>IF(Murid!E210="","",Murid!E210)</f>
        <v/>
      </c>
      <c r="E210" s="11" t="n"/>
      <c r="F210" s="11" t="n"/>
      <c r="G210" s="10">
        <f>IF(F210="","",IFERROR(VLOOKUP(F210,T_JKP,2,FALSE),0))</f>
        <v/>
      </c>
      <c r="H210" s="11" t="n"/>
      <c r="I210" s="17">
        <f>IF(H210="","",IF(H210&gt;=12,40,ROUND(H210*3.33,2)))</f>
        <v/>
      </c>
      <c r="J210" s="11" t="n"/>
      <c r="K210" s="11" t="n"/>
      <c r="L210" s="11" t="n"/>
      <c r="M210" s="11" t="n"/>
      <c r="N210" s="10">
        <f>IF(COUNTA(J210:M210)=0,"",MIN(10,SUMPRODUCT((COUNTIF(J210:M210,L_KOM)&gt;0)*S_KOM)))</f>
        <v/>
      </c>
      <c r="O210" s="11" t="n"/>
      <c r="P210" s="10">
        <f>IF(O210="","",IFERROR(VLOOKUP(O210,T_KHID,2,FALSE),0))</f>
        <v/>
      </c>
      <c r="Q210" s="11" t="n"/>
      <c r="R210" s="11" t="n"/>
      <c r="S210" s="10">
        <f>IF(AND(Q210="",R210=""),"",IFERROR(INDEX(T_LIBAT,MATCH(Q210,L_PER,0),MATCH(R210,L_JENIS,0)),0))</f>
        <v/>
      </c>
      <c r="T210" s="11" t="n"/>
      <c r="U210" s="11" t="n"/>
      <c r="V210" s="10">
        <f>IF(AND(T210="",U210=""),"",IFERROR(INDEX(T_CAPAI,MATCH(T210,L_PER,0),MATCH(U210,L_KED,0)),0))</f>
        <v/>
      </c>
      <c r="W210" s="17">
        <f>IF(OR(B210="",E210="",COUNTA(F210,H210,J210:M210,O210,Q210:R210,T210:U210)=0),"",SUM(G210,I210,N210,P210,S210,V210))</f>
        <v/>
      </c>
      <c r="X210" s="18">
        <f>IF(W210="","",IF(Murid!F210="TL","TL",ROUND(W210/110*100,2)))</f>
        <v/>
      </c>
    </row>
    <row r="211">
      <c r="A211" s="15">
        <f>Murid!A211</f>
        <v/>
      </c>
      <c r="B211" s="15">
        <f>IF(Murid!B211="","",Murid!B211)</f>
        <v/>
      </c>
      <c r="C211" s="16">
        <f>IF(Murid!C211="","",Murid!C211)</f>
        <v/>
      </c>
      <c r="D211" s="15">
        <f>IF(Murid!E211="","",Murid!E211)</f>
        <v/>
      </c>
      <c r="E211" s="11" t="n"/>
      <c r="F211" s="11" t="n"/>
      <c r="G211" s="10">
        <f>IF(F211="","",IFERROR(VLOOKUP(F211,T_JKP,2,FALSE),0))</f>
        <v/>
      </c>
      <c r="H211" s="11" t="n"/>
      <c r="I211" s="17">
        <f>IF(H211="","",IF(H211&gt;=12,40,ROUND(H211*3.33,2)))</f>
        <v/>
      </c>
      <c r="J211" s="11" t="n"/>
      <c r="K211" s="11" t="n"/>
      <c r="L211" s="11" t="n"/>
      <c r="M211" s="11" t="n"/>
      <c r="N211" s="10">
        <f>IF(COUNTA(J211:M211)=0,"",MIN(10,SUMPRODUCT((COUNTIF(J211:M211,L_KOM)&gt;0)*S_KOM)))</f>
        <v/>
      </c>
      <c r="O211" s="11" t="n"/>
      <c r="P211" s="10">
        <f>IF(O211="","",IFERROR(VLOOKUP(O211,T_KHID,2,FALSE),0))</f>
        <v/>
      </c>
      <c r="Q211" s="11" t="n"/>
      <c r="R211" s="11" t="n"/>
      <c r="S211" s="10">
        <f>IF(AND(Q211="",R211=""),"",IFERROR(INDEX(T_LIBAT,MATCH(Q211,L_PER,0),MATCH(R211,L_JENIS,0)),0))</f>
        <v/>
      </c>
      <c r="T211" s="11" t="n"/>
      <c r="U211" s="11" t="n"/>
      <c r="V211" s="10">
        <f>IF(AND(T211="",U211=""),"",IFERROR(INDEX(T_CAPAI,MATCH(T211,L_PER,0),MATCH(U211,L_KED,0)),0))</f>
        <v/>
      </c>
      <c r="W211" s="17">
        <f>IF(OR(B211="",E211="",COUNTA(F211,H211,J211:M211,O211,Q211:R211,T211:U211)=0),"",SUM(G211,I211,N211,P211,S211,V211))</f>
        <v/>
      </c>
      <c r="X211" s="18">
        <f>IF(W211="","",IF(Murid!F211="TL","TL",ROUND(W211/110*100,2)))</f>
        <v/>
      </c>
    </row>
    <row r="212">
      <c r="A212" s="15">
        <f>Murid!A212</f>
        <v/>
      </c>
      <c r="B212" s="15">
        <f>IF(Murid!B212="","",Murid!B212)</f>
        <v/>
      </c>
      <c r="C212" s="16">
        <f>IF(Murid!C212="","",Murid!C212)</f>
        <v/>
      </c>
      <c r="D212" s="15">
        <f>IF(Murid!E212="","",Murid!E212)</f>
        <v/>
      </c>
      <c r="E212" s="11" t="n"/>
      <c r="F212" s="11" t="n"/>
      <c r="G212" s="10">
        <f>IF(F212="","",IFERROR(VLOOKUP(F212,T_JKP,2,FALSE),0))</f>
        <v/>
      </c>
      <c r="H212" s="11" t="n"/>
      <c r="I212" s="17">
        <f>IF(H212="","",IF(H212&gt;=12,40,ROUND(H212*3.33,2)))</f>
        <v/>
      </c>
      <c r="J212" s="11" t="n"/>
      <c r="K212" s="11" t="n"/>
      <c r="L212" s="11" t="n"/>
      <c r="M212" s="11" t="n"/>
      <c r="N212" s="10">
        <f>IF(COUNTA(J212:M212)=0,"",MIN(10,SUMPRODUCT((COUNTIF(J212:M212,L_KOM)&gt;0)*S_KOM)))</f>
        <v/>
      </c>
      <c r="O212" s="11" t="n"/>
      <c r="P212" s="10">
        <f>IF(O212="","",IFERROR(VLOOKUP(O212,T_KHID,2,FALSE),0))</f>
        <v/>
      </c>
      <c r="Q212" s="11" t="n"/>
      <c r="R212" s="11" t="n"/>
      <c r="S212" s="10">
        <f>IF(AND(Q212="",R212=""),"",IFERROR(INDEX(T_LIBAT,MATCH(Q212,L_PER,0),MATCH(R212,L_JENIS,0)),0))</f>
        <v/>
      </c>
      <c r="T212" s="11" t="n"/>
      <c r="U212" s="11" t="n"/>
      <c r="V212" s="10">
        <f>IF(AND(T212="",U212=""),"",IFERROR(INDEX(T_CAPAI,MATCH(T212,L_PER,0),MATCH(U212,L_KED,0)),0))</f>
        <v/>
      </c>
      <c r="W212" s="17">
        <f>IF(OR(B212="",E212="",COUNTA(F212,H212,J212:M212,O212,Q212:R212,T212:U212)=0),"",SUM(G212,I212,N212,P212,S212,V212))</f>
        <v/>
      </c>
      <c r="X212" s="18">
        <f>IF(W212="","",IF(Murid!F212="TL","TL",ROUND(W212/110*100,2)))</f>
        <v/>
      </c>
    </row>
    <row r="213">
      <c r="A213" s="15">
        <f>Murid!A213</f>
        <v/>
      </c>
      <c r="B213" s="15">
        <f>IF(Murid!B213="","",Murid!B213)</f>
        <v/>
      </c>
      <c r="C213" s="16">
        <f>IF(Murid!C213="","",Murid!C213)</f>
        <v/>
      </c>
      <c r="D213" s="15">
        <f>IF(Murid!E213="","",Murid!E213)</f>
        <v/>
      </c>
      <c r="E213" s="11" t="n"/>
      <c r="F213" s="11" t="n"/>
      <c r="G213" s="10">
        <f>IF(F213="","",IFERROR(VLOOKUP(F213,T_JKP,2,FALSE),0))</f>
        <v/>
      </c>
      <c r="H213" s="11" t="n"/>
      <c r="I213" s="17">
        <f>IF(H213="","",IF(H213&gt;=12,40,ROUND(H213*3.33,2)))</f>
        <v/>
      </c>
      <c r="J213" s="11" t="n"/>
      <c r="K213" s="11" t="n"/>
      <c r="L213" s="11" t="n"/>
      <c r="M213" s="11" t="n"/>
      <c r="N213" s="10">
        <f>IF(COUNTA(J213:M213)=0,"",MIN(10,SUMPRODUCT((COUNTIF(J213:M213,L_KOM)&gt;0)*S_KOM)))</f>
        <v/>
      </c>
      <c r="O213" s="11" t="n"/>
      <c r="P213" s="10">
        <f>IF(O213="","",IFERROR(VLOOKUP(O213,T_KHID,2,FALSE),0))</f>
        <v/>
      </c>
      <c r="Q213" s="11" t="n"/>
      <c r="R213" s="11" t="n"/>
      <c r="S213" s="10">
        <f>IF(AND(Q213="",R213=""),"",IFERROR(INDEX(T_LIBAT,MATCH(Q213,L_PER,0),MATCH(R213,L_JENIS,0)),0))</f>
        <v/>
      </c>
      <c r="T213" s="11" t="n"/>
      <c r="U213" s="11" t="n"/>
      <c r="V213" s="10">
        <f>IF(AND(T213="",U213=""),"",IFERROR(INDEX(T_CAPAI,MATCH(T213,L_PER,0),MATCH(U213,L_KED,0)),0))</f>
        <v/>
      </c>
      <c r="W213" s="17">
        <f>IF(OR(B213="",E213="",COUNTA(F213,H213,J213:M213,O213,Q213:R213,T213:U213)=0),"",SUM(G213,I213,N213,P213,S213,V213))</f>
        <v/>
      </c>
      <c r="X213" s="18">
        <f>IF(W213="","",IF(Murid!F213="TL","TL",ROUND(W213/110*100,2)))</f>
        <v/>
      </c>
    </row>
    <row r="214">
      <c r="A214" s="15">
        <f>Murid!A214</f>
        <v/>
      </c>
      <c r="B214" s="15">
        <f>IF(Murid!B214="","",Murid!B214)</f>
        <v/>
      </c>
      <c r="C214" s="16">
        <f>IF(Murid!C214="","",Murid!C214)</f>
        <v/>
      </c>
      <c r="D214" s="15">
        <f>IF(Murid!E214="","",Murid!E214)</f>
        <v/>
      </c>
      <c r="E214" s="11" t="n"/>
      <c r="F214" s="11" t="n"/>
      <c r="G214" s="10">
        <f>IF(F214="","",IFERROR(VLOOKUP(F214,T_JKP,2,FALSE),0))</f>
        <v/>
      </c>
      <c r="H214" s="11" t="n"/>
      <c r="I214" s="17">
        <f>IF(H214="","",IF(H214&gt;=12,40,ROUND(H214*3.33,2)))</f>
        <v/>
      </c>
      <c r="J214" s="11" t="n"/>
      <c r="K214" s="11" t="n"/>
      <c r="L214" s="11" t="n"/>
      <c r="M214" s="11" t="n"/>
      <c r="N214" s="10">
        <f>IF(COUNTA(J214:M214)=0,"",MIN(10,SUMPRODUCT((COUNTIF(J214:M214,L_KOM)&gt;0)*S_KOM)))</f>
        <v/>
      </c>
      <c r="O214" s="11" t="n"/>
      <c r="P214" s="10">
        <f>IF(O214="","",IFERROR(VLOOKUP(O214,T_KHID,2,FALSE),0))</f>
        <v/>
      </c>
      <c r="Q214" s="11" t="n"/>
      <c r="R214" s="11" t="n"/>
      <c r="S214" s="10">
        <f>IF(AND(Q214="",R214=""),"",IFERROR(INDEX(T_LIBAT,MATCH(Q214,L_PER,0),MATCH(R214,L_JENIS,0)),0))</f>
        <v/>
      </c>
      <c r="T214" s="11" t="n"/>
      <c r="U214" s="11" t="n"/>
      <c r="V214" s="10">
        <f>IF(AND(T214="",U214=""),"",IFERROR(INDEX(T_CAPAI,MATCH(T214,L_PER,0),MATCH(U214,L_KED,0)),0))</f>
        <v/>
      </c>
      <c r="W214" s="17">
        <f>IF(OR(B214="",E214="",COUNTA(F214,H214,J214:M214,O214,Q214:R214,T214:U214)=0),"",SUM(G214,I214,N214,P214,S214,V214))</f>
        <v/>
      </c>
      <c r="X214" s="18">
        <f>IF(W214="","",IF(Murid!F214="TL","TL",ROUND(W214/110*100,2)))</f>
        <v/>
      </c>
    </row>
    <row r="215">
      <c r="A215" s="15">
        <f>Murid!A215</f>
        <v/>
      </c>
      <c r="B215" s="15">
        <f>IF(Murid!B215="","",Murid!B215)</f>
        <v/>
      </c>
      <c r="C215" s="16">
        <f>IF(Murid!C215="","",Murid!C215)</f>
        <v/>
      </c>
      <c r="D215" s="15">
        <f>IF(Murid!E215="","",Murid!E215)</f>
        <v/>
      </c>
      <c r="E215" s="11" t="n"/>
      <c r="F215" s="11" t="n"/>
      <c r="G215" s="10">
        <f>IF(F215="","",IFERROR(VLOOKUP(F215,T_JKP,2,FALSE),0))</f>
        <v/>
      </c>
      <c r="H215" s="11" t="n"/>
      <c r="I215" s="17">
        <f>IF(H215="","",IF(H215&gt;=12,40,ROUND(H215*3.33,2)))</f>
        <v/>
      </c>
      <c r="J215" s="11" t="n"/>
      <c r="K215" s="11" t="n"/>
      <c r="L215" s="11" t="n"/>
      <c r="M215" s="11" t="n"/>
      <c r="N215" s="10">
        <f>IF(COUNTA(J215:M215)=0,"",MIN(10,SUMPRODUCT((COUNTIF(J215:M215,L_KOM)&gt;0)*S_KOM)))</f>
        <v/>
      </c>
      <c r="O215" s="11" t="n"/>
      <c r="P215" s="10">
        <f>IF(O215="","",IFERROR(VLOOKUP(O215,T_KHID,2,FALSE),0))</f>
        <v/>
      </c>
      <c r="Q215" s="11" t="n"/>
      <c r="R215" s="11" t="n"/>
      <c r="S215" s="10">
        <f>IF(AND(Q215="",R215=""),"",IFERROR(INDEX(T_LIBAT,MATCH(Q215,L_PER,0),MATCH(R215,L_JENIS,0)),0))</f>
        <v/>
      </c>
      <c r="T215" s="11" t="n"/>
      <c r="U215" s="11" t="n"/>
      <c r="V215" s="10">
        <f>IF(AND(T215="",U215=""),"",IFERROR(INDEX(T_CAPAI,MATCH(T215,L_PER,0),MATCH(U215,L_KED,0)),0))</f>
        <v/>
      </c>
      <c r="W215" s="17">
        <f>IF(OR(B215="",E215="",COUNTA(F215,H215,J215:M215,O215,Q215:R215,T215:U215)=0),"",SUM(G215,I215,N215,P215,S215,V215))</f>
        <v/>
      </c>
      <c r="X215" s="18">
        <f>IF(W215="","",IF(Murid!F215="TL","TL",ROUND(W215/110*100,2)))</f>
        <v/>
      </c>
    </row>
    <row r="216">
      <c r="A216" s="15">
        <f>Murid!A216</f>
        <v/>
      </c>
      <c r="B216" s="15">
        <f>IF(Murid!B216="","",Murid!B216)</f>
        <v/>
      </c>
      <c r="C216" s="16">
        <f>IF(Murid!C216="","",Murid!C216)</f>
        <v/>
      </c>
      <c r="D216" s="15">
        <f>IF(Murid!E216="","",Murid!E216)</f>
        <v/>
      </c>
      <c r="E216" s="11" t="n"/>
      <c r="F216" s="11" t="n"/>
      <c r="G216" s="10">
        <f>IF(F216="","",IFERROR(VLOOKUP(F216,T_JKP,2,FALSE),0))</f>
        <v/>
      </c>
      <c r="H216" s="11" t="n"/>
      <c r="I216" s="17">
        <f>IF(H216="","",IF(H216&gt;=12,40,ROUND(H216*3.33,2)))</f>
        <v/>
      </c>
      <c r="J216" s="11" t="n"/>
      <c r="K216" s="11" t="n"/>
      <c r="L216" s="11" t="n"/>
      <c r="M216" s="11" t="n"/>
      <c r="N216" s="10">
        <f>IF(COUNTA(J216:M216)=0,"",MIN(10,SUMPRODUCT((COUNTIF(J216:M216,L_KOM)&gt;0)*S_KOM)))</f>
        <v/>
      </c>
      <c r="O216" s="11" t="n"/>
      <c r="P216" s="10">
        <f>IF(O216="","",IFERROR(VLOOKUP(O216,T_KHID,2,FALSE),0))</f>
        <v/>
      </c>
      <c r="Q216" s="11" t="n"/>
      <c r="R216" s="11" t="n"/>
      <c r="S216" s="10">
        <f>IF(AND(Q216="",R216=""),"",IFERROR(INDEX(T_LIBAT,MATCH(Q216,L_PER,0),MATCH(R216,L_JENIS,0)),0))</f>
        <v/>
      </c>
      <c r="T216" s="11" t="n"/>
      <c r="U216" s="11" t="n"/>
      <c r="V216" s="10">
        <f>IF(AND(T216="",U216=""),"",IFERROR(INDEX(T_CAPAI,MATCH(T216,L_PER,0),MATCH(U216,L_KED,0)),0))</f>
        <v/>
      </c>
      <c r="W216" s="17">
        <f>IF(OR(B216="",E216="",COUNTA(F216,H216,J216:M216,O216,Q216:R216,T216:U216)=0),"",SUM(G216,I216,N216,P216,S216,V216))</f>
        <v/>
      </c>
      <c r="X216" s="18">
        <f>IF(W216="","",IF(Murid!F216="TL","TL",ROUND(W216/110*100,2)))</f>
        <v/>
      </c>
    </row>
    <row r="217">
      <c r="A217" s="15">
        <f>Murid!A217</f>
        <v/>
      </c>
      <c r="B217" s="15">
        <f>IF(Murid!B217="","",Murid!B217)</f>
        <v/>
      </c>
      <c r="C217" s="16">
        <f>IF(Murid!C217="","",Murid!C217)</f>
        <v/>
      </c>
      <c r="D217" s="15">
        <f>IF(Murid!E217="","",Murid!E217)</f>
        <v/>
      </c>
      <c r="E217" s="11" t="n"/>
      <c r="F217" s="11" t="n"/>
      <c r="G217" s="10">
        <f>IF(F217="","",IFERROR(VLOOKUP(F217,T_JKP,2,FALSE),0))</f>
        <v/>
      </c>
      <c r="H217" s="11" t="n"/>
      <c r="I217" s="17">
        <f>IF(H217="","",IF(H217&gt;=12,40,ROUND(H217*3.33,2)))</f>
        <v/>
      </c>
      <c r="J217" s="11" t="n"/>
      <c r="K217" s="11" t="n"/>
      <c r="L217" s="11" t="n"/>
      <c r="M217" s="11" t="n"/>
      <c r="N217" s="10">
        <f>IF(COUNTA(J217:M217)=0,"",MIN(10,SUMPRODUCT((COUNTIF(J217:M217,L_KOM)&gt;0)*S_KOM)))</f>
        <v/>
      </c>
      <c r="O217" s="11" t="n"/>
      <c r="P217" s="10">
        <f>IF(O217="","",IFERROR(VLOOKUP(O217,T_KHID,2,FALSE),0))</f>
        <v/>
      </c>
      <c r="Q217" s="11" t="n"/>
      <c r="R217" s="11" t="n"/>
      <c r="S217" s="10">
        <f>IF(AND(Q217="",R217=""),"",IFERROR(INDEX(T_LIBAT,MATCH(Q217,L_PER,0),MATCH(R217,L_JENIS,0)),0))</f>
        <v/>
      </c>
      <c r="T217" s="11" t="n"/>
      <c r="U217" s="11" t="n"/>
      <c r="V217" s="10">
        <f>IF(AND(T217="",U217=""),"",IFERROR(INDEX(T_CAPAI,MATCH(T217,L_PER,0),MATCH(U217,L_KED,0)),0))</f>
        <v/>
      </c>
      <c r="W217" s="17">
        <f>IF(OR(B217="",E217="",COUNTA(F217,H217,J217:M217,O217,Q217:R217,T217:U217)=0),"",SUM(G217,I217,N217,P217,S217,V217))</f>
        <v/>
      </c>
      <c r="X217" s="18">
        <f>IF(W217="","",IF(Murid!F217="TL","TL",ROUND(W217/110*100,2)))</f>
        <v/>
      </c>
    </row>
    <row r="218">
      <c r="A218" s="15">
        <f>Murid!A218</f>
        <v/>
      </c>
      <c r="B218" s="15">
        <f>IF(Murid!B218="","",Murid!B218)</f>
        <v/>
      </c>
      <c r="C218" s="16">
        <f>IF(Murid!C218="","",Murid!C218)</f>
        <v/>
      </c>
      <c r="D218" s="15">
        <f>IF(Murid!E218="","",Murid!E218)</f>
        <v/>
      </c>
      <c r="E218" s="11" t="n"/>
      <c r="F218" s="11" t="n"/>
      <c r="G218" s="10">
        <f>IF(F218="","",IFERROR(VLOOKUP(F218,T_JKP,2,FALSE),0))</f>
        <v/>
      </c>
      <c r="H218" s="11" t="n"/>
      <c r="I218" s="17">
        <f>IF(H218="","",IF(H218&gt;=12,40,ROUND(H218*3.33,2)))</f>
        <v/>
      </c>
      <c r="J218" s="11" t="n"/>
      <c r="K218" s="11" t="n"/>
      <c r="L218" s="11" t="n"/>
      <c r="M218" s="11" t="n"/>
      <c r="N218" s="10">
        <f>IF(COUNTA(J218:M218)=0,"",MIN(10,SUMPRODUCT((COUNTIF(J218:M218,L_KOM)&gt;0)*S_KOM)))</f>
        <v/>
      </c>
      <c r="O218" s="11" t="n"/>
      <c r="P218" s="10">
        <f>IF(O218="","",IFERROR(VLOOKUP(O218,T_KHID,2,FALSE),0))</f>
        <v/>
      </c>
      <c r="Q218" s="11" t="n"/>
      <c r="R218" s="11" t="n"/>
      <c r="S218" s="10">
        <f>IF(AND(Q218="",R218=""),"",IFERROR(INDEX(T_LIBAT,MATCH(Q218,L_PER,0),MATCH(R218,L_JENIS,0)),0))</f>
        <v/>
      </c>
      <c r="T218" s="11" t="n"/>
      <c r="U218" s="11" t="n"/>
      <c r="V218" s="10">
        <f>IF(AND(T218="",U218=""),"",IFERROR(INDEX(T_CAPAI,MATCH(T218,L_PER,0),MATCH(U218,L_KED,0)),0))</f>
        <v/>
      </c>
      <c r="W218" s="17">
        <f>IF(OR(B218="",E218="",COUNTA(F218,H218,J218:M218,O218,Q218:R218,T218:U218)=0),"",SUM(G218,I218,N218,P218,S218,V218))</f>
        <v/>
      </c>
      <c r="X218" s="18">
        <f>IF(W218="","",IF(Murid!F218="TL","TL",ROUND(W218/110*100,2)))</f>
        <v/>
      </c>
    </row>
    <row r="219">
      <c r="A219" s="15">
        <f>Murid!A219</f>
        <v/>
      </c>
      <c r="B219" s="15">
        <f>IF(Murid!B219="","",Murid!B219)</f>
        <v/>
      </c>
      <c r="C219" s="16">
        <f>IF(Murid!C219="","",Murid!C219)</f>
        <v/>
      </c>
      <c r="D219" s="15">
        <f>IF(Murid!E219="","",Murid!E219)</f>
        <v/>
      </c>
      <c r="E219" s="11" t="n"/>
      <c r="F219" s="11" t="n"/>
      <c r="G219" s="10">
        <f>IF(F219="","",IFERROR(VLOOKUP(F219,T_JKP,2,FALSE),0))</f>
        <v/>
      </c>
      <c r="H219" s="11" t="n"/>
      <c r="I219" s="17">
        <f>IF(H219="","",IF(H219&gt;=12,40,ROUND(H219*3.33,2)))</f>
        <v/>
      </c>
      <c r="J219" s="11" t="n"/>
      <c r="K219" s="11" t="n"/>
      <c r="L219" s="11" t="n"/>
      <c r="M219" s="11" t="n"/>
      <c r="N219" s="10">
        <f>IF(COUNTA(J219:M219)=0,"",MIN(10,SUMPRODUCT((COUNTIF(J219:M219,L_KOM)&gt;0)*S_KOM)))</f>
        <v/>
      </c>
      <c r="O219" s="11" t="n"/>
      <c r="P219" s="10">
        <f>IF(O219="","",IFERROR(VLOOKUP(O219,T_KHID,2,FALSE),0))</f>
        <v/>
      </c>
      <c r="Q219" s="11" t="n"/>
      <c r="R219" s="11" t="n"/>
      <c r="S219" s="10">
        <f>IF(AND(Q219="",R219=""),"",IFERROR(INDEX(T_LIBAT,MATCH(Q219,L_PER,0),MATCH(R219,L_JENIS,0)),0))</f>
        <v/>
      </c>
      <c r="T219" s="11" t="n"/>
      <c r="U219" s="11" t="n"/>
      <c r="V219" s="10">
        <f>IF(AND(T219="",U219=""),"",IFERROR(INDEX(T_CAPAI,MATCH(T219,L_PER,0),MATCH(U219,L_KED,0)),0))</f>
        <v/>
      </c>
      <c r="W219" s="17">
        <f>IF(OR(B219="",E219="",COUNTA(F219,H219,J219:M219,O219,Q219:R219,T219:U219)=0),"",SUM(G219,I219,N219,P219,S219,V219))</f>
        <v/>
      </c>
      <c r="X219" s="18">
        <f>IF(W219="","",IF(Murid!F219="TL","TL",ROUND(W219/110*100,2)))</f>
        <v/>
      </c>
    </row>
    <row r="220">
      <c r="A220" s="15">
        <f>Murid!A220</f>
        <v/>
      </c>
      <c r="B220" s="15">
        <f>IF(Murid!B220="","",Murid!B220)</f>
        <v/>
      </c>
      <c r="C220" s="16">
        <f>IF(Murid!C220="","",Murid!C220)</f>
        <v/>
      </c>
      <c r="D220" s="15">
        <f>IF(Murid!E220="","",Murid!E220)</f>
        <v/>
      </c>
      <c r="E220" s="11" t="n"/>
      <c r="F220" s="11" t="n"/>
      <c r="G220" s="10">
        <f>IF(F220="","",IFERROR(VLOOKUP(F220,T_JKP,2,FALSE),0))</f>
        <v/>
      </c>
      <c r="H220" s="11" t="n"/>
      <c r="I220" s="17">
        <f>IF(H220="","",IF(H220&gt;=12,40,ROUND(H220*3.33,2)))</f>
        <v/>
      </c>
      <c r="J220" s="11" t="n"/>
      <c r="K220" s="11" t="n"/>
      <c r="L220" s="11" t="n"/>
      <c r="M220" s="11" t="n"/>
      <c r="N220" s="10">
        <f>IF(COUNTA(J220:M220)=0,"",MIN(10,SUMPRODUCT((COUNTIF(J220:M220,L_KOM)&gt;0)*S_KOM)))</f>
        <v/>
      </c>
      <c r="O220" s="11" t="n"/>
      <c r="P220" s="10">
        <f>IF(O220="","",IFERROR(VLOOKUP(O220,T_KHID,2,FALSE),0))</f>
        <v/>
      </c>
      <c r="Q220" s="11" t="n"/>
      <c r="R220" s="11" t="n"/>
      <c r="S220" s="10">
        <f>IF(AND(Q220="",R220=""),"",IFERROR(INDEX(T_LIBAT,MATCH(Q220,L_PER,0),MATCH(R220,L_JENIS,0)),0))</f>
        <v/>
      </c>
      <c r="T220" s="11" t="n"/>
      <c r="U220" s="11" t="n"/>
      <c r="V220" s="10">
        <f>IF(AND(T220="",U220=""),"",IFERROR(INDEX(T_CAPAI,MATCH(T220,L_PER,0),MATCH(U220,L_KED,0)),0))</f>
        <v/>
      </c>
      <c r="W220" s="17">
        <f>IF(OR(B220="",E220="",COUNTA(F220,H220,J220:M220,O220,Q220:R220,T220:U220)=0),"",SUM(G220,I220,N220,P220,S220,V220))</f>
        <v/>
      </c>
      <c r="X220" s="18">
        <f>IF(W220="","",IF(Murid!F220="TL","TL",ROUND(W220/110*100,2)))</f>
        <v/>
      </c>
    </row>
    <row r="221">
      <c r="A221" s="15">
        <f>Murid!A221</f>
        <v/>
      </c>
      <c r="B221" s="15">
        <f>IF(Murid!B221="","",Murid!B221)</f>
        <v/>
      </c>
      <c r="C221" s="16">
        <f>IF(Murid!C221="","",Murid!C221)</f>
        <v/>
      </c>
      <c r="D221" s="15">
        <f>IF(Murid!E221="","",Murid!E221)</f>
        <v/>
      </c>
      <c r="E221" s="11" t="n"/>
      <c r="F221" s="11" t="n"/>
      <c r="G221" s="10">
        <f>IF(F221="","",IFERROR(VLOOKUP(F221,T_JKP,2,FALSE),0))</f>
        <v/>
      </c>
      <c r="H221" s="11" t="n"/>
      <c r="I221" s="17">
        <f>IF(H221="","",IF(H221&gt;=12,40,ROUND(H221*3.33,2)))</f>
        <v/>
      </c>
      <c r="J221" s="11" t="n"/>
      <c r="K221" s="11" t="n"/>
      <c r="L221" s="11" t="n"/>
      <c r="M221" s="11" t="n"/>
      <c r="N221" s="10">
        <f>IF(COUNTA(J221:M221)=0,"",MIN(10,SUMPRODUCT((COUNTIF(J221:M221,L_KOM)&gt;0)*S_KOM)))</f>
        <v/>
      </c>
      <c r="O221" s="11" t="n"/>
      <c r="P221" s="10">
        <f>IF(O221="","",IFERROR(VLOOKUP(O221,T_KHID,2,FALSE),0))</f>
        <v/>
      </c>
      <c r="Q221" s="11" t="n"/>
      <c r="R221" s="11" t="n"/>
      <c r="S221" s="10">
        <f>IF(AND(Q221="",R221=""),"",IFERROR(INDEX(T_LIBAT,MATCH(Q221,L_PER,0),MATCH(R221,L_JENIS,0)),0))</f>
        <v/>
      </c>
      <c r="T221" s="11" t="n"/>
      <c r="U221" s="11" t="n"/>
      <c r="V221" s="10">
        <f>IF(AND(T221="",U221=""),"",IFERROR(INDEX(T_CAPAI,MATCH(T221,L_PER,0),MATCH(U221,L_KED,0)),0))</f>
        <v/>
      </c>
      <c r="W221" s="17">
        <f>IF(OR(B221="",E221="",COUNTA(F221,H221,J221:M221,O221,Q221:R221,T221:U221)=0),"",SUM(G221,I221,N221,P221,S221,V221))</f>
        <v/>
      </c>
      <c r="X221" s="18">
        <f>IF(W221="","",IF(Murid!F221="TL","TL",ROUND(W221/110*100,2)))</f>
        <v/>
      </c>
    </row>
    <row r="222">
      <c r="A222" s="15">
        <f>Murid!A222</f>
        <v/>
      </c>
      <c r="B222" s="15">
        <f>IF(Murid!B222="","",Murid!B222)</f>
        <v/>
      </c>
      <c r="C222" s="16">
        <f>IF(Murid!C222="","",Murid!C222)</f>
        <v/>
      </c>
      <c r="D222" s="15">
        <f>IF(Murid!E222="","",Murid!E222)</f>
        <v/>
      </c>
      <c r="E222" s="11" t="n"/>
      <c r="F222" s="11" t="n"/>
      <c r="G222" s="10">
        <f>IF(F222="","",IFERROR(VLOOKUP(F222,T_JKP,2,FALSE),0))</f>
        <v/>
      </c>
      <c r="H222" s="11" t="n"/>
      <c r="I222" s="17">
        <f>IF(H222="","",IF(H222&gt;=12,40,ROUND(H222*3.33,2)))</f>
        <v/>
      </c>
      <c r="J222" s="11" t="n"/>
      <c r="K222" s="11" t="n"/>
      <c r="L222" s="11" t="n"/>
      <c r="M222" s="11" t="n"/>
      <c r="N222" s="10">
        <f>IF(COUNTA(J222:M222)=0,"",MIN(10,SUMPRODUCT((COUNTIF(J222:M222,L_KOM)&gt;0)*S_KOM)))</f>
        <v/>
      </c>
      <c r="O222" s="11" t="n"/>
      <c r="P222" s="10">
        <f>IF(O222="","",IFERROR(VLOOKUP(O222,T_KHID,2,FALSE),0))</f>
        <v/>
      </c>
      <c r="Q222" s="11" t="n"/>
      <c r="R222" s="11" t="n"/>
      <c r="S222" s="10">
        <f>IF(AND(Q222="",R222=""),"",IFERROR(INDEX(T_LIBAT,MATCH(Q222,L_PER,0),MATCH(R222,L_JENIS,0)),0))</f>
        <v/>
      </c>
      <c r="T222" s="11" t="n"/>
      <c r="U222" s="11" t="n"/>
      <c r="V222" s="10">
        <f>IF(AND(T222="",U222=""),"",IFERROR(INDEX(T_CAPAI,MATCH(T222,L_PER,0),MATCH(U222,L_KED,0)),0))</f>
        <v/>
      </c>
      <c r="W222" s="17">
        <f>IF(OR(B222="",E222="",COUNTA(F222,H222,J222:M222,O222,Q222:R222,T222:U222)=0),"",SUM(G222,I222,N222,P222,S222,V222))</f>
        <v/>
      </c>
      <c r="X222" s="18">
        <f>IF(W222="","",IF(Murid!F222="TL","TL",ROUND(W222/110*100,2)))</f>
        <v/>
      </c>
    </row>
    <row r="223">
      <c r="A223" s="15">
        <f>Murid!A223</f>
        <v/>
      </c>
      <c r="B223" s="15">
        <f>IF(Murid!B223="","",Murid!B223)</f>
        <v/>
      </c>
      <c r="C223" s="16">
        <f>IF(Murid!C223="","",Murid!C223)</f>
        <v/>
      </c>
      <c r="D223" s="15">
        <f>IF(Murid!E223="","",Murid!E223)</f>
        <v/>
      </c>
      <c r="E223" s="11" t="n"/>
      <c r="F223" s="11" t="n"/>
      <c r="G223" s="10">
        <f>IF(F223="","",IFERROR(VLOOKUP(F223,T_JKP,2,FALSE),0))</f>
        <v/>
      </c>
      <c r="H223" s="11" t="n"/>
      <c r="I223" s="17">
        <f>IF(H223="","",IF(H223&gt;=12,40,ROUND(H223*3.33,2)))</f>
        <v/>
      </c>
      <c r="J223" s="11" t="n"/>
      <c r="K223" s="11" t="n"/>
      <c r="L223" s="11" t="n"/>
      <c r="M223" s="11" t="n"/>
      <c r="N223" s="10">
        <f>IF(COUNTA(J223:M223)=0,"",MIN(10,SUMPRODUCT((COUNTIF(J223:M223,L_KOM)&gt;0)*S_KOM)))</f>
        <v/>
      </c>
      <c r="O223" s="11" t="n"/>
      <c r="P223" s="10">
        <f>IF(O223="","",IFERROR(VLOOKUP(O223,T_KHID,2,FALSE),0))</f>
        <v/>
      </c>
      <c r="Q223" s="11" t="n"/>
      <c r="R223" s="11" t="n"/>
      <c r="S223" s="10">
        <f>IF(AND(Q223="",R223=""),"",IFERROR(INDEX(T_LIBAT,MATCH(Q223,L_PER,0),MATCH(R223,L_JENIS,0)),0))</f>
        <v/>
      </c>
      <c r="T223" s="11" t="n"/>
      <c r="U223" s="11" t="n"/>
      <c r="V223" s="10">
        <f>IF(AND(T223="",U223=""),"",IFERROR(INDEX(T_CAPAI,MATCH(T223,L_PER,0),MATCH(U223,L_KED,0)),0))</f>
        <v/>
      </c>
      <c r="W223" s="17">
        <f>IF(OR(B223="",E223="",COUNTA(F223,H223,J223:M223,O223,Q223:R223,T223:U223)=0),"",SUM(G223,I223,N223,P223,S223,V223))</f>
        <v/>
      </c>
      <c r="X223" s="18">
        <f>IF(W223="","",IF(Murid!F223="TL","TL",ROUND(W223/110*100,2)))</f>
        <v/>
      </c>
    </row>
    <row r="224">
      <c r="A224" s="15">
        <f>Murid!A224</f>
        <v/>
      </c>
      <c r="B224" s="15">
        <f>IF(Murid!B224="","",Murid!B224)</f>
        <v/>
      </c>
      <c r="C224" s="16">
        <f>IF(Murid!C224="","",Murid!C224)</f>
        <v/>
      </c>
      <c r="D224" s="15">
        <f>IF(Murid!E224="","",Murid!E224)</f>
        <v/>
      </c>
      <c r="E224" s="11" t="n"/>
      <c r="F224" s="11" t="n"/>
      <c r="G224" s="10">
        <f>IF(F224="","",IFERROR(VLOOKUP(F224,T_JKP,2,FALSE),0))</f>
        <v/>
      </c>
      <c r="H224" s="11" t="n"/>
      <c r="I224" s="17">
        <f>IF(H224="","",IF(H224&gt;=12,40,ROUND(H224*3.33,2)))</f>
        <v/>
      </c>
      <c r="J224" s="11" t="n"/>
      <c r="K224" s="11" t="n"/>
      <c r="L224" s="11" t="n"/>
      <c r="M224" s="11" t="n"/>
      <c r="N224" s="10">
        <f>IF(COUNTA(J224:M224)=0,"",MIN(10,SUMPRODUCT((COUNTIF(J224:M224,L_KOM)&gt;0)*S_KOM)))</f>
        <v/>
      </c>
      <c r="O224" s="11" t="n"/>
      <c r="P224" s="10">
        <f>IF(O224="","",IFERROR(VLOOKUP(O224,T_KHID,2,FALSE),0))</f>
        <v/>
      </c>
      <c r="Q224" s="11" t="n"/>
      <c r="R224" s="11" t="n"/>
      <c r="S224" s="10">
        <f>IF(AND(Q224="",R224=""),"",IFERROR(INDEX(T_LIBAT,MATCH(Q224,L_PER,0),MATCH(R224,L_JENIS,0)),0))</f>
        <v/>
      </c>
      <c r="T224" s="11" t="n"/>
      <c r="U224" s="11" t="n"/>
      <c r="V224" s="10">
        <f>IF(AND(T224="",U224=""),"",IFERROR(INDEX(T_CAPAI,MATCH(T224,L_PER,0),MATCH(U224,L_KED,0)),0))</f>
        <v/>
      </c>
      <c r="W224" s="17">
        <f>IF(OR(B224="",E224="",COUNTA(F224,H224,J224:M224,O224,Q224:R224,T224:U224)=0),"",SUM(G224,I224,N224,P224,S224,V224))</f>
        <v/>
      </c>
      <c r="X224" s="18">
        <f>IF(W224="","",IF(Murid!F224="TL","TL",ROUND(W224/110*100,2)))</f>
        <v/>
      </c>
    </row>
    <row r="225">
      <c r="A225" s="15">
        <f>Murid!A225</f>
        <v/>
      </c>
      <c r="B225" s="15">
        <f>IF(Murid!B225="","",Murid!B225)</f>
        <v/>
      </c>
      <c r="C225" s="16">
        <f>IF(Murid!C225="","",Murid!C225)</f>
        <v/>
      </c>
      <c r="D225" s="15">
        <f>IF(Murid!E225="","",Murid!E225)</f>
        <v/>
      </c>
      <c r="E225" s="11" t="n"/>
      <c r="F225" s="11" t="n"/>
      <c r="G225" s="10">
        <f>IF(F225="","",IFERROR(VLOOKUP(F225,T_JKP,2,FALSE),0))</f>
        <v/>
      </c>
      <c r="H225" s="11" t="n"/>
      <c r="I225" s="17">
        <f>IF(H225="","",IF(H225&gt;=12,40,ROUND(H225*3.33,2)))</f>
        <v/>
      </c>
      <c r="J225" s="11" t="n"/>
      <c r="K225" s="11" t="n"/>
      <c r="L225" s="11" t="n"/>
      <c r="M225" s="11" t="n"/>
      <c r="N225" s="10">
        <f>IF(COUNTA(J225:M225)=0,"",MIN(10,SUMPRODUCT((COUNTIF(J225:M225,L_KOM)&gt;0)*S_KOM)))</f>
        <v/>
      </c>
      <c r="O225" s="11" t="n"/>
      <c r="P225" s="10">
        <f>IF(O225="","",IFERROR(VLOOKUP(O225,T_KHID,2,FALSE),0))</f>
        <v/>
      </c>
      <c r="Q225" s="11" t="n"/>
      <c r="R225" s="11" t="n"/>
      <c r="S225" s="10">
        <f>IF(AND(Q225="",R225=""),"",IFERROR(INDEX(T_LIBAT,MATCH(Q225,L_PER,0),MATCH(R225,L_JENIS,0)),0))</f>
        <v/>
      </c>
      <c r="T225" s="11" t="n"/>
      <c r="U225" s="11" t="n"/>
      <c r="V225" s="10">
        <f>IF(AND(T225="",U225=""),"",IFERROR(INDEX(T_CAPAI,MATCH(T225,L_PER,0),MATCH(U225,L_KED,0)),0))</f>
        <v/>
      </c>
      <c r="W225" s="17">
        <f>IF(OR(B225="",E225="",COUNTA(F225,H225,J225:M225,O225,Q225:R225,T225:U225)=0),"",SUM(G225,I225,N225,P225,S225,V225))</f>
        <v/>
      </c>
      <c r="X225" s="18">
        <f>IF(W225="","",IF(Murid!F225="TL","TL",ROUND(W225/110*100,2)))</f>
        <v/>
      </c>
    </row>
    <row r="226">
      <c r="A226" s="15">
        <f>Murid!A226</f>
        <v/>
      </c>
      <c r="B226" s="15">
        <f>IF(Murid!B226="","",Murid!B226)</f>
        <v/>
      </c>
      <c r="C226" s="16">
        <f>IF(Murid!C226="","",Murid!C226)</f>
        <v/>
      </c>
      <c r="D226" s="15">
        <f>IF(Murid!E226="","",Murid!E226)</f>
        <v/>
      </c>
      <c r="E226" s="11" t="n"/>
      <c r="F226" s="11" t="n"/>
      <c r="G226" s="10">
        <f>IF(F226="","",IFERROR(VLOOKUP(F226,T_JKP,2,FALSE),0))</f>
        <v/>
      </c>
      <c r="H226" s="11" t="n"/>
      <c r="I226" s="17">
        <f>IF(H226="","",IF(H226&gt;=12,40,ROUND(H226*3.33,2)))</f>
        <v/>
      </c>
      <c r="J226" s="11" t="n"/>
      <c r="K226" s="11" t="n"/>
      <c r="L226" s="11" t="n"/>
      <c r="M226" s="11" t="n"/>
      <c r="N226" s="10">
        <f>IF(COUNTA(J226:M226)=0,"",MIN(10,SUMPRODUCT((COUNTIF(J226:M226,L_KOM)&gt;0)*S_KOM)))</f>
        <v/>
      </c>
      <c r="O226" s="11" t="n"/>
      <c r="P226" s="10">
        <f>IF(O226="","",IFERROR(VLOOKUP(O226,T_KHID,2,FALSE),0))</f>
        <v/>
      </c>
      <c r="Q226" s="11" t="n"/>
      <c r="R226" s="11" t="n"/>
      <c r="S226" s="10">
        <f>IF(AND(Q226="",R226=""),"",IFERROR(INDEX(T_LIBAT,MATCH(Q226,L_PER,0),MATCH(R226,L_JENIS,0)),0))</f>
        <v/>
      </c>
      <c r="T226" s="11" t="n"/>
      <c r="U226" s="11" t="n"/>
      <c r="V226" s="10">
        <f>IF(AND(T226="",U226=""),"",IFERROR(INDEX(T_CAPAI,MATCH(T226,L_PER,0),MATCH(U226,L_KED,0)),0))</f>
        <v/>
      </c>
      <c r="W226" s="17">
        <f>IF(OR(B226="",E226="",COUNTA(F226,H226,J226:M226,O226,Q226:R226,T226:U226)=0),"",SUM(G226,I226,N226,P226,S226,V226))</f>
        <v/>
      </c>
      <c r="X226" s="18">
        <f>IF(W226="","",IF(Murid!F226="TL","TL",ROUND(W226/110*100,2)))</f>
        <v/>
      </c>
    </row>
    <row r="227">
      <c r="A227" s="15">
        <f>Murid!A227</f>
        <v/>
      </c>
      <c r="B227" s="15">
        <f>IF(Murid!B227="","",Murid!B227)</f>
        <v/>
      </c>
      <c r="C227" s="16">
        <f>IF(Murid!C227="","",Murid!C227)</f>
        <v/>
      </c>
      <c r="D227" s="15">
        <f>IF(Murid!E227="","",Murid!E227)</f>
        <v/>
      </c>
      <c r="E227" s="11" t="n"/>
      <c r="F227" s="11" t="n"/>
      <c r="G227" s="10">
        <f>IF(F227="","",IFERROR(VLOOKUP(F227,T_JKP,2,FALSE),0))</f>
        <v/>
      </c>
      <c r="H227" s="11" t="n"/>
      <c r="I227" s="17">
        <f>IF(H227="","",IF(H227&gt;=12,40,ROUND(H227*3.33,2)))</f>
        <v/>
      </c>
      <c r="J227" s="11" t="n"/>
      <c r="K227" s="11" t="n"/>
      <c r="L227" s="11" t="n"/>
      <c r="M227" s="11" t="n"/>
      <c r="N227" s="10">
        <f>IF(COUNTA(J227:M227)=0,"",MIN(10,SUMPRODUCT((COUNTIF(J227:M227,L_KOM)&gt;0)*S_KOM)))</f>
        <v/>
      </c>
      <c r="O227" s="11" t="n"/>
      <c r="P227" s="10">
        <f>IF(O227="","",IFERROR(VLOOKUP(O227,T_KHID,2,FALSE),0))</f>
        <v/>
      </c>
      <c r="Q227" s="11" t="n"/>
      <c r="R227" s="11" t="n"/>
      <c r="S227" s="10">
        <f>IF(AND(Q227="",R227=""),"",IFERROR(INDEX(T_LIBAT,MATCH(Q227,L_PER,0),MATCH(R227,L_JENIS,0)),0))</f>
        <v/>
      </c>
      <c r="T227" s="11" t="n"/>
      <c r="U227" s="11" t="n"/>
      <c r="V227" s="10">
        <f>IF(AND(T227="",U227=""),"",IFERROR(INDEX(T_CAPAI,MATCH(T227,L_PER,0),MATCH(U227,L_KED,0)),0))</f>
        <v/>
      </c>
      <c r="W227" s="17">
        <f>IF(OR(B227="",E227="",COUNTA(F227,H227,J227:M227,O227,Q227:R227,T227:U227)=0),"",SUM(G227,I227,N227,P227,S227,V227))</f>
        <v/>
      </c>
      <c r="X227" s="18">
        <f>IF(W227="","",IF(Murid!F227="TL","TL",ROUND(W227/110*100,2)))</f>
        <v/>
      </c>
    </row>
    <row r="228">
      <c r="A228" s="15">
        <f>Murid!A228</f>
        <v/>
      </c>
      <c r="B228" s="15">
        <f>IF(Murid!B228="","",Murid!B228)</f>
        <v/>
      </c>
      <c r="C228" s="16">
        <f>IF(Murid!C228="","",Murid!C228)</f>
        <v/>
      </c>
      <c r="D228" s="15">
        <f>IF(Murid!E228="","",Murid!E228)</f>
        <v/>
      </c>
      <c r="E228" s="11" t="n"/>
      <c r="F228" s="11" t="n"/>
      <c r="G228" s="10">
        <f>IF(F228="","",IFERROR(VLOOKUP(F228,T_JKP,2,FALSE),0))</f>
        <v/>
      </c>
      <c r="H228" s="11" t="n"/>
      <c r="I228" s="17">
        <f>IF(H228="","",IF(H228&gt;=12,40,ROUND(H228*3.33,2)))</f>
        <v/>
      </c>
      <c r="J228" s="11" t="n"/>
      <c r="K228" s="11" t="n"/>
      <c r="L228" s="11" t="n"/>
      <c r="M228" s="11" t="n"/>
      <c r="N228" s="10">
        <f>IF(COUNTA(J228:M228)=0,"",MIN(10,SUMPRODUCT((COUNTIF(J228:M228,L_KOM)&gt;0)*S_KOM)))</f>
        <v/>
      </c>
      <c r="O228" s="11" t="n"/>
      <c r="P228" s="10">
        <f>IF(O228="","",IFERROR(VLOOKUP(O228,T_KHID,2,FALSE),0))</f>
        <v/>
      </c>
      <c r="Q228" s="11" t="n"/>
      <c r="R228" s="11" t="n"/>
      <c r="S228" s="10">
        <f>IF(AND(Q228="",R228=""),"",IFERROR(INDEX(T_LIBAT,MATCH(Q228,L_PER,0),MATCH(R228,L_JENIS,0)),0))</f>
        <v/>
      </c>
      <c r="T228" s="11" t="n"/>
      <c r="U228" s="11" t="n"/>
      <c r="V228" s="10">
        <f>IF(AND(T228="",U228=""),"",IFERROR(INDEX(T_CAPAI,MATCH(T228,L_PER,0),MATCH(U228,L_KED,0)),0))</f>
        <v/>
      </c>
      <c r="W228" s="17">
        <f>IF(OR(B228="",E228="",COUNTA(F228,H228,J228:M228,O228,Q228:R228,T228:U228)=0),"",SUM(G228,I228,N228,P228,S228,V228))</f>
        <v/>
      </c>
      <c r="X228" s="18">
        <f>IF(W228="","",IF(Murid!F228="TL","TL",ROUND(W228/110*100,2)))</f>
        <v/>
      </c>
    </row>
    <row r="229">
      <c r="A229" s="15">
        <f>Murid!A229</f>
        <v/>
      </c>
      <c r="B229" s="15">
        <f>IF(Murid!B229="","",Murid!B229)</f>
        <v/>
      </c>
      <c r="C229" s="16">
        <f>IF(Murid!C229="","",Murid!C229)</f>
        <v/>
      </c>
      <c r="D229" s="15">
        <f>IF(Murid!E229="","",Murid!E229)</f>
        <v/>
      </c>
      <c r="E229" s="11" t="n"/>
      <c r="F229" s="11" t="n"/>
      <c r="G229" s="10">
        <f>IF(F229="","",IFERROR(VLOOKUP(F229,T_JKP,2,FALSE),0))</f>
        <v/>
      </c>
      <c r="H229" s="11" t="n"/>
      <c r="I229" s="17">
        <f>IF(H229="","",IF(H229&gt;=12,40,ROUND(H229*3.33,2)))</f>
        <v/>
      </c>
      <c r="J229" s="11" t="n"/>
      <c r="K229" s="11" t="n"/>
      <c r="L229" s="11" t="n"/>
      <c r="M229" s="11" t="n"/>
      <c r="N229" s="10">
        <f>IF(COUNTA(J229:M229)=0,"",MIN(10,SUMPRODUCT((COUNTIF(J229:M229,L_KOM)&gt;0)*S_KOM)))</f>
        <v/>
      </c>
      <c r="O229" s="11" t="n"/>
      <c r="P229" s="10">
        <f>IF(O229="","",IFERROR(VLOOKUP(O229,T_KHID,2,FALSE),0))</f>
        <v/>
      </c>
      <c r="Q229" s="11" t="n"/>
      <c r="R229" s="11" t="n"/>
      <c r="S229" s="10">
        <f>IF(AND(Q229="",R229=""),"",IFERROR(INDEX(T_LIBAT,MATCH(Q229,L_PER,0),MATCH(R229,L_JENIS,0)),0))</f>
        <v/>
      </c>
      <c r="T229" s="11" t="n"/>
      <c r="U229" s="11" t="n"/>
      <c r="V229" s="10">
        <f>IF(AND(T229="",U229=""),"",IFERROR(INDEX(T_CAPAI,MATCH(T229,L_PER,0),MATCH(U229,L_KED,0)),0))</f>
        <v/>
      </c>
      <c r="W229" s="17">
        <f>IF(OR(B229="",E229="",COUNTA(F229,H229,J229:M229,O229,Q229:R229,T229:U229)=0),"",SUM(G229,I229,N229,P229,S229,V229))</f>
        <v/>
      </c>
      <c r="X229" s="18">
        <f>IF(W229="","",IF(Murid!F229="TL","TL",ROUND(W229/110*100,2)))</f>
        <v/>
      </c>
    </row>
    <row r="230">
      <c r="A230" s="15">
        <f>Murid!A230</f>
        <v/>
      </c>
      <c r="B230" s="15">
        <f>IF(Murid!B230="","",Murid!B230)</f>
        <v/>
      </c>
      <c r="C230" s="16">
        <f>IF(Murid!C230="","",Murid!C230)</f>
        <v/>
      </c>
      <c r="D230" s="15">
        <f>IF(Murid!E230="","",Murid!E230)</f>
        <v/>
      </c>
      <c r="E230" s="11" t="n"/>
      <c r="F230" s="11" t="n"/>
      <c r="G230" s="10">
        <f>IF(F230="","",IFERROR(VLOOKUP(F230,T_JKP,2,FALSE),0))</f>
        <v/>
      </c>
      <c r="H230" s="11" t="n"/>
      <c r="I230" s="17">
        <f>IF(H230="","",IF(H230&gt;=12,40,ROUND(H230*3.33,2)))</f>
        <v/>
      </c>
      <c r="J230" s="11" t="n"/>
      <c r="K230" s="11" t="n"/>
      <c r="L230" s="11" t="n"/>
      <c r="M230" s="11" t="n"/>
      <c r="N230" s="10">
        <f>IF(COUNTA(J230:M230)=0,"",MIN(10,SUMPRODUCT((COUNTIF(J230:M230,L_KOM)&gt;0)*S_KOM)))</f>
        <v/>
      </c>
      <c r="O230" s="11" t="n"/>
      <c r="P230" s="10">
        <f>IF(O230="","",IFERROR(VLOOKUP(O230,T_KHID,2,FALSE),0))</f>
        <v/>
      </c>
      <c r="Q230" s="11" t="n"/>
      <c r="R230" s="11" t="n"/>
      <c r="S230" s="10">
        <f>IF(AND(Q230="",R230=""),"",IFERROR(INDEX(T_LIBAT,MATCH(Q230,L_PER,0),MATCH(R230,L_JENIS,0)),0))</f>
        <v/>
      </c>
      <c r="T230" s="11" t="n"/>
      <c r="U230" s="11" t="n"/>
      <c r="V230" s="10">
        <f>IF(AND(T230="",U230=""),"",IFERROR(INDEX(T_CAPAI,MATCH(T230,L_PER,0),MATCH(U230,L_KED,0)),0))</f>
        <v/>
      </c>
      <c r="W230" s="17">
        <f>IF(OR(B230="",E230="",COUNTA(F230,H230,J230:M230,O230,Q230:R230,T230:U230)=0),"",SUM(G230,I230,N230,P230,S230,V230))</f>
        <v/>
      </c>
      <c r="X230" s="18">
        <f>IF(W230="","",IF(Murid!F230="TL","TL",ROUND(W230/110*100,2)))</f>
        <v/>
      </c>
    </row>
    <row r="231">
      <c r="A231" s="15">
        <f>Murid!A231</f>
        <v/>
      </c>
      <c r="B231" s="15">
        <f>IF(Murid!B231="","",Murid!B231)</f>
        <v/>
      </c>
      <c r="C231" s="16">
        <f>IF(Murid!C231="","",Murid!C231)</f>
        <v/>
      </c>
      <c r="D231" s="15">
        <f>IF(Murid!E231="","",Murid!E231)</f>
        <v/>
      </c>
      <c r="E231" s="11" t="n"/>
      <c r="F231" s="11" t="n"/>
      <c r="G231" s="10">
        <f>IF(F231="","",IFERROR(VLOOKUP(F231,T_JKP,2,FALSE),0))</f>
        <v/>
      </c>
      <c r="H231" s="11" t="n"/>
      <c r="I231" s="17">
        <f>IF(H231="","",IF(H231&gt;=12,40,ROUND(H231*3.33,2)))</f>
        <v/>
      </c>
      <c r="J231" s="11" t="n"/>
      <c r="K231" s="11" t="n"/>
      <c r="L231" s="11" t="n"/>
      <c r="M231" s="11" t="n"/>
      <c r="N231" s="10">
        <f>IF(COUNTA(J231:M231)=0,"",MIN(10,SUMPRODUCT((COUNTIF(J231:M231,L_KOM)&gt;0)*S_KOM)))</f>
        <v/>
      </c>
      <c r="O231" s="11" t="n"/>
      <c r="P231" s="10">
        <f>IF(O231="","",IFERROR(VLOOKUP(O231,T_KHID,2,FALSE),0))</f>
        <v/>
      </c>
      <c r="Q231" s="11" t="n"/>
      <c r="R231" s="11" t="n"/>
      <c r="S231" s="10">
        <f>IF(AND(Q231="",R231=""),"",IFERROR(INDEX(T_LIBAT,MATCH(Q231,L_PER,0),MATCH(R231,L_JENIS,0)),0))</f>
        <v/>
      </c>
      <c r="T231" s="11" t="n"/>
      <c r="U231" s="11" t="n"/>
      <c r="V231" s="10">
        <f>IF(AND(T231="",U231=""),"",IFERROR(INDEX(T_CAPAI,MATCH(T231,L_PER,0),MATCH(U231,L_KED,0)),0))</f>
        <v/>
      </c>
      <c r="W231" s="17">
        <f>IF(OR(B231="",E231="",COUNTA(F231,H231,J231:M231,O231,Q231:R231,T231:U231)=0),"",SUM(G231,I231,N231,P231,S231,V231))</f>
        <v/>
      </c>
      <c r="X231" s="18">
        <f>IF(W231="","",IF(Murid!F231="TL","TL",ROUND(W231/110*100,2)))</f>
        <v/>
      </c>
    </row>
    <row r="232">
      <c r="A232" s="15">
        <f>Murid!A232</f>
        <v/>
      </c>
      <c r="B232" s="15">
        <f>IF(Murid!B232="","",Murid!B232)</f>
        <v/>
      </c>
      <c r="C232" s="16">
        <f>IF(Murid!C232="","",Murid!C232)</f>
        <v/>
      </c>
      <c r="D232" s="15">
        <f>IF(Murid!E232="","",Murid!E232)</f>
        <v/>
      </c>
      <c r="E232" s="11" t="n"/>
      <c r="F232" s="11" t="n"/>
      <c r="G232" s="10">
        <f>IF(F232="","",IFERROR(VLOOKUP(F232,T_JKP,2,FALSE),0))</f>
        <v/>
      </c>
      <c r="H232" s="11" t="n"/>
      <c r="I232" s="17">
        <f>IF(H232="","",IF(H232&gt;=12,40,ROUND(H232*3.33,2)))</f>
        <v/>
      </c>
      <c r="J232" s="11" t="n"/>
      <c r="K232" s="11" t="n"/>
      <c r="L232" s="11" t="n"/>
      <c r="M232" s="11" t="n"/>
      <c r="N232" s="10">
        <f>IF(COUNTA(J232:M232)=0,"",MIN(10,SUMPRODUCT((COUNTIF(J232:M232,L_KOM)&gt;0)*S_KOM)))</f>
        <v/>
      </c>
      <c r="O232" s="11" t="n"/>
      <c r="P232" s="10">
        <f>IF(O232="","",IFERROR(VLOOKUP(O232,T_KHID,2,FALSE),0))</f>
        <v/>
      </c>
      <c r="Q232" s="11" t="n"/>
      <c r="R232" s="11" t="n"/>
      <c r="S232" s="10">
        <f>IF(AND(Q232="",R232=""),"",IFERROR(INDEX(T_LIBAT,MATCH(Q232,L_PER,0),MATCH(R232,L_JENIS,0)),0))</f>
        <v/>
      </c>
      <c r="T232" s="11" t="n"/>
      <c r="U232" s="11" t="n"/>
      <c r="V232" s="10">
        <f>IF(AND(T232="",U232=""),"",IFERROR(INDEX(T_CAPAI,MATCH(T232,L_PER,0),MATCH(U232,L_KED,0)),0))</f>
        <v/>
      </c>
      <c r="W232" s="17">
        <f>IF(OR(B232="",E232="",COUNTA(F232,H232,J232:M232,O232,Q232:R232,T232:U232)=0),"",SUM(G232,I232,N232,P232,S232,V232))</f>
        <v/>
      </c>
      <c r="X232" s="18">
        <f>IF(W232="","",IF(Murid!F232="TL","TL",ROUND(W232/110*100,2)))</f>
        <v/>
      </c>
    </row>
    <row r="233">
      <c r="A233" s="15">
        <f>Murid!A233</f>
        <v/>
      </c>
      <c r="B233" s="15">
        <f>IF(Murid!B233="","",Murid!B233)</f>
        <v/>
      </c>
      <c r="C233" s="16">
        <f>IF(Murid!C233="","",Murid!C233)</f>
        <v/>
      </c>
      <c r="D233" s="15">
        <f>IF(Murid!E233="","",Murid!E233)</f>
        <v/>
      </c>
      <c r="E233" s="11" t="n"/>
      <c r="F233" s="11" t="n"/>
      <c r="G233" s="10">
        <f>IF(F233="","",IFERROR(VLOOKUP(F233,T_JKP,2,FALSE),0))</f>
        <v/>
      </c>
      <c r="H233" s="11" t="n"/>
      <c r="I233" s="17">
        <f>IF(H233="","",IF(H233&gt;=12,40,ROUND(H233*3.33,2)))</f>
        <v/>
      </c>
      <c r="J233" s="11" t="n"/>
      <c r="K233" s="11" t="n"/>
      <c r="L233" s="11" t="n"/>
      <c r="M233" s="11" t="n"/>
      <c r="N233" s="10">
        <f>IF(COUNTA(J233:M233)=0,"",MIN(10,SUMPRODUCT((COUNTIF(J233:M233,L_KOM)&gt;0)*S_KOM)))</f>
        <v/>
      </c>
      <c r="O233" s="11" t="n"/>
      <c r="P233" s="10">
        <f>IF(O233="","",IFERROR(VLOOKUP(O233,T_KHID,2,FALSE),0))</f>
        <v/>
      </c>
      <c r="Q233" s="11" t="n"/>
      <c r="R233" s="11" t="n"/>
      <c r="S233" s="10">
        <f>IF(AND(Q233="",R233=""),"",IFERROR(INDEX(T_LIBAT,MATCH(Q233,L_PER,0),MATCH(R233,L_JENIS,0)),0))</f>
        <v/>
      </c>
      <c r="T233" s="11" t="n"/>
      <c r="U233" s="11" t="n"/>
      <c r="V233" s="10">
        <f>IF(AND(T233="",U233=""),"",IFERROR(INDEX(T_CAPAI,MATCH(T233,L_PER,0),MATCH(U233,L_KED,0)),0))</f>
        <v/>
      </c>
      <c r="W233" s="17">
        <f>IF(OR(B233="",E233="",COUNTA(F233,H233,J233:M233,O233,Q233:R233,T233:U233)=0),"",SUM(G233,I233,N233,P233,S233,V233))</f>
        <v/>
      </c>
      <c r="X233" s="18">
        <f>IF(W233="","",IF(Murid!F233="TL","TL",ROUND(W233/110*100,2)))</f>
        <v/>
      </c>
    </row>
    <row r="234">
      <c r="A234" s="15">
        <f>Murid!A234</f>
        <v/>
      </c>
      <c r="B234" s="15">
        <f>IF(Murid!B234="","",Murid!B234)</f>
        <v/>
      </c>
      <c r="C234" s="16">
        <f>IF(Murid!C234="","",Murid!C234)</f>
        <v/>
      </c>
      <c r="D234" s="15">
        <f>IF(Murid!E234="","",Murid!E234)</f>
        <v/>
      </c>
      <c r="E234" s="11" t="n"/>
      <c r="F234" s="11" t="n"/>
      <c r="G234" s="10">
        <f>IF(F234="","",IFERROR(VLOOKUP(F234,T_JKP,2,FALSE),0))</f>
        <v/>
      </c>
      <c r="H234" s="11" t="n"/>
      <c r="I234" s="17">
        <f>IF(H234="","",IF(H234&gt;=12,40,ROUND(H234*3.33,2)))</f>
        <v/>
      </c>
      <c r="J234" s="11" t="n"/>
      <c r="K234" s="11" t="n"/>
      <c r="L234" s="11" t="n"/>
      <c r="M234" s="11" t="n"/>
      <c r="N234" s="10">
        <f>IF(COUNTA(J234:M234)=0,"",MIN(10,SUMPRODUCT((COUNTIF(J234:M234,L_KOM)&gt;0)*S_KOM)))</f>
        <v/>
      </c>
      <c r="O234" s="11" t="n"/>
      <c r="P234" s="10">
        <f>IF(O234="","",IFERROR(VLOOKUP(O234,T_KHID,2,FALSE),0))</f>
        <v/>
      </c>
      <c r="Q234" s="11" t="n"/>
      <c r="R234" s="11" t="n"/>
      <c r="S234" s="10">
        <f>IF(AND(Q234="",R234=""),"",IFERROR(INDEX(T_LIBAT,MATCH(Q234,L_PER,0),MATCH(R234,L_JENIS,0)),0))</f>
        <v/>
      </c>
      <c r="T234" s="11" t="n"/>
      <c r="U234" s="11" t="n"/>
      <c r="V234" s="10">
        <f>IF(AND(T234="",U234=""),"",IFERROR(INDEX(T_CAPAI,MATCH(T234,L_PER,0),MATCH(U234,L_KED,0)),0))</f>
        <v/>
      </c>
      <c r="W234" s="17">
        <f>IF(OR(B234="",E234="",COUNTA(F234,H234,J234:M234,O234,Q234:R234,T234:U234)=0),"",SUM(G234,I234,N234,P234,S234,V234))</f>
        <v/>
      </c>
      <c r="X234" s="18">
        <f>IF(W234="","",IF(Murid!F234="TL","TL",ROUND(W234/110*100,2)))</f>
        <v/>
      </c>
    </row>
    <row r="235">
      <c r="A235" s="15">
        <f>Murid!A235</f>
        <v/>
      </c>
      <c r="B235" s="15">
        <f>IF(Murid!B235="","",Murid!B235)</f>
        <v/>
      </c>
      <c r="C235" s="16">
        <f>IF(Murid!C235="","",Murid!C235)</f>
        <v/>
      </c>
      <c r="D235" s="15">
        <f>IF(Murid!E235="","",Murid!E235)</f>
        <v/>
      </c>
      <c r="E235" s="11" t="n"/>
      <c r="F235" s="11" t="n"/>
      <c r="G235" s="10">
        <f>IF(F235="","",IFERROR(VLOOKUP(F235,T_JKP,2,FALSE),0))</f>
        <v/>
      </c>
      <c r="H235" s="11" t="n"/>
      <c r="I235" s="17">
        <f>IF(H235="","",IF(H235&gt;=12,40,ROUND(H235*3.33,2)))</f>
        <v/>
      </c>
      <c r="J235" s="11" t="n"/>
      <c r="K235" s="11" t="n"/>
      <c r="L235" s="11" t="n"/>
      <c r="M235" s="11" t="n"/>
      <c r="N235" s="10">
        <f>IF(COUNTA(J235:M235)=0,"",MIN(10,SUMPRODUCT((COUNTIF(J235:M235,L_KOM)&gt;0)*S_KOM)))</f>
        <v/>
      </c>
      <c r="O235" s="11" t="n"/>
      <c r="P235" s="10">
        <f>IF(O235="","",IFERROR(VLOOKUP(O235,T_KHID,2,FALSE),0))</f>
        <v/>
      </c>
      <c r="Q235" s="11" t="n"/>
      <c r="R235" s="11" t="n"/>
      <c r="S235" s="10">
        <f>IF(AND(Q235="",R235=""),"",IFERROR(INDEX(T_LIBAT,MATCH(Q235,L_PER,0),MATCH(R235,L_JENIS,0)),0))</f>
        <v/>
      </c>
      <c r="T235" s="11" t="n"/>
      <c r="U235" s="11" t="n"/>
      <c r="V235" s="10">
        <f>IF(AND(T235="",U235=""),"",IFERROR(INDEX(T_CAPAI,MATCH(T235,L_PER,0),MATCH(U235,L_KED,0)),0))</f>
        <v/>
      </c>
      <c r="W235" s="17">
        <f>IF(OR(B235="",E235="",COUNTA(F235,H235,J235:M235,O235,Q235:R235,T235:U235)=0),"",SUM(G235,I235,N235,P235,S235,V235))</f>
        <v/>
      </c>
      <c r="X235" s="18">
        <f>IF(W235="","",IF(Murid!F235="TL","TL",ROUND(W235/110*100,2)))</f>
        <v/>
      </c>
    </row>
    <row r="236">
      <c r="A236" s="15">
        <f>Murid!A236</f>
        <v/>
      </c>
      <c r="B236" s="15">
        <f>IF(Murid!B236="","",Murid!B236)</f>
        <v/>
      </c>
      <c r="C236" s="16">
        <f>IF(Murid!C236="","",Murid!C236)</f>
        <v/>
      </c>
      <c r="D236" s="15">
        <f>IF(Murid!E236="","",Murid!E236)</f>
        <v/>
      </c>
      <c r="E236" s="11" t="n"/>
      <c r="F236" s="11" t="n"/>
      <c r="G236" s="10">
        <f>IF(F236="","",IFERROR(VLOOKUP(F236,T_JKP,2,FALSE),0))</f>
        <v/>
      </c>
      <c r="H236" s="11" t="n"/>
      <c r="I236" s="17">
        <f>IF(H236="","",IF(H236&gt;=12,40,ROUND(H236*3.33,2)))</f>
        <v/>
      </c>
      <c r="J236" s="11" t="n"/>
      <c r="K236" s="11" t="n"/>
      <c r="L236" s="11" t="n"/>
      <c r="M236" s="11" t="n"/>
      <c r="N236" s="10">
        <f>IF(COUNTA(J236:M236)=0,"",MIN(10,SUMPRODUCT((COUNTIF(J236:M236,L_KOM)&gt;0)*S_KOM)))</f>
        <v/>
      </c>
      <c r="O236" s="11" t="n"/>
      <c r="P236" s="10">
        <f>IF(O236="","",IFERROR(VLOOKUP(O236,T_KHID,2,FALSE),0))</f>
        <v/>
      </c>
      <c r="Q236" s="11" t="n"/>
      <c r="R236" s="11" t="n"/>
      <c r="S236" s="10">
        <f>IF(AND(Q236="",R236=""),"",IFERROR(INDEX(T_LIBAT,MATCH(Q236,L_PER,0),MATCH(R236,L_JENIS,0)),0))</f>
        <v/>
      </c>
      <c r="T236" s="11" t="n"/>
      <c r="U236" s="11" t="n"/>
      <c r="V236" s="10">
        <f>IF(AND(T236="",U236=""),"",IFERROR(INDEX(T_CAPAI,MATCH(T236,L_PER,0),MATCH(U236,L_KED,0)),0))</f>
        <v/>
      </c>
      <c r="W236" s="17">
        <f>IF(OR(B236="",E236="",COUNTA(F236,H236,J236:M236,O236,Q236:R236,T236:U236)=0),"",SUM(G236,I236,N236,P236,S236,V236))</f>
        <v/>
      </c>
      <c r="X236" s="18">
        <f>IF(W236="","",IF(Murid!F236="TL","TL",ROUND(W236/110*100,2)))</f>
        <v/>
      </c>
    </row>
    <row r="237">
      <c r="A237" s="15">
        <f>Murid!A237</f>
        <v/>
      </c>
      <c r="B237" s="15">
        <f>IF(Murid!B237="","",Murid!B237)</f>
        <v/>
      </c>
      <c r="C237" s="16">
        <f>IF(Murid!C237="","",Murid!C237)</f>
        <v/>
      </c>
      <c r="D237" s="15">
        <f>IF(Murid!E237="","",Murid!E237)</f>
        <v/>
      </c>
      <c r="E237" s="11" t="n"/>
      <c r="F237" s="11" t="n"/>
      <c r="G237" s="10">
        <f>IF(F237="","",IFERROR(VLOOKUP(F237,T_JKP,2,FALSE),0))</f>
        <v/>
      </c>
      <c r="H237" s="11" t="n"/>
      <c r="I237" s="17">
        <f>IF(H237="","",IF(H237&gt;=12,40,ROUND(H237*3.33,2)))</f>
        <v/>
      </c>
      <c r="J237" s="11" t="n"/>
      <c r="K237" s="11" t="n"/>
      <c r="L237" s="11" t="n"/>
      <c r="M237" s="11" t="n"/>
      <c r="N237" s="10">
        <f>IF(COUNTA(J237:M237)=0,"",MIN(10,SUMPRODUCT((COUNTIF(J237:M237,L_KOM)&gt;0)*S_KOM)))</f>
        <v/>
      </c>
      <c r="O237" s="11" t="n"/>
      <c r="P237" s="10">
        <f>IF(O237="","",IFERROR(VLOOKUP(O237,T_KHID,2,FALSE),0))</f>
        <v/>
      </c>
      <c r="Q237" s="11" t="n"/>
      <c r="R237" s="11" t="n"/>
      <c r="S237" s="10">
        <f>IF(AND(Q237="",R237=""),"",IFERROR(INDEX(T_LIBAT,MATCH(Q237,L_PER,0),MATCH(R237,L_JENIS,0)),0))</f>
        <v/>
      </c>
      <c r="T237" s="11" t="n"/>
      <c r="U237" s="11" t="n"/>
      <c r="V237" s="10">
        <f>IF(AND(T237="",U237=""),"",IFERROR(INDEX(T_CAPAI,MATCH(T237,L_PER,0),MATCH(U237,L_KED,0)),0))</f>
        <v/>
      </c>
      <c r="W237" s="17">
        <f>IF(OR(B237="",E237="",COUNTA(F237,H237,J237:M237,O237,Q237:R237,T237:U237)=0),"",SUM(G237,I237,N237,P237,S237,V237))</f>
        <v/>
      </c>
      <c r="X237" s="18">
        <f>IF(W237="","",IF(Murid!F237="TL","TL",ROUND(W237/110*100,2)))</f>
        <v/>
      </c>
    </row>
    <row r="238">
      <c r="A238" s="15">
        <f>Murid!A238</f>
        <v/>
      </c>
      <c r="B238" s="15">
        <f>IF(Murid!B238="","",Murid!B238)</f>
        <v/>
      </c>
      <c r="C238" s="16">
        <f>IF(Murid!C238="","",Murid!C238)</f>
        <v/>
      </c>
      <c r="D238" s="15">
        <f>IF(Murid!E238="","",Murid!E238)</f>
        <v/>
      </c>
      <c r="E238" s="11" t="n"/>
      <c r="F238" s="11" t="n"/>
      <c r="G238" s="10">
        <f>IF(F238="","",IFERROR(VLOOKUP(F238,T_JKP,2,FALSE),0))</f>
        <v/>
      </c>
      <c r="H238" s="11" t="n"/>
      <c r="I238" s="17">
        <f>IF(H238="","",IF(H238&gt;=12,40,ROUND(H238*3.33,2)))</f>
        <v/>
      </c>
      <c r="J238" s="11" t="n"/>
      <c r="K238" s="11" t="n"/>
      <c r="L238" s="11" t="n"/>
      <c r="M238" s="11" t="n"/>
      <c r="N238" s="10">
        <f>IF(COUNTA(J238:M238)=0,"",MIN(10,SUMPRODUCT((COUNTIF(J238:M238,L_KOM)&gt;0)*S_KOM)))</f>
        <v/>
      </c>
      <c r="O238" s="11" t="n"/>
      <c r="P238" s="10">
        <f>IF(O238="","",IFERROR(VLOOKUP(O238,T_KHID,2,FALSE),0))</f>
        <v/>
      </c>
      <c r="Q238" s="11" t="n"/>
      <c r="R238" s="11" t="n"/>
      <c r="S238" s="10">
        <f>IF(AND(Q238="",R238=""),"",IFERROR(INDEX(T_LIBAT,MATCH(Q238,L_PER,0),MATCH(R238,L_JENIS,0)),0))</f>
        <v/>
      </c>
      <c r="T238" s="11" t="n"/>
      <c r="U238" s="11" t="n"/>
      <c r="V238" s="10">
        <f>IF(AND(T238="",U238=""),"",IFERROR(INDEX(T_CAPAI,MATCH(T238,L_PER,0),MATCH(U238,L_KED,0)),0))</f>
        <v/>
      </c>
      <c r="W238" s="17">
        <f>IF(OR(B238="",E238="",COUNTA(F238,H238,J238:M238,O238,Q238:R238,T238:U238)=0),"",SUM(G238,I238,N238,P238,S238,V238))</f>
        <v/>
      </c>
      <c r="X238" s="18">
        <f>IF(W238="","",IF(Murid!F238="TL","TL",ROUND(W238/110*100,2)))</f>
        <v/>
      </c>
    </row>
    <row r="239">
      <c r="A239" s="15">
        <f>Murid!A239</f>
        <v/>
      </c>
      <c r="B239" s="15">
        <f>IF(Murid!B239="","",Murid!B239)</f>
        <v/>
      </c>
      <c r="C239" s="16">
        <f>IF(Murid!C239="","",Murid!C239)</f>
        <v/>
      </c>
      <c r="D239" s="15">
        <f>IF(Murid!E239="","",Murid!E239)</f>
        <v/>
      </c>
      <c r="E239" s="11" t="n"/>
      <c r="F239" s="11" t="n"/>
      <c r="G239" s="10">
        <f>IF(F239="","",IFERROR(VLOOKUP(F239,T_JKP,2,FALSE),0))</f>
        <v/>
      </c>
      <c r="H239" s="11" t="n"/>
      <c r="I239" s="17">
        <f>IF(H239="","",IF(H239&gt;=12,40,ROUND(H239*3.33,2)))</f>
        <v/>
      </c>
      <c r="J239" s="11" t="n"/>
      <c r="K239" s="11" t="n"/>
      <c r="L239" s="11" t="n"/>
      <c r="M239" s="11" t="n"/>
      <c r="N239" s="10">
        <f>IF(COUNTA(J239:M239)=0,"",MIN(10,SUMPRODUCT((COUNTIF(J239:M239,L_KOM)&gt;0)*S_KOM)))</f>
        <v/>
      </c>
      <c r="O239" s="11" t="n"/>
      <c r="P239" s="10">
        <f>IF(O239="","",IFERROR(VLOOKUP(O239,T_KHID,2,FALSE),0))</f>
        <v/>
      </c>
      <c r="Q239" s="11" t="n"/>
      <c r="R239" s="11" t="n"/>
      <c r="S239" s="10">
        <f>IF(AND(Q239="",R239=""),"",IFERROR(INDEX(T_LIBAT,MATCH(Q239,L_PER,0),MATCH(R239,L_JENIS,0)),0))</f>
        <v/>
      </c>
      <c r="T239" s="11" t="n"/>
      <c r="U239" s="11" t="n"/>
      <c r="V239" s="10">
        <f>IF(AND(T239="",U239=""),"",IFERROR(INDEX(T_CAPAI,MATCH(T239,L_PER,0),MATCH(U239,L_KED,0)),0))</f>
        <v/>
      </c>
      <c r="W239" s="17">
        <f>IF(OR(B239="",E239="",COUNTA(F239,H239,J239:M239,O239,Q239:R239,T239:U239)=0),"",SUM(G239,I239,N239,P239,S239,V239))</f>
        <v/>
      </c>
      <c r="X239" s="18">
        <f>IF(W239="","",IF(Murid!F239="TL","TL",ROUND(W239/110*100,2)))</f>
        <v/>
      </c>
    </row>
    <row r="240">
      <c r="A240" s="15">
        <f>Murid!A240</f>
        <v/>
      </c>
      <c r="B240" s="15">
        <f>IF(Murid!B240="","",Murid!B240)</f>
        <v/>
      </c>
      <c r="C240" s="16">
        <f>IF(Murid!C240="","",Murid!C240)</f>
        <v/>
      </c>
      <c r="D240" s="15">
        <f>IF(Murid!E240="","",Murid!E240)</f>
        <v/>
      </c>
      <c r="E240" s="11" t="n"/>
      <c r="F240" s="11" t="n"/>
      <c r="G240" s="10">
        <f>IF(F240="","",IFERROR(VLOOKUP(F240,T_JKP,2,FALSE),0))</f>
        <v/>
      </c>
      <c r="H240" s="11" t="n"/>
      <c r="I240" s="17">
        <f>IF(H240="","",IF(H240&gt;=12,40,ROUND(H240*3.33,2)))</f>
        <v/>
      </c>
      <c r="J240" s="11" t="n"/>
      <c r="K240" s="11" t="n"/>
      <c r="L240" s="11" t="n"/>
      <c r="M240" s="11" t="n"/>
      <c r="N240" s="10">
        <f>IF(COUNTA(J240:M240)=0,"",MIN(10,SUMPRODUCT((COUNTIF(J240:M240,L_KOM)&gt;0)*S_KOM)))</f>
        <v/>
      </c>
      <c r="O240" s="11" t="n"/>
      <c r="P240" s="10">
        <f>IF(O240="","",IFERROR(VLOOKUP(O240,T_KHID,2,FALSE),0))</f>
        <v/>
      </c>
      <c r="Q240" s="11" t="n"/>
      <c r="R240" s="11" t="n"/>
      <c r="S240" s="10">
        <f>IF(AND(Q240="",R240=""),"",IFERROR(INDEX(T_LIBAT,MATCH(Q240,L_PER,0),MATCH(R240,L_JENIS,0)),0))</f>
        <v/>
      </c>
      <c r="T240" s="11" t="n"/>
      <c r="U240" s="11" t="n"/>
      <c r="V240" s="10">
        <f>IF(AND(T240="",U240=""),"",IFERROR(INDEX(T_CAPAI,MATCH(T240,L_PER,0),MATCH(U240,L_KED,0)),0))</f>
        <v/>
      </c>
      <c r="W240" s="17">
        <f>IF(OR(B240="",E240="",COUNTA(F240,H240,J240:M240,O240,Q240:R240,T240:U240)=0),"",SUM(G240,I240,N240,P240,S240,V240))</f>
        <v/>
      </c>
      <c r="X240" s="18">
        <f>IF(W240="","",IF(Murid!F240="TL","TL",ROUND(W240/110*100,2)))</f>
        <v/>
      </c>
    </row>
    <row r="241">
      <c r="A241" s="15">
        <f>Murid!A241</f>
        <v/>
      </c>
      <c r="B241" s="15">
        <f>IF(Murid!B241="","",Murid!B241)</f>
        <v/>
      </c>
      <c r="C241" s="16">
        <f>IF(Murid!C241="","",Murid!C241)</f>
        <v/>
      </c>
      <c r="D241" s="15">
        <f>IF(Murid!E241="","",Murid!E241)</f>
        <v/>
      </c>
      <c r="E241" s="11" t="n"/>
      <c r="F241" s="11" t="n"/>
      <c r="G241" s="10">
        <f>IF(F241="","",IFERROR(VLOOKUP(F241,T_JKP,2,FALSE),0))</f>
        <v/>
      </c>
      <c r="H241" s="11" t="n"/>
      <c r="I241" s="17">
        <f>IF(H241="","",IF(H241&gt;=12,40,ROUND(H241*3.33,2)))</f>
        <v/>
      </c>
      <c r="J241" s="11" t="n"/>
      <c r="K241" s="11" t="n"/>
      <c r="L241" s="11" t="n"/>
      <c r="M241" s="11" t="n"/>
      <c r="N241" s="10">
        <f>IF(COUNTA(J241:M241)=0,"",MIN(10,SUMPRODUCT((COUNTIF(J241:M241,L_KOM)&gt;0)*S_KOM)))</f>
        <v/>
      </c>
      <c r="O241" s="11" t="n"/>
      <c r="P241" s="10">
        <f>IF(O241="","",IFERROR(VLOOKUP(O241,T_KHID,2,FALSE),0))</f>
        <v/>
      </c>
      <c r="Q241" s="11" t="n"/>
      <c r="R241" s="11" t="n"/>
      <c r="S241" s="10">
        <f>IF(AND(Q241="",R241=""),"",IFERROR(INDEX(T_LIBAT,MATCH(Q241,L_PER,0),MATCH(R241,L_JENIS,0)),0))</f>
        <v/>
      </c>
      <c r="T241" s="11" t="n"/>
      <c r="U241" s="11" t="n"/>
      <c r="V241" s="10">
        <f>IF(AND(T241="",U241=""),"",IFERROR(INDEX(T_CAPAI,MATCH(T241,L_PER,0),MATCH(U241,L_KED,0)),0))</f>
        <v/>
      </c>
      <c r="W241" s="17">
        <f>IF(OR(B241="",E241="",COUNTA(F241,H241,J241:M241,O241,Q241:R241,T241:U241)=0),"",SUM(G241,I241,N241,P241,S241,V241))</f>
        <v/>
      </c>
      <c r="X241" s="18">
        <f>IF(W241="","",IF(Murid!F241="TL","TL",ROUND(W241/110*100,2)))</f>
        <v/>
      </c>
    </row>
    <row r="242">
      <c r="A242" s="15">
        <f>Murid!A242</f>
        <v/>
      </c>
      <c r="B242" s="15">
        <f>IF(Murid!B242="","",Murid!B242)</f>
        <v/>
      </c>
      <c r="C242" s="16">
        <f>IF(Murid!C242="","",Murid!C242)</f>
        <v/>
      </c>
      <c r="D242" s="15">
        <f>IF(Murid!E242="","",Murid!E242)</f>
        <v/>
      </c>
      <c r="E242" s="11" t="n"/>
      <c r="F242" s="11" t="n"/>
      <c r="G242" s="10">
        <f>IF(F242="","",IFERROR(VLOOKUP(F242,T_JKP,2,FALSE),0))</f>
        <v/>
      </c>
      <c r="H242" s="11" t="n"/>
      <c r="I242" s="17">
        <f>IF(H242="","",IF(H242&gt;=12,40,ROUND(H242*3.33,2)))</f>
        <v/>
      </c>
      <c r="J242" s="11" t="n"/>
      <c r="K242" s="11" t="n"/>
      <c r="L242" s="11" t="n"/>
      <c r="M242" s="11" t="n"/>
      <c r="N242" s="10">
        <f>IF(COUNTA(J242:M242)=0,"",MIN(10,SUMPRODUCT((COUNTIF(J242:M242,L_KOM)&gt;0)*S_KOM)))</f>
        <v/>
      </c>
      <c r="O242" s="11" t="n"/>
      <c r="P242" s="10">
        <f>IF(O242="","",IFERROR(VLOOKUP(O242,T_KHID,2,FALSE),0))</f>
        <v/>
      </c>
      <c r="Q242" s="11" t="n"/>
      <c r="R242" s="11" t="n"/>
      <c r="S242" s="10">
        <f>IF(AND(Q242="",R242=""),"",IFERROR(INDEX(T_LIBAT,MATCH(Q242,L_PER,0),MATCH(R242,L_JENIS,0)),0))</f>
        <v/>
      </c>
      <c r="T242" s="11" t="n"/>
      <c r="U242" s="11" t="n"/>
      <c r="V242" s="10">
        <f>IF(AND(T242="",U242=""),"",IFERROR(INDEX(T_CAPAI,MATCH(T242,L_PER,0),MATCH(U242,L_KED,0)),0))</f>
        <v/>
      </c>
      <c r="W242" s="17">
        <f>IF(OR(B242="",E242="",COUNTA(F242,H242,J242:M242,O242,Q242:R242,T242:U242)=0),"",SUM(G242,I242,N242,P242,S242,V242))</f>
        <v/>
      </c>
      <c r="X242" s="18">
        <f>IF(W242="","",IF(Murid!F242="TL","TL",ROUND(W242/110*100,2)))</f>
        <v/>
      </c>
    </row>
    <row r="243">
      <c r="A243" s="15">
        <f>Murid!A243</f>
        <v/>
      </c>
      <c r="B243" s="15">
        <f>IF(Murid!B243="","",Murid!B243)</f>
        <v/>
      </c>
      <c r="C243" s="16">
        <f>IF(Murid!C243="","",Murid!C243)</f>
        <v/>
      </c>
      <c r="D243" s="15">
        <f>IF(Murid!E243="","",Murid!E243)</f>
        <v/>
      </c>
      <c r="E243" s="11" t="n"/>
      <c r="F243" s="11" t="n"/>
      <c r="G243" s="10">
        <f>IF(F243="","",IFERROR(VLOOKUP(F243,T_JKP,2,FALSE),0))</f>
        <v/>
      </c>
      <c r="H243" s="11" t="n"/>
      <c r="I243" s="17">
        <f>IF(H243="","",IF(H243&gt;=12,40,ROUND(H243*3.33,2)))</f>
        <v/>
      </c>
      <c r="J243" s="11" t="n"/>
      <c r="K243" s="11" t="n"/>
      <c r="L243" s="11" t="n"/>
      <c r="M243" s="11" t="n"/>
      <c r="N243" s="10">
        <f>IF(COUNTA(J243:M243)=0,"",MIN(10,SUMPRODUCT((COUNTIF(J243:M243,L_KOM)&gt;0)*S_KOM)))</f>
        <v/>
      </c>
      <c r="O243" s="11" t="n"/>
      <c r="P243" s="10">
        <f>IF(O243="","",IFERROR(VLOOKUP(O243,T_KHID,2,FALSE),0))</f>
        <v/>
      </c>
      <c r="Q243" s="11" t="n"/>
      <c r="R243" s="11" t="n"/>
      <c r="S243" s="10">
        <f>IF(AND(Q243="",R243=""),"",IFERROR(INDEX(T_LIBAT,MATCH(Q243,L_PER,0),MATCH(R243,L_JENIS,0)),0))</f>
        <v/>
      </c>
      <c r="T243" s="11" t="n"/>
      <c r="U243" s="11" t="n"/>
      <c r="V243" s="10">
        <f>IF(AND(T243="",U243=""),"",IFERROR(INDEX(T_CAPAI,MATCH(T243,L_PER,0),MATCH(U243,L_KED,0)),0))</f>
        <v/>
      </c>
      <c r="W243" s="17">
        <f>IF(OR(B243="",E243="",COUNTA(F243,H243,J243:M243,O243,Q243:R243,T243:U243)=0),"",SUM(G243,I243,N243,P243,S243,V243))</f>
        <v/>
      </c>
      <c r="X243" s="18">
        <f>IF(W243="","",IF(Murid!F243="TL","TL",ROUND(W243/110*100,2)))</f>
        <v/>
      </c>
    </row>
    <row r="244">
      <c r="A244" s="15">
        <f>Murid!A244</f>
        <v/>
      </c>
      <c r="B244" s="15">
        <f>IF(Murid!B244="","",Murid!B244)</f>
        <v/>
      </c>
      <c r="C244" s="16">
        <f>IF(Murid!C244="","",Murid!C244)</f>
        <v/>
      </c>
      <c r="D244" s="15">
        <f>IF(Murid!E244="","",Murid!E244)</f>
        <v/>
      </c>
      <c r="E244" s="11" t="n"/>
      <c r="F244" s="11" t="n"/>
      <c r="G244" s="10">
        <f>IF(F244="","",IFERROR(VLOOKUP(F244,T_JKP,2,FALSE),0))</f>
        <v/>
      </c>
      <c r="H244" s="11" t="n"/>
      <c r="I244" s="17">
        <f>IF(H244="","",IF(H244&gt;=12,40,ROUND(H244*3.33,2)))</f>
        <v/>
      </c>
      <c r="J244" s="11" t="n"/>
      <c r="K244" s="11" t="n"/>
      <c r="L244" s="11" t="n"/>
      <c r="M244" s="11" t="n"/>
      <c r="N244" s="10">
        <f>IF(COUNTA(J244:M244)=0,"",MIN(10,SUMPRODUCT((COUNTIF(J244:M244,L_KOM)&gt;0)*S_KOM)))</f>
        <v/>
      </c>
      <c r="O244" s="11" t="n"/>
      <c r="P244" s="10">
        <f>IF(O244="","",IFERROR(VLOOKUP(O244,T_KHID,2,FALSE),0))</f>
        <v/>
      </c>
      <c r="Q244" s="11" t="n"/>
      <c r="R244" s="11" t="n"/>
      <c r="S244" s="10">
        <f>IF(AND(Q244="",R244=""),"",IFERROR(INDEX(T_LIBAT,MATCH(Q244,L_PER,0),MATCH(R244,L_JENIS,0)),0))</f>
        <v/>
      </c>
      <c r="T244" s="11" t="n"/>
      <c r="U244" s="11" t="n"/>
      <c r="V244" s="10">
        <f>IF(AND(T244="",U244=""),"",IFERROR(INDEX(T_CAPAI,MATCH(T244,L_PER,0),MATCH(U244,L_KED,0)),0))</f>
        <v/>
      </c>
      <c r="W244" s="17">
        <f>IF(OR(B244="",E244="",COUNTA(F244,H244,J244:M244,O244,Q244:R244,T244:U244)=0),"",SUM(G244,I244,N244,P244,S244,V244))</f>
        <v/>
      </c>
      <c r="X244" s="18">
        <f>IF(W244="","",IF(Murid!F244="TL","TL",ROUND(W244/110*100,2)))</f>
        <v/>
      </c>
    </row>
    <row r="245">
      <c r="A245" s="15">
        <f>Murid!A245</f>
        <v/>
      </c>
      <c r="B245" s="15">
        <f>IF(Murid!B245="","",Murid!B245)</f>
        <v/>
      </c>
      <c r="C245" s="16">
        <f>IF(Murid!C245="","",Murid!C245)</f>
        <v/>
      </c>
      <c r="D245" s="15">
        <f>IF(Murid!E245="","",Murid!E245)</f>
        <v/>
      </c>
      <c r="E245" s="11" t="n"/>
      <c r="F245" s="11" t="n"/>
      <c r="G245" s="10">
        <f>IF(F245="","",IFERROR(VLOOKUP(F245,T_JKP,2,FALSE),0))</f>
        <v/>
      </c>
      <c r="H245" s="11" t="n"/>
      <c r="I245" s="17">
        <f>IF(H245="","",IF(H245&gt;=12,40,ROUND(H245*3.33,2)))</f>
        <v/>
      </c>
      <c r="J245" s="11" t="n"/>
      <c r="K245" s="11" t="n"/>
      <c r="L245" s="11" t="n"/>
      <c r="M245" s="11" t="n"/>
      <c r="N245" s="10">
        <f>IF(COUNTA(J245:M245)=0,"",MIN(10,SUMPRODUCT((COUNTIF(J245:M245,L_KOM)&gt;0)*S_KOM)))</f>
        <v/>
      </c>
      <c r="O245" s="11" t="n"/>
      <c r="P245" s="10">
        <f>IF(O245="","",IFERROR(VLOOKUP(O245,T_KHID,2,FALSE),0))</f>
        <v/>
      </c>
      <c r="Q245" s="11" t="n"/>
      <c r="R245" s="11" t="n"/>
      <c r="S245" s="10">
        <f>IF(AND(Q245="",R245=""),"",IFERROR(INDEX(T_LIBAT,MATCH(Q245,L_PER,0),MATCH(R245,L_JENIS,0)),0))</f>
        <v/>
      </c>
      <c r="T245" s="11" t="n"/>
      <c r="U245" s="11" t="n"/>
      <c r="V245" s="10">
        <f>IF(AND(T245="",U245=""),"",IFERROR(INDEX(T_CAPAI,MATCH(T245,L_PER,0),MATCH(U245,L_KED,0)),0))</f>
        <v/>
      </c>
      <c r="W245" s="17">
        <f>IF(OR(B245="",E245="",COUNTA(F245,H245,J245:M245,O245,Q245:R245,T245:U245)=0),"",SUM(G245,I245,N245,P245,S245,V245))</f>
        <v/>
      </c>
      <c r="X245" s="18">
        <f>IF(W245="","",IF(Murid!F245="TL","TL",ROUND(W245/110*100,2)))</f>
        <v/>
      </c>
    </row>
    <row r="246">
      <c r="A246" s="15">
        <f>Murid!A246</f>
        <v/>
      </c>
      <c r="B246" s="15">
        <f>IF(Murid!B246="","",Murid!B246)</f>
        <v/>
      </c>
      <c r="C246" s="16">
        <f>IF(Murid!C246="","",Murid!C246)</f>
        <v/>
      </c>
      <c r="D246" s="15">
        <f>IF(Murid!E246="","",Murid!E246)</f>
        <v/>
      </c>
      <c r="E246" s="11" t="n"/>
      <c r="F246" s="11" t="n"/>
      <c r="G246" s="10">
        <f>IF(F246="","",IFERROR(VLOOKUP(F246,T_JKP,2,FALSE),0))</f>
        <v/>
      </c>
      <c r="H246" s="11" t="n"/>
      <c r="I246" s="17">
        <f>IF(H246="","",IF(H246&gt;=12,40,ROUND(H246*3.33,2)))</f>
        <v/>
      </c>
      <c r="J246" s="11" t="n"/>
      <c r="K246" s="11" t="n"/>
      <c r="L246" s="11" t="n"/>
      <c r="M246" s="11" t="n"/>
      <c r="N246" s="10">
        <f>IF(COUNTA(J246:M246)=0,"",MIN(10,SUMPRODUCT((COUNTIF(J246:M246,L_KOM)&gt;0)*S_KOM)))</f>
        <v/>
      </c>
      <c r="O246" s="11" t="n"/>
      <c r="P246" s="10">
        <f>IF(O246="","",IFERROR(VLOOKUP(O246,T_KHID,2,FALSE),0))</f>
        <v/>
      </c>
      <c r="Q246" s="11" t="n"/>
      <c r="R246" s="11" t="n"/>
      <c r="S246" s="10">
        <f>IF(AND(Q246="",R246=""),"",IFERROR(INDEX(T_LIBAT,MATCH(Q246,L_PER,0),MATCH(R246,L_JENIS,0)),0))</f>
        <v/>
      </c>
      <c r="T246" s="11" t="n"/>
      <c r="U246" s="11" t="n"/>
      <c r="V246" s="10">
        <f>IF(AND(T246="",U246=""),"",IFERROR(INDEX(T_CAPAI,MATCH(T246,L_PER,0),MATCH(U246,L_KED,0)),0))</f>
        <v/>
      </c>
      <c r="W246" s="17">
        <f>IF(OR(B246="",E246="",COUNTA(F246,H246,J246:M246,O246,Q246:R246,T246:U246)=0),"",SUM(G246,I246,N246,P246,S246,V246))</f>
        <v/>
      </c>
      <c r="X246" s="18">
        <f>IF(W246="","",IF(Murid!F246="TL","TL",ROUND(W246/110*100,2)))</f>
        <v/>
      </c>
    </row>
    <row r="247">
      <c r="A247" s="15">
        <f>Murid!A247</f>
        <v/>
      </c>
      <c r="B247" s="15">
        <f>IF(Murid!B247="","",Murid!B247)</f>
        <v/>
      </c>
      <c r="C247" s="16">
        <f>IF(Murid!C247="","",Murid!C247)</f>
        <v/>
      </c>
      <c r="D247" s="15">
        <f>IF(Murid!E247="","",Murid!E247)</f>
        <v/>
      </c>
      <c r="E247" s="11" t="n"/>
      <c r="F247" s="11" t="n"/>
      <c r="G247" s="10">
        <f>IF(F247="","",IFERROR(VLOOKUP(F247,T_JKP,2,FALSE),0))</f>
        <v/>
      </c>
      <c r="H247" s="11" t="n"/>
      <c r="I247" s="17">
        <f>IF(H247="","",IF(H247&gt;=12,40,ROUND(H247*3.33,2)))</f>
        <v/>
      </c>
      <c r="J247" s="11" t="n"/>
      <c r="K247" s="11" t="n"/>
      <c r="L247" s="11" t="n"/>
      <c r="M247" s="11" t="n"/>
      <c r="N247" s="10">
        <f>IF(COUNTA(J247:M247)=0,"",MIN(10,SUMPRODUCT((COUNTIF(J247:M247,L_KOM)&gt;0)*S_KOM)))</f>
        <v/>
      </c>
      <c r="O247" s="11" t="n"/>
      <c r="P247" s="10">
        <f>IF(O247="","",IFERROR(VLOOKUP(O247,T_KHID,2,FALSE),0))</f>
        <v/>
      </c>
      <c r="Q247" s="11" t="n"/>
      <c r="R247" s="11" t="n"/>
      <c r="S247" s="10">
        <f>IF(AND(Q247="",R247=""),"",IFERROR(INDEX(T_LIBAT,MATCH(Q247,L_PER,0),MATCH(R247,L_JENIS,0)),0))</f>
        <v/>
      </c>
      <c r="T247" s="11" t="n"/>
      <c r="U247" s="11" t="n"/>
      <c r="V247" s="10">
        <f>IF(AND(T247="",U247=""),"",IFERROR(INDEX(T_CAPAI,MATCH(T247,L_PER,0),MATCH(U247,L_KED,0)),0))</f>
        <v/>
      </c>
      <c r="W247" s="17">
        <f>IF(OR(B247="",E247="",COUNTA(F247,H247,J247:M247,O247,Q247:R247,T247:U247)=0),"",SUM(G247,I247,N247,P247,S247,V247))</f>
        <v/>
      </c>
      <c r="X247" s="18">
        <f>IF(W247="","",IF(Murid!F247="TL","TL",ROUND(W247/110*100,2)))</f>
        <v/>
      </c>
    </row>
    <row r="248">
      <c r="A248" s="15">
        <f>Murid!A248</f>
        <v/>
      </c>
      <c r="B248" s="15">
        <f>IF(Murid!B248="","",Murid!B248)</f>
        <v/>
      </c>
      <c r="C248" s="16">
        <f>IF(Murid!C248="","",Murid!C248)</f>
        <v/>
      </c>
      <c r="D248" s="15">
        <f>IF(Murid!E248="","",Murid!E248)</f>
        <v/>
      </c>
      <c r="E248" s="11" t="n"/>
      <c r="F248" s="11" t="n"/>
      <c r="G248" s="10">
        <f>IF(F248="","",IFERROR(VLOOKUP(F248,T_JKP,2,FALSE),0))</f>
        <v/>
      </c>
      <c r="H248" s="11" t="n"/>
      <c r="I248" s="17">
        <f>IF(H248="","",IF(H248&gt;=12,40,ROUND(H248*3.33,2)))</f>
        <v/>
      </c>
      <c r="J248" s="11" t="n"/>
      <c r="K248" s="11" t="n"/>
      <c r="L248" s="11" t="n"/>
      <c r="M248" s="11" t="n"/>
      <c r="N248" s="10">
        <f>IF(COUNTA(J248:M248)=0,"",MIN(10,SUMPRODUCT((COUNTIF(J248:M248,L_KOM)&gt;0)*S_KOM)))</f>
        <v/>
      </c>
      <c r="O248" s="11" t="n"/>
      <c r="P248" s="10">
        <f>IF(O248="","",IFERROR(VLOOKUP(O248,T_KHID,2,FALSE),0))</f>
        <v/>
      </c>
      <c r="Q248" s="11" t="n"/>
      <c r="R248" s="11" t="n"/>
      <c r="S248" s="10">
        <f>IF(AND(Q248="",R248=""),"",IFERROR(INDEX(T_LIBAT,MATCH(Q248,L_PER,0),MATCH(R248,L_JENIS,0)),0))</f>
        <v/>
      </c>
      <c r="T248" s="11" t="n"/>
      <c r="U248" s="11" t="n"/>
      <c r="V248" s="10">
        <f>IF(AND(T248="",U248=""),"",IFERROR(INDEX(T_CAPAI,MATCH(T248,L_PER,0),MATCH(U248,L_KED,0)),0))</f>
        <v/>
      </c>
      <c r="W248" s="17">
        <f>IF(OR(B248="",E248="",COUNTA(F248,H248,J248:M248,O248,Q248:R248,T248:U248)=0),"",SUM(G248,I248,N248,P248,S248,V248))</f>
        <v/>
      </c>
      <c r="X248" s="18">
        <f>IF(W248="","",IF(Murid!F248="TL","TL",ROUND(W248/110*100,2)))</f>
        <v/>
      </c>
    </row>
    <row r="249">
      <c r="A249" s="15">
        <f>Murid!A249</f>
        <v/>
      </c>
      <c r="B249" s="15">
        <f>IF(Murid!B249="","",Murid!B249)</f>
        <v/>
      </c>
      <c r="C249" s="16">
        <f>IF(Murid!C249="","",Murid!C249)</f>
        <v/>
      </c>
      <c r="D249" s="15">
        <f>IF(Murid!E249="","",Murid!E249)</f>
        <v/>
      </c>
      <c r="E249" s="11" t="n"/>
      <c r="F249" s="11" t="n"/>
      <c r="G249" s="10">
        <f>IF(F249="","",IFERROR(VLOOKUP(F249,T_JKP,2,FALSE),0))</f>
        <v/>
      </c>
      <c r="H249" s="11" t="n"/>
      <c r="I249" s="17">
        <f>IF(H249="","",IF(H249&gt;=12,40,ROUND(H249*3.33,2)))</f>
        <v/>
      </c>
      <c r="J249" s="11" t="n"/>
      <c r="K249" s="11" t="n"/>
      <c r="L249" s="11" t="n"/>
      <c r="M249" s="11" t="n"/>
      <c r="N249" s="10">
        <f>IF(COUNTA(J249:M249)=0,"",MIN(10,SUMPRODUCT((COUNTIF(J249:M249,L_KOM)&gt;0)*S_KOM)))</f>
        <v/>
      </c>
      <c r="O249" s="11" t="n"/>
      <c r="P249" s="10">
        <f>IF(O249="","",IFERROR(VLOOKUP(O249,T_KHID,2,FALSE),0))</f>
        <v/>
      </c>
      <c r="Q249" s="11" t="n"/>
      <c r="R249" s="11" t="n"/>
      <c r="S249" s="10">
        <f>IF(AND(Q249="",R249=""),"",IFERROR(INDEX(T_LIBAT,MATCH(Q249,L_PER,0),MATCH(R249,L_JENIS,0)),0))</f>
        <v/>
      </c>
      <c r="T249" s="11" t="n"/>
      <c r="U249" s="11" t="n"/>
      <c r="V249" s="10">
        <f>IF(AND(T249="",U249=""),"",IFERROR(INDEX(T_CAPAI,MATCH(T249,L_PER,0),MATCH(U249,L_KED,0)),0))</f>
        <v/>
      </c>
      <c r="W249" s="17">
        <f>IF(OR(B249="",E249="",COUNTA(F249,H249,J249:M249,O249,Q249:R249,T249:U249)=0),"",SUM(G249,I249,N249,P249,S249,V249))</f>
        <v/>
      </c>
      <c r="X249" s="18">
        <f>IF(W249="","",IF(Murid!F249="TL","TL",ROUND(W249/110*100,2)))</f>
        <v/>
      </c>
    </row>
    <row r="250">
      <c r="A250" s="15">
        <f>Murid!A250</f>
        <v/>
      </c>
      <c r="B250" s="15">
        <f>IF(Murid!B250="","",Murid!B250)</f>
        <v/>
      </c>
      <c r="C250" s="16">
        <f>IF(Murid!C250="","",Murid!C250)</f>
        <v/>
      </c>
      <c r="D250" s="15">
        <f>IF(Murid!E250="","",Murid!E250)</f>
        <v/>
      </c>
      <c r="E250" s="11" t="n"/>
      <c r="F250" s="11" t="n"/>
      <c r="G250" s="10">
        <f>IF(F250="","",IFERROR(VLOOKUP(F250,T_JKP,2,FALSE),0))</f>
        <v/>
      </c>
      <c r="H250" s="11" t="n"/>
      <c r="I250" s="17">
        <f>IF(H250="","",IF(H250&gt;=12,40,ROUND(H250*3.33,2)))</f>
        <v/>
      </c>
      <c r="J250" s="11" t="n"/>
      <c r="K250" s="11" t="n"/>
      <c r="L250" s="11" t="n"/>
      <c r="M250" s="11" t="n"/>
      <c r="N250" s="10">
        <f>IF(COUNTA(J250:M250)=0,"",MIN(10,SUMPRODUCT((COUNTIF(J250:M250,L_KOM)&gt;0)*S_KOM)))</f>
        <v/>
      </c>
      <c r="O250" s="11" t="n"/>
      <c r="P250" s="10">
        <f>IF(O250="","",IFERROR(VLOOKUP(O250,T_KHID,2,FALSE),0))</f>
        <v/>
      </c>
      <c r="Q250" s="11" t="n"/>
      <c r="R250" s="11" t="n"/>
      <c r="S250" s="10">
        <f>IF(AND(Q250="",R250=""),"",IFERROR(INDEX(T_LIBAT,MATCH(Q250,L_PER,0),MATCH(R250,L_JENIS,0)),0))</f>
        <v/>
      </c>
      <c r="T250" s="11" t="n"/>
      <c r="U250" s="11" t="n"/>
      <c r="V250" s="10">
        <f>IF(AND(T250="",U250=""),"",IFERROR(INDEX(T_CAPAI,MATCH(T250,L_PER,0),MATCH(U250,L_KED,0)),0))</f>
        <v/>
      </c>
      <c r="W250" s="17">
        <f>IF(OR(B250="",E250="",COUNTA(F250,H250,J250:M250,O250,Q250:R250,T250:U250)=0),"",SUM(G250,I250,N250,P250,S250,V250))</f>
        <v/>
      </c>
      <c r="X250" s="18">
        <f>IF(W250="","",IF(Murid!F250="TL","TL",ROUND(W250/110*100,2)))</f>
        <v/>
      </c>
    </row>
    <row r="251">
      <c r="A251" s="15">
        <f>Murid!A251</f>
        <v/>
      </c>
      <c r="B251" s="15">
        <f>IF(Murid!B251="","",Murid!B251)</f>
        <v/>
      </c>
      <c r="C251" s="16">
        <f>IF(Murid!C251="","",Murid!C251)</f>
        <v/>
      </c>
      <c r="D251" s="15">
        <f>IF(Murid!E251="","",Murid!E251)</f>
        <v/>
      </c>
      <c r="E251" s="11" t="n"/>
      <c r="F251" s="11" t="n"/>
      <c r="G251" s="10">
        <f>IF(F251="","",IFERROR(VLOOKUP(F251,T_JKP,2,FALSE),0))</f>
        <v/>
      </c>
      <c r="H251" s="11" t="n"/>
      <c r="I251" s="17">
        <f>IF(H251="","",IF(H251&gt;=12,40,ROUND(H251*3.33,2)))</f>
        <v/>
      </c>
      <c r="J251" s="11" t="n"/>
      <c r="K251" s="11" t="n"/>
      <c r="L251" s="11" t="n"/>
      <c r="M251" s="11" t="n"/>
      <c r="N251" s="10">
        <f>IF(COUNTA(J251:M251)=0,"",MIN(10,SUMPRODUCT((COUNTIF(J251:M251,L_KOM)&gt;0)*S_KOM)))</f>
        <v/>
      </c>
      <c r="O251" s="11" t="n"/>
      <c r="P251" s="10">
        <f>IF(O251="","",IFERROR(VLOOKUP(O251,T_KHID,2,FALSE),0))</f>
        <v/>
      </c>
      <c r="Q251" s="11" t="n"/>
      <c r="R251" s="11" t="n"/>
      <c r="S251" s="10">
        <f>IF(AND(Q251="",R251=""),"",IFERROR(INDEX(T_LIBAT,MATCH(Q251,L_PER,0),MATCH(R251,L_JENIS,0)),0))</f>
        <v/>
      </c>
      <c r="T251" s="11" t="n"/>
      <c r="U251" s="11" t="n"/>
      <c r="V251" s="10">
        <f>IF(AND(T251="",U251=""),"",IFERROR(INDEX(T_CAPAI,MATCH(T251,L_PER,0),MATCH(U251,L_KED,0)),0))</f>
        <v/>
      </c>
      <c r="W251" s="17">
        <f>IF(OR(B251="",E251="",COUNTA(F251,H251,J251:M251,O251,Q251:R251,T251:U251)=0),"",SUM(G251,I251,N251,P251,S251,V251))</f>
        <v/>
      </c>
      <c r="X251" s="18">
        <f>IF(W251="","",IF(Murid!F251="TL","TL",ROUND(W251/110*100,2)))</f>
        <v/>
      </c>
    </row>
    <row r="252">
      <c r="A252" s="15">
        <f>Murid!A252</f>
        <v/>
      </c>
      <c r="B252" s="15">
        <f>IF(Murid!B252="","",Murid!B252)</f>
        <v/>
      </c>
      <c r="C252" s="16">
        <f>IF(Murid!C252="","",Murid!C252)</f>
        <v/>
      </c>
      <c r="D252" s="15">
        <f>IF(Murid!E252="","",Murid!E252)</f>
        <v/>
      </c>
      <c r="E252" s="11" t="n"/>
      <c r="F252" s="11" t="n"/>
      <c r="G252" s="10">
        <f>IF(F252="","",IFERROR(VLOOKUP(F252,T_JKP,2,FALSE),0))</f>
        <v/>
      </c>
      <c r="H252" s="11" t="n"/>
      <c r="I252" s="17">
        <f>IF(H252="","",IF(H252&gt;=12,40,ROUND(H252*3.33,2)))</f>
        <v/>
      </c>
      <c r="J252" s="11" t="n"/>
      <c r="K252" s="11" t="n"/>
      <c r="L252" s="11" t="n"/>
      <c r="M252" s="11" t="n"/>
      <c r="N252" s="10">
        <f>IF(COUNTA(J252:M252)=0,"",MIN(10,SUMPRODUCT((COUNTIF(J252:M252,L_KOM)&gt;0)*S_KOM)))</f>
        <v/>
      </c>
      <c r="O252" s="11" t="n"/>
      <c r="P252" s="10">
        <f>IF(O252="","",IFERROR(VLOOKUP(O252,T_KHID,2,FALSE),0))</f>
        <v/>
      </c>
      <c r="Q252" s="11" t="n"/>
      <c r="R252" s="11" t="n"/>
      <c r="S252" s="10">
        <f>IF(AND(Q252="",R252=""),"",IFERROR(INDEX(T_LIBAT,MATCH(Q252,L_PER,0),MATCH(R252,L_JENIS,0)),0))</f>
        <v/>
      </c>
      <c r="T252" s="11" t="n"/>
      <c r="U252" s="11" t="n"/>
      <c r="V252" s="10">
        <f>IF(AND(T252="",U252=""),"",IFERROR(INDEX(T_CAPAI,MATCH(T252,L_PER,0),MATCH(U252,L_KED,0)),0))</f>
        <v/>
      </c>
      <c r="W252" s="17">
        <f>IF(OR(B252="",E252="",COUNTA(F252,H252,J252:M252,O252,Q252:R252,T252:U252)=0),"",SUM(G252,I252,N252,P252,S252,V252))</f>
        <v/>
      </c>
      <c r="X252" s="18">
        <f>IF(W252="","",IF(Murid!F252="TL","TL",ROUND(W252/110*100,2)))</f>
        <v/>
      </c>
    </row>
    <row r="253">
      <c r="A253" s="15">
        <f>Murid!A253</f>
        <v/>
      </c>
      <c r="B253" s="15">
        <f>IF(Murid!B253="","",Murid!B253)</f>
        <v/>
      </c>
      <c r="C253" s="16">
        <f>IF(Murid!C253="","",Murid!C253)</f>
        <v/>
      </c>
      <c r="D253" s="15">
        <f>IF(Murid!E253="","",Murid!E253)</f>
        <v/>
      </c>
      <c r="E253" s="11" t="n"/>
      <c r="F253" s="11" t="n"/>
      <c r="G253" s="10">
        <f>IF(F253="","",IFERROR(VLOOKUP(F253,T_JKP,2,FALSE),0))</f>
        <v/>
      </c>
      <c r="H253" s="11" t="n"/>
      <c r="I253" s="17">
        <f>IF(H253="","",IF(H253&gt;=12,40,ROUND(H253*3.33,2)))</f>
        <v/>
      </c>
      <c r="J253" s="11" t="n"/>
      <c r="K253" s="11" t="n"/>
      <c r="L253" s="11" t="n"/>
      <c r="M253" s="11" t="n"/>
      <c r="N253" s="10">
        <f>IF(COUNTA(J253:M253)=0,"",MIN(10,SUMPRODUCT((COUNTIF(J253:M253,L_KOM)&gt;0)*S_KOM)))</f>
        <v/>
      </c>
      <c r="O253" s="11" t="n"/>
      <c r="P253" s="10">
        <f>IF(O253="","",IFERROR(VLOOKUP(O253,T_KHID,2,FALSE),0))</f>
        <v/>
      </c>
      <c r="Q253" s="11" t="n"/>
      <c r="R253" s="11" t="n"/>
      <c r="S253" s="10">
        <f>IF(AND(Q253="",R253=""),"",IFERROR(INDEX(T_LIBAT,MATCH(Q253,L_PER,0),MATCH(R253,L_JENIS,0)),0))</f>
        <v/>
      </c>
      <c r="T253" s="11" t="n"/>
      <c r="U253" s="11" t="n"/>
      <c r="V253" s="10">
        <f>IF(AND(T253="",U253=""),"",IFERROR(INDEX(T_CAPAI,MATCH(T253,L_PER,0),MATCH(U253,L_KED,0)),0))</f>
        <v/>
      </c>
      <c r="W253" s="17">
        <f>IF(OR(B253="",E253="",COUNTA(F253,H253,J253:M253,O253,Q253:R253,T253:U253)=0),"",SUM(G253,I253,N253,P253,S253,V253))</f>
        <v/>
      </c>
      <c r="X253" s="18">
        <f>IF(W253="","",IF(Murid!F253="TL","TL",ROUND(W253/110*100,2)))</f>
        <v/>
      </c>
    </row>
    <row r="254">
      <c r="A254" s="15">
        <f>Murid!A254</f>
        <v/>
      </c>
      <c r="B254" s="15">
        <f>IF(Murid!B254="","",Murid!B254)</f>
        <v/>
      </c>
      <c r="C254" s="16">
        <f>IF(Murid!C254="","",Murid!C254)</f>
        <v/>
      </c>
      <c r="D254" s="15">
        <f>IF(Murid!E254="","",Murid!E254)</f>
        <v/>
      </c>
      <c r="E254" s="11" t="n"/>
      <c r="F254" s="11" t="n"/>
      <c r="G254" s="10">
        <f>IF(F254="","",IFERROR(VLOOKUP(F254,T_JKP,2,FALSE),0))</f>
        <v/>
      </c>
      <c r="H254" s="11" t="n"/>
      <c r="I254" s="17">
        <f>IF(H254="","",IF(H254&gt;=12,40,ROUND(H254*3.33,2)))</f>
        <v/>
      </c>
      <c r="J254" s="11" t="n"/>
      <c r="K254" s="11" t="n"/>
      <c r="L254" s="11" t="n"/>
      <c r="M254" s="11" t="n"/>
      <c r="N254" s="10">
        <f>IF(COUNTA(J254:M254)=0,"",MIN(10,SUMPRODUCT((COUNTIF(J254:M254,L_KOM)&gt;0)*S_KOM)))</f>
        <v/>
      </c>
      <c r="O254" s="11" t="n"/>
      <c r="P254" s="10">
        <f>IF(O254="","",IFERROR(VLOOKUP(O254,T_KHID,2,FALSE),0))</f>
        <v/>
      </c>
      <c r="Q254" s="11" t="n"/>
      <c r="R254" s="11" t="n"/>
      <c r="S254" s="10">
        <f>IF(AND(Q254="",R254=""),"",IFERROR(INDEX(T_LIBAT,MATCH(Q254,L_PER,0),MATCH(R254,L_JENIS,0)),0))</f>
        <v/>
      </c>
      <c r="T254" s="11" t="n"/>
      <c r="U254" s="11" t="n"/>
      <c r="V254" s="10">
        <f>IF(AND(T254="",U254=""),"",IFERROR(INDEX(T_CAPAI,MATCH(T254,L_PER,0),MATCH(U254,L_KED,0)),0))</f>
        <v/>
      </c>
      <c r="W254" s="17">
        <f>IF(OR(B254="",E254="",COUNTA(F254,H254,J254:M254,O254,Q254:R254,T254:U254)=0),"",SUM(G254,I254,N254,P254,S254,V254))</f>
        <v/>
      </c>
      <c r="X254" s="18">
        <f>IF(W254="","",IF(Murid!F254="TL","TL",ROUND(W254/110*100,2)))</f>
        <v/>
      </c>
    </row>
    <row r="255">
      <c r="A255" s="15">
        <f>Murid!A255</f>
        <v/>
      </c>
      <c r="B255" s="15">
        <f>IF(Murid!B255="","",Murid!B255)</f>
        <v/>
      </c>
      <c r="C255" s="16">
        <f>IF(Murid!C255="","",Murid!C255)</f>
        <v/>
      </c>
      <c r="D255" s="15">
        <f>IF(Murid!E255="","",Murid!E255)</f>
        <v/>
      </c>
      <c r="E255" s="11" t="n"/>
      <c r="F255" s="11" t="n"/>
      <c r="G255" s="10">
        <f>IF(F255="","",IFERROR(VLOOKUP(F255,T_JKP,2,FALSE),0))</f>
        <v/>
      </c>
      <c r="H255" s="11" t="n"/>
      <c r="I255" s="17">
        <f>IF(H255="","",IF(H255&gt;=12,40,ROUND(H255*3.33,2)))</f>
        <v/>
      </c>
      <c r="J255" s="11" t="n"/>
      <c r="K255" s="11" t="n"/>
      <c r="L255" s="11" t="n"/>
      <c r="M255" s="11" t="n"/>
      <c r="N255" s="10">
        <f>IF(COUNTA(J255:M255)=0,"",MIN(10,SUMPRODUCT((COUNTIF(J255:M255,L_KOM)&gt;0)*S_KOM)))</f>
        <v/>
      </c>
      <c r="O255" s="11" t="n"/>
      <c r="P255" s="10">
        <f>IF(O255="","",IFERROR(VLOOKUP(O255,T_KHID,2,FALSE),0))</f>
        <v/>
      </c>
      <c r="Q255" s="11" t="n"/>
      <c r="R255" s="11" t="n"/>
      <c r="S255" s="10">
        <f>IF(AND(Q255="",R255=""),"",IFERROR(INDEX(T_LIBAT,MATCH(Q255,L_PER,0),MATCH(R255,L_JENIS,0)),0))</f>
        <v/>
      </c>
      <c r="T255" s="11" t="n"/>
      <c r="U255" s="11" t="n"/>
      <c r="V255" s="10">
        <f>IF(AND(T255="",U255=""),"",IFERROR(INDEX(T_CAPAI,MATCH(T255,L_PER,0),MATCH(U255,L_KED,0)),0))</f>
        <v/>
      </c>
      <c r="W255" s="17">
        <f>IF(OR(B255="",E255="",COUNTA(F255,H255,J255:M255,O255,Q255:R255,T255:U255)=0),"",SUM(G255,I255,N255,P255,S255,V255))</f>
        <v/>
      </c>
      <c r="X255" s="18">
        <f>IF(W255="","",IF(Murid!F255="TL","TL",ROUND(W255/110*100,2)))</f>
        <v/>
      </c>
    </row>
    <row r="256">
      <c r="A256" s="15">
        <f>Murid!A256</f>
        <v/>
      </c>
      <c r="B256" s="15">
        <f>IF(Murid!B256="","",Murid!B256)</f>
        <v/>
      </c>
      <c r="C256" s="16">
        <f>IF(Murid!C256="","",Murid!C256)</f>
        <v/>
      </c>
      <c r="D256" s="15">
        <f>IF(Murid!E256="","",Murid!E256)</f>
        <v/>
      </c>
      <c r="E256" s="11" t="n"/>
      <c r="F256" s="11" t="n"/>
      <c r="G256" s="10">
        <f>IF(F256="","",IFERROR(VLOOKUP(F256,T_JKP,2,FALSE),0))</f>
        <v/>
      </c>
      <c r="H256" s="11" t="n"/>
      <c r="I256" s="17">
        <f>IF(H256="","",IF(H256&gt;=12,40,ROUND(H256*3.33,2)))</f>
        <v/>
      </c>
      <c r="J256" s="11" t="n"/>
      <c r="K256" s="11" t="n"/>
      <c r="L256" s="11" t="n"/>
      <c r="M256" s="11" t="n"/>
      <c r="N256" s="10">
        <f>IF(COUNTA(J256:M256)=0,"",MIN(10,SUMPRODUCT((COUNTIF(J256:M256,L_KOM)&gt;0)*S_KOM)))</f>
        <v/>
      </c>
      <c r="O256" s="11" t="n"/>
      <c r="P256" s="10">
        <f>IF(O256="","",IFERROR(VLOOKUP(O256,T_KHID,2,FALSE),0))</f>
        <v/>
      </c>
      <c r="Q256" s="11" t="n"/>
      <c r="R256" s="11" t="n"/>
      <c r="S256" s="10">
        <f>IF(AND(Q256="",R256=""),"",IFERROR(INDEX(T_LIBAT,MATCH(Q256,L_PER,0),MATCH(R256,L_JENIS,0)),0))</f>
        <v/>
      </c>
      <c r="T256" s="11" t="n"/>
      <c r="U256" s="11" t="n"/>
      <c r="V256" s="10">
        <f>IF(AND(T256="",U256=""),"",IFERROR(INDEX(T_CAPAI,MATCH(T256,L_PER,0),MATCH(U256,L_KED,0)),0))</f>
        <v/>
      </c>
      <c r="W256" s="17">
        <f>IF(OR(B256="",E256="",COUNTA(F256,H256,J256:M256,O256,Q256:R256,T256:U256)=0),"",SUM(G256,I256,N256,P256,S256,V256))</f>
        <v/>
      </c>
      <c r="X256" s="18">
        <f>IF(W256="","",IF(Murid!F256="TL","TL",ROUND(W256/110*100,2)))</f>
        <v/>
      </c>
    </row>
    <row r="257">
      <c r="A257" s="15">
        <f>Murid!A257</f>
        <v/>
      </c>
      <c r="B257" s="15">
        <f>IF(Murid!B257="","",Murid!B257)</f>
        <v/>
      </c>
      <c r="C257" s="16">
        <f>IF(Murid!C257="","",Murid!C257)</f>
        <v/>
      </c>
      <c r="D257" s="15">
        <f>IF(Murid!E257="","",Murid!E257)</f>
        <v/>
      </c>
      <c r="E257" s="11" t="n"/>
      <c r="F257" s="11" t="n"/>
      <c r="G257" s="10">
        <f>IF(F257="","",IFERROR(VLOOKUP(F257,T_JKP,2,FALSE),0))</f>
        <v/>
      </c>
      <c r="H257" s="11" t="n"/>
      <c r="I257" s="17">
        <f>IF(H257="","",IF(H257&gt;=12,40,ROUND(H257*3.33,2)))</f>
        <v/>
      </c>
      <c r="J257" s="11" t="n"/>
      <c r="K257" s="11" t="n"/>
      <c r="L257" s="11" t="n"/>
      <c r="M257" s="11" t="n"/>
      <c r="N257" s="10">
        <f>IF(COUNTA(J257:M257)=0,"",MIN(10,SUMPRODUCT((COUNTIF(J257:M257,L_KOM)&gt;0)*S_KOM)))</f>
        <v/>
      </c>
      <c r="O257" s="11" t="n"/>
      <c r="P257" s="10">
        <f>IF(O257="","",IFERROR(VLOOKUP(O257,T_KHID,2,FALSE),0))</f>
        <v/>
      </c>
      <c r="Q257" s="11" t="n"/>
      <c r="R257" s="11" t="n"/>
      <c r="S257" s="10">
        <f>IF(AND(Q257="",R257=""),"",IFERROR(INDEX(T_LIBAT,MATCH(Q257,L_PER,0),MATCH(R257,L_JENIS,0)),0))</f>
        <v/>
      </c>
      <c r="T257" s="11" t="n"/>
      <c r="U257" s="11" t="n"/>
      <c r="V257" s="10">
        <f>IF(AND(T257="",U257=""),"",IFERROR(INDEX(T_CAPAI,MATCH(T257,L_PER,0),MATCH(U257,L_KED,0)),0))</f>
        <v/>
      </c>
      <c r="W257" s="17">
        <f>IF(OR(B257="",E257="",COUNTA(F257,H257,J257:M257,O257,Q257:R257,T257:U257)=0),"",SUM(G257,I257,N257,P257,S257,V257))</f>
        <v/>
      </c>
      <c r="X257" s="18">
        <f>IF(W257="","",IF(Murid!F257="TL","TL",ROUND(W257/110*100,2)))</f>
        <v/>
      </c>
    </row>
    <row r="258">
      <c r="A258" s="15">
        <f>Murid!A258</f>
        <v/>
      </c>
      <c r="B258" s="15">
        <f>IF(Murid!B258="","",Murid!B258)</f>
        <v/>
      </c>
      <c r="C258" s="16">
        <f>IF(Murid!C258="","",Murid!C258)</f>
        <v/>
      </c>
      <c r="D258" s="15">
        <f>IF(Murid!E258="","",Murid!E258)</f>
        <v/>
      </c>
      <c r="E258" s="11" t="n"/>
      <c r="F258" s="11" t="n"/>
      <c r="G258" s="10">
        <f>IF(F258="","",IFERROR(VLOOKUP(F258,T_JKP,2,FALSE),0))</f>
        <v/>
      </c>
      <c r="H258" s="11" t="n"/>
      <c r="I258" s="17">
        <f>IF(H258="","",IF(H258&gt;=12,40,ROUND(H258*3.33,2)))</f>
        <v/>
      </c>
      <c r="J258" s="11" t="n"/>
      <c r="K258" s="11" t="n"/>
      <c r="L258" s="11" t="n"/>
      <c r="M258" s="11" t="n"/>
      <c r="N258" s="10">
        <f>IF(COUNTA(J258:M258)=0,"",MIN(10,SUMPRODUCT((COUNTIF(J258:M258,L_KOM)&gt;0)*S_KOM)))</f>
        <v/>
      </c>
      <c r="O258" s="11" t="n"/>
      <c r="P258" s="10">
        <f>IF(O258="","",IFERROR(VLOOKUP(O258,T_KHID,2,FALSE),0))</f>
        <v/>
      </c>
      <c r="Q258" s="11" t="n"/>
      <c r="R258" s="11" t="n"/>
      <c r="S258" s="10">
        <f>IF(AND(Q258="",R258=""),"",IFERROR(INDEX(T_LIBAT,MATCH(Q258,L_PER,0),MATCH(R258,L_JENIS,0)),0))</f>
        <v/>
      </c>
      <c r="T258" s="11" t="n"/>
      <c r="U258" s="11" t="n"/>
      <c r="V258" s="10">
        <f>IF(AND(T258="",U258=""),"",IFERROR(INDEX(T_CAPAI,MATCH(T258,L_PER,0),MATCH(U258,L_KED,0)),0))</f>
        <v/>
      </c>
      <c r="W258" s="17">
        <f>IF(OR(B258="",E258="",COUNTA(F258,H258,J258:M258,O258,Q258:R258,T258:U258)=0),"",SUM(G258,I258,N258,P258,S258,V258))</f>
        <v/>
      </c>
      <c r="X258" s="18">
        <f>IF(W258="","",IF(Murid!F258="TL","TL",ROUND(W258/110*100,2)))</f>
        <v/>
      </c>
    </row>
    <row r="259">
      <c r="A259" s="15">
        <f>Murid!A259</f>
        <v/>
      </c>
      <c r="B259" s="15">
        <f>IF(Murid!B259="","",Murid!B259)</f>
        <v/>
      </c>
      <c r="C259" s="16">
        <f>IF(Murid!C259="","",Murid!C259)</f>
        <v/>
      </c>
      <c r="D259" s="15">
        <f>IF(Murid!E259="","",Murid!E259)</f>
        <v/>
      </c>
      <c r="E259" s="11" t="n"/>
      <c r="F259" s="11" t="n"/>
      <c r="G259" s="10">
        <f>IF(F259="","",IFERROR(VLOOKUP(F259,T_JKP,2,FALSE),0))</f>
        <v/>
      </c>
      <c r="H259" s="11" t="n"/>
      <c r="I259" s="17">
        <f>IF(H259="","",IF(H259&gt;=12,40,ROUND(H259*3.33,2)))</f>
        <v/>
      </c>
      <c r="J259" s="11" t="n"/>
      <c r="K259" s="11" t="n"/>
      <c r="L259" s="11" t="n"/>
      <c r="M259" s="11" t="n"/>
      <c r="N259" s="10">
        <f>IF(COUNTA(J259:M259)=0,"",MIN(10,SUMPRODUCT((COUNTIF(J259:M259,L_KOM)&gt;0)*S_KOM)))</f>
        <v/>
      </c>
      <c r="O259" s="11" t="n"/>
      <c r="P259" s="10">
        <f>IF(O259="","",IFERROR(VLOOKUP(O259,T_KHID,2,FALSE),0))</f>
        <v/>
      </c>
      <c r="Q259" s="11" t="n"/>
      <c r="R259" s="11" t="n"/>
      <c r="S259" s="10">
        <f>IF(AND(Q259="",R259=""),"",IFERROR(INDEX(T_LIBAT,MATCH(Q259,L_PER,0),MATCH(R259,L_JENIS,0)),0))</f>
        <v/>
      </c>
      <c r="T259" s="11" t="n"/>
      <c r="U259" s="11" t="n"/>
      <c r="V259" s="10">
        <f>IF(AND(T259="",U259=""),"",IFERROR(INDEX(T_CAPAI,MATCH(T259,L_PER,0),MATCH(U259,L_KED,0)),0))</f>
        <v/>
      </c>
      <c r="W259" s="17">
        <f>IF(OR(B259="",E259="",COUNTA(F259,H259,J259:M259,O259,Q259:R259,T259:U259)=0),"",SUM(G259,I259,N259,P259,S259,V259))</f>
        <v/>
      </c>
      <c r="X259" s="18">
        <f>IF(W259="","",IF(Murid!F259="TL","TL",ROUND(W259/110*100,2)))</f>
        <v/>
      </c>
    </row>
    <row r="260">
      <c r="A260" s="15">
        <f>Murid!A260</f>
        <v/>
      </c>
      <c r="B260" s="15">
        <f>IF(Murid!B260="","",Murid!B260)</f>
        <v/>
      </c>
      <c r="C260" s="16">
        <f>IF(Murid!C260="","",Murid!C260)</f>
        <v/>
      </c>
      <c r="D260" s="15">
        <f>IF(Murid!E260="","",Murid!E260)</f>
        <v/>
      </c>
      <c r="E260" s="11" t="n"/>
      <c r="F260" s="11" t="n"/>
      <c r="G260" s="10">
        <f>IF(F260="","",IFERROR(VLOOKUP(F260,T_JKP,2,FALSE),0))</f>
        <v/>
      </c>
      <c r="H260" s="11" t="n"/>
      <c r="I260" s="17">
        <f>IF(H260="","",IF(H260&gt;=12,40,ROUND(H260*3.33,2)))</f>
        <v/>
      </c>
      <c r="J260" s="11" t="n"/>
      <c r="K260" s="11" t="n"/>
      <c r="L260" s="11" t="n"/>
      <c r="M260" s="11" t="n"/>
      <c r="N260" s="10">
        <f>IF(COUNTA(J260:M260)=0,"",MIN(10,SUMPRODUCT((COUNTIF(J260:M260,L_KOM)&gt;0)*S_KOM)))</f>
        <v/>
      </c>
      <c r="O260" s="11" t="n"/>
      <c r="P260" s="10">
        <f>IF(O260="","",IFERROR(VLOOKUP(O260,T_KHID,2,FALSE),0))</f>
        <v/>
      </c>
      <c r="Q260" s="11" t="n"/>
      <c r="R260" s="11" t="n"/>
      <c r="S260" s="10">
        <f>IF(AND(Q260="",R260=""),"",IFERROR(INDEX(T_LIBAT,MATCH(Q260,L_PER,0),MATCH(R260,L_JENIS,0)),0))</f>
        <v/>
      </c>
      <c r="T260" s="11" t="n"/>
      <c r="U260" s="11" t="n"/>
      <c r="V260" s="10">
        <f>IF(AND(T260="",U260=""),"",IFERROR(INDEX(T_CAPAI,MATCH(T260,L_PER,0),MATCH(U260,L_KED,0)),0))</f>
        <v/>
      </c>
      <c r="W260" s="17">
        <f>IF(OR(B260="",E260="",COUNTA(F260,H260,J260:M260,O260,Q260:R260,T260:U260)=0),"",SUM(G260,I260,N260,P260,S260,V260))</f>
        <v/>
      </c>
      <c r="X260" s="18">
        <f>IF(W260="","",IF(Murid!F260="TL","TL",ROUND(W260/110*100,2)))</f>
        <v/>
      </c>
    </row>
    <row r="261">
      <c r="A261" s="15">
        <f>Murid!A261</f>
        <v/>
      </c>
      <c r="B261" s="15">
        <f>IF(Murid!B261="","",Murid!B261)</f>
        <v/>
      </c>
      <c r="C261" s="16">
        <f>IF(Murid!C261="","",Murid!C261)</f>
        <v/>
      </c>
      <c r="D261" s="15">
        <f>IF(Murid!E261="","",Murid!E261)</f>
        <v/>
      </c>
      <c r="E261" s="11" t="n"/>
      <c r="F261" s="11" t="n"/>
      <c r="G261" s="10">
        <f>IF(F261="","",IFERROR(VLOOKUP(F261,T_JKP,2,FALSE),0))</f>
        <v/>
      </c>
      <c r="H261" s="11" t="n"/>
      <c r="I261" s="17">
        <f>IF(H261="","",IF(H261&gt;=12,40,ROUND(H261*3.33,2)))</f>
        <v/>
      </c>
      <c r="J261" s="11" t="n"/>
      <c r="K261" s="11" t="n"/>
      <c r="L261" s="11" t="n"/>
      <c r="M261" s="11" t="n"/>
      <c r="N261" s="10">
        <f>IF(COUNTA(J261:M261)=0,"",MIN(10,SUMPRODUCT((COUNTIF(J261:M261,L_KOM)&gt;0)*S_KOM)))</f>
        <v/>
      </c>
      <c r="O261" s="11" t="n"/>
      <c r="P261" s="10">
        <f>IF(O261="","",IFERROR(VLOOKUP(O261,T_KHID,2,FALSE),0))</f>
        <v/>
      </c>
      <c r="Q261" s="11" t="n"/>
      <c r="R261" s="11" t="n"/>
      <c r="S261" s="10">
        <f>IF(AND(Q261="",R261=""),"",IFERROR(INDEX(T_LIBAT,MATCH(Q261,L_PER,0),MATCH(R261,L_JENIS,0)),0))</f>
        <v/>
      </c>
      <c r="T261" s="11" t="n"/>
      <c r="U261" s="11" t="n"/>
      <c r="V261" s="10">
        <f>IF(AND(T261="",U261=""),"",IFERROR(INDEX(T_CAPAI,MATCH(T261,L_PER,0),MATCH(U261,L_KED,0)),0))</f>
        <v/>
      </c>
      <c r="W261" s="17">
        <f>IF(OR(B261="",E261="",COUNTA(F261,H261,J261:M261,O261,Q261:R261,T261:U261)=0),"",SUM(G261,I261,N261,P261,S261,V261))</f>
        <v/>
      </c>
      <c r="X261" s="18">
        <f>IF(W261="","",IF(Murid!F261="TL","TL",ROUND(W261/110*100,2)))</f>
        <v/>
      </c>
    </row>
    <row r="262">
      <c r="A262" s="15">
        <f>Murid!A262</f>
        <v/>
      </c>
      <c r="B262" s="15">
        <f>IF(Murid!B262="","",Murid!B262)</f>
        <v/>
      </c>
      <c r="C262" s="16">
        <f>IF(Murid!C262="","",Murid!C262)</f>
        <v/>
      </c>
      <c r="D262" s="15">
        <f>IF(Murid!E262="","",Murid!E262)</f>
        <v/>
      </c>
      <c r="E262" s="11" t="n"/>
      <c r="F262" s="11" t="n"/>
      <c r="G262" s="10">
        <f>IF(F262="","",IFERROR(VLOOKUP(F262,T_JKP,2,FALSE),0))</f>
        <v/>
      </c>
      <c r="H262" s="11" t="n"/>
      <c r="I262" s="17">
        <f>IF(H262="","",IF(H262&gt;=12,40,ROUND(H262*3.33,2)))</f>
        <v/>
      </c>
      <c r="J262" s="11" t="n"/>
      <c r="K262" s="11" t="n"/>
      <c r="L262" s="11" t="n"/>
      <c r="M262" s="11" t="n"/>
      <c r="N262" s="10">
        <f>IF(COUNTA(J262:M262)=0,"",MIN(10,SUMPRODUCT((COUNTIF(J262:M262,L_KOM)&gt;0)*S_KOM)))</f>
        <v/>
      </c>
      <c r="O262" s="11" t="n"/>
      <c r="P262" s="10">
        <f>IF(O262="","",IFERROR(VLOOKUP(O262,T_KHID,2,FALSE),0))</f>
        <v/>
      </c>
      <c r="Q262" s="11" t="n"/>
      <c r="R262" s="11" t="n"/>
      <c r="S262" s="10">
        <f>IF(AND(Q262="",R262=""),"",IFERROR(INDEX(T_LIBAT,MATCH(Q262,L_PER,0),MATCH(R262,L_JENIS,0)),0))</f>
        <v/>
      </c>
      <c r="T262" s="11" t="n"/>
      <c r="U262" s="11" t="n"/>
      <c r="V262" s="10">
        <f>IF(AND(T262="",U262=""),"",IFERROR(INDEX(T_CAPAI,MATCH(T262,L_PER,0),MATCH(U262,L_KED,0)),0))</f>
        <v/>
      </c>
      <c r="W262" s="17">
        <f>IF(OR(B262="",E262="",COUNTA(F262,H262,J262:M262,O262,Q262:R262,T262:U262)=0),"",SUM(G262,I262,N262,P262,S262,V262))</f>
        <v/>
      </c>
      <c r="X262" s="18">
        <f>IF(W262="","",IF(Murid!F262="TL","TL",ROUND(W262/110*100,2)))</f>
        <v/>
      </c>
    </row>
    <row r="263">
      <c r="A263" s="15">
        <f>Murid!A263</f>
        <v/>
      </c>
      <c r="B263" s="15">
        <f>IF(Murid!B263="","",Murid!B263)</f>
        <v/>
      </c>
      <c r="C263" s="16">
        <f>IF(Murid!C263="","",Murid!C263)</f>
        <v/>
      </c>
      <c r="D263" s="15">
        <f>IF(Murid!E263="","",Murid!E263)</f>
        <v/>
      </c>
      <c r="E263" s="11" t="n"/>
      <c r="F263" s="11" t="n"/>
      <c r="G263" s="10">
        <f>IF(F263="","",IFERROR(VLOOKUP(F263,T_JKP,2,FALSE),0))</f>
        <v/>
      </c>
      <c r="H263" s="11" t="n"/>
      <c r="I263" s="17">
        <f>IF(H263="","",IF(H263&gt;=12,40,ROUND(H263*3.33,2)))</f>
        <v/>
      </c>
      <c r="J263" s="11" t="n"/>
      <c r="K263" s="11" t="n"/>
      <c r="L263" s="11" t="n"/>
      <c r="M263" s="11" t="n"/>
      <c r="N263" s="10">
        <f>IF(COUNTA(J263:M263)=0,"",MIN(10,SUMPRODUCT((COUNTIF(J263:M263,L_KOM)&gt;0)*S_KOM)))</f>
        <v/>
      </c>
      <c r="O263" s="11" t="n"/>
      <c r="P263" s="10">
        <f>IF(O263="","",IFERROR(VLOOKUP(O263,T_KHID,2,FALSE),0))</f>
        <v/>
      </c>
      <c r="Q263" s="11" t="n"/>
      <c r="R263" s="11" t="n"/>
      <c r="S263" s="10">
        <f>IF(AND(Q263="",R263=""),"",IFERROR(INDEX(T_LIBAT,MATCH(Q263,L_PER,0),MATCH(R263,L_JENIS,0)),0))</f>
        <v/>
      </c>
      <c r="T263" s="11" t="n"/>
      <c r="U263" s="11" t="n"/>
      <c r="V263" s="10">
        <f>IF(AND(T263="",U263=""),"",IFERROR(INDEX(T_CAPAI,MATCH(T263,L_PER,0),MATCH(U263,L_KED,0)),0))</f>
        <v/>
      </c>
      <c r="W263" s="17">
        <f>IF(OR(B263="",E263="",COUNTA(F263,H263,J263:M263,O263,Q263:R263,T263:U263)=0),"",SUM(G263,I263,N263,P263,S263,V263))</f>
        <v/>
      </c>
      <c r="X263" s="18">
        <f>IF(W263="","",IF(Murid!F263="TL","TL",ROUND(W263/110*100,2)))</f>
        <v/>
      </c>
    </row>
    <row r="264">
      <c r="A264" s="15">
        <f>Murid!A264</f>
        <v/>
      </c>
      <c r="B264" s="15">
        <f>IF(Murid!B264="","",Murid!B264)</f>
        <v/>
      </c>
      <c r="C264" s="16">
        <f>IF(Murid!C264="","",Murid!C264)</f>
        <v/>
      </c>
      <c r="D264" s="15">
        <f>IF(Murid!E264="","",Murid!E264)</f>
        <v/>
      </c>
      <c r="E264" s="11" t="n"/>
      <c r="F264" s="11" t="n"/>
      <c r="G264" s="10">
        <f>IF(F264="","",IFERROR(VLOOKUP(F264,T_JKP,2,FALSE),0))</f>
        <v/>
      </c>
      <c r="H264" s="11" t="n"/>
      <c r="I264" s="17">
        <f>IF(H264="","",IF(H264&gt;=12,40,ROUND(H264*3.33,2)))</f>
        <v/>
      </c>
      <c r="J264" s="11" t="n"/>
      <c r="K264" s="11" t="n"/>
      <c r="L264" s="11" t="n"/>
      <c r="M264" s="11" t="n"/>
      <c r="N264" s="10">
        <f>IF(COUNTA(J264:M264)=0,"",MIN(10,SUMPRODUCT((COUNTIF(J264:M264,L_KOM)&gt;0)*S_KOM)))</f>
        <v/>
      </c>
      <c r="O264" s="11" t="n"/>
      <c r="P264" s="10">
        <f>IF(O264="","",IFERROR(VLOOKUP(O264,T_KHID,2,FALSE),0))</f>
        <v/>
      </c>
      <c r="Q264" s="11" t="n"/>
      <c r="R264" s="11" t="n"/>
      <c r="S264" s="10">
        <f>IF(AND(Q264="",R264=""),"",IFERROR(INDEX(T_LIBAT,MATCH(Q264,L_PER,0),MATCH(R264,L_JENIS,0)),0))</f>
        <v/>
      </c>
      <c r="T264" s="11" t="n"/>
      <c r="U264" s="11" t="n"/>
      <c r="V264" s="10">
        <f>IF(AND(T264="",U264=""),"",IFERROR(INDEX(T_CAPAI,MATCH(T264,L_PER,0),MATCH(U264,L_KED,0)),0))</f>
        <v/>
      </c>
      <c r="W264" s="17">
        <f>IF(OR(B264="",E264="",COUNTA(F264,H264,J264:M264,O264,Q264:R264,T264:U264)=0),"",SUM(G264,I264,N264,P264,S264,V264))</f>
        <v/>
      </c>
      <c r="X264" s="18">
        <f>IF(W264="","",IF(Murid!F264="TL","TL",ROUND(W264/110*100,2)))</f>
        <v/>
      </c>
    </row>
    <row r="265">
      <c r="A265" s="15">
        <f>Murid!A265</f>
        <v/>
      </c>
      <c r="B265" s="15">
        <f>IF(Murid!B265="","",Murid!B265)</f>
        <v/>
      </c>
      <c r="C265" s="16">
        <f>IF(Murid!C265="","",Murid!C265)</f>
        <v/>
      </c>
      <c r="D265" s="15">
        <f>IF(Murid!E265="","",Murid!E265)</f>
        <v/>
      </c>
      <c r="E265" s="11" t="n"/>
      <c r="F265" s="11" t="n"/>
      <c r="G265" s="10">
        <f>IF(F265="","",IFERROR(VLOOKUP(F265,T_JKP,2,FALSE),0))</f>
        <v/>
      </c>
      <c r="H265" s="11" t="n"/>
      <c r="I265" s="17">
        <f>IF(H265="","",IF(H265&gt;=12,40,ROUND(H265*3.33,2)))</f>
        <v/>
      </c>
      <c r="J265" s="11" t="n"/>
      <c r="K265" s="11" t="n"/>
      <c r="L265" s="11" t="n"/>
      <c r="M265" s="11" t="n"/>
      <c r="N265" s="10">
        <f>IF(COUNTA(J265:M265)=0,"",MIN(10,SUMPRODUCT((COUNTIF(J265:M265,L_KOM)&gt;0)*S_KOM)))</f>
        <v/>
      </c>
      <c r="O265" s="11" t="n"/>
      <c r="P265" s="10">
        <f>IF(O265="","",IFERROR(VLOOKUP(O265,T_KHID,2,FALSE),0))</f>
        <v/>
      </c>
      <c r="Q265" s="11" t="n"/>
      <c r="R265" s="11" t="n"/>
      <c r="S265" s="10">
        <f>IF(AND(Q265="",R265=""),"",IFERROR(INDEX(T_LIBAT,MATCH(Q265,L_PER,0),MATCH(R265,L_JENIS,0)),0))</f>
        <v/>
      </c>
      <c r="T265" s="11" t="n"/>
      <c r="U265" s="11" t="n"/>
      <c r="V265" s="10">
        <f>IF(AND(T265="",U265=""),"",IFERROR(INDEX(T_CAPAI,MATCH(T265,L_PER,0),MATCH(U265,L_KED,0)),0))</f>
        <v/>
      </c>
      <c r="W265" s="17">
        <f>IF(OR(B265="",E265="",COUNTA(F265,H265,J265:M265,O265,Q265:R265,T265:U265)=0),"",SUM(G265,I265,N265,P265,S265,V265))</f>
        <v/>
      </c>
      <c r="X265" s="18">
        <f>IF(W265="","",IF(Murid!F265="TL","TL",ROUND(W265/110*100,2)))</f>
        <v/>
      </c>
    </row>
    <row r="266">
      <c r="A266" s="15">
        <f>Murid!A266</f>
        <v/>
      </c>
      <c r="B266" s="15">
        <f>IF(Murid!B266="","",Murid!B266)</f>
        <v/>
      </c>
      <c r="C266" s="16">
        <f>IF(Murid!C266="","",Murid!C266)</f>
        <v/>
      </c>
      <c r="D266" s="15">
        <f>IF(Murid!E266="","",Murid!E266)</f>
        <v/>
      </c>
      <c r="E266" s="11" t="n"/>
      <c r="F266" s="11" t="n"/>
      <c r="G266" s="10">
        <f>IF(F266="","",IFERROR(VLOOKUP(F266,T_JKP,2,FALSE),0))</f>
        <v/>
      </c>
      <c r="H266" s="11" t="n"/>
      <c r="I266" s="17">
        <f>IF(H266="","",IF(H266&gt;=12,40,ROUND(H266*3.33,2)))</f>
        <v/>
      </c>
      <c r="J266" s="11" t="n"/>
      <c r="K266" s="11" t="n"/>
      <c r="L266" s="11" t="n"/>
      <c r="M266" s="11" t="n"/>
      <c r="N266" s="10">
        <f>IF(COUNTA(J266:M266)=0,"",MIN(10,SUMPRODUCT((COUNTIF(J266:M266,L_KOM)&gt;0)*S_KOM)))</f>
        <v/>
      </c>
      <c r="O266" s="11" t="n"/>
      <c r="P266" s="10">
        <f>IF(O266="","",IFERROR(VLOOKUP(O266,T_KHID,2,FALSE),0))</f>
        <v/>
      </c>
      <c r="Q266" s="11" t="n"/>
      <c r="R266" s="11" t="n"/>
      <c r="S266" s="10">
        <f>IF(AND(Q266="",R266=""),"",IFERROR(INDEX(T_LIBAT,MATCH(Q266,L_PER,0),MATCH(R266,L_JENIS,0)),0))</f>
        <v/>
      </c>
      <c r="T266" s="11" t="n"/>
      <c r="U266" s="11" t="n"/>
      <c r="V266" s="10">
        <f>IF(AND(T266="",U266=""),"",IFERROR(INDEX(T_CAPAI,MATCH(T266,L_PER,0),MATCH(U266,L_KED,0)),0))</f>
        <v/>
      </c>
      <c r="W266" s="17">
        <f>IF(OR(B266="",E266="",COUNTA(F266,H266,J266:M266,O266,Q266:R266,T266:U266)=0),"",SUM(G266,I266,N266,P266,S266,V266))</f>
        <v/>
      </c>
      <c r="X266" s="18">
        <f>IF(W266="","",IF(Murid!F266="TL","TL",ROUND(W266/110*100,2)))</f>
        <v/>
      </c>
    </row>
    <row r="267">
      <c r="A267" s="15">
        <f>Murid!A267</f>
        <v/>
      </c>
      <c r="B267" s="15">
        <f>IF(Murid!B267="","",Murid!B267)</f>
        <v/>
      </c>
      <c r="C267" s="16">
        <f>IF(Murid!C267="","",Murid!C267)</f>
        <v/>
      </c>
      <c r="D267" s="15">
        <f>IF(Murid!E267="","",Murid!E267)</f>
        <v/>
      </c>
      <c r="E267" s="11" t="n"/>
      <c r="F267" s="11" t="n"/>
      <c r="G267" s="10">
        <f>IF(F267="","",IFERROR(VLOOKUP(F267,T_JKP,2,FALSE),0))</f>
        <v/>
      </c>
      <c r="H267" s="11" t="n"/>
      <c r="I267" s="17">
        <f>IF(H267="","",IF(H267&gt;=12,40,ROUND(H267*3.33,2)))</f>
        <v/>
      </c>
      <c r="J267" s="11" t="n"/>
      <c r="K267" s="11" t="n"/>
      <c r="L267" s="11" t="n"/>
      <c r="M267" s="11" t="n"/>
      <c r="N267" s="10">
        <f>IF(COUNTA(J267:M267)=0,"",MIN(10,SUMPRODUCT((COUNTIF(J267:M267,L_KOM)&gt;0)*S_KOM)))</f>
        <v/>
      </c>
      <c r="O267" s="11" t="n"/>
      <c r="P267" s="10">
        <f>IF(O267="","",IFERROR(VLOOKUP(O267,T_KHID,2,FALSE),0))</f>
        <v/>
      </c>
      <c r="Q267" s="11" t="n"/>
      <c r="R267" s="11" t="n"/>
      <c r="S267" s="10">
        <f>IF(AND(Q267="",R267=""),"",IFERROR(INDEX(T_LIBAT,MATCH(Q267,L_PER,0),MATCH(R267,L_JENIS,0)),0))</f>
        <v/>
      </c>
      <c r="T267" s="11" t="n"/>
      <c r="U267" s="11" t="n"/>
      <c r="V267" s="10">
        <f>IF(AND(T267="",U267=""),"",IFERROR(INDEX(T_CAPAI,MATCH(T267,L_PER,0),MATCH(U267,L_KED,0)),0))</f>
        <v/>
      </c>
      <c r="W267" s="17">
        <f>IF(OR(B267="",E267="",COUNTA(F267,H267,J267:M267,O267,Q267:R267,T267:U267)=0),"",SUM(G267,I267,N267,P267,S267,V267))</f>
        <v/>
      </c>
      <c r="X267" s="18">
        <f>IF(W267="","",IF(Murid!F267="TL","TL",ROUND(W267/110*100,2)))</f>
        <v/>
      </c>
    </row>
    <row r="268">
      <c r="A268" s="15">
        <f>Murid!A268</f>
        <v/>
      </c>
      <c r="B268" s="15">
        <f>IF(Murid!B268="","",Murid!B268)</f>
        <v/>
      </c>
      <c r="C268" s="16">
        <f>IF(Murid!C268="","",Murid!C268)</f>
        <v/>
      </c>
      <c r="D268" s="15">
        <f>IF(Murid!E268="","",Murid!E268)</f>
        <v/>
      </c>
      <c r="E268" s="11" t="n"/>
      <c r="F268" s="11" t="n"/>
      <c r="G268" s="10">
        <f>IF(F268="","",IFERROR(VLOOKUP(F268,T_JKP,2,FALSE),0))</f>
        <v/>
      </c>
      <c r="H268" s="11" t="n"/>
      <c r="I268" s="17">
        <f>IF(H268="","",IF(H268&gt;=12,40,ROUND(H268*3.33,2)))</f>
        <v/>
      </c>
      <c r="J268" s="11" t="n"/>
      <c r="K268" s="11" t="n"/>
      <c r="L268" s="11" t="n"/>
      <c r="M268" s="11" t="n"/>
      <c r="N268" s="10">
        <f>IF(COUNTA(J268:M268)=0,"",MIN(10,SUMPRODUCT((COUNTIF(J268:M268,L_KOM)&gt;0)*S_KOM)))</f>
        <v/>
      </c>
      <c r="O268" s="11" t="n"/>
      <c r="P268" s="10">
        <f>IF(O268="","",IFERROR(VLOOKUP(O268,T_KHID,2,FALSE),0))</f>
        <v/>
      </c>
      <c r="Q268" s="11" t="n"/>
      <c r="R268" s="11" t="n"/>
      <c r="S268" s="10">
        <f>IF(AND(Q268="",R268=""),"",IFERROR(INDEX(T_LIBAT,MATCH(Q268,L_PER,0),MATCH(R268,L_JENIS,0)),0))</f>
        <v/>
      </c>
      <c r="T268" s="11" t="n"/>
      <c r="U268" s="11" t="n"/>
      <c r="V268" s="10">
        <f>IF(AND(T268="",U268=""),"",IFERROR(INDEX(T_CAPAI,MATCH(T268,L_PER,0),MATCH(U268,L_KED,0)),0))</f>
        <v/>
      </c>
      <c r="W268" s="17">
        <f>IF(OR(B268="",E268="",COUNTA(F268,H268,J268:M268,O268,Q268:R268,T268:U268)=0),"",SUM(G268,I268,N268,P268,S268,V268))</f>
        <v/>
      </c>
      <c r="X268" s="18">
        <f>IF(W268="","",IF(Murid!F268="TL","TL",ROUND(W268/110*100,2)))</f>
        <v/>
      </c>
    </row>
    <row r="269">
      <c r="A269" s="15">
        <f>Murid!A269</f>
        <v/>
      </c>
      <c r="B269" s="15">
        <f>IF(Murid!B269="","",Murid!B269)</f>
        <v/>
      </c>
      <c r="C269" s="16">
        <f>IF(Murid!C269="","",Murid!C269)</f>
        <v/>
      </c>
      <c r="D269" s="15">
        <f>IF(Murid!E269="","",Murid!E269)</f>
        <v/>
      </c>
      <c r="E269" s="11" t="n"/>
      <c r="F269" s="11" t="n"/>
      <c r="G269" s="10">
        <f>IF(F269="","",IFERROR(VLOOKUP(F269,T_JKP,2,FALSE),0))</f>
        <v/>
      </c>
      <c r="H269" s="11" t="n"/>
      <c r="I269" s="17">
        <f>IF(H269="","",IF(H269&gt;=12,40,ROUND(H269*3.33,2)))</f>
        <v/>
      </c>
      <c r="J269" s="11" t="n"/>
      <c r="K269" s="11" t="n"/>
      <c r="L269" s="11" t="n"/>
      <c r="M269" s="11" t="n"/>
      <c r="N269" s="10">
        <f>IF(COUNTA(J269:M269)=0,"",MIN(10,SUMPRODUCT((COUNTIF(J269:M269,L_KOM)&gt;0)*S_KOM)))</f>
        <v/>
      </c>
      <c r="O269" s="11" t="n"/>
      <c r="P269" s="10">
        <f>IF(O269="","",IFERROR(VLOOKUP(O269,T_KHID,2,FALSE),0))</f>
        <v/>
      </c>
      <c r="Q269" s="11" t="n"/>
      <c r="R269" s="11" t="n"/>
      <c r="S269" s="10">
        <f>IF(AND(Q269="",R269=""),"",IFERROR(INDEX(T_LIBAT,MATCH(Q269,L_PER,0),MATCH(R269,L_JENIS,0)),0))</f>
        <v/>
      </c>
      <c r="T269" s="11" t="n"/>
      <c r="U269" s="11" t="n"/>
      <c r="V269" s="10">
        <f>IF(AND(T269="",U269=""),"",IFERROR(INDEX(T_CAPAI,MATCH(T269,L_PER,0),MATCH(U269,L_KED,0)),0))</f>
        <v/>
      </c>
      <c r="W269" s="17">
        <f>IF(OR(B269="",E269="",COUNTA(F269,H269,J269:M269,O269,Q269:R269,T269:U269)=0),"",SUM(G269,I269,N269,P269,S269,V269))</f>
        <v/>
      </c>
      <c r="X269" s="18">
        <f>IF(W269="","",IF(Murid!F269="TL","TL",ROUND(W269/110*100,2)))</f>
        <v/>
      </c>
    </row>
    <row r="270">
      <c r="A270" s="15">
        <f>Murid!A270</f>
        <v/>
      </c>
      <c r="B270" s="15">
        <f>IF(Murid!B270="","",Murid!B270)</f>
        <v/>
      </c>
      <c r="C270" s="16">
        <f>IF(Murid!C270="","",Murid!C270)</f>
        <v/>
      </c>
      <c r="D270" s="15">
        <f>IF(Murid!E270="","",Murid!E270)</f>
        <v/>
      </c>
      <c r="E270" s="11" t="n"/>
      <c r="F270" s="11" t="n"/>
      <c r="G270" s="10">
        <f>IF(F270="","",IFERROR(VLOOKUP(F270,T_JKP,2,FALSE),0))</f>
        <v/>
      </c>
      <c r="H270" s="11" t="n"/>
      <c r="I270" s="17">
        <f>IF(H270="","",IF(H270&gt;=12,40,ROUND(H270*3.33,2)))</f>
        <v/>
      </c>
      <c r="J270" s="11" t="n"/>
      <c r="K270" s="11" t="n"/>
      <c r="L270" s="11" t="n"/>
      <c r="M270" s="11" t="n"/>
      <c r="N270" s="10">
        <f>IF(COUNTA(J270:M270)=0,"",MIN(10,SUMPRODUCT((COUNTIF(J270:M270,L_KOM)&gt;0)*S_KOM)))</f>
        <v/>
      </c>
      <c r="O270" s="11" t="n"/>
      <c r="P270" s="10">
        <f>IF(O270="","",IFERROR(VLOOKUP(O270,T_KHID,2,FALSE),0))</f>
        <v/>
      </c>
      <c r="Q270" s="11" t="n"/>
      <c r="R270" s="11" t="n"/>
      <c r="S270" s="10">
        <f>IF(AND(Q270="",R270=""),"",IFERROR(INDEX(T_LIBAT,MATCH(Q270,L_PER,0),MATCH(R270,L_JENIS,0)),0))</f>
        <v/>
      </c>
      <c r="T270" s="11" t="n"/>
      <c r="U270" s="11" t="n"/>
      <c r="V270" s="10">
        <f>IF(AND(T270="",U270=""),"",IFERROR(INDEX(T_CAPAI,MATCH(T270,L_PER,0),MATCH(U270,L_KED,0)),0))</f>
        <v/>
      </c>
      <c r="W270" s="17">
        <f>IF(OR(B270="",E270="",COUNTA(F270,H270,J270:M270,O270,Q270:R270,T270:U270)=0),"",SUM(G270,I270,N270,P270,S270,V270))</f>
        <v/>
      </c>
      <c r="X270" s="18">
        <f>IF(W270="","",IF(Murid!F270="TL","TL",ROUND(W270/110*100,2)))</f>
        <v/>
      </c>
    </row>
    <row r="271">
      <c r="A271" s="15">
        <f>Murid!A271</f>
        <v/>
      </c>
      <c r="B271" s="15">
        <f>IF(Murid!B271="","",Murid!B271)</f>
        <v/>
      </c>
      <c r="C271" s="16">
        <f>IF(Murid!C271="","",Murid!C271)</f>
        <v/>
      </c>
      <c r="D271" s="15">
        <f>IF(Murid!E271="","",Murid!E271)</f>
        <v/>
      </c>
      <c r="E271" s="11" t="n"/>
      <c r="F271" s="11" t="n"/>
      <c r="G271" s="10">
        <f>IF(F271="","",IFERROR(VLOOKUP(F271,T_JKP,2,FALSE),0))</f>
        <v/>
      </c>
      <c r="H271" s="11" t="n"/>
      <c r="I271" s="17">
        <f>IF(H271="","",IF(H271&gt;=12,40,ROUND(H271*3.33,2)))</f>
        <v/>
      </c>
      <c r="J271" s="11" t="n"/>
      <c r="K271" s="11" t="n"/>
      <c r="L271" s="11" t="n"/>
      <c r="M271" s="11" t="n"/>
      <c r="N271" s="10">
        <f>IF(COUNTA(J271:M271)=0,"",MIN(10,SUMPRODUCT((COUNTIF(J271:M271,L_KOM)&gt;0)*S_KOM)))</f>
        <v/>
      </c>
      <c r="O271" s="11" t="n"/>
      <c r="P271" s="10">
        <f>IF(O271="","",IFERROR(VLOOKUP(O271,T_KHID,2,FALSE),0))</f>
        <v/>
      </c>
      <c r="Q271" s="11" t="n"/>
      <c r="R271" s="11" t="n"/>
      <c r="S271" s="10">
        <f>IF(AND(Q271="",R271=""),"",IFERROR(INDEX(T_LIBAT,MATCH(Q271,L_PER,0),MATCH(R271,L_JENIS,0)),0))</f>
        <v/>
      </c>
      <c r="T271" s="11" t="n"/>
      <c r="U271" s="11" t="n"/>
      <c r="V271" s="10">
        <f>IF(AND(T271="",U271=""),"",IFERROR(INDEX(T_CAPAI,MATCH(T271,L_PER,0),MATCH(U271,L_KED,0)),0))</f>
        <v/>
      </c>
      <c r="W271" s="17">
        <f>IF(OR(B271="",E271="",COUNTA(F271,H271,J271:M271,O271,Q271:R271,T271:U271)=0),"",SUM(G271,I271,N271,P271,S271,V271))</f>
        <v/>
      </c>
      <c r="X271" s="18">
        <f>IF(W271="","",IF(Murid!F271="TL","TL",ROUND(W271/110*100,2)))</f>
        <v/>
      </c>
    </row>
    <row r="272">
      <c r="A272" s="15">
        <f>Murid!A272</f>
        <v/>
      </c>
      <c r="B272" s="15">
        <f>IF(Murid!B272="","",Murid!B272)</f>
        <v/>
      </c>
      <c r="C272" s="16">
        <f>IF(Murid!C272="","",Murid!C272)</f>
        <v/>
      </c>
      <c r="D272" s="15">
        <f>IF(Murid!E272="","",Murid!E272)</f>
        <v/>
      </c>
      <c r="E272" s="11" t="n"/>
      <c r="F272" s="11" t="n"/>
      <c r="G272" s="10">
        <f>IF(F272="","",IFERROR(VLOOKUP(F272,T_JKP,2,FALSE),0))</f>
        <v/>
      </c>
      <c r="H272" s="11" t="n"/>
      <c r="I272" s="17">
        <f>IF(H272="","",IF(H272&gt;=12,40,ROUND(H272*3.33,2)))</f>
        <v/>
      </c>
      <c r="J272" s="11" t="n"/>
      <c r="K272" s="11" t="n"/>
      <c r="L272" s="11" t="n"/>
      <c r="M272" s="11" t="n"/>
      <c r="N272" s="10">
        <f>IF(COUNTA(J272:M272)=0,"",MIN(10,SUMPRODUCT((COUNTIF(J272:M272,L_KOM)&gt;0)*S_KOM)))</f>
        <v/>
      </c>
      <c r="O272" s="11" t="n"/>
      <c r="P272" s="10">
        <f>IF(O272="","",IFERROR(VLOOKUP(O272,T_KHID,2,FALSE),0))</f>
        <v/>
      </c>
      <c r="Q272" s="11" t="n"/>
      <c r="R272" s="11" t="n"/>
      <c r="S272" s="10">
        <f>IF(AND(Q272="",R272=""),"",IFERROR(INDEX(T_LIBAT,MATCH(Q272,L_PER,0),MATCH(R272,L_JENIS,0)),0))</f>
        <v/>
      </c>
      <c r="T272" s="11" t="n"/>
      <c r="U272" s="11" t="n"/>
      <c r="V272" s="10">
        <f>IF(AND(T272="",U272=""),"",IFERROR(INDEX(T_CAPAI,MATCH(T272,L_PER,0),MATCH(U272,L_KED,0)),0))</f>
        <v/>
      </c>
      <c r="W272" s="17">
        <f>IF(OR(B272="",E272="",COUNTA(F272,H272,J272:M272,O272,Q272:R272,T272:U272)=0),"",SUM(G272,I272,N272,P272,S272,V272))</f>
        <v/>
      </c>
      <c r="X272" s="18">
        <f>IF(W272="","",IF(Murid!F272="TL","TL",ROUND(W272/110*100,2)))</f>
        <v/>
      </c>
    </row>
    <row r="273">
      <c r="A273" s="15">
        <f>Murid!A273</f>
        <v/>
      </c>
      <c r="B273" s="15">
        <f>IF(Murid!B273="","",Murid!B273)</f>
        <v/>
      </c>
      <c r="C273" s="16">
        <f>IF(Murid!C273="","",Murid!C273)</f>
        <v/>
      </c>
      <c r="D273" s="15">
        <f>IF(Murid!E273="","",Murid!E273)</f>
        <v/>
      </c>
      <c r="E273" s="11" t="n"/>
      <c r="F273" s="11" t="n"/>
      <c r="G273" s="10">
        <f>IF(F273="","",IFERROR(VLOOKUP(F273,T_JKP,2,FALSE),0))</f>
        <v/>
      </c>
      <c r="H273" s="11" t="n"/>
      <c r="I273" s="17">
        <f>IF(H273="","",IF(H273&gt;=12,40,ROUND(H273*3.33,2)))</f>
        <v/>
      </c>
      <c r="J273" s="11" t="n"/>
      <c r="K273" s="11" t="n"/>
      <c r="L273" s="11" t="n"/>
      <c r="M273" s="11" t="n"/>
      <c r="N273" s="10">
        <f>IF(COUNTA(J273:M273)=0,"",MIN(10,SUMPRODUCT((COUNTIF(J273:M273,L_KOM)&gt;0)*S_KOM)))</f>
        <v/>
      </c>
      <c r="O273" s="11" t="n"/>
      <c r="P273" s="10">
        <f>IF(O273="","",IFERROR(VLOOKUP(O273,T_KHID,2,FALSE),0))</f>
        <v/>
      </c>
      <c r="Q273" s="11" t="n"/>
      <c r="R273" s="11" t="n"/>
      <c r="S273" s="10">
        <f>IF(AND(Q273="",R273=""),"",IFERROR(INDEX(T_LIBAT,MATCH(Q273,L_PER,0),MATCH(R273,L_JENIS,0)),0))</f>
        <v/>
      </c>
      <c r="T273" s="11" t="n"/>
      <c r="U273" s="11" t="n"/>
      <c r="V273" s="10">
        <f>IF(AND(T273="",U273=""),"",IFERROR(INDEX(T_CAPAI,MATCH(T273,L_PER,0),MATCH(U273,L_KED,0)),0))</f>
        <v/>
      </c>
      <c r="W273" s="17">
        <f>IF(OR(B273="",E273="",COUNTA(F273,H273,J273:M273,O273,Q273:R273,T273:U273)=0),"",SUM(G273,I273,N273,P273,S273,V273))</f>
        <v/>
      </c>
      <c r="X273" s="18">
        <f>IF(W273="","",IF(Murid!F273="TL","TL",ROUND(W273/110*100,2)))</f>
        <v/>
      </c>
    </row>
    <row r="274">
      <c r="A274" s="15">
        <f>Murid!A274</f>
        <v/>
      </c>
      <c r="B274" s="15">
        <f>IF(Murid!B274="","",Murid!B274)</f>
        <v/>
      </c>
      <c r="C274" s="16">
        <f>IF(Murid!C274="","",Murid!C274)</f>
        <v/>
      </c>
      <c r="D274" s="15">
        <f>IF(Murid!E274="","",Murid!E274)</f>
        <v/>
      </c>
      <c r="E274" s="11" t="n"/>
      <c r="F274" s="11" t="n"/>
      <c r="G274" s="10">
        <f>IF(F274="","",IFERROR(VLOOKUP(F274,T_JKP,2,FALSE),0))</f>
        <v/>
      </c>
      <c r="H274" s="11" t="n"/>
      <c r="I274" s="17">
        <f>IF(H274="","",IF(H274&gt;=12,40,ROUND(H274*3.33,2)))</f>
        <v/>
      </c>
      <c r="J274" s="11" t="n"/>
      <c r="K274" s="11" t="n"/>
      <c r="L274" s="11" t="n"/>
      <c r="M274" s="11" t="n"/>
      <c r="N274" s="10">
        <f>IF(COUNTA(J274:M274)=0,"",MIN(10,SUMPRODUCT((COUNTIF(J274:M274,L_KOM)&gt;0)*S_KOM)))</f>
        <v/>
      </c>
      <c r="O274" s="11" t="n"/>
      <c r="P274" s="10">
        <f>IF(O274="","",IFERROR(VLOOKUP(O274,T_KHID,2,FALSE),0))</f>
        <v/>
      </c>
      <c r="Q274" s="11" t="n"/>
      <c r="R274" s="11" t="n"/>
      <c r="S274" s="10">
        <f>IF(AND(Q274="",R274=""),"",IFERROR(INDEX(T_LIBAT,MATCH(Q274,L_PER,0),MATCH(R274,L_JENIS,0)),0))</f>
        <v/>
      </c>
      <c r="T274" s="11" t="n"/>
      <c r="U274" s="11" t="n"/>
      <c r="V274" s="10">
        <f>IF(AND(T274="",U274=""),"",IFERROR(INDEX(T_CAPAI,MATCH(T274,L_PER,0),MATCH(U274,L_KED,0)),0))</f>
        <v/>
      </c>
      <c r="W274" s="17">
        <f>IF(OR(B274="",E274="",COUNTA(F274,H274,J274:M274,O274,Q274:R274,T274:U274)=0),"",SUM(G274,I274,N274,P274,S274,V274))</f>
        <v/>
      </c>
      <c r="X274" s="18">
        <f>IF(W274="","",IF(Murid!F274="TL","TL",ROUND(W274/110*100,2)))</f>
        <v/>
      </c>
    </row>
    <row r="275">
      <c r="A275" s="15">
        <f>Murid!A275</f>
        <v/>
      </c>
      <c r="B275" s="15">
        <f>IF(Murid!B275="","",Murid!B275)</f>
        <v/>
      </c>
      <c r="C275" s="16">
        <f>IF(Murid!C275="","",Murid!C275)</f>
        <v/>
      </c>
      <c r="D275" s="15">
        <f>IF(Murid!E275="","",Murid!E275)</f>
        <v/>
      </c>
      <c r="E275" s="11" t="n"/>
      <c r="F275" s="11" t="n"/>
      <c r="G275" s="10">
        <f>IF(F275="","",IFERROR(VLOOKUP(F275,T_JKP,2,FALSE),0))</f>
        <v/>
      </c>
      <c r="H275" s="11" t="n"/>
      <c r="I275" s="17">
        <f>IF(H275="","",IF(H275&gt;=12,40,ROUND(H275*3.33,2)))</f>
        <v/>
      </c>
      <c r="J275" s="11" t="n"/>
      <c r="K275" s="11" t="n"/>
      <c r="L275" s="11" t="n"/>
      <c r="M275" s="11" t="n"/>
      <c r="N275" s="10">
        <f>IF(COUNTA(J275:M275)=0,"",MIN(10,SUMPRODUCT((COUNTIF(J275:M275,L_KOM)&gt;0)*S_KOM)))</f>
        <v/>
      </c>
      <c r="O275" s="11" t="n"/>
      <c r="P275" s="10">
        <f>IF(O275="","",IFERROR(VLOOKUP(O275,T_KHID,2,FALSE),0))</f>
        <v/>
      </c>
      <c r="Q275" s="11" t="n"/>
      <c r="R275" s="11" t="n"/>
      <c r="S275" s="10">
        <f>IF(AND(Q275="",R275=""),"",IFERROR(INDEX(T_LIBAT,MATCH(Q275,L_PER,0),MATCH(R275,L_JENIS,0)),0))</f>
        <v/>
      </c>
      <c r="T275" s="11" t="n"/>
      <c r="U275" s="11" t="n"/>
      <c r="V275" s="10">
        <f>IF(AND(T275="",U275=""),"",IFERROR(INDEX(T_CAPAI,MATCH(T275,L_PER,0),MATCH(U275,L_KED,0)),0))</f>
        <v/>
      </c>
      <c r="W275" s="17">
        <f>IF(OR(B275="",E275="",COUNTA(F275,H275,J275:M275,O275,Q275:R275,T275:U275)=0),"",SUM(G275,I275,N275,P275,S275,V275))</f>
        <v/>
      </c>
      <c r="X275" s="18">
        <f>IF(W275="","",IF(Murid!F275="TL","TL",ROUND(W275/110*100,2)))</f>
        <v/>
      </c>
    </row>
    <row r="276">
      <c r="A276" s="15">
        <f>Murid!A276</f>
        <v/>
      </c>
      <c r="B276" s="15">
        <f>IF(Murid!B276="","",Murid!B276)</f>
        <v/>
      </c>
      <c r="C276" s="16">
        <f>IF(Murid!C276="","",Murid!C276)</f>
        <v/>
      </c>
      <c r="D276" s="15">
        <f>IF(Murid!E276="","",Murid!E276)</f>
        <v/>
      </c>
      <c r="E276" s="11" t="n"/>
      <c r="F276" s="11" t="n"/>
      <c r="G276" s="10">
        <f>IF(F276="","",IFERROR(VLOOKUP(F276,T_JKP,2,FALSE),0))</f>
        <v/>
      </c>
      <c r="H276" s="11" t="n"/>
      <c r="I276" s="17">
        <f>IF(H276="","",IF(H276&gt;=12,40,ROUND(H276*3.33,2)))</f>
        <v/>
      </c>
      <c r="J276" s="11" t="n"/>
      <c r="K276" s="11" t="n"/>
      <c r="L276" s="11" t="n"/>
      <c r="M276" s="11" t="n"/>
      <c r="N276" s="10">
        <f>IF(COUNTA(J276:M276)=0,"",MIN(10,SUMPRODUCT((COUNTIF(J276:M276,L_KOM)&gt;0)*S_KOM)))</f>
        <v/>
      </c>
      <c r="O276" s="11" t="n"/>
      <c r="P276" s="10">
        <f>IF(O276="","",IFERROR(VLOOKUP(O276,T_KHID,2,FALSE),0))</f>
        <v/>
      </c>
      <c r="Q276" s="11" t="n"/>
      <c r="R276" s="11" t="n"/>
      <c r="S276" s="10">
        <f>IF(AND(Q276="",R276=""),"",IFERROR(INDEX(T_LIBAT,MATCH(Q276,L_PER,0),MATCH(R276,L_JENIS,0)),0))</f>
        <v/>
      </c>
      <c r="T276" s="11" t="n"/>
      <c r="U276" s="11" t="n"/>
      <c r="V276" s="10">
        <f>IF(AND(T276="",U276=""),"",IFERROR(INDEX(T_CAPAI,MATCH(T276,L_PER,0),MATCH(U276,L_KED,0)),0))</f>
        <v/>
      </c>
      <c r="W276" s="17">
        <f>IF(OR(B276="",E276="",COUNTA(F276,H276,J276:M276,O276,Q276:R276,T276:U276)=0),"",SUM(G276,I276,N276,P276,S276,V276))</f>
        <v/>
      </c>
      <c r="X276" s="18">
        <f>IF(W276="","",IF(Murid!F276="TL","TL",ROUND(W276/110*100,2)))</f>
        <v/>
      </c>
    </row>
    <row r="277">
      <c r="A277" s="15">
        <f>Murid!A277</f>
        <v/>
      </c>
      <c r="B277" s="15">
        <f>IF(Murid!B277="","",Murid!B277)</f>
        <v/>
      </c>
      <c r="C277" s="16">
        <f>IF(Murid!C277="","",Murid!C277)</f>
        <v/>
      </c>
      <c r="D277" s="15">
        <f>IF(Murid!E277="","",Murid!E277)</f>
        <v/>
      </c>
      <c r="E277" s="11" t="n"/>
      <c r="F277" s="11" t="n"/>
      <c r="G277" s="10">
        <f>IF(F277="","",IFERROR(VLOOKUP(F277,T_JKP,2,FALSE),0))</f>
        <v/>
      </c>
      <c r="H277" s="11" t="n"/>
      <c r="I277" s="17">
        <f>IF(H277="","",IF(H277&gt;=12,40,ROUND(H277*3.33,2)))</f>
        <v/>
      </c>
      <c r="J277" s="11" t="n"/>
      <c r="K277" s="11" t="n"/>
      <c r="L277" s="11" t="n"/>
      <c r="M277" s="11" t="n"/>
      <c r="N277" s="10">
        <f>IF(COUNTA(J277:M277)=0,"",MIN(10,SUMPRODUCT((COUNTIF(J277:M277,L_KOM)&gt;0)*S_KOM)))</f>
        <v/>
      </c>
      <c r="O277" s="11" t="n"/>
      <c r="P277" s="10">
        <f>IF(O277="","",IFERROR(VLOOKUP(O277,T_KHID,2,FALSE),0))</f>
        <v/>
      </c>
      <c r="Q277" s="11" t="n"/>
      <c r="R277" s="11" t="n"/>
      <c r="S277" s="10">
        <f>IF(AND(Q277="",R277=""),"",IFERROR(INDEX(T_LIBAT,MATCH(Q277,L_PER,0),MATCH(R277,L_JENIS,0)),0))</f>
        <v/>
      </c>
      <c r="T277" s="11" t="n"/>
      <c r="U277" s="11" t="n"/>
      <c r="V277" s="10">
        <f>IF(AND(T277="",U277=""),"",IFERROR(INDEX(T_CAPAI,MATCH(T277,L_PER,0),MATCH(U277,L_KED,0)),0))</f>
        <v/>
      </c>
      <c r="W277" s="17">
        <f>IF(OR(B277="",E277="",COUNTA(F277,H277,J277:M277,O277,Q277:R277,T277:U277)=0),"",SUM(G277,I277,N277,P277,S277,V277))</f>
        <v/>
      </c>
      <c r="X277" s="18">
        <f>IF(W277="","",IF(Murid!F277="TL","TL",ROUND(W277/110*100,2)))</f>
        <v/>
      </c>
    </row>
    <row r="278">
      <c r="A278" s="15">
        <f>Murid!A278</f>
        <v/>
      </c>
      <c r="B278" s="15">
        <f>IF(Murid!B278="","",Murid!B278)</f>
        <v/>
      </c>
      <c r="C278" s="16">
        <f>IF(Murid!C278="","",Murid!C278)</f>
        <v/>
      </c>
      <c r="D278" s="15">
        <f>IF(Murid!E278="","",Murid!E278)</f>
        <v/>
      </c>
      <c r="E278" s="11" t="n"/>
      <c r="F278" s="11" t="n"/>
      <c r="G278" s="10">
        <f>IF(F278="","",IFERROR(VLOOKUP(F278,T_JKP,2,FALSE),0))</f>
        <v/>
      </c>
      <c r="H278" s="11" t="n"/>
      <c r="I278" s="17">
        <f>IF(H278="","",IF(H278&gt;=12,40,ROUND(H278*3.33,2)))</f>
        <v/>
      </c>
      <c r="J278" s="11" t="n"/>
      <c r="K278" s="11" t="n"/>
      <c r="L278" s="11" t="n"/>
      <c r="M278" s="11" t="n"/>
      <c r="N278" s="10">
        <f>IF(COUNTA(J278:M278)=0,"",MIN(10,SUMPRODUCT((COUNTIF(J278:M278,L_KOM)&gt;0)*S_KOM)))</f>
        <v/>
      </c>
      <c r="O278" s="11" t="n"/>
      <c r="P278" s="10">
        <f>IF(O278="","",IFERROR(VLOOKUP(O278,T_KHID,2,FALSE),0))</f>
        <v/>
      </c>
      <c r="Q278" s="11" t="n"/>
      <c r="R278" s="11" t="n"/>
      <c r="S278" s="10">
        <f>IF(AND(Q278="",R278=""),"",IFERROR(INDEX(T_LIBAT,MATCH(Q278,L_PER,0),MATCH(R278,L_JENIS,0)),0))</f>
        <v/>
      </c>
      <c r="T278" s="11" t="n"/>
      <c r="U278" s="11" t="n"/>
      <c r="V278" s="10">
        <f>IF(AND(T278="",U278=""),"",IFERROR(INDEX(T_CAPAI,MATCH(T278,L_PER,0),MATCH(U278,L_KED,0)),0))</f>
        <v/>
      </c>
      <c r="W278" s="17">
        <f>IF(OR(B278="",E278="",COUNTA(F278,H278,J278:M278,O278,Q278:R278,T278:U278)=0),"",SUM(G278,I278,N278,P278,S278,V278))</f>
        <v/>
      </c>
      <c r="X278" s="18">
        <f>IF(W278="","",IF(Murid!F278="TL","TL",ROUND(W278/110*100,2)))</f>
        <v/>
      </c>
    </row>
    <row r="279">
      <c r="A279" s="15">
        <f>Murid!A279</f>
        <v/>
      </c>
      <c r="B279" s="15">
        <f>IF(Murid!B279="","",Murid!B279)</f>
        <v/>
      </c>
      <c r="C279" s="16">
        <f>IF(Murid!C279="","",Murid!C279)</f>
        <v/>
      </c>
      <c r="D279" s="15">
        <f>IF(Murid!E279="","",Murid!E279)</f>
        <v/>
      </c>
      <c r="E279" s="11" t="n"/>
      <c r="F279" s="11" t="n"/>
      <c r="G279" s="10">
        <f>IF(F279="","",IFERROR(VLOOKUP(F279,T_JKP,2,FALSE),0))</f>
        <v/>
      </c>
      <c r="H279" s="11" t="n"/>
      <c r="I279" s="17">
        <f>IF(H279="","",IF(H279&gt;=12,40,ROUND(H279*3.33,2)))</f>
        <v/>
      </c>
      <c r="J279" s="11" t="n"/>
      <c r="K279" s="11" t="n"/>
      <c r="L279" s="11" t="n"/>
      <c r="M279" s="11" t="n"/>
      <c r="N279" s="10">
        <f>IF(COUNTA(J279:M279)=0,"",MIN(10,SUMPRODUCT((COUNTIF(J279:M279,L_KOM)&gt;0)*S_KOM)))</f>
        <v/>
      </c>
      <c r="O279" s="11" t="n"/>
      <c r="P279" s="10">
        <f>IF(O279="","",IFERROR(VLOOKUP(O279,T_KHID,2,FALSE),0))</f>
        <v/>
      </c>
      <c r="Q279" s="11" t="n"/>
      <c r="R279" s="11" t="n"/>
      <c r="S279" s="10">
        <f>IF(AND(Q279="",R279=""),"",IFERROR(INDEX(T_LIBAT,MATCH(Q279,L_PER,0),MATCH(R279,L_JENIS,0)),0))</f>
        <v/>
      </c>
      <c r="T279" s="11" t="n"/>
      <c r="U279" s="11" t="n"/>
      <c r="V279" s="10">
        <f>IF(AND(T279="",U279=""),"",IFERROR(INDEX(T_CAPAI,MATCH(T279,L_PER,0),MATCH(U279,L_KED,0)),0))</f>
        <v/>
      </c>
      <c r="W279" s="17">
        <f>IF(OR(B279="",E279="",COUNTA(F279,H279,J279:M279,O279,Q279:R279,T279:U279)=0),"",SUM(G279,I279,N279,P279,S279,V279))</f>
        <v/>
      </c>
      <c r="X279" s="18">
        <f>IF(W279="","",IF(Murid!F279="TL","TL",ROUND(W279/110*100,2)))</f>
        <v/>
      </c>
    </row>
    <row r="280">
      <c r="A280" s="15">
        <f>Murid!A280</f>
        <v/>
      </c>
      <c r="B280" s="15">
        <f>IF(Murid!B280="","",Murid!B280)</f>
        <v/>
      </c>
      <c r="C280" s="16">
        <f>IF(Murid!C280="","",Murid!C280)</f>
        <v/>
      </c>
      <c r="D280" s="15">
        <f>IF(Murid!E280="","",Murid!E280)</f>
        <v/>
      </c>
      <c r="E280" s="11" t="n"/>
      <c r="F280" s="11" t="n"/>
      <c r="G280" s="10">
        <f>IF(F280="","",IFERROR(VLOOKUP(F280,T_JKP,2,FALSE),0))</f>
        <v/>
      </c>
      <c r="H280" s="11" t="n"/>
      <c r="I280" s="17">
        <f>IF(H280="","",IF(H280&gt;=12,40,ROUND(H280*3.33,2)))</f>
        <v/>
      </c>
      <c r="J280" s="11" t="n"/>
      <c r="K280" s="11" t="n"/>
      <c r="L280" s="11" t="n"/>
      <c r="M280" s="11" t="n"/>
      <c r="N280" s="10">
        <f>IF(COUNTA(J280:M280)=0,"",MIN(10,SUMPRODUCT((COUNTIF(J280:M280,L_KOM)&gt;0)*S_KOM)))</f>
        <v/>
      </c>
      <c r="O280" s="11" t="n"/>
      <c r="P280" s="10">
        <f>IF(O280="","",IFERROR(VLOOKUP(O280,T_KHID,2,FALSE),0))</f>
        <v/>
      </c>
      <c r="Q280" s="11" t="n"/>
      <c r="R280" s="11" t="n"/>
      <c r="S280" s="10">
        <f>IF(AND(Q280="",R280=""),"",IFERROR(INDEX(T_LIBAT,MATCH(Q280,L_PER,0),MATCH(R280,L_JENIS,0)),0))</f>
        <v/>
      </c>
      <c r="T280" s="11" t="n"/>
      <c r="U280" s="11" t="n"/>
      <c r="V280" s="10">
        <f>IF(AND(T280="",U280=""),"",IFERROR(INDEX(T_CAPAI,MATCH(T280,L_PER,0),MATCH(U280,L_KED,0)),0))</f>
        <v/>
      </c>
      <c r="W280" s="17">
        <f>IF(OR(B280="",E280="",COUNTA(F280,H280,J280:M280,O280,Q280:R280,T280:U280)=0),"",SUM(G280,I280,N280,P280,S280,V280))</f>
        <v/>
      </c>
      <c r="X280" s="18">
        <f>IF(W280="","",IF(Murid!F280="TL","TL",ROUND(W280/110*100,2)))</f>
        <v/>
      </c>
    </row>
    <row r="281">
      <c r="A281" s="15">
        <f>Murid!A281</f>
        <v/>
      </c>
      <c r="B281" s="15">
        <f>IF(Murid!B281="","",Murid!B281)</f>
        <v/>
      </c>
      <c r="C281" s="16">
        <f>IF(Murid!C281="","",Murid!C281)</f>
        <v/>
      </c>
      <c r="D281" s="15">
        <f>IF(Murid!E281="","",Murid!E281)</f>
        <v/>
      </c>
      <c r="E281" s="11" t="n"/>
      <c r="F281" s="11" t="n"/>
      <c r="G281" s="10">
        <f>IF(F281="","",IFERROR(VLOOKUP(F281,T_JKP,2,FALSE),0))</f>
        <v/>
      </c>
      <c r="H281" s="11" t="n"/>
      <c r="I281" s="17">
        <f>IF(H281="","",IF(H281&gt;=12,40,ROUND(H281*3.33,2)))</f>
        <v/>
      </c>
      <c r="J281" s="11" t="n"/>
      <c r="K281" s="11" t="n"/>
      <c r="L281" s="11" t="n"/>
      <c r="M281" s="11" t="n"/>
      <c r="N281" s="10">
        <f>IF(COUNTA(J281:M281)=0,"",MIN(10,SUMPRODUCT((COUNTIF(J281:M281,L_KOM)&gt;0)*S_KOM)))</f>
        <v/>
      </c>
      <c r="O281" s="11" t="n"/>
      <c r="P281" s="10">
        <f>IF(O281="","",IFERROR(VLOOKUP(O281,T_KHID,2,FALSE),0))</f>
        <v/>
      </c>
      <c r="Q281" s="11" t="n"/>
      <c r="R281" s="11" t="n"/>
      <c r="S281" s="10">
        <f>IF(AND(Q281="",R281=""),"",IFERROR(INDEX(T_LIBAT,MATCH(Q281,L_PER,0),MATCH(R281,L_JENIS,0)),0))</f>
        <v/>
      </c>
      <c r="T281" s="11" t="n"/>
      <c r="U281" s="11" t="n"/>
      <c r="V281" s="10">
        <f>IF(AND(T281="",U281=""),"",IFERROR(INDEX(T_CAPAI,MATCH(T281,L_PER,0),MATCH(U281,L_KED,0)),0))</f>
        <v/>
      </c>
      <c r="W281" s="17">
        <f>IF(OR(B281="",E281="",COUNTA(F281,H281,J281:M281,O281,Q281:R281,T281:U281)=0),"",SUM(G281,I281,N281,P281,S281,V281))</f>
        <v/>
      </c>
      <c r="X281" s="18">
        <f>IF(W281="","",IF(Murid!F281="TL","TL",ROUND(W281/110*100,2)))</f>
        <v/>
      </c>
    </row>
    <row r="282">
      <c r="A282" s="15">
        <f>Murid!A282</f>
        <v/>
      </c>
      <c r="B282" s="15">
        <f>IF(Murid!B282="","",Murid!B282)</f>
        <v/>
      </c>
      <c r="C282" s="16">
        <f>IF(Murid!C282="","",Murid!C282)</f>
        <v/>
      </c>
      <c r="D282" s="15">
        <f>IF(Murid!E282="","",Murid!E282)</f>
        <v/>
      </c>
      <c r="E282" s="11" t="n"/>
      <c r="F282" s="11" t="n"/>
      <c r="G282" s="10">
        <f>IF(F282="","",IFERROR(VLOOKUP(F282,T_JKP,2,FALSE),0))</f>
        <v/>
      </c>
      <c r="H282" s="11" t="n"/>
      <c r="I282" s="17">
        <f>IF(H282="","",IF(H282&gt;=12,40,ROUND(H282*3.33,2)))</f>
        <v/>
      </c>
      <c r="J282" s="11" t="n"/>
      <c r="K282" s="11" t="n"/>
      <c r="L282" s="11" t="n"/>
      <c r="M282" s="11" t="n"/>
      <c r="N282" s="10">
        <f>IF(COUNTA(J282:M282)=0,"",MIN(10,SUMPRODUCT((COUNTIF(J282:M282,L_KOM)&gt;0)*S_KOM)))</f>
        <v/>
      </c>
      <c r="O282" s="11" t="n"/>
      <c r="P282" s="10">
        <f>IF(O282="","",IFERROR(VLOOKUP(O282,T_KHID,2,FALSE),0))</f>
        <v/>
      </c>
      <c r="Q282" s="11" t="n"/>
      <c r="R282" s="11" t="n"/>
      <c r="S282" s="10">
        <f>IF(AND(Q282="",R282=""),"",IFERROR(INDEX(T_LIBAT,MATCH(Q282,L_PER,0),MATCH(R282,L_JENIS,0)),0))</f>
        <v/>
      </c>
      <c r="T282" s="11" t="n"/>
      <c r="U282" s="11" t="n"/>
      <c r="V282" s="10">
        <f>IF(AND(T282="",U282=""),"",IFERROR(INDEX(T_CAPAI,MATCH(T282,L_PER,0),MATCH(U282,L_KED,0)),0))</f>
        <v/>
      </c>
      <c r="W282" s="17">
        <f>IF(OR(B282="",E282="",COUNTA(F282,H282,J282:M282,O282,Q282:R282,T282:U282)=0),"",SUM(G282,I282,N282,P282,S282,V282))</f>
        <v/>
      </c>
      <c r="X282" s="18">
        <f>IF(W282="","",IF(Murid!F282="TL","TL",ROUND(W282/110*100,2)))</f>
        <v/>
      </c>
    </row>
    <row r="283">
      <c r="A283" s="15">
        <f>Murid!A283</f>
        <v/>
      </c>
      <c r="B283" s="15">
        <f>IF(Murid!B283="","",Murid!B283)</f>
        <v/>
      </c>
      <c r="C283" s="16">
        <f>IF(Murid!C283="","",Murid!C283)</f>
        <v/>
      </c>
      <c r="D283" s="15">
        <f>IF(Murid!E283="","",Murid!E283)</f>
        <v/>
      </c>
      <c r="E283" s="11" t="n"/>
      <c r="F283" s="11" t="n"/>
      <c r="G283" s="10">
        <f>IF(F283="","",IFERROR(VLOOKUP(F283,T_JKP,2,FALSE),0))</f>
        <v/>
      </c>
      <c r="H283" s="11" t="n"/>
      <c r="I283" s="17">
        <f>IF(H283="","",IF(H283&gt;=12,40,ROUND(H283*3.33,2)))</f>
        <v/>
      </c>
      <c r="J283" s="11" t="n"/>
      <c r="K283" s="11" t="n"/>
      <c r="L283" s="11" t="n"/>
      <c r="M283" s="11" t="n"/>
      <c r="N283" s="10">
        <f>IF(COUNTA(J283:M283)=0,"",MIN(10,SUMPRODUCT((COUNTIF(J283:M283,L_KOM)&gt;0)*S_KOM)))</f>
        <v/>
      </c>
      <c r="O283" s="11" t="n"/>
      <c r="P283" s="10">
        <f>IF(O283="","",IFERROR(VLOOKUP(O283,T_KHID,2,FALSE),0))</f>
        <v/>
      </c>
      <c r="Q283" s="11" t="n"/>
      <c r="R283" s="11" t="n"/>
      <c r="S283" s="10">
        <f>IF(AND(Q283="",R283=""),"",IFERROR(INDEX(T_LIBAT,MATCH(Q283,L_PER,0),MATCH(R283,L_JENIS,0)),0))</f>
        <v/>
      </c>
      <c r="T283" s="11" t="n"/>
      <c r="U283" s="11" t="n"/>
      <c r="V283" s="10">
        <f>IF(AND(T283="",U283=""),"",IFERROR(INDEX(T_CAPAI,MATCH(T283,L_PER,0),MATCH(U283,L_KED,0)),0))</f>
        <v/>
      </c>
      <c r="W283" s="17">
        <f>IF(OR(B283="",E283="",COUNTA(F283,H283,J283:M283,O283,Q283:R283,T283:U283)=0),"",SUM(G283,I283,N283,P283,S283,V283))</f>
        <v/>
      </c>
      <c r="X283" s="18">
        <f>IF(W283="","",IF(Murid!F283="TL","TL",ROUND(W283/110*100,2)))</f>
        <v/>
      </c>
    </row>
    <row r="284">
      <c r="A284" s="15">
        <f>Murid!A284</f>
        <v/>
      </c>
      <c r="B284" s="15">
        <f>IF(Murid!B284="","",Murid!B284)</f>
        <v/>
      </c>
      <c r="C284" s="16">
        <f>IF(Murid!C284="","",Murid!C284)</f>
        <v/>
      </c>
      <c r="D284" s="15">
        <f>IF(Murid!E284="","",Murid!E284)</f>
        <v/>
      </c>
      <c r="E284" s="11" t="n"/>
      <c r="F284" s="11" t="n"/>
      <c r="G284" s="10">
        <f>IF(F284="","",IFERROR(VLOOKUP(F284,T_JKP,2,FALSE),0))</f>
        <v/>
      </c>
      <c r="H284" s="11" t="n"/>
      <c r="I284" s="17">
        <f>IF(H284="","",IF(H284&gt;=12,40,ROUND(H284*3.33,2)))</f>
        <v/>
      </c>
      <c r="J284" s="11" t="n"/>
      <c r="K284" s="11" t="n"/>
      <c r="L284" s="11" t="n"/>
      <c r="M284" s="11" t="n"/>
      <c r="N284" s="10">
        <f>IF(COUNTA(J284:M284)=0,"",MIN(10,SUMPRODUCT((COUNTIF(J284:M284,L_KOM)&gt;0)*S_KOM)))</f>
        <v/>
      </c>
      <c r="O284" s="11" t="n"/>
      <c r="P284" s="10">
        <f>IF(O284="","",IFERROR(VLOOKUP(O284,T_KHID,2,FALSE),0))</f>
        <v/>
      </c>
      <c r="Q284" s="11" t="n"/>
      <c r="R284" s="11" t="n"/>
      <c r="S284" s="10">
        <f>IF(AND(Q284="",R284=""),"",IFERROR(INDEX(T_LIBAT,MATCH(Q284,L_PER,0),MATCH(R284,L_JENIS,0)),0))</f>
        <v/>
      </c>
      <c r="T284" s="11" t="n"/>
      <c r="U284" s="11" t="n"/>
      <c r="V284" s="10">
        <f>IF(AND(T284="",U284=""),"",IFERROR(INDEX(T_CAPAI,MATCH(T284,L_PER,0),MATCH(U284,L_KED,0)),0))</f>
        <v/>
      </c>
      <c r="W284" s="17">
        <f>IF(OR(B284="",E284="",COUNTA(F284,H284,J284:M284,O284,Q284:R284,T284:U284)=0),"",SUM(G284,I284,N284,P284,S284,V284))</f>
        <v/>
      </c>
      <c r="X284" s="18">
        <f>IF(W284="","",IF(Murid!F284="TL","TL",ROUND(W284/110*100,2)))</f>
        <v/>
      </c>
    </row>
    <row r="285">
      <c r="A285" s="15">
        <f>Murid!A285</f>
        <v/>
      </c>
      <c r="B285" s="15">
        <f>IF(Murid!B285="","",Murid!B285)</f>
        <v/>
      </c>
      <c r="C285" s="16">
        <f>IF(Murid!C285="","",Murid!C285)</f>
        <v/>
      </c>
      <c r="D285" s="15">
        <f>IF(Murid!E285="","",Murid!E285)</f>
        <v/>
      </c>
      <c r="E285" s="11" t="n"/>
      <c r="F285" s="11" t="n"/>
      <c r="G285" s="10">
        <f>IF(F285="","",IFERROR(VLOOKUP(F285,T_JKP,2,FALSE),0))</f>
        <v/>
      </c>
      <c r="H285" s="11" t="n"/>
      <c r="I285" s="17">
        <f>IF(H285="","",IF(H285&gt;=12,40,ROUND(H285*3.33,2)))</f>
        <v/>
      </c>
      <c r="J285" s="11" t="n"/>
      <c r="K285" s="11" t="n"/>
      <c r="L285" s="11" t="n"/>
      <c r="M285" s="11" t="n"/>
      <c r="N285" s="10">
        <f>IF(COUNTA(J285:M285)=0,"",MIN(10,SUMPRODUCT((COUNTIF(J285:M285,L_KOM)&gt;0)*S_KOM)))</f>
        <v/>
      </c>
      <c r="O285" s="11" t="n"/>
      <c r="P285" s="10">
        <f>IF(O285="","",IFERROR(VLOOKUP(O285,T_KHID,2,FALSE),0))</f>
        <v/>
      </c>
      <c r="Q285" s="11" t="n"/>
      <c r="R285" s="11" t="n"/>
      <c r="S285" s="10">
        <f>IF(AND(Q285="",R285=""),"",IFERROR(INDEX(T_LIBAT,MATCH(Q285,L_PER,0),MATCH(R285,L_JENIS,0)),0))</f>
        <v/>
      </c>
      <c r="T285" s="11" t="n"/>
      <c r="U285" s="11" t="n"/>
      <c r="V285" s="10">
        <f>IF(AND(T285="",U285=""),"",IFERROR(INDEX(T_CAPAI,MATCH(T285,L_PER,0),MATCH(U285,L_KED,0)),0))</f>
        <v/>
      </c>
      <c r="W285" s="17">
        <f>IF(OR(B285="",E285="",COUNTA(F285,H285,J285:M285,O285,Q285:R285,T285:U285)=0),"",SUM(G285,I285,N285,P285,S285,V285))</f>
        <v/>
      </c>
      <c r="X285" s="18">
        <f>IF(W285="","",IF(Murid!F285="TL","TL",ROUND(W285/110*100,2)))</f>
        <v/>
      </c>
    </row>
    <row r="286">
      <c r="A286" s="15">
        <f>Murid!A286</f>
        <v/>
      </c>
      <c r="B286" s="15">
        <f>IF(Murid!B286="","",Murid!B286)</f>
        <v/>
      </c>
      <c r="C286" s="16">
        <f>IF(Murid!C286="","",Murid!C286)</f>
        <v/>
      </c>
      <c r="D286" s="15">
        <f>IF(Murid!E286="","",Murid!E286)</f>
        <v/>
      </c>
      <c r="E286" s="11" t="n"/>
      <c r="F286" s="11" t="n"/>
      <c r="G286" s="10">
        <f>IF(F286="","",IFERROR(VLOOKUP(F286,T_JKP,2,FALSE),0))</f>
        <v/>
      </c>
      <c r="H286" s="11" t="n"/>
      <c r="I286" s="17">
        <f>IF(H286="","",IF(H286&gt;=12,40,ROUND(H286*3.33,2)))</f>
        <v/>
      </c>
      <c r="J286" s="11" t="n"/>
      <c r="K286" s="11" t="n"/>
      <c r="L286" s="11" t="n"/>
      <c r="M286" s="11" t="n"/>
      <c r="N286" s="10">
        <f>IF(COUNTA(J286:M286)=0,"",MIN(10,SUMPRODUCT((COUNTIF(J286:M286,L_KOM)&gt;0)*S_KOM)))</f>
        <v/>
      </c>
      <c r="O286" s="11" t="n"/>
      <c r="P286" s="10">
        <f>IF(O286="","",IFERROR(VLOOKUP(O286,T_KHID,2,FALSE),0))</f>
        <v/>
      </c>
      <c r="Q286" s="11" t="n"/>
      <c r="R286" s="11" t="n"/>
      <c r="S286" s="10">
        <f>IF(AND(Q286="",R286=""),"",IFERROR(INDEX(T_LIBAT,MATCH(Q286,L_PER,0),MATCH(R286,L_JENIS,0)),0))</f>
        <v/>
      </c>
      <c r="T286" s="11" t="n"/>
      <c r="U286" s="11" t="n"/>
      <c r="V286" s="10">
        <f>IF(AND(T286="",U286=""),"",IFERROR(INDEX(T_CAPAI,MATCH(T286,L_PER,0),MATCH(U286,L_KED,0)),0))</f>
        <v/>
      </c>
      <c r="W286" s="17">
        <f>IF(OR(B286="",E286="",COUNTA(F286,H286,J286:M286,O286,Q286:R286,T286:U286)=0),"",SUM(G286,I286,N286,P286,S286,V286))</f>
        <v/>
      </c>
      <c r="X286" s="18">
        <f>IF(W286="","",IF(Murid!F286="TL","TL",ROUND(W286/110*100,2)))</f>
        <v/>
      </c>
    </row>
    <row r="287">
      <c r="A287" s="15">
        <f>Murid!A287</f>
        <v/>
      </c>
      <c r="B287" s="15">
        <f>IF(Murid!B287="","",Murid!B287)</f>
        <v/>
      </c>
      <c r="C287" s="16">
        <f>IF(Murid!C287="","",Murid!C287)</f>
        <v/>
      </c>
      <c r="D287" s="15">
        <f>IF(Murid!E287="","",Murid!E287)</f>
        <v/>
      </c>
      <c r="E287" s="11" t="n"/>
      <c r="F287" s="11" t="n"/>
      <c r="G287" s="10">
        <f>IF(F287="","",IFERROR(VLOOKUP(F287,T_JKP,2,FALSE),0))</f>
        <v/>
      </c>
      <c r="H287" s="11" t="n"/>
      <c r="I287" s="17">
        <f>IF(H287="","",IF(H287&gt;=12,40,ROUND(H287*3.33,2)))</f>
        <v/>
      </c>
      <c r="J287" s="11" t="n"/>
      <c r="K287" s="11" t="n"/>
      <c r="L287" s="11" t="n"/>
      <c r="M287" s="11" t="n"/>
      <c r="N287" s="10">
        <f>IF(COUNTA(J287:M287)=0,"",MIN(10,SUMPRODUCT((COUNTIF(J287:M287,L_KOM)&gt;0)*S_KOM)))</f>
        <v/>
      </c>
      <c r="O287" s="11" t="n"/>
      <c r="P287" s="10">
        <f>IF(O287="","",IFERROR(VLOOKUP(O287,T_KHID,2,FALSE),0))</f>
        <v/>
      </c>
      <c r="Q287" s="11" t="n"/>
      <c r="R287" s="11" t="n"/>
      <c r="S287" s="10">
        <f>IF(AND(Q287="",R287=""),"",IFERROR(INDEX(T_LIBAT,MATCH(Q287,L_PER,0),MATCH(R287,L_JENIS,0)),0))</f>
        <v/>
      </c>
      <c r="T287" s="11" t="n"/>
      <c r="U287" s="11" t="n"/>
      <c r="V287" s="10">
        <f>IF(AND(T287="",U287=""),"",IFERROR(INDEX(T_CAPAI,MATCH(T287,L_PER,0),MATCH(U287,L_KED,0)),0))</f>
        <v/>
      </c>
      <c r="W287" s="17">
        <f>IF(OR(B287="",E287="",COUNTA(F287,H287,J287:M287,O287,Q287:R287,T287:U287)=0),"",SUM(G287,I287,N287,P287,S287,V287))</f>
        <v/>
      </c>
      <c r="X287" s="18">
        <f>IF(W287="","",IF(Murid!F287="TL","TL",ROUND(W287/110*100,2)))</f>
        <v/>
      </c>
    </row>
    <row r="288">
      <c r="A288" s="15">
        <f>Murid!A288</f>
        <v/>
      </c>
      <c r="B288" s="15">
        <f>IF(Murid!B288="","",Murid!B288)</f>
        <v/>
      </c>
      <c r="C288" s="16">
        <f>IF(Murid!C288="","",Murid!C288)</f>
        <v/>
      </c>
      <c r="D288" s="15">
        <f>IF(Murid!E288="","",Murid!E288)</f>
        <v/>
      </c>
      <c r="E288" s="11" t="n"/>
      <c r="F288" s="11" t="n"/>
      <c r="G288" s="10">
        <f>IF(F288="","",IFERROR(VLOOKUP(F288,T_JKP,2,FALSE),0))</f>
        <v/>
      </c>
      <c r="H288" s="11" t="n"/>
      <c r="I288" s="17">
        <f>IF(H288="","",IF(H288&gt;=12,40,ROUND(H288*3.33,2)))</f>
        <v/>
      </c>
      <c r="J288" s="11" t="n"/>
      <c r="K288" s="11" t="n"/>
      <c r="L288" s="11" t="n"/>
      <c r="M288" s="11" t="n"/>
      <c r="N288" s="10">
        <f>IF(COUNTA(J288:M288)=0,"",MIN(10,SUMPRODUCT((COUNTIF(J288:M288,L_KOM)&gt;0)*S_KOM)))</f>
        <v/>
      </c>
      <c r="O288" s="11" t="n"/>
      <c r="P288" s="10">
        <f>IF(O288="","",IFERROR(VLOOKUP(O288,T_KHID,2,FALSE),0))</f>
        <v/>
      </c>
      <c r="Q288" s="11" t="n"/>
      <c r="R288" s="11" t="n"/>
      <c r="S288" s="10">
        <f>IF(AND(Q288="",R288=""),"",IFERROR(INDEX(T_LIBAT,MATCH(Q288,L_PER,0),MATCH(R288,L_JENIS,0)),0))</f>
        <v/>
      </c>
      <c r="T288" s="11" t="n"/>
      <c r="U288" s="11" t="n"/>
      <c r="V288" s="10">
        <f>IF(AND(T288="",U288=""),"",IFERROR(INDEX(T_CAPAI,MATCH(T288,L_PER,0),MATCH(U288,L_KED,0)),0))</f>
        <v/>
      </c>
      <c r="W288" s="17">
        <f>IF(OR(B288="",E288="",COUNTA(F288,H288,J288:M288,O288,Q288:R288,T288:U288)=0),"",SUM(G288,I288,N288,P288,S288,V288))</f>
        <v/>
      </c>
      <c r="X288" s="18">
        <f>IF(W288="","",IF(Murid!F288="TL","TL",ROUND(W288/110*100,2)))</f>
        <v/>
      </c>
    </row>
    <row r="289">
      <c r="A289" s="15">
        <f>Murid!A289</f>
        <v/>
      </c>
      <c r="B289" s="15">
        <f>IF(Murid!B289="","",Murid!B289)</f>
        <v/>
      </c>
      <c r="C289" s="16">
        <f>IF(Murid!C289="","",Murid!C289)</f>
        <v/>
      </c>
      <c r="D289" s="15">
        <f>IF(Murid!E289="","",Murid!E289)</f>
        <v/>
      </c>
      <c r="E289" s="11" t="n"/>
      <c r="F289" s="11" t="n"/>
      <c r="G289" s="10">
        <f>IF(F289="","",IFERROR(VLOOKUP(F289,T_JKP,2,FALSE),0))</f>
        <v/>
      </c>
      <c r="H289" s="11" t="n"/>
      <c r="I289" s="17">
        <f>IF(H289="","",IF(H289&gt;=12,40,ROUND(H289*3.33,2)))</f>
        <v/>
      </c>
      <c r="J289" s="11" t="n"/>
      <c r="K289" s="11" t="n"/>
      <c r="L289" s="11" t="n"/>
      <c r="M289" s="11" t="n"/>
      <c r="N289" s="10">
        <f>IF(COUNTA(J289:M289)=0,"",MIN(10,SUMPRODUCT((COUNTIF(J289:M289,L_KOM)&gt;0)*S_KOM)))</f>
        <v/>
      </c>
      <c r="O289" s="11" t="n"/>
      <c r="P289" s="10">
        <f>IF(O289="","",IFERROR(VLOOKUP(O289,T_KHID,2,FALSE),0))</f>
        <v/>
      </c>
      <c r="Q289" s="11" t="n"/>
      <c r="R289" s="11" t="n"/>
      <c r="S289" s="10">
        <f>IF(AND(Q289="",R289=""),"",IFERROR(INDEX(T_LIBAT,MATCH(Q289,L_PER,0),MATCH(R289,L_JENIS,0)),0))</f>
        <v/>
      </c>
      <c r="T289" s="11" t="n"/>
      <c r="U289" s="11" t="n"/>
      <c r="V289" s="10">
        <f>IF(AND(T289="",U289=""),"",IFERROR(INDEX(T_CAPAI,MATCH(T289,L_PER,0),MATCH(U289,L_KED,0)),0))</f>
        <v/>
      </c>
      <c r="W289" s="17">
        <f>IF(OR(B289="",E289="",COUNTA(F289,H289,J289:M289,O289,Q289:R289,T289:U289)=0),"",SUM(G289,I289,N289,P289,S289,V289))</f>
        <v/>
      </c>
      <c r="X289" s="18">
        <f>IF(W289="","",IF(Murid!F289="TL","TL",ROUND(W289/110*100,2)))</f>
        <v/>
      </c>
    </row>
    <row r="290">
      <c r="A290" s="15">
        <f>Murid!A290</f>
        <v/>
      </c>
      <c r="B290" s="15">
        <f>IF(Murid!B290="","",Murid!B290)</f>
        <v/>
      </c>
      <c r="C290" s="16">
        <f>IF(Murid!C290="","",Murid!C290)</f>
        <v/>
      </c>
      <c r="D290" s="15">
        <f>IF(Murid!E290="","",Murid!E290)</f>
        <v/>
      </c>
      <c r="E290" s="11" t="n"/>
      <c r="F290" s="11" t="n"/>
      <c r="G290" s="10">
        <f>IF(F290="","",IFERROR(VLOOKUP(F290,T_JKP,2,FALSE),0))</f>
        <v/>
      </c>
      <c r="H290" s="11" t="n"/>
      <c r="I290" s="17">
        <f>IF(H290="","",IF(H290&gt;=12,40,ROUND(H290*3.33,2)))</f>
        <v/>
      </c>
      <c r="J290" s="11" t="n"/>
      <c r="K290" s="11" t="n"/>
      <c r="L290" s="11" t="n"/>
      <c r="M290" s="11" t="n"/>
      <c r="N290" s="10">
        <f>IF(COUNTA(J290:M290)=0,"",MIN(10,SUMPRODUCT((COUNTIF(J290:M290,L_KOM)&gt;0)*S_KOM)))</f>
        <v/>
      </c>
      <c r="O290" s="11" t="n"/>
      <c r="P290" s="10">
        <f>IF(O290="","",IFERROR(VLOOKUP(O290,T_KHID,2,FALSE),0))</f>
        <v/>
      </c>
      <c r="Q290" s="11" t="n"/>
      <c r="R290" s="11" t="n"/>
      <c r="S290" s="10">
        <f>IF(AND(Q290="",R290=""),"",IFERROR(INDEX(T_LIBAT,MATCH(Q290,L_PER,0),MATCH(R290,L_JENIS,0)),0))</f>
        <v/>
      </c>
      <c r="T290" s="11" t="n"/>
      <c r="U290" s="11" t="n"/>
      <c r="V290" s="10">
        <f>IF(AND(T290="",U290=""),"",IFERROR(INDEX(T_CAPAI,MATCH(T290,L_PER,0),MATCH(U290,L_KED,0)),0))</f>
        <v/>
      </c>
      <c r="W290" s="17">
        <f>IF(OR(B290="",E290="",COUNTA(F290,H290,J290:M290,O290,Q290:R290,T290:U290)=0),"",SUM(G290,I290,N290,P290,S290,V290))</f>
        <v/>
      </c>
      <c r="X290" s="18">
        <f>IF(W290="","",IF(Murid!F290="TL","TL",ROUND(W290/110*100,2)))</f>
        <v/>
      </c>
    </row>
    <row r="291">
      <c r="A291" s="15">
        <f>Murid!A291</f>
        <v/>
      </c>
      <c r="B291" s="15">
        <f>IF(Murid!B291="","",Murid!B291)</f>
        <v/>
      </c>
      <c r="C291" s="16">
        <f>IF(Murid!C291="","",Murid!C291)</f>
        <v/>
      </c>
      <c r="D291" s="15">
        <f>IF(Murid!E291="","",Murid!E291)</f>
        <v/>
      </c>
      <c r="E291" s="11" t="n"/>
      <c r="F291" s="11" t="n"/>
      <c r="G291" s="10">
        <f>IF(F291="","",IFERROR(VLOOKUP(F291,T_JKP,2,FALSE),0))</f>
        <v/>
      </c>
      <c r="H291" s="11" t="n"/>
      <c r="I291" s="17">
        <f>IF(H291="","",IF(H291&gt;=12,40,ROUND(H291*3.33,2)))</f>
        <v/>
      </c>
      <c r="J291" s="11" t="n"/>
      <c r="K291" s="11" t="n"/>
      <c r="L291" s="11" t="n"/>
      <c r="M291" s="11" t="n"/>
      <c r="N291" s="10">
        <f>IF(COUNTA(J291:M291)=0,"",MIN(10,SUMPRODUCT((COUNTIF(J291:M291,L_KOM)&gt;0)*S_KOM)))</f>
        <v/>
      </c>
      <c r="O291" s="11" t="n"/>
      <c r="P291" s="10">
        <f>IF(O291="","",IFERROR(VLOOKUP(O291,T_KHID,2,FALSE),0))</f>
        <v/>
      </c>
      <c r="Q291" s="11" t="n"/>
      <c r="R291" s="11" t="n"/>
      <c r="S291" s="10">
        <f>IF(AND(Q291="",R291=""),"",IFERROR(INDEX(T_LIBAT,MATCH(Q291,L_PER,0),MATCH(R291,L_JENIS,0)),0))</f>
        <v/>
      </c>
      <c r="T291" s="11" t="n"/>
      <c r="U291" s="11" t="n"/>
      <c r="V291" s="10">
        <f>IF(AND(T291="",U291=""),"",IFERROR(INDEX(T_CAPAI,MATCH(T291,L_PER,0),MATCH(U291,L_KED,0)),0))</f>
        <v/>
      </c>
      <c r="W291" s="17">
        <f>IF(OR(B291="",E291="",COUNTA(F291,H291,J291:M291,O291,Q291:R291,T291:U291)=0),"",SUM(G291,I291,N291,P291,S291,V291))</f>
        <v/>
      </c>
      <c r="X291" s="18">
        <f>IF(W291="","",IF(Murid!F291="TL","TL",ROUND(W291/110*100,2)))</f>
        <v/>
      </c>
    </row>
    <row r="292">
      <c r="A292" s="15">
        <f>Murid!A292</f>
        <v/>
      </c>
      <c r="B292" s="15">
        <f>IF(Murid!B292="","",Murid!B292)</f>
        <v/>
      </c>
      <c r="C292" s="16">
        <f>IF(Murid!C292="","",Murid!C292)</f>
        <v/>
      </c>
      <c r="D292" s="15">
        <f>IF(Murid!E292="","",Murid!E292)</f>
        <v/>
      </c>
      <c r="E292" s="11" t="n"/>
      <c r="F292" s="11" t="n"/>
      <c r="G292" s="10">
        <f>IF(F292="","",IFERROR(VLOOKUP(F292,T_JKP,2,FALSE),0))</f>
        <v/>
      </c>
      <c r="H292" s="11" t="n"/>
      <c r="I292" s="17">
        <f>IF(H292="","",IF(H292&gt;=12,40,ROUND(H292*3.33,2)))</f>
        <v/>
      </c>
      <c r="J292" s="11" t="n"/>
      <c r="K292" s="11" t="n"/>
      <c r="L292" s="11" t="n"/>
      <c r="M292" s="11" t="n"/>
      <c r="N292" s="10">
        <f>IF(COUNTA(J292:M292)=0,"",MIN(10,SUMPRODUCT((COUNTIF(J292:M292,L_KOM)&gt;0)*S_KOM)))</f>
        <v/>
      </c>
      <c r="O292" s="11" t="n"/>
      <c r="P292" s="10">
        <f>IF(O292="","",IFERROR(VLOOKUP(O292,T_KHID,2,FALSE),0))</f>
        <v/>
      </c>
      <c r="Q292" s="11" t="n"/>
      <c r="R292" s="11" t="n"/>
      <c r="S292" s="10">
        <f>IF(AND(Q292="",R292=""),"",IFERROR(INDEX(T_LIBAT,MATCH(Q292,L_PER,0),MATCH(R292,L_JENIS,0)),0))</f>
        <v/>
      </c>
      <c r="T292" s="11" t="n"/>
      <c r="U292" s="11" t="n"/>
      <c r="V292" s="10">
        <f>IF(AND(T292="",U292=""),"",IFERROR(INDEX(T_CAPAI,MATCH(T292,L_PER,0),MATCH(U292,L_KED,0)),0))</f>
        <v/>
      </c>
      <c r="W292" s="17">
        <f>IF(OR(B292="",E292="",COUNTA(F292,H292,J292:M292,O292,Q292:R292,T292:U292)=0),"",SUM(G292,I292,N292,P292,S292,V292))</f>
        <v/>
      </c>
      <c r="X292" s="18">
        <f>IF(W292="","",IF(Murid!F292="TL","TL",ROUND(W292/110*100,2)))</f>
        <v/>
      </c>
    </row>
    <row r="293">
      <c r="A293" s="15">
        <f>Murid!A293</f>
        <v/>
      </c>
      <c r="B293" s="15">
        <f>IF(Murid!B293="","",Murid!B293)</f>
        <v/>
      </c>
      <c r="C293" s="16">
        <f>IF(Murid!C293="","",Murid!C293)</f>
        <v/>
      </c>
      <c r="D293" s="15">
        <f>IF(Murid!E293="","",Murid!E293)</f>
        <v/>
      </c>
      <c r="E293" s="11" t="n"/>
      <c r="F293" s="11" t="n"/>
      <c r="G293" s="10">
        <f>IF(F293="","",IFERROR(VLOOKUP(F293,T_JKP,2,FALSE),0))</f>
        <v/>
      </c>
      <c r="H293" s="11" t="n"/>
      <c r="I293" s="17">
        <f>IF(H293="","",IF(H293&gt;=12,40,ROUND(H293*3.33,2)))</f>
        <v/>
      </c>
      <c r="J293" s="11" t="n"/>
      <c r="K293" s="11" t="n"/>
      <c r="L293" s="11" t="n"/>
      <c r="M293" s="11" t="n"/>
      <c r="N293" s="10">
        <f>IF(COUNTA(J293:M293)=0,"",MIN(10,SUMPRODUCT((COUNTIF(J293:M293,L_KOM)&gt;0)*S_KOM)))</f>
        <v/>
      </c>
      <c r="O293" s="11" t="n"/>
      <c r="P293" s="10">
        <f>IF(O293="","",IFERROR(VLOOKUP(O293,T_KHID,2,FALSE),0))</f>
        <v/>
      </c>
      <c r="Q293" s="11" t="n"/>
      <c r="R293" s="11" t="n"/>
      <c r="S293" s="10">
        <f>IF(AND(Q293="",R293=""),"",IFERROR(INDEX(T_LIBAT,MATCH(Q293,L_PER,0),MATCH(R293,L_JENIS,0)),0))</f>
        <v/>
      </c>
      <c r="T293" s="11" t="n"/>
      <c r="U293" s="11" t="n"/>
      <c r="V293" s="10">
        <f>IF(AND(T293="",U293=""),"",IFERROR(INDEX(T_CAPAI,MATCH(T293,L_PER,0),MATCH(U293,L_KED,0)),0))</f>
        <v/>
      </c>
      <c r="W293" s="17">
        <f>IF(OR(B293="",E293="",COUNTA(F293,H293,J293:M293,O293,Q293:R293,T293:U293)=0),"",SUM(G293,I293,N293,P293,S293,V293))</f>
        <v/>
      </c>
      <c r="X293" s="18">
        <f>IF(W293="","",IF(Murid!F293="TL","TL",ROUND(W293/110*100,2)))</f>
        <v/>
      </c>
    </row>
    <row r="294">
      <c r="A294" s="15">
        <f>Murid!A294</f>
        <v/>
      </c>
      <c r="B294" s="15">
        <f>IF(Murid!B294="","",Murid!B294)</f>
        <v/>
      </c>
      <c r="C294" s="16">
        <f>IF(Murid!C294="","",Murid!C294)</f>
        <v/>
      </c>
      <c r="D294" s="15">
        <f>IF(Murid!E294="","",Murid!E294)</f>
        <v/>
      </c>
      <c r="E294" s="11" t="n"/>
      <c r="F294" s="11" t="n"/>
      <c r="G294" s="10">
        <f>IF(F294="","",IFERROR(VLOOKUP(F294,T_JKP,2,FALSE),0))</f>
        <v/>
      </c>
      <c r="H294" s="11" t="n"/>
      <c r="I294" s="17">
        <f>IF(H294="","",IF(H294&gt;=12,40,ROUND(H294*3.33,2)))</f>
        <v/>
      </c>
      <c r="J294" s="11" t="n"/>
      <c r="K294" s="11" t="n"/>
      <c r="L294" s="11" t="n"/>
      <c r="M294" s="11" t="n"/>
      <c r="N294" s="10">
        <f>IF(COUNTA(J294:M294)=0,"",MIN(10,SUMPRODUCT((COUNTIF(J294:M294,L_KOM)&gt;0)*S_KOM)))</f>
        <v/>
      </c>
      <c r="O294" s="11" t="n"/>
      <c r="P294" s="10">
        <f>IF(O294="","",IFERROR(VLOOKUP(O294,T_KHID,2,FALSE),0))</f>
        <v/>
      </c>
      <c r="Q294" s="11" t="n"/>
      <c r="R294" s="11" t="n"/>
      <c r="S294" s="10">
        <f>IF(AND(Q294="",R294=""),"",IFERROR(INDEX(T_LIBAT,MATCH(Q294,L_PER,0),MATCH(R294,L_JENIS,0)),0))</f>
        <v/>
      </c>
      <c r="T294" s="11" t="n"/>
      <c r="U294" s="11" t="n"/>
      <c r="V294" s="10">
        <f>IF(AND(T294="",U294=""),"",IFERROR(INDEX(T_CAPAI,MATCH(T294,L_PER,0),MATCH(U294,L_KED,0)),0))</f>
        <v/>
      </c>
      <c r="W294" s="17">
        <f>IF(OR(B294="",E294="",COUNTA(F294,H294,J294:M294,O294,Q294:R294,T294:U294)=0),"",SUM(G294,I294,N294,P294,S294,V294))</f>
        <v/>
      </c>
      <c r="X294" s="18">
        <f>IF(W294="","",IF(Murid!F294="TL","TL",ROUND(W294/110*100,2)))</f>
        <v/>
      </c>
    </row>
    <row r="295">
      <c r="A295" s="15">
        <f>Murid!A295</f>
        <v/>
      </c>
      <c r="B295" s="15">
        <f>IF(Murid!B295="","",Murid!B295)</f>
        <v/>
      </c>
      <c r="C295" s="16">
        <f>IF(Murid!C295="","",Murid!C295)</f>
        <v/>
      </c>
      <c r="D295" s="15">
        <f>IF(Murid!E295="","",Murid!E295)</f>
        <v/>
      </c>
      <c r="E295" s="11" t="n"/>
      <c r="F295" s="11" t="n"/>
      <c r="G295" s="10">
        <f>IF(F295="","",IFERROR(VLOOKUP(F295,T_JKP,2,FALSE),0))</f>
        <v/>
      </c>
      <c r="H295" s="11" t="n"/>
      <c r="I295" s="17">
        <f>IF(H295="","",IF(H295&gt;=12,40,ROUND(H295*3.33,2)))</f>
        <v/>
      </c>
      <c r="J295" s="11" t="n"/>
      <c r="K295" s="11" t="n"/>
      <c r="L295" s="11" t="n"/>
      <c r="M295" s="11" t="n"/>
      <c r="N295" s="10">
        <f>IF(COUNTA(J295:M295)=0,"",MIN(10,SUMPRODUCT((COUNTIF(J295:M295,L_KOM)&gt;0)*S_KOM)))</f>
        <v/>
      </c>
      <c r="O295" s="11" t="n"/>
      <c r="P295" s="10">
        <f>IF(O295="","",IFERROR(VLOOKUP(O295,T_KHID,2,FALSE),0))</f>
        <v/>
      </c>
      <c r="Q295" s="11" t="n"/>
      <c r="R295" s="11" t="n"/>
      <c r="S295" s="10">
        <f>IF(AND(Q295="",R295=""),"",IFERROR(INDEX(T_LIBAT,MATCH(Q295,L_PER,0),MATCH(R295,L_JENIS,0)),0))</f>
        <v/>
      </c>
      <c r="T295" s="11" t="n"/>
      <c r="U295" s="11" t="n"/>
      <c r="V295" s="10">
        <f>IF(AND(T295="",U295=""),"",IFERROR(INDEX(T_CAPAI,MATCH(T295,L_PER,0),MATCH(U295,L_KED,0)),0))</f>
        <v/>
      </c>
      <c r="W295" s="17">
        <f>IF(OR(B295="",E295="",COUNTA(F295,H295,J295:M295,O295,Q295:R295,T295:U295)=0),"",SUM(G295,I295,N295,P295,S295,V295))</f>
        <v/>
      </c>
      <c r="X295" s="18">
        <f>IF(W295="","",IF(Murid!F295="TL","TL",ROUND(W295/110*100,2)))</f>
        <v/>
      </c>
    </row>
    <row r="296">
      <c r="A296" s="15">
        <f>Murid!A296</f>
        <v/>
      </c>
      <c r="B296" s="15">
        <f>IF(Murid!B296="","",Murid!B296)</f>
        <v/>
      </c>
      <c r="C296" s="16">
        <f>IF(Murid!C296="","",Murid!C296)</f>
        <v/>
      </c>
      <c r="D296" s="15">
        <f>IF(Murid!E296="","",Murid!E296)</f>
        <v/>
      </c>
      <c r="E296" s="11" t="n"/>
      <c r="F296" s="11" t="n"/>
      <c r="G296" s="10">
        <f>IF(F296="","",IFERROR(VLOOKUP(F296,T_JKP,2,FALSE),0))</f>
        <v/>
      </c>
      <c r="H296" s="11" t="n"/>
      <c r="I296" s="17">
        <f>IF(H296="","",IF(H296&gt;=12,40,ROUND(H296*3.33,2)))</f>
        <v/>
      </c>
      <c r="J296" s="11" t="n"/>
      <c r="K296" s="11" t="n"/>
      <c r="L296" s="11" t="n"/>
      <c r="M296" s="11" t="n"/>
      <c r="N296" s="10">
        <f>IF(COUNTA(J296:M296)=0,"",MIN(10,SUMPRODUCT((COUNTIF(J296:M296,L_KOM)&gt;0)*S_KOM)))</f>
        <v/>
      </c>
      <c r="O296" s="11" t="n"/>
      <c r="P296" s="10">
        <f>IF(O296="","",IFERROR(VLOOKUP(O296,T_KHID,2,FALSE),0))</f>
        <v/>
      </c>
      <c r="Q296" s="11" t="n"/>
      <c r="R296" s="11" t="n"/>
      <c r="S296" s="10">
        <f>IF(AND(Q296="",R296=""),"",IFERROR(INDEX(T_LIBAT,MATCH(Q296,L_PER,0),MATCH(R296,L_JENIS,0)),0))</f>
        <v/>
      </c>
      <c r="T296" s="11" t="n"/>
      <c r="U296" s="11" t="n"/>
      <c r="V296" s="10">
        <f>IF(AND(T296="",U296=""),"",IFERROR(INDEX(T_CAPAI,MATCH(T296,L_PER,0),MATCH(U296,L_KED,0)),0))</f>
        <v/>
      </c>
      <c r="W296" s="17">
        <f>IF(OR(B296="",E296="",COUNTA(F296,H296,J296:M296,O296,Q296:R296,T296:U296)=0),"",SUM(G296,I296,N296,P296,S296,V296))</f>
        <v/>
      </c>
      <c r="X296" s="18">
        <f>IF(W296="","",IF(Murid!F296="TL","TL",ROUND(W296/110*100,2)))</f>
        <v/>
      </c>
    </row>
    <row r="297">
      <c r="A297" s="15">
        <f>Murid!A297</f>
        <v/>
      </c>
      <c r="B297" s="15">
        <f>IF(Murid!B297="","",Murid!B297)</f>
        <v/>
      </c>
      <c r="C297" s="16">
        <f>IF(Murid!C297="","",Murid!C297)</f>
        <v/>
      </c>
      <c r="D297" s="15">
        <f>IF(Murid!E297="","",Murid!E297)</f>
        <v/>
      </c>
      <c r="E297" s="11" t="n"/>
      <c r="F297" s="11" t="n"/>
      <c r="G297" s="10">
        <f>IF(F297="","",IFERROR(VLOOKUP(F297,T_JKP,2,FALSE),0))</f>
        <v/>
      </c>
      <c r="H297" s="11" t="n"/>
      <c r="I297" s="17">
        <f>IF(H297="","",IF(H297&gt;=12,40,ROUND(H297*3.33,2)))</f>
        <v/>
      </c>
      <c r="J297" s="11" t="n"/>
      <c r="K297" s="11" t="n"/>
      <c r="L297" s="11" t="n"/>
      <c r="M297" s="11" t="n"/>
      <c r="N297" s="10">
        <f>IF(COUNTA(J297:M297)=0,"",MIN(10,SUMPRODUCT((COUNTIF(J297:M297,L_KOM)&gt;0)*S_KOM)))</f>
        <v/>
      </c>
      <c r="O297" s="11" t="n"/>
      <c r="P297" s="10">
        <f>IF(O297="","",IFERROR(VLOOKUP(O297,T_KHID,2,FALSE),0))</f>
        <v/>
      </c>
      <c r="Q297" s="11" t="n"/>
      <c r="R297" s="11" t="n"/>
      <c r="S297" s="10">
        <f>IF(AND(Q297="",R297=""),"",IFERROR(INDEX(T_LIBAT,MATCH(Q297,L_PER,0),MATCH(R297,L_JENIS,0)),0))</f>
        <v/>
      </c>
      <c r="T297" s="11" t="n"/>
      <c r="U297" s="11" t="n"/>
      <c r="V297" s="10">
        <f>IF(AND(T297="",U297=""),"",IFERROR(INDEX(T_CAPAI,MATCH(T297,L_PER,0),MATCH(U297,L_KED,0)),0))</f>
        <v/>
      </c>
      <c r="W297" s="17">
        <f>IF(OR(B297="",E297="",COUNTA(F297,H297,J297:M297,O297,Q297:R297,T297:U297)=0),"",SUM(G297,I297,N297,P297,S297,V297))</f>
        <v/>
      </c>
      <c r="X297" s="18">
        <f>IF(W297="","",IF(Murid!F297="TL","TL",ROUND(W297/110*100,2)))</f>
        <v/>
      </c>
    </row>
    <row r="298">
      <c r="A298" s="15">
        <f>Murid!A298</f>
        <v/>
      </c>
      <c r="B298" s="15">
        <f>IF(Murid!B298="","",Murid!B298)</f>
        <v/>
      </c>
      <c r="C298" s="16">
        <f>IF(Murid!C298="","",Murid!C298)</f>
        <v/>
      </c>
      <c r="D298" s="15">
        <f>IF(Murid!E298="","",Murid!E298)</f>
        <v/>
      </c>
      <c r="E298" s="11" t="n"/>
      <c r="F298" s="11" t="n"/>
      <c r="G298" s="10">
        <f>IF(F298="","",IFERROR(VLOOKUP(F298,T_JKP,2,FALSE),0))</f>
        <v/>
      </c>
      <c r="H298" s="11" t="n"/>
      <c r="I298" s="17">
        <f>IF(H298="","",IF(H298&gt;=12,40,ROUND(H298*3.33,2)))</f>
        <v/>
      </c>
      <c r="J298" s="11" t="n"/>
      <c r="K298" s="11" t="n"/>
      <c r="L298" s="11" t="n"/>
      <c r="M298" s="11" t="n"/>
      <c r="N298" s="10">
        <f>IF(COUNTA(J298:M298)=0,"",MIN(10,SUMPRODUCT((COUNTIF(J298:M298,L_KOM)&gt;0)*S_KOM)))</f>
        <v/>
      </c>
      <c r="O298" s="11" t="n"/>
      <c r="P298" s="10">
        <f>IF(O298="","",IFERROR(VLOOKUP(O298,T_KHID,2,FALSE),0))</f>
        <v/>
      </c>
      <c r="Q298" s="11" t="n"/>
      <c r="R298" s="11" t="n"/>
      <c r="S298" s="10">
        <f>IF(AND(Q298="",R298=""),"",IFERROR(INDEX(T_LIBAT,MATCH(Q298,L_PER,0),MATCH(R298,L_JENIS,0)),0))</f>
        <v/>
      </c>
      <c r="T298" s="11" t="n"/>
      <c r="U298" s="11" t="n"/>
      <c r="V298" s="10">
        <f>IF(AND(T298="",U298=""),"",IFERROR(INDEX(T_CAPAI,MATCH(T298,L_PER,0),MATCH(U298,L_KED,0)),0))</f>
        <v/>
      </c>
      <c r="W298" s="17">
        <f>IF(OR(B298="",E298="",COUNTA(F298,H298,J298:M298,O298,Q298:R298,T298:U298)=0),"",SUM(G298,I298,N298,P298,S298,V298))</f>
        <v/>
      </c>
      <c r="X298" s="18">
        <f>IF(W298="","",IF(Murid!F298="TL","TL",ROUND(W298/110*100,2)))</f>
        <v/>
      </c>
    </row>
    <row r="299">
      <c r="A299" s="15">
        <f>Murid!A299</f>
        <v/>
      </c>
      <c r="B299" s="15">
        <f>IF(Murid!B299="","",Murid!B299)</f>
        <v/>
      </c>
      <c r="C299" s="16">
        <f>IF(Murid!C299="","",Murid!C299)</f>
        <v/>
      </c>
      <c r="D299" s="15">
        <f>IF(Murid!E299="","",Murid!E299)</f>
        <v/>
      </c>
      <c r="E299" s="11" t="n"/>
      <c r="F299" s="11" t="n"/>
      <c r="G299" s="10">
        <f>IF(F299="","",IFERROR(VLOOKUP(F299,T_JKP,2,FALSE),0))</f>
        <v/>
      </c>
      <c r="H299" s="11" t="n"/>
      <c r="I299" s="17">
        <f>IF(H299="","",IF(H299&gt;=12,40,ROUND(H299*3.33,2)))</f>
        <v/>
      </c>
      <c r="J299" s="11" t="n"/>
      <c r="K299" s="11" t="n"/>
      <c r="L299" s="11" t="n"/>
      <c r="M299" s="11" t="n"/>
      <c r="N299" s="10">
        <f>IF(COUNTA(J299:M299)=0,"",MIN(10,SUMPRODUCT((COUNTIF(J299:M299,L_KOM)&gt;0)*S_KOM)))</f>
        <v/>
      </c>
      <c r="O299" s="11" t="n"/>
      <c r="P299" s="10">
        <f>IF(O299="","",IFERROR(VLOOKUP(O299,T_KHID,2,FALSE),0))</f>
        <v/>
      </c>
      <c r="Q299" s="11" t="n"/>
      <c r="R299" s="11" t="n"/>
      <c r="S299" s="10">
        <f>IF(AND(Q299="",R299=""),"",IFERROR(INDEX(T_LIBAT,MATCH(Q299,L_PER,0),MATCH(R299,L_JENIS,0)),0))</f>
        <v/>
      </c>
      <c r="T299" s="11" t="n"/>
      <c r="U299" s="11" t="n"/>
      <c r="V299" s="10">
        <f>IF(AND(T299="",U299=""),"",IFERROR(INDEX(T_CAPAI,MATCH(T299,L_PER,0),MATCH(U299,L_KED,0)),0))</f>
        <v/>
      </c>
      <c r="W299" s="17">
        <f>IF(OR(B299="",E299="",COUNTA(F299,H299,J299:M299,O299,Q299:R299,T299:U299)=0),"",SUM(G299,I299,N299,P299,S299,V299))</f>
        <v/>
      </c>
      <c r="X299" s="18">
        <f>IF(W299="","",IF(Murid!F299="TL","TL",ROUND(W299/110*100,2)))</f>
        <v/>
      </c>
    </row>
    <row r="300">
      <c r="A300" s="15">
        <f>Murid!A300</f>
        <v/>
      </c>
      <c r="B300" s="15">
        <f>IF(Murid!B300="","",Murid!B300)</f>
        <v/>
      </c>
      <c r="C300" s="16">
        <f>IF(Murid!C300="","",Murid!C300)</f>
        <v/>
      </c>
      <c r="D300" s="15">
        <f>IF(Murid!E300="","",Murid!E300)</f>
        <v/>
      </c>
      <c r="E300" s="11" t="n"/>
      <c r="F300" s="11" t="n"/>
      <c r="G300" s="10">
        <f>IF(F300="","",IFERROR(VLOOKUP(F300,T_JKP,2,FALSE),0))</f>
        <v/>
      </c>
      <c r="H300" s="11" t="n"/>
      <c r="I300" s="17">
        <f>IF(H300="","",IF(H300&gt;=12,40,ROUND(H300*3.33,2)))</f>
        <v/>
      </c>
      <c r="J300" s="11" t="n"/>
      <c r="K300" s="11" t="n"/>
      <c r="L300" s="11" t="n"/>
      <c r="M300" s="11" t="n"/>
      <c r="N300" s="10">
        <f>IF(COUNTA(J300:M300)=0,"",MIN(10,SUMPRODUCT((COUNTIF(J300:M300,L_KOM)&gt;0)*S_KOM)))</f>
        <v/>
      </c>
      <c r="O300" s="11" t="n"/>
      <c r="P300" s="10">
        <f>IF(O300="","",IFERROR(VLOOKUP(O300,T_KHID,2,FALSE),0))</f>
        <v/>
      </c>
      <c r="Q300" s="11" t="n"/>
      <c r="R300" s="11" t="n"/>
      <c r="S300" s="10">
        <f>IF(AND(Q300="",R300=""),"",IFERROR(INDEX(T_LIBAT,MATCH(Q300,L_PER,0),MATCH(R300,L_JENIS,0)),0))</f>
        <v/>
      </c>
      <c r="T300" s="11" t="n"/>
      <c r="U300" s="11" t="n"/>
      <c r="V300" s="10">
        <f>IF(AND(T300="",U300=""),"",IFERROR(INDEX(T_CAPAI,MATCH(T300,L_PER,0),MATCH(U300,L_KED,0)),0))</f>
        <v/>
      </c>
      <c r="W300" s="17">
        <f>IF(OR(B300="",E300="",COUNTA(F300,H300,J300:M300,O300,Q300:R300,T300:U300)=0),"",SUM(G300,I300,N300,P300,S300,V300))</f>
        <v/>
      </c>
      <c r="X300" s="18">
        <f>IF(W300="","",IF(Murid!F300="TL","TL",ROUND(W300/110*100,2)))</f>
        <v/>
      </c>
    </row>
    <row r="301">
      <c r="A301" s="15">
        <f>Murid!A301</f>
        <v/>
      </c>
      <c r="B301" s="15">
        <f>IF(Murid!B301="","",Murid!B301)</f>
        <v/>
      </c>
      <c r="C301" s="16">
        <f>IF(Murid!C301="","",Murid!C301)</f>
        <v/>
      </c>
      <c r="D301" s="15">
        <f>IF(Murid!E301="","",Murid!E301)</f>
        <v/>
      </c>
      <c r="E301" s="11" t="n"/>
      <c r="F301" s="11" t="n"/>
      <c r="G301" s="10">
        <f>IF(F301="","",IFERROR(VLOOKUP(F301,T_JKP,2,FALSE),0))</f>
        <v/>
      </c>
      <c r="H301" s="11" t="n"/>
      <c r="I301" s="17">
        <f>IF(H301="","",IF(H301&gt;=12,40,ROUND(H301*3.33,2)))</f>
        <v/>
      </c>
      <c r="J301" s="11" t="n"/>
      <c r="K301" s="11" t="n"/>
      <c r="L301" s="11" t="n"/>
      <c r="M301" s="11" t="n"/>
      <c r="N301" s="10">
        <f>IF(COUNTA(J301:M301)=0,"",MIN(10,SUMPRODUCT((COUNTIF(J301:M301,L_KOM)&gt;0)*S_KOM)))</f>
        <v/>
      </c>
      <c r="O301" s="11" t="n"/>
      <c r="P301" s="10">
        <f>IF(O301="","",IFERROR(VLOOKUP(O301,T_KHID,2,FALSE),0))</f>
        <v/>
      </c>
      <c r="Q301" s="11" t="n"/>
      <c r="R301" s="11" t="n"/>
      <c r="S301" s="10">
        <f>IF(AND(Q301="",R301=""),"",IFERROR(INDEX(T_LIBAT,MATCH(Q301,L_PER,0),MATCH(R301,L_JENIS,0)),0))</f>
        <v/>
      </c>
      <c r="T301" s="11" t="n"/>
      <c r="U301" s="11" t="n"/>
      <c r="V301" s="10">
        <f>IF(AND(T301="",U301=""),"",IFERROR(INDEX(T_CAPAI,MATCH(T301,L_PER,0),MATCH(U301,L_KED,0)),0))</f>
        <v/>
      </c>
      <c r="W301" s="17">
        <f>IF(OR(B301="",E301="",COUNTA(F301,H301,J301:M301,O301,Q301:R301,T301:U301)=0),"",SUM(G301,I301,N301,P301,S301,V301))</f>
        <v/>
      </c>
      <c r="X301" s="18">
        <f>IF(W301="","",IF(Murid!F301="TL","TL",ROUND(W301/110*100,2)))</f>
        <v/>
      </c>
    </row>
    <row r="302">
      <c r="A302" s="15">
        <f>Murid!A302</f>
        <v/>
      </c>
      <c r="B302" s="15">
        <f>IF(Murid!B302="","",Murid!B302)</f>
        <v/>
      </c>
      <c r="C302" s="16">
        <f>IF(Murid!C302="","",Murid!C302)</f>
        <v/>
      </c>
      <c r="D302" s="15">
        <f>IF(Murid!E302="","",Murid!E302)</f>
        <v/>
      </c>
      <c r="E302" s="11" t="n"/>
      <c r="F302" s="11" t="n"/>
      <c r="G302" s="10">
        <f>IF(F302="","",IFERROR(VLOOKUP(F302,T_JKP,2,FALSE),0))</f>
        <v/>
      </c>
      <c r="H302" s="11" t="n"/>
      <c r="I302" s="17">
        <f>IF(H302="","",IF(H302&gt;=12,40,ROUND(H302*3.33,2)))</f>
        <v/>
      </c>
      <c r="J302" s="11" t="n"/>
      <c r="K302" s="11" t="n"/>
      <c r="L302" s="11" t="n"/>
      <c r="M302" s="11" t="n"/>
      <c r="N302" s="10">
        <f>IF(COUNTA(J302:M302)=0,"",MIN(10,SUMPRODUCT((COUNTIF(J302:M302,L_KOM)&gt;0)*S_KOM)))</f>
        <v/>
      </c>
      <c r="O302" s="11" t="n"/>
      <c r="P302" s="10">
        <f>IF(O302="","",IFERROR(VLOOKUP(O302,T_KHID,2,FALSE),0))</f>
        <v/>
      </c>
      <c r="Q302" s="11" t="n"/>
      <c r="R302" s="11" t="n"/>
      <c r="S302" s="10">
        <f>IF(AND(Q302="",R302=""),"",IFERROR(INDEX(T_LIBAT,MATCH(Q302,L_PER,0),MATCH(R302,L_JENIS,0)),0))</f>
        <v/>
      </c>
      <c r="T302" s="11" t="n"/>
      <c r="U302" s="11" t="n"/>
      <c r="V302" s="10">
        <f>IF(AND(T302="",U302=""),"",IFERROR(INDEX(T_CAPAI,MATCH(T302,L_PER,0),MATCH(U302,L_KED,0)),0))</f>
        <v/>
      </c>
      <c r="W302" s="17">
        <f>IF(OR(B302="",E302="",COUNTA(F302,H302,J302:M302,O302,Q302:R302,T302:U302)=0),"",SUM(G302,I302,N302,P302,S302,V302))</f>
        <v/>
      </c>
      <c r="X302" s="18">
        <f>IF(W302="","",IF(Murid!F302="TL","TL",ROUND(W302/110*100,2)))</f>
        <v/>
      </c>
    </row>
    <row r="303">
      <c r="A303" s="15">
        <f>Murid!A303</f>
        <v/>
      </c>
      <c r="B303" s="15">
        <f>IF(Murid!B303="","",Murid!B303)</f>
        <v/>
      </c>
      <c r="C303" s="16">
        <f>IF(Murid!C303="","",Murid!C303)</f>
        <v/>
      </c>
      <c r="D303" s="15">
        <f>IF(Murid!E303="","",Murid!E303)</f>
        <v/>
      </c>
      <c r="E303" s="11" t="n"/>
      <c r="F303" s="11" t="n"/>
      <c r="G303" s="10">
        <f>IF(F303="","",IFERROR(VLOOKUP(F303,T_JKP,2,FALSE),0))</f>
        <v/>
      </c>
      <c r="H303" s="11" t="n"/>
      <c r="I303" s="17">
        <f>IF(H303="","",IF(H303&gt;=12,40,ROUND(H303*3.33,2)))</f>
        <v/>
      </c>
      <c r="J303" s="11" t="n"/>
      <c r="K303" s="11" t="n"/>
      <c r="L303" s="11" t="n"/>
      <c r="M303" s="11" t="n"/>
      <c r="N303" s="10">
        <f>IF(COUNTA(J303:M303)=0,"",MIN(10,SUMPRODUCT((COUNTIF(J303:M303,L_KOM)&gt;0)*S_KOM)))</f>
        <v/>
      </c>
      <c r="O303" s="11" t="n"/>
      <c r="P303" s="10">
        <f>IF(O303="","",IFERROR(VLOOKUP(O303,T_KHID,2,FALSE),0))</f>
        <v/>
      </c>
      <c r="Q303" s="11" t="n"/>
      <c r="R303" s="11" t="n"/>
      <c r="S303" s="10">
        <f>IF(AND(Q303="",R303=""),"",IFERROR(INDEX(T_LIBAT,MATCH(Q303,L_PER,0),MATCH(R303,L_JENIS,0)),0))</f>
        <v/>
      </c>
      <c r="T303" s="11" t="n"/>
      <c r="U303" s="11" t="n"/>
      <c r="V303" s="10">
        <f>IF(AND(T303="",U303=""),"",IFERROR(INDEX(T_CAPAI,MATCH(T303,L_PER,0),MATCH(U303,L_KED,0)),0))</f>
        <v/>
      </c>
      <c r="W303" s="17">
        <f>IF(OR(B303="",E303="",COUNTA(F303,H303,J303:M303,O303,Q303:R303,T303:U303)=0),"",SUM(G303,I303,N303,P303,S303,V303))</f>
        <v/>
      </c>
      <c r="X303" s="18">
        <f>IF(W303="","",IF(Murid!F303="TL","TL",ROUND(W303/110*100,2)))</f>
        <v/>
      </c>
    </row>
    <row r="304">
      <c r="A304" s="15">
        <f>Murid!A304</f>
        <v/>
      </c>
      <c r="B304" s="15">
        <f>IF(Murid!B304="","",Murid!B304)</f>
        <v/>
      </c>
      <c r="C304" s="16">
        <f>IF(Murid!C304="","",Murid!C304)</f>
        <v/>
      </c>
      <c r="D304" s="15">
        <f>IF(Murid!E304="","",Murid!E304)</f>
        <v/>
      </c>
      <c r="E304" s="11" t="n"/>
      <c r="F304" s="11" t="n"/>
      <c r="G304" s="10">
        <f>IF(F304="","",IFERROR(VLOOKUP(F304,T_JKP,2,FALSE),0))</f>
        <v/>
      </c>
      <c r="H304" s="11" t="n"/>
      <c r="I304" s="17">
        <f>IF(H304="","",IF(H304&gt;=12,40,ROUND(H304*3.33,2)))</f>
        <v/>
      </c>
      <c r="J304" s="11" t="n"/>
      <c r="K304" s="11" t="n"/>
      <c r="L304" s="11" t="n"/>
      <c r="M304" s="11" t="n"/>
      <c r="N304" s="10">
        <f>IF(COUNTA(J304:M304)=0,"",MIN(10,SUMPRODUCT((COUNTIF(J304:M304,L_KOM)&gt;0)*S_KOM)))</f>
        <v/>
      </c>
      <c r="O304" s="11" t="n"/>
      <c r="P304" s="10">
        <f>IF(O304="","",IFERROR(VLOOKUP(O304,T_KHID,2,FALSE),0))</f>
        <v/>
      </c>
      <c r="Q304" s="11" t="n"/>
      <c r="R304" s="11" t="n"/>
      <c r="S304" s="10">
        <f>IF(AND(Q304="",R304=""),"",IFERROR(INDEX(T_LIBAT,MATCH(Q304,L_PER,0),MATCH(R304,L_JENIS,0)),0))</f>
        <v/>
      </c>
      <c r="T304" s="11" t="n"/>
      <c r="U304" s="11" t="n"/>
      <c r="V304" s="10">
        <f>IF(AND(T304="",U304=""),"",IFERROR(INDEX(T_CAPAI,MATCH(T304,L_PER,0),MATCH(U304,L_KED,0)),0))</f>
        <v/>
      </c>
      <c r="W304" s="17">
        <f>IF(OR(B304="",E304="",COUNTA(F304,H304,J304:M304,O304,Q304:R304,T304:U304)=0),"",SUM(G304,I304,N304,P304,S304,V304))</f>
        <v/>
      </c>
      <c r="X304" s="18">
        <f>IF(W304="","",IF(Murid!F304="TL","TL",ROUND(W304/110*100,2)))</f>
        <v/>
      </c>
    </row>
    <row r="305">
      <c r="A305" s="15">
        <f>Murid!A305</f>
        <v/>
      </c>
      <c r="B305" s="15">
        <f>IF(Murid!B305="","",Murid!B305)</f>
        <v/>
      </c>
      <c r="C305" s="16">
        <f>IF(Murid!C305="","",Murid!C305)</f>
        <v/>
      </c>
      <c r="D305" s="15">
        <f>IF(Murid!E305="","",Murid!E305)</f>
        <v/>
      </c>
      <c r="E305" s="11" t="n"/>
      <c r="F305" s="11" t="n"/>
      <c r="G305" s="10">
        <f>IF(F305="","",IFERROR(VLOOKUP(F305,T_JKP,2,FALSE),0))</f>
        <v/>
      </c>
      <c r="H305" s="11" t="n"/>
      <c r="I305" s="17">
        <f>IF(H305="","",IF(H305&gt;=12,40,ROUND(H305*3.33,2)))</f>
        <v/>
      </c>
      <c r="J305" s="11" t="n"/>
      <c r="K305" s="11" t="n"/>
      <c r="L305" s="11" t="n"/>
      <c r="M305" s="11" t="n"/>
      <c r="N305" s="10">
        <f>IF(COUNTA(J305:M305)=0,"",MIN(10,SUMPRODUCT((COUNTIF(J305:M305,L_KOM)&gt;0)*S_KOM)))</f>
        <v/>
      </c>
      <c r="O305" s="11" t="n"/>
      <c r="P305" s="10">
        <f>IF(O305="","",IFERROR(VLOOKUP(O305,T_KHID,2,FALSE),0))</f>
        <v/>
      </c>
      <c r="Q305" s="11" t="n"/>
      <c r="R305" s="11" t="n"/>
      <c r="S305" s="10">
        <f>IF(AND(Q305="",R305=""),"",IFERROR(INDEX(T_LIBAT,MATCH(Q305,L_PER,0),MATCH(R305,L_JENIS,0)),0))</f>
        <v/>
      </c>
      <c r="T305" s="11" t="n"/>
      <c r="U305" s="11" t="n"/>
      <c r="V305" s="10">
        <f>IF(AND(T305="",U305=""),"",IFERROR(INDEX(T_CAPAI,MATCH(T305,L_PER,0),MATCH(U305,L_KED,0)),0))</f>
        <v/>
      </c>
      <c r="W305" s="17">
        <f>IF(OR(B305="",E305="",COUNTA(F305,H305,J305:M305,O305,Q305:R305,T305:U305)=0),"",SUM(G305,I305,N305,P305,S305,V305))</f>
        <v/>
      </c>
      <c r="X305" s="18">
        <f>IF(W305="","",IF(Murid!F305="TL","TL",ROUND(W305/110*100,2)))</f>
        <v/>
      </c>
    </row>
    <row r="306">
      <c r="A306" s="15">
        <f>Murid!A306</f>
        <v/>
      </c>
      <c r="B306" s="15">
        <f>IF(Murid!B306="","",Murid!B306)</f>
        <v/>
      </c>
      <c r="C306" s="16">
        <f>IF(Murid!C306="","",Murid!C306)</f>
        <v/>
      </c>
      <c r="D306" s="15">
        <f>IF(Murid!E306="","",Murid!E306)</f>
        <v/>
      </c>
      <c r="E306" s="11" t="n"/>
      <c r="F306" s="11" t="n"/>
      <c r="G306" s="10">
        <f>IF(F306="","",IFERROR(VLOOKUP(F306,T_JKP,2,FALSE),0))</f>
        <v/>
      </c>
      <c r="H306" s="11" t="n"/>
      <c r="I306" s="17">
        <f>IF(H306="","",IF(H306&gt;=12,40,ROUND(H306*3.33,2)))</f>
        <v/>
      </c>
      <c r="J306" s="11" t="n"/>
      <c r="K306" s="11" t="n"/>
      <c r="L306" s="11" t="n"/>
      <c r="M306" s="11" t="n"/>
      <c r="N306" s="10">
        <f>IF(COUNTA(J306:M306)=0,"",MIN(10,SUMPRODUCT((COUNTIF(J306:M306,L_KOM)&gt;0)*S_KOM)))</f>
        <v/>
      </c>
      <c r="O306" s="11" t="n"/>
      <c r="P306" s="10">
        <f>IF(O306="","",IFERROR(VLOOKUP(O306,T_KHID,2,FALSE),0))</f>
        <v/>
      </c>
      <c r="Q306" s="11" t="n"/>
      <c r="R306" s="11" t="n"/>
      <c r="S306" s="10">
        <f>IF(AND(Q306="",R306=""),"",IFERROR(INDEX(T_LIBAT,MATCH(Q306,L_PER,0),MATCH(R306,L_JENIS,0)),0))</f>
        <v/>
      </c>
      <c r="T306" s="11" t="n"/>
      <c r="U306" s="11" t="n"/>
      <c r="V306" s="10">
        <f>IF(AND(T306="",U306=""),"",IFERROR(INDEX(T_CAPAI,MATCH(T306,L_PER,0),MATCH(U306,L_KED,0)),0))</f>
        <v/>
      </c>
      <c r="W306" s="17">
        <f>IF(OR(B306="",E306="",COUNTA(F306,H306,J306:M306,O306,Q306:R306,T306:U306)=0),"",SUM(G306,I306,N306,P306,S306,V306))</f>
        <v/>
      </c>
      <c r="X306" s="18">
        <f>IF(W306="","",IF(Murid!F306="TL","TL",ROUND(W306/110*100,2)))</f>
        <v/>
      </c>
    </row>
    <row r="307">
      <c r="A307" s="15">
        <f>Murid!A307</f>
        <v/>
      </c>
      <c r="B307" s="15">
        <f>IF(Murid!B307="","",Murid!B307)</f>
        <v/>
      </c>
      <c r="C307" s="16">
        <f>IF(Murid!C307="","",Murid!C307)</f>
        <v/>
      </c>
      <c r="D307" s="15">
        <f>IF(Murid!E307="","",Murid!E307)</f>
        <v/>
      </c>
      <c r="E307" s="11" t="n"/>
      <c r="F307" s="11" t="n"/>
      <c r="G307" s="10">
        <f>IF(F307="","",IFERROR(VLOOKUP(F307,T_JKP,2,FALSE),0))</f>
        <v/>
      </c>
      <c r="H307" s="11" t="n"/>
      <c r="I307" s="17">
        <f>IF(H307="","",IF(H307&gt;=12,40,ROUND(H307*3.33,2)))</f>
        <v/>
      </c>
      <c r="J307" s="11" t="n"/>
      <c r="K307" s="11" t="n"/>
      <c r="L307" s="11" t="n"/>
      <c r="M307" s="11" t="n"/>
      <c r="N307" s="10">
        <f>IF(COUNTA(J307:M307)=0,"",MIN(10,SUMPRODUCT((COUNTIF(J307:M307,L_KOM)&gt;0)*S_KOM)))</f>
        <v/>
      </c>
      <c r="O307" s="11" t="n"/>
      <c r="P307" s="10">
        <f>IF(O307="","",IFERROR(VLOOKUP(O307,T_KHID,2,FALSE),0))</f>
        <v/>
      </c>
      <c r="Q307" s="11" t="n"/>
      <c r="R307" s="11" t="n"/>
      <c r="S307" s="10">
        <f>IF(AND(Q307="",R307=""),"",IFERROR(INDEX(T_LIBAT,MATCH(Q307,L_PER,0),MATCH(R307,L_JENIS,0)),0))</f>
        <v/>
      </c>
      <c r="T307" s="11" t="n"/>
      <c r="U307" s="11" t="n"/>
      <c r="V307" s="10">
        <f>IF(AND(T307="",U307=""),"",IFERROR(INDEX(T_CAPAI,MATCH(T307,L_PER,0),MATCH(U307,L_KED,0)),0))</f>
        <v/>
      </c>
      <c r="W307" s="17">
        <f>IF(OR(B307="",E307="",COUNTA(F307,H307,J307:M307,O307,Q307:R307,T307:U307)=0),"",SUM(G307,I307,N307,P307,S307,V307))</f>
        <v/>
      </c>
      <c r="X307" s="18">
        <f>IF(W307="","",IF(Murid!F307="TL","TL",ROUND(W307/110*100,2)))</f>
        <v/>
      </c>
    </row>
    <row r="308">
      <c r="A308" s="15">
        <f>Murid!A308</f>
        <v/>
      </c>
      <c r="B308" s="15">
        <f>IF(Murid!B308="","",Murid!B308)</f>
        <v/>
      </c>
      <c r="C308" s="16">
        <f>IF(Murid!C308="","",Murid!C308)</f>
        <v/>
      </c>
      <c r="D308" s="15">
        <f>IF(Murid!E308="","",Murid!E308)</f>
        <v/>
      </c>
      <c r="E308" s="11" t="n"/>
      <c r="F308" s="11" t="n"/>
      <c r="G308" s="10">
        <f>IF(F308="","",IFERROR(VLOOKUP(F308,T_JKP,2,FALSE),0))</f>
        <v/>
      </c>
      <c r="H308" s="11" t="n"/>
      <c r="I308" s="17">
        <f>IF(H308="","",IF(H308&gt;=12,40,ROUND(H308*3.33,2)))</f>
        <v/>
      </c>
      <c r="J308" s="11" t="n"/>
      <c r="K308" s="11" t="n"/>
      <c r="L308" s="11" t="n"/>
      <c r="M308" s="11" t="n"/>
      <c r="N308" s="10">
        <f>IF(COUNTA(J308:M308)=0,"",MIN(10,SUMPRODUCT((COUNTIF(J308:M308,L_KOM)&gt;0)*S_KOM)))</f>
        <v/>
      </c>
      <c r="O308" s="11" t="n"/>
      <c r="P308" s="10">
        <f>IF(O308="","",IFERROR(VLOOKUP(O308,T_KHID,2,FALSE),0))</f>
        <v/>
      </c>
      <c r="Q308" s="11" t="n"/>
      <c r="R308" s="11" t="n"/>
      <c r="S308" s="10">
        <f>IF(AND(Q308="",R308=""),"",IFERROR(INDEX(T_LIBAT,MATCH(Q308,L_PER,0),MATCH(R308,L_JENIS,0)),0))</f>
        <v/>
      </c>
      <c r="T308" s="11" t="n"/>
      <c r="U308" s="11" t="n"/>
      <c r="V308" s="10">
        <f>IF(AND(T308="",U308=""),"",IFERROR(INDEX(T_CAPAI,MATCH(T308,L_PER,0),MATCH(U308,L_KED,0)),0))</f>
        <v/>
      </c>
      <c r="W308" s="17">
        <f>IF(OR(B308="",E308="",COUNTA(F308,H308,J308:M308,O308,Q308:R308,T308:U308)=0),"",SUM(G308,I308,N308,P308,S308,V308))</f>
        <v/>
      </c>
      <c r="X308" s="18">
        <f>IF(W308="","",IF(Murid!F308="TL","TL",ROUND(W308/110*100,2)))</f>
        <v/>
      </c>
    </row>
    <row r="309">
      <c r="A309" s="15">
        <f>Murid!A309</f>
        <v/>
      </c>
      <c r="B309" s="15">
        <f>IF(Murid!B309="","",Murid!B309)</f>
        <v/>
      </c>
      <c r="C309" s="16">
        <f>IF(Murid!C309="","",Murid!C309)</f>
        <v/>
      </c>
      <c r="D309" s="15">
        <f>IF(Murid!E309="","",Murid!E309)</f>
        <v/>
      </c>
      <c r="E309" s="11" t="n"/>
      <c r="F309" s="11" t="n"/>
      <c r="G309" s="10">
        <f>IF(F309="","",IFERROR(VLOOKUP(F309,T_JKP,2,FALSE),0))</f>
        <v/>
      </c>
      <c r="H309" s="11" t="n"/>
      <c r="I309" s="17">
        <f>IF(H309="","",IF(H309&gt;=12,40,ROUND(H309*3.33,2)))</f>
        <v/>
      </c>
      <c r="J309" s="11" t="n"/>
      <c r="K309" s="11" t="n"/>
      <c r="L309" s="11" t="n"/>
      <c r="M309" s="11" t="n"/>
      <c r="N309" s="10">
        <f>IF(COUNTA(J309:M309)=0,"",MIN(10,SUMPRODUCT((COUNTIF(J309:M309,L_KOM)&gt;0)*S_KOM)))</f>
        <v/>
      </c>
      <c r="O309" s="11" t="n"/>
      <c r="P309" s="10">
        <f>IF(O309="","",IFERROR(VLOOKUP(O309,T_KHID,2,FALSE),0))</f>
        <v/>
      </c>
      <c r="Q309" s="11" t="n"/>
      <c r="R309" s="11" t="n"/>
      <c r="S309" s="10">
        <f>IF(AND(Q309="",R309=""),"",IFERROR(INDEX(T_LIBAT,MATCH(Q309,L_PER,0),MATCH(R309,L_JENIS,0)),0))</f>
        <v/>
      </c>
      <c r="T309" s="11" t="n"/>
      <c r="U309" s="11" t="n"/>
      <c r="V309" s="10">
        <f>IF(AND(T309="",U309=""),"",IFERROR(INDEX(T_CAPAI,MATCH(T309,L_PER,0),MATCH(U309,L_KED,0)),0))</f>
        <v/>
      </c>
      <c r="W309" s="17">
        <f>IF(OR(B309="",E309="",COUNTA(F309,H309,J309:M309,O309,Q309:R309,T309:U309)=0),"",SUM(G309,I309,N309,P309,S309,V309))</f>
        <v/>
      </c>
      <c r="X309" s="18">
        <f>IF(W309="","",IF(Murid!F309="TL","TL",ROUND(W309/110*100,2)))</f>
        <v/>
      </c>
    </row>
    <row r="310">
      <c r="A310" s="15">
        <f>Murid!A310</f>
        <v/>
      </c>
      <c r="B310" s="15">
        <f>IF(Murid!B310="","",Murid!B310)</f>
        <v/>
      </c>
      <c r="C310" s="16">
        <f>IF(Murid!C310="","",Murid!C310)</f>
        <v/>
      </c>
      <c r="D310" s="15">
        <f>IF(Murid!E310="","",Murid!E310)</f>
        <v/>
      </c>
      <c r="E310" s="11" t="n"/>
      <c r="F310" s="11" t="n"/>
      <c r="G310" s="10">
        <f>IF(F310="","",IFERROR(VLOOKUP(F310,T_JKP,2,FALSE),0))</f>
        <v/>
      </c>
      <c r="H310" s="11" t="n"/>
      <c r="I310" s="17">
        <f>IF(H310="","",IF(H310&gt;=12,40,ROUND(H310*3.33,2)))</f>
        <v/>
      </c>
      <c r="J310" s="11" t="n"/>
      <c r="K310" s="11" t="n"/>
      <c r="L310" s="11" t="n"/>
      <c r="M310" s="11" t="n"/>
      <c r="N310" s="10">
        <f>IF(COUNTA(J310:M310)=0,"",MIN(10,SUMPRODUCT((COUNTIF(J310:M310,L_KOM)&gt;0)*S_KOM)))</f>
        <v/>
      </c>
      <c r="O310" s="11" t="n"/>
      <c r="P310" s="10">
        <f>IF(O310="","",IFERROR(VLOOKUP(O310,T_KHID,2,FALSE),0))</f>
        <v/>
      </c>
      <c r="Q310" s="11" t="n"/>
      <c r="R310" s="11" t="n"/>
      <c r="S310" s="10">
        <f>IF(AND(Q310="",R310=""),"",IFERROR(INDEX(T_LIBAT,MATCH(Q310,L_PER,0),MATCH(R310,L_JENIS,0)),0))</f>
        <v/>
      </c>
      <c r="T310" s="11" t="n"/>
      <c r="U310" s="11" t="n"/>
      <c r="V310" s="10">
        <f>IF(AND(T310="",U310=""),"",IFERROR(INDEX(T_CAPAI,MATCH(T310,L_PER,0),MATCH(U310,L_KED,0)),0))</f>
        <v/>
      </c>
      <c r="W310" s="17">
        <f>IF(OR(B310="",E310="",COUNTA(F310,H310,J310:M310,O310,Q310:R310,T310:U310)=0),"",SUM(G310,I310,N310,P310,S310,V310))</f>
        <v/>
      </c>
      <c r="X310" s="18">
        <f>IF(W310="","",IF(Murid!F310="TL","TL",ROUND(W310/110*100,2)))</f>
        <v/>
      </c>
    </row>
    <row r="311">
      <c r="A311" s="15">
        <f>Murid!A311</f>
        <v/>
      </c>
      <c r="B311" s="15">
        <f>IF(Murid!B311="","",Murid!B311)</f>
        <v/>
      </c>
      <c r="C311" s="16">
        <f>IF(Murid!C311="","",Murid!C311)</f>
        <v/>
      </c>
      <c r="D311" s="15">
        <f>IF(Murid!E311="","",Murid!E311)</f>
        <v/>
      </c>
      <c r="E311" s="11" t="n"/>
      <c r="F311" s="11" t="n"/>
      <c r="G311" s="10">
        <f>IF(F311="","",IFERROR(VLOOKUP(F311,T_JKP,2,FALSE),0))</f>
        <v/>
      </c>
      <c r="H311" s="11" t="n"/>
      <c r="I311" s="17">
        <f>IF(H311="","",IF(H311&gt;=12,40,ROUND(H311*3.33,2)))</f>
        <v/>
      </c>
      <c r="J311" s="11" t="n"/>
      <c r="K311" s="11" t="n"/>
      <c r="L311" s="11" t="n"/>
      <c r="M311" s="11" t="n"/>
      <c r="N311" s="10">
        <f>IF(COUNTA(J311:M311)=0,"",MIN(10,SUMPRODUCT((COUNTIF(J311:M311,L_KOM)&gt;0)*S_KOM)))</f>
        <v/>
      </c>
      <c r="O311" s="11" t="n"/>
      <c r="P311" s="10">
        <f>IF(O311="","",IFERROR(VLOOKUP(O311,T_KHID,2,FALSE),0))</f>
        <v/>
      </c>
      <c r="Q311" s="11" t="n"/>
      <c r="R311" s="11" t="n"/>
      <c r="S311" s="10">
        <f>IF(AND(Q311="",R311=""),"",IFERROR(INDEX(T_LIBAT,MATCH(Q311,L_PER,0),MATCH(R311,L_JENIS,0)),0))</f>
        <v/>
      </c>
      <c r="T311" s="11" t="n"/>
      <c r="U311" s="11" t="n"/>
      <c r="V311" s="10">
        <f>IF(AND(T311="",U311=""),"",IFERROR(INDEX(T_CAPAI,MATCH(T311,L_PER,0),MATCH(U311,L_KED,0)),0))</f>
        <v/>
      </c>
      <c r="W311" s="17">
        <f>IF(OR(B311="",E311="",COUNTA(F311,H311,J311:M311,O311,Q311:R311,T311:U311)=0),"",SUM(G311,I311,N311,P311,S311,V311))</f>
        <v/>
      </c>
      <c r="X311" s="18">
        <f>IF(W311="","",IF(Murid!F311="TL","TL",ROUND(W311/110*100,2)))</f>
        <v/>
      </c>
    </row>
    <row r="312">
      <c r="A312" s="15">
        <f>Murid!A312</f>
        <v/>
      </c>
      <c r="B312" s="15">
        <f>IF(Murid!B312="","",Murid!B312)</f>
        <v/>
      </c>
      <c r="C312" s="16">
        <f>IF(Murid!C312="","",Murid!C312)</f>
        <v/>
      </c>
      <c r="D312" s="15">
        <f>IF(Murid!E312="","",Murid!E312)</f>
        <v/>
      </c>
      <c r="E312" s="11" t="n"/>
      <c r="F312" s="11" t="n"/>
      <c r="G312" s="10">
        <f>IF(F312="","",IFERROR(VLOOKUP(F312,T_JKP,2,FALSE),0))</f>
        <v/>
      </c>
      <c r="H312" s="11" t="n"/>
      <c r="I312" s="17">
        <f>IF(H312="","",IF(H312&gt;=12,40,ROUND(H312*3.33,2)))</f>
        <v/>
      </c>
      <c r="J312" s="11" t="n"/>
      <c r="K312" s="11" t="n"/>
      <c r="L312" s="11" t="n"/>
      <c r="M312" s="11" t="n"/>
      <c r="N312" s="10">
        <f>IF(COUNTA(J312:M312)=0,"",MIN(10,SUMPRODUCT((COUNTIF(J312:M312,L_KOM)&gt;0)*S_KOM)))</f>
        <v/>
      </c>
      <c r="O312" s="11" t="n"/>
      <c r="P312" s="10">
        <f>IF(O312="","",IFERROR(VLOOKUP(O312,T_KHID,2,FALSE),0))</f>
        <v/>
      </c>
      <c r="Q312" s="11" t="n"/>
      <c r="R312" s="11" t="n"/>
      <c r="S312" s="10">
        <f>IF(AND(Q312="",R312=""),"",IFERROR(INDEX(T_LIBAT,MATCH(Q312,L_PER,0),MATCH(R312,L_JENIS,0)),0))</f>
        <v/>
      </c>
      <c r="T312" s="11" t="n"/>
      <c r="U312" s="11" t="n"/>
      <c r="V312" s="10">
        <f>IF(AND(T312="",U312=""),"",IFERROR(INDEX(T_CAPAI,MATCH(T312,L_PER,0),MATCH(U312,L_KED,0)),0))</f>
        <v/>
      </c>
      <c r="W312" s="17">
        <f>IF(OR(B312="",E312="",COUNTA(F312,H312,J312:M312,O312,Q312:R312,T312:U312)=0),"",SUM(G312,I312,N312,P312,S312,V312))</f>
        <v/>
      </c>
      <c r="X312" s="18">
        <f>IF(W312="","",IF(Murid!F312="TL","TL",ROUND(W312/110*100,2)))</f>
        <v/>
      </c>
    </row>
    <row r="313">
      <c r="A313" s="15">
        <f>Murid!A313</f>
        <v/>
      </c>
      <c r="B313" s="15">
        <f>IF(Murid!B313="","",Murid!B313)</f>
        <v/>
      </c>
      <c r="C313" s="16">
        <f>IF(Murid!C313="","",Murid!C313)</f>
        <v/>
      </c>
      <c r="D313" s="15">
        <f>IF(Murid!E313="","",Murid!E313)</f>
        <v/>
      </c>
      <c r="E313" s="11" t="n"/>
      <c r="F313" s="11" t="n"/>
      <c r="G313" s="10">
        <f>IF(F313="","",IFERROR(VLOOKUP(F313,T_JKP,2,FALSE),0))</f>
        <v/>
      </c>
      <c r="H313" s="11" t="n"/>
      <c r="I313" s="17">
        <f>IF(H313="","",IF(H313&gt;=12,40,ROUND(H313*3.33,2)))</f>
        <v/>
      </c>
      <c r="J313" s="11" t="n"/>
      <c r="K313" s="11" t="n"/>
      <c r="L313" s="11" t="n"/>
      <c r="M313" s="11" t="n"/>
      <c r="N313" s="10">
        <f>IF(COUNTA(J313:M313)=0,"",MIN(10,SUMPRODUCT((COUNTIF(J313:M313,L_KOM)&gt;0)*S_KOM)))</f>
        <v/>
      </c>
      <c r="O313" s="11" t="n"/>
      <c r="P313" s="10">
        <f>IF(O313="","",IFERROR(VLOOKUP(O313,T_KHID,2,FALSE),0))</f>
        <v/>
      </c>
      <c r="Q313" s="11" t="n"/>
      <c r="R313" s="11" t="n"/>
      <c r="S313" s="10">
        <f>IF(AND(Q313="",R313=""),"",IFERROR(INDEX(T_LIBAT,MATCH(Q313,L_PER,0),MATCH(R313,L_JENIS,0)),0))</f>
        <v/>
      </c>
      <c r="T313" s="11" t="n"/>
      <c r="U313" s="11" t="n"/>
      <c r="V313" s="10">
        <f>IF(AND(T313="",U313=""),"",IFERROR(INDEX(T_CAPAI,MATCH(T313,L_PER,0),MATCH(U313,L_KED,0)),0))</f>
        <v/>
      </c>
      <c r="W313" s="17">
        <f>IF(OR(B313="",E313="",COUNTA(F313,H313,J313:M313,O313,Q313:R313,T313:U313)=0),"",SUM(G313,I313,N313,P313,S313,V313))</f>
        <v/>
      </c>
      <c r="X313" s="18">
        <f>IF(W313="","",IF(Murid!F313="TL","TL",ROUND(W313/110*100,2)))</f>
        <v/>
      </c>
    </row>
    <row r="314">
      <c r="A314" s="15">
        <f>Murid!A314</f>
        <v/>
      </c>
      <c r="B314" s="15">
        <f>IF(Murid!B314="","",Murid!B314)</f>
        <v/>
      </c>
      <c r="C314" s="16">
        <f>IF(Murid!C314="","",Murid!C314)</f>
        <v/>
      </c>
      <c r="D314" s="15">
        <f>IF(Murid!E314="","",Murid!E314)</f>
        <v/>
      </c>
      <c r="E314" s="11" t="n"/>
      <c r="F314" s="11" t="n"/>
      <c r="G314" s="10">
        <f>IF(F314="","",IFERROR(VLOOKUP(F314,T_JKP,2,FALSE),0))</f>
        <v/>
      </c>
      <c r="H314" s="11" t="n"/>
      <c r="I314" s="17">
        <f>IF(H314="","",IF(H314&gt;=12,40,ROUND(H314*3.33,2)))</f>
        <v/>
      </c>
      <c r="J314" s="11" t="n"/>
      <c r="K314" s="11" t="n"/>
      <c r="L314" s="11" t="n"/>
      <c r="M314" s="11" t="n"/>
      <c r="N314" s="10">
        <f>IF(COUNTA(J314:M314)=0,"",MIN(10,SUMPRODUCT((COUNTIF(J314:M314,L_KOM)&gt;0)*S_KOM)))</f>
        <v/>
      </c>
      <c r="O314" s="11" t="n"/>
      <c r="P314" s="10">
        <f>IF(O314="","",IFERROR(VLOOKUP(O314,T_KHID,2,FALSE),0))</f>
        <v/>
      </c>
      <c r="Q314" s="11" t="n"/>
      <c r="R314" s="11" t="n"/>
      <c r="S314" s="10">
        <f>IF(AND(Q314="",R314=""),"",IFERROR(INDEX(T_LIBAT,MATCH(Q314,L_PER,0),MATCH(R314,L_JENIS,0)),0))</f>
        <v/>
      </c>
      <c r="T314" s="11" t="n"/>
      <c r="U314" s="11" t="n"/>
      <c r="V314" s="10">
        <f>IF(AND(T314="",U314=""),"",IFERROR(INDEX(T_CAPAI,MATCH(T314,L_PER,0),MATCH(U314,L_KED,0)),0))</f>
        <v/>
      </c>
      <c r="W314" s="17">
        <f>IF(OR(B314="",E314="",COUNTA(F314,H314,J314:M314,O314,Q314:R314,T314:U314)=0),"",SUM(G314,I314,N314,P314,S314,V314))</f>
        <v/>
      </c>
      <c r="X314" s="18">
        <f>IF(W314="","",IF(Murid!F314="TL","TL",ROUND(W314/110*100,2)))</f>
        <v/>
      </c>
    </row>
    <row r="315">
      <c r="A315" s="15">
        <f>Murid!A315</f>
        <v/>
      </c>
      <c r="B315" s="15">
        <f>IF(Murid!B315="","",Murid!B315)</f>
        <v/>
      </c>
      <c r="C315" s="16">
        <f>IF(Murid!C315="","",Murid!C315)</f>
        <v/>
      </c>
      <c r="D315" s="15">
        <f>IF(Murid!E315="","",Murid!E315)</f>
        <v/>
      </c>
      <c r="E315" s="11" t="n"/>
      <c r="F315" s="11" t="n"/>
      <c r="G315" s="10">
        <f>IF(F315="","",IFERROR(VLOOKUP(F315,T_JKP,2,FALSE),0))</f>
        <v/>
      </c>
      <c r="H315" s="11" t="n"/>
      <c r="I315" s="17">
        <f>IF(H315="","",IF(H315&gt;=12,40,ROUND(H315*3.33,2)))</f>
        <v/>
      </c>
      <c r="J315" s="11" t="n"/>
      <c r="K315" s="11" t="n"/>
      <c r="L315" s="11" t="n"/>
      <c r="M315" s="11" t="n"/>
      <c r="N315" s="10">
        <f>IF(COUNTA(J315:M315)=0,"",MIN(10,SUMPRODUCT((COUNTIF(J315:M315,L_KOM)&gt;0)*S_KOM)))</f>
        <v/>
      </c>
      <c r="O315" s="11" t="n"/>
      <c r="P315" s="10">
        <f>IF(O315="","",IFERROR(VLOOKUP(O315,T_KHID,2,FALSE),0))</f>
        <v/>
      </c>
      <c r="Q315" s="11" t="n"/>
      <c r="R315" s="11" t="n"/>
      <c r="S315" s="10">
        <f>IF(AND(Q315="",R315=""),"",IFERROR(INDEX(T_LIBAT,MATCH(Q315,L_PER,0),MATCH(R315,L_JENIS,0)),0))</f>
        <v/>
      </c>
      <c r="T315" s="11" t="n"/>
      <c r="U315" s="11" t="n"/>
      <c r="V315" s="10">
        <f>IF(AND(T315="",U315=""),"",IFERROR(INDEX(T_CAPAI,MATCH(T315,L_PER,0),MATCH(U315,L_KED,0)),0))</f>
        <v/>
      </c>
      <c r="W315" s="17">
        <f>IF(OR(B315="",E315="",COUNTA(F315,H315,J315:M315,O315,Q315:R315,T315:U315)=0),"",SUM(G315,I315,N315,P315,S315,V315))</f>
        <v/>
      </c>
      <c r="X315" s="18">
        <f>IF(W315="","",IF(Murid!F315="TL","TL",ROUND(W315/110*100,2)))</f>
        <v/>
      </c>
    </row>
    <row r="316">
      <c r="A316" s="15">
        <f>Murid!A316</f>
        <v/>
      </c>
      <c r="B316" s="15">
        <f>IF(Murid!B316="","",Murid!B316)</f>
        <v/>
      </c>
      <c r="C316" s="16">
        <f>IF(Murid!C316="","",Murid!C316)</f>
        <v/>
      </c>
      <c r="D316" s="15">
        <f>IF(Murid!E316="","",Murid!E316)</f>
        <v/>
      </c>
      <c r="E316" s="11" t="n"/>
      <c r="F316" s="11" t="n"/>
      <c r="G316" s="10">
        <f>IF(F316="","",IFERROR(VLOOKUP(F316,T_JKP,2,FALSE),0))</f>
        <v/>
      </c>
      <c r="H316" s="11" t="n"/>
      <c r="I316" s="17">
        <f>IF(H316="","",IF(H316&gt;=12,40,ROUND(H316*3.33,2)))</f>
        <v/>
      </c>
      <c r="J316" s="11" t="n"/>
      <c r="K316" s="11" t="n"/>
      <c r="L316" s="11" t="n"/>
      <c r="M316" s="11" t="n"/>
      <c r="N316" s="10">
        <f>IF(COUNTA(J316:M316)=0,"",MIN(10,SUMPRODUCT((COUNTIF(J316:M316,L_KOM)&gt;0)*S_KOM)))</f>
        <v/>
      </c>
      <c r="O316" s="11" t="n"/>
      <c r="P316" s="10">
        <f>IF(O316="","",IFERROR(VLOOKUP(O316,T_KHID,2,FALSE),0))</f>
        <v/>
      </c>
      <c r="Q316" s="11" t="n"/>
      <c r="R316" s="11" t="n"/>
      <c r="S316" s="10">
        <f>IF(AND(Q316="",R316=""),"",IFERROR(INDEX(T_LIBAT,MATCH(Q316,L_PER,0),MATCH(R316,L_JENIS,0)),0))</f>
        <v/>
      </c>
      <c r="T316" s="11" t="n"/>
      <c r="U316" s="11" t="n"/>
      <c r="V316" s="10">
        <f>IF(AND(T316="",U316=""),"",IFERROR(INDEX(T_CAPAI,MATCH(T316,L_PER,0),MATCH(U316,L_KED,0)),0))</f>
        <v/>
      </c>
      <c r="W316" s="17">
        <f>IF(OR(B316="",E316="",COUNTA(F316,H316,J316:M316,O316,Q316:R316,T316:U316)=0),"",SUM(G316,I316,N316,P316,S316,V316))</f>
        <v/>
      </c>
      <c r="X316" s="18">
        <f>IF(W316="","",IF(Murid!F316="TL","TL",ROUND(W316/110*100,2)))</f>
        <v/>
      </c>
    </row>
    <row r="317">
      <c r="A317" s="15">
        <f>Murid!A317</f>
        <v/>
      </c>
      <c r="B317" s="15">
        <f>IF(Murid!B317="","",Murid!B317)</f>
        <v/>
      </c>
      <c r="C317" s="16">
        <f>IF(Murid!C317="","",Murid!C317)</f>
        <v/>
      </c>
      <c r="D317" s="15">
        <f>IF(Murid!E317="","",Murid!E317)</f>
        <v/>
      </c>
      <c r="E317" s="11" t="n"/>
      <c r="F317" s="11" t="n"/>
      <c r="G317" s="10">
        <f>IF(F317="","",IFERROR(VLOOKUP(F317,T_JKP,2,FALSE),0))</f>
        <v/>
      </c>
      <c r="H317" s="11" t="n"/>
      <c r="I317" s="17">
        <f>IF(H317="","",IF(H317&gt;=12,40,ROUND(H317*3.33,2)))</f>
        <v/>
      </c>
      <c r="J317" s="11" t="n"/>
      <c r="K317" s="11" t="n"/>
      <c r="L317" s="11" t="n"/>
      <c r="M317" s="11" t="n"/>
      <c r="N317" s="10">
        <f>IF(COUNTA(J317:M317)=0,"",MIN(10,SUMPRODUCT((COUNTIF(J317:M317,L_KOM)&gt;0)*S_KOM)))</f>
        <v/>
      </c>
      <c r="O317" s="11" t="n"/>
      <c r="P317" s="10">
        <f>IF(O317="","",IFERROR(VLOOKUP(O317,T_KHID,2,FALSE),0))</f>
        <v/>
      </c>
      <c r="Q317" s="11" t="n"/>
      <c r="R317" s="11" t="n"/>
      <c r="S317" s="10">
        <f>IF(AND(Q317="",R317=""),"",IFERROR(INDEX(T_LIBAT,MATCH(Q317,L_PER,0),MATCH(R317,L_JENIS,0)),0))</f>
        <v/>
      </c>
      <c r="T317" s="11" t="n"/>
      <c r="U317" s="11" t="n"/>
      <c r="V317" s="10">
        <f>IF(AND(T317="",U317=""),"",IFERROR(INDEX(T_CAPAI,MATCH(T317,L_PER,0),MATCH(U317,L_KED,0)),0))</f>
        <v/>
      </c>
      <c r="W317" s="17">
        <f>IF(OR(B317="",E317="",COUNTA(F317,H317,J317:M317,O317,Q317:R317,T317:U317)=0),"",SUM(G317,I317,N317,P317,S317,V317))</f>
        <v/>
      </c>
      <c r="X317" s="18">
        <f>IF(W317="","",IF(Murid!F317="TL","TL",ROUND(W317/110*100,2)))</f>
        <v/>
      </c>
    </row>
    <row r="318">
      <c r="A318" s="15">
        <f>Murid!A318</f>
        <v/>
      </c>
      <c r="B318" s="15">
        <f>IF(Murid!B318="","",Murid!B318)</f>
        <v/>
      </c>
      <c r="C318" s="16">
        <f>IF(Murid!C318="","",Murid!C318)</f>
        <v/>
      </c>
      <c r="D318" s="15">
        <f>IF(Murid!E318="","",Murid!E318)</f>
        <v/>
      </c>
      <c r="E318" s="11" t="n"/>
      <c r="F318" s="11" t="n"/>
      <c r="G318" s="10">
        <f>IF(F318="","",IFERROR(VLOOKUP(F318,T_JKP,2,FALSE),0))</f>
        <v/>
      </c>
      <c r="H318" s="11" t="n"/>
      <c r="I318" s="17">
        <f>IF(H318="","",IF(H318&gt;=12,40,ROUND(H318*3.33,2)))</f>
        <v/>
      </c>
      <c r="J318" s="11" t="n"/>
      <c r="K318" s="11" t="n"/>
      <c r="L318" s="11" t="n"/>
      <c r="M318" s="11" t="n"/>
      <c r="N318" s="10">
        <f>IF(COUNTA(J318:M318)=0,"",MIN(10,SUMPRODUCT((COUNTIF(J318:M318,L_KOM)&gt;0)*S_KOM)))</f>
        <v/>
      </c>
      <c r="O318" s="11" t="n"/>
      <c r="P318" s="10">
        <f>IF(O318="","",IFERROR(VLOOKUP(O318,T_KHID,2,FALSE),0))</f>
        <v/>
      </c>
      <c r="Q318" s="11" t="n"/>
      <c r="R318" s="11" t="n"/>
      <c r="S318" s="10">
        <f>IF(AND(Q318="",R318=""),"",IFERROR(INDEX(T_LIBAT,MATCH(Q318,L_PER,0),MATCH(R318,L_JENIS,0)),0))</f>
        <v/>
      </c>
      <c r="T318" s="11" t="n"/>
      <c r="U318" s="11" t="n"/>
      <c r="V318" s="10">
        <f>IF(AND(T318="",U318=""),"",IFERROR(INDEX(T_CAPAI,MATCH(T318,L_PER,0),MATCH(U318,L_KED,0)),0))</f>
        <v/>
      </c>
      <c r="W318" s="17">
        <f>IF(OR(B318="",E318="",COUNTA(F318,H318,J318:M318,O318,Q318:R318,T318:U318)=0),"",SUM(G318,I318,N318,P318,S318,V318))</f>
        <v/>
      </c>
      <c r="X318" s="18">
        <f>IF(W318="","",IF(Murid!F318="TL","TL",ROUND(W318/110*100,2)))</f>
        <v/>
      </c>
    </row>
    <row r="319">
      <c r="A319" s="15">
        <f>Murid!A319</f>
        <v/>
      </c>
      <c r="B319" s="15">
        <f>IF(Murid!B319="","",Murid!B319)</f>
        <v/>
      </c>
      <c r="C319" s="16">
        <f>IF(Murid!C319="","",Murid!C319)</f>
        <v/>
      </c>
      <c r="D319" s="15">
        <f>IF(Murid!E319="","",Murid!E319)</f>
        <v/>
      </c>
      <c r="E319" s="11" t="n"/>
      <c r="F319" s="11" t="n"/>
      <c r="G319" s="10">
        <f>IF(F319="","",IFERROR(VLOOKUP(F319,T_JKP,2,FALSE),0))</f>
        <v/>
      </c>
      <c r="H319" s="11" t="n"/>
      <c r="I319" s="17">
        <f>IF(H319="","",IF(H319&gt;=12,40,ROUND(H319*3.33,2)))</f>
        <v/>
      </c>
      <c r="J319" s="11" t="n"/>
      <c r="K319" s="11" t="n"/>
      <c r="L319" s="11" t="n"/>
      <c r="M319" s="11" t="n"/>
      <c r="N319" s="10">
        <f>IF(COUNTA(J319:M319)=0,"",MIN(10,SUMPRODUCT((COUNTIF(J319:M319,L_KOM)&gt;0)*S_KOM)))</f>
        <v/>
      </c>
      <c r="O319" s="11" t="n"/>
      <c r="P319" s="10">
        <f>IF(O319="","",IFERROR(VLOOKUP(O319,T_KHID,2,FALSE),0))</f>
        <v/>
      </c>
      <c r="Q319" s="11" t="n"/>
      <c r="R319" s="11" t="n"/>
      <c r="S319" s="10">
        <f>IF(AND(Q319="",R319=""),"",IFERROR(INDEX(T_LIBAT,MATCH(Q319,L_PER,0),MATCH(R319,L_JENIS,0)),0))</f>
        <v/>
      </c>
      <c r="T319" s="11" t="n"/>
      <c r="U319" s="11" t="n"/>
      <c r="V319" s="10">
        <f>IF(AND(T319="",U319=""),"",IFERROR(INDEX(T_CAPAI,MATCH(T319,L_PER,0),MATCH(U319,L_KED,0)),0))</f>
        <v/>
      </c>
      <c r="W319" s="17">
        <f>IF(OR(B319="",E319="",COUNTA(F319,H319,J319:M319,O319,Q319:R319,T319:U319)=0),"",SUM(G319,I319,N319,P319,S319,V319))</f>
        <v/>
      </c>
      <c r="X319" s="18">
        <f>IF(W319="","",IF(Murid!F319="TL","TL",ROUND(W319/110*100,2)))</f>
        <v/>
      </c>
    </row>
    <row r="320">
      <c r="A320" s="15">
        <f>Murid!A320</f>
        <v/>
      </c>
      <c r="B320" s="15">
        <f>IF(Murid!B320="","",Murid!B320)</f>
        <v/>
      </c>
      <c r="C320" s="16">
        <f>IF(Murid!C320="","",Murid!C320)</f>
        <v/>
      </c>
      <c r="D320" s="15">
        <f>IF(Murid!E320="","",Murid!E320)</f>
        <v/>
      </c>
      <c r="E320" s="11" t="n"/>
      <c r="F320" s="11" t="n"/>
      <c r="G320" s="10">
        <f>IF(F320="","",IFERROR(VLOOKUP(F320,T_JKP,2,FALSE),0))</f>
        <v/>
      </c>
      <c r="H320" s="11" t="n"/>
      <c r="I320" s="17">
        <f>IF(H320="","",IF(H320&gt;=12,40,ROUND(H320*3.33,2)))</f>
        <v/>
      </c>
      <c r="J320" s="11" t="n"/>
      <c r="K320" s="11" t="n"/>
      <c r="L320" s="11" t="n"/>
      <c r="M320" s="11" t="n"/>
      <c r="N320" s="10">
        <f>IF(COUNTA(J320:M320)=0,"",MIN(10,SUMPRODUCT((COUNTIF(J320:M320,L_KOM)&gt;0)*S_KOM)))</f>
        <v/>
      </c>
      <c r="O320" s="11" t="n"/>
      <c r="P320" s="10">
        <f>IF(O320="","",IFERROR(VLOOKUP(O320,T_KHID,2,FALSE),0))</f>
        <v/>
      </c>
      <c r="Q320" s="11" t="n"/>
      <c r="R320" s="11" t="n"/>
      <c r="S320" s="10">
        <f>IF(AND(Q320="",R320=""),"",IFERROR(INDEX(T_LIBAT,MATCH(Q320,L_PER,0),MATCH(R320,L_JENIS,0)),0))</f>
        <v/>
      </c>
      <c r="T320" s="11" t="n"/>
      <c r="U320" s="11" t="n"/>
      <c r="V320" s="10">
        <f>IF(AND(T320="",U320=""),"",IFERROR(INDEX(T_CAPAI,MATCH(T320,L_PER,0),MATCH(U320,L_KED,0)),0))</f>
        <v/>
      </c>
      <c r="W320" s="17">
        <f>IF(OR(B320="",E320="",COUNTA(F320,H320,J320:M320,O320,Q320:R320,T320:U320)=0),"",SUM(G320,I320,N320,P320,S320,V320))</f>
        <v/>
      </c>
      <c r="X320" s="18">
        <f>IF(W320="","",IF(Murid!F320="TL","TL",ROUND(W320/110*100,2)))</f>
        <v/>
      </c>
    </row>
    <row r="321">
      <c r="A321" s="15">
        <f>Murid!A321</f>
        <v/>
      </c>
      <c r="B321" s="15">
        <f>IF(Murid!B321="","",Murid!B321)</f>
        <v/>
      </c>
      <c r="C321" s="16">
        <f>IF(Murid!C321="","",Murid!C321)</f>
        <v/>
      </c>
      <c r="D321" s="15">
        <f>IF(Murid!E321="","",Murid!E321)</f>
        <v/>
      </c>
      <c r="E321" s="11" t="n"/>
      <c r="F321" s="11" t="n"/>
      <c r="G321" s="10">
        <f>IF(F321="","",IFERROR(VLOOKUP(F321,T_JKP,2,FALSE),0))</f>
        <v/>
      </c>
      <c r="H321" s="11" t="n"/>
      <c r="I321" s="17">
        <f>IF(H321="","",IF(H321&gt;=12,40,ROUND(H321*3.33,2)))</f>
        <v/>
      </c>
      <c r="J321" s="11" t="n"/>
      <c r="K321" s="11" t="n"/>
      <c r="L321" s="11" t="n"/>
      <c r="M321" s="11" t="n"/>
      <c r="N321" s="10">
        <f>IF(COUNTA(J321:M321)=0,"",MIN(10,SUMPRODUCT((COUNTIF(J321:M321,L_KOM)&gt;0)*S_KOM)))</f>
        <v/>
      </c>
      <c r="O321" s="11" t="n"/>
      <c r="P321" s="10">
        <f>IF(O321="","",IFERROR(VLOOKUP(O321,T_KHID,2,FALSE),0))</f>
        <v/>
      </c>
      <c r="Q321" s="11" t="n"/>
      <c r="R321" s="11" t="n"/>
      <c r="S321" s="10">
        <f>IF(AND(Q321="",R321=""),"",IFERROR(INDEX(T_LIBAT,MATCH(Q321,L_PER,0),MATCH(R321,L_JENIS,0)),0))</f>
        <v/>
      </c>
      <c r="T321" s="11" t="n"/>
      <c r="U321" s="11" t="n"/>
      <c r="V321" s="10">
        <f>IF(AND(T321="",U321=""),"",IFERROR(INDEX(T_CAPAI,MATCH(T321,L_PER,0),MATCH(U321,L_KED,0)),0))</f>
        <v/>
      </c>
      <c r="W321" s="17">
        <f>IF(OR(B321="",E321="",COUNTA(F321,H321,J321:M321,O321,Q321:R321,T321:U321)=0),"",SUM(G321,I321,N321,P321,S321,V321))</f>
        <v/>
      </c>
      <c r="X321" s="18">
        <f>IF(W321="","",IF(Murid!F321="TL","TL",ROUND(W321/110*100,2)))</f>
        <v/>
      </c>
    </row>
    <row r="322">
      <c r="A322" s="15">
        <f>Murid!A322</f>
        <v/>
      </c>
      <c r="B322" s="15">
        <f>IF(Murid!B322="","",Murid!B322)</f>
        <v/>
      </c>
      <c r="C322" s="16">
        <f>IF(Murid!C322="","",Murid!C322)</f>
        <v/>
      </c>
      <c r="D322" s="15">
        <f>IF(Murid!E322="","",Murid!E322)</f>
        <v/>
      </c>
      <c r="E322" s="11" t="n"/>
      <c r="F322" s="11" t="n"/>
      <c r="G322" s="10">
        <f>IF(F322="","",IFERROR(VLOOKUP(F322,T_JKP,2,FALSE),0))</f>
        <v/>
      </c>
      <c r="H322" s="11" t="n"/>
      <c r="I322" s="17">
        <f>IF(H322="","",IF(H322&gt;=12,40,ROUND(H322*3.33,2)))</f>
        <v/>
      </c>
      <c r="J322" s="11" t="n"/>
      <c r="K322" s="11" t="n"/>
      <c r="L322" s="11" t="n"/>
      <c r="M322" s="11" t="n"/>
      <c r="N322" s="10">
        <f>IF(COUNTA(J322:M322)=0,"",MIN(10,SUMPRODUCT((COUNTIF(J322:M322,L_KOM)&gt;0)*S_KOM)))</f>
        <v/>
      </c>
      <c r="O322" s="11" t="n"/>
      <c r="P322" s="10">
        <f>IF(O322="","",IFERROR(VLOOKUP(O322,T_KHID,2,FALSE),0))</f>
        <v/>
      </c>
      <c r="Q322" s="11" t="n"/>
      <c r="R322" s="11" t="n"/>
      <c r="S322" s="10">
        <f>IF(AND(Q322="",R322=""),"",IFERROR(INDEX(T_LIBAT,MATCH(Q322,L_PER,0),MATCH(R322,L_JENIS,0)),0))</f>
        <v/>
      </c>
      <c r="T322" s="11" t="n"/>
      <c r="U322" s="11" t="n"/>
      <c r="V322" s="10">
        <f>IF(AND(T322="",U322=""),"",IFERROR(INDEX(T_CAPAI,MATCH(T322,L_PER,0),MATCH(U322,L_KED,0)),0))</f>
        <v/>
      </c>
      <c r="W322" s="17">
        <f>IF(OR(B322="",E322="",COUNTA(F322,H322,J322:M322,O322,Q322:R322,T322:U322)=0),"",SUM(G322,I322,N322,P322,S322,V322))</f>
        <v/>
      </c>
      <c r="X322" s="18">
        <f>IF(W322="","",IF(Murid!F322="TL","TL",ROUND(W322/110*100,2)))</f>
        <v/>
      </c>
    </row>
    <row r="323">
      <c r="A323" s="15">
        <f>Murid!A323</f>
        <v/>
      </c>
      <c r="B323" s="15">
        <f>IF(Murid!B323="","",Murid!B323)</f>
        <v/>
      </c>
      <c r="C323" s="16">
        <f>IF(Murid!C323="","",Murid!C323)</f>
        <v/>
      </c>
      <c r="D323" s="15">
        <f>IF(Murid!E323="","",Murid!E323)</f>
        <v/>
      </c>
      <c r="E323" s="11" t="n"/>
      <c r="F323" s="11" t="n"/>
      <c r="G323" s="10">
        <f>IF(F323="","",IFERROR(VLOOKUP(F323,T_JKP,2,FALSE),0))</f>
        <v/>
      </c>
      <c r="H323" s="11" t="n"/>
      <c r="I323" s="17">
        <f>IF(H323="","",IF(H323&gt;=12,40,ROUND(H323*3.33,2)))</f>
        <v/>
      </c>
      <c r="J323" s="11" t="n"/>
      <c r="K323" s="11" t="n"/>
      <c r="L323" s="11" t="n"/>
      <c r="M323" s="11" t="n"/>
      <c r="N323" s="10">
        <f>IF(COUNTA(J323:M323)=0,"",MIN(10,SUMPRODUCT((COUNTIF(J323:M323,L_KOM)&gt;0)*S_KOM)))</f>
        <v/>
      </c>
      <c r="O323" s="11" t="n"/>
      <c r="P323" s="10">
        <f>IF(O323="","",IFERROR(VLOOKUP(O323,T_KHID,2,FALSE),0))</f>
        <v/>
      </c>
      <c r="Q323" s="11" t="n"/>
      <c r="R323" s="11" t="n"/>
      <c r="S323" s="10">
        <f>IF(AND(Q323="",R323=""),"",IFERROR(INDEX(T_LIBAT,MATCH(Q323,L_PER,0),MATCH(R323,L_JENIS,0)),0))</f>
        <v/>
      </c>
      <c r="T323" s="11" t="n"/>
      <c r="U323" s="11" t="n"/>
      <c r="V323" s="10">
        <f>IF(AND(T323="",U323=""),"",IFERROR(INDEX(T_CAPAI,MATCH(T323,L_PER,0),MATCH(U323,L_KED,0)),0))</f>
        <v/>
      </c>
      <c r="W323" s="17">
        <f>IF(OR(B323="",E323="",COUNTA(F323,H323,J323:M323,O323,Q323:R323,T323:U323)=0),"",SUM(G323,I323,N323,P323,S323,V323))</f>
        <v/>
      </c>
      <c r="X323" s="18">
        <f>IF(W323="","",IF(Murid!F323="TL","TL",ROUND(W323/110*100,2)))</f>
        <v/>
      </c>
    </row>
    <row r="324">
      <c r="A324" s="15">
        <f>Murid!A324</f>
        <v/>
      </c>
      <c r="B324" s="15">
        <f>IF(Murid!B324="","",Murid!B324)</f>
        <v/>
      </c>
      <c r="C324" s="16">
        <f>IF(Murid!C324="","",Murid!C324)</f>
        <v/>
      </c>
      <c r="D324" s="15">
        <f>IF(Murid!E324="","",Murid!E324)</f>
        <v/>
      </c>
      <c r="E324" s="11" t="n"/>
      <c r="F324" s="11" t="n"/>
      <c r="G324" s="10">
        <f>IF(F324="","",IFERROR(VLOOKUP(F324,T_JKP,2,FALSE),0))</f>
        <v/>
      </c>
      <c r="H324" s="11" t="n"/>
      <c r="I324" s="17">
        <f>IF(H324="","",IF(H324&gt;=12,40,ROUND(H324*3.33,2)))</f>
        <v/>
      </c>
      <c r="J324" s="11" t="n"/>
      <c r="K324" s="11" t="n"/>
      <c r="L324" s="11" t="n"/>
      <c r="M324" s="11" t="n"/>
      <c r="N324" s="10">
        <f>IF(COUNTA(J324:M324)=0,"",MIN(10,SUMPRODUCT((COUNTIF(J324:M324,L_KOM)&gt;0)*S_KOM)))</f>
        <v/>
      </c>
      <c r="O324" s="11" t="n"/>
      <c r="P324" s="10">
        <f>IF(O324="","",IFERROR(VLOOKUP(O324,T_KHID,2,FALSE),0))</f>
        <v/>
      </c>
      <c r="Q324" s="11" t="n"/>
      <c r="R324" s="11" t="n"/>
      <c r="S324" s="10">
        <f>IF(AND(Q324="",R324=""),"",IFERROR(INDEX(T_LIBAT,MATCH(Q324,L_PER,0),MATCH(R324,L_JENIS,0)),0))</f>
        <v/>
      </c>
      <c r="T324" s="11" t="n"/>
      <c r="U324" s="11" t="n"/>
      <c r="V324" s="10">
        <f>IF(AND(T324="",U324=""),"",IFERROR(INDEX(T_CAPAI,MATCH(T324,L_PER,0),MATCH(U324,L_KED,0)),0))</f>
        <v/>
      </c>
      <c r="W324" s="17">
        <f>IF(OR(B324="",E324="",COUNTA(F324,H324,J324:M324,O324,Q324:R324,T324:U324)=0),"",SUM(G324,I324,N324,P324,S324,V324))</f>
        <v/>
      </c>
      <c r="X324" s="18">
        <f>IF(W324="","",IF(Murid!F324="TL","TL",ROUND(W324/110*100,2)))</f>
        <v/>
      </c>
    </row>
    <row r="325">
      <c r="A325" s="15">
        <f>Murid!A325</f>
        <v/>
      </c>
      <c r="B325" s="15">
        <f>IF(Murid!B325="","",Murid!B325)</f>
        <v/>
      </c>
      <c r="C325" s="16">
        <f>IF(Murid!C325="","",Murid!C325)</f>
        <v/>
      </c>
      <c r="D325" s="15">
        <f>IF(Murid!E325="","",Murid!E325)</f>
        <v/>
      </c>
      <c r="E325" s="11" t="n"/>
      <c r="F325" s="11" t="n"/>
      <c r="G325" s="10">
        <f>IF(F325="","",IFERROR(VLOOKUP(F325,T_JKP,2,FALSE),0))</f>
        <v/>
      </c>
      <c r="H325" s="11" t="n"/>
      <c r="I325" s="17">
        <f>IF(H325="","",IF(H325&gt;=12,40,ROUND(H325*3.33,2)))</f>
        <v/>
      </c>
      <c r="J325" s="11" t="n"/>
      <c r="K325" s="11" t="n"/>
      <c r="L325" s="11" t="n"/>
      <c r="M325" s="11" t="n"/>
      <c r="N325" s="10">
        <f>IF(COUNTA(J325:M325)=0,"",MIN(10,SUMPRODUCT((COUNTIF(J325:M325,L_KOM)&gt;0)*S_KOM)))</f>
        <v/>
      </c>
      <c r="O325" s="11" t="n"/>
      <c r="P325" s="10">
        <f>IF(O325="","",IFERROR(VLOOKUP(O325,T_KHID,2,FALSE),0))</f>
        <v/>
      </c>
      <c r="Q325" s="11" t="n"/>
      <c r="R325" s="11" t="n"/>
      <c r="S325" s="10">
        <f>IF(AND(Q325="",R325=""),"",IFERROR(INDEX(T_LIBAT,MATCH(Q325,L_PER,0),MATCH(R325,L_JENIS,0)),0))</f>
        <v/>
      </c>
      <c r="T325" s="11" t="n"/>
      <c r="U325" s="11" t="n"/>
      <c r="V325" s="10">
        <f>IF(AND(T325="",U325=""),"",IFERROR(INDEX(T_CAPAI,MATCH(T325,L_PER,0),MATCH(U325,L_KED,0)),0))</f>
        <v/>
      </c>
      <c r="W325" s="17">
        <f>IF(OR(B325="",E325="",COUNTA(F325,H325,J325:M325,O325,Q325:R325,T325:U325)=0),"",SUM(G325,I325,N325,P325,S325,V325))</f>
        <v/>
      </c>
      <c r="X325" s="18">
        <f>IF(W325="","",IF(Murid!F325="TL","TL",ROUND(W325/110*100,2)))</f>
        <v/>
      </c>
    </row>
    <row r="326">
      <c r="A326" s="15">
        <f>Murid!A326</f>
        <v/>
      </c>
      <c r="B326" s="15">
        <f>IF(Murid!B326="","",Murid!B326)</f>
        <v/>
      </c>
      <c r="C326" s="16">
        <f>IF(Murid!C326="","",Murid!C326)</f>
        <v/>
      </c>
      <c r="D326" s="15">
        <f>IF(Murid!E326="","",Murid!E326)</f>
        <v/>
      </c>
      <c r="E326" s="11" t="n"/>
      <c r="F326" s="11" t="n"/>
      <c r="G326" s="10">
        <f>IF(F326="","",IFERROR(VLOOKUP(F326,T_JKP,2,FALSE),0))</f>
        <v/>
      </c>
      <c r="H326" s="11" t="n"/>
      <c r="I326" s="17">
        <f>IF(H326="","",IF(H326&gt;=12,40,ROUND(H326*3.33,2)))</f>
        <v/>
      </c>
      <c r="J326" s="11" t="n"/>
      <c r="K326" s="11" t="n"/>
      <c r="L326" s="11" t="n"/>
      <c r="M326" s="11" t="n"/>
      <c r="N326" s="10">
        <f>IF(COUNTA(J326:M326)=0,"",MIN(10,SUMPRODUCT((COUNTIF(J326:M326,L_KOM)&gt;0)*S_KOM)))</f>
        <v/>
      </c>
      <c r="O326" s="11" t="n"/>
      <c r="P326" s="10">
        <f>IF(O326="","",IFERROR(VLOOKUP(O326,T_KHID,2,FALSE),0))</f>
        <v/>
      </c>
      <c r="Q326" s="11" t="n"/>
      <c r="R326" s="11" t="n"/>
      <c r="S326" s="10">
        <f>IF(AND(Q326="",R326=""),"",IFERROR(INDEX(T_LIBAT,MATCH(Q326,L_PER,0),MATCH(R326,L_JENIS,0)),0))</f>
        <v/>
      </c>
      <c r="T326" s="11" t="n"/>
      <c r="U326" s="11" t="n"/>
      <c r="V326" s="10">
        <f>IF(AND(T326="",U326=""),"",IFERROR(INDEX(T_CAPAI,MATCH(T326,L_PER,0),MATCH(U326,L_KED,0)),0))</f>
        <v/>
      </c>
      <c r="W326" s="17">
        <f>IF(OR(B326="",E326="",COUNTA(F326,H326,J326:M326,O326,Q326:R326,T326:U326)=0),"",SUM(G326,I326,N326,P326,S326,V326))</f>
        <v/>
      </c>
      <c r="X326" s="18">
        <f>IF(W326="","",IF(Murid!F326="TL","TL",ROUND(W326/110*100,2)))</f>
        <v/>
      </c>
    </row>
    <row r="327">
      <c r="A327" s="15">
        <f>Murid!A327</f>
        <v/>
      </c>
      <c r="B327" s="15">
        <f>IF(Murid!B327="","",Murid!B327)</f>
        <v/>
      </c>
      <c r="C327" s="16">
        <f>IF(Murid!C327="","",Murid!C327)</f>
        <v/>
      </c>
      <c r="D327" s="15">
        <f>IF(Murid!E327="","",Murid!E327)</f>
        <v/>
      </c>
      <c r="E327" s="11" t="n"/>
      <c r="F327" s="11" t="n"/>
      <c r="G327" s="10">
        <f>IF(F327="","",IFERROR(VLOOKUP(F327,T_JKP,2,FALSE),0))</f>
        <v/>
      </c>
      <c r="H327" s="11" t="n"/>
      <c r="I327" s="17">
        <f>IF(H327="","",IF(H327&gt;=12,40,ROUND(H327*3.33,2)))</f>
        <v/>
      </c>
      <c r="J327" s="11" t="n"/>
      <c r="K327" s="11" t="n"/>
      <c r="L327" s="11" t="n"/>
      <c r="M327" s="11" t="n"/>
      <c r="N327" s="10">
        <f>IF(COUNTA(J327:M327)=0,"",MIN(10,SUMPRODUCT((COUNTIF(J327:M327,L_KOM)&gt;0)*S_KOM)))</f>
        <v/>
      </c>
      <c r="O327" s="11" t="n"/>
      <c r="P327" s="10">
        <f>IF(O327="","",IFERROR(VLOOKUP(O327,T_KHID,2,FALSE),0))</f>
        <v/>
      </c>
      <c r="Q327" s="11" t="n"/>
      <c r="R327" s="11" t="n"/>
      <c r="S327" s="10">
        <f>IF(AND(Q327="",R327=""),"",IFERROR(INDEX(T_LIBAT,MATCH(Q327,L_PER,0),MATCH(R327,L_JENIS,0)),0))</f>
        <v/>
      </c>
      <c r="T327" s="11" t="n"/>
      <c r="U327" s="11" t="n"/>
      <c r="V327" s="10">
        <f>IF(AND(T327="",U327=""),"",IFERROR(INDEX(T_CAPAI,MATCH(T327,L_PER,0),MATCH(U327,L_KED,0)),0))</f>
        <v/>
      </c>
      <c r="W327" s="17">
        <f>IF(OR(B327="",E327="",COUNTA(F327,H327,J327:M327,O327,Q327:R327,T327:U327)=0),"",SUM(G327,I327,N327,P327,S327,V327))</f>
        <v/>
      </c>
      <c r="X327" s="18">
        <f>IF(W327="","",IF(Murid!F327="TL","TL",ROUND(W327/110*100,2)))</f>
        <v/>
      </c>
    </row>
    <row r="328">
      <c r="A328" s="15">
        <f>Murid!A328</f>
        <v/>
      </c>
      <c r="B328" s="15">
        <f>IF(Murid!B328="","",Murid!B328)</f>
        <v/>
      </c>
      <c r="C328" s="16">
        <f>IF(Murid!C328="","",Murid!C328)</f>
        <v/>
      </c>
      <c r="D328" s="15">
        <f>IF(Murid!E328="","",Murid!E328)</f>
        <v/>
      </c>
      <c r="E328" s="11" t="n"/>
      <c r="F328" s="11" t="n"/>
      <c r="G328" s="10">
        <f>IF(F328="","",IFERROR(VLOOKUP(F328,T_JKP,2,FALSE),0))</f>
        <v/>
      </c>
      <c r="H328" s="11" t="n"/>
      <c r="I328" s="17">
        <f>IF(H328="","",IF(H328&gt;=12,40,ROUND(H328*3.33,2)))</f>
        <v/>
      </c>
      <c r="J328" s="11" t="n"/>
      <c r="K328" s="11" t="n"/>
      <c r="L328" s="11" t="n"/>
      <c r="M328" s="11" t="n"/>
      <c r="N328" s="10">
        <f>IF(COUNTA(J328:M328)=0,"",MIN(10,SUMPRODUCT((COUNTIF(J328:M328,L_KOM)&gt;0)*S_KOM)))</f>
        <v/>
      </c>
      <c r="O328" s="11" t="n"/>
      <c r="P328" s="10">
        <f>IF(O328="","",IFERROR(VLOOKUP(O328,T_KHID,2,FALSE),0))</f>
        <v/>
      </c>
      <c r="Q328" s="11" t="n"/>
      <c r="R328" s="11" t="n"/>
      <c r="S328" s="10">
        <f>IF(AND(Q328="",R328=""),"",IFERROR(INDEX(T_LIBAT,MATCH(Q328,L_PER,0),MATCH(R328,L_JENIS,0)),0))</f>
        <v/>
      </c>
      <c r="T328" s="11" t="n"/>
      <c r="U328" s="11" t="n"/>
      <c r="V328" s="10">
        <f>IF(AND(T328="",U328=""),"",IFERROR(INDEX(T_CAPAI,MATCH(T328,L_PER,0),MATCH(U328,L_KED,0)),0))</f>
        <v/>
      </c>
      <c r="W328" s="17">
        <f>IF(OR(B328="",E328="",COUNTA(F328,H328,J328:M328,O328,Q328:R328,T328:U328)=0),"",SUM(G328,I328,N328,P328,S328,V328))</f>
        <v/>
      </c>
      <c r="X328" s="18">
        <f>IF(W328="","",IF(Murid!F328="TL","TL",ROUND(W328/110*100,2)))</f>
        <v/>
      </c>
    </row>
    <row r="329">
      <c r="A329" s="15">
        <f>Murid!A329</f>
        <v/>
      </c>
      <c r="B329" s="15">
        <f>IF(Murid!B329="","",Murid!B329)</f>
        <v/>
      </c>
      <c r="C329" s="16">
        <f>IF(Murid!C329="","",Murid!C329)</f>
        <v/>
      </c>
      <c r="D329" s="15">
        <f>IF(Murid!E329="","",Murid!E329)</f>
        <v/>
      </c>
      <c r="E329" s="11" t="n"/>
      <c r="F329" s="11" t="n"/>
      <c r="G329" s="10">
        <f>IF(F329="","",IFERROR(VLOOKUP(F329,T_JKP,2,FALSE),0))</f>
        <v/>
      </c>
      <c r="H329" s="11" t="n"/>
      <c r="I329" s="17">
        <f>IF(H329="","",IF(H329&gt;=12,40,ROUND(H329*3.33,2)))</f>
        <v/>
      </c>
      <c r="J329" s="11" t="n"/>
      <c r="K329" s="11" t="n"/>
      <c r="L329" s="11" t="n"/>
      <c r="M329" s="11" t="n"/>
      <c r="N329" s="10">
        <f>IF(COUNTA(J329:M329)=0,"",MIN(10,SUMPRODUCT((COUNTIF(J329:M329,L_KOM)&gt;0)*S_KOM)))</f>
        <v/>
      </c>
      <c r="O329" s="11" t="n"/>
      <c r="P329" s="10">
        <f>IF(O329="","",IFERROR(VLOOKUP(O329,T_KHID,2,FALSE),0))</f>
        <v/>
      </c>
      <c r="Q329" s="11" t="n"/>
      <c r="R329" s="11" t="n"/>
      <c r="S329" s="10">
        <f>IF(AND(Q329="",R329=""),"",IFERROR(INDEX(T_LIBAT,MATCH(Q329,L_PER,0),MATCH(R329,L_JENIS,0)),0))</f>
        <v/>
      </c>
      <c r="T329" s="11" t="n"/>
      <c r="U329" s="11" t="n"/>
      <c r="V329" s="10">
        <f>IF(AND(T329="",U329=""),"",IFERROR(INDEX(T_CAPAI,MATCH(T329,L_PER,0),MATCH(U329,L_KED,0)),0))</f>
        <v/>
      </c>
      <c r="W329" s="17">
        <f>IF(OR(B329="",E329="",COUNTA(F329,H329,J329:M329,O329,Q329:R329,T329:U329)=0),"",SUM(G329,I329,N329,P329,S329,V329))</f>
        <v/>
      </c>
      <c r="X329" s="18">
        <f>IF(W329="","",IF(Murid!F329="TL","TL",ROUND(W329/110*100,2)))</f>
        <v/>
      </c>
    </row>
    <row r="330">
      <c r="A330" s="15">
        <f>Murid!A330</f>
        <v/>
      </c>
      <c r="B330" s="15">
        <f>IF(Murid!B330="","",Murid!B330)</f>
        <v/>
      </c>
      <c r="C330" s="16">
        <f>IF(Murid!C330="","",Murid!C330)</f>
        <v/>
      </c>
      <c r="D330" s="15">
        <f>IF(Murid!E330="","",Murid!E330)</f>
        <v/>
      </c>
      <c r="E330" s="11" t="n"/>
      <c r="F330" s="11" t="n"/>
      <c r="G330" s="10">
        <f>IF(F330="","",IFERROR(VLOOKUP(F330,T_JKP,2,FALSE),0))</f>
        <v/>
      </c>
      <c r="H330" s="11" t="n"/>
      <c r="I330" s="17">
        <f>IF(H330="","",IF(H330&gt;=12,40,ROUND(H330*3.33,2)))</f>
        <v/>
      </c>
      <c r="J330" s="11" t="n"/>
      <c r="K330" s="11" t="n"/>
      <c r="L330" s="11" t="n"/>
      <c r="M330" s="11" t="n"/>
      <c r="N330" s="10">
        <f>IF(COUNTA(J330:M330)=0,"",MIN(10,SUMPRODUCT((COUNTIF(J330:M330,L_KOM)&gt;0)*S_KOM)))</f>
        <v/>
      </c>
      <c r="O330" s="11" t="n"/>
      <c r="P330" s="10">
        <f>IF(O330="","",IFERROR(VLOOKUP(O330,T_KHID,2,FALSE),0))</f>
        <v/>
      </c>
      <c r="Q330" s="11" t="n"/>
      <c r="R330" s="11" t="n"/>
      <c r="S330" s="10">
        <f>IF(AND(Q330="",R330=""),"",IFERROR(INDEX(T_LIBAT,MATCH(Q330,L_PER,0),MATCH(R330,L_JENIS,0)),0))</f>
        <v/>
      </c>
      <c r="T330" s="11" t="n"/>
      <c r="U330" s="11" t="n"/>
      <c r="V330" s="10">
        <f>IF(AND(T330="",U330=""),"",IFERROR(INDEX(T_CAPAI,MATCH(T330,L_PER,0),MATCH(U330,L_KED,0)),0))</f>
        <v/>
      </c>
      <c r="W330" s="17">
        <f>IF(OR(B330="",E330="",COUNTA(F330,H330,J330:M330,O330,Q330:R330,T330:U330)=0),"",SUM(G330,I330,N330,P330,S330,V330))</f>
        <v/>
      </c>
      <c r="X330" s="18">
        <f>IF(W330="","",IF(Murid!F330="TL","TL",ROUND(W330/110*100,2)))</f>
        <v/>
      </c>
    </row>
    <row r="331">
      <c r="A331" s="15">
        <f>Murid!A331</f>
        <v/>
      </c>
      <c r="B331" s="15">
        <f>IF(Murid!B331="","",Murid!B331)</f>
        <v/>
      </c>
      <c r="C331" s="16">
        <f>IF(Murid!C331="","",Murid!C331)</f>
        <v/>
      </c>
      <c r="D331" s="15">
        <f>IF(Murid!E331="","",Murid!E331)</f>
        <v/>
      </c>
      <c r="E331" s="11" t="n"/>
      <c r="F331" s="11" t="n"/>
      <c r="G331" s="10">
        <f>IF(F331="","",IFERROR(VLOOKUP(F331,T_JKP,2,FALSE),0))</f>
        <v/>
      </c>
      <c r="H331" s="11" t="n"/>
      <c r="I331" s="17">
        <f>IF(H331="","",IF(H331&gt;=12,40,ROUND(H331*3.33,2)))</f>
        <v/>
      </c>
      <c r="J331" s="11" t="n"/>
      <c r="K331" s="11" t="n"/>
      <c r="L331" s="11" t="n"/>
      <c r="M331" s="11" t="n"/>
      <c r="N331" s="10">
        <f>IF(COUNTA(J331:M331)=0,"",MIN(10,SUMPRODUCT((COUNTIF(J331:M331,L_KOM)&gt;0)*S_KOM)))</f>
        <v/>
      </c>
      <c r="O331" s="11" t="n"/>
      <c r="P331" s="10">
        <f>IF(O331="","",IFERROR(VLOOKUP(O331,T_KHID,2,FALSE),0))</f>
        <v/>
      </c>
      <c r="Q331" s="11" t="n"/>
      <c r="R331" s="11" t="n"/>
      <c r="S331" s="10">
        <f>IF(AND(Q331="",R331=""),"",IFERROR(INDEX(T_LIBAT,MATCH(Q331,L_PER,0),MATCH(R331,L_JENIS,0)),0))</f>
        <v/>
      </c>
      <c r="T331" s="11" t="n"/>
      <c r="U331" s="11" t="n"/>
      <c r="V331" s="10">
        <f>IF(AND(T331="",U331=""),"",IFERROR(INDEX(T_CAPAI,MATCH(T331,L_PER,0),MATCH(U331,L_KED,0)),0))</f>
        <v/>
      </c>
      <c r="W331" s="17">
        <f>IF(OR(B331="",E331="",COUNTA(F331,H331,J331:M331,O331,Q331:R331,T331:U331)=0),"",SUM(G331,I331,N331,P331,S331,V331))</f>
        <v/>
      </c>
      <c r="X331" s="18">
        <f>IF(W331="","",IF(Murid!F331="TL","TL",ROUND(W331/110*100,2)))</f>
        <v/>
      </c>
    </row>
    <row r="332">
      <c r="A332" s="15">
        <f>Murid!A332</f>
        <v/>
      </c>
      <c r="B332" s="15">
        <f>IF(Murid!B332="","",Murid!B332)</f>
        <v/>
      </c>
      <c r="C332" s="16">
        <f>IF(Murid!C332="","",Murid!C332)</f>
        <v/>
      </c>
      <c r="D332" s="15">
        <f>IF(Murid!E332="","",Murid!E332)</f>
        <v/>
      </c>
      <c r="E332" s="11" t="n"/>
      <c r="F332" s="11" t="n"/>
      <c r="G332" s="10">
        <f>IF(F332="","",IFERROR(VLOOKUP(F332,T_JKP,2,FALSE),0))</f>
        <v/>
      </c>
      <c r="H332" s="11" t="n"/>
      <c r="I332" s="17">
        <f>IF(H332="","",IF(H332&gt;=12,40,ROUND(H332*3.33,2)))</f>
        <v/>
      </c>
      <c r="J332" s="11" t="n"/>
      <c r="K332" s="11" t="n"/>
      <c r="L332" s="11" t="n"/>
      <c r="M332" s="11" t="n"/>
      <c r="N332" s="10">
        <f>IF(COUNTA(J332:M332)=0,"",MIN(10,SUMPRODUCT((COUNTIF(J332:M332,L_KOM)&gt;0)*S_KOM)))</f>
        <v/>
      </c>
      <c r="O332" s="11" t="n"/>
      <c r="P332" s="10">
        <f>IF(O332="","",IFERROR(VLOOKUP(O332,T_KHID,2,FALSE),0))</f>
        <v/>
      </c>
      <c r="Q332" s="11" t="n"/>
      <c r="R332" s="11" t="n"/>
      <c r="S332" s="10">
        <f>IF(AND(Q332="",R332=""),"",IFERROR(INDEX(T_LIBAT,MATCH(Q332,L_PER,0),MATCH(R332,L_JENIS,0)),0))</f>
        <v/>
      </c>
      <c r="T332" s="11" t="n"/>
      <c r="U332" s="11" t="n"/>
      <c r="V332" s="10">
        <f>IF(AND(T332="",U332=""),"",IFERROR(INDEX(T_CAPAI,MATCH(T332,L_PER,0),MATCH(U332,L_KED,0)),0))</f>
        <v/>
      </c>
      <c r="W332" s="17">
        <f>IF(OR(B332="",E332="",COUNTA(F332,H332,J332:M332,O332,Q332:R332,T332:U332)=0),"",SUM(G332,I332,N332,P332,S332,V332))</f>
        <v/>
      </c>
      <c r="X332" s="18">
        <f>IF(W332="","",IF(Murid!F332="TL","TL",ROUND(W332/110*100,2)))</f>
        <v/>
      </c>
    </row>
    <row r="333">
      <c r="A333" s="15">
        <f>Murid!A333</f>
        <v/>
      </c>
      <c r="B333" s="15">
        <f>IF(Murid!B333="","",Murid!B333)</f>
        <v/>
      </c>
      <c r="C333" s="16">
        <f>IF(Murid!C333="","",Murid!C333)</f>
        <v/>
      </c>
      <c r="D333" s="15">
        <f>IF(Murid!E333="","",Murid!E333)</f>
        <v/>
      </c>
      <c r="E333" s="11" t="n"/>
      <c r="F333" s="11" t="n"/>
      <c r="G333" s="10">
        <f>IF(F333="","",IFERROR(VLOOKUP(F333,T_JKP,2,FALSE),0))</f>
        <v/>
      </c>
      <c r="H333" s="11" t="n"/>
      <c r="I333" s="17">
        <f>IF(H333="","",IF(H333&gt;=12,40,ROUND(H333*3.33,2)))</f>
        <v/>
      </c>
      <c r="J333" s="11" t="n"/>
      <c r="K333" s="11" t="n"/>
      <c r="L333" s="11" t="n"/>
      <c r="M333" s="11" t="n"/>
      <c r="N333" s="10">
        <f>IF(COUNTA(J333:M333)=0,"",MIN(10,SUMPRODUCT((COUNTIF(J333:M333,L_KOM)&gt;0)*S_KOM)))</f>
        <v/>
      </c>
      <c r="O333" s="11" t="n"/>
      <c r="P333" s="10">
        <f>IF(O333="","",IFERROR(VLOOKUP(O333,T_KHID,2,FALSE),0))</f>
        <v/>
      </c>
      <c r="Q333" s="11" t="n"/>
      <c r="R333" s="11" t="n"/>
      <c r="S333" s="10">
        <f>IF(AND(Q333="",R333=""),"",IFERROR(INDEX(T_LIBAT,MATCH(Q333,L_PER,0),MATCH(R333,L_JENIS,0)),0))</f>
        <v/>
      </c>
      <c r="T333" s="11" t="n"/>
      <c r="U333" s="11" t="n"/>
      <c r="V333" s="10">
        <f>IF(AND(T333="",U333=""),"",IFERROR(INDEX(T_CAPAI,MATCH(T333,L_PER,0),MATCH(U333,L_KED,0)),0))</f>
        <v/>
      </c>
      <c r="W333" s="17">
        <f>IF(OR(B333="",E333="",COUNTA(F333,H333,J333:M333,O333,Q333:R333,T333:U333)=0),"",SUM(G333,I333,N333,P333,S333,V333))</f>
        <v/>
      </c>
      <c r="X333" s="18">
        <f>IF(W333="","",IF(Murid!F333="TL","TL",ROUND(W333/110*100,2)))</f>
        <v/>
      </c>
    </row>
    <row r="334">
      <c r="A334" s="15">
        <f>Murid!A334</f>
        <v/>
      </c>
      <c r="B334" s="15">
        <f>IF(Murid!B334="","",Murid!B334)</f>
        <v/>
      </c>
      <c r="C334" s="16">
        <f>IF(Murid!C334="","",Murid!C334)</f>
        <v/>
      </c>
      <c r="D334" s="15">
        <f>IF(Murid!E334="","",Murid!E334)</f>
        <v/>
      </c>
      <c r="E334" s="11" t="n"/>
      <c r="F334" s="11" t="n"/>
      <c r="G334" s="10">
        <f>IF(F334="","",IFERROR(VLOOKUP(F334,T_JKP,2,FALSE),0))</f>
        <v/>
      </c>
      <c r="H334" s="11" t="n"/>
      <c r="I334" s="17">
        <f>IF(H334="","",IF(H334&gt;=12,40,ROUND(H334*3.33,2)))</f>
        <v/>
      </c>
      <c r="J334" s="11" t="n"/>
      <c r="K334" s="11" t="n"/>
      <c r="L334" s="11" t="n"/>
      <c r="M334" s="11" t="n"/>
      <c r="N334" s="10">
        <f>IF(COUNTA(J334:M334)=0,"",MIN(10,SUMPRODUCT((COUNTIF(J334:M334,L_KOM)&gt;0)*S_KOM)))</f>
        <v/>
      </c>
      <c r="O334" s="11" t="n"/>
      <c r="P334" s="10">
        <f>IF(O334="","",IFERROR(VLOOKUP(O334,T_KHID,2,FALSE),0))</f>
        <v/>
      </c>
      <c r="Q334" s="11" t="n"/>
      <c r="R334" s="11" t="n"/>
      <c r="S334" s="10">
        <f>IF(AND(Q334="",R334=""),"",IFERROR(INDEX(T_LIBAT,MATCH(Q334,L_PER,0),MATCH(R334,L_JENIS,0)),0))</f>
        <v/>
      </c>
      <c r="T334" s="11" t="n"/>
      <c r="U334" s="11" t="n"/>
      <c r="V334" s="10">
        <f>IF(AND(T334="",U334=""),"",IFERROR(INDEX(T_CAPAI,MATCH(T334,L_PER,0),MATCH(U334,L_KED,0)),0))</f>
        <v/>
      </c>
      <c r="W334" s="17">
        <f>IF(OR(B334="",E334="",COUNTA(F334,H334,J334:M334,O334,Q334:R334,T334:U334)=0),"",SUM(G334,I334,N334,P334,S334,V334))</f>
        <v/>
      </c>
      <c r="X334" s="18">
        <f>IF(W334="","",IF(Murid!F334="TL","TL",ROUND(W334/110*100,2)))</f>
        <v/>
      </c>
    </row>
    <row r="335">
      <c r="A335" s="15">
        <f>Murid!A335</f>
        <v/>
      </c>
      <c r="B335" s="15">
        <f>IF(Murid!B335="","",Murid!B335)</f>
        <v/>
      </c>
      <c r="C335" s="16">
        <f>IF(Murid!C335="","",Murid!C335)</f>
        <v/>
      </c>
      <c r="D335" s="15">
        <f>IF(Murid!E335="","",Murid!E335)</f>
        <v/>
      </c>
      <c r="E335" s="11" t="n"/>
      <c r="F335" s="11" t="n"/>
      <c r="G335" s="10">
        <f>IF(F335="","",IFERROR(VLOOKUP(F335,T_JKP,2,FALSE),0))</f>
        <v/>
      </c>
      <c r="H335" s="11" t="n"/>
      <c r="I335" s="17">
        <f>IF(H335="","",IF(H335&gt;=12,40,ROUND(H335*3.33,2)))</f>
        <v/>
      </c>
      <c r="J335" s="11" t="n"/>
      <c r="K335" s="11" t="n"/>
      <c r="L335" s="11" t="n"/>
      <c r="M335" s="11" t="n"/>
      <c r="N335" s="10">
        <f>IF(COUNTA(J335:M335)=0,"",MIN(10,SUMPRODUCT((COUNTIF(J335:M335,L_KOM)&gt;0)*S_KOM)))</f>
        <v/>
      </c>
      <c r="O335" s="11" t="n"/>
      <c r="P335" s="10">
        <f>IF(O335="","",IFERROR(VLOOKUP(O335,T_KHID,2,FALSE),0))</f>
        <v/>
      </c>
      <c r="Q335" s="11" t="n"/>
      <c r="R335" s="11" t="n"/>
      <c r="S335" s="10">
        <f>IF(AND(Q335="",R335=""),"",IFERROR(INDEX(T_LIBAT,MATCH(Q335,L_PER,0),MATCH(R335,L_JENIS,0)),0))</f>
        <v/>
      </c>
      <c r="T335" s="11" t="n"/>
      <c r="U335" s="11" t="n"/>
      <c r="V335" s="10">
        <f>IF(AND(T335="",U335=""),"",IFERROR(INDEX(T_CAPAI,MATCH(T335,L_PER,0),MATCH(U335,L_KED,0)),0))</f>
        <v/>
      </c>
      <c r="W335" s="17">
        <f>IF(OR(B335="",E335="",COUNTA(F335,H335,J335:M335,O335,Q335:R335,T335:U335)=0),"",SUM(G335,I335,N335,P335,S335,V335))</f>
        <v/>
      </c>
      <c r="X335" s="18">
        <f>IF(W335="","",IF(Murid!F335="TL","TL",ROUND(W335/110*100,2)))</f>
        <v/>
      </c>
    </row>
    <row r="336">
      <c r="A336" s="15">
        <f>Murid!A336</f>
        <v/>
      </c>
      <c r="B336" s="15">
        <f>IF(Murid!B336="","",Murid!B336)</f>
        <v/>
      </c>
      <c r="C336" s="16">
        <f>IF(Murid!C336="","",Murid!C336)</f>
        <v/>
      </c>
      <c r="D336" s="15">
        <f>IF(Murid!E336="","",Murid!E336)</f>
        <v/>
      </c>
      <c r="E336" s="11" t="n"/>
      <c r="F336" s="11" t="n"/>
      <c r="G336" s="10">
        <f>IF(F336="","",IFERROR(VLOOKUP(F336,T_JKP,2,FALSE),0))</f>
        <v/>
      </c>
      <c r="H336" s="11" t="n"/>
      <c r="I336" s="17">
        <f>IF(H336="","",IF(H336&gt;=12,40,ROUND(H336*3.33,2)))</f>
        <v/>
      </c>
      <c r="J336" s="11" t="n"/>
      <c r="K336" s="11" t="n"/>
      <c r="L336" s="11" t="n"/>
      <c r="M336" s="11" t="n"/>
      <c r="N336" s="10">
        <f>IF(COUNTA(J336:M336)=0,"",MIN(10,SUMPRODUCT((COUNTIF(J336:M336,L_KOM)&gt;0)*S_KOM)))</f>
        <v/>
      </c>
      <c r="O336" s="11" t="n"/>
      <c r="P336" s="10">
        <f>IF(O336="","",IFERROR(VLOOKUP(O336,T_KHID,2,FALSE),0))</f>
        <v/>
      </c>
      <c r="Q336" s="11" t="n"/>
      <c r="R336" s="11" t="n"/>
      <c r="S336" s="10">
        <f>IF(AND(Q336="",R336=""),"",IFERROR(INDEX(T_LIBAT,MATCH(Q336,L_PER,0),MATCH(R336,L_JENIS,0)),0))</f>
        <v/>
      </c>
      <c r="T336" s="11" t="n"/>
      <c r="U336" s="11" t="n"/>
      <c r="V336" s="10">
        <f>IF(AND(T336="",U336=""),"",IFERROR(INDEX(T_CAPAI,MATCH(T336,L_PER,0),MATCH(U336,L_KED,0)),0))</f>
        <v/>
      </c>
      <c r="W336" s="17">
        <f>IF(OR(B336="",E336="",COUNTA(F336,H336,J336:M336,O336,Q336:R336,T336:U336)=0),"",SUM(G336,I336,N336,P336,S336,V336))</f>
        <v/>
      </c>
      <c r="X336" s="18">
        <f>IF(W336="","",IF(Murid!F336="TL","TL",ROUND(W336/110*100,2)))</f>
        <v/>
      </c>
    </row>
    <row r="337">
      <c r="A337" s="15">
        <f>Murid!A337</f>
        <v/>
      </c>
      <c r="B337" s="15">
        <f>IF(Murid!B337="","",Murid!B337)</f>
        <v/>
      </c>
      <c r="C337" s="16">
        <f>IF(Murid!C337="","",Murid!C337)</f>
        <v/>
      </c>
      <c r="D337" s="15">
        <f>IF(Murid!E337="","",Murid!E337)</f>
        <v/>
      </c>
      <c r="E337" s="11" t="n"/>
      <c r="F337" s="11" t="n"/>
      <c r="G337" s="10">
        <f>IF(F337="","",IFERROR(VLOOKUP(F337,T_JKP,2,FALSE),0))</f>
        <v/>
      </c>
      <c r="H337" s="11" t="n"/>
      <c r="I337" s="17">
        <f>IF(H337="","",IF(H337&gt;=12,40,ROUND(H337*3.33,2)))</f>
        <v/>
      </c>
      <c r="J337" s="11" t="n"/>
      <c r="K337" s="11" t="n"/>
      <c r="L337" s="11" t="n"/>
      <c r="M337" s="11" t="n"/>
      <c r="N337" s="10">
        <f>IF(COUNTA(J337:M337)=0,"",MIN(10,SUMPRODUCT((COUNTIF(J337:M337,L_KOM)&gt;0)*S_KOM)))</f>
        <v/>
      </c>
      <c r="O337" s="11" t="n"/>
      <c r="P337" s="10">
        <f>IF(O337="","",IFERROR(VLOOKUP(O337,T_KHID,2,FALSE),0))</f>
        <v/>
      </c>
      <c r="Q337" s="11" t="n"/>
      <c r="R337" s="11" t="n"/>
      <c r="S337" s="10">
        <f>IF(AND(Q337="",R337=""),"",IFERROR(INDEX(T_LIBAT,MATCH(Q337,L_PER,0),MATCH(R337,L_JENIS,0)),0))</f>
        <v/>
      </c>
      <c r="T337" s="11" t="n"/>
      <c r="U337" s="11" t="n"/>
      <c r="V337" s="10">
        <f>IF(AND(T337="",U337=""),"",IFERROR(INDEX(T_CAPAI,MATCH(T337,L_PER,0),MATCH(U337,L_KED,0)),0))</f>
        <v/>
      </c>
      <c r="W337" s="17">
        <f>IF(OR(B337="",E337="",COUNTA(F337,H337,J337:M337,O337,Q337:R337,T337:U337)=0),"",SUM(G337,I337,N337,P337,S337,V337))</f>
        <v/>
      </c>
      <c r="X337" s="18">
        <f>IF(W337="","",IF(Murid!F337="TL","TL",ROUND(W337/110*100,2)))</f>
        <v/>
      </c>
    </row>
    <row r="338">
      <c r="A338" s="15">
        <f>Murid!A338</f>
        <v/>
      </c>
      <c r="B338" s="15">
        <f>IF(Murid!B338="","",Murid!B338)</f>
        <v/>
      </c>
      <c r="C338" s="16">
        <f>IF(Murid!C338="","",Murid!C338)</f>
        <v/>
      </c>
      <c r="D338" s="15">
        <f>IF(Murid!E338="","",Murid!E338)</f>
        <v/>
      </c>
      <c r="E338" s="11" t="n"/>
      <c r="F338" s="11" t="n"/>
      <c r="G338" s="10">
        <f>IF(F338="","",IFERROR(VLOOKUP(F338,T_JKP,2,FALSE),0))</f>
        <v/>
      </c>
      <c r="H338" s="11" t="n"/>
      <c r="I338" s="17">
        <f>IF(H338="","",IF(H338&gt;=12,40,ROUND(H338*3.33,2)))</f>
        <v/>
      </c>
      <c r="J338" s="11" t="n"/>
      <c r="K338" s="11" t="n"/>
      <c r="L338" s="11" t="n"/>
      <c r="M338" s="11" t="n"/>
      <c r="N338" s="10">
        <f>IF(COUNTA(J338:M338)=0,"",MIN(10,SUMPRODUCT((COUNTIF(J338:M338,L_KOM)&gt;0)*S_KOM)))</f>
        <v/>
      </c>
      <c r="O338" s="11" t="n"/>
      <c r="P338" s="10">
        <f>IF(O338="","",IFERROR(VLOOKUP(O338,T_KHID,2,FALSE),0))</f>
        <v/>
      </c>
      <c r="Q338" s="11" t="n"/>
      <c r="R338" s="11" t="n"/>
      <c r="S338" s="10">
        <f>IF(AND(Q338="",R338=""),"",IFERROR(INDEX(T_LIBAT,MATCH(Q338,L_PER,0),MATCH(R338,L_JENIS,0)),0))</f>
        <v/>
      </c>
      <c r="T338" s="11" t="n"/>
      <c r="U338" s="11" t="n"/>
      <c r="V338" s="10">
        <f>IF(AND(T338="",U338=""),"",IFERROR(INDEX(T_CAPAI,MATCH(T338,L_PER,0),MATCH(U338,L_KED,0)),0))</f>
        <v/>
      </c>
      <c r="W338" s="17">
        <f>IF(OR(B338="",E338="",COUNTA(F338,H338,J338:M338,O338,Q338:R338,T338:U338)=0),"",SUM(G338,I338,N338,P338,S338,V338))</f>
        <v/>
      </c>
      <c r="X338" s="18">
        <f>IF(W338="","",IF(Murid!F338="TL","TL",ROUND(W338/110*100,2)))</f>
        <v/>
      </c>
    </row>
    <row r="339">
      <c r="A339" s="15">
        <f>Murid!A339</f>
        <v/>
      </c>
      <c r="B339" s="15">
        <f>IF(Murid!B339="","",Murid!B339)</f>
        <v/>
      </c>
      <c r="C339" s="16">
        <f>IF(Murid!C339="","",Murid!C339)</f>
        <v/>
      </c>
      <c r="D339" s="15">
        <f>IF(Murid!E339="","",Murid!E339)</f>
        <v/>
      </c>
      <c r="E339" s="11" t="n"/>
      <c r="F339" s="11" t="n"/>
      <c r="G339" s="10">
        <f>IF(F339="","",IFERROR(VLOOKUP(F339,T_JKP,2,FALSE),0))</f>
        <v/>
      </c>
      <c r="H339" s="11" t="n"/>
      <c r="I339" s="17">
        <f>IF(H339="","",IF(H339&gt;=12,40,ROUND(H339*3.33,2)))</f>
        <v/>
      </c>
      <c r="J339" s="11" t="n"/>
      <c r="K339" s="11" t="n"/>
      <c r="L339" s="11" t="n"/>
      <c r="M339" s="11" t="n"/>
      <c r="N339" s="10">
        <f>IF(COUNTA(J339:M339)=0,"",MIN(10,SUMPRODUCT((COUNTIF(J339:M339,L_KOM)&gt;0)*S_KOM)))</f>
        <v/>
      </c>
      <c r="O339" s="11" t="n"/>
      <c r="P339" s="10">
        <f>IF(O339="","",IFERROR(VLOOKUP(O339,T_KHID,2,FALSE),0))</f>
        <v/>
      </c>
      <c r="Q339" s="11" t="n"/>
      <c r="R339" s="11" t="n"/>
      <c r="S339" s="10">
        <f>IF(AND(Q339="",R339=""),"",IFERROR(INDEX(T_LIBAT,MATCH(Q339,L_PER,0),MATCH(R339,L_JENIS,0)),0))</f>
        <v/>
      </c>
      <c r="T339" s="11" t="n"/>
      <c r="U339" s="11" t="n"/>
      <c r="V339" s="10">
        <f>IF(AND(T339="",U339=""),"",IFERROR(INDEX(T_CAPAI,MATCH(T339,L_PER,0),MATCH(U339,L_KED,0)),0))</f>
        <v/>
      </c>
      <c r="W339" s="17">
        <f>IF(OR(B339="",E339="",COUNTA(F339,H339,J339:M339,O339,Q339:R339,T339:U339)=0),"",SUM(G339,I339,N339,P339,S339,V339))</f>
        <v/>
      </c>
      <c r="X339" s="18">
        <f>IF(W339="","",IF(Murid!F339="TL","TL",ROUND(W339/110*100,2)))</f>
        <v/>
      </c>
    </row>
    <row r="340">
      <c r="A340" s="15">
        <f>Murid!A340</f>
        <v/>
      </c>
      <c r="B340" s="15">
        <f>IF(Murid!B340="","",Murid!B340)</f>
        <v/>
      </c>
      <c r="C340" s="16">
        <f>IF(Murid!C340="","",Murid!C340)</f>
        <v/>
      </c>
      <c r="D340" s="15">
        <f>IF(Murid!E340="","",Murid!E340)</f>
        <v/>
      </c>
      <c r="E340" s="11" t="n"/>
      <c r="F340" s="11" t="n"/>
      <c r="G340" s="10">
        <f>IF(F340="","",IFERROR(VLOOKUP(F340,T_JKP,2,FALSE),0))</f>
        <v/>
      </c>
      <c r="H340" s="11" t="n"/>
      <c r="I340" s="17">
        <f>IF(H340="","",IF(H340&gt;=12,40,ROUND(H340*3.33,2)))</f>
        <v/>
      </c>
      <c r="J340" s="11" t="n"/>
      <c r="K340" s="11" t="n"/>
      <c r="L340" s="11" t="n"/>
      <c r="M340" s="11" t="n"/>
      <c r="N340" s="10">
        <f>IF(COUNTA(J340:M340)=0,"",MIN(10,SUMPRODUCT((COUNTIF(J340:M340,L_KOM)&gt;0)*S_KOM)))</f>
        <v/>
      </c>
      <c r="O340" s="11" t="n"/>
      <c r="P340" s="10">
        <f>IF(O340="","",IFERROR(VLOOKUP(O340,T_KHID,2,FALSE),0))</f>
        <v/>
      </c>
      <c r="Q340" s="11" t="n"/>
      <c r="R340" s="11" t="n"/>
      <c r="S340" s="10">
        <f>IF(AND(Q340="",R340=""),"",IFERROR(INDEX(T_LIBAT,MATCH(Q340,L_PER,0),MATCH(R340,L_JENIS,0)),0))</f>
        <v/>
      </c>
      <c r="T340" s="11" t="n"/>
      <c r="U340" s="11" t="n"/>
      <c r="V340" s="10">
        <f>IF(AND(T340="",U340=""),"",IFERROR(INDEX(T_CAPAI,MATCH(T340,L_PER,0),MATCH(U340,L_KED,0)),0))</f>
        <v/>
      </c>
      <c r="W340" s="17">
        <f>IF(OR(B340="",E340="",COUNTA(F340,H340,J340:M340,O340,Q340:R340,T340:U340)=0),"",SUM(G340,I340,N340,P340,S340,V340))</f>
        <v/>
      </c>
      <c r="X340" s="18">
        <f>IF(W340="","",IF(Murid!F340="TL","TL",ROUND(W340/110*100,2)))</f>
        <v/>
      </c>
    </row>
    <row r="341">
      <c r="A341" s="15">
        <f>Murid!A341</f>
        <v/>
      </c>
      <c r="B341" s="15">
        <f>IF(Murid!B341="","",Murid!B341)</f>
        <v/>
      </c>
      <c r="C341" s="16">
        <f>IF(Murid!C341="","",Murid!C341)</f>
        <v/>
      </c>
      <c r="D341" s="15">
        <f>IF(Murid!E341="","",Murid!E341)</f>
        <v/>
      </c>
      <c r="E341" s="11" t="n"/>
      <c r="F341" s="11" t="n"/>
      <c r="G341" s="10">
        <f>IF(F341="","",IFERROR(VLOOKUP(F341,T_JKP,2,FALSE),0))</f>
        <v/>
      </c>
      <c r="H341" s="11" t="n"/>
      <c r="I341" s="17">
        <f>IF(H341="","",IF(H341&gt;=12,40,ROUND(H341*3.33,2)))</f>
        <v/>
      </c>
      <c r="J341" s="11" t="n"/>
      <c r="K341" s="11" t="n"/>
      <c r="L341" s="11" t="n"/>
      <c r="M341" s="11" t="n"/>
      <c r="N341" s="10">
        <f>IF(COUNTA(J341:M341)=0,"",MIN(10,SUMPRODUCT((COUNTIF(J341:M341,L_KOM)&gt;0)*S_KOM)))</f>
        <v/>
      </c>
      <c r="O341" s="11" t="n"/>
      <c r="P341" s="10">
        <f>IF(O341="","",IFERROR(VLOOKUP(O341,T_KHID,2,FALSE),0))</f>
        <v/>
      </c>
      <c r="Q341" s="11" t="n"/>
      <c r="R341" s="11" t="n"/>
      <c r="S341" s="10">
        <f>IF(AND(Q341="",R341=""),"",IFERROR(INDEX(T_LIBAT,MATCH(Q341,L_PER,0),MATCH(R341,L_JENIS,0)),0))</f>
        <v/>
      </c>
      <c r="T341" s="11" t="n"/>
      <c r="U341" s="11" t="n"/>
      <c r="V341" s="10">
        <f>IF(AND(T341="",U341=""),"",IFERROR(INDEX(T_CAPAI,MATCH(T341,L_PER,0),MATCH(U341,L_KED,0)),0))</f>
        <v/>
      </c>
      <c r="W341" s="17">
        <f>IF(OR(B341="",E341="",COUNTA(F341,H341,J341:M341,O341,Q341:R341,T341:U341)=0),"",SUM(G341,I341,N341,P341,S341,V341))</f>
        <v/>
      </c>
      <c r="X341" s="18">
        <f>IF(W341="","",IF(Murid!F341="TL","TL",ROUND(W341/110*100,2)))</f>
        <v/>
      </c>
    </row>
    <row r="342">
      <c r="A342" s="15">
        <f>Murid!A342</f>
        <v/>
      </c>
      <c r="B342" s="15">
        <f>IF(Murid!B342="","",Murid!B342)</f>
        <v/>
      </c>
      <c r="C342" s="16">
        <f>IF(Murid!C342="","",Murid!C342)</f>
        <v/>
      </c>
      <c r="D342" s="15">
        <f>IF(Murid!E342="","",Murid!E342)</f>
        <v/>
      </c>
      <c r="E342" s="11" t="n"/>
      <c r="F342" s="11" t="n"/>
      <c r="G342" s="10">
        <f>IF(F342="","",IFERROR(VLOOKUP(F342,T_JKP,2,FALSE),0))</f>
        <v/>
      </c>
      <c r="H342" s="11" t="n"/>
      <c r="I342" s="17">
        <f>IF(H342="","",IF(H342&gt;=12,40,ROUND(H342*3.33,2)))</f>
        <v/>
      </c>
      <c r="J342" s="11" t="n"/>
      <c r="K342" s="11" t="n"/>
      <c r="L342" s="11" t="n"/>
      <c r="M342" s="11" t="n"/>
      <c r="N342" s="10">
        <f>IF(COUNTA(J342:M342)=0,"",MIN(10,SUMPRODUCT((COUNTIF(J342:M342,L_KOM)&gt;0)*S_KOM)))</f>
        <v/>
      </c>
      <c r="O342" s="11" t="n"/>
      <c r="P342" s="10">
        <f>IF(O342="","",IFERROR(VLOOKUP(O342,T_KHID,2,FALSE),0))</f>
        <v/>
      </c>
      <c r="Q342" s="11" t="n"/>
      <c r="R342" s="11" t="n"/>
      <c r="S342" s="10">
        <f>IF(AND(Q342="",R342=""),"",IFERROR(INDEX(T_LIBAT,MATCH(Q342,L_PER,0),MATCH(R342,L_JENIS,0)),0))</f>
        <v/>
      </c>
      <c r="T342" s="11" t="n"/>
      <c r="U342" s="11" t="n"/>
      <c r="V342" s="10">
        <f>IF(AND(T342="",U342=""),"",IFERROR(INDEX(T_CAPAI,MATCH(T342,L_PER,0),MATCH(U342,L_KED,0)),0))</f>
        <v/>
      </c>
      <c r="W342" s="17">
        <f>IF(OR(B342="",E342="",COUNTA(F342,H342,J342:M342,O342,Q342:R342,T342:U342)=0),"",SUM(G342,I342,N342,P342,S342,V342))</f>
        <v/>
      </c>
      <c r="X342" s="18">
        <f>IF(W342="","",IF(Murid!F342="TL","TL",ROUND(W342/110*100,2)))</f>
        <v/>
      </c>
    </row>
    <row r="343">
      <c r="A343" s="15">
        <f>Murid!A343</f>
        <v/>
      </c>
      <c r="B343" s="15">
        <f>IF(Murid!B343="","",Murid!B343)</f>
        <v/>
      </c>
      <c r="C343" s="16">
        <f>IF(Murid!C343="","",Murid!C343)</f>
        <v/>
      </c>
      <c r="D343" s="15">
        <f>IF(Murid!E343="","",Murid!E343)</f>
        <v/>
      </c>
      <c r="E343" s="11" t="n"/>
      <c r="F343" s="11" t="n"/>
      <c r="G343" s="10">
        <f>IF(F343="","",IFERROR(VLOOKUP(F343,T_JKP,2,FALSE),0))</f>
        <v/>
      </c>
      <c r="H343" s="11" t="n"/>
      <c r="I343" s="17">
        <f>IF(H343="","",IF(H343&gt;=12,40,ROUND(H343*3.33,2)))</f>
        <v/>
      </c>
      <c r="J343" s="11" t="n"/>
      <c r="K343" s="11" t="n"/>
      <c r="L343" s="11" t="n"/>
      <c r="M343" s="11" t="n"/>
      <c r="N343" s="10">
        <f>IF(COUNTA(J343:M343)=0,"",MIN(10,SUMPRODUCT((COUNTIF(J343:M343,L_KOM)&gt;0)*S_KOM)))</f>
        <v/>
      </c>
      <c r="O343" s="11" t="n"/>
      <c r="P343" s="10">
        <f>IF(O343="","",IFERROR(VLOOKUP(O343,T_KHID,2,FALSE),0))</f>
        <v/>
      </c>
      <c r="Q343" s="11" t="n"/>
      <c r="R343" s="11" t="n"/>
      <c r="S343" s="10">
        <f>IF(AND(Q343="",R343=""),"",IFERROR(INDEX(T_LIBAT,MATCH(Q343,L_PER,0),MATCH(R343,L_JENIS,0)),0))</f>
        <v/>
      </c>
      <c r="T343" s="11" t="n"/>
      <c r="U343" s="11" t="n"/>
      <c r="V343" s="10">
        <f>IF(AND(T343="",U343=""),"",IFERROR(INDEX(T_CAPAI,MATCH(T343,L_PER,0),MATCH(U343,L_KED,0)),0))</f>
        <v/>
      </c>
      <c r="W343" s="17">
        <f>IF(OR(B343="",E343="",COUNTA(F343,H343,J343:M343,O343,Q343:R343,T343:U343)=0),"",SUM(G343,I343,N343,P343,S343,V343))</f>
        <v/>
      </c>
      <c r="X343" s="18">
        <f>IF(W343="","",IF(Murid!F343="TL","TL",ROUND(W343/110*100,2)))</f>
        <v/>
      </c>
    </row>
    <row r="344">
      <c r="A344" s="15">
        <f>Murid!A344</f>
        <v/>
      </c>
      <c r="B344" s="15">
        <f>IF(Murid!B344="","",Murid!B344)</f>
        <v/>
      </c>
      <c r="C344" s="16">
        <f>IF(Murid!C344="","",Murid!C344)</f>
        <v/>
      </c>
      <c r="D344" s="15">
        <f>IF(Murid!E344="","",Murid!E344)</f>
        <v/>
      </c>
      <c r="E344" s="11" t="n"/>
      <c r="F344" s="11" t="n"/>
      <c r="G344" s="10">
        <f>IF(F344="","",IFERROR(VLOOKUP(F344,T_JKP,2,FALSE),0))</f>
        <v/>
      </c>
      <c r="H344" s="11" t="n"/>
      <c r="I344" s="17">
        <f>IF(H344="","",IF(H344&gt;=12,40,ROUND(H344*3.33,2)))</f>
        <v/>
      </c>
      <c r="J344" s="11" t="n"/>
      <c r="K344" s="11" t="n"/>
      <c r="L344" s="11" t="n"/>
      <c r="M344" s="11" t="n"/>
      <c r="N344" s="10">
        <f>IF(COUNTA(J344:M344)=0,"",MIN(10,SUMPRODUCT((COUNTIF(J344:M344,L_KOM)&gt;0)*S_KOM)))</f>
        <v/>
      </c>
      <c r="O344" s="11" t="n"/>
      <c r="P344" s="10">
        <f>IF(O344="","",IFERROR(VLOOKUP(O344,T_KHID,2,FALSE),0))</f>
        <v/>
      </c>
      <c r="Q344" s="11" t="n"/>
      <c r="R344" s="11" t="n"/>
      <c r="S344" s="10">
        <f>IF(AND(Q344="",R344=""),"",IFERROR(INDEX(T_LIBAT,MATCH(Q344,L_PER,0),MATCH(R344,L_JENIS,0)),0))</f>
        <v/>
      </c>
      <c r="T344" s="11" t="n"/>
      <c r="U344" s="11" t="n"/>
      <c r="V344" s="10">
        <f>IF(AND(T344="",U344=""),"",IFERROR(INDEX(T_CAPAI,MATCH(T344,L_PER,0),MATCH(U344,L_KED,0)),0))</f>
        <v/>
      </c>
      <c r="W344" s="17">
        <f>IF(OR(B344="",E344="",COUNTA(F344,H344,J344:M344,O344,Q344:R344,T344:U344)=0),"",SUM(G344,I344,N344,P344,S344,V344))</f>
        <v/>
      </c>
      <c r="X344" s="18">
        <f>IF(W344="","",IF(Murid!F344="TL","TL",ROUND(W344/110*100,2)))</f>
        <v/>
      </c>
    </row>
    <row r="345">
      <c r="A345" s="15">
        <f>Murid!A345</f>
        <v/>
      </c>
      <c r="B345" s="15">
        <f>IF(Murid!B345="","",Murid!B345)</f>
        <v/>
      </c>
      <c r="C345" s="16">
        <f>IF(Murid!C345="","",Murid!C345)</f>
        <v/>
      </c>
      <c r="D345" s="15">
        <f>IF(Murid!E345="","",Murid!E345)</f>
        <v/>
      </c>
      <c r="E345" s="11" t="n"/>
      <c r="F345" s="11" t="n"/>
      <c r="G345" s="10">
        <f>IF(F345="","",IFERROR(VLOOKUP(F345,T_JKP,2,FALSE),0))</f>
        <v/>
      </c>
      <c r="H345" s="11" t="n"/>
      <c r="I345" s="17">
        <f>IF(H345="","",IF(H345&gt;=12,40,ROUND(H345*3.33,2)))</f>
        <v/>
      </c>
      <c r="J345" s="11" t="n"/>
      <c r="K345" s="11" t="n"/>
      <c r="L345" s="11" t="n"/>
      <c r="M345" s="11" t="n"/>
      <c r="N345" s="10">
        <f>IF(COUNTA(J345:M345)=0,"",MIN(10,SUMPRODUCT((COUNTIF(J345:M345,L_KOM)&gt;0)*S_KOM)))</f>
        <v/>
      </c>
      <c r="O345" s="11" t="n"/>
      <c r="P345" s="10">
        <f>IF(O345="","",IFERROR(VLOOKUP(O345,T_KHID,2,FALSE),0))</f>
        <v/>
      </c>
      <c r="Q345" s="11" t="n"/>
      <c r="R345" s="11" t="n"/>
      <c r="S345" s="10">
        <f>IF(AND(Q345="",R345=""),"",IFERROR(INDEX(T_LIBAT,MATCH(Q345,L_PER,0),MATCH(R345,L_JENIS,0)),0))</f>
        <v/>
      </c>
      <c r="T345" s="11" t="n"/>
      <c r="U345" s="11" t="n"/>
      <c r="V345" s="10">
        <f>IF(AND(T345="",U345=""),"",IFERROR(INDEX(T_CAPAI,MATCH(T345,L_PER,0),MATCH(U345,L_KED,0)),0))</f>
        <v/>
      </c>
      <c r="W345" s="17">
        <f>IF(OR(B345="",E345="",COUNTA(F345,H345,J345:M345,O345,Q345:R345,T345:U345)=0),"",SUM(G345,I345,N345,P345,S345,V345))</f>
        <v/>
      </c>
      <c r="X345" s="18">
        <f>IF(W345="","",IF(Murid!F345="TL","TL",ROUND(W345/110*100,2)))</f>
        <v/>
      </c>
    </row>
    <row r="346">
      <c r="A346" s="15">
        <f>Murid!A346</f>
        <v/>
      </c>
      <c r="B346" s="15">
        <f>IF(Murid!B346="","",Murid!B346)</f>
        <v/>
      </c>
      <c r="C346" s="16">
        <f>IF(Murid!C346="","",Murid!C346)</f>
        <v/>
      </c>
      <c r="D346" s="15">
        <f>IF(Murid!E346="","",Murid!E346)</f>
        <v/>
      </c>
      <c r="E346" s="11" t="n"/>
      <c r="F346" s="11" t="n"/>
      <c r="G346" s="10">
        <f>IF(F346="","",IFERROR(VLOOKUP(F346,T_JKP,2,FALSE),0))</f>
        <v/>
      </c>
      <c r="H346" s="11" t="n"/>
      <c r="I346" s="17">
        <f>IF(H346="","",IF(H346&gt;=12,40,ROUND(H346*3.33,2)))</f>
        <v/>
      </c>
      <c r="J346" s="11" t="n"/>
      <c r="K346" s="11" t="n"/>
      <c r="L346" s="11" t="n"/>
      <c r="M346" s="11" t="n"/>
      <c r="N346" s="10">
        <f>IF(COUNTA(J346:M346)=0,"",MIN(10,SUMPRODUCT((COUNTIF(J346:M346,L_KOM)&gt;0)*S_KOM)))</f>
        <v/>
      </c>
      <c r="O346" s="11" t="n"/>
      <c r="P346" s="10">
        <f>IF(O346="","",IFERROR(VLOOKUP(O346,T_KHID,2,FALSE),0))</f>
        <v/>
      </c>
      <c r="Q346" s="11" t="n"/>
      <c r="R346" s="11" t="n"/>
      <c r="S346" s="10">
        <f>IF(AND(Q346="",R346=""),"",IFERROR(INDEX(T_LIBAT,MATCH(Q346,L_PER,0),MATCH(R346,L_JENIS,0)),0))</f>
        <v/>
      </c>
      <c r="T346" s="11" t="n"/>
      <c r="U346" s="11" t="n"/>
      <c r="V346" s="10">
        <f>IF(AND(T346="",U346=""),"",IFERROR(INDEX(T_CAPAI,MATCH(T346,L_PER,0),MATCH(U346,L_KED,0)),0))</f>
        <v/>
      </c>
      <c r="W346" s="17">
        <f>IF(OR(B346="",E346="",COUNTA(F346,H346,J346:M346,O346,Q346:R346,T346:U346)=0),"",SUM(G346,I346,N346,P346,S346,V346))</f>
        <v/>
      </c>
      <c r="X346" s="18">
        <f>IF(W346="","",IF(Murid!F346="TL","TL",ROUND(W346/110*100,2)))</f>
        <v/>
      </c>
    </row>
    <row r="347">
      <c r="A347" s="15">
        <f>Murid!A347</f>
        <v/>
      </c>
      <c r="B347" s="15">
        <f>IF(Murid!B347="","",Murid!B347)</f>
        <v/>
      </c>
      <c r="C347" s="16">
        <f>IF(Murid!C347="","",Murid!C347)</f>
        <v/>
      </c>
      <c r="D347" s="15">
        <f>IF(Murid!E347="","",Murid!E347)</f>
        <v/>
      </c>
      <c r="E347" s="11" t="n"/>
      <c r="F347" s="11" t="n"/>
      <c r="G347" s="10">
        <f>IF(F347="","",IFERROR(VLOOKUP(F347,T_JKP,2,FALSE),0))</f>
        <v/>
      </c>
      <c r="H347" s="11" t="n"/>
      <c r="I347" s="17">
        <f>IF(H347="","",IF(H347&gt;=12,40,ROUND(H347*3.33,2)))</f>
        <v/>
      </c>
      <c r="J347" s="11" t="n"/>
      <c r="K347" s="11" t="n"/>
      <c r="L347" s="11" t="n"/>
      <c r="M347" s="11" t="n"/>
      <c r="N347" s="10">
        <f>IF(COUNTA(J347:M347)=0,"",MIN(10,SUMPRODUCT((COUNTIF(J347:M347,L_KOM)&gt;0)*S_KOM)))</f>
        <v/>
      </c>
      <c r="O347" s="11" t="n"/>
      <c r="P347" s="10">
        <f>IF(O347="","",IFERROR(VLOOKUP(O347,T_KHID,2,FALSE),0))</f>
        <v/>
      </c>
      <c r="Q347" s="11" t="n"/>
      <c r="R347" s="11" t="n"/>
      <c r="S347" s="10">
        <f>IF(AND(Q347="",R347=""),"",IFERROR(INDEX(T_LIBAT,MATCH(Q347,L_PER,0),MATCH(R347,L_JENIS,0)),0))</f>
        <v/>
      </c>
      <c r="T347" s="11" t="n"/>
      <c r="U347" s="11" t="n"/>
      <c r="V347" s="10">
        <f>IF(AND(T347="",U347=""),"",IFERROR(INDEX(T_CAPAI,MATCH(T347,L_PER,0),MATCH(U347,L_KED,0)),0))</f>
        <v/>
      </c>
      <c r="W347" s="17">
        <f>IF(OR(B347="",E347="",COUNTA(F347,H347,J347:M347,O347,Q347:R347,T347:U347)=0),"",SUM(G347,I347,N347,P347,S347,V347))</f>
        <v/>
      </c>
      <c r="X347" s="18">
        <f>IF(W347="","",IF(Murid!F347="TL","TL",ROUND(W347/110*100,2)))</f>
        <v/>
      </c>
    </row>
    <row r="348">
      <c r="A348" s="15">
        <f>Murid!A348</f>
        <v/>
      </c>
      <c r="B348" s="15">
        <f>IF(Murid!B348="","",Murid!B348)</f>
        <v/>
      </c>
      <c r="C348" s="16">
        <f>IF(Murid!C348="","",Murid!C348)</f>
        <v/>
      </c>
      <c r="D348" s="15">
        <f>IF(Murid!E348="","",Murid!E348)</f>
        <v/>
      </c>
      <c r="E348" s="11" t="n"/>
      <c r="F348" s="11" t="n"/>
      <c r="G348" s="10">
        <f>IF(F348="","",IFERROR(VLOOKUP(F348,T_JKP,2,FALSE),0))</f>
        <v/>
      </c>
      <c r="H348" s="11" t="n"/>
      <c r="I348" s="17">
        <f>IF(H348="","",IF(H348&gt;=12,40,ROUND(H348*3.33,2)))</f>
        <v/>
      </c>
      <c r="J348" s="11" t="n"/>
      <c r="K348" s="11" t="n"/>
      <c r="L348" s="11" t="n"/>
      <c r="M348" s="11" t="n"/>
      <c r="N348" s="10">
        <f>IF(COUNTA(J348:M348)=0,"",MIN(10,SUMPRODUCT((COUNTIF(J348:M348,L_KOM)&gt;0)*S_KOM)))</f>
        <v/>
      </c>
      <c r="O348" s="11" t="n"/>
      <c r="P348" s="10">
        <f>IF(O348="","",IFERROR(VLOOKUP(O348,T_KHID,2,FALSE),0))</f>
        <v/>
      </c>
      <c r="Q348" s="11" t="n"/>
      <c r="R348" s="11" t="n"/>
      <c r="S348" s="10">
        <f>IF(AND(Q348="",R348=""),"",IFERROR(INDEX(T_LIBAT,MATCH(Q348,L_PER,0),MATCH(R348,L_JENIS,0)),0))</f>
        <v/>
      </c>
      <c r="T348" s="11" t="n"/>
      <c r="U348" s="11" t="n"/>
      <c r="V348" s="10">
        <f>IF(AND(T348="",U348=""),"",IFERROR(INDEX(T_CAPAI,MATCH(T348,L_PER,0),MATCH(U348,L_KED,0)),0))</f>
        <v/>
      </c>
      <c r="W348" s="17">
        <f>IF(OR(B348="",E348="",COUNTA(F348,H348,J348:M348,O348,Q348:R348,T348:U348)=0),"",SUM(G348,I348,N348,P348,S348,V348))</f>
        <v/>
      </c>
      <c r="X348" s="18">
        <f>IF(W348="","",IF(Murid!F348="TL","TL",ROUND(W348/110*100,2)))</f>
        <v/>
      </c>
    </row>
    <row r="349">
      <c r="A349" s="15">
        <f>Murid!A349</f>
        <v/>
      </c>
      <c r="B349" s="15">
        <f>IF(Murid!B349="","",Murid!B349)</f>
        <v/>
      </c>
      <c r="C349" s="16">
        <f>IF(Murid!C349="","",Murid!C349)</f>
        <v/>
      </c>
      <c r="D349" s="15">
        <f>IF(Murid!E349="","",Murid!E349)</f>
        <v/>
      </c>
      <c r="E349" s="11" t="n"/>
      <c r="F349" s="11" t="n"/>
      <c r="G349" s="10">
        <f>IF(F349="","",IFERROR(VLOOKUP(F349,T_JKP,2,FALSE),0))</f>
        <v/>
      </c>
      <c r="H349" s="11" t="n"/>
      <c r="I349" s="17">
        <f>IF(H349="","",IF(H349&gt;=12,40,ROUND(H349*3.33,2)))</f>
        <v/>
      </c>
      <c r="J349" s="11" t="n"/>
      <c r="K349" s="11" t="n"/>
      <c r="L349" s="11" t="n"/>
      <c r="M349" s="11" t="n"/>
      <c r="N349" s="10">
        <f>IF(COUNTA(J349:M349)=0,"",MIN(10,SUMPRODUCT((COUNTIF(J349:M349,L_KOM)&gt;0)*S_KOM)))</f>
        <v/>
      </c>
      <c r="O349" s="11" t="n"/>
      <c r="P349" s="10">
        <f>IF(O349="","",IFERROR(VLOOKUP(O349,T_KHID,2,FALSE),0))</f>
        <v/>
      </c>
      <c r="Q349" s="11" t="n"/>
      <c r="R349" s="11" t="n"/>
      <c r="S349" s="10">
        <f>IF(AND(Q349="",R349=""),"",IFERROR(INDEX(T_LIBAT,MATCH(Q349,L_PER,0),MATCH(R349,L_JENIS,0)),0))</f>
        <v/>
      </c>
      <c r="T349" s="11" t="n"/>
      <c r="U349" s="11" t="n"/>
      <c r="V349" s="10">
        <f>IF(AND(T349="",U349=""),"",IFERROR(INDEX(T_CAPAI,MATCH(T349,L_PER,0),MATCH(U349,L_KED,0)),0))</f>
        <v/>
      </c>
      <c r="W349" s="17">
        <f>IF(OR(B349="",E349="",COUNTA(F349,H349,J349:M349,O349,Q349:R349,T349:U349)=0),"",SUM(G349,I349,N349,P349,S349,V349))</f>
        <v/>
      </c>
      <c r="X349" s="18">
        <f>IF(W349="","",IF(Murid!F349="TL","TL",ROUND(W349/110*100,2)))</f>
        <v/>
      </c>
    </row>
    <row r="350">
      <c r="A350" s="15">
        <f>Murid!A350</f>
        <v/>
      </c>
      <c r="B350" s="15">
        <f>IF(Murid!B350="","",Murid!B350)</f>
        <v/>
      </c>
      <c r="C350" s="16">
        <f>IF(Murid!C350="","",Murid!C350)</f>
        <v/>
      </c>
      <c r="D350" s="15">
        <f>IF(Murid!E350="","",Murid!E350)</f>
        <v/>
      </c>
      <c r="E350" s="11" t="n"/>
      <c r="F350" s="11" t="n"/>
      <c r="G350" s="10">
        <f>IF(F350="","",IFERROR(VLOOKUP(F350,T_JKP,2,FALSE),0))</f>
        <v/>
      </c>
      <c r="H350" s="11" t="n"/>
      <c r="I350" s="17">
        <f>IF(H350="","",IF(H350&gt;=12,40,ROUND(H350*3.33,2)))</f>
        <v/>
      </c>
      <c r="J350" s="11" t="n"/>
      <c r="K350" s="11" t="n"/>
      <c r="L350" s="11" t="n"/>
      <c r="M350" s="11" t="n"/>
      <c r="N350" s="10">
        <f>IF(COUNTA(J350:M350)=0,"",MIN(10,SUMPRODUCT((COUNTIF(J350:M350,L_KOM)&gt;0)*S_KOM)))</f>
        <v/>
      </c>
      <c r="O350" s="11" t="n"/>
      <c r="P350" s="10">
        <f>IF(O350="","",IFERROR(VLOOKUP(O350,T_KHID,2,FALSE),0))</f>
        <v/>
      </c>
      <c r="Q350" s="11" t="n"/>
      <c r="R350" s="11" t="n"/>
      <c r="S350" s="10">
        <f>IF(AND(Q350="",R350=""),"",IFERROR(INDEX(T_LIBAT,MATCH(Q350,L_PER,0),MATCH(R350,L_JENIS,0)),0))</f>
        <v/>
      </c>
      <c r="T350" s="11" t="n"/>
      <c r="U350" s="11" t="n"/>
      <c r="V350" s="10">
        <f>IF(AND(T350="",U350=""),"",IFERROR(INDEX(T_CAPAI,MATCH(T350,L_PER,0),MATCH(U350,L_KED,0)),0))</f>
        <v/>
      </c>
      <c r="W350" s="17">
        <f>IF(OR(B350="",E350="",COUNTA(F350,H350,J350:M350,O350,Q350:R350,T350:U350)=0),"",SUM(G350,I350,N350,P350,S350,V350))</f>
        <v/>
      </c>
      <c r="X350" s="18">
        <f>IF(W350="","",IF(Murid!F350="TL","TL",ROUND(W350/110*100,2)))</f>
        <v/>
      </c>
    </row>
    <row r="351">
      <c r="A351" s="15">
        <f>Murid!A351</f>
        <v/>
      </c>
      <c r="B351" s="15">
        <f>IF(Murid!B351="","",Murid!B351)</f>
        <v/>
      </c>
      <c r="C351" s="16">
        <f>IF(Murid!C351="","",Murid!C351)</f>
        <v/>
      </c>
      <c r="D351" s="15">
        <f>IF(Murid!E351="","",Murid!E351)</f>
        <v/>
      </c>
      <c r="E351" s="11" t="n"/>
      <c r="F351" s="11" t="n"/>
      <c r="G351" s="10">
        <f>IF(F351="","",IFERROR(VLOOKUP(F351,T_JKP,2,FALSE),0))</f>
        <v/>
      </c>
      <c r="H351" s="11" t="n"/>
      <c r="I351" s="17">
        <f>IF(H351="","",IF(H351&gt;=12,40,ROUND(H351*3.33,2)))</f>
        <v/>
      </c>
      <c r="J351" s="11" t="n"/>
      <c r="K351" s="11" t="n"/>
      <c r="L351" s="11" t="n"/>
      <c r="M351" s="11" t="n"/>
      <c r="N351" s="10">
        <f>IF(COUNTA(J351:M351)=0,"",MIN(10,SUMPRODUCT((COUNTIF(J351:M351,L_KOM)&gt;0)*S_KOM)))</f>
        <v/>
      </c>
      <c r="O351" s="11" t="n"/>
      <c r="P351" s="10">
        <f>IF(O351="","",IFERROR(VLOOKUP(O351,T_KHID,2,FALSE),0))</f>
        <v/>
      </c>
      <c r="Q351" s="11" t="n"/>
      <c r="R351" s="11" t="n"/>
      <c r="S351" s="10">
        <f>IF(AND(Q351="",R351=""),"",IFERROR(INDEX(T_LIBAT,MATCH(Q351,L_PER,0),MATCH(R351,L_JENIS,0)),0))</f>
        <v/>
      </c>
      <c r="T351" s="11" t="n"/>
      <c r="U351" s="11" t="n"/>
      <c r="V351" s="10">
        <f>IF(AND(T351="",U351=""),"",IFERROR(INDEX(T_CAPAI,MATCH(T351,L_PER,0),MATCH(U351,L_KED,0)),0))</f>
        <v/>
      </c>
      <c r="W351" s="17">
        <f>IF(OR(B351="",E351="",COUNTA(F351,H351,J351:M351,O351,Q351:R351,T351:U351)=0),"",SUM(G351,I351,N351,P351,S351,V351))</f>
        <v/>
      </c>
      <c r="X351" s="18">
        <f>IF(W351="","",IF(Murid!F351="TL","TL",ROUND(W351/110*100,2)))</f>
        <v/>
      </c>
    </row>
    <row r="352">
      <c r="A352" s="15">
        <f>Murid!A352</f>
        <v/>
      </c>
      <c r="B352" s="15">
        <f>IF(Murid!B352="","",Murid!B352)</f>
        <v/>
      </c>
      <c r="C352" s="16">
        <f>IF(Murid!C352="","",Murid!C352)</f>
        <v/>
      </c>
      <c r="D352" s="15">
        <f>IF(Murid!E352="","",Murid!E352)</f>
        <v/>
      </c>
      <c r="E352" s="11" t="n"/>
      <c r="F352" s="11" t="n"/>
      <c r="G352" s="10">
        <f>IF(F352="","",IFERROR(VLOOKUP(F352,T_JKP,2,FALSE),0))</f>
        <v/>
      </c>
      <c r="H352" s="11" t="n"/>
      <c r="I352" s="17">
        <f>IF(H352="","",IF(H352&gt;=12,40,ROUND(H352*3.33,2)))</f>
        <v/>
      </c>
      <c r="J352" s="11" t="n"/>
      <c r="K352" s="11" t="n"/>
      <c r="L352" s="11" t="n"/>
      <c r="M352" s="11" t="n"/>
      <c r="N352" s="10">
        <f>IF(COUNTA(J352:M352)=0,"",MIN(10,SUMPRODUCT((COUNTIF(J352:M352,L_KOM)&gt;0)*S_KOM)))</f>
        <v/>
      </c>
      <c r="O352" s="11" t="n"/>
      <c r="P352" s="10">
        <f>IF(O352="","",IFERROR(VLOOKUP(O352,T_KHID,2,FALSE),0))</f>
        <v/>
      </c>
      <c r="Q352" s="11" t="n"/>
      <c r="R352" s="11" t="n"/>
      <c r="S352" s="10">
        <f>IF(AND(Q352="",R352=""),"",IFERROR(INDEX(T_LIBAT,MATCH(Q352,L_PER,0),MATCH(R352,L_JENIS,0)),0))</f>
        <v/>
      </c>
      <c r="T352" s="11" t="n"/>
      <c r="U352" s="11" t="n"/>
      <c r="V352" s="10">
        <f>IF(AND(T352="",U352=""),"",IFERROR(INDEX(T_CAPAI,MATCH(T352,L_PER,0),MATCH(U352,L_KED,0)),0))</f>
        <v/>
      </c>
      <c r="W352" s="17">
        <f>IF(OR(B352="",E352="",COUNTA(F352,H352,J352:M352,O352,Q352:R352,T352:U352)=0),"",SUM(G352,I352,N352,P352,S352,V352))</f>
        <v/>
      </c>
      <c r="X352" s="18">
        <f>IF(W352="","",IF(Murid!F352="TL","TL",ROUND(W352/110*100,2)))</f>
        <v/>
      </c>
    </row>
    <row r="353">
      <c r="A353" s="15">
        <f>Murid!A353</f>
        <v/>
      </c>
      <c r="B353" s="15">
        <f>IF(Murid!B353="","",Murid!B353)</f>
        <v/>
      </c>
      <c r="C353" s="16">
        <f>IF(Murid!C353="","",Murid!C353)</f>
        <v/>
      </c>
      <c r="D353" s="15">
        <f>IF(Murid!E353="","",Murid!E353)</f>
        <v/>
      </c>
      <c r="E353" s="11" t="n"/>
      <c r="F353" s="11" t="n"/>
      <c r="G353" s="10">
        <f>IF(F353="","",IFERROR(VLOOKUP(F353,T_JKP,2,FALSE),0))</f>
        <v/>
      </c>
      <c r="H353" s="11" t="n"/>
      <c r="I353" s="17">
        <f>IF(H353="","",IF(H353&gt;=12,40,ROUND(H353*3.33,2)))</f>
        <v/>
      </c>
      <c r="J353" s="11" t="n"/>
      <c r="K353" s="11" t="n"/>
      <c r="L353" s="11" t="n"/>
      <c r="M353" s="11" t="n"/>
      <c r="N353" s="10">
        <f>IF(COUNTA(J353:M353)=0,"",MIN(10,SUMPRODUCT((COUNTIF(J353:M353,L_KOM)&gt;0)*S_KOM)))</f>
        <v/>
      </c>
      <c r="O353" s="11" t="n"/>
      <c r="P353" s="10">
        <f>IF(O353="","",IFERROR(VLOOKUP(O353,T_KHID,2,FALSE),0))</f>
        <v/>
      </c>
      <c r="Q353" s="11" t="n"/>
      <c r="R353" s="11" t="n"/>
      <c r="S353" s="10">
        <f>IF(AND(Q353="",R353=""),"",IFERROR(INDEX(T_LIBAT,MATCH(Q353,L_PER,0),MATCH(R353,L_JENIS,0)),0))</f>
        <v/>
      </c>
      <c r="T353" s="11" t="n"/>
      <c r="U353" s="11" t="n"/>
      <c r="V353" s="10">
        <f>IF(AND(T353="",U353=""),"",IFERROR(INDEX(T_CAPAI,MATCH(T353,L_PER,0),MATCH(U353,L_KED,0)),0))</f>
        <v/>
      </c>
      <c r="W353" s="17">
        <f>IF(OR(B353="",E353="",COUNTA(F353,H353,J353:M353,O353,Q353:R353,T353:U353)=0),"",SUM(G353,I353,N353,P353,S353,V353))</f>
        <v/>
      </c>
      <c r="X353" s="18">
        <f>IF(W353="","",IF(Murid!F353="TL","TL",ROUND(W353/110*100,2)))</f>
        <v/>
      </c>
    </row>
    <row r="354">
      <c r="A354" s="15">
        <f>Murid!A354</f>
        <v/>
      </c>
      <c r="B354" s="15">
        <f>IF(Murid!B354="","",Murid!B354)</f>
        <v/>
      </c>
      <c r="C354" s="16">
        <f>IF(Murid!C354="","",Murid!C354)</f>
        <v/>
      </c>
      <c r="D354" s="15">
        <f>IF(Murid!E354="","",Murid!E354)</f>
        <v/>
      </c>
      <c r="E354" s="11" t="n"/>
      <c r="F354" s="11" t="n"/>
      <c r="G354" s="10">
        <f>IF(F354="","",IFERROR(VLOOKUP(F354,T_JKP,2,FALSE),0))</f>
        <v/>
      </c>
      <c r="H354" s="11" t="n"/>
      <c r="I354" s="17">
        <f>IF(H354="","",IF(H354&gt;=12,40,ROUND(H354*3.33,2)))</f>
        <v/>
      </c>
      <c r="J354" s="11" t="n"/>
      <c r="K354" s="11" t="n"/>
      <c r="L354" s="11" t="n"/>
      <c r="M354" s="11" t="n"/>
      <c r="N354" s="10">
        <f>IF(COUNTA(J354:M354)=0,"",MIN(10,SUMPRODUCT((COUNTIF(J354:M354,L_KOM)&gt;0)*S_KOM)))</f>
        <v/>
      </c>
      <c r="O354" s="11" t="n"/>
      <c r="P354" s="10">
        <f>IF(O354="","",IFERROR(VLOOKUP(O354,T_KHID,2,FALSE),0))</f>
        <v/>
      </c>
      <c r="Q354" s="11" t="n"/>
      <c r="R354" s="11" t="n"/>
      <c r="S354" s="10">
        <f>IF(AND(Q354="",R354=""),"",IFERROR(INDEX(T_LIBAT,MATCH(Q354,L_PER,0),MATCH(R354,L_JENIS,0)),0))</f>
        <v/>
      </c>
      <c r="T354" s="11" t="n"/>
      <c r="U354" s="11" t="n"/>
      <c r="V354" s="10">
        <f>IF(AND(T354="",U354=""),"",IFERROR(INDEX(T_CAPAI,MATCH(T354,L_PER,0),MATCH(U354,L_KED,0)),0))</f>
        <v/>
      </c>
      <c r="W354" s="17">
        <f>IF(OR(B354="",E354="",COUNTA(F354,H354,J354:M354,O354,Q354:R354,T354:U354)=0),"",SUM(G354,I354,N354,P354,S354,V354))</f>
        <v/>
      </c>
      <c r="X354" s="18">
        <f>IF(W354="","",IF(Murid!F354="TL","TL",ROUND(W354/110*100,2)))</f>
        <v/>
      </c>
    </row>
    <row r="355">
      <c r="A355" s="15">
        <f>Murid!A355</f>
        <v/>
      </c>
      <c r="B355" s="15">
        <f>IF(Murid!B355="","",Murid!B355)</f>
        <v/>
      </c>
      <c r="C355" s="16">
        <f>IF(Murid!C355="","",Murid!C355)</f>
        <v/>
      </c>
      <c r="D355" s="15">
        <f>IF(Murid!E355="","",Murid!E355)</f>
        <v/>
      </c>
      <c r="E355" s="11" t="n"/>
      <c r="F355" s="11" t="n"/>
      <c r="G355" s="10">
        <f>IF(F355="","",IFERROR(VLOOKUP(F355,T_JKP,2,FALSE),0))</f>
        <v/>
      </c>
      <c r="H355" s="11" t="n"/>
      <c r="I355" s="17">
        <f>IF(H355="","",IF(H355&gt;=12,40,ROUND(H355*3.33,2)))</f>
        <v/>
      </c>
      <c r="J355" s="11" t="n"/>
      <c r="K355" s="11" t="n"/>
      <c r="L355" s="11" t="n"/>
      <c r="M355" s="11" t="n"/>
      <c r="N355" s="10">
        <f>IF(COUNTA(J355:M355)=0,"",MIN(10,SUMPRODUCT((COUNTIF(J355:M355,L_KOM)&gt;0)*S_KOM)))</f>
        <v/>
      </c>
      <c r="O355" s="11" t="n"/>
      <c r="P355" s="10">
        <f>IF(O355="","",IFERROR(VLOOKUP(O355,T_KHID,2,FALSE),0))</f>
        <v/>
      </c>
      <c r="Q355" s="11" t="n"/>
      <c r="R355" s="11" t="n"/>
      <c r="S355" s="10">
        <f>IF(AND(Q355="",R355=""),"",IFERROR(INDEX(T_LIBAT,MATCH(Q355,L_PER,0),MATCH(R355,L_JENIS,0)),0))</f>
        <v/>
      </c>
      <c r="T355" s="11" t="n"/>
      <c r="U355" s="11" t="n"/>
      <c r="V355" s="10">
        <f>IF(AND(T355="",U355=""),"",IFERROR(INDEX(T_CAPAI,MATCH(T355,L_PER,0),MATCH(U355,L_KED,0)),0))</f>
        <v/>
      </c>
      <c r="W355" s="17">
        <f>IF(OR(B355="",E355="",COUNTA(F355,H355,J355:M355,O355,Q355:R355,T355:U355)=0),"",SUM(G355,I355,N355,P355,S355,V355))</f>
        <v/>
      </c>
      <c r="X355" s="18">
        <f>IF(W355="","",IF(Murid!F355="TL","TL",ROUND(W355/110*100,2)))</f>
        <v/>
      </c>
    </row>
    <row r="356">
      <c r="A356" s="15">
        <f>Murid!A356</f>
        <v/>
      </c>
      <c r="B356" s="15">
        <f>IF(Murid!B356="","",Murid!B356)</f>
        <v/>
      </c>
      <c r="C356" s="16">
        <f>IF(Murid!C356="","",Murid!C356)</f>
        <v/>
      </c>
      <c r="D356" s="15">
        <f>IF(Murid!E356="","",Murid!E356)</f>
        <v/>
      </c>
      <c r="E356" s="11" t="n"/>
      <c r="F356" s="11" t="n"/>
      <c r="G356" s="10">
        <f>IF(F356="","",IFERROR(VLOOKUP(F356,T_JKP,2,FALSE),0))</f>
        <v/>
      </c>
      <c r="H356" s="11" t="n"/>
      <c r="I356" s="17">
        <f>IF(H356="","",IF(H356&gt;=12,40,ROUND(H356*3.33,2)))</f>
        <v/>
      </c>
      <c r="J356" s="11" t="n"/>
      <c r="K356" s="11" t="n"/>
      <c r="L356" s="11" t="n"/>
      <c r="M356" s="11" t="n"/>
      <c r="N356" s="10">
        <f>IF(COUNTA(J356:M356)=0,"",MIN(10,SUMPRODUCT((COUNTIF(J356:M356,L_KOM)&gt;0)*S_KOM)))</f>
        <v/>
      </c>
      <c r="O356" s="11" t="n"/>
      <c r="P356" s="10">
        <f>IF(O356="","",IFERROR(VLOOKUP(O356,T_KHID,2,FALSE),0))</f>
        <v/>
      </c>
      <c r="Q356" s="11" t="n"/>
      <c r="R356" s="11" t="n"/>
      <c r="S356" s="10">
        <f>IF(AND(Q356="",R356=""),"",IFERROR(INDEX(T_LIBAT,MATCH(Q356,L_PER,0),MATCH(R356,L_JENIS,0)),0))</f>
        <v/>
      </c>
      <c r="T356" s="11" t="n"/>
      <c r="U356" s="11" t="n"/>
      <c r="V356" s="10">
        <f>IF(AND(T356="",U356=""),"",IFERROR(INDEX(T_CAPAI,MATCH(T356,L_PER,0),MATCH(U356,L_KED,0)),0))</f>
        <v/>
      </c>
      <c r="W356" s="17">
        <f>IF(OR(B356="",E356="",COUNTA(F356,H356,J356:M356,O356,Q356:R356,T356:U356)=0),"",SUM(G356,I356,N356,P356,S356,V356))</f>
        <v/>
      </c>
      <c r="X356" s="18">
        <f>IF(W356="","",IF(Murid!F356="TL","TL",ROUND(W356/110*100,2)))</f>
        <v/>
      </c>
    </row>
    <row r="357">
      <c r="A357" s="15">
        <f>Murid!A357</f>
        <v/>
      </c>
      <c r="B357" s="15">
        <f>IF(Murid!B357="","",Murid!B357)</f>
        <v/>
      </c>
      <c r="C357" s="16">
        <f>IF(Murid!C357="","",Murid!C357)</f>
        <v/>
      </c>
      <c r="D357" s="15">
        <f>IF(Murid!E357="","",Murid!E357)</f>
        <v/>
      </c>
      <c r="E357" s="11" t="n"/>
      <c r="F357" s="11" t="n"/>
      <c r="G357" s="10">
        <f>IF(F357="","",IFERROR(VLOOKUP(F357,T_JKP,2,FALSE),0))</f>
        <v/>
      </c>
      <c r="H357" s="11" t="n"/>
      <c r="I357" s="17">
        <f>IF(H357="","",IF(H357&gt;=12,40,ROUND(H357*3.33,2)))</f>
        <v/>
      </c>
      <c r="J357" s="11" t="n"/>
      <c r="K357" s="11" t="n"/>
      <c r="L357" s="11" t="n"/>
      <c r="M357" s="11" t="n"/>
      <c r="N357" s="10">
        <f>IF(COUNTA(J357:M357)=0,"",MIN(10,SUMPRODUCT((COUNTIF(J357:M357,L_KOM)&gt;0)*S_KOM)))</f>
        <v/>
      </c>
      <c r="O357" s="11" t="n"/>
      <c r="P357" s="10">
        <f>IF(O357="","",IFERROR(VLOOKUP(O357,T_KHID,2,FALSE),0))</f>
        <v/>
      </c>
      <c r="Q357" s="11" t="n"/>
      <c r="R357" s="11" t="n"/>
      <c r="S357" s="10">
        <f>IF(AND(Q357="",R357=""),"",IFERROR(INDEX(T_LIBAT,MATCH(Q357,L_PER,0),MATCH(R357,L_JENIS,0)),0))</f>
        <v/>
      </c>
      <c r="T357" s="11" t="n"/>
      <c r="U357" s="11" t="n"/>
      <c r="V357" s="10">
        <f>IF(AND(T357="",U357=""),"",IFERROR(INDEX(T_CAPAI,MATCH(T357,L_PER,0),MATCH(U357,L_KED,0)),0))</f>
        <v/>
      </c>
      <c r="W357" s="17">
        <f>IF(OR(B357="",E357="",COUNTA(F357,H357,J357:M357,O357,Q357:R357,T357:U357)=0),"",SUM(G357,I357,N357,P357,S357,V357))</f>
        <v/>
      </c>
      <c r="X357" s="18">
        <f>IF(W357="","",IF(Murid!F357="TL","TL",ROUND(W357/110*100,2)))</f>
        <v/>
      </c>
    </row>
    <row r="358">
      <c r="A358" s="15">
        <f>Murid!A358</f>
        <v/>
      </c>
      <c r="B358" s="15">
        <f>IF(Murid!B358="","",Murid!B358)</f>
        <v/>
      </c>
      <c r="C358" s="16">
        <f>IF(Murid!C358="","",Murid!C358)</f>
        <v/>
      </c>
      <c r="D358" s="15">
        <f>IF(Murid!E358="","",Murid!E358)</f>
        <v/>
      </c>
      <c r="E358" s="11" t="n"/>
      <c r="F358" s="11" t="n"/>
      <c r="G358" s="10">
        <f>IF(F358="","",IFERROR(VLOOKUP(F358,T_JKP,2,FALSE),0))</f>
        <v/>
      </c>
      <c r="H358" s="11" t="n"/>
      <c r="I358" s="17">
        <f>IF(H358="","",IF(H358&gt;=12,40,ROUND(H358*3.33,2)))</f>
        <v/>
      </c>
      <c r="J358" s="11" t="n"/>
      <c r="K358" s="11" t="n"/>
      <c r="L358" s="11" t="n"/>
      <c r="M358" s="11" t="n"/>
      <c r="N358" s="10">
        <f>IF(COUNTA(J358:M358)=0,"",MIN(10,SUMPRODUCT((COUNTIF(J358:M358,L_KOM)&gt;0)*S_KOM)))</f>
        <v/>
      </c>
      <c r="O358" s="11" t="n"/>
      <c r="P358" s="10">
        <f>IF(O358="","",IFERROR(VLOOKUP(O358,T_KHID,2,FALSE),0))</f>
        <v/>
      </c>
      <c r="Q358" s="11" t="n"/>
      <c r="R358" s="11" t="n"/>
      <c r="S358" s="10">
        <f>IF(AND(Q358="",R358=""),"",IFERROR(INDEX(T_LIBAT,MATCH(Q358,L_PER,0),MATCH(R358,L_JENIS,0)),0))</f>
        <v/>
      </c>
      <c r="T358" s="11" t="n"/>
      <c r="U358" s="11" t="n"/>
      <c r="V358" s="10">
        <f>IF(AND(T358="",U358=""),"",IFERROR(INDEX(T_CAPAI,MATCH(T358,L_PER,0),MATCH(U358,L_KED,0)),0))</f>
        <v/>
      </c>
      <c r="W358" s="17">
        <f>IF(OR(B358="",E358="",COUNTA(F358,H358,J358:M358,O358,Q358:R358,T358:U358)=0),"",SUM(G358,I358,N358,P358,S358,V358))</f>
        <v/>
      </c>
      <c r="X358" s="18">
        <f>IF(W358="","",IF(Murid!F358="TL","TL",ROUND(W358/110*100,2)))</f>
        <v/>
      </c>
    </row>
    <row r="359">
      <c r="A359" s="15">
        <f>Murid!A359</f>
        <v/>
      </c>
      <c r="B359" s="15">
        <f>IF(Murid!B359="","",Murid!B359)</f>
        <v/>
      </c>
      <c r="C359" s="16">
        <f>IF(Murid!C359="","",Murid!C359)</f>
        <v/>
      </c>
      <c r="D359" s="15">
        <f>IF(Murid!E359="","",Murid!E359)</f>
        <v/>
      </c>
      <c r="E359" s="11" t="n"/>
      <c r="F359" s="11" t="n"/>
      <c r="G359" s="10">
        <f>IF(F359="","",IFERROR(VLOOKUP(F359,T_JKP,2,FALSE),0))</f>
        <v/>
      </c>
      <c r="H359" s="11" t="n"/>
      <c r="I359" s="17">
        <f>IF(H359="","",IF(H359&gt;=12,40,ROUND(H359*3.33,2)))</f>
        <v/>
      </c>
      <c r="J359" s="11" t="n"/>
      <c r="K359" s="11" t="n"/>
      <c r="L359" s="11" t="n"/>
      <c r="M359" s="11" t="n"/>
      <c r="N359" s="10">
        <f>IF(COUNTA(J359:M359)=0,"",MIN(10,SUMPRODUCT((COUNTIF(J359:M359,L_KOM)&gt;0)*S_KOM)))</f>
        <v/>
      </c>
      <c r="O359" s="11" t="n"/>
      <c r="P359" s="10">
        <f>IF(O359="","",IFERROR(VLOOKUP(O359,T_KHID,2,FALSE),0))</f>
        <v/>
      </c>
      <c r="Q359" s="11" t="n"/>
      <c r="R359" s="11" t="n"/>
      <c r="S359" s="10">
        <f>IF(AND(Q359="",R359=""),"",IFERROR(INDEX(T_LIBAT,MATCH(Q359,L_PER,0),MATCH(R359,L_JENIS,0)),0))</f>
        <v/>
      </c>
      <c r="T359" s="11" t="n"/>
      <c r="U359" s="11" t="n"/>
      <c r="V359" s="10">
        <f>IF(AND(T359="",U359=""),"",IFERROR(INDEX(T_CAPAI,MATCH(T359,L_PER,0),MATCH(U359,L_KED,0)),0))</f>
        <v/>
      </c>
      <c r="W359" s="17">
        <f>IF(OR(B359="",E359="",COUNTA(F359,H359,J359:M359,O359,Q359:R359,T359:U359)=0),"",SUM(G359,I359,N359,P359,S359,V359))</f>
        <v/>
      </c>
      <c r="X359" s="18">
        <f>IF(W359="","",IF(Murid!F359="TL","TL",ROUND(W359/110*100,2)))</f>
        <v/>
      </c>
    </row>
    <row r="360">
      <c r="A360" s="15">
        <f>Murid!A360</f>
        <v/>
      </c>
      <c r="B360" s="15">
        <f>IF(Murid!B360="","",Murid!B360)</f>
        <v/>
      </c>
      <c r="C360" s="16">
        <f>IF(Murid!C360="","",Murid!C360)</f>
        <v/>
      </c>
      <c r="D360" s="15">
        <f>IF(Murid!E360="","",Murid!E360)</f>
        <v/>
      </c>
      <c r="E360" s="11" t="n"/>
      <c r="F360" s="11" t="n"/>
      <c r="G360" s="10">
        <f>IF(F360="","",IFERROR(VLOOKUP(F360,T_JKP,2,FALSE),0))</f>
        <v/>
      </c>
      <c r="H360" s="11" t="n"/>
      <c r="I360" s="17">
        <f>IF(H360="","",IF(H360&gt;=12,40,ROUND(H360*3.33,2)))</f>
        <v/>
      </c>
      <c r="J360" s="11" t="n"/>
      <c r="K360" s="11" t="n"/>
      <c r="L360" s="11" t="n"/>
      <c r="M360" s="11" t="n"/>
      <c r="N360" s="10">
        <f>IF(COUNTA(J360:M360)=0,"",MIN(10,SUMPRODUCT((COUNTIF(J360:M360,L_KOM)&gt;0)*S_KOM)))</f>
        <v/>
      </c>
      <c r="O360" s="11" t="n"/>
      <c r="P360" s="10">
        <f>IF(O360="","",IFERROR(VLOOKUP(O360,T_KHID,2,FALSE),0))</f>
        <v/>
      </c>
      <c r="Q360" s="11" t="n"/>
      <c r="R360" s="11" t="n"/>
      <c r="S360" s="10">
        <f>IF(AND(Q360="",R360=""),"",IFERROR(INDEX(T_LIBAT,MATCH(Q360,L_PER,0),MATCH(R360,L_JENIS,0)),0))</f>
        <v/>
      </c>
      <c r="T360" s="11" t="n"/>
      <c r="U360" s="11" t="n"/>
      <c r="V360" s="10">
        <f>IF(AND(T360="",U360=""),"",IFERROR(INDEX(T_CAPAI,MATCH(T360,L_PER,0),MATCH(U360,L_KED,0)),0))</f>
        <v/>
      </c>
      <c r="W360" s="17">
        <f>IF(OR(B360="",E360="",COUNTA(F360,H360,J360:M360,O360,Q360:R360,T360:U360)=0),"",SUM(G360,I360,N360,P360,S360,V360))</f>
        <v/>
      </c>
      <c r="X360" s="18">
        <f>IF(W360="","",IF(Murid!F360="TL","TL",ROUND(W360/110*100,2)))</f>
        <v/>
      </c>
    </row>
    <row r="361">
      <c r="A361" s="15">
        <f>Murid!A361</f>
        <v/>
      </c>
      <c r="B361" s="15">
        <f>IF(Murid!B361="","",Murid!B361)</f>
        <v/>
      </c>
      <c r="C361" s="16">
        <f>IF(Murid!C361="","",Murid!C361)</f>
        <v/>
      </c>
      <c r="D361" s="15">
        <f>IF(Murid!E361="","",Murid!E361)</f>
        <v/>
      </c>
      <c r="E361" s="11" t="n"/>
      <c r="F361" s="11" t="n"/>
      <c r="G361" s="10">
        <f>IF(F361="","",IFERROR(VLOOKUP(F361,T_JKP,2,FALSE),0))</f>
        <v/>
      </c>
      <c r="H361" s="11" t="n"/>
      <c r="I361" s="17">
        <f>IF(H361="","",IF(H361&gt;=12,40,ROUND(H361*3.33,2)))</f>
        <v/>
      </c>
      <c r="J361" s="11" t="n"/>
      <c r="K361" s="11" t="n"/>
      <c r="L361" s="11" t="n"/>
      <c r="M361" s="11" t="n"/>
      <c r="N361" s="10">
        <f>IF(COUNTA(J361:M361)=0,"",MIN(10,SUMPRODUCT((COUNTIF(J361:M361,L_KOM)&gt;0)*S_KOM)))</f>
        <v/>
      </c>
      <c r="O361" s="11" t="n"/>
      <c r="P361" s="10">
        <f>IF(O361="","",IFERROR(VLOOKUP(O361,T_KHID,2,FALSE),0))</f>
        <v/>
      </c>
      <c r="Q361" s="11" t="n"/>
      <c r="R361" s="11" t="n"/>
      <c r="S361" s="10">
        <f>IF(AND(Q361="",R361=""),"",IFERROR(INDEX(T_LIBAT,MATCH(Q361,L_PER,0),MATCH(R361,L_JENIS,0)),0))</f>
        <v/>
      </c>
      <c r="T361" s="11" t="n"/>
      <c r="U361" s="11" t="n"/>
      <c r="V361" s="10">
        <f>IF(AND(T361="",U361=""),"",IFERROR(INDEX(T_CAPAI,MATCH(T361,L_PER,0),MATCH(U361,L_KED,0)),0))</f>
        <v/>
      </c>
      <c r="W361" s="17">
        <f>IF(OR(B361="",E361="",COUNTA(F361,H361,J361:M361,O361,Q361:R361,T361:U361)=0),"",SUM(G361,I361,N361,P361,S361,V361))</f>
        <v/>
      </c>
      <c r="X361" s="18">
        <f>IF(W361="","",IF(Murid!F361="TL","TL",ROUND(W361/110*100,2)))</f>
        <v/>
      </c>
    </row>
    <row r="362">
      <c r="A362" s="15">
        <f>Murid!A362</f>
        <v/>
      </c>
      <c r="B362" s="15">
        <f>IF(Murid!B362="","",Murid!B362)</f>
        <v/>
      </c>
      <c r="C362" s="16">
        <f>IF(Murid!C362="","",Murid!C362)</f>
        <v/>
      </c>
      <c r="D362" s="15">
        <f>IF(Murid!E362="","",Murid!E362)</f>
        <v/>
      </c>
      <c r="E362" s="11" t="n"/>
      <c r="F362" s="11" t="n"/>
      <c r="G362" s="10">
        <f>IF(F362="","",IFERROR(VLOOKUP(F362,T_JKP,2,FALSE),0))</f>
        <v/>
      </c>
      <c r="H362" s="11" t="n"/>
      <c r="I362" s="17">
        <f>IF(H362="","",IF(H362&gt;=12,40,ROUND(H362*3.33,2)))</f>
        <v/>
      </c>
      <c r="J362" s="11" t="n"/>
      <c r="K362" s="11" t="n"/>
      <c r="L362" s="11" t="n"/>
      <c r="M362" s="11" t="n"/>
      <c r="N362" s="10">
        <f>IF(COUNTA(J362:M362)=0,"",MIN(10,SUMPRODUCT((COUNTIF(J362:M362,L_KOM)&gt;0)*S_KOM)))</f>
        <v/>
      </c>
      <c r="O362" s="11" t="n"/>
      <c r="P362" s="10">
        <f>IF(O362="","",IFERROR(VLOOKUP(O362,T_KHID,2,FALSE),0))</f>
        <v/>
      </c>
      <c r="Q362" s="11" t="n"/>
      <c r="R362" s="11" t="n"/>
      <c r="S362" s="10">
        <f>IF(AND(Q362="",R362=""),"",IFERROR(INDEX(T_LIBAT,MATCH(Q362,L_PER,0),MATCH(R362,L_JENIS,0)),0))</f>
        <v/>
      </c>
      <c r="T362" s="11" t="n"/>
      <c r="U362" s="11" t="n"/>
      <c r="V362" s="10">
        <f>IF(AND(T362="",U362=""),"",IFERROR(INDEX(T_CAPAI,MATCH(T362,L_PER,0),MATCH(U362,L_KED,0)),0))</f>
        <v/>
      </c>
      <c r="W362" s="17">
        <f>IF(OR(B362="",E362="",COUNTA(F362,H362,J362:M362,O362,Q362:R362,T362:U362)=0),"",SUM(G362,I362,N362,P362,S362,V362))</f>
        <v/>
      </c>
      <c r="X362" s="18">
        <f>IF(W362="","",IF(Murid!F362="TL","TL",ROUND(W362/110*100,2)))</f>
        <v/>
      </c>
    </row>
    <row r="363">
      <c r="A363" s="15">
        <f>Murid!A363</f>
        <v/>
      </c>
      <c r="B363" s="15">
        <f>IF(Murid!B363="","",Murid!B363)</f>
        <v/>
      </c>
      <c r="C363" s="16">
        <f>IF(Murid!C363="","",Murid!C363)</f>
        <v/>
      </c>
      <c r="D363" s="15">
        <f>IF(Murid!E363="","",Murid!E363)</f>
        <v/>
      </c>
      <c r="E363" s="11" t="n"/>
      <c r="F363" s="11" t="n"/>
      <c r="G363" s="10">
        <f>IF(F363="","",IFERROR(VLOOKUP(F363,T_JKP,2,FALSE),0))</f>
        <v/>
      </c>
      <c r="H363" s="11" t="n"/>
      <c r="I363" s="17">
        <f>IF(H363="","",IF(H363&gt;=12,40,ROUND(H363*3.33,2)))</f>
        <v/>
      </c>
      <c r="J363" s="11" t="n"/>
      <c r="K363" s="11" t="n"/>
      <c r="L363" s="11" t="n"/>
      <c r="M363" s="11" t="n"/>
      <c r="N363" s="10">
        <f>IF(COUNTA(J363:M363)=0,"",MIN(10,SUMPRODUCT((COUNTIF(J363:M363,L_KOM)&gt;0)*S_KOM)))</f>
        <v/>
      </c>
      <c r="O363" s="11" t="n"/>
      <c r="P363" s="10">
        <f>IF(O363="","",IFERROR(VLOOKUP(O363,T_KHID,2,FALSE),0))</f>
        <v/>
      </c>
      <c r="Q363" s="11" t="n"/>
      <c r="R363" s="11" t="n"/>
      <c r="S363" s="10">
        <f>IF(AND(Q363="",R363=""),"",IFERROR(INDEX(T_LIBAT,MATCH(Q363,L_PER,0),MATCH(R363,L_JENIS,0)),0))</f>
        <v/>
      </c>
      <c r="T363" s="11" t="n"/>
      <c r="U363" s="11" t="n"/>
      <c r="V363" s="10">
        <f>IF(AND(T363="",U363=""),"",IFERROR(INDEX(T_CAPAI,MATCH(T363,L_PER,0),MATCH(U363,L_KED,0)),0))</f>
        <v/>
      </c>
      <c r="W363" s="17">
        <f>IF(OR(B363="",E363="",COUNTA(F363,H363,J363:M363,O363,Q363:R363,T363:U363)=0),"",SUM(G363,I363,N363,P363,S363,V363))</f>
        <v/>
      </c>
      <c r="X363" s="18">
        <f>IF(W363="","",IF(Murid!F363="TL","TL",ROUND(W363/110*100,2)))</f>
        <v/>
      </c>
    </row>
    <row r="364">
      <c r="A364" s="15">
        <f>Murid!A364</f>
        <v/>
      </c>
      <c r="B364" s="15">
        <f>IF(Murid!B364="","",Murid!B364)</f>
        <v/>
      </c>
      <c r="C364" s="16">
        <f>IF(Murid!C364="","",Murid!C364)</f>
        <v/>
      </c>
      <c r="D364" s="15">
        <f>IF(Murid!E364="","",Murid!E364)</f>
        <v/>
      </c>
      <c r="E364" s="11" t="n"/>
      <c r="F364" s="11" t="n"/>
      <c r="G364" s="10">
        <f>IF(F364="","",IFERROR(VLOOKUP(F364,T_JKP,2,FALSE),0))</f>
        <v/>
      </c>
      <c r="H364" s="11" t="n"/>
      <c r="I364" s="17">
        <f>IF(H364="","",IF(H364&gt;=12,40,ROUND(H364*3.33,2)))</f>
        <v/>
      </c>
      <c r="J364" s="11" t="n"/>
      <c r="K364" s="11" t="n"/>
      <c r="L364" s="11" t="n"/>
      <c r="M364" s="11" t="n"/>
      <c r="N364" s="10">
        <f>IF(COUNTA(J364:M364)=0,"",MIN(10,SUMPRODUCT((COUNTIF(J364:M364,L_KOM)&gt;0)*S_KOM)))</f>
        <v/>
      </c>
      <c r="O364" s="11" t="n"/>
      <c r="P364" s="10">
        <f>IF(O364="","",IFERROR(VLOOKUP(O364,T_KHID,2,FALSE),0))</f>
        <v/>
      </c>
      <c r="Q364" s="11" t="n"/>
      <c r="R364" s="11" t="n"/>
      <c r="S364" s="10">
        <f>IF(AND(Q364="",R364=""),"",IFERROR(INDEX(T_LIBAT,MATCH(Q364,L_PER,0),MATCH(R364,L_JENIS,0)),0))</f>
        <v/>
      </c>
      <c r="T364" s="11" t="n"/>
      <c r="U364" s="11" t="n"/>
      <c r="V364" s="10">
        <f>IF(AND(T364="",U364=""),"",IFERROR(INDEX(T_CAPAI,MATCH(T364,L_PER,0),MATCH(U364,L_KED,0)),0))</f>
        <v/>
      </c>
      <c r="W364" s="17">
        <f>IF(OR(B364="",E364="",COUNTA(F364,H364,J364:M364,O364,Q364:R364,T364:U364)=0),"",SUM(G364,I364,N364,P364,S364,V364))</f>
        <v/>
      </c>
      <c r="X364" s="18">
        <f>IF(W364="","",IF(Murid!F364="TL","TL",ROUND(W364/110*100,2)))</f>
        <v/>
      </c>
    </row>
    <row r="365">
      <c r="A365" s="15">
        <f>Murid!A365</f>
        <v/>
      </c>
      <c r="B365" s="15">
        <f>IF(Murid!B365="","",Murid!B365)</f>
        <v/>
      </c>
      <c r="C365" s="16">
        <f>IF(Murid!C365="","",Murid!C365)</f>
        <v/>
      </c>
      <c r="D365" s="15">
        <f>IF(Murid!E365="","",Murid!E365)</f>
        <v/>
      </c>
      <c r="E365" s="11" t="n"/>
      <c r="F365" s="11" t="n"/>
      <c r="G365" s="10">
        <f>IF(F365="","",IFERROR(VLOOKUP(F365,T_JKP,2,FALSE),0))</f>
        <v/>
      </c>
      <c r="H365" s="11" t="n"/>
      <c r="I365" s="17">
        <f>IF(H365="","",IF(H365&gt;=12,40,ROUND(H365*3.33,2)))</f>
        <v/>
      </c>
      <c r="J365" s="11" t="n"/>
      <c r="K365" s="11" t="n"/>
      <c r="L365" s="11" t="n"/>
      <c r="M365" s="11" t="n"/>
      <c r="N365" s="10">
        <f>IF(COUNTA(J365:M365)=0,"",MIN(10,SUMPRODUCT((COUNTIF(J365:M365,L_KOM)&gt;0)*S_KOM)))</f>
        <v/>
      </c>
      <c r="O365" s="11" t="n"/>
      <c r="P365" s="10">
        <f>IF(O365="","",IFERROR(VLOOKUP(O365,T_KHID,2,FALSE),0))</f>
        <v/>
      </c>
      <c r="Q365" s="11" t="n"/>
      <c r="R365" s="11" t="n"/>
      <c r="S365" s="10">
        <f>IF(AND(Q365="",R365=""),"",IFERROR(INDEX(T_LIBAT,MATCH(Q365,L_PER,0),MATCH(R365,L_JENIS,0)),0))</f>
        <v/>
      </c>
      <c r="T365" s="11" t="n"/>
      <c r="U365" s="11" t="n"/>
      <c r="V365" s="10">
        <f>IF(AND(T365="",U365=""),"",IFERROR(INDEX(T_CAPAI,MATCH(T365,L_PER,0),MATCH(U365,L_KED,0)),0))</f>
        <v/>
      </c>
      <c r="W365" s="17">
        <f>IF(OR(B365="",E365="",COUNTA(F365,H365,J365:M365,O365,Q365:R365,T365:U365)=0),"",SUM(G365,I365,N365,P365,S365,V365))</f>
        <v/>
      </c>
      <c r="X365" s="18">
        <f>IF(W365="","",IF(Murid!F365="TL","TL",ROUND(W365/110*100,2)))</f>
        <v/>
      </c>
    </row>
    <row r="366">
      <c r="A366" s="15">
        <f>Murid!A366</f>
        <v/>
      </c>
      <c r="B366" s="15">
        <f>IF(Murid!B366="","",Murid!B366)</f>
        <v/>
      </c>
      <c r="C366" s="16">
        <f>IF(Murid!C366="","",Murid!C366)</f>
        <v/>
      </c>
      <c r="D366" s="15">
        <f>IF(Murid!E366="","",Murid!E366)</f>
        <v/>
      </c>
      <c r="E366" s="11" t="n"/>
      <c r="F366" s="11" t="n"/>
      <c r="G366" s="10">
        <f>IF(F366="","",IFERROR(VLOOKUP(F366,T_JKP,2,FALSE),0))</f>
        <v/>
      </c>
      <c r="H366" s="11" t="n"/>
      <c r="I366" s="17">
        <f>IF(H366="","",IF(H366&gt;=12,40,ROUND(H366*3.33,2)))</f>
        <v/>
      </c>
      <c r="J366" s="11" t="n"/>
      <c r="K366" s="11" t="n"/>
      <c r="L366" s="11" t="n"/>
      <c r="M366" s="11" t="n"/>
      <c r="N366" s="10">
        <f>IF(COUNTA(J366:M366)=0,"",MIN(10,SUMPRODUCT((COUNTIF(J366:M366,L_KOM)&gt;0)*S_KOM)))</f>
        <v/>
      </c>
      <c r="O366" s="11" t="n"/>
      <c r="P366" s="10">
        <f>IF(O366="","",IFERROR(VLOOKUP(O366,T_KHID,2,FALSE),0))</f>
        <v/>
      </c>
      <c r="Q366" s="11" t="n"/>
      <c r="R366" s="11" t="n"/>
      <c r="S366" s="10">
        <f>IF(AND(Q366="",R366=""),"",IFERROR(INDEX(T_LIBAT,MATCH(Q366,L_PER,0),MATCH(R366,L_JENIS,0)),0))</f>
        <v/>
      </c>
      <c r="T366" s="11" t="n"/>
      <c r="U366" s="11" t="n"/>
      <c r="V366" s="10">
        <f>IF(AND(T366="",U366=""),"",IFERROR(INDEX(T_CAPAI,MATCH(T366,L_PER,0),MATCH(U366,L_KED,0)),0))</f>
        <v/>
      </c>
      <c r="W366" s="17">
        <f>IF(OR(B366="",E366="",COUNTA(F366,H366,J366:M366,O366,Q366:R366,T366:U366)=0),"",SUM(G366,I366,N366,P366,S366,V366))</f>
        <v/>
      </c>
      <c r="X366" s="18">
        <f>IF(W366="","",IF(Murid!F366="TL","TL",ROUND(W366/110*100,2)))</f>
        <v/>
      </c>
    </row>
    <row r="367">
      <c r="A367" s="15">
        <f>Murid!A367</f>
        <v/>
      </c>
      <c r="B367" s="15">
        <f>IF(Murid!B367="","",Murid!B367)</f>
        <v/>
      </c>
      <c r="C367" s="16">
        <f>IF(Murid!C367="","",Murid!C367)</f>
        <v/>
      </c>
      <c r="D367" s="15">
        <f>IF(Murid!E367="","",Murid!E367)</f>
        <v/>
      </c>
      <c r="E367" s="11" t="n"/>
      <c r="F367" s="11" t="n"/>
      <c r="G367" s="10">
        <f>IF(F367="","",IFERROR(VLOOKUP(F367,T_JKP,2,FALSE),0))</f>
        <v/>
      </c>
      <c r="H367" s="11" t="n"/>
      <c r="I367" s="17">
        <f>IF(H367="","",IF(H367&gt;=12,40,ROUND(H367*3.33,2)))</f>
        <v/>
      </c>
      <c r="J367" s="11" t="n"/>
      <c r="K367" s="11" t="n"/>
      <c r="L367" s="11" t="n"/>
      <c r="M367" s="11" t="n"/>
      <c r="N367" s="10">
        <f>IF(COUNTA(J367:M367)=0,"",MIN(10,SUMPRODUCT((COUNTIF(J367:M367,L_KOM)&gt;0)*S_KOM)))</f>
        <v/>
      </c>
      <c r="O367" s="11" t="n"/>
      <c r="P367" s="10">
        <f>IF(O367="","",IFERROR(VLOOKUP(O367,T_KHID,2,FALSE),0))</f>
        <v/>
      </c>
      <c r="Q367" s="11" t="n"/>
      <c r="R367" s="11" t="n"/>
      <c r="S367" s="10">
        <f>IF(AND(Q367="",R367=""),"",IFERROR(INDEX(T_LIBAT,MATCH(Q367,L_PER,0),MATCH(R367,L_JENIS,0)),0))</f>
        <v/>
      </c>
      <c r="T367" s="11" t="n"/>
      <c r="U367" s="11" t="n"/>
      <c r="V367" s="10">
        <f>IF(AND(T367="",U367=""),"",IFERROR(INDEX(T_CAPAI,MATCH(T367,L_PER,0),MATCH(U367,L_KED,0)),0))</f>
        <v/>
      </c>
      <c r="W367" s="17">
        <f>IF(OR(B367="",E367="",COUNTA(F367,H367,J367:M367,O367,Q367:R367,T367:U367)=0),"",SUM(G367,I367,N367,P367,S367,V367))</f>
        <v/>
      </c>
      <c r="X367" s="18">
        <f>IF(W367="","",IF(Murid!F367="TL","TL",ROUND(W367/110*100,2)))</f>
        <v/>
      </c>
    </row>
    <row r="368">
      <c r="A368" s="15">
        <f>Murid!A368</f>
        <v/>
      </c>
      <c r="B368" s="15">
        <f>IF(Murid!B368="","",Murid!B368)</f>
        <v/>
      </c>
      <c r="C368" s="16">
        <f>IF(Murid!C368="","",Murid!C368)</f>
        <v/>
      </c>
      <c r="D368" s="15">
        <f>IF(Murid!E368="","",Murid!E368)</f>
        <v/>
      </c>
      <c r="E368" s="11" t="n"/>
      <c r="F368" s="11" t="n"/>
      <c r="G368" s="10">
        <f>IF(F368="","",IFERROR(VLOOKUP(F368,T_JKP,2,FALSE),0))</f>
        <v/>
      </c>
      <c r="H368" s="11" t="n"/>
      <c r="I368" s="17">
        <f>IF(H368="","",IF(H368&gt;=12,40,ROUND(H368*3.33,2)))</f>
        <v/>
      </c>
      <c r="J368" s="11" t="n"/>
      <c r="K368" s="11" t="n"/>
      <c r="L368" s="11" t="n"/>
      <c r="M368" s="11" t="n"/>
      <c r="N368" s="10">
        <f>IF(COUNTA(J368:M368)=0,"",MIN(10,SUMPRODUCT((COUNTIF(J368:M368,L_KOM)&gt;0)*S_KOM)))</f>
        <v/>
      </c>
      <c r="O368" s="11" t="n"/>
      <c r="P368" s="10">
        <f>IF(O368="","",IFERROR(VLOOKUP(O368,T_KHID,2,FALSE),0))</f>
        <v/>
      </c>
      <c r="Q368" s="11" t="n"/>
      <c r="R368" s="11" t="n"/>
      <c r="S368" s="10">
        <f>IF(AND(Q368="",R368=""),"",IFERROR(INDEX(T_LIBAT,MATCH(Q368,L_PER,0),MATCH(R368,L_JENIS,0)),0))</f>
        <v/>
      </c>
      <c r="T368" s="11" t="n"/>
      <c r="U368" s="11" t="n"/>
      <c r="V368" s="10">
        <f>IF(AND(T368="",U368=""),"",IFERROR(INDEX(T_CAPAI,MATCH(T368,L_PER,0),MATCH(U368,L_KED,0)),0))</f>
        <v/>
      </c>
      <c r="W368" s="17">
        <f>IF(OR(B368="",E368="",COUNTA(F368,H368,J368:M368,O368,Q368:R368,T368:U368)=0),"",SUM(G368,I368,N368,P368,S368,V368))</f>
        <v/>
      </c>
      <c r="X368" s="18">
        <f>IF(W368="","",IF(Murid!F368="TL","TL",ROUND(W368/110*100,2)))</f>
        <v/>
      </c>
    </row>
    <row r="369">
      <c r="A369" s="15">
        <f>Murid!A369</f>
        <v/>
      </c>
      <c r="B369" s="15">
        <f>IF(Murid!B369="","",Murid!B369)</f>
        <v/>
      </c>
      <c r="C369" s="16">
        <f>IF(Murid!C369="","",Murid!C369)</f>
        <v/>
      </c>
      <c r="D369" s="15">
        <f>IF(Murid!E369="","",Murid!E369)</f>
        <v/>
      </c>
      <c r="E369" s="11" t="n"/>
      <c r="F369" s="11" t="n"/>
      <c r="G369" s="10">
        <f>IF(F369="","",IFERROR(VLOOKUP(F369,T_JKP,2,FALSE),0))</f>
        <v/>
      </c>
      <c r="H369" s="11" t="n"/>
      <c r="I369" s="17">
        <f>IF(H369="","",IF(H369&gt;=12,40,ROUND(H369*3.33,2)))</f>
        <v/>
      </c>
      <c r="J369" s="11" t="n"/>
      <c r="K369" s="11" t="n"/>
      <c r="L369" s="11" t="n"/>
      <c r="M369" s="11" t="n"/>
      <c r="N369" s="10">
        <f>IF(COUNTA(J369:M369)=0,"",MIN(10,SUMPRODUCT((COUNTIF(J369:M369,L_KOM)&gt;0)*S_KOM)))</f>
        <v/>
      </c>
      <c r="O369" s="11" t="n"/>
      <c r="P369" s="10">
        <f>IF(O369="","",IFERROR(VLOOKUP(O369,T_KHID,2,FALSE),0))</f>
        <v/>
      </c>
      <c r="Q369" s="11" t="n"/>
      <c r="R369" s="11" t="n"/>
      <c r="S369" s="10">
        <f>IF(AND(Q369="",R369=""),"",IFERROR(INDEX(T_LIBAT,MATCH(Q369,L_PER,0),MATCH(R369,L_JENIS,0)),0))</f>
        <v/>
      </c>
      <c r="T369" s="11" t="n"/>
      <c r="U369" s="11" t="n"/>
      <c r="V369" s="10">
        <f>IF(AND(T369="",U369=""),"",IFERROR(INDEX(T_CAPAI,MATCH(T369,L_PER,0),MATCH(U369,L_KED,0)),0))</f>
        <v/>
      </c>
      <c r="W369" s="17">
        <f>IF(OR(B369="",E369="",COUNTA(F369,H369,J369:M369,O369,Q369:R369,T369:U369)=0),"",SUM(G369,I369,N369,P369,S369,V369))</f>
        <v/>
      </c>
      <c r="X369" s="18">
        <f>IF(W369="","",IF(Murid!F369="TL","TL",ROUND(W369/110*100,2)))</f>
        <v/>
      </c>
    </row>
    <row r="370">
      <c r="A370" s="15">
        <f>Murid!A370</f>
        <v/>
      </c>
      <c r="B370" s="15">
        <f>IF(Murid!B370="","",Murid!B370)</f>
        <v/>
      </c>
      <c r="C370" s="16">
        <f>IF(Murid!C370="","",Murid!C370)</f>
        <v/>
      </c>
      <c r="D370" s="15">
        <f>IF(Murid!E370="","",Murid!E370)</f>
        <v/>
      </c>
      <c r="E370" s="11" t="n"/>
      <c r="F370" s="11" t="n"/>
      <c r="G370" s="10">
        <f>IF(F370="","",IFERROR(VLOOKUP(F370,T_JKP,2,FALSE),0))</f>
        <v/>
      </c>
      <c r="H370" s="11" t="n"/>
      <c r="I370" s="17">
        <f>IF(H370="","",IF(H370&gt;=12,40,ROUND(H370*3.33,2)))</f>
        <v/>
      </c>
      <c r="J370" s="11" t="n"/>
      <c r="K370" s="11" t="n"/>
      <c r="L370" s="11" t="n"/>
      <c r="M370" s="11" t="n"/>
      <c r="N370" s="10">
        <f>IF(COUNTA(J370:M370)=0,"",MIN(10,SUMPRODUCT((COUNTIF(J370:M370,L_KOM)&gt;0)*S_KOM)))</f>
        <v/>
      </c>
      <c r="O370" s="11" t="n"/>
      <c r="P370" s="10">
        <f>IF(O370="","",IFERROR(VLOOKUP(O370,T_KHID,2,FALSE),0))</f>
        <v/>
      </c>
      <c r="Q370" s="11" t="n"/>
      <c r="R370" s="11" t="n"/>
      <c r="S370" s="10">
        <f>IF(AND(Q370="",R370=""),"",IFERROR(INDEX(T_LIBAT,MATCH(Q370,L_PER,0),MATCH(R370,L_JENIS,0)),0))</f>
        <v/>
      </c>
      <c r="T370" s="11" t="n"/>
      <c r="U370" s="11" t="n"/>
      <c r="V370" s="10">
        <f>IF(AND(T370="",U370=""),"",IFERROR(INDEX(T_CAPAI,MATCH(T370,L_PER,0),MATCH(U370,L_KED,0)),0))</f>
        <v/>
      </c>
      <c r="W370" s="17">
        <f>IF(OR(B370="",E370="",COUNTA(F370,H370,J370:M370,O370,Q370:R370,T370:U370)=0),"",SUM(G370,I370,N370,P370,S370,V370))</f>
        <v/>
      </c>
      <c r="X370" s="18">
        <f>IF(W370="","",IF(Murid!F370="TL","TL",ROUND(W370/110*100,2)))</f>
        <v/>
      </c>
    </row>
    <row r="371">
      <c r="A371" s="15">
        <f>Murid!A371</f>
        <v/>
      </c>
      <c r="B371" s="15">
        <f>IF(Murid!B371="","",Murid!B371)</f>
        <v/>
      </c>
      <c r="C371" s="16">
        <f>IF(Murid!C371="","",Murid!C371)</f>
        <v/>
      </c>
      <c r="D371" s="15">
        <f>IF(Murid!E371="","",Murid!E371)</f>
        <v/>
      </c>
      <c r="E371" s="11" t="n"/>
      <c r="F371" s="11" t="n"/>
      <c r="G371" s="10">
        <f>IF(F371="","",IFERROR(VLOOKUP(F371,T_JKP,2,FALSE),0))</f>
        <v/>
      </c>
      <c r="H371" s="11" t="n"/>
      <c r="I371" s="17">
        <f>IF(H371="","",IF(H371&gt;=12,40,ROUND(H371*3.33,2)))</f>
        <v/>
      </c>
      <c r="J371" s="11" t="n"/>
      <c r="K371" s="11" t="n"/>
      <c r="L371" s="11" t="n"/>
      <c r="M371" s="11" t="n"/>
      <c r="N371" s="10">
        <f>IF(COUNTA(J371:M371)=0,"",MIN(10,SUMPRODUCT((COUNTIF(J371:M371,L_KOM)&gt;0)*S_KOM)))</f>
        <v/>
      </c>
      <c r="O371" s="11" t="n"/>
      <c r="P371" s="10">
        <f>IF(O371="","",IFERROR(VLOOKUP(O371,T_KHID,2,FALSE),0))</f>
        <v/>
      </c>
      <c r="Q371" s="11" t="n"/>
      <c r="R371" s="11" t="n"/>
      <c r="S371" s="10">
        <f>IF(AND(Q371="",R371=""),"",IFERROR(INDEX(T_LIBAT,MATCH(Q371,L_PER,0),MATCH(R371,L_JENIS,0)),0))</f>
        <v/>
      </c>
      <c r="T371" s="11" t="n"/>
      <c r="U371" s="11" t="n"/>
      <c r="V371" s="10">
        <f>IF(AND(T371="",U371=""),"",IFERROR(INDEX(T_CAPAI,MATCH(T371,L_PER,0),MATCH(U371,L_KED,0)),0))</f>
        <v/>
      </c>
      <c r="W371" s="17">
        <f>IF(OR(B371="",E371="",COUNTA(F371,H371,J371:M371,O371,Q371:R371,T371:U371)=0),"",SUM(G371,I371,N371,P371,S371,V371))</f>
        <v/>
      </c>
      <c r="X371" s="18">
        <f>IF(W371="","",IF(Murid!F371="TL","TL",ROUND(W371/110*100,2)))</f>
        <v/>
      </c>
    </row>
    <row r="372">
      <c r="A372" s="15">
        <f>Murid!A372</f>
        <v/>
      </c>
      <c r="B372" s="15">
        <f>IF(Murid!B372="","",Murid!B372)</f>
        <v/>
      </c>
      <c r="C372" s="16">
        <f>IF(Murid!C372="","",Murid!C372)</f>
        <v/>
      </c>
      <c r="D372" s="15">
        <f>IF(Murid!E372="","",Murid!E372)</f>
        <v/>
      </c>
      <c r="E372" s="11" t="n"/>
      <c r="F372" s="11" t="n"/>
      <c r="G372" s="10">
        <f>IF(F372="","",IFERROR(VLOOKUP(F372,T_JKP,2,FALSE),0))</f>
        <v/>
      </c>
      <c r="H372" s="11" t="n"/>
      <c r="I372" s="17">
        <f>IF(H372="","",IF(H372&gt;=12,40,ROUND(H372*3.33,2)))</f>
        <v/>
      </c>
      <c r="J372" s="11" t="n"/>
      <c r="K372" s="11" t="n"/>
      <c r="L372" s="11" t="n"/>
      <c r="M372" s="11" t="n"/>
      <c r="N372" s="10">
        <f>IF(COUNTA(J372:M372)=0,"",MIN(10,SUMPRODUCT((COUNTIF(J372:M372,L_KOM)&gt;0)*S_KOM)))</f>
        <v/>
      </c>
      <c r="O372" s="11" t="n"/>
      <c r="P372" s="10">
        <f>IF(O372="","",IFERROR(VLOOKUP(O372,T_KHID,2,FALSE),0))</f>
        <v/>
      </c>
      <c r="Q372" s="11" t="n"/>
      <c r="R372" s="11" t="n"/>
      <c r="S372" s="10">
        <f>IF(AND(Q372="",R372=""),"",IFERROR(INDEX(T_LIBAT,MATCH(Q372,L_PER,0),MATCH(R372,L_JENIS,0)),0))</f>
        <v/>
      </c>
      <c r="T372" s="11" t="n"/>
      <c r="U372" s="11" t="n"/>
      <c r="V372" s="10">
        <f>IF(AND(T372="",U372=""),"",IFERROR(INDEX(T_CAPAI,MATCH(T372,L_PER,0),MATCH(U372,L_KED,0)),0))</f>
        <v/>
      </c>
      <c r="W372" s="17">
        <f>IF(OR(B372="",E372="",COUNTA(F372,H372,J372:M372,O372,Q372:R372,T372:U372)=0),"",SUM(G372,I372,N372,P372,S372,V372))</f>
        <v/>
      </c>
      <c r="X372" s="18">
        <f>IF(W372="","",IF(Murid!F372="TL","TL",ROUND(W372/110*100,2)))</f>
        <v/>
      </c>
    </row>
    <row r="373">
      <c r="A373" s="15">
        <f>Murid!A373</f>
        <v/>
      </c>
      <c r="B373" s="15">
        <f>IF(Murid!B373="","",Murid!B373)</f>
        <v/>
      </c>
      <c r="C373" s="16">
        <f>IF(Murid!C373="","",Murid!C373)</f>
        <v/>
      </c>
      <c r="D373" s="15">
        <f>IF(Murid!E373="","",Murid!E373)</f>
        <v/>
      </c>
      <c r="E373" s="11" t="n"/>
      <c r="F373" s="11" t="n"/>
      <c r="G373" s="10">
        <f>IF(F373="","",IFERROR(VLOOKUP(F373,T_JKP,2,FALSE),0))</f>
        <v/>
      </c>
      <c r="H373" s="11" t="n"/>
      <c r="I373" s="17">
        <f>IF(H373="","",IF(H373&gt;=12,40,ROUND(H373*3.33,2)))</f>
        <v/>
      </c>
      <c r="J373" s="11" t="n"/>
      <c r="K373" s="11" t="n"/>
      <c r="L373" s="11" t="n"/>
      <c r="M373" s="11" t="n"/>
      <c r="N373" s="10">
        <f>IF(COUNTA(J373:M373)=0,"",MIN(10,SUMPRODUCT((COUNTIF(J373:M373,L_KOM)&gt;0)*S_KOM)))</f>
        <v/>
      </c>
      <c r="O373" s="11" t="n"/>
      <c r="P373" s="10">
        <f>IF(O373="","",IFERROR(VLOOKUP(O373,T_KHID,2,FALSE),0))</f>
        <v/>
      </c>
      <c r="Q373" s="11" t="n"/>
      <c r="R373" s="11" t="n"/>
      <c r="S373" s="10">
        <f>IF(AND(Q373="",R373=""),"",IFERROR(INDEX(T_LIBAT,MATCH(Q373,L_PER,0),MATCH(R373,L_JENIS,0)),0))</f>
        <v/>
      </c>
      <c r="T373" s="11" t="n"/>
      <c r="U373" s="11" t="n"/>
      <c r="V373" s="10">
        <f>IF(AND(T373="",U373=""),"",IFERROR(INDEX(T_CAPAI,MATCH(T373,L_PER,0),MATCH(U373,L_KED,0)),0))</f>
        <v/>
      </c>
      <c r="W373" s="17">
        <f>IF(OR(B373="",E373="",COUNTA(F373,H373,J373:M373,O373,Q373:R373,T373:U373)=0),"",SUM(G373,I373,N373,P373,S373,V373))</f>
        <v/>
      </c>
      <c r="X373" s="18">
        <f>IF(W373="","",IF(Murid!F373="TL","TL",ROUND(W373/110*100,2)))</f>
        <v/>
      </c>
    </row>
    <row r="374">
      <c r="A374" s="15">
        <f>Murid!A374</f>
        <v/>
      </c>
      <c r="B374" s="15">
        <f>IF(Murid!B374="","",Murid!B374)</f>
        <v/>
      </c>
      <c r="C374" s="16">
        <f>IF(Murid!C374="","",Murid!C374)</f>
        <v/>
      </c>
      <c r="D374" s="15">
        <f>IF(Murid!E374="","",Murid!E374)</f>
        <v/>
      </c>
      <c r="E374" s="11" t="n"/>
      <c r="F374" s="11" t="n"/>
      <c r="G374" s="10">
        <f>IF(F374="","",IFERROR(VLOOKUP(F374,T_JKP,2,FALSE),0))</f>
        <v/>
      </c>
      <c r="H374" s="11" t="n"/>
      <c r="I374" s="17">
        <f>IF(H374="","",IF(H374&gt;=12,40,ROUND(H374*3.33,2)))</f>
        <v/>
      </c>
      <c r="J374" s="11" t="n"/>
      <c r="K374" s="11" t="n"/>
      <c r="L374" s="11" t="n"/>
      <c r="M374" s="11" t="n"/>
      <c r="N374" s="10">
        <f>IF(COUNTA(J374:M374)=0,"",MIN(10,SUMPRODUCT((COUNTIF(J374:M374,L_KOM)&gt;0)*S_KOM)))</f>
        <v/>
      </c>
      <c r="O374" s="11" t="n"/>
      <c r="P374" s="10">
        <f>IF(O374="","",IFERROR(VLOOKUP(O374,T_KHID,2,FALSE),0))</f>
        <v/>
      </c>
      <c r="Q374" s="11" t="n"/>
      <c r="R374" s="11" t="n"/>
      <c r="S374" s="10">
        <f>IF(AND(Q374="",R374=""),"",IFERROR(INDEX(T_LIBAT,MATCH(Q374,L_PER,0),MATCH(R374,L_JENIS,0)),0))</f>
        <v/>
      </c>
      <c r="T374" s="11" t="n"/>
      <c r="U374" s="11" t="n"/>
      <c r="V374" s="10">
        <f>IF(AND(T374="",U374=""),"",IFERROR(INDEX(T_CAPAI,MATCH(T374,L_PER,0),MATCH(U374,L_KED,0)),0))</f>
        <v/>
      </c>
      <c r="W374" s="17">
        <f>IF(OR(B374="",E374="",COUNTA(F374,H374,J374:M374,O374,Q374:R374,T374:U374)=0),"",SUM(G374,I374,N374,P374,S374,V374))</f>
        <v/>
      </c>
      <c r="X374" s="18">
        <f>IF(W374="","",IF(Murid!F374="TL","TL",ROUND(W374/110*100,2)))</f>
        <v/>
      </c>
    </row>
    <row r="375">
      <c r="A375" s="15">
        <f>Murid!A375</f>
        <v/>
      </c>
      <c r="B375" s="15">
        <f>IF(Murid!B375="","",Murid!B375)</f>
        <v/>
      </c>
      <c r="C375" s="16">
        <f>IF(Murid!C375="","",Murid!C375)</f>
        <v/>
      </c>
      <c r="D375" s="15">
        <f>IF(Murid!E375="","",Murid!E375)</f>
        <v/>
      </c>
      <c r="E375" s="11" t="n"/>
      <c r="F375" s="11" t="n"/>
      <c r="G375" s="10">
        <f>IF(F375="","",IFERROR(VLOOKUP(F375,T_JKP,2,FALSE),0))</f>
        <v/>
      </c>
      <c r="H375" s="11" t="n"/>
      <c r="I375" s="17">
        <f>IF(H375="","",IF(H375&gt;=12,40,ROUND(H375*3.33,2)))</f>
        <v/>
      </c>
      <c r="J375" s="11" t="n"/>
      <c r="K375" s="11" t="n"/>
      <c r="L375" s="11" t="n"/>
      <c r="M375" s="11" t="n"/>
      <c r="N375" s="10">
        <f>IF(COUNTA(J375:M375)=0,"",MIN(10,SUMPRODUCT((COUNTIF(J375:M375,L_KOM)&gt;0)*S_KOM)))</f>
        <v/>
      </c>
      <c r="O375" s="11" t="n"/>
      <c r="P375" s="10">
        <f>IF(O375="","",IFERROR(VLOOKUP(O375,T_KHID,2,FALSE),0))</f>
        <v/>
      </c>
      <c r="Q375" s="11" t="n"/>
      <c r="R375" s="11" t="n"/>
      <c r="S375" s="10">
        <f>IF(AND(Q375="",R375=""),"",IFERROR(INDEX(T_LIBAT,MATCH(Q375,L_PER,0),MATCH(R375,L_JENIS,0)),0))</f>
        <v/>
      </c>
      <c r="T375" s="11" t="n"/>
      <c r="U375" s="11" t="n"/>
      <c r="V375" s="10">
        <f>IF(AND(T375="",U375=""),"",IFERROR(INDEX(T_CAPAI,MATCH(T375,L_PER,0),MATCH(U375,L_KED,0)),0))</f>
        <v/>
      </c>
      <c r="W375" s="17">
        <f>IF(OR(B375="",E375="",COUNTA(F375,H375,J375:M375,O375,Q375:R375,T375:U375)=0),"",SUM(G375,I375,N375,P375,S375,V375))</f>
        <v/>
      </c>
      <c r="X375" s="18">
        <f>IF(W375="","",IF(Murid!F375="TL","TL",ROUND(W375/110*100,2)))</f>
        <v/>
      </c>
    </row>
    <row r="376">
      <c r="A376" s="15">
        <f>Murid!A376</f>
        <v/>
      </c>
      <c r="B376" s="15">
        <f>IF(Murid!B376="","",Murid!B376)</f>
        <v/>
      </c>
      <c r="C376" s="16">
        <f>IF(Murid!C376="","",Murid!C376)</f>
        <v/>
      </c>
      <c r="D376" s="15">
        <f>IF(Murid!E376="","",Murid!E376)</f>
        <v/>
      </c>
      <c r="E376" s="11" t="n"/>
      <c r="F376" s="11" t="n"/>
      <c r="G376" s="10">
        <f>IF(F376="","",IFERROR(VLOOKUP(F376,T_JKP,2,FALSE),0))</f>
        <v/>
      </c>
      <c r="H376" s="11" t="n"/>
      <c r="I376" s="17">
        <f>IF(H376="","",IF(H376&gt;=12,40,ROUND(H376*3.33,2)))</f>
        <v/>
      </c>
      <c r="J376" s="11" t="n"/>
      <c r="K376" s="11" t="n"/>
      <c r="L376" s="11" t="n"/>
      <c r="M376" s="11" t="n"/>
      <c r="N376" s="10">
        <f>IF(COUNTA(J376:M376)=0,"",MIN(10,SUMPRODUCT((COUNTIF(J376:M376,L_KOM)&gt;0)*S_KOM)))</f>
        <v/>
      </c>
      <c r="O376" s="11" t="n"/>
      <c r="P376" s="10">
        <f>IF(O376="","",IFERROR(VLOOKUP(O376,T_KHID,2,FALSE),0))</f>
        <v/>
      </c>
      <c r="Q376" s="11" t="n"/>
      <c r="R376" s="11" t="n"/>
      <c r="S376" s="10">
        <f>IF(AND(Q376="",R376=""),"",IFERROR(INDEX(T_LIBAT,MATCH(Q376,L_PER,0),MATCH(R376,L_JENIS,0)),0))</f>
        <v/>
      </c>
      <c r="T376" s="11" t="n"/>
      <c r="U376" s="11" t="n"/>
      <c r="V376" s="10">
        <f>IF(AND(T376="",U376=""),"",IFERROR(INDEX(T_CAPAI,MATCH(T376,L_PER,0),MATCH(U376,L_KED,0)),0))</f>
        <v/>
      </c>
      <c r="W376" s="17">
        <f>IF(OR(B376="",E376="",COUNTA(F376,H376,J376:M376,O376,Q376:R376,T376:U376)=0),"",SUM(G376,I376,N376,P376,S376,V376))</f>
        <v/>
      </c>
      <c r="X376" s="18">
        <f>IF(W376="","",IF(Murid!F376="TL","TL",ROUND(W376/110*100,2)))</f>
        <v/>
      </c>
    </row>
    <row r="377">
      <c r="A377" s="15">
        <f>Murid!A377</f>
        <v/>
      </c>
      <c r="B377" s="15">
        <f>IF(Murid!B377="","",Murid!B377)</f>
        <v/>
      </c>
      <c r="C377" s="16">
        <f>IF(Murid!C377="","",Murid!C377)</f>
        <v/>
      </c>
      <c r="D377" s="15">
        <f>IF(Murid!E377="","",Murid!E377)</f>
        <v/>
      </c>
      <c r="E377" s="11" t="n"/>
      <c r="F377" s="11" t="n"/>
      <c r="G377" s="10">
        <f>IF(F377="","",IFERROR(VLOOKUP(F377,T_JKP,2,FALSE),0))</f>
        <v/>
      </c>
      <c r="H377" s="11" t="n"/>
      <c r="I377" s="17">
        <f>IF(H377="","",IF(H377&gt;=12,40,ROUND(H377*3.33,2)))</f>
        <v/>
      </c>
      <c r="J377" s="11" t="n"/>
      <c r="K377" s="11" t="n"/>
      <c r="L377" s="11" t="n"/>
      <c r="M377" s="11" t="n"/>
      <c r="N377" s="10">
        <f>IF(COUNTA(J377:M377)=0,"",MIN(10,SUMPRODUCT((COUNTIF(J377:M377,L_KOM)&gt;0)*S_KOM)))</f>
        <v/>
      </c>
      <c r="O377" s="11" t="n"/>
      <c r="P377" s="10">
        <f>IF(O377="","",IFERROR(VLOOKUP(O377,T_KHID,2,FALSE),0))</f>
        <v/>
      </c>
      <c r="Q377" s="11" t="n"/>
      <c r="R377" s="11" t="n"/>
      <c r="S377" s="10">
        <f>IF(AND(Q377="",R377=""),"",IFERROR(INDEX(T_LIBAT,MATCH(Q377,L_PER,0),MATCH(R377,L_JENIS,0)),0))</f>
        <v/>
      </c>
      <c r="T377" s="11" t="n"/>
      <c r="U377" s="11" t="n"/>
      <c r="V377" s="10">
        <f>IF(AND(T377="",U377=""),"",IFERROR(INDEX(T_CAPAI,MATCH(T377,L_PER,0),MATCH(U377,L_KED,0)),0))</f>
        <v/>
      </c>
      <c r="W377" s="17">
        <f>IF(OR(B377="",E377="",COUNTA(F377,H377,J377:M377,O377,Q377:R377,T377:U377)=0),"",SUM(G377,I377,N377,P377,S377,V377))</f>
        <v/>
      </c>
      <c r="X377" s="18">
        <f>IF(W377="","",IF(Murid!F377="TL","TL",ROUND(W377/110*100,2)))</f>
        <v/>
      </c>
    </row>
    <row r="378">
      <c r="A378" s="15">
        <f>Murid!A378</f>
        <v/>
      </c>
      <c r="B378" s="15">
        <f>IF(Murid!B378="","",Murid!B378)</f>
        <v/>
      </c>
      <c r="C378" s="16">
        <f>IF(Murid!C378="","",Murid!C378)</f>
        <v/>
      </c>
      <c r="D378" s="15">
        <f>IF(Murid!E378="","",Murid!E378)</f>
        <v/>
      </c>
      <c r="E378" s="11" t="n"/>
      <c r="F378" s="11" t="n"/>
      <c r="G378" s="10">
        <f>IF(F378="","",IFERROR(VLOOKUP(F378,T_JKP,2,FALSE),0))</f>
        <v/>
      </c>
      <c r="H378" s="11" t="n"/>
      <c r="I378" s="17">
        <f>IF(H378="","",IF(H378&gt;=12,40,ROUND(H378*3.33,2)))</f>
        <v/>
      </c>
      <c r="J378" s="11" t="n"/>
      <c r="K378" s="11" t="n"/>
      <c r="L378" s="11" t="n"/>
      <c r="M378" s="11" t="n"/>
      <c r="N378" s="10">
        <f>IF(COUNTA(J378:M378)=0,"",MIN(10,SUMPRODUCT((COUNTIF(J378:M378,L_KOM)&gt;0)*S_KOM)))</f>
        <v/>
      </c>
      <c r="O378" s="11" t="n"/>
      <c r="P378" s="10">
        <f>IF(O378="","",IFERROR(VLOOKUP(O378,T_KHID,2,FALSE),0))</f>
        <v/>
      </c>
      <c r="Q378" s="11" t="n"/>
      <c r="R378" s="11" t="n"/>
      <c r="S378" s="10">
        <f>IF(AND(Q378="",R378=""),"",IFERROR(INDEX(T_LIBAT,MATCH(Q378,L_PER,0),MATCH(R378,L_JENIS,0)),0))</f>
        <v/>
      </c>
      <c r="T378" s="11" t="n"/>
      <c r="U378" s="11" t="n"/>
      <c r="V378" s="10">
        <f>IF(AND(T378="",U378=""),"",IFERROR(INDEX(T_CAPAI,MATCH(T378,L_PER,0),MATCH(U378,L_KED,0)),0))</f>
        <v/>
      </c>
      <c r="W378" s="17">
        <f>IF(OR(B378="",E378="",COUNTA(F378,H378,J378:M378,O378,Q378:R378,T378:U378)=0),"",SUM(G378,I378,N378,P378,S378,V378))</f>
        <v/>
      </c>
      <c r="X378" s="18">
        <f>IF(W378="","",IF(Murid!F378="TL","TL",ROUND(W378/110*100,2)))</f>
        <v/>
      </c>
    </row>
    <row r="379">
      <c r="A379" s="15">
        <f>Murid!A379</f>
        <v/>
      </c>
      <c r="B379" s="15">
        <f>IF(Murid!B379="","",Murid!B379)</f>
        <v/>
      </c>
      <c r="C379" s="16">
        <f>IF(Murid!C379="","",Murid!C379)</f>
        <v/>
      </c>
      <c r="D379" s="15">
        <f>IF(Murid!E379="","",Murid!E379)</f>
        <v/>
      </c>
      <c r="E379" s="11" t="n"/>
      <c r="F379" s="11" t="n"/>
      <c r="G379" s="10">
        <f>IF(F379="","",IFERROR(VLOOKUP(F379,T_JKP,2,FALSE),0))</f>
        <v/>
      </c>
      <c r="H379" s="11" t="n"/>
      <c r="I379" s="17">
        <f>IF(H379="","",IF(H379&gt;=12,40,ROUND(H379*3.33,2)))</f>
        <v/>
      </c>
      <c r="J379" s="11" t="n"/>
      <c r="K379" s="11" t="n"/>
      <c r="L379" s="11" t="n"/>
      <c r="M379" s="11" t="n"/>
      <c r="N379" s="10">
        <f>IF(COUNTA(J379:M379)=0,"",MIN(10,SUMPRODUCT((COUNTIF(J379:M379,L_KOM)&gt;0)*S_KOM)))</f>
        <v/>
      </c>
      <c r="O379" s="11" t="n"/>
      <c r="P379" s="10">
        <f>IF(O379="","",IFERROR(VLOOKUP(O379,T_KHID,2,FALSE),0))</f>
        <v/>
      </c>
      <c r="Q379" s="11" t="n"/>
      <c r="R379" s="11" t="n"/>
      <c r="S379" s="10">
        <f>IF(AND(Q379="",R379=""),"",IFERROR(INDEX(T_LIBAT,MATCH(Q379,L_PER,0),MATCH(R379,L_JENIS,0)),0))</f>
        <v/>
      </c>
      <c r="T379" s="11" t="n"/>
      <c r="U379" s="11" t="n"/>
      <c r="V379" s="10">
        <f>IF(AND(T379="",U379=""),"",IFERROR(INDEX(T_CAPAI,MATCH(T379,L_PER,0),MATCH(U379,L_KED,0)),0))</f>
        <v/>
      </c>
      <c r="W379" s="17">
        <f>IF(OR(B379="",E379="",COUNTA(F379,H379,J379:M379,O379,Q379:R379,T379:U379)=0),"",SUM(G379,I379,N379,P379,S379,V379))</f>
        <v/>
      </c>
      <c r="X379" s="18">
        <f>IF(W379="","",IF(Murid!F379="TL","TL",ROUND(W379/110*100,2)))</f>
        <v/>
      </c>
    </row>
    <row r="380">
      <c r="A380" s="15">
        <f>Murid!A380</f>
        <v/>
      </c>
      <c r="B380" s="15">
        <f>IF(Murid!B380="","",Murid!B380)</f>
        <v/>
      </c>
      <c r="C380" s="16">
        <f>IF(Murid!C380="","",Murid!C380)</f>
        <v/>
      </c>
      <c r="D380" s="15">
        <f>IF(Murid!E380="","",Murid!E380)</f>
        <v/>
      </c>
      <c r="E380" s="11" t="n"/>
      <c r="F380" s="11" t="n"/>
      <c r="G380" s="10">
        <f>IF(F380="","",IFERROR(VLOOKUP(F380,T_JKP,2,FALSE),0))</f>
        <v/>
      </c>
      <c r="H380" s="11" t="n"/>
      <c r="I380" s="17">
        <f>IF(H380="","",IF(H380&gt;=12,40,ROUND(H380*3.33,2)))</f>
        <v/>
      </c>
      <c r="J380" s="11" t="n"/>
      <c r="K380" s="11" t="n"/>
      <c r="L380" s="11" t="n"/>
      <c r="M380" s="11" t="n"/>
      <c r="N380" s="10">
        <f>IF(COUNTA(J380:M380)=0,"",MIN(10,SUMPRODUCT((COUNTIF(J380:M380,L_KOM)&gt;0)*S_KOM)))</f>
        <v/>
      </c>
      <c r="O380" s="11" t="n"/>
      <c r="P380" s="10">
        <f>IF(O380="","",IFERROR(VLOOKUP(O380,T_KHID,2,FALSE),0))</f>
        <v/>
      </c>
      <c r="Q380" s="11" t="n"/>
      <c r="R380" s="11" t="n"/>
      <c r="S380" s="10">
        <f>IF(AND(Q380="",R380=""),"",IFERROR(INDEX(T_LIBAT,MATCH(Q380,L_PER,0),MATCH(R380,L_JENIS,0)),0))</f>
        <v/>
      </c>
      <c r="T380" s="11" t="n"/>
      <c r="U380" s="11" t="n"/>
      <c r="V380" s="10">
        <f>IF(AND(T380="",U380=""),"",IFERROR(INDEX(T_CAPAI,MATCH(T380,L_PER,0),MATCH(U380,L_KED,0)),0))</f>
        <v/>
      </c>
      <c r="W380" s="17">
        <f>IF(OR(B380="",E380="",COUNTA(F380,H380,J380:M380,O380,Q380:R380,T380:U380)=0),"",SUM(G380,I380,N380,P380,S380,V380))</f>
        <v/>
      </c>
      <c r="X380" s="18">
        <f>IF(W380="","",IF(Murid!F380="TL","TL",ROUND(W380/110*100,2)))</f>
        <v/>
      </c>
    </row>
    <row r="381">
      <c r="A381" s="15">
        <f>Murid!A381</f>
        <v/>
      </c>
      <c r="B381" s="15">
        <f>IF(Murid!B381="","",Murid!B381)</f>
        <v/>
      </c>
      <c r="C381" s="16">
        <f>IF(Murid!C381="","",Murid!C381)</f>
        <v/>
      </c>
      <c r="D381" s="15">
        <f>IF(Murid!E381="","",Murid!E381)</f>
        <v/>
      </c>
      <c r="E381" s="11" t="n"/>
      <c r="F381" s="11" t="n"/>
      <c r="G381" s="10">
        <f>IF(F381="","",IFERROR(VLOOKUP(F381,T_JKP,2,FALSE),0))</f>
        <v/>
      </c>
      <c r="H381" s="11" t="n"/>
      <c r="I381" s="17">
        <f>IF(H381="","",IF(H381&gt;=12,40,ROUND(H381*3.33,2)))</f>
        <v/>
      </c>
      <c r="J381" s="11" t="n"/>
      <c r="K381" s="11" t="n"/>
      <c r="L381" s="11" t="n"/>
      <c r="M381" s="11" t="n"/>
      <c r="N381" s="10">
        <f>IF(COUNTA(J381:M381)=0,"",MIN(10,SUMPRODUCT((COUNTIF(J381:M381,L_KOM)&gt;0)*S_KOM)))</f>
        <v/>
      </c>
      <c r="O381" s="11" t="n"/>
      <c r="P381" s="10">
        <f>IF(O381="","",IFERROR(VLOOKUP(O381,T_KHID,2,FALSE),0))</f>
        <v/>
      </c>
      <c r="Q381" s="11" t="n"/>
      <c r="R381" s="11" t="n"/>
      <c r="S381" s="10">
        <f>IF(AND(Q381="",R381=""),"",IFERROR(INDEX(T_LIBAT,MATCH(Q381,L_PER,0),MATCH(R381,L_JENIS,0)),0))</f>
        <v/>
      </c>
      <c r="T381" s="11" t="n"/>
      <c r="U381" s="11" t="n"/>
      <c r="V381" s="10">
        <f>IF(AND(T381="",U381=""),"",IFERROR(INDEX(T_CAPAI,MATCH(T381,L_PER,0),MATCH(U381,L_KED,0)),0))</f>
        <v/>
      </c>
      <c r="W381" s="17">
        <f>IF(OR(B381="",E381="",COUNTA(F381,H381,J381:M381,O381,Q381:R381,T381:U381)=0),"",SUM(G381,I381,N381,P381,S381,V381))</f>
        <v/>
      </c>
      <c r="X381" s="18">
        <f>IF(W381="","",IF(Murid!F381="TL","TL",ROUND(W381/110*100,2)))</f>
        <v/>
      </c>
    </row>
    <row r="382">
      <c r="A382" s="15">
        <f>Murid!A382</f>
        <v/>
      </c>
      <c r="B382" s="15">
        <f>IF(Murid!B382="","",Murid!B382)</f>
        <v/>
      </c>
      <c r="C382" s="16">
        <f>IF(Murid!C382="","",Murid!C382)</f>
        <v/>
      </c>
      <c r="D382" s="15">
        <f>IF(Murid!E382="","",Murid!E382)</f>
        <v/>
      </c>
      <c r="E382" s="11" t="n"/>
      <c r="F382" s="11" t="n"/>
      <c r="G382" s="10">
        <f>IF(F382="","",IFERROR(VLOOKUP(F382,T_JKP,2,FALSE),0))</f>
        <v/>
      </c>
      <c r="H382" s="11" t="n"/>
      <c r="I382" s="17">
        <f>IF(H382="","",IF(H382&gt;=12,40,ROUND(H382*3.33,2)))</f>
        <v/>
      </c>
      <c r="J382" s="11" t="n"/>
      <c r="K382" s="11" t="n"/>
      <c r="L382" s="11" t="n"/>
      <c r="M382" s="11" t="n"/>
      <c r="N382" s="10">
        <f>IF(COUNTA(J382:M382)=0,"",MIN(10,SUMPRODUCT((COUNTIF(J382:M382,L_KOM)&gt;0)*S_KOM)))</f>
        <v/>
      </c>
      <c r="O382" s="11" t="n"/>
      <c r="P382" s="10">
        <f>IF(O382="","",IFERROR(VLOOKUP(O382,T_KHID,2,FALSE),0))</f>
        <v/>
      </c>
      <c r="Q382" s="11" t="n"/>
      <c r="R382" s="11" t="n"/>
      <c r="S382" s="10">
        <f>IF(AND(Q382="",R382=""),"",IFERROR(INDEX(T_LIBAT,MATCH(Q382,L_PER,0),MATCH(R382,L_JENIS,0)),0))</f>
        <v/>
      </c>
      <c r="T382" s="11" t="n"/>
      <c r="U382" s="11" t="n"/>
      <c r="V382" s="10">
        <f>IF(AND(T382="",U382=""),"",IFERROR(INDEX(T_CAPAI,MATCH(T382,L_PER,0),MATCH(U382,L_KED,0)),0))</f>
        <v/>
      </c>
      <c r="W382" s="17">
        <f>IF(OR(B382="",E382="",COUNTA(F382,H382,J382:M382,O382,Q382:R382,T382:U382)=0),"",SUM(G382,I382,N382,P382,S382,V382))</f>
        <v/>
      </c>
      <c r="X382" s="18">
        <f>IF(W382="","",IF(Murid!F382="TL","TL",ROUND(W382/110*100,2)))</f>
        <v/>
      </c>
    </row>
    <row r="383">
      <c r="A383" s="15">
        <f>Murid!A383</f>
        <v/>
      </c>
      <c r="B383" s="15">
        <f>IF(Murid!B383="","",Murid!B383)</f>
        <v/>
      </c>
      <c r="C383" s="16">
        <f>IF(Murid!C383="","",Murid!C383)</f>
        <v/>
      </c>
      <c r="D383" s="15">
        <f>IF(Murid!E383="","",Murid!E383)</f>
        <v/>
      </c>
      <c r="E383" s="11" t="n"/>
      <c r="F383" s="11" t="n"/>
      <c r="G383" s="10">
        <f>IF(F383="","",IFERROR(VLOOKUP(F383,T_JKP,2,FALSE),0))</f>
        <v/>
      </c>
      <c r="H383" s="11" t="n"/>
      <c r="I383" s="17">
        <f>IF(H383="","",IF(H383&gt;=12,40,ROUND(H383*3.33,2)))</f>
        <v/>
      </c>
      <c r="J383" s="11" t="n"/>
      <c r="K383" s="11" t="n"/>
      <c r="L383" s="11" t="n"/>
      <c r="M383" s="11" t="n"/>
      <c r="N383" s="10">
        <f>IF(COUNTA(J383:M383)=0,"",MIN(10,SUMPRODUCT((COUNTIF(J383:M383,L_KOM)&gt;0)*S_KOM)))</f>
        <v/>
      </c>
      <c r="O383" s="11" t="n"/>
      <c r="P383" s="10">
        <f>IF(O383="","",IFERROR(VLOOKUP(O383,T_KHID,2,FALSE),0))</f>
        <v/>
      </c>
      <c r="Q383" s="11" t="n"/>
      <c r="R383" s="11" t="n"/>
      <c r="S383" s="10">
        <f>IF(AND(Q383="",R383=""),"",IFERROR(INDEX(T_LIBAT,MATCH(Q383,L_PER,0),MATCH(R383,L_JENIS,0)),0))</f>
        <v/>
      </c>
      <c r="T383" s="11" t="n"/>
      <c r="U383" s="11" t="n"/>
      <c r="V383" s="10">
        <f>IF(AND(T383="",U383=""),"",IFERROR(INDEX(T_CAPAI,MATCH(T383,L_PER,0),MATCH(U383,L_KED,0)),0))</f>
        <v/>
      </c>
      <c r="W383" s="17">
        <f>IF(OR(B383="",E383="",COUNTA(F383,H383,J383:M383,O383,Q383:R383,T383:U383)=0),"",SUM(G383,I383,N383,P383,S383,V383))</f>
        <v/>
      </c>
      <c r="X383" s="18">
        <f>IF(W383="","",IF(Murid!F383="TL","TL",ROUND(W383/110*100,2)))</f>
        <v/>
      </c>
    </row>
    <row r="384">
      <c r="A384" s="15">
        <f>Murid!A384</f>
        <v/>
      </c>
      <c r="B384" s="15">
        <f>IF(Murid!B384="","",Murid!B384)</f>
        <v/>
      </c>
      <c r="C384" s="16">
        <f>IF(Murid!C384="","",Murid!C384)</f>
        <v/>
      </c>
      <c r="D384" s="15">
        <f>IF(Murid!E384="","",Murid!E384)</f>
        <v/>
      </c>
      <c r="E384" s="11" t="n"/>
      <c r="F384" s="11" t="n"/>
      <c r="G384" s="10">
        <f>IF(F384="","",IFERROR(VLOOKUP(F384,T_JKP,2,FALSE),0))</f>
        <v/>
      </c>
      <c r="H384" s="11" t="n"/>
      <c r="I384" s="17">
        <f>IF(H384="","",IF(H384&gt;=12,40,ROUND(H384*3.33,2)))</f>
        <v/>
      </c>
      <c r="J384" s="11" t="n"/>
      <c r="K384" s="11" t="n"/>
      <c r="L384" s="11" t="n"/>
      <c r="M384" s="11" t="n"/>
      <c r="N384" s="10">
        <f>IF(COUNTA(J384:M384)=0,"",MIN(10,SUMPRODUCT((COUNTIF(J384:M384,L_KOM)&gt;0)*S_KOM)))</f>
        <v/>
      </c>
      <c r="O384" s="11" t="n"/>
      <c r="P384" s="10">
        <f>IF(O384="","",IFERROR(VLOOKUP(O384,T_KHID,2,FALSE),0))</f>
        <v/>
      </c>
      <c r="Q384" s="11" t="n"/>
      <c r="R384" s="11" t="n"/>
      <c r="S384" s="10">
        <f>IF(AND(Q384="",R384=""),"",IFERROR(INDEX(T_LIBAT,MATCH(Q384,L_PER,0),MATCH(R384,L_JENIS,0)),0))</f>
        <v/>
      </c>
      <c r="T384" s="11" t="n"/>
      <c r="U384" s="11" t="n"/>
      <c r="V384" s="10">
        <f>IF(AND(T384="",U384=""),"",IFERROR(INDEX(T_CAPAI,MATCH(T384,L_PER,0),MATCH(U384,L_KED,0)),0))</f>
        <v/>
      </c>
      <c r="W384" s="17">
        <f>IF(OR(B384="",E384="",COUNTA(F384,H384,J384:M384,O384,Q384:R384,T384:U384)=0),"",SUM(G384,I384,N384,P384,S384,V384))</f>
        <v/>
      </c>
      <c r="X384" s="18">
        <f>IF(W384="","",IF(Murid!F384="TL","TL",ROUND(W384/110*100,2)))</f>
        <v/>
      </c>
    </row>
    <row r="385">
      <c r="A385" s="15">
        <f>Murid!A385</f>
        <v/>
      </c>
      <c r="B385" s="15">
        <f>IF(Murid!B385="","",Murid!B385)</f>
        <v/>
      </c>
      <c r="C385" s="16">
        <f>IF(Murid!C385="","",Murid!C385)</f>
        <v/>
      </c>
      <c r="D385" s="15">
        <f>IF(Murid!E385="","",Murid!E385)</f>
        <v/>
      </c>
      <c r="E385" s="11" t="n"/>
      <c r="F385" s="11" t="n"/>
      <c r="G385" s="10">
        <f>IF(F385="","",IFERROR(VLOOKUP(F385,T_JKP,2,FALSE),0))</f>
        <v/>
      </c>
      <c r="H385" s="11" t="n"/>
      <c r="I385" s="17">
        <f>IF(H385="","",IF(H385&gt;=12,40,ROUND(H385*3.33,2)))</f>
        <v/>
      </c>
      <c r="J385" s="11" t="n"/>
      <c r="K385" s="11" t="n"/>
      <c r="L385" s="11" t="n"/>
      <c r="M385" s="11" t="n"/>
      <c r="N385" s="10">
        <f>IF(COUNTA(J385:M385)=0,"",MIN(10,SUMPRODUCT((COUNTIF(J385:M385,L_KOM)&gt;0)*S_KOM)))</f>
        <v/>
      </c>
      <c r="O385" s="11" t="n"/>
      <c r="P385" s="10">
        <f>IF(O385="","",IFERROR(VLOOKUP(O385,T_KHID,2,FALSE),0))</f>
        <v/>
      </c>
      <c r="Q385" s="11" t="n"/>
      <c r="R385" s="11" t="n"/>
      <c r="S385" s="10">
        <f>IF(AND(Q385="",R385=""),"",IFERROR(INDEX(T_LIBAT,MATCH(Q385,L_PER,0),MATCH(R385,L_JENIS,0)),0))</f>
        <v/>
      </c>
      <c r="T385" s="11" t="n"/>
      <c r="U385" s="11" t="n"/>
      <c r="V385" s="10">
        <f>IF(AND(T385="",U385=""),"",IFERROR(INDEX(T_CAPAI,MATCH(T385,L_PER,0),MATCH(U385,L_KED,0)),0))</f>
        <v/>
      </c>
      <c r="W385" s="17">
        <f>IF(OR(B385="",E385="",COUNTA(F385,H385,J385:M385,O385,Q385:R385,T385:U385)=0),"",SUM(G385,I385,N385,P385,S385,V385))</f>
        <v/>
      </c>
      <c r="X385" s="18">
        <f>IF(W385="","",IF(Murid!F385="TL","TL",ROUND(W385/110*100,2)))</f>
        <v/>
      </c>
    </row>
    <row r="386">
      <c r="A386" s="15">
        <f>Murid!A386</f>
        <v/>
      </c>
      <c r="B386" s="15">
        <f>IF(Murid!B386="","",Murid!B386)</f>
        <v/>
      </c>
      <c r="C386" s="16">
        <f>IF(Murid!C386="","",Murid!C386)</f>
        <v/>
      </c>
      <c r="D386" s="15">
        <f>IF(Murid!E386="","",Murid!E386)</f>
        <v/>
      </c>
      <c r="E386" s="11" t="n"/>
      <c r="F386" s="11" t="n"/>
      <c r="G386" s="10">
        <f>IF(F386="","",IFERROR(VLOOKUP(F386,T_JKP,2,FALSE),0))</f>
        <v/>
      </c>
      <c r="H386" s="11" t="n"/>
      <c r="I386" s="17">
        <f>IF(H386="","",IF(H386&gt;=12,40,ROUND(H386*3.33,2)))</f>
        <v/>
      </c>
      <c r="J386" s="11" t="n"/>
      <c r="K386" s="11" t="n"/>
      <c r="L386" s="11" t="n"/>
      <c r="M386" s="11" t="n"/>
      <c r="N386" s="10">
        <f>IF(COUNTA(J386:M386)=0,"",MIN(10,SUMPRODUCT((COUNTIF(J386:M386,L_KOM)&gt;0)*S_KOM)))</f>
        <v/>
      </c>
      <c r="O386" s="11" t="n"/>
      <c r="P386" s="10">
        <f>IF(O386="","",IFERROR(VLOOKUP(O386,T_KHID,2,FALSE),0))</f>
        <v/>
      </c>
      <c r="Q386" s="11" t="n"/>
      <c r="R386" s="11" t="n"/>
      <c r="S386" s="10">
        <f>IF(AND(Q386="",R386=""),"",IFERROR(INDEX(T_LIBAT,MATCH(Q386,L_PER,0),MATCH(R386,L_JENIS,0)),0))</f>
        <v/>
      </c>
      <c r="T386" s="11" t="n"/>
      <c r="U386" s="11" t="n"/>
      <c r="V386" s="10">
        <f>IF(AND(T386="",U386=""),"",IFERROR(INDEX(T_CAPAI,MATCH(T386,L_PER,0),MATCH(U386,L_KED,0)),0))</f>
        <v/>
      </c>
      <c r="W386" s="17">
        <f>IF(OR(B386="",E386="",COUNTA(F386,H386,J386:M386,O386,Q386:R386,T386:U386)=0),"",SUM(G386,I386,N386,P386,S386,V386))</f>
        <v/>
      </c>
      <c r="X386" s="18">
        <f>IF(W386="","",IF(Murid!F386="TL","TL",ROUND(W386/110*100,2)))</f>
        <v/>
      </c>
    </row>
    <row r="387">
      <c r="A387" s="15">
        <f>Murid!A387</f>
        <v/>
      </c>
      <c r="B387" s="15">
        <f>IF(Murid!B387="","",Murid!B387)</f>
        <v/>
      </c>
      <c r="C387" s="16">
        <f>IF(Murid!C387="","",Murid!C387)</f>
        <v/>
      </c>
      <c r="D387" s="15">
        <f>IF(Murid!E387="","",Murid!E387)</f>
        <v/>
      </c>
      <c r="E387" s="11" t="n"/>
      <c r="F387" s="11" t="n"/>
      <c r="G387" s="10">
        <f>IF(F387="","",IFERROR(VLOOKUP(F387,T_JKP,2,FALSE),0))</f>
        <v/>
      </c>
      <c r="H387" s="11" t="n"/>
      <c r="I387" s="17">
        <f>IF(H387="","",IF(H387&gt;=12,40,ROUND(H387*3.33,2)))</f>
        <v/>
      </c>
      <c r="J387" s="11" t="n"/>
      <c r="K387" s="11" t="n"/>
      <c r="L387" s="11" t="n"/>
      <c r="M387" s="11" t="n"/>
      <c r="N387" s="10">
        <f>IF(COUNTA(J387:M387)=0,"",MIN(10,SUMPRODUCT((COUNTIF(J387:M387,L_KOM)&gt;0)*S_KOM)))</f>
        <v/>
      </c>
      <c r="O387" s="11" t="n"/>
      <c r="P387" s="10">
        <f>IF(O387="","",IFERROR(VLOOKUP(O387,T_KHID,2,FALSE),0))</f>
        <v/>
      </c>
      <c r="Q387" s="11" t="n"/>
      <c r="R387" s="11" t="n"/>
      <c r="S387" s="10">
        <f>IF(AND(Q387="",R387=""),"",IFERROR(INDEX(T_LIBAT,MATCH(Q387,L_PER,0),MATCH(R387,L_JENIS,0)),0))</f>
        <v/>
      </c>
      <c r="T387" s="11" t="n"/>
      <c r="U387" s="11" t="n"/>
      <c r="V387" s="10">
        <f>IF(AND(T387="",U387=""),"",IFERROR(INDEX(T_CAPAI,MATCH(T387,L_PER,0),MATCH(U387,L_KED,0)),0))</f>
        <v/>
      </c>
      <c r="W387" s="17">
        <f>IF(OR(B387="",E387="",COUNTA(F387,H387,J387:M387,O387,Q387:R387,T387:U387)=0),"",SUM(G387,I387,N387,P387,S387,V387))</f>
        <v/>
      </c>
      <c r="X387" s="18">
        <f>IF(W387="","",IF(Murid!F387="TL","TL",ROUND(W387/110*100,2)))</f>
        <v/>
      </c>
    </row>
    <row r="388">
      <c r="A388" s="15">
        <f>Murid!A388</f>
        <v/>
      </c>
      <c r="B388" s="15">
        <f>IF(Murid!B388="","",Murid!B388)</f>
        <v/>
      </c>
      <c r="C388" s="16">
        <f>IF(Murid!C388="","",Murid!C388)</f>
        <v/>
      </c>
      <c r="D388" s="15">
        <f>IF(Murid!E388="","",Murid!E388)</f>
        <v/>
      </c>
      <c r="E388" s="11" t="n"/>
      <c r="F388" s="11" t="n"/>
      <c r="G388" s="10">
        <f>IF(F388="","",IFERROR(VLOOKUP(F388,T_JKP,2,FALSE),0))</f>
        <v/>
      </c>
      <c r="H388" s="11" t="n"/>
      <c r="I388" s="17">
        <f>IF(H388="","",IF(H388&gt;=12,40,ROUND(H388*3.33,2)))</f>
        <v/>
      </c>
      <c r="J388" s="11" t="n"/>
      <c r="K388" s="11" t="n"/>
      <c r="L388" s="11" t="n"/>
      <c r="M388" s="11" t="n"/>
      <c r="N388" s="10">
        <f>IF(COUNTA(J388:M388)=0,"",MIN(10,SUMPRODUCT((COUNTIF(J388:M388,L_KOM)&gt;0)*S_KOM)))</f>
        <v/>
      </c>
      <c r="O388" s="11" t="n"/>
      <c r="P388" s="10">
        <f>IF(O388="","",IFERROR(VLOOKUP(O388,T_KHID,2,FALSE),0))</f>
        <v/>
      </c>
      <c r="Q388" s="11" t="n"/>
      <c r="R388" s="11" t="n"/>
      <c r="S388" s="10">
        <f>IF(AND(Q388="",R388=""),"",IFERROR(INDEX(T_LIBAT,MATCH(Q388,L_PER,0),MATCH(R388,L_JENIS,0)),0))</f>
        <v/>
      </c>
      <c r="T388" s="11" t="n"/>
      <c r="U388" s="11" t="n"/>
      <c r="V388" s="10">
        <f>IF(AND(T388="",U388=""),"",IFERROR(INDEX(T_CAPAI,MATCH(T388,L_PER,0),MATCH(U388,L_KED,0)),0))</f>
        <v/>
      </c>
      <c r="W388" s="17">
        <f>IF(OR(B388="",E388="",COUNTA(F388,H388,J388:M388,O388,Q388:R388,T388:U388)=0),"",SUM(G388,I388,N388,P388,S388,V388))</f>
        <v/>
      </c>
      <c r="X388" s="18">
        <f>IF(W388="","",IF(Murid!F388="TL","TL",ROUND(W388/110*100,2)))</f>
        <v/>
      </c>
    </row>
    <row r="389">
      <c r="A389" s="15">
        <f>Murid!A389</f>
        <v/>
      </c>
      <c r="B389" s="15">
        <f>IF(Murid!B389="","",Murid!B389)</f>
        <v/>
      </c>
      <c r="C389" s="16">
        <f>IF(Murid!C389="","",Murid!C389)</f>
        <v/>
      </c>
      <c r="D389" s="15">
        <f>IF(Murid!E389="","",Murid!E389)</f>
        <v/>
      </c>
      <c r="E389" s="11" t="n"/>
      <c r="F389" s="11" t="n"/>
      <c r="G389" s="10">
        <f>IF(F389="","",IFERROR(VLOOKUP(F389,T_JKP,2,FALSE),0))</f>
        <v/>
      </c>
      <c r="H389" s="11" t="n"/>
      <c r="I389" s="17">
        <f>IF(H389="","",IF(H389&gt;=12,40,ROUND(H389*3.33,2)))</f>
        <v/>
      </c>
      <c r="J389" s="11" t="n"/>
      <c r="K389" s="11" t="n"/>
      <c r="L389" s="11" t="n"/>
      <c r="M389" s="11" t="n"/>
      <c r="N389" s="10">
        <f>IF(COUNTA(J389:M389)=0,"",MIN(10,SUMPRODUCT((COUNTIF(J389:M389,L_KOM)&gt;0)*S_KOM)))</f>
        <v/>
      </c>
      <c r="O389" s="11" t="n"/>
      <c r="P389" s="10">
        <f>IF(O389="","",IFERROR(VLOOKUP(O389,T_KHID,2,FALSE),0))</f>
        <v/>
      </c>
      <c r="Q389" s="11" t="n"/>
      <c r="R389" s="11" t="n"/>
      <c r="S389" s="10">
        <f>IF(AND(Q389="",R389=""),"",IFERROR(INDEX(T_LIBAT,MATCH(Q389,L_PER,0),MATCH(R389,L_JENIS,0)),0))</f>
        <v/>
      </c>
      <c r="T389" s="11" t="n"/>
      <c r="U389" s="11" t="n"/>
      <c r="V389" s="10">
        <f>IF(AND(T389="",U389=""),"",IFERROR(INDEX(T_CAPAI,MATCH(T389,L_PER,0),MATCH(U389,L_KED,0)),0))</f>
        <v/>
      </c>
      <c r="W389" s="17">
        <f>IF(OR(B389="",E389="",COUNTA(F389,H389,J389:M389,O389,Q389:R389,T389:U389)=0),"",SUM(G389,I389,N389,P389,S389,V389))</f>
        <v/>
      </c>
      <c r="X389" s="18">
        <f>IF(W389="","",IF(Murid!F389="TL","TL",ROUND(W389/110*100,2)))</f>
        <v/>
      </c>
    </row>
    <row r="390">
      <c r="A390" s="15">
        <f>Murid!A390</f>
        <v/>
      </c>
      <c r="B390" s="15">
        <f>IF(Murid!B390="","",Murid!B390)</f>
        <v/>
      </c>
      <c r="C390" s="16">
        <f>IF(Murid!C390="","",Murid!C390)</f>
        <v/>
      </c>
      <c r="D390" s="15">
        <f>IF(Murid!E390="","",Murid!E390)</f>
        <v/>
      </c>
      <c r="E390" s="11" t="n"/>
      <c r="F390" s="11" t="n"/>
      <c r="G390" s="10">
        <f>IF(F390="","",IFERROR(VLOOKUP(F390,T_JKP,2,FALSE),0))</f>
        <v/>
      </c>
      <c r="H390" s="11" t="n"/>
      <c r="I390" s="17">
        <f>IF(H390="","",IF(H390&gt;=12,40,ROUND(H390*3.33,2)))</f>
        <v/>
      </c>
      <c r="J390" s="11" t="n"/>
      <c r="K390" s="11" t="n"/>
      <c r="L390" s="11" t="n"/>
      <c r="M390" s="11" t="n"/>
      <c r="N390" s="10">
        <f>IF(COUNTA(J390:M390)=0,"",MIN(10,SUMPRODUCT((COUNTIF(J390:M390,L_KOM)&gt;0)*S_KOM)))</f>
        <v/>
      </c>
      <c r="O390" s="11" t="n"/>
      <c r="P390" s="10">
        <f>IF(O390="","",IFERROR(VLOOKUP(O390,T_KHID,2,FALSE),0))</f>
        <v/>
      </c>
      <c r="Q390" s="11" t="n"/>
      <c r="R390" s="11" t="n"/>
      <c r="S390" s="10">
        <f>IF(AND(Q390="",R390=""),"",IFERROR(INDEX(T_LIBAT,MATCH(Q390,L_PER,0),MATCH(R390,L_JENIS,0)),0))</f>
        <v/>
      </c>
      <c r="T390" s="11" t="n"/>
      <c r="U390" s="11" t="n"/>
      <c r="V390" s="10">
        <f>IF(AND(T390="",U390=""),"",IFERROR(INDEX(T_CAPAI,MATCH(T390,L_PER,0),MATCH(U390,L_KED,0)),0))</f>
        <v/>
      </c>
      <c r="W390" s="17">
        <f>IF(OR(B390="",E390="",COUNTA(F390,H390,J390:M390,O390,Q390:R390,T390:U390)=0),"",SUM(G390,I390,N390,P390,S390,V390))</f>
        <v/>
      </c>
      <c r="X390" s="18">
        <f>IF(W390="","",IF(Murid!F390="TL","TL",ROUND(W390/110*100,2)))</f>
        <v/>
      </c>
    </row>
    <row r="391">
      <c r="A391" s="15">
        <f>Murid!A391</f>
        <v/>
      </c>
      <c r="B391" s="15">
        <f>IF(Murid!B391="","",Murid!B391)</f>
        <v/>
      </c>
      <c r="C391" s="16">
        <f>IF(Murid!C391="","",Murid!C391)</f>
        <v/>
      </c>
      <c r="D391" s="15">
        <f>IF(Murid!E391="","",Murid!E391)</f>
        <v/>
      </c>
      <c r="E391" s="11" t="n"/>
      <c r="F391" s="11" t="n"/>
      <c r="G391" s="10">
        <f>IF(F391="","",IFERROR(VLOOKUP(F391,T_JKP,2,FALSE),0))</f>
        <v/>
      </c>
      <c r="H391" s="11" t="n"/>
      <c r="I391" s="17">
        <f>IF(H391="","",IF(H391&gt;=12,40,ROUND(H391*3.33,2)))</f>
        <v/>
      </c>
      <c r="J391" s="11" t="n"/>
      <c r="K391" s="11" t="n"/>
      <c r="L391" s="11" t="n"/>
      <c r="M391" s="11" t="n"/>
      <c r="N391" s="10">
        <f>IF(COUNTA(J391:M391)=0,"",MIN(10,SUMPRODUCT((COUNTIF(J391:M391,L_KOM)&gt;0)*S_KOM)))</f>
        <v/>
      </c>
      <c r="O391" s="11" t="n"/>
      <c r="P391" s="10">
        <f>IF(O391="","",IFERROR(VLOOKUP(O391,T_KHID,2,FALSE),0))</f>
        <v/>
      </c>
      <c r="Q391" s="11" t="n"/>
      <c r="R391" s="11" t="n"/>
      <c r="S391" s="10">
        <f>IF(AND(Q391="",R391=""),"",IFERROR(INDEX(T_LIBAT,MATCH(Q391,L_PER,0),MATCH(R391,L_JENIS,0)),0))</f>
        <v/>
      </c>
      <c r="T391" s="11" t="n"/>
      <c r="U391" s="11" t="n"/>
      <c r="V391" s="10">
        <f>IF(AND(T391="",U391=""),"",IFERROR(INDEX(T_CAPAI,MATCH(T391,L_PER,0),MATCH(U391,L_KED,0)),0))</f>
        <v/>
      </c>
      <c r="W391" s="17">
        <f>IF(OR(B391="",E391="",COUNTA(F391,H391,J391:M391,O391,Q391:R391,T391:U391)=0),"",SUM(G391,I391,N391,P391,S391,V391))</f>
        <v/>
      </c>
      <c r="X391" s="18">
        <f>IF(W391="","",IF(Murid!F391="TL","TL",ROUND(W391/110*100,2)))</f>
        <v/>
      </c>
    </row>
    <row r="392">
      <c r="A392" s="15">
        <f>Murid!A392</f>
        <v/>
      </c>
      <c r="B392" s="15">
        <f>IF(Murid!B392="","",Murid!B392)</f>
        <v/>
      </c>
      <c r="C392" s="16">
        <f>IF(Murid!C392="","",Murid!C392)</f>
        <v/>
      </c>
      <c r="D392" s="15">
        <f>IF(Murid!E392="","",Murid!E392)</f>
        <v/>
      </c>
      <c r="E392" s="11" t="n"/>
      <c r="F392" s="11" t="n"/>
      <c r="G392" s="10">
        <f>IF(F392="","",IFERROR(VLOOKUP(F392,T_JKP,2,FALSE),0))</f>
        <v/>
      </c>
      <c r="H392" s="11" t="n"/>
      <c r="I392" s="17">
        <f>IF(H392="","",IF(H392&gt;=12,40,ROUND(H392*3.33,2)))</f>
        <v/>
      </c>
      <c r="J392" s="11" t="n"/>
      <c r="K392" s="11" t="n"/>
      <c r="L392" s="11" t="n"/>
      <c r="M392" s="11" t="n"/>
      <c r="N392" s="10">
        <f>IF(COUNTA(J392:M392)=0,"",MIN(10,SUMPRODUCT((COUNTIF(J392:M392,L_KOM)&gt;0)*S_KOM)))</f>
        <v/>
      </c>
      <c r="O392" s="11" t="n"/>
      <c r="P392" s="10">
        <f>IF(O392="","",IFERROR(VLOOKUP(O392,T_KHID,2,FALSE),0))</f>
        <v/>
      </c>
      <c r="Q392" s="11" t="n"/>
      <c r="R392" s="11" t="n"/>
      <c r="S392" s="10">
        <f>IF(AND(Q392="",R392=""),"",IFERROR(INDEX(T_LIBAT,MATCH(Q392,L_PER,0),MATCH(R392,L_JENIS,0)),0))</f>
        <v/>
      </c>
      <c r="T392" s="11" t="n"/>
      <c r="U392" s="11" t="n"/>
      <c r="V392" s="10">
        <f>IF(AND(T392="",U392=""),"",IFERROR(INDEX(T_CAPAI,MATCH(T392,L_PER,0),MATCH(U392,L_KED,0)),0))</f>
        <v/>
      </c>
      <c r="W392" s="17">
        <f>IF(OR(B392="",E392="",COUNTA(F392,H392,J392:M392,O392,Q392:R392,T392:U392)=0),"",SUM(G392,I392,N392,P392,S392,V392))</f>
        <v/>
      </c>
      <c r="X392" s="18">
        <f>IF(W392="","",IF(Murid!F392="TL","TL",ROUND(W392/110*100,2)))</f>
        <v/>
      </c>
    </row>
    <row r="393">
      <c r="A393" s="15">
        <f>Murid!A393</f>
        <v/>
      </c>
      <c r="B393" s="15">
        <f>IF(Murid!B393="","",Murid!B393)</f>
        <v/>
      </c>
      <c r="C393" s="16">
        <f>IF(Murid!C393="","",Murid!C393)</f>
        <v/>
      </c>
      <c r="D393" s="15">
        <f>IF(Murid!E393="","",Murid!E393)</f>
        <v/>
      </c>
      <c r="E393" s="11" t="n"/>
      <c r="F393" s="11" t="n"/>
      <c r="G393" s="10">
        <f>IF(F393="","",IFERROR(VLOOKUP(F393,T_JKP,2,FALSE),0))</f>
        <v/>
      </c>
      <c r="H393" s="11" t="n"/>
      <c r="I393" s="17">
        <f>IF(H393="","",IF(H393&gt;=12,40,ROUND(H393*3.33,2)))</f>
        <v/>
      </c>
      <c r="J393" s="11" t="n"/>
      <c r="K393" s="11" t="n"/>
      <c r="L393" s="11" t="n"/>
      <c r="M393" s="11" t="n"/>
      <c r="N393" s="10">
        <f>IF(COUNTA(J393:M393)=0,"",MIN(10,SUMPRODUCT((COUNTIF(J393:M393,L_KOM)&gt;0)*S_KOM)))</f>
        <v/>
      </c>
      <c r="O393" s="11" t="n"/>
      <c r="P393" s="10">
        <f>IF(O393="","",IFERROR(VLOOKUP(O393,T_KHID,2,FALSE),0))</f>
        <v/>
      </c>
      <c r="Q393" s="11" t="n"/>
      <c r="R393" s="11" t="n"/>
      <c r="S393" s="10">
        <f>IF(AND(Q393="",R393=""),"",IFERROR(INDEX(T_LIBAT,MATCH(Q393,L_PER,0),MATCH(R393,L_JENIS,0)),0))</f>
        <v/>
      </c>
      <c r="T393" s="11" t="n"/>
      <c r="U393" s="11" t="n"/>
      <c r="V393" s="10">
        <f>IF(AND(T393="",U393=""),"",IFERROR(INDEX(T_CAPAI,MATCH(T393,L_PER,0),MATCH(U393,L_KED,0)),0))</f>
        <v/>
      </c>
      <c r="W393" s="17">
        <f>IF(OR(B393="",E393="",COUNTA(F393,H393,J393:M393,O393,Q393:R393,T393:U393)=0),"",SUM(G393,I393,N393,P393,S393,V393))</f>
        <v/>
      </c>
      <c r="X393" s="18">
        <f>IF(W393="","",IF(Murid!F393="TL","TL",ROUND(W393/110*100,2)))</f>
        <v/>
      </c>
    </row>
    <row r="394">
      <c r="A394" s="15">
        <f>Murid!A394</f>
        <v/>
      </c>
      <c r="B394" s="15">
        <f>IF(Murid!B394="","",Murid!B394)</f>
        <v/>
      </c>
      <c r="C394" s="16">
        <f>IF(Murid!C394="","",Murid!C394)</f>
        <v/>
      </c>
      <c r="D394" s="15">
        <f>IF(Murid!E394="","",Murid!E394)</f>
        <v/>
      </c>
      <c r="E394" s="11" t="n"/>
      <c r="F394" s="11" t="n"/>
      <c r="G394" s="10">
        <f>IF(F394="","",IFERROR(VLOOKUP(F394,T_JKP,2,FALSE),0))</f>
        <v/>
      </c>
      <c r="H394" s="11" t="n"/>
      <c r="I394" s="17">
        <f>IF(H394="","",IF(H394&gt;=12,40,ROUND(H394*3.33,2)))</f>
        <v/>
      </c>
      <c r="J394" s="11" t="n"/>
      <c r="K394" s="11" t="n"/>
      <c r="L394" s="11" t="n"/>
      <c r="M394" s="11" t="n"/>
      <c r="N394" s="10">
        <f>IF(COUNTA(J394:M394)=0,"",MIN(10,SUMPRODUCT((COUNTIF(J394:M394,L_KOM)&gt;0)*S_KOM)))</f>
        <v/>
      </c>
      <c r="O394" s="11" t="n"/>
      <c r="P394" s="10">
        <f>IF(O394="","",IFERROR(VLOOKUP(O394,T_KHID,2,FALSE),0))</f>
        <v/>
      </c>
      <c r="Q394" s="11" t="n"/>
      <c r="R394" s="11" t="n"/>
      <c r="S394" s="10">
        <f>IF(AND(Q394="",R394=""),"",IFERROR(INDEX(T_LIBAT,MATCH(Q394,L_PER,0),MATCH(R394,L_JENIS,0)),0))</f>
        <v/>
      </c>
      <c r="T394" s="11" t="n"/>
      <c r="U394" s="11" t="n"/>
      <c r="V394" s="10">
        <f>IF(AND(T394="",U394=""),"",IFERROR(INDEX(T_CAPAI,MATCH(T394,L_PER,0),MATCH(U394,L_KED,0)),0))</f>
        <v/>
      </c>
      <c r="W394" s="17">
        <f>IF(OR(B394="",E394="",COUNTA(F394,H394,J394:M394,O394,Q394:R394,T394:U394)=0),"",SUM(G394,I394,N394,P394,S394,V394))</f>
        <v/>
      </c>
      <c r="X394" s="18">
        <f>IF(W394="","",IF(Murid!F394="TL","TL",ROUND(W394/110*100,2)))</f>
        <v/>
      </c>
    </row>
    <row r="395">
      <c r="A395" s="15">
        <f>Murid!A395</f>
        <v/>
      </c>
      <c r="B395" s="15">
        <f>IF(Murid!B395="","",Murid!B395)</f>
        <v/>
      </c>
      <c r="C395" s="16">
        <f>IF(Murid!C395="","",Murid!C395)</f>
        <v/>
      </c>
      <c r="D395" s="15">
        <f>IF(Murid!E395="","",Murid!E395)</f>
        <v/>
      </c>
      <c r="E395" s="11" t="n"/>
      <c r="F395" s="11" t="n"/>
      <c r="G395" s="10">
        <f>IF(F395="","",IFERROR(VLOOKUP(F395,T_JKP,2,FALSE),0))</f>
        <v/>
      </c>
      <c r="H395" s="11" t="n"/>
      <c r="I395" s="17">
        <f>IF(H395="","",IF(H395&gt;=12,40,ROUND(H395*3.33,2)))</f>
        <v/>
      </c>
      <c r="J395" s="11" t="n"/>
      <c r="K395" s="11" t="n"/>
      <c r="L395" s="11" t="n"/>
      <c r="M395" s="11" t="n"/>
      <c r="N395" s="10">
        <f>IF(COUNTA(J395:M395)=0,"",MIN(10,SUMPRODUCT((COUNTIF(J395:M395,L_KOM)&gt;0)*S_KOM)))</f>
        <v/>
      </c>
      <c r="O395" s="11" t="n"/>
      <c r="P395" s="10">
        <f>IF(O395="","",IFERROR(VLOOKUP(O395,T_KHID,2,FALSE),0))</f>
        <v/>
      </c>
      <c r="Q395" s="11" t="n"/>
      <c r="R395" s="11" t="n"/>
      <c r="S395" s="10">
        <f>IF(AND(Q395="",R395=""),"",IFERROR(INDEX(T_LIBAT,MATCH(Q395,L_PER,0),MATCH(R395,L_JENIS,0)),0))</f>
        <v/>
      </c>
      <c r="T395" s="11" t="n"/>
      <c r="U395" s="11" t="n"/>
      <c r="V395" s="10">
        <f>IF(AND(T395="",U395=""),"",IFERROR(INDEX(T_CAPAI,MATCH(T395,L_PER,0),MATCH(U395,L_KED,0)),0))</f>
        <v/>
      </c>
      <c r="W395" s="17">
        <f>IF(OR(B395="",E395="",COUNTA(F395,H395,J395:M395,O395,Q395:R395,T395:U395)=0),"",SUM(G395,I395,N395,P395,S395,V395))</f>
        <v/>
      </c>
      <c r="X395" s="18">
        <f>IF(W395="","",IF(Murid!F395="TL","TL",ROUND(W395/110*100,2)))</f>
        <v/>
      </c>
    </row>
    <row r="396">
      <c r="A396" s="15">
        <f>Murid!A396</f>
        <v/>
      </c>
      <c r="B396" s="15">
        <f>IF(Murid!B396="","",Murid!B396)</f>
        <v/>
      </c>
      <c r="C396" s="16">
        <f>IF(Murid!C396="","",Murid!C396)</f>
        <v/>
      </c>
      <c r="D396" s="15">
        <f>IF(Murid!E396="","",Murid!E396)</f>
        <v/>
      </c>
      <c r="E396" s="11" t="n"/>
      <c r="F396" s="11" t="n"/>
      <c r="G396" s="10">
        <f>IF(F396="","",IFERROR(VLOOKUP(F396,T_JKP,2,FALSE),0))</f>
        <v/>
      </c>
      <c r="H396" s="11" t="n"/>
      <c r="I396" s="17">
        <f>IF(H396="","",IF(H396&gt;=12,40,ROUND(H396*3.33,2)))</f>
        <v/>
      </c>
      <c r="J396" s="11" t="n"/>
      <c r="K396" s="11" t="n"/>
      <c r="L396" s="11" t="n"/>
      <c r="M396" s="11" t="n"/>
      <c r="N396" s="10">
        <f>IF(COUNTA(J396:M396)=0,"",MIN(10,SUMPRODUCT((COUNTIF(J396:M396,L_KOM)&gt;0)*S_KOM)))</f>
        <v/>
      </c>
      <c r="O396" s="11" t="n"/>
      <c r="P396" s="10">
        <f>IF(O396="","",IFERROR(VLOOKUP(O396,T_KHID,2,FALSE),0))</f>
        <v/>
      </c>
      <c r="Q396" s="11" t="n"/>
      <c r="R396" s="11" t="n"/>
      <c r="S396" s="10">
        <f>IF(AND(Q396="",R396=""),"",IFERROR(INDEX(T_LIBAT,MATCH(Q396,L_PER,0),MATCH(R396,L_JENIS,0)),0))</f>
        <v/>
      </c>
      <c r="T396" s="11" t="n"/>
      <c r="U396" s="11" t="n"/>
      <c r="V396" s="10">
        <f>IF(AND(T396="",U396=""),"",IFERROR(INDEX(T_CAPAI,MATCH(T396,L_PER,0),MATCH(U396,L_KED,0)),0))</f>
        <v/>
      </c>
      <c r="W396" s="17">
        <f>IF(OR(B396="",E396="",COUNTA(F396,H396,J396:M396,O396,Q396:R396,T396:U396)=0),"",SUM(G396,I396,N396,P396,S396,V396))</f>
        <v/>
      </c>
      <c r="X396" s="18">
        <f>IF(W396="","",IF(Murid!F396="TL","TL",ROUND(W396/110*100,2)))</f>
        <v/>
      </c>
    </row>
    <row r="397">
      <c r="A397" s="15">
        <f>Murid!A397</f>
        <v/>
      </c>
      <c r="B397" s="15">
        <f>IF(Murid!B397="","",Murid!B397)</f>
        <v/>
      </c>
      <c r="C397" s="16">
        <f>IF(Murid!C397="","",Murid!C397)</f>
        <v/>
      </c>
      <c r="D397" s="15">
        <f>IF(Murid!E397="","",Murid!E397)</f>
        <v/>
      </c>
      <c r="E397" s="11" t="n"/>
      <c r="F397" s="11" t="n"/>
      <c r="G397" s="10">
        <f>IF(F397="","",IFERROR(VLOOKUP(F397,T_JKP,2,FALSE),0))</f>
        <v/>
      </c>
      <c r="H397" s="11" t="n"/>
      <c r="I397" s="17">
        <f>IF(H397="","",IF(H397&gt;=12,40,ROUND(H397*3.33,2)))</f>
        <v/>
      </c>
      <c r="J397" s="11" t="n"/>
      <c r="K397" s="11" t="n"/>
      <c r="L397" s="11" t="n"/>
      <c r="M397" s="11" t="n"/>
      <c r="N397" s="10">
        <f>IF(COUNTA(J397:M397)=0,"",MIN(10,SUMPRODUCT((COUNTIF(J397:M397,L_KOM)&gt;0)*S_KOM)))</f>
        <v/>
      </c>
      <c r="O397" s="11" t="n"/>
      <c r="P397" s="10">
        <f>IF(O397="","",IFERROR(VLOOKUP(O397,T_KHID,2,FALSE),0))</f>
        <v/>
      </c>
      <c r="Q397" s="11" t="n"/>
      <c r="R397" s="11" t="n"/>
      <c r="S397" s="10">
        <f>IF(AND(Q397="",R397=""),"",IFERROR(INDEX(T_LIBAT,MATCH(Q397,L_PER,0),MATCH(R397,L_JENIS,0)),0))</f>
        <v/>
      </c>
      <c r="T397" s="11" t="n"/>
      <c r="U397" s="11" t="n"/>
      <c r="V397" s="10">
        <f>IF(AND(T397="",U397=""),"",IFERROR(INDEX(T_CAPAI,MATCH(T397,L_PER,0),MATCH(U397,L_KED,0)),0))</f>
        <v/>
      </c>
      <c r="W397" s="17">
        <f>IF(OR(B397="",E397="",COUNTA(F397,H397,J397:M397,O397,Q397:R397,T397:U397)=0),"",SUM(G397,I397,N397,P397,S397,V397))</f>
        <v/>
      </c>
      <c r="X397" s="18">
        <f>IF(W397="","",IF(Murid!F397="TL","TL",ROUND(W397/110*100,2)))</f>
        <v/>
      </c>
    </row>
    <row r="398">
      <c r="A398" s="15">
        <f>Murid!A398</f>
        <v/>
      </c>
      <c r="B398" s="15">
        <f>IF(Murid!B398="","",Murid!B398)</f>
        <v/>
      </c>
      <c r="C398" s="16">
        <f>IF(Murid!C398="","",Murid!C398)</f>
        <v/>
      </c>
      <c r="D398" s="15">
        <f>IF(Murid!E398="","",Murid!E398)</f>
        <v/>
      </c>
      <c r="E398" s="11" t="n"/>
      <c r="F398" s="11" t="n"/>
      <c r="G398" s="10">
        <f>IF(F398="","",IFERROR(VLOOKUP(F398,T_JKP,2,FALSE),0))</f>
        <v/>
      </c>
      <c r="H398" s="11" t="n"/>
      <c r="I398" s="17">
        <f>IF(H398="","",IF(H398&gt;=12,40,ROUND(H398*3.33,2)))</f>
        <v/>
      </c>
      <c r="J398" s="11" t="n"/>
      <c r="K398" s="11" t="n"/>
      <c r="L398" s="11" t="n"/>
      <c r="M398" s="11" t="n"/>
      <c r="N398" s="10">
        <f>IF(COUNTA(J398:M398)=0,"",MIN(10,SUMPRODUCT((COUNTIF(J398:M398,L_KOM)&gt;0)*S_KOM)))</f>
        <v/>
      </c>
      <c r="O398" s="11" t="n"/>
      <c r="P398" s="10">
        <f>IF(O398="","",IFERROR(VLOOKUP(O398,T_KHID,2,FALSE),0))</f>
        <v/>
      </c>
      <c r="Q398" s="11" t="n"/>
      <c r="R398" s="11" t="n"/>
      <c r="S398" s="10">
        <f>IF(AND(Q398="",R398=""),"",IFERROR(INDEX(T_LIBAT,MATCH(Q398,L_PER,0),MATCH(R398,L_JENIS,0)),0))</f>
        <v/>
      </c>
      <c r="T398" s="11" t="n"/>
      <c r="U398" s="11" t="n"/>
      <c r="V398" s="10">
        <f>IF(AND(T398="",U398=""),"",IFERROR(INDEX(T_CAPAI,MATCH(T398,L_PER,0),MATCH(U398,L_KED,0)),0))</f>
        <v/>
      </c>
      <c r="W398" s="17">
        <f>IF(OR(B398="",E398="",COUNTA(F398,H398,J398:M398,O398,Q398:R398,T398:U398)=0),"",SUM(G398,I398,N398,P398,S398,V398))</f>
        <v/>
      </c>
      <c r="X398" s="18">
        <f>IF(W398="","",IF(Murid!F398="TL","TL",ROUND(W398/110*100,2)))</f>
        <v/>
      </c>
    </row>
    <row r="399">
      <c r="A399" s="15">
        <f>Murid!A399</f>
        <v/>
      </c>
      <c r="B399" s="15">
        <f>IF(Murid!B399="","",Murid!B399)</f>
        <v/>
      </c>
      <c r="C399" s="16">
        <f>IF(Murid!C399="","",Murid!C399)</f>
        <v/>
      </c>
      <c r="D399" s="15">
        <f>IF(Murid!E399="","",Murid!E399)</f>
        <v/>
      </c>
      <c r="E399" s="11" t="n"/>
      <c r="F399" s="11" t="n"/>
      <c r="G399" s="10">
        <f>IF(F399="","",IFERROR(VLOOKUP(F399,T_JKP,2,FALSE),0))</f>
        <v/>
      </c>
      <c r="H399" s="11" t="n"/>
      <c r="I399" s="17">
        <f>IF(H399="","",IF(H399&gt;=12,40,ROUND(H399*3.33,2)))</f>
        <v/>
      </c>
      <c r="J399" s="11" t="n"/>
      <c r="K399" s="11" t="n"/>
      <c r="L399" s="11" t="n"/>
      <c r="M399" s="11" t="n"/>
      <c r="N399" s="10">
        <f>IF(COUNTA(J399:M399)=0,"",MIN(10,SUMPRODUCT((COUNTIF(J399:M399,L_KOM)&gt;0)*S_KOM)))</f>
        <v/>
      </c>
      <c r="O399" s="11" t="n"/>
      <c r="P399" s="10">
        <f>IF(O399="","",IFERROR(VLOOKUP(O399,T_KHID,2,FALSE),0))</f>
        <v/>
      </c>
      <c r="Q399" s="11" t="n"/>
      <c r="R399" s="11" t="n"/>
      <c r="S399" s="10">
        <f>IF(AND(Q399="",R399=""),"",IFERROR(INDEX(T_LIBAT,MATCH(Q399,L_PER,0),MATCH(R399,L_JENIS,0)),0))</f>
        <v/>
      </c>
      <c r="T399" s="11" t="n"/>
      <c r="U399" s="11" t="n"/>
      <c r="V399" s="10">
        <f>IF(AND(T399="",U399=""),"",IFERROR(INDEX(T_CAPAI,MATCH(T399,L_PER,0),MATCH(U399,L_KED,0)),0))</f>
        <v/>
      </c>
      <c r="W399" s="17">
        <f>IF(OR(B399="",E399="",COUNTA(F399,H399,J399:M399,O399,Q399:R399,T399:U399)=0),"",SUM(G399,I399,N399,P399,S399,V399))</f>
        <v/>
      </c>
      <c r="X399" s="18">
        <f>IF(W399="","",IF(Murid!F399="TL","TL",ROUND(W399/110*100,2)))</f>
        <v/>
      </c>
    </row>
    <row r="400">
      <c r="A400" s="15">
        <f>Murid!A400</f>
        <v/>
      </c>
      <c r="B400" s="15">
        <f>IF(Murid!B400="","",Murid!B400)</f>
        <v/>
      </c>
      <c r="C400" s="16">
        <f>IF(Murid!C400="","",Murid!C400)</f>
        <v/>
      </c>
      <c r="D400" s="15">
        <f>IF(Murid!E400="","",Murid!E400)</f>
        <v/>
      </c>
      <c r="E400" s="11" t="n"/>
      <c r="F400" s="11" t="n"/>
      <c r="G400" s="10">
        <f>IF(F400="","",IFERROR(VLOOKUP(F400,T_JKP,2,FALSE),0))</f>
        <v/>
      </c>
      <c r="H400" s="11" t="n"/>
      <c r="I400" s="17">
        <f>IF(H400="","",IF(H400&gt;=12,40,ROUND(H400*3.33,2)))</f>
        <v/>
      </c>
      <c r="J400" s="11" t="n"/>
      <c r="K400" s="11" t="n"/>
      <c r="L400" s="11" t="n"/>
      <c r="M400" s="11" t="n"/>
      <c r="N400" s="10">
        <f>IF(COUNTA(J400:M400)=0,"",MIN(10,SUMPRODUCT((COUNTIF(J400:M400,L_KOM)&gt;0)*S_KOM)))</f>
        <v/>
      </c>
      <c r="O400" s="11" t="n"/>
      <c r="P400" s="10">
        <f>IF(O400="","",IFERROR(VLOOKUP(O400,T_KHID,2,FALSE),0))</f>
        <v/>
      </c>
      <c r="Q400" s="11" t="n"/>
      <c r="R400" s="11" t="n"/>
      <c r="S400" s="10">
        <f>IF(AND(Q400="",R400=""),"",IFERROR(INDEX(T_LIBAT,MATCH(Q400,L_PER,0),MATCH(R400,L_JENIS,0)),0))</f>
        <v/>
      </c>
      <c r="T400" s="11" t="n"/>
      <c r="U400" s="11" t="n"/>
      <c r="V400" s="10">
        <f>IF(AND(T400="",U400=""),"",IFERROR(INDEX(T_CAPAI,MATCH(T400,L_PER,0),MATCH(U400,L_KED,0)),0))</f>
        <v/>
      </c>
      <c r="W400" s="17">
        <f>IF(OR(B400="",E400="",COUNTA(F400,H400,J400:M400,O400,Q400:R400,T400:U400)=0),"",SUM(G400,I400,N400,P400,S400,V400))</f>
        <v/>
      </c>
      <c r="X400" s="18">
        <f>IF(W400="","",IF(Murid!F400="TL","TL",ROUND(W400/110*100,2)))</f>
        <v/>
      </c>
    </row>
    <row r="401">
      <c r="A401" s="15">
        <f>Murid!A401</f>
        <v/>
      </c>
      <c r="B401" s="15">
        <f>IF(Murid!B401="","",Murid!B401)</f>
        <v/>
      </c>
      <c r="C401" s="16">
        <f>IF(Murid!C401="","",Murid!C401)</f>
        <v/>
      </c>
      <c r="D401" s="15">
        <f>IF(Murid!E401="","",Murid!E401)</f>
        <v/>
      </c>
      <c r="E401" s="11" t="n"/>
      <c r="F401" s="11" t="n"/>
      <c r="G401" s="10">
        <f>IF(F401="","",IFERROR(VLOOKUP(F401,T_JKP,2,FALSE),0))</f>
        <v/>
      </c>
      <c r="H401" s="11" t="n"/>
      <c r="I401" s="17">
        <f>IF(H401="","",IF(H401&gt;=12,40,ROUND(H401*3.33,2)))</f>
        <v/>
      </c>
      <c r="J401" s="11" t="n"/>
      <c r="K401" s="11" t="n"/>
      <c r="L401" s="11" t="n"/>
      <c r="M401" s="11" t="n"/>
      <c r="N401" s="10">
        <f>IF(COUNTA(J401:M401)=0,"",MIN(10,SUMPRODUCT((COUNTIF(J401:M401,L_KOM)&gt;0)*S_KOM)))</f>
        <v/>
      </c>
      <c r="O401" s="11" t="n"/>
      <c r="P401" s="10">
        <f>IF(O401="","",IFERROR(VLOOKUP(O401,T_KHID,2,FALSE),0))</f>
        <v/>
      </c>
      <c r="Q401" s="11" t="n"/>
      <c r="R401" s="11" t="n"/>
      <c r="S401" s="10">
        <f>IF(AND(Q401="",R401=""),"",IFERROR(INDEX(T_LIBAT,MATCH(Q401,L_PER,0),MATCH(R401,L_JENIS,0)),0))</f>
        <v/>
      </c>
      <c r="T401" s="11" t="n"/>
      <c r="U401" s="11" t="n"/>
      <c r="V401" s="10">
        <f>IF(AND(T401="",U401=""),"",IFERROR(INDEX(T_CAPAI,MATCH(T401,L_PER,0),MATCH(U401,L_KED,0)),0))</f>
        <v/>
      </c>
      <c r="W401" s="17">
        <f>IF(OR(B401="",E401="",COUNTA(F401,H401,J401:M401,O401,Q401:R401,T401:U401)=0),"",SUM(G401,I401,N401,P401,S401,V401))</f>
        <v/>
      </c>
      <c r="X401" s="18">
        <f>IF(W401="","",IF(Murid!F401="TL","TL",ROUND(W401/110*100,2)))</f>
        <v/>
      </c>
    </row>
    <row r="402">
      <c r="A402" s="15">
        <f>Murid!A402</f>
        <v/>
      </c>
      <c r="B402" s="15">
        <f>IF(Murid!B402="","",Murid!B402)</f>
        <v/>
      </c>
      <c r="C402" s="16">
        <f>IF(Murid!C402="","",Murid!C402)</f>
        <v/>
      </c>
      <c r="D402" s="15">
        <f>IF(Murid!E402="","",Murid!E402)</f>
        <v/>
      </c>
      <c r="E402" s="11" t="n"/>
      <c r="F402" s="11" t="n"/>
      <c r="G402" s="10">
        <f>IF(F402="","",IFERROR(VLOOKUP(F402,T_JKP,2,FALSE),0))</f>
        <v/>
      </c>
      <c r="H402" s="11" t="n"/>
      <c r="I402" s="17">
        <f>IF(H402="","",IF(H402&gt;=12,40,ROUND(H402*3.33,2)))</f>
        <v/>
      </c>
      <c r="J402" s="11" t="n"/>
      <c r="K402" s="11" t="n"/>
      <c r="L402" s="11" t="n"/>
      <c r="M402" s="11" t="n"/>
      <c r="N402" s="10">
        <f>IF(COUNTA(J402:M402)=0,"",MIN(10,SUMPRODUCT((COUNTIF(J402:M402,L_KOM)&gt;0)*S_KOM)))</f>
        <v/>
      </c>
      <c r="O402" s="11" t="n"/>
      <c r="P402" s="10">
        <f>IF(O402="","",IFERROR(VLOOKUP(O402,T_KHID,2,FALSE),0))</f>
        <v/>
      </c>
      <c r="Q402" s="11" t="n"/>
      <c r="R402" s="11" t="n"/>
      <c r="S402" s="10">
        <f>IF(AND(Q402="",R402=""),"",IFERROR(INDEX(T_LIBAT,MATCH(Q402,L_PER,0),MATCH(R402,L_JENIS,0)),0))</f>
        <v/>
      </c>
      <c r="T402" s="11" t="n"/>
      <c r="U402" s="11" t="n"/>
      <c r="V402" s="10">
        <f>IF(AND(T402="",U402=""),"",IFERROR(INDEX(T_CAPAI,MATCH(T402,L_PER,0),MATCH(U402,L_KED,0)),0))</f>
        <v/>
      </c>
      <c r="W402" s="17">
        <f>IF(OR(B402="",E402="",COUNTA(F402,H402,J402:M402,O402,Q402:R402,T402:U402)=0),"",SUM(G402,I402,N402,P402,S402,V402))</f>
        <v/>
      </c>
      <c r="X402" s="18">
        <f>IF(W402="","",IF(Murid!F402="TL","TL",ROUND(W402/110*100,2)))</f>
        <v/>
      </c>
    </row>
    <row r="403">
      <c r="A403" s="15">
        <f>Murid!A403</f>
        <v/>
      </c>
      <c r="B403" s="15">
        <f>IF(Murid!B403="","",Murid!B403)</f>
        <v/>
      </c>
      <c r="C403" s="16">
        <f>IF(Murid!C403="","",Murid!C403)</f>
        <v/>
      </c>
      <c r="D403" s="15">
        <f>IF(Murid!E403="","",Murid!E403)</f>
        <v/>
      </c>
      <c r="E403" s="11" t="n"/>
      <c r="F403" s="11" t="n"/>
      <c r="G403" s="10">
        <f>IF(F403="","",IFERROR(VLOOKUP(F403,T_JKP,2,FALSE),0))</f>
        <v/>
      </c>
      <c r="H403" s="11" t="n"/>
      <c r="I403" s="17">
        <f>IF(H403="","",IF(H403&gt;=12,40,ROUND(H403*3.33,2)))</f>
        <v/>
      </c>
      <c r="J403" s="11" t="n"/>
      <c r="K403" s="11" t="n"/>
      <c r="L403" s="11" t="n"/>
      <c r="M403" s="11" t="n"/>
      <c r="N403" s="10">
        <f>IF(COUNTA(J403:M403)=0,"",MIN(10,SUMPRODUCT((COUNTIF(J403:M403,L_KOM)&gt;0)*S_KOM)))</f>
        <v/>
      </c>
      <c r="O403" s="11" t="n"/>
      <c r="P403" s="10">
        <f>IF(O403="","",IFERROR(VLOOKUP(O403,T_KHID,2,FALSE),0))</f>
        <v/>
      </c>
      <c r="Q403" s="11" t="n"/>
      <c r="R403" s="11" t="n"/>
      <c r="S403" s="10">
        <f>IF(AND(Q403="",R403=""),"",IFERROR(INDEX(T_LIBAT,MATCH(Q403,L_PER,0),MATCH(R403,L_JENIS,0)),0))</f>
        <v/>
      </c>
      <c r="T403" s="11" t="n"/>
      <c r="U403" s="11" t="n"/>
      <c r="V403" s="10">
        <f>IF(AND(T403="",U403=""),"",IFERROR(INDEX(T_CAPAI,MATCH(T403,L_PER,0),MATCH(U403,L_KED,0)),0))</f>
        <v/>
      </c>
      <c r="W403" s="17">
        <f>IF(OR(B403="",E403="",COUNTA(F403,H403,J403:M403,O403,Q403:R403,T403:U403)=0),"",SUM(G403,I403,N403,P403,S403,V403))</f>
        <v/>
      </c>
      <c r="X403" s="18">
        <f>IF(W403="","",IF(Murid!F403="TL","TL",ROUND(W403/110*100,2)))</f>
        <v/>
      </c>
    </row>
    <row r="404">
      <c r="A404" s="15">
        <f>Murid!A404</f>
        <v/>
      </c>
      <c r="B404" s="15">
        <f>IF(Murid!B404="","",Murid!B404)</f>
        <v/>
      </c>
      <c r="C404" s="16">
        <f>IF(Murid!C404="","",Murid!C404)</f>
        <v/>
      </c>
      <c r="D404" s="15">
        <f>IF(Murid!E404="","",Murid!E404)</f>
        <v/>
      </c>
      <c r="E404" s="11" t="n"/>
      <c r="F404" s="11" t="n"/>
      <c r="G404" s="10">
        <f>IF(F404="","",IFERROR(VLOOKUP(F404,T_JKP,2,FALSE),0))</f>
        <v/>
      </c>
      <c r="H404" s="11" t="n"/>
      <c r="I404" s="17">
        <f>IF(H404="","",IF(H404&gt;=12,40,ROUND(H404*3.33,2)))</f>
        <v/>
      </c>
      <c r="J404" s="11" t="n"/>
      <c r="K404" s="11" t="n"/>
      <c r="L404" s="11" t="n"/>
      <c r="M404" s="11" t="n"/>
      <c r="N404" s="10">
        <f>IF(COUNTA(J404:M404)=0,"",MIN(10,SUMPRODUCT((COUNTIF(J404:M404,L_KOM)&gt;0)*S_KOM)))</f>
        <v/>
      </c>
      <c r="O404" s="11" t="n"/>
      <c r="P404" s="10">
        <f>IF(O404="","",IFERROR(VLOOKUP(O404,T_KHID,2,FALSE),0))</f>
        <v/>
      </c>
      <c r="Q404" s="11" t="n"/>
      <c r="R404" s="11" t="n"/>
      <c r="S404" s="10">
        <f>IF(AND(Q404="",R404=""),"",IFERROR(INDEX(T_LIBAT,MATCH(Q404,L_PER,0),MATCH(R404,L_JENIS,0)),0))</f>
        <v/>
      </c>
      <c r="T404" s="11" t="n"/>
      <c r="U404" s="11" t="n"/>
      <c r="V404" s="10">
        <f>IF(AND(T404="",U404=""),"",IFERROR(INDEX(T_CAPAI,MATCH(T404,L_PER,0),MATCH(U404,L_KED,0)),0))</f>
        <v/>
      </c>
      <c r="W404" s="17">
        <f>IF(OR(B404="",E404="",COUNTA(F404,H404,J404:M404,O404,Q404:R404,T404:U404)=0),"",SUM(G404,I404,N404,P404,S404,V404))</f>
        <v/>
      </c>
      <c r="X404" s="18">
        <f>IF(W404="","",IF(Murid!F404="TL","TL",ROUND(W404/110*100,2)))</f>
        <v/>
      </c>
    </row>
    <row r="405">
      <c r="A405" s="15">
        <f>Murid!A405</f>
        <v/>
      </c>
      <c r="B405" s="15">
        <f>IF(Murid!B405="","",Murid!B405)</f>
        <v/>
      </c>
      <c r="C405" s="16">
        <f>IF(Murid!C405="","",Murid!C405)</f>
        <v/>
      </c>
      <c r="D405" s="15">
        <f>IF(Murid!E405="","",Murid!E405)</f>
        <v/>
      </c>
      <c r="E405" s="11" t="n"/>
      <c r="F405" s="11" t="n"/>
      <c r="G405" s="10">
        <f>IF(F405="","",IFERROR(VLOOKUP(F405,T_JKP,2,FALSE),0))</f>
        <v/>
      </c>
      <c r="H405" s="11" t="n"/>
      <c r="I405" s="17">
        <f>IF(H405="","",IF(H405&gt;=12,40,ROUND(H405*3.33,2)))</f>
        <v/>
      </c>
      <c r="J405" s="11" t="n"/>
      <c r="K405" s="11" t="n"/>
      <c r="L405" s="11" t="n"/>
      <c r="M405" s="11" t="n"/>
      <c r="N405" s="10">
        <f>IF(COUNTA(J405:M405)=0,"",MIN(10,SUMPRODUCT((COUNTIF(J405:M405,L_KOM)&gt;0)*S_KOM)))</f>
        <v/>
      </c>
      <c r="O405" s="11" t="n"/>
      <c r="P405" s="10">
        <f>IF(O405="","",IFERROR(VLOOKUP(O405,T_KHID,2,FALSE),0))</f>
        <v/>
      </c>
      <c r="Q405" s="11" t="n"/>
      <c r="R405" s="11" t="n"/>
      <c r="S405" s="10">
        <f>IF(AND(Q405="",R405=""),"",IFERROR(INDEX(T_LIBAT,MATCH(Q405,L_PER,0),MATCH(R405,L_JENIS,0)),0))</f>
        <v/>
      </c>
      <c r="T405" s="11" t="n"/>
      <c r="U405" s="11" t="n"/>
      <c r="V405" s="10">
        <f>IF(AND(T405="",U405=""),"",IFERROR(INDEX(T_CAPAI,MATCH(T405,L_PER,0),MATCH(U405,L_KED,0)),0))</f>
        <v/>
      </c>
      <c r="W405" s="17">
        <f>IF(OR(B405="",E405="",COUNTA(F405,H405,J405:M405,O405,Q405:R405,T405:U405)=0),"",SUM(G405,I405,N405,P405,S405,V405))</f>
        <v/>
      </c>
      <c r="X405" s="18">
        <f>IF(W405="","",IF(Murid!F405="TL","TL",ROUND(W405/110*100,2)))</f>
        <v/>
      </c>
    </row>
    <row r="406">
      <c r="A406" s="15">
        <f>Murid!A406</f>
        <v/>
      </c>
      <c r="B406" s="15">
        <f>IF(Murid!B406="","",Murid!B406)</f>
        <v/>
      </c>
      <c r="C406" s="16">
        <f>IF(Murid!C406="","",Murid!C406)</f>
        <v/>
      </c>
      <c r="D406" s="15">
        <f>IF(Murid!E406="","",Murid!E406)</f>
        <v/>
      </c>
      <c r="E406" s="11" t="n"/>
      <c r="F406" s="11" t="n"/>
      <c r="G406" s="10">
        <f>IF(F406="","",IFERROR(VLOOKUP(F406,T_JKP,2,FALSE),0))</f>
        <v/>
      </c>
      <c r="H406" s="11" t="n"/>
      <c r="I406" s="17">
        <f>IF(H406="","",IF(H406&gt;=12,40,ROUND(H406*3.33,2)))</f>
        <v/>
      </c>
      <c r="J406" s="11" t="n"/>
      <c r="K406" s="11" t="n"/>
      <c r="L406" s="11" t="n"/>
      <c r="M406" s="11" t="n"/>
      <c r="N406" s="10">
        <f>IF(COUNTA(J406:M406)=0,"",MIN(10,SUMPRODUCT((COUNTIF(J406:M406,L_KOM)&gt;0)*S_KOM)))</f>
        <v/>
      </c>
      <c r="O406" s="11" t="n"/>
      <c r="P406" s="10">
        <f>IF(O406="","",IFERROR(VLOOKUP(O406,T_KHID,2,FALSE),0))</f>
        <v/>
      </c>
      <c r="Q406" s="11" t="n"/>
      <c r="R406" s="11" t="n"/>
      <c r="S406" s="10">
        <f>IF(AND(Q406="",R406=""),"",IFERROR(INDEX(T_LIBAT,MATCH(Q406,L_PER,0),MATCH(R406,L_JENIS,0)),0))</f>
        <v/>
      </c>
      <c r="T406" s="11" t="n"/>
      <c r="U406" s="11" t="n"/>
      <c r="V406" s="10">
        <f>IF(AND(T406="",U406=""),"",IFERROR(INDEX(T_CAPAI,MATCH(T406,L_PER,0),MATCH(U406,L_KED,0)),0))</f>
        <v/>
      </c>
      <c r="W406" s="17">
        <f>IF(OR(B406="",E406="",COUNTA(F406,H406,J406:M406,O406,Q406:R406,T406:U406)=0),"",SUM(G406,I406,N406,P406,S406,V406))</f>
        <v/>
      </c>
      <c r="X406" s="18">
        <f>IF(W406="","",IF(Murid!F406="TL","TL",ROUND(W406/110*100,2)))</f>
        <v/>
      </c>
    </row>
    <row r="407">
      <c r="A407" s="15">
        <f>Murid!A407</f>
        <v/>
      </c>
      <c r="B407" s="15">
        <f>IF(Murid!B407="","",Murid!B407)</f>
        <v/>
      </c>
      <c r="C407" s="16">
        <f>IF(Murid!C407="","",Murid!C407)</f>
        <v/>
      </c>
      <c r="D407" s="15">
        <f>IF(Murid!E407="","",Murid!E407)</f>
        <v/>
      </c>
      <c r="E407" s="11" t="n"/>
      <c r="F407" s="11" t="n"/>
      <c r="G407" s="10">
        <f>IF(F407="","",IFERROR(VLOOKUP(F407,T_JKP,2,FALSE),0))</f>
        <v/>
      </c>
      <c r="H407" s="11" t="n"/>
      <c r="I407" s="17">
        <f>IF(H407="","",IF(H407&gt;=12,40,ROUND(H407*3.33,2)))</f>
        <v/>
      </c>
      <c r="J407" s="11" t="n"/>
      <c r="K407" s="11" t="n"/>
      <c r="L407" s="11" t="n"/>
      <c r="M407" s="11" t="n"/>
      <c r="N407" s="10">
        <f>IF(COUNTA(J407:M407)=0,"",MIN(10,SUMPRODUCT((COUNTIF(J407:M407,L_KOM)&gt;0)*S_KOM)))</f>
        <v/>
      </c>
      <c r="O407" s="11" t="n"/>
      <c r="P407" s="10">
        <f>IF(O407="","",IFERROR(VLOOKUP(O407,T_KHID,2,FALSE),0))</f>
        <v/>
      </c>
      <c r="Q407" s="11" t="n"/>
      <c r="R407" s="11" t="n"/>
      <c r="S407" s="10">
        <f>IF(AND(Q407="",R407=""),"",IFERROR(INDEX(T_LIBAT,MATCH(Q407,L_PER,0),MATCH(R407,L_JENIS,0)),0))</f>
        <v/>
      </c>
      <c r="T407" s="11" t="n"/>
      <c r="U407" s="11" t="n"/>
      <c r="V407" s="10">
        <f>IF(AND(T407="",U407=""),"",IFERROR(INDEX(T_CAPAI,MATCH(T407,L_PER,0),MATCH(U407,L_KED,0)),0))</f>
        <v/>
      </c>
      <c r="W407" s="17">
        <f>IF(OR(B407="",E407="",COUNTA(F407,H407,J407:M407,O407,Q407:R407,T407:U407)=0),"",SUM(G407,I407,N407,P407,S407,V407))</f>
        <v/>
      </c>
      <c r="X407" s="18">
        <f>IF(W407="","",IF(Murid!F407="TL","TL",ROUND(W407/110*100,2)))</f>
        <v/>
      </c>
    </row>
    <row r="408">
      <c r="A408" s="15">
        <f>Murid!A408</f>
        <v/>
      </c>
      <c r="B408" s="15">
        <f>IF(Murid!B408="","",Murid!B408)</f>
        <v/>
      </c>
      <c r="C408" s="16">
        <f>IF(Murid!C408="","",Murid!C408)</f>
        <v/>
      </c>
      <c r="D408" s="15">
        <f>IF(Murid!E408="","",Murid!E408)</f>
        <v/>
      </c>
      <c r="E408" s="11" t="n"/>
      <c r="F408" s="11" t="n"/>
      <c r="G408" s="10">
        <f>IF(F408="","",IFERROR(VLOOKUP(F408,T_JKP,2,FALSE),0))</f>
        <v/>
      </c>
      <c r="H408" s="11" t="n"/>
      <c r="I408" s="17">
        <f>IF(H408="","",IF(H408&gt;=12,40,ROUND(H408*3.33,2)))</f>
        <v/>
      </c>
      <c r="J408" s="11" t="n"/>
      <c r="K408" s="11" t="n"/>
      <c r="L408" s="11" t="n"/>
      <c r="M408" s="11" t="n"/>
      <c r="N408" s="10">
        <f>IF(COUNTA(J408:M408)=0,"",MIN(10,SUMPRODUCT((COUNTIF(J408:M408,L_KOM)&gt;0)*S_KOM)))</f>
        <v/>
      </c>
      <c r="O408" s="11" t="n"/>
      <c r="P408" s="10">
        <f>IF(O408="","",IFERROR(VLOOKUP(O408,T_KHID,2,FALSE),0))</f>
        <v/>
      </c>
      <c r="Q408" s="11" t="n"/>
      <c r="R408" s="11" t="n"/>
      <c r="S408" s="10">
        <f>IF(AND(Q408="",R408=""),"",IFERROR(INDEX(T_LIBAT,MATCH(Q408,L_PER,0),MATCH(R408,L_JENIS,0)),0))</f>
        <v/>
      </c>
      <c r="T408" s="11" t="n"/>
      <c r="U408" s="11" t="n"/>
      <c r="V408" s="10">
        <f>IF(AND(T408="",U408=""),"",IFERROR(INDEX(T_CAPAI,MATCH(T408,L_PER,0),MATCH(U408,L_KED,0)),0))</f>
        <v/>
      </c>
      <c r="W408" s="17">
        <f>IF(OR(B408="",E408="",COUNTA(F408,H408,J408:M408,O408,Q408:R408,T408:U408)=0),"",SUM(G408,I408,N408,P408,S408,V408))</f>
        <v/>
      </c>
      <c r="X408" s="18">
        <f>IF(W408="","",IF(Murid!F408="TL","TL",ROUND(W408/110*100,2)))</f>
        <v/>
      </c>
    </row>
    <row r="409">
      <c r="A409" s="15">
        <f>Murid!A409</f>
        <v/>
      </c>
      <c r="B409" s="15">
        <f>IF(Murid!B409="","",Murid!B409)</f>
        <v/>
      </c>
      <c r="C409" s="16">
        <f>IF(Murid!C409="","",Murid!C409)</f>
        <v/>
      </c>
      <c r="D409" s="15">
        <f>IF(Murid!E409="","",Murid!E409)</f>
        <v/>
      </c>
      <c r="E409" s="11" t="n"/>
      <c r="F409" s="11" t="n"/>
      <c r="G409" s="10">
        <f>IF(F409="","",IFERROR(VLOOKUP(F409,T_JKP,2,FALSE),0))</f>
        <v/>
      </c>
      <c r="H409" s="11" t="n"/>
      <c r="I409" s="17">
        <f>IF(H409="","",IF(H409&gt;=12,40,ROUND(H409*3.33,2)))</f>
        <v/>
      </c>
      <c r="J409" s="11" t="n"/>
      <c r="K409" s="11" t="n"/>
      <c r="L409" s="11" t="n"/>
      <c r="M409" s="11" t="n"/>
      <c r="N409" s="10">
        <f>IF(COUNTA(J409:M409)=0,"",MIN(10,SUMPRODUCT((COUNTIF(J409:M409,L_KOM)&gt;0)*S_KOM)))</f>
        <v/>
      </c>
      <c r="O409" s="11" t="n"/>
      <c r="P409" s="10">
        <f>IF(O409="","",IFERROR(VLOOKUP(O409,T_KHID,2,FALSE),0))</f>
        <v/>
      </c>
      <c r="Q409" s="11" t="n"/>
      <c r="R409" s="11" t="n"/>
      <c r="S409" s="10">
        <f>IF(AND(Q409="",R409=""),"",IFERROR(INDEX(T_LIBAT,MATCH(Q409,L_PER,0),MATCH(R409,L_JENIS,0)),0))</f>
        <v/>
      </c>
      <c r="T409" s="11" t="n"/>
      <c r="U409" s="11" t="n"/>
      <c r="V409" s="10">
        <f>IF(AND(T409="",U409=""),"",IFERROR(INDEX(T_CAPAI,MATCH(T409,L_PER,0),MATCH(U409,L_KED,0)),0))</f>
        <v/>
      </c>
      <c r="W409" s="17">
        <f>IF(OR(B409="",E409="",COUNTA(F409,H409,J409:M409,O409,Q409:R409,T409:U409)=0),"",SUM(G409,I409,N409,P409,S409,V409))</f>
        <v/>
      </c>
      <c r="X409" s="18">
        <f>IF(W409="","",IF(Murid!F409="TL","TL",ROUND(W409/110*100,2)))</f>
        <v/>
      </c>
    </row>
    <row r="410">
      <c r="A410" s="15">
        <f>Murid!A410</f>
        <v/>
      </c>
      <c r="B410" s="15">
        <f>IF(Murid!B410="","",Murid!B410)</f>
        <v/>
      </c>
      <c r="C410" s="16">
        <f>IF(Murid!C410="","",Murid!C410)</f>
        <v/>
      </c>
      <c r="D410" s="15">
        <f>IF(Murid!E410="","",Murid!E410)</f>
        <v/>
      </c>
      <c r="E410" s="11" t="n"/>
      <c r="F410" s="11" t="n"/>
      <c r="G410" s="10">
        <f>IF(F410="","",IFERROR(VLOOKUP(F410,T_JKP,2,FALSE),0))</f>
        <v/>
      </c>
      <c r="H410" s="11" t="n"/>
      <c r="I410" s="17">
        <f>IF(H410="","",IF(H410&gt;=12,40,ROUND(H410*3.33,2)))</f>
        <v/>
      </c>
      <c r="J410" s="11" t="n"/>
      <c r="K410" s="11" t="n"/>
      <c r="L410" s="11" t="n"/>
      <c r="M410" s="11" t="n"/>
      <c r="N410" s="10">
        <f>IF(COUNTA(J410:M410)=0,"",MIN(10,SUMPRODUCT((COUNTIF(J410:M410,L_KOM)&gt;0)*S_KOM)))</f>
        <v/>
      </c>
      <c r="O410" s="11" t="n"/>
      <c r="P410" s="10">
        <f>IF(O410="","",IFERROR(VLOOKUP(O410,T_KHID,2,FALSE),0))</f>
        <v/>
      </c>
      <c r="Q410" s="11" t="n"/>
      <c r="R410" s="11" t="n"/>
      <c r="S410" s="10">
        <f>IF(AND(Q410="",R410=""),"",IFERROR(INDEX(T_LIBAT,MATCH(Q410,L_PER,0),MATCH(R410,L_JENIS,0)),0))</f>
        <v/>
      </c>
      <c r="T410" s="11" t="n"/>
      <c r="U410" s="11" t="n"/>
      <c r="V410" s="10">
        <f>IF(AND(T410="",U410=""),"",IFERROR(INDEX(T_CAPAI,MATCH(T410,L_PER,0),MATCH(U410,L_KED,0)),0))</f>
        <v/>
      </c>
      <c r="W410" s="17">
        <f>IF(OR(B410="",E410="",COUNTA(F410,H410,J410:M410,O410,Q410:R410,T410:U410)=0),"",SUM(G410,I410,N410,P410,S410,V410))</f>
        <v/>
      </c>
      <c r="X410" s="18">
        <f>IF(W410="","",IF(Murid!F410="TL","TL",ROUND(W410/110*100,2)))</f>
        <v/>
      </c>
    </row>
    <row r="411">
      <c r="A411" s="15">
        <f>Murid!A411</f>
        <v/>
      </c>
      <c r="B411" s="15">
        <f>IF(Murid!B411="","",Murid!B411)</f>
        <v/>
      </c>
      <c r="C411" s="16">
        <f>IF(Murid!C411="","",Murid!C411)</f>
        <v/>
      </c>
      <c r="D411" s="15">
        <f>IF(Murid!E411="","",Murid!E411)</f>
        <v/>
      </c>
      <c r="E411" s="11" t="n"/>
      <c r="F411" s="11" t="n"/>
      <c r="G411" s="10">
        <f>IF(F411="","",IFERROR(VLOOKUP(F411,T_JKP,2,FALSE),0))</f>
        <v/>
      </c>
      <c r="H411" s="11" t="n"/>
      <c r="I411" s="17">
        <f>IF(H411="","",IF(H411&gt;=12,40,ROUND(H411*3.33,2)))</f>
        <v/>
      </c>
      <c r="J411" s="11" t="n"/>
      <c r="K411" s="11" t="n"/>
      <c r="L411" s="11" t="n"/>
      <c r="M411" s="11" t="n"/>
      <c r="N411" s="10">
        <f>IF(COUNTA(J411:M411)=0,"",MIN(10,SUMPRODUCT((COUNTIF(J411:M411,L_KOM)&gt;0)*S_KOM)))</f>
        <v/>
      </c>
      <c r="O411" s="11" t="n"/>
      <c r="P411" s="10">
        <f>IF(O411="","",IFERROR(VLOOKUP(O411,T_KHID,2,FALSE),0))</f>
        <v/>
      </c>
      <c r="Q411" s="11" t="n"/>
      <c r="R411" s="11" t="n"/>
      <c r="S411" s="10">
        <f>IF(AND(Q411="",R411=""),"",IFERROR(INDEX(T_LIBAT,MATCH(Q411,L_PER,0),MATCH(R411,L_JENIS,0)),0))</f>
        <v/>
      </c>
      <c r="T411" s="11" t="n"/>
      <c r="U411" s="11" t="n"/>
      <c r="V411" s="10">
        <f>IF(AND(T411="",U411=""),"",IFERROR(INDEX(T_CAPAI,MATCH(T411,L_PER,0),MATCH(U411,L_KED,0)),0))</f>
        <v/>
      </c>
      <c r="W411" s="17">
        <f>IF(OR(B411="",E411="",COUNTA(F411,H411,J411:M411,O411,Q411:R411,T411:U411)=0),"",SUM(G411,I411,N411,P411,S411,V411))</f>
        <v/>
      </c>
      <c r="X411" s="18">
        <f>IF(W411="","",IF(Murid!F411="TL","TL",ROUND(W411/110*100,2)))</f>
        <v/>
      </c>
    </row>
    <row r="412">
      <c r="A412" s="15">
        <f>Murid!A412</f>
        <v/>
      </c>
      <c r="B412" s="15">
        <f>IF(Murid!B412="","",Murid!B412)</f>
        <v/>
      </c>
      <c r="C412" s="16">
        <f>IF(Murid!C412="","",Murid!C412)</f>
        <v/>
      </c>
      <c r="D412" s="15">
        <f>IF(Murid!E412="","",Murid!E412)</f>
        <v/>
      </c>
      <c r="E412" s="11" t="n"/>
      <c r="F412" s="11" t="n"/>
      <c r="G412" s="10">
        <f>IF(F412="","",IFERROR(VLOOKUP(F412,T_JKP,2,FALSE),0))</f>
        <v/>
      </c>
      <c r="H412" s="11" t="n"/>
      <c r="I412" s="17">
        <f>IF(H412="","",IF(H412&gt;=12,40,ROUND(H412*3.33,2)))</f>
        <v/>
      </c>
      <c r="J412" s="11" t="n"/>
      <c r="K412" s="11" t="n"/>
      <c r="L412" s="11" t="n"/>
      <c r="M412" s="11" t="n"/>
      <c r="N412" s="10">
        <f>IF(COUNTA(J412:M412)=0,"",MIN(10,SUMPRODUCT((COUNTIF(J412:M412,L_KOM)&gt;0)*S_KOM)))</f>
        <v/>
      </c>
      <c r="O412" s="11" t="n"/>
      <c r="P412" s="10">
        <f>IF(O412="","",IFERROR(VLOOKUP(O412,T_KHID,2,FALSE),0))</f>
        <v/>
      </c>
      <c r="Q412" s="11" t="n"/>
      <c r="R412" s="11" t="n"/>
      <c r="S412" s="10">
        <f>IF(AND(Q412="",R412=""),"",IFERROR(INDEX(T_LIBAT,MATCH(Q412,L_PER,0),MATCH(R412,L_JENIS,0)),0))</f>
        <v/>
      </c>
      <c r="T412" s="11" t="n"/>
      <c r="U412" s="11" t="n"/>
      <c r="V412" s="10">
        <f>IF(AND(T412="",U412=""),"",IFERROR(INDEX(T_CAPAI,MATCH(T412,L_PER,0),MATCH(U412,L_KED,0)),0))</f>
        <v/>
      </c>
      <c r="W412" s="17">
        <f>IF(OR(B412="",E412="",COUNTA(F412,H412,J412:M412,O412,Q412:R412,T412:U412)=0),"",SUM(G412,I412,N412,P412,S412,V412))</f>
        <v/>
      </c>
      <c r="X412" s="18">
        <f>IF(W412="","",IF(Murid!F412="TL","TL",ROUND(W412/110*100,2)))</f>
        <v/>
      </c>
    </row>
    <row r="413">
      <c r="A413" s="15">
        <f>Murid!A413</f>
        <v/>
      </c>
      <c r="B413" s="15">
        <f>IF(Murid!B413="","",Murid!B413)</f>
        <v/>
      </c>
      <c r="C413" s="16">
        <f>IF(Murid!C413="","",Murid!C413)</f>
        <v/>
      </c>
      <c r="D413" s="15">
        <f>IF(Murid!E413="","",Murid!E413)</f>
        <v/>
      </c>
      <c r="E413" s="11" t="n"/>
      <c r="F413" s="11" t="n"/>
      <c r="G413" s="10">
        <f>IF(F413="","",IFERROR(VLOOKUP(F413,T_JKP,2,FALSE),0))</f>
        <v/>
      </c>
      <c r="H413" s="11" t="n"/>
      <c r="I413" s="17">
        <f>IF(H413="","",IF(H413&gt;=12,40,ROUND(H413*3.33,2)))</f>
        <v/>
      </c>
      <c r="J413" s="11" t="n"/>
      <c r="K413" s="11" t="n"/>
      <c r="L413" s="11" t="n"/>
      <c r="M413" s="11" t="n"/>
      <c r="N413" s="10">
        <f>IF(COUNTA(J413:M413)=0,"",MIN(10,SUMPRODUCT((COUNTIF(J413:M413,L_KOM)&gt;0)*S_KOM)))</f>
        <v/>
      </c>
      <c r="O413" s="11" t="n"/>
      <c r="P413" s="10">
        <f>IF(O413="","",IFERROR(VLOOKUP(O413,T_KHID,2,FALSE),0))</f>
        <v/>
      </c>
      <c r="Q413" s="11" t="n"/>
      <c r="R413" s="11" t="n"/>
      <c r="S413" s="10">
        <f>IF(AND(Q413="",R413=""),"",IFERROR(INDEX(T_LIBAT,MATCH(Q413,L_PER,0),MATCH(R413,L_JENIS,0)),0))</f>
        <v/>
      </c>
      <c r="T413" s="11" t="n"/>
      <c r="U413" s="11" t="n"/>
      <c r="V413" s="10">
        <f>IF(AND(T413="",U413=""),"",IFERROR(INDEX(T_CAPAI,MATCH(T413,L_PER,0),MATCH(U413,L_KED,0)),0))</f>
        <v/>
      </c>
      <c r="W413" s="17">
        <f>IF(OR(B413="",E413="",COUNTA(F413,H413,J413:M413,O413,Q413:R413,T413:U413)=0),"",SUM(G413,I413,N413,P413,S413,V413))</f>
        <v/>
      </c>
      <c r="X413" s="18">
        <f>IF(W413="","",IF(Murid!F413="TL","TL",ROUND(W413/110*100,2)))</f>
        <v/>
      </c>
    </row>
    <row r="414">
      <c r="A414" s="15">
        <f>Murid!A414</f>
        <v/>
      </c>
      <c r="B414" s="15">
        <f>IF(Murid!B414="","",Murid!B414)</f>
        <v/>
      </c>
      <c r="C414" s="16">
        <f>IF(Murid!C414="","",Murid!C414)</f>
        <v/>
      </c>
      <c r="D414" s="15">
        <f>IF(Murid!E414="","",Murid!E414)</f>
        <v/>
      </c>
      <c r="E414" s="11" t="n"/>
      <c r="F414" s="11" t="n"/>
      <c r="G414" s="10">
        <f>IF(F414="","",IFERROR(VLOOKUP(F414,T_JKP,2,FALSE),0))</f>
        <v/>
      </c>
      <c r="H414" s="11" t="n"/>
      <c r="I414" s="17">
        <f>IF(H414="","",IF(H414&gt;=12,40,ROUND(H414*3.33,2)))</f>
        <v/>
      </c>
      <c r="J414" s="11" t="n"/>
      <c r="K414" s="11" t="n"/>
      <c r="L414" s="11" t="n"/>
      <c r="M414" s="11" t="n"/>
      <c r="N414" s="10">
        <f>IF(COUNTA(J414:M414)=0,"",MIN(10,SUMPRODUCT((COUNTIF(J414:M414,L_KOM)&gt;0)*S_KOM)))</f>
        <v/>
      </c>
      <c r="O414" s="11" t="n"/>
      <c r="P414" s="10">
        <f>IF(O414="","",IFERROR(VLOOKUP(O414,T_KHID,2,FALSE),0))</f>
        <v/>
      </c>
      <c r="Q414" s="11" t="n"/>
      <c r="R414" s="11" t="n"/>
      <c r="S414" s="10">
        <f>IF(AND(Q414="",R414=""),"",IFERROR(INDEX(T_LIBAT,MATCH(Q414,L_PER,0),MATCH(R414,L_JENIS,0)),0))</f>
        <v/>
      </c>
      <c r="T414" s="11" t="n"/>
      <c r="U414" s="11" t="n"/>
      <c r="V414" s="10">
        <f>IF(AND(T414="",U414=""),"",IFERROR(INDEX(T_CAPAI,MATCH(T414,L_PER,0),MATCH(U414,L_KED,0)),0))</f>
        <v/>
      </c>
      <c r="W414" s="17">
        <f>IF(OR(B414="",E414="",COUNTA(F414,H414,J414:M414,O414,Q414:R414,T414:U414)=0),"",SUM(G414,I414,N414,P414,S414,V414))</f>
        <v/>
      </c>
      <c r="X414" s="18">
        <f>IF(W414="","",IF(Murid!F414="TL","TL",ROUND(W414/110*100,2)))</f>
        <v/>
      </c>
    </row>
    <row r="415">
      <c r="A415" s="15">
        <f>Murid!A415</f>
        <v/>
      </c>
      <c r="B415" s="15">
        <f>IF(Murid!B415="","",Murid!B415)</f>
        <v/>
      </c>
      <c r="C415" s="16">
        <f>IF(Murid!C415="","",Murid!C415)</f>
        <v/>
      </c>
      <c r="D415" s="15">
        <f>IF(Murid!E415="","",Murid!E415)</f>
        <v/>
      </c>
      <c r="E415" s="11" t="n"/>
      <c r="F415" s="11" t="n"/>
      <c r="G415" s="10">
        <f>IF(F415="","",IFERROR(VLOOKUP(F415,T_JKP,2,FALSE),0))</f>
        <v/>
      </c>
      <c r="H415" s="11" t="n"/>
      <c r="I415" s="17">
        <f>IF(H415="","",IF(H415&gt;=12,40,ROUND(H415*3.33,2)))</f>
        <v/>
      </c>
      <c r="J415" s="11" t="n"/>
      <c r="K415" s="11" t="n"/>
      <c r="L415" s="11" t="n"/>
      <c r="M415" s="11" t="n"/>
      <c r="N415" s="10">
        <f>IF(COUNTA(J415:M415)=0,"",MIN(10,SUMPRODUCT((COUNTIF(J415:M415,L_KOM)&gt;0)*S_KOM)))</f>
        <v/>
      </c>
      <c r="O415" s="11" t="n"/>
      <c r="P415" s="10">
        <f>IF(O415="","",IFERROR(VLOOKUP(O415,T_KHID,2,FALSE),0))</f>
        <v/>
      </c>
      <c r="Q415" s="11" t="n"/>
      <c r="R415" s="11" t="n"/>
      <c r="S415" s="10">
        <f>IF(AND(Q415="",R415=""),"",IFERROR(INDEX(T_LIBAT,MATCH(Q415,L_PER,0),MATCH(R415,L_JENIS,0)),0))</f>
        <v/>
      </c>
      <c r="T415" s="11" t="n"/>
      <c r="U415" s="11" t="n"/>
      <c r="V415" s="10">
        <f>IF(AND(T415="",U415=""),"",IFERROR(INDEX(T_CAPAI,MATCH(T415,L_PER,0),MATCH(U415,L_KED,0)),0))</f>
        <v/>
      </c>
      <c r="W415" s="17">
        <f>IF(OR(B415="",E415="",COUNTA(F415,H415,J415:M415,O415,Q415:R415,T415:U415)=0),"",SUM(G415,I415,N415,P415,S415,V415))</f>
        <v/>
      </c>
      <c r="X415" s="18">
        <f>IF(W415="","",IF(Murid!F415="TL","TL",ROUND(W415/110*100,2)))</f>
        <v/>
      </c>
    </row>
    <row r="416">
      <c r="A416" s="15">
        <f>Murid!A416</f>
        <v/>
      </c>
      <c r="B416" s="15">
        <f>IF(Murid!B416="","",Murid!B416)</f>
        <v/>
      </c>
      <c r="C416" s="16">
        <f>IF(Murid!C416="","",Murid!C416)</f>
        <v/>
      </c>
      <c r="D416" s="15">
        <f>IF(Murid!E416="","",Murid!E416)</f>
        <v/>
      </c>
      <c r="E416" s="11" t="n"/>
      <c r="F416" s="11" t="n"/>
      <c r="G416" s="10">
        <f>IF(F416="","",IFERROR(VLOOKUP(F416,T_JKP,2,FALSE),0))</f>
        <v/>
      </c>
      <c r="H416" s="11" t="n"/>
      <c r="I416" s="17">
        <f>IF(H416="","",IF(H416&gt;=12,40,ROUND(H416*3.33,2)))</f>
        <v/>
      </c>
      <c r="J416" s="11" t="n"/>
      <c r="K416" s="11" t="n"/>
      <c r="L416" s="11" t="n"/>
      <c r="M416" s="11" t="n"/>
      <c r="N416" s="10">
        <f>IF(COUNTA(J416:M416)=0,"",MIN(10,SUMPRODUCT((COUNTIF(J416:M416,L_KOM)&gt;0)*S_KOM)))</f>
        <v/>
      </c>
      <c r="O416" s="11" t="n"/>
      <c r="P416" s="10">
        <f>IF(O416="","",IFERROR(VLOOKUP(O416,T_KHID,2,FALSE),0))</f>
        <v/>
      </c>
      <c r="Q416" s="11" t="n"/>
      <c r="R416" s="11" t="n"/>
      <c r="S416" s="10">
        <f>IF(AND(Q416="",R416=""),"",IFERROR(INDEX(T_LIBAT,MATCH(Q416,L_PER,0),MATCH(R416,L_JENIS,0)),0))</f>
        <v/>
      </c>
      <c r="T416" s="11" t="n"/>
      <c r="U416" s="11" t="n"/>
      <c r="V416" s="10">
        <f>IF(AND(T416="",U416=""),"",IFERROR(INDEX(T_CAPAI,MATCH(T416,L_PER,0),MATCH(U416,L_KED,0)),0))</f>
        <v/>
      </c>
      <c r="W416" s="17">
        <f>IF(OR(B416="",E416="",COUNTA(F416,H416,J416:M416,O416,Q416:R416,T416:U416)=0),"",SUM(G416,I416,N416,P416,S416,V416))</f>
        <v/>
      </c>
      <c r="X416" s="18">
        <f>IF(W416="","",IF(Murid!F416="TL","TL",ROUND(W416/110*100,2)))</f>
        <v/>
      </c>
    </row>
    <row r="417">
      <c r="A417" s="15">
        <f>Murid!A417</f>
        <v/>
      </c>
      <c r="B417" s="15">
        <f>IF(Murid!B417="","",Murid!B417)</f>
        <v/>
      </c>
      <c r="C417" s="16">
        <f>IF(Murid!C417="","",Murid!C417)</f>
        <v/>
      </c>
      <c r="D417" s="15">
        <f>IF(Murid!E417="","",Murid!E417)</f>
        <v/>
      </c>
      <c r="E417" s="11" t="n"/>
      <c r="F417" s="11" t="n"/>
      <c r="G417" s="10">
        <f>IF(F417="","",IFERROR(VLOOKUP(F417,T_JKP,2,FALSE),0))</f>
        <v/>
      </c>
      <c r="H417" s="11" t="n"/>
      <c r="I417" s="17">
        <f>IF(H417="","",IF(H417&gt;=12,40,ROUND(H417*3.33,2)))</f>
        <v/>
      </c>
      <c r="J417" s="11" t="n"/>
      <c r="K417" s="11" t="n"/>
      <c r="L417" s="11" t="n"/>
      <c r="M417" s="11" t="n"/>
      <c r="N417" s="10">
        <f>IF(COUNTA(J417:M417)=0,"",MIN(10,SUMPRODUCT((COUNTIF(J417:M417,L_KOM)&gt;0)*S_KOM)))</f>
        <v/>
      </c>
      <c r="O417" s="11" t="n"/>
      <c r="P417" s="10">
        <f>IF(O417="","",IFERROR(VLOOKUP(O417,T_KHID,2,FALSE),0))</f>
        <v/>
      </c>
      <c r="Q417" s="11" t="n"/>
      <c r="R417" s="11" t="n"/>
      <c r="S417" s="10">
        <f>IF(AND(Q417="",R417=""),"",IFERROR(INDEX(T_LIBAT,MATCH(Q417,L_PER,0),MATCH(R417,L_JENIS,0)),0))</f>
        <v/>
      </c>
      <c r="T417" s="11" t="n"/>
      <c r="U417" s="11" t="n"/>
      <c r="V417" s="10">
        <f>IF(AND(T417="",U417=""),"",IFERROR(INDEX(T_CAPAI,MATCH(T417,L_PER,0),MATCH(U417,L_KED,0)),0))</f>
        <v/>
      </c>
      <c r="W417" s="17">
        <f>IF(OR(B417="",E417="",COUNTA(F417,H417,J417:M417,O417,Q417:R417,T417:U417)=0),"",SUM(G417,I417,N417,P417,S417,V417))</f>
        <v/>
      </c>
      <c r="X417" s="18">
        <f>IF(W417="","",IF(Murid!F417="TL","TL",ROUND(W417/110*100,2)))</f>
        <v/>
      </c>
    </row>
    <row r="418">
      <c r="A418" s="15">
        <f>Murid!A418</f>
        <v/>
      </c>
      <c r="B418" s="15">
        <f>IF(Murid!B418="","",Murid!B418)</f>
        <v/>
      </c>
      <c r="C418" s="16">
        <f>IF(Murid!C418="","",Murid!C418)</f>
        <v/>
      </c>
      <c r="D418" s="15">
        <f>IF(Murid!E418="","",Murid!E418)</f>
        <v/>
      </c>
      <c r="E418" s="11" t="n"/>
      <c r="F418" s="11" t="n"/>
      <c r="G418" s="10">
        <f>IF(F418="","",IFERROR(VLOOKUP(F418,T_JKP,2,FALSE),0))</f>
        <v/>
      </c>
      <c r="H418" s="11" t="n"/>
      <c r="I418" s="17">
        <f>IF(H418="","",IF(H418&gt;=12,40,ROUND(H418*3.33,2)))</f>
        <v/>
      </c>
      <c r="J418" s="11" t="n"/>
      <c r="K418" s="11" t="n"/>
      <c r="L418" s="11" t="n"/>
      <c r="M418" s="11" t="n"/>
      <c r="N418" s="10">
        <f>IF(COUNTA(J418:M418)=0,"",MIN(10,SUMPRODUCT((COUNTIF(J418:M418,L_KOM)&gt;0)*S_KOM)))</f>
        <v/>
      </c>
      <c r="O418" s="11" t="n"/>
      <c r="P418" s="10">
        <f>IF(O418="","",IFERROR(VLOOKUP(O418,T_KHID,2,FALSE),0))</f>
        <v/>
      </c>
      <c r="Q418" s="11" t="n"/>
      <c r="R418" s="11" t="n"/>
      <c r="S418" s="10">
        <f>IF(AND(Q418="",R418=""),"",IFERROR(INDEX(T_LIBAT,MATCH(Q418,L_PER,0),MATCH(R418,L_JENIS,0)),0))</f>
        <v/>
      </c>
      <c r="T418" s="11" t="n"/>
      <c r="U418" s="11" t="n"/>
      <c r="V418" s="10">
        <f>IF(AND(T418="",U418=""),"",IFERROR(INDEX(T_CAPAI,MATCH(T418,L_PER,0),MATCH(U418,L_KED,0)),0))</f>
        <v/>
      </c>
      <c r="W418" s="17">
        <f>IF(OR(B418="",E418="",COUNTA(F418,H418,J418:M418,O418,Q418:R418,T418:U418)=0),"",SUM(G418,I418,N418,P418,S418,V418))</f>
        <v/>
      </c>
      <c r="X418" s="18">
        <f>IF(W418="","",IF(Murid!F418="TL","TL",ROUND(W418/110*100,2)))</f>
        <v/>
      </c>
    </row>
    <row r="419">
      <c r="A419" s="15">
        <f>Murid!A419</f>
        <v/>
      </c>
      <c r="B419" s="15">
        <f>IF(Murid!B419="","",Murid!B419)</f>
        <v/>
      </c>
      <c r="C419" s="16">
        <f>IF(Murid!C419="","",Murid!C419)</f>
        <v/>
      </c>
      <c r="D419" s="15">
        <f>IF(Murid!E419="","",Murid!E419)</f>
        <v/>
      </c>
      <c r="E419" s="11" t="n"/>
      <c r="F419" s="11" t="n"/>
      <c r="G419" s="10">
        <f>IF(F419="","",IFERROR(VLOOKUP(F419,T_JKP,2,FALSE),0))</f>
        <v/>
      </c>
      <c r="H419" s="11" t="n"/>
      <c r="I419" s="17">
        <f>IF(H419="","",IF(H419&gt;=12,40,ROUND(H419*3.33,2)))</f>
        <v/>
      </c>
      <c r="J419" s="11" t="n"/>
      <c r="K419" s="11" t="n"/>
      <c r="L419" s="11" t="n"/>
      <c r="M419" s="11" t="n"/>
      <c r="N419" s="10">
        <f>IF(COUNTA(J419:M419)=0,"",MIN(10,SUMPRODUCT((COUNTIF(J419:M419,L_KOM)&gt;0)*S_KOM)))</f>
        <v/>
      </c>
      <c r="O419" s="11" t="n"/>
      <c r="P419" s="10">
        <f>IF(O419="","",IFERROR(VLOOKUP(O419,T_KHID,2,FALSE),0))</f>
        <v/>
      </c>
      <c r="Q419" s="11" t="n"/>
      <c r="R419" s="11" t="n"/>
      <c r="S419" s="10">
        <f>IF(AND(Q419="",R419=""),"",IFERROR(INDEX(T_LIBAT,MATCH(Q419,L_PER,0),MATCH(R419,L_JENIS,0)),0))</f>
        <v/>
      </c>
      <c r="T419" s="11" t="n"/>
      <c r="U419" s="11" t="n"/>
      <c r="V419" s="10">
        <f>IF(AND(T419="",U419=""),"",IFERROR(INDEX(T_CAPAI,MATCH(T419,L_PER,0),MATCH(U419,L_KED,0)),0))</f>
        <v/>
      </c>
      <c r="W419" s="17">
        <f>IF(OR(B419="",E419="",COUNTA(F419,H419,J419:M419,O419,Q419:R419,T419:U419)=0),"",SUM(G419,I419,N419,P419,S419,V419))</f>
        <v/>
      </c>
      <c r="X419" s="18">
        <f>IF(W419="","",IF(Murid!F419="TL","TL",ROUND(W419/110*100,2)))</f>
        <v/>
      </c>
    </row>
    <row r="420">
      <c r="A420" s="15">
        <f>Murid!A420</f>
        <v/>
      </c>
      <c r="B420" s="15">
        <f>IF(Murid!B420="","",Murid!B420)</f>
        <v/>
      </c>
      <c r="C420" s="16">
        <f>IF(Murid!C420="","",Murid!C420)</f>
        <v/>
      </c>
      <c r="D420" s="15">
        <f>IF(Murid!E420="","",Murid!E420)</f>
        <v/>
      </c>
      <c r="E420" s="11" t="n"/>
      <c r="F420" s="11" t="n"/>
      <c r="G420" s="10">
        <f>IF(F420="","",IFERROR(VLOOKUP(F420,T_JKP,2,FALSE),0))</f>
        <v/>
      </c>
      <c r="H420" s="11" t="n"/>
      <c r="I420" s="17">
        <f>IF(H420="","",IF(H420&gt;=12,40,ROUND(H420*3.33,2)))</f>
        <v/>
      </c>
      <c r="J420" s="11" t="n"/>
      <c r="K420" s="11" t="n"/>
      <c r="L420" s="11" t="n"/>
      <c r="M420" s="11" t="n"/>
      <c r="N420" s="10">
        <f>IF(COUNTA(J420:M420)=0,"",MIN(10,SUMPRODUCT((COUNTIF(J420:M420,L_KOM)&gt;0)*S_KOM)))</f>
        <v/>
      </c>
      <c r="O420" s="11" t="n"/>
      <c r="P420" s="10">
        <f>IF(O420="","",IFERROR(VLOOKUP(O420,T_KHID,2,FALSE),0))</f>
        <v/>
      </c>
      <c r="Q420" s="11" t="n"/>
      <c r="R420" s="11" t="n"/>
      <c r="S420" s="10">
        <f>IF(AND(Q420="",R420=""),"",IFERROR(INDEX(T_LIBAT,MATCH(Q420,L_PER,0),MATCH(R420,L_JENIS,0)),0))</f>
        <v/>
      </c>
      <c r="T420" s="11" t="n"/>
      <c r="U420" s="11" t="n"/>
      <c r="V420" s="10">
        <f>IF(AND(T420="",U420=""),"",IFERROR(INDEX(T_CAPAI,MATCH(T420,L_PER,0),MATCH(U420,L_KED,0)),0))</f>
        <v/>
      </c>
      <c r="W420" s="17">
        <f>IF(OR(B420="",E420="",COUNTA(F420,H420,J420:M420,O420,Q420:R420,T420:U420)=0),"",SUM(G420,I420,N420,P420,S420,V420))</f>
        <v/>
      </c>
      <c r="X420" s="18">
        <f>IF(W420="","",IF(Murid!F420="TL","TL",ROUND(W420/110*100,2)))</f>
        <v/>
      </c>
    </row>
    <row r="421">
      <c r="A421" s="15">
        <f>Murid!A421</f>
        <v/>
      </c>
      <c r="B421" s="15">
        <f>IF(Murid!B421="","",Murid!B421)</f>
        <v/>
      </c>
      <c r="C421" s="16">
        <f>IF(Murid!C421="","",Murid!C421)</f>
        <v/>
      </c>
      <c r="D421" s="15">
        <f>IF(Murid!E421="","",Murid!E421)</f>
        <v/>
      </c>
      <c r="E421" s="11" t="n"/>
      <c r="F421" s="11" t="n"/>
      <c r="G421" s="10">
        <f>IF(F421="","",IFERROR(VLOOKUP(F421,T_JKP,2,FALSE),0))</f>
        <v/>
      </c>
      <c r="H421" s="11" t="n"/>
      <c r="I421" s="17">
        <f>IF(H421="","",IF(H421&gt;=12,40,ROUND(H421*3.33,2)))</f>
        <v/>
      </c>
      <c r="J421" s="11" t="n"/>
      <c r="K421" s="11" t="n"/>
      <c r="L421" s="11" t="n"/>
      <c r="M421" s="11" t="n"/>
      <c r="N421" s="10">
        <f>IF(COUNTA(J421:M421)=0,"",MIN(10,SUMPRODUCT((COUNTIF(J421:M421,L_KOM)&gt;0)*S_KOM)))</f>
        <v/>
      </c>
      <c r="O421" s="11" t="n"/>
      <c r="P421" s="10">
        <f>IF(O421="","",IFERROR(VLOOKUP(O421,T_KHID,2,FALSE),0))</f>
        <v/>
      </c>
      <c r="Q421" s="11" t="n"/>
      <c r="R421" s="11" t="n"/>
      <c r="S421" s="10">
        <f>IF(AND(Q421="",R421=""),"",IFERROR(INDEX(T_LIBAT,MATCH(Q421,L_PER,0),MATCH(R421,L_JENIS,0)),0))</f>
        <v/>
      </c>
      <c r="T421" s="11" t="n"/>
      <c r="U421" s="11" t="n"/>
      <c r="V421" s="10">
        <f>IF(AND(T421="",U421=""),"",IFERROR(INDEX(T_CAPAI,MATCH(T421,L_PER,0),MATCH(U421,L_KED,0)),0))</f>
        <v/>
      </c>
      <c r="W421" s="17">
        <f>IF(OR(B421="",E421="",COUNTA(F421,H421,J421:M421,O421,Q421:R421,T421:U421)=0),"",SUM(G421,I421,N421,P421,S421,V421))</f>
        <v/>
      </c>
      <c r="X421" s="18">
        <f>IF(W421="","",IF(Murid!F421="TL","TL",ROUND(W421/110*100,2)))</f>
        <v/>
      </c>
    </row>
    <row r="422">
      <c r="A422" s="15">
        <f>Murid!A422</f>
        <v/>
      </c>
      <c r="B422" s="15">
        <f>IF(Murid!B422="","",Murid!B422)</f>
        <v/>
      </c>
      <c r="C422" s="16">
        <f>IF(Murid!C422="","",Murid!C422)</f>
        <v/>
      </c>
      <c r="D422" s="15">
        <f>IF(Murid!E422="","",Murid!E422)</f>
        <v/>
      </c>
      <c r="E422" s="11" t="n"/>
      <c r="F422" s="11" t="n"/>
      <c r="G422" s="10">
        <f>IF(F422="","",IFERROR(VLOOKUP(F422,T_JKP,2,FALSE),0))</f>
        <v/>
      </c>
      <c r="H422" s="11" t="n"/>
      <c r="I422" s="17">
        <f>IF(H422="","",IF(H422&gt;=12,40,ROUND(H422*3.33,2)))</f>
        <v/>
      </c>
      <c r="J422" s="11" t="n"/>
      <c r="K422" s="11" t="n"/>
      <c r="L422" s="11" t="n"/>
      <c r="M422" s="11" t="n"/>
      <c r="N422" s="10">
        <f>IF(COUNTA(J422:M422)=0,"",MIN(10,SUMPRODUCT((COUNTIF(J422:M422,L_KOM)&gt;0)*S_KOM)))</f>
        <v/>
      </c>
      <c r="O422" s="11" t="n"/>
      <c r="P422" s="10">
        <f>IF(O422="","",IFERROR(VLOOKUP(O422,T_KHID,2,FALSE),0))</f>
        <v/>
      </c>
      <c r="Q422" s="11" t="n"/>
      <c r="R422" s="11" t="n"/>
      <c r="S422" s="10">
        <f>IF(AND(Q422="",R422=""),"",IFERROR(INDEX(T_LIBAT,MATCH(Q422,L_PER,0),MATCH(R422,L_JENIS,0)),0))</f>
        <v/>
      </c>
      <c r="T422" s="11" t="n"/>
      <c r="U422" s="11" t="n"/>
      <c r="V422" s="10">
        <f>IF(AND(T422="",U422=""),"",IFERROR(INDEX(T_CAPAI,MATCH(T422,L_PER,0),MATCH(U422,L_KED,0)),0))</f>
        <v/>
      </c>
      <c r="W422" s="17">
        <f>IF(OR(B422="",E422="",COUNTA(F422,H422,J422:M422,O422,Q422:R422,T422:U422)=0),"",SUM(G422,I422,N422,P422,S422,V422))</f>
        <v/>
      </c>
      <c r="X422" s="18">
        <f>IF(W422="","",IF(Murid!F422="TL","TL",ROUND(W422/110*100,2)))</f>
        <v/>
      </c>
    </row>
    <row r="423">
      <c r="A423" s="15">
        <f>Murid!A423</f>
        <v/>
      </c>
      <c r="B423" s="15">
        <f>IF(Murid!B423="","",Murid!B423)</f>
        <v/>
      </c>
      <c r="C423" s="16">
        <f>IF(Murid!C423="","",Murid!C423)</f>
        <v/>
      </c>
      <c r="D423" s="15">
        <f>IF(Murid!E423="","",Murid!E423)</f>
        <v/>
      </c>
      <c r="E423" s="11" t="n"/>
      <c r="F423" s="11" t="n"/>
      <c r="G423" s="10">
        <f>IF(F423="","",IFERROR(VLOOKUP(F423,T_JKP,2,FALSE),0))</f>
        <v/>
      </c>
      <c r="H423" s="11" t="n"/>
      <c r="I423" s="17">
        <f>IF(H423="","",IF(H423&gt;=12,40,ROUND(H423*3.33,2)))</f>
        <v/>
      </c>
      <c r="J423" s="11" t="n"/>
      <c r="K423" s="11" t="n"/>
      <c r="L423" s="11" t="n"/>
      <c r="M423" s="11" t="n"/>
      <c r="N423" s="10">
        <f>IF(COUNTA(J423:M423)=0,"",MIN(10,SUMPRODUCT((COUNTIF(J423:M423,L_KOM)&gt;0)*S_KOM)))</f>
        <v/>
      </c>
      <c r="O423" s="11" t="n"/>
      <c r="P423" s="10">
        <f>IF(O423="","",IFERROR(VLOOKUP(O423,T_KHID,2,FALSE),0))</f>
        <v/>
      </c>
      <c r="Q423" s="11" t="n"/>
      <c r="R423" s="11" t="n"/>
      <c r="S423" s="10">
        <f>IF(AND(Q423="",R423=""),"",IFERROR(INDEX(T_LIBAT,MATCH(Q423,L_PER,0),MATCH(R423,L_JENIS,0)),0))</f>
        <v/>
      </c>
      <c r="T423" s="11" t="n"/>
      <c r="U423" s="11" t="n"/>
      <c r="V423" s="10">
        <f>IF(AND(T423="",U423=""),"",IFERROR(INDEX(T_CAPAI,MATCH(T423,L_PER,0),MATCH(U423,L_KED,0)),0))</f>
        <v/>
      </c>
      <c r="W423" s="17">
        <f>IF(OR(B423="",E423="",COUNTA(F423,H423,J423:M423,O423,Q423:R423,T423:U423)=0),"",SUM(G423,I423,N423,P423,S423,V423))</f>
        <v/>
      </c>
      <c r="X423" s="18">
        <f>IF(W423="","",IF(Murid!F423="TL","TL",ROUND(W423/110*100,2)))</f>
        <v/>
      </c>
    </row>
    <row r="424">
      <c r="A424" s="15">
        <f>Murid!A424</f>
        <v/>
      </c>
      <c r="B424" s="15">
        <f>IF(Murid!B424="","",Murid!B424)</f>
        <v/>
      </c>
      <c r="C424" s="16">
        <f>IF(Murid!C424="","",Murid!C424)</f>
        <v/>
      </c>
      <c r="D424" s="15">
        <f>IF(Murid!E424="","",Murid!E424)</f>
        <v/>
      </c>
      <c r="E424" s="11" t="n"/>
      <c r="F424" s="11" t="n"/>
      <c r="G424" s="10">
        <f>IF(F424="","",IFERROR(VLOOKUP(F424,T_JKP,2,FALSE),0))</f>
        <v/>
      </c>
      <c r="H424" s="11" t="n"/>
      <c r="I424" s="17">
        <f>IF(H424="","",IF(H424&gt;=12,40,ROUND(H424*3.33,2)))</f>
        <v/>
      </c>
      <c r="J424" s="11" t="n"/>
      <c r="K424" s="11" t="n"/>
      <c r="L424" s="11" t="n"/>
      <c r="M424" s="11" t="n"/>
      <c r="N424" s="10">
        <f>IF(COUNTA(J424:M424)=0,"",MIN(10,SUMPRODUCT((COUNTIF(J424:M424,L_KOM)&gt;0)*S_KOM)))</f>
        <v/>
      </c>
      <c r="O424" s="11" t="n"/>
      <c r="P424" s="10">
        <f>IF(O424="","",IFERROR(VLOOKUP(O424,T_KHID,2,FALSE),0))</f>
        <v/>
      </c>
      <c r="Q424" s="11" t="n"/>
      <c r="R424" s="11" t="n"/>
      <c r="S424" s="10">
        <f>IF(AND(Q424="",R424=""),"",IFERROR(INDEX(T_LIBAT,MATCH(Q424,L_PER,0),MATCH(R424,L_JENIS,0)),0))</f>
        <v/>
      </c>
      <c r="T424" s="11" t="n"/>
      <c r="U424" s="11" t="n"/>
      <c r="V424" s="10">
        <f>IF(AND(T424="",U424=""),"",IFERROR(INDEX(T_CAPAI,MATCH(T424,L_PER,0),MATCH(U424,L_KED,0)),0))</f>
        <v/>
      </c>
      <c r="W424" s="17">
        <f>IF(OR(B424="",E424="",COUNTA(F424,H424,J424:M424,O424,Q424:R424,T424:U424)=0),"",SUM(G424,I424,N424,P424,S424,V424))</f>
        <v/>
      </c>
      <c r="X424" s="18">
        <f>IF(W424="","",IF(Murid!F424="TL","TL",ROUND(W424/110*100,2)))</f>
        <v/>
      </c>
    </row>
    <row r="425">
      <c r="A425" s="15">
        <f>Murid!A425</f>
        <v/>
      </c>
      <c r="B425" s="15">
        <f>IF(Murid!B425="","",Murid!B425)</f>
        <v/>
      </c>
      <c r="C425" s="16">
        <f>IF(Murid!C425="","",Murid!C425)</f>
        <v/>
      </c>
      <c r="D425" s="15">
        <f>IF(Murid!E425="","",Murid!E425)</f>
        <v/>
      </c>
      <c r="E425" s="11" t="n"/>
      <c r="F425" s="11" t="n"/>
      <c r="G425" s="10">
        <f>IF(F425="","",IFERROR(VLOOKUP(F425,T_JKP,2,FALSE),0))</f>
        <v/>
      </c>
      <c r="H425" s="11" t="n"/>
      <c r="I425" s="17">
        <f>IF(H425="","",IF(H425&gt;=12,40,ROUND(H425*3.33,2)))</f>
        <v/>
      </c>
      <c r="J425" s="11" t="n"/>
      <c r="K425" s="11" t="n"/>
      <c r="L425" s="11" t="n"/>
      <c r="M425" s="11" t="n"/>
      <c r="N425" s="10">
        <f>IF(COUNTA(J425:M425)=0,"",MIN(10,SUMPRODUCT((COUNTIF(J425:M425,L_KOM)&gt;0)*S_KOM)))</f>
        <v/>
      </c>
      <c r="O425" s="11" t="n"/>
      <c r="P425" s="10">
        <f>IF(O425="","",IFERROR(VLOOKUP(O425,T_KHID,2,FALSE),0))</f>
        <v/>
      </c>
      <c r="Q425" s="11" t="n"/>
      <c r="R425" s="11" t="n"/>
      <c r="S425" s="10">
        <f>IF(AND(Q425="",R425=""),"",IFERROR(INDEX(T_LIBAT,MATCH(Q425,L_PER,0),MATCH(R425,L_JENIS,0)),0))</f>
        <v/>
      </c>
      <c r="T425" s="11" t="n"/>
      <c r="U425" s="11" t="n"/>
      <c r="V425" s="10">
        <f>IF(AND(T425="",U425=""),"",IFERROR(INDEX(T_CAPAI,MATCH(T425,L_PER,0),MATCH(U425,L_KED,0)),0))</f>
        <v/>
      </c>
      <c r="W425" s="17">
        <f>IF(OR(B425="",E425="",COUNTA(F425,H425,J425:M425,O425,Q425:R425,T425:U425)=0),"",SUM(G425,I425,N425,P425,S425,V425))</f>
        <v/>
      </c>
      <c r="X425" s="18">
        <f>IF(W425="","",IF(Murid!F425="TL","TL",ROUND(W425/110*100,2)))</f>
        <v/>
      </c>
    </row>
    <row r="426">
      <c r="A426" s="15">
        <f>Murid!A426</f>
        <v/>
      </c>
      <c r="B426" s="15">
        <f>IF(Murid!B426="","",Murid!B426)</f>
        <v/>
      </c>
      <c r="C426" s="16">
        <f>IF(Murid!C426="","",Murid!C426)</f>
        <v/>
      </c>
      <c r="D426" s="15">
        <f>IF(Murid!E426="","",Murid!E426)</f>
        <v/>
      </c>
      <c r="E426" s="11" t="n"/>
      <c r="F426" s="11" t="n"/>
      <c r="G426" s="10">
        <f>IF(F426="","",IFERROR(VLOOKUP(F426,T_JKP,2,FALSE),0))</f>
        <v/>
      </c>
      <c r="H426" s="11" t="n"/>
      <c r="I426" s="17">
        <f>IF(H426="","",IF(H426&gt;=12,40,ROUND(H426*3.33,2)))</f>
        <v/>
      </c>
      <c r="J426" s="11" t="n"/>
      <c r="K426" s="11" t="n"/>
      <c r="L426" s="11" t="n"/>
      <c r="M426" s="11" t="n"/>
      <c r="N426" s="10">
        <f>IF(COUNTA(J426:M426)=0,"",MIN(10,SUMPRODUCT((COUNTIF(J426:M426,L_KOM)&gt;0)*S_KOM)))</f>
        <v/>
      </c>
      <c r="O426" s="11" t="n"/>
      <c r="P426" s="10">
        <f>IF(O426="","",IFERROR(VLOOKUP(O426,T_KHID,2,FALSE),0))</f>
        <v/>
      </c>
      <c r="Q426" s="11" t="n"/>
      <c r="R426" s="11" t="n"/>
      <c r="S426" s="10">
        <f>IF(AND(Q426="",R426=""),"",IFERROR(INDEX(T_LIBAT,MATCH(Q426,L_PER,0),MATCH(R426,L_JENIS,0)),0))</f>
        <v/>
      </c>
      <c r="T426" s="11" t="n"/>
      <c r="U426" s="11" t="n"/>
      <c r="V426" s="10">
        <f>IF(AND(T426="",U426=""),"",IFERROR(INDEX(T_CAPAI,MATCH(T426,L_PER,0),MATCH(U426,L_KED,0)),0))</f>
        <v/>
      </c>
      <c r="W426" s="17">
        <f>IF(OR(B426="",E426="",COUNTA(F426,H426,J426:M426,O426,Q426:R426,T426:U426)=0),"",SUM(G426,I426,N426,P426,S426,V426))</f>
        <v/>
      </c>
      <c r="X426" s="18">
        <f>IF(W426="","",IF(Murid!F426="TL","TL",ROUND(W426/110*100,2)))</f>
        <v/>
      </c>
    </row>
    <row r="427">
      <c r="A427" s="15">
        <f>Murid!A427</f>
        <v/>
      </c>
      <c r="B427" s="15">
        <f>IF(Murid!B427="","",Murid!B427)</f>
        <v/>
      </c>
      <c r="C427" s="16">
        <f>IF(Murid!C427="","",Murid!C427)</f>
        <v/>
      </c>
      <c r="D427" s="15">
        <f>IF(Murid!E427="","",Murid!E427)</f>
        <v/>
      </c>
      <c r="E427" s="11" t="n"/>
      <c r="F427" s="11" t="n"/>
      <c r="G427" s="10">
        <f>IF(F427="","",IFERROR(VLOOKUP(F427,T_JKP,2,FALSE),0))</f>
        <v/>
      </c>
      <c r="H427" s="11" t="n"/>
      <c r="I427" s="17">
        <f>IF(H427="","",IF(H427&gt;=12,40,ROUND(H427*3.33,2)))</f>
        <v/>
      </c>
      <c r="J427" s="11" t="n"/>
      <c r="K427" s="11" t="n"/>
      <c r="L427" s="11" t="n"/>
      <c r="M427" s="11" t="n"/>
      <c r="N427" s="10">
        <f>IF(COUNTA(J427:M427)=0,"",MIN(10,SUMPRODUCT((COUNTIF(J427:M427,L_KOM)&gt;0)*S_KOM)))</f>
        <v/>
      </c>
      <c r="O427" s="11" t="n"/>
      <c r="P427" s="10">
        <f>IF(O427="","",IFERROR(VLOOKUP(O427,T_KHID,2,FALSE),0))</f>
        <v/>
      </c>
      <c r="Q427" s="11" t="n"/>
      <c r="R427" s="11" t="n"/>
      <c r="S427" s="10">
        <f>IF(AND(Q427="",R427=""),"",IFERROR(INDEX(T_LIBAT,MATCH(Q427,L_PER,0),MATCH(R427,L_JENIS,0)),0))</f>
        <v/>
      </c>
      <c r="T427" s="11" t="n"/>
      <c r="U427" s="11" t="n"/>
      <c r="V427" s="10">
        <f>IF(AND(T427="",U427=""),"",IFERROR(INDEX(T_CAPAI,MATCH(T427,L_PER,0),MATCH(U427,L_KED,0)),0))</f>
        <v/>
      </c>
      <c r="W427" s="17">
        <f>IF(OR(B427="",E427="",COUNTA(F427,H427,J427:M427,O427,Q427:R427,T427:U427)=0),"",SUM(G427,I427,N427,P427,S427,V427))</f>
        <v/>
      </c>
      <c r="X427" s="18">
        <f>IF(W427="","",IF(Murid!F427="TL","TL",ROUND(W427/110*100,2)))</f>
        <v/>
      </c>
    </row>
    <row r="428">
      <c r="A428" s="15">
        <f>Murid!A428</f>
        <v/>
      </c>
      <c r="B428" s="15">
        <f>IF(Murid!B428="","",Murid!B428)</f>
        <v/>
      </c>
      <c r="C428" s="16">
        <f>IF(Murid!C428="","",Murid!C428)</f>
        <v/>
      </c>
      <c r="D428" s="15">
        <f>IF(Murid!E428="","",Murid!E428)</f>
        <v/>
      </c>
      <c r="E428" s="11" t="n"/>
      <c r="F428" s="11" t="n"/>
      <c r="G428" s="10">
        <f>IF(F428="","",IFERROR(VLOOKUP(F428,T_JKP,2,FALSE),0))</f>
        <v/>
      </c>
      <c r="H428" s="11" t="n"/>
      <c r="I428" s="17">
        <f>IF(H428="","",IF(H428&gt;=12,40,ROUND(H428*3.33,2)))</f>
        <v/>
      </c>
      <c r="J428" s="11" t="n"/>
      <c r="K428" s="11" t="n"/>
      <c r="L428" s="11" t="n"/>
      <c r="M428" s="11" t="n"/>
      <c r="N428" s="10">
        <f>IF(COUNTA(J428:M428)=0,"",MIN(10,SUMPRODUCT((COUNTIF(J428:M428,L_KOM)&gt;0)*S_KOM)))</f>
        <v/>
      </c>
      <c r="O428" s="11" t="n"/>
      <c r="P428" s="10">
        <f>IF(O428="","",IFERROR(VLOOKUP(O428,T_KHID,2,FALSE),0))</f>
        <v/>
      </c>
      <c r="Q428" s="11" t="n"/>
      <c r="R428" s="11" t="n"/>
      <c r="S428" s="10">
        <f>IF(AND(Q428="",R428=""),"",IFERROR(INDEX(T_LIBAT,MATCH(Q428,L_PER,0),MATCH(R428,L_JENIS,0)),0))</f>
        <v/>
      </c>
      <c r="T428" s="11" t="n"/>
      <c r="U428" s="11" t="n"/>
      <c r="V428" s="10">
        <f>IF(AND(T428="",U428=""),"",IFERROR(INDEX(T_CAPAI,MATCH(T428,L_PER,0),MATCH(U428,L_KED,0)),0))</f>
        <v/>
      </c>
      <c r="W428" s="17">
        <f>IF(OR(B428="",E428="",COUNTA(F428,H428,J428:M428,O428,Q428:R428,T428:U428)=0),"",SUM(G428,I428,N428,P428,S428,V428))</f>
        <v/>
      </c>
      <c r="X428" s="18">
        <f>IF(W428="","",IF(Murid!F428="TL","TL",ROUND(W428/110*100,2)))</f>
        <v/>
      </c>
    </row>
    <row r="429">
      <c r="A429" s="15">
        <f>Murid!A429</f>
        <v/>
      </c>
      <c r="B429" s="15">
        <f>IF(Murid!B429="","",Murid!B429)</f>
        <v/>
      </c>
      <c r="C429" s="16">
        <f>IF(Murid!C429="","",Murid!C429)</f>
        <v/>
      </c>
      <c r="D429" s="15">
        <f>IF(Murid!E429="","",Murid!E429)</f>
        <v/>
      </c>
      <c r="E429" s="11" t="n"/>
      <c r="F429" s="11" t="n"/>
      <c r="G429" s="10">
        <f>IF(F429="","",IFERROR(VLOOKUP(F429,T_JKP,2,FALSE),0))</f>
        <v/>
      </c>
      <c r="H429" s="11" t="n"/>
      <c r="I429" s="17">
        <f>IF(H429="","",IF(H429&gt;=12,40,ROUND(H429*3.33,2)))</f>
        <v/>
      </c>
      <c r="J429" s="11" t="n"/>
      <c r="K429" s="11" t="n"/>
      <c r="L429" s="11" t="n"/>
      <c r="M429" s="11" t="n"/>
      <c r="N429" s="10">
        <f>IF(COUNTA(J429:M429)=0,"",MIN(10,SUMPRODUCT((COUNTIF(J429:M429,L_KOM)&gt;0)*S_KOM)))</f>
        <v/>
      </c>
      <c r="O429" s="11" t="n"/>
      <c r="P429" s="10">
        <f>IF(O429="","",IFERROR(VLOOKUP(O429,T_KHID,2,FALSE),0))</f>
        <v/>
      </c>
      <c r="Q429" s="11" t="n"/>
      <c r="R429" s="11" t="n"/>
      <c r="S429" s="10">
        <f>IF(AND(Q429="",R429=""),"",IFERROR(INDEX(T_LIBAT,MATCH(Q429,L_PER,0),MATCH(R429,L_JENIS,0)),0))</f>
        <v/>
      </c>
      <c r="T429" s="11" t="n"/>
      <c r="U429" s="11" t="n"/>
      <c r="V429" s="10">
        <f>IF(AND(T429="",U429=""),"",IFERROR(INDEX(T_CAPAI,MATCH(T429,L_PER,0),MATCH(U429,L_KED,0)),0))</f>
        <v/>
      </c>
      <c r="W429" s="17">
        <f>IF(OR(B429="",E429="",COUNTA(F429,H429,J429:M429,O429,Q429:R429,T429:U429)=0),"",SUM(G429,I429,N429,P429,S429,V429))</f>
        <v/>
      </c>
      <c r="X429" s="18">
        <f>IF(W429="","",IF(Murid!F429="TL","TL",ROUND(W429/110*100,2)))</f>
        <v/>
      </c>
    </row>
    <row r="430">
      <c r="A430" s="15">
        <f>Murid!A430</f>
        <v/>
      </c>
      <c r="B430" s="15">
        <f>IF(Murid!B430="","",Murid!B430)</f>
        <v/>
      </c>
      <c r="C430" s="16">
        <f>IF(Murid!C430="","",Murid!C430)</f>
        <v/>
      </c>
      <c r="D430" s="15">
        <f>IF(Murid!E430="","",Murid!E430)</f>
        <v/>
      </c>
      <c r="E430" s="11" t="n"/>
      <c r="F430" s="11" t="n"/>
      <c r="G430" s="10">
        <f>IF(F430="","",IFERROR(VLOOKUP(F430,T_JKP,2,FALSE),0))</f>
        <v/>
      </c>
      <c r="H430" s="11" t="n"/>
      <c r="I430" s="17">
        <f>IF(H430="","",IF(H430&gt;=12,40,ROUND(H430*3.33,2)))</f>
        <v/>
      </c>
      <c r="J430" s="11" t="n"/>
      <c r="K430" s="11" t="n"/>
      <c r="L430" s="11" t="n"/>
      <c r="M430" s="11" t="n"/>
      <c r="N430" s="10">
        <f>IF(COUNTA(J430:M430)=0,"",MIN(10,SUMPRODUCT((COUNTIF(J430:M430,L_KOM)&gt;0)*S_KOM)))</f>
        <v/>
      </c>
      <c r="O430" s="11" t="n"/>
      <c r="P430" s="10">
        <f>IF(O430="","",IFERROR(VLOOKUP(O430,T_KHID,2,FALSE),0))</f>
        <v/>
      </c>
      <c r="Q430" s="11" t="n"/>
      <c r="R430" s="11" t="n"/>
      <c r="S430" s="10">
        <f>IF(AND(Q430="",R430=""),"",IFERROR(INDEX(T_LIBAT,MATCH(Q430,L_PER,0),MATCH(R430,L_JENIS,0)),0))</f>
        <v/>
      </c>
      <c r="T430" s="11" t="n"/>
      <c r="U430" s="11" t="n"/>
      <c r="V430" s="10">
        <f>IF(AND(T430="",U430=""),"",IFERROR(INDEX(T_CAPAI,MATCH(T430,L_PER,0),MATCH(U430,L_KED,0)),0))</f>
        <v/>
      </c>
      <c r="W430" s="17">
        <f>IF(OR(B430="",E430="",COUNTA(F430,H430,J430:M430,O430,Q430:R430,T430:U430)=0),"",SUM(G430,I430,N430,P430,S430,V430))</f>
        <v/>
      </c>
      <c r="X430" s="18">
        <f>IF(W430="","",IF(Murid!F430="TL","TL",ROUND(W430/110*100,2)))</f>
        <v/>
      </c>
    </row>
    <row r="431">
      <c r="A431" s="15">
        <f>Murid!A431</f>
        <v/>
      </c>
      <c r="B431" s="15">
        <f>IF(Murid!B431="","",Murid!B431)</f>
        <v/>
      </c>
      <c r="C431" s="16">
        <f>IF(Murid!C431="","",Murid!C431)</f>
        <v/>
      </c>
      <c r="D431" s="15">
        <f>IF(Murid!E431="","",Murid!E431)</f>
        <v/>
      </c>
      <c r="E431" s="11" t="n"/>
      <c r="F431" s="11" t="n"/>
      <c r="G431" s="10">
        <f>IF(F431="","",IFERROR(VLOOKUP(F431,T_JKP,2,FALSE),0))</f>
        <v/>
      </c>
      <c r="H431" s="11" t="n"/>
      <c r="I431" s="17">
        <f>IF(H431="","",IF(H431&gt;=12,40,ROUND(H431*3.33,2)))</f>
        <v/>
      </c>
      <c r="J431" s="11" t="n"/>
      <c r="K431" s="11" t="n"/>
      <c r="L431" s="11" t="n"/>
      <c r="M431" s="11" t="n"/>
      <c r="N431" s="10">
        <f>IF(COUNTA(J431:M431)=0,"",MIN(10,SUMPRODUCT((COUNTIF(J431:M431,L_KOM)&gt;0)*S_KOM)))</f>
        <v/>
      </c>
      <c r="O431" s="11" t="n"/>
      <c r="P431" s="10">
        <f>IF(O431="","",IFERROR(VLOOKUP(O431,T_KHID,2,FALSE),0))</f>
        <v/>
      </c>
      <c r="Q431" s="11" t="n"/>
      <c r="R431" s="11" t="n"/>
      <c r="S431" s="10">
        <f>IF(AND(Q431="",R431=""),"",IFERROR(INDEX(T_LIBAT,MATCH(Q431,L_PER,0),MATCH(R431,L_JENIS,0)),0))</f>
        <v/>
      </c>
      <c r="T431" s="11" t="n"/>
      <c r="U431" s="11" t="n"/>
      <c r="V431" s="10">
        <f>IF(AND(T431="",U431=""),"",IFERROR(INDEX(T_CAPAI,MATCH(T431,L_PER,0),MATCH(U431,L_KED,0)),0))</f>
        <v/>
      </c>
      <c r="W431" s="17">
        <f>IF(OR(B431="",E431="",COUNTA(F431,H431,J431:M431,O431,Q431:R431,T431:U431)=0),"",SUM(G431,I431,N431,P431,S431,V431))</f>
        <v/>
      </c>
      <c r="X431" s="18">
        <f>IF(W431="","",IF(Murid!F431="TL","TL",ROUND(W431/110*100,2)))</f>
        <v/>
      </c>
    </row>
    <row r="432">
      <c r="A432" s="15">
        <f>Murid!A432</f>
        <v/>
      </c>
      <c r="B432" s="15">
        <f>IF(Murid!B432="","",Murid!B432)</f>
        <v/>
      </c>
      <c r="C432" s="16">
        <f>IF(Murid!C432="","",Murid!C432)</f>
        <v/>
      </c>
      <c r="D432" s="15">
        <f>IF(Murid!E432="","",Murid!E432)</f>
        <v/>
      </c>
      <c r="E432" s="11" t="n"/>
      <c r="F432" s="11" t="n"/>
      <c r="G432" s="10">
        <f>IF(F432="","",IFERROR(VLOOKUP(F432,T_JKP,2,FALSE),0))</f>
        <v/>
      </c>
      <c r="H432" s="11" t="n"/>
      <c r="I432" s="17">
        <f>IF(H432="","",IF(H432&gt;=12,40,ROUND(H432*3.33,2)))</f>
        <v/>
      </c>
      <c r="J432" s="11" t="n"/>
      <c r="K432" s="11" t="n"/>
      <c r="L432" s="11" t="n"/>
      <c r="M432" s="11" t="n"/>
      <c r="N432" s="10">
        <f>IF(COUNTA(J432:M432)=0,"",MIN(10,SUMPRODUCT((COUNTIF(J432:M432,L_KOM)&gt;0)*S_KOM)))</f>
        <v/>
      </c>
      <c r="O432" s="11" t="n"/>
      <c r="P432" s="10">
        <f>IF(O432="","",IFERROR(VLOOKUP(O432,T_KHID,2,FALSE),0))</f>
        <v/>
      </c>
      <c r="Q432" s="11" t="n"/>
      <c r="R432" s="11" t="n"/>
      <c r="S432" s="10">
        <f>IF(AND(Q432="",R432=""),"",IFERROR(INDEX(T_LIBAT,MATCH(Q432,L_PER,0),MATCH(R432,L_JENIS,0)),0))</f>
        <v/>
      </c>
      <c r="T432" s="11" t="n"/>
      <c r="U432" s="11" t="n"/>
      <c r="V432" s="10">
        <f>IF(AND(T432="",U432=""),"",IFERROR(INDEX(T_CAPAI,MATCH(T432,L_PER,0),MATCH(U432,L_KED,0)),0))</f>
        <v/>
      </c>
      <c r="W432" s="17">
        <f>IF(OR(B432="",E432="",COUNTA(F432,H432,J432:M432,O432,Q432:R432,T432:U432)=0),"",SUM(G432,I432,N432,P432,S432,V432))</f>
        <v/>
      </c>
      <c r="X432" s="18">
        <f>IF(W432="","",IF(Murid!F432="TL","TL",ROUND(W432/110*100,2)))</f>
        <v/>
      </c>
    </row>
    <row r="433">
      <c r="A433" s="15">
        <f>Murid!A433</f>
        <v/>
      </c>
      <c r="B433" s="15">
        <f>IF(Murid!B433="","",Murid!B433)</f>
        <v/>
      </c>
      <c r="C433" s="16">
        <f>IF(Murid!C433="","",Murid!C433)</f>
        <v/>
      </c>
      <c r="D433" s="15">
        <f>IF(Murid!E433="","",Murid!E433)</f>
        <v/>
      </c>
      <c r="E433" s="11" t="n"/>
      <c r="F433" s="11" t="n"/>
      <c r="G433" s="10">
        <f>IF(F433="","",IFERROR(VLOOKUP(F433,T_JKP,2,FALSE),0))</f>
        <v/>
      </c>
      <c r="H433" s="11" t="n"/>
      <c r="I433" s="17">
        <f>IF(H433="","",IF(H433&gt;=12,40,ROUND(H433*3.33,2)))</f>
        <v/>
      </c>
      <c r="J433" s="11" t="n"/>
      <c r="K433" s="11" t="n"/>
      <c r="L433" s="11" t="n"/>
      <c r="M433" s="11" t="n"/>
      <c r="N433" s="10">
        <f>IF(COUNTA(J433:M433)=0,"",MIN(10,SUMPRODUCT((COUNTIF(J433:M433,L_KOM)&gt;0)*S_KOM)))</f>
        <v/>
      </c>
      <c r="O433" s="11" t="n"/>
      <c r="P433" s="10">
        <f>IF(O433="","",IFERROR(VLOOKUP(O433,T_KHID,2,FALSE),0))</f>
        <v/>
      </c>
      <c r="Q433" s="11" t="n"/>
      <c r="R433" s="11" t="n"/>
      <c r="S433" s="10">
        <f>IF(AND(Q433="",R433=""),"",IFERROR(INDEX(T_LIBAT,MATCH(Q433,L_PER,0),MATCH(R433,L_JENIS,0)),0))</f>
        <v/>
      </c>
      <c r="T433" s="11" t="n"/>
      <c r="U433" s="11" t="n"/>
      <c r="V433" s="10">
        <f>IF(AND(T433="",U433=""),"",IFERROR(INDEX(T_CAPAI,MATCH(T433,L_PER,0),MATCH(U433,L_KED,0)),0))</f>
        <v/>
      </c>
      <c r="W433" s="17">
        <f>IF(OR(B433="",E433="",COUNTA(F433,H433,J433:M433,O433,Q433:R433,T433:U433)=0),"",SUM(G433,I433,N433,P433,S433,V433))</f>
        <v/>
      </c>
      <c r="X433" s="18">
        <f>IF(W433="","",IF(Murid!F433="TL","TL",ROUND(W433/110*100,2)))</f>
        <v/>
      </c>
    </row>
    <row r="434">
      <c r="A434" s="15">
        <f>Murid!A434</f>
        <v/>
      </c>
      <c r="B434" s="15">
        <f>IF(Murid!B434="","",Murid!B434)</f>
        <v/>
      </c>
      <c r="C434" s="16">
        <f>IF(Murid!C434="","",Murid!C434)</f>
        <v/>
      </c>
      <c r="D434" s="15">
        <f>IF(Murid!E434="","",Murid!E434)</f>
        <v/>
      </c>
      <c r="E434" s="11" t="n"/>
      <c r="F434" s="11" t="n"/>
      <c r="G434" s="10">
        <f>IF(F434="","",IFERROR(VLOOKUP(F434,T_JKP,2,FALSE),0))</f>
        <v/>
      </c>
      <c r="H434" s="11" t="n"/>
      <c r="I434" s="17">
        <f>IF(H434="","",IF(H434&gt;=12,40,ROUND(H434*3.33,2)))</f>
        <v/>
      </c>
      <c r="J434" s="11" t="n"/>
      <c r="K434" s="11" t="n"/>
      <c r="L434" s="11" t="n"/>
      <c r="M434" s="11" t="n"/>
      <c r="N434" s="10">
        <f>IF(COUNTA(J434:M434)=0,"",MIN(10,SUMPRODUCT((COUNTIF(J434:M434,L_KOM)&gt;0)*S_KOM)))</f>
        <v/>
      </c>
      <c r="O434" s="11" t="n"/>
      <c r="P434" s="10">
        <f>IF(O434="","",IFERROR(VLOOKUP(O434,T_KHID,2,FALSE),0))</f>
        <v/>
      </c>
      <c r="Q434" s="11" t="n"/>
      <c r="R434" s="11" t="n"/>
      <c r="S434" s="10">
        <f>IF(AND(Q434="",R434=""),"",IFERROR(INDEX(T_LIBAT,MATCH(Q434,L_PER,0),MATCH(R434,L_JENIS,0)),0))</f>
        <v/>
      </c>
      <c r="T434" s="11" t="n"/>
      <c r="U434" s="11" t="n"/>
      <c r="V434" s="10">
        <f>IF(AND(T434="",U434=""),"",IFERROR(INDEX(T_CAPAI,MATCH(T434,L_PER,0),MATCH(U434,L_KED,0)),0))</f>
        <v/>
      </c>
      <c r="W434" s="17">
        <f>IF(OR(B434="",E434="",COUNTA(F434,H434,J434:M434,O434,Q434:R434,T434:U434)=0),"",SUM(G434,I434,N434,P434,S434,V434))</f>
        <v/>
      </c>
      <c r="X434" s="18">
        <f>IF(W434="","",IF(Murid!F434="TL","TL",ROUND(W434/110*100,2)))</f>
        <v/>
      </c>
    </row>
    <row r="435">
      <c r="A435" s="15">
        <f>Murid!A435</f>
        <v/>
      </c>
      <c r="B435" s="15">
        <f>IF(Murid!B435="","",Murid!B435)</f>
        <v/>
      </c>
      <c r="C435" s="16">
        <f>IF(Murid!C435="","",Murid!C435)</f>
        <v/>
      </c>
      <c r="D435" s="15">
        <f>IF(Murid!E435="","",Murid!E435)</f>
        <v/>
      </c>
      <c r="E435" s="11" t="n"/>
      <c r="F435" s="11" t="n"/>
      <c r="G435" s="10">
        <f>IF(F435="","",IFERROR(VLOOKUP(F435,T_JKP,2,FALSE),0))</f>
        <v/>
      </c>
      <c r="H435" s="11" t="n"/>
      <c r="I435" s="17">
        <f>IF(H435="","",IF(H435&gt;=12,40,ROUND(H435*3.33,2)))</f>
        <v/>
      </c>
      <c r="J435" s="11" t="n"/>
      <c r="K435" s="11" t="n"/>
      <c r="L435" s="11" t="n"/>
      <c r="M435" s="11" t="n"/>
      <c r="N435" s="10">
        <f>IF(COUNTA(J435:M435)=0,"",MIN(10,SUMPRODUCT((COUNTIF(J435:M435,L_KOM)&gt;0)*S_KOM)))</f>
        <v/>
      </c>
      <c r="O435" s="11" t="n"/>
      <c r="P435" s="10">
        <f>IF(O435="","",IFERROR(VLOOKUP(O435,T_KHID,2,FALSE),0))</f>
        <v/>
      </c>
      <c r="Q435" s="11" t="n"/>
      <c r="R435" s="11" t="n"/>
      <c r="S435" s="10">
        <f>IF(AND(Q435="",R435=""),"",IFERROR(INDEX(T_LIBAT,MATCH(Q435,L_PER,0),MATCH(R435,L_JENIS,0)),0))</f>
        <v/>
      </c>
      <c r="T435" s="11" t="n"/>
      <c r="U435" s="11" t="n"/>
      <c r="V435" s="10">
        <f>IF(AND(T435="",U435=""),"",IFERROR(INDEX(T_CAPAI,MATCH(T435,L_PER,0),MATCH(U435,L_KED,0)),0))</f>
        <v/>
      </c>
      <c r="W435" s="17">
        <f>IF(OR(B435="",E435="",COUNTA(F435,H435,J435:M435,O435,Q435:R435,T435:U435)=0),"",SUM(G435,I435,N435,P435,S435,V435))</f>
        <v/>
      </c>
      <c r="X435" s="18">
        <f>IF(W435="","",IF(Murid!F435="TL","TL",ROUND(W435/110*100,2)))</f>
        <v/>
      </c>
    </row>
    <row r="436">
      <c r="A436" s="15">
        <f>Murid!A436</f>
        <v/>
      </c>
      <c r="B436" s="15">
        <f>IF(Murid!B436="","",Murid!B436)</f>
        <v/>
      </c>
      <c r="C436" s="16">
        <f>IF(Murid!C436="","",Murid!C436)</f>
        <v/>
      </c>
      <c r="D436" s="15">
        <f>IF(Murid!E436="","",Murid!E436)</f>
        <v/>
      </c>
      <c r="E436" s="11" t="n"/>
      <c r="F436" s="11" t="n"/>
      <c r="G436" s="10">
        <f>IF(F436="","",IFERROR(VLOOKUP(F436,T_JKP,2,FALSE),0))</f>
        <v/>
      </c>
      <c r="H436" s="11" t="n"/>
      <c r="I436" s="17">
        <f>IF(H436="","",IF(H436&gt;=12,40,ROUND(H436*3.33,2)))</f>
        <v/>
      </c>
      <c r="J436" s="11" t="n"/>
      <c r="K436" s="11" t="n"/>
      <c r="L436" s="11" t="n"/>
      <c r="M436" s="11" t="n"/>
      <c r="N436" s="10">
        <f>IF(COUNTA(J436:M436)=0,"",MIN(10,SUMPRODUCT((COUNTIF(J436:M436,L_KOM)&gt;0)*S_KOM)))</f>
        <v/>
      </c>
      <c r="O436" s="11" t="n"/>
      <c r="P436" s="10">
        <f>IF(O436="","",IFERROR(VLOOKUP(O436,T_KHID,2,FALSE),0))</f>
        <v/>
      </c>
      <c r="Q436" s="11" t="n"/>
      <c r="R436" s="11" t="n"/>
      <c r="S436" s="10">
        <f>IF(AND(Q436="",R436=""),"",IFERROR(INDEX(T_LIBAT,MATCH(Q436,L_PER,0),MATCH(R436,L_JENIS,0)),0))</f>
        <v/>
      </c>
      <c r="T436" s="11" t="n"/>
      <c r="U436" s="11" t="n"/>
      <c r="V436" s="10">
        <f>IF(AND(T436="",U436=""),"",IFERROR(INDEX(T_CAPAI,MATCH(T436,L_PER,0),MATCH(U436,L_KED,0)),0))</f>
        <v/>
      </c>
      <c r="W436" s="17">
        <f>IF(OR(B436="",E436="",COUNTA(F436,H436,J436:M436,O436,Q436:R436,T436:U436)=0),"",SUM(G436,I436,N436,P436,S436,V436))</f>
        <v/>
      </c>
      <c r="X436" s="18">
        <f>IF(W436="","",IF(Murid!F436="TL","TL",ROUND(W436/110*100,2)))</f>
        <v/>
      </c>
    </row>
    <row r="437">
      <c r="A437" s="15">
        <f>Murid!A437</f>
        <v/>
      </c>
      <c r="B437" s="15">
        <f>IF(Murid!B437="","",Murid!B437)</f>
        <v/>
      </c>
      <c r="C437" s="16">
        <f>IF(Murid!C437="","",Murid!C437)</f>
        <v/>
      </c>
      <c r="D437" s="15">
        <f>IF(Murid!E437="","",Murid!E437)</f>
        <v/>
      </c>
      <c r="E437" s="11" t="n"/>
      <c r="F437" s="11" t="n"/>
      <c r="G437" s="10">
        <f>IF(F437="","",IFERROR(VLOOKUP(F437,T_JKP,2,FALSE),0))</f>
        <v/>
      </c>
      <c r="H437" s="11" t="n"/>
      <c r="I437" s="17">
        <f>IF(H437="","",IF(H437&gt;=12,40,ROUND(H437*3.33,2)))</f>
        <v/>
      </c>
      <c r="J437" s="11" t="n"/>
      <c r="K437" s="11" t="n"/>
      <c r="L437" s="11" t="n"/>
      <c r="M437" s="11" t="n"/>
      <c r="N437" s="10">
        <f>IF(COUNTA(J437:M437)=0,"",MIN(10,SUMPRODUCT((COUNTIF(J437:M437,L_KOM)&gt;0)*S_KOM)))</f>
        <v/>
      </c>
      <c r="O437" s="11" t="n"/>
      <c r="P437" s="10">
        <f>IF(O437="","",IFERROR(VLOOKUP(O437,T_KHID,2,FALSE),0))</f>
        <v/>
      </c>
      <c r="Q437" s="11" t="n"/>
      <c r="R437" s="11" t="n"/>
      <c r="S437" s="10">
        <f>IF(AND(Q437="",R437=""),"",IFERROR(INDEX(T_LIBAT,MATCH(Q437,L_PER,0),MATCH(R437,L_JENIS,0)),0))</f>
        <v/>
      </c>
      <c r="T437" s="11" t="n"/>
      <c r="U437" s="11" t="n"/>
      <c r="V437" s="10">
        <f>IF(AND(T437="",U437=""),"",IFERROR(INDEX(T_CAPAI,MATCH(T437,L_PER,0),MATCH(U437,L_KED,0)),0))</f>
        <v/>
      </c>
      <c r="W437" s="17">
        <f>IF(OR(B437="",E437="",COUNTA(F437,H437,J437:M437,O437,Q437:R437,T437:U437)=0),"",SUM(G437,I437,N437,P437,S437,V437))</f>
        <v/>
      </c>
      <c r="X437" s="18">
        <f>IF(W437="","",IF(Murid!F437="TL","TL",ROUND(W437/110*100,2)))</f>
        <v/>
      </c>
    </row>
    <row r="438">
      <c r="A438" s="15">
        <f>Murid!A438</f>
        <v/>
      </c>
      <c r="B438" s="15">
        <f>IF(Murid!B438="","",Murid!B438)</f>
        <v/>
      </c>
      <c r="C438" s="16">
        <f>IF(Murid!C438="","",Murid!C438)</f>
        <v/>
      </c>
      <c r="D438" s="15">
        <f>IF(Murid!E438="","",Murid!E438)</f>
        <v/>
      </c>
      <c r="E438" s="11" t="n"/>
      <c r="F438" s="11" t="n"/>
      <c r="G438" s="10">
        <f>IF(F438="","",IFERROR(VLOOKUP(F438,T_JKP,2,FALSE),0))</f>
        <v/>
      </c>
      <c r="H438" s="11" t="n"/>
      <c r="I438" s="17">
        <f>IF(H438="","",IF(H438&gt;=12,40,ROUND(H438*3.33,2)))</f>
        <v/>
      </c>
      <c r="J438" s="11" t="n"/>
      <c r="K438" s="11" t="n"/>
      <c r="L438" s="11" t="n"/>
      <c r="M438" s="11" t="n"/>
      <c r="N438" s="10">
        <f>IF(COUNTA(J438:M438)=0,"",MIN(10,SUMPRODUCT((COUNTIF(J438:M438,L_KOM)&gt;0)*S_KOM)))</f>
        <v/>
      </c>
      <c r="O438" s="11" t="n"/>
      <c r="P438" s="10">
        <f>IF(O438="","",IFERROR(VLOOKUP(O438,T_KHID,2,FALSE),0))</f>
        <v/>
      </c>
      <c r="Q438" s="11" t="n"/>
      <c r="R438" s="11" t="n"/>
      <c r="S438" s="10">
        <f>IF(AND(Q438="",R438=""),"",IFERROR(INDEX(T_LIBAT,MATCH(Q438,L_PER,0),MATCH(R438,L_JENIS,0)),0))</f>
        <v/>
      </c>
      <c r="T438" s="11" t="n"/>
      <c r="U438" s="11" t="n"/>
      <c r="V438" s="10">
        <f>IF(AND(T438="",U438=""),"",IFERROR(INDEX(T_CAPAI,MATCH(T438,L_PER,0),MATCH(U438,L_KED,0)),0))</f>
        <v/>
      </c>
      <c r="W438" s="17">
        <f>IF(OR(B438="",E438="",COUNTA(F438,H438,J438:M438,O438,Q438:R438,T438:U438)=0),"",SUM(G438,I438,N438,P438,S438,V438))</f>
        <v/>
      </c>
      <c r="X438" s="18">
        <f>IF(W438="","",IF(Murid!F438="TL","TL",ROUND(W438/110*100,2)))</f>
        <v/>
      </c>
    </row>
    <row r="439">
      <c r="A439" s="15">
        <f>Murid!A439</f>
        <v/>
      </c>
      <c r="B439" s="15">
        <f>IF(Murid!B439="","",Murid!B439)</f>
        <v/>
      </c>
      <c r="C439" s="16">
        <f>IF(Murid!C439="","",Murid!C439)</f>
        <v/>
      </c>
      <c r="D439" s="15">
        <f>IF(Murid!E439="","",Murid!E439)</f>
        <v/>
      </c>
      <c r="E439" s="11" t="n"/>
      <c r="F439" s="11" t="n"/>
      <c r="G439" s="10">
        <f>IF(F439="","",IFERROR(VLOOKUP(F439,T_JKP,2,FALSE),0))</f>
        <v/>
      </c>
      <c r="H439" s="11" t="n"/>
      <c r="I439" s="17">
        <f>IF(H439="","",IF(H439&gt;=12,40,ROUND(H439*3.33,2)))</f>
        <v/>
      </c>
      <c r="J439" s="11" t="n"/>
      <c r="K439" s="11" t="n"/>
      <c r="L439" s="11" t="n"/>
      <c r="M439" s="11" t="n"/>
      <c r="N439" s="10">
        <f>IF(COUNTA(J439:M439)=0,"",MIN(10,SUMPRODUCT((COUNTIF(J439:M439,L_KOM)&gt;0)*S_KOM)))</f>
        <v/>
      </c>
      <c r="O439" s="11" t="n"/>
      <c r="P439" s="10">
        <f>IF(O439="","",IFERROR(VLOOKUP(O439,T_KHID,2,FALSE),0))</f>
        <v/>
      </c>
      <c r="Q439" s="11" t="n"/>
      <c r="R439" s="11" t="n"/>
      <c r="S439" s="10">
        <f>IF(AND(Q439="",R439=""),"",IFERROR(INDEX(T_LIBAT,MATCH(Q439,L_PER,0),MATCH(R439,L_JENIS,0)),0))</f>
        <v/>
      </c>
      <c r="T439" s="11" t="n"/>
      <c r="U439" s="11" t="n"/>
      <c r="V439" s="10">
        <f>IF(AND(T439="",U439=""),"",IFERROR(INDEX(T_CAPAI,MATCH(T439,L_PER,0),MATCH(U439,L_KED,0)),0))</f>
        <v/>
      </c>
      <c r="W439" s="17">
        <f>IF(OR(B439="",E439="",COUNTA(F439,H439,J439:M439,O439,Q439:R439,T439:U439)=0),"",SUM(G439,I439,N439,P439,S439,V439))</f>
        <v/>
      </c>
      <c r="X439" s="18">
        <f>IF(W439="","",IF(Murid!F439="TL","TL",ROUND(W439/110*100,2)))</f>
        <v/>
      </c>
    </row>
    <row r="440">
      <c r="A440" s="15">
        <f>Murid!A440</f>
        <v/>
      </c>
      <c r="B440" s="15">
        <f>IF(Murid!B440="","",Murid!B440)</f>
        <v/>
      </c>
      <c r="C440" s="16">
        <f>IF(Murid!C440="","",Murid!C440)</f>
        <v/>
      </c>
      <c r="D440" s="15">
        <f>IF(Murid!E440="","",Murid!E440)</f>
        <v/>
      </c>
      <c r="E440" s="11" t="n"/>
      <c r="F440" s="11" t="n"/>
      <c r="G440" s="10">
        <f>IF(F440="","",IFERROR(VLOOKUP(F440,T_JKP,2,FALSE),0))</f>
        <v/>
      </c>
      <c r="H440" s="11" t="n"/>
      <c r="I440" s="17">
        <f>IF(H440="","",IF(H440&gt;=12,40,ROUND(H440*3.33,2)))</f>
        <v/>
      </c>
      <c r="J440" s="11" t="n"/>
      <c r="K440" s="11" t="n"/>
      <c r="L440" s="11" t="n"/>
      <c r="M440" s="11" t="n"/>
      <c r="N440" s="10">
        <f>IF(COUNTA(J440:M440)=0,"",MIN(10,SUMPRODUCT((COUNTIF(J440:M440,L_KOM)&gt;0)*S_KOM)))</f>
        <v/>
      </c>
      <c r="O440" s="11" t="n"/>
      <c r="P440" s="10">
        <f>IF(O440="","",IFERROR(VLOOKUP(O440,T_KHID,2,FALSE),0))</f>
        <v/>
      </c>
      <c r="Q440" s="11" t="n"/>
      <c r="R440" s="11" t="n"/>
      <c r="S440" s="10">
        <f>IF(AND(Q440="",R440=""),"",IFERROR(INDEX(T_LIBAT,MATCH(Q440,L_PER,0),MATCH(R440,L_JENIS,0)),0))</f>
        <v/>
      </c>
      <c r="T440" s="11" t="n"/>
      <c r="U440" s="11" t="n"/>
      <c r="V440" s="10">
        <f>IF(AND(T440="",U440=""),"",IFERROR(INDEX(T_CAPAI,MATCH(T440,L_PER,0),MATCH(U440,L_KED,0)),0))</f>
        <v/>
      </c>
      <c r="W440" s="17">
        <f>IF(OR(B440="",E440="",COUNTA(F440,H440,J440:M440,O440,Q440:R440,T440:U440)=0),"",SUM(G440,I440,N440,P440,S440,V440))</f>
        <v/>
      </c>
      <c r="X440" s="18">
        <f>IF(W440="","",IF(Murid!F440="TL","TL",ROUND(W440/110*100,2)))</f>
        <v/>
      </c>
    </row>
    <row r="441">
      <c r="A441" s="15">
        <f>Murid!A441</f>
        <v/>
      </c>
      <c r="B441" s="15">
        <f>IF(Murid!B441="","",Murid!B441)</f>
        <v/>
      </c>
      <c r="C441" s="16">
        <f>IF(Murid!C441="","",Murid!C441)</f>
        <v/>
      </c>
      <c r="D441" s="15">
        <f>IF(Murid!E441="","",Murid!E441)</f>
        <v/>
      </c>
      <c r="E441" s="11" t="n"/>
      <c r="F441" s="11" t="n"/>
      <c r="G441" s="10">
        <f>IF(F441="","",IFERROR(VLOOKUP(F441,T_JKP,2,FALSE),0))</f>
        <v/>
      </c>
      <c r="H441" s="11" t="n"/>
      <c r="I441" s="17">
        <f>IF(H441="","",IF(H441&gt;=12,40,ROUND(H441*3.33,2)))</f>
        <v/>
      </c>
      <c r="J441" s="11" t="n"/>
      <c r="K441" s="11" t="n"/>
      <c r="L441" s="11" t="n"/>
      <c r="M441" s="11" t="n"/>
      <c r="N441" s="10">
        <f>IF(COUNTA(J441:M441)=0,"",MIN(10,SUMPRODUCT((COUNTIF(J441:M441,L_KOM)&gt;0)*S_KOM)))</f>
        <v/>
      </c>
      <c r="O441" s="11" t="n"/>
      <c r="P441" s="10">
        <f>IF(O441="","",IFERROR(VLOOKUP(O441,T_KHID,2,FALSE),0))</f>
        <v/>
      </c>
      <c r="Q441" s="11" t="n"/>
      <c r="R441" s="11" t="n"/>
      <c r="S441" s="10">
        <f>IF(AND(Q441="",R441=""),"",IFERROR(INDEX(T_LIBAT,MATCH(Q441,L_PER,0),MATCH(R441,L_JENIS,0)),0))</f>
        <v/>
      </c>
      <c r="T441" s="11" t="n"/>
      <c r="U441" s="11" t="n"/>
      <c r="V441" s="10">
        <f>IF(AND(T441="",U441=""),"",IFERROR(INDEX(T_CAPAI,MATCH(T441,L_PER,0),MATCH(U441,L_KED,0)),0))</f>
        <v/>
      </c>
      <c r="W441" s="17">
        <f>IF(OR(B441="",E441="",COUNTA(F441,H441,J441:M441,O441,Q441:R441,T441:U441)=0),"",SUM(G441,I441,N441,P441,S441,V441))</f>
        <v/>
      </c>
      <c r="X441" s="18">
        <f>IF(W441="","",IF(Murid!F441="TL","TL",ROUND(W441/110*100,2)))</f>
        <v/>
      </c>
    </row>
    <row r="442">
      <c r="A442" s="15">
        <f>Murid!A442</f>
        <v/>
      </c>
      <c r="B442" s="15">
        <f>IF(Murid!B442="","",Murid!B442)</f>
        <v/>
      </c>
      <c r="C442" s="16">
        <f>IF(Murid!C442="","",Murid!C442)</f>
        <v/>
      </c>
      <c r="D442" s="15">
        <f>IF(Murid!E442="","",Murid!E442)</f>
        <v/>
      </c>
      <c r="E442" s="11" t="n"/>
      <c r="F442" s="11" t="n"/>
      <c r="G442" s="10">
        <f>IF(F442="","",IFERROR(VLOOKUP(F442,T_JKP,2,FALSE),0))</f>
        <v/>
      </c>
      <c r="H442" s="11" t="n"/>
      <c r="I442" s="17">
        <f>IF(H442="","",IF(H442&gt;=12,40,ROUND(H442*3.33,2)))</f>
        <v/>
      </c>
      <c r="J442" s="11" t="n"/>
      <c r="K442" s="11" t="n"/>
      <c r="L442" s="11" t="n"/>
      <c r="M442" s="11" t="n"/>
      <c r="N442" s="10">
        <f>IF(COUNTA(J442:M442)=0,"",MIN(10,SUMPRODUCT((COUNTIF(J442:M442,L_KOM)&gt;0)*S_KOM)))</f>
        <v/>
      </c>
      <c r="O442" s="11" t="n"/>
      <c r="P442" s="10">
        <f>IF(O442="","",IFERROR(VLOOKUP(O442,T_KHID,2,FALSE),0))</f>
        <v/>
      </c>
      <c r="Q442" s="11" t="n"/>
      <c r="R442" s="11" t="n"/>
      <c r="S442" s="10">
        <f>IF(AND(Q442="",R442=""),"",IFERROR(INDEX(T_LIBAT,MATCH(Q442,L_PER,0),MATCH(R442,L_JENIS,0)),0))</f>
        <v/>
      </c>
      <c r="T442" s="11" t="n"/>
      <c r="U442" s="11" t="n"/>
      <c r="V442" s="10">
        <f>IF(AND(T442="",U442=""),"",IFERROR(INDEX(T_CAPAI,MATCH(T442,L_PER,0),MATCH(U442,L_KED,0)),0))</f>
        <v/>
      </c>
      <c r="W442" s="17">
        <f>IF(OR(B442="",E442="",COUNTA(F442,H442,J442:M442,O442,Q442:R442,T442:U442)=0),"",SUM(G442,I442,N442,P442,S442,V442))</f>
        <v/>
      </c>
      <c r="X442" s="18">
        <f>IF(W442="","",IF(Murid!F442="TL","TL",ROUND(W442/110*100,2)))</f>
        <v/>
      </c>
    </row>
    <row r="443">
      <c r="A443" s="15">
        <f>Murid!A443</f>
        <v/>
      </c>
      <c r="B443" s="15">
        <f>IF(Murid!B443="","",Murid!B443)</f>
        <v/>
      </c>
      <c r="C443" s="16">
        <f>IF(Murid!C443="","",Murid!C443)</f>
        <v/>
      </c>
      <c r="D443" s="15">
        <f>IF(Murid!E443="","",Murid!E443)</f>
        <v/>
      </c>
      <c r="E443" s="11" t="n"/>
      <c r="F443" s="11" t="n"/>
      <c r="G443" s="10">
        <f>IF(F443="","",IFERROR(VLOOKUP(F443,T_JKP,2,FALSE),0))</f>
        <v/>
      </c>
      <c r="H443" s="11" t="n"/>
      <c r="I443" s="17">
        <f>IF(H443="","",IF(H443&gt;=12,40,ROUND(H443*3.33,2)))</f>
        <v/>
      </c>
      <c r="J443" s="11" t="n"/>
      <c r="K443" s="11" t="n"/>
      <c r="L443" s="11" t="n"/>
      <c r="M443" s="11" t="n"/>
      <c r="N443" s="10">
        <f>IF(COUNTA(J443:M443)=0,"",MIN(10,SUMPRODUCT((COUNTIF(J443:M443,L_KOM)&gt;0)*S_KOM)))</f>
        <v/>
      </c>
      <c r="O443" s="11" t="n"/>
      <c r="P443" s="10">
        <f>IF(O443="","",IFERROR(VLOOKUP(O443,T_KHID,2,FALSE),0))</f>
        <v/>
      </c>
      <c r="Q443" s="11" t="n"/>
      <c r="R443" s="11" t="n"/>
      <c r="S443" s="10">
        <f>IF(AND(Q443="",R443=""),"",IFERROR(INDEX(T_LIBAT,MATCH(Q443,L_PER,0),MATCH(R443,L_JENIS,0)),0))</f>
        <v/>
      </c>
      <c r="T443" s="11" t="n"/>
      <c r="U443" s="11" t="n"/>
      <c r="V443" s="10">
        <f>IF(AND(T443="",U443=""),"",IFERROR(INDEX(T_CAPAI,MATCH(T443,L_PER,0),MATCH(U443,L_KED,0)),0))</f>
        <v/>
      </c>
      <c r="W443" s="17">
        <f>IF(OR(B443="",E443="",COUNTA(F443,H443,J443:M443,O443,Q443:R443,T443:U443)=0),"",SUM(G443,I443,N443,P443,S443,V443))</f>
        <v/>
      </c>
      <c r="X443" s="18">
        <f>IF(W443="","",IF(Murid!F443="TL","TL",ROUND(W443/110*100,2)))</f>
        <v/>
      </c>
    </row>
    <row r="444">
      <c r="A444" s="15">
        <f>Murid!A444</f>
        <v/>
      </c>
      <c r="B444" s="15">
        <f>IF(Murid!B444="","",Murid!B444)</f>
        <v/>
      </c>
      <c r="C444" s="16">
        <f>IF(Murid!C444="","",Murid!C444)</f>
        <v/>
      </c>
      <c r="D444" s="15">
        <f>IF(Murid!E444="","",Murid!E444)</f>
        <v/>
      </c>
      <c r="E444" s="11" t="n"/>
      <c r="F444" s="11" t="n"/>
      <c r="G444" s="10">
        <f>IF(F444="","",IFERROR(VLOOKUP(F444,T_JKP,2,FALSE),0))</f>
        <v/>
      </c>
      <c r="H444" s="11" t="n"/>
      <c r="I444" s="17">
        <f>IF(H444="","",IF(H444&gt;=12,40,ROUND(H444*3.33,2)))</f>
        <v/>
      </c>
      <c r="J444" s="11" t="n"/>
      <c r="K444" s="11" t="n"/>
      <c r="L444" s="11" t="n"/>
      <c r="M444" s="11" t="n"/>
      <c r="N444" s="10">
        <f>IF(COUNTA(J444:M444)=0,"",MIN(10,SUMPRODUCT((COUNTIF(J444:M444,L_KOM)&gt;0)*S_KOM)))</f>
        <v/>
      </c>
      <c r="O444" s="11" t="n"/>
      <c r="P444" s="10">
        <f>IF(O444="","",IFERROR(VLOOKUP(O444,T_KHID,2,FALSE),0))</f>
        <v/>
      </c>
      <c r="Q444" s="11" t="n"/>
      <c r="R444" s="11" t="n"/>
      <c r="S444" s="10">
        <f>IF(AND(Q444="",R444=""),"",IFERROR(INDEX(T_LIBAT,MATCH(Q444,L_PER,0),MATCH(R444,L_JENIS,0)),0))</f>
        <v/>
      </c>
      <c r="T444" s="11" t="n"/>
      <c r="U444" s="11" t="n"/>
      <c r="V444" s="10">
        <f>IF(AND(T444="",U444=""),"",IFERROR(INDEX(T_CAPAI,MATCH(T444,L_PER,0),MATCH(U444,L_KED,0)),0))</f>
        <v/>
      </c>
      <c r="W444" s="17">
        <f>IF(OR(B444="",E444="",COUNTA(F444,H444,J444:M444,O444,Q444:R444,T444:U444)=0),"",SUM(G444,I444,N444,P444,S444,V444))</f>
        <v/>
      </c>
      <c r="X444" s="18">
        <f>IF(W444="","",IF(Murid!F444="TL","TL",ROUND(W444/110*100,2)))</f>
        <v/>
      </c>
    </row>
    <row r="445">
      <c r="A445" s="15">
        <f>Murid!A445</f>
        <v/>
      </c>
      <c r="B445" s="15">
        <f>IF(Murid!B445="","",Murid!B445)</f>
        <v/>
      </c>
      <c r="C445" s="16">
        <f>IF(Murid!C445="","",Murid!C445)</f>
        <v/>
      </c>
      <c r="D445" s="15">
        <f>IF(Murid!E445="","",Murid!E445)</f>
        <v/>
      </c>
      <c r="E445" s="11" t="n"/>
      <c r="F445" s="11" t="n"/>
      <c r="G445" s="10">
        <f>IF(F445="","",IFERROR(VLOOKUP(F445,T_JKP,2,FALSE),0))</f>
        <v/>
      </c>
      <c r="H445" s="11" t="n"/>
      <c r="I445" s="17">
        <f>IF(H445="","",IF(H445&gt;=12,40,ROUND(H445*3.33,2)))</f>
        <v/>
      </c>
      <c r="J445" s="11" t="n"/>
      <c r="K445" s="11" t="n"/>
      <c r="L445" s="11" t="n"/>
      <c r="M445" s="11" t="n"/>
      <c r="N445" s="10">
        <f>IF(COUNTA(J445:M445)=0,"",MIN(10,SUMPRODUCT((COUNTIF(J445:M445,L_KOM)&gt;0)*S_KOM)))</f>
        <v/>
      </c>
      <c r="O445" s="11" t="n"/>
      <c r="P445" s="10">
        <f>IF(O445="","",IFERROR(VLOOKUP(O445,T_KHID,2,FALSE),0))</f>
        <v/>
      </c>
      <c r="Q445" s="11" t="n"/>
      <c r="R445" s="11" t="n"/>
      <c r="S445" s="10">
        <f>IF(AND(Q445="",R445=""),"",IFERROR(INDEX(T_LIBAT,MATCH(Q445,L_PER,0),MATCH(R445,L_JENIS,0)),0))</f>
        <v/>
      </c>
      <c r="T445" s="11" t="n"/>
      <c r="U445" s="11" t="n"/>
      <c r="V445" s="10">
        <f>IF(AND(T445="",U445=""),"",IFERROR(INDEX(T_CAPAI,MATCH(T445,L_PER,0),MATCH(U445,L_KED,0)),0))</f>
        <v/>
      </c>
      <c r="W445" s="17">
        <f>IF(OR(B445="",E445="",COUNTA(F445,H445,J445:M445,O445,Q445:R445,T445:U445)=0),"",SUM(G445,I445,N445,P445,S445,V445))</f>
        <v/>
      </c>
      <c r="X445" s="18">
        <f>IF(W445="","",IF(Murid!F445="TL","TL",ROUND(W445/110*100,2)))</f>
        <v/>
      </c>
    </row>
    <row r="446">
      <c r="A446" s="15">
        <f>Murid!A446</f>
        <v/>
      </c>
      <c r="B446" s="15">
        <f>IF(Murid!B446="","",Murid!B446)</f>
        <v/>
      </c>
      <c r="C446" s="16">
        <f>IF(Murid!C446="","",Murid!C446)</f>
        <v/>
      </c>
      <c r="D446" s="15">
        <f>IF(Murid!E446="","",Murid!E446)</f>
        <v/>
      </c>
      <c r="E446" s="11" t="n"/>
      <c r="F446" s="11" t="n"/>
      <c r="G446" s="10">
        <f>IF(F446="","",IFERROR(VLOOKUP(F446,T_JKP,2,FALSE),0))</f>
        <v/>
      </c>
      <c r="H446" s="11" t="n"/>
      <c r="I446" s="17">
        <f>IF(H446="","",IF(H446&gt;=12,40,ROUND(H446*3.33,2)))</f>
        <v/>
      </c>
      <c r="J446" s="11" t="n"/>
      <c r="K446" s="11" t="n"/>
      <c r="L446" s="11" t="n"/>
      <c r="M446" s="11" t="n"/>
      <c r="N446" s="10">
        <f>IF(COUNTA(J446:M446)=0,"",MIN(10,SUMPRODUCT((COUNTIF(J446:M446,L_KOM)&gt;0)*S_KOM)))</f>
        <v/>
      </c>
      <c r="O446" s="11" t="n"/>
      <c r="P446" s="10">
        <f>IF(O446="","",IFERROR(VLOOKUP(O446,T_KHID,2,FALSE),0))</f>
        <v/>
      </c>
      <c r="Q446" s="11" t="n"/>
      <c r="R446" s="11" t="n"/>
      <c r="S446" s="10">
        <f>IF(AND(Q446="",R446=""),"",IFERROR(INDEX(T_LIBAT,MATCH(Q446,L_PER,0),MATCH(R446,L_JENIS,0)),0))</f>
        <v/>
      </c>
      <c r="T446" s="11" t="n"/>
      <c r="U446" s="11" t="n"/>
      <c r="V446" s="10">
        <f>IF(AND(T446="",U446=""),"",IFERROR(INDEX(T_CAPAI,MATCH(T446,L_PER,0),MATCH(U446,L_KED,0)),0))</f>
        <v/>
      </c>
      <c r="W446" s="17">
        <f>IF(OR(B446="",E446="",COUNTA(F446,H446,J446:M446,O446,Q446:R446,T446:U446)=0),"",SUM(G446,I446,N446,P446,S446,V446))</f>
        <v/>
      </c>
      <c r="X446" s="18">
        <f>IF(W446="","",IF(Murid!F446="TL","TL",ROUND(W446/110*100,2)))</f>
        <v/>
      </c>
    </row>
    <row r="447">
      <c r="A447" s="15">
        <f>Murid!A447</f>
        <v/>
      </c>
      <c r="B447" s="15">
        <f>IF(Murid!B447="","",Murid!B447)</f>
        <v/>
      </c>
      <c r="C447" s="16">
        <f>IF(Murid!C447="","",Murid!C447)</f>
        <v/>
      </c>
      <c r="D447" s="15">
        <f>IF(Murid!E447="","",Murid!E447)</f>
        <v/>
      </c>
      <c r="E447" s="11" t="n"/>
      <c r="F447" s="11" t="n"/>
      <c r="G447" s="10">
        <f>IF(F447="","",IFERROR(VLOOKUP(F447,T_JKP,2,FALSE),0))</f>
        <v/>
      </c>
      <c r="H447" s="11" t="n"/>
      <c r="I447" s="17">
        <f>IF(H447="","",IF(H447&gt;=12,40,ROUND(H447*3.33,2)))</f>
        <v/>
      </c>
      <c r="J447" s="11" t="n"/>
      <c r="K447" s="11" t="n"/>
      <c r="L447" s="11" t="n"/>
      <c r="M447" s="11" t="n"/>
      <c r="N447" s="10">
        <f>IF(COUNTA(J447:M447)=0,"",MIN(10,SUMPRODUCT((COUNTIF(J447:M447,L_KOM)&gt;0)*S_KOM)))</f>
        <v/>
      </c>
      <c r="O447" s="11" t="n"/>
      <c r="P447" s="10">
        <f>IF(O447="","",IFERROR(VLOOKUP(O447,T_KHID,2,FALSE),0))</f>
        <v/>
      </c>
      <c r="Q447" s="11" t="n"/>
      <c r="R447" s="11" t="n"/>
      <c r="S447" s="10">
        <f>IF(AND(Q447="",R447=""),"",IFERROR(INDEX(T_LIBAT,MATCH(Q447,L_PER,0),MATCH(R447,L_JENIS,0)),0))</f>
        <v/>
      </c>
      <c r="T447" s="11" t="n"/>
      <c r="U447" s="11" t="n"/>
      <c r="V447" s="10">
        <f>IF(AND(T447="",U447=""),"",IFERROR(INDEX(T_CAPAI,MATCH(T447,L_PER,0),MATCH(U447,L_KED,0)),0))</f>
        <v/>
      </c>
      <c r="W447" s="17">
        <f>IF(OR(B447="",E447="",COUNTA(F447,H447,J447:M447,O447,Q447:R447,T447:U447)=0),"",SUM(G447,I447,N447,P447,S447,V447))</f>
        <v/>
      </c>
      <c r="X447" s="18">
        <f>IF(W447="","",IF(Murid!F447="TL","TL",ROUND(W447/110*100,2)))</f>
        <v/>
      </c>
    </row>
    <row r="448">
      <c r="A448" s="15">
        <f>Murid!A448</f>
        <v/>
      </c>
      <c r="B448" s="15">
        <f>IF(Murid!B448="","",Murid!B448)</f>
        <v/>
      </c>
      <c r="C448" s="16">
        <f>IF(Murid!C448="","",Murid!C448)</f>
        <v/>
      </c>
      <c r="D448" s="15">
        <f>IF(Murid!E448="","",Murid!E448)</f>
        <v/>
      </c>
      <c r="E448" s="11" t="n"/>
      <c r="F448" s="11" t="n"/>
      <c r="G448" s="10">
        <f>IF(F448="","",IFERROR(VLOOKUP(F448,T_JKP,2,FALSE),0))</f>
        <v/>
      </c>
      <c r="H448" s="11" t="n"/>
      <c r="I448" s="17">
        <f>IF(H448="","",IF(H448&gt;=12,40,ROUND(H448*3.33,2)))</f>
        <v/>
      </c>
      <c r="J448" s="11" t="n"/>
      <c r="K448" s="11" t="n"/>
      <c r="L448" s="11" t="n"/>
      <c r="M448" s="11" t="n"/>
      <c r="N448" s="10">
        <f>IF(COUNTA(J448:M448)=0,"",MIN(10,SUMPRODUCT((COUNTIF(J448:M448,L_KOM)&gt;0)*S_KOM)))</f>
        <v/>
      </c>
      <c r="O448" s="11" t="n"/>
      <c r="P448" s="10">
        <f>IF(O448="","",IFERROR(VLOOKUP(O448,T_KHID,2,FALSE),0))</f>
        <v/>
      </c>
      <c r="Q448" s="11" t="n"/>
      <c r="R448" s="11" t="n"/>
      <c r="S448" s="10">
        <f>IF(AND(Q448="",R448=""),"",IFERROR(INDEX(T_LIBAT,MATCH(Q448,L_PER,0),MATCH(R448,L_JENIS,0)),0))</f>
        <v/>
      </c>
      <c r="T448" s="11" t="n"/>
      <c r="U448" s="11" t="n"/>
      <c r="V448" s="10">
        <f>IF(AND(T448="",U448=""),"",IFERROR(INDEX(T_CAPAI,MATCH(T448,L_PER,0),MATCH(U448,L_KED,0)),0))</f>
        <v/>
      </c>
      <c r="W448" s="17">
        <f>IF(OR(B448="",E448="",COUNTA(F448,H448,J448:M448,O448,Q448:R448,T448:U448)=0),"",SUM(G448,I448,N448,P448,S448,V448))</f>
        <v/>
      </c>
      <c r="X448" s="18">
        <f>IF(W448="","",IF(Murid!F448="TL","TL",ROUND(W448/110*100,2)))</f>
        <v/>
      </c>
    </row>
    <row r="449">
      <c r="A449" s="15">
        <f>Murid!A449</f>
        <v/>
      </c>
      <c r="B449" s="15">
        <f>IF(Murid!B449="","",Murid!B449)</f>
        <v/>
      </c>
      <c r="C449" s="16">
        <f>IF(Murid!C449="","",Murid!C449)</f>
        <v/>
      </c>
      <c r="D449" s="15">
        <f>IF(Murid!E449="","",Murid!E449)</f>
        <v/>
      </c>
      <c r="E449" s="11" t="n"/>
      <c r="F449" s="11" t="n"/>
      <c r="G449" s="10">
        <f>IF(F449="","",IFERROR(VLOOKUP(F449,T_JKP,2,FALSE),0))</f>
        <v/>
      </c>
      <c r="H449" s="11" t="n"/>
      <c r="I449" s="17">
        <f>IF(H449="","",IF(H449&gt;=12,40,ROUND(H449*3.33,2)))</f>
        <v/>
      </c>
      <c r="J449" s="11" t="n"/>
      <c r="K449" s="11" t="n"/>
      <c r="L449" s="11" t="n"/>
      <c r="M449" s="11" t="n"/>
      <c r="N449" s="10">
        <f>IF(COUNTA(J449:M449)=0,"",MIN(10,SUMPRODUCT((COUNTIF(J449:M449,L_KOM)&gt;0)*S_KOM)))</f>
        <v/>
      </c>
      <c r="O449" s="11" t="n"/>
      <c r="P449" s="10">
        <f>IF(O449="","",IFERROR(VLOOKUP(O449,T_KHID,2,FALSE),0))</f>
        <v/>
      </c>
      <c r="Q449" s="11" t="n"/>
      <c r="R449" s="11" t="n"/>
      <c r="S449" s="10">
        <f>IF(AND(Q449="",R449=""),"",IFERROR(INDEX(T_LIBAT,MATCH(Q449,L_PER,0),MATCH(R449,L_JENIS,0)),0))</f>
        <v/>
      </c>
      <c r="T449" s="11" t="n"/>
      <c r="U449" s="11" t="n"/>
      <c r="V449" s="10">
        <f>IF(AND(T449="",U449=""),"",IFERROR(INDEX(T_CAPAI,MATCH(T449,L_PER,0),MATCH(U449,L_KED,0)),0))</f>
        <v/>
      </c>
      <c r="W449" s="17">
        <f>IF(OR(B449="",E449="",COUNTA(F449,H449,J449:M449,O449,Q449:R449,T449:U449)=0),"",SUM(G449,I449,N449,P449,S449,V449))</f>
        <v/>
      </c>
      <c r="X449" s="18">
        <f>IF(W449="","",IF(Murid!F449="TL","TL",ROUND(W449/110*100,2)))</f>
        <v/>
      </c>
    </row>
    <row r="450">
      <c r="A450" s="15">
        <f>Murid!A450</f>
        <v/>
      </c>
      <c r="B450" s="15">
        <f>IF(Murid!B450="","",Murid!B450)</f>
        <v/>
      </c>
      <c r="C450" s="16">
        <f>IF(Murid!C450="","",Murid!C450)</f>
        <v/>
      </c>
      <c r="D450" s="15">
        <f>IF(Murid!E450="","",Murid!E450)</f>
        <v/>
      </c>
      <c r="E450" s="11" t="n"/>
      <c r="F450" s="11" t="n"/>
      <c r="G450" s="10">
        <f>IF(F450="","",IFERROR(VLOOKUP(F450,T_JKP,2,FALSE),0))</f>
        <v/>
      </c>
      <c r="H450" s="11" t="n"/>
      <c r="I450" s="17">
        <f>IF(H450="","",IF(H450&gt;=12,40,ROUND(H450*3.33,2)))</f>
        <v/>
      </c>
      <c r="J450" s="11" t="n"/>
      <c r="K450" s="11" t="n"/>
      <c r="L450" s="11" t="n"/>
      <c r="M450" s="11" t="n"/>
      <c r="N450" s="10">
        <f>IF(COUNTA(J450:M450)=0,"",MIN(10,SUMPRODUCT((COUNTIF(J450:M450,L_KOM)&gt;0)*S_KOM)))</f>
        <v/>
      </c>
      <c r="O450" s="11" t="n"/>
      <c r="P450" s="10">
        <f>IF(O450="","",IFERROR(VLOOKUP(O450,T_KHID,2,FALSE),0))</f>
        <v/>
      </c>
      <c r="Q450" s="11" t="n"/>
      <c r="R450" s="11" t="n"/>
      <c r="S450" s="10">
        <f>IF(AND(Q450="",R450=""),"",IFERROR(INDEX(T_LIBAT,MATCH(Q450,L_PER,0),MATCH(R450,L_JENIS,0)),0))</f>
        <v/>
      </c>
      <c r="T450" s="11" t="n"/>
      <c r="U450" s="11" t="n"/>
      <c r="V450" s="10">
        <f>IF(AND(T450="",U450=""),"",IFERROR(INDEX(T_CAPAI,MATCH(T450,L_PER,0),MATCH(U450,L_KED,0)),0))</f>
        <v/>
      </c>
      <c r="W450" s="17">
        <f>IF(OR(B450="",E450="",COUNTA(F450,H450,J450:M450,O450,Q450:R450,T450:U450)=0),"",SUM(G450,I450,N450,P450,S450,V450))</f>
        <v/>
      </c>
      <c r="X450" s="18">
        <f>IF(W450="","",IF(Murid!F450="TL","TL",ROUND(W450/110*100,2)))</f>
        <v/>
      </c>
    </row>
    <row r="451">
      <c r="A451" s="15">
        <f>Murid!A451</f>
        <v/>
      </c>
      <c r="B451" s="15">
        <f>IF(Murid!B451="","",Murid!B451)</f>
        <v/>
      </c>
      <c r="C451" s="16">
        <f>IF(Murid!C451="","",Murid!C451)</f>
        <v/>
      </c>
      <c r="D451" s="15">
        <f>IF(Murid!E451="","",Murid!E451)</f>
        <v/>
      </c>
      <c r="E451" s="11" t="n"/>
      <c r="F451" s="11" t="n"/>
      <c r="G451" s="10">
        <f>IF(F451="","",IFERROR(VLOOKUP(F451,T_JKP,2,FALSE),0))</f>
        <v/>
      </c>
      <c r="H451" s="11" t="n"/>
      <c r="I451" s="17">
        <f>IF(H451="","",IF(H451&gt;=12,40,ROUND(H451*3.33,2)))</f>
        <v/>
      </c>
      <c r="J451" s="11" t="n"/>
      <c r="K451" s="11" t="n"/>
      <c r="L451" s="11" t="n"/>
      <c r="M451" s="11" t="n"/>
      <c r="N451" s="10">
        <f>IF(COUNTA(J451:M451)=0,"",MIN(10,SUMPRODUCT((COUNTIF(J451:M451,L_KOM)&gt;0)*S_KOM)))</f>
        <v/>
      </c>
      <c r="O451" s="11" t="n"/>
      <c r="P451" s="10">
        <f>IF(O451="","",IFERROR(VLOOKUP(O451,T_KHID,2,FALSE),0))</f>
        <v/>
      </c>
      <c r="Q451" s="11" t="n"/>
      <c r="R451" s="11" t="n"/>
      <c r="S451" s="10">
        <f>IF(AND(Q451="",R451=""),"",IFERROR(INDEX(T_LIBAT,MATCH(Q451,L_PER,0),MATCH(R451,L_JENIS,0)),0))</f>
        <v/>
      </c>
      <c r="T451" s="11" t="n"/>
      <c r="U451" s="11" t="n"/>
      <c r="V451" s="10">
        <f>IF(AND(T451="",U451=""),"",IFERROR(INDEX(T_CAPAI,MATCH(T451,L_PER,0),MATCH(U451,L_KED,0)),0))</f>
        <v/>
      </c>
      <c r="W451" s="17">
        <f>IF(OR(B451="",E451="",COUNTA(F451,H451,J451:M451,O451,Q451:R451,T451:U451)=0),"",SUM(G451,I451,N451,P451,S451,V451))</f>
        <v/>
      </c>
      <c r="X451" s="18">
        <f>IF(W451="","",IF(Murid!F451="TL","TL",ROUND(W451/110*100,2)))</f>
        <v/>
      </c>
    </row>
    <row r="452">
      <c r="A452" s="15">
        <f>Murid!A452</f>
        <v/>
      </c>
      <c r="B452" s="15">
        <f>IF(Murid!B452="","",Murid!B452)</f>
        <v/>
      </c>
      <c r="C452" s="16">
        <f>IF(Murid!C452="","",Murid!C452)</f>
        <v/>
      </c>
      <c r="D452" s="15">
        <f>IF(Murid!E452="","",Murid!E452)</f>
        <v/>
      </c>
      <c r="E452" s="11" t="n"/>
      <c r="F452" s="11" t="n"/>
      <c r="G452" s="10">
        <f>IF(F452="","",IFERROR(VLOOKUP(F452,T_JKP,2,FALSE),0))</f>
        <v/>
      </c>
      <c r="H452" s="11" t="n"/>
      <c r="I452" s="17">
        <f>IF(H452="","",IF(H452&gt;=12,40,ROUND(H452*3.33,2)))</f>
        <v/>
      </c>
      <c r="J452" s="11" t="n"/>
      <c r="K452" s="11" t="n"/>
      <c r="L452" s="11" t="n"/>
      <c r="M452" s="11" t="n"/>
      <c r="N452" s="10">
        <f>IF(COUNTA(J452:M452)=0,"",MIN(10,SUMPRODUCT((COUNTIF(J452:M452,L_KOM)&gt;0)*S_KOM)))</f>
        <v/>
      </c>
      <c r="O452" s="11" t="n"/>
      <c r="P452" s="10">
        <f>IF(O452="","",IFERROR(VLOOKUP(O452,T_KHID,2,FALSE),0))</f>
        <v/>
      </c>
      <c r="Q452" s="11" t="n"/>
      <c r="R452" s="11" t="n"/>
      <c r="S452" s="10">
        <f>IF(AND(Q452="",R452=""),"",IFERROR(INDEX(T_LIBAT,MATCH(Q452,L_PER,0),MATCH(R452,L_JENIS,0)),0))</f>
        <v/>
      </c>
      <c r="T452" s="11" t="n"/>
      <c r="U452" s="11" t="n"/>
      <c r="V452" s="10">
        <f>IF(AND(T452="",U452=""),"",IFERROR(INDEX(T_CAPAI,MATCH(T452,L_PER,0),MATCH(U452,L_KED,0)),0))</f>
        <v/>
      </c>
      <c r="W452" s="17">
        <f>IF(OR(B452="",E452="",COUNTA(F452,H452,J452:M452,O452,Q452:R452,T452:U452)=0),"",SUM(G452,I452,N452,P452,S452,V452))</f>
        <v/>
      </c>
      <c r="X452" s="18">
        <f>IF(W452="","",IF(Murid!F452="TL","TL",ROUND(W452/110*100,2)))</f>
        <v/>
      </c>
    </row>
    <row r="453">
      <c r="A453" s="15">
        <f>Murid!A453</f>
        <v/>
      </c>
      <c r="B453" s="15">
        <f>IF(Murid!B453="","",Murid!B453)</f>
        <v/>
      </c>
      <c r="C453" s="16">
        <f>IF(Murid!C453="","",Murid!C453)</f>
        <v/>
      </c>
      <c r="D453" s="15">
        <f>IF(Murid!E453="","",Murid!E453)</f>
        <v/>
      </c>
      <c r="E453" s="11" t="n"/>
      <c r="F453" s="11" t="n"/>
      <c r="G453" s="10">
        <f>IF(F453="","",IFERROR(VLOOKUP(F453,T_JKP,2,FALSE),0))</f>
        <v/>
      </c>
      <c r="H453" s="11" t="n"/>
      <c r="I453" s="17">
        <f>IF(H453="","",IF(H453&gt;=12,40,ROUND(H453*3.33,2)))</f>
        <v/>
      </c>
      <c r="J453" s="11" t="n"/>
      <c r="K453" s="11" t="n"/>
      <c r="L453" s="11" t="n"/>
      <c r="M453" s="11" t="n"/>
      <c r="N453" s="10">
        <f>IF(COUNTA(J453:M453)=0,"",MIN(10,SUMPRODUCT((COUNTIF(J453:M453,L_KOM)&gt;0)*S_KOM)))</f>
        <v/>
      </c>
      <c r="O453" s="11" t="n"/>
      <c r="P453" s="10">
        <f>IF(O453="","",IFERROR(VLOOKUP(O453,T_KHID,2,FALSE),0))</f>
        <v/>
      </c>
      <c r="Q453" s="11" t="n"/>
      <c r="R453" s="11" t="n"/>
      <c r="S453" s="10">
        <f>IF(AND(Q453="",R453=""),"",IFERROR(INDEX(T_LIBAT,MATCH(Q453,L_PER,0),MATCH(R453,L_JENIS,0)),0))</f>
        <v/>
      </c>
      <c r="T453" s="11" t="n"/>
      <c r="U453" s="11" t="n"/>
      <c r="V453" s="10">
        <f>IF(AND(T453="",U453=""),"",IFERROR(INDEX(T_CAPAI,MATCH(T453,L_PER,0),MATCH(U453,L_KED,0)),0))</f>
        <v/>
      </c>
      <c r="W453" s="17">
        <f>IF(OR(B453="",E453="",COUNTA(F453,H453,J453:M453,O453,Q453:R453,T453:U453)=0),"",SUM(G453,I453,N453,P453,S453,V453))</f>
        <v/>
      </c>
      <c r="X453" s="18">
        <f>IF(W453="","",IF(Murid!F453="TL","TL",ROUND(W453/110*100,2)))</f>
        <v/>
      </c>
    </row>
    <row r="454">
      <c r="A454" s="15">
        <f>Murid!A454</f>
        <v/>
      </c>
      <c r="B454" s="15">
        <f>IF(Murid!B454="","",Murid!B454)</f>
        <v/>
      </c>
      <c r="C454" s="16">
        <f>IF(Murid!C454="","",Murid!C454)</f>
        <v/>
      </c>
      <c r="D454" s="15">
        <f>IF(Murid!E454="","",Murid!E454)</f>
        <v/>
      </c>
      <c r="E454" s="11" t="n"/>
      <c r="F454" s="11" t="n"/>
      <c r="G454" s="10">
        <f>IF(F454="","",IFERROR(VLOOKUP(F454,T_JKP,2,FALSE),0))</f>
        <v/>
      </c>
      <c r="H454" s="11" t="n"/>
      <c r="I454" s="17">
        <f>IF(H454="","",IF(H454&gt;=12,40,ROUND(H454*3.33,2)))</f>
        <v/>
      </c>
      <c r="J454" s="11" t="n"/>
      <c r="K454" s="11" t="n"/>
      <c r="L454" s="11" t="n"/>
      <c r="M454" s="11" t="n"/>
      <c r="N454" s="10">
        <f>IF(COUNTA(J454:M454)=0,"",MIN(10,SUMPRODUCT((COUNTIF(J454:M454,L_KOM)&gt;0)*S_KOM)))</f>
        <v/>
      </c>
      <c r="O454" s="11" t="n"/>
      <c r="P454" s="10">
        <f>IF(O454="","",IFERROR(VLOOKUP(O454,T_KHID,2,FALSE),0))</f>
        <v/>
      </c>
      <c r="Q454" s="11" t="n"/>
      <c r="R454" s="11" t="n"/>
      <c r="S454" s="10">
        <f>IF(AND(Q454="",R454=""),"",IFERROR(INDEX(T_LIBAT,MATCH(Q454,L_PER,0),MATCH(R454,L_JENIS,0)),0))</f>
        <v/>
      </c>
      <c r="T454" s="11" t="n"/>
      <c r="U454" s="11" t="n"/>
      <c r="V454" s="10">
        <f>IF(AND(T454="",U454=""),"",IFERROR(INDEX(T_CAPAI,MATCH(T454,L_PER,0),MATCH(U454,L_KED,0)),0))</f>
        <v/>
      </c>
      <c r="W454" s="17">
        <f>IF(OR(B454="",E454="",COUNTA(F454,H454,J454:M454,O454,Q454:R454,T454:U454)=0),"",SUM(G454,I454,N454,P454,S454,V454))</f>
        <v/>
      </c>
      <c r="X454" s="18">
        <f>IF(W454="","",IF(Murid!F454="TL","TL",ROUND(W454/110*100,2)))</f>
        <v/>
      </c>
    </row>
    <row r="455">
      <c r="A455" s="15">
        <f>Murid!A455</f>
        <v/>
      </c>
      <c r="B455" s="15">
        <f>IF(Murid!B455="","",Murid!B455)</f>
        <v/>
      </c>
      <c r="C455" s="16">
        <f>IF(Murid!C455="","",Murid!C455)</f>
        <v/>
      </c>
      <c r="D455" s="15">
        <f>IF(Murid!E455="","",Murid!E455)</f>
        <v/>
      </c>
      <c r="E455" s="11" t="n"/>
      <c r="F455" s="11" t="n"/>
      <c r="G455" s="10">
        <f>IF(F455="","",IFERROR(VLOOKUP(F455,T_JKP,2,FALSE),0))</f>
        <v/>
      </c>
      <c r="H455" s="11" t="n"/>
      <c r="I455" s="17">
        <f>IF(H455="","",IF(H455&gt;=12,40,ROUND(H455*3.33,2)))</f>
        <v/>
      </c>
      <c r="J455" s="11" t="n"/>
      <c r="K455" s="11" t="n"/>
      <c r="L455" s="11" t="n"/>
      <c r="M455" s="11" t="n"/>
      <c r="N455" s="10">
        <f>IF(COUNTA(J455:M455)=0,"",MIN(10,SUMPRODUCT((COUNTIF(J455:M455,L_KOM)&gt;0)*S_KOM)))</f>
        <v/>
      </c>
      <c r="O455" s="11" t="n"/>
      <c r="P455" s="10">
        <f>IF(O455="","",IFERROR(VLOOKUP(O455,T_KHID,2,FALSE),0))</f>
        <v/>
      </c>
      <c r="Q455" s="11" t="n"/>
      <c r="R455" s="11" t="n"/>
      <c r="S455" s="10">
        <f>IF(AND(Q455="",R455=""),"",IFERROR(INDEX(T_LIBAT,MATCH(Q455,L_PER,0),MATCH(R455,L_JENIS,0)),0))</f>
        <v/>
      </c>
      <c r="T455" s="11" t="n"/>
      <c r="U455" s="11" t="n"/>
      <c r="V455" s="10">
        <f>IF(AND(T455="",U455=""),"",IFERROR(INDEX(T_CAPAI,MATCH(T455,L_PER,0),MATCH(U455,L_KED,0)),0))</f>
        <v/>
      </c>
      <c r="W455" s="17">
        <f>IF(OR(B455="",E455="",COUNTA(F455,H455,J455:M455,O455,Q455:R455,T455:U455)=0),"",SUM(G455,I455,N455,P455,S455,V455))</f>
        <v/>
      </c>
      <c r="X455" s="18">
        <f>IF(W455="","",IF(Murid!F455="TL","TL",ROUND(W455/110*100,2)))</f>
        <v/>
      </c>
    </row>
    <row r="456">
      <c r="A456" s="15">
        <f>Murid!A456</f>
        <v/>
      </c>
      <c r="B456" s="15">
        <f>IF(Murid!B456="","",Murid!B456)</f>
        <v/>
      </c>
      <c r="C456" s="16">
        <f>IF(Murid!C456="","",Murid!C456)</f>
        <v/>
      </c>
      <c r="D456" s="15">
        <f>IF(Murid!E456="","",Murid!E456)</f>
        <v/>
      </c>
      <c r="E456" s="11" t="n"/>
      <c r="F456" s="11" t="n"/>
      <c r="G456" s="10">
        <f>IF(F456="","",IFERROR(VLOOKUP(F456,T_JKP,2,FALSE),0))</f>
        <v/>
      </c>
      <c r="H456" s="11" t="n"/>
      <c r="I456" s="17">
        <f>IF(H456="","",IF(H456&gt;=12,40,ROUND(H456*3.33,2)))</f>
        <v/>
      </c>
      <c r="J456" s="11" t="n"/>
      <c r="K456" s="11" t="n"/>
      <c r="L456" s="11" t="n"/>
      <c r="M456" s="11" t="n"/>
      <c r="N456" s="10">
        <f>IF(COUNTA(J456:M456)=0,"",MIN(10,SUMPRODUCT((COUNTIF(J456:M456,L_KOM)&gt;0)*S_KOM)))</f>
        <v/>
      </c>
      <c r="O456" s="11" t="n"/>
      <c r="P456" s="10">
        <f>IF(O456="","",IFERROR(VLOOKUP(O456,T_KHID,2,FALSE),0))</f>
        <v/>
      </c>
      <c r="Q456" s="11" t="n"/>
      <c r="R456" s="11" t="n"/>
      <c r="S456" s="10">
        <f>IF(AND(Q456="",R456=""),"",IFERROR(INDEX(T_LIBAT,MATCH(Q456,L_PER,0),MATCH(R456,L_JENIS,0)),0))</f>
        <v/>
      </c>
      <c r="T456" s="11" t="n"/>
      <c r="U456" s="11" t="n"/>
      <c r="V456" s="10">
        <f>IF(AND(T456="",U456=""),"",IFERROR(INDEX(T_CAPAI,MATCH(T456,L_PER,0),MATCH(U456,L_KED,0)),0))</f>
        <v/>
      </c>
      <c r="W456" s="17">
        <f>IF(OR(B456="",E456="",COUNTA(F456,H456,J456:M456,O456,Q456:R456,T456:U456)=0),"",SUM(G456,I456,N456,P456,S456,V456))</f>
        <v/>
      </c>
      <c r="X456" s="18">
        <f>IF(W456="","",IF(Murid!F456="TL","TL",ROUND(W456/110*100,2)))</f>
        <v/>
      </c>
    </row>
    <row r="457">
      <c r="A457" s="15">
        <f>Murid!A457</f>
        <v/>
      </c>
      <c r="B457" s="15">
        <f>IF(Murid!B457="","",Murid!B457)</f>
        <v/>
      </c>
      <c r="C457" s="16">
        <f>IF(Murid!C457="","",Murid!C457)</f>
        <v/>
      </c>
      <c r="D457" s="15">
        <f>IF(Murid!E457="","",Murid!E457)</f>
        <v/>
      </c>
      <c r="E457" s="11" t="n"/>
      <c r="F457" s="11" t="n"/>
      <c r="G457" s="10">
        <f>IF(F457="","",IFERROR(VLOOKUP(F457,T_JKP,2,FALSE),0))</f>
        <v/>
      </c>
      <c r="H457" s="11" t="n"/>
      <c r="I457" s="17">
        <f>IF(H457="","",IF(H457&gt;=12,40,ROUND(H457*3.33,2)))</f>
        <v/>
      </c>
      <c r="J457" s="11" t="n"/>
      <c r="K457" s="11" t="n"/>
      <c r="L457" s="11" t="n"/>
      <c r="M457" s="11" t="n"/>
      <c r="N457" s="10">
        <f>IF(COUNTA(J457:M457)=0,"",MIN(10,SUMPRODUCT((COUNTIF(J457:M457,L_KOM)&gt;0)*S_KOM)))</f>
        <v/>
      </c>
      <c r="O457" s="11" t="n"/>
      <c r="P457" s="10">
        <f>IF(O457="","",IFERROR(VLOOKUP(O457,T_KHID,2,FALSE),0))</f>
        <v/>
      </c>
      <c r="Q457" s="11" t="n"/>
      <c r="R457" s="11" t="n"/>
      <c r="S457" s="10">
        <f>IF(AND(Q457="",R457=""),"",IFERROR(INDEX(T_LIBAT,MATCH(Q457,L_PER,0),MATCH(R457,L_JENIS,0)),0))</f>
        <v/>
      </c>
      <c r="T457" s="11" t="n"/>
      <c r="U457" s="11" t="n"/>
      <c r="V457" s="10">
        <f>IF(AND(T457="",U457=""),"",IFERROR(INDEX(T_CAPAI,MATCH(T457,L_PER,0),MATCH(U457,L_KED,0)),0))</f>
        <v/>
      </c>
      <c r="W457" s="17">
        <f>IF(OR(B457="",E457="",COUNTA(F457,H457,J457:M457,O457,Q457:R457,T457:U457)=0),"",SUM(G457,I457,N457,P457,S457,V457))</f>
        <v/>
      </c>
      <c r="X457" s="18">
        <f>IF(W457="","",IF(Murid!F457="TL","TL",ROUND(W457/110*100,2)))</f>
        <v/>
      </c>
    </row>
    <row r="458">
      <c r="A458" s="15">
        <f>Murid!A458</f>
        <v/>
      </c>
      <c r="B458" s="15">
        <f>IF(Murid!B458="","",Murid!B458)</f>
        <v/>
      </c>
      <c r="C458" s="16">
        <f>IF(Murid!C458="","",Murid!C458)</f>
        <v/>
      </c>
      <c r="D458" s="15">
        <f>IF(Murid!E458="","",Murid!E458)</f>
        <v/>
      </c>
      <c r="E458" s="11" t="n"/>
      <c r="F458" s="11" t="n"/>
      <c r="G458" s="10">
        <f>IF(F458="","",IFERROR(VLOOKUP(F458,T_JKP,2,FALSE),0))</f>
        <v/>
      </c>
      <c r="H458" s="11" t="n"/>
      <c r="I458" s="17">
        <f>IF(H458="","",IF(H458&gt;=12,40,ROUND(H458*3.33,2)))</f>
        <v/>
      </c>
      <c r="J458" s="11" t="n"/>
      <c r="K458" s="11" t="n"/>
      <c r="L458" s="11" t="n"/>
      <c r="M458" s="11" t="n"/>
      <c r="N458" s="10">
        <f>IF(COUNTA(J458:M458)=0,"",MIN(10,SUMPRODUCT((COUNTIF(J458:M458,L_KOM)&gt;0)*S_KOM)))</f>
        <v/>
      </c>
      <c r="O458" s="11" t="n"/>
      <c r="P458" s="10">
        <f>IF(O458="","",IFERROR(VLOOKUP(O458,T_KHID,2,FALSE),0))</f>
        <v/>
      </c>
      <c r="Q458" s="11" t="n"/>
      <c r="R458" s="11" t="n"/>
      <c r="S458" s="10">
        <f>IF(AND(Q458="",R458=""),"",IFERROR(INDEX(T_LIBAT,MATCH(Q458,L_PER,0),MATCH(R458,L_JENIS,0)),0))</f>
        <v/>
      </c>
      <c r="T458" s="11" t="n"/>
      <c r="U458" s="11" t="n"/>
      <c r="V458" s="10">
        <f>IF(AND(T458="",U458=""),"",IFERROR(INDEX(T_CAPAI,MATCH(T458,L_PER,0),MATCH(U458,L_KED,0)),0))</f>
        <v/>
      </c>
      <c r="W458" s="17">
        <f>IF(OR(B458="",E458="",COUNTA(F458,H458,J458:M458,O458,Q458:R458,T458:U458)=0),"",SUM(G458,I458,N458,P458,S458,V458))</f>
        <v/>
      </c>
      <c r="X458" s="18">
        <f>IF(W458="","",IF(Murid!F458="TL","TL",ROUND(W458/110*100,2)))</f>
        <v/>
      </c>
    </row>
    <row r="459">
      <c r="A459" s="15">
        <f>Murid!A459</f>
        <v/>
      </c>
      <c r="B459" s="15">
        <f>IF(Murid!B459="","",Murid!B459)</f>
        <v/>
      </c>
      <c r="C459" s="16">
        <f>IF(Murid!C459="","",Murid!C459)</f>
        <v/>
      </c>
      <c r="D459" s="15">
        <f>IF(Murid!E459="","",Murid!E459)</f>
        <v/>
      </c>
      <c r="E459" s="11" t="n"/>
      <c r="F459" s="11" t="n"/>
      <c r="G459" s="10">
        <f>IF(F459="","",IFERROR(VLOOKUP(F459,T_JKP,2,FALSE),0))</f>
        <v/>
      </c>
      <c r="H459" s="11" t="n"/>
      <c r="I459" s="17">
        <f>IF(H459="","",IF(H459&gt;=12,40,ROUND(H459*3.33,2)))</f>
        <v/>
      </c>
      <c r="J459" s="11" t="n"/>
      <c r="K459" s="11" t="n"/>
      <c r="L459" s="11" t="n"/>
      <c r="M459" s="11" t="n"/>
      <c r="N459" s="10">
        <f>IF(COUNTA(J459:M459)=0,"",MIN(10,SUMPRODUCT((COUNTIF(J459:M459,L_KOM)&gt;0)*S_KOM)))</f>
        <v/>
      </c>
      <c r="O459" s="11" t="n"/>
      <c r="P459" s="10">
        <f>IF(O459="","",IFERROR(VLOOKUP(O459,T_KHID,2,FALSE),0))</f>
        <v/>
      </c>
      <c r="Q459" s="11" t="n"/>
      <c r="R459" s="11" t="n"/>
      <c r="S459" s="10">
        <f>IF(AND(Q459="",R459=""),"",IFERROR(INDEX(T_LIBAT,MATCH(Q459,L_PER,0),MATCH(R459,L_JENIS,0)),0))</f>
        <v/>
      </c>
      <c r="T459" s="11" t="n"/>
      <c r="U459" s="11" t="n"/>
      <c r="V459" s="10">
        <f>IF(AND(T459="",U459=""),"",IFERROR(INDEX(T_CAPAI,MATCH(T459,L_PER,0),MATCH(U459,L_KED,0)),0))</f>
        <v/>
      </c>
      <c r="W459" s="17">
        <f>IF(OR(B459="",E459="",COUNTA(F459,H459,J459:M459,O459,Q459:R459,T459:U459)=0),"",SUM(G459,I459,N459,P459,S459,V459))</f>
        <v/>
      </c>
      <c r="X459" s="18">
        <f>IF(W459="","",IF(Murid!F459="TL","TL",ROUND(W459/110*100,2)))</f>
        <v/>
      </c>
    </row>
    <row r="460">
      <c r="A460" s="15">
        <f>Murid!A460</f>
        <v/>
      </c>
      <c r="B460" s="15">
        <f>IF(Murid!B460="","",Murid!B460)</f>
        <v/>
      </c>
      <c r="C460" s="16">
        <f>IF(Murid!C460="","",Murid!C460)</f>
        <v/>
      </c>
      <c r="D460" s="15">
        <f>IF(Murid!E460="","",Murid!E460)</f>
        <v/>
      </c>
      <c r="E460" s="11" t="n"/>
      <c r="F460" s="11" t="n"/>
      <c r="G460" s="10">
        <f>IF(F460="","",IFERROR(VLOOKUP(F460,T_JKP,2,FALSE),0))</f>
        <v/>
      </c>
      <c r="H460" s="11" t="n"/>
      <c r="I460" s="17">
        <f>IF(H460="","",IF(H460&gt;=12,40,ROUND(H460*3.33,2)))</f>
        <v/>
      </c>
      <c r="J460" s="11" t="n"/>
      <c r="K460" s="11" t="n"/>
      <c r="L460" s="11" t="n"/>
      <c r="M460" s="11" t="n"/>
      <c r="N460" s="10">
        <f>IF(COUNTA(J460:M460)=0,"",MIN(10,SUMPRODUCT((COUNTIF(J460:M460,L_KOM)&gt;0)*S_KOM)))</f>
        <v/>
      </c>
      <c r="O460" s="11" t="n"/>
      <c r="P460" s="10">
        <f>IF(O460="","",IFERROR(VLOOKUP(O460,T_KHID,2,FALSE),0))</f>
        <v/>
      </c>
      <c r="Q460" s="11" t="n"/>
      <c r="R460" s="11" t="n"/>
      <c r="S460" s="10">
        <f>IF(AND(Q460="",R460=""),"",IFERROR(INDEX(T_LIBAT,MATCH(Q460,L_PER,0),MATCH(R460,L_JENIS,0)),0))</f>
        <v/>
      </c>
      <c r="T460" s="11" t="n"/>
      <c r="U460" s="11" t="n"/>
      <c r="V460" s="10">
        <f>IF(AND(T460="",U460=""),"",IFERROR(INDEX(T_CAPAI,MATCH(T460,L_PER,0),MATCH(U460,L_KED,0)),0))</f>
        <v/>
      </c>
      <c r="W460" s="17">
        <f>IF(OR(B460="",E460="",COUNTA(F460,H460,J460:M460,O460,Q460:R460,T460:U460)=0),"",SUM(G460,I460,N460,P460,S460,V460))</f>
        <v/>
      </c>
      <c r="X460" s="18">
        <f>IF(W460="","",IF(Murid!F460="TL","TL",ROUND(W460/110*100,2)))</f>
        <v/>
      </c>
    </row>
    <row r="461">
      <c r="A461" s="15">
        <f>Murid!A461</f>
        <v/>
      </c>
      <c r="B461" s="15">
        <f>IF(Murid!B461="","",Murid!B461)</f>
        <v/>
      </c>
      <c r="C461" s="16">
        <f>IF(Murid!C461="","",Murid!C461)</f>
        <v/>
      </c>
      <c r="D461" s="15">
        <f>IF(Murid!E461="","",Murid!E461)</f>
        <v/>
      </c>
      <c r="E461" s="11" t="n"/>
      <c r="F461" s="11" t="n"/>
      <c r="G461" s="10">
        <f>IF(F461="","",IFERROR(VLOOKUP(F461,T_JKP,2,FALSE),0))</f>
        <v/>
      </c>
      <c r="H461" s="11" t="n"/>
      <c r="I461" s="17">
        <f>IF(H461="","",IF(H461&gt;=12,40,ROUND(H461*3.33,2)))</f>
        <v/>
      </c>
      <c r="J461" s="11" t="n"/>
      <c r="K461" s="11" t="n"/>
      <c r="L461" s="11" t="n"/>
      <c r="M461" s="11" t="n"/>
      <c r="N461" s="10">
        <f>IF(COUNTA(J461:M461)=0,"",MIN(10,SUMPRODUCT((COUNTIF(J461:M461,L_KOM)&gt;0)*S_KOM)))</f>
        <v/>
      </c>
      <c r="O461" s="11" t="n"/>
      <c r="P461" s="10">
        <f>IF(O461="","",IFERROR(VLOOKUP(O461,T_KHID,2,FALSE),0))</f>
        <v/>
      </c>
      <c r="Q461" s="11" t="n"/>
      <c r="R461" s="11" t="n"/>
      <c r="S461" s="10">
        <f>IF(AND(Q461="",R461=""),"",IFERROR(INDEX(T_LIBAT,MATCH(Q461,L_PER,0),MATCH(R461,L_JENIS,0)),0))</f>
        <v/>
      </c>
      <c r="T461" s="11" t="n"/>
      <c r="U461" s="11" t="n"/>
      <c r="V461" s="10">
        <f>IF(AND(T461="",U461=""),"",IFERROR(INDEX(T_CAPAI,MATCH(T461,L_PER,0),MATCH(U461,L_KED,0)),0))</f>
        <v/>
      </c>
      <c r="W461" s="17">
        <f>IF(OR(B461="",E461="",COUNTA(F461,H461,J461:M461,O461,Q461:R461,T461:U461)=0),"",SUM(G461,I461,N461,P461,S461,V461))</f>
        <v/>
      </c>
      <c r="X461" s="18">
        <f>IF(W461="","",IF(Murid!F461="TL","TL",ROUND(W461/110*100,2)))</f>
        <v/>
      </c>
    </row>
    <row r="462">
      <c r="A462" s="15">
        <f>Murid!A462</f>
        <v/>
      </c>
      <c r="B462" s="15">
        <f>IF(Murid!B462="","",Murid!B462)</f>
        <v/>
      </c>
      <c r="C462" s="16">
        <f>IF(Murid!C462="","",Murid!C462)</f>
        <v/>
      </c>
      <c r="D462" s="15">
        <f>IF(Murid!E462="","",Murid!E462)</f>
        <v/>
      </c>
      <c r="E462" s="11" t="n"/>
      <c r="F462" s="11" t="n"/>
      <c r="G462" s="10">
        <f>IF(F462="","",IFERROR(VLOOKUP(F462,T_JKP,2,FALSE),0))</f>
        <v/>
      </c>
      <c r="H462" s="11" t="n"/>
      <c r="I462" s="17">
        <f>IF(H462="","",IF(H462&gt;=12,40,ROUND(H462*3.33,2)))</f>
        <v/>
      </c>
      <c r="J462" s="11" t="n"/>
      <c r="K462" s="11" t="n"/>
      <c r="L462" s="11" t="n"/>
      <c r="M462" s="11" t="n"/>
      <c r="N462" s="10">
        <f>IF(COUNTA(J462:M462)=0,"",MIN(10,SUMPRODUCT((COUNTIF(J462:M462,L_KOM)&gt;0)*S_KOM)))</f>
        <v/>
      </c>
      <c r="O462" s="11" t="n"/>
      <c r="P462" s="10">
        <f>IF(O462="","",IFERROR(VLOOKUP(O462,T_KHID,2,FALSE),0))</f>
        <v/>
      </c>
      <c r="Q462" s="11" t="n"/>
      <c r="R462" s="11" t="n"/>
      <c r="S462" s="10">
        <f>IF(AND(Q462="",R462=""),"",IFERROR(INDEX(T_LIBAT,MATCH(Q462,L_PER,0),MATCH(R462,L_JENIS,0)),0))</f>
        <v/>
      </c>
      <c r="T462" s="11" t="n"/>
      <c r="U462" s="11" t="n"/>
      <c r="V462" s="10">
        <f>IF(AND(T462="",U462=""),"",IFERROR(INDEX(T_CAPAI,MATCH(T462,L_PER,0),MATCH(U462,L_KED,0)),0))</f>
        <v/>
      </c>
      <c r="W462" s="17">
        <f>IF(OR(B462="",E462="",COUNTA(F462,H462,J462:M462,O462,Q462:R462,T462:U462)=0),"",SUM(G462,I462,N462,P462,S462,V462))</f>
        <v/>
      </c>
      <c r="X462" s="18">
        <f>IF(W462="","",IF(Murid!F462="TL","TL",ROUND(W462/110*100,2)))</f>
        <v/>
      </c>
    </row>
    <row r="463">
      <c r="A463" s="15">
        <f>Murid!A463</f>
        <v/>
      </c>
      <c r="B463" s="15">
        <f>IF(Murid!B463="","",Murid!B463)</f>
        <v/>
      </c>
      <c r="C463" s="16">
        <f>IF(Murid!C463="","",Murid!C463)</f>
        <v/>
      </c>
      <c r="D463" s="15">
        <f>IF(Murid!E463="","",Murid!E463)</f>
        <v/>
      </c>
      <c r="E463" s="11" t="n"/>
      <c r="F463" s="11" t="n"/>
      <c r="G463" s="10">
        <f>IF(F463="","",IFERROR(VLOOKUP(F463,T_JKP,2,FALSE),0))</f>
        <v/>
      </c>
      <c r="H463" s="11" t="n"/>
      <c r="I463" s="17">
        <f>IF(H463="","",IF(H463&gt;=12,40,ROUND(H463*3.33,2)))</f>
        <v/>
      </c>
      <c r="J463" s="11" t="n"/>
      <c r="K463" s="11" t="n"/>
      <c r="L463" s="11" t="n"/>
      <c r="M463" s="11" t="n"/>
      <c r="N463" s="10">
        <f>IF(COUNTA(J463:M463)=0,"",MIN(10,SUMPRODUCT((COUNTIF(J463:M463,L_KOM)&gt;0)*S_KOM)))</f>
        <v/>
      </c>
      <c r="O463" s="11" t="n"/>
      <c r="P463" s="10">
        <f>IF(O463="","",IFERROR(VLOOKUP(O463,T_KHID,2,FALSE),0))</f>
        <v/>
      </c>
      <c r="Q463" s="11" t="n"/>
      <c r="R463" s="11" t="n"/>
      <c r="S463" s="10">
        <f>IF(AND(Q463="",R463=""),"",IFERROR(INDEX(T_LIBAT,MATCH(Q463,L_PER,0),MATCH(R463,L_JENIS,0)),0))</f>
        <v/>
      </c>
      <c r="T463" s="11" t="n"/>
      <c r="U463" s="11" t="n"/>
      <c r="V463" s="10">
        <f>IF(AND(T463="",U463=""),"",IFERROR(INDEX(T_CAPAI,MATCH(T463,L_PER,0),MATCH(U463,L_KED,0)),0))</f>
        <v/>
      </c>
      <c r="W463" s="17">
        <f>IF(OR(B463="",E463="",COUNTA(F463,H463,J463:M463,O463,Q463:R463,T463:U463)=0),"",SUM(G463,I463,N463,P463,S463,V463))</f>
        <v/>
      </c>
      <c r="X463" s="18">
        <f>IF(W463="","",IF(Murid!F463="TL","TL",ROUND(W463/110*100,2)))</f>
        <v/>
      </c>
    </row>
    <row r="464">
      <c r="A464" s="15">
        <f>Murid!A464</f>
        <v/>
      </c>
      <c r="B464" s="15">
        <f>IF(Murid!B464="","",Murid!B464)</f>
        <v/>
      </c>
      <c r="C464" s="16">
        <f>IF(Murid!C464="","",Murid!C464)</f>
        <v/>
      </c>
      <c r="D464" s="15">
        <f>IF(Murid!E464="","",Murid!E464)</f>
        <v/>
      </c>
      <c r="E464" s="11" t="n"/>
      <c r="F464" s="11" t="n"/>
      <c r="G464" s="10">
        <f>IF(F464="","",IFERROR(VLOOKUP(F464,T_JKP,2,FALSE),0))</f>
        <v/>
      </c>
      <c r="H464" s="11" t="n"/>
      <c r="I464" s="17">
        <f>IF(H464="","",IF(H464&gt;=12,40,ROUND(H464*3.33,2)))</f>
        <v/>
      </c>
      <c r="J464" s="11" t="n"/>
      <c r="K464" s="11" t="n"/>
      <c r="L464" s="11" t="n"/>
      <c r="M464" s="11" t="n"/>
      <c r="N464" s="10">
        <f>IF(COUNTA(J464:M464)=0,"",MIN(10,SUMPRODUCT((COUNTIF(J464:M464,L_KOM)&gt;0)*S_KOM)))</f>
        <v/>
      </c>
      <c r="O464" s="11" t="n"/>
      <c r="P464" s="10">
        <f>IF(O464="","",IFERROR(VLOOKUP(O464,T_KHID,2,FALSE),0))</f>
        <v/>
      </c>
      <c r="Q464" s="11" t="n"/>
      <c r="R464" s="11" t="n"/>
      <c r="S464" s="10">
        <f>IF(AND(Q464="",R464=""),"",IFERROR(INDEX(T_LIBAT,MATCH(Q464,L_PER,0),MATCH(R464,L_JENIS,0)),0))</f>
        <v/>
      </c>
      <c r="T464" s="11" t="n"/>
      <c r="U464" s="11" t="n"/>
      <c r="V464" s="10">
        <f>IF(AND(T464="",U464=""),"",IFERROR(INDEX(T_CAPAI,MATCH(T464,L_PER,0),MATCH(U464,L_KED,0)),0))</f>
        <v/>
      </c>
      <c r="W464" s="17">
        <f>IF(OR(B464="",E464="",COUNTA(F464,H464,J464:M464,O464,Q464:R464,T464:U464)=0),"",SUM(G464,I464,N464,P464,S464,V464))</f>
        <v/>
      </c>
      <c r="X464" s="18">
        <f>IF(W464="","",IF(Murid!F464="TL","TL",ROUND(W464/110*100,2)))</f>
        <v/>
      </c>
    </row>
    <row r="465">
      <c r="A465" s="15">
        <f>Murid!A465</f>
        <v/>
      </c>
      <c r="B465" s="15">
        <f>IF(Murid!B465="","",Murid!B465)</f>
        <v/>
      </c>
      <c r="C465" s="16">
        <f>IF(Murid!C465="","",Murid!C465)</f>
        <v/>
      </c>
      <c r="D465" s="15">
        <f>IF(Murid!E465="","",Murid!E465)</f>
        <v/>
      </c>
      <c r="E465" s="11" t="n"/>
      <c r="F465" s="11" t="n"/>
      <c r="G465" s="10">
        <f>IF(F465="","",IFERROR(VLOOKUP(F465,T_JKP,2,FALSE),0))</f>
        <v/>
      </c>
      <c r="H465" s="11" t="n"/>
      <c r="I465" s="17">
        <f>IF(H465="","",IF(H465&gt;=12,40,ROUND(H465*3.33,2)))</f>
        <v/>
      </c>
      <c r="J465" s="11" t="n"/>
      <c r="K465" s="11" t="n"/>
      <c r="L465" s="11" t="n"/>
      <c r="M465" s="11" t="n"/>
      <c r="N465" s="10">
        <f>IF(COUNTA(J465:M465)=0,"",MIN(10,SUMPRODUCT((COUNTIF(J465:M465,L_KOM)&gt;0)*S_KOM)))</f>
        <v/>
      </c>
      <c r="O465" s="11" t="n"/>
      <c r="P465" s="10">
        <f>IF(O465="","",IFERROR(VLOOKUP(O465,T_KHID,2,FALSE),0))</f>
        <v/>
      </c>
      <c r="Q465" s="11" t="n"/>
      <c r="R465" s="11" t="n"/>
      <c r="S465" s="10">
        <f>IF(AND(Q465="",R465=""),"",IFERROR(INDEX(T_LIBAT,MATCH(Q465,L_PER,0),MATCH(R465,L_JENIS,0)),0))</f>
        <v/>
      </c>
      <c r="T465" s="11" t="n"/>
      <c r="U465" s="11" t="n"/>
      <c r="V465" s="10">
        <f>IF(AND(T465="",U465=""),"",IFERROR(INDEX(T_CAPAI,MATCH(T465,L_PER,0),MATCH(U465,L_KED,0)),0))</f>
        <v/>
      </c>
      <c r="W465" s="17">
        <f>IF(OR(B465="",E465="",COUNTA(F465,H465,J465:M465,O465,Q465:R465,T465:U465)=0),"",SUM(G465,I465,N465,P465,S465,V465))</f>
        <v/>
      </c>
      <c r="X465" s="18">
        <f>IF(W465="","",IF(Murid!F465="TL","TL",ROUND(W465/110*100,2)))</f>
        <v/>
      </c>
    </row>
    <row r="466">
      <c r="A466" s="15">
        <f>Murid!A466</f>
        <v/>
      </c>
      <c r="B466" s="15">
        <f>IF(Murid!B466="","",Murid!B466)</f>
        <v/>
      </c>
      <c r="C466" s="16">
        <f>IF(Murid!C466="","",Murid!C466)</f>
        <v/>
      </c>
      <c r="D466" s="15">
        <f>IF(Murid!E466="","",Murid!E466)</f>
        <v/>
      </c>
      <c r="E466" s="11" t="n"/>
      <c r="F466" s="11" t="n"/>
      <c r="G466" s="10">
        <f>IF(F466="","",IFERROR(VLOOKUP(F466,T_JKP,2,FALSE),0))</f>
        <v/>
      </c>
      <c r="H466" s="11" t="n"/>
      <c r="I466" s="17">
        <f>IF(H466="","",IF(H466&gt;=12,40,ROUND(H466*3.33,2)))</f>
        <v/>
      </c>
      <c r="J466" s="11" t="n"/>
      <c r="K466" s="11" t="n"/>
      <c r="L466" s="11" t="n"/>
      <c r="M466" s="11" t="n"/>
      <c r="N466" s="10">
        <f>IF(COUNTA(J466:M466)=0,"",MIN(10,SUMPRODUCT((COUNTIF(J466:M466,L_KOM)&gt;0)*S_KOM)))</f>
        <v/>
      </c>
      <c r="O466" s="11" t="n"/>
      <c r="P466" s="10">
        <f>IF(O466="","",IFERROR(VLOOKUP(O466,T_KHID,2,FALSE),0))</f>
        <v/>
      </c>
      <c r="Q466" s="11" t="n"/>
      <c r="R466" s="11" t="n"/>
      <c r="S466" s="10">
        <f>IF(AND(Q466="",R466=""),"",IFERROR(INDEX(T_LIBAT,MATCH(Q466,L_PER,0),MATCH(R466,L_JENIS,0)),0))</f>
        <v/>
      </c>
      <c r="T466" s="11" t="n"/>
      <c r="U466" s="11" t="n"/>
      <c r="V466" s="10">
        <f>IF(AND(T466="",U466=""),"",IFERROR(INDEX(T_CAPAI,MATCH(T466,L_PER,0),MATCH(U466,L_KED,0)),0))</f>
        <v/>
      </c>
      <c r="W466" s="17">
        <f>IF(OR(B466="",E466="",COUNTA(F466,H466,J466:M466,O466,Q466:R466,T466:U466)=0),"",SUM(G466,I466,N466,P466,S466,V466))</f>
        <v/>
      </c>
      <c r="X466" s="18">
        <f>IF(W466="","",IF(Murid!F466="TL","TL",ROUND(W466/110*100,2)))</f>
        <v/>
      </c>
    </row>
    <row r="467">
      <c r="A467" s="15">
        <f>Murid!A467</f>
        <v/>
      </c>
      <c r="B467" s="15">
        <f>IF(Murid!B467="","",Murid!B467)</f>
        <v/>
      </c>
      <c r="C467" s="16">
        <f>IF(Murid!C467="","",Murid!C467)</f>
        <v/>
      </c>
      <c r="D467" s="15">
        <f>IF(Murid!E467="","",Murid!E467)</f>
        <v/>
      </c>
      <c r="E467" s="11" t="n"/>
      <c r="F467" s="11" t="n"/>
      <c r="G467" s="10">
        <f>IF(F467="","",IFERROR(VLOOKUP(F467,T_JKP,2,FALSE),0))</f>
        <v/>
      </c>
      <c r="H467" s="11" t="n"/>
      <c r="I467" s="17">
        <f>IF(H467="","",IF(H467&gt;=12,40,ROUND(H467*3.33,2)))</f>
        <v/>
      </c>
      <c r="J467" s="11" t="n"/>
      <c r="K467" s="11" t="n"/>
      <c r="L467" s="11" t="n"/>
      <c r="M467" s="11" t="n"/>
      <c r="N467" s="10">
        <f>IF(COUNTA(J467:M467)=0,"",MIN(10,SUMPRODUCT((COUNTIF(J467:M467,L_KOM)&gt;0)*S_KOM)))</f>
        <v/>
      </c>
      <c r="O467" s="11" t="n"/>
      <c r="P467" s="10">
        <f>IF(O467="","",IFERROR(VLOOKUP(O467,T_KHID,2,FALSE),0))</f>
        <v/>
      </c>
      <c r="Q467" s="11" t="n"/>
      <c r="R467" s="11" t="n"/>
      <c r="S467" s="10">
        <f>IF(AND(Q467="",R467=""),"",IFERROR(INDEX(T_LIBAT,MATCH(Q467,L_PER,0),MATCH(R467,L_JENIS,0)),0))</f>
        <v/>
      </c>
      <c r="T467" s="11" t="n"/>
      <c r="U467" s="11" t="n"/>
      <c r="V467" s="10">
        <f>IF(AND(T467="",U467=""),"",IFERROR(INDEX(T_CAPAI,MATCH(T467,L_PER,0),MATCH(U467,L_KED,0)),0))</f>
        <v/>
      </c>
      <c r="W467" s="17">
        <f>IF(OR(B467="",E467="",COUNTA(F467,H467,J467:M467,O467,Q467:R467,T467:U467)=0),"",SUM(G467,I467,N467,P467,S467,V467))</f>
        <v/>
      </c>
      <c r="X467" s="18">
        <f>IF(W467="","",IF(Murid!F467="TL","TL",ROUND(W467/110*100,2)))</f>
        <v/>
      </c>
    </row>
    <row r="468">
      <c r="A468" s="15">
        <f>Murid!A468</f>
        <v/>
      </c>
      <c r="B468" s="15">
        <f>IF(Murid!B468="","",Murid!B468)</f>
        <v/>
      </c>
      <c r="C468" s="16">
        <f>IF(Murid!C468="","",Murid!C468)</f>
        <v/>
      </c>
      <c r="D468" s="15">
        <f>IF(Murid!E468="","",Murid!E468)</f>
        <v/>
      </c>
      <c r="E468" s="11" t="n"/>
      <c r="F468" s="11" t="n"/>
      <c r="G468" s="10">
        <f>IF(F468="","",IFERROR(VLOOKUP(F468,T_JKP,2,FALSE),0))</f>
        <v/>
      </c>
      <c r="H468" s="11" t="n"/>
      <c r="I468" s="17">
        <f>IF(H468="","",IF(H468&gt;=12,40,ROUND(H468*3.33,2)))</f>
        <v/>
      </c>
      <c r="J468" s="11" t="n"/>
      <c r="K468" s="11" t="n"/>
      <c r="L468" s="11" t="n"/>
      <c r="M468" s="11" t="n"/>
      <c r="N468" s="10">
        <f>IF(COUNTA(J468:M468)=0,"",MIN(10,SUMPRODUCT((COUNTIF(J468:M468,L_KOM)&gt;0)*S_KOM)))</f>
        <v/>
      </c>
      <c r="O468" s="11" t="n"/>
      <c r="P468" s="10">
        <f>IF(O468="","",IFERROR(VLOOKUP(O468,T_KHID,2,FALSE),0))</f>
        <v/>
      </c>
      <c r="Q468" s="11" t="n"/>
      <c r="R468" s="11" t="n"/>
      <c r="S468" s="10">
        <f>IF(AND(Q468="",R468=""),"",IFERROR(INDEX(T_LIBAT,MATCH(Q468,L_PER,0),MATCH(R468,L_JENIS,0)),0))</f>
        <v/>
      </c>
      <c r="T468" s="11" t="n"/>
      <c r="U468" s="11" t="n"/>
      <c r="V468" s="10">
        <f>IF(AND(T468="",U468=""),"",IFERROR(INDEX(T_CAPAI,MATCH(T468,L_PER,0),MATCH(U468,L_KED,0)),0))</f>
        <v/>
      </c>
      <c r="W468" s="17">
        <f>IF(OR(B468="",E468="",COUNTA(F468,H468,J468:M468,O468,Q468:R468,T468:U468)=0),"",SUM(G468,I468,N468,P468,S468,V468))</f>
        <v/>
      </c>
      <c r="X468" s="18">
        <f>IF(W468="","",IF(Murid!F468="TL","TL",ROUND(W468/110*100,2)))</f>
        <v/>
      </c>
    </row>
    <row r="469">
      <c r="A469" s="15">
        <f>Murid!A469</f>
        <v/>
      </c>
      <c r="B469" s="15">
        <f>IF(Murid!B469="","",Murid!B469)</f>
        <v/>
      </c>
      <c r="C469" s="16">
        <f>IF(Murid!C469="","",Murid!C469)</f>
        <v/>
      </c>
      <c r="D469" s="15">
        <f>IF(Murid!E469="","",Murid!E469)</f>
        <v/>
      </c>
      <c r="E469" s="11" t="n"/>
      <c r="F469" s="11" t="n"/>
      <c r="G469" s="10">
        <f>IF(F469="","",IFERROR(VLOOKUP(F469,T_JKP,2,FALSE),0))</f>
        <v/>
      </c>
      <c r="H469" s="11" t="n"/>
      <c r="I469" s="17">
        <f>IF(H469="","",IF(H469&gt;=12,40,ROUND(H469*3.33,2)))</f>
        <v/>
      </c>
      <c r="J469" s="11" t="n"/>
      <c r="K469" s="11" t="n"/>
      <c r="L469" s="11" t="n"/>
      <c r="M469" s="11" t="n"/>
      <c r="N469" s="10">
        <f>IF(COUNTA(J469:M469)=0,"",MIN(10,SUMPRODUCT((COUNTIF(J469:M469,L_KOM)&gt;0)*S_KOM)))</f>
        <v/>
      </c>
      <c r="O469" s="11" t="n"/>
      <c r="P469" s="10">
        <f>IF(O469="","",IFERROR(VLOOKUP(O469,T_KHID,2,FALSE),0))</f>
        <v/>
      </c>
      <c r="Q469" s="11" t="n"/>
      <c r="R469" s="11" t="n"/>
      <c r="S469" s="10">
        <f>IF(AND(Q469="",R469=""),"",IFERROR(INDEX(T_LIBAT,MATCH(Q469,L_PER,0),MATCH(R469,L_JENIS,0)),0))</f>
        <v/>
      </c>
      <c r="T469" s="11" t="n"/>
      <c r="U469" s="11" t="n"/>
      <c r="V469" s="10">
        <f>IF(AND(T469="",U469=""),"",IFERROR(INDEX(T_CAPAI,MATCH(T469,L_PER,0),MATCH(U469,L_KED,0)),0))</f>
        <v/>
      </c>
      <c r="W469" s="17">
        <f>IF(OR(B469="",E469="",COUNTA(F469,H469,J469:M469,O469,Q469:R469,T469:U469)=0),"",SUM(G469,I469,N469,P469,S469,V469))</f>
        <v/>
      </c>
      <c r="X469" s="18">
        <f>IF(W469="","",IF(Murid!F469="TL","TL",ROUND(W469/110*100,2)))</f>
        <v/>
      </c>
    </row>
    <row r="470">
      <c r="A470" s="15">
        <f>Murid!A470</f>
        <v/>
      </c>
      <c r="B470" s="15">
        <f>IF(Murid!B470="","",Murid!B470)</f>
        <v/>
      </c>
      <c r="C470" s="16">
        <f>IF(Murid!C470="","",Murid!C470)</f>
        <v/>
      </c>
      <c r="D470" s="15">
        <f>IF(Murid!E470="","",Murid!E470)</f>
        <v/>
      </c>
      <c r="E470" s="11" t="n"/>
      <c r="F470" s="11" t="n"/>
      <c r="G470" s="10">
        <f>IF(F470="","",IFERROR(VLOOKUP(F470,T_JKP,2,FALSE),0))</f>
        <v/>
      </c>
      <c r="H470" s="11" t="n"/>
      <c r="I470" s="17">
        <f>IF(H470="","",IF(H470&gt;=12,40,ROUND(H470*3.33,2)))</f>
        <v/>
      </c>
      <c r="J470" s="11" t="n"/>
      <c r="K470" s="11" t="n"/>
      <c r="L470" s="11" t="n"/>
      <c r="M470" s="11" t="n"/>
      <c r="N470" s="10">
        <f>IF(COUNTA(J470:M470)=0,"",MIN(10,SUMPRODUCT((COUNTIF(J470:M470,L_KOM)&gt;0)*S_KOM)))</f>
        <v/>
      </c>
      <c r="O470" s="11" t="n"/>
      <c r="P470" s="10">
        <f>IF(O470="","",IFERROR(VLOOKUP(O470,T_KHID,2,FALSE),0))</f>
        <v/>
      </c>
      <c r="Q470" s="11" t="n"/>
      <c r="R470" s="11" t="n"/>
      <c r="S470" s="10">
        <f>IF(AND(Q470="",R470=""),"",IFERROR(INDEX(T_LIBAT,MATCH(Q470,L_PER,0),MATCH(R470,L_JENIS,0)),0))</f>
        <v/>
      </c>
      <c r="T470" s="11" t="n"/>
      <c r="U470" s="11" t="n"/>
      <c r="V470" s="10">
        <f>IF(AND(T470="",U470=""),"",IFERROR(INDEX(T_CAPAI,MATCH(T470,L_PER,0),MATCH(U470,L_KED,0)),0))</f>
        <v/>
      </c>
      <c r="W470" s="17">
        <f>IF(OR(B470="",E470="",COUNTA(F470,H470,J470:M470,O470,Q470:R470,T470:U470)=0),"",SUM(G470,I470,N470,P470,S470,V470))</f>
        <v/>
      </c>
      <c r="X470" s="18">
        <f>IF(W470="","",IF(Murid!F470="TL","TL",ROUND(W470/110*100,2)))</f>
        <v/>
      </c>
    </row>
    <row r="471">
      <c r="A471" s="15">
        <f>Murid!A471</f>
        <v/>
      </c>
      <c r="B471" s="15">
        <f>IF(Murid!B471="","",Murid!B471)</f>
        <v/>
      </c>
      <c r="C471" s="16">
        <f>IF(Murid!C471="","",Murid!C471)</f>
        <v/>
      </c>
      <c r="D471" s="15">
        <f>IF(Murid!E471="","",Murid!E471)</f>
        <v/>
      </c>
      <c r="E471" s="11" t="n"/>
      <c r="F471" s="11" t="n"/>
      <c r="G471" s="10">
        <f>IF(F471="","",IFERROR(VLOOKUP(F471,T_JKP,2,FALSE),0))</f>
        <v/>
      </c>
      <c r="H471" s="11" t="n"/>
      <c r="I471" s="17">
        <f>IF(H471="","",IF(H471&gt;=12,40,ROUND(H471*3.33,2)))</f>
        <v/>
      </c>
      <c r="J471" s="11" t="n"/>
      <c r="K471" s="11" t="n"/>
      <c r="L471" s="11" t="n"/>
      <c r="M471" s="11" t="n"/>
      <c r="N471" s="10">
        <f>IF(COUNTA(J471:M471)=0,"",MIN(10,SUMPRODUCT((COUNTIF(J471:M471,L_KOM)&gt;0)*S_KOM)))</f>
        <v/>
      </c>
      <c r="O471" s="11" t="n"/>
      <c r="P471" s="10">
        <f>IF(O471="","",IFERROR(VLOOKUP(O471,T_KHID,2,FALSE),0))</f>
        <v/>
      </c>
      <c r="Q471" s="11" t="n"/>
      <c r="R471" s="11" t="n"/>
      <c r="S471" s="10">
        <f>IF(AND(Q471="",R471=""),"",IFERROR(INDEX(T_LIBAT,MATCH(Q471,L_PER,0),MATCH(R471,L_JENIS,0)),0))</f>
        <v/>
      </c>
      <c r="T471" s="11" t="n"/>
      <c r="U471" s="11" t="n"/>
      <c r="V471" s="10">
        <f>IF(AND(T471="",U471=""),"",IFERROR(INDEX(T_CAPAI,MATCH(T471,L_PER,0),MATCH(U471,L_KED,0)),0))</f>
        <v/>
      </c>
      <c r="W471" s="17">
        <f>IF(OR(B471="",E471="",COUNTA(F471,H471,J471:M471,O471,Q471:R471,T471:U471)=0),"",SUM(G471,I471,N471,P471,S471,V471))</f>
        <v/>
      </c>
      <c r="X471" s="18">
        <f>IF(W471="","",IF(Murid!F471="TL","TL",ROUND(W471/110*100,2)))</f>
        <v/>
      </c>
    </row>
    <row r="472">
      <c r="A472" s="15">
        <f>Murid!A472</f>
        <v/>
      </c>
      <c r="B472" s="15">
        <f>IF(Murid!B472="","",Murid!B472)</f>
        <v/>
      </c>
      <c r="C472" s="16">
        <f>IF(Murid!C472="","",Murid!C472)</f>
        <v/>
      </c>
      <c r="D472" s="15">
        <f>IF(Murid!E472="","",Murid!E472)</f>
        <v/>
      </c>
      <c r="E472" s="11" t="n"/>
      <c r="F472" s="11" t="n"/>
      <c r="G472" s="10">
        <f>IF(F472="","",IFERROR(VLOOKUP(F472,T_JKP,2,FALSE),0))</f>
        <v/>
      </c>
      <c r="H472" s="11" t="n"/>
      <c r="I472" s="17">
        <f>IF(H472="","",IF(H472&gt;=12,40,ROUND(H472*3.33,2)))</f>
        <v/>
      </c>
      <c r="J472" s="11" t="n"/>
      <c r="K472" s="11" t="n"/>
      <c r="L472" s="11" t="n"/>
      <c r="M472" s="11" t="n"/>
      <c r="N472" s="10">
        <f>IF(COUNTA(J472:M472)=0,"",MIN(10,SUMPRODUCT((COUNTIF(J472:M472,L_KOM)&gt;0)*S_KOM)))</f>
        <v/>
      </c>
      <c r="O472" s="11" t="n"/>
      <c r="P472" s="10">
        <f>IF(O472="","",IFERROR(VLOOKUP(O472,T_KHID,2,FALSE),0))</f>
        <v/>
      </c>
      <c r="Q472" s="11" t="n"/>
      <c r="R472" s="11" t="n"/>
      <c r="S472" s="10">
        <f>IF(AND(Q472="",R472=""),"",IFERROR(INDEX(T_LIBAT,MATCH(Q472,L_PER,0),MATCH(R472,L_JENIS,0)),0))</f>
        <v/>
      </c>
      <c r="T472" s="11" t="n"/>
      <c r="U472" s="11" t="n"/>
      <c r="V472" s="10">
        <f>IF(AND(T472="",U472=""),"",IFERROR(INDEX(T_CAPAI,MATCH(T472,L_PER,0),MATCH(U472,L_KED,0)),0))</f>
        <v/>
      </c>
      <c r="W472" s="17">
        <f>IF(OR(B472="",E472="",COUNTA(F472,H472,J472:M472,O472,Q472:R472,T472:U472)=0),"",SUM(G472,I472,N472,P472,S472,V472))</f>
        <v/>
      </c>
      <c r="X472" s="18">
        <f>IF(W472="","",IF(Murid!F472="TL","TL",ROUND(W472/110*100,2)))</f>
        <v/>
      </c>
    </row>
    <row r="473">
      <c r="A473" s="15">
        <f>Murid!A473</f>
        <v/>
      </c>
      <c r="B473" s="15">
        <f>IF(Murid!B473="","",Murid!B473)</f>
        <v/>
      </c>
      <c r="C473" s="16">
        <f>IF(Murid!C473="","",Murid!C473)</f>
        <v/>
      </c>
      <c r="D473" s="15">
        <f>IF(Murid!E473="","",Murid!E473)</f>
        <v/>
      </c>
      <c r="E473" s="11" t="n"/>
      <c r="F473" s="11" t="n"/>
      <c r="G473" s="10">
        <f>IF(F473="","",IFERROR(VLOOKUP(F473,T_JKP,2,FALSE),0))</f>
        <v/>
      </c>
      <c r="H473" s="11" t="n"/>
      <c r="I473" s="17">
        <f>IF(H473="","",IF(H473&gt;=12,40,ROUND(H473*3.33,2)))</f>
        <v/>
      </c>
      <c r="J473" s="11" t="n"/>
      <c r="K473" s="11" t="n"/>
      <c r="L473" s="11" t="n"/>
      <c r="M473" s="11" t="n"/>
      <c r="N473" s="10">
        <f>IF(COUNTA(J473:M473)=0,"",MIN(10,SUMPRODUCT((COUNTIF(J473:M473,L_KOM)&gt;0)*S_KOM)))</f>
        <v/>
      </c>
      <c r="O473" s="11" t="n"/>
      <c r="P473" s="10">
        <f>IF(O473="","",IFERROR(VLOOKUP(O473,T_KHID,2,FALSE),0))</f>
        <v/>
      </c>
      <c r="Q473" s="11" t="n"/>
      <c r="R473" s="11" t="n"/>
      <c r="S473" s="10">
        <f>IF(AND(Q473="",R473=""),"",IFERROR(INDEX(T_LIBAT,MATCH(Q473,L_PER,0),MATCH(R473,L_JENIS,0)),0))</f>
        <v/>
      </c>
      <c r="T473" s="11" t="n"/>
      <c r="U473" s="11" t="n"/>
      <c r="V473" s="10">
        <f>IF(AND(T473="",U473=""),"",IFERROR(INDEX(T_CAPAI,MATCH(T473,L_PER,0),MATCH(U473,L_KED,0)),0))</f>
        <v/>
      </c>
      <c r="W473" s="17">
        <f>IF(OR(B473="",E473="",COUNTA(F473,H473,J473:M473,O473,Q473:R473,T473:U473)=0),"",SUM(G473,I473,N473,P473,S473,V473))</f>
        <v/>
      </c>
      <c r="X473" s="18">
        <f>IF(W473="","",IF(Murid!F473="TL","TL",ROUND(W473/110*100,2)))</f>
        <v/>
      </c>
    </row>
    <row r="474">
      <c r="A474" s="15">
        <f>Murid!A474</f>
        <v/>
      </c>
      <c r="B474" s="15">
        <f>IF(Murid!B474="","",Murid!B474)</f>
        <v/>
      </c>
      <c r="C474" s="16">
        <f>IF(Murid!C474="","",Murid!C474)</f>
        <v/>
      </c>
      <c r="D474" s="15">
        <f>IF(Murid!E474="","",Murid!E474)</f>
        <v/>
      </c>
      <c r="E474" s="11" t="n"/>
      <c r="F474" s="11" t="n"/>
      <c r="G474" s="10">
        <f>IF(F474="","",IFERROR(VLOOKUP(F474,T_JKP,2,FALSE),0))</f>
        <v/>
      </c>
      <c r="H474" s="11" t="n"/>
      <c r="I474" s="17">
        <f>IF(H474="","",IF(H474&gt;=12,40,ROUND(H474*3.33,2)))</f>
        <v/>
      </c>
      <c r="J474" s="11" t="n"/>
      <c r="K474" s="11" t="n"/>
      <c r="L474" s="11" t="n"/>
      <c r="M474" s="11" t="n"/>
      <c r="N474" s="10">
        <f>IF(COUNTA(J474:M474)=0,"",MIN(10,SUMPRODUCT((COUNTIF(J474:M474,L_KOM)&gt;0)*S_KOM)))</f>
        <v/>
      </c>
      <c r="O474" s="11" t="n"/>
      <c r="P474" s="10">
        <f>IF(O474="","",IFERROR(VLOOKUP(O474,T_KHID,2,FALSE),0))</f>
        <v/>
      </c>
      <c r="Q474" s="11" t="n"/>
      <c r="R474" s="11" t="n"/>
      <c r="S474" s="10">
        <f>IF(AND(Q474="",R474=""),"",IFERROR(INDEX(T_LIBAT,MATCH(Q474,L_PER,0),MATCH(R474,L_JENIS,0)),0))</f>
        <v/>
      </c>
      <c r="T474" s="11" t="n"/>
      <c r="U474" s="11" t="n"/>
      <c r="V474" s="10">
        <f>IF(AND(T474="",U474=""),"",IFERROR(INDEX(T_CAPAI,MATCH(T474,L_PER,0),MATCH(U474,L_KED,0)),0))</f>
        <v/>
      </c>
      <c r="W474" s="17">
        <f>IF(OR(B474="",E474="",COUNTA(F474,H474,J474:M474,O474,Q474:R474,T474:U474)=0),"",SUM(G474,I474,N474,P474,S474,V474))</f>
        <v/>
      </c>
      <c r="X474" s="18">
        <f>IF(W474="","",IF(Murid!F474="TL","TL",ROUND(W474/110*100,2)))</f>
        <v/>
      </c>
    </row>
    <row r="475">
      <c r="A475" s="15">
        <f>Murid!A475</f>
        <v/>
      </c>
      <c r="B475" s="15">
        <f>IF(Murid!B475="","",Murid!B475)</f>
        <v/>
      </c>
      <c r="C475" s="16">
        <f>IF(Murid!C475="","",Murid!C475)</f>
        <v/>
      </c>
      <c r="D475" s="15">
        <f>IF(Murid!E475="","",Murid!E475)</f>
        <v/>
      </c>
      <c r="E475" s="11" t="n"/>
      <c r="F475" s="11" t="n"/>
      <c r="G475" s="10">
        <f>IF(F475="","",IFERROR(VLOOKUP(F475,T_JKP,2,FALSE),0))</f>
        <v/>
      </c>
      <c r="H475" s="11" t="n"/>
      <c r="I475" s="17">
        <f>IF(H475="","",IF(H475&gt;=12,40,ROUND(H475*3.33,2)))</f>
        <v/>
      </c>
      <c r="J475" s="11" t="n"/>
      <c r="K475" s="11" t="n"/>
      <c r="L475" s="11" t="n"/>
      <c r="M475" s="11" t="n"/>
      <c r="N475" s="10">
        <f>IF(COUNTA(J475:M475)=0,"",MIN(10,SUMPRODUCT((COUNTIF(J475:M475,L_KOM)&gt;0)*S_KOM)))</f>
        <v/>
      </c>
      <c r="O475" s="11" t="n"/>
      <c r="P475" s="10">
        <f>IF(O475="","",IFERROR(VLOOKUP(O475,T_KHID,2,FALSE),0))</f>
        <v/>
      </c>
      <c r="Q475" s="11" t="n"/>
      <c r="R475" s="11" t="n"/>
      <c r="S475" s="10">
        <f>IF(AND(Q475="",R475=""),"",IFERROR(INDEX(T_LIBAT,MATCH(Q475,L_PER,0),MATCH(R475,L_JENIS,0)),0))</f>
        <v/>
      </c>
      <c r="T475" s="11" t="n"/>
      <c r="U475" s="11" t="n"/>
      <c r="V475" s="10">
        <f>IF(AND(T475="",U475=""),"",IFERROR(INDEX(T_CAPAI,MATCH(T475,L_PER,0),MATCH(U475,L_KED,0)),0))</f>
        <v/>
      </c>
      <c r="W475" s="17">
        <f>IF(OR(B475="",E475="",COUNTA(F475,H475,J475:M475,O475,Q475:R475,T475:U475)=0),"",SUM(G475,I475,N475,P475,S475,V475))</f>
        <v/>
      </c>
      <c r="X475" s="18">
        <f>IF(W475="","",IF(Murid!F475="TL","TL",ROUND(W475/110*100,2)))</f>
        <v/>
      </c>
    </row>
    <row r="476">
      <c r="A476" s="15">
        <f>Murid!A476</f>
        <v/>
      </c>
      <c r="B476" s="15">
        <f>IF(Murid!B476="","",Murid!B476)</f>
        <v/>
      </c>
      <c r="C476" s="16">
        <f>IF(Murid!C476="","",Murid!C476)</f>
        <v/>
      </c>
      <c r="D476" s="15">
        <f>IF(Murid!E476="","",Murid!E476)</f>
        <v/>
      </c>
      <c r="E476" s="11" t="n"/>
      <c r="F476" s="11" t="n"/>
      <c r="G476" s="10">
        <f>IF(F476="","",IFERROR(VLOOKUP(F476,T_JKP,2,FALSE),0))</f>
        <v/>
      </c>
      <c r="H476" s="11" t="n"/>
      <c r="I476" s="17">
        <f>IF(H476="","",IF(H476&gt;=12,40,ROUND(H476*3.33,2)))</f>
        <v/>
      </c>
      <c r="J476" s="11" t="n"/>
      <c r="K476" s="11" t="n"/>
      <c r="L476" s="11" t="n"/>
      <c r="M476" s="11" t="n"/>
      <c r="N476" s="10">
        <f>IF(COUNTA(J476:M476)=0,"",MIN(10,SUMPRODUCT((COUNTIF(J476:M476,L_KOM)&gt;0)*S_KOM)))</f>
        <v/>
      </c>
      <c r="O476" s="11" t="n"/>
      <c r="P476" s="10">
        <f>IF(O476="","",IFERROR(VLOOKUP(O476,T_KHID,2,FALSE),0))</f>
        <v/>
      </c>
      <c r="Q476" s="11" t="n"/>
      <c r="R476" s="11" t="n"/>
      <c r="S476" s="10">
        <f>IF(AND(Q476="",R476=""),"",IFERROR(INDEX(T_LIBAT,MATCH(Q476,L_PER,0),MATCH(R476,L_JENIS,0)),0))</f>
        <v/>
      </c>
      <c r="T476" s="11" t="n"/>
      <c r="U476" s="11" t="n"/>
      <c r="V476" s="10">
        <f>IF(AND(T476="",U476=""),"",IFERROR(INDEX(T_CAPAI,MATCH(T476,L_PER,0),MATCH(U476,L_KED,0)),0))</f>
        <v/>
      </c>
      <c r="W476" s="17">
        <f>IF(OR(B476="",E476="",COUNTA(F476,H476,J476:M476,O476,Q476:R476,T476:U476)=0),"",SUM(G476,I476,N476,P476,S476,V476))</f>
        <v/>
      </c>
      <c r="X476" s="18">
        <f>IF(W476="","",IF(Murid!F476="TL","TL",ROUND(W476/110*100,2)))</f>
        <v/>
      </c>
    </row>
    <row r="477">
      <c r="A477" s="15">
        <f>Murid!A477</f>
        <v/>
      </c>
      <c r="B477" s="15">
        <f>IF(Murid!B477="","",Murid!B477)</f>
        <v/>
      </c>
      <c r="C477" s="16">
        <f>IF(Murid!C477="","",Murid!C477)</f>
        <v/>
      </c>
      <c r="D477" s="15">
        <f>IF(Murid!E477="","",Murid!E477)</f>
        <v/>
      </c>
      <c r="E477" s="11" t="n"/>
      <c r="F477" s="11" t="n"/>
      <c r="G477" s="10">
        <f>IF(F477="","",IFERROR(VLOOKUP(F477,T_JKP,2,FALSE),0))</f>
        <v/>
      </c>
      <c r="H477" s="11" t="n"/>
      <c r="I477" s="17">
        <f>IF(H477="","",IF(H477&gt;=12,40,ROUND(H477*3.33,2)))</f>
        <v/>
      </c>
      <c r="J477" s="11" t="n"/>
      <c r="K477" s="11" t="n"/>
      <c r="L477" s="11" t="n"/>
      <c r="M477" s="11" t="n"/>
      <c r="N477" s="10">
        <f>IF(COUNTA(J477:M477)=0,"",MIN(10,SUMPRODUCT((COUNTIF(J477:M477,L_KOM)&gt;0)*S_KOM)))</f>
        <v/>
      </c>
      <c r="O477" s="11" t="n"/>
      <c r="P477" s="10">
        <f>IF(O477="","",IFERROR(VLOOKUP(O477,T_KHID,2,FALSE),0))</f>
        <v/>
      </c>
      <c r="Q477" s="11" t="n"/>
      <c r="R477" s="11" t="n"/>
      <c r="S477" s="10">
        <f>IF(AND(Q477="",R477=""),"",IFERROR(INDEX(T_LIBAT,MATCH(Q477,L_PER,0),MATCH(R477,L_JENIS,0)),0))</f>
        <v/>
      </c>
      <c r="T477" s="11" t="n"/>
      <c r="U477" s="11" t="n"/>
      <c r="V477" s="10">
        <f>IF(AND(T477="",U477=""),"",IFERROR(INDEX(T_CAPAI,MATCH(T477,L_PER,0),MATCH(U477,L_KED,0)),0))</f>
        <v/>
      </c>
      <c r="W477" s="17">
        <f>IF(OR(B477="",E477="",COUNTA(F477,H477,J477:M477,O477,Q477:R477,T477:U477)=0),"",SUM(G477,I477,N477,P477,S477,V477))</f>
        <v/>
      </c>
      <c r="X477" s="18">
        <f>IF(W477="","",IF(Murid!F477="TL","TL",ROUND(W477/110*100,2)))</f>
        <v/>
      </c>
    </row>
    <row r="478">
      <c r="A478" s="15">
        <f>Murid!A478</f>
        <v/>
      </c>
      <c r="B478" s="15">
        <f>IF(Murid!B478="","",Murid!B478)</f>
        <v/>
      </c>
      <c r="C478" s="16">
        <f>IF(Murid!C478="","",Murid!C478)</f>
        <v/>
      </c>
      <c r="D478" s="15">
        <f>IF(Murid!E478="","",Murid!E478)</f>
        <v/>
      </c>
      <c r="E478" s="11" t="n"/>
      <c r="F478" s="11" t="n"/>
      <c r="G478" s="10">
        <f>IF(F478="","",IFERROR(VLOOKUP(F478,T_JKP,2,FALSE),0))</f>
        <v/>
      </c>
      <c r="H478" s="11" t="n"/>
      <c r="I478" s="17">
        <f>IF(H478="","",IF(H478&gt;=12,40,ROUND(H478*3.33,2)))</f>
        <v/>
      </c>
      <c r="J478" s="11" t="n"/>
      <c r="K478" s="11" t="n"/>
      <c r="L478" s="11" t="n"/>
      <c r="M478" s="11" t="n"/>
      <c r="N478" s="10">
        <f>IF(COUNTA(J478:M478)=0,"",MIN(10,SUMPRODUCT((COUNTIF(J478:M478,L_KOM)&gt;0)*S_KOM)))</f>
        <v/>
      </c>
      <c r="O478" s="11" t="n"/>
      <c r="P478" s="10">
        <f>IF(O478="","",IFERROR(VLOOKUP(O478,T_KHID,2,FALSE),0))</f>
        <v/>
      </c>
      <c r="Q478" s="11" t="n"/>
      <c r="R478" s="11" t="n"/>
      <c r="S478" s="10">
        <f>IF(AND(Q478="",R478=""),"",IFERROR(INDEX(T_LIBAT,MATCH(Q478,L_PER,0),MATCH(R478,L_JENIS,0)),0))</f>
        <v/>
      </c>
      <c r="T478" s="11" t="n"/>
      <c r="U478" s="11" t="n"/>
      <c r="V478" s="10">
        <f>IF(AND(T478="",U478=""),"",IFERROR(INDEX(T_CAPAI,MATCH(T478,L_PER,0),MATCH(U478,L_KED,0)),0))</f>
        <v/>
      </c>
      <c r="W478" s="17">
        <f>IF(OR(B478="",E478="",COUNTA(F478,H478,J478:M478,O478,Q478:R478,T478:U478)=0),"",SUM(G478,I478,N478,P478,S478,V478))</f>
        <v/>
      </c>
      <c r="X478" s="18">
        <f>IF(W478="","",IF(Murid!F478="TL","TL",ROUND(W478/110*100,2)))</f>
        <v/>
      </c>
    </row>
    <row r="479">
      <c r="A479" s="15">
        <f>Murid!A479</f>
        <v/>
      </c>
      <c r="B479" s="15">
        <f>IF(Murid!B479="","",Murid!B479)</f>
        <v/>
      </c>
      <c r="C479" s="16">
        <f>IF(Murid!C479="","",Murid!C479)</f>
        <v/>
      </c>
      <c r="D479" s="15">
        <f>IF(Murid!E479="","",Murid!E479)</f>
        <v/>
      </c>
      <c r="E479" s="11" t="n"/>
      <c r="F479" s="11" t="n"/>
      <c r="G479" s="10">
        <f>IF(F479="","",IFERROR(VLOOKUP(F479,T_JKP,2,FALSE),0))</f>
        <v/>
      </c>
      <c r="H479" s="11" t="n"/>
      <c r="I479" s="17">
        <f>IF(H479="","",IF(H479&gt;=12,40,ROUND(H479*3.33,2)))</f>
        <v/>
      </c>
      <c r="J479" s="11" t="n"/>
      <c r="K479" s="11" t="n"/>
      <c r="L479" s="11" t="n"/>
      <c r="M479" s="11" t="n"/>
      <c r="N479" s="10">
        <f>IF(COUNTA(J479:M479)=0,"",MIN(10,SUMPRODUCT((COUNTIF(J479:M479,L_KOM)&gt;0)*S_KOM)))</f>
        <v/>
      </c>
      <c r="O479" s="11" t="n"/>
      <c r="P479" s="10">
        <f>IF(O479="","",IFERROR(VLOOKUP(O479,T_KHID,2,FALSE),0))</f>
        <v/>
      </c>
      <c r="Q479" s="11" t="n"/>
      <c r="R479" s="11" t="n"/>
      <c r="S479" s="10">
        <f>IF(AND(Q479="",R479=""),"",IFERROR(INDEX(T_LIBAT,MATCH(Q479,L_PER,0),MATCH(R479,L_JENIS,0)),0))</f>
        <v/>
      </c>
      <c r="T479" s="11" t="n"/>
      <c r="U479" s="11" t="n"/>
      <c r="V479" s="10">
        <f>IF(AND(T479="",U479=""),"",IFERROR(INDEX(T_CAPAI,MATCH(T479,L_PER,0),MATCH(U479,L_KED,0)),0))</f>
        <v/>
      </c>
      <c r="W479" s="17">
        <f>IF(OR(B479="",E479="",COUNTA(F479,H479,J479:M479,O479,Q479:R479,T479:U479)=0),"",SUM(G479,I479,N479,P479,S479,V479))</f>
        <v/>
      </c>
      <c r="X479" s="18">
        <f>IF(W479="","",IF(Murid!F479="TL","TL",ROUND(W479/110*100,2)))</f>
        <v/>
      </c>
    </row>
    <row r="480">
      <c r="A480" s="15">
        <f>Murid!A480</f>
        <v/>
      </c>
      <c r="B480" s="15">
        <f>IF(Murid!B480="","",Murid!B480)</f>
        <v/>
      </c>
      <c r="C480" s="16">
        <f>IF(Murid!C480="","",Murid!C480)</f>
        <v/>
      </c>
      <c r="D480" s="15">
        <f>IF(Murid!E480="","",Murid!E480)</f>
        <v/>
      </c>
      <c r="E480" s="11" t="n"/>
      <c r="F480" s="11" t="n"/>
      <c r="G480" s="10">
        <f>IF(F480="","",IFERROR(VLOOKUP(F480,T_JKP,2,FALSE),0))</f>
        <v/>
      </c>
      <c r="H480" s="11" t="n"/>
      <c r="I480" s="17">
        <f>IF(H480="","",IF(H480&gt;=12,40,ROUND(H480*3.33,2)))</f>
        <v/>
      </c>
      <c r="J480" s="11" t="n"/>
      <c r="K480" s="11" t="n"/>
      <c r="L480" s="11" t="n"/>
      <c r="M480" s="11" t="n"/>
      <c r="N480" s="10">
        <f>IF(COUNTA(J480:M480)=0,"",MIN(10,SUMPRODUCT((COUNTIF(J480:M480,L_KOM)&gt;0)*S_KOM)))</f>
        <v/>
      </c>
      <c r="O480" s="11" t="n"/>
      <c r="P480" s="10">
        <f>IF(O480="","",IFERROR(VLOOKUP(O480,T_KHID,2,FALSE),0))</f>
        <v/>
      </c>
      <c r="Q480" s="11" t="n"/>
      <c r="R480" s="11" t="n"/>
      <c r="S480" s="10">
        <f>IF(AND(Q480="",R480=""),"",IFERROR(INDEX(T_LIBAT,MATCH(Q480,L_PER,0),MATCH(R480,L_JENIS,0)),0))</f>
        <v/>
      </c>
      <c r="T480" s="11" t="n"/>
      <c r="U480" s="11" t="n"/>
      <c r="V480" s="10">
        <f>IF(AND(T480="",U480=""),"",IFERROR(INDEX(T_CAPAI,MATCH(T480,L_PER,0),MATCH(U480,L_KED,0)),0))</f>
        <v/>
      </c>
      <c r="W480" s="17">
        <f>IF(OR(B480="",E480="",COUNTA(F480,H480,J480:M480,O480,Q480:R480,T480:U480)=0),"",SUM(G480,I480,N480,P480,S480,V480))</f>
        <v/>
      </c>
      <c r="X480" s="18">
        <f>IF(W480="","",IF(Murid!F480="TL","TL",ROUND(W480/110*100,2)))</f>
        <v/>
      </c>
    </row>
    <row r="481">
      <c r="A481" s="15">
        <f>Murid!A481</f>
        <v/>
      </c>
      <c r="B481" s="15">
        <f>IF(Murid!B481="","",Murid!B481)</f>
        <v/>
      </c>
      <c r="C481" s="16">
        <f>IF(Murid!C481="","",Murid!C481)</f>
        <v/>
      </c>
      <c r="D481" s="15">
        <f>IF(Murid!E481="","",Murid!E481)</f>
        <v/>
      </c>
      <c r="E481" s="11" t="n"/>
      <c r="F481" s="11" t="n"/>
      <c r="G481" s="10">
        <f>IF(F481="","",IFERROR(VLOOKUP(F481,T_JKP,2,FALSE),0))</f>
        <v/>
      </c>
      <c r="H481" s="11" t="n"/>
      <c r="I481" s="17">
        <f>IF(H481="","",IF(H481&gt;=12,40,ROUND(H481*3.33,2)))</f>
        <v/>
      </c>
      <c r="J481" s="11" t="n"/>
      <c r="K481" s="11" t="n"/>
      <c r="L481" s="11" t="n"/>
      <c r="M481" s="11" t="n"/>
      <c r="N481" s="10">
        <f>IF(COUNTA(J481:M481)=0,"",MIN(10,SUMPRODUCT((COUNTIF(J481:M481,L_KOM)&gt;0)*S_KOM)))</f>
        <v/>
      </c>
      <c r="O481" s="11" t="n"/>
      <c r="P481" s="10">
        <f>IF(O481="","",IFERROR(VLOOKUP(O481,T_KHID,2,FALSE),0))</f>
        <v/>
      </c>
      <c r="Q481" s="11" t="n"/>
      <c r="R481" s="11" t="n"/>
      <c r="S481" s="10">
        <f>IF(AND(Q481="",R481=""),"",IFERROR(INDEX(T_LIBAT,MATCH(Q481,L_PER,0),MATCH(R481,L_JENIS,0)),0))</f>
        <v/>
      </c>
      <c r="T481" s="11" t="n"/>
      <c r="U481" s="11" t="n"/>
      <c r="V481" s="10">
        <f>IF(AND(T481="",U481=""),"",IFERROR(INDEX(T_CAPAI,MATCH(T481,L_PER,0),MATCH(U481,L_KED,0)),0))</f>
        <v/>
      </c>
      <c r="W481" s="17">
        <f>IF(OR(B481="",E481="",COUNTA(F481,H481,J481:M481,O481,Q481:R481,T481:U481)=0),"",SUM(G481,I481,N481,P481,S481,V481))</f>
        <v/>
      </c>
      <c r="X481" s="18">
        <f>IF(W481="","",IF(Murid!F481="TL","TL",ROUND(W481/110*100,2)))</f>
        <v/>
      </c>
    </row>
    <row r="482">
      <c r="A482" s="15">
        <f>Murid!A482</f>
        <v/>
      </c>
      <c r="B482" s="15">
        <f>IF(Murid!B482="","",Murid!B482)</f>
        <v/>
      </c>
      <c r="C482" s="16">
        <f>IF(Murid!C482="","",Murid!C482)</f>
        <v/>
      </c>
      <c r="D482" s="15">
        <f>IF(Murid!E482="","",Murid!E482)</f>
        <v/>
      </c>
      <c r="E482" s="11" t="n"/>
      <c r="F482" s="11" t="n"/>
      <c r="G482" s="10">
        <f>IF(F482="","",IFERROR(VLOOKUP(F482,T_JKP,2,FALSE),0))</f>
        <v/>
      </c>
      <c r="H482" s="11" t="n"/>
      <c r="I482" s="17">
        <f>IF(H482="","",IF(H482&gt;=12,40,ROUND(H482*3.33,2)))</f>
        <v/>
      </c>
      <c r="J482" s="11" t="n"/>
      <c r="K482" s="11" t="n"/>
      <c r="L482" s="11" t="n"/>
      <c r="M482" s="11" t="n"/>
      <c r="N482" s="10">
        <f>IF(COUNTA(J482:M482)=0,"",MIN(10,SUMPRODUCT((COUNTIF(J482:M482,L_KOM)&gt;0)*S_KOM)))</f>
        <v/>
      </c>
      <c r="O482" s="11" t="n"/>
      <c r="P482" s="10">
        <f>IF(O482="","",IFERROR(VLOOKUP(O482,T_KHID,2,FALSE),0))</f>
        <v/>
      </c>
      <c r="Q482" s="11" t="n"/>
      <c r="R482" s="11" t="n"/>
      <c r="S482" s="10">
        <f>IF(AND(Q482="",R482=""),"",IFERROR(INDEX(T_LIBAT,MATCH(Q482,L_PER,0),MATCH(R482,L_JENIS,0)),0))</f>
        <v/>
      </c>
      <c r="T482" s="11" t="n"/>
      <c r="U482" s="11" t="n"/>
      <c r="V482" s="10">
        <f>IF(AND(T482="",U482=""),"",IFERROR(INDEX(T_CAPAI,MATCH(T482,L_PER,0),MATCH(U482,L_KED,0)),0))</f>
        <v/>
      </c>
      <c r="W482" s="17">
        <f>IF(OR(B482="",E482="",COUNTA(F482,H482,J482:M482,O482,Q482:R482,T482:U482)=0),"",SUM(G482,I482,N482,P482,S482,V482))</f>
        <v/>
      </c>
      <c r="X482" s="18">
        <f>IF(W482="","",IF(Murid!F482="TL","TL",ROUND(W482/110*100,2)))</f>
        <v/>
      </c>
    </row>
    <row r="483">
      <c r="A483" s="15">
        <f>Murid!A483</f>
        <v/>
      </c>
      <c r="B483" s="15">
        <f>IF(Murid!B483="","",Murid!B483)</f>
        <v/>
      </c>
      <c r="C483" s="16">
        <f>IF(Murid!C483="","",Murid!C483)</f>
        <v/>
      </c>
      <c r="D483" s="15">
        <f>IF(Murid!E483="","",Murid!E483)</f>
        <v/>
      </c>
      <c r="E483" s="11" t="n"/>
      <c r="F483" s="11" t="n"/>
      <c r="G483" s="10">
        <f>IF(F483="","",IFERROR(VLOOKUP(F483,T_JKP,2,FALSE),0))</f>
        <v/>
      </c>
      <c r="H483" s="11" t="n"/>
      <c r="I483" s="17">
        <f>IF(H483="","",IF(H483&gt;=12,40,ROUND(H483*3.33,2)))</f>
        <v/>
      </c>
      <c r="J483" s="11" t="n"/>
      <c r="K483" s="11" t="n"/>
      <c r="L483" s="11" t="n"/>
      <c r="M483" s="11" t="n"/>
      <c r="N483" s="10">
        <f>IF(COUNTA(J483:M483)=0,"",MIN(10,SUMPRODUCT((COUNTIF(J483:M483,L_KOM)&gt;0)*S_KOM)))</f>
        <v/>
      </c>
      <c r="O483" s="11" t="n"/>
      <c r="P483" s="10">
        <f>IF(O483="","",IFERROR(VLOOKUP(O483,T_KHID,2,FALSE),0))</f>
        <v/>
      </c>
      <c r="Q483" s="11" t="n"/>
      <c r="R483" s="11" t="n"/>
      <c r="S483" s="10">
        <f>IF(AND(Q483="",R483=""),"",IFERROR(INDEX(T_LIBAT,MATCH(Q483,L_PER,0),MATCH(R483,L_JENIS,0)),0))</f>
        <v/>
      </c>
      <c r="T483" s="11" t="n"/>
      <c r="U483" s="11" t="n"/>
      <c r="V483" s="10">
        <f>IF(AND(T483="",U483=""),"",IFERROR(INDEX(T_CAPAI,MATCH(T483,L_PER,0),MATCH(U483,L_KED,0)),0))</f>
        <v/>
      </c>
      <c r="W483" s="17">
        <f>IF(OR(B483="",E483="",COUNTA(F483,H483,J483:M483,O483,Q483:R483,T483:U483)=0),"",SUM(G483,I483,N483,P483,S483,V483))</f>
        <v/>
      </c>
      <c r="X483" s="18">
        <f>IF(W483="","",IF(Murid!F483="TL","TL",ROUND(W483/110*100,2)))</f>
        <v/>
      </c>
    </row>
    <row r="484">
      <c r="A484" s="15">
        <f>Murid!A484</f>
        <v/>
      </c>
      <c r="B484" s="15">
        <f>IF(Murid!B484="","",Murid!B484)</f>
        <v/>
      </c>
      <c r="C484" s="16">
        <f>IF(Murid!C484="","",Murid!C484)</f>
        <v/>
      </c>
      <c r="D484" s="15">
        <f>IF(Murid!E484="","",Murid!E484)</f>
        <v/>
      </c>
      <c r="E484" s="11" t="n"/>
      <c r="F484" s="11" t="n"/>
      <c r="G484" s="10">
        <f>IF(F484="","",IFERROR(VLOOKUP(F484,T_JKP,2,FALSE),0))</f>
        <v/>
      </c>
      <c r="H484" s="11" t="n"/>
      <c r="I484" s="17">
        <f>IF(H484="","",IF(H484&gt;=12,40,ROUND(H484*3.33,2)))</f>
        <v/>
      </c>
      <c r="J484" s="11" t="n"/>
      <c r="K484" s="11" t="n"/>
      <c r="L484" s="11" t="n"/>
      <c r="M484" s="11" t="n"/>
      <c r="N484" s="10">
        <f>IF(COUNTA(J484:M484)=0,"",MIN(10,SUMPRODUCT((COUNTIF(J484:M484,L_KOM)&gt;0)*S_KOM)))</f>
        <v/>
      </c>
      <c r="O484" s="11" t="n"/>
      <c r="P484" s="10">
        <f>IF(O484="","",IFERROR(VLOOKUP(O484,T_KHID,2,FALSE),0))</f>
        <v/>
      </c>
      <c r="Q484" s="11" t="n"/>
      <c r="R484" s="11" t="n"/>
      <c r="S484" s="10">
        <f>IF(AND(Q484="",R484=""),"",IFERROR(INDEX(T_LIBAT,MATCH(Q484,L_PER,0),MATCH(R484,L_JENIS,0)),0))</f>
        <v/>
      </c>
      <c r="T484" s="11" t="n"/>
      <c r="U484" s="11" t="n"/>
      <c r="V484" s="10">
        <f>IF(AND(T484="",U484=""),"",IFERROR(INDEX(T_CAPAI,MATCH(T484,L_PER,0),MATCH(U484,L_KED,0)),0))</f>
        <v/>
      </c>
      <c r="W484" s="17">
        <f>IF(OR(B484="",E484="",COUNTA(F484,H484,J484:M484,O484,Q484:R484,T484:U484)=0),"",SUM(G484,I484,N484,P484,S484,V484))</f>
        <v/>
      </c>
      <c r="X484" s="18">
        <f>IF(W484="","",IF(Murid!F484="TL","TL",ROUND(W484/110*100,2)))</f>
        <v/>
      </c>
    </row>
    <row r="485">
      <c r="A485" s="15">
        <f>Murid!A485</f>
        <v/>
      </c>
      <c r="B485" s="15">
        <f>IF(Murid!B485="","",Murid!B485)</f>
        <v/>
      </c>
      <c r="C485" s="16">
        <f>IF(Murid!C485="","",Murid!C485)</f>
        <v/>
      </c>
      <c r="D485" s="15">
        <f>IF(Murid!E485="","",Murid!E485)</f>
        <v/>
      </c>
      <c r="E485" s="11" t="n"/>
      <c r="F485" s="11" t="n"/>
      <c r="G485" s="10">
        <f>IF(F485="","",IFERROR(VLOOKUP(F485,T_JKP,2,FALSE),0))</f>
        <v/>
      </c>
      <c r="H485" s="11" t="n"/>
      <c r="I485" s="17">
        <f>IF(H485="","",IF(H485&gt;=12,40,ROUND(H485*3.33,2)))</f>
        <v/>
      </c>
      <c r="J485" s="11" t="n"/>
      <c r="K485" s="11" t="n"/>
      <c r="L485" s="11" t="n"/>
      <c r="M485" s="11" t="n"/>
      <c r="N485" s="10">
        <f>IF(COUNTA(J485:M485)=0,"",MIN(10,SUMPRODUCT((COUNTIF(J485:M485,L_KOM)&gt;0)*S_KOM)))</f>
        <v/>
      </c>
      <c r="O485" s="11" t="n"/>
      <c r="P485" s="10">
        <f>IF(O485="","",IFERROR(VLOOKUP(O485,T_KHID,2,FALSE),0))</f>
        <v/>
      </c>
      <c r="Q485" s="11" t="n"/>
      <c r="R485" s="11" t="n"/>
      <c r="S485" s="10">
        <f>IF(AND(Q485="",R485=""),"",IFERROR(INDEX(T_LIBAT,MATCH(Q485,L_PER,0),MATCH(R485,L_JENIS,0)),0))</f>
        <v/>
      </c>
      <c r="T485" s="11" t="n"/>
      <c r="U485" s="11" t="n"/>
      <c r="V485" s="10">
        <f>IF(AND(T485="",U485=""),"",IFERROR(INDEX(T_CAPAI,MATCH(T485,L_PER,0),MATCH(U485,L_KED,0)),0))</f>
        <v/>
      </c>
      <c r="W485" s="17">
        <f>IF(OR(B485="",E485="",COUNTA(F485,H485,J485:M485,O485,Q485:R485,T485:U485)=0),"",SUM(G485,I485,N485,P485,S485,V485))</f>
        <v/>
      </c>
      <c r="X485" s="18">
        <f>IF(W485="","",IF(Murid!F485="TL","TL",ROUND(W485/110*100,2)))</f>
        <v/>
      </c>
    </row>
    <row r="486">
      <c r="A486" s="15">
        <f>Murid!A486</f>
        <v/>
      </c>
      <c r="B486" s="15">
        <f>IF(Murid!B486="","",Murid!B486)</f>
        <v/>
      </c>
      <c r="C486" s="16">
        <f>IF(Murid!C486="","",Murid!C486)</f>
        <v/>
      </c>
      <c r="D486" s="15">
        <f>IF(Murid!E486="","",Murid!E486)</f>
        <v/>
      </c>
      <c r="E486" s="11" t="n"/>
      <c r="F486" s="11" t="n"/>
      <c r="G486" s="10">
        <f>IF(F486="","",IFERROR(VLOOKUP(F486,T_JKP,2,FALSE),0))</f>
        <v/>
      </c>
      <c r="H486" s="11" t="n"/>
      <c r="I486" s="17">
        <f>IF(H486="","",IF(H486&gt;=12,40,ROUND(H486*3.33,2)))</f>
        <v/>
      </c>
      <c r="J486" s="11" t="n"/>
      <c r="K486" s="11" t="n"/>
      <c r="L486" s="11" t="n"/>
      <c r="M486" s="11" t="n"/>
      <c r="N486" s="10">
        <f>IF(COUNTA(J486:M486)=0,"",MIN(10,SUMPRODUCT((COUNTIF(J486:M486,L_KOM)&gt;0)*S_KOM)))</f>
        <v/>
      </c>
      <c r="O486" s="11" t="n"/>
      <c r="P486" s="10">
        <f>IF(O486="","",IFERROR(VLOOKUP(O486,T_KHID,2,FALSE),0))</f>
        <v/>
      </c>
      <c r="Q486" s="11" t="n"/>
      <c r="R486" s="11" t="n"/>
      <c r="S486" s="10">
        <f>IF(AND(Q486="",R486=""),"",IFERROR(INDEX(T_LIBAT,MATCH(Q486,L_PER,0),MATCH(R486,L_JENIS,0)),0))</f>
        <v/>
      </c>
      <c r="T486" s="11" t="n"/>
      <c r="U486" s="11" t="n"/>
      <c r="V486" s="10">
        <f>IF(AND(T486="",U486=""),"",IFERROR(INDEX(T_CAPAI,MATCH(T486,L_PER,0),MATCH(U486,L_KED,0)),0))</f>
        <v/>
      </c>
      <c r="W486" s="17">
        <f>IF(OR(B486="",E486="",COUNTA(F486,H486,J486:M486,O486,Q486:R486,T486:U486)=0),"",SUM(G486,I486,N486,P486,S486,V486))</f>
        <v/>
      </c>
      <c r="X486" s="18">
        <f>IF(W486="","",IF(Murid!F486="TL","TL",ROUND(W486/110*100,2)))</f>
        <v/>
      </c>
    </row>
    <row r="487">
      <c r="A487" s="15">
        <f>Murid!A487</f>
        <v/>
      </c>
      <c r="B487" s="15">
        <f>IF(Murid!B487="","",Murid!B487)</f>
        <v/>
      </c>
      <c r="C487" s="16">
        <f>IF(Murid!C487="","",Murid!C487)</f>
        <v/>
      </c>
      <c r="D487" s="15">
        <f>IF(Murid!E487="","",Murid!E487)</f>
        <v/>
      </c>
      <c r="E487" s="11" t="n"/>
      <c r="F487" s="11" t="n"/>
      <c r="G487" s="10">
        <f>IF(F487="","",IFERROR(VLOOKUP(F487,T_JKP,2,FALSE),0))</f>
        <v/>
      </c>
      <c r="H487" s="11" t="n"/>
      <c r="I487" s="17">
        <f>IF(H487="","",IF(H487&gt;=12,40,ROUND(H487*3.33,2)))</f>
        <v/>
      </c>
      <c r="J487" s="11" t="n"/>
      <c r="K487" s="11" t="n"/>
      <c r="L487" s="11" t="n"/>
      <c r="M487" s="11" t="n"/>
      <c r="N487" s="10">
        <f>IF(COUNTA(J487:M487)=0,"",MIN(10,SUMPRODUCT((COUNTIF(J487:M487,L_KOM)&gt;0)*S_KOM)))</f>
        <v/>
      </c>
      <c r="O487" s="11" t="n"/>
      <c r="P487" s="10">
        <f>IF(O487="","",IFERROR(VLOOKUP(O487,T_KHID,2,FALSE),0))</f>
        <v/>
      </c>
      <c r="Q487" s="11" t="n"/>
      <c r="R487" s="11" t="n"/>
      <c r="S487" s="10">
        <f>IF(AND(Q487="",R487=""),"",IFERROR(INDEX(T_LIBAT,MATCH(Q487,L_PER,0),MATCH(R487,L_JENIS,0)),0))</f>
        <v/>
      </c>
      <c r="T487" s="11" t="n"/>
      <c r="U487" s="11" t="n"/>
      <c r="V487" s="10">
        <f>IF(AND(T487="",U487=""),"",IFERROR(INDEX(T_CAPAI,MATCH(T487,L_PER,0),MATCH(U487,L_KED,0)),0))</f>
        <v/>
      </c>
      <c r="W487" s="17">
        <f>IF(OR(B487="",E487="",COUNTA(F487,H487,J487:M487,O487,Q487:R487,T487:U487)=0),"",SUM(G487,I487,N487,P487,S487,V487))</f>
        <v/>
      </c>
      <c r="X487" s="18">
        <f>IF(W487="","",IF(Murid!F487="TL","TL",ROUND(W487/110*100,2)))</f>
        <v/>
      </c>
    </row>
    <row r="488">
      <c r="A488" s="15">
        <f>Murid!A488</f>
        <v/>
      </c>
      <c r="B488" s="15">
        <f>IF(Murid!B488="","",Murid!B488)</f>
        <v/>
      </c>
      <c r="C488" s="16">
        <f>IF(Murid!C488="","",Murid!C488)</f>
        <v/>
      </c>
      <c r="D488" s="15">
        <f>IF(Murid!E488="","",Murid!E488)</f>
        <v/>
      </c>
      <c r="E488" s="11" t="n"/>
      <c r="F488" s="11" t="n"/>
      <c r="G488" s="10">
        <f>IF(F488="","",IFERROR(VLOOKUP(F488,T_JKP,2,FALSE),0))</f>
        <v/>
      </c>
      <c r="H488" s="11" t="n"/>
      <c r="I488" s="17">
        <f>IF(H488="","",IF(H488&gt;=12,40,ROUND(H488*3.33,2)))</f>
        <v/>
      </c>
      <c r="J488" s="11" t="n"/>
      <c r="K488" s="11" t="n"/>
      <c r="L488" s="11" t="n"/>
      <c r="M488" s="11" t="n"/>
      <c r="N488" s="10">
        <f>IF(COUNTA(J488:M488)=0,"",MIN(10,SUMPRODUCT((COUNTIF(J488:M488,L_KOM)&gt;0)*S_KOM)))</f>
        <v/>
      </c>
      <c r="O488" s="11" t="n"/>
      <c r="P488" s="10">
        <f>IF(O488="","",IFERROR(VLOOKUP(O488,T_KHID,2,FALSE),0))</f>
        <v/>
      </c>
      <c r="Q488" s="11" t="n"/>
      <c r="R488" s="11" t="n"/>
      <c r="S488" s="10">
        <f>IF(AND(Q488="",R488=""),"",IFERROR(INDEX(T_LIBAT,MATCH(Q488,L_PER,0),MATCH(R488,L_JENIS,0)),0))</f>
        <v/>
      </c>
      <c r="T488" s="11" t="n"/>
      <c r="U488" s="11" t="n"/>
      <c r="V488" s="10">
        <f>IF(AND(T488="",U488=""),"",IFERROR(INDEX(T_CAPAI,MATCH(T488,L_PER,0),MATCH(U488,L_KED,0)),0))</f>
        <v/>
      </c>
      <c r="W488" s="17">
        <f>IF(OR(B488="",E488="",COUNTA(F488,H488,J488:M488,O488,Q488:R488,T488:U488)=0),"",SUM(G488,I488,N488,P488,S488,V488))</f>
        <v/>
      </c>
      <c r="X488" s="18">
        <f>IF(W488="","",IF(Murid!F488="TL","TL",ROUND(W488/110*100,2)))</f>
        <v/>
      </c>
    </row>
    <row r="489">
      <c r="A489" s="15">
        <f>Murid!A489</f>
        <v/>
      </c>
      <c r="B489" s="15">
        <f>IF(Murid!B489="","",Murid!B489)</f>
        <v/>
      </c>
      <c r="C489" s="16">
        <f>IF(Murid!C489="","",Murid!C489)</f>
        <v/>
      </c>
      <c r="D489" s="15">
        <f>IF(Murid!E489="","",Murid!E489)</f>
        <v/>
      </c>
      <c r="E489" s="11" t="n"/>
      <c r="F489" s="11" t="n"/>
      <c r="G489" s="10">
        <f>IF(F489="","",IFERROR(VLOOKUP(F489,T_JKP,2,FALSE),0))</f>
        <v/>
      </c>
      <c r="H489" s="11" t="n"/>
      <c r="I489" s="17">
        <f>IF(H489="","",IF(H489&gt;=12,40,ROUND(H489*3.33,2)))</f>
        <v/>
      </c>
      <c r="J489" s="11" t="n"/>
      <c r="K489" s="11" t="n"/>
      <c r="L489" s="11" t="n"/>
      <c r="M489" s="11" t="n"/>
      <c r="N489" s="10">
        <f>IF(COUNTA(J489:M489)=0,"",MIN(10,SUMPRODUCT((COUNTIF(J489:M489,L_KOM)&gt;0)*S_KOM)))</f>
        <v/>
      </c>
      <c r="O489" s="11" t="n"/>
      <c r="P489" s="10">
        <f>IF(O489="","",IFERROR(VLOOKUP(O489,T_KHID,2,FALSE),0))</f>
        <v/>
      </c>
      <c r="Q489" s="11" t="n"/>
      <c r="R489" s="11" t="n"/>
      <c r="S489" s="10">
        <f>IF(AND(Q489="",R489=""),"",IFERROR(INDEX(T_LIBAT,MATCH(Q489,L_PER,0),MATCH(R489,L_JENIS,0)),0))</f>
        <v/>
      </c>
      <c r="T489" s="11" t="n"/>
      <c r="U489" s="11" t="n"/>
      <c r="V489" s="10">
        <f>IF(AND(T489="",U489=""),"",IFERROR(INDEX(T_CAPAI,MATCH(T489,L_PER,0),MATCH(U489,L_KED,0)),0))</f>
        <v/>
      </c>
      <c r="W489" s="17">
        <f>IF(OR(B489="",E489="",COUNTA(F489,H489,J489:M489,O489,Q489:R489,T489:U489)=0),"",SUM(G489,I489,N489,P489,S489,V489))</f>
        <v/>
      </c>
      <c r="X489" s="18">
        <f>IF(W489="","",IF(Murid!F489="TL","TL",ROUND(W489/110*100,2)))</f>
        <v/>
      </c>
    </row>
    <row r="490">
      <c r="A490" s="15">
        <f>Murid!A490</f>
        <v/>
      </c>
      <c r="B490" s="15">
        <f>IF(Murid!B490="","",Murid!B490)</f>
        <v/>
      </c>
      <c r="C490" s="16">
        <f>IF(Murid!C490="","",Murid!C490)</f>
        <v/>
      </c>
      <c r="D490" s="15">
        <f>IF(Murid!E490="","",Murid!E490)</f>
        <v/>
      </c>
      <c r="E490" s="11" t="n"/>
      <c r="F490" s="11" t="n"/>
      <c r="G490" s="10">
        <f>IF(F490="","",IFERROR(VLOOKUP(F490,T_JKP,2,FALSE),0))</f>
        <v/>
      </c>
      <c r="H490" s="11" t="n"/>
      <c r="I490" s="17">
        <f>IF(H490="","",IF(H490&gt;=12,40,ROUND(H490*3.33,2)))</f>
        <v/>
      </c>
      <c r="J490" s="11" t="n"/>
      <c r="K490" s="11" t="n"/>
      <c r="L490" s="11" t="n"/>
      <c r="M490" s="11" t="n"/>
      <c r="N490" s="10">
        <f>IF(COUNTA(J490:M490)=0,"",MIN(10,SUMPRODUCT((COUNTIF(J490:M490,L_KOM)&gt;0)*S_KOM)))</f>
        <v/>
      </c>
      <c r="O490" s="11" t="n"/>
      <c r="P490" s="10">
        <f>IF(O490="","",IFERROR(VLOOKUP(O490,T_KHID,2,FALSE),0))</f>
        <v/>
      </c>
      <c r="Q490" s="11" t="n"/>
      <c r="R490" s="11" t="n"/>
      <c r="S490" s="10">
        <f>IF(AND(Q490="",R490=""),"",IFERROR(INDEX(T_LIBAT,MATCH(Q490,L_PER,0),MATCH(R490,L_JENIS,0)),0))</f>
        <v/>
      </c>
      <c r="T490" s="11" t="n"/>
      <c r="U490" s="11" t="n"/>
      <c r="V490" s="10">
        <f>IF(AND(T490="",U490=""),"",IFERROR(INDEX(T_CAPAI,MATCH(T490,L_PER,0),MATCH(U490,L_KED,0)),0))</f>
        <v/>
      </c>
      <c r="W490" s="17">
        <f>IF(OR(B490="",E490="",COUNTA(F490,H490,J490:M490,O490,Q490:R490,T490:U490)=0),"",SUM(G490,I490,N490,P490,S490,V490))</f>
        <v/>
      </c>
      <c r="X490" s="18">
        <f>IF(W490="","",IF(Murid!F490="TL","TL",ROUND(W490/110*100,2)))</f>
        <v/>
      </c>
    </row>
    <row r="491">
      <c r="A491" s="15">
        <f>Murid!A491</f>
        <v/>
      </c>
      <c r="B491" s="15">
        <f>IF(Murid!B491="","",Murid!B491)</f>
        <v/>
      </c>
      <c r="C491" s="16">
        <f>IF(Murid!C491="","",Murid!C491)</f>
        <v/>
      </c>
      <c r="D491" s="15">
        <f>IF(Murid!E491="","",Murid!E491)</f>
        <v/>
      </c>
      <c r="E491" s="11" t="n"/>
      <c r="F491" s="11" t="n"/>
      <c r="G491" s="10">
        <f>IF(F491="","",IFERROR(VLOOKUP(F491,T_JKP,2,FALSE),0))</f>
        <v/>
      </c>
      <c r="H491" s="11" t="n"/>
      <c r="I491" s="17">
        <f>IF(H491="","",IF(H491&gt;=12,40,ROUND(H491*3.33,2)))</f>
        <v/>
      </c>
      <c r="J491" s="11" t="n"/>
      <c r="K491" s="11" t="n"/>
      <c r="L491" s="11" t="n"/>
      <c r="M491" s="11" t="n"/>
      <c r="N491" s="10">
        <f>IF(COUNTA(J491:M491)=0,"",MIN(10,SUMPRODUCT((COUNTIF(J491:M491,L_KOM)&gt;0)*S_KOM)))</f>
        <v/>
      </c>
      <c r="O491" s="11" t="n"/>
      <c r="P491" s="10">
        <f>IF(O491="","",IFERROR(VLOOKUP(O491,T_KHID,2,FALSE),0))</f>
        <v/>
      </c>
      <c r="Q491" s="11" t="n"/>
      <c r="R491" s="11" t="n"/>
      <c r="S491" s="10">
        <f>IF(AND(Q491="",R491=""),"",IFERROR(INDEX(T_LIBAT,MATCH(Q491,L_PER,0),MATCH(R491,L_JENIS,0)),0))</f>
        <v/>
      </c>
      <c r="T491" s="11" t="n"/>
      <c r="U491" s="11" t="n"/>
      <c r="V491" s="10">
        <f>IF(AND(T491="",U491=""),"",IFERROR(INDEX(T_CAPAI,MATCH(T491,L_PER,0),MATCH(U491,L_KED,0)),0))</f>
        <v/>
      </c>
      <c r="W491" s="17">
        <f>IF(OR(B491="",E491="",COUNTA(F491,H491,J491:M491,O491,Q491:R491,T491:U491)=0),"",SUM(G491,I491,N491,P491,S491,V491))</f>
        <v/>
      </c>
      <c r="X491" s="18">
        <f>IF(W491="","",IF(Murid!F491="TL","TL",ROUND(W491/110*100,2)))</f>
        <v/>
      </c>
    </row>
    <row r="492">
      <c r="A492" s="15">
        <f>Murid!A492</f>
        <v/>
      </c>
      <c r="B492" s="15">
        <f>IF(Murid!B492="","",Murid!B492)</f>
        <v/>
      </c>
      <c r="C492" s="16">
        <f>IF(Murid!C492="","",Murid!C492)</f>
        <v/>
      </c>
      <c r="D492" s="15">
        <f>IF(Murid!E492="","",Murid!E492)</f>
        <v/>
      </c>
      <c r="E492" s="11" t="n"/>
      <c r="F492" s="11" t="n"/>
      <c r="G492" s="10">
        <f>IF(F492="","",IFERROR(VLOOKUP(F492,T_JKP,2,FALSE),0))</f>
        <v/>
      </c>
      <c r="H492" s="11" t="n"/>
      <c r="I492" s="17">
        <f>IF(H492="","",IF(H492&gt;=12,40,ROUND(H492*3.33,2)))</f>
        <v/>
      </c>
      <c r="J492" s="11" t="n"/>
      <c r="K492" s="11" t="n"/>
      <c r="L492" s="11" t="n"/>
      <c r="M492" s="11" t="n"/>
      <c r="N492" s="10">
        <f>IF(COUNTA(J492:M492)=0,"",MIN(10,SUMPRODUCT((COUNTIF(J492:M492,L_KOM)&gt;0)*S_KOM)))</f>
        <v/>
      </c>
      <c r="O492" s="11" t="n"/>
      <c r="P492" s="10">
        <f>IF(O492="","",IFERROR(VLOOKUP(O492,T_KHID,2,FALSE),0))</f>
        <v/>
      </c>
      <c r="Q492" s="11" t="n"/>
      <c r="R492" s="11" t="n"/>
      <c r="S492" s="10">
        <f>IF(AND(Q492="",R492=""),"",IFERROR(INDEX(T_LIBAT,MATCH(Q492,L_PER,0),MATCH(R492,L_JENIS,0)),0))</f>
        <v/>
      </c>
      <c r="T492" s="11" t="n"/>
      <c r="U492" s="11" t="n"/>
      <c r="V492" s="10">
        <f>IF(AND(T492="",U492=""),"",IFERROR(INDEX(T_CAPAI,MATCH(T492,L_PER,0),MATCH(U492,L_KED,0)),0))</f>
        <v/>
      </c>
      <c r="W492" s="17">
        <f>IF(OR(B492="",E492="",COUNTA(F492,H492,J492:M492,O492,Q492:R492,T492:U492)=0),"",SUM(G492,I492,N492,P492,S492,V492))</f>
        <v/>
      </c>
      <c r="X492" s="18">
        <f>IF(W492="","",IF(Murid!F492="TL","TL",ROUND(W492/110*100,2)))</f>
        <v/>
      </c>
    </row>
    <row r="493">
      <c r="A493" s="15">
        <f>Murid!A493</f>
        <v/>
      </c>
      <c r="B493" s="15">
        <f>IF(Murid!B493="","",Murid!B493)</f>
        <v/>
      </c>
      <c r="C493" s="16">
        <f>IF(Murid!C493="","",Murid!C493)</f>
        <v/>
      </c>
      <c r="D493" s="15">
        <f>IF(Murid!E493="","",Murid!E493)</f>
        <v/>
      </c>
      <c r="E493" s="11" t="n"/>
      <c r="F493" s="11" t="n"/>
      <c r="G493" s="10">
        <f>IF(F493="","",IFERROR(VLOOKUP(F493,T_JKP,2,FALSE),0))</f>
        <v/>
      </c>
      <c r="H493" s="11" t="n"/>
      <c r="I493" s="17">
        <f>IF(H493="","",IF(H493&gt;=12,40,ROUND(H493*3.33,2)))</f>
        <v/>
      </c>
      <c r="J493" s="11" t="n"/>
      <c r="K493" s="11" t="n"/>
      <c r="L493" s="11" t="n"/>
      <c r="M493" s="11" t="n"/>
      <c r="N493" s="10">
        <f>IF(COUNTA(J493:M493)=0,"",MIN(10,SUMPRODUCT((COUNTIF(J493:M493,L_KOM)&gt;0)*S_KOM)))</f>
        <v/>
      </c>
      <c r="O493" s="11" t="n"/>
      <c r="P493" s="10">
        <f>IF(O493="","",IFERROR(VLOOKUP(O493,T_KHID,2,FALSE),0))</f>
        <v/>
      </c>
      <c r="Q493" s="11" t="n"/>
      <c r="R493" s="11" t="n"/>
      <c r="S493" s="10">
        <f>IF(AND(Q493="",R493=""),"",IFERROR(INDEX(T_LIBAT,MATCH(Q493,L_PER,0),MATCH(R493,L_JENIS,0)),0))</f>
        <v/>
      </c>
      <c r="T493" s="11" t="n"/>
      <c r="U493" s="11" t="n"/>
      <c r="V493" s="10">
        <f>IF(AND(T493="",U493=""),"",IFERROR(INDEX(T_CAPAI,MATCH(T493,L_PER,0),MATCH(U493,L_KED,0)),0))</f>
        <v/>
      </c>
      <c r="W493" s="17">
        <f>IF(OR(B493="",E493="",COUNTA(F493,H493,J493:M493,O493,Q493:R493,T493:U493)=0),"",SUM(G493,I493,N493,P493,S493,V493))</f>
        <v/>
      </c>
      <c r="X493" s="18">
        <f>IF(W493="","",IF(Murid!F493="TL","TL",ROUND(W493/110*100,2)))</f>
        <v/>
      </c>
    </row>
    <row r="494">
      <c r="A494" s="15">
        <f>Murid!A494</f>
        <v/>
      </c>
      <c r="B494" s="15">
        <f>IF(Murid!B494="","",Murid!B494)</f>
        <v/>
      </c>
      <c r="C494" s="16">
        <f>IF(Murid!C494="","",Murid!C494)</f>
        <v/>
      </c>
      <c r="D494" s="15">
        <f>IF(Murid!E494="","",Murid!E494)</f>
        <v/>
      </c>
      <c r="E494" s="11" t="n"/>
      <c r="F494" s="11" t="n"/>
      <c r="G494" s="10">
        <f>IF(F494="","",IFERROR(VLOOKUP(F494,T_JKP,2,FALSE),0))</f>
        <v/>
      </c>
      <c r="H494" s="11" t="n"/>
      <c r="I494" s="17">
        <f>IF(H494="","",IF(H494&gt;=12,40,ROUND(H494*3.33,2)))</f>
        <v/>
      </c>
      <c r="J494" s="11" t="n"/>
      <c r="K494" s="11" t="n"/>
      <c r="L494" s="11" t="n"/>
      <c r="M494" s="11" t="n"/>
      <c r="N494" s="10">
        <f>IF(COUNTA(J494:M494)=0,"",MIN(10,SUMPRODUCT((COUNTIF(J494:M494,L_KOM)&gt;0)*S_KOM)))</f>
        <v/>
      </c>
      <c r="O494" s="11" t="n"/>
      <c r="P494" s="10">
        <f>IF(O494="","",IFERROR(VLOOKUP(O494,T_KHID,2,FALSE),0))</f>
        <v/>
      </c>
      <c r="Q494" s="11" t="n"/>
      <c r="R494" s="11" t="n"/>
      <c r="S494" s="10">
        <f>IF(AND(Q494="",R494=""),"",IFERROR(INDEX(T_LIBAT,MATCH(Q494,L_PER,0),MATCH(R494,L_JENIS,0)),0))</f>
        <v/>
      </c>
      <c r="T494" s="11" t="n"/>
      <c r="U494" s="11" t="n"/>
      <c r="V494" s="10">
        <f>IF(AND(T494="",U494=""),"",IFERROR(INDEX(T_CAPAI,MATCH(T494,L_PER,0),MATCH(U494,L_KED,0)),0))</f>
        <v/>
      </c>
      <c r="W494" s="17">
        <f>IF(OR(B494="",E494="",COUNTA(F494,H494,J494:M494,O494,Q494:R494,T494:U494)=0),"",SUM(G494,I494,N494,P494,S494,V494))</f>
        <v/>
      </c>
      <c r="X494" s="18">
        <f>IF(W494="","",IF(Murid!F494="TL","TL",ROUND(W494/110*100,2)))</f>
        <v/>
      </c>
    </row>
    <row r="495">
      <c r="A495" s="15">
        <f>Murid!A495</f>
        <v/>
      </c>
      <c r="B495" s="15">
        <f>IF(Murid!B495="","",Murid!B495)</f>
        <v/>
      </c>
      <c r="C495" s="16">
        <f>IF(Murid!C495="","",Murid!C495)</f>
        <v/>
      </c>
      <c r="D495" s="15">
        <f>IF(Murid!E495="","",Murid!E495)</f>
        <v/>
      </c>
      <c r="E495" s="11" t="n"/>
      <c r="F495" s="11" t="n"/>
      <c r="G495" s="10">
        <f>IF(F495="","",IFERROR(VLOOKUP(F495,T_JKP,2,FALSE),0))</f>
        <v/>
      </c>
      <c r="H495" s="11" t="n"/>
      <c r="I495" s="17">
        <f>IF(H495="","",IF(H495&gt;=12,40,ROUND(H495*3.33,2)))</f>
        <v/>
      </c>
      <c r="J495" s="11" t="n"/>
      <c r="K495" s="11" t="n"/>
      <c r="L495" s="11" t="n"/>
      <c r="M495" s="11" t="n"/>
      <c r="N495" s="10">
        <f>IF(COUNTA(J495:M495)=0,"",MIN(10,SUMPRODUCT((COUNTIF(J495:M495,L_KOM)&gt;0)*S_KOM)))</f>
        <v/>
      </c>
      <c r="O495" s="11" t="n"/>
      <c r="P495" s="10">
        <f>IF(O495="","",IFERROR(VLOOKUP(O495,T_KHID,2,FALSE),0))</f>
        <v/>
      </c>
      <c r="Q495" s="11" t="n"/>
      <c r="R495" s="11" t="n"/>
      <c r="S495" s="10">
        <f>IF(AND(Q495="",R495=""),"",IFERROR(INDEX(T_LIBAT,MATCH(Q495,L_PER,0),MATCH(R495,L_JENIS,0)),0))</f>
        <v/>
      </c>
      <c r="T495" s="11" t="n"/>
      <c r="U495" s="11" t="n"/>
      <c r="V495" s="10">
        <f>IF(AND(T495="",U495=""),"",IFERROR(INDEX(T_CAPAI,MATCH(T495,L_PER,0),MATCH(U495,L_KED,0)),0))</f>
        <v/>
      </c>
      <c r="W495" s="17">
        <f>IF(OR(B495="",E495="",COUNTA(F495,H495,J495:M495,O495,Q495:R495,T495:U495)=0),"",SUM(G495,I495,N495,P495,S495,V495))</f>
        <v/>
      </c>
      <c r="X495" s="18">
        <f>IF(W495="","",IF(Murid!F495="TL","TL",ROUND(W495/110*100,2)))</f>
        <v/>
      </c>
    </row>
    <row r="496">
      <c r="A496" s="15">
        <f>Murid!A496</f>
        <v/>
      </c>
      <c r="B496" s="15">
        <f>IF(Murid!B496="","",Murid!B496)</f>
        <v/>
      </c>
      <c r="C496" s="16">
        <f>IF(Murid!C496="","",Murid!C496)</f>
        <v/>
      </c>
      <c r="D496" s="15">
        <f>IF(Murid!E496="","",Murid!E496)</f>
        <v/>
      </c>
      <c r="E496" s="11" t="n"/>
      <c r="F496" s="11" t="n"/>
      <c r="G496" s="10">
        <f>IF(F496="","",IFERROR(VLOOKUP(F496,T_JKP,2,FALSE),0))</f>
        <v/>
      </c>
      <c r="H496" s="11" t="n"/>
      <c r="I496" s="17">
        <f>IF(H496="","",IF(H496&gt;=12,40,ROUND(H496*3.33,2)))</f>
        <v/>
      </c>
      <c r="J496" s="11" t="n"/>
      <c r="K496" s="11" t="n"/>
      <c r="L496" s="11" t="n"/>
      <c r="M496" s="11" t="n"/>
      <c r="N496" s="10">
        <f>IF(COUNTA(J496:M496)=0,"",MIN(10,SUMPRODUCT((COUNTIF(J496:M496,L_KOM)&gt;0)*S_KOM)))</f>
        <v/>
      </c>
      <c r="O496" s="11" t="n"/>
      <c r="P496" s="10">
        <f>IF(O496="","",IFERROR(VLOOKUP(O496,T_KHID,2,FALSE),0))</f>
        <v/>
      </c>
      <c r="Q496" s="11" t="n"/>
      <c r="R496" s="11" t="n"/>
      <c r="S496" s="10">
        <f>IF(AND(Q496="",R496=""),"",IFERROR(INDEX(T_LIBAT,MATCH(Q496,L_PER,0),MATCH(R496,L_JENIS,0)),0))</f>
        <v/>
      </c>
      <c r="T496" s="11" t="n"/>
      <c r="U496" s="11" t="n"/>
      <c r="V496" s="10">
        <f>IF(AND(T496="",U496=""),"",IFERROR(INDEX(T_CAPAI,MATCH(T496,L_PER,0),MATCH(U496,L_KED,0)),0))</f>
        <v/>
      </c>
      <c r="W496" s="17">
        <f>IF(OR(B496="",E496="",COUNTA(F496,H496,J496:M496,O496,Q496:R496,T496:U496)=0),"",SUM(G496,I496,N496,P496,S496,V496))</f>
        <v/>
      </c>
      <c r="X496" s="18">
        <f>IF(W496="","",IF(Murid!F496="TL","TL",ROUND(W496/110*100,2)))</f>
        <v/>
      </c>
    </row>
    <row r="497">
      <c r="A497" s="15">
        <f>Murid!A497</f>
        <v/>
      </c>
      <c r="B497" s="15">
        <f>IF(Murid!B497="","",Murid!B497)</f>
        <v/>
      </c>
      <c r="C497" s="16">
        <f>IF(Murid!C497="","",Murid!C497)</f>
        <v/>
      </c>
      <c r="D497" s="15">
        <f>IF(Murid!E497="","",Murid!E497)</f>
        <v/>
      </c>
      <c r="E497" s="11" t="n"/>
      <c r="F497" s="11" t="n"/>
      <c r="G497" s="10">
        <f>IF(F497="","",IFERROR(VLOOKUP(F497,T_JKP,2,FALSE),0))</f>
        <v/>
      </c>
      <c r="H497" s="11" t="n"/>
      <c r="I497" s="17">
        <f>IF(H497="","",IF(H497&gt;=12,40,ROUND(H497*3.33,2)))</f>
        <v/>
      </c>
      <c r="J497" s="11" t="n"/>
      <c r="K497" s="11" t="n"/>
      <c r="L497" s="11" t="n"/>
      <c r="M497" s="11" t="n"/>
      <c r="N497" s="10">
        <f>IF(COUNTA(J497:M497)=0,"",MIN(10,SUMPRODUCT((COUNTIF(J497:M497,L_KOM)&gt;0)*S_KOM)))</f>
        <v/>
      </c>
      <c r="O497" s="11" t="n"/>
      <c r="P497" s="10">
        <f>IF(O497="","",IFERROR(VLOOKUP(O497,T_KHID,2,FALSE),0))</f>
        <v/>
      </c>
      <c r="Q497" s="11" t="n"/>
      <c r="R497" s="11" t="n"/>
      <c r="S497" s="10">
        <f>IF(AND(Q497="",R497=""),"",IFERROR(INDEX(T_LIBAT,MATCH(Q497,L_PER,0),MATCH(R497,L_JENIS,0)),0))</f>
        <v/>
      </c>
      <c r="T497" s="11" t="n"/>
      <c r="U497" s="11" t="n"/>
      <c r="V497" s="10">
        <f>IF(AND(T497="",U497=""),"",IFERROR(INDEX(T_CAPAI,MATCH(T497,L_PER,0),MATCH(U497,L_KED,0)),0))</f>
        <v/>
      </c>
      <c r="W497" s="17">
        <f>IF(OR(B497="",E497="",COUNTA(F497,H497,J497:M497,O497,Q497:R497,T497:U497)=0),"",SUM(G497,I497,N497,P497,S497,V497))</f>
        <v/>
      </c>
      <c r="X497" s="18">
        <f>IF(W497="","",IF(Murid!F497="TL","TL",ROUND(W497/110*100,2)))</f>
        <v/>
      </c>
    </row>
    <row r="498">
      <c r="A498" s="15">
        <f>Murid!A498</f>
        <v/>
      </c>
      <c r="B498" s="15">
        <f>IF(Murid!B498="","",Murid!B498)</f>
        <v/>
      </c>
      <c r="C498" s="16">
        <f>IF(Murid!C498="","",Murid!C498)</f>
        <v/>
      </c>
      <c r="D498" s="15">
        <f>IF(Murid!E498="","",Murid!E498)</f>
        <v/>
      </c>
      <c r="E498" s="11" t="n"/>
      <c r="F498" s="11" t="n"/>
      <c r="G498" s="10">
        <f>IF(F498="","",IFERROR(VLOOKUP(F498,T_JKP,2,FALSE),0))</f>
        <v/>
      </c>
      <c r="H498" s="11" t="n"/>
      <c r="I498" s="17">
        <f>IF(H498="","",IF(H498&gt;=12,40,ROUND(H498*3.33,2)))</f>
        <v/>
      </c>
      <c r="J498" s="11" t="n"/>
      <c r="K498" s="11" t="n"/>
      <c r="L498" s="11" t="n"/>
      <c r="M498" s="11" t="n"/>
      <c r="N498" s="10">
        <f>IF(COUNTA(J498:M498)=0,"",MIN(10,SUMPRODUCT((COUNTIF(J498:M498,L_KOM)&gt;0)*S_KOM)))</f>
        <v/>
      </c>
      <c r="O498" s="11" t="n"/>
      <c r="P498" s="10">
        <f>IF(O498="","",IFERROR(VLOOKUP(O498,T_KHID,2,FALSE),0))</f>
        <v/>
      </c>
      <c r="Q498" s="11" t="n"/>
      <c r="R498" s="11" t="n"/>
      <c r="S498" s="10">
        <f>IF(AND(Q498="",R498=""),"",IFERROR(INDEX(T_LIBAT,MATCH(Q498,L_PER,0),MATCH(R498,L_JENIS,0)),0))</f>
        <v/>
      </c>
      <c r="T498" s="11" t="n"/>
      <c r="U498" s="11" t="n"/>
      <c r="V498" s="10">
        <f>IF(AND(T498="",U498=""),"",IFERROR(INDEX(T_CAPAI,MATCH(T498,L_PER,0),MATCH(U498,L_KED,0)),0))</f>
        <v/>
      </c>
      <c r="W498" s="17">
        <f>IF(OR(B498="",E498="",COUNTA(F498,H498,J498:M498,O498,Q498:R498,T498:U498)=0),"",SUM(G498,I498,N498,P498,S498,V498))</f>
        <v/>
      </c>
      <c r="X498" s="18">
        <f>IF(W498="","",IF(Murid!F498="TL","TL",ROUND(W498/110*100,2)))</f>
        <v/>
      </c>
    </row>
    <row r="499">
      <c r="A499" s="15">
        <f>Murid!A499</f>
        <v/>
      </c>
      <c r="B499" s="15">
        <f>IF(Murid!B499="","",Murid!B499)</f>
        <v/>
      </c>
      <c r="C499" s="16">
        <f>IF(Murid!C499="","",Murid!C499)</f>
        <v/>
      </c>
      <c r="D499" s="15">
        <f>IF(Murid!E499="","",Murid!E499)</f>
        <v/>
      </c>
      <c r="E499" s="11" t="n"/>
      <c r="F499" s="11" t="n"/>
      <c r="G499" s="10">
        <f>IF(F499="","",IFERROR(VLOOKUP(F499,T_JKP,2,FALSE),0))</f>
        <v/>
      </c>
      <c r="H499" s="11" t="n"/>
      <c r="I499" s="17">
        <f>IF(H499="","",IF(H499&gt;=12,40,ROUND(H499*3.33,2)))</f>
        <v/>
      </c>
      <c r="J499" s="11" t="n"/>
      <c r="K499" s="11" t="n"/>
      <c r="L499" s="11" t="n"/>
      <c r="M499" s="11" t="n"/>
      <c r="N499" s="10">
        <f>IF(COUNTA(J499:M499)=0,"",MIN(10,SUMPRODUCT((COUNTIF(J499:M499,L_KOM)&gt;0)*S_KOM)))</f>
        <v/>
      </c>
      <c r="O499" s="11" t="n"/>
      <c r="P499" s="10">
        <f>IF(O499="","",IFERROR(VLOOKUP(O499,T_KHID,2,FALSE),0))</f>
        <v/>
      </c>
      <c r="Q499" s="11" t="n"/>
      <c r="R499" s="11" t="n"/>
      <c r="S499" s="10">
        <f>IF(AND(Q499="",R499=""),"",IFERROR(INDEX(T_LIBAT,MATCH(Q499,L_PER,0),MATCH(R499,L_JENIS,0)),0))</f>
        <v/>
      </c>
      <c r="T499" s="11" t="n"/>
      <c r="U499" s="11" t="n"/>
      <c r="V499" s="10">
        <f>IF(AND(T499="",U499=""),"",IFERROR(INDEX(T_CAPAI,MATCH(T499,L_PER,0),MATCH(U499,L_KED,0)),0))</f>
        <v/>
      </c>
      <c r="W499" s="17">
        <f>IF(OR(B499="",E499="",COUNTA(F499,H499,J499:M499,O499,Q499:R499,T499:U499)=0),"",SUM(G499,I499,N499,P499,S499,V499))</f>
        <v/>
      </c>
      <c r="X499" s="18">
        <f>IF(W499="","",IF(Murid!F499="TL","TL",ROUND(W499/110*100,2)))</f>
        <v/>
      </c>
    </row>
    <row r="500">
      <c r="A500" s="15">
        <f>Murid!A500</f>
        <v/>
      </c>
      <c r="B500" s="15">
        <f>IF(Murid!B500="","",Murid!B500)</f>
        <v/>
      </c>
      <c r="C500" s="16">
        <f>IF(Murid!C500="","",Murid!C500)</f>
        <v/>
      </c>
      <c r="D500" s="15">
        <f>IF(Murid!E500="","",Murid!E500)</f>
        <v/>
      </c>
      <c r="E500" s="11" t="n"/>
      <c r="F500" s="11" t="n"/>
      <c r="G500" s="10">
        <f>IF(F500="","",IFERROR(VLOOKUP(F500,T_JKP,2,FALSE),0))</f>
        <v/>
      </c>
      <c r="H500" s="11" t="n"/>
      <c r="I500" s="17">
        <f>IF(H500="","",IF(H500&gt;=12,40,ROUND(H500*3.33,2)))</f>
        <v/>
      </c>
      <c r="J500" s="11" t="n"/>
      <c r="K500" s="11" t="n"/>
      <c r="L500" s="11" t="n"/>
      <c r="M500" s="11" t="n"/>
      <c r="N500" s="10">
        <f>IF(COUNTA(J500:M500)=0,"",MIN(10,SUMPRODUCT((COUNTIF(J500:M500,L_KOM)&gt;0)*S_KOM)))</f>
        <v/>
      </c>
      <c r="O500" s="11" t="n"/>
      <c r="P500" s="10">
        <f>IF(O500="","",IFERROR(VLOOKUP(O500,T_KHID,2,FALSE),0))</f>
        <v/>
      </c>
      <c r="Q500" s="11" t="n"/>
      <c r="R500" s="11" t="n"/>
      <c r="S500" s="10">
        <f>IF(AND(Q500="",R500=""),"",IFERROR(INDEX(T_LIBAT,MATCH(Q500,L_PER,0),MATCH(R500,L_JENIS,0)),0))</f>
        <v/>
      </c>
      <c r="T500" s="11" t="n"/>
      <c r="U500" s="11" t="n"/>
      <c r="V500" s="10">
        <f>IF(AND(T500="",U500=""),"",IFERROR(INDEX(T_CAPAI,MATCH(T500,L_PER,0),MATCH(U500,L_KED,0)),0))</f>
        <v/>
      </c>
      <c r="W500" s="17">
        <f>IF(OR(B500="",E500="",COUNTA(F500,H500,J500:M500,O500,Q500:R500,T500:U500)=0),"",SUM(G500,I500,N500,P500,S500,V500))</f>
        <v/>
      </c>
      <c r="X500" s="18">
        <f>IF(W500="","",IF(Murid!F500="TL","TL",ROUND(W500/110*100,2)))</f>
        <v/>
      </c>
    </row>
    <row r="501">
      <c r="A501" s="15">
        <f>Murid!A501</f>
        <v/>
      </c>
      <c r="B501" s="15">
        <f>IF(Murid!B501="","",Murid!B501)</f>
        <v/>
      </c>
      <c r="C501" s="16">
        <f>IF(Murid!C501="","",Murid!C501)</f>
        <v/>
      </c>
      <c r="D501" s="15">
        <f>IF(Murid!E501="","",Murid!E501)</f>
        <v/>
      </c>
      <c r="E501" s="11" t="n"/>
      <c r="F501" s="11" t="n"/>
      <c r="G501" s="10">
        <f>IF(F501="","",IFERROR(VLOOKUP(F501,T_JKP,2,FALSE),0))</f>
        <v/>
      </c>
      <c r="H501" s="11" t="n"/>
      <c r="I501" s="17">
        <f>IF(H501="","",IF(H501&gt;=12,40,ROUND(H501*3.33,2)))</f>
        <v/>
      </c>
      <c r="J501" s="11" t="n"/>
      <c r="K501" s="11" t="n"/>
      <c r="L501" s="11" t="n"/>
      <c r="M501" s="11" t="n"/>
      <c r="N501" s="10">
        <f>IF(COUNTA(J501:M501)=0,"",MIN(10,SUMPRODUCT((COUNTIF(J501:M501,L_KOM)&gt;0)*S_KOM)))</f>
        <v/>
      </c>
      <c r="O501" s="11" t="n"/>
      <c r="P501" s="10">
        <f>IF(O501="","",IFERROR(VLOOKUP(O501,T_KHID,2,FALSE),0))</f>
        <v/>
      </c>
      <c r="Q501" s="11" t="n"/>
      <c r="R501" s="11" t="n"/>
      <c r="S501" s="10">
        <f>IF(AND(Q501="",R501=""),"",IFERROR(INDEX(T_LIBAT,MATCH(Q501,L_PER,0),MATCH(R501,L_JENIS,0)),0))</f>
        <v/>
      </c>
      <c r="T501" s="11" t="n"/>
      <c r="U501" s="11" t="n"/>
      <c r="V501" s="10">
        <f>IF(AND(T501="",U501=""),"",IFERROR(INDEX(T_CAPAI,MATCH(T501,L_PER,0),MATCH(U501,L_KED,0)),0))</f>
        <v/>
      </c>
      <c r="W501" s="17">
        <f>IF(OR(B501="",E501="",COUNTA(F501,H501,J501:M501,O501,Q501:R501,T501:U501)=0),"",SUM(G501,I501,N501,P501,S501,V501))</f>
        <v/>
      </c>
      <c r="X501" s="18">
        <f>IF(W501="","",IF(Murid!F501="TL","TL",ROUND(W501/110*100,2)))</f>
        <v/>
      </c>
    </row>
    <row r="502">
      <c r="A502" s="15">
        <f>Murid!A502</f>
        <v/>
      </c>
      <c r="B502" s="15">
        <f>IF(Murid!B502="","",Murid!B502)</f>
        <v/>
      </c>
      <c r="C502" s="16">
        <f>IF(Murid!C502="","",Murid!C502)</f>
        <v/>
      </c>
      <c r="D502" s="15">
        <f>IF(Murid!E502="","",Murid!E502)</f>
        <v/>
      </c>
      <c r="E502" s="11" t="n"/>
      <c r="F502" s="11" t="n"/>
      <c r="G502" s="10">
        <f>IF(F502="","",IFERROR(VLOOKUP(F502,T_JKP,2,FALSE),0))</f>
        <v/>
      </c>
      <c r="H502" s="11" t="n"/>
      <c r="I502" s="17">
        <f>IF(H502="","",IF(H502&gt;=12,40,ROUND(H502*3.33,2)))</f>
        <v/>
      </c>
      <c r="J502" s="11" t="n"/>
      <c r="K502" s="11" t="n"/>
      <c r="L502" s="11" t="n"/>
      <c r="M502" s="11" t="n"/>
      <c r="N502" s="10">
        <f>IF(COUNTA(J502:M502)=0,"",MIN(10,SUMPRODUCT((COUNTIF(J502:M502,L_KOM)&gt;0)*S_KOM)))</f>
        <v/>
      </c>
      <c r="O502" s="11" t="n"/>
      <c r="P502" s="10">
        <f>IF(O502="","",IFERROR(VLOOKUP(O502,T_KHID,2,FALSE),0))</f>
        <v/>
      </c>
      <c r="Q502" s="11" t="n"/>
      <c r="R502" s="11" t="n"/>
      <c r="S502" s="10">
        <f>IF(AND(Q502="",R502=""),"",IFERROR(INDEX(T_LIBAT,MATCH(Q502,L_PER,0),MATCH(R502,L_JENIS,0)),0))</f>
        <v/>
      </c>
      <c r="T502" s="11" t="n"/>
      <c r="U502" s="11" t="n"/>
      <c r="V502" s="10">
        <f>IF(AND(T502="",U502=""),"",IFERROR(INDEX(T_CAPAI,MATCH(T502,L_PER,0),MATCH(U502,L_KED,0)),0))</f>
        <v/>
      </c>
      <c r="W502" s="17">
        <f>IF(OR(B502="",E502="",COUNTA(F502,H502,J502:M502,O502,Q502:R502,T502:U502)=0),"",SUM(G502,I502,N502,P502,S502,V502))</f>
        <v/>
      </c>
      <c r="X502" s="18">
        <f>IF(W502="","",IF(Murid!F502="TL","TL",ROUND(W502/110*100,2)))</f>
        <v/>
      </c>
    </row>
    <row r="503">
      <c r="A503" s="15">
        <f>Murid!A503</f>
        <v/>
      </c>
      <c r="B503" s="15">
        <f>IF(Murid!B503="","",Murid!B503)</f>
        <v/>
      </c>
      <c r="C503" s="16">
        <f>IF(Murid!C503="","",Murid!C503)</f>
        <v/>
      </c>
      <c r="D503" s="15">
        <f>IF(Murid!E503="","",Murid!E503)</f>
        <v/>
      </c>
      <c r="E503" s="11" t="n"/>
      <c r="F503" s="11" t="n"/>
      <c r="G503" s="10">
        <f>IF(F503="","",IFERROR(VLOOKUP(F503,T_JKP,2,FALSE),0))</f>
        <v/>
      </c>
      <c r="H503" s="11" t="n"/>
      <c r="I503" s="17">
        <f>IF(H503="","",IF(H503&gt;=12,40,ROUND(H503*3.33,2)))</f>
        <v/>
      </c>
      <c r="J503" s="11" t="n"/>
      <c r="K503" s="11" t="n"/>
      <c r="L503" s="11" t="n"/>
      <c r="M503" s="11" t="n"/>
      <c r="N503" s="10">
        <f>IF(COUNTA(J503:M503)=0,"",MIN(10,SUMPRODUCT((COUNTIF(J503:M503,L_KOM)&gt;0)*S_KOM)))</f>
        <v/>
      </c>
      <c r="O503" s="11" t="n"/>
      <c r="P503" s="10">
        <f>IF(O503="","",IFERROR(VLOOKUP(O503,T_KHID,2,FALSE),0))</f>
        <v/>
      </c>
      <c r="Q503" s="11" t="n"/>
      <c r="R503" s="11" t="n"/>
      <c r="S503" s="10">
        <f>IF(AND(Q503="",R503=""),"",IFERROR(INDEX(T_LIBAT,MATCH(Q503,L_PER,0),MATCH(R503,L_JENIS,0)),0))</f>
        <v/>
      </c>
      <c r="T503" s="11" t="n"/>
      <c r="U503" s="11" t="n"/>
      <c r="V503" s="10">
        <f>IF(AND(T503="",U503=""),"",IFERROR(INDEX(T_CAPAI,MATCH(T503,L_PER,0),MATCH(U503,L_KED,0)),0))</f>
        <v/>
      </c>
      <c r="W503" s="17">
        <f>IF(OR(B503="",E503="",COUNTA(F503,H503,J503:M503,O503,Q503:R503,T503:U503)=0),"",SUM(G503,I503,N503,P503,S503,V503))</f>
        <v/>
      </c>
      <c r="X503" s="18">
        <f>IF(W503="","",IF(Murid!F503="TL","TL",ROUND(W503/110*100,2)))</f>
        <v/>
      </c>
    </row>
    <row r="504">
      <c r="A504" s="15">
        <f>Murid!A504</f>
        <v/>
      </c>
      <c r="B504" s="15">
        <f>IF(Murid!B504="","",Murid!B504)</f>
        <v/>
      </c>
      <c r="C504" s="16">
        <f>IF(Murid!C504="","",Murid!C504)</f>
        <v/>
      </c>
      <c r="D504" s="15">
        <f>IF(Murid!E504="","",Murid!E504)</f>
        <v/>
      </c>
      <c r="E504" s="11" t="n"/>
      <c r="F504" s="11" t="n"/>
      <c r="G504" s="10">
        <f>IF(F504="","",IFERROR(VLOOKUP(F504,T_JKP,2,FALSE),0))</f>
        <v/>
      </c>
      <c r="H504" s="11" t="n"/>
      <c r="I504" s="17">
        <f>IF(H504="","",IF(H504&gt;=12,40,ROUND(H504*3.33,2)))</f>
        <v/>
      </c>
      <c r="J504" s="11" t="n"/>
      <c r="K504" s="11" t="n"/>
      <c r="L504" s="11" t="n"/>
      <c r="M504" s="11" t="n"/>
      <c r="N504" s="10">
        <f>IF(COUNTA(J504:M504)=0,"",MIN(10,SUMPRODUCT((COUNTIF(J504:M504,L_KOM)&gt;0)*S_KOM)))</f>
        <v/>
      </c>
      <c r="O504" s="11" t="n"/>
      <c r="P504" s="10">
        <f>IF(O504="","",IFERROR(VLOOKUP(O504,T_KHID,2,FALSE),0))</f>
        <v/>
      </c>
      <c r="Q504" s="11" t="n"/>
      <c r="R504" s="11" t="n"/>
      <c r="S504" s="10">
        <f>IF(AND(Q504="",R504=""),"",IFERROR(INDEX(T_LIBAT,MATCH(Q504,L_PER,0),MATCH(R504,L_JENIS,0)),0))</f>
        <v/>
      </c>
      <c r="T504" s="11" t="n"/>
      <c r="U504" s="11" t="n"/>
      <c r="V504" s="10">
        <f>IF(AND(T504="",U504=""),"",IFERROR(INDEX(T_CAPAI,MATCH(T504,L_PER,0),MATCH(U504,L_KED,0)),0))</f>
        <v/>
      </c>
      <c r="W504" s="17">
        <f>IF(OR(B504="",E504="",COUNTA(F504,H504,J504:M504,O504,Q504:R504,T504:U504)=0),"",SUM(G504,I504,N504,P504,S504,V504))</f>
        <v/>
      </c>
      <c r="X504" s="18">
        <f>IF(W504="","",IF(Murid!F504="TL","TL",ROUND(W504/110*100,2)))</f>
        <v/>
      </c>
    </row>
    <row r="505">
      <c r="A505" s="15">
        <f>Murid!A505</f>
        <v/>
      </c>
      <c r="B505" s="15">
        <f>IF(Murid!B505="","",Murid!B505)</f>
        <v/>
      </c>
      <c r="C505" s="16">
        <f>IF(Murid!C505="","",Murid!C505)</f>
        <v/>
      </c>
      <c r="D505" s="15">
        <f>IF(Murid!E505="","",Murid!E505)</f>
        <v/>
      </c>
      <c r="E505" s="11" t="n"/>
      <c r="F505" s="11" t="n"/>
      <c r="G505" s="10">
        <f>IF(F505="","",IFERROR(VLOOKUP(F505,T_JKP,2,FALSE),0))</f>
        <v/>
      </c>
      <c r="H505" s="11" t="n"/>
      <c r="I505" s="17">
        <f>IF(H505="","",IF(H505&gt;=12,40,ROUND(H505*3.33,2)))</f>
        <v/>
      </c>
      <c r="J505" s="11" t="n"/>
      <c r="K505" s="11" t="n"/>
      <c r="L505" s="11" t="n"/>
      <c r="M505" s="11" t="n"/>
      <c r="N505" s="10">
        <f>IF(COUNTA(J505:M505)=0,"",MIN(10,SUMPRODUCT((COUNTIF(J505:M505,L_KOM)&gt;0)*S_KOM)))</f>
        <v/>
      </c>
      <c r="O505" s="11" t="n"/>
      <c r="P505" s="10">
        <f>IF(O505="","",IFERROR(VLOOKUP(O505,T_KHID,2,FALSE),0))</f>
        <v/>
      </c>
      <c r="Q505" s="11" t="n"/>
      <c r="R505" s="11" t="n"/>
      <c r="S505" s="10">
        <f>IF(AND(Q505="",R505=""),"",IFERROR(INDEX(T_LIBAT,MATCH(Q505,L_PER,0),MATCH(R505,L_JENIS,0)),0))</f>
        <v/>
      </c>
      <c r="T505" s="11" t="n"/>
      <c r="U505" s="11" t="n"/>
      <c r="V505" s="10">
        <f>IF(AND(T505="",U505=""),"",IFERROR(INDEX(T_CAPAI,MATCH(T505,L_PER,0),MATCH(U505,L_KED,0)),0))</f>
        <v/>
      </c>
      <c r="W505" s="17">
        <f>IF(OR(B505="",E505="",COUNTA(F505,H505,J505:M505,O505,Q505:R505,T505:U505)=0),"",SUM(G505,I505,N505,P505,S505,V505))</f>
        <v/>
      </c>
      <c r="X505" s="18">
        <f>IF(W505="","",IF(Murid!F505="TL","TL",ROUND(W505/110*100,2)))</f>
        <v/>
      </c>
    </row>
    <row r="506">
      <c r="A506" s="15">
        <f>Murid!A506</f>
        <v/>
      </c>
      <c r="B506" s="15">
        <f>IF(Murid!B506="","",Murid!B506)</f>
        <v/>
      </c>
      <c r="C506" s="16">
        <f>IF(Murid!C506="","",Murid!C506)</f>
        <v/>
      </c>
      <c r="D506" s="15">
        <f>IF(Murid!E506="","",Murid!E506)</f>
        <v/>
      </c>
      <c r="E506" s="11" t="n"/>
      <c r="F506" s="11" t="n"/>
      <c r="G506" s="10">
        <f>IF(F506="","",IFERROR(VLOOKUP(F506,T_JKP,2,FALSE),0))</f>
        <v/>
      </c>
      <c r="H506" s="11" t="n"/>
      <c r="I506" s="17">
        <f>IF(H506="","",IF(H506&gt;=12,40,ROUND(H506*3.33,2)))</f>
        <v/>
      </c>
      <c r="J506" s="11" t="n"/>
      <c r="K506" s="11" t="n"/>
      <c r="L506" s="11" t="n"/>
      <c r="M506" s="11" t="n"/>
      <c r="N506" s="10">
        <f>IF(COUNTA(J506:M506)=0,"",MIN(10,SUMPRODUCT((COUNTIF(J506:M506,L_KOM)&gt;0)*S_KOM)))</f>
        <v/>
      </c>
      <c r="O506" s="11" t="n"/>
      <c r="P506" s="10">
        <f>IF(O506="","",IFERROR(VLOOKUP(O506,T_KHID,2,FALSE),0))</f>
        <v/>
      </c>
      <c r="Q506" s="11" t="n"/>
      <c r="R506" s="11" t="n"/>
      <c r="S506" s="10">
        <f>IF(AND(Q506="",R506=""),"",IFERROR(INDEX(T_LIBAT,MATCH(Q506,L_PER,0),MATCH(R506,L_JENIS,0)),0))</f>
        <v/>
      </c>
      <c r="T506" s="11" t="n"/>
      <c r="U506" s="11" t="n"/>
      <c r="V506" s="10">
        <f>IF(AND(T506="",U506=""),"",IFERROR(INDEX(T_CAPAI,MATCH(T506,L_PER,0),MATCH(U506,L_KED,0)),0))</f>
        <v/>
      </c>
      <c r="W506" s="17">
        <f>IF(OR(B506="",E506="",COUNTA(F506,H506,J506:M506,O506,Q506:R506,T506:U506)=0),"",SUM(G506,I506,N506,P506,S506,V506))</f>
        <v/>
      </c>
      <c r="X506" s="18">
        <f>IF(W506="","",IF(Murid!F506="TL","TL",ROUND(W506/110*100,2)))</f>
        <v/>
      </c>
    </row>
    <row r="507">
      <c r="A507" s="15">
        <f>Murid!A507</f>
        <v/>
      </c>
      <c r="B507" s="15">
        <f>IF(Murid!B507="","",Murid!B507)</f>
        <v/>
      </c>
      <c r="C507" s="16">
        <f>IF(Murid!C507="","",Murid!C507)</f>
        <v/>
      </c>
      <c r="D507" s="15">
        <f>IF(Murid!E507="","",Murid!E507)</f>
        <v/>
      </c>
      <c r="E507" s="11" t="n"/>
      <c r="F507" s="11" t="n"/>
      <c r="G507" s="10">
        <f>IF(F507="","",IFERROR(VLOOKUP(F507,T_JKP,2,FALSE),0))</f>
        <v/>
      </c>
      <c r="H507" s="11" t="n"/>
      <c r="I507" s="17">
        <f>IF(H507="","",IF(H507&gt;=12,40,ROUND(H507*3.33,2)))</f>
        <v/>
      </c>
      <c r="J507" s="11" t="n"/>
      <c r="K507" s="11" t="n"/>
      <c r="L507" s="11" t="n"/>
      <c r="M507" s="11" t="n"/>
      <c r="N507" s="10">
        <f>IF(COUNTA(J507:M507)=0,"",MIN(10,SUMPRODUCT((COUNTIF(J507:M507,L_KOM)&gt;0)*S_KOM)))</f>
        <v/>
      </c>
      <c r="O507" s="11" t="n"/>
      <c r="P507" s="10">
        <f>IF(O507="","",IFERROR(VLOOKUP(O507,T_KHID,2,FALSE),0))</f>
        <v/>
      </c>
      <c r="Q507" s="11" t="n"/>
      <c r="R507" s="11" t="n"/>
      <c r="S507" s="10">
        <f>IF(AND(Q507="",R507=""),"",IFERROR(INDEX(T_LIBAT,MATCH(Q507,L_PER,0),MATCH(R507,L_JENIS,0)),0))</f>
        <v/>
      </c>
      <c r="T507" s="11" t="n"/>
      <c r="U507" s="11" t="n"/>
      <c r="V507" s="10">
        <f>IF(AND(T507="",U507=""),"",IFERROR(INDEX(T_CAPAI,MATCH(T507,L_PER,0),MATCH(U507,L_KED,0)),0))</f>
        <v/>
      </c>
      <c r="W507" s="17">
        <f>IF(OR(B507="",E507="",COUNTA(F507,H507,J507:M507,O507,Q507:R507,T507:U507)=0),"",SUM(G507,I507,N507,P507,S507,V507))</f>
        <v/>
      </c>
      <c r="X507" s="18">
        <f>IF(W507="","",IF(Murid!F507="TL","TL",ROUND(W507/110*100,2)))</f>
        <v/>
      </c>
    </row>
    <row r="508">
      <c r="A508" s="15">
        <f>Murid!A508</f>
        <v/>
      </c>
      <c r="B508" s="15">
        <f>IF(Murid!B508="","",Murid!B508)</f>
        <v/>
      </c>
      <c r="C508" s="16">
        <f>IF(Murid!C508="","",Murid!C508)</f>
        <v/>
      </c>
      <c r="D508" s="15">
        <f>IF(Murid!E508="","",Murid!E508)</f>
        <v/>
      </c>
      <c r="E508" s="11" t="n"/>
      <c r="F508" s="11" t="n"/>
      <c r="G508" s="10">
        <f>IF(F508="","",IFERROR(VLOOKUP(F508,T_JKP,2,FALSE),0))</f>
        <v/>
      </c>
      <c r="H508" s="11" t="n"/>
      <c r="I508" s="17">
        <f>IF(H508="","",IF(H508&gt;=12,40,ROUND(H508*3.33,2)))</f>
        <v/>
      </c>
      <c r="J508" s="11" t="n"/>
      <c r="K508" s="11" t="n"/>
      <c r="L508" s="11" t="n"/>
      <c r="M508" s="11" t="n"/>
      <c r="N508" s="10">
        <f>IF(COUNTA(J508:M508)=0,"",MIN(10,SUMPRODUCT((COUNTIF(J508:M508,L_KOM)&gt;0)*S_KOM)))</f>
        <v/>
      </c>
      <c r="O508" s="11" t="n"/>
      <c r="P508" s="10">
        <f>IF(O508="","",IFERROR(VLOOKUP(O508,T_KHID,2,FALSE),0))</f>
        <v/>
      </c>
      <c r="Q508" s="11" t="n"/>
      <c r="R508" s="11" t="n"/>
      <c r="S508" s="10">
        <f>IF(AND(Q508="",R508=""),"",IFERROR(INDEX(T_LIBAT,MATCH(Q508,L_PER,0),MATCH(R508,L_JENIS,0)),0))</f>
        <v/>
      </c>
      <c r="T508" s="11" t="n"/>
      <c r="U508" s="11" t="n"/>
      <c r="V508" s="10">
        <f>IF(AND(T508="",U508=""),"",IFERROR(INDEX(T_CAPAI,MATCH(T508,L_PER,0),MATCH(U508,L_KED,0)),0))</f>
        <v/>
      </c>
      <c r="W508" s="17">
        <f>IF(OR(B508="",E508="",COUNTA(F508,H508,J508:M508,O508,Q508:R508,T508:U508)=0),"",SUM(G508,I508,N508,P508,S508,V508))</f>
        <v/>
      </c>
      <c r="X508" s="18">
        <f>IF(W508="","",IF(Murid!F508="TL","TL",ROUND(W508/110*100,2)))</f>
        <v/>
      </c>
    </row>
    <row r="509">
      <c r="A509" s="15">
        <f>Murid!A509</f>
        <v/>
      </c>
      <c r="B509" s="15">
        <f>IF(Murid!B509="","",Murid!B509)</f>
        <v/>
      </c>
      <c r="C509" s="16">
        <f>IF(Murid!C509="","",Murid!C509)</f>
        <v/>
      </c>
      <c r="D509" s="15">
        <f>IF(Murid!E509="","",Murid!E509)</f>
        <v/>
      </c>
      <c r="E509" s="11" t="n"/>
      <c r="F509" s="11" t="n"/>
      <c r="G509" s="10">
        <f>IF(F509="","",IFERROR(VLOOKUP(F509,T_JKP,2,FALSE),0))</f>
        <v/>
      </c>
      <c r="H509" s="11" t="n"/>
      <c r="I509" s="17">
        <f>IF(H509="","",IF(H509&gt;=12,40,ROUND(H509*3.33,2)))</f>
        <v/>
      </c>
      <c r="J509" s="11" t="n"/>
      <c r="K509" s="11" t="n"/>
      <c r="L509" s="11" t="n"/>
      <c r="M509" s="11" t="n"/>
      <c r="N509" s="10">
        <f>IF(COUNTA(J509:M509)=0,"",MIN(10,SUMPRODUCT((COUNTIF(J509:M509,L_KOM)&gt;0)*S_KOM)))</f>
        <v/>
      </c>
      <c r="O509" s="11" t="n"/>
      <c r="P509" s="10">
        <f>IF(O509="","",IFERROR(VLOOKUP(O509,T_KHID,2,FALSE),0))</f>
        <v/>
      </c>
      <c r="Q509" s="11" t="n"/>
      <c r="R509" s="11" t="n"/>
      <c r="S509" s="10">
        <f>IF(AND(Q509="",R509=""),"",IFERROR(INDEX(T_LIBAT,MATCH(Q509,L_PER,0),MATCH(R509,L_JENIS,0)),0))</f>
        <v/>
      </c>
      <c r="T509" s="11" t="n"/>
      <c r="U509" s="11" t="n"/>
      <c r="V509" s="10">
        <f>IF(AND(T509="",U509=""),"",IFERROR(INDEX(T_CAPAI,MATCH(T509,L_PER,0),MATCH(U509,L_KED,0)),0))</f>
        <v/>
      </c>
      <c r="W509" s="17">
        <f>IF(OR(B509="",E509="",COUNTA(F509,H509,J509:M509,O509,Q509:R509,T509:U509)=0),"",SUM(G509,I509,N509,P509,S509,V509))</f>
        <v/>
      </c>
      <c r="X509" s="18">
        <f>IF(W509="","",IF(Murid!F509="TL","TL",ROUND(W509/110*100,2)))</f>
        <v/>
      </c>
    </row>
    <row r="510">
      <c r="A510" s="15">
        <f>Murid!A510</f>
        <v/>
      </c>
      <c r="B510" s="15">
        <f>IF(Murid!B510="","",Murid!B510)</f>
        <v/>
      </c>
      <c r="C510" s="16">
        <f>IF(Murid!C510="","",Murid!C510)</f>
        <v/>
      </c>
      <c r="D510" s="15">
        <f>IF(Murid!E510="","",Murid!E510)</f>
        <v/>
      </c>
      <c r="E510" s="11" t="n"/>
      <c r="F510" s="11" t="n"/>
      <c r="G510" s="10">
        <f>IF(F510="","",IFERROR(VLOOKUP(F510,T_JKP,2,FALSE),0))</f>
        <v/>
      </c>
      <c r="H510" s="11" t="n"/>
      <c r="I510" s="17">
        <f>IF(H510="","",IF(H510&gt;=12,40,ROUND(H510*3.33,2)))</f>
        <v/>
      </c>
      <c r="J510" s="11" t="n"/>
      <c r="K510" s="11" t="n"/>
      <c r="L510" s="11" t="n"/>
      <c r="M510" s="11" t="n"/>
      <c r="N510" s="10">
        <f>IF(COUNTA(J510:M510)=0,"",MIN(10,SUMPRODUCT((COUNTIF(J510:M510,L_KOM)&gt;0)*S_KOM)))</f>
        <v/>
      </c>
      <c r="O510" s="11" t="n"/>
      <c r="P510" s="10">
        <f>IF(O510="","",IFERROR(VLOOKUP(O510,T_KHID,2,FALSE),0))</f>
        <v/>
      </c>
      <c r="Q510" s="11" t="n"/>
      <c r="R510" s="11" t="n"/>
      <c r="S510" s="10">
        <f>IF(AND(Q510="",R510=""),"",IFERROR(INDEX(T_LIBAT,MATCH(Q510,L_PER,0),MATCH(R510,L_JENIS,0)),0))</f>
        <v/>
      </c>
      <c r="T510" s="11" t="n"/>
      <c r="U510" s="11" t="n"/>
      <c r="V510" s="10">
        <f>IF(AND(T510="",U510=""),"",IFERROR(INDEX(T_CAPAI,MATCH(T510,L_PER,0),MATCH(U510,L_KED,0)),0))</f>
        <v/>
      </c>
      <c r="W510" s="17">
        <f>IF(OR(B510="",E510="",COUNTA(F510,H510,J510:M510,O510,Q510:R510,T510:U510)=0),"",SUM(G510,I510,N510,P510,S510,V510))</f>
        <v/>
      </c>
      <c r="X510" s="18">
        <f>IF(W510="","",IF(Murid!F510="TL","TL",ROUND(W510/110*100,2)))</f>
        <v/>
      </c>
    </row>
    <row r="511">
      <c r="A511" s="15">
        <f>Murid!A511</f>
        <v/>
      </c>
      <c r="B511" s="15">
        <f>IF(Murid!B511="","",Murid!B511)</f>
        <v/>
      </c>
      <c r="C511" s="16">
        <f>IF(Murid!C511="","",Murid!C511)</f>
        <v/>
      </c>
      <c r="D511" s="15">
        <f>IF(Murid!E511="","",Murid!E511)</f>
        <v/>
      </c>
      <c r="E511" s="11" t="n"/>
      <c r="F511" s="11" t="n"/>
      <c r="G511" s="10">
        <f>IF(F511="","",IFERROR(VLOOKUP(F511,T_JKP,2,FALSE),0))</f>
        <v/>
      </c>
      <c r="H511" s="11" t="n"/>
      <c r="I511" s="17">
        <f>IF(H511="","",IF(H511&gt;=12,40,ROUND(H511*3.33,2)))</f>
        <v/>
      </c>
      <c r="J511" s="11" t="n"/>
      <c r="K511" s="11" t="n"/>
      <c r="L511" s="11" t="n"/>
      <c r="M511" s="11" t="n"/>
      <c r="N511" s="10">
        <f>IF(COUNTA(J511:M511)=0,"",MIN(10,SUMPRODUCT((COUNTIF(J511:M511,L_KOM)&gt;0)*S_KOM)))</f>
        <v/>
      </c>
      <c r="O511" s="11" t="n"/>
      <c r="P511" s="10">
        <f>IF(O511="","",IFERROR(VLOOKUP(O511,T_KHID,2,FALSE),0))</f>
        <v/>
      </c>
      <c r="Q511" s="11" t="n"/>
      <c r="R511" s="11" t="n"/>
      <c r="S511" s="10">
        <f>IF(AND(Q511="",R511=""),"",IFERROR(INDEX(T_LIBAT,MATCH(Q511,L_PER,0),MATCH(R511,L_JENIS,0)),0))</f>
        <v/>
      </c>
      <c r="T511" s="11" t="n"/>
      <c r="U511" s="11" t="n"/>
      <c r="V511" s="10">
        <f>IF(AND(T511="",U511=""),"",IFERROR(INDEX(T_CAPAI,MATCH(T511,L_PER,0),MATCH(U511,L_KED,0)),0))</f>
        <v/>
      </c>
      <c r="W511" s="17">
        <f>IF(OR(B511="",E511="",COUNTA(F511,H511,J511:M511,O511,Q511:R511,T511:U511)=0),"",SUM(G511,I511,N511,P511,S511,V511))</f>
        <v/>
      </c>
      <c r="X511" s="18">
        <f>IF(W511="","",IF(Murid!F511="TL","TL",ROUND(W511/110*100,2)))</f>
        <v/>
      </c>
    </row>
    <row r="512">
      <c r="A512" s="15">
        <f>Murid!A512</f>
        <v/>
      </c>
      <c r="B512" s="15">
        <f>IF(Murid!B512="","",Murid!B512)</f>
        <v/>
      </c>
      <c r="C512" s="16">
        <f>IF(Murid!C512="","",Murid!C512)</f>
        <v/>
      </c>
      <c r="D512" s="15">
        <f>IF(Murid!E512="","",Murid!E512)</f>
        <v/>
      </c>
      <c r="E512" s="11" t="n"/>
      <c r="F512" s="11" t="n"/>
      <c r="G512" s="10">
        <f>IF(F512="","",IFERROR(VLOOKUP(F512,T_JKP,2,FALSE),0))</f>
        <v/>
      </c>
      <c r="H512" s="11" t="n"/>
      <c r="I512" s="17">
        <f>IF(H512="","",IF(H512&gt;=12,40,ROUND(H512*3.33,2)))</f>
        <v/>
      </c>
      <c r="J512" s="11" t="n"/>
      <c r="K512" s="11" t="n"/>
      <c r="L512" s="11" t="n"/>
      <c r="M512" s="11" t="n"/>
      <c r="N512" s="10">
        <f>IF(COUNTA(J512:M512)=0,"",MIN(10,SUMPRODUCT((COUNTIF(J512:M512,L_KOM)&gt;0)*S_KOM)))</f>
        <v/>
      </c>
      <c r="O512" s="11" t="n"/>
      <c r="P512" s="10">
        <f>IF(O512="","",IFERROR(VLOOKUP(O512,T_KHID,2,FALSE),0))</f>
        <v/>
      </c>
      <c r="Q512" s="11" t="n"/>
      <c r="R512" s="11" t="n"/>
      <c r="S512" s="10">
        <f>IF(AND(Q512="",R512=""),"",IFERROR(INDEX(T_LIBAT,MATCH(Q512,L_PER,0),MATCH(R512,L_JENIS,0)),0))</f>
        <v/>
      </c>
      <c r="T512" s="11" t="n"/>
      <c r="U512" s="11" t="n"/>
      <c r="V512" s="10">
        <f>IF(AND(T512="",U512=""),"",IFERROR(INDEX(T_CAPAI,MATCH(T512,L_PER,0),MATCH(U512,L_KED,0)),0))</f>
        <v/>
      </c>
      <c r="W512" s="17">
        <f>IF(OR(B512="",E512="",COUNTA(F512,H512,J512:M512,O512,Q512:R512,T512:U512)=0),"",SUM(G512,I512,N512,P512,S512,V512))</f>
        <v/>
      </c>
      <c r="X512" s="18">
        <f>IF(W512="","",IF(Murid!F512="TL","TL",ROUND(W512/110*100,2)))</f>
        <v/>
      </c>
    </row>
    <row r="513">
      <c r="A513" s="15">
        <f>Murid!A513</f>
        <v/>
      </c>
      <c r="B513" s="15">
        <f>IF(Murid!B513="","",Murid!B513)</f>
        <v/>
      </c>
      <c r="C513" s="16">
        <f>IF(Murid!C513="","",Murid!C513)</f>
        <v/>
      </c>
      <c r="D513" s="15">
        <f>IF(Murid!E513="","",Murid!E513)</f>
        <v/>
      </c>
      <c r="E513" s="11" t="n"/>
      <c r="F513" s="11" t="n"/>
      <c r="G513" s="10">
        <f>IF(F513="","",IFERROR(VLOOKUP(F513,T_JKP,2,FALSE),0))</f>
        <v/>
      </c>
      <c r="H513" s="11" t="n"/>
      <c r="I513" s="17">
        <f>IF(H513="","",IF(H513&gt;=12,40,ROUND(H513*3.33,2)))</f>
        <v/>
      </c>
      <c r="J513" s="11" t="n"/>
      <c r="K513" s="11" t="n"/>
      <c r="L513" s="11" t="n"/>
      <c r="M513" s="11" t="n"/>
      <c r="N513" s="10">
        <f>IF(COUNTA(J513:M513)=0,"",MIN(10,SUMPRODUCT((COUNTIF(J513:M513,L_KOM)&gt;0)*S_KOM)))</f>
        <v/>
      </c>
      <c r="O513" s="11" t="n"/>
      <c r="P513" s="10">
        <f>IF(O513="","",IFERROR(VLOOKUP(O513,T_KHID,2,FALSE),0))</f>
        <v/>
      </c>
      <c r="Q513" s="11" t="n"/>
      <c r="R513" s="11" t="n"/>
      <c r="S513" s="10">
        <f>IF(AND(Q513="",R513=""),"",IFERROR(INDEX(T_LIBAT,MATCH(Q513,L_PER,0),MATCH(R513,L_JENIS,0)),0))</f>
        <v/>
      </c>
      <c r="T513" s="11" t="n"/>
      <c r="U513" s="11" t="n"/>
      <c r="V513" s="10">
        <f>IF(AND(T513="",U513=""),"",IFERROR(INDEX(T_CAPAI,MATCH(T513,L_PER,0),MATCH(U513,L_KED,0)),0))</f>
        <v/>
      </c>
      <c r="W513" s="17">
        <f>IF(OR(B513="",E513="",COUNTA(F513,H513,J513:M513,O513,Q513:R513,T513:U513)=0),"",SUM(G513,I513,N513,P513,S513,V513))</f>
        <v/>
      </c>
      <c r="X513" s="18">
        <f>IF(W513="","",IF(Murid!F513="TL","TL",ROUND(W513/110*100,2)))</f>
        <v/>
      </c>
    </row>
    <row r="514">
      <c r="A514" s="15">
        <f>Murid!A514</f>
        <v/>
      </c>
      <c r="B514" s="15">
        <f>IF(Murid!B514="","",Murid!B514)</f>
        <v/>
      </c>
      <c r="C514" s="16">
        <f>IF(Murid!C514="","",Murid!C514)</f>
        <v/>
      </c>
      <c r="D514" s="15">
        <f>IF(Murid!E514="","",Murid!E514)</f>
        <v/>
      </c>
      <c r="E514" s="11" t="n"/>
      <c r="F514" s="11" t="n"/>
      <c r="G514" s="10">
        <f>IF(F514="","",IFERROR(VLOOKUP(F514,T_JKP,2,FALSE),0))</f>
        <v/>
      </c>
      <c r="H514" s="11" t="n"/>
      <c r="I514" s="17">
        <f>IF(H514="","",IF(H514&gt;=12,40,ROUND(H514*3.33,2)))</f>
        <v/>
      </c>
      <c r="J514" s="11" t="n"/>
      <c r="K514" s="11" t="n"/>
      <c r="L514" s="11" t="n"/>
      <c r="M514" s="11" t="n"/>
      <c r="N514" s="10">
        <f>IF(COUNTA(J514:M514)=0,"",MIN(10,SUMPRODUCT((COUNTIF(J514:M514,L_KOM)&gt;0)*S_KOM)))</f>
        <v/>
      </c>
      <c r="O514" s="11" t="n"/>
      <c r="P514" s="10">
        <f>IF(O514="","",IFERROR(VLOOKUP(O514,T_KHID,2,FALSE),0))</f>
        <v/>
      </c>
      <c r="Q514" s="11" t="n"/>
      <c r="R514" s="11" t="n"/>
      <c r="S514" s="10">
        <f>IF(AND(Q514="",R514=""),"",IFERROR(INDEX(T_LIBAT,MATCH(Q514,L_PER,0),MATCH(R514,L_JENIS,0)),0))</f>
        <v/>
      </c>
      <c r="T514" s="11" t="n"/>
      <c r="U514" s="11" t="n"/>
      <c r="V514" s="10">
        <f>IF(AND(T514="",U514=""),"",IFERROR(INDEX(T_CAPAI,MATCH(T514,L_PER,0),MATCH(U514,L_KED,0)),0))</f>
        <v/>
      </c>
      <c r="W514" s="17">
        <f>IF(OR(B514="",E514="",COUNTA(F514,H514,J514:M514,O514,Q514:R514,T514:U514)=0),"",SUM(G514,I514,N514,P514,S514,V514))</f>
        <v/>
      </c>
      <c r="X514" s="18">
        <f>IF(W514="","",IF(Murid!F514="TL","TL",ROUND(W514/110*100,2)))</f>
        <v/>
      </c>
    </row>
    <row r="515">
      <c r="A515" s="15">
        <f>Murid!A515</f>
        <v/>
      </c>
      <c r="B515" s="15">
        <f>IF(Murid!B515="","",Murid!B515)</f>
        <v/>
      </c>
      <c r="C515" s="16">
        <f>IF(Murid!C515="","",Murid!C515)</f>
        <v/>
      </c>
      <c r="D515" s="15">
        <f>IF(Murid!E515="","",Murid!E515)</f>
        <v/>
      </c>
      <c r="E515" s="11" t="n"/>
      <c r="F515" s="11" t="n"/>
      <c r="G515" s="10">
        <f>IF(F515="","",IFERROR(VLOOKUP(F515,T_JKP,2,FALSE),0))</f>
        <v/>
      </c>
      <c r="H515" s="11" t="n"/>
      <c r="I515" s="17">
        <f>IF(H515="","",IF(H515&gt;=12,40,ROUND(H515*3.33,2)))</f>
        <v/>
      </c>
      <c r="J515" s="11" t="n"/>
      <c r="K515" s="11" t="n"/>
      <c r="L515" s="11" t="n"/>
      <c r="M515" s="11" t="n"/>
      <c r="N515" s="10">
        <f>IF(COUNTA(J515:M515)=0,"",MIN(10,SUMPRODUCT((COUNTIF(J515:M515,L_KOM)&gt;0)*S_KOM)))</f>
        <v/>
      </c>
      <c r="O515" s="11" t="n"/>
      <c r="P515" s="10">
        <f>IF(O515="","",IFERROR(VLOOKUP(O515,T_KHID,2,FALSE),0))</f>
        <v/>
      </c>
      <c r="Q515" s="11" t="n"/>
      <c r="R515" s="11" t="n"/>
      <c r="S515" s="10">
        <f>IF(AND(Q515="",R515=""),"",IFERROR(INDEX(T_LIBAT,MATCH(Q515,L_PER,0),MATCH(R515,L_JENIS,0)),0))</f>
        <v/>
      </c>
      <c r="T515" s="11" t="n"/>
      <c r="U515" s="11" t="n"/>
      <c r="V515" s="10">
        <f>IF(AND(T515="",U515=""),"",IFERROR(INDEX(T_CAPAI,MATCH(T515,L_PER,0),MATCH(U515,L_KED,0)),0))</f>
        <v/>
      </c>
      <c r="W515" s="17">
        <f>IF(OR(B515="",E515="",COUNTA(F515,H515,J515:M515,O515,Q515:R515,T515:U515)=0),"",SUM(G515,I515,N515,P515,S515,V515))</f>
        <v/>
      </c>
      <c r="X515" s="18">
        <f>IF(W515="","",IF(Murid!F515="TL","TL",ROUND(W515/110*100,2)))</f>
        <v/>
      </c>
    </row>
    <row r="516">
      <c r="A516" s="15">
        <f>Murid!A516</f>
        <v/>
      </c>
      <c r="B516" s="15">
        <f>IF(Murid!B516="","",Murid!B516)</f>
        <v/>
      </c>
      <c r="C516" s="16">
        <f>IF(Murid!C516="","",Murid!C516)</f>
        <v/>
      </c>
      <c r="D516" s="15">
        <f>IF(Murid!E516="","",Murid!E516)</f>
        <v/>
      </c>
      <c r="E516" s="11" t="n"/>
      <c r="F516" s="11" t="n"/>
      <c r="G516" s="10">
        <f>IF(F516="","",IFERROR(VLOOKUP(F516,T_JKP,2,FALSE),0))</f>
        <v/>
      </c>
      <c r="H516" s="11" t="n"/>
      <c r="I516" s="17">
        <f>IF(H516="","",IF(H516&gt;=12,40,ROUND(H516*3.33,2)))</f>
        <v/>
      </c>
      <c r="J516" s="11" t="n"/>
      <c r="K516" s="11" t="n"/>
      <c r="L516" s="11" t="n"/>
      <c r="M516" s="11" t="n"/>
      <c r="N516" s="10">
        <f>IF(COUNTA(J516:M516)=0,"",MIN(10,SUMPRODUCT((COUNTIF(J516:M516,L_KOM)&gt;0)*S_KOM)))</f>
        <v/>
      </c>
      <c r="O516" s="11" t="n"/>
      <c r="P516" s="10">
        <f>IF(O516="","",IFERROR(VLOOKUP(O516,T_KHID,2,FALSE),0))</f>
        <v/>
      </c>
      <c r="Q516" s="11" t="n"/>
      <c r="R516" s="11" t="n"/>
      <c r="S516" s="10">
        <f>IF(AND(Q516="",R516=""),"",IFERROR(INDEX(T_LIBAT,MATCH(Q516,L_PER,0),MATCH(R516,L_JENIS,0)),0))</f>
        <v/>
      </c>
      <c r="T516" s="11" t="n"/>
      <c r="U516" s="11" t="n"/>
      <c r="V516" s="10">
        <f>IF(AND(T516="",U516=""),"",IFERROR(INDEX(T_CAPAI,MATCH(T516,L_PER,0),MATCH(U516,L_KED,0)),0))</f>
        <v/>
      </c>
      <c r="W516" s="17">
        <f>IF(OR(B516="",E516="",COUNTA(F516,H516,J516:M516,O516,Q516:R516,T516:U516)=0),"",SUM(G516,I516,N516,P516,S516,V516))</f>
        <v/>
      </c>
      <c r="X516" s="18">
        <f>IF(W516="","",IF(Murid!F516="TL","TL",ROUND(W516/110*100,2)))</f>
        <v/>
      </c>
    </row>
    <row r="517">
      <c r="A517" s="15">
        <f>Murid!A517</f>
        <v/>
      </c>
      <c r="B517" s="15">
        <f>IF(Murid!B517="","",Murid!B517)</f>
        <v/>
      </c>
      <c r="C517" s="16">
        <f>IF(Murid!C517="","",Murid!C517)</f>
        <v/>
      </c>
      <c r="D517" s="15">
        <f>IF(Murid!E517="","",Murid!E517)</f>
        <v/>
      </c>
      <c r="E517" s="11" t="n"/>
      <c r="F517" s="11" t="n"/>
      <c r="G517" s="10">
        <f>IF(F517="","",IFERROR(VLOOKUP(F517,T_JKP,2,FALSE),0))</f>
        <v/>
      </c>
      <c r="H517" s="11" t="n"/>
      <c r="I517" s="17">
        <f>IF(H517="","",IF(H517&gt;=12,40,ROUND(H517*3.33,2)))</f>
        <v/>
      </c>
      <c r="J517" s="11" t="n"/>
      <c r="K517" s="11" t="n"/>
      <c r="L517" s="11" t="n"/>
      <c r="M517" s="11" t="n"/>
      <c r="N517" s="10">
        <f>IF(COUNTA(J517:M517)=0,"",MIN(10,SUMPRODUCT((COUNTIF(J517:M517,L_KOM)&gt;0)*S_KOM)))</f>
        <v/>
      </c>
      <c r="O517" s="11" t="n"/>
      <c r="P517" s="10">
        <f>IF(O517="","",IFERROR(VLOOKUP(O517,T_KHID,2,FALSE),0))</f>
        <v/>
      </c>
      <c r="Q517" s="11" t="n"/>
      <c r="R517" s="11" t="n"/>
      <c r="S517" s="10">
        <f>IF(AND(Q517="",R517=""),"",IFERROR(INDEX(T_LIBAT,MATCH(Q517,L_PER,0),MATCH(R517,L_JENIS,0)),0))</f>
        <v/>
      </c>
      <c r="T517" s="11" t="n"/>
      <c r="U517" s="11" t="n"/>
      <c r="V517" s="10">
        <f>IF(AND(T517="",U517=""),"",IFERROR(INDEX(T_CAPAI,MATCH(T517,L_PER,0),MATCH(U517,L_KED,0)),0))</f>
        <v/>
      </c>
      <c r="W517" s="17">
        <f>IF(OR(B517="",E517="",COUNTA(F517,H517,J517:M517,O517,Q517:R517,T517:U517)=0),"",SUM(G517,I517,N517,P517,S517,V517))</f>
        <v/>
      </c>
      <c r="X517" s="18">
        <f>IF(W517="","",IF(Murid!F517="TL","TL",ROUND(W517/110*100,2)))</f>
        <v/>
      </c>
    </row>
    <row r="518">
      <c r="A518" s="15">
        <f>Murid!A518</f>
        <v/>
      </c>
      <c r="B518" s="15">
        <f>IF(Murid!B518="","",Murid!B518)</f>
        <v/>
      </c>
      <c r="C518" s="16">
        <f>IF(Murid!C518="","",Murid!C518)</f>
        <v/>
      </c>
      <c r="D518" s="15">
        <f>IF(Murid!E518="","",Murid!E518)</f>
        <v/>
      </c>
      <c r="E518" s="11" t="n"/>
      <c r="F518" s="11" t="n"/>
      <c r="G518" s="10">
        <f>IF(F518="","",IFERROR(VLOOKUP(F518,T_JKP,2,FALSE),0))</f>
        <v/>
      </c>
      <c r="H518" s="11" t="n"/>
      <c r="I518" s="17">
        <f>IF(H518="","",IF(H518&gt;=12,40,ROUND(H518*3.33,2)))</f>
        <v/>
      </c>
      <c r="J518" s="11" t="n"/>
      <c r="K518" s="11" t="n"/>
      <c r="L518" s="11" t="n"/>
      <c r="M518" s="11" t="n"/>
      <c r="N518" s="10">
        <f>IF(COUNTA(J518:M518)=0,"",MIN(10,SUMPRODUCT((COUNTIF(J518:M518,L_KOM)&gt;0)*S_KOM)))</f>
        <v/>
      </c>
      <c r="O518" s="11" t="n"/>
      <c r="P518" s="10">
        <f>IF(O518="","",IFERROR(VLOOKUP(O518,T_KHID,2,FALSE),0))</f>
        <v/>
      </c>
      <c r="Q518" s="11" t="n"/>
      <c r="R518" s="11" t="n"/>
      <c r="S518" s="10">
        <f>IF(AND(Q518="",R518=""),"",IFERROR(INDEX(T_LIBAT,MATCH(Q518,L_PER,0),MATCH(R518,L_JENIS,0)),0))</f>
        <v/>
      </c>
      <c r="T518" s="11" t="n"/>
      <c r="U518" s="11" t="n"/>
      <c r="V518" s="10">
        <f>IF(AND(T518="",U518=""),"",IFERROR(INDEX(T_CAPAI,MATCH(T518,L_PER,0),MATCH(U518,L_KED,0)),0))</f>
        <v/>
      </c>
      <c r="W518" s="17">
        <f>IF(OR(B518="",E518="",COUNTA(F518,H518,J518:M518,O518,Q518:R518,T518:U518)=0),"",SUM(G518,I518,N518,P518,S518,V518))</f>
        <v/>
      </c>
      <c r="X518" s="18">
        <f>IF(W518="","",IF(Murid!F518="TL","TL",ROUND(W518/110*100,2)))</f>
        <v/>
      </c>
    </row>
    <row r="519">
      <c r="A519" s="15">
        <f>Murid!A519</f>
        <v/>
      </c>
      <c r="B519" s="15">
        <f>IF(Murid!B519="","",Murid!B519)</f>
        <v/>
      </c>
      <c r="C519" s="16">
        <f>IF(Murid!C519="","",Murid!C519)</f>
        <v/>
      </c>
      <c r="D519" s="15">
        <f>IF(Murid!E519="","",Murid!E519)</f>
        <v/>
      </c>
      <c r="E519" s="11" t="n"/>
      <c r="F519" s="11" t="n"/>
      <c r="G519" s="10">
        <f>IF(F519="","",IFERROR(VLOOKUP(F519,T_JKP,2,FALSE),0))</f>
        <v/>
      </c>
      <c r="H519" s="11" t="n"/>
      <c r="I519" s="17">
        <f>IF(H519="","",IF(H519&gt;=12,40,ROUND(H519*3.33,2)))</f>
        <v/>
      </c>
      <c r="J519" s="11" t="n"/>
      <c r="K519" s="11" t="n"/>
      <c r="L519" s="11" t="n"/>
      <c r="M519" s="11" t="n"/>
      <c r="N519" s="10">
        <f>IF(COUNTA(J519:M519)=0,"",MIN(10,SUMPRODUCT((COUNTIF(J519:M519,L_KOM)&gt;0)*S_KOM)))</f>
        <v/>
      </c>
      <c r="O519" s="11" t="n"/>
      <c r="P519" s="10">
        <f>IF(O519="","",IFERROR(VLOOKUP(O519,T_KHID,2,FALSE),0))</f>
        <v/>
      </c>
      <c r="Q519" s="11" t="n"/>
      <c r="R519" s="11" t="n"/>
      <c r="S519" s="10">
        <f>IF(AND(Q519="",R519=""),"",IFERROR(INDEX(T_LIBAT,MATCH(Q519,L_PER,0),MATCH(R519,L_JENIS,0)),0))</f>
        <v/>
      </c>
      <c r="T519" s="11" t="n"/>
      <c r="U519" s="11" t="n"/>
      <c r="V519" s="10">
        <f>IF(AND(T519="",U519=""),"",IFERROR(INDEX(T_CAPAI,MATCH(T519,L_PER,0),MATCH(U519,L_KED,0)),0))</f>
        <v/>
      </c>
      <c r="W519" s="17">
        <f>IF(OR(B519="",E519="",COUNTA(F519,H519,J519:M519,O519,Q519:R519,T519:U519)=0),"",SUM(G519,I519,N519,P519,S519,V519))</f>
        <v/>
      </c>
      <c r="X519" s="18">
        <f>IF(W519="","",IF(Murid!F519="TL","TL",ROUND(W519/110*100,2)))</f>
        <v/>
      </c>
    </row>
    <row r="520">
      <c r="A520" s="15">
        <f>Murid!A520</f>
        <v/>
      </c>
      <c r="B520" s="15">
        <f>IF(Murid!B520="","",Murid!B520)</f>
        <v/>
      </c>
      <c r="C520" s="16">
        <f>IF(Murid!C520="","",Murid!C520)</f>
        <v/>
      </c>
      <c r="D520" s="15">
        <f>IF(Murid!E520="","",Murid!E520)</f>
        <v/>
      </c>
      <c r="E520" s="11" t="n"/>
      <c r="F520" s="11" t="n"/>
      <c r="G520" s="10">
        <f>IF(F520="","",IFERROR(VLOOKUP(F520,T_JKP,2,FALSE),0))</f>
        <v/>
      </c>
      <c r="H520" s="11" t="n"/>
      <c r="I520" s="17">
        <f>IF(H520="","",IF(H520&gt;=12,40,ROUND(H520*3.33,2)))</f>
        <v/>
      </c>
      <c r="J520" s="11" t="n"/>
      <c r="K520" s="11" t="n"/>
      <c r="L520" s="11" t="n"/>
      <c r="M520" s="11" t="n"/>
      <c r="N520" s="10">
        <f>IF(COUNTA(J520:M520)=0,"",MIN(10,SUMPRODUCT((COUNTIF(J520:M520,L_KOM)&gt;0)*S_KOM)))</f>
        <v/>
      </c>
      <c r="O520" s="11" t="n"/>
      <c r="P520" s="10">
        <f>IF(O520="","",IFERROR(VLOOKUP(O520,T_KHID,2,FALSE),0))</f>
        <v/>
      </c>
      <c r="Q520" s="11" t="n"/>
      <c r="R520" s="11" t="n"/>
      <c r="S520" s="10">
        <f>IF(AND(Q520="",R520=""),"",IFERROR(INDEX(T_LIBAT,MATCH(Q520,L_PER,0),MATCH(R520,L_JENIS,0)),0))</f>
        <v/>
      </c>
      <c r="T520" s="11" t="n"/>
      <c r="U520" s="11" t="n"/>
      <c r="V520" s="10">
        <f>IF(AND(T520="",U520=""),"",IFERROR(INDEX(T_CAPAI,MATCH(T520,L_PER,0),MATCH(U520,L_KED,0)),0))</f>
        <v/>
      </c>
      <c r="W520" s="17">
        <f>IF(OR(B520="",E520="",COUNTA(F520,H520,J520:M520,O520,Q520:R520,T520:U520)=0),"",SUM(G520,I520,N520,P520,S520,V520))</f>
        <v/>
      </c>
      <c r="X520" s="18">
        <f>IF(W520="","",IF(Murid!F520="TL","TL",ROUND(W520/110*100,2)))</f>
        <v/>
      </c>
    </row>
    <row r="521">
      <c r="A521" s="15">
        <f>Murid!A521</f>
        <v/>
      </c>
      <c r="B521" s="15">
        <f>IF(Murid!B521="","",Murid!B521)</f>
        <v/>
      </c>
      <c r="C521" s="16">
        <f>IF(Murid!C521="","",Murid!C521)</f>
        <v/>
      </c>
      <c r="D521" s="15">
        <f>IF(Murid!E521="","",Murid!E521)</f>
        <v/>
      </c>
      <c r="E521" s="11" t="n"/>
      <c r="F521" s="11" t="n"/>
      <c r="G521" s="10">
        <f>IF(F521="","",IFERROR(VLOOKUP(F521,T_JKP,2,FALSE),0))</f>
        <v/>
      </c>
      <c r="H521" s="11" t="n"/>
      <c r="I521" s="17">
        <f>IF(H521="","",IF(H521&gt;=12,40,ROUND(H521*3.33,2)))</f>
        <v/>
      </c>
      <c r="J521" s="11" t="n"/>
      <c r="K521" s="11" t="n"/>
      <c r="L521" s="11" t="n"/>
      <c r="M521" s="11" t="n"/>
      <c r="N521" s="10">
        <f>IF(COUNTA(J521:M521)=0,"",MIN(10,SUMPRODUCT((COUNTIF(J521:M521,L_KOM)&gt;0)*S_KOM)))</f>
        <v/>
      </c>
      <c r="O521" s="11" t="n"/>
      <c r="P521" s="10">
        <f>IF(O521="","",IFERROR(VLOOKUP(O521,T_KHID,2,FALSE),0))</f>
        <v/>
      </c>
      <c r="Q521" s="11" t="n"/>
      <c r="R521" s="11" t="n"/>
      <c r="S521" s="10">
        <f>IF(AND(Q521="",R521=""),"",IFERROR(INDEX(T_LIBAT,MATCH(Q521,L_PER,0),MATCH(R521,L_JENIS,0)),0))</f>
        <v/>
      </c>
      <c r="T521" s="11" t="n"/>
      <c r="U521" s="11" t="n"/>
      <c r="V521" s="10">
        <f>IF(AND(T521="",U521=""),"",IFERROR(INDEX(T_CAPAI,MATCH(T521,L_PER,0),MATCH(U521,L_KED,0)),0))</f>
        <v/>
      </c>
      <c r="W521" s="17">
        <f>IF(OR(B521="",E521="",COUNTA(F521,H521,J521:M521,O521,Q521:R521,T521:U521)=0),"",SUM(G521,I521,N521,P521,S521,V521))</f>
        <v/>
      </c>
      <c r="X521" s="18">
        <f>IF(W521="","",IF(Murid!F521="TL","TL",ROUND(W521/110*100,2)))</f>
        <v/>
      </c>
    </row>
    <row r="522">
      <c r="A522" s="15">
        <f>Murid!A522</f>
        <v/>
      </c>
      <c r="B522" s="15">
        <f>IF(Murid!B522="","",Murid!B522)</f>
        <v/>
      </c>
      <c r="C522" s="16">
        <f>IF(Murid!C522="","",Murid!C522)</f>
        <v/>
      </c>
      <c r="D522" s="15">
        <f>IF(Murid!E522="","",Murid!E522)</f>
        <v/>
      </c>
      <c r="E522" s="11" t="n"/>
      <c r="F522" s="11" t="n"/>
      <c r="G522" s="10">
        <f>IF(F522="","",IFERROR(VLOOKUP(F522,T_JKP,2,FALSE),0))</f>
        <v/>
      </c>
      <c r="H522" s="11" t="n"/>
      <c r="I522" s="17">
        <f>IF(H522="","",IF(H522&gt;=12,40,ROUND(H522*3.33,2)))</f>
        <v/>
      </c>
      <c r="J522" s="11" t="n"/>
      <c r="K522" s="11" t="n"/>
      <c r="L522" s="11" t="n"/>
      <c r="M522" s="11" t="n"/>
      <c r="N522" s="10">
        <f>IF(COUNTA(J522:M522)=0,"",MIN(10,SUMPRODUCT((COUNTIF(J522:M522,L_KOM)&gt;0)*S_KOM)))</f>
        <v/>
      </c>
      <c r="O522" s="11" t="n"/>
      <c r="P522" s="10">
        <f>IF(O522="","",IFERROR(VLOOKUP(O522,T_KHID,2,FALSE),0))</f>
        <v/>
      </c>
      <c r="Q522" s="11" t="n"/>
      <c r="R522" s="11" t="n"/>
      <c r="S522" s="10">
        <f>IF(AND(Q522="",R522=""),"",IFERROR(INDEX(T_LIBAT,MATCH(Q522,L_PER,0),MATCH(R522,L_JENIS,0)),0))</f>
        <v/>
      </c>
      <c r="T522" s="11" t="n"/>
      <c r="U522" s="11" t="n"/>
      <c r="V522" s="10">
        <f>IF(AND(T522="",U522=""),"",IFERROR(INDEX(T_CAPAI,MATCH(T522,L_PER,0),MATCH(U522,L_KED,0)),0))</f>
        <v/>
      </c>
      <c r="W522" s="17">
        <f>IF(OR(B522="",E522="",COUNTA(F522,H522,J522:M522,O522,Q522:R522,T522:U522)=0),"",SUM(G522,I522,N522,P522,S522,V522))</f>
        <v/>
      </c>
      <c r="X522" s="18">
        <f>IF(W522="","",IF(Murid!F522="TL","TL",ROUND(W522/110*100,2)))</f>
        <v/>
      </c>
    </row>
    <row r="523">
      <c r="A523" s="15">
        <f>Murid!A523</f>
        <v/>
      </c>
      <c r="B523" s="15">
        <f>IF(Murid!B523="","",Murid!B523)</f>
        <v/>
      </c>
      <c r="C523" s="16">
        <f>IF(Murid!C523="","",Murid!C523)</f>
        <v/>
      </c>
      <c r="D523" s="15">
        <f>IF(Murid!E523="","",Murid!E523)</f>
        <v/>
      </c>
      <c r="E523" s="11" t="n"/>
      <c r="F523" s="11" t="n"/>
      <c r="G523" s="10">
        <f>IF(F523="","",IFERROR(VLOOKUP(F523,T_JKP,2,FALSE),0))</f>
        <v/>
      </c>
      <c r="H523" s="11" t="n"/>
      <c r="I523" s="17">
        <f>IF(H523="","",IF(H523&gt;=12,40,ROUND(H523*3.33,2)))</f>
        <v/>
      </c>
      <c r="J523" s="11" t="n"/>
      <c r="K523" s="11" t="n"/>
      <c r="L523" s="11" t="n"/>
      <c r="M523" s="11" t="n"/>
      <c r="N523" s="10">
        <f>IF(COUNTA(J523:M523)=0,"",MIN(10,SUMPRODUCT((COUNTIF(J523:M523,L_KOM)&gt;0)*S_KOM)))</f>
        <v/>
      </c>
      <c r="O523" s="11" t="n"/>
      <c r="P523" s="10">
        <f>IF(O523="","",IFERROR(VLOOKUP(O523,T_KHID,2,FALSE),0))</f>
        <v/>
      </c>
      <c r="Q523" s="11" t="n"/>
      <c r="R523" s="11" t="n"/>
      <c r="S523" s="10">
        <f>IF(AND(Q523="",R523=""),"",IFERROR(INDEX(T_LIBAT,MATCH(Q523,L_PER,0),MATCH(R523,L_JENIS,0)),0))</f>
        <v/>
      </c>
      <c r="T523" s="11" t="n"/>
      <c r="U523" s="11" t="n"/>
      <c r="V523" s="10">
        <f>IF(AND(T523="",U523=""),"",IFERROR(INDEX(T_CAPAI,MATCH(T523,L_PER,0),MATCH(U523,L_KED,0)),0))</f>
        <v/>
      </c>
      <c r="W523" s="17">
        <f>IF(OR(B523="",E523="",COUNTA(F523,H523,J523:M523,O523,Q523:R523,T523:U523)=0),"",SUM(G523,I523,N523,P523,S523,V523))</f>
        <v/>
      </c>
      <c r="X523" s="18">
        <f>IF(W523="","",IF(Murid!F523="TL","TL",ROUND(W523/110*100,2)))</f>
        <v/>
      </c>
    </row>
    <row r="524">
      <c r="A524" s="15">
        <f>Murid!A524</f>
        <v/>
      </c>
      <c r="B524" s="15">
        <f>IF(Murid!B524="","",Murid!B524)</f>
        <v/>
      </c>
      <c r="C524" s="16">
        <f>IF(Murid!C524="","",Murid!C524)</f>
        <v/>
      </c>
      <c r="D524" s="15">
        <f>IF(Murid!E524="","",Murid!E524)</f>
        <v/>
      </c>
      <c r="E524" s="11" t="n"/>
      <c r="F524" s="11" t="n"/>
      <c r="G524" s="10">
        <f>IF(F524="","",IFERROR(VLOOKUP(F524,T_JKP,2,FALSE),0))</f>
        <v/>
      </c>
      <c r="H524" s="11" t="n"/>
      <c r="I524" s="17">
        <f>IF(H524="","",IF(H524&gt;=12,40,ROUND(H524*3.33,2)))</f>
        <v/>
      </c>
      <c r="J524" s="11" t="n"/>
      <c r="K524" s="11" t="n"/>
      <c r="L524" s="11" t="n"/>
      <c r="M524" s="11" t="n"/>
      <c r="N524" s="10">
        <f>IF(COUNTA(J524:M524)=0,"",MIN(10,SUMPRODUCT((COUNTIF(J524:M524,L_KOM)&gt;0)*S_KOM)))</f>
        <v/>
      </c>
      <c r="O524" s="11" t="n"/>
      <c r="P524" s="10">
        <f>IF(O524="","",IFERROR(VLOOKUP(O524,T_KHID,2,FALSE),0))</f>
        <v/>
      </c>
      <c r="Q524" s="11" t="n"/>
      <c r="R524" s="11" t="n"/>
      <c r="S524" s="10">
        <f>IF(AND(Q524="",R524=""),"",IFERROR(INDEX(T_LIBAT,MATCH(Q524,L_PER,0),MATCH(R524,L_JENIS,0)),0))</f>
        <v/>
      </c>
      <c r="T524" s="11" t="n"/>
      <c r="U524" s="11" t="n"/>
      <c r="V524" s="10">
        <f>IF(AND(T524="",U524=""),"",IFERROR(INDEX(T_CAPAI,MATCH(T524,L_PER,0),MATCH(U524,L_KED,0)),0))</f>
        <v/>
      </c>
      <c r="W524" s="17">
        <f>IF(OR(B524="",E524="",COUNTA(F524,H524,J524:M524,O524,Q524:R524,T524:U524)=0),"",SUM(G524,I524,N524,P524,S524,V524))</f>
        <v/>
      </c>
      <c r="X524" s="18">
        <f>IF(W524="","",IF(Murid!F524="TL","TL",ROUND(W524/110*100,2)))</f>
        <v/>
      </c>
    </row>
    <row r="525">
      <c r="A525" s="15">
        <f>Murid!A525</f>
        <v/>
      </c>
      <c r="B525" s="15">
        <f>IF(Murid!B525="","",Murid!B525)</f>
        <v/>
      </c>
      <c r="C525" s="16">
        <f>IF(Murid!C525="","",Murid!C525)</f>
        <v/>
      </c>
      <c r="D525" s="15">
        <f>IF(Murid!E525="","",Murid!E525)</f>
        <v/>
      </c>
      <c r="E525" s="11" t="n"/>
      <c r="F525" s="11" t="n"/>
      <c r="G525" s="10">
        <f>IF(F525="","",IFERROR(VLOOKUP(F525,T_JKP,2,FALSE),0))</f>
        <v/>
      </c>
      <c r="H525" s="11" t="n"/>
      <c r="I525" s="17">
        <f>IF(H525="","",IF(H525&gt;=12,40,ROUND(H525*3.33,2)))</f>
        <v/>
      </c>
      <c r="J525" s="11" t="n"/>
      <c r="K525" s="11" t="n"/>
      <c r="L525" s="11" t="n"/>
      <c r="M525" s="11" t="n"/>
      <c r="N525" s="10">
        <f>IF(COUNTA(J525:M525)=0,"",MIN(10,SUMPRODUCT((COUNTIF(J525:M525,L_KOM)&gt;0)*S_KOM)))</f>
        <v/>
      </c>
      <c r="O525" s="11" t="n"/>
      <c r="P525" s="10">
        <f>IF(O525="","",IFERROR(VLOOKUP(O525,T_KHID,2,FALSE),0))</f>
        <v/>
      </c>
      <c r="Q525" s="11" t="n"/>
      <c r="R525" s="11" t="n"/>
      <c r="S525" s="10">
        <f>IF(AND(Q525="",R525=""),"",IFERROR(INDEX(T_LIBAT,MATCH(Q525,L_PER,0),MATCH(R525,L_JENIS,0)),0))</f>
        <v/>
      </c>
      <c r="T525" s="11" t="n"/>
      <c r="U525" s="11" t="n"/>
      <c r="V525" s="10">
        <f>IF(AND(T525="",U525=""),"",IFERROR(INDEX(T_CAPAI,MATCH(T525,L_PER,0),MATCH(U525,L_KED,0)),0))</f>
        <v/>
      </c>
      <c r="W525" s="17">
        <f>IF(OR(B525="",E525="",COUNTA(F525,H525,J525:M525,O525,Q525:R525,T525:U525)=0),"",SUM(G525,I525,N525,P525,S525,V525))</f>
        <v/>
      </c>
      <c r="X525" s="18">
        <f>IF(W525="","",IF(Murid!F525="TL","TL",ROUND(W525/110*100,2)))</f>
        <v/>
      </c>
    </row>
    <row r="526">
      <c r="A526" s="15">
        <f>Murid!A526</f>
        <v/>
      </c>
      <c r="B526" s="15">
        <f>IF(Murid!B526="","",Murid!B526)</f>
        <v/>
      </c>
      <c r="C526" s="16">
        <f>IF(Murid!C526="","",Murid!C526)</f>
        <v/>
      </c>
      <c r="D526" s="15">
        <f>IF(Murid!E526="","",Murid!E526)</f>
        <v/>
      </c>
      <c r="E526" s="11" t="n"/>
      <c r="F526" s="11" t="n"/>
      <c r="G526" s="10">
        <f>IF(F526="","",IFERROR(VLOOKUP(F526,T_JKP,2,FALSE),0))</f>
        <v/>
      </c>
      <c r="H526" s="11" t="n"/>
      <c r="I526" s="17">
        <f>IF(H526="","",IF(H526&gt;=12,40,ROUND(H526*3.33,2)))</f>
        <v/>
      </c>
      <c r="J526" s="11" t="n"/>
      <c r="K526" s="11" t="n"/>
      <c r="L526" s="11" t="n"/>
      <c r="M526" s="11" t="n"/>
      <c r="N526" s="10">
        <f>IF(COUNTA(J526:M526)=0,"",MIN(10,SUMPRODUCT((COUNTIF(J526:M526,L_KOM)&gt;0)*S_KOM)))</f>
        <v/>
      </c>
      <c r="O526" s="11" t="n"/>
      <c r="P526" s="10">
        <f>IF(O526="","",IFERROR(VLOOKUP(O526,T_KHID,2,FALSE),0))</f>
        <v/>
      </c>
      <c r="Q526" s="11" t="n"/>
      <c r="R526" s="11" t="n"/>
      <c r="S526" s="10">
        <f>IF(AND(Q526="",R526=""),"",IFERROR(INDEX(T_LIBAT,MATCH(Q526,L_PER,0),MATCH(R526,L_JENIS,0)),0))</f>
        <v/>
      </c>
      <c r="T526" s="11" t="n"/>
      <c r="U526" s="11" t="n"/>
      <c r="V526" s="10">
        <f>IF(AND(T526="",U526=""),"",IFERROR(INDEX(T_CAPAI,MATCH(T526,L_PER,0),MATCH(U526,L_KED,0)),0))</f>
        <v/>
      </c>
      <c r="W526" s="17">
        <f>IF(OR(B526="",E526="",COUNTA(F526,H526,J526:M526,O526,Q526:R526,T526:U526)=0),"",SUM(G526,I526,N526,P526,S526,V526))</f>
        <v/>
      </c>
      <c r="X526" s="18">
        <f>IF(W526="","",IF(Murid!F526="TL","TL",ROUND(W526/110*100,2)))</f>
        <v/>
      </c>
    </row>
    <row r="527">
      <c r="A527" s="15">
        <f>Murid!A527</f>
        <v/>
      </c>
      <c r="B527" s="15">
        <f>IF(Murid!B527="","",Murid!B527)</f>
        <v/>
      </c>
      <c r="C527" s="16">
        <f>IF(Murid!C527="","",Murid!C527)</f>
        <v/>
      </c>
      <c r="D527" s="15">
        <f>IF(Murid!E527="","",Murid!E527)</f>
        <v/>
      </c>
      <c r="E527" s="11" t="n"/>
      <c r="F527" s="11" t="n"/>
      <c r="G527" s="10">
        <f>IF(F527="","",IFERROR(VLOOKUP(F527,T_JKP,2,FALSE),0))</f>
        <v/>
      </c>
      <c r="H527" s="11" t="n"/>
      <c r="I527" s="17">
        <f>IF(H527="","",IF(H527&gt;=12,40,ROUND(H527*3.33,2)))</f>
        <v/>
      </c>
      <c r="J527" s="11" t="n"/>
      <c r="K527" s="11" t="n"/>
      <c r="L527" s="11" t="n"/>
      <c r="M527" s="11" t="n"/>
      <c r="N527" s="10">
        <f>IF(COUNTA(J527:M527)=0,"",MIN(10,SUMPRODUCT((COUNTIF(J527:M527,L_KOM)&gt;0)*S_KOM)))</f>
        <v/>
      </c>
      <c r="O527" s="11" t="n"/>
      <c r="P527" s="10">
        <f>IF(O527="","",IFERROR(VLOOKUP(O527,T_KHID,2,FALSE),0))</f>
        <v/>
      </c>
      <c r="Q527" s="11" t="n"/>
      <c r="R527" s="11" t="n"/>
      <c r="S527" s="10">
        <f>IF(AND(Q527="",R527=""),"",IFERROR(INDEX(T_LIBAT,MATCH(Q527,L_PER,0),MATCH(R527,L_JENIS,0)),0))</f>
        <v/>
      </c>
      <c r="T527" s="11" t="n"/>
      <c r="U527" s="11" t="n"/>
      <c r="V527" s="10">
        <f>IF(AND(T527="",U527=""),"",IFERROR(INDEX(T_CAPAI,MATCH(T527,L_PER,0),MATCH(U527,L_KED,0)),0))</f>
        <v/>
      </c>
      <c r="W527" s="17">
        <f>IF(OR(B527="",E527="",COUNTA(F527,H527,J527:M527,O527,Q527:R527,T527:U527)=0),"",SUM(G527,I527,N527,P527,S527,V527))</f>
        <v/>
      </c>
      <c r="X527" s="18">
        <f>IF(W527="","",IF(Murid!F527="TL","TL",ROUND(W527/110*100,2)))</f>
        <v/>
      </c>
    </row>
    <row r="528">
      <c r="A528" s="15">
        <f>Murid!A528</f>
        <v/>
      </c>
      <c r="B528" s="15">
        <f>IF(Murid!B528="","",Murid!B528)</f>
        <v/>
      </c>
      <c r="C528" s="16">
        <f>IF(Murid!C528="","",Murid!C528)</f>
        <v/>
      </c>
      <c r="D528" s="15">
        <f>IF(Murid!E528="","",Murid!E528)</f>
        <v/>
      </c>
      <c r="E528" s="11" t="n"/>
      <c r="F528" s="11" t="n"/>
      <c r="G528" s="10">
        <f>IF(F528="","",IFERROR(VLOOKUP(F528,T_JKP,2,FALSE),0))</f>
        <v/>
      </c>
      <c r="H528" s="11" t="n"/>
      <c r="I528" s="17">
        <f>IF(H528="","",IF(H528&gt;=12,40,ROUND(H528*3.33,2)))</f>
        <v/>
      </c>
      <c r="J528" s="11" t="n"/>
      <c r="K528" s="11" t="n"/>
      <c r="L528" s="11" t="n"/>
      <c r="M528" s="11" t="n"/>
      <c r="N528" s="10">
        <f>IF(COUNTA(J528:M528)=0,"",MIN(10,SUMPRODUCT((COUNTIF(J528:M528,L_KOM)&gt;0)*S_KOM)))</f>
        <v/>
      </c>
      <c r="O528" s="11" t="n"/>
      <c r="P528" s="10">
        <f>IF(O528="","",IFERROR(VLOOKUP(O528,T_KHID,2,FALSE),0))</f>
        <v/>
      </c>
      <c r="Q528" s="11" t="n"/>
      <c r="R528" s="11" t="n"/>
      <c r="S528" s="10">
        <f>IF(AND(Q528="",R528=""),"",IFERROR(INDEX(T_LIBAT,MATCH(Q528,L_PER,0),MATCH(R528,L_JENIS,0)),0))</f>
        <v/>
      </c>
      <c r="T528" s="11" t="n"/>
      <c r="U528" s="11" t="n"/>
      <c r="V528" s="10">
        <f>IF(AND(T528="",U528=""),"",IFERROR(INDEX(T_CAPAI,MATCH(T528,L_PER,0),MATCH(U528,L_KED,0)),0))</f>
        <v/>
      </c>
      <c r="W528" s="17">
        <f>IF(OR(B528="",E528="",COUNTA(F528,H528,J528:M528,O528,Q528:R528,T528:U528)=0),"",SUM(G528,I528,N528,P528,S528,V528))</f>
        <v/>
      </c>
      <c r="X528" s="18">
        <f>IF(W528="","",IF(Murid!F528="TL","TL",ROUND(W528/110*100,2)))</f>
        <v/>
      </c>
    </row>
    <row r="529">
      <c r="A529" s="15">
        <f>Murid!A529</f>
        <v/>
      </c>
      <c r="B529" s="15">
        <f>IF(Murid!B529="","",Murid!B529)</f>
        <v/>
      </c>
      <c r="C529" s="16">
        <f>IF(Murid!C529="","",Murid!C529)</f>
        <v/>
      </c>
      <c r="D529" s="15">
        <f>IF(Murid!E529="","",Murid!E529)</f>
        <v/>
      </c>
      <c r="E529" s="11" t="n"/>
      <c r="F529" s="11" t="n"/>
      <c r="G529" s="10">
        <f>IF(F529="","",IFERROR(VLOOKUP(F529,T_JKP,2,FALSE),0))</f>
        <v/>
      </c>
      <c r="H529" s="11" t="n"/>
      <c r="I529" s="17">
        <f>IF(H529="","",IF(H529&gt;=12,40,ROUND(H529*3.33,2)))</f>
        <v/>
      </c>
      <c r="J529" s="11" t="n"/>
      <c r="K529" s="11" t="n"/>
      <c r="L529" s="11" t="n"/>
      <c r="M529" s="11" t="n"/>
      <c r="N529" s="10">
        <f>IF(COUNTA(J529:M529)=0,"",MIN(10,SUMPRODUCT((COUNTIF(J529:M529,L_KOM)&gt;0)*S_KOM)))</f>
        <v/>
      </c>
      <c r="O529" s="11" t="n"/>
      <c r="P529" s="10">
        <f>IF(O529="","",IFERROR(VLOOKUP(O529,T_KHID,2,FALSE),0))</f>
        <v/>
      </c>
      <c r="Q529" s="11" t="n"/>
      <c r="R529" s="11" t="n"/>
      <c r="S529" s="10">
        <f>IF(AND(Q529="",R529=""),"",IFERROR(INDEX(T_LIBAT,MATCH(Q529,L_PER,0),MATCH(R529,L_JENIS,0)),0))</f>
        <v/>
      </c>
      <c r="T529" s="11" t="n"/>
      <c r="U529" s="11" t="n"/>
      <c r="V529" s="10">
        <f>IF(AND(T529="",U529=""),"",IFERROR(INDEX(T_CAPAI,MATCH(T529,L_PER,0),MATCH(U529,L_KED,0)),0))</f>
        <v/>
      </c>
      <c r="W529" s="17">
        <f>IF(OR(B529="",E529="",COUNTA(F529,H529,J529:M529,O529,Q529:R529,T529:U529)=0),"",SUM(G529,I529,N529,P529,S529,V529))</f>
        <v/>
      </c>
      <c r="X529" s="18">
        <f>IF(W529="","",IF(Murid!F529="TL","TL",ROUND(W529/110*100,2)))</f>
        <v/>
      </c>
    </row>
    <row r="530">
      <c r="A530" s="15">
        <f>Murid!A530</f>
        <v/>
      </c>
      <c r="B530" s="15">
        <f>IF(Murid!B530="","",Murid!B530)</f>
        <v/>
      </c>
      <c r="C530" s="16">
        <f>IF(Murid!C530="","",Murid!C530)</f>
        <v/>
      </c>
      <c r="D530" s="15">
        <f>IF(Murid!E530="","",Murid!E530)</f>
        <v/>
      </c>
      <c r="E530" s="11" t="n"/>
      <c r="F530" s="11" t="n"/>
      <c r="G530" s="10">
        <f>IF(F530="","",IFERROR(VLOOKUP(F530,T_JKP,2,FALSE),0))</f>
        <v/>
      </c>
      <c r="H530" s="11" t="n"/>
      <c r="I530" s="17">
        <f>IF(H530="","",IF(H530&gt;=12,40,ROUND(H530*3.33,2)))</f>
        <v/>
      </c>
      <c r="J530" s="11" t="n"/>
      <c r="K530" s="11" t="n"/>
      <c r="L530" s="11" t="n"/>
      <c r="M530" s="11" t="n"/>
      <c r="N530" s="10">
        <f>IF(COUNTA(J530:M530)=0,"",MIN(10,SUMPRODUCT((COUNTIF(J530:M530,L_KOM)&gt;0)*S_KOM)))</f>
        <v/>
      </c>
      <c r="O530" s="11" t="n"/>
      <c r="P530" s="10">
        <f>IF(O530="","",IFERROR(VLOOKUP(O530,T_KHID,2,FALSE),0))</f>
        <v/>
      </c>
      <c r="Q530" s="11" t="n"/>
      <c r="R530" s="11" t="n"/>
      <c r="S530" s="10">
        <f>IF(AND(Q530="",R530=""),"",IFERROR(INDEX(T_LIBAT,MATCH(Q530,L_PER,0),MATCH(R530,L_JENIS,0)),0))</f>
        <v/>
      </c>
      <c r="T530" s="11" t="n"/>
      <c r="U530" s="11" t="n"/>
      <c r="V530" s="10">
        <f>IF(AND(T530="",U530=""),"",IFERROR(INDEX(T_CAPAI,MATCH(T530,L_PER,0),MATCH(U530,L_KED,0)),0))</f>
        <v/>
      </c>
      <c r="W530" s="17">
        <f>IF(OR(B530="",E530="",COUNTA(F530,H530,J530:M530,O530,Q530:R530,T530:U530)=0),"",SUM(G530,I530,N530,P530,S530,V530))</f>
        <v/>
      </c>
      <c r="X530" s="18">
        <f>IF(W530="","",IF(Murid!F530="TL","TL",ROUND(W530/110*100,2)))</f>
        <v/>
      </c>
    </row>
    <row r="531">
      <c r="A531" s="15">
        <f>Murid!A531</f>
        <v/>
      </c>
      <c r="B531" s="15">
        <f>IF(Murid!B531="","",Murid!B531)</f>
        <v/>
      </c>
      <c r="C531" s="16">
        <f>IF(Murid!C531="","",Murid!C531)</f>
        <v/>
      </c>
      <c r="D531" s="15">
        <f>IF(Murid!E531="","",Murid!E531)</f>
        <v/>
      </c>
      <c r="E531" s="11" t="n"/>
      <c r="F531" s="11" t="n"/>
      <c r="G531" s="10">
        <f>IF(F531="","",IFERROR(VLOOKUP(F531,T_JKP,2,FALSE),0))</f>
        <v/>
      </c>
      <c r="H531" s="11" t="n"/>
      <c r="I531" s="17">
        <f>IF(H531="","",IF(H531&gt;=12,40,ROUND(H531*3.33,2)))</f>
        <v/>
      </c>
      <c r="J531" s="11" t="n"/>
      <c r="K531" s="11" t="n"/>
      <c r="L531" s="11" t="n"/>
      <c r="M531" s="11" t="n"/>
      <c r="N531" s="10">
        <f>IF(COUNTA(J531:M531)=0,"",MIN(10,SUMPRODUCT((COUNTIF(J531:M531,L_KOM)&gt;0)*S_KOM)))</f>
        <v/>
      </c>
      <c r="O531" s="11" t="n"/>
      <c r="P531" s="10">
        <f>IF(O531="","",IFERROR(VLOOKUP(O531,T_KHID,2,FALSE),0))</f>
        <v/>
      </c>
      <c r="Q531" s="11" t="n"/>
      <c r="R531" s="11" t="n"/>
      <c r="S531" s="10">
        <f>IF(AND(Q531="",R531=""),"",IFERROR(INDEX(T_LIBAT,MATCH(Q531,L_PER,0),MATCH(R531,L_JENIS,0)),0))</f>
        <v/>
      </c>
      <c r="T531" s="11" t="n"/>
      <c r="U531" s="11" t="n"/>
      <c r="V531" s="10">
        <f>IF(AND(T531="",U531=""),"",IFERROR(INDEX(T_CAPAI,MATCH(T531,L_PER,0),MATCH(U531,L_KED,0)),0))</f>
        <v/>
      </c>
      <c r="W531" s="17">
        <f>IF(OR(B531="",E531="",COUNTA(F531,H531,J531:M531,O531,Q531:R531,T531:U531)=0),"",SUM(G531,I531,N531,P531,S531,V531))</f>
        <v/>
      </c>
      <c r="X531" s="18">
        <f>IF(W531="","",IF(Murid!F531="TL","TL",ROUND(W531/110*100,2)))</f>
        <v/>
      </c>
    </row>
    <row r="532">
      <c r="A532" s="15">
        <f>Murid!A532</f>
        <v/>
      </c>
      <c r="B532" s="15">
        <f>IF(Murid!B532="","",Murid!B532)</f>
        <v/>
      </c>
      <c r="C532" s="16">
        <f>IF(Murid!C532="","",Murid!C532)</f>
        <v/>
      </c>
      <c r="D532" s="15">
        <f>IF(Murid!E532="","",Murid!E532)</f>
        <v/>
      </c>
      <c r="E532" s="11" t="n"/>
      <c r="F532" s="11" t="n"/>
      <c r="G532" s="10">
        <f>IF(F532="","",IFERROR(VLOOKUP(F532,T_JKP,2,FALSE),0))</f>
        <v/>
      </c>
      <c r="H532" s="11" t="n"/>
      <c r="I532" s="17">
        <f>IF(H532="","",IF(H532&gt;=12,40,ROUND(H532*3.33,2)))</f>
        <v/>
      </c>
      <c r="J532" s="11" t="n"/>
      <c r="K532" s="11" t="n"/>
      <c r="L532" s="11" t="n"/>
      <c r="M532" s="11" t="n"/>
      <c r="N532" s="10">
        <f>IF(COUNTA(J532:M532)=0,"",MIN(10,SUMPRODUCT((COUNTIF(J532:M532,L_KOM)&gt;0)*S_KOM)))</f>
        <v/>
      </c>
      <c r="O532" s="11" t="n"/>
      <c r="P532" s="10">
        <f>IF(O532="","",IFERROR(VLOOKUP(O532,T_KHID,2,FALSE),0))</f>
        <v/>
      </c>
      <c r="Q532" s="11" t="n"/>
      <c r="R532" s="11" t="n"/>
      <c r="S532" s="10">
        <f>IF(AND(Q532="",R532=""),"",IFERROR(INDEX(T_LIBAT,MATCH(Q532,L_PER,0),MATCH(R532,L_JENIS,0)),0))</f>
        <v/>
      </c>
      <c r="T532" s="11" t="n"/>
      <c r="U532" s="11" t="n"/>
      <c r="V532" s="10">
        <f>IF(AND(T532="",U532=""),"",IFERROR(INDEX(T_CAPAI,MATCH(T532,L_PER,0),MATCH(U532,L_KED,0)),0))</f>
        <v/>
      </c>
      <c r="W532" s="17">
        <f>IF(OR(B532="",E532="",COUNTA(F532,H532,J532:M532,O532,Q532:R532,T532:U532)=0),"",SUM(G532,I532,N532,P532,S532,V532))</f>
        <v/>
      </c>
      <c r="X532" s="18">
        <f>IF(W532="","",IF(Murid!F532="TL","TL",ROUND(W532/110*100,2)))</f>
        <v/>
      </c>
    </row>
    <row r="533">
      <c r="A533" s="15">
        <f>Murid!A533</f>
        <v/>
      </c>
      <c r="B533" s="15">
        <f>IF(Murid!B533="","",Murid!B533)</f>
        <v/>
      </c>
      <c r="C533" s="16">
        <f>IF(Murid!C533="","",Murid!C533)</f>
        <v/>
      </c>
      <c r="D533" s="15">
        <f>IF(Murid!E533="","",Murid!E533)</f>
        <v/>
      </c>
      <c r="E533" s="11" t="n"/>
      <c r="F533" s="11" t="n"/>
      <c r="G533" s="10">
        <f>IF(F533="","",IFERROR(VLOOKUP(F533,T_JKP,2,FALSE),0))</f>
        <v/>
      </c>
      <c r="H533" s="11" t="n"/>
      <c r="I533" s="17">
        <f>IF(H533="","",IF(H533&gt;=12,40,ROUND(H533*3.33,2)))</f>
        <v/>
      </c>
      <c r="J533" s="11" t="n"/>
      <c r="K533" s="11" t="n"/>
      <c r="L533" s="11" t="n"/>
      <c r="M533" s="11" t="n"/>
      <c r="N533" s="10">
        <f>IF(COUNTA(J533:M533)=0,"",MIN(10,SUMPRODUCT((COUNTIF(J533:M533,L_KOM)&gt;0)*S_KOM)))</f>
        <v/>
      </c>
      <c r="O533" s="11" t="n"/>
      <c r="P533" s="10">
        <f>IF(O533="","",IFERROR(VLOOKUP(O533,T_KHID,2,FALSE),0))</f>
        <v/>
      </c>
      <c r="Q533" s="11" t="n"/>
      <c r="R533" s="11" t="n"/>
      <c r="S533" s="10">
        <f>IF(AND(Q533="",R533=""),"",IFERROR(INDEX(T_LIBAT,MATCH(Q533,L_PER,0),MATCH(R533,L_JENIS,0)),0))</f>
        <v/>
      </c>
      <c r="T533" s="11" t="n"/>
      <c r="U533" s="11" t="n"/>
      <c r="V533" s="10">
        <f>IF(AND(T533="",U533=""),"",IFERROR(INDEX(T_CAPAI,MATCH(T533,L_PER,0),MATCH(U533,L_KED,0)),0))</f>
        <v/>
      </c>
      <c r="W533" s="17">
        <f>IF(OR(B533="",E533="",COUNTA(F533,H533,J533:M533,O533,Q533:R533,T533:U533)=0),"",SUM(G533,I533,N533,P533,S533,V533))</f>
        <v/>
      </c>
      <c r="X533" s="18">
        <f>IF(W533="","",IF(Murid!F533="TL","TL",ROUND(W533/110*100,2)))</f>
        <v/>
      </c>
    </row>
    <row r="534">
      <c r="A534" s="15">
        <f>Murid!A534</f>
        <v/>
      </c>
      <c r="B534" s="15">
        <f>IF(Murid!B534="","",Murid!B534)</f>
        <v/>
      </c>
      <c r="C534" s="16">
        <f>IF(Murid!C534="","",Murid!C534)</f>
        <v/>
      </c>
      <c r="D534" s="15">
        <f>IF(Murid!E534="","",Murid!E534)</f>
        <v/>
      </c>
      <c r="E534" s="11" t="n"/>
      <c r="F534" s="11" t="n"/>
      <c r="G534" s="10">
        <f>IF(F534="","",IFERROR(VLOOKUP(F534,T_JKP,2,FALSE),0))</f>
        <v/>
      </c>
      <c r="H534" s="11" t="n"/>
      <c r="I534" s="17">
        <f>IF(H534="","",IF(H534&gt;=12,40,ROUND(H534*3.33,2)))</f>
        <v/>
      </c>
      <c r="J534" s="11" t="n"/>
      <c r="K534" s="11" t="n"/>
      <c r="L534" s="11" t="n"/>
      <c r="M534" s="11" t="n"/>
      <c r="N534" s="10">
        <f>IF(COUNTA(J534:M534)=0,"",MIN(10,SUMPRODUCT((COUNTIF(J534:M534,L_KOM)&gt;0)*S_KOM)))</f>
        <v/>
      </c>
      <c r="O534" s="11" t="n"/>
      <c r="P534" s="10">
        <f>IF(O534="","",IFERROR(VLOOKUP(O534,T_KHID,2,FALSE),0))</f>
        <v/>
      </c>
      <c r="Q534" s="11" t="n"/>
      <c r="R534" s="11" t="n"/>
      <c r="S534" s="10">
        <f>IF(AND(Q534="",R534=""),"",IFERROR(INDEX(T_LIBAT,MATCH(Q534,L_PER,0),MATCH(R534,L_JENIS,0)),0))</f>
        <v/>
      </c>
      <c r="T534" s="11" t="n"/>
      <c r="U534" s="11" t="n"/>
      <c r="V534" s="10">
        <f>IF(AND(T534="",U534=""),"",IFERROR(INDEX(T_CAPAI,MATCH(T534,L_PER,0),MATCH(U534,L_KED,0)),0))</f>
        <v/>
      </c>
      <c r="W534" s="17">
        <f>IF(OR(B534="",E534="",COUNTA(F534,H534,J534:M534,O534,Q534:R534,T534:U534)=0),"",SUM(G534,I534,N534,P534,S534,V534))</f>
        <v/>
      </c>
      <c r="X534" s="18">
        <f>IF(W534="","",IF(Murid!F534="TL","TL",ROUND(W534/110*100,2)))</f>
        <v/>
      </c>
    </row>
    <row r="535">
      <c r="A535" s="15">
        <f>Murid!A535</f>
        <v/>
      </c>
      <c r="B535" s="15">
        <f>IF(Murid!B535="","",Murid!B535)</f>
        <v/>
      </c>
      <c r="C535" s="16">
        <f>IF(Murid!C535="","",Murid!C535)</f>
        <v/>
      </c>
      <c r="D535" s="15">
        <f>IF(Murid!E535="","",Murid!E535)</f>
        <v/>
      </c>
      <c r="E535" s="11" t="n"/>
      <c r="F535" s="11" t="n"/>
      <c r="G535" s="10">
        <f>IF(F535="","",IFERROR(VLOOKUP(F535,T_JKP,2,FALSE),0))</f>
        <v/>
      </c>
      <c r="H535" s="11" t="n"/>
      <c r="I535" s="17">
        <f>IF(H535="","",IF(H535&gt;=12,40,ROUND(H535*3.33,2)))</f>
        <v/>
      </c>
      <c r="J535" s="11" t="n"/>
      <c r="K535" s="11" t="n"/>
      <c r="L535" s="11" t="n"/>
      <c r="M535" s="11" t="n"/>
      <c r="N535" s="10">
        <f>IF(COUNTA(J535:M535)=0,"",MIN(10,SUMPRODUCT((COUNTIF(J535:M535,L_KOM)&gt;0)*S_KOM)))</f>
        <v/>
      </c>
      <c r="O535" s="11" t="n"/>
      <c r="P535" s="10">
        <f>IF(O535="","",IFERROR(VLOOKUP(O535,T_KHID,2,FALSE),0))</f>
        <v/>
      </c>
      <c r="Q535" s="11" t="n"/>
      <c r="R535" s="11" t="n"/>
      <c r="S535" s="10">
        <f>IF(AND(Q535="",R535=""),"",IFERROR(INDEX(T_LIBAT,MATCH(Q535,L_PER,0),MATCH(R535,L_JENIS,0)),0))</f>
        <v/>
      </c>
      <c r="T535" s="11" t="n"/>
      <c r="U535" s="11" t="n"/>
      <c r="V535" s="10">
        <f>IF(AND(T535="",U535=""),"",IFERROR(INDEX(T_CAPAI,MATCH(T535,L_PER,0),MATCH(U535,L_KED,0)),0))</f>
        <v/>
      </c>
      <c r="W535" s="17">
        <f>IF(OR(B535="",E535="",COUNTA(F535,H535,J535:M535,O535,Q535:R535,T535:U535)=0),"",SUM(G535,I535,N535,P535,S535,V535))</f>
        <v/>
      </c>
      <c r="X535" s="18">
        <f>IF(W535="","",IF(Murid!F535="TL","TL",ROUND(W535/110*100,2)))</f>
        <v/>
      </c>
    </row>
    <row r="536">
      <c r="A536" s="15">
        <f>Murid!A536</f>
        <v/>
      </c>
      <c r="B536" s="15">
        <f>IF(Murid!B536="","",Murid!B536)</f>
        <v/>
      </c>
      <c r="C536" s="16">
        <f>IF(Murid!C536="","",Murid!C536)</f>
        <v/>
      </c>
      <c r="D536" s="15">
        <f>IF(Murid!E536="","",Murid!E536)</f>
        <v/>
      </c>
      <c r="E536" s="11" t="n"/>
      <c r="F536" s="11" t="n"/>
      <c r="G536" s="10">
        <f>IF(F536="","",IFERROR(VLOOKUP(F536,T_JKP,2,FALSE),0))</f>
        <v/>
      </c>
      <c r="H536" s="11" t="n"/>
      <c r="I536" s="17">
        <f>IF(H536="","",IF(H536&gt;=12,40,ROUND(H536*3.33,2)))</f>
        <v/>
      </c>
      <c r="J536" s="11" t="n"/>
      <c r="K536" s="11" t="n"/>
      <c r="L536" s="11" t="n"/>
      <c r="M536" s="11" t="n"/>
      <c r="N536" s="10">
        <f>IF(COUNTA(J536:M536)=0,"",MIN(10,SUMPRODUCT((COUNTIF(J536:M536,L_KOM)&gt;0)*S_KOM)))</f>
        <v/>
      </c>
      <c r="O536" s="11" t="n"/>
      <c r="P536" s="10">
        <f>IF(O536="","",IFERROR(VLOOKUP(O536,T_KHID,2,FALSE),0))</f>
        <v/>
      </c>
      <c r="Q536" s="11" t="n"/>
      <c r="R536" s="11" t="n"/>
      <c r="S536" s="10">
        <f>IF(AND(Q536="",R536=""),"",IFERROR(INDEX(T_LIBAT,MATCH(Q536,L_PER,0),MATCH(R536,L_JENIS,0)),0))</f>
        <v/>
      </c>
      <c r="T536" s="11" t="n"/>
      <c r="U536" s="11" t="n"/>
      <c r="V536" s="10">
        <f>IF(AND(T536="",U536=""),"",IFERROR(INDEX(T_CAPAI,MATCH(T536,L_PER,0),MATCH(U536,L_KED,0)),0))</f>
        <v/>
      </c>
      <c r="W536" s="17">
        <f>IF(OR(B536="",E536="",COUNTA(F536,H536,J536:M536,O536,Q536:R536,T536:U536)=0),"",SUM(G536,I536,N536,P536,S536,V536))</f>
        <v/>
      </c>
      <c r="X536" s="18">
        <f>IF(W536="","",IF(Murid!F536="TL","TL",ROUND(W536/110*100,2)))</f>
        <v/>
      </c>
    </row>
    <row r="537">
      <c r="A537" s="15">
        <f>Murid!A537</f>
        <v/>
      </c>
      <c r="B537" s="15">
        <f>IF(Murid!B537="","",Murid!B537)</f>
        <v/>
      </c>
      <c r="C537" s="16">
        <f>IF(Murid!C537="","",Murid!C537)</f>
        <v/>
      </c>
      <c r="D537" s="15">
        <f>IF(Murid!E537="","",Murid!E537)</f>
        <v/>
      </c>
      <c r="E537" s="11" t="n"/>
      <c r="F537" s="11" t="n"/>
      <c r="G537" s="10">
        <f>IF(F537="","",IFERROR(VLOOKUP(F537,T_JKP,2,FALSE),0))</f>
        <v/>
      </c>
      <c r="H537" s="11" t="n"/>
      <c r="I537" s="17">
        <f>IF(H537="","",IF(H537&gt;=12,40,ROUND(H537*3.33,2)))</f>
        <v/>
      </c>
      <c r="J537" s="11" t="n"/>
      <c r="K537" s="11" t="n"/>
      <c r="L537" s="11" t="n"/>
      <c r="M537" s="11" t="n"/>
      <c r="N537" s="10">
        <f>IF(COUNTA(J537:M537)=0,"",MIN(10,SUMPRODUCT((COUNTIF(J537:M537,L_KOM)&gt;0)*S_KOM)))</f>
        <v/>
      </c>
      <c r="O537" s="11" t="n"/>
      <c r="P537" s="10">
        <f>IF(O537="","",IFERROR(VLOOKUP(O537,T_KHID,2,FALSE),0))</f>
        <v/>
      </c>
      <c r="Q537" s="11" t="n"/>
      <c r="R537" s="11" t="n"/>
      <c r="S537" s="10">
        <f>IF(AND(Q537="",R537=""),"",IFERROR(INDEX(T_LIBAT,MATCH(Q537,L_PER,0),MATCH(R537,L_JENIS,0)),0))</f>
        <v/>
      </c>
      <c r="T537" s="11" t="n"/>
      <c r="U537" s="11" t="n"/>
      <c r="V537" s="10">
        <f>IF(AND(T537="",U537=""),"",IFERROR(INDEX(T_CAPAI,MATCH(T537,L_PER,0),MATCH(U537,L_KED,0)),0))</f>
        <v/>
      </c>
      <c r="W537" s="17">
        <f>IF(OR(B537="",E537="",COUNTA(F537,H537,J537:M537,O537,Q537:R537,T537:U537)=0),"",SUM(G537,I537,N537,P537,S537,V537))</f>
        <v/>
      </c>
      <c r="X537" s="18">
        <f>IF(W537="","",IF(Murid!F537="TL","TL",ROUND(W537/110*100,2)))</f>
        <v/>
      </c>
    </row>
    <row r="538">
      <c r="A538" s="15">
        <f>Murid!A538</f>
        <v/>
      </c>
      <c r="B538" s="15">
        <f>IF(Murid!B538="","",Murid!B538)</f>
        <v/>
      </c>
      <c r="C538" s="16">
        <f>IF(Murid!C538="","",Murid!C538)</f>
        <v/>
      </c>
      <c r="D538" s="15">
        <f>IF(Murid!E538="","",Murid!E538)</f>
        <v/>
      </c>
      <c r="E538" s="11" t="n"/>
      <c r="F538" s="11" t="n"/>
      <c r="G538" s="10">
        <f>IF(F538="","",IFERROR(VLOOKUP(F538,T_JKP,2,FALSE),0))</f>
        <v/>
      </c>
      <c r="H538" s="11" t="n"/>
      <c r="I538" s="17">
        <f>IF(H538="","",IF(H538&gt;=12,40,ROUND(H538*3.33,2)))</f>
        <v/>
      </c>
      <c r="J538" s="11" t="n"/>
      <c r="K538" s="11" t="n"/>
      <c r="L538" s="11" t="n"/>
      <c r="M538" s="11" t="n"/>
      <c r="N538" s="10">
        <f>IF(COUNTA(J538:M538)=0,"",MIN(10,SUMPRODUCT((COUNTIF(J538:M538,L_KOM)&gt;0)*S_KOM)))</f>
        <v/>
      </c>
      <c r="O538" s="11" t="n"/>
      <c r="P538" s="10">
        <f>IF(O538="","",IFERROR(VLOOKUP(O538,T_KHID,2,FALSE),0))</f>
        <v/>
      </c>
      <c r="Q538" s="11" t="n"/>
      <c r="R538" s="11" t="n"/>
      <c r="S538" s="10">
        <f>IF(AND(Q538="",R538=""),"",IFERROR(INDEX(T_LIBAT,MATCH(Q538,L_PER,0),MATCH(R538,L_JENIS,0)),0))</f>
        <v/>
      </c>
      <c r="T538" s="11" t="n"/>
      <c r="U538" s="11" t="n"/>
      <c r="V538" s="10">
        <f>IF(AND(T538="",U538=""),"",IFERROR(INDEX(T_CAPAI,MATCH(T538,L_PER,0),MATCH(U538,L_KED,0)),0))</f>
        <v/>
      </c>
      <c r="W538" s="17">
        <f>IF(OR(B538="",E538="",COUNTA(F538,H538,J538:M538,O538,Q538:R538,T538:U538)=0),"",SUM(G538,I538,N538,P538,S538,V538))</f>
        <v/>
      </c>
      <c r="X538" s="18">
        <f>IF(W538="","",IF(Murid!F538="TL","TL",ROUND(W538/110*100,2)))</f>
        <v/>
      </c>
    </row>
    <row r="539">
      <c r="A539" s="15">
        <f>Murid!A539</f>
        <v/>
      </c>
      <c r="B539" s="15">
        <f>IF(Murid!B539="","",Murid!B539)</f>
        <v/>
      </c>
      <c r="C539" s="16">
        <f>IF(Murid!C539="","",Murid!C539)</f>
        <v/>
      </c>
      <c r="D539" s="15">
        <f>IF(Murid!E539="","",Murid!E539)</f>
        <v/>
      </c>
      <c r="E539" s="11" t="n"/>
      <c r="F539" s="11" t="n"/>
      <c r="G539" s="10">
        <f>IF(F539="","",IFERROR(VLOOKUP(F539,T_JKP,2,FALSE),0))</f>
        <v/>
      </c>
      <c r="H539" s="11" t="n"/>
      <c r="I539" s="17">
        <f>IF(H539="","",IF(H539&gt;=12,40,ROUND(H539*3.33,2)))</f>
        <v/>
      </c>
      <c r="J539" s="11" t="n"/>
      <c r="K539" s="11" t="n"/>
      <c r="L539" s="11" t="n"/>
      <c r="M539" s="11" t="n"/>
      <c r="N539" s="10">
        <f>IF(COUNTA(J539:M539)=0,"",MIN(10,SUMPRODUCT((COUNTIF(J539:M539,L_KOM)&gt;0)*S_KOM)))</f>
        <v/>
      </c>
      <c r="O539" s="11" t="n"/>
      <c r="P539" s="10">
        <f>IF(O539="","",IFERROR(VLOOKUP(O539,T_KHID,2,FALSE),0))</f>
        <v/>
      </c>
      <c r="Q539" s="11" t="n"/>
      <c r="R539" s="11" t="n"/>
      <c r="S539" s="10">
        <f>IF(AND(Q539="",R539=""),"",IFERROR(INDEX(T_LIBAT,MATCH(Q539,L_PER,0),MATCH(R539,L_JENIS,0)),0))</f>
        <v/>
      </c>
      <c r="T539" s="11" t="n"/>
      <c r="U539" s="11" t="n"/>
      <c r="V539" s="10">
        <f>IF(AND(T539="",U539=""),"",IFERROR(INDEX(T_CAPAI,MATCH(T539,L_PER,0),MATCH(U539,L_KED,0)),0))</f>
        <v/>
      </c>
      <c r="W539" s="17">
        <f>IF(OR(B539="",E539="",COUNTA(F539,H539,J539:M539,O539,Q539:R539,T539:U539)=0),"",SUM(G539,I539,N539,P539,S539,V539))</f>
        <v/>
      </c>
      <c r="X539" s="18">
        <f>IF(W539="","",IF(Murid!F539="TL","TL",ROUND(W539/110*100,2)))</f>
        <v/>
      </c>
    </row>
    <row r="540">
      <c r="A540" s="15">
        <f>Murid!A540</f>
        <v/>
      </c>
      <c r="B540" s="15">
        <f>IF(Murid!B540="","",Murid!B540)</f>
        <v/>
      </c>
      <c r="C540" s="16">
        <f>IF(Murid!C540="","",Murid!C540)</f>
        <v/>
      </c>
      <c r="D540" s="15">
        <f>IF(Murid!E540="","",Murid!E540)</f>
        <v/>
      </c>
      <c r="E540" s="11" t="n"/>
      <c r="F540" s="11" t="n"/>
      <c r="G540" s="10">
        <f>IF(F540="","",IFERROR(VLOOKUP(F540,T_JKP,2,FALSE),0))</f>
        <v/>
      </c>
      <c r="H540" s="11" t="n"/>
      <c r="I540" s="17">
        <f>IF(H540="","",IF(H540&gt;=12,40,ROUND(H540*3.33,2)))</f>
        <v/>
      </c>
      <c r="J540" s="11" t="n"/>
      <c r="K540" s="11" t="n"/>
      <c r="L540" s="11" t="n"/>
      <c r="M540" s="11" t="n"/>
      <c r="N540" s="10">
        <f>IF(COUNTA(J540:M540)=0,"",MIN(10,SUMPRODUCT((COUNTIF(J540:M540,L_KOM)&gt;0)*S_KOM)))</f>
        <v/>
      </c>
      <c r="O540" s="11" t="n"/>
      <c r="P540" s="10">
        <f>IF(O540="","",IFERROR(VLOOKUP(O540,T_KHID,2,FALSE),0))</f>
        <v/>
      </c>
      <c r="Q540" s="11" t="n"/>
      <c r="R540" s="11" t="n"/>
      <c r="S540" s="10">
        <f>IF(AND(Q540="",R540=""),"",IFERROR(INDEX(T_LIBAT,MATCH(Q540,L_PER,0),MATCH(R540,L_JENIS,0)),0))</f>
        <v/>
      </c>
      <c r="T540" s="11" t="n"/>
      <c r="U540" s="11" t="n"/>
      <c r="V540" s="10">
        <f>IF(AND(T540="",U540=""),"",IFERROR(INDEX(T_CAPAI,MATCH(T540,L_PER,0),MATCH(U540,L_KED,0)),0))</f>
        <v/>
      </c>
      <c r="W540" s="17">
        <f>IF(OR(B540="",E540="",COUNTA(F540,H540,J540:M540,O540,Q540:R540,T540:U540)=0),"",SUM(G540,I540,N540,P540,S540,V540))</f>
        <v/>
      </c>
      <c r="X540" s="18">
        <f>IF(W540="","",IF(Murid!F540="TL","TL",ROUND(W540/110*100,2)))</f>
        <v/>
      </c>
    </row>
    <row r="541">
      <c r="A541" s="15">
        <f>Murid!A541</f>
        <v/>
      </c>
      <c r="B541" s="15">
        <f>IF(Murid!B541="","",Murid!B541)</f>
        <v/>
      </c>
      <c r="C541" s="16">
        <f>IF(Murid!C541="","",Murid!C541)</f>
        <v/>
      </c>
      <c r="D541" s="15">
        <f>IF(Murid!E541="","",Murid!E541)</f>
        <v/>
      </c>
      <c r="E541" s="11" t="n"/>
      <c r="F541" s="11" t="n"/>
      <c r="G541" s="10">
        <f>IF(F541="","",IFERROR(VLOOKUP(F541,T_JKP,2,FALSE),0))</f>
        <v/>
      </c>
      <c r="H541" s="11" t="n"/>
      <c r="I541" s="17">
        <f>IF(H541="","",IF(H541&gt;=12,40,ROUND(H541*3.33,2)))</f>
        <v/>
      </c>
      <c r="J541" s="11" t="n"/>
      <c r="K541" s="11" t="n"/>
      <c r="L541" s="11" t="n"/>
      <c r="M541" s="11" t="n"/>
      <c r="N541" s="10">
        <f>IF(COUNTA(J541:M541)=0,"",MIN(10,SUMPRODUCT((COUNTIF(J541:M541,L_KOM)&gt;0)*S_KOM)))</f>
        <v/>
      </c>
      <c r="O541" s="11" t="n"/>
      <c r="P541" s="10">
        <f>IF(O541="","",IFERROR(VLOOKUP(O541,T_KHID,2,FALSE),0))</f>
        <v/>
      </c>
      <c r="Q541" s="11" t="n"/>
      <c r="R541" s="11" t="n"/>
      <c r="S541" s="10">
        <f>IF(AND(Q541="",R541=""),"",IFERROR(INDEX(T_LIBAT,MATCH(Q541,L_PER,0),MATCH(R541,L_JENIS,0)),0))</f>
        <v/>
      </c>
      <c r="T541" s="11" t="n"/>
      <c r="U541" s="11" t="n"/>
      <c r="V541" s="10">
        <f>IF(AND(T541="",U541=""),"",IFERROR(INDEX(T_CAPAI,MATCH(T541,L_PER,0),MATCH(U541,L_KED,0)),0))</f>
        <v/>
      </c>
      <c r="W541" s="17">
        <f>IF(OR(B541="",E541="",COUNTA(F541,H541,J541:M541,O541,Q541:R541,T541:U541)=0),"",SUM(G541,I541,N541,P541,S541,V541))</f>
        <v/>
      </c>
      <c r="X541" s="18">
        <f>IF(W541="","",IF(Murid!F541="TL","TL",ROUND(W541/110*100,2)))</f>
        <v/>
      </c>
    </row>
    <row r="542">
      <c r="A542" s="15">
        <f>Murid!A542</f>
        <v/>
      </c>
      <c r="B542" s="15">
        <f>IF(Murid!B542="","",Murid!B542)</f>
        <v/>
      </c>
      <c r="C542" s="16">
        <f>IF(Murid!C542="","",Murid!C542)</f>
        <v/>
      </c>
      <c r="D542" s="15">
        <f>IF(Murid!E542="","",Murid!E542)</f>
        <v/>
      </c>
      <c r="E542" s="11" t="n"/>
      <c r="F542" s="11" t="n"/>
      <c r="G542" s="10">
        <f>IF(F542="","",IFERROR(VLOOKUP(F542,T_JKP,2,FALSE),0))</f>
        <v/>
      </c>
      <c r="H542" s="11" t="n"/>
      <c r="I542" s="17">
        <f>IF(H542="","",IF(H542&gt;=12,40,ROUND(H542*3.33,2)))</f>
        <v/>
      </c>
      <c r="J542" s="11" t="n"/>
      <c r="K542" s="11" t="n"/>
      <c r="L542" s="11" t="n"/>
      <c r="M542" s="11" t="n"/>
      <c r="N542" s="10">
        <f>IF(COUNTA(J542:M542)=0,"",MIN(10,SUMPRODUCT((COUNTIF(J542:M542,L_KOM)&gt;0)*S_KOM)))</f>
        <v/>
      </c>
      <c r="O542" s="11" t="n"/>
      <c r="P542" s="10">
        <f>IF(O542="","",IFERROR(VLOOKUP(O542,T_KHID,2,FALSE),0))</f>
        <v/>
      </c>
      <c r="Q542" s="11" t="n"/>
      <c r="R542" s="11" t="n"/>
      <c r="S542" s="10">
        <f>IF(AND(Q542="",R542=""),"",IFERROR(INDEX(T_LIBAT,MATCH(Q542,L_PER,0),MATCH(R542,L_JENIS,0)),0))</f>
        <v/>
      </c>
      <c r="T542" s="11" t="n"/>
      <c r="U542" s="11" t="n"/>
      <c r="V542" s="10">
        <f>IF(AND(T542="",U542=""),"",IFERROR(INDEX(T_CAPAI,MATCH(T542,L_PER,0),MATCH(U542,L_KED,0)),0))</f>
        <v/>
      </c>
      <c r="W542" s="17">
        <f>IF(OR(B542="",E542="",COUNTA(F542,H542,J542:M542,O542,Q542:R542,T542:U542)=0),"",SUM(G542,I542,N542,P542,S542,V542))</f>
        <v/>
      </c>
      <c r="X542" s="18">
        <f>IF(W542="","",IF(Murid!F542="TL","TL",ROUND(W542/110*100,2)))</f>
        <v/>
      </c>
    </row>
    <row r="543">
      <c r="A543" s="15">
        <f>Murid!A543</f>
        <v/>
      </c>
      <c r="B543" s="15">
        <f>IF(Murid!B543="","",Murid!B543)</f>
        <v/>
      </c>
      <c r="C543" s="16">
        <f>IF(Murid!C543="","",Murid!C543)</f>
        <v/>
      </c>
      <c r="D543" s="15">
        <f>IF(Murid!E543="","",Murid!E543)</f>
        <v/>
      </c>
      <c r="E543" s="11" t="n"/>
      <c r="F543" s="11" t="n"/>
      <c r="G543" s="10">
        <f>IF(F543="","",IFERROR(VLOOKUP(F543,T_JKP,2,FALSE),0))</f>
        <v/>
      </c>
      <c r="H543" s="11" t="n"/>
      <c r="I543" s="17">
        <f>IF(H543="","",IF(H543&gt;=12,40,ROUND(H543*3.33,2)))</f>
        <v/>
      </c>
      <c r="J543" s="11" t="n"/>
      <c r="K543" s="11" t="n"/>
      <c r="L543" s="11" t="n"/>
      <c r="M543" s="11" t="n"/>
      <c r="N543" s="10">
        <f>IF(COUNTA(J543:M543)=0,"",MIN(10,SUMPRODUCT((COUNTIF(J543:M543,L_KOM)&gt;0)*S_KOM)))</f>
        <v/>
      </c>
      <c r="O543" s="11" t="n"/>
      <c r="P543" s="10">
        <f>IF(O543="","",IFERROR(VLOOKUP(O543,T_KHID,2,FALSE),0))</f>
        <v/>
      </c>
      <c r="Q543" s="11" t="n"/>
      <c r="R543" s="11" t="n"/>
      <c r="S543" s="10">
        <f>IF(AND(Q543="",R543=""),"",IFERROR(INDEX(T_LIBAT,MATCH(Q543,L_PER,0),MATCH(R543,L_JENIS,0)),0))</f>
        <v/>
      </c>
      <c r="T543" s="11" t="n"/>
      <c r="U543" s="11" t="n"/>
      <c r="V543" s="10">
        <f>IF(AND(T543="",U543=""),"",IFERROR(INDEX(T_CAPAI,MATCH(T543,L_PER,0),MATCH(U543,L_KED,0)),0))</f>
        <v/>
      </c>
      <c r="W543" s="17">
        <f>IF(OR(B543="",E543="",COUNTA(F543,H543,J543:M543,O543,Q543:R543,T543:U543)=0),"",SUM(G543,I543,N543,P543,S543,V543))</f>
        <v/>
      </c>
      <c r="X543" s="18">
        <f>IF(W543="","",IF(Murid!F543="TL","TL",ROUND(W543/110*100,2)))</f>
        <v/>
      </c>
    </row>
    <row r="544">
      <c r="A544" s="15">
        <f>Murid!A544</f>
        <v/>
      </c>
      <c r="B544" s="15">
        <f>IF(Murid!B544="","",Murid!B544)</f>
        <v/>
      </c>
      <c r="C544" s="16">
        <f>IF(Murid!C544="","",Murid!C544)</f>
        <v/>
      </c>
      <c r="D544" s="15">
        <f>IF(Murid!E544="","",Murid!E544)</f>
        <v/>
      </c>
      <c r="E544" s="11" t="n"/>
      <c r="F544" s="11" t="n"/>
      <c r="G544" s="10">
        <f>IF(F544="","",IFERROR(VLOOKUP(F544,T_JKP,2,FALSE),0))</f>
        <v/>
      </c>
      <c r="H544" s="11" t="n"/>
      <c r="I544" s="17">
        <f>IF(H544="","",IF(H544&gt;=12,40,ROUND(H544*3.33,2)))</f>
        <v/>
      </c>
      <c r="J544" s="11" t="n"/>
      <c r="K544" s="11" t="n"/>
      <c r="L544" s="11" t="n"/>
      <c r="M544" s="11" t="n"/>
      <c r="N544" s="10">
        <f>IF(COUNTA(J544:M544)=0,"",MIN(10,SUMPRODUCT((COUNTIF(J544:M544,L_KOM)&gt;0)*S_KOM)))</f>
        <v/>
      </c>
      <c r="O544" s="11" t="n"/>
      <c r="P544" s="10">
        <f>IF(O544="","",IFERROR(VLOOKUP(O544,T_KHID,2,FALSE),0))</f>
        <v/>
      </c>
      <c r="Q544" s="11" t="n"/>
      <c r="R544" s="11" t="n"/>
      <c r="S544" s="10">
        <f>IF(AND(Q544="",R544=""),"",IFERROR(INDEX(T_LIBAT,MATCH(Q544,L_PER,0),MATCH(R544,L_JENIS,0)),0))</f>
        <v/>
      </c>
      <c r="T544" s="11" t="n"/>
      <c r="U544" s="11" t="n"/>
      <c r="V544" s="10">
        <f>IF(AND(T544="",U544=""),"",IFERROR(INDEX(T_CAPAI,MATCH(T544,L_PER,0),MATCH(U544,L_KED,0)),0))</f>
        <v/>
      </c>
      <c r="W544" s="17">
        <f>IF(OR(B544="",E544="",COUNTA(F544,H544,J544:M544,O544,Q544:R544,T544:U544)=0),"",SUM(G544,I544,N544,P544,S544,V544))</f>
        <v/>
      </c>
      <c r="X544" s="18">
        <f>IF(W544="","",IF(Murid!F544="TL","TL",ROUND(W544/110*100,2)))</f>
        <v/>
      </c>
    </row>
    <row r="545">
      <c r="A545" s="15">
        <f>Murid!A545</f>
        <v/>
      </c>
      <c r="B545" s="15">
        <f>IF(Murid!B545="","",Murid!B545)</f>
        <v/>
      </c>
      <c r="C545" s="16">
        <f>IF(Murid!C545="","",Murid!C545)</f>
        <v/>
      </c>
      <c r="D545" s="15">
        <f>IF(Murid!E545="","",Murid!E545)</f>
        <v/>
      </c>
      <c r="E545" s="11" t="n"/>
      <c r="F545" s="11" t="n"/>
      <c r="G545" s="10">
        <f>IF(F545="","",IFERROR(VLOOKUP(F545,T_JKP,2,FALSE),0))</f>
        <v/>
      </c>
      <c r="H545" s="11" t="n"/>
      <c r="I545" s="17">
        <f>IF(H545="","",IF(H545&gt;=12,40,ROUND(H545*3.33,2)))</f>
        <v/>
      </c>
      <c r="J545" s="11" t="n"/>
      <c r="K545" s="11" t="n"/>
      <c r="L545" s="11" t="n"/>
      <c r="M545" s="11" t="n"/>
      <c r="N545" s="10">
        <f>IF(COUNTA(J545:M545)=0,"",MIN(10,SUMPRODUCT((COUNTIF(J545:M545,L_KOM)&gt;0)*S_KOM)))</f>
        <v/>
      </c>
      <c r="O545" s="11" t="n"/>
      <c r="P545" s="10">
        <f>IF(O545="","",IFERROR(VLOOKUP(O545,T_KHID,2,FALSE),0))</f>
        <v/>
      </c>
      <c r="Q545" s="11" t="n"/>
      <c r="R545" s="11" t="n"/>
      <c r="S545" s="10">
        <f>IF(AND(Q545="",R545=""),"",IFERROR(INDEX(T_LIBAT,MATCH(Q545,L_PER,0),MATCH(R545,L_JENIS,0)),0))</f>
        <v/>
      </c>
      <c r="T545" s="11" t="n"/>
      <c r="U545" s="11" t="n"/>
      <c r="V545" s="10">
        <f>IF(AND(T545="",U545=""),"",IFERROR(INDEX(T_CAPAI,MATCH(T545,L_PER,0),MATCH(U545,L_KED,0)),0))</f>
        <v/>
      </c>
      <c r="W545" s="17">
        <f>IF(OR(B545="",E545="",COUNTA(F545,H545,J545:M545,O545,Q545:R545,T545:U545)=0),"",SUM(G545,I545,N545,P545,S545,V545))</f>
        <v/>
      </c>
      <c r="X545" s="18">
        <f>IF(W545="","",IF(Murid!F545="TL","TL",ROUND(W545/110*100,2)))</f>
        <v/>
      </c>
    </row>
    <row r="546">
      <c r="A546" s="15">
        <f>Murid!A546</f>
        <v/>
      </c>
      <c r="B546" s="15">
        <f>IF(Murid!B546="","",Murid!B546)</f>
        <v/>
      </c>
      <c r="C546" s="16">
        <f>IF(Murid!C546="","",Murid!C546)</f>
        <v/>
      </c>
      <c r="D546" s="15">
        <f>IF(Murid!E546="","",Murid!E546)</f>
        <v/>
      </c>
      <c r="E546" s="11" t="n"/>
      <c r="F546" s="11" t="n"/>
      <c r="G546" s="10">
        <f>IF(F546="","",IFERROR(VLOOKUP(F546,T_JKP,2,FALSE),0))</f>
        <v/>
      </c>
      <c r="H546" s="11" t="n"/>
      <c r="I546" s="17">
        <f>IF(H546="","",IF(H546&gt;=12,40,ROUND(H546*3.33,2)))</f>
        <v/>
      </c>
      <c r="J546" s="11" t="n"/>
      <c r="K546" s="11" t="n"/>
      <c r="L546" s="11" t="n"/>
      <c r="M546" s="11" t="n"/>
      <c r="N546" s="10">
        <f>IF(COUNTA(J546:M546)=0,"",MIN(10,SUMPRODUCT((COUNTIF(J546:M546,L_KOM)&gt;0)*S_KOM)))</f>
        <v/>
      </c>
      <c r="O546" s="11" t="n"/>
      <c r="P546" s="10">
        <f>IF(O546="","",IFERROR(VLOOKUP(O546,T_KHID,2,FALSE),0))</f>
        <v/>
      </c>
      <c r="Q546" s="11" t="n"/>
      <c r="R546" s="11" t="n"/>
      <c r="S546" s="10">
        <f>IF(AND(Q546="",R546=""),"",IFERROR(INDEX(T_LIBAT,MATCH(Q546,L_PER,0),MATCH(R546,L_JENIS,0)),0))</f>
        <v/>
      </c>
      <c r="T546" s="11" t="n"/>
      <c r="U546" s="11" t="n"/>
      <c r="V546" s="10">
        <f>IF(AND(T546="",U546=""),"",IFERROR(INDEX(T_CAPAI,MATCH(T546,L_PER,0),MATCH(U546,L_KED,0)),0))</f>
        <v/>
      </c>
      <c r="W546" s="17">
        <f>IF(OR(B546="",E546="",COUNTA(F546,H546,J546:M546,O546,Q546:R546,T546:U546)=0),"",SUM(G546,I546,N546,P546,S546,V546))</f>
        <v/>
      </c>
      <c r="X546" s="18">
        <f>IF(W546="","",IF(Murid!F546="TL","TL",ROUND(W546/110*100,2)))</f>
        <v/>
      </c>
    </row>
    <row r="547">
      <c r="A547" s="15">
        <f>Murid!A547</f>
        <v/>
      </c>
      <c r="B547" s="15">
        <f>IF(Murid!B547="","",Murid!B547)</f>
        <v/>
      </c>
      <c r="C547" s="16">
        <f>IF(Murid!C547="","",Murid!C547)</f>
        <v/>
      </c>
      <c r="D547" s="15">
        <f>IF(Murid!E547="","",Murid!E547)</f>
        <v/>
      </c>
      <c r="E547" s="11" t="n"/>
      <c r="F547" s="11" t="n"/>
      <c r="G547" s="10">
        <f>IF(F547="","",IFERROR(VLOOKUP(F547,T_JKP,2,FALSE),0))</f>
        <v/>
      </c>
      <c r="H547" s="11" t="n"/>
      <c r="I547" s="17">
        <f>IF(H547="","",IF(H547&gt;=12,40,ROUND(H547*3.33,2)))</f>
        <v/>
      </c>
      <c r="J547" s="11" t="n"/>
      <c r="K547" s="11" t="n"/>
      <c r="L547" s="11" t="n"/>
      <c r="M547" s="11" t="n"/>
      <c r="N547" s="10">
        <f>IF(COUNTA(J547:M547)=0,"",MIN(10,SUMPRODUCT((COUNTIF(J547:M547,L_KOM)&gt;0)*S_KOM)))</f>
        <v/>
      </c>
      <c r="O547" s="11" t="n"/>
      <c r="P547" s="10">
        <f>IF(O547="","",IFERROR(VLOOKUP(O547,T_KHID,2,FALSE),0))</f>
        <v/>
      </c>
      <c r="Q547" s="11" t="n"/>
      <c r="R547" s="11" t="n"/>
      <c r="S547" s="10">
        <f>IF(AND(Q547="",R547=""),"",IFERROR(INDEX(T_LIBAT,MATCH(Q547,L_PER,0),MATCH(R547,L_JENIS,0)),0))</f>
        <v/>
      </c>
      <c r="T547" s="11" t="n"/>
      <c r="U547" s="11" t="n"/>
      <c r="V547" s="10">
        <f>IF(AND(T547="",U547=""),"",IFERROR(INDEX(T_CAPAI,MATCH(T547,L_PER,0),MATCH(U547,L_KED,0)),0))</f>
        <v/>
      </c>
      <c r="W547" s="17">
        <f>IF(OR(B547="",E547="",COUNTA(F547,H547,J547:M547,O547,Q547:R547,T547:U547)=0),"",SUM(G547,I547,N547,P547,S547,V547))</f>
        <v/>
      </c>
      <c r="X547" s="18">
        <f>IF(W547="","",IF(Murid!F547="TL","TL",ROUND(W547/110*100,2)))</f>
        <v/>
      </c>
    </row>
    <row r="548">
      <c r="A548" s="15">
        <f>Murid!A548</f>
        <v/>
      </c>
      <c r="B548" s="15">
        <f>IF(Murid!B548="","",Murid!B548)</f>
        <v/>
      </c>
      <c r="C548" s="16">
        <f>IF(Murid!C548="","",Murid!C548)</f>
        <v/>
      </c>
      <c r="D548" s="15">
        <f>IF(Murid!E548="","",Murid!E548)</f>
        <v/>
      </c>
      <c r="E548" s="11" t="n"/>
      <c r="F548" s="11" t="n"/>
      <c r="G548" s="10">
        <f>IF(F548="","",IFERROR(VLOOKUP(F548,T_JKP,2,FALSE),0))</f>
        <v/>
      </c>
      <c r="H548" s="11" t="n"/>
      <c r="I548" s="17">
        <f>IF(H548="","",IF(H548&gt;=12,40,ROUND(H548*3.33,2)))</f>
        <v/>
      </c>
      <c r="J548" s="11" t="n"/>
      <c r="K548" s="11" t="n"/>
      <c r="L548" s="11" t="n"/>
      <c r="M548" s="11" t="n"/>
      <c r="N548" s="10">
        <f>IF(COUNTA(J548:M548)=0,"",MIN(10,SUMPRODUCT((COUNTIF(J548:M548,L_KOM)&gt;0)*S_KOM)))</f>
        <v/>
      </c>
      <c r="O548" s="11" t="n"/>
      <c r="P548" s="10">
        <f>IF(O548="","",IFERROR(VLOOKUP(O548,T_KHID,2,FALSE),0))</f>
        <v/>
      </c>
      <c r="Q548" s="11" t="n"/>
      <c r="R548" s="11" t="n"/>
      <c r="S548" s="10">
        <f>IF(AND(Q548="",R548=""),"",IFERROR(INDEX(T_LIBAT,MATCH(Q548,L_PER,0),MATCH(R548,L_JENIS,0)),0))</f>
        <v/>
      </c>
      <c r="T548" s="11" t="n"/>
      <c r="U548" s="11" t="n"/>
      <c r="V548" s="10">
        <f>IF(AND(T548="",U548=""),"",IFERROR(INDEX(T_CAPAI,MATCH(T548,L_PER,0),MATCH(U548,L_KED,0)),0))</f>
        <v/>
      </c>
      <c r="W548" s="17">
        <f>IF(OR(B548="",E548="",COUNTA(F548,H548,J548:M548,O548,Q548:R548,T548:U548)=0),"",SUM(G548,I548,N548,P548,S548,V548))</f>
        <v/>
      </c>
      <c r="X548" s="18">
        <f>IF(W548="","",IF(Murid!F548="TL","TL",ROUND(W548/110*100,2)))</f>
        <v/>
      </c>
    </row>
    <row r="549">
      <c r="A549" s="15">
        <f>Murid!A549</f>
        <v/>
      </c>
      <c r="B549" s="15">
        <f>IF(Murid!B549="","",Murid!B549)</f>
        <v/>
      </c>
      <c r="C549" s="16">
        <f>IF(Murid!C549="","",Murid!C549)</f>
        <v/>
      </c>
      <c r="D549" s="15">
        <f>IF(Murid!E549="","",Murid!E549)</f>
        <v/>
      </c>
      <c r="E549" s="11" t="n"/>
      <c r="F549" s="11" t="n"/>
      <c r="G549" s="10">
        <f>IF(F549="","",IFERROR(VLOOKUP(F549,T_JKP,2,FALSE),0))</f>
        <v/>
      </c>
      <c r="H549" s="11" t="n"/>
      <c r="I549" s="17">
        <f>IF(H549="","",IF(H549&gt;=12,40,ROUND(H549*3.33,2)))</f>
        <v/>
      </c>
      <c r="J549" s="11" t="n"/>
      <c r="K549" s="11" t="n"/>
      <c r="L549" s="11" t="n"/>
      <c r="M549" s="11" t="n"/>
      <c r="N549" s="10">
        <f>IF(COUNTA(J549:M549)=0,"",MIN(10,SUMPRODUCT((COUNTIF(J549:M549,L_KOM)&gt;0)*S_KOM)))</f>
        <v/>
      </c>
      <c r="O549" s="11" t="n"/>
      <c r="P549" s="10">
        <f>IF(O549="","",IFERROR(VLOOKUP(O549,T_KHID,2,FALSE),0))</f>
        <v/>
      </c>
      <c r="Q549" s="11" t="n"/>
      <c r="R549" s="11" t="n"/>
      <c r="S549" s="10">
        <f>IF(AND(Q549="",R549=""),"",IFERROR(INDEX(T_LIBAT,MATCH(Q549,L_PER,0),MATCH(R549,L_JENIS,0)),0))</f>
        <v/>
      </c>
      <c r="T549" s="11" t="n"/>
      <c r="U549" s="11" t="n"/>
      <c r="V549" s="10">
        <f>IF(AND(T549="",U549=""),"",IFERROR(INDEX(T_CAPAI,MATCH(T549,L_PER,0),MATCH(U549,L_KED,0)),0))</f>
        <v/>
      </c>
      <c r="W549" s="17">
        <f>IF(OR(B549="",E549="",COUNTA(F549,H549,J549:M549,O549,Q549:R549,T549:U549)=0),"",SUM(G549,I549,N549,P549,S549,V549))</f>
        <v/>
      </c>
      <c r="X549" s="18">
        <f>IF(W549="","",IF(Murid!F549="TL","TL",ROUND(W549/110*100,2)))</f>
        <v/>
      </c>
    </row>
    <row r="550">
      <c r="A550" s="15">
        <f>Murid!A550</f>
        <v/>
      </c>
      <c r="B550" s="15">
        <f>IF(Murid!B550="","",Murid!B550)</f>
        <v/>
      </c>
      <c r="C550" s="16">
        <f>IF(Murid!C550="","",Murid!C550)</f>
        <v/>
      </c>
      <c r="D550" s="15">
        <f>IF(Murid!E550="","",Murid!E550)</f>
        <v/>
      </c>
      <c r="E550" s="11" t="n"/>
      <c r="F550" s="11" t="n"/>
      <c r="G550" s="10">
        <f>IF(F550="","",IFERROR(VLOOKUP(F550,T_JKP,2,FALSE),0))</f>
        <v/>
      </c>
      <c r="H550" s="11" t="n"/>
      <c r="I550" s="17">
        <f>IF(H550="","",IF(H550&gt;=12,40,ROUND(H550*3.33,2)))</f>
        <v/>
      </c>
      <c r="J550" s="11" t="n"/>
      <c r="K550" s="11" t="n"/>
      <c r="L550" s="11" t="n"/>
      <c r="M550" s="11" t="n"/>
      <c r="N550" s="10">
        <f>IF(COUNTA(J550:M550)=0,"",MIN(10,SUMPRODUCT((COUNTIF(J550:M550,L_KOM)&gt;0)*S_KOM)))</f>
        <v/>
      </c>
      <c r="O550" s="11" t="n"/>
      <c r="P550" s="10">
        <f>IF(O550="","",IFERROR(VLOOKUP(O550,T_KHID,2,FALSE),0))</f>
        <v/>
      </c>
      <c r="Q550" s="11" t="n"/>
      <c r="R550" s="11" t="n"/>
      <c r="S550" s="10">
        <f>IF(AND(Q550="",R550=""),"",IFERROR(INDEX(T_LIBAT,MATCH(Q550,L_PER,0),MATCH(R550,L_JENIS,0)),0))</f>
        <v/>
      </c>
      <c r="T550" s="11" t="n"/>
      <c r="U550" s="11" t="n"/>
      <c r="V550" s="10">
        <f>IF(AND(T550="",U550=""),"",IFERROR(INDEX(T_CAPAI,MATCH(T550,L_PER,0),MATCH(U550,L_KED,0)),0))</f>
        <v/>
      </c>
      <c r="W550" s="17">
        <f>IF(OR(B550="",E550="",COUNTA(F550,H550,J550:M550,O550,Q550:R550,T550:U550)=0),"",SUM(G550,I550,N550,P550,S550,V550))</f>
        <v/>
      </c>
      <c r="X550" s="18">
        <f>IF(W550="","",IF(Murid!F550="TL","TL",ROUND(W550/110*100,2)))</f>
        <v/>
      </c>
    </row>
    <row r="551">
      <c r="A551" s="15">
        <f>Murid!A551</f>
        <v/>
      </c>
      <c r="B551" s="15">
        <f>IF(Murid!B551="","",Murid!B551)</f>
        <v/>
      </c>
      <c r="C551" s="16">
        <f>IF(Murid!C551="","",Murid!C551)</f>
        <v/>
      </c>
      <c r="D551" s="15">
        <f>IF(Murid!E551="","",Murid!E551)</f>
        <v/>
      </c>
      <c r="E551" s="11" t="n"/>
      <c r="F551" s="11" t="n"/>
      <c r="G551" s="10">
        <f>IF(F551="","",IFERROR(VLOOKUP(F551,T_JKP,2,FALSE),0))</f>
        <v/>
      </c>
      <c r="H551" s="11" t="n"/>
      <c r="I551" s="17">
        <f>IF(H551="","",IF(H551&gt;=12,40,ROUND(H551*3.33,2)))</f>
        <v/>
      </c>
      <c r="J551" s="11" t="n"/>
      <c r="K551" s="11" t="n"/>
      <c r="L551" s="11" t="n"/>
      <c r="M551" s="11" t="n"/>
      <c r="N551" s="10">
        <f>IF(COUNTA(J551:M551)=0,"",MIN(10,SUMPRODUCT((COUNTIF(J551:M551,L_KOM)&gt;0)*S_KOM)))</f>
        <v/>
      </c>
      <c r="O551" s="11" t="n"/>
      <c r="P551" s="10">
        <f>IF(O551="","",IFERROR(VLOOKUP(O551,T_KHID,2,FALSE),0))</f>
        <v/>
      </c>
      <c r="Q551" s="11" t="n"/>
      <c r="R551" s="11" t="n"/>
      <c r="S551" s="10">
        <f>IF(AND(Q551="",R551=""),"",IFERROR(INDEX(T_LIBAT,MATCH(Q551,L_PER,0),MATCH(R551,L_JENIS,0)),0))</f>
        <v/>
      </c>
      <c r="T551" s="11" t="n"/>
      <c r="U551" s="11" t="n"/>
      <c r="V551" s="10">
        <f>IF(AND(T551="",U551=""),"",IFERROR(INDEX(T_CAPAI,MATCH(T551,L_PER,0),MATCH(U551,L_KED,0)),0))</f>
        <v/>
      </c>
      <c r="W551" s="17">
        <f>IF(OR(B551="",E551="",COUNTA(F551,H551,J551:M551,O551,Q551:R551,T551:U551)=0),"",SUM(G551,I551,N551,P551,S551,V551))</f>
        <v/>
      </c>
      <c r="X551" s="18">
        <f>IF(W551="","",IF(Murid!F551="TL","TL",ROUND(W551/110*100,2)))</f>
        <v/>
      </c>
    </row>
    <row r="552">
      <c r="A552" s="15">
        <f>Murid!A552</f>
        <v/>
      </c>
      <c r="B552" s="15">
        <f>IF(Murid!B552="","",Murid!B552)</f>
        <v/>
      </c>
      <c r="C552" s="16">
        <f>IF(Murid!C552="","",Murid!C552)</f>
        <v/>
      </c>
      <c r="D552" s="15">
        <f>IF(Murid!E552="","",Murid!E552)</f>
        <v/>
      </c>
      <c r="E552" s="11" t="n"/>
      <c r="F552" s="11" t="n"/>
      <c r="G552" s="10">
        <f>IF(F552="","",IFERROR(VLOOKUP(F552,T_JKP,2,FALSE),0))</f>
        <v/>
      </c>
      <c r="H552" s="11" t="n"/>
      <c r="I552" s="17">
        <f>IF(H552="","",IF(H552&gt;=12,40,ROUND(H552*3.33,2)))</f>
        <v/>
      </c>
      <c r="J552" s="11" t="n"/>
      <c r="K552" s="11" t="n"/>
      <c r="L552" s="11" t="n"/>
      <c r="M552" s="11" t="n"/>
      <c r="N552" s="10">
        <f>IF(COUNTA(J552:M552)=0,"",MIN(10,SUMPRODUCT((COUNTIF(J552:M552,L_KOM)&gt;0)*S_KOM)))</f>
        <v/>
      </c>
      <c r="O552" s="11" t="n"/>
      <c r="P552" s="10">
        <f>IF(O552="","",IFERROR(VLOOKUP(O552,T_KHID,2,FALSE),0))</f>
        <v/>
      </c>
      <c r="Q552" s="11" t="n"/>
      <c r="R552" s="11" t="n"/>
      <c r="S552" s="10">
        <f>IF(AND(Q552="",R552=""),"",IFERROR(INDEX(T_LIBAT,MATCH(Q552,L_PER,0),MATCH(R552,L_JENIS,0)),0))</f>
        <v/>
      </c>
      <c r="T552" s="11" t="n"/>
      <c r="U552" s="11" t="n"/>
      <c r="V552" s="10">
        <f>IF(AND(T552="",U552=""),"",IFERROR(INDEX(T_CAPAI,MATCH(T552,L_PER,0),MATCH(U552,L_KED,0)),0))</f>
        <v/>
      </c>
      <c r="W552" s="17">
        <f>IF(OR(B552="",E552="",COUNTA(F552,H552,J552:M552,O552,Q552:R552,T552:U552)=0),"",SUM(G552,I552,N552,P552,S552,V552))</f>
        <v/>
      </c>
      <c r="X552" s="18">
        <f>IF(W552="","",IF(Murid!F552="TL","TL",ROUND(W552/110*100,2)))</f>
        <v/>
      </c>
    </row>
    <row r="553">
      <c r="A553" s="15">
        <f>Murid!A553</f>
        <v/>
      </c>
      <c r="B553" s="15">
        <f>IF(Murid!B553="","",Murid!B553)</f>
        <v/>
      </c>
      <c r="C553" s="16">
        <f>IF(Murid!C553="","",Murid!C553)</f>
        <v/>
      </c>
      <c r="D553" s="15">
        <f>IF(Murid!E553="","",Murid!E553)</f>
        <v/>
      </c>
      <c r="E553" s="11" t="n"/>
      <c r="F553" s="11" t="n"/>
      <c r="G553" s="10">
        <f>IF(F553="","",IFERROR(VLOOKUP(F553,T_JKP,2,FALSE),0))</f>
        <v/>
      </c>
      <c r="H553" s="11" t="n"/>
      <c r="I553" s="17">
        <f>IF(H553="","",IF(H553&gt;=12,40,ROUND(H553*3.33,2)))</f>
        <v/>
      </c>
      <c r="J553" s="11" t="n"/>
      <c r="K553" s="11" t="n"/>
      <c r="L553" s="11" t="n"/>
      <c r="M553" s="11" t="n"/>
      <c r="N553" s="10">
        <f>IF(COUNTA(J553:M553)=0,"",MIN(10,SUMPRODUCT((COUNTIF(J553:M553,L_KOM)&gt;0)*S_KOM)))</f>
        <v/>
      </c>
      <c r="O553" s="11" t="n"/>
      <c r="P553" s="10">
        <f>IF(O553="","",IFERROR(VLOOKUP(O553,T_KHID,2,FALSE),0))</f>
        <v/>
      </c>
      <c r="Q553" s="11" t="n"/>
      <c r="R553" s="11" t="n"/>
      <c r="S553" s="10">
        <f>IF(AND(Q553="",R553=""),"",IFERROR(INDEX(T_LIBAT,MATCH(Q553,L_PER,0),MATCH(R553,L_JENIS,0)),0))</f>
        <v/>
      </c>
      <c r="T553" s="11" t="n"/>
      <c r="U553" s="11" t="n"/>
      <c r="V553" s="10">
        <f>IF(AND(T553="",U553=""),"",IFERROR(INDEX(T_CAPAI,MATCH(T553,L_PER,0),MATCH(U553,L_KED,0)),0))</f>
        <v/>
      </c>
      <c r="W553" s="17">
        <f>IF(OR(B553="",E553="",COUNTA(F553,H553,J553:M553,O553,Q553:R553,T553:U553)=0),"",SUM(G553,I553,N553,P553,S553,V553))</f>
        <v/>
      </c>
      <c r="X553" s="18">
        <f>IF(W553="","",IF(Murid!F553="TL","TL",ROUND(W553/110*100,2)))</f>
        <v/>
      </c>
    </row>
    <row r="554">
      <c r="A554" s="15">
        <f>Murid!A554</f>
        <v/>
      </c>
      <c r="B554" s="15">
        <f>IF(Murid!B554="","",Murid!B554)</f>
        <v/>
      </c>
      <c r="C554" s="16">
        <f>IF(Murid!C554="","",Murid!C554)</f>
        <v/>
      </c>
      <c r="D554" s="15">
        <f>IF(Murid!E554="","",Murid!E554)</f>
        <v/>
      </c>
      <c r="E554" s="11" t="n"/>
      <c r="F554" s="11" t="n"/>
      <c r="G554" s="10">
        <f>IF(F554="","",IFERROR(VLOOKUP(F554,T_JKP,2,FALSE),0))</f>
        <v/>
      </c>
      <c r="H554" s="11" t="n"/>
      <c r="I554" s="17">
        <f>IF(H554="","",IF(H554&gt;=12,40,ROUND(H554*3.33,2)))</f>
        <v/>
      </c>
      <c r="J554" s="11" t="n"/>
      <c r="K554" s="11" t="n"/>
      <c r="L554" s="11" t="n"/>
      <c r="M554" s="11" t="n"/>
      <c r="N554" s="10">
        <f>IF(COUNTA(J554:M554)=0,"",MIN(10,SUMPRODUCT((COUNTIF(J554:M554,L_KOM)&gt;0)*S_KOM)))</f>
        <v/>
      </c>
      <c r="O554" s="11" t="n"/>
      <c r="P554" s="10">
        <f>IF(O554="","",IFERROR(VLOOKUP(O554,T_KHID,2,FALSE),0))</f>
        <v/>
      </c>
      <c r="Q554" s="11" t="n"/>
      <c r="R554" s="11" t="n"/>
      <c r="S554" s="10">
        <f>IF(AND(Q554="",R554=""),"",IFERROR(INDEX(T_LIBAT,MATCH(Q554,L_PER,0),MATCH(R554,L_JENIS,0)),0))</f>
        <v/>
      </c>
      <c r="T554" s="11" t="n"/>
      <c r="U554" s="11" t="n"/>
      <c r="V554" s="10">
        <f>IF(AND(T554="",U554=""),"",IFERROR(INDEX(T_CAPAI,MATCH(T554,L_PER,0),MATCH(U554,L_KED,0)),0))</f>
        <v/>
      </c>
      <c r="W554" s="17">
        <f>IF(OR(B554="",E554="",COUNTA(F554,H554,J554:M554,O554,Q554:R554,T554:U554)=0),"",SUM(G554,I554,N554,P554,S554,V554))</f>
        <v/>
      </c>
      <c r="X554" s="18">
        <f>IF(W554="","",IF(Murid!F554="TL","TL",ROUND(W554/110*100,2)))</f>
        <v/>
      </c>
    </row>
    <row r="555">
      <c r="A555" s="15">
        <f>Murid!A555</f>
        <v/>
      </c>
      <c r="B555" s="15">
        <f>IF(Murid!B555="","",Murid!B555)</f>
        <v/>
      </c>
      <c r="C555" s="16">
        <f>IF(Murid!C555="","",Murid!C555)</f>
        <v/>
      </c>
      <c r="D555" s="15">
        <f>IF(Murid!E555="","",Murid!E555)</f>
        <v/>
      </c>
      <c r="E555" s="11" t="n"/>
      <c r="F555" s="11" t="n"/>
      <c r="G555" s="10">
        <f>IF(F555="","",IFERROR(VLOOKUP(F555,T_JKP,2,FALSE),0))</f>
        <v/>
      </c>
      <c r="H555" s="11" t="n"/>
      <c r="I555" s="17">
        <f>IF(H555="","",IF(H555&gt;=12,40,ROUND(H555*3.33,2)))</f>
        <v/>
      </c>
      <c r="J555" s="11" t="n"/>
      <c r="K555" s="11" t="n"/>
      <c r="L555" s="11" t="n"/>
      <c r="M555" s="11" t="n"/>
      <c r="N555" s="10">
        <f>IF(COUNTA(J555:M555)=0,"",MIN(10,SUMPRODUCT((COUNTIF(J555:M555,L_KOM)&gt;0)*S_KOM)))</f>
        <v/>
      </c>
      <c r="O555" s="11" t="n"/>
      <c r="P555" s="10">
        <f>IF(O555="","",IFERROR(VLOOKUP(O555,T_KHID,2,FALSE),0))</f>
        <v/>
      </c>
      <c r="Q555" s="11" t="n"/>
      <c r="R555" s="11" t="n"/>
      <c r="S555" s="10">
        <f>IF(AND(Q555="",R555=""),"",IFERROR(INDEX(T_LIBAT,MATCH(Q555,L_PER,0),MATCH(R555,L_JENIS,0)),0))</f>
        <v/>
      </c>
      <c r="T555" s="11" t="n"/>
      <c r="U555" s="11" t="n"/>
      <c r="V555" s="10">
        <f>IF(AND(T555="",U555=""),"",IFERROR(INDEX(T_CAPAI,MATCH(T555,L_PER,0),MATCH(U555,L_KED,0)),0))</f>
        <v/>
      </c>
      <c r="W555" s="17">
        <f>IF(OR(B555="",E555="",COUNTA(F555,H555,J555:M555,O555,Q555:R555,T555:U555)=0),"",SUM(G555,I555,N555,P555,S555,V555))</f>
        <v/>
      </c>
      <c r="X555" s="18">
        <f>IF(W555="","",IF(Murid!F555="TL","TL",ROUND(W555/110*100,2)))</f>
        <v/>
      </c>
    </row>
    <row r="556">
      <c r="A556" s="15">
        <f>Murid!A556</f>
        <v/>
      </c>
      <c r="B556" s="15">
        <f>IF(Murid!B556="","",Murid!B556)</f>
        <v/>
      </c>
      <c r="C556" s="16">
        <f>IF(Murid!C556="","",Murid!C556)</f>
        <v/>
      </c>
      <c r="D556" s="15">
        <f>IF(Murid!E556="","",Murid!E556)</f>
        <v/>
      </c>
      <c r="E556" s="11" t="n"/>
      <c r="F556" s="11" t="n"/>
      <c r="G556" s="10">
        <f>IF(F556="","",IFERROR(VLOOKUP(F556,T_JKP,2,FALSE),0))</f>
        <v/>
      </c>
      <c r="H556" s="11" t="n"/>
      <c r="I556" s="17">
        <f>IF(H556="","",IF(H556&gt;=12,40,ROUND(H556*3.33,2)))</f>
        <v/>
      </c>
      <c r="J556" s="11" t="n"/>
      <c r="K556" s="11" t="n"/>
      <c r="L556" s="11" t="n"/>
      <c r="M556" s="11" t="n"/>
      <c r="N556" s="10">
        <f>IF(COUNTA(J556:M556)=0,"",MIN(10,SUMPRODUCT((COUNTIF(J556:M556,L_KOM)&gt;0)*S_KOM)))</f>
        <v/>
      </c>
      <c r="O556" s="11" t="n"/>
      <c r="P556" s="10">
        <f>IF(O556="","",IFERROR(VLOOKUP(O556,T_KHID,2,FALSE),0))</f>
        <v/>
      </c>
      <c r="Q556" s="11" t="n"/>
      <c r="R556" s="11" t="n"/>
      <c r="S556" s="10">
        <f>IF(AND(Q556="",R556=""),"",IFERROR(INDEX(T_LIBAT,MATCH(Q556,L_PER,0),MATCH(R556,L_JENIS,0)),0))</f>
        <v/>
      </c>
      <c r="T556" s="11" t="n"/>
      <c r="U556" s="11" t="n"/>
      <c r="V556" s="10">
        <f>IF(AND(T556="",U556=""),"",IFERROR(INDEX(T_CAPAI,MATCH(T556,L_PER,0),MATCH(U556,L_KED,0)),0))</f>
        <v/>
      </c>
      <c r="W556" s="17">
        <f>IF(OR(B556="",E556="",COUNTA(F556,H556,J556:M556,O556,Q556:R556,T556:U556)=0),"",SUM(G556,I556,N556,P556,S556,V556))</f>
        <v/>
      </c>
      <c r="X556" s="18">
        <f>IF(W556="","",IF(Murid!F556="TL","TL",ROUND(W556/110*100,2)))</f>
        <v/>
      </c>
    </row>
    <row r="557">
      <c r="A557" s="15">
        <f>Murid!A557</f>
        <v/>
      </c>
      <c r="B557" s="15">
        <f>IF(Murid!B557="","",Murid!B557)</f>
        <v/>
      </c>
      <c r="C557" s="16">
        <f>IF(Murid!C557="","",Murid!C557)</f>
        <v/>
      </c>
      <c r="D557" s="15">
        <f>IF(Murid!E557="","",Murid!E557)</f>
        <v/>
      </c>
      <c r="E557" s="11" t="n"/>
      <c r="F557" s="11" t="n"/>
      <c r="G557" s="10">
        <f>IF(F557="","",IFERROR(VLOOKUP(F557,T_JKP,2,FALSE),0))</f>
        <v/>
      </c>
      <c r="H557" s="11" t="n"/>
      <c r="I557" s="17">
        <f>IF(H557="","",IF(H557&gt;=12,40,ROUND(H557*3.33,2)))</f>
        <v/>
      </c>
      <c r="J557" s="11" t="n"/>
      <c r="K557" s="11" t="n"/>
      <c r="L557" s="11" t="n"/>
      <c r="M557" s="11" t="n"/>
      <c r="N557" s="10">
        <f>IF(COUNTA(J557:M557)=0,"",MIN(10,SUMPRODUCT((COUNTIF(J557:M557,L_KOM)&gt;0)*S_KOM)))</f>
        <v/>
      </c>
      <c r="O557" s="11" t="n"/>
      <c r="P557" s="10">
        <f>IF(O557="","",IFERROR(VLOOKUP(O557,T_KHID,2,FALSE),0))</f>
        <v/>
      </c>
      <c r="Q557" s="11" t="n"/>
      <c r="R557" s="11" t="n"/>
      <c r="S557" s="10">
        <f>IF(AND(Q557="",R557=""),"",IFERROR(INDEX(T_LIBAT,MATCH(Q557,L_PER,0),MATCH(R557,L_JENIS,0)),0))</f>
        <v/>
      </c>
      <c r="T557" s="11" t="n"/>
      <c r="U557" s="11" t="n"/>
      <c r="V557" s="10">
        <f>IF(AND(T557="",U557=""),"",IFERROR(INDEX(T_CAPAI,MATCH(T557,L_PER,0),MATCH(U557,L_KED,0)),0))</f>
        <v/>
      </c>
      <c r="W557" s="17">
        <f>IF(OR(B557="",E557="",COUNTA(F557,H557,J557:M557,O557,Q557:R557,T557:U557)=0),"",SUM(G557,I557,N557,P557,S557,V557))</f>
        <v/>
      </c>
      <c r="X557" s="18">
        <f>IF(W557="","",IF(Murid!F557="TL","TL",ROUND(W557/110*100,2)))</f>
        <v/>
      </c>
    </row>
    <row r="558">
      <c r="A558" s="15">
        <f>Murid!A558</f>
        <v/>
      </c>
      <c r="B558" s="15">
        <f>IF(Murid!B558="","",Murid!B558)</f>
        <v/>
      </c>
      <c r="C558" s="16">
        <f>IF(Murid!C558="","",Murid!C558)</f>
        <v/>
      </c>
      <c r="D558" s="15">
        <f>IF(Murid!E558="","",Murid!E558)</f>
        <v/>
      </c>
      <c r="E558" s="11" t="n"/>
      <c r="F558" s="11" t="n"/>
      <c r="G558" s="10">
        <f>IF(F558="","",IFERROR(VLOOKUP(F558,T_JKP,2,FALSE),0))</f>
        <v/>
      </c>
      <c r="H558" s="11" t="n"/>
      <c r="I558" s="17">
        <f>IF(H558="","",IF(H558&gt;=12,40,ROUND(H558*3.33,2)))</f>
        <v/>
      </c>
      <c r="J558" s="11" t="n"/>
      <c r="K558" s="11" t="n"/>
      <c r="L558" s="11" t="n"/>
      <c r="M558" s="11" t="n"/>
      <c r="N558" s="10">
        <f>IF(COUNTA(J558:M558)=0,"",MIN(10,SUMPRODUCT((COUNTIF(J558:M558,L_KOM)&gt;0)*S_KOM)))</f>
        <v/>
      </c>
      <c r="O558" s="11" t="n"/>
      <c r="P558" s="10">
        <f>IF(O558="","",IFERROR(VLOOKUP(O558,T_KHID,2,FALSE),0))</f>
        <v/>
      </c>
      <c r="Q558" s="11" t="n"/>
      <c r="R558" s="11" t="n"/>
      <c r="S558" s="10">
        <f>IF(AND(Q558="",R558=""),"",IFERROR(INDEX(T_LIBAT,MATCH(Q558,L_PER,0),MATCH(R558,L_JENIS,0)),0))</f>
        <v/>
      </c>
      <c r="T558" s="11" t="n"/>
      <c r="U558" s="11" t="n"/>
      <c r="V558" s="10">
        <f>IF(AND(T558="",U558=""),"",IFERROR(INDEX(T_CAPAI,MATCH(T558,L_PER,0),MATCH(U558,L_KED,0)),0))</f>
        <v/>
      </c>
      <c r="W558" s="17">
        <f>IF(OR(B558="",E558="",COUNTA(F558,H558,J558:M558,O558,Q558:R558,T558:U558)=0),"",SUM(G558,I558,N558,P558,S558,V558))</f>
        <v/>
      </c>
      <c r="X558" s="18">
        <f>IF(W558="","",IF(Murid!F558="TL","TL",ROUND(W558/110*100,2)))</f>
        <v/>
      </c>
    </row>
    <row r="559">
      <c r="A559" s="15">
        <f>Murid!A559</f>
        <v/>
      </c>
      <c r="B559" s="15">
        <f>IF(Murid!B559="","",Murid!B559)</f>
        <v/>
      </c>
      <c r="C559" s="16">
        <f>IF(Murid!C559="","",Murid!C559)</f>
        <v/>
      </c>
      <c r="D559" s="15">
        <f>IF(Murid!E559="","",Murid!E559)</f>
        <v/>
      </c>
      <c r="E559" s="11" t="n"/>
      <c r="F559" s="11" t="n"/>
      <c r="G559" s="10">
        <f>IF(F559="","",IFERROR(VLOOKUP(F559,T_JKP,2,FALSE),0))</f>
        <v/>
      </c>
      <c r="H559" s="11" t="n"/>
      <c r="I559" s="17">
        <f>IF(H559="","",IF(H559&gt;=12,40,ROUND(H559*3.33,2)))</f>
        <v/>
      </c>
      <c r="J559" s="11" t="n"/>
      <c r="K559" s="11" t="n"/>
      <c r="L559" s="11" t="n"/>
      <c r="M559" s="11" t="n"/>
      <c r="N559" s="10">
        <f>IF(COUNTA(J559:M559)=0,"",MIN(10,SUMPRODUCT((COUNTIF(J559:M559,L_KOM)&gt;0)*S_KOM)))</f>
        <v/>
      </c>
      <c r="O559" s="11" t="n"/>
      <c r="P559" s="10">
        <f>IF(O559="","",IFERROR(VLOOKUP(O559,T_KHID,2,FALSE),0))</f>
        <v/>
      </c>
      <c r="Q559" s="11" t="n"/>
      <c r="R559" s="11" t="n"/>
      <c r="S559" s="10">
        <f>IF(AND(Q559="",R559=""),"",IFERROR(INDEX(T_LIBAT,MATCH(Q559,L_PER,0),MATCH(R559,L_JENIS,0)),0))</f>
        <v/>
      </c>
      <c r="T559" s="11" t="n"/>
      <c r="U559" s="11" t="n"/>
      <c r="V559" s="10">
        <f>IF(AND(T559="",U559=""),"",IFERROR(INDEX(T_CAPAI,MATCH(T559,L_PER,0),MATCH(U559,L_KED,0)),0))</f>
        <v/>
      </c>
      <c r="W559" s="17">
        <f>IF(OR(B559="",E559="",COUNTA(F559,H559,J559:M559,O559,Q559:R559,T559:U559)=0),"",SUM(G559,I559,N559,P559,S559,V559))</f>
        <v/>
      </c>
      <c r="X559" s="18">
        <f>IF(W559="","",IF(Murid!F559="TL","TL",ROUND(W559/110*100,2)))</f>
        <v/>
      </c>
    </row>
    <row r="560">
      <c r="A560" s="15">
        <f>Murid!A560</f>
        <v/>
      </c>
      <c r="B560" s="15">
        <f>IF(Murid!B560="","",Murid!B560)</f>
        <v/>
      </c>
      <c r="C560" s="16">
        <f>IF(Murid!C560="","",Murid!C560)</f>
        <v/>
      </c>
      <c r="D560" s="15">
        <f>IF(Murid!E560="","",Murid!E560)</f>
        <v/>
      </c>
      <c r="E560" s="11" t="n"/>
      <c r="F560" s="11" t="n"/>
      <c r="G560" s="10">
        <f>IF(F560="","",IFERROR(VLOOKUP(F560,T_JKP,2,FALSE),0))</f>
        <v/>
      </c>
      <c r="H560" s="11" t="n"/>
      <c r="I560" s="17">
        <f>IF(H560="","",IF(H560&gt;=12,40,ROUND(H560*3.33,2)))</f>
        <v/>
      </c>
      <c r="J560" s="11" t="n"/>
      <c r="K560" s="11" t="n"/>
      <c r="L560" s="11" t="n"/>
      <c r="M560" s="11" t="n"/>
      <c r="N560" s="10">
        <f>IF(COUNTA(J560:M560)=0,"",MIN(10,SUMPRODUCT((COUNTIF(J560:M560,L_KOM)&gt;0)*S_KOM)))</f>
        <v/>
      </c>
      <c r="O560" s="11" t="n"/>
      <c r="P560" s="10">
        <f>IF(O560="","",IFERROR(VLOOKUP(O560,T_KHID,2,FALSE),0))</f>
        <v/>
      </c>
      <c r="Q560" s="11" t="n"/>
      <c r="R560" s="11" t="n"/>
      <c r="S560" s="10">
        <f>IF(AND(Q560="",R560=""),"",IFERROR(INDEX(T_LIBAT,MATCH(Q560,L_PER,0),MATCH(R560,L_JENIS,0)),0))</f>
        <v/>
      </c>
      <c r="T560" s="11" t="n"/>
      <c r="U560" s="11" t="n"/>
      <c r="V560" s="10">
        <f>IF(AND(T560="",U560=""),"",IFERROR(INDEX(T_CAPAI,MATCH(T560,L_PER,0),MATCH(U560,L_KED,0)),0))</f>
        <v/>
      </c>
      <c r="W560" s="17">
        <f>IF(OR(B560="",E560="",COUNTA(F560,H560,J560:M560,O560,Q560:R560,T560:U560)=0),"",SUM(G560,I560,N560,P560,S560,V560))</f>
        <v/>
      </c>
      <c r="X560" s="18">
        <f>IF(W560="","",IF(Murid!F560="TL","TL",ROUND(W560/110*100,2)))</f>
        <v/>
      </c>
    </row>
    <row r="561">
      <c r="A561" s="15">
        <f>Murid!A561</f>
        <v/>
      </c>
      <c r="B561" s="15">
        <f>IF(Murid!B561="","",Murid!B561)</f>
        <v/>
      </c>
      <c r="C561" s="16">
        <f>IF(Murid!C561="","",Murid!C561)</f>
        <v/>
      </c>
      <c r="D561" s="15">
        <f>IF(Murid!E561="","",Murid!E561)</f>
        <v/>
      </c>
      <c r="E561" s="11" t="n"/>
      <c r="F561" s="11" t="n"/>
      <c r="G561" s="10">
        <f>IF(F561="","",IFERROR(VLOOKUP(F561,T_JKP,2,FALSE),0))</f>
        <v/>
      </c>
      <c r="H561" s="11" t="n"/>
      <c r="I561" s="17">
        <f>IF(H561="","",IF(H561&gt;=12,40,ROUND(H561*3.33,2)))</f>
        <v/>
      </c>
      <c r="J561" s="11" t="n"/>
      <c r="K561" s="11" t="n"/>
      <c r="L561" s="11" t="n"/>
      <c r="M561" s="11" t="n"/>
      <c r="N561" s="10">
        <f>IF(COUNTA(J561:M561)=0,"",MIN(10,SUMPRODUCT((COUNTIF(J561:M561,L_KOM)&gt;0)*S_KOM)))</f>
        <v/>
      </c>
      <c r="O561" s="11" t="n"/>
      <c r="P561" s="10">
        <f>IF(O561="","",IFERROR(VLOOKUP(O561,T_KHID,2,FALSE),0))</f>
        <v/>
      </c>
      <c r="Q561" s="11" t="n"/>
      <c r="R561" s="11" t="n"/>
      <c r="S561" s="10">
        <f>IF(AND(Q561="",R561=""),"",IFERROR(INDEX(T_LIBAT,MATCH(Q561,L_PER,0),MATCH(R561,L_JENIS,0)),0))</f>
        <v/>
      </c>
      <c r="T561" s="11" t="n"/>
      <c r="U561" s="11" t="n"/>
      <c r="V561" s="10">
        <f>IF(AND(T561="",U561=""),"",IFERROR(INDEX(T_CAPAI,MATCH(T561,L_PER,0),MATCH(U561,L_KED,0)),0))</f>
        <v/>
      </c>
      <c r="W561" s="17">
        <f>IF(OR(B561="",E561="",COUNTA(F561,H561,J561:M561,O561,Q561:R561,T561:U561)=0),"",SUM(G561,I561,N561,P561,S561,V561))</f>
        <v/>
      </c>
      <c r="X561" s="18">
        <f>IF(W561="","",IF(Murid!F561="TL","TL",ROUND(W561/110*100,2)))</f>
        <v/>
      </c>
    </row>
    <row r="562">
      <c r="A562" s="15">
        <f>Murid!A562</f>
        <v/>
      </c>
      <c r="B562" s="15">
        <f>IF(Murid!B562="","",Murid!B562)</f>
        <v/>
      </c>
      <c r="C562" s="16">
        <f>IF(Murid!C562="","",Murid!C562)</f>
        <v/>
      </c>
      <c r="D562" s="15">
        <f>IF(Murid!E562="","",Murid!E562)</f>
        <v/>
      </c>
      <c r="E562" s="11" t="n"/>
      <c r="F562" s="11" t="n"/>
      <c r="G562" s="10">
        <f>IF(F562="","",IFERROR(VLOOKUP(F562,T_JKP,2,FALSE),0))</f>
        <v/>
      </c>
      <c r="H562" s="11" t="n"/>
      <c r="I562" s="17">
        <f>IF(H562="","",IF(H562&gt;=12,40,ROUND(H562*3.33,2)))</f>
        <v/>
      </c>
      <c r="J562" s="11" t="n"/>
      <c r="K562" s="11" t="n"/>
      <c r="L562" s="11" t="n"/>
      <c r="M562" s="11" t="n"/>
      <c r="N562" s="10">
        <f>IF(COUNTA(J562:M562)=0,"",MIN(10,SUMPRODUCT((COUNTIF(J562:M562,L_KOM)&gt;0)*S_KOM)))</f>
        <v/>
      </c>
      <c r="O562" s="11" t="n"/>
      <c r="P562" s="10">
        <f>IF(O562="","",IFERROR(VLOOKUP(O562,T_KHID,2,FALSE),0))</f>
        <v/>
      </c>
      <c r="Q562" s="11" t="n"/>
      <c r="R562" s="11" t="n"/>
      <c r="S562" s="10">
        <f>IF(AND(Q562="",R562=""),"",IFERROR(INDEX(T_LIBAT,MATCH(Q562,L_PER,0),MATCH(R562,L_JENIS,0)),0))</f>
        <v/>
      </c>
      <c r="T562" s="11" t="n"/>
      <c r="U562" s="11" t="n"/>
      <c r="V562" s="10">
        <f>IF(AND(T562="",U562=""),"",IFERROR(INDEX(T_CAPAI,MATCH(T562,L_PER,0),MATCH(U562,L_KED,0)),0))</f>
        <v/>
      </c>
      <c r="W562" s="17">
        <f>IF(OR(B562="",E562="",COUNTA(F562,H562,J562:M562,O562,Q562:R562,T562:U562)=0),"",SUM(G562,I562,N562,P562,S562,V562))</f>
        <v/>
      </c>
      <c r="X562" s="18">
        <f>IF(W562="","",IF(Murid!F562="TL","TL",ROUND(W562/110*100,2)))</f>
        <v/>
      </c>
    </row>
    <row r="563">
      <c r="A563" s="15">
        <f>Murid!A563</f>
        <v/>
      </c>
      <c r="B563" s="15">
        <f>IF(Murid!B563="","",Murid!B563)</f>
        <v/>
      </c>
      <c r="C563" s="16">
        <f>IF(Murid!C563="","",Murid!C563)</f>
        <v/>
      </c>
      <c r="D563" s="15">
        <f>IF(Murid!E563="","",Murid!E563)</f>
        <v/>
      </c>
      <c r="E563" s="11" t="n"/>
      <c r="F563" s="11" t="n"/>
      <c r="G563" s="10">
        <f>IF(F563="","",IFERROR(VLOOKUP(F563,T_JKP,2,FALSE),0))</f>
        <v/>
      </c>
      <c r="H563" s="11" t="n"/>
      <c r="I563" s="17">
        <f>IF(H563="","",IF(H563&gt;=12,40,ROUND(H563*3.33,2)))</f>
        <v/>
      </c>
      <c r="J563" s="11" t="n"/>
      <c r="K563" s="11" t="n"/>
      <c r="L563" s="11" t="n"/>
      <c r="M563" s="11" t="n"/>
      <c r="N563" s="10">
        <f>IF(COUNTA(J563:M563)=0,"",MIN(10,SUMPRODUCT((COUNTIF(J563:M563,L_KOM)&gt;0)*S_KOM)))</f>
        <v/>
      </c>
      <c r="O563" s="11" t="n"/>
      <c r="P563" s="10">
        <f>IF(O563="","",IFERROR(VLOOKUP(O563,T_KHID,2,FALSE),0))</f>
        <v/>
      </c>
      <c r="Q563" s="11" t="n"/>
      <c r="R563" s="11" t="n"/>
      <c r="S563" s="10">
        <f>IF(AND(Q563="",R563=""),"",IFERROR(INDEX(T_LIBAT,MATCH(Q563,L_PER,0),MATCH(R563,L_JENIS,0)),0))</f>
        <v/>
      </c>
      <c r="T563" s="11" t="n"/>
      <c r="U563" s="11" t="n"/>
      <c r="V563" s="10">
        <f>IF(AND(T563="",U563=""),"",IFERROR(INDEX(T_CAPAI,MATCH(T563,L_PER,0),MATCH(U563,L_KED,0)),0))</f>
        <v/>
      </c>
      <c r="W563" s="17">
        <f>IF(OR(B563="",E563="",COUNTA(F563,H563,J563:M563,O563,Q563:R563,T563:U563)=0),"",SUM(G563,I563,N563,P563,S563,V563))</f>
        <v/>
      </c>
      <c r="X563" s="18">
        <f>IF(W563="","",IF(Murid!F563="TL","TL",ROUND(W563/110*100,2)))</f>
        <v/>
      </c>
    </row>
    <row r="564">
      <c r="A564" s="15">
        <f>Murid!A564</f>
        <v/>
      </c>
      <c r="B564" s="15">
        <f>IF(Murid!B564="","",Murid!B564)</f>
        <v/>
      </c>
      <c r="C564" s="16">
        <f>IF(Murid!C564="","",Murid!C564)</f>
        <v/>
      </c>
      <c r="D564" s="15">
        <f>IF(Murid!E564="","",Murid!E564)</f>
        <v/>
      </c>
      <c r="E564" s="11" t="n"/>
      <c r="F564" s="11" t="n"/>
      <c r="G564" s="10">
        <f>IF(F564="","",IFERROR(VLOOKUP(F564,T_JKP,2,FALSE),0))</f>
        <v/>
      </c>
      <c r="H564" s="11" t="n"/>
      <c r="I564" s="17">
        <f>IF(H564="","",IF(H564&gt;=12,40,ROUND(H564*3.33,2)))</f>
        <v/>
      </c>
      <c r="J564" s="11" t="n"/>
      <c r="K564" s="11" t="n"/>
      <c r="L564" s="11" t="n"/>
      <c r="M564" s="11" t="n"/>
      <c r="N564" s="10">
        <f>IF(COUNTA(J564:M564)=0,"",MIN(10,SUMPRODUCT((COUNTIF(J564:M564,L_KOM)&gt;0)*S_KOM)))</f>
        <v/>
      </c>
      <c r="O564" s="11" t="n"/>
      <c r="P564" s="10">
        <f>IF(O564="","",IFERROR(VLOOKUP(O564,T_KHID,2,FALSE),0))</f>
        <v/>
      </c>
      <c r="Q564" s="11" t="n"/>
      <c r="R564" s="11" t="n"/>
      <c r="S564" s="10">
        <f>IF(AND(Q564="",R564=""),"",IFERROR(INDEX(T_LIBAT,MATCH(Q564,L_PER,0),MATCH(R564,L_JENIS,0)),0))</f>
        <v/>
      </c>
      <c r="T564" s="11" t="n"/>
      <c r="U564" s="11" t="n"/>
      <c r="V564" s="10">
        <f>IF(AND(T564="",U564=""),"",IFERROR(INDEX(T_CAPAI,MATCH(T564,L_PER,0),MATCH(U564,L_KED,0)),0))</f>
        <v/>
      </c>
      <c r="W564" s="17">
        <f>IF(OR(B564="",E564="",COUNTA(F564,H564,J564:M564,O564,Q564:R564,T564:U564)=0),"",SUM(G564,I564,N564,P564,S564,V564))</f>
        <v/>
      </c>
      <c r="X564" s="18">
        <f>IF(W564="","",IF(Murid!F564="TL","TL",ROUND(W564/110*100,2)))</f>
        <v/>
      </c>
    </row>
    <row r="565">
      <c r="A565" s="15">
        <f>Murid!A565</f>
        <v/>
      </c>
      <c r="B565" s="15">
        <f>IF(Murid!B565="","",Murid!B565)</f>
        <v/>
      </c>
      <c r="C565" s="16">
        <f>IF(Murid!C565="","",Murid!C565)</f>
        <v/>
      </c>
      <c r="D565" s="15">
        <f>IF(Murid!E565="","",Murid!E565)</f>
        <v/>
      </c>
      <c r="E565" s="11" t="n"/>
      <c r="F565" s="11" t="n"/>
      <c r="G565" s="10">
        <f>IF(F565="","",IFERROR(VLOOKUP(F565,T_JKP,2,FALSE),0))</f>
        <v/>
      </c>
      <c r="H565" s="11" t="n"/>
      <c r="I565" s="17">
        <f>IF(H565="","",IF(H565&gt;=12,40,ROUND(H565*3.33,2)))</f>
        <v/>
      </c>
      <c r="J565" s="11" t="n"/>
      <c r="K565" s="11" t="n"/>
      <c r="L565" s="11" t="n"/>
      <c r="M565" s="11" t="n"/>
      <c r="N565" s="10">
        <f>IF(COUNTA(J565:M565)=0,"",MIN(10,SUMPRODUCT((COUNTIF(J565:M565,L_KOM)&gt;0)*S_KOM)))</f>
        <v/>
      </c>
      <c r="O565" s="11" t="n"/>
      <c r="P565" s="10">
        <f>IF(O565="","",IFERROR(VLOOKUP(O565,T_KHID,2,FALSE),0))</f>
        <v/>
      </c>
      <c r="Q565" s="11" t="n"/>
      <c r="R565" s="11" t="n"/>
      <c r="S565" s="10">
        <f>IF(AND(Q565="",R565=""),"",IFERROR(INDEX(T_LIBAT,MATCH(Q565,L_PER,0),MATCH(R565,L_JENIS,0)),0))</f>
        <v/>
      </c>
      <c r="T565" s="11" t="n"/>
      <c r="U565" s="11" t="n"/>
      <c r="V565" s="10">
        <f>IF(AND(T565="",U565=""),"",IFERROR(INDEX(T_CAPAI,MATCH(T565,L_PER,0),MATCH(U565,L_KED,0)),0))</f>
        <v/>
      </c>
      <c r="W565" s="17">
        <f>IF(OR(B565="",E565="",COUNTA(F565,H565,J565:M565,O565,Q565:R565,T565:U565)=0),"",SUM(G565,I565,N565,P565,S565,V565))</f>
        <v/>
      </c>
      <c r="X565" s="18">
        <f>IF(W565="","",IF(Murid!F565="TL","TL",ROUND(W565/110*100,2)))</f>
        <v/>
      </c>
    </row>
    <row r="566">
      <c r="A566" s="15">
        <f>Murid!A566</f>
        <v/>
      </c>
      <c r="B566" s="15">
        <f>IF(Murid!B566="","",Murid!B566)</f>
        <v/>
      </c>
      <c r="C566" s="16">
        <f>IF(Murid!C566="","",Murid!C566)</f>
        <v/>
      </c>
      <c r="D566" s="15">
        <f>IF(Murid!E566="","",Murid!E566)</f>
        <v/>
      </c>
      <c r="E566" s="11" t="n"/>
      <c r="F566" s="11" t="n"/>
      <c r="G566" s="10">
        <f>IF(F566="","",IFERROR(VLOOKUP(F566,T_JKP,2,FALSE),0))</f>
        <v/>
      </c>
      <c r="H566" s="11" t="n"/>
      <c r="I566" s="17">
        <f>IF(H566="","",IF(H566&gt;=12,40,ROUND(H566*3.33,2)))</f>
        <v/>
      </c>
      <c r="J566" s="11" t="n"/>
      <c r="K566" s="11" t="n"/>
      <c r="L566" s="11" t="n"/>
      <c r="M566" s="11" t="n"/>
      <c r="N566" s="10">
        <f>IF(COUNTA(J566:M566)=0,"",MIN(10,SUMPRODUCT((COUNTIF(J566:M566,L_KOM)&gt;0)*S_KOM)))</f>
        <v/>
      </c>
      <c r="O566" s="11" t="n"/>
      <c r="P566" s="10">
        <f>IF(O566="","",IFERROR(VLOOKUP(O566,T_KHID,2,FALSE),0))</f>
        <v/>
      </c>
      <c r="Q566" s="11" t="n"/>
      <c r="R566" s="11" t="n"/>
      <c r="S566" s="10">
        <f>IF(AND(Q566="",R566=""),"",IFERROR(INDEX(T_LIBAT,MATCH(Q566,L_PER,0),MATCH(R566,L_JENIS,0)),0))</f>
        <v/>
      </c>
      <c r="T566" s="11" t="n"/>
      <c r="U566" s="11" t="n"/>
      <c r="V566" s="10">
        <f>IF(AND(T566="",U566=""),"",IFERROR(INDEX(T_CAPAI,MATCH(T566,L_PER,0),MATCH(U566,L_KED,0)),0))</f>
        <v/>
      </c>
      <c r="W566" s="17">
        <f>IF(OR(B566="",E566="",COUNTA(F566,H566,J566:M566,O566,Q566:R566,T566:U566)=0),"",SUM(G566,I566,N566,P566,S566,V566))</f>
        <v/>
      </c>
      <c r="X566" s="18">
        <f>IF(W566="","",IF(Murid!F566="TL","TL",ROUND(W566/110*100,2)))</f>
        <v/>
      </c>
    </row>
    <row r="567">
      <c r="A567" s="15">
        <f>Murid!A567</f>
        <v/>
      </c>
      <c r="B567" s="15">
        <f>IF(Murid!B567="","",Murid!B567)</f>
        <v/>
      </c>
      <c r="C567" s="16">
        <f>IF(Murid!C567="","",Murid!C567)</f>
        <v/>
      </c>
      <c r="D567" s="15">
        <f>IF(Murid!E567="","",Murid!E567)</f>
        <v/>
      </c>
      <c r="E567" s="11" t="n"/>
      <c r="F567" s="11" t="n"/>
      <c r="G567" s="10">
        <f>IF(F567="","",IFERROR(VLOOKUP(F567,T_JKP,2,FALSE),0))</f>
        <v/>
      </c>
      <c r="H567" s="11" t="n"/>
      <c r="I567" s="17">
        <f>IF(H567="","",IF(H567&gt;=12,40,ROUND(H567*3.33,2)))</f>
        <v/>
      </c>
      <c r="J567" s="11" t="n"/>
      <c r="K567" s="11" t="n"/>
      <c r="L567" s="11" t="n"/>
      <c r="M567" s="11" t="n"/>
      <c r="N567" s="10">
        <f>IF(COUNTA(J567:M567)=0,"",MIN(10,SUMPRODUCT((COUNTIF(J567:M567,L_KOM)&gt;0)*S_KOM)))</f>
        <v/>
      </c>
      <c r="O567" s="11" t="n"/>
      <c r="P567" s="10">
        <f>IF(O567="","",IFERROR(VLOOKUP(O567,T_KHID,2,FALSE),0))</f>
        <v/>
      </c>
      <c r="Q567" s="11" t="n"/>
      <c r="R567" s="11" t="n"/>
      <c r="S567" s="10">
        <f>IF(AND(Q567="",R567=""),"",IFERROR(INDEX(T_LIBAT,MATCH(Q567,L_PER,0),MATCH(R567,L_JENIS,0)),0))</f>
        <v/>
      </c>
      <c r="T567" s="11" t="n"/>
      <c r="U567" s="11" t="n"/>
      <c r="V567" s="10">
        <f>IF(AND(T567="",U567=""),"",IFERROR(INDEX(T_CAPAI,MATCH(T567,L_PER,0),MATCH(U567,L_KED,0)),0))</f>
        <v/>
      </c>
      <c r="W567" s="17">
        <f>IF(OR(B567="",E567="",COUNTA(F567,H567,J567:M567,O567,Q567:R567,T567:U567)=0),"",SUM(G567,I567,N567,P567,S567,V567))</f>
        <v/>
      </c>
      <c r="X567" s="18">
        <f>IF(W567="","",IF(Murid!F567="TL","TL",ROUND(W567/110*100,2)))</f>
        <v/>
      </c>
    </row>
    <row r="568">
      <c r="A568" s="15">
        <f>Murid!A568</f>
        <v/>
      </c>
      <c r="B568" s="15">
        <f>IF(Murid!B568="","",Murid!B568)</f>
        <v/>
      </c>
      <c r="C568" s="16">
        <f>IF(Murid!C568="","",Murid!C568)</f>
        <v/>
      </c>
      <c r="D568" s="15">
        <f>IF(Murid!E568="","",Murid!E568)</f>
        <v/>
      </c>
      <c r="E568" s="11" t="n"/>
      <c r="F568" s="11" t="n"/>
      <c r="G568" s="10">
        <f>IF(F568="","",IFERROR(VLOOKUP(F568,T_JKP,2,FALSE),0))</f>
        <v/>
      </c>
      <c r="H568" s="11" t="n"/>
      <c r="I568" s="17">
        <f>IF(H568="","",IF(H568&gt;=12,40,ROUND(H568*3.33,2)))</f>
        <v/>
      </c>
      <c r="J568" s="11" t="n"/>
      <c r="K568" s="11" t="n"/>
      <c r="L568" s="11" t="n"/>
      <c r="M568" s="11" t="n"/>
      <c r="N568" s="10">
        <f>IF(COUNTA(J568:M568)=0,"",MIN(10,SUMPRODUCT((COUNTIF(J568:M568,L_KOM)&gt;0)*S_KOM)))</f>
        <v/>
      </c>
      <c r="O568" s="11" t="n"/>
      <c r="P568" s="10">
        <f>IF(O568="","",IFERROR(VLOOKUP(O568,T_KHID,2,FALSE),0))</f>
        <v/>
      </c>
      <c r="Q568" s="11" t="n"/>
      <c r="R568" s="11" t="n"/>
      <c r="S568" s="10">
        <f>IF(AND(Q568="",R568=""),"",IFERROR(INDEX(T_LIBAT,MATCH(Q568,L_PER,0),MATCH(R568,L_JENIS,0)),0))</f>
        <v/>
      </c>
      <c r="T568" s="11" t="n"/>
      <c r="U568" s="11" t="n"/>
      <c r="V568" s="10">
        <f>IF(AND(T568="",U568=""),"",IFERROR(INDEX(T_CAPAI,MATCH(T568,L_PER,0),MATCH(U568,L_KED,0)),0))</f>
        <v/>
      </c>
      <c r="W568" s="17">
        <f>IF(OR(B568="",E568="",COUNTA(F568,H568,J568:M568,O568,Q568:R568,T568:U568)=0),"",SUM(G568,I568,N568,P568,S568,V568))</f>
        <v/>
      </c>
      <c r="X568" s="18">
        <f>IF(W568="","",IF(Murid!F568="TL","TL",ROUND(W568/110*100,2)))</f>
        <v/>
      </c>
    </row>
    <row r="569">
      <c r="A569" s="15">
        <f>Murid!A569</f>
        <v/>
      </c>
      <c r="B569" s="15">
        <f>IF(Murid!B569="","",Murid!B569)</f>
        <v/>
      </c>
      <c r="C569" s="16">
        <f>IF(Murid!C569="","",Murid!C569)</f>
        <v/>
      </c>
      <c r="D569" s="15">
        <f>IF(Murid!E569="","",Murid!E569)</f>
        <v/>
      </c>
      <c r="E569" s="11" t="n"/>
      <c r="F569" s="11" t="n"/>
      <c r="G569" s="10">
        <f>IF(F569="","",IFERROR(VLOOKUP(F569,T_JKP,2,FALSE),0))</f>
        <v/>
      </c>
      <c r="H569" s="11" t="n"/>
      <c r="I569" s="17">
        <f>IF(H569="","",IF(H569&gt;=12,40,ROUND(H569*3.33,2)))</f>
        <v/>
      </c>
      <c r="J569" s="11" t="n"/>
      <c r="K569" s="11" t="n"/>
      <c r="L569" s="11" t="n"/>
      <c r="M569" s="11" t="n"/>
      <c r="N569" s="10">
        <f>IF(COUNTA(J569:M569)=0,"",MIN(10,SUMPRODUCT((COUNTIF(J569:M569,L_KOM)&gt;0)*S_KOM)))</f>
        <v/>
      </c>
      <c r="O569" s="11" t="n"/>
      <c r="P569" s="10">
        <f>IF(O569="","",IFERROR(VLOOKUP(O569,T_KHID,2,FALSE),0))</f>
        <v/>
      </c>
      <c r="Q569" s="11" t="n"/>
      <c r="R569" s="11" t="n"/>
      <c r="S569" s="10">
        <f>IF(AND(Q569="",R569=""),"",IFERROR(INDEX(T_LIBAT,MATCH(Q569,L_PER,0),MATCH(R569,L_JENIS,0)),0))</f>
        <v/>
      </c>
      <c r="T569" s="11" t="n"/>
      <c r="U569" s="11" t="n"/>
      <c r="V569" s="10">
        <f>IF(AND(T569="",U569=""),"",IFERROR(INDEX(T_CAPAI,MATCH(T569,L_PER,0),MATCH(U569,L_KED,0)),0))</f>
        <v/>
      </c>
      <c r="W569" s="17">
        <f>IF(OR(B569="",E569="",COUNTA(F569,H569,J569:M569,O569,Q569:R569,T569:U569)=0),"",SUM(G569,I569,N569,P569,S569,V569))</f>
        <v/>
      </c>
      <c r="X569" s="18">
        <f>IF(W569="","",IF(Murid!F569="TL","TL",ROUND(W569/110*100,2)))</f>
        <v/>
      </c>
    </row>
    <row r="570">
      <c r="A570" s="15">
        <f>Murid!A570</f>
        <v/>
      </c>
      <c r="B570" s="15">
        <f>IF(Murid!B570="","",Murid!B570)</f>
        <v/>
      </c>
      <c r="C570" s="16">
        <f>IF(Murid!C570="","",Murid!C570)</f>
        <v/>
      </c>
      <c r="D570" s="15">
        <f>IF(Murid!E570="","",Murid!E570)</f>
        <v/>
      </c>
      <c r="E570" s="11" t="n"/>
      <c r="F570" s="11" t="n"/>
      <c r="G570" s="10">
        <f>IF(F570="","",IFERROR(VLOOKUP(F570,T_JKP,2,FALSE),0))</f>
        <v/>
      </c>
      <c r="H570" s="11" t="n"/>
      <c r="I570" s="17">
        <f>IF(H570="","",IF(H570&gt;=12,40,ROUND(H570*3.33,2)))</f>
        <v/>
      </c>
      <c r="J570" s="11" t="n"/>
      <c r="K570" s="11" t="n"/>
      <c r="L570" s="11" t="n"/>
      <c r="M570" s="11" t="n"/>
      <c r="N570" s="10">
        <f>IF(COUNTA(J570:M570)=0,"",MIN(10,SUMPRODUCT((COUNTIF(J570:M570,L_KOM)&gt;0)*S_KOM)))</f>
        <v/>
      </c>
      <c r="O570" s="11" t="n"/>
      <c r="P570" s="10">
        <f>IF(O570="","",IFERROR(VLOOKUP(O570,T_KHID,2,FALSE),0))</f>
        <v/>
      </c>
      <c r="Q570" s="11" t="n"/>
      <c r="R570" s="11" t="n"/>
      <c r="S570" s="10">
        <f>IF(AND(Q570="",R570=""),"",IFERROR(INDEX(T_LIBAT,MATCH(Q570,L_PER,0),MATCH(R570,L_JENIS,0)),0))</f>
        <v/>
      </c>
      <c r="T570" s="11" t="n"/>
      <c r="U570" s="11" t="n"/>
      <c r="V570" s="10">
        <f>IF(AND(T570="",U570=""),"",IFERROR(INDEX(T_CAPAI,MATCH(T570,L_PER,0),MATCH(U570,L_KED,0)),0))</f>
        <v/>
      </c>
      <c r="W570" s="17">
        <f>IF(OR(B570="",E570="",COUNTA(F570,H570,J570:M570,O570,Q570:R570,T570:U570)=0),"",SUM(G570,I570,N570,P570,S570,V570))</f>
        <v/>
      </c>
      <c r="X570" s="18">
        <f>IF(W570="","",IF(Murid!F570="TL","TL",ROUND(W570/110*100,2)))</f>
        <v/>
      </c>
    </row>
    <row r="571">
      <c r="A571" s="15">
        <f>Murid!A571</f>
        <v/>
      </c>
      <c r="B571" s="15">
        <f>IF(Murid!B571="","",Murid!B571)</f>
        <v/>
      </c>
      <c r="C571" s="16">
        <f>IF(Murid!C571="","",Murid!C571)</f>
        <v/>
      </c>
      <c r="D571" s="15">
        <f>IF(Murid!E571="","",Murid!E571)</f>
        <v/>
      </c>
      <c r="E571" s="11" t="n"/>
      <c r="F571" s="11" t="n"/>
      <c r="G571" s="10">
        <f>IF(F571="","",IFERROR(VLOOKUP(F571,T_JKP,2,FALSE),0))</f>
        <v/>
      </c>
      <c r="H571" s="11" t="n"/>
      <c r="I571" s="17">
        <f>IF(H571="","",IF(H571&gt;=12,40,ROUND(H571*3.33,2)))</f>
        <v/>
      </c>
      <c r="J571" s="11" t="n"/>
      <c r="K571" s="11" t="n"/>
      <c r="L571" s="11" t="n"/>
      <c r="M571" s="11" t="n"/>
      <c r="N571" s="10">
        <f>IF(COUNTA(J571:M571)=0,"",MIN(10,SUMPRODUCT((COUNTIF(J571:M571,L_KOM)&gt;0)*S_KOM)))</f>
        <v/>
      </c>
      <c r="O571" s="11" t="n"/>
      <c r="P571" s="10">
        <f>IF(O571="","",IFERROR(VLOOKUP(O571,T_KHID,2,FALSE),0))</f>
        <v/>
      </c>
      <c r="Q571" s="11" t="n"/>
      <c r="R571" s="11" t="n"/>
      <c r="S571" s="10">
        <f>IF(AND(Q571="",R571=""),"",IFERROR(INDEX(T_LIBAT,MATCH(Q571,L_PER,0),MATCH(R571,L_JENIS,0)),0))</f>
        <v/>
      </c>
      <c r="T571" s="11" t="n"/>
      <c r="U571" s="11" t="n"/>
      <c r="V571" s="10">
        <f>IF(AND(T571="",U571=""),"",IFERROR(INDEX(T_CAPAI,MATCH(T571,L_PER,0),MATCH(U571,L_KED,0)),0))</f>
        <v/>
      </c>
      <c r="W571" s="17">
        <f>IF(OR(B571="",E571="",COUNTA(F571,H571,J571:M571,O571,Q571:R571,T571:U571)=0),"",SUM(G571,I571,N571,P571,S571,V571))</f>
        <v/>
      </c>
      <c r="X571" s="18">
        <f>IF(W571="","",IF(Murid!F571="TL","TL",ROUND(W571/110*100,2)))</f>
        <v/>
      </c>
    </row>
    <row r="572">
      <c r="A572" s="15">
        <f>Murid!A572</f>
        <v/>
      </c>
      <c r="B572" s="15">
        <f>IF(Murid!B572="","",Murid!B572)</f>
        <v/>
      </c>
      <c r="C572" s="16">
        <f>IF(Murid!C572="","",Murid!C572)</f>
        <v/>
      </c>
      <c r="D572" s="15">
        <f>IF(Murid!E572="","",Murid!E572)</f>
        <v/>
      </c>
      <c r="E572" s="11" t="n"/>
      <c r="F572" s="11" t="n"/>
      <c r="G572" s="10">
        <f>IF(F572="","",IFERROR(VLOOKUP(F572,T_JKP,2,FALSE),0))</f>
        <v/>
      </c>
      <c r="H572" s="11" t="n"/>
      <c r="I572" s="17">
        <f>IF(H572="","",IF(H572&gt;=12,40,ROUND(H572*3.33,2)))</f>
        <v/>
      </c>
      <c r="J572" s="11" t="n"/>
      <c r="K572" s="11" t="n"/>
      <c r="L572" s="11" t="n"/>
      <c r="M572" s="11" t="n"/>
      <c r="N572" s="10">
        <f>IF(COUNTA(J572:M572)=0,"",MIN(10,SUMPRODUCT((COUNTIF(J572:M572,L_KOM)&gt;0)*S_KOM)))</f>
        <v/>
      </c>
      <c r="O572" s="11" t="n"/>
      <c r="P572" s="10">
        <f>IF(O572="","",IFERROR(VLOOKUP(O572,T_KHID,2,FALSE),0))</f>
        <v/>
      </c>
      <c r="Q572" s="11" t="n"/>
      <c r="R572" s="11" t="n"/>
      <c r="S572" s="10">
        <f>IF(AND(Q572="",R572=""),"",IFERROR(INDEX(T_LIBAT,MATCH(Q572,L_PER,0),MATCH(R572,L_JENIS,0)),0))</f>
        <v/>
      </c>
      <c r="T572" s="11" t="n"/>
      <c r="U572" s="11" t="n"/>
      <c r="V572" s="10">
        <f>IF(AND(T572="",U572=""),"",IFERROR(INDEX(T_CAPAI,MATCH(T572,L_PER,0),MATCH(U572,L_KED,0)),0))</f>
        <v/>
      </c>
      <c r="W572" s="17">
        <f>IF(OR(B572="",E572="",COUNTA(F572,H572,J572:M572,O572,Q572:R572,T572:U572)=0),"",SUM(G572,I572,N572,P572,S572,V572))</f>
        <v/>
      </c>
      <c r="X572" s="18">
        <f>IF(W572="","",IF(Murid!F572="TL","TL",ROUND(W572/110*100,2)))</f>
        <v/>
      </c>
    </row>
    <row r="573">
      <c r="A573" s="15">
        <f>Murid!A573</f>
        <v/>
      </c>
      <c r="B573" s="15">
        <f>IF(Murid!B573="","",Murid!B573)</f>
        <v/>
      </c>
      <c r="C573" s="16">
        <f>IF(Murid!C573="","",Murid!C573)</f>
        <v/>
      </c>
      <c r="D573" s="15">
        <f>IF(Murid!E573="","",Murid!E573)</f>
        <v/>
      </c>
      <c r="E573" s="11" t="n"/>
      <c r="F573" s="11" t="n"/>
      <c r="G573" s="10">
        <f>IF(F573="","",IFERROR(VLOOKUP(F573,T_JKP,2,FALSE),0))</f>
        <v/>
      </c>
      <c r="H573" s="11" t="n"/>
      <c r="I573" s="17">
        <f>IF(H573="","",IF(H573&gt;=12,40,ROUND(H573*3.33,2)))</f>
        <v/>
      </c>
      <c r="J573" s="11" t="n"/>
      <c r="K573" s="11" t="n"/>
      <c r="L573" s="11" t="n"/>
      <c r="M573" s="11" t="n"/>
      <c r="N573" s="10">
        <f>IF(COUNTA(J573:M573)=0,"",MIN(10,SUMPRODUCT((COUNTIF(J573:M573,L_KOM)&gt;0)*S_KOM)))</f>
        <v/>
      </c>
      <c r="O573" s="11" t="n"/>
      <c r="P573" s="10">
        <f>IF(O573="","",IFERROR(VLOOKUP(O573,T_KHID,2,FALSE),0))</f>
        <v/>
      </c>
      <c r="Q573" s="11" t="n"/>
      <c r="R573" s="11" t="n"/>
      <c r="S573" s="10">
        <f>IF(AND(Q573="",R573=""),"",IFERROR(INDEX(T_LIBAT,MATCH(Q573,L_PER,0),MATCH(R573,L_JENIS,0)),0))</f>
        <v/>
      </c>
      <c r="T573" s="11" t="n"/>
      <c r="U573" s="11" t="n"/>
      <c r="V573" s="10">
        <f>IF(AND(T573="",U573=""),"",IFERROR(INDEX(T_CAPAI,MATCH(T573,L_PER,0),MATCH(U573,L_KED,0)),0))</f>
        <v/>
      </c>
      <c r="W573" s="17">
        <f>IF(OR(B573="",E573="",COUNTA(F573,H573,J573:M573,O573,Q573:R573,T573:U573)=0),"",SUM(G573,I573,N573,P573,S573,V573))</f>
        <v/>
      </c>
      <c r="X573" s="18">
        <f>IF(W573="","",IF(Murid!F573="TL","TL",ROUND(W573/110*100,2)))</f>
        <v/>
      </c>
    </row>
    <row r="574">
      <c r="A574" s="15">
        <f>Murid!A574</f>
        <v/>
      </c>
      <c r="B574" s="15">
        <f>IF(Murid!B574="","",Murid!B574)</f>
        <v/>
      </c>
      <c r="C574" s="16">
        <f>IF(Murid!C574="","",Murid!C574)</f>
        <v/>
      </c>
      <c r="D574" s="15">
        <f>IF(Murid!E574="","",Murid!E574)</f>
        <v/>
      </c>
      <c r="E574" s="11" t="n"/>
      <c r="F574" s="11" t="n"/>
      <c r="G574" s="10">
        <f>IF(F574="","",IFERROR(VLOOKUP(F574,T_JKP,2,FALSE),0))</f>
        <v/>
      </c>
      <c r="H574" s="11" t="n"/>
      <c r="I574" s="17">
        <f>IF(H574="","",IF(H574&gt;=12,40,ROUND(H574*3.33,2)))</f>
        <v/>
      </c>
      <c r="J574" s="11" t="n"/>
      <c r="K574" s="11" t="n"/>
      <c r="L574" s="11" t="n"/>
      <c r="M574" s="11" t="n"/>
      <c r="N574" s="10">
        <f>IF(COUNTA(J574:M574)=0,"",MIN(10,SUMPRODUCT((COUNTIF(J574:M574,L_KOM)&gt;0)*S_KOM)))</f>
        <v/>
      </c>
      <c r="O574" s="11" t="n"/>
      <c r="P574" s="10">
        <f>IF(O574="","",IFERROR(VLOOKUP(O574,T_KHID,2,FALSE),0))</f>
        <v/>
      </c>
      <c r="Q574" s="11" t="n"/>
      <c r="R574" s="11" t="n"/>
      <c r="S574" s="10">
        <f>IF(AND(Q574="",R574=""),"",IFERROR(INDEX(T_LIBAT,MATCH(Q574,L_PER,0),MATCH(R574,L_JENIS,0)),0))</f>
        <v/>
      </c>
      <c r="T574" s="11" t="n"/>
      <c r="U574" s="11" t="n"/>
      <c r="V574" s="10">
        <f>IF(AND(T574="",U574=""),"",IFERROR(INDEX(T_CAPAI,MATCH(T574,L_PER,0),MATCH(U574,L_KED,0)),0))</f>
        <v/>
      </c>
      <c r="W574" s="17">
        <f>IF(OR(B574="",E574="",COUNTA(F574,H574,J574:M574,O574,Q574:R574,T574:U574)=0),"",SUM(G574,I574,N574,P574,S574,V574))</f>
        <v/>
      </c>
      <c r="X574" s="18">
        <f>IF(W574="","",IF(Murid!F574="TL","TL",ROUND(W574/110*100,2)))</f>
        <v/>
      </c>
    </row>
    <row r="575">
      <c r="A575" s="15">
        <f>Murid!A575</f>
        <v/>
      </c>
      <c r="B575" s="15">
        <f>IF(Murid!B575="","",Murid!B575)</f>
        <v/>
      </c>
      <c r="C575" s="16">
        <f>IF(Murid!C575="","",Murid!C575)</f>
        <v/>
      </c>
      <c r="D575" s="15">
        <f>IF(Murid!E575="","",Murid!E575)</f>
        <v/>
      </c>
      <c r="E575" s="11" t="n"/>
      <c r="F575" s="11" t="n"/>
      <c r="G575" s="10">
        <f>IF(F575="","",IFERROR(VLOOKUP(F575,T_JKP,2,FALSE),0))</f>
        <v/>
      </c>
      <c r="H575" s="11" t="n"/>
      <c r="I575" s="17">
        <f>IF(H575="","",IF(H575&gt;=12,40,ROUND(H575*3.33,2)))</f>
        <v/>
      </c>
      <c r="J575" s="11" t="n"/>
      <c r="K575" s="11" t="n"/>
      <c r="L575" s="11" t="n"/>
      <c r="M575" s="11" t="n"/>
      <c r="N575" s="10">
        <f>IF(COUNTA(J575:M575)=0,"",MIN(10,SUMPRODUCT((COUNTIF(J575:M575,L_KOM)&gt;0)*S_KOM)))</f>
        <v/>
      </c>
      <c r="O575" s="11" t="n"/>
      <c r="P575" s="10">
        <f>IF(O575="","",IFERROR(VLOOKUP(O575,T_KHID,2,FALSE),0))</f>
        <v/>
      </c>
      <c r="Q575" s="11" t="n"/>
      <c r="R575" s="11" t="n"/>
      <c r="S575" s="10">
        <f>IF(AND(Q575="",R575=""),"",IFERROR(INDEX(T_LIBAT,MATCH(Q575,L_PER,0),MATCH(R575,L_JENIS,0)),0))</f>
        <v/>
      </c>
      <c r="T575" s="11" t="n"/>
      <c r="U575" s="11" t="n"/>
      <c r="V575" s="10">
        <f>IF(AND(T575="",U575=""),"",IFERROR(INDEX(T_CAPAI,MATCH(T575,L_PER,0),MATCH(U575,L_KED,0)),0))</f>
        <v/>
      </c>
      <c r="W575" s="17">
        <f>IF(OR(B575="",E575="",COUNTA(F575,H575,J575:M575,O575,Q575:R575,T575:U575)=0),"",SUM(G575,I575,N575,P575,S575,V575))</f>
        <v/>
      </c>
      <c r="X575" s="18">
        <f>IF(W575="","",IF(Murid!F575="TL","TL",ROUND(W575/110*100,2)))</f>
        <v/>
      </c>
    </row>
    <row r="576">
      <c r="A576" s="15">
        <f>Murid!A576</f>
        <v/>
      </c>
      <c r="B576" s="15">
        <f>IF(Murid!B576="","",Murid!B576)</f>
        <v/>
      </c>
      <c r="C576" s="16">
        <f>IF(Murid!C576="","",Murid!C576)</f>
        <v/>
      </c>
      <c r="D576" s="15">
        <f>IF(Murid!E576="","",Murid!E576)</f>
        <v/>
      </c>
      <c r="E576" s="11" t="n"/>
      <c r="F576" s="11" t="n"/>
      <c r="G576" s="10">
        <f>IF(F576="","",IFERROR(VLOOKUP(F576,T_JKP,2,FALSE),0))</f>
        <v/>
      </c>
      <c r="H576" s="11" t="n"/>
      <c r="I576" s="17">
        <f>IF(H576="","",IF(H576&gt;=12,40,ROUND(H576*3.33,2)))</f>
        <v/>
      </c>
      <c r="J576" s="11" t="n"/>
      <c r="K576" s="11" t="n"/>
      <c r="L576" s="11" t="n"/>
      <c r="M576" s="11" t="n"/>
      <c r="N576" s="10">
        <f>IF(COUNTA(J576:M576)=0,"",MIN(10,SUMPRODUCT((COUNTIF(J576:M576,L_KOM)&gt;0)*S_KOM)))</f>
        <v/>
      </c>
      <c r="O576" s="11" t="n"/>
      <c r="P576" s="10">
        <f>IF(O576="","",IFERROR(VLOOKUP(O576,T_KHID,2,FALSE),0))</f>
        <v/>
      </c>
      <c r="Q576" s="11" t="n"/>
      <c r="R576" s="11" t="n"/>
      <c r="S576" s="10">
        <f>IF(AND(Q576="",R576=""),"",IFERROR(INDEX(T_LIBAT,MATCH(Q576,L_PER,0),MATCH(R576,L_JENIS,0)),0))</f>
        <v/>
      </c>
      <c r="T576" s="11" t="n"/>
      <c r="U576" s="11" t="n"/>
      <c r="V576" s="10">
        <f>IF(AND(T576="",U576=""),"",IFERROR(INDEX(T_CAPAI,MATCH(T576,L_PER,0),MATCH(U576,L_KED,0)),0))</f>
        <v/>
      </c>
      <c r="W576" s="17">
        <f>IF(OR(B576="",E576="",COUNTA(F576,H576,J576:M576,O576,Q576:R576,T576:U576)=0),"",SUM(G576,I576,N576,P576,S576,V576))</f>
        <v/>
      </c>
      <c r="X576" s="18">
        <f>IF(W576="","",IF(Murid!F576="TL","TL",ROUND(W576/110*100,2)))</f>
        <v/>
      </c>
    </row>
    <row r="577">
      <c r="A577" s="15">
        <f>Murid!A577</f>
        <v/>
      </c>
      <c r="B577" s="15">
        <f>IF(Murid!B577="","",Murid!B577)</f>
        <v/>
      </c>
      <c r="C577" s="16">
        <f>IF(Murid!C577="","",Murid!C577)</f>
        <v/>
      </c>
      <c r="D577" s="15">
        <f>IF(Murid!E577="","",Murid!E577)</f>
        <v/>
      </c>
      <c r="E577" s="11" t="n"/>
      <c r="F577" s="11" t="n"/>
      <c r="G577" s="10">
        <f>IF(F577="","",IFERROR(VLOOKUP(F577,T_JKP,2,FALSE),0))</f>
        <v/>
      </c>
      <c r="H577" s="11" t="n"/>
      <c r="I577" s="17">
        <f>IF(H577="","",IF(H577&gt;=12,40,ROUND(H577*3.33,2)))</f>
        <v/>
      </c>
      <c r="J577" s="11" t="n"/>
      <c r="K577" s="11" t="n"/>
      <c r="L577" s="11" t="n"/>
      <c r="M577" s="11" t="n"/>
      <c r="N577" s="10">
        <f>IF(COUNTA(J577:M577)=0,"",MIN(10,SUMPRODUCT((COUNTIF(J577:M577,L_KOM)&gt;0)*S_KOM)))</f>
        <v/>
      </c>
      <c r="O577" s="11" t="n"/>
      <c r="P577" s="10">
        <f>IF(O577="","",IFERROR(VLOOKUP(O577,T_KHID,2,FALSE),0))</f>
        <v/>
      </c>
      <c r="Q577" s="11" t="n"/>
      <c r="R577" s="11" t="n"/>
      <c r="S577" s="10">
        <f>IF(AND(Q577="",R577=""),"",IFERROR(INDEX(T_LIBAT,MATCH(Q577,L_PER,0),MATCH(R577,L_JENIS,0)),0))</f>
        <v/>
      </c>
      <c r="T577" s="11" t="n"/>
      <c r="U577" s="11" t="n"/>
      <c r="V577" s="10">
        <f>IF(AND(T577="",U577=""),"",IFERROR(INDEX(T_CAPAI,MATCH(T577,L_PER,0),MATCH(U577,L_KED,0)),0))</f>
        <v/>
      </c>
      <c r="W577" s="17">
        <f>IF(OR(B577="",E577="",COUNTA(F577,H577,J577:M577,O577,Q577:R577,T577:U577)=0),"",SUM(G577,I577,N577,P577,S577,V577))</f>
        <v/>
      </c>
      <c r="X577" s="18">
        <f>IF(W577="","",IF(Murid!F577="TL","TL",ROUND(W577/110*100,2)))</f>
        <v/>
      </c>
    </row>
    <row r="578">
      <c r="A578" s="15">
        <f>Murid!A578</f>
        <v/>
      </c>
      <c r="B578" s="15">
        <f>IF(Murid!B578="","",Murid!B578)</f>
        <v/>
      </c>
      <c r="C578" s="16">
        <f>IF(Murid!C578="","",Murid!C578)</f>
        <v/>
      </c>
      <c r="D578" s="15">
        <f>IF(Murid!E578="","",Murid!E578)</f>
        <v/>
      </c>
      <c r="E578" s="11" t="n"/>
      <c r="F578" s="11" t="n"/>
      <c r="G578" s="10">
        <f>IF(F578="","",IFERROR(VLOOKUP(F578,T_JKP,2,FALSE),0))</f>
        <v/>
      </c>
      <c r="H578" s="11" t="n"/>
      <c r="I578" s="17">
        <f>IF(H578="","",IF(H578&gt;=12,40,ROUND(H578*3.33,2)))</f>
        <v/>
      </c>
      <c r="J578" s="11" t="n"/>
      <c r="K578" s="11" t="n"/>
      <c r="L578" s="11" t="n"/>
      <c r="M578" s="11" t="n"/>
      <c r="N578" s="10">
        <f>IF(COUNTA(J578:M578)=0,"",MIN(10,SUMPRODUCT((COUNTIF(J578:M578,L_KOM)&gt;0)*S_KOM)))</f>
        <v/>
      </c>
      <c r="O578" s="11" t="n"/>
      <c r="P578" s="10">
        <f>IF(O578="","",IFERROR(VLOOKUP(O578,T_KHID,2,FALSE),0))</f>
        <v/>
      </c>
      <c r="Q578" s="11" t="n"/>
      <c r="R578" s="11" t="n"/>
      <c r="S578" s="10">
        <f>IF(AND(Q578="",R578=""),"",IFERROR(INDEX(T_LIBAT,MATCH(Q578,L_PER,0),MATCH(R578,L_JENIS,0)),0))</f>
        <v/>
      </c>
      <c r="T578" s="11" t="n"/>
      <c r="U578" s="11" t="n"/>
      <c r="V578" s="10">
        <f>IF(AND(T578="",U578=""),"",IFERROR(INDEX(T_CAPAI,MATCH(T578,L_PER,0),MATCH(U578,L_KED,0)),0))</f>
        <v/>
      </c>
      <c r="W578" s="17">
        <f>IF(OR(B578="",E578="",COUNTA(F578,H578,J578:M578,O578,Q578:R578,T578:U578)=0),"",SUM(G578,I578,N578,P578,S578,V578))</f>
        <v/>
      </c>
      <c r="X578" s="18">
        <f>IF(W578="","",IF(Murid!F578="TL","TL",ROUND(W578/110*100,2)))</f>
        <v/>
      </c>
    </row>
    <row r="579">
      <c r="A579" s="15">
        <f>Murid!A579</f>
        <v/>
      </c>
      <c r="B579" s="15">
        <f>IF(Murid!B579="","",Murid!B579)</f>
        <v/>
      </c>
      <c r="C579" s="16">
        <f>IF(Murid!C579="","",Murid!C579)</f>
        <v/>
      </c>
      <c r="D579" s="15">
        <f>IF(Murid!E579="","",Murid!E579)</f>
        <v/>
      </c>
      <c r="E579" s="11" t="n"/>
      <c r="F579" s="11" t="n"/>
      <c r="G579" s="10">
        <f>IF(F579="","",IFERROR(VLOOKUP(F579,T_JKP,2,FALSE),0))</f>
        <v/>
      </c>
      <c r="H579" s="11" t="n"/>
      <c r="I579" s="17">
        <f>IF(H579="","",IF(H579&gt;=12,40,ROUND(H579*3.33,2)))</f>
        <v/>
      </c>
      <c r="J579" s="11" t="n"/>
      <c r="K579" s="11" t="n"/>
      <c r="L579" s="11" t="n"/>
      <c r="M579" s="11" t="n"/>
      <c r="N579" s="10">
        <f>IF(COUNTA(J579:M579)=0,"",MIN(10,SUMPRODUCT((COUNTIF(J579:M579,L_KOM)&gt;0)*S_KOM)))</f>
        <v/>
      </c>
      <c r="O579" s="11" t="n"/>
      <c r="P579" s="10">
        <f>IF(O579="","",IFERROR(VLOOKUP(O579,T_KHID,2,FALSE),0))</f>
        <v/>
      </c>
      <c r="Q579" s="11" t="n"/>
      <c r="R579" s="11" t="n"/>
      <c r="S579" s="10">
        <f>IF(AND(Q579="",R579=""),"",IFERROR(INDEX(T_LIBAT,MATCH(Q579,L_PER,0),MATCH(R579,L_JENIS,0)),0))</f>
        <v/>
      </c>
      <c r="T579" s="11" t="n"/>
      <c r="U579" s="11" t="n"/>
      <c r="V579" s="10">
        <f>IF(AND(T579="",U579=""),"",IFERROR(INDEX(T_CAPAI,MATCH(T579,L_PER,0),MATCH(U579,L_KED,0)),0))</f>
        <v/>
      </c>
      <c r="W579" s="17">
        <f>IF(OR(B579="",E579="",COUNTA(F579,H579,J579:M579,O579,Q579:R579,T579:U579)=0),"",SUM(G579,I579,N579,P579,S579,V579))</f>
        <v/>
      </c>
      <c r="X579" s="18">
        <f>IF(W579="","",IF(Murid!F579="TL","TL",ROUND(W579/110*100,2)))</f>
        <v/>
      </c>
    </row>
    <row r="580">
      <c r="A580" s="15">
        <f>Murid!A580</f>
        <v/>
      </c>
      <c r="B580" s="15">
        <f>IF(Murid!B580="","",Murid!B580)</f>
        <v/>
      </c>
      <c r="C580" s="16">
        <f>IF(Murid!C580="","",Murid!C580)</f>
        <v/>
      </c>
      <c r="D580" s="15">
        <f>IF(Murid!E580="","",Murid!E580)</f>
        <v/>
      </c>
      <c r="E580" s="11" t="n"/>
      <c r="F580" s="11" t="n"/>
      <c r="G580" s="10">
        <f>IF(F580="","",IFERROR(VLOOKUP(F580,T_JKP,2,FALSE),0))</f>
        <v/>
      </c>
      <c r="H580" s="11" t="n"/>
      <c r="I580" s="17">
        <f>IF(H580="","",IF(H580&gt;=12,40,ROUND(H580*3.33,2)))</f>
        <v/>
      </c>
      <c r="J580" s="11" t="n"/>
      <c r="K580" s="11" t="n"/>
      <c r="L580" s="11" t="n"/>
      <c r="M580" s="11" t="n"/>
      <c r="N580" s="10">
        <f>IF(COUNTA(J580:M580)=0,"",MIN(10,SUMPRODUCT((COUNTIF(J580:M580,L_KOM)&gt;0)*S_KOM)))</f>
        <v/>
      </c>
      <c r="O580" s="11" t="n"/>
      <c r="P580" s="10">
        <f>IF(O580="","",IFERROR(VLOOKUP(O580,T_KHID,2,FALSE),0))</f>
        <v/>
      </c>
      <c r="Q580" s="11" t="n"/>
      <c r="R580" s="11" t="n"/>
      <c r="S580" s="10">
        <f>IF(AND(Q580="",R580=""),"",IFERROR(INDEX(T_LIBAT,MATCH(Q580,L_PER,0),MATCH(R580,L_JENIS,0)),0))</f>
        <v/>
      </c>
      <c r="T580" s="11" t="n"/>
      <c r="U580" s="11" t="n"/>
      <c r="V580" s="10">
        <f>IF(AND(T580="",U580=""),"",IFERROR(INDEX(T_CAPAI,MATCH(T580,L_PER,0),MATCH(U580,L_KED,0)),0))</f>
        <v/>
      </c>
      <c r="W580" s="17">
        <f>IF(OR(B580="",E580="",COUNTA(F580,H580,J580:M580,O580,Q580:R580,T580:U580)=0),"",SUM(G580,I580,N580,P580,S580,V580))</f>
        <v/>
      </c>
      <c r="X580" s="18">
        <f>IF(W580="","",IF(Murid!F580="TL","TL",ROUND(W580/110*100,2)))</f>
        <v/>
      </c>
    </row>
    <row r="581">
      <c r="A581" s="15">
        <f>Murid!A581</f>
        <v/>
      </c>
      <c r="B581" s="15">
        <f>IF(Murid!B581="","",Murid!B581)</f>
        <v/>
      </c>
      <c r="C581" s="16">
        <f>IF(Murid!C581="","",Murid!C581)</f>
        <v/>
      </c>
      <c r="D581" s="15">
        <f>IF(Murid!E581="","",Murid!E581)</f>
        <v/>
      </c>
      <c r="E581" s="11" t="n"/>
      <c r="F581" s="11" t="n"/>
      <c r="G581" s="10">
        <f>IF(F581="","",IFERROR(VLOOKUP(F581,T_JKP,2,FALSE),0))</f>
        <v/>
      </c>
      <c r="H581" s="11" t="n"/>
      <c r="I581" s="17">
        <f>IF(H581="","",IF(H581&gt;=12,40,ROUND(H581*3.33,2)))</f>
        <v/>
      </c>
      <c r="J581" s="11" t="n"/>
      <c r="K581" s="11" t="n"/>
      <c r="L581" s="11" t="n"/>
      <c r="M581" s="11" t="n"/>
      <c r="N581" s="10">
        <f>IF(COUNTA(J581:M581)=0,"",MIN(10,SUMPRODUCT((COUNTIF(J581:M581,L_KOM)&gt;0)*S_KOM)))</f>
        <v/>
      </c>
      <c r="O581" s="11" t="n"/>
      <c r="P581" s="10">
        <f>IF(O581="","",IFERROR(VLOOKUP(O581,T_KHID,2,FALSE),0))</f>
        <v/>
      </c>
      <c r="Q581" s="11" t="n"/>
      <c r="R581" s="11" t="n"/>
      <c r="S581" s="10">
        <f>IF(AND(Q581="",R581=""),"",IFERROR(INDEX(T_LIBAT,MATCH(Q581,L_PER,0),MATCH(R581,L_JENIS,0)),0))</f>
        <v/>
      </c>
      <c r="T581" s="11" t="n"/>
      <c r="U581" s="11" t="n"/>
      <c r="V581" s="10">
        <f>IF(AND(T581="",U581=""),"",IFERROR(INDEX(T_CAPAI,MATCH(T581,L_PER,0),MATCH(U581,L_KED,0)),0))</f>
        <v/>
      </c>
      <c r="W581" s="17">
        <f>IF(OR(B581="",E581="",COUNTA(F581,H581,J581:M581,O581,Q581:R581,T581:U581)=0),"",SUM(G581,I581,N581,P581,S581,V581))</f>
        <v/>
      </c>
      <c r="X581" s="18">
        <f>IF(W581="","",IF(Murid!F581="TL","TL",ROUND(W581/110*100,2)))</f>
        <v/>
      </c>
    </row>
    <row r="582">
      <c r="A582" s="15">
        <f>Murid!A582</f>
        <v/>
      </c>
      <c r="B582" s="15">
        <f>IF(Murid!B582="","",Murid!B582)</f>
        <v/>
      </c>
      <c r="C582" s="16">
        <f>IF(Murid!C582="","",Murid!C582)</f>
        <v/>
      </c>
      <c r="D582" s="15">
        <f>IF(Murid!E582="","",Murid!E582)</f>
        <v/>
      </c>
      <c r="E582" s="11" t="n"/>
      <c r="F582" s="11" t="n"/>
      <c r="G582" s="10">
        <f>IF(F582="","",IFERROR(VLOOKUP(F582,T_JKP,2,FALSE),0))</f>
        <v/>
      </c>
      <c r="H582" s="11" t="n"/>
      <c r="I582" s="17">
        <f>IF(H582="","",IF(H582&gt;=12,40,ROUND(H582*3.33,2)))</f>
        <v/>
      </c>
      <c r="J582" s="11" t="n"/>
      <c r="K582" s="11" t="n"/>
      <c r="L582" s="11" t="n"/>
      <c r="M582" s="11" t="n"/>
      <c r="N582" s="10">
        <f>IF(COUNTA(J582:M582)=0,"",MIN(10,SUMPRODUCT((COUNTIF(J582:M582,L_KOM)&gt;0)*S_KOM)))</f>
        <v/>
      </c>
      <c r="O582" s="11" t="n"/>
      <c r="P582" s="10">
        <f>IF(O582="","",IFERROR(VLOOKUP(O582,T_KHID,2,FALSE),0))</f>
        <v/>
      </c>
      <c r="Q582" s="11" t="n"/>
      <c r="R582" s="11" t="n"/>
      <c r="S582" s="10">
        <f>IF(AND(Q582="",R582=""),"",IFERROR(INDEX(T_LIBAT,MATCH(Q582,L_PER,0),MATCH(R582,L_JENIS,0)),0))</f>
        <v/>
      </c>
      <c r="T582" s="11" t="n"/>
      <c r="U582" s="11" t="n"/>
      <c r="V582" s="10">
        <f>IF(AND(T582="",U582=""),"",IFERROR(INDEX(T_CAPAI,MATCH(T582,L_PER,0),MATCH(U582,L_KED,0)),0))</f>
        <v/>
      </c>
      <c r="W582" s="17">
        <f>IF(OR(B582="",E582="",COUNTA(F582,H582,J582:M582,O582,Q582:R582,T582:U582)=0),"",SUM(G582,I582,N582,P582,S582,V582))</f>
        <v/>
      </c>
      <c r="X582" s="18">
        <f>IF(W582="","",IF(Murid!F582="TL","TL",ROUND(W582/110*100,2)))</f>
        <v/>
      </c>
    </row>
    <row r="583">
      <c r="A583" s="15">
        <f>Murid!A583</f>
        <v/>
      </c>
      <c r="B583" s="15">
        <f>IF(Murid!B583="","",Murid!B583)</f>
        <v/>
      </c>
      <c r="C583" s="16">
        <f>IF(Murid!C583="","",Murid!C583)</f>
        <v/>
      </c>
      <c r="D583" s="15">
        <f>IF(Murid!E583="","",Murid!E583)</f>
        <v/>
      </c>
      <c r="E583" s="11" t="n"/>
      <c r="F583" s="11" t="n"/>
      <c r="G583" s="10">
        <f>IF(F583="","",IFERROR(VLOOKUP(F583,T_JKP,2,FALSE),0))</f>
        <v/>
      </c>
      <c r="H583" s="11" t="n"/>
      <c r="I583" s="17">
        <f>IF(H583="","",IF(H583&gt;=12,40,ROUND(H583*3.33,2)))</f>
        <v/>
      </c>
      <c r="J583" s="11" t="n"/>
      <c r="K583" s="11" t="n"/>
      <c r="L583" s="11" t="n"/>
      <c r="M583" s="11" t="n"/>
      <c r="N583" s="10">
        <f>IF(COUNTA(J583:M583)=0,"",MIN(10,SUMPRODUCT((COUNTIF(J583:M583,L_KOM)&gt;0)*S_KOM)))</f>
        <v/>
      </c>
      <c r="O583" s="11" t="n"/>
      <c r="P583" s="10">
        <f>IF(O583="","",IFERROR(VLOOKUP(O583,T_KHID,2,FALSE),0))</f>
        <v/>
      </c>
      <c r="Q583" s="11" t="n"/>
      <c r="R583" s="11" t="n"/>
      <c r="S583" s="10">
        <f>IF(AND(Q583="",R583=""),"",IFERROR(INDEX(T_LIBAT,MATCH(Q583,L_PER,0),MATCH(R583,L_JENIS,0)),0))</f>
        <v/>
      </c>
      <c r="T583" s="11" t="n"/>
      <c r="U583" s="11" t="n"/>
      <c r="V583" s="10">
        <f>IF(AND(T583="",U583=""),"",IFERROR(INDEX(T_CAPAI,MATCH(T583,L_PER,0),MATCH(U583,L_KED,0)),0))</f>
        <v/>
      </c>
      <c r="W583" s="17">
        <f>IF(OR(B583="",E583="",COUNTA(F583,H583,J583:M583,O583,Q583:R583,T583:U583)=0),"",SUM(G583,I583,N583,P583,S583,V583))</f>
        <v/>
      </c>
      <c r="X583" s="18">
        <f>IF(W583="","",IF(Murid!F583="TL","TL",ROUND(W583/110*100,2)))</f>
        <v/>
      </c>
    </row>
    <row r="584">
      <c r="A584" s="15">
        <f>Murid!A584</f>
        <v/>
      </c>
      <c r="B584" s="15">
        <f>IF(Murid!B584="","",Murid!B584)</f>
        <v/>
      </c>
      <c r="C584" s="16">
        <f>IF(Murid!C584="","",Murid!C584)</f>
        <v/>
      </c>
      <c r="D584" s="15">
        <f>IF(Murid!E584="","",Murid!E584)</f>
        <v/>
      </c>
      <c r="E584" s="11" t="n"/>
      <c r="F584" s="11" t="n"/>
      <c r="G584" s="10">
        <f>IF(F584="","",IFERROR(VLOOKUP(F584,T_JKP,2,FALSE),0))</f>
        <v/>
      </c>
      <c r="H584" s="11" t="n"/>
      <c r="I584" s="17">
        <f>IF(H584="","",IF(H584&gt;=12,40,ROUND(H584*3.33,2)))</f>
        <v/>
      </c>
      <c r="J584" s="11" t="n"/>
      <c r="K584" s="11" t="n"/>
      <c r="L584" s="11" t="n"/>
      <c r="M584" s="11" t="n"/>
      <c r="N584" s="10">
        <f>IF(COUNTA(J584:M584)=0,"",MIN(10,SUMPRODUCT((COUNTIF(J584:M584,L_KOM)&gt;0)*S_KOM)))</f>
        <v/>
      </c>
      <c r="O584" s="11" t="n"/>
      <c r="P584" s="10">
        <f>IF(O584="","",IFERROR(VLOOKUP(O584,T_KHID,2,FALSE),0))</f>
        <v/>
      </c>
      <c r="Q584" s="11" t="n"/>
      <c r="R584" s="11" t="n"/>
      <c r="S584" s="10">
        <f>IF(AND(Q584="",R584=""),"",IFERROR(INDEX(T_LIBAT,MATCH(Q584,L_PER,0),MATCH(R584,L_JENIS,0)),0))</f>
        <v/>
      </c>
      <c r="T584" s="11" t="n"/>
      <c r="U584" s="11" t="n"/>
      <c r="V584" s="10">
        <f>IF(AND(T584="",U584=""),"",IFERROR(INDEX(T_CAPAI,MATCH(T584,L_PER,0),MATCH(U584,L_KED,0)),0))</f>
        <v/>
      </c>
      <c r="W584" s="17">
        <f>IF(OR(B584="",E584="",COUNTA(F584,H584,J584:M584,O584,Q584:R584,T584:U584)=0),"",SUM(G584,I584,N584,P584,S584,V584))</f>
        <v/>
      </c>
      <c r="X584" s="18">
        <f>IF(W584="","",IF(Murid!F584="TL","TL",ROUND(W584/110*100,2)))</f>
        <v/>
      </c>
    </row>
    <row r="585">
      <c r="A585" s="15">
        <f>Murid!A585</f>
        <v/>
      </c>
      <c r="B585" s="15">
        <f>IF(Murid!B585="","",Murid!B585)</f>
        <v/>
      </c>
      <c r="C585" s="16">
        <f>IF(Murid!C585="","",Murid!C585)</f>
        <v/>
      </c>
      <c r="D585" s="15">
        <f>IF(Murid!E585="","",Murid!E585)</f>
        <v/>
      </c>
      <c r="E585" s="11" t="n"/>
      <c r="F585" s="11" t="n"/>
      <c r="G585" s="10">
        <f>IF(F585="","",IFERROR(VLOOKUP(F585,T_JKP,2,FALSE),0))</f>
        <v/>
      </c>
      <c r="H585" s="11" t="n"/>
      <c r="I585" s="17">
        <f>IF(H585="","",IF(H585&gt;=12,40,ROUND(H585*3.33,2)))</f>
        <v/>
      </c>
      <c r="J585" s="11" t="n"/>
      <c r="K585" s="11" t="n"/>
      <c r="L585" s="11" t="n"/>
      <c r="M585" s="11" t="n"/>
      <c r="N585" s="10">
        <f>IF(COUNTA(J585:M585)=0,"",MIN(10,SUMPRODUCT((COUNTIF(J585:M585,L_KOM)&gt;0)*S_KOM)))</f>
        <v/>
      </c>
      <c r="O585" s="11" t="n"/>
      <c r="P585" s="10">
        <f>IF(O585="","",IFERROR(VLOOKUP(O585,T_KHID,2,FALSE),0))</f>
        <v/>
      </c>
      <c r="Q585" s="11" t="n"/>
      <c r="R585" s="11" t="n"/>
      <c r="S585" s="10">
        <f>IF(AND(Q585="",R585=""),"",IFERROR(INDEX(T_LIBAT,MATCH(Q585,L_PER,0),MATCH(R585,L_JENIS,0)),0))</f>
        <v/>
      </c>
      <c r="T585" s="11" t="n"/>
      <c r="U585" s="11" t="n"/>
      <c r="V585" s="10">
        <f>IF(AND(T585="",U585=""),"",IFERROR(INDEX(T_CAPAI,MATCH(T585,L_PER,0),MATCH(U585,L_KED,0)),0))</f>
        <v/>
      </c>
      <c r="W585" s="17">
        <f>IF(OR(B585="",E585="",COUNTA(F585,H585,J585:M585,O585,Q585:R585,T585:U585)=0),"",SUM(G585,I585,N585,P585,S585,V585))</f>
        <v/>
      </c>
      <c r="X585" s="18">
        <f>IF(W585="","",IF(Murid!F585="TL","TL",ROUND(W585/110*100,2)))</f>
        <v/>
      </c>
    </row>
    <row r="586">
      <c r="A586" s="15">
        <f>Murid!A586</f>
        <v/>
      </c>
      <c r="B586" s="15">
        <f>IF(Murid!B586="","",Murid!B586)</f>
        <v/>
      </c>
      <c r="C586" s="16">
        <f>IF(Murid!C586="","",Murid!C586)</f>
        <v/>
      </c>
      <c r="D586" s="15">
        <f>IF(Murid!E586="","",Murid!E586)</f>
        <v/>
      </c>
      <c r="E586" s="11" t="n"/>
      <c r="F586" s="11" t="n"/>
      <c r="G586" s="10">
        <f>IF(F586="","",IFERROR(VLOOKUP(F586,T_JKP,2,FALSE),0))</f>
        <v/>
      </c>
      <c r="H586" s="11" t="n"/>
      <c r="I586" s="17">
        <f>IF(H586="","",IF(H586&gt;=12,40,ROUND(H586*3.33,2)))</f>
        <v/>
      </c>
      <c r="J586" s="11" t="n"/>
      <c r="K586" s="11" t="n"/>
      <c r="L586" s="11" t="n"/>
      <c r="M586" s="11" t="n"/>
      <c r="N586" s="10">
        <f>IF(COUNTA(J586:M586)=0,"",MIN(10,SUMPRODUCT((COUNTIF(J586:M586,L_KOM)&gt;0)*S_KOM)))</f>
        <v/>
      </c>
      <c r="O586" s="11" t="n"/>
      <c r="P586" s="10">
        <f>IF(O586="","",IFERROR(VLOOKUP(O586,T_KHID,2,FALSE),0))</f>
        <v/>
      </c>
      <c r="Q586" s="11" t="n"/>
      <c r="R586" s="11" t="n"/>
      <c r="S586" s="10">
        <f>IF(AND(Q586="",R586=""),"",IFERROR(INDEX(T_LIBAT,MATCH(Q586,L_PER,0),MATCH(R586,L_JENIS,0)),0))</f>
        <v/>
      </c>
      <c r="T586" s="11" t="n"/>
      <c r="U586" s="11" t="n"/>
      <c r="V586" s="10">
        <f>IF(AND(T586="",U586=""),"",IFERROR(INDEX(T_CAPAI,MATCH(T586,L_PER,0),MATCH(U586,L_KED,0)),0))</f>
        <v/>
      </c>
      <c r="W586" s="17">
        <f>IF(OR(B586="",E586="",COUNTA(F586,H586,J586:M586,O586,Q586:R586,T586:U586)=0),"",SUM(G586,I586,N586,P586,S586,V586))</f>
        <v/>
      </c>
      <c r="X586" s="18">
        <f>IF(W586="","",IF(Murid!F586="TL","TL",ROUND(W586/110*100,2)))</f>
        <v/>
      </c>
    </row>
    <row r="587">
      <c r="A587" s="15">
        <f>Murid!A587</f>
        <v/>
      </c>
      <c r="B587" s="15">
        <f>IF(Murid!B587="","",Murid!B587)</f>
        <v/>
      </c>
      <c r="C587" s="16">
        <f>IF(Murid!C587="","",Murid!C587)</f>
        <v/>
      </c>
      <c r="D587" s="15">
        <f>IF(Murid!E587="","",Murid!E587)</f>
        <v/>
      </c>
      <c r="E587" s="11" t="n"/>
      <c r="F587" s="11" t="n"/>
      <c r="G587" s="10">
        <f>IF(F587="","",IFERROR(VLOOKUP(F587,T_JKP,2,FALSE),0))</f>
        <v/>
      </c>
      <c r="H587" s="11" t="n"/>
      <c r="I587" s="17">
        <f>IF(H587="","",IF(H587&gt;=12,40,ROUND(H587*3.33,2)))</f>
        <v/>
      </c>
      <c r="J587" s="11" t="n"/>
      <c r="K587" s="11" t="n"/>
      <c r="L587" s="11" t="n"/>
      <c r="M587" s="11" t="n"/>
      <c r="N587" s="10">
        <f>IF(COUNTA(J587:M587)=0,"",MIN(10,SUMPRODUCT((COUNTIF(J587:M587,L_KOM)&gt;0)*S_KOM)))</f>
        <v/>
      </c>
      <c r="O587" s="11" t="n"/>
      <c r="P587" s="10">
        <f>IF(O587="","",IFERROR(VLOOKUP(O587,T_KHID,2,FALSE),0))</f>
        <v/>
      </c>
      <c r="Q587" s="11" t="n"/>
      <c r="R587" s="11" t="n"/>
      <c r="S587" s="10">
        <f>IF(AND(Q587="",R587=""),"",IFERROR(INDEX(T_LIBAT,MATCH(Q587,L_PER,0),MATCH(R587,L_JENIS,0)),0))</f>
        <v/>
      </c>
      <c r="T587" s="11" t="n"/>
      <c r="U587" s="11" t="n"/>
      <c r="V587" s="10">
        <f>IF(AND(T587="",U587=""),"",IFERROR(INDEX(T_CAPAI,MATCH(T587,L_PER,0),MATCH(U587,L_KED,0)),0))</f>
        <v/>
      </c>
      <c r="W587" s="17">
        <f>IF(OR(B587="",E587="",COUNTA(F587,H587,J587:M587,O587,Q587:R587,T587:U587)=0),"",SUM(G587,I587,N587,P587,S587,V587))</f>
        <v/>
      </c>
      <c r="X587" s="18">
        <f>IF(W587="","",IF(Murid!F587="TL","TL",ROUND(W587/110*100,2)))</f>
        <v/>
      </c>
    </row>
    <row r="588">
      <c r="A588" s="15">
        <f>Murid!A588</f>
        <v/>
      </c>
      <c r="B588" s="15">
        <f>IF(Murid!B588="","",Murid!B588)</f>
        <v/>
      </c>
      <c r="C588" s="16">
        <f>IF(Murid!C588="","",Murid!C588)</f>
        <v/>
      </c>
      <c r="D588" s="15">
        <f>IF(Murid!E588="","",Murid!E588)</f>
        <v/>
      </c>
      <c r="E588" s="11" t="n"/>
      <c r="F588" s="11" t="n"/>
      <c r="G588" s="10">
        <f>IF(F588="","",IFERROR(VLOOKUP(F588,T_JKP,2,FALSE),0))</f>
        <v/>
      </c>
      <c r="H588" s="11" t="n"/>
      <c r="I588" s="17">
        <f>IF(H588="","",IF(H588&gt;=12,40,ROUND(H588*3.33,2)))</f>
        <v/>
      </c>
      <c r="J588" s="11" t="n"/>
      <c r="K588" s="11" t="n"/>
      <c r="L588" s="11" t="n"/>
      <c r="M588" s="11" t="n"/>
      <c r="N588" s="10">
        <f>IF(COUNTA(J588:M588)=0,"",MIN(10,SUMPRODUCT((COUNTIF(J588:M588,L_KOM)&gt;0)*S_KOM)))</f>
        <v/>
      </c>
      <c r="O588" s="11" t="n"/>
      <c r="P588" s="10">
        <f>IF(O588="","",IFERROR(VLOOKUP(O588,T_KHID,2,FALSE),0))</f>
        <v/>
      </c>
      <c r="Q588" s="11" t="n"/>
      <c r="R588" s="11" t="n"/>
      <c r="S588" s="10">
        <f>IF(AND(Q588="",R588=""),"",IFERROR(INDEX(T_LIBAT,MATCH(Q588,L_PER,0),MATCH(R588,L_JENIS,0)),0))</f>
        <v/>
      </c>
      <c r="T588" s="11" t="n"/>
      <c r="U588" s="11" t="n"/>
      <c r="V588" s="10">
        <f>IF(AND(T588="",U588=""),"",IFERROR(INDEX(T_CAPAI,MATCH(T588,L_PER,0),MATCH(U588,L_KED,0)),0))</f>
        <v/>
      </c>
      <c r="W588" s="17">
        <f>IF(OR(B588="",E588="",COUNTA(F588,H588,J588:M588,O588,Q588:R588,T588:U588)=0),"",SUM(G588,I588,N588,P588,S588,V588))</f>
        <v/>
      </c>
      <c r="X588" s="18">
        <f>IF(W588="","",IF(Murid!F588="TL","TL",ROUND(W588/110*100,2)))</f>
        <v/>
      </c>
    </row>
    <row r="589">
      <c r="A589" s="15">
        <f>Murid!A589</f>
        <v/>
      </c>
      <c r="B589" s="15">
        <f>IF(Murid!B589="","",Murid!B589)</f>
        <v/>
      </c>
      <c r="C589" s="16">
        <f>IF(Murid!C589="","",Murid!C589)</f>
        <v/>
      </c>
      <c r="D589" s="15">
        <f>IF(Murid!E589="","",Murid!E589)</f>
        <v/>
      </c>
      <c r="E589" s="11" t="n"/>
      <c r="F589" s="11" t="n"/>
      <c r="G589" s="10">
        <f>IF(F589="","",IFERROR(VLOOKUP(F589,T_JKP,2,FALSE),0))</f>
        <v/>
      </c>
      <c r="H589" s="11" t="n"/>
      <c r="I589" s="17">
        <f>IF(H589="","",IF(H589&gt;=12,40,ROUND(H589*3.33,2)))</f>
        <v/>
      </c>
      <c r="J589" s="11" t="n"/>
      <c r="K589" s="11" t="n"/>
      <c r="L589" s="11" t="n"/>
      <c r="M589" s="11" t="n"/>
      <c r="N589" s="10">
        <f>IF(COUNTA(J589:M589)=0,"",MIN(10,SUMPRODUCT((COUNTIF(J589:M589,L_KOM)&gt;0)*S_KOM)))</f>
        <v/>
      </c>
      <c r="O589" s="11" t="n"/>
      <c r="P589" s="10">
        <f>IF(O589="","",IFERROR(VLOOKUP(O589,T_KHID,2,FALSE),0))</f>
        <v/>
      </c>
      <c r="Q589" s="11" t="n"/>
      <c r="R589" s="11" t="n"/>
      <c r="S589" s="10">
        <f>IF(AND(Q589="",R589=""),"",IFERROR(INDEX(T_LIBAT,MATCH(Q589,L_PER,0),MATCH(R589,L_JENIS,0)),0))</f>
        <v/>
      </c>
      <c r="T589" s="11" t="n"/>
      <c r="U589" s="11" t="n"/>
      <c r="V589" s="10">
        <f>IF(AND(T589="",U589=""),"",IFERROR(INDEX(T_CAPAI,MATCH(T589,L_PER,0),MATCH(U589,L_KED,0)),0))</f>
        <v/>
      </c>
      <c r="W589" s="17">
        <f>IF(OR(B589="",E589="",COUNTA(F589,H589,J589:M589,O589,Q589:R589,T589:U589)=0),"",SUM(G589,I589,N589,P589,S589,V589))</f>
        <v/>
      </c>
      <c r="X589" s="18">
        <f>IF(W589="","",IF(Murid!F589="TL","TL",ROUND(W589/110*100,2)))</f>
        <v/>
      </c>
    </row>
    <row r="590">
      <c r="A590" s="15">
        <f>Murid!A590</f>
        <v/>
      </c>
      <c r="B590" s="15">
        <f>IF(Murid!B590="","",Murid!B590)</f>
        <v/>
      </c>
      <c r="C590" s="16">
        <f>IF(Murid!C590="","",Murid!C590)</f>
        <v/>
      </c>
      <c r="D590" s="15">
        <f>IF(Murid!E590="","",Murid!E590)</f>
        <v/>
      </c>
      <c r="E590" s="11" t="n"/>
      <c r="F590" s="11" t="n"/>
      <c r="G590" s="10">
        <f>IF(F590="","",IFERROR(VLOOKUP(F590,T_JKP,2,FALSE),0))</f>
        <v/>
      </c>
      <c r="H590" s="11" t="n"/>
      <c r="I590" s="17">
        <f>IF(H590="","",IF(H590&gt;=12,40,ROUND(H590*3.33,2)))</f>
        <v/>
      </c>
      <c r="J590" s="11" t="n"/>
      <c r="K590" s="11" t="n"/>
      <c r="L590" s="11" t="n"/>
      <c r="M590" s="11" t="n"/>
      <c r="N590" s="10">
        <f>IF(COUNTA(J590:M590)=0,"",MIN(10,SUMPRODUCT((COUNTIF(J590:M590,L_KOM)&gt;0)*S_KOM)))</f>
        <v/>
      </c>
      <c r="O590" s="11" t="n"/>
      <c r="P590" s="10">
        <f>IF(O590="","",IFERROR(VLOOKUP(O590,T_KHID,2,FALSE),0))</f>
        <v/>
      </c>
      <c r="Q590" s="11" t="n"/>
      <c r="R590" s="11" t="n"/>
      <c r="S590" s="10">
        <f>IF(AND(Q590="",R590=""),"",IFERROR(INDEX(T_LIBAT,MATCH(Q590,L_PER,0),MATCH(R590,L_JENIS,0)),0))</f>
        <v/>
      </c>
      <c r="T590" s="11" t="n"/>
      <c r="U590" s="11" t="n"/>
      <c r="V590" s="10">
        <f>IF(AND(T590="",U590=""),"",IFERROR(INDEX(T_CAPAI,MATCH(T590,L_PER,0),MATCH(U590,L_KED,0)),0))</f>
        <v/>
      </c>
      <c r="W590" s="17">
        <f>IF(OR(B590="",E590="",COUNTA(F590,H590,J590:M590,O590,Q590:R590,T590:U590)=0),"",SUM(G590,I590,N590,P590,S590,V590))</f>
        <v/>
      </c>
      <c r="X590" s="18">
        <f>IF(W590="","",IF(Murid!F590="TL","TL",ROUND(W590/110*100,2)))</f>
        <v/>
      </c>
    </row>
    <row r="591">
      <c r="A591" s="15">
        <f>Murid!A591</f>
        <v/>
      </c>
      <c r="B591" s="15">
        <f>IF(Murid!B591="","",Murid!B591)</f>
        <v/>
      </c>
      <c r="C591" s="16">
        <f>IF(Murid!C591="","",Murid!C591)</f>
        <v/>
      </c>
      <c r="D591" s="15">
        <f>IF(Murid!E591="","",Murid!E591)</f>
        <v/>
      </c>
      <c r="E591" s="11" t="n"/>
      <c r="F591" s="11" t="n"/>
      <c r="G591" s="10">
        <f>IF(F591="","",IFERROR(VLOOKUP(F591,T_JKP,2,FALSE),0))</f>
        <v/>
      </c>
      <c r="H591" s="11" t="n"/>
      <c r="I591" s="17">
        <f>IF(H591="","",IF(H591&gt;=12,40,ROUND(H591*3.33,2)))</f>
        <v/>
      </c>
      <c r="J591" s="11" t="n"/>
      <c r="K591" s="11" t="n"/>
      <c r="L591" s="11" t="n"/>
      <c r="M591" s="11" t="n"/>
      <c r="N591" s="10">
        <f>IF(COUNTA(J591:M591)=0,"",MIN(10,SUMPRODUCT((COUNTIF(J591:M591,L_KOM)&gt;0)*S_KOM)))</f>
        <v/>
      </c>
      <c r="O591" s="11" t="n"/>
      <c r="P591" s="10">
        <f>IF(O591="","",IFERROR(VLOOKUP(O591,T_KHID,2,FALSE),0))</f>
        <v/>
      </c>
      <c r="Q591" s="11" t="n"/>
      <c r="R591" s="11" t="n"/>
      <c r="S591" s="10">
        <f>IF(AND(Q591="",R591=""),"",IFERROR(INDEX(T_LIBAT,MATCH(Q591,L_PER,0),MATCH(R591,L_JENIS,0)),0))</f>
        <v/>
      </c>
      <c r="T591" s="11" t="n"/>
      <c r="U591" s="11" t="n"/>
      <c r="V591" s="10">
        <f>IF(AND(T591="",U591=""),"",IFERROR(INDEX(T_CAPAI,MATCH(T591,L_PER,0),MATCH(U591,L_KED,0)),0))</f>
        <v/>
      </c>
      <c r="W591" s="17">
        <f>IF(OR(B591="",E591="",COUNTA(F591,H591,J591:M591,O591,Q591:R591,T591:U591)=0),"",SUM(G591,I591,N591,P591,S591,V591))</f>
        <v/>
      </c>
      <c r="X591" s="18">
        <f>IF(W591="","",IF(Murid!F591="TL","TL",ROUND(W591/110*100,2)))</f>
        <v/>
      </c>
    </row>
    <row r="592">
      <c r="A592" s="15">
        <f>Murid!A592</f>
        <v/>
      </c>
      <c r="B592" s="15">
        <f>IF(Murid!B592="","",Murid!B592)</f>
        <v/>
      </c>
      <c r="C592" s="16">
        <f>IF(Murid!C592="","",Murid!C592)</f>
        <v/>
      </c>
      <c r="D592" s="15">
        <f>IF(Murid!E592="","",Murid!E592)</f>
        <v/>
      </c>
      <c r="E592" s="11" t="n"/>
      <c r="F592" s="11" t="n"/>
      <c r="G592" s="10">
        <f>IF(F592="","",IFERROR(VLOOKUP(F592,T_JKP,2,FALSE),0))</f>
        <v/>
      </c>
      <c r="H592" s="11" t="n"/>
      <c r="I592" s="17">
        <f>IF(H592="","",IF(H592&gt;=12,40,ROUND(H592*3.33,2)))</f>
        <v/>
      </c>
      <c r="J592" s="11" t="n"/>
      <c r="K592" s="11" t="n"/>
      <c r="L592" s="11" t="n"/>
      <c r="M592" s="11" t="n"/>
      <c r="N592" s="10">
        <f>IF(COUNTA(J592:M592)=0,"",MIN(10,SUMPRODUCT((COUNTIF(J592:M592,L_KOM)&gt;0)*S_KOM)))</f>
        <v/>
      </c>
      <c r="O592" s="11" t="n"/>
      <c r="P592" s="10">
        <f>IF(O592="","",IFERROR(VLOOKUP(O592,T_KHID,2,FALSE),0))</f>
        <v/>
      </c>
      <c r="Q592" s="11" t="n"/>
      <c r="R592" s="11" t="n"/>
      <c r="S592" s="10">
        <f>IF(AND(Q592="",R592=""),"",IFERROR(INDEX(T_LIBAT,MATCH(Q592,L_PER,0),MATCH(R592,L_JENIS,0)),0))</f>
        <v/>
      </c>
      <c r="T592" s="11" t="n"/>
      <c r="U592" s="11" t="n"/>
      <c r="V592" s="10">
        <f>IF(AND(T592="",U592=""),"",IFERROR(INDEX(T_CAPAI,MATCH(T592,L_PER,0),MATCH(U592,L_KED,0)),0))</f>
        <v/>
      </c>
      <c r="W592" s="17">
        <f>IF(OR(B592="",E592="",COUNTA(F592,H592,J592:M592,O592,Q592:R592,T592:U592)=0),"",SUM(G592,I592,N592,P592,S592,V592))</f>
        <v/>
      </c>
      <c r="X592" s="18">
        <f>IF(W592="","",IF(Murid!F592="TL","TL",ROUND(W592/110*100,2)))</f>
        <v/>
      </c>
    </row>
    <row r="593">
      <c r="A593" s="15">
        <f>Murid!A593</f>
        <v/>
      </c>
      <c r="B593" s="15">
        <f>IF(Murid!B593="","",Murid!B593)</f>
        <v/>
      </c>
      <c r="C593" s="16">
        <f>IF(Murid!C593="","",Murid!C593)</f>
        <v/>
      </c>
      <c r="D593" s="15">
        <f>IF(Murid!E593="","",Murid!E593)</f>
        <v/>
      </c>
      <c r="E593" s="11" t="n"/>
      <c r="F593" s="11" t="n"/>
      <c r="G593" s="10">
        <f>IF(F593="","",IFERROR(VLOOKUP(F593,T_JKP,2,FALSE),0))</f>
        <v/>
      </c>
      <c r="H593" s="11" t="n"/>
      <c r="I593" s="17">
        <f>IF(H593="","",IF(H593&gt;=12,40,ROUND(H593*3.33,2)))</f>
        <v/>
      </c>
      <c r="J593" s="11" t="n"/>
      <c r="K593" s="11" t="n"/>
      <c r="L593" s="11" t="n"/>
      <c r="M593" s="11" t="n"/>
      <c r="N593" s="10">
        <f>IF(COUNTA(J593:M593)=0,"",MIN(10,SUMPRODUCT((COUNTIF(J593:M593,L_KOM)&gt;0)*S_KOM)))</f>
        <v/>
      </c>
      <c r="O593" s="11" t="n"/>
      <c r="P593" s="10">
        <f>IF(O593="","",IFERROR(VLOOKUP(O593,T_KHID,2,FALSE),0))</f>
        <v/>
      </c>
      <c r="Q593" s="11" t="n"/>
      <c r="R593" s="11" t="n"/>
      <c r="S593" s="10">
        <f>IF(AND(Q593="",R593=""),"",IFERROR(INDEX(T_LIBAT,MATCH(Q593,L_PER,0),MATCH(R593,L_JENIS,0)),0))</f>
        <v/>
      </c>
      <c r="T593" s="11" t="n"/>
      <c r="U593" s="11" t="n"/>
      <c r="V593" s="10">
        <f>IF(AND(T593="",U593=""),"",IFERROR(INDEX(T_CAPAI,MATCH(T593,L_PER,0),MATCH(U593,L_KED,0)),0))</f>
        <v/>
      </c>
      <c r="W593" s="17">
        <f>IF(OR(B593="",E593="",COUNTA(F593,H593,J593:M593,O593,Q593:R593,T593:U593)=0),"",SUM(G593,I593,N593,P593,S593,V593))</f>
        <v/>
      </c>
      <c r="X593" s="18">
        <f>IF(W593="","",IF(Murid!F593="TL","TL",ROUND(W593/110*100,2)))</f>
        <v/>
      </c>
    </row>
    <row r="594">
      <c r="A594" s="15">
        <f>Murid!A594</f>
        <v/>
      </c>
      <c r="B594" s="15">
        <f>IF(Murid!B594="","",Murid!B594)</f>
        <v/>
      </c>
      <c r="C594" s="16">
        <f>IF(Murid!C594="","",Murid!C594)</f>
        <v/>
      </c>
      <c r="D594" s="15">
        <f>IF(Murid!E594="","",Murid!E594)</f>
        <v/>
      </c>
      <c r="E594" s="11" t="n"/>
      <c r="F594" s="11" t="n"/>
      <c r="G594" s="10">
        <f>IF(F594="","",IFERROR(VLOOKUP(F594,T_JKP,2,FALSE),0))</f>
        <v/>
      </c>
      <c r="H594" s="11" t="n"/>
      <c r="I594" s="17">
        <f>IF(H594="","",IF(H594&gt;=12,40,ROUND(H594*3.33,2)))</f>
        <v/>
      </c>
      <c r="J594" s="11" t="n"/>
      <c r="K594" s="11" t="n"/>
      <c r="L594" s="11" t="n"/>
      <c r="M594" s="11" t="n"/>
      <c r="N594" s="10">
        <f>IF(COUNTA(J594:M594)=0,"",MIN(10,SUMPRODUCT((COUNTIF(J594:M594,L_KOM)&gt;0)*S_KOM)))</f>
        <v/>
      </c>
      <c r="O594" s="11" t="n"/>
      <c r="P594" s="10">
        <f>IF(O594="","",IFERROR(VLOOKUP(O594,T_KHID,2,FALSE),0))</f>
        <v/>
      </c>
      <c r="Q594" s="11" t="n"/>
      <c r="R594" s="11" t="n"/>
      <c r="S594" s="10">
        <f>IF(AND(Q594="",R594=""),"",IFERROR(INDEX(T_LIBAT,MATCH(Q594,L_PER,0),MATCH(R594,L_JENIS,0)),0))</f>
        <v/>
      </c>
      <c r="T594" s="11" t="n"/>
      <c r="U594" s="11" t="n"/>
      <c r="V594" s="10">
        <f>IF(AND(T594="",U594=""),"",IFERROR(INDEX(T_CAPAI,MATCH(T594,L_PER,0),MATCH(U594,L_KED,0)),0))</f>
        <v/>
      </c>
      <c r="W594" s="17">
        <f>IF(OR(B594="",E594="",COUNTA(F594,H594,J594:M594,O594,Q594:R594,T594:U594)=0),"",SUM(G594,I594,N594,P594,S594,V594))</f>
        <v/>
      </c>
      <c r="X594" s="18">
        <f>IF(W594="","",IF(Murid!F594="TL","TL",ROUND(W594/110*100,2)))</f>
        <v/>
      </c>
    </row>
    <row r="595">
      <c r="A595" s="15">
        <f>Murid!A595</f>
        <v/>
      </c>
      <c r="B595" s="15">
        <f>IF(Murid!B595="","",Murid!B595)</f>
        <v/>
      </c>
      <c r="C595" s="16">
        <f>IF(Murid!C595="","",Murid!C595)</f>
        <v/>
      </c>
      <c r="D595" s="15">
        <f>IF(Murid!E595="","",Murid!E595)</f>
        <v/>
      </c>
      <c r="E595" s="11" t="n"/>
      <c r="F595" s="11" t="n"/>
      <c r="G595" s="10">
        <f>IF(F595="","",IFERROR(VLOOKUP(F595,T_JKP,2,FALSE),0))</f>
        <v/>
      </c>
      <c r="H595" s="11" t="n"/>
      <c r="I595" s="17">
        <f>IF(H595="","",IF(H595&gt;=12,40,ROUND(H595*3.33,2)))</f>
        <v/>
      </c>
      <c r="J595" s="11" t="n"/>
      <c r="K595" s="11" t="n"/>
      <c r="L595" s="11" t="n"/>
      <c r="M595" s="11" t="n"/>
      <c r="N595" s="10">
        <f>IF(COUNTA(J595:M595)=0,"",MIN(10,SUMPRODUCT((COUNTIF(J595:M595,L_KOM)&gt;0)*S_KOM)))</f>
        <v/>
      </c>
      <c r="O595" s="11" t="n"/>
      <c r="P595" s="10">
        <f>IF(O595="","",IFERROR(VLOOKUP(O595,T_KHID,2,FALSE),0))</f>
        <v/>
      </c>
      <c r="Q595" s="11" t="n"/>
      <c r="R595" s="11" t="n"/>
      <c r="S595" s="10">
        <f>IF(AND(Q595="",R595=""),"",IFERROR(INDEX(T_LIBAT,MATCH(Q595,L_PER,0),MATCH(R595,L_JENIS,0)),0))</f>
        <v/>
      </c>
      <c r="T595" s="11" t="n"/>
      <c r="U595" s="11" t="n"/>
      <c r="V595" s="10">
        <f>IF(AND(T595="",U595=""),"",IFERROR(INDEX(T_CAPAI,MATCH(T595,L_PER,0),MATCH(U595,L_KED,0)),0))</f>
        <v/>
      </c>
      <c r="W595" s="17">
        <f>IF(OR(B595="",E595="",COUNTA(F595,H595,J595:M595,O595,Q595:R595,T595:U595)=0),"",SUM(G595,I595,N595,P595,S595,V595))</f>
        <v/>
      </c>
      <c r="X595" s="18">
        <f>IF(W595="","",IF(Murid!F595="TL","TL",ROUND(W595/110*100,2)))</f>
        <v/>
      </c>
    </row>
    <row r="596">
      <c r="A596" s="15">
        <f>Murid!A596</f>
        <v/>
      </c>
      <c r="B596" s="15">
        <f>IF(Murid!B596="","",Murid!B596)</f>
        <v/>
      </c>
      <c r="C596" s="16">
        <f>IF(Murid!C596="","",Murid!C596)</f>
        <v/>
      </c>
      <c r="D596" s="15">
        <f>IF(Murid!E596="","",Murid!E596)</f>
        <v/>
      </c>
      <c r="E596" s="11" t="n"/>
      <c r="F596" s="11" t="n"/>
      <c r="G596" s="10">
        <f>IF(F596="","",IFERROR(VLOOKUP(F596,T_JKP,2,FALSE),0))</f>
        <v/>
      </c>
      <c r="H596" s="11" t="n"/>
      <c r="I596" s="17">
        <f>IF(H596="","",IF(H596&gt;=12,40,ROUND(H596*3.33,2)))</f>
        <v/>
      </c>
      <c r="J596" s="11" t="n"/>
      <c r="K596" s="11" t="n"/>
      <c r="L596" s="11" t="n"/>
      <c r="M596" s="11" t="n"/>
      <c r="N596" s="10">
        <f>IF(COUNTA(J596:M596)=0,"",MIN(10,SUMPRODUCT((COUNTIF(J596:M596,L_KOM)&gt;0)*S_KOM)))</f>
        <v/>
      </c>
      <c r="O596" s="11" t="n"/>
      <c r="P596" s="10">
        <f>IF(O596="","",IFERROR(VLOOKUP(O596,T_KHID,2,FALSE),0))</f>
        <v/>
      </c>
      <c r="Q596" s="11" t="n"/>
      <c r="R596" s="11" t="n"/>
      <c r="S596" s="10">
        <f>IF(AND(Q596="",R596=""),"",IFERROR(INDEX(T_LIBAT,MATCH(Q596,L_PER,0),MATCH(R596,L_JENIS,0)),0))</f>
        <v/>
      </c>
      <c r="T596" s="11" t="n"/>
      <c r="U596" s="11" t="n"/>
      <c r="V596" s="10">
        <f>IF(AND(T596="",U596=""),"",IFERROR(INDEX(T_CAPAI,MATCH(T596,L_PER,0),MATCH(U596,L_KED,0)),0))</f>
        <v/>
      </c>
      <c r="W596" s="17">
        <f>IF(OR(B596="",E596="",COUNTA(F596,H596,J596:M596,O596,Q596:R596,T596:U596)=0),"",SUM(G596,I596,N596,P596,S596,V596))</f>
        <v/>
      </c>
      <c r="X596" s="18">
        <f>IF(W596="","",IF(Murid!F596="TL","TL",ROUND(W596/110*100,2)))</f>
        <v/>
      </c>
    </row>
    <row r="597">
      <c r="A597" s="15">
        <f>Murid!A597</f>
        <v/>
      </c>
      <c r="B597" s="15">
        <f>IF(Murid!B597="","",Murid!B597)</f>
        <v/>
      </c>
      <c r="C597" s="16">
        <f>IF(Murid!C597="","",Murid!C597)</f>
        <v/>
      </c>
      <c r="D597" s="15">
        <f>IF(Murid!E597="","",Murid!E597)</f>
        <v/>
      </c>
      <c r="E597" s="11" t="n"/>
      <c r="F597" s="11" t="n"/>
      <c r="G597" s="10">
        <f>IF(F597="","",IFERROR(VLOOKUP(F597,T_JKP,2,FALSE),0))</f>
        <v/>
      </c>
      <c r="H597" s="11" t="n"/>
      <c r="I597" s="17">
        <f>IF(H597="","",IF(H597&gt;=12,40,ROUND(H597*3.33,2)))</f>
        <v/>
      </c>
      <c r="J597" s="11" t="n"/>
      <c r="K597" s="11" t="n"/>
      <c r="L597" s="11" t="n"/>
      <c r="M597" s="11" t="n"/>
      <c r="N597" s="10">
        <f>IF(COUNTA(J597:M597)=0,"",MIN(10,SUMPRODUCT((COUNTIF(J597:M597,L_KOM)&gt;0)*S_KOM)))</f>
        <v/>
      </c>
      <c r="O597" s="11" t="n"/>
      <c r="P597" s="10">
        <f>IF(O597="","",IFERROR(VLOOKUP(O597,T_KHID,2,FALSE),0))</f>
        <v/>
      </c>
      <c r="Q597" s="11" t="n"/>
      <c r="R597" s="11" t="n"/>
      <c r="S597" s="10">
        <f>IF(AND(Q597="",R597=""),"",IFERROR(INDEX(T_LIBAT,MATCH(Q597,L_PER,0),MATCH(R597,L_JENIS,0)),0))</f>
        <v/>
      </c>
      <c r="T597" s="11" t="n"/>
      <c r="U597" s="11" t="n"/>
      <c r="V597" s="10">
        <f>IF(AND(T597="",U597=""),"",IFERROR(INDEX(T_CAPAI,MATCH(T597,L_PER,0),MATCH(U597,L_KED,0)),0))</f>
        <v/>
      </c>
      <c r="W597" s="17">
        <f>IF(OR(B597="",E597="",COUNTA(F597,H597,J597:M597,O597,Q597:R597,T597:U597)=0),"",SUM(G597,I597,N597,P597,S597,V597))</f>
        <v/>
      </c>
      <c r="X597" s="18">
        <f>IF(W597="","",IF(Murid!F597="TL","TL",ROUND(W597/110*100,2)))</f>
        <v/>
      </c>
    </row>
    <row r="598">
      <c r="A598" s="15">
        <f>Murid!A598</f>
        <v/>
      </c>
      <c r="B598" s="15">
        <f>IF(Murid!B598="","",Murid!B598)</f>
        <v/>
      </c>
      <c r="C598" s="16">
        <f>IF(Murid!C598="","",Murid!C598)</f>
        <v/>
      </c>
      <c r="D598" s="15">
        <f>IF(Murid!E598="","",Murid!E598)</f>
        <v/>
      </c>
      <c r="E598" s="11" t="n"/>
      <c r="F598" s="11" t="n"/>
      <c r="G598" s="10">
        <f>IF(F598="","",IFERROR(VLOOKUP(F598,T_JKP,2,FALSE),0))</f>
        <v/>
      </c>
      <c r="H598" s="11" t="n"/>
      <c r="I598" s="17">
        <f>IF(H598="","",IF(H598&gt;=12,40,ROUND(H598*3.33,2)))</f>
        <v/>
      </c>
      <c r="J598" s="11" t="n"/>
      <c r="K598" s="11" t="n"/>
      <c r="L598" s="11" t="n"/>
      <c r="M598" s="11" t="n"/>
      <c r="N598" s="10">
        <f>IF(COUNTA(J598:M598)=0,"",MIN(10,SUMPRODUCT((COUNTIF(J598:M598,L_KOM)&gt;0)*S_KOM)))</f>
        <v/>
      </c>
      <c r="O598" s="11" t="n"/>
      <c r="P598" s="10">
        <f>IF(O598="","",IFERROR(VLOOKUP(O598,T_KHID,2,FALSE),0))</f>
        <v/>
      </c>
      <c r="Q598" s="11" t="n"/>
      <c r="R598" s="11" t="n"/>
      <c r="S598" s="10">
        <f>IF(AND(Q598="",R598=""),"",IFERROR(INDEX(T_LIBAT,MATCH(Q598,L_PER,0),MATCH(R598,L_JENIS,0)),0))</f>
        <v/>
      </c>
      <c r="T598" s="11" t="n"/>
      <c r="U598" s="11" t="n"/>
      <c r="V598" s="10">
        <f>IF(AND(T598="",U598=""),"",IFERROR(INDEX(T_CAPAI,MATCH(T598,L_PER,0),MATCH(U598,L_KED,0)),0))</f>
        <v/>
      </c>
      <c r="W598" s="17">
        <f>IF(OR(B598="",E598="",COUNTA(F598,H598,J598:M598,O598,Q598:R598,T598:U598)=0),"",SUM(G598,I598,N598,P598,S598,V598))</f>
        <v/>
      </c>
      <c r="X598" s="18">
        <f>IF(W598="","",IF(Murid!F598="TL","TL",ROUND(W598/110*100,2)))</f>
        <v/>
      </c>
    </row>
    <row r="599">
      <c r="A599" s="15">
        <f>Murid!A599</f>
        <v/>
      </c>
      <c r="B599" s="15">
        <f>IF(Murid!B599="","",Murid!B599)</f>
        <v/>
      </c>
      <c r="C599" s="16">
        <f>IF(Murid!C599="","",Murid!C599)</f>
        <v/>
      </c>
      <c r="D599" s="15">
        <f>IF(Murid!E599="","",Murid!E599)</f>
        <v/>
      </c>
      <c r="E599" s="11" t="n"/>
      <c r="F599" s="11" t="n"/>
      <c r="G599" s="10">
        <f>IF(F599="","",IFERROR(VLOOKUP(F599,T_JKP,2,FALSE),0))</f>
        <v/>
      </c>
      <c r="H599" s="11" t="n"/>
      <c r="I599" s="17">
        <f>IF(H599="","",IF(H599&gt;=12,40,ROUND(H599*3.33,2)))</f>
        <v/>
      </c>
      <c r="J599" s="11" t="n"/>
      <c r="K599" s="11" t="n"/>
      <c r="L599" s="11" t="n"/>
      <c r="M599" s="11" t="n"/>
      <c r="N599" s="10">
        <f>IF(COUNTA(J599:M599)=0,"",MIN(10,SUMPRODUCT((COUNTIF(J599:M599,L_KOM)&gt;0)*S_KOM)))</f>
        <v/>
      </c>
      <c r="O599" s="11" t="n"/>
      <c r="P599" s="10">
        <f>IF(O599="","",IFERROR(VLOOKUP(O599,T_KHID,2,FALSE),0))</f>
        <v/>
      </c>
      <c r="Q599" s="11" t="n"/>
      <c r="R599" s="11" t="n"/>
      <c r="S599" s="10">
        <f>IF(AND(Q599="",R599=""),"",IFERROR(INDEX(T_LIBAT,MATCH(Q599,L_PER,0),MATCH(R599,L_JENIS,0)),0))</f>
        <v/>
      </c>
      <c r="T599" s="11" t="n"/>
      <c r="U599" s="11" t="n"/>
      <c r="V599" s="10">
        <f>IF(AND(T599="",U599=""),"",IFERROR(INDEX(T_CAPAI,MATCH(T599,L_PER,0),MATCH(U599,L_KED,0)),0))</f>
        <v/>
      </c>
      <c r="W599" s="17">
        <f>IF(OR(B599="",E599="",COUNTA(F599,H599,J599:M599,O599,Q599:R599,T599:U599)=0),"",SUM(G599,I599,N599,P599,S599,V599))</f>
        <v/>
      </c>
      <c r="X599" s="18">
        <f>IF(W599="","",IF(Murid!F599="TL","TL",ROUND(W599/110*100,2)))</f>
        <v/>
      </c>
    </row>
    <row r="600">
      <c r="A600" s="15">
        <f>Murid!A600</f>
        <v/>
      </c>
      <c r="B600" s="15">
        <f>IF(Murid!B600="","",Murid!B600)</f>
        <v/>
      </c>
      <c r="C600" s="16">
        <f>IF(Murid!C600="","",Murid!C600)</f>
        <v/>
      </c>
      <c r="D600" s="15">
        <f>IF(Murid!E600="","",Murid!E600)</f>
        <v/>
      </c>
      <c r="E600" s="11" t="n"/>
      <c r="F600" s="11" t="n"/>
      <c r="G600" s="10">
        <f>IF(F600="","",IFERROR(VLOOKUP(F600,T_JKP,2,FALSE),0))</f>
        <v/>
      </c>
      <c r="H600" s="11" t="n"/>
      <c r="I600" s="17">
        <f>IF(H600="","",IF(H600&gt;=12,40,ROUND(H600*3.33,2)))</f>
        <v/>
      </c>
      <c r="J600" s="11" t="n"/>
      <c r="K600" s="11" t="n"/>
      <c r="L600" s="11" t="n"/>
      <c r="M600" s="11" t="n"/>
      <c r="N600" s="10">
        <f>IF(COUNTA(J600:M600)=0,"",MIN(10,SUMPRODUCT((COUNTIF(J600:M600,L_KOM)&gt;0)*S_KOM)))</f>
        <v/>
      </c>
      <c r="O600" s="11" t="n"/>
      <c r="P600" s="10">
        <f>IF(O600="","",IFERROR(VLOOKUP(O600,T_KHID,2,FALSE),0))</f>
        <v/>
      </c>
      <c r="Q600" s="11" t="n"/>
      <c r="R600" s="11" t="n"/>
      <c r="S600" s="10">
        <f>IF(AND(Q600="",R600=""),"",IFERROR(INDEX(T_LIBAT,MATCH(Q600,L_PER,0),MATCH(R600,L_JENIS,0)),0))</f>
        <v/>
      </c>
      <c r="T600" s="11" t="n"/>
      <c r="U600" s="11" t="n"/>
      <c r="V600" s="10">
        <f>IF(AND(T600="",U600=""),"",IFERROR(INDEX(T_CAPAI,MATCH(T600,L_PER,0),MATCH(U600,L_KED,0)),0))</f>
        <v/>
      </c>
      <c r="W600" s="17">
        <f>IF(OR(B600="",E600="",COUNTA(F600,H600,J600:M600,O600,Q600:R600,T600:U600)=0),"",SUM(G600,I600,N600,P600,S600,V600))</f>
        <v/>
      </c>
      <c r="X600" s="18">
        <f>IF(W600="","",IF(Murid!F600="TL","TL",ROUND(W600/110*100,2)))</f>
        <v/>
      </c>
    </row>
    <row r="601">
      <c r="A601" s="15">
        <f>Murid!A601</f>
        <v/>
      </c>
      <c r="B601" s="15">
        <f>IF(Murid!B601="","",Murid!B601)</f>
        <v/>
      </c>
      <c r="C601" s="16">
        <f>IF(Murid!C601="","",Murid!C601)</f>
        <v/>
      </c>
      <c r="D601" s="15">
        <f>IF(Murid!E601="","",Murid!E601)</f>
        <v/>
      </c>
      <c r="E601" s="11" t="n"/>
      <c r="F601" s="11" t="n"/>
      <c r="G601" s="10">
        <f>IF(F601="","",IFERROR(VLOOKUP(F601,T_JKP,2,FALSE),0))</f>
        <v/>
      </c>
      <c r="H601" s="11" t="n"/>
      <c r="I601" s="17">
        <f>IF(H601="","",IF(H601&gt;=12,40,ROUND(H601*3.33,2)))</f>
        <v/>
      </c>
      <c r="J601" s="11" t="n"/>
      <c r="K601" s="11" t="n"/>
      <c r="L601" s="11" t="n"/>
      <c r="M601" s="11" t="n"/>
      <c r="N601" s="10">
        <f>IF(COUNTA(J601:M601)=0,"",MIN(10,SUMPRODUCT((COUNTIF(J601:M601,L_KOM)&gt;0)*S_KOM)))</f>
        <v/>
      </c>
      <c r="O601" s="11" t="n"/>
      <c r="P601" s="10">
        <f>IF(O601="","",IFERROR(VLOOKUP(O601,T_KHID,2,FALSE),0))</f>
        <v/>
      </c>
      <c r="Q601" s="11" t="n"/>
      <c r="R601" s="11" t="n"/>
      <c r="S601" s="10">
        <f>IF(AND(Q601="",R601=""),"",IFERROR(INDEX(T_LIBAT,MATCH(Q601,L_PER,0),MATCH(R601,L_JENIS,0)),0))</f>
        <v/>
      </c>
      <c r="T601" s="11" t="n"/>
      <c r="U601" s="11" t="n"/>
      <c r="V601" s="10">
        <f>IF(AND(T601="",U601=""),"",IFERROR(INDEX(T_CAPAI,MATCH(T601,L_PER,0),MATCH(U601,L_KED,0)),0))</f>
        <v/>
      </c>
      <c r="W601" s="17">
        <f>IF(OR(B601="",E601="",COUNTA(F601,H601,J601:M601,O601,Q601:R601,T601:U601)=0),"",SUM(G601,I601,N601,P601,S601,V601))</f>
        <v/>
      </c>
      <c r="X601" s="18">
        <f>IF(W601="","",IF(Murid!F601="TL","TL",ROUND(W601/110*100,2)))</f>
        <v/>
      </c>
    </row>
    <row r="602">
      <c r="A602" s="15">
        <f>Murid!A602</f>
        <v/>
      </c>
      <c r="B602" s="15">
        <f>IF(Murid!B602="","",Murid!B602)</f>
        <v/>
      </c>
      <c r="C602" s="16">
        <f>IF(Murid!C602="","",Murid!C602)</f>
        <v/>
      </c>
      <c r="D602" s="15">
        <f>IF(Murid!E602="","",Murid!E602)</f>
        <v/>
      </c>
      <c r="E602" s="11" t="n"/>
      <c r="F602" s="11" t="n"/>
      <c r="G602" s="10">
        <f>IF(F602="","",IFERROR(VLOOKUP(F602,T_JKP,2,FALSE),0))</f>
        <v/>
      </c>
      <c r="H602" s="11" t="n"/>
      <c r="I602" s="17">
        <f>IF(H602="","",IF(H602&gt;=12,40,ROUND(H602*3.33,2)))</f>
        <v/>
      </c>
      <c r="J602" s="11" t="n"/>
      <c r="K602" s="11" t="n"/>
      <c r="L602" s="11" t="n"/>
      <c r="M602" s="11" t="n"/>
      <c r="N602" s="10">
        <f>IF(COUNTA(J602:M602)=0,"",MIN(10,SUMPRODUCT((COUNTIF(J602:M602,L_KOM)&gt;0)*S_KOM)))</f>
        <v/>
      </c>
      <c r="O602" s="11" t="n"/>
      <c r="P602" s="10">
        <f>IF(O602="","",IFERROR(VLOOKUP(O602,T_KHID,2,FALSE),0))</f>
        <v/>
      </c>
      <c r="Q602" s="11" t="n"/>
      <c r="R602" s="11" t="n"/>
      <c r="S602" s="10">
        <f>IF(AND(Q602="",R602=""),"",IFERROR(INDEX(T_LIBAT,MATCH(Q602,L_PER,0),MATCH(R602,L_JENIS,0)),0))</f>
        <v/>
      </c>
      <c r="T602" s="11" t="n"/>
      <c r="U602" s="11" t="n"/>
      <c r="V602" s="10">
        <f>IF(AND(T602="",U602=""),"",IFERROR(INDEX(T_CAPAI,MATCH(T602,L_PER,0),MATCH(U602,L_KED,0)),0))</f>
        <v/>
      </c>
      <c r="W602" s="17">
        <f>IF(OR(B602="",E602="",COUNTA(F602,H602,J602:M602,O602,Q602:R602,T602:U602)=0),"",SUM(G602,I602,N602,P602,S602,V602))</f>
        <v/>
      </c>
      <c r="X602" s="18">
        <f>IF(W602="","",IF(Murid!F602="TL","TL",ROUND(W602/110*100,2)))</f>
        <v/>
      </c>
    </row>
    <row r="603">
      <c r="A603" s="15">
        <f>Murid!A603</f>
        <v/>
      </c>
      <c r="B603" s="15">
        <f>IF(Murid!B603="","",Murid!B603)</f>
        <v/>
      </c>
      <c r="C603" s="16">
        <f>IF(Murid!C603="","",Murid!C603)</f>
        <v/>
      </c>
      <c r="D603" s="15">
        <f>IF(Murid!E603="","",Murid!E603)</f>
        <v/>
      </c>
      <c r="E603" s="11" t="n"/>
      <c r="F603" s="11" t="n"/>
      <c r="G603" s="10">
        <f>IF(F603="","",IFERROR(VLOOKUP(F603,T_JKP,2,FALSE),0))</f>
        <v/>
      </c>
      <c r="H603" s="11" t="n"/>
      <c r="I603" s="17">
        <f>IF(H603="","",IF(H603&gt;=12,40,ROUND(H603*3.33,2)))</f>
        <v/>
      </c>
      <c r="J603" s="11" t="n"/>
      <c r="K603" s="11" t="n"/>
      <c r="L603" s="11" t="n"/>
      <c r="M603" s="11" t="n"/>
      <c r="N603" s="10">
        <f>IF(COUNTA(J603:M603)=0,"",MIN(10,SUMPRODUCT((COUNTIF(J603:M603,L_KOM)&gt;0)*S_KOM)))</f>
        <v/>
      </c>
      <c r="O603" s="11" t="n"/>
      <c r="P603" s="10">
        <f>IF(O603="","",IFERROR(VLOOKUP(O603,T_KHID,2,FALSE),0))</f>
        <v/>
      </c>
      <c r="Q603" s="11" t="n"/>
      <c r="R603" s="11" t="n"/>
      <c r="S603" s="10">
        <f>IF(AND(Q603="",R603=""),"",IFERROR(INDEX(T_LIBAT,MATCH(Q603,L_PER,0),MATCH(R603,L_JENIS,0)),0))</f>
        <v/>
      </c>
      <c r="T603" s="11" t="n"/>
      <c r="U603" s="11" t="n"/>
      <c r="V603" s="10">
        <f>IF(AND(T603="",U603=""),"",IFERROR(INDEX(T_CAPAI,MATCH(T603,L_PER,0),MATCH(U603,L_KED,0)),0))</f>
        <v/>
      </c>
      <c r="W603" s="17">
        <f>IF(OR(B603="",E603="",COUNTA(F603,H603,J603:M603,O603,Q603:R603,T603:U603)=0),"",SUM(G603,I603,N603,P603,S603,V603))</f>
        <v/>
      </c>
      <c r="X603" s="18">
        <f>IF(W603="","",IF(Murid!F603="TL","TL",ROUND(W603/110*100,2)))</f>
        <v/>
      </c>
    </row>
    <row r="604">
      <c r="A604" s="15">
        <f>Murid!A604</f>
        <v/>
      </c>
      <c r="B604" s="15">
        <f>IF(Murid!B604="","",Murid!B604)</f>
        <v/>
      </c>
      <c r="C604" s="16">
        <f>IF(Murid!C604="","",Murid!C604)</f>
        <v/>
      </c>
      <c r="D604" s="15">
        <f>IF(Murid!E604="","",Murid!E604)</f>
        <v/>
      </c>
      <c r="E604" s="11" t="n"/>
      <c r="F604" s="11" t="n"/>
      <c r="G604" s="10">
        <f>IF(F604="","",IFERROR(VLOOKUP(F604,T_JKP,2,FALSE),0))</f>
        <v/>
      </c>
      <c r="H604" s="11" t="n"/>
      <c r="I604" s="17">
        <f>IF(H604="","",IF(H604&gt;=12,40,ROUND(H604*3.33,2)))</f>
        <v/>
      </c>
      <c r="J604" s="11" t="n"/>
      <c r="K604" s="11" t="n"/>
      <c r="L604" s="11" t="n"/>
      <c r="M604" s="11" t="n"/>
      <c r="N604" s="10">
        <f>IF(COUNTA(J604:M604)=0,"",MIN(10,SUMPRODUCT((COUNTIF(J604:M604,L_KOM)&gt;0)*S_KOM)))</f>
        <v/>
      </c>
      <c r="O604" s="11" t="n"/>
      <c r="P604" s="10">
        <f>IF(O604="","",IFERROR(VLOOKUP(O604,T_KHID,2,FALSE),0))</f>
        <v/>
      </c>
      <c r="Q604" s="11" t="n"/>
      <c r="R604" s="11" t="n"/>
      <c r="S604" s="10">
        <f>IF(AND(Q604="",R604=""),"",IFERROR(INDEX(T_LIBAT,MATCH(Q604,L_PER,0),MATCH(R604,L_JENIS,0)),0))</f>
        <v/>
      </c>
      <c r="T604" s="11" t="n"/>
      <c r="U604" s="11" t="n"/>
      <c r="V604" s="10">
        <f>IF(AND(T604="",U604=""),"",IFERROR(INDEX(T_CAPAI,MATCH(T604,L_PER,0),MATCH(U604,L_KED,0)),0))</f>
        <v/>
      </c>
      <c r="W604" s="17">
        <f>IF(OR(B604="",E604="",COUNTA(F604,H604,J604:M604,O604,Q604:R604,T604:U604)=0),"",SUM(G604,I604,N604,P604,S604,V604))</f>
        <v/>
      </c>
      <c r="X604" s="18">
        <f>IF(W604="","",IF(Murid!F604="TL","TL",ROUND(W604/110*100,2)))</f>
        <v/>
      </c>
    </row>
    <row r="605">
      <c r="A605" s="15">
        <f>Murid!A605</f>
        <v/>
      </c>
      <c r="B605" s="15">
        <f>IF(Murid!B605="","",Murid!B605)</f>
        <v/>
      </c>
      <c r="C605" s="16">
        <f>IF(Murid!C605="","",Murid!C605)</f>
        <v/>
      </c>
      <c r="D605" s="15">
        <f>IF(Murid!E605="","",Murid!E605)</f>
        <v/>
      </c>
      <c r="E605" s="11" t="n"/>
      <c r="F605" s="11" t="n"/>
      <c r="G605" s="10">
        <f>IF(F605="","",IFERROR(VLOOKUP(F605,T_JKP,2,FALSE),0))</f>
        <v/>
      </c>
      <c r="H605" s="11" t="n"/>
      <c r="I605" s="17">
        <f>IF(H605="","",IF(H605&gt;=12,40,ROUND(H605*3.33,2)))</f>
        <v/>
      </c>
      <c r="J605" s="11" t="n"/>
      <c r="K605" s="11" t="n"/>
      <c r="L605" s="11" t="n"/>
      <c r="M605" s="11" t="n"/>
      <c r="N605" s="10">
        <f>IF(COUNTA(J605:M605)=0,"",MIN(10,SUMPRODUCT((COUNTIF(J605:M605,L_KOM)&gt;0)*S_KOM)))</f>
        <v/>
      </c>
      <c r="O605" s="11" t="n"/>
      <c r="P605" s="10">
        <f>IF(O605="","",IFERROR(VLOOKUP(O605,T_KHID,2,FALSE),0))</f>
        <v/>
      </c>
      <c r="Q605" s="11" t="n"/>
      <c r="R605" s="11" t="n"/>
      <c r="S605" s="10">
        <f>IF(AND(Q605="",R605=""),"",IFERROR(INDEX(T_LIBAT,MATCH(Q605,L_PER,0),MATCH(R605,L_JENIS,0)),0))</f>
        <v/>
      </c>
      <c r="T605" s="11" t="n"/>
      <c r="U605" s="11" t="n"/>
      <c r="V605" s="10">
        <f>IF(AND(T605="",U605=""),"",IFERROR(INDEX(T_CAPAI,MATCH(T605,L_PER,0),MATCH(U605,L_KED,0)),0))</f>
        <v/>
      </c>
      <c r="W605" s="17">
        <f>IF(OR(B605="",E605="",COUNTA(F605,H605,J605:M605,O605,Q605:R605,T605:U605)=0),"",SUM(G605,I605,N605,P605,S605,V605))</f>
        <v/>
      </c>
      <c r="X605" s="18">
        <f>IF(W605="","",IF(Murid!F605="TL","TL",ROUND(W605/110*100,2)))</f>
        <v/>
      </c>
    </row>
    <row r="606">
      <c r="A606" s="15">
        <f>Murid!A606</f>
        <v/>
      </c>
      <c r="B606" s="15">
        <f>IF(Murid!B606="","",Murid!B606)</f>
        <v/>
      </c>
      <c r="C606" s="16">
        <f>IF(Murid!C606="","",Murid!C606)</f>
        <v/>
      </c>
      <c r="D606" s="15">
        <f>IF(Murid!E606="","",Murid!E606)</f>
        <v/>
      </c>
      <c r="E606" s="11" t="n"/>
      <c r="F606" s="11" t="n"/>
      <c r="G606" s="10">
        <f>IF(F606="","",IFERROR(VLOOKUP(F606,T_JKP,2,FALSE),0))</f>
        <v/>
      </c>
      <c r="H606" s="11" t="n"/>
      <c r="I606" s="17">
        <f>IF(H606="","",IF(H606&gt;=12,40,ROUND(H606*3.33,2)))</f>
        <v/>
      </c>
      <c r="J606" s="11" t="n"/>
      <c r="K606" s="11" t="n"/>
      <c r="L606" s="11" t="n"/>
      <c r="M606" s="11" t="n"/>
      <c r="N606" s="10">
        <f>IF(COUNTA(J606:M606)=0,"",MIN(10,SUMPRODUCT((COUNTIF(J606:M606,L_KOM)&gt;0)*S_KOM)))</f>
        <v/>
      </c>
      <c r="O606" s="11" t="n"/>
      <c r="P606" s="10">
        <f>IF(O606="","",IFERROR(VLOOKUP(O606,T_KHID,2,FALSE),0))</f>
        <v/>
      </c>
      <c r="Q606" s="11" t="n"/>
      <c r="R606" s="11" t="n"/>
      <c r="S606" s="10">
        <f>IF(AND(Q606="",R606=""),"",IFERROR(INDEX(T_LIBAT,MATCH(Q606,L_PER,0),MATCH(R606,L_JENIS,0)),0))</f>
        <v/>
      </c>
      <c r="T606" s="11" t="n"/>
      <c r="U606" s="11" t="n"/>
      <c r="V606" s="10">
        <f>IF(AND(T606="",U606=""),"",IFERROR(INDEX(T_CAPAI,MATCH(T606,L_PER,0),MATCH(U606,L_KED,0)),0))</f>
        <v/>
      </c>
      <c r="W606" s="17">
        <f>IF(OR(B606="",E606="",COUNTA(F606,H606,J606:M606,O606,Q606:R606,T606:U606)=0),"",SUM(G606,I606,N606,P606,S606,V606))</f>
        <v/>
      </c>
      <c r="X606" s="18">
        <f>IF(W606="","",IF(Murid!F606="TL","TL",ROUND(W606/110*100,2)))</f>
        <v/>
      </c>
    </row>
    <row r="607">
      <c r="A607" s="15">
        <f>Murid!A607</f>
        <v/>
      </c>
      <c r="B607" s="15">
        <f>IF(Murid!B607="","",Murid!B607)</f>
        <v/>
      </c>
      <c r="C607" s="16">
        <f>IF(Murid!C607="","",Murid!C607)</f>
        <v/>
      </c>
      <c r="D607" s="15">
        <f>IF(Murid!E607="","",Murid!E607)</f>
        <v/>
      </c>
      <c r="E607" s="11" t="n"/>
      <c r="F607" s="11" t="n"/>
      <c r="G607" s="10">
        <f>IF(F607="","",IFERROR(VLOOKUP(F607,T_JKP,2,FALSE),0))</f>
        <v/>
      </c>
      <c r="H607" s="11" t="n"/>
      <c r="I607" s="17">
        <f>IF(H607="","",IF(H607&gt;=12,40,ROUND(H607*3.33,2)))</f>
        <v/>
      </c>
      <c r="J607" s="11" t="n"/>
      <c r="K607" s="11" t="n"/>
      <c r="L607" s="11" t="n"/>
      <c r="M607" s="11" t="n"/>
      <c r="N607" s="10">
        <f>IF(COUNTA(J607:M607)=0,"",MIN(10,SUMPRODUCT((COUNTIF(J607:M607,L_KOM)&gt;0)*S_KOM)))</f>
        <v/>
      </c>
      <c r="O607" s="11" t="n"/>
      <c r="P607" s="10">
        <f>IF(O607="","",IFERROR(VLOOKUP(O607,T_KHID,2,FALSE),0))</f>
        <v/>
      </c>
      <c r="Q607" s="11" t="n"/>
      <c r="R607" s="11" t="n"/>
      <c r="S607" s="10">
        <f>IF(AND(Q607="",R607=""),"",IFERROR(INDEX(T_LIBAT,MATCH(Q607,L_PER,0),MATCH(R607,L_JENIS,0)),0))</f>
        <v/>
      </c>
      <c r="T607" s="11" t="n"/>
      <c r="U607" s="11" t="n"/>
      <c r="V607" s="10">
        <f>IF(AND(T607="",U607=""),"",IFERROR(INDEX(T_CAPAI,MATCH(T607,L_PER,0),MATCH(U607,L_KED,0)),0))</f>
        <v/>
      </c>
      <c r="W607" s="17">
        <f>IF(OR(B607="",E607="",COUNTA(F607,H607,J607:M607,O607,Q607:R607,T607:U607)=0),"",SUM(G607,I607,N607,P607,S607,V607))</f>
        <v/>
      </c>
      <c r="X607" s="18">
        <f>IF(W607="","",IF(Murid!F607="TL","TL",ROUND(W607/110*100,2)))</f>
        <v/>
      </c>
    </row>
    <row r="608">
      <c r="A608" s="15">
        <f>Murid!A608</f>
        <v/>
      </c>
      <c r="B608" s="15">
        <f>IF(Murid!B608="","",Murid!B608)</f>
        <v/>
      </c>
      <c r="C608" s="16">
        <f>IF(Murid!C608="","",Murid!C608)</f>
        <v/>
      </c>
      <c r="D608" s="15">
        <f>IF(Murid!E608="","",Murid!E608)</f>
        <v/>
      </c>
      <c r="E608" s="11" t="n"/>
      <c r="F608" s="11" t="n"/>
      <c r="G608" s="10">
        <f>IF(F608="","",IFERROR(VLOOKUP(F608,T_JKP,2,FALSE),0))</f>
        <v/>
      </c>
      <c r="H608" s="11" t="n"/>
      <c r="I608" s="17">
        <f>IF(H608="","",IF(H608&gt;=12,40,ROUND(H608*3.33,2)))</f>
        <v/>
      </c>
      <c r="J608" s="11" t="n"/>
      <c r="K608" s="11" t="n"/>
      <c r="L608" s="11" t="n"/>
      <c r="M608" s="11" t="n"/>
      <c r="N608" s="10">
        <f>IF(COUNTA(J608:M608)=0,"",MIN(10,SUMPRODUCT((COUNTIF(J608:M608,L_KOM)&gt;0)*S_KOM)))</f>
        <v/>
      </c>
      <c r="O608" s="11" t="n"/>
      <c r="P608" s="10">
        <f>IF(O608="","",IFERROR(VLOOKUP(O608,T_KHID,2,FALSE),0))</f>
        <v/>
      </c>
      <c r="Q608" s="11" t="n"/>
      <c r="R608" s="11" t="n"/>
      <c r="S608" s="10">
        <f>IF(AND(Q608="",R608=""),"",IFERROR(INDEX(T_LIBAT,MATCH(Q608,L_PER,0),MATCH(R608,L_JENIS,0)),0))</f>
        <v/>
      </c>
      <c r="T608" s="11" t="n"/>
      <c r="U608" s="11" t="n"/>
      <c r="V608" s="10">
        <f>IF(AND(T608="",U608=""),"",IFERROR(INDEX(T_CAPAI,MATCH(T608,L_PER,0),MATCH(U608,L_KED,0)),0))</f>
        <v/>
      </c>
      <c r="W608" s="17">
        <f>IF(OR(B608="",E608="",COUNTA(F608,H608,J608:M608,O608,Q608:R608,T608:U608)=0),"",SUM(G608,I608,N608,P608,S608,V608))</f>
        <v/>
      </c>
      <c r="X608" s="18">
        <f>IF(W608="","",IF(Murid!F608="TL","TL",ROUND(W608/110*100,2)))</f>
        <v/>
      </c>
    </row>
    <row r="609">
      <c r="A609" s="15">
        <f>Murid!A609</f>
        <v/>
      </c>
      <c r="B609" s="15">
        <f>IF(Murid!B609="","",Murid!B609)</f>
        <v/>
      </c>
      <c r="C609" s="16">
        <f>IF(Murid!C609="","",Murid!C609)</f>
        <v/>
      </c>
      <c r="D609" s="15">
        <f>IF(Murid!E609="","",Murid!E609)</f>
        <v/>
      </c>
      <c r="E609" s="11" t="n"/>
      <c r="F609" s="11" t="n"/>
      <c r="G609" s="10">
        <f>IF(F609="","",IFERROR(VLOOKUP(F609,T_JKP,2,FALSE),0))</f>
        <v/>
      </c>
      <c r="H609" s="11" t="n"/>
      <c r="I609" s="17">
        <f>IF(H609="","",IF(H609&gt;=12,40,ROUND(H609*3.33,2)))</f>
        <v/>
      </c>
      <c r="J609" s="11" t="n"/>
      <c r="K609" s="11" t="n"/>
      <c r="L609" s="11" t="n"/>
      <c r="M609" s="11" t="n"/>
      <c r="N609" s="10">
        <f>IF(COUNTA(J609:M609)=0,"",MIN(10,SUMPRODUCT((COUNTIF(J609:M609,L_KOM)&gt;0)*S_KOM)))</f>
        <v/>
      </c>
      <c r="O609" s="11" t="n"/>
      <c r="P609" s="10">
        <f>IF(O609="","",IFERROR(VLOOKUP(O609,T_KHID,2,FALSE),0))</f>
        <v/>
      </c>
      <c r="Q609" s="11" t="n"/>
      <c r="R609" s="11" t="n"/>
      <c r="S609" s="10">
        <f>IF(AND(Q609="",R609=""),"",IFERROR(INDEX(T_LIBAT,MATCH(Q609,L_PER,0),MATCH(R609,L_JENIS,0)),0))</f>
        <v/>
      </c>
      <c r="T609" s="11" t="n"/>
      <c r="U609" s="11" t="n"/>
      <c r="V609" s="10">
        <f>IF(AND(T609="",U609=""),"",IFERROR(INDEX(T_CAPAI,MATCH(T609,L_PER,0),MATCH(U609,L_KED,0)),0))</f>
        <v/>
      </c>
      <c r="W609" s="17">
        <f>IF(OR(B609="",E609="",COUNTA(F609,H609,J609:M609,O609,Q609:R609,T609:U609)=0),"",SUM(G609,I609,N609,P609,S609,V609))</f>
        <v/>
      </c>
      <c r="X609" s="18">
        <f>IF(W609="","",IF(Murid!F609="TL","TL",ROUND(W609/110*100,2)))</f>
        <v/>
      </c>
    </row>
    <row r="610">
      <c r="A610" s="15">
        <f>Murid!A610</f>
        <v/>
      </c>
      <c r="B610" s="15">
        <f>IF(Murid!B610="","",Murid!B610)</f>
        <v/>
      </c>
      <c r="C610" s="16">
        <f>IF(Murid!C610="","",Murid!C610)</f>
        <v/>
      </c>
      <c r="D610" s="15">
        <f>IF(Murid!E610="","",Murid!E610)</f>
        <v/>
      </c>
      <c r="E610" s="11" t="n"/>
      <c r="F610" s="11" t="n"/>
      <c r="G610" s="10">
        <f>IF(F610="","",IFERROR(VLOOKUP(F610,T_JKP,2,FALSE),0))</f>
        <v/>
      </c>
      <c r="H610" s="11" t="n"/>
      <c r="I610" s="17">
        <f>IF(H610="","",IF(H610&gt;=12,40,ROUND(H610*3.33,2)))</f>
        <v/>
      </c>
      <c r="J610" s="11" t="n"/>
      <c r="K610" s="11" t="n"/>
      <c r="L610" s="11" t="n"/>
      <c r="M610" s="11" t="n"/>
      <c r="N610" s="10">
        <f>IF(COUNTA(J610:M610)=0,"",MIN(10,SUMPRODUCT((COUNTIF(J610:M610,L_KOM)&gt;0)*S_KOM)))</f>
        <v/>
      </c>
      <c r="O610" s="11" t="n"/>
      <c r="P610" s="10">
        <f>IF(O610="","",IFERROR(VLOOKUP(O610,T_KHID,2,FALSE),0))</f>
        <v/>
      </c>
      <c r="Q610" s="11" t="n"/>
      <c r="R610" s="11" t="n"/>
      <c r="S610" s="10">
        <f>IF(AND(Q610="",R610=""),"",IFERROR(INDEX(T_LIBAT,MATCH(Q610,L_PER,0),MATCH(R610,L_JENIS,0)),0))</f>
        <v/>
      </c>
      <c r="T610" s="11" t="n"/>
      <c r="U610" s="11" t="n"/>
      <c r="V610" s="10">
        <f>IF(AND(T610="",U610=""),"",IFERROR(INDEX(T_CAPAI,MATCH(T610,L_PER,0),MATCH(U610,L_KED,0)),0))</f>
        <v/>
      </c>
      <c r="W610" s="17">
        <f>IF(OR(B610="",E610="",COUNTA(F610,H610,J610:M610,O610,Q610:R610,T610:U610)=0),"",SUM(G610,I610,N610,P610,S610,V610))</f>
        <v/>
      </c>
      <c r="X610" s="18">
        <f>IF(W610="","",IF(Murid!F610="TL","TL",ROUND(W610/110*100,2)))</f>
        <v/>
      </c>
    </row>
    <row r="611">
      <c r="A611" s="15">
        <f>Murid!A611</f>
        <v/>
      </c>
      <c r="B611" s="15">
        <f>IF(Murid!B611="","",Murid!B611)</f>
        <v/>
      </c>
      <c r="C611" s="16">
        <f>IF(Murid!C611="","",Murid!C611)</f>
        <v/>
      </c>
      <c r="D611" s="15">
        <f>IF(Murid!E611="","",Murid!E611)</f>
        <v/>
      </c>
      <c r="E611" s="11" t="n"/>
      <c r="F611" s="11" t="n"/>
      <c r="G611" s="10">
        <f>IF(F611="","",IFERROR(VLOOKUP(F611,T_JKP,2,FALSE),0))</f>
        <v/>
      </c>
      <c r="H611" s="11" t="n"/>
      <c r="I611" s="17">
        <f>IF(H611="","",IF(H611&gt;=12,40,ROUND(H611*3.33,2)))</f>
        <v/>
      </c>
      <c r="J611" s="11" t="n"/>
      <c r="K611" s="11" t="n"/>
      <c r="L611" s="11" t="n"/>
      <c r="M611" s="11" t="n"/>
      <c r="N611" s="10">
        <f>IF(COUNTA(J611:M611)=0,"",MIN(10,SUMPRODUCT((COUNTIF(J611:M611,L_KOM)&gt;0)*S_KOM)))</f>
        <v/>
      </c>
      <c r="O611" s="11" t="n"/>
      <c r="P611" s="10">
        <f>IF(O611="","",IFERROR(VLOOKUP(O611,T_KHID,2,FALSE),0))</f>
        <v/>
      </c>
      <c r="Q611" s="11" t="n"/>
      <c r="R611" s="11" t="n"/>
      <c r="S611" s="10">
        <f>IF(AND(Q611="",R611=""),"",IFERROR(INDEX(T_LIBAT,MATCH(Q611,L_PER,0),MATCH(R611,L_JENIS,0)),0))</f>
        <v/>
      </c>
      <c r="T611" s="11" t="n"/>
      <c r="U611" s="11" t="n"/>
      <c r="V611" s="10">
        <f>IF(AND(T611="",U611=""),"",IFERROR(INDEX(T_CAPAI,MATCH(T611,L_PER,0),MATCH(U611,L_KED,0)),0))</f>
        <v/>
      </c>
      <c r="W611" s="17">
        <f>IF(OR(B611="",E611="",COUNTA(F611,H611,J611:M611,O611,Q611:R611,T611:U611)=0),"",SUM(G611,I611,N611,P611,S611,V611))</f>
        <v/>
      </c>
      <c r="X611" s="18">
        <f>IF(W611="","",IF(Murid!F611="TL","TL",ROUND(W611/110*100,2)))</f>
        <v/>
      </c>
    </row>
    <row r="612">
      <c r="A612" s="15">
        <f>Murid!A612</f>
        <v/>
      </c>
      <c r="B612" s="15">
        <f>IF(Murid!B612="","",Murid!B612)</f>
        <v/>
      </c>
      <c r="C612" s="16">
        <f>IF(Murid!C612="","",Murid!C612)</f>
        <v/>
      </c>
      <c r="D612" s="15">
        <f>IF(Murid!E612="","",Murid!E612)</f>
        <v/>
      </c>
      <c r="E612" s="11" t="n"/>
      <c r="F612" s="11" t="n"/>
      <c r="G612" s="10">
        <f>IF(F612="","",IFERROR(VLOOKUP(F612,T_JKP,2,FALSE),0))</f>
        <v/>
      </c>
      <c r="H612" s="11" t="n"/>
      <c r="I612" s="17">
        <f>IF(H612="","",IF(H612&gt;=12,40,ROUND(H612*3.33,2)))</f>
        <v/>
      </c>
      <c r="J612" s="11" t="n"/>
      <c r="K612" s="11" t="n"/>
      <c r="L612" s="11" t="n"/>
      <c r="M612" s="11" t="n"/>
      <c r="N612" s="10">
        <f>IF(COUNTA(J612:M612)=0,"",MIN(10,SUMPRODUCT((COUNTIF(J612:M612,L_KOM)&gt;0)*S_KOM)))</f>
        <v/>
      </c>
      <c r="O612" s="11" t="n"/>
      <c r="P612" s="10">
        <f>IF(O612="","",IFERROR(VLOOKUP(O612,T_KHID,2,FALSE),0))</f>
        <v/>
      </c>
      <c r="Q612" s="11" t="n"/>
      <c r="R612" s="11" t="n"/>
      <c r="S612" s="10">
        <f>IF(AND(Q612="",R612=""),"",IFERROR(INDEX(T_LIBAT,MATCH(Q612,L_PER,0),MATCH(R612,L_JENIS,0)),0))</f>
        <v/>
      </c>
      <c r="T612" s="11" t="n"/>
      <c r="U612" s="11" t="n"/>
      <c r="V612" s="10">
        <f>IF(AND(T612="",U612=""),"",IFERROR(INDEX(T_CAPAI,MATCH(T612,L_PER,0),MATCH(U612,L_KED,0)),0))</f>
        <v/>
      </c>
      <c r="W612" s="17">
        <f>IF(OR(B612="",E612="",COUNTA(F612,H612,J612:M612,O612,Q612:R612,T612:U612)=0),"",SUM(G612,I612,N612,P612,S612,V612))</f>
        <v/>
      </c>
      <c r="X612" s="18">
        <f>IF(W612="","",IF(Murid!F612="TL","TL",ROUND(W612/110*100,2)))</f>
        <v/>
      </c>
    </row>
    <row r="613">
      <c r="A613" s="15">
        <f>Murid!A613</f>
        <v/>
      </c>
      <c r="B613" s="15">
        <f>IF(Murid!B613="","",Murid!B613)</f>
        <v/>
      </c>
      <c r="C613" s="16">
        <f>IF(Murid!C613="","",Murid!C613)</f>
        <v/>
      </c>
      <c r="D613" s="15">
        <f>IF(Murid!E613="","",Murid!E613)</f>
        <v/>
      </c>
      <c r="E613" s="11" t="n"/>
      <c r="F613" s="11" t="n"/>
      <c r="G613" s="10">
        <f>IF(F613="","",IFERROR(VLOOKUP(F613,T_JKP,2,FALSE),0))</f>
        <v/>
      </c>
      <c r="H613" s="11" t="n"/>
      <c r="I613" s="17">
        <f>IF(H613="","",IF(H613&gt;=12,40,ROUND(H613*3.33,2)))</f>
        <v/>
      </c>
      <c r="J613" s="11" t="n"/>
      <c r="K613" s="11" t="n"/>
      <c r="L613" s="11" t="n"/>
      <c r="M613" s="11" t="n"/>
      <c r="N613" s="10">
        <f>IF(COUNTA(J613:M613)=0,"",MIN(10,SUMPRODUCT((COUNTIF(J613:M613,L_KOM)&gt;0)*S_KOM)))</f>
        <v/>
      </c>
      <c r="O613" s="11" t="n"/>
      <c r="P613" s="10">
        <f>IF(O613="","",IFERROR(VLOOKUP(O613,T_KHID,2,FALSE),0))</f>
        <v/>
      </c>
      <c r="Q613" s="11" t="n"/>
      <c r="R613" s="11" t="n"/>
      <c r="S613" s="10">
        <f>IF(AND(Q613="",R613=""),"",IFERROR(INDEX(T_LIBAT,MATCH(Q613,L_PER,0),MATCH(R613,L_JENIS,0)),0))</f>
        <v/>
      </c>
      <c r="T613" s="11" t="n"/>
      <c r="U613" s="11" t="n"/>
      <c r="V613" s="10">
        <f>IF(AND(T613="",U613=""),"",IFERROR(INDEX(T_CAPAI,MATCH(T613,L_PER,0),MATCH(U613,L_KED,0)),0))</f>
        <v/>
      </c>
      <c r="W613" s="17">
        <f>IF(OR(B613="",E613="",COUNTA(F613,H613,J613:M613,O613,Q613:R613,T613:U613)=0),"",SUM(G613,I613,N613,P613,S613,V613))</f>
        <v/>
      </c>
      <c r="X613" s="18">
        <f>IF(W613="","",IF(Murid!F613="TL","TL",ROUND(W613/110*100,2)))</f>
        <v/>
      </c>
    </row>
    <row r="614">
      <c r="A614" s="15">
        <f>Murid!A614</f>
        <v/>
      </c>
      <c r="B614" s="15">
        <f>IF(Murid!B614="","",Murid!B614)</f>
        <v/>
      </c>
      <c r="C614" s="16">
        <f>IF(Murid!C614="","",Murid!C614)</f>
        <v/>
      </c>
      <c r="D614" s="15">
        <f>IF(Murid!E614="","",Murid!E614)</f>
        <v/>
      </c>
      <c r="E614" s="11" t="n"/>
      <c r="F614" s="11" t="n"/>
      <c r="G614" s="10">
        <f>IF(F614="","",IFERROR(VLOOKUP(F614,T_JKP,2,FALSE),0))</f>
        <v/>
      </c>
      <c r="H614" s="11" t="n"/>
      <c r="I614" s="17">
        <f>IF(H614="","",IF(H614&gt;=12,40,ROUND(H614*3.33,2)))</f>
        <v/>
      </c>
      <c r="J614" s="11" t="n"/>
      <c r="K614" s="11" t="n"/>
      <c r="L614" s="11" t="n"/>
      <c r="M614" s="11" t="n"/>
      <c r="N614" s="10">
        <f>IF(COUNTA(J614:M614)=0,"",MIN(10,SUMPRODUCT((COUNTIF(J614:M614,L_KOM)&gt;0)*S_KOM)))</f>
        <v/>
      </c>
      <c r="O614" s="11" t="n"/>
      <c r="P614" s="10">
        <f>IF(O614="","",IFERROR(VLOOKUP(O614,T_KHID,2,FALSE),0))</f>
        <v/>
      </c>
      <c r="Q614" s="11" t="n"/>
      <c r="R614" s="11" t="n"/>
      <c r="S614" s="10">
        <f>IF(AND(Q614="",R614=""),"",IFERROR(INDEX(T_LIBAT,MATCH(Q614,L_PER,0),MATCH(R614,L_JENIS,0)),0))</f>
        <v/>
      </c>
      <c r="T614" s="11" t="n"/>
      <c r="U614" s="11" t="n"/>
      <c r="V614" s="10">
        <f>IF(AND(T614="",U614=""),"",IFERROR(INDEX(T_CAPAI,MATCH(T614,L_PER,0),MATCH(U614,L_KED,0)),0))</f>
        <v/>
      </c>
      <c r="W614" s="17">
        <f>IF(OR(B614="",E614="",COUNTA(F614,H614,J614:M614,O614,Q614:R614,T614:U614)=0),"",SUM(G614,I614,N614,P614,S614,V614))</f>
        <v/>
      </c>
      <c r="X614" s="18">
        <f>IF(W614="","",IF(Murid!F614="TL","TL",ROUND(W614/110*100,2)))</f>
        <v/>
      </c>
    </row>
    <row r="615">
      <c r="A615" s="15">
        <f>Murid!A615</f>
        <v/>
      </c>
      <c r="B615" s="15">
        <f>IF(Murid!B615="","",Murid!B615)</f>
        <v/>
      </c>
      <c r="C615" s="16">
        <f>IF(Murid!C615="","",Murid!C615)</f>
        <v/>
      </c>
      <c r="D615" s="15">
        <f>IF(Murid!E615="","",Murid!E615)</f>
        <v/>
      </c>
      <c r="E615" s="11" t="n"/>
      <c r="F615" s="11" t="n"/>
      <c r="G615" s="10">
        <f>IF(F615="","",IFERROR(VLOOKUP(F615,T_JKP,2,FALSE),0))</f>
        <v/>
      </c>
      <c r="H615" s="11" t="n"/>
      <c r="I615" s="17">
        <f>IF(H615="","",IF(H615&gt;=12,40,ROUND(H615*3.33,2)))</f>
        <v/>
      </c>
      <c r="J615" s="11" t="n"/>
      <c r="K615" s="11" t="n"/>
      <c r="L615" s="11" t="n"/>
      <c r="M615" s="11" t="n"/>
      <c r="N615" s="10">
        <f>IF(COUNTA(J615:M615)=0,"",MIN(10,SUMPRODUCT((COUNTIF(J615:M615,L_KOM)&gt;0)*S_KOM)))</f>
        <v/>
      </c>
      <c r="O615" s="11" t="n"/>
      <c r="P615" s="10">
        <f>IF(O615="","",IFERROR(VLOOKUP(O615,T_KHID,2,FALSE),0))</f>
        <v/>
      </c>
      <c r="Q615" s="11" t="n"/>
      <c r="R615" s="11" t="n"/>
      <c r="S615" s="10">
        <f>IF(AND(Q615="",R615=""),"",IFERROR(INDEX(T_LIBAT,MATCH(Q615,L_PER,0),MATCH(R615,L_JENIS,0)),0))</f>
        <v/>
      </c>
      <c r="T615" s="11" t="n"/>
      <c r="U615" s="11" t="n"/>
      <c r="V615" s="10">
        <f>IF(AND(T615="",U615=""),"",IFERROR(INDEX(T_CAPAI,MATCH(T615,L_PER,0),MATCH(U615,L_KED,0)),0))</f>
        <v/>
      </c>
      <c r="W615" s="17">
        <f>IF(OR(B615="",E615="",COUNTA(F615,H615,J615:M615,O615,Q615:R615,T615:U615)=0),"",SUM(G615,I615,N615,P615,S615,V615))</f>
        <v/>
      </c>
      <c r="X615" s="18">
        <f>IF(W615="","",IF(Murid!F615="TL","TL",ROUND(W615/110*100,2)))</f>
        <v/>
      </c>
    </row>
    <row r="616">
      <c r="A616" s="15">
        <f>Murid!A616</f>
        <v/>
      </c>
      <c r="B616" s="15">
        <f>IF(Murid!B616="","",Murid!B616)</f>
        <v/>
      </c>
      <c r="C616" s="16">
        <f>IF(Murid!C616="","",Murid!C616)</f>
        <v/>
      </c>
      <c r="D616" s="15">
        <f>IF(Murid!E616="","",Murid!E616)</f>
        <v/>
      </c>
      <c r="E616" s="11" t="n"/>
      <c r="F616" s="11" t="n"/>
      <c r="G616" s="10">
        <f>IF(F616="","",IFERROR(VLOOKUP(F616,T_JKP,2,FALSE),0))</f>
        <v/>
      </c>
      <c r="H616" s="11" t="n"/>
      <c r="I616" s="17">
        <f>IF(H616="","",IF(H616&gt;=12,40,ROUND(H616*3.33,2)))</f>
        <v/>
      </c>
      <c r="J616" s="11" t="n"/>
      <c r="K616" s="11" t="n"/>
      <c r="L616" s="11" t="n"/>
      <c r="M616" s="11" t="n"/>
      <c r="N616" s="10">
        <f>IF(COUNTA(J616:M616)=0,"",MIN(10,SUMPRODUCT((COUNTIF(J616:M616,L_KOM)&gt;0)*S_KOM)))</f>
        <v/>
      </c>
      <c r="O616" s="11" t="n"/>
      <c r="P616" s="10">
        <f>IF(O616="","",IFERROR(VLOOKUP(O616,T_KHID,2,FALSE),0))</f>
        <v/>
      </c>
      <c r="Q616" s="11" t="n"/>
      <c r="R616" s="11" t="n"/>
      <c r="S616" s="10">
        <f>IF(AND(Q616="",R616=""),"",IFERROR(INDEX(T_LIBAT,MATCH(Q616,L_PER,0),MATCH(R616,L_JENIS,0)),0))</f>
        <v/>
      </c>
      <c r="T616" s="11" t="n"/>
      <c r="U616" s="11" t="n"/>
      <c r="V616" s="10">
        <f>IF(AND(T616="",U616=""),"",IFERROR(INDEX(T_CAPAI,MATCH(T616,L_PER,0),MATCH(U616,L_KED,0)),0))</f>
        <v/>
      </c>
      <c r="W616" s="17">
        <f>IF(OR(B616="",E616="",COUNTA(F616,H616,J616:M616,O616,Q616:R616,T616:U616)=0),"",SUM(G616,I616,N616,P616,S616,V616))</f>
        <v/>
      </c>
      <c r="X616" s="18">
        <f>IF(W616="","",IF(Murid!F616="TL","TL",ROUND(W616/110*100,2)))</f>
        <v/>
      </c>
    </row>
    <row r="617">
      <c r="A617" s="15">
        <f>Murid!A617</f>
        <v/>
      </c>
      <c r="B617" s="15">
        <f>IF(Murid!B617="","",Murid!B617)</f>
        <v/>
      </c>
      <c r="C617" s="16">
        <f>IF(Murid!C617="","",Murid!C617)</f>
        <v/>
      </c>
      <c r="D617" s="15">
        <f>IF(Murid!E617="","",Murid!E617)</f>
        <v/>
      </c>
      <c r="E617" s="11" t="n"/>
      <c r="F617" s="11" t="n"/>
      <c r="G617" s="10">
        <f>IF(F617="","",IFERROR(VLOOKUP(F617,T_JKP,2,FALSE),0))</f>
        <v/>
      </c>
      <c r="H617" s="11" t="n"/>
      <c r="I617" s="17">
        <f>IF(H617="","",IF(H617&gt;=12,40,ROUND(H617*3.33,2)))</f>
        <v/>
      </c>
      <c r="J617" s="11" t="n"/>
      <c r="K617" s="11" t="n"/>
      <c r="L617" s="11" t="n"/>
      <c r="M617" s="11" t="n"/>
      <c r="N617" s="10">
        <f>IF(COUNTA(J617:M617)=0,"",MIN(10,SUMPRODUCT((COUNTIF(J617:M617,L_KOM)&gt;0)*S_KOM)))</f>
        <v/>
      </c>
      <c r="O617" s="11" t="n"/>
      <c r="P617" s="10">
        <f>IF(O617="","",IFERROR(VLOOKUP(O617,T_KHID,2,FALSE),0))</f>
        <v/>
      </c>
      <c r="Q617" s="11" t="n"/>
      <c r="R617" s="11" t="n"/>
      <c r="S617" s="10">
        <f>IF(AND(Q617="",R617=""),"",IFERROR(INDEX(T_LIBAT,MATCH(Q617,L_PER,0),MATCH(R617,L_JENIS,0)),0))</f>
        <v/>
      </c>
      <c r="T617" s="11" t="n"/>
      <c r="U617" s="11" t="n"/>
      <c r="V617" s="10">
        <f>IF(AND(T617="",U617=""),"",IFERROR(INDEX(T_CAPAI,MATCH(T617,L_PER,0),MATCH(U617,L_KED,0)),0))</f>
        <v/>
      </c>
      <c r="W617" s="17">
        <f>IF(OR(B617="",E617="",COUNTA(F617,H617,J617:M617,O617,Q617:R617,T617:U617)=0),"",SUM(G617,I617,N617,P617,S617,V617))</f>
        <v/>
      </c>
      <c r="X617" s="18">
        <f>IF(W617="","",IF(Murid!F617="TL","TL",ROUND(W617/110*100,2)))</f>
        <v/>
      </c>
    </row>
    <row r="618">
      <c r="A618" s="15">
        <f>Murid!A618</f>
        <v/>
      </c>
      <c r="B618" s="15">
        <f>IF(Murid!B618="","",Murid!B618)</f>
        <v/>
      </c>
      <c r="C618" s="16">
        <f>IF(Murid!C618="","",Murid!C618)</f>
        <v/>
      </c>
      <c r="D618" s="15">
        <f>IF(Murid!E618="","",Murid!E618)</f>
        <v/>
      </c>
      <c r="E618" s="11" t="n"/>
      <c r="F618" s="11" t="n"/>
      <c r="G618" s="10">
        <f>IF(F618="","",IFERROR(VLOOKUP(F618,T_JKP,2,FALSE),0))</f>
        <v/>
      </c>
      <c r="H618" s="11" t="n"/>
      <c r="I618" s="17">
        <f>IF(H618="","",IF(H618&gt;=12,40,ROUND(H618*3.33,2)))</f>
        <v/>
      </c>
      <c r="J618" s="11" t="n"/>
      <c r="K618" s="11" t="n"/>
      <c r="L618" s="11" t="n"/>
      <c r="M618" s="11" t="n"/>
      <c r="N618" s="10">
        <f>IF(COUNTA(J618:M618)=0,"",MIN(10,SUMPRODUCT((COUNTIF(J618:M618,L_KOM)&gt;0)*S_KOM)))</f>
        <v/>
      </c>
      <c r="O618" s="11" t="n"/>
      <c r="P618" s="10">
        <f>IF(O618="","",IFERROR(VLOOKUP(O618,T_KHID,2,FALSE),0))</f>
        <v/>
      </c>
      <c r="Q618" s="11" t="n"/>
      <c r="R618" s="11" t="n"/>
      <c r="S618" s="10">
        <f>IF(AND(Q618="",R618=""),"",IFERROR(INDEX(T_LIBAT,MATCH(Q618,L_PER,0),MATCH(R618,L_JENIS,0)),0))</f>
        <v/>
      </c>
      <c r="T618" s="11" t="n"/>
      <c r="U618" s="11" t="n"/>
      <c r="V618" s="10">
        <f>IF(AND(T618="",U618=""),"",IFERROR(INDEX(T_CAPAI,MATCH(T618,L_PER,0),MATCH(U618,L_KED,0)),0))</f>
        <v/>
      </c>
      <c r="W618" s="17">
        <f>IF(OR(B618="",E618="",COUNTA(F618,H618,J618:M618,O618,Q618:R618,T618:U618)=0),"",SUM(G618,I618,N618,P618,S618,V618))</f>
        <v/>
      </c>
      <c r="X618" s="18">
        <f>IF(W618="","",IF(Murid!F618="TL","TL",ROUND(W618/110*100,2)))</f>
        <v/>
      </c>
    </row>
    <row r="619">
      <c r="A619" s="15">
        <f>Murid!A619</f>
        <v/>
      </c>
      <c r="B619" s="15">
        <f>IF(Murid!B619="","",Murid!B619)</f>
        <v/>
      </c>
      <c r="C619" s="16">
        <f>IF(Murid!C619="","",Murid!C619)</f>
        <v/>
      </c>
      <c r="D619" s="15">
        <f>IF(Murid!E619="","",Murid!E619)</f>
        <v/>
      </c>
      <c r="E619" s="11" t="n"/>
      <c r="F619" s="11" t="n"/>
      <c r="G619" s="10">
        <f>IF(F619="","",IFERROR(VLOOKUP(F619,T_JKP,2,FALSE),0))</f>
        <v/>
      </c>
      <c r="H619" s="11" t="n"/>
      <c r="I619" s="17">
        <f>IF(H619="","",IF(H619&gt;=12,40,ROUND(H619*3.33,2)))</f>
        <v/>
      </c>
      <c r="J619" s="11" t="n"/>
      <c r="K619" s="11" t="n"/>
      <c r="L619" s="11" t="n"/>
      <c r="M619" s="11" t="n"/>
      <c r="N619" s="10">
        <f>IF(COUNTA(J619:M619)=0,"",MIN(10,SUMPRODUCT((COUNTIF(J619:M619,L_KOM)&gt;0)*S_KOM)))</f>
        <v/>
      </c>
      <c r="O619" s="11" t="n"/>
      <c r="P619" s="10">
        <f>IF(O619="","",IFERROR(VLOOKUP(O619,T_KHID,2,FALSE),0))</f>
        <v/>
      </c>
      <c r="Q619" s="11" t="n"/>
      <c r="R619" s="11" t="n"/>
      <c r="S619" s="10">
        <f>IF(AND(Q619="",R619=""),"",IFERROR(INDEX(T_LIBAT,MATCH(Q619,L_PER,0),MATCH(R619,L_JENIS,0)),0))</f>
        <v/>
      </c>
      <c r="T619" s="11" t="n"/>
      <c r="U619" s="11" t="n"/>
      <c r="V619" s="10">
        <f>IF(AND(T619="",U619=""),"",IFERROR(INDEX(T_CAPAI,MATCH(T619,L_PER,0),MATCH(U619,L_KED,0)),0))</f>
        <v/>
      </c>
      <c r="W619" s="17">
        <f>IF(OR(B619="",E619="",COUNTA(F619,H619,J619:M619,O619,Q619:R619,T619:U619)=0),"",SUM(G619,I619,N619,P619,S619,V619))</f>
        <v/>
      </c>
      <c r="X619" s="18">
        <f>IF(W619="","",IF(Murid!F619="TL","TL",ROUND(W619/110*100,2)))</f>
        <v/>
      </c>
    </row>
    <row r="620">
      <c r="A620" s="15">
        <f>Murid!A620</f>
        <v/>
      </c>
      <c r="B620" s="15">
        <f>IF(Murid!B620="","",Murid!B620)</f>
        <v/>
      </c>
      <c r="C620" s="16">
        <f>IF(Murid!C620="","",Murid!C620)</f>
        <v/>
      </c>
      <c r="D620" s="15">
        <f>IF(Murid!E620="","",Murid!E620)</f>
        <v/>
      </c>
      <c r="E620" s="11" t="n"/>
      <c r="F620" s="11" t="n"/>
      <c r="G620" s="10">
        <f>IF(F620="","",IFERROR(VLOOKUP(F620,T_JKP,2,FALSE),0))</f>
        <v/>
      </c>
      <c r="H620" s="11" t="n"/>
      <c r="I620" s="17">
        <f>IF(H620="","",IF(H620&gt;=12,40,ROUND(H620*3.33,2)))</f>
        <v/>
      </c>
      <c r="J620" s="11" t="n"/>
      <c r="K620" s="11" t="n"/>
      <c r="L620" s="11" t="n"/>
      <c r="M620" s="11" t="n"/>
      <c r="N620" s="10">
        <f>IF(COUNTA(J620:M620)=0,"",MIN(10,SUMPRODUCT((COUNTIF(J620:M620,L_KOM)&gt;0)*S_KOM)))</f>
        <v/>
      </c>
      <c r="O620" s="11" t="n"/>
      <c r="P620" s="10">
        <f>IF(O620="","",IFERROR(VLOOKUP(O620,T_KHID,2,FALSE),0))</f>
        <v/>
      </c>
      <c r="Q620" s="11" t="n"/>
      <c r="R620" s="11" t="n"/>
      <c r="S620" s="10">
        <f>IF(AND(Q620="",R620=""),"",IFERROR(INDEX(T_LIBAT,MATCH(Q620,L_PER,0),MATCH(R620,L_JENIS,0)),0))</f>
        <v/>
      </c>
      <c r="T620" s="11" t="n"/>
      <c r="U620" s="11" t="n"/>
      <c r="V620" s="10">
        <f>IF(AND(T620="",U620=""),"",IFERROR(INDEX(T_CAPAI,MATCH(T620,L_PER,0),MATCH(U620,L_KED,0)),0))</f>
        <v/>
      </c>
      <c r="W620" s="17">
        <f>IF(OR(B620="",E620="",COUNTA(F620,H620,J620:M620,O620,Q620:R620,T620:U620)=0),"",SUM(G620,I620,N620,P620,S620,V620))</f>
        <v/>
      </c>
      <c r="X620" s="18">
        <f>IF(W620="","",IF(Murid!F620="TL","TL",ROUND(W620/110*100,2)))</f>
        <v/>
      </c>
    </row>
    <row r="621">
      <c r="A621" s="15">
        <f>Murid!A621</f>
        <v/>
      </c>
      <c r="B621" s="15">
        <f>IF(Murid!B621="","",Murid!B621)</f>
        <v/>
      </c>
      <c r="C621" s="16">
        <f>IF(Murid!C621="","",Murid!C621)</f>
        <v/>
      </c>
      <c r="D621" s="15">
        <f>IF(Murid!E621="","",Murid!E621)</f>
        <v/>
      </c>
      <c r="E621" s="11" t="n"/>
      <c r="F621" s="11" t="n"/>
      <c r="G621" s="10">
        <f>IF(F621="","",IFERROR(VLOOKUP(F621,T_JKP,2,FALSE),0))</f>
        <v/>
      </c>
      <c r="H621" s="11" t="n"/>
      <c r="I621" s="17">
        <f>IF(H621="","",IF(H621&gt;=12,40,ROUND(H621*3.33,2)))</f>
        <v/>
      </c>
      <c r="J621" s="11" t="n"/>
      <c r="K621" s="11" t="n"/>
      <c r="L621" s="11" t="n"/>
      <c r="M621" s="11" t="n"/>
      <c r="N621" s="10">
        <f>IF(COUNTA(J621:M621)=0,"",MIN(10,SUMPRODUCT((COUNTIF(J621:M621,L_KOM)&gt;0)*S_KOM)))</f>
        <v/>
      </c>
      <c r="O621" s="11" t="n"/>
      <c r="P621" s="10">
        <f>IF(O621="","",IFERROR(VLOOKUP(O621,T_KHID,2,FALSE),0))</f>
        <v/>
      </c>
      <c r="Q621" s="11" t="n"/>
      <c r="R621" s="11" t="n"/>
      <c r="S621" s="10">
        <f>IF(AND(Q621="",R621=""),"",IFERROR(INDEX(T_LIBAT,MATCH(Q621,L_PER,0),MATCH(R621,L_JENIS,0)),0))</f>
        <v/>
      </c>
      <c r="T621" s="11" t="n"/>
      <c r="U621" s="11" t="n"/>
      <c r="V621" s="10">
        <f>IF(AND(T621="",U621=""),"",IFERROR(INDEX(T_CAPAI,MATCH(T621,L_PER,0),MATCH(U621,L_KED,0)),0))</f>
        <v/>
      </c>
      <c r="W621" s="17">
        <f>IF(OR(B621="",E621="",COUNTA(F621,H621,J621:M621,O621,Q621:R621,T621:U621)=0),"",SUM(G621,I621,N621,P621,S621,V621))</f>
        <v/>
      </c>
      <c r="X621" s="18">
        <f>IF(W621="","",IF(Murid!F621="TL","TL",ROUND(W621/110*100,2)))</f>
        <v/>
      </c>
    </row>
    <row r="622">
      <c r="A622" s="15">
        <f>Murid!A622</f>
        <v/>
      </c>
      <c r="B622" s="15">
        <f>IF(Murid!B622="","",Murid!B622)</f>
        <v/>
      </c>
      <c r="C622" s="16">
        <f>IF(Murid!C622="","",Murid!C622)</f>
        <v/>
      </c>
      <c r="D622" s="15">
        <f>IF(Murid!E622="","",Murid!E622)</f>
        <v/>
      </c>
      <c r="E622" s="11" t="n"/>
      <c r="F622" s="11" t="n"/>
      <c r="G622" s="10">
        <f>IF(F622="","",IFERROR(VLOOKUP(F622,T_JKP,2,FALSE),0))</f>
        <v/>
      </c>
      <c r="H622" s="11" t="n"/>
      <c r="I622" s="17">
        <f>IF(H622="","",IF(H622&gt;=12,40,ROUND(H622*3.33,2)))</f>
        <v/>
      </c>
      <c r="J622" s="11" t="n"/>
      <c r="K622" s="11" t="n"/>
      <c r="L622" s="11" t="n"/>
      <c r="M622" s="11" t="n"/>
      <c r="N622" s="10">
        <f>IF(COUNTA(J622:M622)=0,"",MIN(10,SUMPRODUCT((COUNTIF(J622:M622,L_KOM)&gt;0)*S_KOM)))</f>
        <v/>
      </c>
      <c r="O622" s="11" t="n"/>
      <c r="P622" s="10">
        <f>IF(O622="","",IFERROR(VLOOKUP(O622,T_KHID,2,FALSE),0))</f>
        <v/>
      </c>
      <c r="Q622" s="11" t="n"/>
      <c r="R622" s="11" t="n"/>
      <c r="S622" s="10">
        <f>IF(AND(Q622="",R622=""),"",IFERROR(INDEX(T_LIBAT,MATCH(Q622,L_PER,0),MATCH(R622,L_JENIS,0)),0))</f>
        <v/>
      </c>
      <c r="T622" s="11" t="n"/>
      <c r="U622" s="11" t="n"/>
      <c r="V622" s="10">
        <f>IF(AND(T622="",U622=""),"",IFERROR(INDEX(T_CAPAI,MATCH(T622,L_PER,0),MATCH(U622,L_KED,0)),0))</f>
        <v/>
      </c>
      <c r="W622" s="17">
        <f>IF(OR(B622="",E622="",COUNTA(F622,H622,J622:M622,O622,Q622:R622,T622:U622)=0),"",SUM(G622,I622,N622,P622,S622,V622))</f>
        <v/>
      </c>
      <c r="X622" s="18">
        <f>IF(W622="","",IF(Murid!F622="TL","TL",ROUND(W622/110*100,2)))</f>
        <v/>
      </c>
    </row>
    <row r="623">
      <c r="A623" s="15">
        <f>Murid!A623</f>
        <v/>
      </c>
      <c r="B623" s="15">
        <f>IF(Murid!B623="","",Murid!B623)</f>
        <v/>
      </c>
      <c r="C623" s="16">
        <f>IF(Murid!C623="","",Murid!C623)</f>
        <v/>
      </c>
      <c r="D623" s="15">
        <f>IF(Murid!E623="","",Murid!E623)</f>
        <v/>
      </c>
      <c r="E623" s="11" t="n"/>
      <c r="F623" s="11" t="n"/>
      <c r="G623" s="10">
        <f>IF(F623="","",IFERROR(VLOOKUP(F623,T_JKP,2,FALSE),0))</f>
        <v/>
      </c>
      <c r="H623" s="11" t="n"/>
      <c r="I623" s="17">
        <f>IF(H623="","",IF(H623&gt;=12,40,ROUND(H623*3.33,2)))</f>
        <v/>
      </c>
      <c r="J623" s="11" t="n"/>
      <c r="K623" s="11" t="n"/>
      <c r="L623" s="11" t="n"/>
      <c r="M623" s="11" t="n"/>
      <c r="N623" s="10">
        <f>IF(COUNTA(J623:M623)=0,"",MIN(10,SUMPRODUCT((COUNTIF(J623:M623,L_KOM)&gt;0)*S_KOM)))</f>
        <v/>
      </c>
      <c r="O623" s="11" t="n"/>
      <c r="P623" s="10">
        <f>IF(O623="","",IFERROR(VLOOKUP(O623,T_KHID,2,FALSE),0))</f>
        <v/>
      </c>
      <c r="Q623" s="11" t="n"/>
      <c r="R623" s="11" t="n"/>
      <c r="S623" s="10">
        <f>IF(AND(Q623="",R623=""),"",IFERROR(INDEX(T_LIBAT,MATCH(Q623,L_PER,0),MATCH(R623,L_JENIS,0)),0))</f>
        <v/>
      </c>
      <c r="T623" s="11" t="n"/>
      <c r="U623" s="11" t="n"/>
      <c r="V623" s="10">
        <f>IF(AND(T623="",U623=""),"",IFERROR(INDEX(T_CAPAI,MATCH(T623,L_PER,0),MATCH(U623,L_KED,0)),0))</f>
        <v/>
      </c>
      <c r="W623" s="17">
        <f>IF(OR(B623="",E623="",COUNTA(F623,H623,J623:M623,O623,Q623:R623,T623:U623)=0),"",SUM(G623,I623,N623,P623,S623,V623))</f>
        <v/>
      </c>
      <c r="X623" s="18">
        <f>IF(W623="","",IF(Murid!F623="TL","TL",ROUND(W623/110*100,2)))</f>
        <v/>
      </c>
    </row>
    <row r="624">
      <c r="A624" s="15">
        <f>Murid!A624</f>
        <v/>
      </c>
      <c r="B624" s="15">
        <f>IF(Murid!B624="","",Murid!B624)</f>
        <v/>
      </c>
      <c r="C624" s="16">
        <f>IF(Murid!C624="","",Murid!C624)</f>
        <v/>
      </c>
      <c r="D624" s="15">
        <f>IF(Murid!E624="","",Murid!E624)</f>
        <v/>
      </c>
      <c r="E624" s="11" t="n"/>
      <c r="F624" s="11" t="n"/>
      <c r="G624" s="10">
        <f>IF(F624="","",IFERROR(VLOOKUP(F624,T_JKP,2,FALSE),0))</f>
        <v/>
      </c>
      <c r="H624" s="11" t="n"/>
      <c r="I624" s="17">
        <f>IF(H624="","",IF(H624&gt;=12,40,ROUND(H624*3.33,2)))</f>
        <v/>
      </c>
      <c r="J624" s="11" t="n"/>
      <c r="K624" s="11" t="n"/>
      <c r="L624" s="11" t="n"/>
      <c r="M624" s="11" t="n"/>
      <c r="N624" s="10">
        <f>IF(COUNTA(J624:M624)=0,"",MIN(10,SUMPRODUCT((COUNTIF(J624:M624,L_KOM)&gt;0)*S_KOM)))</f>
        <v/>
      </c>
      <c r="O624" s="11" t="n"/>
      <c r="P624" s="10">
        <f>IF(O624="","",IFERROR(VLOOKUP(O624,T_KHID,2,FALSE),0))</f>
        <v/>
      </c>
      <c r="Q624" s="11" t="n"/>
      <c r="R624" s="11" t="n"/>
      <c r="S624" s="10">
        <f>IF(AND(Q624="",R624=""),"",IFERROR(INDEX(T_LIBAT,MATCH(Q624,L_PER,0),MATCH(R624,L_JENIS,0)),0))</f>
        <v/>
      </c>
      <c r="T624" s="11" t="n"/>
      <c r="U624" s="11" t="n"/>
      <c r="V624" s="10">
        <f>IF(AND(T624="",U624=""),"",IFERROR(INDEX(T_CAPAI,MATCH(T624,L_PER,0),MATCH(U624,L_KED,0)),0))</f>
        <v/>
      </c>
      <c r="W624" s="17">
        <f>IF(OR(B624="",E624="",COUNTA(F624,H624,J624:M624,O624,Q624:R624,T624:U624)=0),"",SUM(G624,I624,N624,P624,S624,V624))</f>
        <v/>
      </c>
      <c r="X624" s="18">
        <f>IF(W624="","",IF(Murid!F624="TL","TL",ROUND(W624/110*100,2)))</f>
        <v/>
      </c>
    </row>
    <row r="625">
      <c r="A625" s="15">
        <f>Murid!A625</f>
        <v/>
      </c>
      <c r="B625" s="15">
        <f>IF(Murid!B625="","",Murid!B625)</f>
        <v/>
      </c>
      <c r="C625" s="16">
        <f>IF(Murid!C625="","",Murid!C625)</f>
        <v/>
      </c>
      <c r="D625" s="15">
        <f>IF(Murid!E625="","",Murid!E625)</f>
        <v/>
      </c>
      <c r="E625" s="11" t="n"/>
      <c r="F625" s="11" t="n"/>
      <c r="G625" s="10">
        <f>IF(F625="","",IFERROR(VLOOKUP(F625,T_JKP,2,FALSE),0))</f>
        <v/>
      </c>
      <c r="H625" s="11" t="n"/>
      <c r="I625" s="17">
        <f>IF(H625="","",IF(H625&gt;=12,40,ROUND(H625*3.33,2)))</f>
        <v/>
      </c>
      <c r="J625" s="11" t="n"/>
      <c r="K625" s="11" t="n"/>
      <c r="L625" s="11" t="n"/>
      <c r="M625" s="11" t="n"/>
      <c r="N625" s="10">
        <f>IF(COUNTA(J625:M625)=0,"",MIN(10,SUMPRODUCT((COUNTIF(J625:M625,L_KOM)&gt;0)*S_KOM)))</f>
        <v/>
      </c>
      <c r="O625" s="11" t="n"/>
      <c r="P625" s="10">
        <f>IF(O625="","",IFERROR(VLOOKUP(O625,T_KHID,2,FALSE),0))</f>
        <v/>
      </c>
      <c r="Q625" s="11" t="n"/>
      <c r="R625" s="11" t="n"/>
      <c r="S625" s="10">
        <f>IF(AND(Q625="",R625=""),"",IFERROR(INDEX(T_LIBAT,MATCH(Q625,L_PER,0),MATCH(R625,L_JENIS,0)),0))</f>
        <v/>
      </c>
      <c r="T625" s="11" t="n"/>
      <c r="U625" s="11" t="n"/>
      <c r="V625" s="10">
        <f>IF(AND(T625="",U625=""),"",IFERROR(INDEX(T_CAPAI,MATCH(T625,L_PER,0),MATCH(U625,L_KED,0)),0))</f>
        <v/>
      </c>
      <c r="W625" s="17">
        <f>IF(OR(B625="",E625="",COUNTA(F625,H625,J625:M625,O625,Q625:R625,T625:U625)=0),"",SUM(G625,I625,N625,P625,S625,V625))</f>
        <v/>
      </c>
      <c r="X625" s="18">
        <f>IF(W625="","",IF(Murid!F625="TL","TL",ROUND(W625/110*100,2)))</f>
        <v/>
      </c>
    </row>
    <row r="626">
      <c r="A626" s="15">
        <f>Murid!A626</f>
        <v/>
      </c>
      <c r="B626" s="15">
        <f>IF(Murid!B626="","",Murid!B626)</f>
        <v/>
      </c>
      <c r="C626" s="16">
        <f>IF(Murid!C626="","",Murid!C626)</f>
        <v/>
      </c>
      <c r="D626" s="15">
        <f>IF(Murid!E626="","",Murid!E626)</f>
        <v/>
      </c>
      <c r="E626" s="11" t="n"/>
      <c r="F626" s="11" t="n"/>
      <c r="G626" s="10">
        <f>IF(F626="","",IFERROR(VLOOKUP(F626,T_JKP,2,FALSE),0))</f>
        <v/>
      </c>
      <c r="H626" s="11" t="n"/>
      <c r="I626" s="17">
        <f>IF(H626="","",IF(H626&gt;=12,40,ROUND(H626*3.33,2)))</f>
        <v/>
      </c>
      <c r="J626" s="11" t="n"/>
      <c r="K626" s="11" t="n"/>
      <c r="L626" s="11" t="n"/>
      <c r="M626" s="11" t="n"/>
      <c r="N626" s="10">
        <f>IF(COUNTA(J626:M626)=0,"",MIN(10,SUMPRODUCT((COUNTIF(J626:M626,L_KOM)&gt;0)*S_KOM)))</f>
        <v/>
      </c>
      <c r="O626" s="11" t="n"/>
      <c r="P626" s="10">
        <f>IF(O626="","",IFERROR(VLOOKUP(O626,T_KHID,2,FALSE),0))</f>
        <v/>
      </c>
      <c r="Q626" s="11" t="n"/>
      <c r="R626" s="11" t="n"/>
      <c r="S626" s="10">
        <f>IF(AND(Q626="",R626=""),"",IFERROR(INDEX(T_LIBAT,MATCH(Q626,L_PER,0),MATCH(R626,L_JENIS,0)),0))</f>
        <v/>
      </c>
      <c r="T626" s="11" t="n"/>
      <c r="U626" s="11" t="n"/>
      <c r="V626" s="10">
        <f>IF(AND(T626="",U626=""),"",IFERROR(INDEX(T_CAPAI,MATCH(T626,L_PER,0),MATCH(U626,L_KED,0)),0))</f>
        <v/>
      </c>
      <c r="W626" s="17">
        <f>IF(OR(B626="",E626="",COUNTA(F626,H626,J626:M626,O626,Q626:R626,T626:U626)=0),"",SUM(G626,I626,N626,P626,S626,V626))</f>
        <v/>
      </c>
      <c r="X626" s="18">
        <f>IF(W626="","",IF(Murid!F626="TL","TL",ROUND(W626/110*100,2)))</f>
        <v/>
      </c>
    </row>
    <row r="627">
      <c r="A627" s="15">
        <f>Murid!A627</f>
        <v/>
      </c>
      <c r="B627" s="15">
        <f>IF(Murid!B627="","",Murid!B627)</f>
        <v/>
      </c>
      <c r="C627" s="16">
        <f>IF(Murid!C627="","",Murid!C627)</f>
        <v/>
      </c>
      <c r="D627" s="15">
        <f>IF(Murid!E627="","",Murid!E627)</f>
        <v/>
      </c>
      <c r="E627" s="11" t="n"/>
      <c r="F627" s="11" t="n"/>
      <c r="G627" s="10">
        <f>IF(F627="","",IFERROR(VLOOKUP(F627,T_JKP,2,FALSE),0))</f>
        <v/>
      </c>
      <c r="H627" s="11" t="n"/>
      <c r="I627" s="17">
        <f>IF(H627="","",IF(H627&gt;=12,40,ROUND(H627*3.33,2)))</f>
        <v/>
      </c>
      <c r="J627" s="11" t="n"/>
      <c r="K627" s="11" t="n"/>
      <c r="L627" s="11" t="n"/>
      <c r="M627" s="11" t="n"/>
      <c r="N627" s="10">
        <f>IF(COUNTA(J627:M627)=0,"",MIN(10,SUMPRODUCT((COUNTIF(J627:M627,L_KOM)&gt;0)*S_KOM)))</f>
        <v/>
      </c>
      <c r="O627" s="11" t="n"/>
      <c r="P627" s="10">
        <f>IF(O627="","",IFERROR(VLOOKUP(O627,T_KHID,2,FALSE),0))</f>
        <v/>
      </c>
      <c r="Q627" s="11" t="n"/>
      <c r="R627" s="11" t="n"/>
      <c r="S627" s="10">
        <f>IF(AND(Q627="",R627=""),"",IFERROR(INDEX(T_LIBAT,MATCH(Q627,L_PER,0),MATCH(R627,L_JENIS,0)),0))</f>
        <v/>
      </c>
      <c r="T627" s="11" t="n"/>
      <c r="U627" s="11" t="n"/>
      <c r="V627" s="10">
        <f>IF(AND(T627="",U627=""),"",IFERROR(INDEX(T_CAPAI,MATCH(T627,L_PER,0),MATCH(U627,L_KED,0)),0))</f>
        <v/>
      </c>
      <c r="W627" s="17">
        <f>IF(OR(B627="",E627="",COUNTA(F627,H627,J627:M627,O627,Q627:R627,T627:U627)=0),"",SUM(G627,I627,N627,P627,S627,V627))</f>
        <v/>
      </c>
      <c r="X627" s="18">
        <f>IF(W627="","",IF(Murid!F627="TL","TL",ROUND(W627/110*100,2)))</f>
        <v/>
      </c>
    </row>
    <row r="628">
      <c r="A628" s="15">
        <f>Murid!A628</f>
        <v/>
      </c>
      <c r="B628" s="15">
        <f>IF(Murid!B628="","",Murid!B628)</f>
        <v/>
      </c>
      <c r="C628" s="16">
        <f>IF(Murid!C628="","",Murid!C628)</f>
        <v/>
      </c>
      <c r="D628" s="15">
        <f>IF(Murid!E628="","",Murid!E628)</f>
        <v/>
      </c>
      <c r="E628" s="11" t="n"/>
      <c r="F628" s="11" t="n"/>
      <c r="G628" s="10">
        <f>IF(F628="","",IFERROR(VLOOKUP(F628,T_JKP,2,FALSE),0))</f>
        <v/>
      </c>
      <c r="H628" s="11" t="n"/>
      <c r="I628" s="17">
        <f>IF(H628="","",IF(H628&gt;=12,40,ROUND(H628*3.33,2)))</f>
        <v/>
      </c>
      <c r="J628" s="11" t="n"/>
      <c r="K628" s="11" t="n"/>
      <c r="L628" s="11" t="n"/>
      <c r="M628" s="11" t="n"/>
      <c r="N628" s="10">
        <f>IF(COUNTA(J628:M628)=0,"",MIN(10,SUMPRODUCT((COUNTIF(J628:M628,L_KOM)&gt;0)*S_KOM)))</f>
        <v/>
      </c>
      <c r="O628" s="11" t="n"/>
      <c r="P628" s="10">
        <f>IF(O628="","",IFERROR(VLOOKUP(O628,T_KHID,2,FALSE),0))</f>
        <v/>
      </c>
      <c r="Q628" s="11" t="n"/>
      <c r="R628" s="11" t="n"/>
      <c r="S628" s="10">
        <f>IF(AND(Q628="",R628=""),"",IFERROR(INDEX(T_LIBAT,MATCH(Q628,L_PER,0),MATCH(R628,L_JENIS,0)),0))</f>
        <v/>
      </c>
      <c r="T628" s="11" t="n"/>
      <c r="U628" s="11" t="n"/>
      <c r="V628" s="10">
        <f>IF(AND(T628="",U628=""),"",IFERROR(INDEX(T_CAPAI,MATCH(T628,L_PER,0),MATCH(U628,L_KED,0)),0))</f>
        <v/>
      </c>
      <c r="W628" s="17">
        <f>IF(OR(B628="",E628="",COUNTA(F628,H628,J628:M628,O628,Q628:R628,T628:U628)=0),"",SUM(G628,I628,N628,P628,S628,V628))</f>
        <v/>
      </c>
      <c r="X628" s="18">
        <f>IF(W628="","",IF(Murid!F628="TL","TL",ROUND(W628/110*100,2)))</f>
        <v/>
      </c>
    </row>
    <row r="629">
      <c r="A629" s="15">
        <f>Murid!A629</f>
        <v/>
      </c>
      <c r="B629" s="15">
        <f>IF(Murid!B629="","",Murid!B629)</f>
        <v/>
      </c>
      <c r="C629" s="16">
        <f>IF(Murid!C629="","",Murid!C629)</f>
        <v/>
      </c>
      <c r="D629" s="15">
        <f>IF(Murid!E629="","",Murid!E629)</f>
        <v/>
      </c>
      <c r="E629" s="11" t="n"/>
      <c r="F629" s="11" t="n"/>
      <c r="G629" s="10">
        <f>IF(F629="","",IFERROR(VLOOKUP(F629,T_JKP,2,FALSE),0))</f>
        <v/>
      </c>
      <c r="H629" s="11" t="n"/>
      <c r="I629" s="17">
        <f>IF(H629="","",IF(H629&gt;=12,40,ROUND(H629*3.33,2)))</f>
        <v/>
      </c>
      <c r="J629" s="11" t="n"/>
      <c r="K629" s="11" t="n"/>
      <c r="L629" s="11" t="n"/>
      <c r="M629" s="11" t="n"/>
      <c r="N629" s="10">
        <f>IF(COUNTA(J629:M629)=0,"",MIN(10,SUMPRODUCT((COUNTIF(J629:M629,L_KOM)&gt;0)*S_KOM)))</f>
        <v/>
      </c>
      <c r="O629" s="11" t="n"/>
      <c r="P629" s="10">
        <f>IF(O629="","",IFERROR(VLOOKUP(O629,T_KHID,2,FALSE),0))</f>
        <v/>
      </c>
      <c r="Q629" s="11" t="n"/>
      <c r="R629" s="11" t="n"/>
      <c r="S629" s="10">
        <f>IF(AND(Q629="",R629=""),"",IFERROR(INDEX(T_LIBAT,MATCH(Q629,L_PER,0),MATCH(R629,L_JENIS,0)),0))</f>
        <v/>
      </c>
      <c r="T629" s="11" t="n"/>
      <c r="U629" s="11" t="n"/>
      <c r="V629" s="10">
        <f>IF(AND(T629="",U629=""),"",IFERROR(INDEX(T_CAPAI,MATCH(T629,L_PER,0),MATCH(U629,L_KED,0)),0))</f>
        <v/>
      </c>
      <c r="W629" s="17">
        <f>IF(OR(B629="",E629="",COUNTA(F629,H629,J629:M629,O629,Q629:R629,T629:U629)=0),"",SUM(G629,I629,N629,P629,S629,V629))</f>
        <v/>
      </c>
      <c r="X629" s="18">
        <f>IF(W629="","",IF(Murid!F629="TL","TL",ROUND(W629/110*100,2)))</f>
        <v/>
      </c>
    </row>
    <row r="630">
      <c r="A630" s="15">
        <f>Murid!A630</f>
        <v/>
      </c>
      <c r="B630" s="15">
        <f>IF(Murid!B630="","",Murid!B630)</f>
        <v/>
      </c>
      <c r="C630" s="16">
        <f>IF(Murid!C630="","",Murid!C630)</f>
        <v/>
      </c>
      <c r="D630" s="15">
        <f>IF(Murid!E630="","",Murid!E630)</f>
        <v/>
      </c>
      <c r="E630" s="11" t="n"/>
      <c r="F630" s="11" t="n"/>
      <c r="G630" s="10">
        <f>IF(F630="","",IFERROR(VLOOKUP(F630,T_JKP,2,FALSE),0))</f>
        <v/>
      </c>
      <c r="H630" s="11" t="n"/>
      <c r="I630" s="17">
        <f>IF(H630="","",IF(H630&gt;=12,40,ROUND(H630*3.33,2)))</f>
        <v/>
      </c>
      <c r="J630" s="11" t="n"/>
      <c r="K630" s="11" t="n"/>
      <c r="L630" s="11" t="n"/>
      <c r="M630" s="11" t="n"/>
      <c r="N630" s="10">
        <f>IF(COUNTA(J630:M630)=0,"",MIN(10,SUMPRODUCT((COUNTIF(J630:M630,L_KOM)&gt;0)*S_KOM)))</f>
        <v/>
      </c>
      <c r="O630" s="11" t="n"/>
      <c r="P630" s="10">
        <f>IF(O630="","",IFERROR(VLOOKUP(O630,T_KHID,2,FALSE),0))</f>
        <v/>
      </c>
      <c r="Q630" s="11" t="n"/>
      <c r="R630" s="11" t="n"/>
      <c r="S630" s="10">
        <f>IF(AND(Q630="",R630=""),"",IFERROR(INDEX(T_LIBAT,MATCH(Q630,L_PER,0),MATCH(R630,L_JENIS,0)),0))</f>
        <v/>
      </c>
      <c r="T630" s="11" t="n"/>
      <c r="U630" s="11" t="n"/>
      <c r="V630" s="10">
        <f>IF(AND(T630="",U630=""),"",IFERROR(INDEX(T_CAPAI,MATCH(T630,L_PER,0),MATCH(U630,L_KED,0)),0))</f>
        <v/>
      </c>
      <c r="W630" s="17">
        <f>IF(OR(B630="",E630="",COUNTA(F630,H630,J630:M630,O630,Q630:R630,T630:U630)=0),"",SUM(G630,I630,N630,P630,S630,V630))</f>
        <v/>
      </c>
      <c r="X630" s="18">
        <f>IF(W630="","",IF(Murid!F630="TL","TL",ROUND(W630/110*100,2)))</f>
        <v/>
      </c>
    </row>
    <row r="631">
      <c r="A631" s="15">
        <f>Murid!A631</f>
        <v/>
      </c>
      <c r="B631" s="15">
        <f>IF(Murid!B631="","",Murid!B631)</f>
        <v/>
      </c>
      <c r="C631" s="16">
        <f>IF(Murid!C631="","",Murid!C631)</f>
        <v/>
      </c>
      <c r="D631" s="15">
        <f>IF(Murid!E631="","",Murid!E631)</f>
        <v/>
      </c>
      <c r="E631" s="11" t="n"/>
      <c r="F631" s="11" t="n"/>
      <c r="G631" s="10">
        <f>IF(F631="","",IFERROR(VLOOKUP(F631,T_JKP,2,FALSE),0))</f>
        <v/>
      </c>
      <c r="H631" s="11" t="n"/>
      <c r="I631" s="17">
        <f>IF(H631="","",IF(H631&gt;=12,40,ROUND(H631*3.33,2)))</f>
        <v/>
      </c>
      <c r="J631" s="11" t="n"/>
      <c r="K631" s="11" t="n"/>
      <c r="L631" s="11" t="n"/>
      <c r="M631" s="11" t="n"/>
      <c r="N631" s="10">
        <f>IF(COUNTA(J631:M631)=0,"",MIN(10,SUMPRODUCT((COUNTIF(J631:M631,L_KOM)&gt;0)*S_KOM)))</f>
        <v/>
      </c>
      <c r="O631" s="11" t="n"/>
      <c r="P631" s="10">
        <f>IF(O631="","",IFERROR(VLOOKUP(O631,T_KHID,2,FALSE),0))</f>
        <v/>
      </c>
      <c r="Q631" s="11" t="n"/>
      <c r="R631" s="11" t="n"/>
      <c r="S631" s="10">
        <f>IF(AND(Q631="",R631=""),"",IFERROR(INDEX(T_LIBAT,MATCH(Q631,L_PER,0),MATCH(R631,L_JENIS,0)),0))</f>
        <v/>
      </c>
      <c r="T631" s="11" t="n"/>
      <c r="U631" s="11" t="n"/>
      <c r="V631" s="10">
        <f>IF(AND(T631="",U631=""),"",IFERROR(INDEX(T_CAPAI,MATCH(T631,L_PER,0),MATCH(U631,L_KED,0)),0))</f>
        <v/>
      </c>
      <c r="W631" s="17">
        <f>IF(OR(B631="",E631="",COUNTA(F631,H631,J631:M631,O631,Q631:R631,T631:U631)=0),"",SUM(G631,I631,N631,P631,S631,V631))</f>
        <v/>
      </c>
      <c r="X631" s="18">
        <f>IF(W631="","",IF(Murid!F631="TL","TL",ROUND(W631/110*100,2)))</f>
        <v/>
      </c>
    </row>
    <row r="632">
      <c r="A632" s="15">
        <f>Murid!A632</f>
        <v/>
      </c>
      <c r="B632" s="15">
        <f>IF(Murid!B632="","",Murid!B632)</f>
        <v/>
      </c>
      <c r="C632" s="16">
        <f>IF(Murid!C632="","",Murid!C632)</f>
        <v/>
      </c>
      <c r="D632" s="15">
        <f>IF(Murid!E632="","",Murid!E632)</f>
        <v/>
      </c>
      <c r="E632" s="11" t="n"/>
      <c r="F632" s="11" t="n"/>
      <c r="G632" s="10">
        <f>IF(F632="","",IFERROR(VLOOKUP(F632,T_JKP,2,FALSE),0))</f>
        <v/>
      </c>
      <c r="H632" s="11" t="n"/>
      <c r="I632" s="17">
        <f>IF(H632="","",IF(H632&gt;=12,40,ROUND(H632*3.33,2)))</f>
        <v/>
      </c>
      <c r="J632" s="11" t="n"/>
      <c r="K632" s="11" t="n"/>
      <c r="L632" s="11" t="n"/>
      <c r="M632" s="11" t="n"/>
      <c r="N632" s="10">
        <f>IF(COUNTA(J632:M632)=0,"",MIN(10,SUMPRODUCT((COUNTIF(J632:M632,L_KOM)&gt;0)*S_KOM)))</f>
        <v/>
      </c>
      <c r="O632" s="11" t="n"/>
      <c r="P632" s="10">
        <f>IF(O632="","",IFERROR(VLOOKUP(O632,T_KHID,2,FALSE),0))</f>
        <v/>
      </c>
      <c r="Q632" s="11" t="n"/>
      <c r="R632" s="11" t="n"/>
      <c r="S632" s="10">
        <f>IF(AND(Q632="",R632=""),"",IFERROR(INDEX(T_LIBAT,MATCH(Q632,L_PER,0),MATCH(R632,L_JENIS,0)),0))</f>
        <v/>
      </c>
      <c r="T632" s="11" t="n"/>
      <c r="U632" s="11" t="n"/>
      <c r="V632" s="10">
        <f>IF(AND(T632="",U632=""),"",IFERROR(INDEX(T_CAPAI,MATCH(T632,L_PER,0),MATCH(U632,L_KED,0)),0))</f>
        <v/>
      </c>
      <c r="W632" s="17">
        <f>IF(OR(B632="",E632="",COUNTA(F632,H632,J632:M632,O632,Q632:R632,T632:U632)=0),"",SUM(G632,I632,N632,P632,S632,V632))</f>
        <v/>
      </c>
      <c r="X632" s="18">
        <f>IF(W632="","",IF(Murid!F632="TL","TL",ROUND(W632/110*100,2)))</f>
        <v/>
      </c>
    </row>
    <row r="633">
      <c r="A633" s="15">
        <f>Murid!A633</f>
        <v/>
      </c>
      <c r="B633" s="15">
        <f>IF(Murid!B633="","",Murid!B633)</f>
        <v/>
      </c>
      <c r="C633" s="16">
        <f>IF(Murid!C633="","",Murid!C633)</f>
        <v/>
      </c>
      <c r="D633" s="15">
        <f>IF(Murid!E633="","",Murid!E633)</f>
        <v/>
      </c>
      <c r="E633" s="11" t="n"/>
      <c r="F633" s="11" t="n"/>
      <c r="G633" s="10">
        <f>IF(F633="","",IFERROR(VLOOKUP(F633,T_JKP,2,FALSE),0))</f>
        <v/>
      </c>
      <c r="H633" s="11" t="n"/>
      <c r="I633" s="17">
        <f>IF(H633="","",IF(H633&gt;=12,40,ROUND(H633*3.33,2)))</f>
        <v/>
      </c>
      <c r="J633" s="11" t="n"/>
      <c r="K633" s="11" t="n"/>
      <c r="L633" s="11" t="n"/>
      <c r="M633" s="11" t="n"/>
      <c r="N633" s="10">
        <f>IF(COUNTA(J633:M633)=0,"",MIN(10,SUMPRODUCT((COUNTIF(J633:M633,L_KOM)&gt;0)*S_KOM)))</f>
        <v/>
      </c>
      <c r="O633" s="11" t="n"/>
      <c r="P633" s="10">
        <f>IF(O633="","",IFERROR(VLOOKUP(O633,T_KHID,2,FALSE),0))</f>
        <v/>
      </c>
      <c r="Q633" s="11" t="n"/>
      <c r="R633" s="11" t="n"/>
      <c r="S633" s="10">
        <f>IF(AND(Q633="",R633=""),"",IFERROR(INDEX(T_LIBAT,MATCH(Q633,L_PER,0),MATCH(R633,L_JENIS,0)),0))</f>
        <v/>
      </c>
      <c r="T633" s="11" t="n"/>
      <c r="U633" s="11" t="n"/>
      <c r="V633" s="10">
        <f>IF(AND(T633="",U633=""),"",IFERROR(INDEX(T_CAPAI,MATCH(T633,L_PER,0),MATCH(U633,L_KED,0)),0))</f>
        <v/>
      </c>
      <c r="W633" s="17">
        <f>IF(OR(B633="",E633="",COUNTA(F633,H633,J633:M633,O633,Q633:R633,T633:U633)=0),"",SUM(G633,I633,N633,P633,S633,V633))</f>
        <v/>
      </c>
      <c r="X633" s="18">
        <f>IF(W633="","",IF(Murid!F633="TL","TL",ROUND(W633/110*100,2)))</f>
        <v/>
      </c>
    </row>
    <row r="634">
      <c r="A634" s="15">
        <f>Murid!A634</f>
        <v/>
      </c>
      <c r="B634" s="15">
        <f>IF(Murid!B634="","",Murid!B634)</f>
        <v/>
      </c>
      <c r="C634" s="16">
        <f>IF(Murid!C634="","",Murid!C634)</f>
        <v/>
      </c>
      <c r="D634" s="15">
        <f>IF(Murid!E634="","",Murid!E634)</f>
        <v/>
      </c>
      <c r="E634" s="11" t="n"/>
      <c r="F634" s="11" t="n"/>
      <c r="G634" s="10">
        <f>IF(F634="","",IFERROR(VLOOKUP(F634,T_JKP,2,FALSE),0))</f>
        <v/>
      </c>
      <c r="H634" s="11" t="n"/>
      <c r="I634" s="17">
        <f>IF(H634="","",IF(H634&gt;=12,40,ROUND(H634*3.33,2)))</f>
        <v/>
      </c>
      <c r="J634" s="11" t="n"/>
      <c r="K634" s="11" t="n"/>
      <c r="L634" s="11" t="n"/>
      <c r="M634" s="11" t="n"/>
      <c r="N634" s="10">
        <f>IF(COUNTA(J634:M634)=0,"",MIN(10,SUMPRODUCT((COUNTIF(J634:M634,L_KOM)&gt;0)*S_KOM)))</f>
        <v/>
      </c>
      <c r="O634" s="11" t="n"/>
      <c r="P634" s="10">
        <f>IF(O634="","",IFERROR(VLOOKUP(O634,T_KHID,2,FALSE),0))</f>
        <v/>
      </c>
      <c r="Q634" s="11" t="n"/>
      <c r="R634" s="11" t="n"/>
      <c r="S634" s="10">
        <f>IF(AND(Q634="",R634=""),"",IFERROR(INDEX(T_LIBAT,MATCH(Q634,L_PER,0),MATCH(R634,L_JENIS,0)),0))</f>
        <v/>
      </c>
      <c r="T634" s="11" t="n"/>
      <c r="U634" s="11" t="n"/>
      <c r="V634" s="10">
        <f>IF(AND(T634="",U634=""),"",IFERROR(INDEX(T_CAPAI,MATCH(T634,L_PER,0),MATCH(U634,L_KED,0)),0))</f>
        <v/>
      </c>
      <c r="W634" s="17">
        <f>IF(OR(B634="",E634="",COUNTA(F634,H634,J634:M634,O634,Q634:R634,T634:U634)=0),"",SUM(G634,I634,N634,P634,S634,V634))</f>
        <v/>
      </c>
      <c r="X634" s="18">
        <f>IF(W634="","",IF(Murid!F634="TL","TL",ROUND(W634/110*100,2)))</f>
        <v/>
      </c>
    </row>
    <row r="635">
      <c r="A635" s="15">
        <f>Murid!A635</f>
        <v/>
      </c>
      <c r="B635" s="15">
        <f>IF(Murid!B635="","",Murid!B635)</f>
        <v/>
      </c>
      <c r="C635" s="16">
        <f>IF(Murid!C635="","",Murid!C635)</f>
        <v/>
      </c>
      <c r="D635" s="15">
        <f>IF(Murid!E635="","",Murid!E635)</f>
        <v/>
      </c>
      <c r="E635" s="11" t="n"/>
      <c r="F635" s="11" t="n"/>
      <c r="G635" s="10">
        <f>IF(F635="","",IFERROR(VLOOKUP(F635,T_JKP,2,FALSE),0))</f>
        <v/>
      </c>
      <c r="H635" s="11" t="n"/>
      <c r="I635" s="17">
        <f>IF(H635="","",IF(H635&gt;=12,40,ROUND(H635*3.33,2)))</f>
        <v/>
      </c>
      <c r="J635" s="11" t="n"/>
      <c r="K635" s="11" t="n"/>
      <c r="L635" s="11" t="n"/>
      <c r="M635" s="11" t="n"/>
      <c r="N635" s="10">
        <f>IF(COUNTA(J635:M635)=0,"",MIN(10,SUMPRODUCT((COUNTIF(J635:M635,L_KOM)&gt;0)*S_KOM)))</f>
        <v/>
      </c>
      <c r="O635" s="11" t="n"/>
      <c r="P635" s="10">
        <f>IF(O635="","",IFERROR(VLOOKUP(O635,T_KHID,2,FALSE),0))</f>
        <v/>
      </c>
      <c r="Q635" s="11" t="n"/>
      <c r="R635" s="11" t="n"/>
      <c r="S635" s="10">
        <f>IF(AND(Q635="",R635=""),"",IFERROR(INDEX(T_LIBAT,MATCH(Q635,L_PER,0),MATCH(R635,L_JENIS,0)),0))</f>
        <v/>
      </c>
      <c r="T635" s="11" t="n"/>
      <c r="U635" s="11" t="n"/>
      <c r="V635" s="10">
        <f>IF(AND(T635="",U635=""),"",IFERROR(INDEX(T_CAPAI,MATCH(T635,L_PER,0),MATCH(U635,L_KED,0)),0))</f>
        <v/>
      </c>
      <c r="W635" s="17">
        <f>IF(OR(B635="",E635="",COUNTA(F635,H635,J635:M635,O635,Q635:R635,T635:U635)=0),"",SUM(G635,I635,N635,P635,S635,V635))</f>
        <v/>
      </c>
      <c r="X635" s="18">
        <f>IF(W635="","",IF(Murid!F635="TL","TL",ROUND(W635/110*100,2)))</f>
        <v/>
      </c>
    </row>
    <row r="636">
      <c r="A636" s="15">
        <f>Murid!A636</f>
        <v/>
      </c>
      <c r="B636" s="15">
        <f>IF(Murid!B636="","",Murid!B636)</f>
        <v/>
      </c>
      <c r="C636" s="16">
        <f>IF(Murid!C636="","",Murid!C636)</f>
        <v/>
      </c>
      <c r="D636" s="15">
        <f>IF(Murid!E636="","",Murid!E636)</f>
        <v/>
      </c>
      <c r="E636" s="11" t="n"/>
      <c r="F636" s="11" t="n"/>
      <c r="G636" s="10">
        <f>IF(F636="","",IFERROR(VLOOKUP(F636,T_JKP,2,FALSE),0))</f>
        <v/>
      </c>
      <c r="H636" s="11" t="n"/>
      <c r="I636" s="17">
        <f>IF(H636="","",IF(H636&gt;=12,40,ROUND(H636*3.33,2)))</f>
        <v/>
      </c>
      <c r="J636" s="11" t="n"/>
      <c r="K636" s="11" t="n"/>
      <c r="L636" s="11" t="n"/>
      <c r="M636" s="11" t="n"/>
      <c r="N636" s="10">
        <f>IF(COUNTA(J636:M636)=0,"",MIN(10,SUMPRODUCT((COUNTIF(J636:M636,L_KOM)&gt;0)*S_KOM)))</f>
        <v/>
      </c>
      <c r="O636" s="11" t="n"/>
      <c r="P636" s="10">
        <f>IF(O636="","",IFERROR(VLOOKUP(O636,T_KHID,2,FALSE),0))</f>
        <v/>
      </c>
      <c r="Q636" s="11" t="n"/>
      <c r="R636" s="11" t="n"/>
      <c r="S636" s="10">
        <f>IF(AND(Q636="",R636=""),"",IFERROR(INDEX(T_LIBAT,MATCH(Q636,L_PER,0),MATCH(R636,L_JENIS,0)),0))</f>
        <v/>
      </c>
      <c r="T636" s="11" t="n"/>
      <c r="U636" s="11" t="n"/>
      <c r="V636" s="10">
        <f>IF(AND(T636="",U636=""),"",IFERROR(INDEX(T_CAPAI,MATCH(T636,L_PER,0),MATCH(U636,L_KED,0)),0))</f>
        <v/>
      </c>
      <c r="W636" s="17">
        <f>IF(OR(B636="",E636="",COUNTA(F636,H636,J636:M636,O636,Q636:R636,T636:U636)=0),"",SUM(G636,I636,N636,P636,S636,V636))</f>
        <v/>
      </c>
      <c r="X636" s="18">
        <f>IF(W636="","",IF(Murid!F636="TL","TL",ROUND(W636/110*100,2)))</f>
        <v/>
      </c>
    </row>
    <row r="637">
      <c r="A637" s="15">
        <f>Murid!A637</f>
        <v/>
      </c>
      <c r="B637" s="15">
        <f>IF(Murid!B637="","",Murid!B637)</f>
        <v/>
      </c>
      <c r="C637" s="16">
        <f>IF(Murid!C637="","",Murid!C637)</f>
        <v/>
      </c>
      <c r="D637" s="15">
        <f>IF(Murid!E637="","",Murid!E637)</f>
        <v/>
      </c>
      <c r="E637" s="11" t="n"/>
      <c r="F637" s="11" t="n"/>
      <c r="G637" s="10">
        <f>IF(F637="","",IFERROR(VLOOKUP(F637,T_JKP,2,FALSE),0))</f>
        <v/>
      </c>
      <c r="H637" s="11" t="n"/>
      <c r="I637" s="17">
        <f>IF(H637="","",IF(H637&gt;=12,40,ROUND(H637*3.33,2)))</f>
        <v/>
      </c>
      <c r="J637" s="11" t="n"/>
      <c r="K637" s="11" t="n"/>
      <c r="L637" s="11" t="n"/>
      <c r="M637" s="11" t="n"/>
      <c r="N637" s="10">
        <f>IF(COUNTA(J637:M637)=0,"",MIN(10,SUMPRODUCT((COUNTIF(J637:M637,L_KOM)&gt;0)*S_KOM)))</f>
        <v/>
      </c>
      <c r="O637" s="11" t="n"/>
      <c r="P637" s="10">
        <f>IF(O637="","",IFERROR(VLOOKUP(O637,T_KHID,2,FALSE),0))</f>
        <v/>
      </c>
      <c r="Q637" s="11" t="n"/>
      <c r="R637" s="11" t="n"/>
      <c r="S637" s="10">
        <f>IF(AND(Q637="",R637=""),"",IFERROR(INDEX(T_LIBAT,MATCH(Q637,L_PER,0),MATCH(R637,L_JENIS,0)),0))</f>
        <v/>
      </c>
      <c r="T637" s="11" t="n"/>
      <c r="U637" s="11" t="n"/>
      <c r="V637" s="10">
        <f>IF(AND(T637="",U637=""),"",IFERROR(INDEX(T_CAPAI,MATCH(T637,L_PER,0),MATCH(U637,L_KED,0)),0))</f>
        <v/>
      </c>
      <c r="W637" s="17">
        <f>IF(OR(B637="",E637="",COUNTA(F637,H637,J637:M637,O637,Q637:R637,T637:U637)=0),"",SUM(G637,I637,N637,P637,S637,V637))</f>
        <v/>
      </c>
      <c r="X637" s="18">
        <f>IF(W637="","",IF(Murid!F637="TL","TL",ROUND(W637/110*100,2)))</f>
        <v/>
      </c>
    </row>
    <row r="638">
      <c r="A638" s="15">
        <f>Murid!A638</f>
        <v/>
      </c>
      <c r="B638" s="15">
        <f>IF(Murid!B638="","",Murid!B638)</f>
        <v/>
      </c>
      <c r="C638" s="16">
        <f>IF(Murid!C638="","",Murid!C638)</f>
        <v/>
      </c>
      <c r="D638" s="15">
        <f>IF(Murid!E638="","",Murid!E638)</f>
        <v/>
      </c>
      <c r="E638" s="11" t="n"/>
      <c r="F638" s="11" t="n"/>
      <c r="G638" s="10">
        <f>IF(F638="","",IFERROR(VLOOKUP(F638,T_JKP,2,FALSE),0))</f>
        <v/>
      </c>
      <c r="H638" s="11" t="n"/>
      <c r="I638" s="17">
        <f>IF(H638="","",IF(H638&gt;=12,40,ROUND(H638*3.33,2)))</f>
        <v/>
      </c>
      <c r="J638" s="11" t="n"/>
      <c r="K638" s="11" t="n"/>
      <c r="L638" s="11" t="n"/>
      <c r="M638" s="11" t="n"/>
      <c r="N638" s="10">
        <f>IF(COUNTA(J638:M638)=0,"",MIN(10,SUMPRODUCT((COUNTIF(J638:M638,L_KOM)&gt;0)*S_KOM)))</f>
        <v/>
      </c>
      <c r="O638" s="11" t="n"/>
      <c r="P638" s="10">
        <f>IF(O638="","",IFERROR(VLOOKUP(O638,T_KHID,2,FALSE),0))</f>
        <v/>
      </c>
      <c r="Q638" s="11" t="n"/>
      <c r="R638" s="11" t="n"/>
      <c r="S638" s="10">
        <f>IF(AND(Q638="",R638=""),"",IFERROR(INDEX(T_LIBAT,MATCH(Q638,L_PER,0),MATCH(R638,L_JENIS,0)),0))</f>
        <v/>
      </c>
      <c r="T638" s="11" t="n"/>
      <c r="U638" s="11" t="n"/>
      <c r="V638" s="10">
        <f>IF(AND(T638="",U638=""),"",IFERROR(INDEX(T_CAPAI,MATCH(T638,L_PER,0),MATCH(U638,L_KED,0)),0))</f>
        <v/>
      </c>
      <c r="W638" s="17">
        <f>IF(OR(B638="",E638="",COUNTA(F638,H638,J638:M638,O638,Q638:R638,T638:U638)=0),"",SUM(G638,I638,N638,P638,S638,V638))</f>
        <v/>
      </c>
      <c r="X638" s="18">
        <f>IF(W638="","",IF(Murid!F638="TL","TL",ROUND(W638/110*100,2)))</f>
        <v/>
      </c>
    </row>
    <row r="639">
      <c r="A639" s="15">
        <f>Murid!A639</f>
        <v/>
      </c>
      <c r="B639" s="15">
        <f>IF(Murid!B639="","",Murid!B639)</f>
        <v/>
      </c>
      <c r="C639" s="16">
        <f>IF(Murid!C639="","",Murid!C639)</f>
        <v/>
      </c>
      <c r="D639" s="15">
        <f>IF(Murid!E639="","",Murid!E639)</f>
        <v/>
      </c>
      <c r="E639" s="11" t="n"/>
      <c r="F639" s="11" t="n"/>
      <c r="G639" s="10">
        <f>IF(F639="","",IFERROR(VLOOKUP(F639,T_JKP,2,FALSE),0))</f>
        <v/>
      </c>
      <c r="H639" s="11" t="n"/>
      <c r="I639" s="17">
        <f>IF(H639="","",IF(H639&gt;=12,40,ROUND(H639*3.33,2)))</f>
        <v/>
      </c>
      <c r="J639" s="11" t="n"/>
      <c r="K639" s="11" t="n"/>
      <c r="L639" s="11" t="n"/>
      <c r="M639" s="11" t="n"/>
      <c r="N639" s="10">
        <f>IF(COUNTA(J639:M639)=0,"",MIN(10,SUMPRODUCT((COUNTIF(J639:M639,L_KOM)&gt;0)*S_KOM)))</f>
        <v/>
      </c>
      <c r="O639" s="11" t="n"/>
      <c r="P639" s="10">
        <f>IF(O639="","",IFERROR(VLOOKUP(O639,T_KHID,2,FALSE),0))</f>
        <v/>
      </c>
      <c r="Q639" s="11" t="n"/>
      <c r="R639" s="11" t="n"/>
      <c r="S639" s="10">
        <f>IF(AND(Q639="",R639=""),"",IFERROR(INDEX(T_LIBAT,MATCH(Q639,L_PER,0),MATCH(R639,L_JENIS,0)),0))</f>
        <v/>
      </c>
      <c r="T639" s="11" t="n"/>
      <c r="U639" s="11" t="n"/>
      <c r="V639" s="10">
        <f>IF(AND(T639="",U639=""),"",IFERROR(INDEX(T_CAPAI,MATCH(T639,L_PER,0),MATCH(U639,L_KED,0)),0))</f>
        <v/>
      </c>
      <c r="W639" s="17">
        <f>IF(OR(B639="",E639="",COUNTA(F639,H639,J639:M639,O639,Q639:R639,T639:U639)=0),"",SUM(G639,I639,N639,P639,S639,V639))</f>
        <v/>
      </c>
      <c r="X639" s="18">
        <f>IF(W639="","",IF(Murid!F639="TL","TL",ROUND(W639/110*100,2)))</f>
        <v/>
      </c>
    </row>
    <row r="640">
      <c r="A640" s="15">
        <f>Murid!A640</f>
        <v/>
      </c>
      <c r="B640" s="15">
        <f>IF(Murid!B640="","",Murid!B640)</f>
        <v/>
      </c>
      <c r="C640" s="16">
        <f>IF(Murid!C640="","",Murid!C640)</f>
        <v/>
      </c>
      <c r="D640" s="15">
        <f>IF(Murid!E640="","",Murid!E640)</f>
        <v/>
      </c>
      <c r="E640" s="11" t="n"/>
      <c r="F640" s="11" t="n"/>
      <c r="G640" s="10">
        <f>IF(F640="","",IFERROR(VLOOKUP(F640,T_JKP,2,FALSE),0))</f>
        <v/>
      </c>
      <c r="H640" s="11" t="n"/>
      <c r="I640" s="17">
        <f>IF(H640="","",IF(H640&gt;=12,40,ROUND(H640*3.33,2)))</f>
        <v/>
      </c>
      <c r="J640" s="11" t="n"/>
      <c r="K640" s="11" t="n"/>
      <c r="L640" s="11" t="n"/>
      <c r="M640" s="11" t="n"/>
      <c r="N640" s="10">
        <f>IF(COUNTA(J640:M640)=0,"",MIN(10,SUMPRODUCT((COUNTIF(J640:M640,L_KOM)&gt;0)*S_KOM)))</f>
        <v/>
      </c>
      <c r="O640" s="11" t="n"/>
      <c r="P640" s="10">
        <f>IF(O640="","",IFERROR(VLOOKUP(O640,T_KHID,2,FALSE),0))</f>
        <v/>
      </c>
      <c r="Q640" s="11" t="n"/>
      <c r="R640" s="11" t="n"/>
      <c r="S640" s="10">
        <f>IF(AND(Q640="",R640=""),"",IFERROR(INDEX(T_LIBAT,MATCH(Q640,L_PER,0),MATCH(R640,L_JENIS,0)),0))</f>
        <v/>
      </c>
      <c r="T640" s="11" t="n"/>
      <c r="U640" s="11" t="n"/>
      <c r="V640" s="10">
        <f>IF(AND(T640="",U640=""),"",IFERROR(INDEX(T_CAPAI,MATCH(T640,L_PER,0),MATCH(U640,L_KED,0)),0))</f>
        <v/>
      </c>
      <c r="W640" s="17">
        <f>IF(OR(B640="",E640="",COUNTA(F640,H640,J640:M640,O640,Q640:R640,T640:U640)=0),"",SUM(G640,I640,N640,P640,S640,V640))</f>
        <v/>
      </c>
      <c r="X640" s="18">
        <f>IF(W640="","",IF(Murid!F640="TL","TL",ROUND(W640/110*100,2)))</f>
        <v/>
      </c>
    </row>
    <row r="641">
      <c r="A641" s="15">
        <f>Murid!A641</f>
        <v/>
      </c>
      <c r="B641" s="15">
        <f>IF(Murid!B641="","",Murid!B641)</f>
        <v/>
      </c>
      <c r="C641" s="16">
        <f>IF(Murid!C641="","",Murid!C641)</f>
        <v/>
      </c>
      <c r="D641" s="15">
        <f>IF(Murid!E641="","",Murid!E641)</f>
        <v/>
      </c>
      <c r="E641" s="11" t="n"/>
      <c r="F641" s="11" t="n"/>
      <c r="G641" s="10">
        <f>IF(F641="","",IFERROR(VLOOKUP(F641,T_JKP,2,FALSE),0))</f>
        <v/>
      </c>
      <c r="H641" s="11" t="n"/>
      <c r="I641" s="17">
        <f>IF(H641="","",IF(H641&gt;=12,40,ROUND(H641*3.33,2)))</f>
        <v/>
      </c>
      <c r="J641" s="11" t="n"/>
      <c r="K641" s="11" t="n"/>
      <c r="L641" s="11" t="n"/>
      <c r="M641" s="11" t="n"/>
      <c r="N641" s="10">
        <f>IF(COUNTA(J641:M641)=0,"",MIN(10,SUMPRODUCT((COUNTIF(J641:M641,L_KOM)&gt;0)*S_KOM)))</f>
        <v/>
      </c>
      <c r="O641" s="11" t="n"/>
      <c r="P641" s="10">
        <f>IF(O641="","",IFERROR(VLOOKUP(O641,T_KHID,2,FALSE),0))</f>
        <v/>
      </c>
      <c r="Q641" s="11" t="n"/>
      <c r="R641" s="11" t="n"/>
      <c r="S641" s="10">
        <f>IF(AND(Q641="",R641=""),"",IFERROR(INDEX(T_LIBAT,MATCH(Q641,L_PER,0),MATCH(R641,L_JENIS,0)),0))</f>
        <v/>
      </c>
      <c r="T641" s="11" t="n"/>
      <c r="U641" s="11" t="n"/>
      <c r="V641" s="10">
        <f>IF(AND(T641="",U641=""),"",IFERROR(INDEX(T_CAPAI,MATCH(T641,L_PER,0),MATCH(U641,L_KED,0)),0))</f>
        <v/>
      </c>
      <c r="W641" s="17">
        <f>IF(OR(B641="",E641="",COUNTA(F641,H641,J641:M641,O641,Q641:R641,T641:U641)=0),"",SUM(G641,I641,N641,P641,S641,V641))</f>
        <v/>
      </c>
      <c r="X641" s="18">
        <f>IF(W641="","",IF(Murid!F641="TL","TL",ROUND(W641/110*100,2)))</f>
        <v/>
      </c>
    </row>
    <row r="642">
      <c r="A642" s="15">
        <f>Murid!A642</f>
        <v/>
      </c>
      <c r="B642" s="15">
        <f>IF(Murid!B642="","",Murid!B642)</f>
        <v/>
      </c>
      <c r="C642" s="16">
        <f>IF(Murid!C642="","",Murid!C642)</f>
        <v/>
      </c>
      <c r="D642" s="15">
        <f>IF(Murid!E642="","",Murid!E642)</f>
        <v/>
      </c>
      <c r="E642" s="11" t="n"/>
      <c r="F642" s="11" t="n"/>
      <c r="G642" s="10">
        <f>IF(F642="","",IFERROR(VLOOKUP(F642,T_JKP,2,FALSE),0))</f>
        <v/>
      </c>
      <c r="H642" s="11" t="n"/>
      <c r="I642" s="17">
        <f>IF(H642="","",IF(H642&gt;=12,40,ROUND(H642*3.33,2)))</f>
        <v/>
      </c>
      <c r="J642" s="11" t="n"/>
      <c r="K642" s="11" t="n"/>
      <c r="L642" s="11" t="n"/>
      <c r="M642" s="11" t="n"/>
      <c r="N642" s="10">
        <f>IF(COUNTA(J642:M642)=0,"",MIN(10,SUMPRODUCT((COUNTIF(J642:M642,L_KOM)&gt;0)*S_KOM)))</f>
        <v/>
      </c>
      <c r="O642" s="11" t="n"/>
      <c r="P642" s="10">
        <f>IF(O642="","",IFERROR(VLOOKUP(O642,T_KHID,2,FALSE),0))</f>
        <v/>
      </c>
      <c r="Q642" s="11" t="n"/>
      <c r="R642" s="11" t="n"/>
      <c r="S642" s="10">
        <f>IF(AND(Q642="",R642=""),"",IFERROR(INDEX(T_LIBAT,MATCH(Q642,L_PER,0),MATCH(R642,L_JENIS,0)),0))</f>
        <v/>
      </c>
      <c r="T642" s="11" t="n"/>
      <c r="U642" s="11" t="n"/>
      <c r="V642" s="10">
        <f>IF(AND(T642="",U642=""),"",IFERROR(INDEX(T_CAPAI,MATCH(T642,L_PER,0),MATCH(U642,L_KED,0)),0))</f>
        <v/>
      </c>
      <c r="W642" s="17">
        <f>IF(OR(B642="",E642="",COUNTA(F642,H642,J642:M642,O642,Q642:R642,T642:U642)=0),"",SUM(G642,I642,N642,P642,S642,V642))</f>
        <v/>
      </c>
      <c r="X642" s="18">
        <f>IF(W642="","",IF(Murid!F642="TL","TL",ROUND(W642/110*100,2)))</f>
        <v/>
      </c>
    </row>
    <row r="643">
      <c r="A643" s="15">
        <f>Murid!A643</f>
        <v/>
      </c>
      <c r="B643" s="15">
        <f>IF(Murid!B643="","",Murid!B643)</f>
        <v/>
      </c>
      <c r="C643" s="16">
        <f>IF(Murid!C643="","",Murid!C643)</f>
        <v/>
      </c>
      <c r="D643" s="15">
        <f>IF(Murid!E643="","",Murid!E643)</f>
        <v/>
      </c>
      <c r="E643" s="11" t="n"/>
      <c r="F643" s="11" t="n"/>
      <c r="G643" s="10">
        <f>IF(F643="","",IFERROR(VLOOKUP(F643,T_JKP,2,FALSE),0))</f>
        <v/>
      </c>
      <c r="H643" s="11" t="n"/>
      <c r="I643" s="17">
        <f>IF(H643="","",IF(H643&gt;=12,40,ROUND(H643*3.33,2)))</f>
        <v/>
      </c>
      <c r="J643" s="11" t="n"/>
      <c r="K643" s="11" t="n"/>
      <c r="L643" s="11" t="n"/>
      <c r="M643" s="11" t="n"/>
      <c r="N643" s="10">
        <f>IF(COUNTA(J643:M643)=0,"",MIN(10,SUMPRODUCT((COUNTIF(J643:M643,L_KOM)&gt;0)*S_KOM)))</f>
        <v/>
      </c>
      <c r="O643" s="11" t="n"/>
      <c r="P643" s="10">
        <f>IF(O643="","",IFERROR(VLOOKUP(O643,T_KHID,2,FALSE),0))</f>
        <v/>
      </c>
      <c r="Q643" s="11" t="n"/>
      <c r="R643" s="11" t="n"/>
      <c r="S643" s="10">
        <f>IF(AND(Q643="",R643=""),"",IFERROR(INDEX(T_LIBAT,MATCH(Q643,L_PER,0),MATCH(R643,L_JENIS,0)),0))</f>
        <v/>
      </c>
      <c r="T643" s="11" t="n"/>
      <c r="U643" s="11" t="n"/>
      <c r="V643" s="10">
        <f>IF(AND(T643="",U643=""),"",IFERROR(INDEX(T_CAPAI,MATCH(T643,L_PER,0),MATCH(U643,L_KED,0)),0))</f>
        <v/>
      </c>
      <c r="W643" s="17">
        <f>IF(OR(B643="",E643="",COUNTA(F643,H643,J643:M643,O643,Q643:R643,T643:U643)=0),"",SUM(G643,I643,N643,P643,S643,V643))</f>
        <v/>
      </c>
      <c r="X643" s="18">
        <f>IF(W643="","",IF(Murid!F643="TL","TL",ROUND(W643/110*100,2)))</f>
        <v/>
      </c>
    </row>
    <row r="644">
      <c r="A644" s="15">
        <f>Murid!A644</f>
        <v/>
      </c>
      <c r="B644" s="15">
        <f>IF(Murid!B644="","",Murid!B644)</f>
        <v/>
      </c>
      <c r="C644" s="16">
        <f>IF(Murid!C644="","",Murid!C644)</f>
        <v/>
      </c>
      <c r="D644" s="15">
        <f>IF(Murid!E644="","",Murid!E644)</f>
        <v/>
      </c>
      <c r="E644" s="11" t="n"/>
      <c r="F644" s="11" t="n"/>
      <c r="G644" s="10">
        <f>IF(F644="","",IFERROR(VLOOKUP(F644,T_JKP,2,FALSE),0))</f>
        <v/>
      </c>
      <c r="H644" s="11" t="n"/>
      <c r="I644" s="17">
        <f>IF(H644="","",IF(H644&gt;=12,40,ROUND(H644*3.33,2)))</f>
        <v/>
      </c>
      <c r="J644" s="11" t="n"/>
      <c r="K644" s="11" t="n"/>
      <c r="L644" s="11" t="n"/>
      <c r="M644" s="11" t="n"/>
      <c r="N644" s="10">
        <f>IF(COUNTA(J644:M644)=0,"",MIN(10,SUMPRODUCT((COUNTIF(J644:M644,L_KOM)&gt;0)*S_KOM)))</f>
        <v/>
      </c>
      <c r="O644" s="11" t="n"/>
      <c r="P644" s="10">
        <f>IF(O644="","",IFERROR(VLOOKUP(O644,T_KHID,2,FALSE),0))</f>
        <v/>
      </c>
      <c r="Q644" s="11" t="n"/>
      <c r="R644" s="11" t="n"/>
      <c r="S644" s="10">
        <f>IF(AND(Q644="",R644=""),"",IFERROR(INDEX(T_LIBAT,MATCH(Q644,L_PER,0),MATCH(R644,L_JENIS,0)),0))</f>
        <v/>
      </c>
      <c r="T644" s="11" t="n"/>
      <c r="U644" s="11" t="n"/>
      <c r="V644" s="10">
        <f>IF(AND(T644="",U644=""),"",IFERROR(INDEX(T_CAPAI,MATCH(T644,L_PER,0),MATCH(U644,L_KED,0)),0))</f>
        <v/>
      </c>
      <c r="W644" s="17">
        <f>IF(OR(B644="",E644="",COUNTA(F644,H644,J644:M644,O644,Q644:R644,T644:U644)=0),"",SUM(G644,I644,N644,P644,S644,V644))</f>
        <v/>
      </c>
      <c r="X644" s="18">
        <f>IF(W644="","",IF(Murid!F644="TL","TL",ROUND(W644/110*100,2)))</f>
        <v/>
      </c>
    </row>
    <row r="645">
      <c r="A645" s="15">
        <f>Murid!A645</f>
        <v/>
      </c>
      <c r="B645" s="15">
        <f>IF(Murid!B645="","",Murid!B645)</f>
        <v/>
      </c>
      <c r="C645" s="16">
        <f>IF(Murid!C645="","",Murid!C645)</f>
        <v/>
      </c>
      <c r="D645" s="15">
        <f>IF(Murid!E645="","",Murid!E645)</f>
        <v/>
      </c>
      <c r="E645" s="11" t="n"/>
      <c r="F645" s="11" t="n"/>
      <c r="G645" s="10">
        <f>IF(F645="","",IFERROR(VLOOKUP(F645,T_JKP,2,FALSE),0))</f>
        <v/>
      </c>
      <c r="H645" s="11" t="n"/>
      <c r="I645" s="17">
        <f>IF(H645="","",IF(H645&gt;=12,40,ROUND(H645*3.33,2)))</f>
        <v/>
      </c>
      <c r="J645" s="11" t="n"/>
      <c r="K645" s="11" t="n"/>
      <c r="L645" s="11" t="n"/>
      <c r="M645" s="11" t="n"/>
      <c r="N645" s="10">
        <f>IF(COUNTA(J645:M645)=0,"",MIN(10,SUMPRODUCT((COUNTIF(J645:M645,L_KOM)&gt;0)*S_KOM)))</f>
        <v/>
      </c>
      <c r="O645" s="11" t="n"/>
      <c r="P645" s="10">
        <f>IF(O645="","",IFERROR(VLOOKUP(O645,T_KHID,2,FALSE),0))</f>
        <v/>
      </c>
      <c r="Q645" s="11" t="n"/>
      <c r="R645" s="11" t="n"/>
      <c r="S645" s="10">
        <f>IF(AND(Q645="",R645=""),"",IFERROR(INDEX(T_LIBAT,MATCH(Q645,L_PER,0),MATCH(R645,L_JENIS,0)),0))</f>
        <v/>
      </c>
      <c r="T645" s="11" t="n"/>
      <c r="U645" s="11" t="n"/>
      <c r="V645" s="10">
        <f>IF(AND(T645="",U645=""),"",IFERROR(INDEX(T_CAPAI,MATCH(T645,L_PER,0),MATCH(U645,L_KED,0)),0))</f>
        <v/>
      </c>
      <c r="W645" s="17">
        <f>IF(OR(B645="",E645="",COUNTA(F645,H645,J645:M645,O645,Q645:R645,T645:U645)=0),"",SUM(G645,I645,N645,P645,S645,V645))</f>
        <v/>
      </c>
      <c r="X645" s="18">
        <f>IF(W645="","",IF(Murid!F645="TL","TL",ROUND(W645/110*100,2)))</f>
        <v/>
      </c>
    </row>
    <row r="646">
      <c r="A646" s="15">
        <f>Murid!A646</f>
        <v/>
      </c>
      <c r="B646" s="15">
        <f>IF(Murid!B646="","",Murid!B646)</f>
        <v/>
      </c>
      <c r="C646" s="16">
        <f>IF(Murid!C646="","",Murid!C646)</f>
        <v/>
      </c>
      <c r="D646" s="15">
        <f>IF(Murid!E646="","",Murid!E646)</f>
        <v/>
      </c>
      <c r="E646" s="11" t="n"/>
      <c r="F646" s="11" t="n"/>
      <c r="G646" s="10">
        <f>IF(F646="","",IFERROR(VLOOKUP(F646,T_JKP,2,FALSE),0))</f>
        <v/>
      </c>
      <c r="H646" s="11" t="n"/>
      <c r="I646" s="17">
        <f>IF(H646="","",IF(H646&gt;=12,40,ROUND(H646*3.33,2)))</f>
        <v/>
      </c>
      <c r="J646" s="11" t="n"/>
      <c r="K646" s="11" t="n"/>
      <c r="L646" s="11" t="n"/>
      <c r="M646" s="11" t="n"/>
      <c r="N646" s="10">
        <f>IF(COUNTA(J646:M646)=0,"",MIN(10,SUMPRODUCT((COUNTIF(J646:M646,L_KOM)&gt;0)*S_KOM)))</f>
        <v/>
      </c>
      <c r="O646" s="11" t="n"/>
      <c r="P646" s="10">
        <f>IF(O646="","",IFERROR(VLOOKUP(O646,T_KHID,2,FALSE),0))</f>
        <v/>
      </c>
      <c r="Q646" s="11" t="n"/>
      <c r="R646" s="11" t="n"/>
      <c r="S646" s="10">
        <f>IF(AND(Q646="",R646=""),"",IFERROR(INDEX(T_LIBAT,MATCH(Q646,L_PER,0),MATCH(R646,L_JENIS,0)),0))</f>
        <v/>
      </c>
      <c r="T646" s="11" t="n"/>
      <c r="U646" s="11" t="n"/>
      <c r="V646" s="10">
        <f>IF(AND(T646="",U646=""),"",IFERROR(INDEX(T_CAPAI,MATCH(T646,L_PER,0),MATCH(U646,L_KED,0)),0))</f>
        <v/>
      </c>
      <c r="W646" s="17">
        <f>IF(OR(B646="",E646="",COUNTA(F646,H646,J646:M646,O646,Q646:R646,T646:U646)=0),"",SUM(G646,I646,N646,P646,S646,V646))</f>
        <v/>
      </c>
      <c r="X646" s="18">
        <f>IF(W646="","",IF(Murid!F646="TL","TL",ROUND(W646/110*100,2)))</f>
        <v/>
      </c>
    </row>
    <row r="647">
      <c r="A647" s="15">
        <f>Murid!A647</f>
        <v/>
      </c>
      <c r="B647" s="15">
        <f>IF(Murid!B647="","",Murid!B647)</f>
        <v/>
      </c>
      <c r="C647" s="16">
        <f>IF(Murid!C647="","",Murid!C647)</f>
        <v/>
      </c>
      <c r="D647" s="15">
        <f>IF(Murid!E647="","",Murid!E647)</f>
        <v/>
      </c>
      <c r="E647" s="11" t="n"/>
      <c r="F647" s="11" t="n"/>
      <c r="G647" s="10">
        <f>IF(F647="","",IFERROR(VLOOKUP(F647,T_JKP,2,FALSE),0))</f>
        <v/>
      </c>
      <c r="H647" s="11" t="n"/>
      <c r="I647" s="17">
        <f>IF(H647="","",IF(H647&gt;=12,40,ROUND(H647*3.33,2)))</f>
        <v/>
      </c>
      <c r="J647" s="11" t="n"/>
      <c r="K647" s="11" t="n"/>
      <c r="L647" s="11" t="n"/>
      <c r="M647" s="11" t="n"/>
      <c r="N647" s="10">
        <f>IF(COUNTA(J647:M647)=0,"",MIN(10,SUMPRODUCT((COUNTIF(J647:M647,L_KOM)&gt;0)*S_KOM)))</f>
        <v/>
      </c>
      <c r="O647" s="11" t="n"/>
      <c r="P647" s="10">
        <f>IF(O647="","",IFERROR(VLOOKUP(O647,T_KHID,2,FALSE),0))</f>
        <v/>
      </c>
      <c r="Q647" s="11" t="n"/>
      <c r="R647" s="11" t="n"/>
      <c r="S647" s="10">
        <f>IF(AND(Q647="",R647=""),"",IFERROR(INDEX(T_LIBAT,MATCH(Q647,L_PER,0),MATCH(R647,L_JENIS,0)),0))</f>
        <v/>
      </c>
      <c r="T647" s="11" t="n"/>
      <c r="U647" s="11" t="n"/>
      <c r="V647" s="10">
        <f>IF(AND(T647="",U647=""),"",IFERROR(INDEX(T_CAPAI,MATCH(T647,L_PER,0),MATCH(U647,L_KED,0)),0))</f>
        <v/>
      </c>
      <c r="W647" s="17">
        <f>IF(OR(B647="",E647="",COUNTA(F647,H647,J647:M647,O647,Q647:R647,T647:U647)=0),"",SUM(G647,I647,N647,P647,S647,V647))</f>
        <v/>
      </c>
      <c r="X647" s="18">
        <f>IF(W647="","",IF(Murid!F647="TL","TL",ROUND(W647/110*100,2)))</f>
        <v/>
      </c>
    </row>
    <row r="648">
      <c r="A648" s="15">
        <f>Murid!A648</f>
        <v/>
      </c>
      <c r="B648" s="15">
        <f>IF(Murid!B648="","",Murid!B648)</f>
        <v/>
      </c>
      <c r="C648" s="16">
        <f>IF(Murid!C648="","",Murid!C648)</f>
        <v/>
      </c>
      <c r="D648" s="15">
        <f>IF(Murid!E648="","",Murid!E648)</f>
        <v/>
      </c>
      <c r="E648" s="11" t="n"/>
      <c r="F648" s="11" t="n"/>
      <c r="G648" s="10">
        <f>IF(F648="","",IFERROR(VLOOKUP(F648,T_JKP,2,FALSE),0))</f>
        <v/>
      </c>
      <c r="H648" s="11" t="n"/>
      <c r="I648" s="17">
        <f>IF(H648="","",IF(H648&gt;=12,40,ROUND(H648*3.33,2)))</f>
        <v/>
      </c>
      <c r="J648" s="11" t="n"/>
      <c r="K648" s="11" t="n"/>
      <c r="L648" s="11" t="n"/>
      <c r="M648" s="11" t="n"/>
      <c r="N648" s="10">
        <f>IF(COUNTA(J648:M648)=0,"",MIN(10,SUMPRODUCT((COUNTIF(J648:M648,L_KOM)&gt;0)*S_KOM)))</f>
        <v/>
      </c>
      <c r="O648" s="11" t="n"/>
      <c r="P648" s="10">
        <f>IF(O648="","",IFERROR(VLOOKUP(O648,T_KHID,2,FALSE),0))</f>
        <v/>
      </c>
      <c r="Q648" s="11" t="n"/>
      <c r="R648" s="11" t="n"/>
      <c r="S648" s="10">
        <f>IF(AND(Q648="",R648=""),"",IFERROR(INDEX(T_LIBAT,MATCH(Q648,L_PER,0),MATCH(R648,L_JENIS,0)),0))</f>
        <v/>
      </c>
      <c r="T648" s="11" t="n"/>
      <c r="U648" s="11" t="n"/>
      <c r="V648" s="10">
        <f>IF(AND(T648="",U648=""),"",IFERROR(INDEX(T_CAPAI,MATCH(T648,L_PER,0),MATCH(U648,L_KED,0)),0))</f>
        <v/>
      </c>
      <c r="W648" s="17">
        <f>IF(OR(B648="",E648="",COUNTA(F648,H648,J648:M648,O648,Q648:R648,T648:U648)=0),"",SUM(G648,I648,N648,P648,S648,V648))</f>
        <v/>
      </c>
      <c r="X648" s="18">
        <f>IF(W648="","",IF(Murid!F648="TL","TL",ROUND(W648/110*100,2)))</f>
        <v/>
      </c>
    </row>
    <row r="649">
      <c r="A649" s="15">
        <f>Murid!A649</f>
        <v/>
      </c>
      <c r="B649" s="15">
        <f>IF(Murid!B649="","",Murid!B649)</f>
        <v/>
      </c>
      <c r="C649" s="16">
        <f>IF(Murid!C649="","",Murid!C649)</f>
        <v/>
      </c>
      <c r="D649" s="15">
        <f>IF(Murid!E649="","",Murid!E649)</f>
        <v/>
      </c>
      <c r="E649" s="11" t="n"/>
      <c r="F649" s="11" t="n"/>
      <c r="G649" s="10">
        <f>IF(F649="","",IFERROR(VLOOKUP(F649,T_JKP,2,FALSE),0))</f>
        <v/>
      </c>
      <c r="H649" s="11" t="n"/>
      <c r="I649" s="17">
        <f>IF(H649="","",IF(H649&gt;=12,40,ROUND(H649*3.33,2)))</f>
        <v/>
      </c>
      <c r="J649" s="11" t="n"/>
      <c r="K649" s="11" t="n"/>
      <c r="L649" s="11" t="n"/>
      <c r="M649" s="11" t="n"/>
      <c r="N649" s="10">
        <f>IF(COUNTA(J649:M649)=0,"",MIN(10,SUMPRODUCT((COUNTIF(J649:M649,L_KOM)&gt;0)*S_KOM)))</f>
        <v/>
      </c>
      <c r="O649" s="11" t="n"/>
      <c r="P649" s="10">
        <f>IF(O649="","",IFERROR(VLOOKUP(O649,T_KHID,2,FALSE),0))</f>
        <v/>
      </c>
      <c r="Q649" s="11" t="n"/>
      <c r="R649" s="11" t="n"/>
      <c r="S649" s="10">
        <f>IF(AND(Q649="",R649=""),"",IFERROR(INDEX(T_LIBAT,MATCH(Q649,L_PER,0),MATCH(R649,L_JENIS,0)),0))</f>
        <v/>
      </c>
      <c r="T649" s="11" t="n"/>
      <c r="U649" s="11" t="n"/>
      <c r="V649" s="10">
        <f>IF(AND(T649="",U649=""),"",IFERROR(INDEX(T_CAPAI,MATCH(T649,L_PER,0),MATCH(U649,L_KED,0)),0))</f>
        <v/>
      </c>
      <c r="W649" s="17">
        <f>IF(OR(B649="",E649="",COUNTA(F649,H649,J649:M649,O649,Q649:R649,T649:U649)=0),"",SUM(G649,I649,N649,P649,S649,V649))</f>
        <v/>
      </c>
      <c r="X649" s="18">
        <f>IF(W649="","",IF(Murid!F649="TL","TL",ROUND(W649/110*100,2)))</f>
        <v/>
      </c>
    </row>
    <row r="650">
      <c r="A650" s="15">
        <f>Murid!A650</f>
        <v/>
      </c>
      <c r="B650" s="15">
        <f>IF(Murid!B650="","",Murid!B650)</f>
        <v/>
      </c>
      <c r="C650" s="16">
        <f>IF(Murid!C650="","",Murid!C650)</f>
        <v/>
      </c>
      <c r="D650" s="15">
        <f>IF(Murid!E650="","",Murid!E650)</f>
        <v/>
      </c>
      <c r="E650" s="11" t="n"/>
      <c r="F650" s="11" t="n"/>
      <c r="G650" s="10">
        <f>IF(F650="","",IFERROR(VLOOKUP(F650,T_JKP,2,FALSE),0))</f>
        <v/>
      </c>
      <c r="H650" s="11" t="n"/>
      <c r="I650" s="17">
        <f>IF(H650="","",IF(H650&gt;=12,40,ROUND(H650*3.33,2)))</f>
        <v/>
      </c>
      <c r="J650" s="11" t="n"/>
      <c r="K650" s="11" t="n"/>
      <c r="L650" s="11" t="n"/>
      <c r="M650" s="11" t="n"/>
      <c r="N650" s="10">
        <f>IF(COUNTA(J650:M650)=0,"",MIN(10,SUMPRODUCT((COUNTIF(J650:M650,L_KOM)&gt;0)*S_KOM)))</f>
        <v/>
      </c>
      <c r="O650" s="11" t="n"/>
      <c r="P650" s="10">
        <f>IF(O650="","",IFERROR(VLOOKUP(O650,T_KHID,2,FALSE),0))</f>
        <v/>
      </c>
      <c r="Q650" s="11" t="n"/>
      <c r="R650" s="11" t="n"/>
      <c r="S650" s="10">
        <f>IF(AND(Q650="",R650=""),"",IFERROR(INDEX(T_LIBAT,MATCH(Q650,L_PER,0),MATCH(R650,L_JENIS,0)),0))</f>
        <v/>
      </c>
      <c r="T650" s="11" t="n"/>
      <c r="U650" s="11" t="n"/>
      <c r="V650" s="10">
        <f>IF(AND(T650="",U650=""),"",IFERROR(INDEX(T_CAPAI,MATCH(T650,L_PER,0),MATCH(U650,L_KED,0)),0))</f>
        <v/>
      </c>
      <c r="W650" s="17">
        <f>IF(OR(B650="",E650="",COUNTA(F650,H650,J650:M650,O650,Q650:R650,T650:U650)=0),"",SUM(G650,I650,N650,P650,S650,V650))</f>
        <v/>
      </c>
      <c r="X650" s="18">
        <f>IF(W650="","",IF(Murid!F650="TL","TL",ROUND(W650/110*100,2)))</f>
        <v/>
      </c>
    </row>
    <row r="651">
      <c r="A651" s="15">
        <f>Murid!A651</f>
        <v/>
      </c>
      <c r="B651" s="15">
        <f>IF(Murid!B651="","",Murid!B651)</f>
        <v/>
      </c>
      <c r="C651" s="16">
        <f>IF(Murid!C651="","",Murid!C651)</f>
        <v/>
      </c>
      <c r="D651" s="15">
        <f>IF(Murid!E651="","",Murid!E651)</f>
        <v/>
      </c>
      <c r="E651" s="11" t="n"/>
      <c r="F651" s="11" t="n"/>
      <c r="G651" s="10">
        <f>IF(F651="","",IFERROR(VLOOKUP(F651,T_JKP,2,FALSE),0))</f>
        <v/>
      </c>
      <c r="H651" s="11" t="n"/>
      <c r="I651" s="17">
        <f>IF(H651="","",IF(H651&gt;=12,40,ROUND(H651*3.33,2)))</f>
        <v/>
      </c>
      <c r="J651" s="11" t="n"/>
      <c r="K651" s="11" t="n"/>
      <c r="L651" s="11" t="n"/>
      <c r="M651" s="11" t="n"/>
      <c r="N651" s="10">
        <f>IF(COUNTA(J651:M651)=0,"",MIN(10,SUMPRODUCT((COUNTIF(J651:M651,L_KOM)&gt;0)*S_KOM)))</f>
        <v/>
      </c>
      <c r="O651" s="11" t="n"/>
      <c r="P651" s="10">
        <f>IF(O651="","",IFERROR(VLOOKUP(O651,T_KHID,2,FALSE),0))</f>
        <v/>
      </c>
      <c r="Q651" s="11" t="n"/>
      <c r="R651" s="11" t="n"/>
      <c r="S651" s="10">
        <f>IF(AND(Q651="",R651=""),"",IFERROR(INDEX(T_LIBAT,MATCH(Q651,L_PER,0),MATCH(R651,L_JENIS,0)),0))</f>
        <v/>
      </c>
      <c r="T651" s="11" t="n"/>
      <c r="U651" s="11" t="n"/>
      <c r="V651" s="10">
        <f>IF(AND(T651="",U651=""),"",IFERROR(INDEX(T_CAPAI,MATCH(T651,L_PER,0),MATCH(U651,L_KED,0)),0))</f>
        <v/>
      </c>
      <c r="W651" s="17">
        <f>IF(OR(B651="",E651="",COUNTA(F651,H651,J651:M651,O651,Q651:R651,T651:U651)=0),"",SUM(G651,I651,N651,P651,S651,V651))</f>
        <v/>
      </c>
      <c r="X651" s="18">
        <f>IF(W651="","",IF(Murid!F651="TL","TL",ROUND(W651/110*100,2)))</f>
        <v/>
      </c>
    </row>
    <row r="652">
      <c r="A652" s="15">
        <f>Murid!A652</f>
        <v/>
      </c>
      <c r="B652" s="15">
        <f>IF(Murid!B652="","",Murid!B652)</f>
        <v/>
      </c>
      <c r="C652" s="16">
        <f>IF(Murid!C652="","",Murid!C652)</f>
        <v/>
      </c>
      <c r="D652" s="15">
        <f>IF(Murid!E652="","",Murid!E652)</f>
        <v/>
      </c>
      <c r="E652" s="11" t="n"/>
      <c r="F652" s="11" t="n"/>
      <c r="G652" s="10">
        <f>IF(F652="","",IFERROR(VLOOKUP(F652,T_JKP,2,FALSE),0))</f>
        <v/>
      </c>
      <c r="H652" s="11" t="n"/>
      <c r="I652" s="17">
        <f>IF(H652="","",IF(H652&gt;=12,40,ROUND(H652*3.33,2)))</f>
        <v/>
      </c>
      <c r="J652" s="11" t="n"/>
      <c r="K652" s="11" t="n"/>
      <c r="L652" s="11" t="n"/>
      <c r="M652" s="11" t="n"/>
      <c r="N652" s="10">
        <f>IF(COUNTA(J652:M652)=0,"",MIN(10,SUMPRODUCT((COUNTIF(J652:M652,L_KOM)&gt;0)*S_KOM)))</f>
        <v/>
      </c>
      <c r="O652" s="11" t="n"/>
      <c r="P652" s="10">
        <f>IF(O652="","",IFERROR(VLOOKUP(O652,T_KHID,2,FALSE),0))</f>
        <v/>
      </c>
      <c r="Q652" s="11" t="n"/>
      <c r="R652" s="11" t="n"/>
      <c r="S652" s="10">
        <f>IF(AND(Q652="",R652=""),"",IFERROR(INDEX(T_LIBAT,MATCH(Q652,L_PER,0),MATCH(R652,L_JENIS,0)),0))</f>
        <v/>
      </c>
      <c r="T652" s="11" t="n"/>
      <c r="U652" s="11" t="n"/>
      <c r="V652" s="10">
        <f>IF(AND(T652="",U652=""),"",IFERROR(INDEX(T_CAPAI,MATCH(T652,L_PER,0),MATCH(U652,L_KED,0)),0))</f>
        <v/>
      </c>
      <c r="W652" s="17">
        <f>IF(OR(B652="",E652="",COUNTA(F652,H652,J652:M652,O652,Q652:R652,T652:U652)=0),"",SUM(G652,I652,N652,P652,S652,V652))</f>
        <v/>
      </c>
      <c r="X652" s="18">
        <f>IF(W652="","",IF(Murid!F652="TL","TL",ROUND(W652/110*100,2)))</f>
        <v/>
      </c>
    </row>
    <row r="653">
      <c r="A653" s="15">
        <f>Murid!A653</f>
        <v/>
      </c>
      <c r="B653" s="15">
        <f>IF(Murid!B653="","",Murid!B653)</f>
        <v/>
      </c>
      <c r="C653" s="16">
        <f>IF(Murid!C653="","",Murid!C653)</f>
        <v/>
      </c>
      <c r="D653" s="15">
        <f>IF(Murid!E653="","",Murid!E653)</f>
        <v/>
      </c>
      <c r="E653" s="11" t="n"/>
      <c r="F653" s="11" t="n"/>
      <c r="G653" s="10">
        <f>IF(F653="","",IFERROR(VLOOKUP(F653,T_JKP,2,FALSE),0))</f>
        <v/>
      </c>
      <c r="H653" s="11" t="n"/>
      <c r="I653" s="17">
        <f>IF(H653="","",IF(H653&gt;=12,40,ROUND(H653*3.33,2)))</f>
        <v/>
      </c>
      <c r="J653" s="11" t="n"/>
      <c r="K653" s="11" t="n"/>
      <c r="L653" s="11" t="n"/>
      <c r="M653" s="11" t="n"/>
      <c r="N653" s="10">
        <f>IF(COUNTA(J653:M653)=0,"",MIN(10,SUMPRODUCT((COUNTIF(J653:M653,L_KOM)&gt;0)*S_KOM)))</f>
        <v/>
      </c>
      <c r="O653" s="11" t="n"/>
      <c r="P653" s="10">
        <f>IF(O653="","",IFERROR(VLOOKUP(O653,T_KHID,2,FALSE),0))</f>
        <v/>
      </c>
      <c r="Q653" s="11" t="n"/>
      <c r="R653" s="11" t="n"/>
      <c r="S653" s="10">
        <f>IF(AND(Q653="",R653=""),"",IFERROR(INDEX(T_LIBAT,MATCH(Q653,L_PER,0),MATCH(R653,L_JENIS,0)),0))</f>
        <v/>
      </c>
      <c r="T653" s="11" t="n"/>
      <c r="U653" s="11" t="n"/>
      <c r="V653" s="10">
        <f>IF(AND(T653="",U653=""),"",IFERROR(INDEX(T_CAPAI,MATCH(T653,L_PER,0),MATCH(U653,L_KED,0)),0))</f>
        <v/>
      </c>
      <c r="W653" s="17">
        <f>IF(OR(B653="",E653="",COUNTA(F653,H653,J653:M653,O653,Q653:R653,T653:U653)=0),"",SUM(G653,I653,N653,P653,S653,V653))</f>
        <v/>
      </c>
      <c r="X653" s="18">
        <f>IF(W653="","",IF(Murid!F653="TL","TL",ROUND(W653/110*100,2)))</f>
        <v/>
      </c>
    </row>
    <row r="654">
      <c r="A654" s="15">
        <f>Murid!A654</f>
        <v/>
      </c>
      <c r="B654" s="15">
        <f>IF(Murid!B654="","",Murid!B654)</f>
        <v/>
      </c>
      <c r="C654" s="16">
        <f>IF(Murid!C654="","",Murid!C654)</f>
        <v/>
      </c>
      <c r="D654" s="15">
        <f>IF(Murid!E654="","",Murid!E654)</f>
        <v/>
      </c>
      <c r="E654" s="11" t="n"/>
      <c r="F654" s="11" t="n"/>
      <c r="G654" s="10">
        <f>IF(F654="","",IFERROR(VLOOKUP(F654,T_JKP,2,FALSE),0))</f>
        <v/>
      </c>
      <c r="H654" s="11" t="n"/>
      <c r="I654" s="17">
        <f>IF(H654="","",IF(H654&gt;=12,40,ROUND(H654*3.33,2)))</f>
        <v/>
      </c>
      <c r="J654" s="11" t="n"/>
      <c r="K654" s="11" t="n"/>
      <c r="L654" s="11" t="n"/>
      <c r="M654" s="11" t="n"/>
      <c r="N654" s="10">
        <f>IF(COUNTA(J654:M654)=0,"",MIN(10,SUMPRODUCT((COUNTIF(J654:M654,L_KOM)&gt;0)*S_KOM)))</f>
        <v/>
      </c>
      <c r="O654" s="11" t="n"/>
      <c r="P654" s="10">
        <f>IF(O654="","",IFERROR(VLOOKUP(O654,T_KHID,2,FALSE),0))</f>
        <v/>
      </c>
      <c r="Q654" s="11" t="n"/>
      <c r="R654" s="11" t="n"/>
      <c r="S654" s="10">
        <f>IF(AND(Q654="",R654=""),"",IFERROR(INDEX(T_LIBAT,MATCH(Q654,L_PER,0),MATCH(R654,L_JENIS,0)),0))</f>
        <v/>
      </c>
      <c r="T654" s="11" t="n"/>
      <c r="U654" s="11" t="n"/>
      <c r="V654" s="10">
        <f>IF(AND(T654="",U654=""),"",IFERROR(INDEX(T_CAPAI,MATCH(T654,L_PER,0),MATCH(U654,L_KED,0)),0))</f>
        <v/>
      </c>
      <c r="W654" s="17">
        <f>IF(OR(B654="",E654="",COUNTA(F654,H654,J654:M654,O654,Q654:R654,T654:U654)=0),"",SUM(G654,I654,N654,P654,S654,V654))</f>
        <v/>
      </c>
      <c r="X654" s="18">
        <f>IF(W654="","",IF(Murid!F654="TL","TL",ROUND(W654/110*100,2)))</f>
        <v/>
      </c>
    </row>
    <row r="655">
      <c r="A655" s="15">
        <f>Murid!A655</f>
        <v/>
      </c>
      <c r="B655" s="15">
        <f>IF(Murid!B655="","",Murid!B655)</f>
        <v/>
      </c>
      <c r="C655" s="16">
        <f>IF(Murid!C655="","",Murid!C655)</f>
        <v/>
      </c>
      <c r="D655" s="15">
        <f>IF(Murid!E655="","",Murid!E655)</f>
        <v/>
      </c>
      <c r="E655" s="11" t="n"/>
      <c r="F655" s="11" t="n"/>
      <c r="G655" s="10">
        <f>IF(F655="","",IFERROR(VLOOKUP(F655,T_JKP,2,FALSE),0))</f>
        <v/>
      </c>
      <c r="H655" s="11" t="n"/>
      <c r="I655" s="17">
        <f>IF(H655="","",IF(H655&gt;=12,40,ROUND(H655*3.33,2)))</f>
        <v/>
      </c>
      <c r="J655" s="11" t="n"/>
      <c r="K655" s="11" t="n"/>
      <c r="L655" s="11" t="n"/>
      <c r="M655" s="11" t="n"/>
      <c r="N655" s="10">
        <f>IF(COUNTA(J655:M655)=0,"",MIN(10,SUMPRODUCT((COUNTIF(J655:M655,L_KOM)&gt;0)*S_KOM)))</f>
        <v/>
      </c>
      <c r="O655" s="11" t="n"/>
      <c r="P655" s="10">
        <f>IF(O655="","",IFERROR(VLOOKUP(O655,T_KHID,2,FALSE),0))</f>
        <v/>
      </c>
      <c r="Q655" s="11" t="n"/>
      <c r="R655" s="11" t="n"/>
      <c r="S655" s="10">
        <f>IF(AND(Q655="",R655=""),"",IFERROR(INDEX(T_LIBAT,MATCH(Q655,L_PER,0),MATCH(R655,L_JENIS,0)),0))</f>
        <v/>
      </c>
      <c r="T655" s="11" t="n"/>
      <c r="U655" s="11" t="n"/>
      <c r="V655" s="10">
        <f>IF(AND(T655="",U655=""),"",IFERROR(INDEX(T_CAPAI,MATCH(T655,L_PER,0),MATCH(U655,L_KED,0)),0))</f>
        <v/>
      </c>
      <c r="W655" s="17">
        <f>IF(OR(B655="",E655="",COUNTA(F655,H655,J655:M655,O655,Q655:R655,T655:U655)=0),"",SUM(G655,I655,N655,P655,S655,V655))</f>
        <v/>
      </c>
      <c r="X655" s="18">
        <f>IF(W655="","",IF(Murid!F655="TL","TL",ROUND(W655/110*100,2)))</f>
        <v/>
      </c>
    </row>
    <row r="656">
      <c r="A656" s="15">
        <f>Murid!A656</f>
        <v/>
      </c>
      <c r="B656" s="15">
        <f>IF(Murid!B656="","",Murid!B656)</f>
        <v/>
      </c>
      <c r="C656" s="16">
        <f>IF(Murid!C656="","",Murid!C656)</f>
        <v/>
      </c>
      <c r="D656" s="15">
        <f>IF(Murid!E656="","",Murid!E656)</f>
        <v/>
      </c>
      <c r="E656" s="11" t="n"/>
      <c r="F656" s="11" t="n"/>
      <c r="G656" s="10">
        <f>IF(F656="","",IFERROR(VLOOKUP(F656,T_JKP,2,FALSE),0))</f>
        <v/>
      </c>
      <c r="H656" s="11" t="n"/>
      <c r="I656" s="17">
        <f>IF(H656="","",IF(H656&gt;=12,40,ROUND(H656*3.33,2)))</f>
        <v/>
      </c>
      <c r="J656" s="11" t="n"/>
      <c r="K656" s="11" t="n"/>
      <c r="L656" s="11" t="n"/>
      <c r="M656" s="11" t="n"/>
      <c r="N656" s="10">
        <f>IF(COUNTA(J656:M656)=0,"",MIN(10,SUMPRODUCT((COUNTIF(J656:M656,L_KOM)&gt;0)*S_KOM)))</f>
        <v/>
      </c>
      <c r="O656" s="11" t="n"/>
      <c r="P656" s="10">
        <f>IF(O656="","",IFERROR(VLOOKUP(O656,T_KHID,2,FALSE),0))</f>
        <v/>
      </c>
      <c r="Q656" s="11" t="n"/>
      <c r="R656" s="11" t="n"/>
      <c r="S656" s="10">
        <f>IF(AND(Q656="",R656=""),"",IFERROR(INDEX(T_LIBAT,MATCH(Q656,L_PER,0),MATCH(R656,L_JENIS,0)),0))</f>
        <v/>
      </c>
      <c r="T656" s="11" t="n"/>
      <c r="U656" s="11" t="n"/>
      <c r="V656" s="10">
        <f>IF(AND(T656="",U656=""),"",IFERROR(INDEX(T_CAPAI,MATCH(T656,L_PER,0),MATCH(U656,L_KED,0)),0))</f>
        <v/>
      </c>
      <c r="W656" s="17">
        <f>IF(OR(B656="",E656="",COUNTA(F656,H656,J656:M656,O656,Q656:R656,T656:U656)=0),"",SUM(G656,I656,N656,P656,S656,V656))</f>
        <v/>
      </c>
      <c r="X656" s="18">
        <f>IF(W656="","",IF(Murid!F656="TL","TL",ROUND(W656/110*100,2)))</f>
        <v/>
      </c>
    </row>
    <row r="657">
      <c r="A657" s="15">
        <f>Murid!A657</f>
        <v/>
      </c>
      <c r="B657" s="15">
        <f>IF(Murid!B657="","",Murid!B657)</f>
        <v/>
      </c>
      <c r="C657" s="16">
        <f>IF(Murid!C657="","",Murid!C657)</f>
        <v/>
      </c>
      <c r="D657" s="15">
        <f>IF(Murid!E657="","",Murid!E657)</f>
        <v/>
      </c>
      <c r="E657" s="11" t="n"/>
      <c r="F657" s="11" t="n"/>
      <c r="G657" s="10">
        <f>IF(F657="","",IFERROR(VLOOKUP(F657,T_JKP,2,FALSE),0))</f>
        <v/>
      </c>
      <c r="H657" s="11" t="n"/>
      <c r="I657" s="17">
        <f>IF(H657="","",IF(H657&gt;=12,40,ROUND(H657*3.33,2)))</f>
        <v/>
      </c>
      <c r="J657" s="11" t="n"/>
      <c r="K657" s="11" t="n"/>
      <c r="L657" s="11" t="n"/>
      <c r="M657" s="11" t="n"/>
      <c r="N657" s="10">
        <f>IF(COUNTA(J657:M657)=0,"",MIN(10,SUMPRODUCT((COUNTIF(J657:M657,L_KOM)&gt;0)*S_KOM)))</f>
        <v/>
      </c>
      <c r="O657" s="11" t="n"/>
      <c r="P657" s="10">
        <f>IF(O657="","",IFERROR(VLOOKUP(O657,T_KHID,2,FALSE),0))</f>
        <v/>
      </c>
      <c r="Q657" s="11" t="n"/>
      <c r="R657" s="11" t="n"/>
      <c r="S657" s="10">
        <f>IF(AND(Q657="",R657=""),"",IFERROR(INDEX(T_LIBAT,MATCH(Q657,L_PER,0),MATCH(R657,L_JENIS,0)),0))</f>
        <v/>
      </c>
      <c r="T657" s="11" t="n"/>
      <c r="U657" s="11" t="n"/>
      <c r="V657" s="10">
        <f>IF(AND(T657="",U657=""),"",IFERROR(INDEX(T_CAPAI,MATCH(T657,L_PER,0),MATCH(U657,L_KED,0)),0))</f>
        <v/>
      </c>
      <c r="W657" s="17">
        <f>IF(OR(B657="",E657="",COUNTA(F657,H657,J657:M657,O657,Q657:R657,T657:U657)=0),"",SUM(G657,I657,N657,P657,S657,V657))</f>
        <v/>
      </c>
      <c r="X657" s="18">
        <f>IF(W657="","",IF(Murid!F657="TL","TL",ROUND(W657/110*100,2)))</f>
        <v/>
      </c>
    </row>
    <row r="658">
      <c r="A658" s="15">
        <f>Murid!A658</f>
        <v/>
      </c>
      <c r="B658" s="15">
        <f>IF(Murid!B658="","",Murid!B658)</f>
        <v/>
      </c>
      <c r="C658" s="16">
        <f>IF(Murid!C658="","",Murid!C658)</f>
        <v/>
      </c>
      <c r="D658" s="15">
        <f>IF(Murid!E658="","",Murid!E658)</f>
        <v/>
      </c>
      <c r="E658" s="11" t="n"/>
      <c r="F658" s="11" t="n"/>
      <c r="G658" s="10">
        <f>IF(F658="","",IFERROR(VLOOKUP(F658,T_JKP,2,FALSE),0))</f>
        <v/>
      </c>
      <c r="H658" s="11" t="n"/>
      <c r="I658" s="17">
        <f>IF(H658="","",IF(H658&gt;=12,40,ROUND(H658*3.33,2)))</f>
        <v/>
      </c>
      <c r="J658" s="11" t="n"/>
      <c r="K658" s="11" t="n"/>
      <c r="L658" s="11" t="n"/>
      <c r="M658" s="11" t="n"/>
      <c r="N658" s="10">
        <f>IF(COUNTA(J658:M658)=0,"",MIN(10,SUMPRODUCT((COUNTIF(J658:M658,L_KOM)&gt;0)*S_KOM)))</f>
        <v/>
      </c>
      <c r="O658" s="11" t="n"/>
      <c r="P658" s="10">
        <f>IF(O658="","",IFERROR(VLOOKUP(O658,T_KHID,2,FALSE),0))</f>
        <v/>
      </c>
      <c r="Q658" s="11" t="n"/>
      <c r="R658" s="11" t="n"/>
      <c r="S658" s="10">
        <f>IF(AND(Q658="",R658=""),"",IFERROR(INDEX(T_LIBAT,MATCH(Q658,L_PER,0),MATCH(R658,L_JENIS,0)),0))</f>
        <v/>
      </c>
      <c r="T658" s="11" t="n"/>
      <c r="U658" s="11" t="n"/>
      <c r="V658" s="10">
        <f>IF(AND(T658="",U658=""),"",IFERROR(INDEX(T_CAPAI,MATCH(T658,L_PER,0),MATCH(U658,L_KED,0)),0))</f>
        <v/>
      </c>
      <c r="W658" s="17">
        <f>IF(OR(B658="",E658="",COUNTA(F658,H658,J658:M658,O658,Q658:R658,T658:U658)=0),"",SUM(G658,I658,N658,P658,S658,V658))</f>
        <v/>
      </c>
      <c r="X658" s="18">
        <f>IF(W658="","",IF(Murid!F658="TL","TL",ROUND(W658/110*100,2)))</f>
        <v/>
      </c>
    </row>
    <row r="659">
      <c r="A659" s="15">
        <f>Murid!A659</f>
        <v/>
      </c>
      <c r="B659" s="15">
        <f>IF(Murid!B659="","",Murid!B659)</f>
        <v/>
      </c>
      <c r="C659" s="16">
        <f>IF(Murid!C659="","",Murid!C659)</f>
        <v/>
      </c>
      <c r="D659" s="15">
        <f>IF(Murid!E659="","",Murid!E659)</f>
        <v/>
      </c>
      <c r="E659" s="11" t="n"/>
      <c r="F659" s="11" t="n"/>
      <c r="G659" s="10">
        <f>IF(F659="","",IFERROR(VLOOKUP(F659,T_JKP,2,FALSE),0))</f>
        <v/>
      </c>
      <c r="H659" s="11" t="n"/>
      <c r="I659" s="17">
        <f>IF(H659="","",IF(H659&gt;=12,40,ROUND(H659*3.33,2)))</f>
        <v/>
      </c>
      <c r="J659" s="11" t="n"/>
      <c r="K659" s="11" t="n"/>
      <c r="L659" s="11" t="n"/>
      <c r="M659" s="11" t="n"/>
      <c r="N659" s="10">
        <f>IF(COUNTA(J659:M659)=0,"",MIN(10,SUMPRODUCT((COUNTIF(J659:M659,L_KOM)&gt;0)*S_KOM)))</f>
        <v/>
      </c>
      <c r="O659" s="11" t="n"/>
      <c r="P659" s="10">
        <f>IF(O659="","",IFERROR(VLOOKUP(O659,T_KHID,2,FALSE),0))</f>
        <v/>
      </c>
      <c r="Q659" s="11" t="n"/>
      <c r="R659" s="11" t="n"/>
      <c r="S659" s="10">
        <f>IF(AND(Q659="",R659=""),"",IFERROR(INDEX(T_LIBAT,MATCH(Q659,L_PER,0),MATCH(R659,L_JENIS,0)),0))</f>
        <v/>
      </c>
      <c r="T659" s="11" t="n"/>
      <c r="U659" s="11" t="n"/>
      <c r="V659" s="10">
        <f>IF(AND(T659="",U659=""),"",IFERROR(INDEX(T_CAPAI,MATCH(T659,L_PER,0),MATCH(U659,L_KED,0)),0))</f>
        <v/>
      </c>
      <c r="W659" s="17">
        <f>IF(OR(B659="",E659="",COUNTA(F659,H659,J659:M659,O659,Q659:R659,T659:U659)=0),"",SUM(G659,I659,N659,P659,S659,V659))</f>
        <v/>
      </c>
      <c r="X659" s="18">
        <f>IF(W659="","",IF(Murid!F659="TL","TL",ROUND(W659/110*100,2)))</f>
        <v/>
      </c>
    </row>
    <row r="660">
      <c r="A660" s="15">
        <f>Murid!A660</f>
        <v/>
      </c>
      <c r="B660" s="15">
        <f>IF(Murid!B660="","",Murid!B660)</f>
        <v/>
      </c>
      <c r="C660" s="16">
        <f>IF(Murid!C660="","",Murid!C660)</f>
        <v/>
      </c>
      <c r="D660" s="15">
        <f>IF(Murid!E660="","",Murid!E660)</f>
        <v/>
      </c>
      <c r="E660" s="11" t="n"/>
      <c r="F660" s="11" t="n"/>
      <c r="G660" s="10">
        <f>IF(F660="","",IFERROR(VLOOKUP(F660,T_JKP,2,FALSE),0))</f>
        <v/>
      </c>
      <c r="H660" s="11" t="n"/>
      <c r="I660" s="17">
        <f>IF(H660="","",IF(H660&gt;=12,40,ROUND(H660*3.33,2)))</f>
        <v/>
      </c>
      <c r="J660" s="11" t="n"/>
      <c r="K660" s="11" t="n"/>
      <c r="L660" s="11" t="n"/>
      <c r="M660" s="11" t="n"/>
      <c r="N660" s="10">
        <f>IF(COUNTA(J660:M660)=0,"",MIN(10,SUMPRODUCT((COUNTIF(J660:M660,L_KOM)&gt;0)*S_KOM)))</f>
        <v/>
      </c>
      <c r="O660" s="11" t="n"/>
      <c r="P660" s="10">
        <f>IF(O660="","",IFERROR(VLOOKUP(O660,T_KHID,2,FALSE),0))</f>
        <v/>
      </c>
      <c r="Q660" s="11" t="n"/>
      <c r="R660" s="11" t="n"/>
      <c r="S660" s="10">
        <f>IF(AND(Q660="",R660=""),"",IFERROR(INDEX(T_LIBAT,MATCH(Q660,L_PER,0),MATCH(R660,L_JENIS,0)),0))</f>
        <v/>
      </c>
      <c r="T660" s="11" t="n"/>
      <c r="U660" s="11" t="n"/>
      <c r="V660" s="10">
        <f>IF(AND(T660="",U660=""),"",IFERROR(INDEX(T_CAPAI,MATCH(T660,L_PER,0),MATCH(U660,L_KED,0)),0))</f>
        <v/>
      </c>
      <c r="W660" s="17">
        <f>IF(OR(B660="",E660="",COUNTA(F660,H660,J660:M660,O660,Q660:R660,T660:U660)=0),"",SUM(G660,I660,N660,P660,S660,V660))</f>
        <v/>
      </c>
      <c r="X660" s="18">
        <f>IF(W660="","",IF(Murid!F660="TL","TL",ROUND(W660/110*100,2)))</f>
        <v/>
      </c>
    </row>
    <row r="661">
      <c r="A661" s="15">
        <f>Murid!A661</f>
        <v/>
      </c>
      <c r="B661" s="15">
        <f>IF(Murid!B661="","",Murid!B661)</f>
        <v/>
      </c>
      <c r="C661" s="16">
        <f>IF(Murid!C661="","",Murid!C661)</f>
        <v/>
      </c>
      <c r="D661" s="15">
        <f>IF(Murid!E661="","",Murid!E661)</f>
        <v/>
      </c>
      <c r="E661" s="11" t="n"/>
      <c r="F661" s="11" t="n"/>
      <c r="G661" s="10">
        <f>IF(F661="","",IFERROR(VLOOKUP(F661,T_JKP,2,FALSE),0))</f>
        <v/>
      </c>
      <c r="H661" s="11" t="n"/>
      <c r="I661" s="17">
        <f>IF(H661="","",IF(H661&gt;=12,40,ROUND(H661*3.33,2)))</f>
        <v/>
      </c>
      <c r="J661" s="11" t="n"/>
      <c r="K661" s="11" t="n"/>
      <c r="L661" s="11" t="n"/>
      <c r="M661" s="11" t="n"/>
      <c r="N661" s="10">
        <f>IF(COUNTA(J661:M661)=0,"",MIN(10,SUMPRODUCT((COUNTIF(J661:M661,L_KOM)&gt;0)*S_KOM)))</f>
        <v/>
      </c>
      <c r="O661" s="11" t="n"/>
      <c r="P661" s="10">
        <f>IF(O661="","",IFERROR(VLOOKUP(O661,T_KHID,2,FALSE),0))</f>
        <v/>
      </c>
      <c r="Q661" s="11" t="n"/>
      <c r="R661" s="11" t="n"/>
      <c r="S661" s="10">
        <f>IF(AND(Q661="",R661=""),"",IFERROR(INDEX(T_LIBAT,MATCH(Q661,L_PER,0),MATCH(R661,L_JENIS,0)),0))</f>
        <v/>
      </c>
      <c r="T661" s="11" t="n"/>
      <c r="U661" s="11" t="n"/>
      <c r="V661" s="10">
        <f>IF(AND(T661="",U661=""),"",IFERROR(INDEX(T_CAPAI,MATCH(T661,L_PER,0),MATCH(U661,L_KED,0)),0))</f>
        <v/>
      </c>
      <c r="W661" s="17">
        <f>IF(OR(B661="",E661="",COUNTA(F661,H661,J661:M661,O661,Q661:R661,T661:U661)=0),"",SUM(G661,I661,N661,P661,S661,V661))</f>
        <v/>
      </c>
      <c r="X661" s="18">
        <f>IF(W661="","",IF(Murid!F661="TL","TL",ROUND(W661/110*100,2)))</f>
        <v/>
      </c>
    </row>
    <row r="662">
      <c r="A662" s="15">
        <f>Murid!A662</f>
        <v/>
      </c>
      <c r="B662" s="15">
        <f>IF(Murid!B662="","",Murid!B662)</f>
        <v/>
      </c>
      <c r="C662" s="16">
        <f>IF(Murid!C662="","",Murid!C662)</f>
        <v/>
      </c>
      <c r="D662" s="15">
        <f>IF(Murid!E662="","",Murid!E662)</f>
        <v/>
      </c>
      <c r="E662" s="11" t="n"/>
      <c r="F662" s="11" t="n"/>
      <c r="G662" s="10">
        <f>IF(F662="","",IFERROR(VLOOKUP(F662,T_JKP,2,FALSE),0))</f>
        <v/>
      </c>
      <c r="H662" s="11" t="n"/>
      <c r="I662" s="17">
        <f>IF(H662="","",IF(H662&gt;=12,40,ROUND(H662*3.33,2)))</f>
        <v/>
      </c>
      <c r="J662" s="11" t="n"/>
      <c r="K662" s="11" t="n"/>
      <c r="L662" s="11" t="n"/>
      <c r="M662" s="11" t="n"/>
      <c r="N662" s="10">
        <f>IF(COUNTA(J662:M662)=0,"",MIN(10,SUMPRODUCT((COUNTIF(J662:M662,L_KOM)&gt;0)*S_KOM)))</f>
        <v/>
      </c>
      <c r="O662" s="11" t="n"/>
      <c r="P662" s="10">
        <f>IF(O662="","",IFERROR(VLOOKUP(O662,T_KHID,2,FALSE),0))</f>
        <v/>
      </c>
      <c r="Q662" s="11" t="n"/>
      <c r="R662" s="11" t="n"/>
      <c r="S662" s="10">
        <f>IF(AND(Q662="",R662=""),"",IFERROR(INDEX(T_LIBAT,MATCH(Q662,L_PER,0),MATCH(R662,L_JENIS,0)),0))</f>
        <v/>
      </c>
      <c r="T662" s="11" t="n"/>
      <c r="U662" s="11" t="n"/>
      <c r="V662" s="10">
        <f>IF(AND(T662="",U662=""),"",IFERROR(INDEX(T_CAPAI,MATCH(T662,L_PER,0),MATCH(U662,L_KED,0)),0))</f>
        <v/>
      </c>
      <c r="W662" s="17">
        <f>IF(OR(B662="",E662="",COUNTA(F662,H662,J662:M662,O662,Q662:R662,T662:U662)=0),"",SUM(G662,I662,N662,P662,S662,V662))</f>
        <v/>
      </c>
      <c r="X662" s="18">
        <f>IF(W662="","",IF(Murid!F662="TL","TL",ROUND(W662/110*100,2)))</f>
        <v/>
      </c>
    </row>
    <row r="663">
      <c r="A663" s="15">
        <f>Murid!A663</f>
        <v/>
      </c>
      <c r="B663" s="15">
        <f>IF(Murid!B663="","",Murid!B663)</f>
        <v/>
      </c>
      <c r="C663" s="16">
        <f>IF(Murid!C663="","",Murid!C663)</f>
        <v/>
      </c>
      <c r="D663" s="15">
        <f>IF(Murid!E663="","",Murid!E663)</f>
        <v/>
      </c>
      <c r="E663" s="11" t="n"/>
      <c r="F663" s="11" t="n"/>
      <c r="G663" s="10">
        <f>IF(F663="","",IFERROR(VLOOKUP(F663,T_JKP,2,FALSE),0))</f>
        <v/>
      </c>
      <c r="H663" s="11" t="n"/>
      <c r="I663" s="17">
        <f>IF(H663="","",IF(H663&gt;=12,40,ROUND(H663*3.33,2)))</f>
        <v/>
      </c>
      <c r="J663" s="11" t="n"/>
      <c r="K663" s="11" t="n"/>
      <c r="L663" s="11" t="n"/>
      <c r="M663" s="11" t="n"/>
      <c r="N663" s="10">
        <f>IF(COUNTA(J663:M663)=0,"",MIN(10,SUMPRODUCT((COUNTIF(J663:M663,L_KOM)&gt;0)*S_KOM)))</f>
        <v/>
      </c>
      <c r="O663" s="11" t="n"/>
      <c r="P663" s="10">
        <f>IF(O663="","",IFERROR(VLOOKUP(O663,T_KHID,2,FALSE),0))</f>
        <v/>
      </c>
      <c r="Q663" s="11" t="n"/>
      <c r="R663" s="11" t="n"/>
      <c r="S663" s="10">
        <f>IF(AND(Q663="",R663=""),"",IFERROR(INDEX(T_LIBAT,MATCH(Q663,L_PER,0),MATCH(R663,L_JENIS,0)),0))</f>
        <v/>
      </c>
      <c r="T663" s="11" t="n"/>
      <c r="U663" s="11" t="n"/>
      <c r="V663" s="10">
        <f>IF(AND(T663="",U663=""),"",IFERROR(INDEX(T_CAPAI,MATCH(T663,L_PER,0),MATCH(U663,L_KED,0)),0))</f>
        <v/>
      </c>
      <c r="W663" s="17">
        <f>IF(OR(B663="",E663="",COUNTA(F663,H663,J663:M663,O663,Q663:R663,T663:U663)=0),"",SUM(G663,I663,N663,P663,S663,V663))</f>
        <v/>
      </c>
      <c r="X663" s="18">
        <f>IF(W663="","",IF(Murid!F663="TL","TL",ROUND(W663/110*100,2)))</f>
        <v/>
      </c>
    </row>
    <row r="664">
      <c r="A664" s="15">
        <f>Murid!A664</f>
        <v/>
      </c>
      <c r="B664" s="15">
        <f>IF(Murid!B664="","",Murid!B664)</f>
        <v/>
      </c>
      <c r="C664" s="16">
        <f>IF(Murid!C664="","",Murid!C664)</f>
        <v/>
      </c>
      <c r="D664" s="15">
        <f>IF(Murid!E664="","",Murid!E664)</f>
        <v/>
      </c>
      <c r="E664" s="11" t="n"/>
      <c r="F664" s="11" t="n"/>
      <c r="G664" s="10">
        <f>IF(F664="","",IFERROR(VLOOKUP(F664,T_JKP,2,FALSE),0))</f>
        <v/>
      </c>
      <c r="H664" s="11" t="n"/>
      <c r="I664" s="17">
        <f>IF(H664="","",IF(H664&gt;=12,40,ROUND(H664*3.33,2)))</f>
        <v/>
      </c>
      <c r="J664" s="11" t="n"/>
      <c r="K664" s="11" t="n"/>
      <c r="L664" s="11" t="n"/>
      <c r="M664" s="11" t="n"/>
      <c r="N664" s="10">
        <f>IF(COUNTA(J664:M664)=0,"",MIN(10,SUMPRODUCT((COUNTIF(J664:M664,L_KOM)&gt;0)*S_KOM)))</f>
        <v/>
      </c>
      <c r="O664" s="11" t="n"/>
      <c r="P664" s="10">
        <f>IF(O664="","",IFERROR(VLOOKUP(O664,T_KHID,2,FALSE),0))</f>
        <v/>
      </c>
      <c r="Q664" s="11" t="n"/>
      <c r="R664" s="11" t="n"/>
      <c r="S664" s="10">
        <f>IF(AND(Q664="",R664=""),"",IFERROR(INDEX(T_LIBAT,MATCH(Q664,L_PER,0),MATCH(R664,L_JENIS,0)),0))</f>
        <v/>
      </c>
      <c r="T664" s="11" t="n"/>
      <c r="U664" s="11" t="n"/>
      <c r="V664" s="10">
        <f>IF(AND(T664="",U664=""),"",IFERROR(INDEX(T_CAPAI,MATCH(T664,L_PER,0),MATCH(U664,L_KED,0)),0))</f>
        <v/>
      </c>
      <c r="W664" s="17">
        <f>IF(OR(B664="",E664="",COUNTA(F664,H664,J664:M664,O664,Q664:R664,T664:U664)=0),"",SUM(G664,I664,N664,P664,S664,V664))</f>
        <v/>
      </c>
      <c r="X664" s="18">
        <f>IF(W664="","",IF(Murid!F664="TL","TL",ROUND(W664/110*100,2)))</f>
        <v/>
      </c>
    </row>
    <row r="665">
      <c r="A665" s="15">
        <f>Murid!A665</f>
        <v/>
      </c>
      <c r="B665" s="15">
        <f>IF(Murid!B665="","",Murid!B665)</f>
        <v/>
      </c>
      <c r="C665" s="16">
        <f>IF(Murid!C665="","",Murid!C665)</f>
        <v/>
      </c>
      <c r="D665" s="15">
        <f>IF(Murid!E665="","",Murid!E665)</f>
        <v/>
      </c>
      <c r="E665" s="11" t="n"/>
      <c r="F665" s="11" t="n"/>
      <c r="G665" s="10">
        <f>IF(F665="","",IFERROR(VLOOKUP(F665,T_JKP,2,FALSE),0))</f>
        <v/>
      </c>
      <c r="H665" s="11" t="n"/>
      <c r="I665" s="17">
        <f>IF(H665="","",IF(H665&gt;=12,40,ROUND(H665*3.33,2)))</f>
        <v/>
      </c>
      <c r="J665" s="11" t="n"/>
      <c r="K665" s="11" t="n"/>
      <c r="L665" s="11" t="n"/>
      <c r="M665" s="11" t="n"/>
      <c r="N665" s="10">
        <f>IF(COUNTA(J665:M665)=0,"",MIN(10,SUMPRODUCT((COUNTIF(J665:M665,L_KOM)&gt;0)*S_KOM)))</f>
        <v/>
      </c>
      <c r="O665" s="11" t="n"/>
      <c r="P665" s="10">
        <f>IF(O665="","",IFERROR(VLOOKUP(O665,T_KHID,2,FALSE),0))</f>
        <v/>
      </c>
      <c r="Q665" s="11" t="n"/>
      <c r="R665" s="11" t="n"/>
      <c r="S665" s="10">
        <f>IF(AND(Q665="",R665=""),"",IFERROR(INDEX(T_LIBAT,MATCH(Q665,L_PER,0),MATCH(R665,L_JENIS,0)),0))</f>
        <v/>
      </c>
      <c r="T665" s="11" t="n"/>
      <c r="U665" s="11" t="n"/>
      <c r="V665" s="10">
        <f>IF(AND(T665="",U665=""),"",IFERROR(INDEX(T_CAPAI,MATCH(T665,L_PER,0),MATCH(U665,L_KED,0)),0))</f>
        <v/>
      </c>
      <c r="W665" s="17">
        <f>IF(OR(B665="",E665="",COUNTA(F665,H665,J665:M665,O665,Q665:R665,T665:U665)=0),"",SUM(G665,I665,N665,P665,S665,V665))</f>
        <v/>
      </c>
      <c r="X665" s="18">
        <f>IF(W665="","",IF(Murid!F665="TL","TL",ROUND(W665/110*100,2)))</f>
        <v/>
      </c>
    </row>
    <row r="666">
      <c r="A666" s="15">
        <f>Murid!A666</f>
        <v/>
      </c>
      <c r="B666" s="15">
        <f>IF(Murid!B666="","",Murid!B666)</f>
        <v/>
      </c>
      <c r="C666" s="16">
        <f>IF(Murid!C666="","",Murid!C666)</f>
        <v/>
      </c>
      <c r="D666" s="15">
        <f>IF(Murid!E666="","",Murid!E666)</f>
        <v/>
      </c>
      <c r="E666" s="11" t="n"/>
      <c r="F666" s="11" t="n"/>
      <c r="G666" s="10">
        <f>IF(F666="","",IFERROR(VLOOKUP(F666,T_JKP,2,FALSE),0))</f>
        <v/>
      </c>
      <c r="H666" s="11" t="n"/>
      <c r="I666" s="17">
        <f>IF(H666="","",IF(H666&gt;=12,40,ROUND(H666*3.33,2)))</f>
        <v/>
      </c>
      <c r="J666" s="11" t="n"/>
      <c r="K666" s="11" t="n"/>
      <c r="L666" s="11" t="n"/>
      <c r="M666" s="11" t="n"/>
      <c r="N666" s="10">
        <f>IF(COUNTA(J666:M666)=0,"",MIN(10,SUMPRODUCT((COUNTIF(J666:M666,L_KOM)&gt;0)*S_KOM)))</f>
        <v/>
      </c>
      <c r="O666" s="11" t="n"/>
      <c r="P666" s="10">
        <f>IF(O666="","",IFERROR(VLOOKUP(O666,T_KHID,2,FALSE),0))</f>
        <v/>
      </c>
      <c r="Q666" s="11" t="n"/>
      <c r="R666" s="11" t="n"/>
      <c r="S666" s="10">
        <f>IF(AND(Q666="",R666=""),"",IFERROR(INDEX(T_LIBAT,MATCH(Q666,L_PER,0),MATCH(R666,L_JENIS,0)),0))</f>
        <v/>
      </c>
      <c r="T666" s="11" t="n"/>
      <c r="U666" s="11" t="n"/>
      <c r="V666" s="10">
        <f>IF(AND(T666="",U666=""),"",IFERROR(INDEX(T_CAPAI,MATCH(T666,L_PER,0),MATCH(U666,L_KED,0)),0))</f>
        <v/>
      </c>
      <c r="W666" s="17">
        <f>IF(OR(B666="",E666="",COUNTA(F666,H666,J666:M666,O666,Q666:R666,T666:U666)=0),"",SUM(G666,I666,N666,P666,S666,V666))</f>
        <v/>
      </c>
      <c r="X666" s="18">
        <f>IF(W666="","",IF(Murid!F666="TL","TL",ROUND(W666/110*100,2)))</f>
        <v/>
      </c>
    </row>
    <row r="667">
      <c r="A667" s="15">
        <f>Murid!A667</f>
        <v/>
      </c>
      <c r="B667" s="15">
        <f>IF(Murid!B667="","",Murid!B667)</f>
        <v/>
      </c>
      <c r="C667" s="16">
        <f>IF(Murid!C667="","",Murid!C667)</f>
        <v/>
      </c>
      <c r="D667" s="15">
        <f>IF(Murid!E667="","",Murid!E667)</f>
        <v/>
      </c>
      <c r="E667" s="11" t="n"/>
      <c r="F667" s="11" t="n"/>
      <c r="G667" s="10">
        <f>IF(F667="","",IFERROR(VLOOKUP(F667,T_JKP,2,FALSE),0))</f>
        <v/>
      </c>
      <c r="H667" s="11" t="n"/>
      <c r="I667" s="17">
        <f>IF(H667="","",IF(H667&gt;=12,40,ROUND(H667*3.33,2)))</f>
        <v/>
      </c>
      <c r="J667" s="11" t="n"/>
      <c r="K667" s="11" t="n"/>
      <c r="L667" s="11" t="n"/>
      <c r="M667" s="11" t="n"/>
      <c r="N667" s="10">
        <f>IF(COUNTA(J667:M667)=0,"",MIN(10,SUMPRODUCT((COUNTIF(J667:M667,L_KOM)&gt;0)*S_KOM)))</f>
        <v/>
      </c>
      <c r="O667" s="11" t="n"/>
      <c r="P667" s="10">
        <f>IF(O667="","",IFERROR(VLOOKUP(O667,T_KHID,2,FALSE),0))</f>
        <v/>
      </c>
      <c r="Q667" s="11" t="n"/>
      <c r="R667" s="11" t="n"/>
      <c r="S667" s="10">
        <f>IF(AND(Q667="",R667=""),"",IFERROR(INDEX(T_LIBAT,MATCH(Q667,L_PER,0),MATCH(R667,L_JENIS,0)),0))</f>
        <v/>
      </c>
      <c r="T667" s="11" t="n"/>
      <c r="U667" s="11" t="n"/>
      <c r="V667" s="10">
        <f>IF(AND(T667="",U667=""),"",IFERROR(INDEX(T_CAPAI,MATCH(T667,L_PER,0),MATCH(U667,L_KED,0)),0))</f>
        <v/>
      </c>
      <c r="W667" s="17">
        <f>IF(OR(B667="",E667="",COUNTA(F667,H667,J667:M667,O667,Q667:R667,T667:U667)=0),"",SUM(G667,I667,N667,P667,S667,V667))</f>
        <v/>
      </c>
      <c r="X667" s="18">
        <f>IF(W667="","",IF(Murid!F667="TL","TL",ROUND(W667/110*100,2)))</f>
        <v/>
      </c>
    </row>
    <row r="668">
      <c r="A668" s="15">
        <f>Murid!A668</f>
        <v/>
      </c>
      <c r="B668" s="15">
        <f>IF(Murid!B668="","",Murid!B668)</f>
        <v/>
      </c>
      <c r="C668" s="16">
        <f>IF(Murid!C668="","",Murid!C668)</f>
        <v/>
      </c>
      <c r="D668" s="15">
        <f>IF(Murid!E668="","",Murid!E668)</f>
        <v/>
      </c>
      <c r="E668" s="11" t="n"/>
      <c r="F668" s="11" t="n"/>
      <c r="G668" s="10">
        <f>IF(F668="","",IFERROR(VLOOKUP(F668,T_JKP,2,FALSE),0))</f>
        <v/>
      </c>
      <c r="H668" s="11" t="n"/>
      <c r="I668" s="17">
        <f>IF(H668="","",IF(H668&gt;=12,40,ROUND(H668*3.33,2)))</f>
        <v/>
      </c>
      <c r="J668" s="11" t="n"/>
      <c r="K668" s="11" t="n"/>
      <c r="L668" s="11" t="n"/>
      <c r="M668" s="11" t="n"/>
      <c r="N668" s="10">
        <f>IF(COUNTA(J668:M668)=0,"",MIN(10,SUMPRODUCT((COUNTIF(J668:M668,L_KOM)&gt;0)*S_KOM)))</f>
        <v/>
      </c>
      <c r="O668" s="11" t="n"/>
      <c r="P668" s="10">
        <f>IF(O668="","",IFERROR(VLOOKUP(O668,T_KHID,2,FALSE),0))</f>
        <v/>
      </c>
      <c r="Q668" s="11" t="n"/>
      <c r="R668" s="11" t="n"/>
      <c r="S668" s="10">
        <f>IF(AND(Q668="",R668=""),"",IFERROR(INDEX(T_LIBAT,MATCH(Q668,L_PER,0),MATCH(R668,L_JENIS,0)),0))</f>
        <v/>
      </c>
      <c r="T668" s="11" t="n"/>
      <c r="U668" s="11" t="n"/>
      <c r="V668" s="10">
        <f>IF(AND(T668="",U668=""),"",IFERROR(INDEX(T_CAPAI,MATCH(T668,L_PER,0),MATCH(U668,L_KED,0)),0))</f>
        <v/>
      </c>
      <c r="W668" s="17">
        <f>IF(OR(B668="",E668="",COUNTA(F668,H668,J668:M668,O668,Q668:R668,T668:U668)=0),"",SUM(G668,I668,N668,P668,S668,V668))</f>
        <v/>
      </c>
      <c r="X668" s="18">
        <f>IF(W668="","",IF(Murid!F668="TL","TL",ROUND(W668/110*100,2)))</f>
        <v/>
      </c>
    </row>
    <row r="669">
      <c r="A669" s="15">
        <f>Murid!A669</f>
        <v/>
      </c>
      <c r="B669" s="15">
        <f>IF(Murid!B669="","",Murid!B669)</f>
        <v/>
      </c>
      <c r="C669" s="16">
        <f>IF(Murid!C669="","",Murid!C669)</f>
        <v/>
      </c>
      <c r="D669" s="15">
        <f>IF(Murid!E669="","",Murid!E669)</f>
        <v/>
      </c>
      <c r="E669" s="11" t="n"/>
      <c r="F669" s="11" t="n"/>
      <c r="G669" s="10">
        <f>IF(F669="","",IFERROR(VLOOKUP(F669,T_JKP,2,FALSE),0))</f>
        <v/>
      </c>
      <c r="H669" s="11" t="n"/>
      <c r="I669" s="17">
        <f>IF(H669="","",IF(H669&gt;=12,40,ROUND(H669*3.33,2)))</f>
        <v/>
      </c>
      <c r="J669" s="11" t="n"/>
      <c r="K669" s="11" t="n"/>
      <c r="L669" s="11" t="n"/>
      <c r="M669" s="11" t="n"/>
      <c r="N669" s="10">
        <f>IF(COUNTA(J669:M669)=0,"",MIN(10,SUMPRODUCT((COUNTIF(J669:M669,L_KOM)&gt;0)*S_KOM)))</f>
        <v/>
      </c>
      <c r="O669" s="11" t="n"/>
      <c r="P669" s="10">
        <f>IF(O669="","",IFERROR(VLOOKUP(O669,T_KHID,2,FALSE),0))</f>
        <v/>
      </c>
      <c r="Q669" s="11" t="n"/>
      <c r="R669" s="11" t="n"/>
      <c r="S669" s="10">
        <f>IF(AND(Q669="",R669=""),"",IFERROR(INDEX(T_LIBAT,MATCH(Q669,L_PER,0),MATCH(R669,L_JENIS,0)),0))</f>
        <v/>
      </c>
      <c r="T669" s="11" t="n"/>
      <c r="U669" s="11" t="n"/>
      <c r="V669" s="10">
        <f>IF(AND(T669="",U669=""),"",IFERROR(INDEX(T_CAPAI,MATCH(T669,L_PER,0),MATCH(U669,L_KED,0)),0))</f>
        <v/>
      </c>
      <c r="W669" s="17">
        <f>IF(OR(B669="",E669="",COUNTA(F669,H669,J669:M669,O669,Q669:R669,T669:U669)=0),"",SUM(G669,I669,N669,P669,S669,V669))</f>
        <v/>
      </c>
      <c r="X669" s="18">
        <f>IF(W669="","",IF(Murid!F669="TL","TL",ROUND(W669/110*100,2)))</f>
        <v/>
      </c>
    </row>
    <row r="670">
      <c r="A670" s="15">
        <f>Murid!A670</f>
        <v/>
      </c>
      <c r="B670" s="15">
        <f>IF(Murid!B670="","",Murid!B670)</f>
        <v/>
      </c>
      <c r="C670" s="16">
        <f>IF(Murid!C670="","",Murid!C670)</f>
        <v/>
      </c>
      <c r="D670" s="15">
        <f>IF(Murid!E670="","",Murid!E670)</f>
        <v/>
      </c>
      <c r="E670" s="11" t="n"/>
      <c r="F670" s="11" t="n"/>
      <c r="G670" s="10">
        <f>IF(F670="","",IFERROR(VLOOKUP(F670,T_JKP,2,FALSE),0))</f>
        <v/>
      </c>
      <c r="H670" s="11" t="n"/>
      <c r="I670" s="17">
        <f>IF(H670="","",IF(H670&gt;=12,40,ROUND(H670*3.33,2)))</f>
        <v/>
      </c>
      <c r="J670" s="11" t="n"/>
      <c r="K670" s="11" t="n"/>
      <c r="L670" s="11" t="n"/>
      <c r="M670" s="11" t="n"/>
      <c r="N670" s="10">
        <f>IF(COUNTA(J670:M670)=0,"",MIN(10,SUMPRODUCT((COUNTIF(J670:M670,L_KOM)&gt;0)*S_KOM)))</f>
        <v/>
      </c>
      <c r="O670" s="11" t="n"/>
      <c r="P670" s="10">
        <f>IF(O670="","",IFERROR(VLOOKUP(O670,T_KHID,2,FALSE),0))</f>
        <v/>
      </c>
      <c r="Q670" s="11" t="n"/>
      <c r="R670" s="11" t="n"/>
      <c r="S670" s="10">
        <f>IF(AND(Q670="",R670=""),"",IFERROR(INDEX(T_LIBAT,MATCH(Q670,L_PER,0),MATCH(R670,L_JENIS,0)),0))</f>
        <v/>
      </c>
      <c r="T670" s="11" t="n"/>
      <c r="U670" s="11" t="n"/>
      <c r="V670" s="10">
        <f>IF(AND(T670="",U670=""),"",IFERROR(INDEX(T_CAPAI,MATCH(T670,L_PER,0),MATCH(U670,L_KED,0)),0))</f>
        <v/>
      </c>
      <c r="W670" s="17">
        <f>IF(OR(B670="",E670="",COUNTA(F670,H670,J670:M670,O670,Q670:R670,T670:U670)=0),"",SUM(G670,I670,N670,P670,S670,V670))</f>
        <v/>
      </c>
      <c r="X670" s="18">
        <f>IF(W670="","",IF(Murid!F670="TL","TL",ROUND(W670/110*100,2)))</f>
        <v/>
      </c>
    </row>
    <row r="671">
      <c r="A671" s="15">
        <f>Murid!A671</f>
        <v/>
      </c>
      <c r="B671" s="15">
        <f>IF(Murid!B671="","",Murid!B671)</f>
        <v/>
      </c>
      <c r="C671" s="16">
        <f>IF(Murid!C671="","",Murid!C671)</f>
        <v/>
      </c>
      <c r="D671" s="15">
        <f>IF(Murid!E671="","",Murid!E671)</f>
        <v/>
      </c>
      <c r="E671" s="11" t="n"/>
      <c r="F671" s="11" t="n"/>
      <c r="G671" s="10">
        <f>IF(F671="","",IFERROR(VLOOKUP(F671,T_JKP,2,FALSE),0))</f>
        <v/>
      </c>
      <c r="H671" s="11" t="n"/>
      <c r="I671" s="17">
        <f>IF(H671="","",IF(H671&gt;=12,40,ROUND(H671*3.33,2)))</f>
        <v/>
      </c>
      <c r="J671" s="11" t="n"/>
      <c r="K671" s="11" t="n"/>
      <c r="L671" s="11" t="n"/>
      <c r="M671" s="11" t="n"/>
      <c r="N671" s="10">
        <f>IF(COUNTA(J671:M671)=0,"",MIN(10,SUMPRODUCT((COUNTIF(J671:M671,L_KOM)&gt;0)*S_KOM)))</f>
        <v/>
      </c>
      <c r="O671" s="11" t="n"/>
      <c r="P671" s="10">
        <f>IF(O671="","",IFERROR(VLOOKUP(O671,T_KHID,2,FALSE),0))</f>
        <v/>
      </c>
      <c r="Q671" s="11" t="n"/>
      <c r="R671" s="11" t="n"/>
      <c r="S671" s="10">
        <f>IF(AND(Q671="",R671=""),"",IFERROR(INDEX(T_LIBAT,MATCH(Q671,L_PER,0),MATCH(R671,L_JENIS,0)),0))</f>
        <v/>
      </c>
      <c r="T671" s="11" t="n"/>
      <c r="U671" s="11" t="n"/>
      <c r="V671" s="10">
        <f>IF(AND(T671="",U671=""),"",IFERROR(INDEX(T_CAPAI,MATCH(T671,L_PER,0),MATCH(U671,L_KED,0)),0))</f>
        <v/>
      </c>
      <c r="W671" s="17">
        <f>IF(OR(B671="",E671="",COUNTA(F671,H671,J671:M671,O671,Q671:R671,T671:U671)=0),"",SUM(G671,I671,N671,P671,S671,V671))</f>
        <v/>
      </c>
      <c r="X671" s="18">
        <f>IF(W671="","",IF(Murid!F671="TL","TL",ROUND(W671/110*100,2)))</f>
        <v/>
      </c>
    </row>
    <row r="672">
      <c r="A672" s="15">
        <f>Murid!A672</f>
        <v/>
      </c>
      <c r="B672" s="15">
        <f>IF(Murid!B672="","",Murid!B672)</f>
        <v/>
      </c>
      <c r="C672" s="16">
        <f>IF(Murid!C672="","",Murid!C672)</f>
        <v/>
      </c>
      <c r="D672" s="15">
        <f>IF(Murid!E672="","",Murid!E672)</f>
        <v/>
      </c>
      <c r="E672" s="11" t="n"/>
      <c r="F672" s="11" t="n"/>
      <c r="G672" s="10">
        <f>IF(F672="","",IFERROR(VLOOKUP(F672,T_JKP,2,FALSE),0))</f>
        <v/>
      </c>
      <c r="H672" s="11" t="n"/>
      <c r="I672" s="17">
        <f>IF(H672="","",IF(H672&gt;=12,40,ROUND(H672*3.33,2)))</f>
        <v/>
      </c>
      <c r="J672" s="11" t="n"/>
      <c r="K672" s="11" t="n"/>
      <c r="L672" s="11" t="n"/>
      <c r="M672" s="11" t="n"/>
      <c r="N672" s="10">
        <f>IF(COUNTA(J672:M672)=0,"",MIN(10,SUMPRODUCT((COUNTIF(J672:M672,L_KOM)&gt;0)*S_KOM)))</f>
        <v/>
      </c>
      <c r="O672" s="11" t="n"/>
      <c r="P672" s="10">
        <f>IF(O672="","",IFERROR(VLOOKUP(O672,T_KHID,2,FALSE),0))</f>
        <v/>
      </c>
      <c r="Q672" s="11" t="n"/>
      <c r="R672" s="11" t="n"/>
      <c r="S672" s="10">
        <f>IF(AND(Q672="",R672=""),"",IFERROR(INDEX(T_LIBAT,MATCH(Q672,L_PER,0),MATCH(R672,L_JENIS,0)),0))</f>
        <v/>
      </c>
      <c r="T672" s="11" t="n"/>
      <c r="U672" s="11" t="n"/>
      <c r="V672" s="10">
        <f>IF(AND(T672="",U672=""),"",IFERROR(INDEX(T_CAPAI,MATCH(T672,L_PER,0),MATCH(U672,L_KED,0)),0))</f>
        <v/>
      </c>
      <c r="W672" s="17">
        <f>IF(OR(B672="",E672="",COUNTA(F672,H672,J672:M672,O672,Q672:R672,T672:U672)=0),"",SUM(G672,I672,N672,P672,S672,V672))</f>
        <v/>
      </c>
      <c r="X672" s="18">
        <f>IF(W672="","",IF(Murid!F672="TL","TL",ROUND(W672/110*100,2)))</f>
        <v/>
      </c>
    </row>
    <row r="673">
      <c r="A673" s="15">
        <f>Murid!A673</f>
        <v/>
      </c>
      <c r="B673" s="15">
        <f>IF(Murid!B673="","",Murid!B673)</f>
        <v/>
      </c>
      <c r="C673" s="16">
        <f>IF(Murid!C673="","",Murid!C673)</f>
        <v/>
      </c>
      <c r="D673" s="15">
        <f>IF(Murid!E673="","",Murid!E673)</f>
        <v/>
      </c>
      <c r="E673" s="11" t="n"/>
      <c r="F673" s="11" t="n"/>
      <c r="G673" s="10">
        <f>IF(F673="","",IFERROR(VLOOKUP(F673,T_JKP,2,FALSE),0))</f>
        <v/>
      </c>
      <c r="H673" s="11" t="n"/>
      <c r="I673" s="17">
        <f>IF(H673="","",IF(H673&gt;=12,40,ROUND(H673*3.33,2)))</f>
        <v/>
      </c>
      <c r="J673" s="11" t="n"/>
      <c r="K673" s="11" t="n"/>
      <c r="L673" s="11" t="n"/>
      <c r="M673" s="11" t="n"/>
      <c r="N673" s="10">
        <f>IF(COUNTA(J673:M673)=0,"",MIN(10,SUMPRODUCT((COUNTIF(J673:M673,L_KOM)&gt;0)*S_KOM)))</f>
        <v/>
      </c>
      <c r="O673" s="11" t="n"/>
      <c r="P673" s="10">
        <f>IF(O673="","",IFERROR(VLOOKUP(O673,T_KHID,2,FALSE),0))</f>
        <v/>
      </c>
      <c r="Q673" s="11" t="n"/>
      <c r="R673" s="11" t="n"/>
      <c r="S673" s="10">
        <f>IF(AND(Q673="",R673=""),"",IFERROR(INDEX(T_LIBAT,MATCH(Q673,L_PER,0),MATCH(R673,L_JENIS,0)),0))</f>
        <v/>
      </c>
      <c r="T673" s="11" t="n"/>
      <c r="U673" s="11" t="n"/>
      <c r="V673" s="10">
        <f>IF(AND(T673="",U673=""),"",IFERROR(INDEX(T_CAPAI,MATCH(T673,L_PER,0),MATCH(U673,L_KED,0)),0))</f>
        <v/>
      </c>
      <c r="W673" s="17">
        <f>IF(OR(B673="",E673="",COUNTA(F673,H673,J673:M673,O673,Q673:R673,T673:U673)=0),"",SUM(G673,I673,N673,P673,S673,V673))</f>
        <v/>
      </c>
      <c r="X673" s="18">
        <f>IF(W673="","",IF(Murid!F673="TL","TL",ROUND(W673/110*100,2)))</f>
        <v/>
      </c>
    </row>
    <row r="674">
      <c r="A674" s="15">
        <f>Murid!A674</f>
        <v/>
      </c>
      <c r="B674" s="15">
        <f>IF(Murid!B674="","",Murid!B674)</f>
        <v/>
      </c>
      <c r="C674" s="16">
        <f>IF(Murid!C674="","",Murid!C674)</f>
        <v/>
      </c>
      <c r="D674" s="15">
        <f>IF(Murid!E674="","",Murid!E674)</f>
        <v/>
      </c>
      <c r="E674" s="11" t="n"/>
      <c r="F674" s="11" t="n"/>
      <c r="G674" s="10">
        <f>IF(F674="","",IFERROR(VLOOKUP(F674,T_JKP,2,FALSE),0))</f>
        <v/>
      </c>
      <c r="H674" s="11" t="n"/>
      <c r="I674" s="17">
        <f>IF(H674="","",IF(H674&gt;=12,40,ROUND(H674*3.33,2)))</f>
        <v/>
      </c>
      <c r="J674" s="11" t="n"/>
      <c r="K674" s="11" t="n"/>
      <c r="L674" s="11" t="n"/>
      <c r="M674" s="11" t="n"/>
      <c r="N674" s="10">
        <f>IF(COUNTA(J674:M674)=0,"",MIN(10,SUMPRODUCT((COUNTIF(J674:M674,L_KOM)&gt;0)*S_KOM)))</f>
        <v/>
      </c>
      <c r="O674" s="11" t="n"/>
      <c r="P674" s="10">
        <f>IF(O674="","",IFERROR(VLOOKUP(O674,T_KHID,2,FALSE),0))</f>
        <v/>
      </c>
      <c r="Q674" s="11" t="n"/>
      <c r="R674" s="11" t="n"/>
      <c r="S674" s="10">
        <f>IF(AND(Q674="",R674=""),"",IFERROR(INDEX(T_LIBAT,MATCH(Q674,L_PER,0),MATCH(R674,L_JENIS,0)),0))</f>
        <v/>
      </c>
      <c r="T674" s="11" t="n"/>
      <c r="U674" s="11" t="n"/>
      <c r="V674" s="10">
        <f>IF(AND(T674="",U674=""),"",IFERROR(INDEX(T_CAPAI,MATCH(T674,L_PER,0),MATCH(U674,L_KED,0)),0))</f>
        <v/>
      </c>
      <c r="W674" s="17">
        <f>IF(OR(B674="",E674="",COUNTA(F674,H674,J674:M674,O674,Q674:R674,T674:U674)=0),"",SUM(G674,I674,N674,P674,S674,V674))</f>
        <v/>
      </c>
      <c r="X674" s="18">
        <f>IF(W674="","",IF(Murid!F674="TL","TL",ROUND(W674/110*100,2)))</f>
        <v/>
      </c>
    </row>
    <row r="675">
      <c r="A675" s="15">
        <f>Murid!A675</f>
        <v/>
      </c>
      <c r="B675" s="15">
        <f>IF(Murid!B675="","",Murid!B675)</f>
        <v/>
      </c>
      <c r="C675" s="16">
        <f>IF(Murid!C675="","",Murid!C675)</f>
        <v/>
      </c>
      <c r="D675" s="15">
        <f>IF(Murid!E675="","",Murid!E675)</f>
        <v/>
      </c>
      <c r="E675" s="11" t="n"/>
      <c r="F675" s="11" t="n"/>
      <c r="G675" s="10">
        <f>IF(F675="","",IFERROR(VLOOKUP(F675,T_JKP,2,FALSE),0))</f>
        <v/>
      </c>
      <c r="H675" s="11" t="n"/>
      <c r="I675" s="17">
        <f>IF(H675="","",IF(H675&gt;=12,40,ROUND(H675*3.33,2)))</f>
        <v/>
      </c>
      <c r="J675" s="11" t="n"/>
      <c r="K675" s="11" t="n"/>
      <c r="L675" s="11" t="n"/>
      <c r="M675" s="11" t="n"/>
      <c r="N675" s="10">
        <f>IF(COUNTA(J675:M675)=0,"",MIN(10,SUMPRODUCT((COUNTIF(J675:M675,L_KOM)&gt;0)*S_KOM)))</f>
        <v/>
      </c>
      <c r="O675" s="11" t="n"/>
      <c r="P675" s="10">
        <f>IF(O675="","",IFERROR(VLOOKUP(O675,T_KHID,2,FALSE),0))</f>
        <v/>
      </c>
      <c r="Q675" s="11" t="n"/>
      <c r="R675" s="11" t="n"/>
      <c r="S675" s="10">
        <f>IF(AND(Q675="",R675=""),"",IFERROR(INDEX(T_LIBAT,MATCH(Q675,L_PER,0),MATCH(R675,L_JENIS,0)),0))</f>
        <v/>
      </c>
      <c r="T675" s="11" t="n"/>
      <c r="U675" s="11" t="n"/>
      <c r="V675" s="10">
        <f>IF(AND(T675="",U675=""),"",IFERROR(INDEX(T_CAPAI,MATCH(T675,L_PER,0),MATCH(U675,L_KED,0)),0))</f>
        <v/>
      </c>
      <c r="W675" s="17">
        <f>IF(OR(B675="",E675="",COUNTA(F675,H675,J675:M675,O675,Q675:R675,T675:U675)=0),"",SUM(G675,I675,N675,P675,S675,V675))</f>
        <v/>
      </c>
      <c r="X675" s="18">
        <f>IF(W675="","",IF(Murid!F675="TL","TL",ROUND(W675/110*100,2)))</f>
        <v/>
      </c>
    </row>
    <row r="676">
      <c r="A676" s="15">
        <f>Murid!A676</f>
        <v/>
      </c>
      <c r="B676" s="15">
        <f>IF(Murid!B676="","",Murid!B676)</f>
        <v/>
      </c>
      <c r="C676" s="16">
        <f>IF(Murid!C676="","",Murid!C676)</f>
        <v/>
      </c>
      <c r="D676" s="15">
        <f>IF(Murid!E676="","",Murid!E676)</f>
        <v/>
      </c>
      <c r="E676" s="11" t="n"/>
      <c r="F676" s="11" t="n"/>
      <c r="G676" s="10">
        <f>IF(F676="","",IFERROR(VLOOKUP(F676,T_JKP,2,FALSE),0))</f>
        <v/>
      </c>
      <c r="H676" s="11" t="n"/>
      <c r="I676" s="17">
        <f>IF(H676="","",IF(H676&gt;=12,40,ROUND(H676*3.33,2)))</f>
        <v/>
      </c>
      <c r="J676" s="11" t="n"/>
      <c r="K676" s="11" t="n"/>
      <c r="L676" s="11" t="n"/>
      <c r="M676" s="11" t="n"/>
      <c r="N676" s="10">
        <f>IF(COUNTA(J676:M676)=0,"",MIN(10,SUMPRODUCT((COUNTIF(J676:M676,L_KOM)&gt;0)*S_KOM)))</f>
        <v/>
      </c>
      <c r="O676" s="11" t="n"/>
      <c r="P676" s="10">
        <f>IF(O676="","",IFERROR(VLOOKUP(O676,T_KHID,2,FALSE),0))</f>
        <v/>
      </c>
      <c r="Q676" s="11" t="n"/>
      <c r="R676" s="11" t="n"/>
      <c r="S676" s="10">
        <f>IF(AND(Q676="",R676=""),"",IFERROR(INDEX(T_LIBAT,MATCH(Q676,L_PER,0),MATCH(R676,L_JENIS,0)),0))</f>
        <v/>
      </c>
      <c r="T676" s="11" t="n"/>
      <c r="U676" s="11" t="n"/>
      <c r="V676" s="10">
        <f>IF(AND(T676="",U676=""),"",IFERROR(INDEX(T_CAPAI,MATCH(T676,L_PER,0),MATCH(U676,L_KED,0)),0))</f>
        <v/>
      </c>
      <c r="W676" s="17">
        <f>IF(OR(B676="",E676="",COUNTA(F676,H676,J676:M676,O676,Q676:R676,T676:U676)=0),"",SUM(G676,I676,N676,P676,S676,V676))</f>
        <v/>
      </c>
      <c r="X676" s="18">
        <f>IF(W676="","",IF(Murid!F676="TL","TL",ROUND(W676/110*100,2)))</f>
        <v/>
      </c>
    </row>
    <row r="677">
      <c r="A677" s="15">
        <f>Murid!A677</f>
        <v/>
      </c>
      <c r="B677" s="15">
        <f>IF(Murid!B677="","",Murid!B677)</f>
        <v/>
      </c>
      <c r="C677" s="16">
        <f>IF(Murid!C677="","",Murid!C677)</f>
        <v/>
      </c>
      <c r="D677" s="15">
        <f>IF(Murid!E677="","",Murid!E677)</f>
        <v/>
      </c>
      <c r="E677" s="11" t="n"/>
      <c r="F677" s="11" t="n"/>
      <c r="G677" s="10">
        <f>IF(F677="","",IFERROR(VLOOKUP(F677,T_JKP,2,FALSE),0))</f>
        <v/>
      </c>
      <c r="H677" s="11" t="n"/>
      <c r="I677" s="17">
        <f>IF(H677="","",IF(H677&gt;=12,40,ROUND(H677*3.33,2)))</f>
        <v/>
      </c>
      <c r="J677" s="11" t="n"/>
      <c r="K677" s="11" t="n"/>
      <c r="L677" s="11" t="n"/>
      <c r="M677" s="11" t="n"/>
      <c r="N677" s="10">
        <f>IF(COUNTA(J677:M677)=0,"",MIN(10,SUMPRODUCT((COUNTIF(J677:M677,L_KOM)&gt;0)*S_KOM)))</f>
        <v/>
      </c>
      <c r="O677" s="11" t="n"/>
      <c r="P677" s="10">
        <f>IF(O677="","",IFERROR(VLOOKUP(O677,T_KHID,2,FALSE),0))</f>
        <v/>
      </c>
      <c r="Q677" s="11" t="n"/>
      <c r="R677" s="11" t="n"/>
      <c r="S677" s="10">
        <f>IF(AND(Q677="",R677=""),"",IFERROR(INDEX(T_LIBAT,MATCH(Q677,L_PER,0),MATCH(R677,L_JENIS,0)),0))</f>
        <v/>
      </c>
      <c r="T677" s="11" t="n"/>
      <c r="U677" s="11" t="n"/>
      <c r="V677" s="10">
        <f>IF(AND(T677="",U677=""),"",IFERROR(INDEX(T_CAPAI,MATCH(T677,L_PER,0),MATCH(U677,L_KED,0)),0))</f>
        <v/>
      </c>
      <c r="W677" s="17">
        <f>IF(OR(B677="",E677="",COUNTA(F677,H677,J677:M677,O677,Q677:R677,T677:U677)=0),"",SUM(G677,I677,N677,P677,S677,V677))</f>
        <v/>
      </c>
      <c r="X677" s="18">
        <f>IF(W677="","",IF(Murid!F677="TL","TL",ROUND(W677/110*100,2)))</f>
        <v/>
      </c>
    </row>
    <row r="678">
      <c r="A678" s="15">
        <f>Murid!A678</f>
        <v/>
      </c>
      <c r="B678" s="15">
        <f>IF(Murid!B678="","",Murid!B678)</f>
        <v/>
      </c>
      <c r="C678" s="16">
        <f>IF(Murid!C678="","",Murid!C678)</f>
        <v/>
      </c>
      <c r="D678" s="15">
        <f>IF(Murid!E678="","",Murid!E678)</f>
        <v/>
      </c>
      <c r="E678" s="11" t="n"/>
      <c r="F678" s="11" t="n"/>
      <c r="G678" s="10">
        <f>IF(F678="","",IFERROR(VLOOKUP(F678,T_JKP,2,FALSE),0))</f>
        <v/>
      </c>
      <c r="H678" s="11" t="n"/>
      <c r="I678" s="17">
        <f>IF(H678="","",IF(H678&gt;=12,40,ROUND(H678*3.33,2)))</f>
        <v/>
      </c>
      <c r="J678" s="11" t="n"/>
      <c r="K678" s="11" t="n"/>
      <c r="L678" s="11" t="n"/>
      <c r="M678" s="11" t="n"/>
      <c r="N678" s="10">
        <f>IF(COUNTA(J678:M678)=0,"",MIN(10,SUMPRODUCT((COUNTIF(J678:M678,L_KOM)&gt;0)*S_KOM)))</f>
        <v/>
      </c>
      <c r="O678" s="11" t="n"/>
      <c r="P678" s="10">
        <f>IF(O678="","",IFERROR(VLOOKUP(O678,T_KHID,2,FALSE),0))</f>
        <v/>
      </c>
      <c r="Q678" s="11" t="n"/>
      <c r="R678" s="11" t="n"/>
      <c r="S678" s="10">
        <f>IF(AND(Q678="",R678=""),"",IFERROR(INDEX(T_LIBAT,MATCH(Q678,L_PER,0),MATCH(R678,L_JENIS,0)),0))</f>
        <v/>
      </c>
      <c r="T678" s="11" t="n"/>
      <c r="U678" s="11" t="n"/>
      <c r="V678" s="10">
        <f>IF(AND(T678="",U678=""),"",IFERROR(INDEX(T_CAPAI,MATCH(T678,L_PER,0),MATCH(U678,L_KED,0)),0))</f>
        <v/>
      </c>
      <c r="W678" s="17">
        <f>IF(OR(B678="",E678="",COUNTA(F678,H678,J678:M678,O678,Q678:R678,T678:U678)=0),"",SUM(G678,I678,N678,P678,S678,V678))</f>
        <v/>
      </c>
      <c r="X678" s="18">
        <f>IF(W678="","",IF(Murid!F678="TL","TL",ROUND(W678/110*100,2)))</f>
        <v/>
      </c>
    </row>
    <row r="679">
      <c r="A679" s="15">
        <f>Murid!A679</f>
        <v/>
      </c>
      <c r="B679" s="15">
        <f>IF(Murid!B679="","",Murid!B679)</f>
        <v/>
      </c>
      <c r="C679" s="16">
        <f>IF(Murid!C679="","",Murid!C679)</f>
        <v/>
      </c>
      <c r="D679" s="15">
        <f>IF(Murid!E679="","",Murid!E679)</f>
        <v/>
      </c>
      <c r="E679" s="11" t="n"/>
      <c r="F679" s="11" t="n"/>
      <c r="G679" s="10">
        <f>IF(F679="","",IFERROR(VLOOKUP(F679,T_JKP,2,FALSE),0))</f>
        <v/>
      </c>
      <c r="H679" s="11" t="n"/>
      <c r="I679" s="17">
        <f>IF(H679="","",IF(H679&gt;=12,40,ROUND(H679*3.33,2)))</f>
        <v/>
      </c>
      <c r="J679" s="11" t="n"/>
      <c r="K679" s="11" t="n"/>
      <c r="L679" s="11" t="n"/>
      <c r="M679" s="11" t="n"/>
      <c r="N679" s="10">
        <f>IF(COUNTA(J679:M679)=0,"",MIN(10,SUMPRODUCT((COUNTIF(J679:M679,L_KOM)&gt;0)*S_KOM)))</f>
        <v/>
      </c>
      <c r="O679" s="11" t="n"/>
      <c r="P679" s="10">
        <f>IF(O679="","",IFERROR(VLOOKUP(O679,T_KHID,2,FALSE),0))</f>
        <v/>
      </c>
      <c r="Q679" s="11" t="n"/>
      <c r="R679" s="11" t="n"/>
      <c r="S679" s="10">
        <f>IF(AND(Q679="",R679=""),"",IFERROR(INDEX(T_LIBAT,MATCH(Q679,L_PER,0),MATCH(R679,L_JENIS,0)),0))</f>
        <v/>
      </c>
      <c r="T679" s="11" t="n"/>
      <c r="U679" s="11" t="n"/>
      <c r="V679" s="10">
        <f>IF(AND(T679="",U679=""),"",IFERROR(INDEX(T_CAPAI,MATCH(T679,L_PER,0),MATCH(U679,L_KED,0)),0))</f>
        <v/>
      </c>
      <c r="W679" s="17">
        <f>IF(OR(B679="",E679="",COUNTA(F679,H679,J679:M679,O679,Q679:R679,T679:U679)=0),"",SUM(G679,I679,N679,P679,S679,V679))</f>
        <v/>
      </c>
      <c r="X679" s="18">
        <f>IF(W679="","",IF(Murid!F679="TL","TL",ROUND(W679/110*100,2)))</f>
        <v/>
      </c>
    </row>
    <row r="680">
      <c r="A680" s="15">
        <f>Murid!A680</f>
        <v/>
      </c>
      <c r="B680" s="15">
        <f>IF(Murid!B680="","",Murid!B680)</f>
        <v/>
      </c>
      <c r="C680" s="16">
        <f>IF(Murid!C680="","",Murid!C680)</f>
        <v/>
      </c>
      <c r="D680" s="15">
        <f>IF(Murid!E680="","",Murid!E680)</f>
        <v/>
      </c>
      <c r="E680" s="11" t="n"/>
      <c r="F680" s="11" t="n"/>
      <c r="G680" s="10">
        <f>IF(F680="","",IFERROR(VLOOKUP(F680,T_JKP,2,FALSE),0))</f>
        <v/>
      </c>
      <c r="H680" s="11" t="n"/>
      <c r="I680" s="17">
        <f>IF(H680="","",IF(H680&gt;=12,40,ROUND(H680*3.33,2)))</f>
        <v/>
      </c>
      <c r="J680" s="11" t="n"/>
      <c r="K680" s="11" t="n"/>
      <c r="L680" s="11" t="n"/>
      <c r="M680" s="11" t="n"/>
      <c r="N680" s="10">
        <f>IF(COUNTA(J680:M680)=0,"",MIN(10,SUMPRODUCT((COUNTIF(J680:M680,L_KOM)&gt;0)*S_KOM)))</f>
        <v/>
      </c>
      <c r="O680" s="11" t="n"/>
      <c r="P680" s="10">
        <f>IF(O680="","",IFERROR(VLOOKUP(O680,T_KHID,2,FALSE),0))</f>
        <v/>
      </c>
      <c r="Q680" s="11" t="n"/>
      <c r="R680" s="11" t="n"/>
      <c r="S680" s="10">
        <f>IF(AND(Q680="",R680=""),"",IFERROR(INDEX(T_LIBAT,MATCH(Q680,L_PER,0),MATCH(R680,L_JENIS,0)),0))</f>
        <v/>
      </c>
      <c r="T680" s="11" t="n"/>
      <c r="U680" s="11" t="n"/>
      <c r="V680" s="10">
        <f>IF(AND(T680="",U680=""),"",IFERROR(INDEX(T_CAPAI,MATCH(T680,L_PER,0),MATCH(U680,L_KED,0)),0))</f>
        <v/>
      </c>
      <c r="W680" s="17">
        <f>IF(OR(B680="",E680="",COUNTA(F680,H680,J680:M680,O680,Q680:R680,T680:U680)=0),"",SUM(G680,I680,N680,P680,S680,V680))</f>
        <v/>
      </c>
      <c r="X680" s="18">
        <f>IF(W680="","",IF(Murid!F680="TL","TL",ROUND(W680/110*100,2)))</f>
        <v/>
      </c>
    </row>
    <row r="681">
      <c r="A681" s="15">
        <f>Murid!A681</f>
        <v/>
      </c>
      <c r="B681" s="15">
        <f>IF(Murid!B681="","",Murid!B681)</f>
        <v/>
      </c>
      <c r="C681" s="16">
        <f>IF(Murid!C681="","",Murid!C681)</f>
        <v/>
      </c>
      <c r="D681" s="15">
        <f>IF(Murid!E681="","",Murid!E681)</f>
        <v/>
      </c>
      <c r="E681" s="11" t="n"/>
      <c r="F681" s="11" t="n"/>
      <c r="G681" s="10">
        <f>IF(F681="","",IFERROR(VLOOKUP(F681,T_JKP,2,FALSE),0))</f>
        <v/>
      </c>
      <c r="H681" s="11" t="n"/>
      <c r="I681" s="17">
        <f>IF(H681="","",IF(H681&gt;=12,40,ROUND(H681*3.33,2)))</f>
        <v/>
      </c>
      <c r="J681" s="11" t="n"/>
      <c r="K681" s="11" t="n"/>
      <c r="L681" s="11" t="n"/>
      <c r="M681" s="11" t="n"/>
      <c r="N681" s="10">
        <f>IF(COUNTA(J681:M681)=0,"",MIN(10,SUMPRODUCT((COUNTIF(J681:M681,L_KOM)&gt;0)*S_KOM)))</f>
        <v/>
      </c>
      <c r="O681" s="11" t="n"/>
      <c r="P681" s="10">
        <f>IF(O681="","",IFERROR(VLOOKUP(O681,T_KHID,2,FALSE),0))</f>
        <v/>
      </c>
      <c r="Q681" s="11" t="n"/>
      <c r="R681" s="11" t="n"/>
      <c r="S681" s="10">
        <f>IF(AND(Q681="",R681=""),"",IFERROR(INDEX(T_LIBAT,MATCH(Q681,L_PER,0),MATCH(R681,L_JENIS,0)),0))</f>
        <v/>
      </c>
      <c r="T681" s="11" t="n"/>
      <c r="U681" s="11" t="n"/>
      <c r="V681" s="10">
        <f>IF(AND(T681="",U681=""),"",IFERROR(INDEX(T_CAPAI,MATCH(T681,L_PER,0),MATCH(U681,L_KED,0)),0))</f>
        <v/>
      </c>
      <c r="W681" s="17">
        <f>IF(OR(B681="",E681="",COUNTA(F681,H681,J681:M681,O681,Q681:R681,T681:U681)=0),"",SUM(G681,I681,N681,P681,S681,V681))</f>
        <v/>
      </c>
      <c r="X681" s="18">
        <f>IF(W681="","",IF(Murid!F681="TL","TL",ROUND(W681/110*100,2)))</f>
        <v/>
      </c>
    </row>
    <row r="682">
      <c r="A682" s="15">
        <f>Murid!A682</f>
        <v/>
      </c>
      <c r="B682" s="15">
        <f>IF(Murid!B682="","",Murid!B682)</f>
        <v/>
      </c>
      <c r="C682" s="16">
        <f>IF(Murid!C682="","",Murid!C682)</f>
        <v/>
      </c>
      <c r="D682" s="15">
        <f>IF(Murid!E682="","",Murid!E682)</f>
        <v/>
      </c>
      <c r="E682" s="11" t="n"/>
      <c r="F682" s="11" t="n"/>
      <c r="G682" s="10">
        <f>IF(F682="","",IFERROR(VLOOKUP(F682,T_JKP,2,FALSE),0))</f>
        <v/>
      </c>
      <c r="H682" s="11" t="n"/>
      <c r="I682" s="17">
        <f>IF(H682="","",IF(H682&gt;=12,40,ROUND(H682*3.33,2)))</f>
        <v/>
      </c>
      <c r="J682" s="11" t="n"/>
      <c r="K682" s="11" t="n"/>
      <c r="L682" s="11" t="n"/>
      <c r="M682" s="11" t="n"/>
      <c r="N682" s="10">
        <f>IF(COUNTA(J682:M682)=0,"",MIN(10,SUMPRODUCT((COUNTIF(J682:M682,L_KOM)&gt;0)*S_KOM)))</f>
        <v/>
      </c>
      <c r="O682" s="11" t="n"/>
      <c r="P682" s="10">
        <f>IF(O682="","",IFERROR(VLOOKUP(O682,T_KHID,2,FALSE),0))</f>
        <v/>
      </c>
      <c r="Q682" s="11" t="n"/>
      <c r="R682" s="11" t="n"/>
      <c r="S682" s="10">
        <f>IF(AND(Q682="",R682=""),"",IFERROR(INDEX(T_LIBAT,MATCH(Q682,L_PER,0),MATCH(R682,L_JENIS,0)),0))</f>
        <v/>
      </c>
      <c r="T682" s="11" t="n"/>
      <c r="U682" s="11" t="n"/>
      <c r="V682" s="10">
        <f>IF(AND(T682="",U682=""),"",IFERROR(INDEX(T_CAPAI,MATCH(T682,L_PER,0),MATCH(U682,L_KED,0)),0))</f>
        <v/>
      </c>
      <c r="W682" s="17">
        <f>IF(OR(B682="",E682="",COUNTA(F682,H682,J682:M682,O682,Q682:R682,T682:U682)=0),"",SUM(G682,I682,N682,P682,S682,V682))</f>
        <v/>
      </c>
      <c r="X682" s="18">
        <f>IF(W682="","",IF(Murid!F682="TL","TL",ROUND(W682/110*100,2)))</f>
        <v/>
      </c>
    </row>
    <row r="683">
      <c r="A683" s="15">
        <f>Murid!A683</f>
        <v/>
      </c>
      <c r="B683" s="15">
        <f>IF(Murid!B683="","",Murid!B683)</f>
        <v/>
      </c>
      <c r="C683" s="16">
        <f>IF(Murid!C683="","",Murid!C683)</f>
        <v/>
      </c>
      <c r="D683" s="15">
        <f>IF(Murid!E683="","",Murid!E683)</f>
        <v/>
      </c>
      <c r="E683" s="11" t="n"/>
      <c r="F683" s="11" t="n"/>
      <c r="G683" s="10">
        <f>IF(F683="","",IFERROR(VLOOKUP(F683,T_JKP,2,FALSE),0))</f>
        <v/>
      </c>
      <c r="H683" s="11" t="n"/>
      <c r="I683" s="17">
        <f>IF(H683="","",IF(H683&gt;=12,40,ROUND(H683*3.33,2)))</f>
        <v/>
      </c>
      <c r="J683" s="11" t="n"/>
      <c r="K683" s="11" t="n"/>
      <c r="L683" s="11" t="n"/>
      <c r="M683" s="11" t="n"/>
      <c r="N683" s="10">
        <f>IF(COUNTA(J683:M683)=0,"",MIN(10,SUMPRODUCT((COUNTIF(J683:M683,L_KOM)&gt;0)*S_KOM)))</f>
        <v/>
      </c>
      <c r="O683" s="11" t="n"/>
      <c r="P683" s="10">
        <f>IF(O683="","",IFERROR(VLOOKUP(O683,T_KHID,2,FALSE),0))</f>
        <v/>
      </c>
      <c r="Q683" s="11" t="n"/>
      <c r="R683" s="11" t="n"/>
      <c r="S683" s="10">
        <f>IF(AND(Q683="",R683=""),"",IFERROR(INDEX(T_LIBAT,MATCH(Q683,L_PER,0),MATCH(R683,L_JENIS,0)),0))</f>
        <v/>
      </c>
      <c r="T683" s="11" t="n"/>
      <c r="U683" s="11" t="n"/>
      <c r="V683" s="10">
        <f>IF(AND(T683="",U683=""),"",IFERROR(INDEX(T_CAPAI,MATCH(T683,L_PER,0),MATCH(U683,L_KED,0)),0))</f>
        <v/>
      </c>
      <c r="W683" s="17">
        <f>IF(OR(B683="",E683="",COUNTA(F683,H683,J683:M683,O683,Q683:R683,T683:U683)=0),"",SUM(G683,I683,N683,P683,S683,V683))</f>
        <v/>
      </c>
      <c r="X683" s="18">
        <f>IF(W683="","",IF(Murid!F683="TL","TL",ROUND(W683/110*100,2)))</f>
        <v/>
      </c>
    </row>
    <row r="684">
      <c r="A684" s="15">
        <f>Murid!A684</f>
        <v/>
      </c>
      <c r="B684" s="15">
        <f>IF(Murid!B684="","",Murid!B684)</f>
        <v/>
      </c>
      <c r="C684" s="16">
        <f>IF(Murid!C684="","",Murid!C684)</f>
        <v/>
      </c>
      <c r="D684" s="15">
        <f>IF(Murid!E684="","",Murid!E684)</f>
        <v/>
      </c>
      <c r="E684" s="11" t="n"/>
      <c r="F684" s="11" t="n"/>
      <c r="G684" s="10">
        <f>IF(F684="","",IFERROR(VLOOKUP(F684,T_JKP,2,FALSE),0))</f>
        <v/>
      </c>
      <c r="H684" s="11" t="n"/>
      <c r="I684" s="17">
        <f>IF(H684="","",IF(H684&gt;=12,40,ROUND(H684*3.33,2)))</f>
        <v/>
      </c>
      <c r="J684" s="11" t="n"/>
      <c r="K684" s="11" t="n"/>
      <c r="L684" s="11" t="n"/>
      <c r="M684" s="11" t="n"/>
      <c r="N684" s="10">
        <f>IF(COUNTA(J684:M684)=0,"",MIN(10,SUMPRODUCT((COUNTIF(J684:M684,L_KOM)&gt;0)*S_KOM)))</f>
        <v/>
      </c>
      <c r="O684" s="11" t="n"/>
      <c r="P684" s="10">
        <f>IF(O684="","",IFERROR(VLOOKUP(O684,T_KHID,2,FALSE),0))</f>
        <v/>
      </c>
      <c r="Q684" s="11" t="n"/>
      <c r="R684" s="11" t="n"/>
      <c r="S684" s="10">
        <f>IF(AND(Q684="",R684=""),"",IFERROR(INDEX(T_LIBAT,MATCH(Q684,L_PER,0),MATCH(R684,L_JENIS,0)),0))</f>
        <v/>
      </c>
      <c r="T684" s="11" t="n"/>
      <c r="U684" s="11" t="n"/>
      <c r="V684" s="10">
        <f>IF(AND(T684="",U684=""),"",IFERROR(INDEX(T_CAPAI,MATCH(T684,L_PER,0),MATCH(U684,L_KED,0)),0))</f>
        <v/>
      </c>
      <c r="W684" s="17">
        <f>IF(OR(B684="",E684="",COUNTA(F684,H684,J684:M684,O684,Q684:R684,T684:U684)=0),"",SUM(G684,I684,N684,P684,S684,V684))</f>
        <v/>
      </c>
      <c r="X684" s="18">
        <f>IF(W684="","",IF(Murid!F684="TL","TL",ROUND(W684/110*100,2)))</f>
        <v/>
      </c>
    </row>
    <row r="685">
      <c r="A685" s="15">
        <f>Murid!A685</f>
        <v/>
      </c>
      <c r="B685" s="15">
        <f>IF(Murid!B685="","",Murid!B685)</f>
        <v/>
      </c>
      <c r="C685" s="16">
        <f>IF(Murid!C685="","",Murid!C685)</f>
        <v/>
      </c>
      <c r="D685" s="15">
        <f>IF(Murid!E685="","",Murid!E685)</f>
        <v/>
      </c>
      <c r="E685" s="11" t="n"/>
      <c r="F685" s="11" t="n"/>
      <c r="G685" s="10">
        <f>IF(F685="","",IFERROR(VLOOKUP(F685,T_JKP,2,FALSE),0))</f>
        <v/>
      </c>
      <c r="H685" s="11" t="n"/>
      <c r="I685" s="17">
        <f>IF(H685="","",IF(H685&gt;=12,40,ROUND(H685*3.33,2)))</f>
        <v/>
      </c>
      <c r="J685" s="11" t="n"/>
      <c r="K685" s="11" t="n"/>
      <c r="L685" s="11" t="n"/>
      <c r="M685" s="11" t="n"/>
      <c r="N685" s="10">
        <f>IF(COUNTA(J685:M685)=0,"",MIN(10,SUMPRODUCT((COUNTIF(J685:M685,L_KOM)&gt;0)*S_KOM)))</f>
        <v/>
      </c>
      <c r="O685" s="11" t="n"/>
      <c r="P685" s="10">
        <f>IF(O685="","",IFERROR(VLOOKUP(O685,T_KHID,2,FALSE),0))</f>
        <v/>
      </c>
      <c r="Q685" s="11" t="n"/>
      <c r="R685" s="11" t="n"/>
      <c r="S685" s="10">
        <f>IF(AND(Q685="",R685=""),"",IFERROR(INDEX(T_LIBAT,MATCH(Q685,L_PER,0),MATCH(R685,L_JENIS,0)),0))</f>
        <v/>
      </c>
      <c r="T685" s="11" t="n"/>
      <c r="U685" s="11" t="n"/>
      <c r="V685" s="10">
        <f>IF(AND(T685="",U685=""),"",IFERROR(INDEX(T_CAPAI,MATCH(T685,L_PER,0),MATCH(U685,L_KED,0)),0))</f>
        <v/>
      </c>
      <c r="W685" s="17">
        <f>IF(OR(B685="",E685="",COUNTA(F685,H685,J685:M685,O685,Q685:R685,T685:U685)=0),"",SUM(G685,I685,N685,P685,S685,V685))</f>
        <v/>
      </c>
      <c r="X685" s="18">
        <f>IF(W685="","",IF(Murid!F685="TL","TL",ROUND(W685/110*100,2)))</f>
        <v/>
      </c>
    </row>
    <row r="686">
      <c r="A686" s="15">
        <f>Murid!A686</f>
        <v/>
      </c>
      <c r="B686" s="15">
        <f>IF(Murid!B686="","",Murid!B686)</f>
        <v/>
      </c>
      <c r="C686" s="16">
        <f>IF(Murid!C686="","",Murid!C686)</f>
        <v/>
      </c>
      <c r="D686" s="15">
        <f>IF(Murid!E686="","",Murid!E686)</f>
        <v/>
      </c>
      <c r="E686" s="11" t="n"/>
      <c r="F686" s="11" t="n"/>
      <c r="G686" s="10">
        <f>IF(F686="","",IFERROR(VLOOKUP(F686,T_JKP,2,FALSE),0))</f>
        <v/>
      </c>
      <c r="H686" s="11" t="n"/>
      <c r="I686" s="17">
        <f>IF(H686="","",IF(H686&gt;=12,40,ROUND(H686*3.33,2)))</f>
        <v/>
      </c>
      <c r="J686" s="11" t="n"/>
      <c r="K686" s="11" t="n"/>
      <c r="L686" s="11" t="n"/>
      <c r="M686" s="11" t="n"/>
      <c r="N686" s="10">
        <f>IF(COUNTA(J686:M686)=0,"",MIN(10,SUMPRODUCT((COUNTIF(J686:M686,L_KOM)&gt;0)*S_KOM)))</f>
        <v/>
      </c>
      <c r="O686" s="11" t="n"/>
      <c r="P686" s="10">
        <f>IF(O686="","",IFERROR(VLOOKUP(O686,T_KHID,2,FALSE),0))</f>
        <v/>
      </c>
      <c r="Q686" s="11" t="n"/>
      <c r="R686" s="11" t="n"/>
      <c r="S686" s="10">
        <f>IF(AND(Q686="",R686=""),"",IFERROR(INDEX(T_LIBAT,MATCH(Q686,L_PER,0),MATCH(R686,L_JENIS,0)),0))</f>
        <v/>
      </c>
      <c r="T686" s="11" t="n"/>
      <c r="U686" s="11" t="n"/>
      <c r="V686" s="10">
        <f>IF(AND(T686="",U686=""),"",IFERROR(INDEX(T_CAPAI,MATCH(T686,L_PER,0),MATCH(U686,L_KED,0)),0))</f>
        <v/>
      </c>
      <c r="W686" s="17">
        <f>IF(OR(B686="",E686="",COUNTA(F686,H686,J686:M686,O686,Q686:R686,T686:U686)=0),"",SUM(G686,I686,N686,P686,S686,V686))</f>
        <v/>
      </c>
      <c r="X686" s="18">
        <f>IF(W686="","",IF(Murid!F686="TL","TL",ROUND(W686/110*100,2)))</f>
        <v/>
      </c>
    </row>
    <row r="687">
      <c r="A687" s="15">
        <f>Murid!A687</f>
        <v/>
      </c>
      <c r="B687" s="15">
        <f>IF(Murid!B687="","",Murid!B687)</f>
        <v/>
      </c>
      <c r="C687" s="16">
        <f>IF(Murid!C687="","",Murid!C687)</f>
        <v/>
      </c>
      <c r="D687" s="15">
        <f>IF(Murid!E687="","",Murid!E687)</f>
        <v/>
      </c>
      <c r="E687" s="11" t="n"/>
      <c r="F687" s="11" t="n"/>
      <c r="G687" s="10">
        <f>IF(F687="","",IFERROR(VLOOKUP(F687,T_JKP,2,FALSE),0))</f>
        <v/>
      </c>
      <c r="H687" s="11" t="n"/>
      <c r="I687" s="17">
        <f>IF(H687="","",IF(H687&gt;=12,40,ROUND(H687*3.33,2)))</f>
        <v/>
      </c>
      <c r="J687" s="11" t="n"/>
      <c r="K687" s="11" t="n"/>
      <c r="L687" s="11" t="n"/>
      <c r="M687" s="11" t="n"/>
      <c r="N687" s="10">
        <f>IF(COUNTA(J687:M687)=0,"",MIN(10,SUMPRODUCT((COUNTIF(J687:M687,L_KOM)&gt;0)*S_KOM)))</f>
        <v/>
      </c>
      <c r="O687" s="11" t="n"/>
      <c r="P687" s="10">
        <f>IF(O687="","",IFERROR(VLOOKUP(O687,T_KHID,2,FALSE),0))</f>
        <v/>
      </c>
      <c r="Q687" s="11" t="n"/>
      <c r="R687" s="11" t="n"/>
      <c r="S687" s="10">
        <f>IF(AND(Q687="",R687=""),"",IFERROR(INDEX(T_LIBAT,MATCH(Q687,L_PER,0),MATCH(R687,L_JENIS,0)),0))</f>
        <v/>
      </c>
      <c r="T687" s="11" t="n"/>
      <c r="U687" s="11" t="n"/>
      <c r="V687" s="10">
        <f>IF(AND(T687="",U687=""),"",IFERROR(INDEX(T_CAPAI,MATCH(T687,L_PER,0),MATCH(U687,L_KED,0)),0))</f>
        <v/>
      </c>
      <c r="W687" s="17">
        <f>IF(OR(B687="",E687="",COUNTA(F687,H687,J687:M687,O687,Q687:R687,T687:U687)=0),"",SUM(G687,I687,N687,P687,S687,V687))</f>
        <v/>
      </c>
      <c r="X687" s="18">
        <f>IF(W687="","",IF(Murid!F687="TL","TL",ROUND(W687/110*100,2)))</f>
        <v/>
      </c>
    </row>
    <row r="688">
      <c r="A688" s="15">
        <f>Murid!A688</f>
        <v/>
      </c>
      <c r="B688" s="15">
        <f>IF(Murid!B688="","",Murid!B688)</f>
        <v/>
      </c>
      <c r="C688" s="16">
        <f>IF(Murid!C688="","",Murid!C688)</f>
        <v/>
      </c>
      <c r="D688" s="15">
        <f>IF(Murid!E688="","",Murid!E688)</f>
        <v/>
      </c>
      <c r="E688" s="11" t="n"/>
      <c r="F688" s="11" t="n"/>
      <c r="G688" s="10">
        <f>IF(F688="","",IFERROR(VLOOKUP(F688,T_JKP,2,FALSE),0))</f>
        <v/>
      </c>
      <c r="H688" s="11" t="n"/>
      <c r="I688" s="17">
        <f>IF(H688="","",IF(H688&gt;=12,40,ROUND(H688*3.33,2)))</f>
        <v/>
      </c>
      <c r="J688" s="11" t="n"/>
      <c r="K688" s="11" t="n"/>
      <c r="L688" s="11" t="n"/>
      <c r="M688" s="11" t="n"/>
      <c r="N688" s="10">
        <f>IF(COUNTA(J688:M688)=0,"",MIN(10,SUMPRODUCT((COUNTIF(J688:M688,L_KOM)&gt;0)*S_KOM)))</f>
        <v/>
      </c>
      <c r="O688" s="11" t="n"/>
      <c r="P688" s="10">
        <f>IF(O688="","",IFERROR(VLOOKUP(O688,T_KHID,2,FALSE),0))</f>
        <v/>
      </c>
      <c r="Q688" s="11" t="n"/>
      <c r="R688" s="11" t="n"/>
      <c r="S688" s="10">
        <f>IF(AND(Q688="",R688=""),"",IFERROR(INDEX(T_LIBAT,MATCH(Q688,L_PER,0),MATCH(R688,L_JENIS,0)),0))</f>
        <v/>
      </c>
      <c r="T688" s="11" t="n"/>
      <c r="U688" s="11" t="n"/>
      <c r="V688" s="10">
        <f>IF(AND(T688="",U688=""),"",IFERROR(INDEX(T_CAPAI,MATCH(T688,L_PER,0),MATCH(U688,L_KED,0)),0))</f>
        <v/>
      </c>
      <c r="W688" s="17">
        <f>IF(OR(B688="",E688="",COUNTA(F688,H688,J688:M688,O688,Q688:R688,T688:U688)=0),"",SUM(G688,I688,N688,P688,S688,V688))</f>
        <v/>
      </c>
      <c r="X688" s="18">
        <f>IF(W688="","",IF(Murid!F688="TL","TL",ROUND(W688/110*100,2)))</f>
        <v/>
      </c>
    </row>
    <row r="689">
      <c r="A689" s="15">
        <f>Murid!A689</f>
        <v/>
      </c>
      <c r="B689" s="15">
        <f>IF(Murid!B689="","",Murid!B689)</f>
        <v/>
      </c>
      <c r="C689" s="16">
        <f>IF(Murid!C689="","",Murid!C689)</f>
        <v/>
      </c>
      <c r="D689" s="15">
        <f>IF(Murid!E689="","",Murid!E689)</f>
        <v/>
      </c>
      <c r="E689" s="11" t="n"/>
      <c r="F689" s="11" t="n"/>
      <c r="G689" s="10">
        <f>IF(F689="","",IFERROR(VLOOKUP(F689,T_JKP,2,FALSE),0))</f>
        <v/>
      </c>
      <c r="H689" s="11" t="n"/>
      <c r="I689" s="17">
        <f>IF(H689="","",IF(H689&gt;=12,40,ROUND(H689*3.33,2)))</f>
        <v/>
      </c>
      <c r="J689" s="11" t="n"/>
      <c r="K689" s="11" t="n"/>
      <c r="L689" s="11" t="n"/>
      <c r="M689" s="11" t="n"/>
      <c r="N689" s="10">
        <f>IF(COUNTA(J689:M689)=0,"",MIN(10,SUMPRODUCT((COUNTIF(J689:M689,L_KOM)&gt;0)*S_KOM)))</f>
        <v/>
      </c>
      <c r="O689" s="11" t="n"/>
      <c r="P689" s="10">
        <f>IF(O689="","",IFERROR(VLOOKUP(O689,T_KHID,2,FALSE),0))</f>
        <v/>
      </c>
      <c r="Q689" s="11" t="n"/>
      <c r="R689" s="11" t="n"/>
      <c r="S689" s="10">
        <f>IF(AND(Q689="",R689=""),"",IFERROR(INDEX(T_LIBAT,MATCH(Q689,L_PER,0),MATCH(R689,L_JENIS,0)),0))</f>
        <v/>
      </c>
      <c r="T689" s="11" t="n"/>
      <c r="U689" s="11" t="n"/>
      <c r="V689" s="10">
        <f>IF(AND(T689="",U689=""),"",IFERROR(INDEX(T_CAPAI,MATCH(T689,L_PER,0),MATCH(U689,L_KED,0)),0))</f>
        <v/>
      </c>
      <c r="W689" s="17">
        <f>IF(OR(B689="",E689="",COUNTA(F689,H689,J689:M689,O689,Q689:R689,T689:U689)=0),"",SUM(G689,I689,N689,P689,S689,V689))</f>
        <v/>
      </c>
      <c r="X689" s="18">
        <f>IF(W689="","",IF(Murid!F689="TL","TL",ROUND(W689/110*100,2)))</f>
        <v/>
      </c>
    </row>
    <row r="690">
      <c r="A690" s="15">
        <f>Murid!A690</f>
        <v/>
      </c>
      <c r="B690" s="15">
        <f>IF(Murid!B690="","",Murid!B690)</f>
        <v/>
      </c>
      <c r="C690" s="16">
        <f>IF(Murid!C690="","",Murid!C690)</f>
        <v/>
      </c>
      <c r="D690" s="15">
        <f>IF(Murid!E690="","",Murid!E690)</f>
        <v/>
      </c>
      <c r="E690" s="11" t="n"/>
      <c r="F690" s="11" t="n"/>
      <c r="G690" s="10">
        <f>IF(F690="","",IFERROR(VLOOKUP(F690,T_JKP,2,FALSE),0))</f>
        <v/>
      </c>
      <c r="H690" s="11" t="n"/>
      <c r="I690" s="17">
        <f>IF(H690="","",IF(H690&gt;=12,40,ROUND(H690*3.33,2)))</f>
        <v/>
      </c>
      <c r="J690" s="11" t="n"/>
      <c r="K690" s="11" t="n"/>
      <c r="L690" s="11" t="n"/>
      <c r="M690" s="11" t="n"/>
      <c r="N690" s="10">
        <f>IF(COUNTA(J690:M690)=0,"",MIN(10,SUMPRODUCT((COUNTIF(J690:M690,L_KOM)&gt;0)*S_KOM)))</f>
        <v/>
      </c>
      <c r="O690" s="11" t="n"/>
      <c r="P690" s="10">
        <f>IF(O690="","",IFERROR(VLOOKUP(O690,T_KHID,2,FALSE),0))</f>
        <v/>
      </c>
      <c r="Q690" s="11" t="n"/>
      <c r="R690" s="11" t="n"/>
      <c r="S690" s="10">
        <f>IF(AND(Q690="",R690=""),"",IFERROR(INDEX(T_LIBAT,MATCH(Q690,L_PER,0),MATCH(R690,L_JENIS,0)),0))</f>
        <v/>
      </c>
      <c r="T690" s="11" t="n"/>
      <c r="U690" s="11" t="n"/>
      <c r="V690" s="10">
        <f>IF(AND(T690="",U690=""),"",IFERROR(INDEX(T_CAPAI,MATCH(T690,L_PER,0),MATCH(U690,L_KED,0)),0))</f>
        <v/>
      </c>
      <c r="W690" s="17">
        <f>IF(OR(B690="",E690="",COUNTA(F690,H690,J690:M690,O690,Q690:R690,T690:U690)=0),"",SUM(G690,I690,N690,P690,S690,V690))</f>
        <v/>
      </c>
      <c r="X690" s="18">
        <f>IF(W690="","",IF(Murid!F690="TL","TL",ROUND(W690/110*100,2)))</f>
        <v/>
      </c>
    </row>
    <row r="691">
      <c r="A691" s="15">
        <f>Murid!A691</f>
        <v/>
      </c>
      <c r="B691" s="15">
        <f>IF(Murid!B691="","",Murid!B691)</f>
        <v/>
      </c>
      <c r="C691" s="16">
        <f>IF(Murid!C691="","",Murid!C691)</f>
        <v/>
      </c>
      <c r="D691" s="15">
        <f>IF(Murid!E691="","",Murid!E691)</f>
        <v/>
      </c>
      <c r="E691" s="11" t="n"/>
      <c r="F691" s="11" t="n"/>
      <c r="G691" s="10">
        <f>IF(F691="","",IFERROR(VLOOKUP(F691,T_JKP,2,FALSE),0))</f>
        <v/>
      </c>
      <c r="H691" s="11" t="n"/>
      <c r="I691" s="17">
        <f>IF(H691="","",IF(H691&gt;=12,40,ROUND(H691*3.33,2)))</f>
        <v/>
      </c>
      <c r="J691" s="11" t="n"/>
      <c r="K691" s="11" t="n"/>
      <c r="L691" s="11" t="n"/>
      <c r="M691" s="11" t="n"/>
      <c r="N691" s="10">
        <f>IF(COUNTA(J691:M691)=0,"",MIN(10,SUMPRODUCT((COUNTIF(J691:M691,L_KOM)&gt;0)*S_KOM)))</f>
        <v/>
      </c>
      <c r="O691" s="11" t="n"/>
      <c r="P691" s="10">
        <f>IF(O691="","",IFERROR(VLOOKUP(O691,T_KHID,2,FALSE),0))</f>
        <v/>
      </c>
      <c r="Q691" s="11" t="n"/>
      <c r="R691" s="11" t="n"/>
      <c r="S691" s="10">
        <f>IF(AND(Q691="",R691=""),"",IFERROR(INDEX(T_LIBAT,MATCH(Q691,L_PER,0),MATCH(R691,L_JENIS,0)),0))</f>
        <v/>
      </c>
      <c r="T691" s="11" t="n"/>
      <c r="U691" s="11" t="n"/>
      <c r="V691" s="10">
        <f>IF(AND(T691="",U691=""),"",IFERROR(INDEX(T_CAPAI,MATCH(T691,L_PER,0),MATCH(U691,L_KED,0)),0))</f>
        <v/>
      </c>
      <c r="W691" s="17">
        <f>IF(OR(B691="",E691="",COUNTA(F691,H691,J691:M691,O691,Q691:R691,T691:U691)=0),"",SUM(G691,I691,N691,P691,S691,V691))</f>
        <v/>
      </c>
      <c r="X691" s="18">
        <f>IF(W691="","",IF(Murid!F691="TL","TL",ROUND(W691/110*100,2)))</f>
        <v/>
      </c>
    </row>
    <row r="692">
      <c r="A692" s="15">
        <f>Murid!A692</f>
        <v/>
      </c>
      <c r="B692" s="15">
        <f>IF(Murid!B692="","",Murid!B692)</f>
        <v/>
      </c>
      <c r="C692" s="16">
        <f>IF(Murid!C692="","",Murid!C692)</f>
        <v/>
      </c>
      <c r="D692" s="15">
        <f>IF(Murid!E692="","",Murid!E692)</f>
        <v/>
      </c>
      <c r="E692" s="11" t="n"/>
      <c r="F692" s="11" t="n"/>
      <c r="G692" s="10">
        <f>IF(F692="","",IFERROR(VLOOKUP(F692,T_JKP,2,FALSE),0))</f>
        <v/>
      </c>
      <c r="H692" s="11" t="n"/>
      <c r="I692" s="17">
        <f>IF(H692="","",IF(H692&gt;=12,40,ROUND(H692*3.33,2)))</f>
        <v/>
      </c>
      <c r="J692" s="11" t="n"/>
      <c r="K692" s="11" t="n"/>
      <c r="L692" s="11" t="n"/>
      <c r="M692" s="11" t="n"/>
      <c r="N692" s="10">
        <f>IF(COUNTA(J692:M692)=0,"",MIN(10,SUMPRODUCT((COUNTIF(J692:M692,L_KOM)&gt;0)*S_KOM)))</f>
        <v/>
      </c>
      <c r="O692" s="11" t="n"/>
      <c r="P692" s="10">
        <f>IF(O692="","",IFERROR(VLOOKUP(O692,T_KHID,2,FALSE),0))</f>
        <v/>
      </c>
      <c r="Q692" s="11" t="n"/>
      <c r="R692" s="11" t="n"/>
      <c r="S692" s="10">
        <f>IF(AND(Q692="",R692=""),"",IFERROR(INDEX(T_LIBAT,MATCH(Q692,L_PER,0),MATCH(R692,L_JENIS,0)),0))</f>
        <v/>
      </c>
      <c r="T692" s="11" t="n"/>
      <c r="U692" s="11" t="n"/>
      <c r="V692" s="10">
        <f>IF(AND(T692="",U692=""),"",IFERROR(INDEX(T_CAPAI,MATCH(T692,L_PER,0),MATCH(U692,L_KED,0)),0))</f>
        <v/>
      </c>
      <c r="W692" s="17">
        <f>IF(OR(B692="",E692="",COUNTA(F692,H692,J692:M692,O692,Q692:R692,T692:U692)=0),"",SUM(G692,I692,N692,P692,S692,V692))</f>
        <v/>
      </c>
      <c r="X692" s="18">
        <f>IF(W692="","",IF(Murid!F692="TL","TL",ROUND(W692/110*100,2)))</f>
        <v/>
      </c>
    </row>
    <row r="693">
      <c r="A693" s="15">
        <f>Murid!A693</f>
        <v/>
      </c>
      <c r="B693" s="15">
        <f>IF(Murid!B693="","",Murid!B693)</f>
        <v/>
      </c>
      <c r="C693" s="16">
        <f>IF(Murid!C693="","",Murid!C693)</f>
        <v/>
      </c>
      <c r="D693" s="15">
        <f>IF(Murid!E693="","",Murid!E693)</f>
        <v/>
      </c>
      <c r="E693" s="11" t="n"/>
      <c r="F693" s="11" t="n"/>
      <c r="G693" s="10">
        <f>IF(F693="","",IFERROR(VLOOKUP(F693,T_JKP,2,FALSE),0))</f>
        <v/>
      </c>
      <c r="H693" s="11" t="n"/>
      <c r="I693" s="17">
        <f>IF(H693="","",IF(H693&gt;=12,40,ROUND(H693*3.33,2)))</f>
        <v/>
      </c>
      <c r="J693" s="11" t="n"/>
      <c r="K693" s="11" t="n"/>
      <c r="L693" s="11" t="n"/>
      <c r="M693" s="11" t="n"/>
      <c r="N693" s="10">
        <f>IF(COUNTA(J693:M693)=0,"",MIN(10,SUMPRODUCT((COUNTIF(J693:M693,L_KOM)&gt;0)*S_KOM)))</f>
        <v/>
      </c>
      <c r="O693" s="11" t="n"/>
      <c r="P693" s="10">
        <f>IF(O693="","",IFERROR(VLOOKUP(O693,T_KHID,2,FALSE),0))</f>
        <v/>
      </c>
      <c r="Q693" s="11" t="n"/>
      <c r="R693" s="11" t="n"/>
      <c r="S693" s="10">
        <f>IF(AND(Q693="",R693=""),"",IFERROR(INDEX(T_LIBAT,MATCH(Q693,L_PER,0),MATCH(R693,L_JENIS,0)),0))</f>
        <v/>
      </c>
      <c r="T693" s="11" t="n"/>
      <c r="U693" s="11" t="n"/>
      <c r="V693" s="10">
        <f>IF(AND(T693="",U693=""),"",IFERROR(INDEX(T_CAPAI,MATCH(T693,L_PER,0),MATCH(U693,L_KED,0)),0))</f>
        <v/>
      </c>
      <c r="W693" s="17">
        <f>IF(OR(B693="",E693="",COUNTA(F693,H693,J693:M693,O693,Q693:R693,T693:U693)=0),"",SUM(G693,I693,N693,P693,S693,V693))</f>
        <v/>
      </c>
      <c r="X693" s="18">
        <f>IF(W693="","",IF(Murid!F693="TL","TL",ROUND(W693/110*100,2)))</f>
        <v/>
      </c>
    </row>
    <row r="694">
      <c r="A694" s="15">
        <f>Murid!A694</f>
        <v/>
      </c>
      <c r="B694" s="15">
        <f>IF(Murid!B694="","",Murid!B694)</f>
        <v/>
      </c>
      <c r="C694" s="16">
        <f>IF(Murid!C694="","",Murid!C694)</f>
        <v/>
      </c>
      <c r="D694" s="15">
        <f>IF(Murid!E694="","",Murid!E694)</f>
        <v/>
      </c>
      <c r="E694" s="11" t="n"/>
      <c r="F694" s="11" t="n"/>
      <c r="G694" s="10">
        <f>IF(F694="","",IFERROR(VLOOKUP(F694,T_JKP,2,FALSE),0))</f>
        <v/>
      </c>
      <c r="H694" s="11" t="n"/>
      <c r="I694" s="17">
        <f>IF(H694="","",IF(H694&gt;=12,40,ROUND(H694*3.33,2)))</f>
        <v/>
      </c>
      <c r="J694" s="11" t="n"/>
      <c r="K694" s="11" t="n"/>
      <c r="L694" s="11" t="n"/>
      <c r="M694" s="11" t="n"/>
      <c r="N694" s="10">
        <f>IF(COUNTA(J694:M694)=0,"",MIN(10,SUMPRODUCT((COUNTIF(J694:M694,L_KOM)&gt;0)*S_KOM)))</f>
        <v/>
      </c>
      <c r="O694" s="11" t="n"/>
      <c r="P694" s="10">
        <f>IF(O694="","",IFERROR(VLOOKUP(O694,T_KHID,2,FALSE),0))</f>
        <v/>
      </c>
      <c r="Q694" s="11" t="n"/>
      <c r="R694" s="11" t="n"/>
      <c r="S694" s="10">
        <f>IF(AND(Q694="",R694=""),"",IFERROR(INDEX(T_LIBAT,MATCH(Q694,L_PER,0),MATCH(R694,L_JENIS,0)),0))</f>
        <v/>
      </c>
      <c r="T694" s="11" t="n"/>
      <c r="U694" s="11" t="n"/>
      <c r="V694" s="10">
        <f>IF(AND(T694="",U694=""),"",IFERROR(INDEX(T_CAPAI,MATCH(T694,L_PER,0),MATCH(U694,L_KED,0)),0))</f>
        <v/>
      </c>
      <c r="W694" s="17">
        <f>IF(OR(B694="",E694="",COUNTA(F694,H694,J694:M694,O694,Q694:R694,T694:U694)=0),"",SUM(G694,I694,N694,P694,S694,V694))</f>
        <v/>
      </c>
      <c r="X694" s="18">
        <f>IF(W694="","",IF(Murid!F694="TL","TL",ROUND(W694/110*100,2)))</f>
        <v/>
      </c>
    </row>
    <row r="695">
      <c r="A695" s="15">
        <f>Murid!A695</f>
        <v/>
      </c>
      <c r="B695" s="15">
        <f>IF(Murid!B695="","",Murid!B695)</f>
        <v/>
      </c>
      <c r="C695" s="16">
        <f>IF(Murid!C695="","",Murid!C695)</f>
        <v/>
      </c>
      <c r="D695" s="15">
        <f>IF(Murid!E695="","",Murid!E695)</f>
        <v/>
      </c>
      <c r="E695" s="11" t="n"/>
      <c r="F695" s="11" t="n"/>
      <c r="G695" s="10">
        <f>IF(F695="","",IFERROR(VLOOKUP(F695,T_JKP,2,FALSE),0))</f>
        <v/>
      </c>
      <c r="H695" s="11" t="n"/>
      <c r="I695" s="17">
        <f>IF(H695="","",IF(H695&gt;=12,40,ROUND(H695*3.33,2)))</f>
        <v/>
      </c>
      <c r="J695" s="11" t="n"/>
      <c r="K695" s="11" t="n"/>
      <c r="L695" s="11" t="n"/>
      <c r="M695" s="11" t="n"/>
      <c r="N695" s="10">
        <f>IF(COUNTA(J695:M695)=0,"",MIN(10,SUMPRODUCT((COUNTIF(J695:M695,L_KOM)&gt;0)*S_KOM)))</f>
        <v/>
      </c>
      <c r="O695" s="11" t="n"/>
      <c r="P695" s="10">
        <f>IF(O695="","",IFERROR(VLOOKUP(O695,T_KHID,2,FALSE),0))</f>
        <v/>
      </c>
      <c r="Q695" s="11" t="n"/>
      <c r="R695" s="11" t="n"/>
      <c r="S695" s="10">
        <f>IF(AND(Q695="",R695=""),"",IFERROR(INDEX(T_LIBAT,MATCH(Q695,L_PER,0),MATCH(R695,L_JENIS,0)),0))</f>
        <v/>
      </c>
      <c r="T695" s="11" t="n"/>
      <c r="U695" s="11" t="n"/>
      <c r="V695" s="10">
        <f>IF(AND(T695="",U695=""),"",IFERROR(INDEX(T_CAPAI,MATCH(T695,L_PER,0),MATCH(U695,L_KED,0)),0))</f>
        <v/>
      </c>
      <c r="W695" s="17">
        <f>IF(OR(B695="",E695="",COUNTA(F695,H695,J695:M695,O695,Q695:R695,T695:U695)=0),"",SUM(G695,I695,N695,P695,S695,V695))</f>
        <v/>
      </c>
      <c r="X695" s="18">
        <f>IF(W695="","",IF(Murid!F695="TL","TL",ROUND(W695/110*100,2)))</f>
        <v/>
      </c>
    </row>
    <row r="696">
      <c r="A696" s="15">
        <f>Murid!A696</f>
        <v/>
      </c>
      <c r="B696" s="15">
        <f>IF(Murid!B696="","",Murid!B696)</f>
        <v/>
      </c>
      <c r="C696" s="16">
        <f>IF(Murid!C696="","",Murid!C696)</f>
        <v/>
      </c>
      <c r="D696" s="15">
        <f>IF(Murid!E696="","",Murid!E696)</f>
        <v/>
      </c>
      <c r="E696" s="11" t="n"/>
      <c r="F696" s="11" t="n"/>
      <c r="G696" s="10">
        <f>IF(F696="","",IFERROR(VLOOKUP(F696,T_JKP,2,FALSE),0))</f>
        <v/>
      </c>
      <c r="H696" s="11" t="n"/>
      <c r="I696" s="17">
        <f>IF(H696="","",IF(H696&gt;=12,40,ROUND(H696*3.33,2)))</f>
        <v/>
      </c>
      <c r="J696" s="11" t="n"/>
      <c r="K696" s="11" t="n"/>
      <c r="L696" s="11" t="n"/>
      <c r="M696" s="11" t="n"/>
      <c r="N696" s="10">
        <f>IF(COUNTA(J696:M696)=0,"",MIN(10,SUMPRODUCT((COUNTIF(J696:M696,L_KOM)&gt;0)*S_KOM)))</f>
        <v/>
      </c>
      <c r="O696" s="11" t="n"/>
      <c r="P696" s="10">
        <f>IF(O696="","",IFERROR(VLOOKUP(O696,T_KHID,2,FALSE),0))</f>
        <v/>
      </c>
      <c r="Q696" s="11" t="n"/>
      <c r="R696" s="11" t="n"/>
      <c r="S696" s="10">
        <f>IF(AND(Q696="",R696=""),"",IFERROR(INDEX(T_LIBAT,MATCH(Q696,L_PER,0),MATCH(R696,L_JENIS,0)),0))</f>
        <v/>
      </c>
      <c r="T696" s="11" t="n"/>
      <c r="U696" s="11" t="n"/>
      <c r="V696" s="10">
        <f>IF(AND(T696="",U696=""),"",IFERROR(INDEX(T_CAPAI,MATCH(T696,L_PER,0),MATCH(U696,L_KED,0)),0))</f>
        <v/>
      </c>
      <c r="W696" s="17">
        <f>IF(OR(B696="",E696="",COUNTA(F696,H696,J696:M696,O696,Q696:R696,T696:U696)=0),"",SUM(G696,I696,N696,P696,S696,V696))</f>
        <v/>
      </c>
      <c r="X696" s="18">
        <f>IF(W696="","",IF(Murid!F696="TL","TL",ROUND(W696/110*100,2)))</f>
        <v/>
      </c>
    </row>
    <row r="697">
      <c r="A697" s="15">
        <f>Murid!A697</f>
        <v/>
      </c>
      <c r="B697" s="15">
        <f>IF(Murid!B697="","",Murid!B697)</f>
        <v/>
      </c>
      <c r="C697" s="16">
        <f>IF(Murid!C697="","",Murid!C697)</f>
        <v/>
      </c>
      <c r="D697" s="15">
        <f>IF(Murid!E697="","",Murid!E697)</f>
        <v/>
      </c>
      <c r="E697" s="11" t="n"/>
      <c r="F697" s="11" t="n"/>
      <c r="G697" s="10">
        <f>IF(F697="","",IFERROR(VLOOKUP(F697,T_JKP,2,FALSE),0))</f>
        <v/>
      </c>
      <c r="H697" s="11" t="n"/>
      <c r="I697" s="17">
        <f>IF(H697="","",IF(H697&gt;=12,40,ROUND(H697*3.33,2)))</f>
        <v/>
      </c>
      <c r="J697" s="11" t="n"/>
      <c r="K697" s="11" t="n"/>
      <c r="L697" s="11" t="n"/>
      <c r="M697" s="11" t="n"/>
      <c r="N697" s="10">
        <f>IF(COUNTA(J697:M697)=0,"",MIN(10,SUMPRODUCT((COUNTIF(J697:M697,L_KOM)&gt;0)*S_KOM)))</f>
        <v/>
      </c>
      <c r="O697" s="11" t="n"/>
      <c r="P697" s="10">
        <f>IF(O697="","",IFERROR(VLOOKUP(O697,T_KHID,2,FALSE),0))</f>
        <v/>
      </c>
      <c r="Q697" s="11" t="n"/>
      <c r="R697" s="11" t="n"/>
      <c r="S697" s="10">
        <f>IF(AND(Q697="",R697=""),"",IFERROR(INDEX(T_LIBAT,MATCH(Q697,L_PER,0),MATCH(R697,L_JENIS,0)),0))</f>
        <v/>
      </c>
      <c r="T697" s="11" t="n"/>
      <c r="U697" s="11" t="n"/>
      <c r="V697" s="10">
        <f>IF(AND(T697="",U697=""),"",IFERROR(INDEX(T_CAPAI,MATCH(T697,L_PER,0),MATCH(U697,L_KED,0)),0))</f>
        <v/>
      </c>
      <c r="W697" s="17">
        <f>IF(OR(B697="",E697="",COUNTA(F697,H697,J697:M697,O697,Q697:R697,T697:U697)=0),"",SUM(G697,I697,N697,P697,S697,V697))</f>
        <v/>
      </c>
      <c r="X697" s="18">
        <f>IF(W697="","",IF(Murid!F697="TL","TL",ROUND(W697/110*100,2)))</f>
        <v/>
      </c>
    </row>
    <row r="698">
      <c r="A698" s="15">
        <f>Murid!A698</f>
        <v/>
      </c>
      <c r="B698" s="15">
        <f>IF(Murid!B698="","",Murid!B698)</f>
        <v/>
      </c>
      <c r="C698" s="16">
        <f>IF(Murid!C698="","",Murid!C698)</f>
        <v/>
      </c>
      <c r="D698" s="15">
        <f>IF(Murid!E698="","",Murid!E698)</f>
        <v/>
      </c>
      <c r="E698" s="11" t="n"/>
      <c r="F698" s="11" t="n"/>
      <c r="G698" s="10">
        <f>IF(F698="","",IFERROR(VLOOKUP(F698,T_JKP,2,FALSE),0))</f>
        <v/>
      </c>
      <c r="H698" s="11" t="n"/>
      <c r="I698" s="17">
        <f>IF(H698="","",IF(H698&gt;=12,40,ROUND(H698*3.33,2)))</f>
        <v/>
      </c>
      <c r="J698" s="11" t="n"/>
      <c r="K698" s="11" t="n"/>
      <c r="L698" s="11" t="n"/>
      <c r="M698" s="11" t="n"/>
      <c r="N698" s="10">
        <f>IF(COUNTA(J698:M698)=0,"",MIN(10,SUMPRODUCT((COUNTIF(J698:M698,L_KOM)&gt;0)*S_KOM)))</f>
        <v/>
      </c>
      <c r="O698" s="11" t="n"/>
      <c r="P698" s="10">
        <f>IF(O698="","",IFERROR(VLOOKUP(O698,T_KHID,2,FALSE),0))</f>
        <v/>
      </c>
      <c r="Q698" s="11" t="n"/>
      <c r="R698" s="11" t="n"/>
      <c r="S698" s="10">
        <f>IF(AND(Q698="",R698=""),"",IFERROR(INDEX(T_LIBAT,MATCH(Q698,L_PER,0),MATCH(R698,L_JENIS,0)),0))</f>
        <v/>
      </c>
      <c r="T698" s="11" t="n"/>
      <c r="U698" s="11" t="n"/>
      <c r="V698" s="10">
        <f>IF(AND(T698="",U698=""),"",IFERROR(INDEX(T_CAPAI,MATCH(T698,L_PER,0),MATCH(U698,L_KED,0)),0))</f>
        <v/>
      </c>
      <c r="W698" s="17">
        <f>IF(OR(B698="",E698="",COUNTA(F698,H698,J698:M698,O698,Q698:R698,T698:U698)=0),"",SUM(G698,I698,N698,P698,S698,V698))</f>
        <v/>
      </c>
      <c r="X698" s="18">
        <f>IF(W698="","",IF(Murid!F698="TL","TL",ROUND(W698/110*100,2)))</f>
        <v/>
      </c>
    </row>
    <row r="699">
      <c r="A699" s="15">
        <f>Murid!A699</f>
        <v/>
      </c>
      <c r="B699" s="15">
        <f>IF(Murid!B699="","",Murid!B699)</f>
        <v/>
      </c>
      <c r="C699" s="16">
        <f>IF(Murid!C699="","",Murid!C699)</f>
        <v/>
      </c>
      <c r="D699" s="15">
        <f>IF(Murid!E699="","",Murid!E699)</f>
        <v/>
      </c>
      <c r="E699" s="11" t="n"/>
      <c r="F699" s="11" t="n"/>
      <c r="G699" s="10">
        <f>IF(F699="","",IFERROR(VLOOKUP(F699,T_JKP,2,FALSE),0))</f>
        <v/>
      </c>
      <c r="H699" s="11" t="n"/>
      <c r="I699" s="17">
        <f>IF(H699="","",IF(H699&gt;=12,40,ROUND(H699*3.33,2)))</f>
        <v/>
      </c>
      <c r="J699" s="11" t="n"/>
      <c r="K699" s="11" t="n"/>
      <c r="L699" s="11" t="n"/>
      <c r="M699" s="11" t="n"/>
      <c r="N699" s="10">
        <f>IF(COUNTA(J699:M699)=0,"",MIN(10,SUMPRODUCT((COUNTIF(J699:M699,L_KOM)&gt;0)*S_KOM)))</f>
        <v/>
      </c>
      <c r="O699" s="11" t="n"/>
      <c r="P699" s="10">
        <f>IF(O699="","",IFERROR(VLOOKUP(O699,T_KHID,2,FALSE),0))</f>
        <v/>
      </c>
      <c r="Q699" s="11" t="n"/>
      <c r="R699" s="11" t="n"/>
      <c r="S699" s="10">
        <f>IF(AND(Q699="",R699=""),"",IFERROR(INDEX(T_LIBAT,MATCH(Q699,L_PER,0),MATCH(R699,L_JENIS,0)),0))</f>
        <v/>
      </c>
      <c r="T699" s="11" t="n"/>
      <c r="U699" s="11" t="n"/>
      <c r="V699" s="10">
        <f>IF(AND(T699="",U699=""),"",IFERROR(INDEX(T_CAPAI,MATCH(T699,L_PER,0),MATCH(U699,L_KED,0)),0))</f>
        <v/>
      </c>
      <c r="W699" s="17">
        <f>IF(OR(B699="",E699="",COUNTA(F699,H699,J699:M699,O699,Q699:R699,T699:U699)=0),"",SUM(G699,I699,N699,P699,S699,V699))</f>
        <v/>
      </c>
      <c r="X699" s="18">
        <f>IF(W699="","",IF(Murid!F699="TL","TL",ROUND(W699/110*100,2)))</f>
        <v/>
      </c>
    </row>
    <row r="700">
      <c r="A700" s="15">
        <f>Murid!A700</f>
        <v/>
      </c>
      <c r="B700" s="15">
        <f>IF(Murid!B700="","",Murid!B700)</f>
        <v/>
      </c>
      <c r="C700" s="16">
        <f>IF(Murid!C700="","",Murid!C700)</f>
        <v/>
      </c>
      <c r="D700" s="15">
        <f>IF(Murid!E700="","",Murid!E700)</f>
        <v/>
      </c>
      <c r="E700" s="11" t="n"/>
      <c r="F700" s="11" t="n"/>
      <c r="G700" s="10">
        <f>IF(F700="","",IFERROR(VLOOKUP(F700,T_JKP,2,FALSE),0))</f>
        <v/>
      </c>
      <c r="H700" s="11" t="n"/>
      <c r="I700" s="17">
        <f>IF(H700="","",IF(H700&gt;=12,40,ROUND(H700*3.33,2)))</f>
        <v/>
      </c>
      <c r="J700" s="11" t="n"/>
      <c r="K700" s="11" t="n"/>
      <c r="L700" s="11" t="n"/>
      <c r="M700" s="11" t="n"/>
      <c r="N700" s="10">
        <f>IF(COUNTA(J700:M700)=0,"",MIN(10,SUMPRODUCT((COUNTIF(J700:M700,L_KOM)&gt;0)*S_KOM)))</f>
        <v/>
      </c>
      <c r="O700" s="11" t="n"/>
      <c r="P700" s="10">
        <f>IF(O700="","",IFERROR(VLOOKUP(O700,T_KHID,2,FALSE),0))</f>
        <v/>
      </c>
      <c r="Q700" s="11" t="n"/>
      <c r="R700" s="11" t="n"/>
      <c r="S700" s="10">
        <f>IF(AND(Q700="",R700=""),"",IFERROR(INDEX(T_LIBAT,MATCH(Q700,L_PER,0),MATCH(R700,L_JENIS,0)),0))</f>
        <v/>
      </c>
      <c r="T700" s="11" t="n"/>
      <c r="U700" s="11" t="n"/>
      <c r="V700" s="10">
        <f>IF(AND(T700="",U700=""),"",IFERROR(INDEX(T_CAPAI,MATCH(T700,L_PER,0),MATCH(U700,L_KED,0)),0))</f>
        <v/>
      </c>
      <c r="W700" s="17">
        <f>IF(OR(B700="",E700="",COUNTA(F700,H700,J700:M700,O700,Q700:R700,T700:U700)=0),"",SUM(G700,I700,N700,P700,S700,V700))</f>
        <v/>
      </c>
      <c r="X700" s="18">
        <f>IF(W700="","",IF(Murid!F700="TL","TL",ROUND(W700/110*100,2)))</f>
        <v/>
      </c>
    </row>
    <row r="701">
      <c r="A701" s="15">
        <f>Murid!A701</f>
        <v/>
      </c>
      <c r="B701" s="15">
        <f>IF(Murid!B701="","",Murid!B701)</f>
        <v/>
      </c>
      <c r="C701" s="16">
        <f>IF(Murid!C701="","",Murid!C701)</f>
        <v/>
      </c>
      <c r="D701" s="15">
        <f>IF(Murid!E701="","",Murid!E701)</f>
        <v/>
      </c>
      <c r="E701" s="11" t="n"/>
      <c r="F701" s="11" t="n"/>
      <c r="G701" s="10">
        <f>IF(F701="","",IFERROR(VLOOKUP(F701,T_JKP,2,FALSE),0))</f>
        <v/>
      </c>
      <c r="H701" s="11" t="n"/>
      <c r="I701" s="17">
        <f>IF(H701="","",IF(H701&gt;=12,40,ROUND(H701*3.33,2)))</f>
        <v/>
      </c>
      <c r="J701" s="11" t="n"/>
      <c r="K701" s="11" t="n"/>
      <c r="L701" s="11" t="n"/>
      <c r="M701" s="11" t="n"/>
      <c r="N701" s="10">
        <f>IF(COUNTA(J701:M701)=0,"",MIN(10,SUMPRODUCT((COUNTIF(J701:M701,L_KOM)&gt;0)*S_KOM)))</f>
        <v/>
      </c>
      <c r="O701" s="11" t="n"/>
      <c r="P701" s="10">
        <f>IF(O701="","",IFERROR(VLOOKUP(O701,T_KHID,2,FALSE),0))</f>
        <v/>
      </c>
      <c r="Q701" s="11" t="n"/>
      <c r="R701" s="11" t="n"/>
      <c r="S701" s="10">
        <f>IF(AND(Q701="",R701=""),"",IFERROR(INDEX(T_LIBAT,MATCH(Q701,L_PER,0),MATCH(R701,L_JENIS,0)),0))</f>
        <v/>
      </c>
      <c r="T701" s="11" t="n"/>
      <c r="U701" s="11" t="n"/>
      <c r="V701" s="10">
        <f>IF(AND(T701="",U701=""),"",IFERROR(INDEX(T_CAPAI,MATCH(T701,L_PER,0),MATCH(U701,L_KED,0)),0))</f>
        <v/>
      </c>
      <c r="W701" s="17">
        <f>IF(OR(B701="",E701="",COUNTA(F701,H701,J701:M701,O701,Q701:R701,T701:U701)=0),"",SUM(G701,I701,N701,P701,S701,V701))</f>
        <v/>
      </c>
      <c r="X701" s="18">
        <f>IF(W701="","",IF(Murid!F701="TL","TL",ROUND(W701/110*100,2)))</f>
        <v/>
      </c>
    </row>
    <row r="702">
      <c r="A702" s="15">
        <f>Murid!A702</f>
        <v/>
      </c>
      <c r="B702" s="15">
        <f>IF(Murid!B702="","",Murid!B702)</f>
        <v/>
      </c>
      <c r="C702" s="16">
        <f>IF(Murid!C702="","",Murid!C702)</f>
        <v/>
      </c>
      <c r="D702" s="15">
        <f>IF(Murid!E702="","",Murid!E702)</f>
        <v/>
      </c>
      <c r="E702" s="11" t="n"/>
      <c r="F702" s="11" t="n"/>
      <c r="G702" s="10">
        <f>IF(F702="","",IFERROR(VLOOKUP(F702,T_JKP,2,FALSE),0))</f>
        <v/>
      </c>
      <c r="H702" s="11" t="n"/>
      <c r="I702" s="17">
        <f>IF(H702="","",IF(H702&gt;=12,40,ROUND(H702*3.33,2)))</f>
        <v/>
      </c>
      <c r="J702" s="11" t="n"/>
      <c r="K702" s="11" t="n"/>
      <c r="L702" s="11" t="n"/>
      <c r="M702" s="11" t="n"/>
      <c r="N702" s="10">
        <f>IF(COUNTA(J702:M702)=0,"",MIN(10,SUMPRODUCT((COUNTIF(J702:M702,L_KOM)&gt;0)*S_KOM)))</f>
        <v/>
      </c>
      <c r="O702" s="11" t="n"/>
      <c r="P702" s="10">
        <f>IF(O702="","",IFERROR(VLOOKUP(O702,T_KHID,2,FALSE),0))</f>
        <v/>
      </c>
      <c r="Q702" s="11" t="n"/>
      <c r="R702" s="11" t="n"/>
      <c r="S702" s="10">
        <f>IF(AND(Q702="",R702=""),"",IFERROR(INDEX(T_LIBAT,MATCH(Q702,L_PER,0),MATCH(R702,L_JENIS,0)),0))</f>
        <v/>
      </c>
      <c r="T702" s="11" t="n"/>
      <c r="U702" s="11" t="n"/>
      <c r="V702" s="10">
        <f>IF(AND(T702="",U702=""),"",IFERROR(INDEX(T_CAPAI,MATCH(T702,L_PER,0),MATCH(U702,L_KED,0)),0))</f>
        <v/>
      </c>
      <c r="W702" s="17">
        <f>IF(OR(B702="",E702="",COUNTA(F702,H702,J702:M702,O702,Q702:R702,T702:U702)=0),"",SUM(G702,I702,N702,P702,S702,V702))</f>
        <v/>
      </c>
      <c r="X702" s="18">
        <f>IF(W702="","",IF(Murid!F702="TL","TL",ROUND(W702/110*100,2)))</f>
        <v/>
      </c>
    </row>
    <row r="703">
      <c r="A703" s="15">
        <f>Murid!A703</f>
        <v/>
      </c>
      <c r="B703" s="15">
        <f>IF(Murid!B703="","",Murid!B703)</f>
        <v/>
      </c>
      <c r="C703" s="16">
        <f>IF(Murid!C703="","",Murid!C703)</f>
        <v/>
      </c>
      <c r="D703" s="15">
        <f>IF(Murid!E703="","",Murid!E703)</f>
        <v/>
      </c>
      <c r="E703" s="11" t="n"/>
      <c r="F703" s="11" t="n"/>
      <c r="G703" s="10">
        <f>IF(F703="","",IFERROR(VLOOKUP(F703,T_JKP,2,FALSE),0))</f>
        <v/>
      </c>
      <c r="H703" s="11" t="n"/>
      <c r="I703" s="17">
        <f>IF(H703="","",IF(H703&gt;=12,40,ROUND(H703*3.33,2)))</f>
        <v/>
      </c>
      <c r="J703" s="11" t="n"/>
      <c r="K703" s="11" t="n"/>
      <c r="L703" s="11" t="n"/>
      <c r="M703" s="11" t="n"/>
      <c r="N703" s="10">
        <f>IF(COUNTA(J703:M703)=0,"",MIN(10,SUMPRODUCT((COUNTIF(J703:M703,L_KOM)&gt;0)*S_KOM)))</f>
        <v/>
      </c>
      <c r="O703" s="11" t="n"/>
      <c r="P703" s="10">
        <f>IF(O703="","",IFERROR(VLOOKUP(O703,T_KHID,2,FALSE),0))</f>
        <v/>
      </c>
      <c r="Q703" s="11" t="n"/>
      <c r="R703" s="11" t="n"/>
      <c r="S703" s="10">
        <f>IF(AND(Q703="",R703=""),"",IFERROR(INDEX(T_LIBAT,MATCH(Q703,L_PER,0),MATCH(R703,L_JENIS,0)),0))</f>
        <v/>
      </c>
      <c r="T703" s="11" t="n"/>
      <c r="U703" s="11" t="n"/>
      <c r="V703" s="10">
        <f>IF(AND(T703="",U703=""),"",IFERROR(INDEX(T_CAPAI,MATCH(T703,L_PER,0),MATCH(U703,L_KED,0)),0))</f>
        <v/>
      </c>
      <c r="W703" s="17">
        <f>IF(OR(B703="",E703="",COUNTA(F703,H703,J703:M703,O703,Q703:R703,T703:U703)=0),"",SUM(G703,I703,N703,P703,S703,V703))</f>
        <v/>
      </c>
      <c r="X703" s="18">
        <f>IF(W703="","",IF(Murid!F703="TL","TL",ROUND(W703/110*100,2)))</f>
        <v/>
      </c>
    </row>
    <row r="704">
      <c r="A704" s="15">
        <f>Murid!A704</f>
        <v/>
      </c>
      <c r="B704" s="15">
        <f>IF(Murid!B704="","",Murid!B704)</f>
        <v/>
      </c>
      <c r="C704" s="16">
        <f>IF(Murid!C704="","",Murid!C704)</f>
        <v/>
      </c>
      <c r="D704" s="15">
        <f>IF(Murid!E704="","",Murid!E704)</f>
        <v/>
      </c>
      <c r="E704" s="11" t="n"/>
      <c r="F704" s="11" t="n"/>
      <c r="G704" s="10">
        <f>IF(F704="","",IFERROR(VLOOKUP(F704,T_JKP,2,FALSE),0))</f>
        <v/>
      </c>
      <c r="H704" s="11" t="n"/>
      <c r="I704" s="17">
        <f>IF(H704="","",IF(H704&gt;=12,40,ROUND(H704*3.33,2)))</f>
        <v/>
      </c>
      <c r="J704" s="11" t="n"/>
      <c r="K704" s="11" t="n"/>
      <c r="L704" s="11" t="n"/>
      <c r="M704" s="11" t="n"/>
      <c r="N704" s="10">
        <f>IF(COUNTA(J704:M704)=0,"",MIN(10,SUMPRODUCT((COUNTIF(J704:M704,L_KOM)&gt;0)*S_KOM)))</f>
        <v/>
      </c>
      <c r="O704" s="11" t="n"/>
      <c r="P704" s="10">
        <f>IF(O704="","",IFERROR(VLOOKUP(O704,T_KHID,2,FALSE),0))</f>
        <v/>
      </c>
      <c r="Q704" s="11" t="n"/>
      <c r="R704" s="11" t="n"/>
      <c r="S704" s="10">
        <f>IF(AND(Q704="",R704=""),"",IFERROR(INDEX(T_LIBAT,MATCH(Q704,L_PER,0),MATCH(R704,L_JENIS,0)),0))</f>
        <v/>
      </c>
      <c r="T704" s="11" t="n"/>
      <c r="U704" s="11" t="n"/>
      <c r="V704" s="10">
        <f>IF(AND(T704="",U704=""),"",IFERROR(INDEX(T_CAPAI,MATCH(T704,L_PER,0),MATCH(U704,L_KED,0)),0))</f>
        <v/>
      </c>
      <c r="W704" s="17">
        <f>IF(OR(B704="",E704="",COUNTA(F704,H704,J704:M704,O704,Q704:R704,T704:U704)=0),"",SUM(G704,I704,N704,P704,S704,V704))</f>
        <v/>
      </c>
      <c r="X704" s="18">
        <f>IF(W704="","",IF(Murid!F704="TL","TL",ROUND(W704/110*100,2)))</f>
        <v/>
      </c>
    </row>
    <row r="705">
      <c r="A705" s="15">
        <f>Murid!A705</f>
        <v/>
      </c>
      <c r="B705" s="15">
        <f>IF(Murid!B705="","",Murid!B705)</f>
        <v/>
      </c>
      <c r="C705" s="16">
        <f>IF(Murid!C705="","",Murid!C705)</f>
        <v/>
      </c>
      <c r="D705" s="15">
        <f>IF(Murid!E705="","",Murid!E705)</f>
        <v/>
      </c>
      <c r="E705" s="11" t="n"/>
      <c r="F705" s="11" t="n"/>
      <c r="G705" s="10">
        <f>IF(F705="","",IFERROR(VLOOKUP(F705,T_JKP,2,FALSE),0))</f>
        <v/>
      </c>
      <c r="H705" s="11" t="n"/>
      <c r="I705" s="17">
        <f>IF(H705="","",IF(H705&gt;=12,40,ROUND(H705*3.33,2)))</f>
        <v/>
      </c>
      <c r="J705" s="11" t="n"/>
      <c r="K705" s="11" t="n"/>
      <c r="L705" s="11" t="n"/>
      <c r="M705" s="11" t="n"/>
      <c r="N705" s="10">
        <f>IF(COUNTA(J705:M705)=0,"",MIN(10,SUMPRODUCT((COUNTIF(J705:M705,L_KOM)&gt;0)*S_KOM)))</f>
        <v/>
      </c>
      <c r="O705" s="11" t="n"/>
      <c r="P705" s="10">
        <f>IF(O705="","",IFERROR(VLOOKUP(O705,T_KHID,2,FALSE),0))</f>
        <v/>
      </c>
      <c r="Q705" s="11" t="n"/>
      <c r="R705" s="11" t="n"/>
      <c r="S705" s="10">
        <f>IF(AND(Q705="",R705=""),"",IFERROR(INDEX(T_LIBAT,MATCH(Q705,L_PER,0),MATCH(R705,L_JENIS,0)),0))</f>
        <v/>
      </c>
      <c r="T705" s="11" t="n"/>
      <c r="U705" s="11" t="n"/>
      <c r="V705" s="10">
        <f>IF(AND(T705="",U705=""),"",IFERROR(INDEX(T_CAPAI,MATCH(T705,L_PER,0),MATCH(U705,L_KED,0)),0))</f>
        <v/>
      </c>
      <c r="W705" s="17">
        <f>IF(OR(B705="",E705="",COUNTA(F705,H705,J705:M705,O705,Q705:R705,T705:U705)=0),"",SUM(G705,I705,N705,P705,S705,V705))</f>
        <v/>
      </c>
      <c r="X705" s="18">
        <f>IF(W705="","",IF(Murid!F705="TL","TL",ROUND(W705/110*100,2)))</f>
        <v/>
      </c>
    </row>
    <row r="706">
      <c r="A706" s="15">
        <f>Murid!A706</f>
        <v/>
      </c>
      <c r="B706" s="15">
        <f>IF(Murid!B706="","",Murid!B706)</f>
        <v/>
      </c>
      <c r="C706" s="16">
        <f>IF(Murid!C706="","",Murid!C706)</f>
        <v/>
      </c>
      <c r="D706" s="15">
        <f>IF(Murid!E706="","",Murid!E706)</f>
        <v/>
      </c>
      <c r="E706" s="11" t="n"/>
      <c r="F706" s="11" t="n"/>
      <c r="G706" s="10">
        <f>IF(F706="","",IFERROR(VLOOKUP(F706,T_JKP,2,FALSE),0))</f>
        <v/>
      </c>
      <c r="H706" s="11" t="n"/>
      <c r="I706" s="17">
        <f>IF(H706="","",IF(H706&gt;=12,40,ROUND(H706*3.33,2)))</f>
        <v/>
      </c>
      <c r="J706" s="11" t="n"/>
      <c r="K706" s="11" t="n"/>
      <c r="L706" s="11" t="n"/>
      <c r="M706" s="11" t="n"/>
      <c r="N706" s="10">
        <f>IF(COUNTA(J706:M706)=0,"",MIN(10,SUMPRODUCT((COUNTIF(J706:M706,L_KOM)&gt;0)*S_KOM)))</f>
        <v/>
      </c>
      <c r="O706" s="11" t="n"/>
      <c r="P706" s="10">
        <f>IF(O706="","",IFERROR(VLOOKUP(O706,T_KHID,2,FALSE),0))</f>
        <v/>
      </c>
      <c r="Q706" s="11" t="n"/>
      <c r="R706" s="11" t="n"/>
      <c r="S706" s="10">
        <f>IF(AND(Q706="",R706=""),"",IFERROR(INDEX(T_LIBAT,MATCH(Q706,L_PER,0),MATCH(R706,L_JENIS,0)),0))</f>
        <v/>
      </c>
      <c r="T706" s="11" t="n"/>
      <c r="U706" s="11" t="n"/>
      <c r="V706" s="10">
        <f>IF(AND(T706="",U706=""),"",IFERROR(INDEX(T_CAPAI,MATCH(T706,L_PER,0),MATCH(U706,L_KED,0)),0))</f>
        <v/>
      </c>
      <c r="W706" s="17">
        <f>IF(OR(B706="",E706="",COUNTA(F706,H706,J706:M706,O706,Q706:R706,T706:U706)=0),"",SUM(G706,I706,N706,P706,S706,V706))</f>
        <v/>
      </c>
      <c r="X706" s="18">
        <f>IF(W706="","",IF(Murid!F706="TL","TL",ROUND(W706/110*100,2)))</f>
        <v/>
      </c>
    </row>
    <row r="707">
      <c r="A707" s="15">
        <f>Murid!A707</f>
        <v/>
      </c>
      <c r="B707" s="15">
        <f>IF(Murid!B707="","",Murid!B707)</f>
        <v/>
      </c>
      <c r="C707" s="16">
        <f>IF(Murid!C707="","",Murid!C707)</f>
        <v/>
      </c>
      <c r="D707" s="15">
        <f>IF(Murid!E707="","",Murid!E707)</f>
        <v/>
      </c>
      <c r="E707" s="11" t="n"/>
      <c r="F707" s="11" t="n"/>
      <c r="G707" s="10">
        <f>IF(F707="","",IFERROR(VLOOKUP(F707,T_JKP,2,FALSE),0))</f>
        <v/>
      </c>
      <c r="H707" s="11" t="n"/>
      <c r="I707" s="17">
        <f>IF(H707="","",IF(H707&gt;=12,40,ROUND(H707*3.33,2)))</f>
        <v/>
      </c>
      <c r="J707" s="11" t="n"/>
      <c r="K707" s="11" t="n"/>
      <c r="L707" s="11" t="n"/>
      <c r="M707" s="11" t="n"/>
      <c r="N707" s="10">
        <f>IF(COUNTA(J707:M707)=0,"",MIN(10,SUMPRODUCT((COUNTIF(J707:M707,L_KOM)&gt;0)*S_KOM)))</f>
        <v/>
      </c>
      <c r="O707" s="11" t="n"/>
      <c r="P707" s="10">
        <f>IF(O707="","",IFERROR(VLOOKUP(O707,T_KHID,2,FALSE),0))</f>
        <v/>
      </c>
      <c r="Q707" s="11" t="n"/>
      <c r="R707" s="11" t="n"/>
      <c r="S707" s="10">
        <f>IF(AND(Q707="",R707=""),"",IFERROR(INDEX(T_LIBAT,MATCH(Q707,L_PER,0),MATCH(R707,L_JENIS,0)),0))</f>
        <v/>
      </c>
      <c r="T707" s="11" t="n"/>
      <c r="U707" s="11" t="n"/>
      <c r="V707" s="10">
        <f>IF(AND(T707="",U707=""),"",IFERROR(INDEX(T_CAPAI,MATCH(T707,L_PER,0),MATCH(U707,L_KED,0)),0))</f>
        <v/>
      </c>
      <c r="W707" s="17">
        <f>IF(OR(B707="",E707="",COUNTA(F707,H707,J707:M707,O707,Q707:R707,T707:U707)=0),"",SUM(G707,I707,N707,P707,S707,V707))</f>
        <v/>
      </c>
      <c r="X707" s="18">
        <f>IF(W707="","",IF(Murid!F707="TL","TL",ROUND(W707/110*100,2)))</f>
        <v/>
      </c>
    </row>
    <row r="708">
      <c r="A708" s="15">
        <f>Murid!A708</f>
        <v/>
      </c>
      <c r="B708" s="15">
        <f>IF(Murid!B708="","",Murid!B708)</f>
        <v/>
      </c>
      <c r="C708" s="16">
        <f>IF(Murid!C708="","",Murid!C708)</f>
        <v/>
      </c>
      <c r="D708" s="15">
        <f>IF(Murid!E708="","",Murid!E708)</f>
        <v/>
      </c>
      <c r="E708" s="11" t="n"/>
      <c r="F708" s="11" t="n"/>
      <c r="G708" s="10">
        <f>IF(F708="","",IFERROR(VLOOKUP(F708,T_JKP,2,FALSE),0))</f>
        <v/>
      </c>
      <c r="H708" s="11" t="n"/>
      <c r="I708" s="17">
        <f>IF(H708="","",IF(H708&gt;=12,40,ROUND(H708*3.33,2)))</f>
        <v/>
      </c>
      <c r="J708" s="11" t="n"/>
      <c r="K708" s="11" t="n"/>
      <c r="L708" s="11" t="n"/>
      <c r="M708" s="11" t="n"/>
      <c r="N708" s="10">
        <f>IF(COUNTA(J708:M708)=0,"",MIN(10,SUMPRODUCT((COUNTIF(J708:M708,L_KOM)&gt;0)*S_KOM)))</f>
        <v/>
      </c>
      <c r="O708" s="11" t="n"/>
      <c r="P708" s="10">
        <f>IF(O708="","",IFERROR(VLOOKUP(O708,T_KHID,2,FALSE),0))</f>
        <v/>
      </c>
      <c r="Q708" s="11" t="n"/>
      <c r="R708" s="11" t="n"/>
      <c r="S708" s="10">
        <f>IF(AND(Q708="",R708=""),"",IFERROR(INDEX(T_LIBAT,MATCH(Q708,L_PER,0),MATCH(R708,L_JENIS,0)),0))</f>
        <v/>
      </c>
      <c r="T708" s="11" t="n"/>
      <c r="U708" s="11" t="n"/>
      <c r="V708" s="10">
        <f>IF(AND(T708="",U708=""),"",IFERROR(INDEX(T_CAPAI,MATCH(T708,L_PER,0),MATCH(U708,L_KED,0)),0))</f>
        <v/>
      </c>
      <c r="W708" s="17">
        <f>IF(OR(B708="",E708="",COUNTA(F708,H708,J708:M708,O708,Q708:R708,T708:U708)=0),"",SUM(G708,I708,N708,P708,S708,V708))</f>
        <v/>
      </c>
      <c r="X708" s="18">
        <f>IF(W708="","",IF(Murid!F708="TL","TL",ROUND(W708/110*100,2)))</f>
        <v/>
      </c>
    </row>
    <row r="709">
      <c r="A709" s="15">
        <f>Murid!A709</f>
        <v/>
      </c>
      <c r="B709" s="15">
        <f>IF(Murid!B709="","",Murid!B709)</f>
        <v/>
      </c>
      <c r="C709" s="16">
        <f>IF(Murid!C709="","",Murid!C709)</f>
        <v/>
      </c>
      <c r="D709" s="15">
        <f>IF(Murid!E709="","",Murid!E709)</f>
        <v/>
      </c>
      <c r="E709" s="11" t="n"/>
      <c r="F709" s="11" t="n"/>
      <c r="G709" s="10">
        <f>IF(F709="","",IFERROR(VLOOKUP(F709,T_JKP,2,FALSE),0))</f>
        <v/>
      </c>
      <c r="H709" s="11" t="n"/>
      <c r="I709" s="17">
        <f>IF(H709="","",IF(H709&gt;=12,40,ROUND(H709*3.33,2)))</f>
        <v/>
      </c>
      <c r="J709" s="11" t="n"/>
      <c r="K709" s="11" t="n"/>
      <c r="L709" s="11" t="n"/>
      <c r="M709" s="11" t="n"/>
      <c r="N709" s="10">
        <f>IF(COUNTA(J709:M709)=0,"",MIN(10,SUMPRODUCT((COUNTIF(J709:M709,L_KOM)&gt;0)*S_KOM)))</f>
        <v/>
      </c>
      <c r="O709" s="11" t="n"/>
      <c r="P709" s="10">
        <f>IF(O709="","",IFERROR(VLOOKUP(O709,T_KHID,2,FALSE),0))</f>
        <v/>
      </c>
      <c r="Q709" s="11" t="n"/>
      <c r="R709" s="11" t="n"/>
      <c r="S709" s="10">
        <f>IF(AND(Q709="",R709=""),"",IFERROR(INDEX(T_LIBAT,MATCH(Q709,L_PER,0),MATCH(R709,L_JENIS,0)),0))</f>
        <v/>
      </c>
      <c r="T709" s="11" t="n"/>
      <c r="U709" s="11" t="n"/>
      <c r="V709" s="10">
        <f>IF(AND(T709="",U709=""),"",IFERROR(INDEX(T_CAPAI,MATCH(T709,L_PER,0),MATCH(U709,L_KED,0)),0))</f>
        <v/>
      </c>
      <c r="W709" s="17">
        <f>IF(OR(B709="",E709="",COUNTA(F709,H709,J709:M709,O709,Q709:R709,T709:U709)=0),"",SUM(G709,I709,N709,P709,S709,V709))</f>
        <v/>
      </c>
      <c r="X709" s="18">
        <f>IF(W709="","",IF(Murid!F709="TL","TL",ROUND(W709/110*100,2)))</f>
        <v/>
      </c>
    </row>
    <row r="710">
      <c r="A710" s="15">
        <f>Murid!A710</f>
        <v/>
      </c>
      <c r="B710" s="15">
        <f>IF(Murid!B710="","",Murid!B710)</f>
        <v/>
      </c>
      <c r="C710" s="16">
        <f>IF(Murid!C710="","",Murid!C710)</f>
        <v/>
      </c>
      <c r="D710" s="15">
        <f>IF(Murid!E710="","",Murid!E710)</f>
        <v/>
      </c>
      <c r="E710" s="11" t="n"/>
      <c r="F710" s="11" t="n"/>
      <c r="G710" s="10">
        <f>IF(F710="","",IFERROR(VLOOKUP(F710,T_JKP,2,FALSE),0))</f>
        <v/>
      </c>
      <c r="H710" s="11" t="n"/>
      <c r="I710" s="17">
        <f>IF(H710="","",IF(H710&gt;=12,40,ROUND(H710*3.33,2)))</f>
        <v/>
      </c>
      <c r="J710" s="11" t="n"/>
      <c r="K710" s="11" t="n"/>
      <c r="L710" s="11" t="n"/>
      <c r="M710" s="11" t="n"/>
      <c r="N710" s="10">
        <f>IF(COUNTA(J710:M710)=0,"",MIN(10,SUMPRODUCT((COUNTIF(J710:M710,L_KOM)&gt;0)*S_KOM)))</f>
        <v/>
      </c>
      <c r="O710" s="11" t="n"/>
      <c r="P710" s="10">
        <f>IF(O710="","",IFERROR(VLOOKUP(O710,T_KHID,2,FALSE),0))</f>
        <v/>
      </c>
      <c r="Q710" s="11" t="n"/>
      <c r="R710" s="11" t="n"/>
      <c r="S710" s="10">
        <f>IF(AND(Q710="",R710=""),"",IFERROR(INDEX(T_LIBAT,MATCH(Q710,L_PER,0),MATCH(R710,L_JENIS,0)),0))</f>
        <v/>
      </c>
      <c r="T710" s="11" t="n"/>
      <c r="U710" s="11" t="n"/>
      <c r="V710" s="10">
        <f>IF(AND(T710="",U710=""),"",IFERROR(INDEX(T_CAPAI,MATCH(T710,L_PER,0),MATCH(U710,L_KED,0)),0))</f>
        <v/>
      </c>
      <c r="W710" s="17">
        <f>IF(OR(B710="",E710="",COUNTA(F710,H710,J710:M710,O710,Q710:R710,T710:U710)=0),"",SUM(G710,I710,N710,P710,S710,V710))</f>
        <v/>
      </c>
      <c r="X710" s="18">
        <f>IF(W710="","",IF(Murid!F710="TL","TL",ROUND(W710/110*100,2)))</f>
        <v/>
      </c>
    </row>
    <row r="711">
      <c r="A711" s="15">
        <f>Murid!A711</f>
        <v/>
      </c>
      <c r="B711" s="15">
        <f>IF(Murid!B711="","",Murid!B711)</f>
        <v/>
      </c>
      <c r="C711" s="16">
        <f>IF(Murid!C711="","",Murid!C711)</f>
        <v/>
      </c>
      <c r="D711" s="15">
        <f>IF(Murid!E711="","",Murid!E711)</f>
        <v/>
      </c>
      <c r="E711" s="11" t="n"/>
      <c r="F711" s="11" t="n"/>
      <c r="G711" s="10">
        <f>IF(F711="","",IFERROR(VLOOKUP(F711,T_JKP,2,FALSE),0))</f>
        <v/>
      </c>
      <c r="H711" s="11" t="n"/>
      <c r="I711" s="17">
        <f>IF(H711="","",IF(H711&gt;=12,40,ROUND(H711*3.33,2)))</f>
        <v/>
      </c>
      <c r="J711" s="11" t="n"/>
      <c r="K711" s="11" t="n"/>
      <c r="L711" s="11" t="n"/>
      <c r="M711" s="11" t="n"/>
      <c r="N711" s="10">
        <f>IF(COUNTA(J711:M711)=0,"",MIN(10,SUMPRODUCT((COUNTIF(J711:M711,L_KOM)&gt;0)*S_KOM)))</f>
        <v/>
      </c>
      <c r="O711" s="11" t="n"/>
      <c r="P711" s="10">
        <f>IF(O711="","",IFERROR(VLOOKUP(O711,T_KHID,2,FALSE),0))</f>
        <v/>
      </c>
      <c r="Q711" s="11" t="n"/>
      <c r="R711" s="11" t="n"/>
      <c r="S711" s="10">
        <f>IF(AND(Q711="",R711=""),"",IFERROR(INDEX(T_LIBAT,MATCH(Q711,L_PER,0),MATCH(R711,L_JENIS,0)),0))</f>
        <v/>
      </c>
      <c r="T711" s="11" t="n"/>
      <c r="U711" s="11" t="n"/>
      <c r="V711" s="10">
        <f>IF(AND(T711="",U711=""),"",IFERROR(INDEX(T_CAPAI,MATCH(T711,L_PER,0),MATCH(U711,L_KED,0)),0))</f>
        <v/>
      </c>
      <c r="W711" s="17">
        <f>IF(OR(B711="",E711="",COUNTA(F711,H711,J711:M711,O711,Q711:R711,T711:U711)=0),"",SUM(G711,I711,N711,P711,S711,V711))</f>
        <v/>
      </c>
      <c r="X711" s="18">
        <f>IF(W711="","",IF(Murid!F711="TL","TL",ROUND(W711/110*100,2)))</f>
        <v/>
      </c>
    </row>
    <row r="712">
      <c r="A712" s="15">
        <f>Murid!A712</f>
        <v/>
      </c>
      <c r="B712" s="15">
        <f>IF(Murid!B712="","",Murid!B712)</f>
        <v/>
      </c>
      <c r="C712" s="16">
        <f>IF(Murid!C712="","",Murid!C712)</f>
        <v/>
      </c>
      <c r="D712" s="15">
        <f>IF(Murid!E712="","",Murid!E712)</f>
        <v/>
      </c>
      <c r="E712" s="11" t="n"/>
      <c r="F712" s="11" t="n"/>
      <c r="G712" s="10">
        <f>IF(F712="","",IFERROR(VLOOKUP(F712,T_JKP,2,FALSE),0))</f>
        <v/>
      </c>
      <c r="H712" s="11" t="n"/>
      <c r="I712" s="17">
        <f>IF(H712="","",IF(H712&gt;=12,40,ROUND(H712*3.33,2)))</f>
        <v/>
      </c>
      <c r="J712" s="11" t="n"/>
      <c r="K712" s="11" t="n"/>
      <c r="L712" s="11" t="n"/>
      <c r="M712" s="11" t="n"/>
      <c r="N712" s="10">
        <f>IF(COUNTA(J712:M712)=0,"",MIN(10,SUMPRODUCT((COUNTIF(J712:M712,L_KOM)&gt;0)*S_KOM)))</f>
        <v/>
      </c>
      <c r="O712" s="11" t="n"/>
      <c r="P712" s="10">
        <f>IF(O712="","",IFERROR(VLOOKUP(O712,T_KHID,2,FALSE),0))</f>
        <v/>
      </c>
      <c r="Q712" s="11" t="n"/>
      <c r="R712" s="11" t="n"/>
      <c r="S712" s="10">
        <f>IF(AND(Q712="",R712=""),"",IFERROR(INDEX(T_LIBAT,MATCH(Q712,L_PER,0),MATCH(R712,L_JENIS,0)),0))</f>
        <v/>
      </c>
      <c r="T712" s="11" t="n"/>
      <c r="U712" s="11" t="n"/>
      <c r="V712" s="10">
        <f>IF(AND(T712="",U712=""),"",IFERROR(INDEX(T_CAPAI,MATCH(T712,L_PER,0),MATCH(U712,L_KED,0)),0))</f>
        <v/>
      </c>
      <c r="W712" s="17">
        <f>IF(OR(B712="",E712="",COUNTA(F712,H712,J712:M712,O712,Q712:R712,T712:U712)=0),"",SUM(G712,I712,N712,P712,S712,V712))</f>
        <v/>
      </c>
      <c r="X712" s="18">
        <f>IF(W712="","",IF(Murid!F712="TL","TL",ROUND(W712/110*100,2)))</f>
        <v/>
      </c>
    </row>
    <row r="713">
      <c r="A713" s="15">
        <f>Murid!A713</f>
        <v/>
      </c>
      <c r="B713" s="15">
        <f>IF(Murid!B713="","",Murid!B713)</f>
        <v/>
      </c>
      <c r="C713" s="16">
        <f>IF(Murid!C713="","",Murid!C713)</f>
        <v/>
      </c>
      <c r="D713" s="15">
        <f>IF(Murid!E713="","",Murid!E713)</f>
        <v/>
      </c>
      <c r="E713" s="11" t="n"/>
      <c r="F713" s="11" t="n"/>
      <c r="G713" s="10">
        <f>IF(F713="","",IFERROR(VLOOKUP(F713,T_JKP,2,FALSE),0))</f>
        <v/>
      </c>
      <c r="H713" s="11" t="n"/>
      <c r="I713" s="17">
        <f>IF(H713="","",IF(H713&gt;=12,40,ROUND(H713*3.33,2)))</f>
        <v/>
      </c>
      <c r="J713" s="11" t="n"/>
      <c r="K713" s="11" t="n"/>
      <c r="L713" s="11" t="n"/>
      <c r="M713" s="11" t="n"/>
      <c r="N713" s="10">
        <f>IF(COUNTA(J713:M713)=0,"",MIN(10,SUMPRODUCT((COUNTIF(J713:M713,L_KOM)&gt;0)*S_KOM)))</f>
        <v/>
      </c>
      <c r="O713" s="11" t="n"/>
      <c r="P713" s="10">
        <f>IF(O713="","",IFERROR(VLOOKUP(O713,T_KHID,2,FALSE),0))</f>
        <v/>
      </c>
      <c r="Q713" s="11" t="n"/>
      <c r="R713" s="11" t="n"/>
      <c r="S713" s="10">
        <f>IF(AND(Q713="",R713=""),"",IFERROR(INDEX(T_LIBAT,MATCH(Q713,L_PER,0),MATCH(R713,L_JENIS,0)),0))</f>
        <v/>
      </c>
      <c r="T713" s="11" t="n"/>
      <c r="U713" s="11" t="n"/>
      <c r="V713" s="10">
        <f>IF(AND(T713="",U713=""),"",IFERROR(INDEX(T_CAPAI,MATCH(T713,L_PER,0),MATCH(U713,L_KED,0)),0))</f>
        <v/>
      </c>
      <c r="W713" s="17">
        <f>IF(OR(B713="",E713="",COUNTA(F713,H713,J713:M713,O713,Q713:R713,T713:U713)=0),"",SUM(G713,I713,N713,P713,S713,V713))</f>
        <v/>
      </c>
      <c r="X713" s="18">
        <f>IF(W713="","",IF(Murid!F713="TL","TL",ROUND(W713/110*100,2)))</f>
        <v/>
      </c>
    </row>
    <row r="714">
      <c r="A714" s="15">
        <f>Murid!A714</f>
        <v/>
      </c>
      <c r="B714" s="15">
        <f>IF(Murid!B714="","",Murid!B714)</f>
        <v/>
      </c>
      <c r="C714" s="16">
        <f>IF(Murid!C714="","",Murid!C714)</f>
        <v/>
      </c>
      <c r="D714" s="15">
        <f>IF(Murid!E714="","",Murid!E714)</f>
        <v/>
      </c>
      <c r="E714" s="11" t="n"/>
      <c r="F714" s="11" t="n"/>
      <c r="G714" s="10">
        <f>IF(F714="","",IFERROR(VLOOKUP(F714,T_JKP,2,FALSE),0))</f>
        <v/>
      </c>
      <c r="H714" s="11" t="n"/>
      <c r="I714" s="17">
        <f>IF(H714="","",IF(H714&gt;=12,40,ROUND(H714*3.33,2)))</f>
        <v/>
      </c>
      <c r="J714" s="11" t="n"/>
      <c r="K714" s="11" t="n"/>
      <c r="L714" s="11" t="n"/>
      <c r="M714" s="11" t="n"/>
      <c r="N714" s="10">
        <f>IF(COUNTA(J714:M714)=0,"",MIN(10,SUMPRODUCT((COUNTIF(J714:M714,L_KOM)&gt;0)*S_KOM)))</f>
        <v/>
      </c>
      <c r="O714" s="11" t="n"/>
      <c r="P714" s="10">
        <f>IF(O714="","",IFERROR(VLOOKUP(O714,T_KHID,2,FALSE),0))</f>
        <v/>
      </c>
      <c r="Q714" s="11" t="n"/>
      <c r="R714" s="11" t="n"/>
      <c r="S714" s="10">
        <f>IF(AND(Q714="",R714=""),"",IFERROR(INDEX(T_LIBAT,MATCH(Q714,L_PER,0),MATCH(R714,L_JENIS,0)),0))</f>
        <v/>
      </c>
      <c r="T714" s="11" t="n"/>
      <c r="U714" s="11" t="n"/>
      <c r="V714" s="10">
        <f>IF(AND(T714="",U714=""),"",IFERROR(INDEX(T_CAPAI,MATCH(T714,L_PER,0),MATCH(U714,L_KED,0)),0))</f>
        <v/>
      </c>
      <c r="W714" s="17">
        <f>IF(OR(B714="",E714="",COUNTA(F714,H714,J714:M714,O714,Q714:R714,T714:U714)=0),"",SUM(G714,I714,N714,P714,S714,V714))</f>
        <v/>
      </c>
      <c r="X714" s="18">
        <f>IF(W714="","",IF(Murid!F714="TL","TL",ROUND(W714/110*100,2)))</f>
        <v/>
      </c>
    </row>
    <row r="715">
      <c r="A715" s="15">
        <f>Murid!A715</f>
        <v/>
      </c>
      <c r="B715" s="15">
        <f>IF(Murid!B715="","",Murid!B715)</f>
        <v/>
      </c>
      <c r="C715" s="16">
        <f>IF(Murid!C715="","",Murid!C715)</f>
        <v/>
      </c>
      <c r="D715" s="15">
        <f>IF(Murid!E715="","",Murid!E715)</f>
        <v/>
      </c>
      <c r="E715" s="11" t="n"/>
      <c r="F715" s="11" t="n"/>
      <c r="G715" s="10">
        <f>IF(F715="","",IFERROR(VLOOKUP(F715,T_JKP,2,FALSE),0))</f>
        <v/>
      </c>
      <c r="H715" s="11" t="n"/>
      <c r="I715" s="17">
        <f>IF(H715="","",IF(H715&gt;=12,40,ROUND(H715*3.33,2)))</f>
        <v/>
      </c>
      <c r="J715" s="11" t="n"/>
      <c r="K715" s="11" t="n"/>
      <c r="L715" s="11" t="n"/>
      <c r="M715" s="11" t="n"/>
      <c r="N715" s="10">
        <f>IF(COUNTA(J715:M715)=0,"",MIN(10,SUMPRODUCT((COUNTIF(J715:M715,L_KOM)&gt;0)*S_KOM)))</f>
        <v/>
      </c>
      <c r="O715" s="11" t="n"/>
      <c r="P715" s="10">
        <f>IF(O715="","",IFERROR(VLOOKUP(O715,T_KHID,2,FALSE),0))</f>
        <v/>
      </c>
      <c r="Q715" s="11" t="n"/>
      <c r="R715" s="11" t="n"/>
      <c r="S715" s="10">
        <f>IF(AND(Q715="",R715=""),"",IFERROR(INDEX(T_LIBAT,MATCH(Q715,L_PER,0),MATCH(R715,L_JENIS,0)),0))</f>
        <v/>
      </c>
      <c r="T715" s="11" t="n"/>
      <c r="U715" s="11" t="n"/>
      <c r="V715" s="10">
        <f>IF(AND(T715="",U715=""),"",IFERROR(INDEX(T_CAPAI,MATCH(T715,L_PER,0),MATCH(U715,L_KED,0)),0))</f>
        <v/>
      </c>
      <c r="W715" s="17">
        <f>IF(OR(B715="",E715="",COUNTA(F715,H715,J715:M715,O715,Q715:R715,T715:U715)=0),"",SUM(G715,I715,N715,P715,S715,V715))</f>
        <v/>
      </c>
      <c r="X715" s="18">
        <f>IF(W715="","",IF(Murid!F715="TL","TL",ROUND(W715/110*100,2)))</f>
        <v/>
      </c>
    </row>
    <row r="716">
      <c r="A716" s="15">
        <f>Murid!A716</f>
        <v/>
      </c>
      <c r="B716" s="15">
        <f>IF(Murid!B716="","",Murid!B716)</f>
        <v/>
      </c>
      <c r="C716" s="16">
        <f>IF(Murid!C716="","",Murid!C716)</f>
        <v/>
      </c>
      <c r="D716" s="15">
        <f>IF(Murid!E716="","",Murid!E716)</f>
        <v/>
      </c>
      <c r="E716" s="11" t="n"/>
      <c r="F716" s="11" t="n"/>
      <c r="G716" s="10">
        <f>IF(F716="","",IFERROR(VLOOKUP(F716,T_JKP,2,FALSE),0))</f>
        <v/>
      </c>
      <c r="H716" s="11" t="n"/>
      <c r="I716" s="17">
        <f>IF(H716="","",IF(H716&gt;=12,40,ROUND(H716*3.33,2)))</f>
        <v/>
      </c>
      <c r="J716" s="11" t="n"/>
      <c r="K716" s="11" t="n"/>
      <c r="L716" s="11" t="n"/>
      <c r="M716" s="11" t="n"/>
      <c r="N716" s="10">
        <f>IF(COUNTA(J716:M716)=0,"",MIN(10,SUMPRODUCT((COUNTIF(J716:M716,L_KOM)&gt;0)*S_KOM)))</f>
        <v/>
      </c>
      <c r="O716" s="11" t="n"/>
      <c r="P716" s="10">
        <f>IF(O716="","",IFERROR(VLOOKUP(O716,T_KHID,2,FALSE),0))</f>
        <v/>
      </c>
      <c r="Q716" s="11" t="n"/>
      <c r="R716" s="11" t="n"/>
      <c r="S716" s="10">
        <f>IF(AND(Q716="",R716=""),"",IFERROR(INDEX(T_LIBAT,MATCH(Q716,L_PER,0),MATCH(R716,L_JENIS,0)),0))</f>
        <v/>
      </c>
      <c r="T716" s="11" t="n"/>
      <c r="U716" s="11" t="n"/>
      <c r="V716" s="10">
        <f>IF(AND(T716="",U716=""),"",IFERROR(INDEX(T_CAPAI,MATCH(T716,L_PER,0),MATCH(U716,L_KED,0)),0))</f>
        <v/>
      </c>
      <c r="W716" s="17">
        <f>IF(OR(B716="",E716="",COUNTA(F716,H716,J716:M716,O716,Q716:R716,T716:U716)=0),"",SUM(G716,I716,N716,P716,S716,V716))</f>
        <v/>
      </c>
      <c r="X716" s="18">
        <f>IF(W716="","",IF(Murid!F716="TL","TL",ROUND(W716/110*100,2)))</f>
        <v/>
      </c>
    </row>
    <row r="717">
      <c r="A717" s="15">
        <f>Murid!A717</f>
        <v/>
      </c>
      <c r="B717" s="15">
        <f>IF(Murid!B717="","",Murid!B717)</f>
        <v/>
      </c>
      <c r="C717" s="16">
        <f>IF(Murid!C717="","",Murid!C717)</f>
        <v/>
      </c>
      <c r="D717" s="15">
        <f>IF(Murid!E717="","",Murid!E717)</f>
        <v/>
      </c>
      <c r="E717" s="11" t="n"/>
      <c r="F717" s="11" t="n"/>
      <c r="G717" s="10">
        <f>IF(F717="","",IFERROR(VLOOKUP(F717,T_JKP,2,FALSE),0))</f>
        <v/>
      </c>
      <c r="H717" s="11" t="n"/>
      <c r="I717" s="17">
        <f>IF(H717="","",IF(H717&gt;=12,40,ROUND(H717*3.33,2)))</f>
        <v/>
      </c>
      <c r="J717" s="11" t="n"/>
      <c r="K717" s="11" t="n"/>
      <c r="L717" s="11" t="n"/>
      <c r="M717" s="11" t="n"/>
      <c r="N717" s="10">
        <f>IF(COUNTA(J717:M717)=0,"",MIN(10,SUMPRODUCT((COUNTIF(J717:M717,L_KOM)&gt;0)*S_KOM)))</f>
        <v/>
      </c>
      <c r="O717" s="11" t="n"/>
      <c r="P717" s="10">
        <f>IF(O717="","",IFERROR(VLOOKUP(O717,T_KHID,2,FALSE),0))</f>
        <v/>
      </c>
      <c r="Q717" s="11" t="n"/>
      <c r="R717" s="11" t="n"/>
      <c r="S717" s="10">
        <f>IF(AND(Q717="",R717=""),"",IFERROR(INDEX(T_LIBAT,MATCH(Q717,L_PER,0),MATCH(R717,L_JENIS,0)),0))</f>
        <v/>
      </c>
      <c r="T717" s="11" t="n"/>
      <c r="U717" s="11" t="n"/>
      <c r="V717" s="10">
        <f>IF(AND(T717="",U717=""),"",IFERROR(INDEX(T_CAPAI,MATCH(T717,L_PER,0),MATCH(U717,L_KED,0)),0))</f>
        <v/>
      </c>
      <c r="W717" s="17">
        <f>IF(OR(B717="",E717="",COUNTA(F717,H717,J717:M717,O717,Q717:R717,T717:U717)=0),"",SUM(G717,I717,N717,P717,S717,V717))</f>
        <v/>
      </c>
      <c r="X717" s="18">
        <f>IF(W717="","",IF(Murid!F717="TL","TL",ROUND(W717/110*100,2)))</f>
        <v/>
      </c>
    </row>
    <row r="718">
      <c r="A718" s="15">
        <f>Murid!A718</f>
        <v/>
      </c>
      <c r="B718" s="15">
        <f>IF(Murid!B718="","",Murid!B718)</f>
        <v/>
      </c>
      <c r="C718" s="16">
        <f>IF(Murid!C718="","",Murid!C718)</f>
        <v/>
      </c>
      <c r="D718" s="15">
        <f>IF(Murid!E718="","",Murid!E718)</f>
        <v/>
      </c>
      <c r="E718" s="11" t="n"/>
      <c r="F718" s="11" t="n"/>
      <c r="G718" s="10">
        <f>IF(F718="","",IFERROR(VLOOKUP(F718,T_JKP,2,FALSE),0))</f>
        <v/>
      </c>
      <c r="H718" s="11" t="n"/>
      <c r="I718" s="17">
        <f>IF(H718="","",IF(H718&gt;=12,40,ROUND(H718*3.33,2)))</f>
        <v/>
      </c>
      <c r="J718" s="11" t="n"/>
      <c r="K718" s="11" t="n"/>
      <c r="L718" s="11" t="n"/>
      <c r="M718" s="11" t="n"/>
      <c r="N718" s="10">
        <f>IF(COUNTA(J718:M718)=0,"",MIN(10,SUMPRODUCT((COUNTIF(J718:M718,L_KOM)&gt;0)*S_KOM)))</f>
        <v/>
      </c>
      <c r="O718" s="11" t="n"/>
      <c r="P718" s="10">
        <f>IF(O718="","",IFERROR(VLOOKUP(O718,T_KHID,2,FALSE),0))</f>
        <v/>
      </c>
      <c r="Q718" s="11" t="n"/>
      <c r="R718" s="11" t="n"/>
      <c r="S718" s="10">
        <f>IF(AND(Q718="",R718=""),"",IFERROR(INDEX(T_LIBAT,MATCH(Q718,L_PER,0),MATCH(R718,L_JENIS,0)),0))</f>
        <v/>
      </c>
      <c r="T718" s="11" t="n"/>
      <c r="U718" s="11" t="n"/>
      <c r="V718" s="10">
        <f>IF(AND(T718="",U718=""),"",IFERROR(INDEX(T_CAPAI,MATCH(T718,L_PER,0),MATCH(U718,L_KED,0)),0))</f>
        <v/>
      </c>
      <c r="W718" s="17">
        <f>IF(OR(B718="",E718="",COUNTA(F718,H718,J718:M718,O718,Q718:R718,T718:U718)=0),"",SUM(G718,I718,N718,P718,S718,V718))</f>
        <v/>
      </c>
      <c r="X718" s="18">
        <f>IF(W718="","",IF(Murid!F718="TL","TL",ROUND(W718/110*100,2)))</f>
        <v/>
      </c>
    </row>
    <row r="719">
      <c r="A719" s="15">
        <f>Murid!A719</f>
        <v/>
      </c>
      <c r="B719" s="15">
        <f>IF(Murid!B719="","",Murid!B719)</f>
        <v/>
      </c>
      <c r="C719" s="16">
        <f>IF(Murid!C719="","",Murid!C719)</f>
        <v/>
      </c>
      <c r="D719" s="15">
        <f>IF(Murid!E719="","",Murid!E719)</f>
        <v/>
      </c>
      <c r="E719" s="11" t="n"/>
      <c r="F719" s="11" t="n"/>
      <c r="G719" s="10">
        <f>IF(F719="","",IFERROR(VLOOKUP(F719,T_JKP,2,FALSE),0))</f>
        <v/>
      </c>
      <c r="H719" s="11" t="n"/>
      <c r="I719" s="17">
        <f>IF(H719="","",IF(H719&gt;=12,40,ROUND(H719*3.33,2)))</f>
        <v/>
      </c>
      <c r="J719" s="11" t="n"/>
      <c r="K719" s="11" t="n"/>
      <c r="L719" s="11" t="n"/>
      <c r="M719" s="11" t="n"/>
      <c r="N719" s="10">
        <f>IF(COUNTA(J719:M719)=0,"",MIN(10,SUMPRODUCT((COUNTIF(J719:M719,L_KOM)&gt;0)*S_KOM)))</f>
        <v/>
      </c>
      <c r="O719" s="11" t="n"/>
      <c r="P719" s="10">
        <f>IF(O719="","",IFERROR(VLOOKUP(O719,T_KHID,2,FALSE),0))</f>
        <v/>
      </c>
      <c r="Q719" s="11" t="n"/>
      <c r="R719" s="11" t="n"/>
      <c r="S719" s="10">
        <f>IF(AND(Q719="",R719=""),"",IFERROR(INDEX(T_LIBAT,MATCH(Q719,L_PER,0),MATCH(R719,L_JENIS,0)),0))</f>
        <v/>
      </c>
      <c r="T719" s="11" t="n"/>
      <c r="U719" s="11" t="n"/>
      <c r="V719" s="10">
        <f>IF(AND(T719="",U719=""),"",IFERROR(INDEX(T_CAPAI,MATCH(T719,L_PER,0),MATCH(U719,L_KED,0)),0))</f>
        <v/>
      </c>
      <c r="W719" s="17">
        <f>IF(OR(B719="",E719="",COUNTA(F719,H719,J719:M719,O719,Q719:R719,T719:U719)=0),"",SUM(G719,I719,N719,P719,S719,V719))</f>
        <v/>
      </c>
      <c r="X719" s="18">
        <f>IF(W719="","",IF(Murid!F719="TL","TL",ROUND(W719/110*100,2)))</f>
        <v/>
      </c>
    </row>
    <row r="720">
      <c r="A720" s="15">
        <f>Murid!A720</f>
        <v/>
      </c>
      <c r="B720" s="15">
        <f>IF(Murid!B720="","",Murid!B720)</f>
        <v/>
      </c>
      <c r="C720" s="16">
        <f>IF(Murid!C720="","",Murid!C720)</f>
        <v/>
      </c>
      <c r="D720" s="15">
        <f>IF(Murid!E720="","",Murid!E720)</f>
        <v/>
      </c>
      <c r="E720" s="11" t="n"/>
      <c r="F720" s="11" t="n"/>
      <c r="G720" s="10">
        <f>IF(F720="","",IFERROR(VLOOKUP(F720,T_JKP,2,FALSE),0))</f>
        <v/>
      </c>
      <c r="H720" s="11" t="n"/>
      <c r="I720" s="17">
        <f>IF(H720="","",IF(H720&gt;=12,40,ROUND(H720*3.33,2)))</f>
        <v/>
      </c>
      <c r="J720" s="11" t="n"/>
      <c r="K720" s="11" t="n"/>
      <c r="L720" s="11" t="n"/>
      <c r="M720" s="11" t="n"/>
      <c r="N720" s="10">
        <f>IF(COUNTA(J720:M720)=0,"",MIN(10,SUMPRODUCT((COUNTIF(J720:M720,L_KOM)&gt;0)*S_KOM)))</f>
        <v/>
      </c>
      <c r="O720" s="11" t="n"/>
      <c r="P720" s="10">
        <f>IF(O720="","",IFERROR(VLOOKUP(O720,T_KHID,2,FALSE),0))</f>
        <v/>
      </c>
      <c r="Q720" s="11" t="n"/>
      <c r="R720" s="11" t="n"/>
      <c r="S720" s="10">
        <f>IF(AND(Q720="",R720=""),"",IFERROR(INDEX(T_LIBAT,MATCH(Q720,L_PER,0),MATCH(R720,L_JENIS,0)),0))</f>
        <v/>
      </c>
      <c r="T720" s="11" t="n"/>
      <c r="U720" s="11" t="n"/>
      <c r="V720" s="10">
        <f>IF(AND(T720="",U720=""),"",IFERROR(INDEX(T_CAPAI,MATCH(T720,L_PER,0),MATCH(U720,L_KED,0)),0))</f>
        <v/>
      </c>
      <c r="W720" s="17">
        <f>IF(OR(B720="",E720="",COUNTA(F720,H720,J720:M720,O720,Q720:R720,T720:U720)=0),"",SUM(G720,I720,N720,P720,S720,V720))</f>
        <v/>
      </c>
      <c r="X720" s="18">
        <f>IF(W720="","",IF(Murid!F720="TL","TL",ROUND(W720/110*100,2)))</f>
        <v/>
      </c>
    </row>
    <row r="721">
      <c r="A721" s="15">
        <f>Murid!A721</f>
        <v/>
      </c>
      <c r="B721" s="15">
        <f>IF(Murid!B721="","",Murid!B721)</f>
        <v/>
      </c>
      <c r="C721" s="16">
        <f>IF(Murid!C721="","",Murid!C721)</f>
        <v/>
      </c>
      <c r="D721" s="15">
        <f>IF(Murid!E721="","",Murid!E721)</f>
        <v/>
      </c>
      <c r="E721" s="11" t="n"/>
      <c r="F721" s="11" t="n"/>
      <c r="G721" s="10">
        <f>IF(F721="","",IFERROR(VLOOKUP(F721,T_JKP,2,FALSE),0))</f>
        <v/>
      </c>
      <c r="H721" s="11" t="n"/>
      <c r="I721" s="17">
        <f>IF(H721="","",IF(H721&gt;=12,40,ROUND(H721*3.33,2)))</f>
        <v/>
      </c>
      <c r="J721" s="11" t="n"/>
      <c r="K721" s="11" t="n"/>
      <c r="L721" s="11" t="n"/>
      <c r="M721" s="11" t="n"/>
      <c r="N721" s="10">
        <f>IF(COUNTA(J721:M721)=0,"",MIN(10,SUMPRODUCT((COUNTIF(J721:M721,L_KOM)&gt;0)*S_KOM)))</f>
        <v/>
      </c>
      <c r="O721" s="11" t="n"/>
      <c r="P721" s="10">
        <f>IF(O721="","",IFERROR(VLOOKUP(O721,T_KHID,2,FALSE),0))</f>
        <v/>
      </c>
      <c r="Q721" s="11" t="n"/>
      <c r="R721" s="11" t="n"/>
      <c r="S721" s="10">
        <f>IF(AND(Q721="",R721=""),"",IFERROR(INDEX(T_LIBAT,MATCH(Q721,L_PER,0),MATCH(R721,L_JENIS,0)),0))</f>
        <v/>
      </c>
      <c r="T721" s="11" t="n"/>
      <c r="U721" s="11" t="n"/>
      <c r="V721" s="10">
        <f>IF(AND(T721="",U721=""),"",IFERROR(INDEX(T_CAPAI,MATCH(T721,L_PER,0),MATCH(U721,L_KED,0)),0))</f>
        <v/>
      </c>
      <c r="W721" s="17">
        <f>IF(OR(B721="",E721="",COUNTA(F721,H721,J721:M721,O721,Q721:R721,T721:U721)=0),"",SUM(G721,I721,N721,P721,S721,V721))</f>
        <v/>
      </c>
      <c r="X721" s="18">
        <f>IF(W721="","",IF(Murid!F721="TL","TL",ROUND(W721/110*100,2)))</f>
        <v/>
      </c>
    </row>
    <row r="722">
      <c r="A722" s="15">
        <f>Murid!A722</f>
        <v/>
      </c>
      <c r="B722" s="15">
        <f>IF(Murid!B722="","",Murid!B722)</f>
        <v/>
      </c>
      <c r="C722" s="16">
        <f>IF(Murid!C722="","",Murid!C722)</f>
        <v/>
      </c>
      <c r="D722" s="15">
        <f>IF(Murid!E722="","",Murid!E722)</f>
        <v/>
      </c>
      <c r="E722" s="11" t="n"/>
      <c r="F722" s="11" t="n"/>
      <c r="G722" s="10">
        <f>IF(F722="","",IFERROR(VLOOKUP(F722,T_JKP,2,FALSE),0))</f>
        <v/>
      </c>
      <c r="H722" s="11" t="n"/>
      <c r="I722" s="17">
        <f>IF(H722="","",IF(H722&gt;=12,40,ROUND(H722*3.33,2)))</f>
        <v/>
      </c>
      <c r="J722" s="11" t="n"/>
      <c r="K722" s="11" t="n"/>
      <c r="L722" s="11" t="n"/>
      <c r="M722" s="11" t="n"/>
      <c r="N722" s="10">
        <f>IF(COUNTA(J722:M722)=0,"",MIN(10,SUMPRODUCT((COUNTIF(J722:M722,L_KOM)&gt;0)*S_KOM)))</f>
        <v/>
      </c>
      <c r="O722" s="11" t="n"/>
      <c r="P722" s="10">
        <f>IF(O722="","",IFERROR(VLOOKUP(O722,T_KHID,2,FALSE),0))</f>
        <v/>
      </c>
      <c r="Q722" s="11" t="n"/>
      <c r="R722" s="11" t="n"/>
      <c r="S722" s="10">
        <f>IF(AND(Q722="",R722=""),"",IFERROR(INDEX(T_LIBAT,MATCH(Q722,L_PER,0),MATCH(R722,L_JENIS,0)),0))</f>
        <v/>
      </c>
      <c r="T722" s="11" t="n"/>
      <c r="U722" s="11" t="n"/>
      <c r="V722" s="10">
        <f>IF(AND(T722="",U722=""),"",IFERROR(INDEX(T_CAPAI,MATCH(T722,L_PER,0),MATCH(U722,L_KED,0)),0))</f>
        <v/>
      </c>
      <c r="W722" s="17">
        <f>IF(OR(B722="",E722="",COUNTA(F722,H722,J722:M722,O722,Q722:R722,T722:U722)=0),"",SUM(G722,I722,N722,P722,S722,V722))</f>
        <v/>
      </c>
      <c r="X722" s="18">
        <f>IF(W722="","",IF(Murid!F722="TL","TL",ROUND(W722/110*100,2)))</f>
        <v/>
      </c>
    </row>
    <row r="723">
      <c r="A723" s="15">
        <f>Murid!A723</f>
        <v/>
      </c>
      <c r="B723" s="15">
        <f>IF(Murid!B723="","",Murid!B723)</f>
        <v/>
      </c>
      <c r="C723" s="16">
        <f>IF(Murid!C723="","",Murid!C723)</f>
        <v/>
      </c>
      <c r="D723" s="15">
        <f>IF(Murid!E723="","",Murid!E723)</f>
        <v/>
      </c>
      <c r="E723" s="11" t="n"/>
      <c r="F723" s="11" t="n"/>
      <c r="G723" s="10">
        <f>IF(F723="","",IFERROR(VLOOKUP(F723,T_JKP,2,FALSE),0))</f>
        <v/>
      </c>
      <c r="H723" s="11" t="n"/>
      <c r="I723" s="17">
        <f>IF(H723="","",IF(H723&gt;=12,40,ROUND(H723*3.33,2)))</f>
        <v/>
      </c>
      <c r="J723" s="11" t="n"/>
      <c r="K723" s="11" t="n"/>
      <c r="L723" s="11" t="n"/>
      <c r="M723" s="11" t="n"/>
      <c r="N723" s="10">
        <f>IF(COUNTA(J723:M723)=0,"",MIN(10,SUMPRODUCT((COUNTIF(J723:M723,L_KOM)&gt;0)*S_KOM)))</f>
        <v/>
      </c>
      <c r="O723" s="11" t="n"/>
      <c r="P723" s="10">
        <f>IF(O723="","",IFERROR(VLOOKUP(O723,T_KHID,2,FALSE),0))</f>
        <v/>
      </c>
      <c r="Q723" s="11" t="n"/>
      <c r="R723" s="11" t="n"/>
      <c r="S723" s="10">
        <f>IF(AND(Q723="",R723=""),"",IFERROR(INDEX(T_LIBAT,MATCH(Q723,L_PER,0),MATCH(R723,L_JENIS,0)),0))</f>
        <v/>
      </c>
      <c r="T723" s="11" t="n"/>
      <c r="U723" s="11" t="n"/>
      <c r="V723" s="10">
        <f>IF(AND(T723="",U723=""),"",IFERROR(INDEX(T_CAPAI,MATCH(T723,L_PER,0),MATCH(U723,L_KED,0)),0))</f>
        <v/>
      </c>
      <c r="W723" s="17">
        <f>IF(OR(B723="",E723="",COUNTA(F723,H723,J723:M723,O723,Q723:R723,T723:U723)=0),"",SUM(G723,I723,N723,P723,S723,V723))</f>
        <v/>
      </c>
      <c r="X723" s="18">
        <f>IF(W723="","",IF(Murid!F723="TL","TL",ROUND(W723/110*100,2)))</f>
        <v/>
      </c>
    </row>
    <row r="724">
      <c r="A724" s="15">
        <f>Murid!A724</f>
        <v/>
      </c>
      <c r="B724" s="15">
        <f>IF(Murid!B724="","",Murid!B724)</f>
        <v/>
      </c>
      <c r="C724" s="16">
        <f>IF(Murid!C724="","",Murid!C724)</f>
        <v/>
      </c>
      <c r="D724" s="15">
        <f>IF(Murid!E724="","",Murid!E724)</f>
        <v/>
      </c>
      <c r="E724" s="11" t="n"/>
      <c r="F724" s="11" t="n"/>
      <c r="G724" s="10">
        <f>IF(F724="","",IFERROR(VLOOKUP(F724,T_JKP,2,FALSE),0))</f>
        <v/>
      </c>
      <c r="H724" s="11" t="n"/>
      <c r="I724" s="17">
        <f>IF(H724="","",IF(H724&gt;=12,40,ROUND(H724*3.33,2)))</f>
        <v/>
      </c>
      <c r="J724" s="11" t="n"/>
      <c r="K724" s="11" t="n"/>
      <c r="L724" s="11" t="n"/>
      <c r="M724" s="11" t="n"/>
      <c r="N724" s="10">
        <f>IF(COUNTA(J724:M724)=0,"",MIN(10,SUMPRODUCT((COUNTIF(J724:M724,L_KOM)&gt;0)*S_KOM)))</f>
        <v/>
      </c>
      <c r="O724" s="11" t="n"/>
      <c r="P724" s="10">
        <f>IF(O724="","",IFERROR(VLOOKUP(O724,T_KHID,2,FALSE),0))</f>
        <v/>
      </c>
      <c r="Q724" s="11" t="n"/>
      <c r="R724" s="11" t="n"/>
      <c r="S724" s="10">
        <f>IF(AND(Q724="",R724=""),"",IFERROR(INDEX(T_LIBAT,MATCH(Q724,L_PER,0),MATCH(R724,L_JENIS,0)),0))</f>
        <v/>
      </c>
      <c r="T724" s="11" t="n"/>
      <c r="U724" s="11" t="n"/>
      <c r="V724" s="10">
        <f>IF(AND(T724="",U724=""),"",IFERROR(INDEX(T_CAPAI,MATCH(T724,L_PER,0),MATCH(U724,L_KED,0)),0))</f>
        <v/>
      </c>
      <c r="W724" s="17">
        <f>IF(OR(B724="",E724="",COUNTA(F724,H724,J724:M724,O724,Q724:R724,T724:U724)=0),"",SUM(G724,I724,N724,P724,S724,V724))</f>
        <v/>
      </c>
      <c r="X724" s="18">
        <f>IF(W724="","",IF(Murid!F724="TL","TL",ROUND(W724/110*100,2)))</f>
        <v/>
      </c>
    </row>
    <row r="725">
      <c r="A725" s="15">
        <f>Murid!A725</f>
        <v/>
      </c>
      <c r="B725" s="15">
        <f>IF(Murid!B725="","",Murid!B725)</f>
        <v/>
      </c>
      <c r="C725" s="16">
        <f>IF(Murid!C725="","",Murid!C725)</f>
        <v/>
      </c>
      <c r="D725" s="15">
        <f>IF(Murid!E725="","",Murid!E725)</f>
        <v/>
      </c>
      <c r="E725" s="11" t="n"/>
      <c r="F725" s="11" t="n"/>
      <c r="G725" s="10">
        <f>IF(F725="","",IFERROR(VLOOKUP(F725,T_JKP,2,FALSE),0))</f>
        <v/>
      </c>
      <c r="H725" s="11" t="n"/>
      <c r="I725" s="17">
        <f>IF(H725="","",IF(H725&gt;=12,40,ROUND(H725*3.33,2)))</f>
        <v/>
      </c>
      <c r="J725" s="11" t="n"/>
      <c r="K725" s="11" t="n"/>
      <c r="L725" s="11" t="n"/>
      <c r="M725" s="11" t="n"/>
      <c r="N725" s="10">
        <f>IF(COUNTA(J725:M725)=0,"",MIN(10,SUMPRODUCT((COUNTIF(J725:M725,L_KOM)&gt;0)*S_KOM)))</f>
        <v/>
      </c>
      <c r="O725" s="11" t="n"/>
      <c r="P725" s="10">
        <f>IF(O725="","",IFERROR(VLOOKUP(O725,T_KHID,2,FALSE),0))</f>
        <v/>
      </c>
      <c r="Q725" s="11" t="n"/>
      <c r="R725" s="11" t="n"/>
      <c r="S725" s="10">
        <f>IF(AND(Q725="",R725=""),"",IFERROR(INDEX(T_LIBAT,MATCH(Q725,L_PER,0),MATCH(R725,L_JENIS,0)),0))</f>
        <v/>
      </c>
      <c r="T725" s="11" t="n"/>
      <c r="U725" s="11" t="n"/>
      <c r="V725" s="10">
        <f>IF(AND(T725="",U725=""),"",IFERROR(INDEX(T_CAPAI,MATCH(T725,L_PER,0),MATCH(U725,L_KED,0)),0))</f>
        <v/>
      </c>
      <c r="W725" s="17">
        <f>IF(OR(B725="",E725="",COUNTA(F725,H725,J725:M725,O725,Q725:R725,T725:U725)=0),"",SUM(G725,I725,N725,P725,S725,V725))</f>
        <v/>
      </c>
      <c r="X725" s="18">
        <f>IF(W725="","",IF(Murid!F725="TL","TL",ROUND(W725/110*100,2)))</f>
        <v/>
      </c>
    </row>
    <row r="726">
      <c r="A726" s="15">
        <f>Murid!A726</f>
        <v/>
      </c>
      <c r="B726" s="15">
        <f>IF(Murid!B726="","",Murid!B726)</f>
        <v/>
      </c>
      <c r="C726" s="16">
        <f>IF(Murid!C726="","",Murid!C726)</f>
        <v/>
      </c>
      <c r="D726" s="15">
        <f>IF(Murid!E726="","",Murid!E726)</f>
        <v/>
      </c>
      <c r="E726" s="11" t="n"/>
      <c r="F726" s="11" t="n"/>
      <c r="G726" s="10">
        <f>IF(F726="","",IFERROR(VLOOKUP(F726,T_JKP,2,FALSE),0))</f>
        <v/>
      </c>
      <c r="H726" s="11" t="n"/>
      <c r="I726" s="17">
        <f>IF(H726="","",IF(H726&gt;=12,40,ROUND(H726*3.33,2)))</f>
        <v/>
      </c>
      <c r="J726" s="11" t="n"/>
      <c r="K726" s="11" t="n"/>
      <c r="L726" s="11" t="n"/>
      <c r="M726" s="11" t="n"/>
      <c r="N726" s="10">
        <f>IF(COUNTA(J726:M726)=0,"",MIN(10,SUMPRODUCT((COUNTIF(J726:M726,L_KOM)&gt;0)*S_KOM)))</f>
        <v/>
      </c>
      <c r="O726" s="11" t="n"/>
      <c r="P726" s="10">
        <f>IF(O726="","",IFERROR(VLOOKUP(O726,T_KHID,2,FALSE),0))</f>
        <v/>
      </c>
      <c r="Q726" s="11" t="n"/>
      <c r="R726" s="11" t="n"/>
      <c r="S726" s="10">
        <f>IF(AND(Q726="",R726=""),"",IFERROR(INDEX(T_LIBAT,MATCH(Q726,L_PER,0),MATCH(R726,L_JENIS,0)),0))</f>
        <v/>
      </c>
      <c r="T726" s="11" t="n"/>
      <c r="U726" s="11" t="n"/>
      <c r="V726" s="10">
        <f>IF(AND(T726="",U726=""),"",IFERROR(INDEX(T_CAPAI,MATCH(T726,L_PER,0),MATCH(U726,L_KED,0)),0))</f>
        <v/>
      </c>
      <c r="W726" s="17">
        <f>IF(OR(B726="",E726="",COUNTA(F726,H726,J726:M726,O726,Q726:R726,T726:U726)=0),"",SUM(G726,I726,N726,P726,S726,V726))</f>
        <v/>
      </c>
      <c r="X726" s="18">
        <f>IF(W726="","",IF(Murid!F726="TL","TL",ROUND(W726/110*100,2)))</f>
        <v/>
      </c>
    </row>
    <row r="727">
      <c r="A727" s="15">
        <f>Murid!A727</f>
        <v/>
      </c>
      <c r="B727" s="15">
        <f>IF(Murid!B727="","",Murid!B727)</f>
        <v/>
      </c>
      <c r="C727" s="16">
        <f>IF(Murid!C727="","",Murid!C727)</f>
        <v/>
      </c>
      <c r="D727" s="15">
        <f>IF(Murid!E727="","",Murid!E727)</f>
        <v/>
      </c>
      <c r="E727" s="11" t="n"/>
      <c r="F727" s="11" t="n"/>
      <c r="G727" s="10">
        <f>IF(F727="","",IFERROR(VLOOKUP(F727,T_JKP,2,FALSE),0))</f>
        <v/>
      </c>
      <c r="H727" s="11" t="n"/>
      <c r="I727" s="17">
        <f>IF(H727="","",IF(H727&gt;=12,40,ROUND(H727*3.33,2)))</f>
        <v/>
      </c>
      <c r="J727" s="11" t="n"/>
      <c r="K727" s="11" t="n"/>
      <c r="L727" s="11" t="n"/>
      <c r="M727" s="11" t="n"/>
      <c r="N727" s="10">
        <f>IF(COUNTA(J727:M727)=0,"",MIN(10,SUMPRODUCT((COUNTIF(J727:M727,L_KOM)&gt;0)*S_KOM)))</f>
        <v/>
      </c>
      <c r="O727" s="11" t="n"/>
      <c r="P727" s="10">
        <f>IF(O727="","",IFERROR(VLOOKUP(O727,T_KHID,2,FALSE),0))</f>
        <v/>
      </c>
      <c r="Q727" s="11" t="n"/>
      <c r="R727" s="11" t="n"/>
      <c r="S727" s="10">
        <f>IF(AND(Q727="",R727=""),"",IFERROR(INDEX(T_LIBAT,MATCH(Q727,L_PER,0),MATCH(R727,L_JENIS,0)),0))</f>
        <v/>
      </c>
      <c r="T727" s="11" t="n"/>
      <c r="U727" s="11" t="n"/>
      <c r="V727" s="10">
        <f>IF(AND(T727="",U727=""),"",IFERROR(INDEX(T_CAPAI,MATCH(T727,L_PER,0),MATCH(U727,L_KED,0)),0))</f>
        <v/>
      </c>
      <c r="W727" s="17">
        <f>IF(OR(B727="",E727="",COUNTA(F727,H727,J727:M727,O727,Q727:R727,T727:U727)=0),"",SUM(G727,I727,N727,P727,S727,V727))</f>
        <v/>
      </c>
      <c r="X727" s="18">
        <f>IF(W727="","",IF(Murid!F727="TL","TL",ROUND(W727/110*100,2)))</f>
        <v/>
      </c>
    </row>
    <row r="728">
      <c r="A728" s="15">
        <f>Murid!A728</f>
        <v/>
      </c>
      <c r="B728" s="15">
        <f>IF(Murid!B728="","",Murid!B728)</f>
        <v/>
      </c>
      <c r="C728" s="16">
        <f>IF(Murid!C728="","",Murid!C728)</f>
        <v/>
      </c>
      <c r="D728" s="15">
        <f>IF(Murid!E728="","",Murid!E728)</f>
        <v/>
      </c>
      <c r="E728" s="11" t="n"/>
      <c r="F728" s="11" t="n"/>
      <c r="G728" s="10">
        <f>IF(F728="","",IFERROR(VLOOKUP(F728,T_JKP,2,FALSE),0))</f>
        <v/>
      </c>
      <c r="H728" s="11" t="n"/>
      <c r="I728" s="17">
        <f>IF(H728="","",IF(H728&gt;=12,40,ROUND(H728*3.33,2)))</f>
        <v/>
      </c>
      <c r="J728" s="11" t="n"/>
      <c r="K728" s="11" t="n"/>
      <c r="L728" s="11" t="n"/>
      <c r="M728" s="11" t="n"/>
      <c r="N728" s="10">
        <f>IF(COUNTA(J728:M728)=0,"",MIN(10,SUMPRODUCT((COUNTIF(J728:M728,L_KOM)&gt;0)*S_KOM)))</f>
        <v/>
      </c>
      <c r="O728" s="11" t="n"/>
      <c r="P728" s="10">
        <f>IF(O728="","",IFERROR(VLOOKUP(O728,T_KHID,2,FALSE),0))</f>
        <v/>
      </c>
      <c r="Q728" s="11" t="n"/>
      <c r="R728" s="11" t="n"/>
      <c r="S728" s="10">
        <f>IF(AND(Q728="",R728=""),"",IFERROR(INDEX(T_LIBAT,MATCH(Q728,L_PER,0),MATCH(R728,L_JENIS,0)),0))</f>
        <v/>
      </c>
      <c r="T728" s="11" t="n"/>
      <c r="U728" s="11" t="n"/>
      <c r="V728" s="10">
        <f>IF(AND(T728="",U728=""),"",IFERROR(INDEX(T_CAPAI,MATCH(T728,L_PER,0),MATCH(U728,L_KED,0)),0))</f>
        <v/>
      </c>
      <c r="W728" s="17">
        <f>IF(OR(B728="",E728="",COUNTA(F728,H728,J728:M728,O728,Q728:R728,T728:U728)=0),"",SUM(G728,I728,N728,P728,S728,V728))</f>
        <v/>
      </c>
      <c r="X728" s="18">
        <f>IF(W728="","",IF(Murid!F728="TL","TL",ROUND(W728/110*100,2)))</f>
        <v/>
      </c>
    </row>
    <row r="729">
      <c r="A729" s="15">
        <f>Murid!A729</f>
        <v/>
      </c>
      <c r="B729" s="15">
        <f>IF(Murid!B729="","",Murid!B729)</f>
        <v/>
      </c>
      <c r="C729" s="16">
        <f>IF(Murid!C729="","",Murid!C729)</f>
        <v/>
      </c>
      <c r="D729" s="15">
        <f>IF(Murid!E729="","",Murid!E729)</f>
        <v/>
      </c>
      <c r="E729" s="11" t="n"/>
      <c r="F729" s="11" t="n"/>
      <c r="G729" s="10">
        <f>IF(F729="","",IFERROR(VLOOKUP(F729,T_JKP,2,FALSE),0))</f>
        <v/>
      </c>
      <c r="H729" s="11" t="n"/>
      <c r="I729" s="17">
        <f>IF(H729="","",IF(H729&gt;=12,40,ROUND(H729*3.33,2)))</f>
        <v/>
      </c>
      <c r="J729" s="11" t="n"/>
      <c r="K729" s="11" t="n"/>
      <c r="L729" s="11" t="n"/>
      <c r="M729" s="11" t="n"/>
      <c r="N729" s="10">
        <f>IF(COUNTA(J729:M729)=0,"",MIN(10,SUMPRODUCT((COUNTIF(J729:M729,L_KOM)&gt;0)*S_KOM)))</f>
        <v/>
      </c>
      <c r="O729" s="11" t="n"/>
      <c r="P729" s="10">
        <f>IF(O729="","",IFERROR(VLOOKUP(O729,T_KHID,2,FALSE),0))</f>
        <v/>
      </c>
      <c r="Q729" s="11" t="n"/>
      <c r="R729" s="11" t="n"/>
      <c r="S729" s="10">
        <f>IF(AND(Q729="",R729=""),"",IFERROR(INDEX(T_LIBAT,MATCH(Q729,L_PER,0),MATCH(R729,L_JENIS,0)),0))</f>
        <v/>
      </c>
      <c r="T729" s="11" t="n"/>
      <c r="U729" s="11" t="n"/>
      <c r="V729" s="10">
        <f>IF(AND(T729="",U729=""),"",IFERROR(INDEX(T_CAPAI,MATCH(T729,L_PER,0),MATCH(U729,L_KED,0)),0))</f>
        <v/>
      </c>
      <c r="W729" s="17">
        <f>IF(OR(B729="",E729="",COUNTA(F729,H729,J729:M729,O729,Q729:R729,T729:U729)=0),"",SUM(G729,I729,N729,P729,S729,V729))</f>
        <v/>
      </c>
      <c r="X729" s="18">
        <f>IF(W729="","",IF(Murid!F729="TL","TL",ROUND(W729/110*100,2)))</f>
        <v/>
      </c>
    </row>
    <row r="730">
      <c r="A730" s="15">
        <f>Murid!A730</f>
        <v/>
      </c>
      <c r="B730" s="15">
        <f>IF(Murid!B730="","",Murid!B730)</f>
        <v/>
      </c>
      <c r="C730" s="16">
        <f>IF(Murid!C730="","",Murid!C730)</f>
        <v/>
      </c>
      <c r="D730" s="15">
        <f>IF(Murid!E730="","",Murid!E730)</f>
        <v/>
      </c>
      <c r="E730" s="11" t="n"/>
      <c r="F730" s="11" t="n"/>
      <c r="G730" s="10">
        <f>IF(F730="","",IFERROR(VLOOKUP(F730,T_JKP,2,FALSE),0))</f>
        <v/>
      </c>
      <c r="H730" s="11" t="n"/>
      <c r="I730" s="17">
        <f>IF(H730="","",IF(H730&gt;=12,40,ROUND(H730*3.33,2)))</f>
        <v/>
      </c>
      <c r="J730" s="11" t="n"/>
      <c r="K730" s="11" t="n"/>
      <c r="L730" s="11" t="n"/>
      <c r="M730" s="11" t="n"/>
      <c r="N730" s="10">
        <f>IF(COUNTA(J730:M730)=0,"",MIN(10,SUMPRODUCT((COUNTIF(J730:M730,L_KOM)&gt;0)*S_KOM)))</f>
        <v/>
      </c>
      <c r="O730" s="11" t="n"/>
      <c r="P730" s="10">
        <f>IF(O730="","",IFERROR(VLOOKUP(O730,T_KHID,2,FALSE),0))</f>
        <v/>
      </c>
      <c r="Q730" s="11" t="n"/>
      <c r="R730" s="11" t="n"/>
      <c r="S730" s="10">
        <f>IF(AND(Q730="",R730=""),"",IFERROR(INDEX(T_LIBAT,MATCH(Q730,L_PER,0),MATCH(R730,L_JENIS,0)),0))</f>
        <v/>
      </c>
      <c r="T730" s="11" t="n"/>
      <c r="U730" s="11" t="n"/>
      <c r="V730" s="10">
        <f>IF(AND(T730="",U730=""),"",IFERROR(INDEX(T_CAPAI,MATCH(T730,L_PER,0),MATCH(U730,L_KED,0)),0))</f>
        <v/>
      </c>
      <c r="W730" s="17">
        <f>IF(OR(B730="",E730="",COUNTA(F730,H730,J730:M730,O730,Q730:R730,T730:U730)=0),"",SUM(G730,I730,N730,P730,S730,V730))</f>
        <v/>
      </c>
      <c r="X730" s="18">
        <f>IF(W730="","",IF(Murid!F730="TL","TL",ROUND(W730/110*100,2)))</f>
        <v/>
      </c>
    </row>
    <row r="731">
      <c r="A731" s="15">
        <f>Murid!A731</f>
        <v/>
      </c>
      <c r="B731" s="15">
        <f>IF(Murid!B731="","",Murid!B731)</f>
        <v/>
      </c>
      <c r="C731" s="16">
        <f>IF(Murid!C731="","",Murid!C731)</f>
        <v/>
      </c>
      <c r="D731" s="15">
        <f>IF(Murid!E731="","",Murid!E731)</f>
        <v/>
      </c>
      <c r="E731" s="11" t="n"/>
      <c r="F731" s="11" t="n"/>
      <c r="G731" s="10">
        <f>IF(F731="","",IFERROR(VLOOKUP(F731,T_JKP,2,FALSE),0))</f>
        <v/>
      </c>
      <c r="H731" s="11" t="n"/>
      <c r="I731" s="17">
        <f>IF(H731="","",IF(H731&gt;=12,40,ROUND(H731*3.33,2)))</f>
        <v/>
      </c>
      <c r="J731" s="11" t="n"/>
      <c r="K731" s="11" t="n"/>
      <c r="L731" s="11" t="n"/>
      <c r="M731" s="11" t="n"/>
      <c r="N731" s="10">
        <f>IF(COUNTA(J731:M731)=0,"",MIN(10,SUMPRODUCT((COUNTIF(J731:M731,L_KOM)&gt;0)*S_KOM)))</f>
        <v/>
      </c>
      <c r="O731" s="11" t="n"/>
      <c r="P731" s="10">
        <f>IF(O731="","",IFERROR(VLOOKUP(O731,T_KHID,2,FALSE),0))</f>
        <v/>
      </c>
      <c r="Q731" s="11" t="n"/>
      <c r="R731" s="11" t="n"/>
      <c r="S731" s="10">
        <f>IF(AND(Q731="",R731=""),"",IFERROR(INDEX(T_LIBAT,MATCH(Q731,L_PER,0),MATCH(R731,L_JENIS,0)),0))</f>
        <v/>
      </c>
      <c r="T731" s="11" t="n"/>
      <c r="U731" s="11" t="n"/>
      <c r="V731" s="10">
        <f>IF(AND(T731="",U731=""),"",IFERROR(INDEX(T_CAPAI,MATCH(T731,L_PER,0),MATCH(U731,L_KED,0)),0))</f>
        <v/>
      </c>
      <c r="W731" s="17">
        <f>IF(OR(B731="",E731="",COUNTA(F731,H731,J731:M731,O731,Q731:R731,T731:U731)=0),"",SUM(G731,I731,N731,P731,S731,V731))</f>
        <v/>
      </c>
      <c r="X731" s="18">
        <f>IF(W731="","",IF(Murid!F731="TL","TL",ROUND(W731/110*100,2)))</f>
        <v/>
      </c>
    </row>
    <row r="732">
      <c r="A732" s="15">
        <f>Murid!A732</f>
        <v/>
      </c>
      <c r="B732" s="15">
        <f>IF(Murid!B732="","",Murid!B732)</f>
        <v/>
      </c>
      <c r="C732" s="16">
        <f>IF(Murid!C732="","",Murid!C732)</f>
        <v/>
      </c>
      <c r="D732" s="15">
        <f>IF(Murid!E732="","",Murid!E732)</f>
        <v/>
      </c>
      <c r="E732" s="11" t="n"/>
      <c r="F732" s="11" t="n"/>
      <c r="G732" s="10">
        <f>IF(F732="","",IFERROR(VLOOKUP(F732,T_JKP,2,FALSE),0))</f>
        <v/>
      </c>
      <c r="H732" s="11" t="n"/>
      <c r="I732" s="17">
        <f>IF(H732="","",IF(H732&gt;=12,40,ROUND(H732*3.33,2)))</f>
        <v/>
      </c>
      <c r="J732" s="11" t="n"/>
      <c r="K732" s="11" t="n"/>
      <c r="L732" s="11" t="n"/>
      <c r="M732" s="11" t="n"/>
      <c r="N732" s="10">
        <f>IF(COUNTA(J732:M732)=0,"",MIN(10,SUMPRODUCT((COUNTIF(J732:M732,L_KOM)&gt;0)*S_KOM)))</f>
        <v/>
      </c>
      <c r="O732" s="11" t="n"/>
      <c r="P732" s="10">
        <f>IF(O732="","",IFERROR(VLOOKUP(O732,T_KHID,2,FALSE),0))</f>
        <v/>
      </c>
      <c r="Q732" s="11" t="n"/>
      <c r="R732" s="11" t="n"/>
      <c r="S732" s="10">
        <f>IF(AND(Q732="",R732=""),"",IFERROR(INDEX(T_LIBAT,MATCH(Q732,L_PER,0),MATCH(R732,L_JENIS,0)),0))</f>
        <v/>
      </c>
      <c r="T732" s="11" t="n"/>
      <c r="U732" s="11" t="n"/>
      <c r="V732" s="10">
        <f>IF(AND(T732="",U732=""),"",IFERROR(INDEX(T_CAPAI,MATCH(T732,L_PER,0),MATCH(U732,L_KED,0)),0))</f>
        <v/>
      </c>
      <c r="W732" s="17">
        <f>IF(OR(B732="",E732="",COUNTA(F732,H732,J732:M732,O732,Q732:R732,T732:U732)=0),"",SUM(G732,I732,N732,P732,S732,V732))</f>
        <v/>
      </c>
      <c r="X732" s="18">
        <f>IF(W732="","",IF(Murid!F732="TL","TL",ROUND(W732/110*100,2)))</f>
        <v/>
      </c>
    </row>
    <row r="733">
      <c r="A733" s="15">
        <f>Murid!A733</f>
        <v/>
      </c>
      <c r="B733" s="15">
        <f>IF(Murid!B733="","",Murid!B733)</f>
        <v/>
      </c>
      <c r="C733" s="16">
        <f>IF(Murid!C733="","",Murid!C733)</f>
        <v/>
      </c>
      <c r="D733" s="15">
        <f>IF(Murid!E733="","",Murid!E733)</f>
        <v/>
      </c>
      <c r="E733" s="11" t="n"/>
      <c r="F733" s="11" t="n"/>
      <c r="G733" s="10">
        <f>IF(F733="","",IFERROR(VLOOKUP(F733,T_JKP,2,FALSE),0))</f>
        <v/>
      </c>
      <c r="H733" s="11" t="n"/>
      <c r="I733" s="17">
        <f>IF(H733="","",IF(H733&gt;=12,40,ROUND(H733*3.33,2)))</f>
        <v/>
      </c>
      <c r="J733" s="11" t="n"/>
      <c r="K733" s="11" t="n"/>
      <c r="L733" s="11" t="n"/>
      <c r="M733" s="11" t="n"/>
      <c r="N733" s="10">
        <f>IF(COUNTA(J733:M733)=0,"",MIN(10,SUMPRODUCT((COUNTIF(J733:M733,L_KOM)&gt;0)*S_KOM)))</f>
        <v/>
      </c>
      <c r="O733" s="11" t="n"/>
      <c r="P733" s="10">
        <f>IF(O733="","",IFERROR(VLOOKUP(O733,T_KHID,2,FALSE),0))</f>
        <v/>
      </c>
      <c r="Q733" s="11" t="n"/>
      <c r="R733" s="11" t="n"/>
      <c r="S733" s="10">
        <f>IF(AND(Q733="",R733=""),"",IFERROR(INDEX(T_LIBAT,MATCH(Q733,L_PER,0),MATCH(R733,L_JENIS,0)),0))</f>
        <v/>
      </c>
      <c r="T733" s="11" t="n"/>
      <c r="U733" s="11" t="n"/>
      <c r="V733" s="10">
        <f>IF(AND(T733="",U733=""),"",IFERROR(INDEX(T_CAPAI,MATCH(T733,L_PER,0),MATCH(U733,L_KED,0)),0))</f>
        <v/>
      </c>
      <c r="W733" s="17">
        <f>IF(OR(B733="",E733="",COUNTA(F733,H733,J733:M733,O733,Q733:R733,T733:U733)=0),"",SUM(G733,I733,N733,P733,S733,V733))</f>
        <v/>
      </c>
      <c r="X733" s="18">
        <f>IF(W733="","",IF(Murid!F733="TL","TL",ROUND(W733/110*100,2)))</f>
        <v/>
      </c>
    </row>
    <row r="734">
      <c r="A734" s="15">
        <f>Murid!A734</f>
        <v/>
      </c>
      <c r="B734" s="15">
        <f>IF(Murid!B734="","",Murid!B734)</f>
        <v/>
      </c>
      <c r="C734" s="16">
        <f>IF(Murid!C734="","",Murid!C734)</f>
        <v/>
      </c>
      <c r="D734" s="15">
        <f>IF(Murid!E734="","",Murid!E734)</f>
        <v/>
      </c>
      <c r="E734" s="11" t="n"/>
      <c r="F734" s="11" t="n"/>
      <c r="G734" s="10">
        <f>IF(F734="","",IFERROR(VLOOKUP(F734,T_JKP,2,FALSE),0))</f>
        <v/>
      </c>
      <c r="H734" s="11" t="n"/>
      <c r="I734" s="17">
        <f>IF(H734="","",IF(H734&gt;=12,40,ROUND(H734*3.33,2)))</f>
        <v/>
      </c>
      <c r="J734" s="11" t="n"/>
      <c r="K734" s="11" t="n"/>
      <c r="L734" s="11" t="n"/>
      <c r="M734" s="11" t="n"/>
      <c r="N734" s="10">
        <f>IF(COUNTA(J734:M734)=0,"",MIN(10,SUMPRODUCT((COUNTIF(J734:M734,L_KOM)&gt;0)*S_KOM)))</f>
        <v/>
      </c>
      <c r="O734" s="11" t="n"/>
      <c r="P734" s="10">
        <f>IF(O734="","",IFERROR(VLOOKUP(O734,T_KHID,2,FALSE),0))</f>
        <v/>
      </c>
      <c r="Q734" s="11" t="n"/>
      <c r="R734" s="11" t="n"/>
      <c r="S734" s="10">
        <f>IF(AND(Q734="",R734=""),"",IFERROR(INDEX(T_LIBAT,MATCH(Q734,L_PER,0),MATCH(R734,L_JENIS,0)),0))</f>
        <v/>
      </c>
      <c r="T734" s="11" t="n"/>
      <c r="U734" s="11" t="n"/>
      <c r="V734" s="10">
        <f>IF(AND(T734="",U734=""),"",IFERROR(INDEX(T_CAPAI,MATCH(T734,L_PER,0),MATCH(U734,L_KED,0)),0))</f>
        <v/>
      </c>
      <c r="W734" s="17">
        <f>IF(OR(B734="",E734="",COUNTA(F734,H734,J734:M734,O734,Q734:R734,T734:U734)=0),"",SUM(G734,I734,N734,P734,S734,V734))</f>
        <v/>
      </c>
      <c r="X734" s="18">
        <f>IF(W734="","",IF(Murid!F734="TL","TL",ROUND(W734/110*100,2)))</f>
        <v/>
      </c>
    </row>
    <row r="735">
      <c r="A735" s="15">
        <f>Murid!A735</f>
        <v/>
      </c>
      <c r="B735" s="15">
        <f>IF(Murid!B735="","",Murid!B735)</f>
        <v/>
      </c>
      <c r="C735" s="16">
        <f>IF(Murid!C735="","",Murid!C735)</f>
        <v/>
      </c>
      <c r="D735" s="15">
        <f>IF(Murid!E735="","",Murid!E735)</f>
        <v/>
      </c>
      <c r="E735" s="11" t="n"/>
      <c r="F735" s="11" t="n"/>
      <c r="G735" s="10">
        <f>IF(F735="","",IFERROR(VLOOKUP(F735,T_JKP,2,FALSE),0))</f>
        <v/>
      </c>
      <c r="H735" s="11" t="n"/>
      <c r="I735" s="17">
        <f>IF(H735="","",IF(H735&gt;=12,40,ROUND(H735*3.33,2)))</f>
        <v/>
      </c>
      <c r="J735" s="11" t="n"/>
      <c r="K735" s="11" t="n"/>
      <c r="L735" s="11" t="n"/>
      <c r="M735" s="11" t="n"/>
      <c r="N735" s="10">
        <f>IF(COUNTA(J735:M735)=0,"",MIN(10,SUMPRODUCT((COUNTIF(J735:M735,L_KOM)&gt;0)*S_KOM)))</f>
        <v/>
      </c>
      <c r="O735" s="11" t="n"/>
      <c r="P735" s="10">
        <f>IF(O735="","",IFERROR(VLOOKUP(O735,T_KHID,2,FALSE),0))</f>
        <v/>
      </c>
      <c r="Q735" s="11" t="n"/>
      <c r="R735" s="11" t="n"/>
      <c r="S735" s="10">
        <f>IF(AND(Q735="",R735=""),"",IFERROR(INDEX(T_LIBAT,MATCH(Q735,L_PER,0),MATCH(R735,L_JENIS,0)),0))</f>
        <v/>
      </c>
      <c r="T735" s="11" t="n"/>
      <c r="U735" s="11" t="n"/>
      <c r="V735" s="10">
        <f>IF(AND(T735="",U735=""),"",IFERROR(INDEX(T_CAPAI,MATCH(T735,L_PER,0),MATCH(U735,L_KED,0)),0))</f>
        <v/>
      </c>
      <c r="W735" s="17">
        <f>IF(OR(B735="",E735="",COUNTA(F735,H735,J735:M735,O735,Q735:R735,T735:U735)=0),"",SUM(G735,I735,N735,P735,S735,V735))</f>
        <v/>
      </c>
      <c r="X735" s="18">
        <f>IF(W735="","",IF(Murid!F735="TL","TL",ROUND(W735/110*100,2)))</f>
        <v/>
      </c>
    </row>
    <row r="736">
      <c r="A736" s="15">
        <f>Murid!A736</f>
        <v/>
      </c>
      <c r="B736" s="15">
        <f>IF(Murid!B736="","",Murid!B736)</f>
        <v/>
      </c>
      <c r="C736" s="16">
        <f>IF(Murid!C736="","",Murid!C736)</f>
        <v/>
      </c>
      <c r="D736" s="15">
        <f>IF(Murid!E736="","",Murid!E736)</f>
        <v/>
      </c>
      <c r="E736" s="11" t="n"/>
      <c r="F736" s="11" t="n"/>
      <c r="G736" s="10">
        <f>IF(F736="","",IFERROR(VLOOKUP(F736,T_JKP,2,FALSE),0))</f>
        <v/>
      </c>
      <c r="H736" s="11" t="n"/>
      <c r="I736" s="17">
        <f>IF(H736="","",IF(H736&gt;=12,40,ROUND(H736*3.33,2)))</f>
        <v/>
      </c>
      <c r="J736" s="11" t="n"/>
      <c r="K736" s="11" t="n"/>
      <c r="L736" s="11" t="n"/>
      <c r="M736" s="11" t="n"/>
      <c r="N736" s="10">
        <f>IF(COUNTA(J736:M736)=0,"",MIN(10,SUMPRODUCT((COUNTIF(J736:M736,L_KOM)&gt;0)*S_KOM)))</f>
        <v/>
      </c>
      <c r="O736" s="11" t="n"/>
      <c r="P736" s="10">
        <f>IF(O736="","",IFERROR(VLOOKUP(O736,T_KHID,2,FALSE),0))</f>
        <v/>
      </c>
      <c r="Q736" s="11" t="n"/>
      <c r="R736" s="11" t="n"/>
      <c r="S736" s="10">
        <f>IF(AND(Q736="",R736=""),"",IFERROR(INDEX(T_LIBAT,MATCH(Q736,L_PER,0),MATCH(R736,L_JENIS,0)),0))</f>
        <v/>
      </c>
      <c r="T736" s="11" t="n"/>
      <c r="U736" s="11" t="n"/>
      <c r="V736" s="10">
        <f>IF(AND(T736="",U736=""),"",IFERROR(INDEX(T_CAPAI,MATCH(T736,L_PER,0),MATCH(U736,L_KED,0)),0))</f>
        <v/>
      </c>
      <c r="W736" s="17">
        <f>IF(OR(B736="",E736="",COUNTA(F736,H736,J736:M736,O736,Q736:R736,T736:U736)=0),"",SUM(G736,I736,N736,P736,S736,V736))</f>
        <v/>
      </c>
      <c r="X736" s="18">
        <f>IF(W736="","",IF(Murid!F736="TL","TL",ROUND(W736/110*100,2)))</f>
        <v/>
      </c>
    </row>
    <row r="737">
      <c r="A737" s="15">
        <f>Murid!A737</f>
        <v/>
      </c>
      <c r="B737" s="15">
        <f>IF(Murid!B737="","",Murid!B737)</f>
        <v/>
      </c>
      <c r="C737" s="16">
        <f>IF(Murid!C737="","",Murid!C737)</f>
        <v/>
      </c>
      <c r="D737" s="15">
        <f>IF(Murid!E737="","",Murid!E737)</f>
        <v/>
      </c>
      <c r="E737" s="11" t="n"/>
      <c r="F737" s="11" t="n"/>
      <c r="G737" s="10">
        <f>IF(F737="","",IFERROR(VLOOKUP(F737,T_JKP,2,FALSE),0))</f>
        <v/>
      </c>
      <c r="H737" s="11" t="n"/>
      <c r="I737" s="17">
        <f>IF(H737="","",IF(H737&gt;=12,40,ROUND(H737*3.33,2)))</f>
        <v/>
      </c>
      <c r="J737" s="11" t="n"/>
      <c r="K737" s="11" t="n"/>
      <c r="L737" s="11" t="n"/>
      <c r="M737" s="11" t="n"/>
      <c r="N737" s="10">
        <f>IF(COUNTA(J737:M737)=0,"",MIN(10,SUMPRODUCT((COUNTIF(J737:M737,L_KOM)&gt;0)*S_KOM)))</f>
        <v/>
      </c>
      <c r="O737" s="11" t="n"/>
      <c r="P737" s="10">
        <f>IF(O737="","",IFERROR(VLOOKUP(O737,T_KHID,2,FALSE),0))</f>
        <v/>
      </c>
      <c r="Q737" s="11" t="n"/>
      <c r="R737" s="11" t="n"/>
      <c r="S737" s="10">
        <f>IF(AND(Q737="",R737=""),"",IFERROR(INDEX(T_LIBAT,MATCH(Q737,L_PER,0),MATCH(R737,L_JENIS,0)),0))</f>
        <v/>
      </c>
      <c r="T737" s="11" t="n"/>
      <c r="U737" s="11" t="n"/>
      <c r="V737" s="10">
        <f>IF(AND(T737="",U737=""),"",IFERROR(INDEX(T_CAPAI,MATCH(T737,L_PER,0),MATCH(U737,L_KED,0)),0))</f>
        <v/>
      </c>
      <c r="W737" s="17">
        <f>IF(OR(B737="",E737="",COUNTA(F737,H737,J737:M737,O737,Q737:R737,T737:U737)=0),"",SUM(G737,I737,N737,P737,S737,V737))</f>
        <v/>
      </c>
      <c r="X737" s="18">
        <f>IF(W737="","",IF(Murid!F737="TL","TL",ROUND(W737/110*100,2)))</f>
        <v/>
      </c>
    </row>
    <row r="738">
      <c r="A738" s="15">
        <f>Murid!A738</f>
        <v/>
      </c>
      <c r="B738" s="15">
        <f>IF(Murid!B738="","",Murid!B738)</f>
        <v/>
      </c>
      <c r="C738" s="16">
        <f>IF(Murid!C738="","",Murid!C738)</f>
        <v/>
      </c>
      <c r="D738" s="15">
        <f>IF(Murid!E738="","",Murid!E738)</f>
        <v/>
      </c>
      <c r="E738" s="11" t="n"/>
      <c r="F738" s="11" t="n"/>
      <c r="G738" s="10">
        <f>IF(F738="","",IFERROR(VLOOKUP(F738,T_JKP,2,FALSE),0))</f>
        <v/>
      </c>
      <c r="H738" s="11" t="n"/>
      <c r="I738" s="17">
        <f>IF(H738="","",IF(H738&gt;=12,40,ROUND(H738*3.33,2)))</f>
        <v/>
      </c>
      <c r="J738" s="11" t="n"/>
      <c r="K738" s="11" t="n"/>
      <c r="L738" s="11" t="n"/>
      <c r="M738" s="11" t="n"/>
      <c r="N738" s="10">
        <f>IF(COUNTA(J738:M738)=0,"",MIN(10,SUMPRODUCT((COUNTIF(J738:M738,L_KOM)&gt;0)*S_KOM)))</f>
        <v/>
      </c>
      <c r="O738" s="11" t="n"/>
      <c r="P738" s="10">
        <f>IF(O738="","",IFERROR(VLOOKUP(O738,T_KHID,2,FALSE),0))</f>
        <v/>
      </c>
      <c r="Q738" s="11" t="n"/>
      <c r="R738" s="11" t="n"/>
      <c r="S738" s="10">
        <f>IF(AND(Q738="",R738=""),"",IFERROR(INDEX(T_LIBAT,MATCH(Q738,L_PER,0),MATCH(R738,L_JENIS,0)),0))</f>
        <v/>
      </c>
      <c r="T738" s="11" t="n"/>
      <c r="U738" s="11" t="n"/>
      <c r="V738" s="10">
        <f>IF(AND(T738="",U738=""),"",IFERROR(INDEX(T_CAPAI,MATCH(T738,L_PER,0),MATCH(U738,L_KED,0)),0))</f>
        <v/>
      </c>
      <c r="W738" s="17">
        <f>IF(OR(B738="",E738="",COUNTA(F738,H738,J738:M738,O738,Q738:R738,T738:U738)=0),"",SUM(G738,I738,N738,P738,S738,V738))</f>
        <v/>
      </c>
      <c r="X738" s="18">
        <f>IF(W738="","",IF(Murid!F738="TL","TL",ROUND(W738/110*100,2)))</f>
        <v/>
      </c>
    </row>
    <row r="739">
      <c r="A739" s="15">
        <f>Murid!A739</f>
        <v/>
      </c>
      <c r="B739" s="15">
        <f>IF(Murid!B739="","",Murid!B739)</f>
        <v/>
      </c>
      <c r="C739" s="16">
        <f>IF(Murid!C739="","",Murid!C739)</f>
        <v/>
      </c>
      <c r="D739" s="15">
        <f>IF(Murid!E739="","",Murid!E739)</f>
        <v/>
      </c>
      <c r="E739" s="11" t="n"/>
      <c r="F739" s="11" t="n"/>
      <c r="G739" s="10">
        <f>IF(F739="","",IFERROR(VLOOKUP(F739,T_JKP,2,FALSE),0))</f>
        <v/>
      </c>
      <c r="H739" s="11" t="n"/>
      <c r="I739" s="17">
        <f>IF(H739="","",IF(H739&gt;=12,40,ROUND(H739*3.33,2)))</f>
        <v/>
      </c>
      <c r="J739" s="11" t="n"/>
      <c r="K739" s="11" t="n"/>
      <c r="L739" s="11" t="n"/>
      <c r="M739" s="11" t="n"/>
      <c r="N739" s="10">
        <f>IF(COUNTA(J739:M739)=0,"",MIN(10,SUMPRODUCT((COUNTIF(J739:M739,L_KOM)&gt;0)*S_KOM)))</f>
        <v/>
      </c>
      <c r="O739" s="11" t="n"/>
      <c r="P739" s="10">
        <f>IF(O739="","",IFERROR(VLOOKUP(O739,T_KHID,2,FALSE),0))</f>
        <v/>
      </c>
      <c r="Q739" s="11" t="n"/>
      <c r="R739" s="11" t="n"/>
      <c r="S739" s="10">
        <f>IF(AND(Q739="",R739=""),"",IFERROR(INDEX(T_LIBAT,MATCH(Q739,L_PER,0),MATCH(R739,L_JENIS,0)),0))</f>
        <v/>
      </c>
      <c r="T739" s="11" t="n"/>
      <c r="U739" s="11" t="n"/>
      <c r="V739" s="10">
        <f>IF(AND(T739="",U739=""),"",IFERROR(INDEX(T_CAPAI,MATCH(T739,L_PER,0),MATCH(U739,L_KED,0)),0))</f>
        <v/>
      </c>
      <c r="W739" s="17">
        <f>IF(OR(B739="",E739="",COUNTA(F739,H739,J739:M739,O739,Q739:R739,T739:U739)=0),"",SUM(G739,I739,N739,P739,S739,V739))</f>
        <v/>
      </c>
      <c r="X739" s="18">
        <f>IF(W739="","",IF(Murid!F739="TL","TL",ROUND(W739/110*100,2)))</f>
        <v/>
      </c>
    </row>
    <row r="740">
      <c r="A740" s="15">
        <f>Murid!A740</f>
        <v/>
      </c>
      <c r="B740" s="15">
        <f>IF(Murid!B740="","",Murid!B740)</f>
        <v/>
      </c>
      <c r="C740" s="16">
        <f>IF(Murid!C740="","",Murid!C740)</f>
        <v/>
      </c>
      <c r="D740" s="15">
        <f>IF(Murid!E740="","",Murid!E740)</f>
        <v/>
      </c>
      <c r="E740" s="11" t="n"/>
      <c r="F740" s="11" t="n"/>
      <c r="G740" s="10">
        <f>IF(F740="","",IFERROR(VLOOKUP(F740,T_JKP,2,FALSE),0))</f>
        <v/>
      </c>
      <c r="H740" s="11" t="n"/>
      <c r="I740" s="17">
        <f>IF(H740="","",IF(H740&gt;=12,40,ROUND(H740*3.33,2)))</f>
        <v/>
      </c>
      <c r="J740" s="11" t="n"/>
      <c r="K740" s="11" t="n"/>
      <c r="L740" s="11" t="n"/>
      <c r="M740" s="11" t="n"/>
      <c r="N740" s="10">
        <f>IF(COUNTA(J740:M740)=0,"",MIN(10,SUMPRODUCT((COUNTIF(J740:M740,L_KOM)&gt;0)*S_KOM)))</f>
        <v/>
      </c>
      <c r="O740" s="11" t="n"/>
      <c r="P740" s="10">
        <f>IF(O740="","",IFERROR(VLOOKUP(O740,T_KHID,2,FALSE),0))</f>
        <v/>
      </c>
      <c r="Q740" s="11" t="n"/>
      <c r="R740" s="11" t="n"/>
      <c r="S740" s="10">
        <f>IF(AND(Q740="",R740=""),"",IFERROR(INDEX(T_LIBAT,MATCH(Q740,L_PER,0),MATCH(R740,L_JENIS,0)),0))</f>
        <v/>
      </c>
      <c r="T740" s="11" t="n"/>
      <c r="U740" s="11" t="n"/>
      <c r="V740" s="10">
        <f>IF(AND(T740="",U740=""),"",IFERROR(INDEX(T_CAPAI,MATCH(T740,L_PER,0),MATCH(U740,L_KED,0)),0))</f>
        <v/>
      </c>
      <c r="W740" s="17">
        <f>IF(OR(B740="",E740="",COUNTA(F740,H740,J740:M740,O740,Q740:R740,T740:U740)=0),"",SUM(G740,I740,N740,P740,S740,V740))</f>
        <v/>
      </c>
      <c r="X740" s="18">
        <f>IF(W740="","",IF(Murid!F740="TL","TL",ROUND(W740/110*100,2)))</f>
        <v/>
      </c>
    </row>
    <row r="741">
      <c r="A741" s="15">
        <f>Murid!A741</f>
        <v/>
      </c>
      <c r="B741" s="15">
        <f>IF(Murid!B741="","",Murid!B741)</f>
        <v/>
      </c>
      <c r="C741" s="16">
        <f>IF(Murid!C741="","",Murid!C741)</f>
        <v/>
      </c>
      <c r="D741" s="15">
        <f>IF(Murid!E741="","",Murid!E741)</f>
        <v/>
      </c>
      <c r="E741" s="11" t="n"/>
      <c r="F741" s="11" t="n"/>
      <c r="G741" s="10">
        <f>IF(F741="","",IFERROR(VLOOKUP(F741,T_JKP,2,FALSE),0))</f>
        <v/>
      </c>
      <c r="H741" s="11" t="n"/>
      <c r="I741" s="17">
        <f>IF(H741="","",IF(H741&gt;=12,40,ROUND(H741*3.33,2)))</f>
        <v/>
      </c>
      <c r="J741" s="11" t="n"/>
      <c r="K741" s="11" t="n"/>
      <c r="L741" s="11" t="n"/>
      <c r="M741" s="11" t="n"/>
      <c r="N741" s="10">
        <f>IF(COUNTA(J741:M741)=0,"",MIN(10,SUMPRODUCT((COUNTIF(J741:M741,L_KOM)&gt;0)*S_KOM)))</f>
        <v/>
      </c>
      <c r="O741" s="11" t="n"/>
      <c r="P741" s="10">
        <f>IF(O741="","",IFERROR(VLOOKUP(O741,T_KHID,2,FALSE),0))</f>
        <v/>
      </c>
      <c r="Q741" s="11" t="n"/>
      <c r="R741" s="11" t="n"/>
      <c r="S741" s="10">
        <f>IF(AND(Q741="",R741=""),"",IFERROR(INDEX(T_LIBAT,MATCH(Q741,L_PER,0),MATCH(R741,L_JENIS,0)),0))</f>
        <v/>
      </c>
      <c r="T741" s="11" t="n"/>
      <c r="U741" s="11" t="n"/>
      <c r="V741" s="10">
        <f>IF(AND(T741="",U741=""),"",IFERROR(INDEX(T_CAPAI,MATCH(T741,L_PER,0),MATCH(U741,L_KED,0)),0))</f>
        <v/>
      </c>
      <c r="W741" s="17">
        <f>IF(OR(B741="",E741="",COUNTA(F741,H741,J741:M741,O741,Q741:R741,T741:U741)=0),"",SUM(G741,I741,N741,P741,S741,V741))</f>
        <v/>
      </c>
      <c r="X741" s="18">
        <f>IF(W741="","",IF(Murid!F741="TL","TL",ROUND(W741/110*100,2)))</f>
        <v/>
      </c>
    </row>
    <row r="742">
      <c r="A742" s="15">
        <f>Murid!A742</f>
        <v/>
      </c>
      <c r="B742" s="15">
        <f>IF(Murid!B742="","",Murid!B742)</f>
        <v/>
      </c>
      <c r="C742" s="16">
        <f>IF(Murid!C742="","",Murid!C742)</f>
        <v/>
      </c>
      <c r="D742" s="15">
        <f>IF(Murid!E742="","",Murid!E742)</f>
        <v/>
      </c>
      <c r="E742" s="11" t="n"/>
      <c r="F742" s="11" t="n"/>
      <c r="G742" s="10">
        <f>IF(F742="","",IFERROR(VLOOKUP(F742,T_JKP,2,FALSE),0))</f>
        <v/>
      </c>
      <c r="H742" s="11" t="n"/>
      <c r="I742" s="17">
        <f>IF(H742="","",IF(H742&gt;=12,40,ROUND(H742*3.33,2)))</f>
        <v/>
      </c>
      <c r="J742" s="11" t="n"/>
      <c r="K742" s="11" t="n"/>
      <c r="L742" s="11" t="n"/>
      <c r="M742" s="11" t="n"/>
      <c r="N742" s="10">
        <f>IF(COUNTA(J742:M742)=0,"",MIN(10,SUMPRODUCT((COUNTIF(J742:M742,L_KOM)&gt;0)*S_KOM)))</f>
        <v/>
      </c>
      <c r="O742" s="11" t="n"/>
      <c r="P742" s="10">
        <f>IF(O742="","",IFERROR(VLOOKUP(O742,T_KHID,2,FALSE),0))</f>
        <v/>
      </c>
      <c r="Q742" s="11" t="n"/>
      <c r="R742" s="11" t="n"/>
      <c r="S742" s="10">
        <f>IF(AND(Q742="",R742=""),"",IFERROR(INDEX(T_LIBAT,MATCH(Q742,L_PER,0),MATCH(R742,L_JENIS,0)),0))</f>
        <v/>
      </c>
      <c r="T742" s="11" t="n"/>
      <c r="U742" s="11" t="n"/>
      <c r="V742" s="10">
        <f>IF(AND(T742="",U742=""),"",IFERROR(INDEX(T_CAPAI,MATCH(T742,L_PER,0),MATCH(U742,L_KED,0)),0))</f>
        <v/>
      </c>
      <c r="W742" s="17">
        <f>IF(OR(B742="",E742="",COUNTA(F742,H742,J742:M742,O742,Q742:R742,T742:U742)=0),"",SUM(G742,I742,N742,P742,S742,V742))</f>
        <v/>
      </c>
      <c r="X742" s="18">
        <f>IF(W742="","",IF(Murid!F742="TL","TL",ROUND(W742/110*100,2)))</f>
        <v/>
      </c>
    </row>
    <row r="743">
      <c r="A743" s="15">
        <f>Murid!A743</f>
        <v/>
      </c>
      <c r="B743" s="15">
        <f>IF(Murid!B743="","",Murid!B743)</f>
        <v/>
      </c>
      <c r="C743" s="16">
        <f>IF(Murid!C743="","",Murid!C743)</f>
        <v/>
      </c>
      <c r="D743" s="15">
        <f>IF(Murid!E743="","",Murid!E743)</f>
        <v/>
      </c>
      <c r="E743" s="11" t="n"/>
      <c r="F743" s="11" t="n"/>
      <c r="G743" s="10">
        <f>IF(F743="","",IFERROR(VLOOKUP(F743,T_JKP,2,FALSE),0))</f>
        <v/>
      </c>
      <c r="H743" s="11" t="n"/>
      <c r="I743" s="17">
        <f>IF(H743="","",IF(H743&gt;=12,40,ROUND(H743*3.33,2)))</f>
        <v/>
      </c>
      <c r="J743" s="11" t="n"/>
      <c r="K743" s="11" t="n"/>
      <c r="L743" s="11" t="n"/>
      <c r="M743" s="11" t="n"/>
      <c r="N743" s="10">
        <f>IF(COUNTA(J743:M743)=0,"",MIN(10,SUMPRODUCT((COUNTIF(J743:M743,L_KOM)&gt;0)*S_KOM)))</f>
        <v/>
      </c>
      <c r="O743" s="11" t="n"/>
      <c r="P743" s="10">
        <f>IF(O743="","",IFERROR(VLOOKUP(O743,T_KHID,2,FALSE),0))</f>
        <v/>
      </c>
      <c r="Q743" s="11" t="n"/>
      <c r="R743" s="11" t="n"/>
      <c r="S743" s="10">
        <f>IF(AND(Q743="",R743=""),"",IFERROR(INDEX(T_LIBAT,MATCH(Q743,L_PER,0),MATCH(R743,L_JENIS,0)),0))</f>
        <v/>
      </c>
      <c r="T743" s="11" t="n"/>
      <c r="U743" s="11" t="n"/>
      <c r="V743" s="10">
        <f>IF(AND(T743="",U743=""),"",IFERROR(INDEX(T_CAPAI,MATCH(T743,L_PER,0),MATCH(U743,L_KED,0)),0))</f>
        <v/>
      </c>
      <c r="W743" s="17">
        <f>IF(OR(B743="",E743="",COUNTA(F743,H743,J743:M743,O743,Q743:R743,T743:U743)=0),"",SUM(G743,I743,N743,P743,S743,V743))</f>
        <v/>
      </c>
      <c r="X743" s="18">
        <f>IF(W743="","",IF(Murid!F743="TL","TL",ROUND(W743/110*100,2)))</f>
        <v/>
      </c>
    </row>
    <row r="744">
      <c r="A744" s="15">
        <f>Murid!A744</f>
        <v/>
      </c>
      <c r="B744" s="15">
        <f>IF(Murid!B744="","",Murid!B744)</f>
        <v/>
      </c>
      <c r="C744" s="16">
        <f>IF(Murid!C744="","",Murid!C744)</f>
        <v/>
      </c>
      <c r="D744" s="15">
        <f>IF(Murid!E744="","",Murid!E744)</f>
        <v/>
      </c>
      <c r="E744" s="11" t="n"/>
      <c r="F744" s="11" t="n"/>
      <c r="G744" s="10">
        <f>IF(F744="","",IFERROR(VLOOKUP(F744,T_JKP,2,FALSE),0))</f>
        <v/>
      </c>
      <c r="H744" s="11" t="n"/>
      <c r="I744" s="17">
        <f>IF(H744="","",IF(H744&gt;=12,40,ROUND(H744*3.33,2)))</f>
        <v/>
      </c>
      <c r="J744" s="11" t="n"/>
      <c r="K744" s="11" t="n"/>
      <c r="L744" s="11" t="n"/>
      <c r="M744" s="11" t="n"/>
      <c r="N744" s="10">
        <f>IF(COUNTA(J744:M744)=0,"",MIN(10,SUMPRODUCT((COUNTIF(J744:M744,L_KOM)&gt;0)*S_KOM)))</f>
        <v/>
      </c>
      <c r="O744" s="11" t="n"/>
      <c r="P744" s="10">
        <f>IF(O744="","",IFERROR(VLOOKUP(O744,T_KHID,2,FALSE),0))</f>
        <v/>
      </c>
      <c r="Q744" s="11" t="n"/>
      <c r="R744" s="11" t="n"/>
      <c r="S744" s="10">
        <f>IF(AND(Q744="",R744=""),"",IFERROR(INDEX(T_LIBAT,MATCH(Q744,L_PER,0),MATCH(R744,L_JENIS,0)),0))</f>
        <v/>
      </c>
      <c r="T744" s="11" t="n"/>
      <c r="U744" s="11" t="n"/>
      <c r="V744" s="10">
        <f>IF(AND(T744="",U744=""),"",IFERROR(INDEX(T_CAPAI,MATCH(T744,L_PER,0),MATCH(U744,L_KED,0)),0))</f>
        <v/>
      </c>
      <c r="W744" s="17">
        <f>IF(OR(B744="",E744="",COUNTA(F744,H744,J744:M744,O744,Q744:R744,T744:U744)=0),"",SUM(G744,I744,N744,P744,S744,V744))</f>
        <v/>
      </c>
      <c r="X744" s="18">
        <f>IF(W744="","",IF(Murid!F744="TL","TL",ROUND(W744/110*100,2)))</f>
        <v/>
      </c>
    </row>
    <row r="745">
      <c r="A745" s="15">
        <f>Murid!A745</f>
        <v/>
      </c>
      <c r="B745" s="15">
        <f>IF(Murid!B745="","",Murid!B745)</f>
        <v/>
      </c>
      <c r="C745" s="16">
        <f>IF(Murid!C745="","",Murid!C745)</f>
        <v/>
      </c>
      <c r="D745" s="15">
        <f>IF(Murid!E745="","",Murid!E745)</f>
        <v/>
      </c>
      <c r="E745" s="11" t="n"/>
      <c r="F745" s="11" t="n"/>
      <c r="G745" s="10">
        <f>IF(F745="","",IFERROR(VLOOKUP(F745,T_JKP,2,FALSE),0))</f>
        <v/>
      </c>
      <c r="H745" s="11" t="n"/>
      <c r="I745" s="17">
        <f>IF(H745="","",IF(H745&gt;=12,40,ROUND(H745*3.33,2)))</f>
        <v/>
      </c>
      <c r="J745" s="11" t="n"/>
      <c r="K745" s="11" t="n"/>
      <c r="L745" s="11" t="n"/>
      <c r="M745" s="11" t="n"/>
      <c r="N745" s="10">
        <f>IF(COUNTA(J745:M745)=0,"",MIN(10,SUMPRODUCT((COUNTIF(J745:M745,L_KOM)&gt;0)*S_KOM)))</f>
        <v/>
      </c>
      <c r="O745" s="11" t="n"/>
      <c r="P745" s="10">
        <f>IF(O745="","",IFERROR(VLOOKUP(O745,T_KHID,2,FALSE),0))</f>
        <v/>
      </c>
      <c r="Q745" s="11" t="n"/>
      <c r="R745" s="11" t="n"/>
      <c r="S745" s="10">
        <f>IF(AND(Q745="",R745=""),"",IFERROR(INDEX(T_LIBAT,MATCH(Q745,L_PER,0),MATCH(R745,L_JENIS,0)),0))</f>
        <v/>
      </c>
      <c r="T745" s="11" t="n"/>
      <c r="U745" s="11" t="n"/>
      <c r="V745" s="10">
        <f>IF(AND(T745="",U745=""),"",IFERROR(INDEX(T_CAPAI,MATCH(T745,L_PER,0),MATCH(U745,L_KED,0)),0))</f>
        <v/>
      </c>
      <c r="W745" s="17">
        <f>IF(OR(B745="",E745="",COUNTA(F745,H745,J745:M745,O745,Q745:R745,T745:U745)=0),"",SUM(G745,I745,N745,P745,S745,V745))</f>
        <v/>
      </c>
      <c r="X745" s="18">
        <f>IF(W745="","",IF(Murid!F745="TL","TL",ROUND(W745/110*100,2)))</f>
        <v/>
      </c>
    </row>
    <row r="746">
      <c r="A746" s="15">
        <f>Murid!A746</f>
        <v/>
      </c>
      <c r="B746" s="15">
        <f>IF(Murid!B746="","",Murid!B746)</f>
        <v/>
      </c>
      <c r="C746" s="16">
        <f>IF(Murid!C746="","",Murid!C746)</f>
        <v/>
      </c>
      <c r="D746" s="15">
        <f>IF(Murid!E746="","",Murid!E746)</f>
        <v/>
      </c>
      <c r="E746" s="11" t="n"/>
      <c r="F746" s="11" t="n"/>
      <c r="G746" s="10">
        <f>IF(F746="","",IFERROR(VLOOKUP(F746,T_JKP,2,FALSE),0))</f>
        <v/>
      </c>
      <c r="H746" s="11" t="n"/>
      <c r="I746" s="17">
        <f>IF(H746="","",IF(H746&gt;=12,40,ROUND(H746*3.33,2)))</f>
        <v/>
      </c>
      <c r="J746" s="11" t="n"/>
      <c r="K746" s="11" t="n"/>
      <c r="L746" s="11" t="n"/>
      <c r="M746" s="11" t="n"/>
      <c r="N746" s="10">
        <f>IF(COUNTA(J746:M746)=0,"",MIN(10,SUMPRODUCT((COUNTIF(J746:M746,L_KOM)&gt;0)*S_KOM)))</f>
        <v/>
      </c>
      <c r="O746" s="11" t="n"/>
      <c r="P746" s="10">
        <f>IF(O746="","",IFERROR(VLOOKUP(O746,T_KHID,2,FALSE),0))</f>
        <v/>
      </c>
      <c r="Q746" s="11" t="n"/>
      <c r="R746" s="11" t="n"/>
      <c r="S746" s="10">
        <f>IF(AND(Q746="",R746=""),"",IFERROR(INDEX(T_LIBAT,MATCH(Q746,L_PER,0),MATCH(R746,L_JENIS,0)),0))</f>
        <v/>
      </c>
      <c r="T746" s="11" t="n"/>
      <c r="U746" s="11" t="n"/>
      <c r="V746" s="10">
        <f>IF(AND(T746="",U746=""),"",IFERROR(INDEX(T_CAPAI,MATCH(T746,L_PER,0),MATCH(U746,L_KED,0)),0))</f>
        <v/>
      </c>
      <c r="W746" s="17">
        <f>IF(OR(B746="",E746="",COUNTA(F746,H746,J746:M746,O746,Q746:R746,T746:U746)=0),"",SUM(G746,I746,N746,P746,S746,V746))</f>
        <v/>
      </c>
      <c r="X746" s="18">
        <f>IF(W746="","",IF(Murid!F746="TL","TL",ROUND(W746/110*100,2)))</f>
        <v/>
      </c>
    </row>
    <row r="747">
      <c r="A747" s="15">
        <f>Murid!A747</f>
        <v/>
      </c>
      <c r="B747" s="15">
        <f>IF(Murid!B747="","",Murid!B747)</f>
        <v/>
      </c>
      <c r="C747" s="16">
        <f>IF(Murid!C747="","",Murid!C747)</f>
        <v/>
      </c>
      <c r="D747" s="15">
        <f>IF(Murid!E747="","",Murid!E747)</f>
        <v/>
      </c>
      <c r="E747" s="11" t="n"/>
      <c r="F747" s="11" t="n"/>
      <c r="G747" s="10">
        <f>IF(F747="","",IFERROR(VLOOKUP(F747,T_JKP,2,FALSE),0))</f>
        <v/>
      </c>
      <c r="H747" s="11" t="n"/>
      <c r="I747" s="17">
        <f>IF(H747="","",IF(H747&gt;=12,40,ROUND(H747*3.33,2)))</f>
        <v/>
      </c>
      <c r="J747" s="11" t="n"/>
      <c r="K747" s="11" t="n"/>
      <c r="L747" s="11" t="n"/>
      <c r="M747" s="11" t="n"/>
      <c r="N747" s="10">
        <f>IF(COUNTA(J747:M747)=0,"",MIN(10,SUMPRODUCT((COUNTIF(J747:M747,L_KOM)&gt;0)*S_KOM)))</f>
        <v/>
      </c>
      <c r="O747" s="11" t="n"/>
      <c r="P747" s="10">
        <f>IF(O747="","",IFERROR(VLOOKUP(O747,T_KHID,2,FALSE),0))</f>
        <v/>
      </c>
      <c r="Q747" s="11" t="n"/>
      <c r="R747" s="11" t="n"/>
      <c r="S747" s="10">
        <f>IF(AND(Q747="",R747=""),"",IFERROR(INDEX(T_LIBAT,MATCH(Q747,L_PER,0),MATCH(R747,L_JENIS,0)),0))</f>
        <v/>
      </c>
      <c r="T747" s="11" t="n"/>
      <c r="U747" s="11" t="n"/>
      <c r="V747" s="10">
        <f>IF(AND(T747="",U747=""),"",IFERROR(INDEX(T_CAPAI,MATCH(T747,L_PER,0),MATCH(U747,L_KED,0)),0))</f>
        <v/>
      </c>
      <c r="W747" s="17">
        <f>IF(OR(B747="",E747="",COUNTA(F747,H747,J747:M747,O747,Q747:R747,T747:U747)=0),"",SUM(G747,I747,N747,P747,S747,V747))</f>
        <v/>
      </c>
      <c r="X747" s="18">
        <f>IF(W747="","",IF(Murid!F747="TL","TL",ROUND(W747/110*100,2)))</f>
        <v/>
      </c>
    </row>
    <row r="748">
      <c r="A748" s="15">
        <f>Murid!A748</f>
        <v/>
      </c>
      <c r="B748" s="15">
        <f>IF(Murid!B748="","",Murid!B748)</f>
        <v/>
      </c>
      <c r="C748" s="16">
        <f>IF(Murid!C748="","",Murid!C748)</f>
        <v/>
      </c>
      <c r="D748" s="15">
        <f>IF(Murid!E748="","",Murid!E748)</f>
        <v/>
      </c>
      <c r="E748" s="11" t="n"/>
      <c r="F748" s="11" t="n"/>
      <c r="G748" s="10">
        <f>IF(F748="","",IFERROR(VLOOKUP(F748,T_JKP,2,FALSE),0))</f>
        <v/>
      </c>
      <c r="H748" s="11" t="n"/>
      <c r="I748" s="17">
        <f>IF(H748="","",IF(H748&gt;=12,40,ROUND(H748*3.33,2)))</f>
        <v/>
      </c>
      <c r="J748" s="11" t="n"/>
      <c r="K748" s="11" t="n"/>
      <c r="L748" s="11" t="n"/>
      <c r="M748" s="11" t="n"/>
      <c r="N748" s="10">
        <f>IF(COUNTA(J748:M748)=0,"",MIN(10,SUMPRODUCT((COUNTIF(J748:M748,L_KOM)&gt;0)*S_KOM)))</f>
        <v/>
      </c>
      <c r="O748" s="11" t="n"/>
      <c r="P748" s="10">
        <f>IF(O748="","",IFERROR(VLOOKUP(O748,T_KHID,2,FALSE),0))</f>
        <v/>
      </c>
      <c r="Q748" s="11" t="n"/>
      <c r="R748" s="11" t="n"/>
      <c r="S748" s="10">
        <f>IF(AND(Q748="",R748=""),"",IFERROR(INDEX(T_LIBAT,MATCH(Q748,L_PER,0),MATCH(R748,L_JENIS,0)),0))</f>
        <v/>
      </c>
      <c r="T748" s="11" t="n"/>
      <c r="U748" s="11" t="n"/>
      <c r="V748" s="10">
        <f>IF(AND(T748="",U748=""),"",IFERROR(INDEX(T_CAPAI,MATCH(T748,L_PER,0),MATCH(U748,L_KED,0)),0))</f>
        <v/>
      </c>
      <c r="W748" s="17">
        <f>IF(OR(B748="",E748="",COUNTA(F748,H748,J748:M748,O748,Q748:R748,T748:U748)=0),"",SUM(G748,I748,N748,P748,S748,V748))</f>
        <v/>
      </c>
      <c r="X748" s="18">
        <f>IF(W748="","",IF(Murid!F748="TL","TL",ROUND(W748/110*100,2)))</f>
        <v/>
      </c>
    </row>
    <row r="749">
      <c r="A749" s="15">
        <f>Murid!A749</f>
        <v/>
      </c>
      <c r="B749" s="15">
        <f>IF(Murid!B749="","",Murid!B749)</f>
        <v/>
      </c>
      <c r="C749" s="16">
        <f>IF(Murid!C749="","",Murid!C749)</f>
        <v/>
      </c>
      <c r="D749" s="15">
        <f>IF(Murid!E749="","",Murid!E749)</f>
        <v/>
      </c>
      <c r="E749" s="11" t="n"/>
      <c r="F749" s="11" t="n"/>
      <c r="G749" s="10">
        <f>IF(F749="","",IFERROR(VLOOKUP(F749,T_JKP,2,FALSE),0))</f>
        <v/>
      </c>
      <c r="H749" s="11" t="n"/>
      <c r="I749" s="17">
        <f>IF(H749="","",IF(H749&gt;=12,40,ROUND(H749*3.33,2)))</f>
        <v/>
      </c>
      <c r="J749" s="11" t="n"/>
      <c r="K749" s="11" t="n"/>
      <c r="L749" s="11" t="n"/>
      <c r="M749" s="11" t="n"/>
      <c r="N749" s="10">
        <f>IF(COUNTA(J749:M749)=0,"",MIN(10,SUMPRODUCT((COUNTIF(J749:M749,L_KOM)&gt;0)*S_KOM)))</f>
        <v/>
      </c>
      <c r="O749" s="11" t="n"/>
      <c r="P749" s="10">
        <f>IF(O749="","",IFERROR(VLOOKUP(O749,T_KHID,2,FALSE),0))</f>
        <v/>
      </c>
      <c r="Q749" s="11" t="n"/>
      <c r="R749" s="11" t="n"/>
      <c r="S749" s="10">
        <f>IF(AND(Q749="",R749=""),"",IFERROR(INDEX(T_LIBAT,MATCH(Q749,L_PER,0),MATCH(R749,L_JENIS,0)),0))</f>
        <v/>
      </c>
      <c r="T749" s="11" t="n"/>
      <c r="U749" s="11" t="n"/>
      <c r="V749" s="10">
        <f>IF(AND(T749="",U749=""),"",IFERROR(INDEX(T_CAPAI,MATCH(T749,L_PER,0),MATCH(U749,L_KED,0)),0))</f>
        <v/>
      </c>
      <c r="W749" s="17">
        <f>IF(OR(B749="",E749="",COUNTA(F749,H749,J749:M749,O749,Q749:R749,T749:U749)=0),"",SUM(G749,I749,N749,P749,S749,V749))</f>
        <v/>
      </c>
      <c r="X749" s="18">
        <f>IF(W749="","",IF(Murid!F749="TL","TL",ROUND(W749/110*100,2)))</f>
        <v/>
      </c>
    </row>
    <row r="750">
      <c r="A750" s="15">
        <f>Murid!A750</f>
        <v/>
      </c>
      <c r="B750" s="15">
        <f>IF(Murid!B750="","",Murid!B750)</f>
        <v/>
      </c>
      <c r="C750" s="16">
        <f>IF(Murid!C750="","",Murid!C750)</f>
        <v/>
      </c>
      <c r="D750" s="15">
        <f>IF(Murid!E750="","",Murid!E750)</f>
        <v/>
      </c>
      <c r="E750" s="11" t="n"/>
      <c r="F750" s="11" t="n"/>
      <c r="G750" s="10">
        <f>IF(F750="","",IFERROR(VLOOKUP(F750,T_JKP,2,FALSE),0))</f>
        <v/>
      </c>
      <c r="H750" s="11" t="n"/>
      <c r="I750" s="17">
        <f>IF(H750="","",IF(H750&gt;=12,40,ROUND(H750*3.33,2)))</f>
        <v/>
      </c>
      <c r="J750" s="11" t="n"/>
      <c r="K750" s="11" t="n"/>
      <c r="L750" s="11" t="n"/>
      <c r="M750" s="11" t="n"/>
      <c r="N750" s="10">
        <f>IF(COUNTA(J750:M750)=0,"",MIN(10,SUMPRODUCT((COUNTIF(J750:M750,L_KOM)&gt;0)*S_KOM)))</f>
        <v/>
      </c>
      <c r="O750" s="11" t="n"/>
      <c r="P750" s="10">
        <f>IF(O750="","",IFERROR(VLOOKUP(O750,T_KHID,2,FALSE),0))</f>
        <v/>
      </c>
      <c r="Q750" s="11" t="n"/>
      <c r="R750" s="11" t="n"/>
      <c r="S750" s="10">
        <f>IF(AND(Q750="",R750=""),"",IFERROR(INDEX(T_LIBAT,MATCH(Q750,L_PER,0),MATCH(R750,L_JENIS,0)),0))</f>
        <v/>
      </c>
      <c r="T750" s="11" t="n"/>
      <c r="U750" s="11" t="n"/>
      <c r="V750" s="10">
        <f>IF(AND(T750="",U750=""),"",IFERROR(INDEX(T_CAPAI,MATCH(T750,L_PER,0),MATCH(U750,L_KED,0)),0))</f>
        <v/>
      </c>
      <c r="W750" s="17">
        <f>IF(OR(B750="",E750="",COUNTA(F750,H750,J750:M750,O750,Q750:R750,T750:U750)=0),"",SUM(G750,I750,N750,P750,S750,V750))</f>
        <v/>
      </c>
      <c r="X750" s="18">
        <f>IF(W750="","",IF(Murid!F750="TL","TL",ROUND(W750/110*100,2)))</f>
        <v/>
      </c>
    </row>
    <row r="751">
      <c r="A751" s="15">
        <f>Murid!A751</f>
        <v/>
      </c>
      <c r="B751" s="15">
        <f>IF(Murid!B751="","",Murid!B751)</f>
        <v/>
      </c>
      <c r="C751" s="16">
        <f>IF(Murid!C751="","",Murid!C751)</f>
        <v/>
      </c>
      <c r="D751" s="15">
        <f>IF(Murid!E751="","",Murid!E751)</f>
        <v/>
      </c>
      <c r="E751" s="11" t="n"/>
      <c r="F751" s="11" t="n"/>
      <c r="G751" s="10">
        <f>IF(F751="","",IFERROR(VLOOKUP(F751,T_JKP,2,FALSE),0))</f>
        <v/>
      </c>
      <c r="H751" s="11" t="n"/>
      <c r="I751" s="17">
        <f>IF(H751="","",IF(H751&gt;=12,40,ROUND(H751*3.33,2)))</f>
        <v/>
      </c>
      <c r="J751" s="11" t="n"/>
      <c r="K751" s="11" t="n"/>
      <c r="L751" s="11" t="n"/>
      <c r="M751" s="11" t="n"/>
      <c r="N751" s="10">
        <f>IF(COUNTA(J751:M751)=0,"",MIN(10,SUMPRODUCT((COUNTIF(J751:M751,L_KOM)&gt;0)*S_KOM)))</f>
        <v/>
      </c>
      <c r="O751" s="11" t="n"/>
      <c r="P751" s="10">
        <f>IF(O751="","",IFERROR(VLOOKUP(O751,T_KHID,2,FALSE),0))</f>
        <v/>
      </c>
      <c r="Q751" s="11" t="n"/>
      <c r="R751" s="11" t="n"/>
      <c r="S751" s="10">
        <f>IF(AND(Q751="",R751=""),"",IFERROR(INDEX(T_LIBAT,MATCH(Q751,L_PER,0),MATCH(R751,L_JENIS,0)),0))</f>
        <v/>
      </c>
      <c r="T751" s="11" t="n"/>
      <c r="U751" s="11" t="n"/>
      <c r="V751" s="10">
        <f>IF(AND(T751="",U751=""),"",IFERROR(INDEX(T_CAPAI,MATCH(T751,L_PER,0),MATCH(U751,L_KED,0)),0))</f>
        <v/>
      </c>
      <c r="W751" s="17">
        <f>IF(OR(B751="",E751="",COUNTA(F751,H751,J751:M751,O751,Q751:R751,T751:U751)=0),"",SUM(G751,I751,N751,P751,S751,V751))</f>
        <v/>
      </c>
      <c r="X751" s="18">
        <f>IF(W751="","",IF(Murid!F751="TL","TL",ROUND(W751/110*100,2)))</f>
        <v/>
      </c>
    </row>
    <row r="752">
      <c r="A752" s="15">
        <f>Murid!A752</f>
        <v/>
      </c>
      <c r="B752" s="15">
        <f>IF(Murid!B752="","",Murid!B752)</f>
        <v/>
      </c>
      <c r="C752" s="16">
        <f>IF(Murid!C752="","",Murid!C752)</f>
        <v/>
      </c>
      <c r="D752" s="15">
        <f>IF(Murid!E752="","",Murid!E752)</f>
        <v/>
      </c>
      <c r="E752" s="11" t="n"/>
      <c r="F752" s="11" t="n"/>
      <c r="G752" s="10">
        <f>IF(F752="","",IFERROR(VLOOKUP(F752,T_JKP,2,FALSE),0))</f>
        <v/>
      </c>
      <c r="H752" s="11" t="n"/>
      <c r="I752" s="17">
        <f>IF(H752="","",IF(H752&gt;=12,40,ROUND(H752*3.33,2)))</f>
        <v/>
      </c>
      <c r="J752" s="11" t="n"/>
      <c r="K752" s="11" t="n"/>
      <c r="L752" s="11" t="n"/>
      <c r="M752" s="11" t="n"/>
      <c r="N752" s="10">
        <f>IF(COUNTA(J752:M752)=0,"",MIN(10,SUMPRODUCT((COUNTIF(J752:M752,L_KOM)&gt;0)*S_KOM)))</f>
        <v/>
      </c>
      <c r="O752" s="11" t="n"/>
      <c r="P752" s="10">
        <f>IF(O752="","",IFERROR(VLOOKUP(O752,T_KHID,2,FALSE),0))</f>
        <v/>
      </c>
      <c r="Q752" s="11" t="n"/>
      <c r="R752" s="11" t="n"/>
      <c r="S752" s="10">
        <f>IF(AND(Q752="",R752=""),"",IFERROR(INDEX(T_LIBAT,MATCH(Q752,L_PER,0),MATCH(R752,L_JENIS,0)),0))</f>
        <v/>
      </c>
      <c r="T752" s="11" t="n"/>
      <c r="U752" s="11" t="n"/>
      <c r="V752" s="10">
        <f>IF(AND(T752="",U752=""),"",IFERROR(INDEX(T_CAPAI,MATCH(T752,L_PER,0),MATCH(U752,L_KED,0)),0))</f>
        <v/>
      </c>
      <c r="W752" s="17">
        <f>IF(OR(B752="",E752="",COUNTA(F752,H752,J752:M752,O752,Q752:R752,T752:U752)=0),"",SUM(G752,I752,N752,P752,S752,V752))</f>
        <v/>
      </c>
      <c r="X752" s="18">
        <f>IF(W752="","",IF(Murid!F752="TL","TL",ROUND(W752/110*100,2)))</f>
        <v/>
      </c>
    </row>
    <row r="753">
      <c r="A753" s="15">
        <f>Murid!A753</f>
        <v/>
      </c>
      <c r="B753" s="15">
        <f>IF(Murid!B753="","",Murid!B753)</f>
        <v/>
      </c>
      <c r="C753" s="16">
        <f>IF(Murid!C753="","",Murid!C753)</f>
        <v/>
      </c>
      <c r="D753" s="15">
        <f>IF(Murid!E753="","",Murid!E753)</f>
        <v/>
      </c>
      <c r="E753" s="11" t="n"/>
      <c r="F753" s="11" t="n"/>
      <c r="G753" s="10">
        <f>IF(F753="","",IFERROR(VLOOKUP(F753,T_JKP,2,FALSE),0))</f>
        <v/>
      </c>
      <c r="H753" s="11" t="n"/>
      <c r="I753" s="17">
        <f>IF(H753="","",IF(H753&gt;=12,40,ROUND(H753*3.33,2)))</f>
        <v/>
      </c>
      <c r="J753" s="11" t="n"/>
      <c r="K753" s="11" t="n"/>
      <c r="L753" s="11" t="n"/>
      <c r="M753" s="11" t="n"/>
      <c r="N753" s="10">
        <f>IF(COUNTA(J753:M753)=0,"",MIN(10,SUMPRODUCT((COUNTIF(J753:M753,L_KOM)&gt;0)*S_KOM)))</f>
        <v/>
      </c>
      <c r="O753" s="11" t="n"/>
      <c r="P753" s="10">
        <f>IF(O753="","",IFERROR(VLOOKUP(O753,T_KHID,2,FALSE),0))</f>
        <v/>
      </c>
      <c r="Q753" s="11" t="n"/>
      <c r="R753" s="11" t="n"/>
      <c r="S753" s="10">
        <f>IF(AND(Q753="",R753=""),"",IFERROR(INDEX(T_LIBAT,MATCH(Q753,L_PER,0),MATCH(R753,L_JENIS,0)),0))</f>
        <v/>
      </c>
      <c r="T753" s="11" t="n"/>
      <c r="U753" s="11" t="n"/>
      <c r="V753" s="10">
        <f>IF(AND(T753="",U753=""),"",IFERROR(INDEX(T_CAPAI,MATCH(T753,L_PER,0),MATCH(U753,L_KED,0)),0))</f>
        <v/>
      </c>
      <c r="W753" s="17">
        <f>IF(OR(B753="",E753="",COUNTA(F753,H753,J753:M753,O753,Q753:R753,T753:U753)=0),"",SUM(G753,I753,N753,P753,S753,V753))</f>
        <v/>
      </c>
      <c r="X753" s="18">
        <f>IF(W753="","",IF(Murid!F753="TL","TL",ROUND(W753/110*100,2)))</f>
        <v/>
      </c>
    </row>
    <row r="754">
      <c r="A754" s="15">
        <f>Murid!A754</f>
        <v/>
      </c>
      <c r="B754" s="15">
        <f>IF(Murid!B754="","",Murid!B754)</f>
        <v/>
      </c>
      <c r="C754" s="16">
        <f>IF(Murid!C754="","",Murid!C754)</f>
        <v/>
      </c>
      <c r="D754" s="15">
        <f>IF(Murid!E754="","",Murid!E754)</f>
        <v/>
      </c>
      <c r="E754" s="11" t="n"/>
      <c r="F754" s="11" t="n"/>
      <c r="G754" s="10">
        <f>IF(F754="","",IFERROR(VLOOKUP(F754,T_JKP,2,FALSE),0))</f>
        <v/>
      </c>
      <c r="H754" s="11" t="n"/>
      <c r="I754" s="17">
        <f>IF(H754="","",IF(H754&gt;=12,40,ROUND(H754*3.33,2)))</f>
        <v/>
      </c>
      <c r="J754" s="11" t="n"/>
      <c r="K754" s="11" t="n"/>
      <c r="L754" s="11" t="n"/>
      <c r="M754" s="11" t="n"/>
      <c r="N754" s="10">
        <f>IF(COUNTA(J754:M754)=0,"",MIN(10,SUMPRODUCT((COUNTIF(J754:M754,L_KOM)&gt;0)*S_KOM)))</f>
        <v/>
      </c>
      <c r="O754" s="11" t="n"/>
      <c r="P754" s="10">
        <f>IF(O754="","",IFERROR(VLOOKUP(O754,T_KHID,2,FALSE),0))</f>
        <v/>
      </c>
      <c r="Q754" s="11" t="n"/>
      <c r="R754" s="11" t="n"/>
      <c r="S754" s="10">
        <f>IF(AND(Q754="",R754=""),"",IFERROR(INDEX(T_LIBAT,MATCH(Q754,L_PER,0),MATCH(R754,L_JENIS,0)),0))</f>
        <v/>
      </c>
      <c r="T754" s="11" t="n"/>
      <c r="U754" s="11" t="n"/>
      <c r="V754" s="10">
        <f>IF(AND(T754="",U754=""),"",IFERROR(INDEX(T_CAPAI,MATCH(T754,L_PER,0),MATCH(U754,L_KED,0)),0))</f>
        <v/>
      </c>
      <c r="W754" s="17">
        <f>IF(OR(B754="",E754="",COUNTA(F754,H754,J754:M754,O754,Q754:R754,T754:U754)=0),"",SUM(G754,I754,N754,P754,S754,V754))</f>
        <v/>
      </c>
      <c r="X754" s="18">
        <f>IF(W754="","",IF(Murid!F754="TL","TL",ROUND(W754/110*100,2)))</f>
        <v/>
      </c>
    </row>
    <row r="755">
      <c r="A755" s="15">
        <f>Murid!A755</f>
        <v/>
      </c>
      <c r="B755" s="15">
        <f>IF(Murid!B755="","",Murid!B755)</f>
        <v/>
      </c>
      <c r="C755" s="16">
        <f>IF(Murid!C755="","",Murid!C755)</f>
        <v/>
      </c>
      <c r="D755" s="15">
        <f>IF(Murid!E755="","",Murid!E755)</f>
        <v/>
      </c>
      <c r="E755" s="11" t="n"/>
      <c r="F755" s="11" t="n"/>
      <c r="G755" s="10">
        <f>IF(F755="","",IFERROR(VLOOKUP(F755,T_JKP,2,FALSE),0))</f>
        <v/>
      </c>
      <c r="H755" s="11" t="n"/>
      <c r="I755" s="17">
        <f>IF(H755="","",IF(H755&gt;=12,40,ROUND(H755*3.33,2)))</f>
        <v/>
      </c>
      <c r="J755" s="11" t="n"/>
      <c r="K755" s="11" t="n"/>
      <c r="L755" s="11" t="n"/>
      <c r="M755" s="11" t="n"/>
      <c r="N755" s="10">
        <f>IF(COUNTA(J755:M755)=0,"",MIN(10,SUMPRODUCT((COUNTIF(J755:M755,L_KOM)&gt;0)*S_KOM)))</f>
        <v/>
      </c>
      <c r="O755" s="11" t="n"/>
      <c r="P755" s="10">
        <f>IF(O755="","",IFERROR(VLOOKUP(O755,T_KHID,2,FALSE),0))</f>
        <v/>
      </c>
      <c r="Q755" s="11" t="n"/>
      <c r="R755" s="11" t="n"/>
      <c r="S755" s="10">
        <f>IF(AND(Q755="",R755=""),"",IFERROR(INDEX(T_LIBAT,MATCH(Q755,L_PER,0),MATCH(R755,L_JENIS,0)),0))</f>
        <v/>
      </c>
      <c r="T755" s="11" t="n"/>
      <c r="U755" s="11" t="n"/>
      <c r="V755" s="10">
        <f>IF(AND(T755="",U755=""),"",IFERROR(INDEX(T_CAPAI,MATCH(T755,L_PER,0),MATCH(U755,L_KED,0)),0))</f>
        <v/>
      </c>
      <c r="W755" s="17">
        <f>IF(OR(B755="",E755="",COUNTA(F755,H755,J755:M755,O755,Q755:R755,T755:U755)=0),"",SUM(G755,I755,N755,P755,S755,V755))</f>
        <v/>
      </c>
      <c r="X755" s="18">
        <f>IF(W755="","",IF(Murid!F755="TL","TL",ROUND(W755/110*100,2)))</f>
        <v/>
      </c>
    </row>
    <row r="756">
      <c r="A756" s="15">
        <f>Murid!A756</f>
        <v/>
      </c>
      <c r="B756" s="15">
        <f>IF(Murid!B756="","",Murid!B756)</f>
        <v/>
      </c>
      <c r="C756" s="16">
        <f>IF(Murid!C756="","",Murid!C756)</f>
        <v/>
      </c>
      <c r="D756" s="15">
        <f>IF(Murid!E756="","",Murid!E756)</f>
        <v/>
      </c>
      <c r="E756" s="11" t="n"/>
      <c r="F756" s="11" t="n"/>
      <c r="G756" s="10">
        <f>IF(F756="","",IFERROR(VLOOKUP(F756,T_JKP,2,FALSE),0))</f>
        <v/>
      </c>
      <c r="H756" s="11" t="n"/>
      <c r="I756" s="17">
        <f>IF(H756="","",IF(H756&gt;=12,40,ROUND(H756*3.33,2)))</f>
        <v/>
      </c>
      <c r="J756" s="11" t="n"/>
      <c r="K756" s="11" t="n"/>
      <c r="L756" s="11" t="n"/>
      <c r="M756" s="11" t="n"/>
      <c r="N756" s="10">
        <f>IF(COUNTA(J756:M756)=0,"",MIN(10,SUMPRODUCT((COUNTIF(J756:M756,L_KOM)&gt;0)*S_KOM)))</f>
        <v/>
      </c>
      <c r="O756" s="11" t="n"/>
      <c r="P756" s="10">
        <f>IF(O756="","",IFERROR(VLOOKUP(O756,T_KHID,2,FALSE),0))</f>
        <v/>
      </c>
      <c r="Q756" s="11" t="n"/>
      <c r="R756" s="11" t="n"/>
      <c r="S756" s="10">
        <f>IF(AND(Q756="",R756=""),"",IFERROR(INDEX(T_LIBAT,MATCH(Q756,L_PER,0),MATCH(R756,L_JENIS,0)),0))</f>
        <v/>
      </c>
      <c r="T756" s="11" t="n"/>
      <c r="U756" s="11" t="n"/>
      <c r="V756" s="10">
        <f>IF(AND(T756="",U756=""),"",IFERROR(INDEX(T_CAPAI,MATCH(T756,L_PER,0),MATCH(U756,L_KED,0)),0))</f>
        <v/>
      </c>
      <c r="W756" s="17">
        <f>IF(OR(B756="",E756="",COUNTA(F756,H756,J756:M756,O756,Q756:R756,T756:U756)=0),"",SUM(G756,I756,N756,P756,S756,V756))</f>
        <v/>
      </c>
      <c r="X756" s="18">
        <f>IF(W756="","",IF(Murid!F756="TL","TL",ROUND(W756/110*100,2)))</f>
        <v/>
      </c>
    </row>
    <row r="757">
      <c r="A757" s="15">
        <f>Murid!A757</f>
        <v/>
      </c>
      <c r="B757" s="15">
        <f>IF(Murid!B757="","",Murid!B757)</f>
        <v/>
      </c>
      <c r="C757" s="16">
        <f>IF(Murid!C757="","",Murid!C757)</f>
        <v/>
      </c>
      <c r="D757" s="15">
        <f>IF(Murid!E757="","",Murid!E757)</f>
        <v/>
      </c>
      <c r="E757" s="11" t="n"/>
      <c r="F757" s="11" t="n"/>
      <c r="G757" s="10">
        <f>IF(F757="","",IFERROR(VLOOKUP(F757,T_JKP,2,FALSE),0))</f>
        <v/>
      </c>
      <c r="H757" s="11" t="n"/>
      <c r="I757" s="17">
        <f>IF(H757="","",IF(H757&gt;=12,40,ROUND(H757*3.33,2)))</f>
        <v/>
      </c>
      <c r="J757" s="11" t="n"/>
      <c r="K757" s="11" t="n"/>
      <c r="L757" s="11" t="n"/>
      <c r="M757" s="11" t="n"/>
      <c r="N757" s="10">
        <f>IF(COUNTA(J757:M757)=0,"",MIN(10,SUMPRODUCT((COUNTIF(J757:M757,L_KOM)&gt;0)*S_KOM)))</f>
        <v/>
      </c>
      <c r="O757" s="11" t="n"/>
      <c r="P757" s="10">
        <f>IF(O757="","",IFERROR(VLOOKUP(O757,T_KHID,2,FALSE),0))</f>
        <v/>
      </c>
      <c r="Q757" s="11" t="n"/>
      <c r="R757" s="11" t="n"/>
      <c r="S757" s="10">
        <f>IF(AND(Q757="",R757=""),"",IFERROR(INDEX(T_LIBAT,MATCH(Q757,L_PER,0),MATCH(R757,L_JENIS,0)),0))</f>
        <v/>
      </c>
      <c r="T757" s="11" t="n"/>
      <c r="U757" s="11" t="n"/>
      <c r="V757" s="10">
        <f>IF(AND(T757="",U757=""),"",IFERROR(INDEX(T_CAPAI,MATCH(T757,L_PER,0),MATCH(U757,L_KED,0)),0))</f>
        <v/>
      </c>
      <c r="W757" s="17">
        <f>IF(OR(B757="",E757="",COUNTA(F757,H757,J757:M757,O757,Q757:R757,T757:U757)=0),"",SUM(G757,I757,N757,P757,S757,V757))</f>
        <v/>
      </c>
      <c r="X757" s="18">
        <f>IF(W757="","",IF(Murid!F757="TL","TL",ROUND(W757/110*100,2)))</f>
        <v/>
      </c>
    </row>
    <row r="758">
      <c r="A758" s="15">
        <f>Murid!A758</f>
        <v/>
      </c>
      <c r="B758" s="15">
        <f>IF(Murid!B758="","",Murid!B758)</f>
        <v/>
      </c>
      <c r="C758" s="16">
        <f>IF(Murid!C758="","",Murid!C758)</f>
        <v/>
      </c>
      <c r="D758" s="15">
        <f>IF(Murid!E758="","",Murid!E758)</f>
        <v/>
      </c>
      <c r="E758" s="11" t="n"/>
      <c r="F758" s="11" t="n"/>
      <c r="G758" s="10">
        <f>IF(F758="","",IFERROR(VLOOKUP(F758,T_JKP,2,FALSE),0))</f>
        <v/>
      </c>
      <c r="H758" s="11" t="n"/>
      <c r="I758" s="17">
        <f>IF(H758="","",IF(H758&gt;=12,40,ROUND(H758*3.33,2)))</f>
        <v/>
      </c>
      <c r="J758" s="11" t="n"/>
      <c r="K758" s="11" t="n"/>
      <c r="L758" s="11" t="n"/>
      <c r="M758" s="11" t="n"/>
      <c r="N758" s="10">
        <f>IF(COUNTA(J758:M758)=0,"",MIN(10,SUMPRODUCT((COUNTIF(J758:M758,L_KOM)&gt;0)*S_KOM)))</f>
        <v/>
      </c>
      <c r="O758" s="11" t="n"/>
      <c r="P758" s="10">
        <f>IF(O758="","",IFERROR(VLOOKUP(O758,T_KHID,2,FALSE),0))</f>
        <v/>
      </c>
      <c r="Q758" s="11" t="n"/>
      <c r="R758" s="11" t="n"/>
      <c r="S758" s="10">
        <f>IF(AND(Q758="",R758=""),"",IFERROR(INDEX(T_LIBAT,MATCH(Q758,L_PER,0),MATCH(R758,L_JENIS,0)),0))</f>
        <v/>
      </c>
      <c r="T758" s="11" t="n"/>
      <c r="U758" s="11" t="n"/>
      <c r="V758" s="10">
        <f>IF(AND(T758="",U758=""),"",IFERROR(INDEX(T_CAPAI,MATCH(T758,L_PER,0),MATCH(U758,L_KED,0)),0))</f>
        <v/>
      </c>
      <c r="W758" s="17">
        <f>IF(OR(B758="",E758="",COUNTA(F758,H758,J758:M758,O758,Q758:R758,T758:U758)=0),"",SUM(G758,I758,N758,P758,S758,V758))</f>
        <v/>
      </c>
      <c r="X758" s="18">
        <f>IF(W758="","",IF(Murid!F758="TL","TL",ROUND(W758/110*100,2)))</f>
        <v/>
      </c>
    </row>
    <row r="759">
      <c r="A759" s="15">
        <f>Murid!A759</f>
        <v/>
      </c>
      <c r="B759" s="15">
        <f>IF(Murid!B759="","",Murid!B759)</f>
        <v/>
      </c>
      <c r="C759" s="16">
        <f>IF(Murid!C759="","",Murid!C759)</f>
        <v/>
      </c>
      <c r="D759" s="15">
        <f>IF(Murid!E759="","",Murid!E759)</f>
        <v/>
      </c>
      <c r="E759" s="11" t="n"/>
      <c r="F759" s="11" t="n"/>
      <c r="G759" s="10">
        <f>IF(F759="","",IFERROR(VLOOKUP(F759,T_JKP,2,FALSE),0))</f>
        <v/>
      </c>
      <c r="H759" s="11" t="n"/>
      <c r="I759" s="17">
        <f>IF(H759="","",IF(H759&gt;=12,40,ROUND(H759*3.33,2)))</f>
        <v/>
      </c>
      <c r="J759" s="11" t="n"/>
      <c r="K759" s="11" t="n"/>
      <c r="L759" s="11" t="n"/>
      <c r="M759" s="11" t="n"/>
      <c r="N759" s="10">
        <f>IF(COUNTA(J759:M759)=0,"",MIN(10,SUMPRODUCT((COUNTIF(J759:M759,L_KOM)&gt;0)*S_KOM)))</f>
        <v/>
      </c>
      <c r="O759" s="11" t="n"/>
      <c r="P759" s="10">
        <f>IF(O759="","",IFERROR(VLOOKUP(O759,T_KHID,2,FALSE),0))</f>
        <v/>
      </c>
      <c r="Q759" s="11" t="n"/>
      <c r="R759" s="11" t="n"/>
      <c r="S759" s="10">
        <f>IF(AND(Q759="",R759=""),"",IFERROR(INDEX(T_LIBAT,MATCH(Q759,L_PER,0),MATCH(R759,L_JENIS,0)),0))</f>
        <v/>
      </c>
      <c r="T759" s="11" t="n"/>
      <c r="U759" s="11" t="n"/>
      <c r="V759" s="10">
        <f>IF(AND(T759="",U759=""),"",IFERROR(INDEX(T_CAPAI,MATCH(T759,L_PER,0),MATCH(U759,L_KED,0)),0))</f>
        <v/>
      </c>
      <c r="W759" s="17">
        <f>IF(OR(B759="",E759="",COUNTA(F759,H759,J759:M759,O759,Q759:R759,T759:U759)=0),"",SUM(G759,I759,N759,P759,S759,V759))</f>
        <v/>
      </c>
      <c r="X759" s="18">
        <f>IF(W759="","",IF(Murid!F759="TL","TL",ROUND(W759/110*100,2)))</f>
        <v/>
      </c>
    </row>
    <row r="760">
      <c r="A760" s="15">
        <f>Murid!A760</f>
        <v/>
      </c>
      <c r="B760" s="15">
        <f>IF(Murid!B760="","",Murid!B760)</f>
        <v/>
      </c>
      <c r="C760" s="16">
        <f>IF(Murid!C760="","",Murid!C760)</f>
        <v/>
      </c>
      <c r="D760" s="15">
        <f>IF(Murid!E760="","",Murid!E760)</f>
        <v/>
      </c>
      <c r="E760" s="11" t="n"/>
      <c r="F760" s="11" t="n"/>
      <c r="G760" s="10">
        <f>IF(F760="","",IFERROR(VLOOKUP(F760,T_JKP,2,FALSE),0))</f>
        <v/>
      </c>
      <c r="H760" s="11" t="n"/>
      <c r="I760" s="17">
        <f>IF(H760="","",IF(H760&gt;=12,40,ROUND(H760*3.33,2)))</f>
        <v/>
      </c>
      <c r="J760" s="11" t="n"/>
      <c r="K760" s="11" t="n"/>
      <c r="L760" s="11" t="n"/>
      <c r="M760" s="11" t="n"/>
      <c r="N760" s="10">
        <f>IF(COUNTA(J760:M760)=0,"",MIN(10,SUMPRODUCT((COUNTIF(J760:M760,L_KOM)&gt;0)*S_KOM)))</f>
        <v/>
      </c>
      <c r="O760" s="11" t="n"/>
      <c r="P760" s="10">
        <f>IF(O760="","",IFERROR(VLOOKUP(O760,T_KHID,2,FALSE),0))</f>
        <v/>
      </c>
      <c r="Q760" s="11" t="n"/>
      <c r="R760" s="11" t="n"/>
      <c r="S760" s="10">
        <f>IF(AND(Q760="",R760=""),"",IFERROR(INDEX(T_LIBAT,MATCH(Q760,L_PER,0),MATCH(R760,L_JENIS,0)),0))</f>
        <v/>
      </c>
      <c r="T760" s="11" t="n"/>
      <c r="U760" s="11" t="n"/>
      <c r="V760" s="10">
        <f>IF(AND(T760="",U760=""),"",IFERROR(INDEX(T_CAPAI,MATCH(T760,L_PER,0),MATCH(U760,L_KED,0)),0))</f>
        <v/>
      </c>
      <c r="W760" s="17">
        <f>IF(OR(B760="",E760="",COUNTA(F760,H760,J760:M760,O760,Q760:R760,T760:U760)=0),"",SUM(G760,I760,N760,P760,S760,V760))</f>
        <v/>
      </c>
      <c r="X760" s="18">
        <f>IF(W760="","",IF(Murid!F760="TL","TL",ROUND(W760/110*100,2)))</f>
        <v/>
      </c>
    </row>
    <row r="761">
      <c r="A761" s="15">
        <f>Murid!A761</f>
        <v/>
      </c>
      <c r="B761" s="15">
        <f>IF(Murid!B761="","",Murid!B761)</f>
        <v/>
      </c>
      <c r="C761" s="16">
        <f>IF(Murid!C761="","",Murid!C761)</f>
        <v/>
      </c>
      <c r="D761" s="15">
        <f>IF(Murid!E761="","",Murid!E761)</f>
        <v/>
      </c>
      <c r="E761" s="11" t="n"/>
      <c r="F761" s="11" t="n"/>
      <c r="G761" s="10">
        <f>IF(F761="","",IFERROR(VLOOKUP(F761,T_JKP,2,FALSE),0))</f>
        <v/>
      </c>
      <c r="H761" s="11" t="n"/>
      <c r="I761" s="17">
        <f>IF(H761="","",IF(H761&gt;=12,40,ROUND(H761*3.33,2)))</f>
        <v/>
      </c>
      <c r="J761" s="11" t="n"/>
      <c r="K761" s="11" t="n"/>
      <c r="L761" s="11" t="n"/>
      <c r="M761" s="11" t="n"/>
      <c r="N761" s="10">
        <f>IF(COUNTA(J761:M761)=0,"",MIN(10,SUMPRODUCT((COUNTIF(J761:M761,L_KOM)&gt;0)*S_KOM)))</f>
        <v/>
      </c>
      <c r="O761" s="11" t="n"/>
      <c r="P761" s="10">
        <f>IF(O761="","",IFERROR(VLOOKUP(O761,T_KHID,2,FALSE),0))</f>
        <v/>
      </c>
      <c r="Q761" s="11" t="n"/>
      <c r="R761" s="11" t="n"/>
      <c r="S761" s="10">
        <f>IF(AND(Q761="",R761=""),"",IFERROR(INDEX(T_LIBAT,MATCH(Q761,L_PER,0),MATCH(R761,L_JENIS,0)),0))</f>
        <v/>
      </c>
      <c r="T761" s="11" t="n"/>
      <c r="U761" s="11" t="n"/>
      <c r="V761" s="10">
        <f>IF(AND(T761="",U761=""),"",IFERROR(INDEX(T_CAPAI,MATCH(T761,L_PER,0),MATCH(U761,L_KED,0)),0))</f>
        <v/>
      </c>
      <c r="W761" s="17">
        <f>IF(OR(B761="",E761="",COUNTA(F761,H761,J761:M761,O761,Q761:R761,T761:U761)=0),"",SUM(G761,I761,N761,P761,S761,V761))</f>
        <v/>
      </c>
      <c r="X761" s="18">
        <f>IF(W761="","",IF(Murid!F761="TL","TL",ROUND(W761/110*100,2)))</f>
        <v/>
      </c>
    </row>
    <row r="762">
      <c r="A762" s="15">
        <f>Murid!A762</f>
        <v/>
      </c>
      <c r="B762" s="15">
        <f>IF(Murid!B762="","",Murid!B762)</f>
        <v/>
      </c>
      <c r="C762" s="16">
        <f>IF(Murid!C762="","",Murid!C762)</f>
        <v/>
      </c>
      <c r="D762" s="15">
        <f>IF(Murid!E762="","",Murid!E762)</f>
        <v/>
      </c>
      <c r="E762" s="11" t="n"/>
      <c r="F762" s="11" t="n"/>
      <c r="G762" s="10">
        <f>IF(F762="","",IFERROR(VLOOKUP(F762,T_JKP,2,FALSE),0))</f>
        <v/>
      </c>
      <c r="H762" s="11" t="n"/>
      <c r="I762" s="17">
        <f>IF(H762="","",IF(H762&gt;=12,40,ROUND(H762*3.33,2)))</f>
        <v/>
      </c>
      <c r="J762" s="11" t="n"/>
      <c r="K762" s="11" t="n"/>
      <c r="L762" s="11" t="n"/>
      <c r="M762" s="11" t="n"/>
      <c r="N762" s="10">
        <f>IF(COUNTA(J762:M762)=0,"",MIN(10,SUMPRODUCT((COUNTIF(J762:M762,L_KOM)&gt;0)*S_KOM)))</f>
        <v/>
      </c>
      <c r="O762" s="11" t="n"/>
      <c r="P762" s="10">
        <f>IF(O762="","",IFERROR(VLOOKUP(O762,T_KHID,2,FALSE),0))</f>
        <v/>
      </c>
      <c r="Q762" s="11" t="n"/>
      <c r="R762" s="11" t="n"/>
      <c r="S762" s="10">
        <f>IF(AND(Q762="",R762=""),"",IFERROR(INDEX(T_LIBAT,MATCH(Q762,L_PER,0),MATCH(R762,L_JENIS,0)),0))</f>
        <v/>
      </c>
      <c r="T762" s="11" t="n"/>
      <c r="U762" s="11" t="n"/>
      <c r="V762" s="10">
        <f>IF(AND(T762="",U762=""),"",IFERROR(INDEX(T_CAPAI,MATCH(T762,L_PER,0),MATCH(U762,L_KED,0)),0))</f>
        <v/>
      </c>
      <c r="W762" s="17">
        <f>IF(OR(B762="",E762="",COUNTA(F762,H762,J762:M762,O762,Q762:R762,T762:U762)=0),"",SUM(G762,I762,N762,P762,S762,V762))</f>
        <v/>
      </c>
      <c r="X762" s="18">
        <f>IF(W762="","",IF(Murid!F762="TL","TL",ROUND(W762/110*100,2)))</f>
        <v/>
      </c>
    </row>
    <row r="763">
      <c r="A763" s="15">
        <f>Murid!A763</f>
        <v/>
      </c>
      <c r="B763" s="15">
        <f>IF(Murid!B763="","",Murid!B763)</f>
        <v/>
      </c>
      <c r="C763" s="16">
        <f>IF(Murid!C763="","",Murid!C763)</f>
        <v/>
      </c>
      <c r="D763" s="15">
        <f>IF(Murid!E763="","",Murid!E763)</f>
        <v/>
      </c>
      <c r="E763" s="11" t="n"/>
      <c r="F763" s="11" t="n"/>
      <c r="G763" s="10">
        <f>IF(F763="","",IFERROR(VLOOKUP(F763,T_JKP,2,FALSE),0))</f>
        <v/>
      </c>
      <c r="H763" s="11" t="n"/>
      <c r="I763" s="17">
        <f>IF(H763="","",IF(H763&gt;=12,40,ROUND(H763*3.33,2)))</f>
        <v/>
      </c>
      <c r="J763" s="11" t="n"/>
      <c r="K763" s="11" t="n"/>
      <c r="L763" s="11" t="n"/>
      <c r="M763" s="11" t="n"/>
      <c r="N763" s="10">
        <f>IF(COUNTA(J763:M763)=0,"",MIN(10,SUMPRODUCT((COUNTIF(J763:M763,L_KOM)&gt;0)*S_KOM)))</f>
        <v/>
      </c>
      <c r="O763" s="11" t="n"/>
      <c r="P763" s="10">
        <f>IF(O763="","",IFERROR(VLOOKUP(O763,T_KHID,2,FALSE),0))</f>
        <v/>
      </c>
      <c r="Q763" s="11" t="n"/>
      <c r="R763" s="11" t="n"/>
      <c r="S763" s="10">
        <f>IF(AND(Q763="",R763=""),"",IFERROR(INDEX(T_LIBAT,MATCH(Q763,L_PER,0),MATCH(R763,L_JENIS,0)),0))</f>
        <v/>
      </c>
      <c r="T763" s="11" t="n"/>
      <c r="U763" s="11" t="n"/>
      <c r="V763" s="10">
        <f>IF(AND(T763="",U763=""),"",IFERROR(INDEX(T_CAPAI,MATCH(T763,L_PER,0),MATCH(U763,L_KED,0)),0))</f>
        <v/>
      </c>
      <c r="W763" s="17">
        <f>IF(OR(B763="",E763="",COUNTA(F763,H763,J763:M763,O763,Q763:R763,T763:U763)=0),"",SUM(G763,I763,N763,P763,S763,V763))</f>
        <v/>
      </c>
      <c r="X763" s="18">
        <f>IF(W763="","",IF(Murid!F763="TL","TL",ROUND(W763/110*100,2)))</f>
        <v/>
      </c>
    </row>
    <row r="764">
      <c r="A764" s="15">
        <f>Murid!A764</f>
        <v/>
      </c>
      <c r="B764" s="15">
        <f>IF(Murid!B764="","",Murid!B764)</f>
        <v/>
      </c>
      <c r="C764" s="16">
        <f>IF(Murid!C764="","",Murid!C764)</f>
        <v/>
      </c>
      <c r="D764" s="15">
        <f>IF(Murid!E764="","",Murid!E764)</f>
        <v/>
      </c>
      <c r="E764" s="11" t="n"/>
      <c r="F764" s="11" t="n"/>
      <c r="G764" s="10">
        <f>IF(F764="","",IFERROR(VLOOKUP(F764,T_JKP,2,FALSE),0))</f>
        <v/>
      </c>
      <c r="H764" s="11" t="n"/>
      <c r="I764" s="17">
        <f>IF(H764="","",IF(H764&gt;=12,40,ROUND(H764*3.33,2)))</f>
        <v/>
      </c>
      <c r="J764" s="11" t="n"/>
      <c r="K764" s="11" t="n"/>
      <c r="L764" s="11" t="n"/>
      <c r="M764" s="11" t="n"/>
      <c r="N764" s="10">
        <f>IF(COUNTA(J764:M764)=0,"",MIN(10,SUMPRODUCT((COUNTIF(J764:M764,L_KOM)&gt;0)*S_KOM)))</f>
        <v/>
      </c>
      <c r="O764" s="11" t="n"/>
      <c r="P764" s="10">
        <f>IF(O764="","",IFERROR(VLOOKUP(O764,T_KHID,2,FALSE),0))</f>
        <v/>
      </c>
      <c r="Q764" s="11" t="n"/>
      <c r="R764" s="11" t="n"/>
      <c r="S764" s="10">
        <f>IF(AND(Q764="",R764=""),"",IFERROR(INDEX(T_LIBAT,MATCH(Q764,L_PER,0),MATCH(R764,L_JENIS,0)),0))</f>
        <v/>
      </c>
      <c r="T764" s="11" t="n"/>
      <c r="U764" s="11" t="n"/>
      <c r="V764" s="10">
        <f>IF(AND(T764="",U764=""),"",IFERROR(INDEX(T_CAPAI,MATCH(T764,L_PER,0),MATCH(U764,L_KED,0)),0))</f>
        <v/>
      </c>
      <c r="W764" s="17">
        <f>IF(OR(B764="",E764="",COUNTA(F764,H764,J764:M764,O764,Q764:R764,T764:U764)=0),"",SUM(G764,I764,N764,P764,S764,V764))</f>
        <v/>
      </c>
      <c r="X764" s="18">
        <f>IF(W764="","",IF(Murid!F764="TL","TL",ROUND(W764/110*100,2)))</f>
        <v/>
      </c>
    </row>
    <row r="765">
      <c r="A765" s="15">
        <f>Murid!A765</f>
        <v/>
      </c>
      <c r="B765" s="15">
        <f>IF(Murid!B765="","",Murid!B765)</f>
        <v/>
      </c>
      <c r="C765" s="16">
        <f>IF(Murid!C765="","",Murid!C765)</f>
        <v/>
      </c>
      <c r="D765" s="15">
        <f>IF(Murid!E765="","",Murid!E765)</f>
        <v/>
      </c>
      <c r="E765" s="11" t="n"/>
      <c r="F765" s="11" t="n"/>
      <c r="G765" s="10">
        <f>IF(F765="","",IFERROR(VLOOKUP(F765,T_JKP,2,FALSE),0))</f>
        <v/>
      </c>
      <c r="H765" s="11" t="n"/>
      <c r="I765" s="17">
        <f>IF(H765="","",IF(H765&gt;=12,40,ROUND(H765*3.33,2)))</f>
        <v/>
      </c>
      <c r="J765" s="11" t="n"/>
      <c r="K765" s="11" t="n"/>
      <c r="L765" s="11" t="n"/>
      <c r="M765" s="11" t="n"/>
      <c r="N765" s="10">
        <f>IF(COUNTA(J765:M765)=0,"",MIN(10,SUMPRODUCT((COUNTIF(J765:M765,L_KOM)&gt;0)*S_KOM)))</f>
        <v/>
      </c>
      <c r="O765" s="11" t="n"/>
      <c r="P765" s="10">
        <f>IF(O765="","",IFERROR(VLOOKUP(O765,T_KHID,2,FALSE),0))</f>
        <v/>
      </c>
      <c r="Q765" s="11" t="n"/>
      <c r="R765" s="11" t="n"/>
      <c r="S765" s="10">
        <f>IF(AND(Q765="",R765=""),"",IFERROR(INDEX(T_LIBAT,MATCH(Q765,L_PER,0),MATCH(R765,L_JENIS,0)),0))</f>
        <v/>
      </c>
      <c r="T765" s="11" t="n"/>
      <c r="U765" s="11" t="n"/>
      <c r="V765" s="10">
        <f>IF(AND(T765="",U765=""),"",IFERROR(INDEX(T_CAPAI,MATCH(T765,L_PER,0),MATCH(U765,L_KED,0)),0))</f>
        <v/>
      </c>
      <c r="W765" s="17">
        <f>IF(OR(B765="",E765="",COUNTA(F765,H765,J765:M765,O765,Q765:R765,T765:U765)=0),"",SUM(G765,I765,N765,P765,S765,V765))</f>
        <v/>
      </c>
      <c r="X765" s="18">
        <f>IF(W765="","",IF(Murid!F765="TL","TL",ROUND(W765/110*100,2)))</f>
        <v/>
      </c>
    </row>
    <row r="766">
      <c r="A766" s="15">
        <f>Murid!A766</f>
        <v/>
      </c>
      <c r="B766" s="15">
        <f>IF(Murid!B766="","",Murid!B766)</f>
        <v/>
      </c>
      <c r="C766" s="16">
        <f>IF(Murid!C766="","",Murid!C766)</f>
        <v/>
      </c>
      <c r="D766" s="15">
        <f>IF(Murid!E766="","",Murid!E766)</f>
        <v/>
      </c>
      <c r="E766" s="11" t="n"/>
      <c r="F766" s="11" t="n"/>
      <c r="G766" s="10">
        <f>IF(F766="","",IFERROR(VLOOKUP(F766,T_JKP,2,FALSE),0))</f>
        <v/>
      </c>
      <c r="H766" s="11" t="n"/>
      <c r="I766" s="17">
        <f>IF(H766="","",IF(H766&gt;=12,40,ROUND(H766*3.33,2)))</f>
        <v/>
      </c>
      <c r="J766" s="11" t="n"/>
      <c r="K766" s="11" t="n"/>
      <c r="L766" s="11" t="n"/>
      <c r="M766" s="11" t="n"/>
      <c r="N766" s="10">
        <f>IF(COUNTA(J766:M766)=0,"",MIN(10,SUMPRODUCT((COUNTIF(J766:M766,L_KOM)&gt;0)*S_KOM)))</f>
        <v/>
      </c>
      <c r="O766" s="11" t="n"/>
      <c r="P766" s="10">
        <f>IF(O766="","",IFERROR(VLOOKUP(O766,T_KHID,2,FALSE),0))</f>
        <v/>
      </c>
      <c r="Q766" s="11" t="n"/>
      <c r="R766" s="11" t="n"/>
      <c r="S766" s="10">
        <f>IF(AND(Q766="",R766=""),"",IFERROR(INDEX(T_LIBAT,MATCH(Q766,L_PER,0),MATCH(R766,L_JENIS,0)),0))</f>
        <v/>
      </c>
      <c r="T766" s="11" t="n"/>
      <c r="U766" s="11" t="n"/>
      <c r="V766" s="10">
        <f>IF(AND(T766="",U766=""),"",IFERROR(INDEX(T_CAPAI,MATCH(T766,L_PER,0),MATCH(U766,L_KED,0)),0))</f>
        <v/>
      </c>
      <c r="W766" s="17">
        <f>IF(OR(B766="",E766="",COUNTA(F766,H766,J766:M766,O766,Q766:R766,T766:U766)=0),"",SUM(G766,I766,N766,P766,S766,V766))</f>
        <v/>
      </c>
      <c r="X766" s="18">
        <f>IF(W766="","",IF(Murid!F766="TL","TL",ROUND(W766/110*100,2)))</f>
        <v/>
      </c>
    </row>
    <row r="767">
      <c r="A767" s="15">
        <f>Murid!A767</f>
        <v/>
      </c>
      <c r="B767" s="15">
        <f>IF(Murid!B767="","",Murid!B767)</f>
        <v/>
      </c>
      <c r="C767" s="16">
        <f>IF(Murid!C767="","",Murid!C767)</f>
        <v/>
      </c>
      <c r="D767" s="15">
        <f>IF(Murid!E767="","",Murid!E767)</f>
        <v/>
      </c>
      <c r="E767" s="11" t="n"/>
      <c r="F767" s="11" t="n"/>
      <c r="G767" s="10">
        <f>IF(F767="","",IFERROR(VLOOKUP(F767,T_JKP,2,FALSE),0))</f>
        <v/>
      </c>
      <c r="H767" s="11" t="n"/>
      <c r="I767" s="17">
        <f>IF(H767="","",IF(H767&gt;=12,40,ROUND(H767*3.33,2)))</f>
        <v/>
      </c>
      <c r="J767" s="11" t="n"/>
      <c r="K767" s="11" t="n"/>
      <c r="L767" s="11" t="n"/>
      <c r="M767" s="11" t="n"/>
      <c r="N767" s="10">
        <f>IF(COUNTA(J767:M767)=0,"",MIN(10,SUMPRODUCT((COUNTIF(J767:M767,L_KOM)&gt;0)*S_KOM)))</f>
        <v/>
      </c>
      <c r="O767" s="11" t="n"/>
      <c r="P767" s="10">
        <f>IF(O767="","",IFERROR(VLOOKUP(O767,T_KHID,2,FALSE),0))</f>
        <v/>
      </c>
      <c r="Q767" s="11" t="n"/>
      <c r="R767" s="11" t="n"/>
      <c r="S767" s="10">
        <f>IF(AND(Q767="",R767=""),"",IFERROR(INDEX(T_LIBAT,MATCH(Q767,L_PER,0),MATCH(R767,L_JENIS,0)),0))</f>
        <v/>
      </c>
      <c r="T767" s="11" t="n"/>
      <c r="U767" s="11" t="n"/>
      <c r="V767" s="10">
        <f>IF(AND(T767="",U767=""),"",IFERROR(INDEX(T_CAPAI,MATCH(T767,L_PER,0),MATCH(U767,L_KED,0)),0))</f>
        <v/>
      </c>
      <c r="W767" s="17">
        <f>IF(OR(B767="",E767="",COUNTA(F767,H767,J767:M767,O767,Q767:R767,T767:U767)=0),"",SUM(G767,I767,N767,P767,S767,V767))</f>
        <v/>
      </c>
      <c r="X767" s="18">
        <f>IF(W767="","",IF(Murid!F767="TL","TL",ROUND(W767/110*100,2)))</f>
        <v/>
      </c>
    </row>
    <row r="768">
      <c r="A768" s="15">
        <f>Murid!A768</f>
        <v/>
      </c>
      <c r="B768" s="15">
        <f>IF(Murid!B768="","",Murid!B768)</f>
        <v/>
      </c>
      <c r="C768" s="16">
        <f>IF(Murid!C768="","",Murid!C768)</f>
        <v/>
      </c>
      <c r="D768" s="15">
        <f>IF(Murid!E768="","",Murid!E768)</f>
        <v/>
      </c>
      <c r="E768" s="11" t="n"/>
      <c r="F768" s="11" t="n"/>
      <c r="G768" s="10">
        <f>IF(F768="","",IFERROR(VLOOKUP(F768,T_JKP,2,FALSE),0))</f>
        <v/>
      </c>
      <c r="H768" s="11" t="n"/>
      <c r="I768" s="17">
        <f>IF(H768="","",IF(H768&gt;=12,40,ROUND(H768*3.33,2)))</f>
        <v/>
      </c>
      <c r="J768" s="11" t="n"/>
      <c r="K768" s="11" t="n"/>
      <c r="L768" s="11" t="n"/>
      <c r="M768" s="11" t="n"/>
      <c r="N768" s="10">
        <f>IF(COUNTA(J768:M768)=0,"",MIN(10,SUMPRODUCT((COUNTIF(J768:M768,L_KOM)&gt;0)*S_KOM)))</f>
        <v/>
      </c>
      <c r="O768" s="11" t="n"/>
      <c r="P768" s="10">
        <f>IF(O768="","",IFERROR(VLOOKUP(O768,T_KHID,2,FALSE),0))</f>
        <v/>
      </c>
      <c r="Q768" s="11" t="n"/>
      <c r="R768" s="11" t="n"/>
      <c r="S768" s="10">
        <f>IF(AND(Q768="",R768=""),"",IFERROR(INDEX(T_LIBAT,MATCH(Q768,L_PER,0),MATCH(R768,L_JENIS,0)),0))</f>
        <v/>
      </c>
      <c r="T768" s="11" t="n"/>
      <c r="U768" s="11" t="n"/>
      <c r="V768" s="10">
        <f>IF(AND(T768="",U768=""),"",IFERROR(INDEX(T_CAPAI,MATCH(T768,L_PER,0),MATCH(U768,L_KED,0)),0))</f>
        <v/>
      </c>
      <c r="W768" s="17">
        <f>IF(OR(B768="",E768="",COUNTA(F768,H768,J768:M768,O768,Q768:R768,T768:U768)=0),"",SUM(G768,I768,N768,P768,S768,V768))</f>
        <v/>
      </c>
      <c r="X768" s="18">
        <f>IF(W768="","",IF(Murid!F768="TL","TL",ROUND(W768/110*100,2)))</f>
        <v/>
      </c>
    </row>
    <row r="769">
      <c r="A769" s="15">
        <f>Murid!A769</f>
        <v/>
      </c>
      <c r="B769" s="15">
        <f>IF(Murid!B769="","",Murid!B769)</f>
        <v/>
      </c>
      <c r="C769" s="16">
        <f>IF(Murid!C769="","",Murid!C769)</f>
        <v/>
      </c>
      <c r="D769" s="15">
        <f>IF(Murid!E769="","",Murid!E769)</f>
        <v/>
      </c>
      <c r="E769" s="11" t="n"/>
      <c r="F769" s="11" t="n"/>
      <c r="G769" s="10">
        <f>IF(F769="","",IFERROR(VLOOKUP(F769,T_JKP,2,FALSE),0))</f>
        <v/>
      </c>
      <c r="H769" s="11" t="n"/>
      <c r="I769" s="17">
        <f>IF(H769="","",IF(H769&gt;=12,40,ROUND(H769*3.33,2)))</f>
        <v/>
      </c>
      <c r="J769" s="11" t="n"/>
      <c r="K769" s="11" t="n"/>
      <c r="L769" s="11" t="n"/>
      <c r="M769" s="11" t="n"/>
      <c r="N769" s="10">
        <f>IF(COUNTA(J769:M769)=0,"",MIN(10,SUMPRODUCT((COUNTIF(J769:M769,L_KOM)&gt;0)*S_KOM)))</f>
        <v/>
      </c>
      <c r="O769" s="11" t="n"/>
      <c r="P769" s="10">
        <f>IF(O769="","",IFERROR(VLOOKUP(O769,T_KHID,2,FALSE),0))</f>
        <v/>
      </c>
      <c r="Q769" s="11" t="n"/>
      <c r="R769" s="11" t="n"/>
      <c r="S769" s="10">
        <f>IF(AND(Q769="",R769=""),"",IFERROR(INDEX(T_LIBAT,MATCH(Q769,L_PER,0),MATCH(R769,L_JENIS,0)),0))</f>
        <v/>
      </c>
      <c r="T769" s="11" t="n"/>
      <c r="U769" s="11" t="n"/>
      <c r="V769" s="10">
        <f>IF(AND(T769="",U769=""),"",IFERROR(INDEX(T_CAPAI,MATCH(T769,L_PER,0),MATCH(U769,L_KED,0)),0))</f>
        <v/>
      </c>
      <c r="W769" s="17">
        <f>IF(OR(B769="",E769="",COUNTA(F769,H769,J769:M769,O769,Q769:R769,T769:U769)=0),"",SUM(G769,I769,N769,P769,S769,V769))</f>
        <v/>
      </c>
      <c r="X769" s="18">
        <f>IF(W769="","",IF(Murid!F769="TL","TL",ROUND(W769/110*100,2)))</f>
        <v/>
      </c>
    </row>
    <row r="770">
      <c r="A770" s="15">
        <f>Murid!A770</f>
        <v/>
      </c>
      <c r="B770" s="15">
        <f>IF(Murid!B770="","",Murid!B770)</f>
        <v/>
      </c>
      <c r="C770" s="16">
        <f>IF(Murid!C770="","",Murid!C770)</f>
        <v/>
      </c>
      <c r="D770" s="15">
        <f>IF(Murid!E770="","",Murid!E770)</f>
        <v/>
      </c>
      <c r="E770" s="11" t="n"/>
      <c r="F770" s="11" t="n"/>
      <c r="G770" s="10">
        <f>IF(F770="","",IFERROR(VLOOKUP(F770,T_JKP,2,FALSE),0))</f>
        <v/>
      </c>
      <c r="H770" s="11" t="n"/>
      <c r="I770" s="17">
        <f>IF(H770="","",IF(H770&gt;=12,40,ROUND(H770*3.33,2)))</f>
        <v/>
      </c>
      <c r="J770" s="11" t="n"/>
      <c r="K770" s="11" t="n"/>
      <c r="L770" s="11" t="n"/>
      <c r="M770" s="11" t="n"/>
      <c r="N770" s="10">
        <f>IF(COUNTA(J770:M770)=0,"",MIN(10,SUMPRODUCT((COUNTIF(J770:M770,L_KOM)&gt;0)*S_KOM)))</f>
        <v/>
      </c>
      <c r="O770" s="11" t="n"/>
      <c r="P770" s="10">
        <f>IF(O770="","",IFERROR(VLOOKUP(O770,T_KHID,2,FALSE),0))</f>
        <v/>
      </c>
      <c r="Q770" s="11" t="n"/>
      <c r="R770" s="11" t="n"/>
      <c r="S770" s="10">
        <f>IF(AND(Q770="",R770=""),"",IFERROR(INDEX(T_LIBAT,MATCH(Q770,L_PER,0),MATCH(R770,L_JENIS,0)),0))</f>
        <v/>
      </c>
      <c r="T770" s="11" t="n"/>
      <c r="U770" s="11" t="n"/>
      <c r="V770" s="10">
        <f>IF(AND(T770="",U770=""),"",IFERROR(INDEX(T_CAPAI,MATCH(T770,L_PER,0),MATCH(U770,L_KED,0)),0))</f>
        <v/>
      </c>
      <c r="W770" s="17">
        <f>IF(OR(B770="",E770="",COUNTA(F770,H770,J770:M770,O770,Q770:R770,T770:U770)=0),"",SUM(G770,I770,N770,P770,S770,V770))</f>
        <v/>
      </c>
      <c r="X770" s="18">
        <f>IF(W770="","",IF(Murid!F770="TL","TL",ROUND(W770/110*100,2)))</f>
        <v/>
      </c>
    </row>
    <row r="771">
      <c r="A771" s="15">
        <f>Murid!A771</f>
        <v/>
      </c>
      <c r="B771" s="15">
        <f>IF(Murid!B771="","",Murid!B771)</f>
        <v/>
      </c>
      <c r="C771" s="16">
        <f>IF(Murid!C771="","",Murid!C771)</f>
        <v/>
      </c>
      <c r="D771" s="15">
        <f>IF(Murid!E771="","",Murid!E771)</f>
        <v/>
      </c>
      <c r="E771" s="11" t="n"/>
      <c r="F771" s="11" t="n"/>
      <c r="G771" s="10">
        <f>IF(F771="","",IFERROR(VLOOKUP(F771,T_JKP,2,FALSE),0))</f>
        <v/>
      </c>
      <c r="H771" s="11" t="n"/>
      <c r="I771" s="17">
        <f>IF(H771="","",IF(H771&gt;=12,40,ROUND(H771*3.33,2)))</f>
        <v/>
      </c>
      <c r="J771" s="11" t="n"/>
      <c r="K771" s="11" t="n"/>
      <c r="L771" s="11" t="n"/>
      <c r="M771" s="11" t="n"/>
      <c r="N771" s="10">
        <f>IF(COUNTA(J771:M771)=0,"",MIN(10,SUMPRODUCT((COUNTIF(J771:M771,L_KOM)&gt;0)*S_KOM)))</f>
        <v/>
      </c>
      <c r="O771" s="11" t="n"/>
      <c r="P771" s="10">
        <f>IF(O771="","",IFERROR(VLOOKUP(O771,T_KHID,2,FALSE),0))</f>
        <v/>
      </c>
      <c r="Q771" s="11" t="n"/>
      <c r="R771" s="11" t="n"/>
      <c r="S771" s="10">
        <f>IF(AND(Q771="",R771=""),"",IFERROR(INDEX(T_LIBAT,MATCH(Q771,L_PER,0),MATCH(R771,L_JENIS,0)),0))</f>
        <v/>
      </c>
      <c r="T771" s="11" t="n"/>
      <c r="U771" s="11" t="n"/>
      <c r="V771" s="10">
        <f>IF(AND(T771="",U771=""),"",IFERROR(INDEX(T_CAPAI,MATCH(T771,L_PER,0),MATCH(U771,L_KED,0)),0))</f>
        <v/>
      </c>
      <c r="W771" s="17">
        <f>IF(OR(B771="",E771="",COUNTA(F771,H771,J771:M771,O771,Q771:R771,T771:U771)=0),"",SUM(G771,I771,N771,P771,S771,V771))</f>
        <v/>
      </c>
      <c r="X771" s="18">
        <f>IF(W771="","",IF(Murid!F771="TL","TL",ROUND(W771/110*100,2)))</f>
        <v/>
      </c>
    </row>
    <row r="772">
      <c r="A772" s="15">
        <f>Murid!A772</f>
        <v/>
      </c>
      <c r="B772" s="15">
        <f>IF(Murid!B772="","",Murid!B772)</f>
        <v/>
      </c>
      <c r="C772" s="16">
        <f>IF(Murid!C772="","",Murid!C772)</f>
        <v/>
      </c>
      <c r="D772" s="15">
        <f>IF(Murid!E772="","",Murid!E772)</f>
        <v/>
      </c>
      <c r="E772" s="11" t="n"/>
      <c r="F772" s="11" t="n"/>
      <c r="G772" s="10">
        <f>IF(F772="","",IFERROR(VLOOKUP(F772,T_JKP,2,FALSE),0))</f>
        <v/>
      </c>
      <c r="H772" s="11" t="n"/>
      <c r="I772" s="17">
        <f>IF(H772="","",IF(H772&gt;=12,40,ROUND(H772*3.33,2)))</f>
        <v/>
      </c>
      <c r="J772" s="11" t="n"/>
      <c r="K772" s="11" t="n"/>
      <c r="L772" s="11" t="n"/>
      <c r="M772" s="11" t="n"/>
      <c r="N772" s="10">
        <f>IF(COUNTA(J772:M772)=0,"",MIN(10,SUMPRODUCT((COUNTIF(J772:M772,L_KOM)&gt;0)*S_KOM)))</f>
        <v/>
      </c>
      <c r="O772" s="11" t="n"/>
      <c r="P772" s="10">
        <f>IF(O772="","",IFERROR(VLOOKUP(O772,T_KHID,2,FALSE),0))</f>
        <v/>
      </c>
      <c r="Q772" s="11" t="n"/>
      <c r="R772" s="11" t="n"/>
      <c r="S772" s="10">
        <f>IF(AND(Q772="",R772=""),"",IFERROR(INDEX(T_LIBAT,MATCH(Q772,L_PER,0),MATCH(R772,L_JENIS,0)),0))</f>
        <v/>
      </c>
      <c r="T772" s="11" t="n"/>
      <c r="U772" s="11" t="n"/>
      <c r="V772" s="10">
        <f>IF(AND(T772="",U772=""),"",IFERROR(INDEX(T_CAPAI,MATCH(T772,L_PER,0),MATCH(U772,L_KED,0)),0))</f>
        <v/>
      </c>
      <c r="W772" s="17">
        <f>IF(OR(B772="",E772="",COUNTA(F772,H772,J772:M772,O772,Q772:R772,T772:U772)=0),"",SUM(G772,I772,N772,P772,S772,V772))</f>
        <v/>
      </c>
      <c r="X772" s="18">
        <f>IF(W772="","",IF(Murid!F772="TL","TL",ROUND(W772/110*100,2)))</f>
        <v/>
      </c>
    </row>
    <row r="773">
      <c r="A773" s="15">
        <f>Murid!A773</f>
        <v/>
      </c>
      <c r="B773" s="15">
        <f>IF(Murid!B773="","",Murid!B773)</f>
        <v/>
      </c>
      <c r="C773" s="16">
        <f>IF(Murid!C773="","",Murid!C773)</f>
        <v/>
      </c>
      <c r="D773" s="15">
        <f>IF(Murid!E773="","",Murid!E773)</f>
        <v/>
      </c>
      <c r="E773" s="11" t="n"/>
      <c r="F773" s="11" t="n"/>
      <c r="G773" s="10">
        <f>IF(F773="","",IFERROR(VLOOKUP(F773,T_JKP,2,FALSE),0))</f>
        <v/>
      </c>
      <c r="H773" s="11" t="n"/>
      <c r="I773" s="17">
        <f>IF(H773="","",IF(H773&gt;=12,40,ROUND(H773*3.33,2)))</f>
        <v/>
      </c>
      <c r="J773" s="11" t="n"/>
      <c r="K773" s="11" t="n"/>
      <c r="L773" s="11" t="n"/>
      <c r="M773" s="11" t="n"/>
      <c r="N773" s="10">
        <f>IF(COUNTA(J773:M773)=0,"",MIN(10,SUMPRODUCT((COUNTIF(J773:M773,L_KOM)&gt;0)*S_KOM)))</f>
        <v/>
      </c>
      <c r="O773" s="11" t="n"/>
      <c r="P773" s="10">
        <f>IF(O773="","",IFERROR(VLOOKUP(O773,T_KHID,2,FALSE),0))</f>
        <v/>
      </c>
      <c r="Q773" s="11" t="n"/>
      <c r="R773" s="11" t="n"/>
      <c r="S773" s="10">
        <f>IF(AND(Q773="",R773=""),"",IFERROR(INDEX(T_LIBAT,MATCH(Q773,L_PER,0),MATCH(R773,L_JENIS,0)),0))</f>
        <v/>
      </c>
      <c r="T773" s="11" t="n"/>
      <c r="U773" s="11" t="n"/>
      <c r="V773" s="10">
        <f>IF(AND(T773="",U773=""),"",IFERROR(INDEX(T_CAPAI,MATCH(T773,L_PER,0),MATCH(U773,L_KED,0)),0))</f>
        <v/>
      </c>
      <c r="W773" s="17">
        <f>IF(OR(B773="",E773="",COUNTA(F773,H773,J773:M773,O773,Q773:R773,T773:U773)=0),"",SUM(G773,I773,N773,P773,S773,V773))</f>
        <v/>
      </c>
      <c r="X773" s="18">
        <f>IF(W773="","",IF(Murid!F773="TL","TL",ROUND(W773/110*100,2)))</f>
        <v/>
      </c>
    </row>
    <row r="774">
      <c r="A774" s="15">
        <f>Murid!A774</f>
        <v/>
      </c>
      <c r="B774" s="15">
        <f>IF(Murid!B774="","",Murid!B774)</f>
        <v/>
      </c>
      <c r="C774" s="16">
        <f>IF(Murid!C774="","",Murid!C774)</f>
        <v/>
      </c>
      <c r="D774" s="15">
        <f>IF(Murid!E774="","",Murid!E774)</f>
        <v/>
      </c>
      <c r="E774" s="11" t="n"/>
      <c r="F774" s="11" t="n"/>
      <c r="G774" s="10">
        <f>IF(F774="","",IFERROR(VLOOKUP(F774,T_JKP,2,FALSE),0))</f>
        <v/>
      </c>
      <c r="H774" s="11" t="n"/>
      <c r="I774" s="17">
        <f>IF(H774="","",IF(H774&gt;=12,40,ROUND(H774*3.33,2)))</f>
        <v/>
      </c>
      <c r="J774" s="11" t="n"/>
      <c r="K774" s="11" t="n"/>
      <c r="L774" s="11" t="n"/>
      <c r="M774" s="11" t="n"/>
      <c r="N774" s="10">
        <f>IF(COUNTA(J774:M774)=0,"",MIN(10,SUMPRODUCT((COUNTIF(J774:M774,L_KOM)&gt;0)*S_KOM)))</f>
        <v/>
      </c>
      <c r="O774" s="11" t="n"/>
      <c r="P774" s="10">
        <f>IF(O774="","",IFERROR(VLOOKUP(O774,T_KHID,2,FALSE),0))</f>
        <v/>
      </c>
      <c r="Q774" s="11" t="n"/>
      <c r="R774" s="11" t="n"/>
      <c r="S774" s="10">
        <f>IF(AND(Q774="",R774=""),"",IFERROR(INDEX(T_LIBAT,MATCH(Q774,L_PER,0),MATCH(R774,L_JENIS,0)),0))</f>
        <v/>
      </c>
      <c r="T774" s="11" t="n"/>
      <c r="U774" s="11" t="n"/>
      <c r="V774" s="10">
        <f>IF(AND(T774="",U774=""),"",IFERROR(INDEX(T_CAPAI,MATCH(T774,L_PER,0),MATCH(U774,L_KED,0)),0))</f>
        <v/>
      </c>
      <c r="W774" s="17">
        <f>IF(OR(B774="",E774="",COUNTA(F774,H774,J774:M774,O774,Q774:R774,T774:U774)=0),"",SUM(G774,I774,N774,P774,S774,V774))</f>
        <v/>
      </c>
      <c r="X774" s="18">
        <f>IF(W774="","",IF(Murid!F774="TL","TL",ROUND(W774/110*100,2)))</f>
        <v/>
      </c>
    </row>
    <row r="775">
      <c r="A775" s="15">
        <f>Murid!A775</f>
        <v/>
      </c>
      <c r="B775" s="15">
        <f>IF(Murid!B775="","",Murid!B775)</f>
        <v/>
      </c>
      <c r="C775" s="16">
        <f>IF(Murid!C775="","",Murid!C775)</f>
        <v/>
      </c>
      <c r="D775" s="15">
        <f>IF(Murid!E775="","",Murid!E775)</f>
        <v/>
      </c>
      <c r="E775" s="11" t="n"/>
      <c r="F775" s="11" t="n"/>
      <c r="G775" s="10">
        <f>IF(F775="","",IFERROR(VLOOKUP(F775,T_JKP,2,FALSE),0))</f>
        <v/>
      </c>
      <c r="H775" s="11" t="n"/>
      <c r="I775" s="17">
        <f>IF(H775="","",IF(H775&gt;=12,40,ROUND(H775*3.33,2)))</f>
        <v/>
      </c>
      <c r="J775" s="11" t="n"/>
      <c r="K775" s="11" t="n"/>
      <c r="L775" s="11" t="n"/>
      <c r="M775" s="11" t="n"/>
      <c r="N775" s="10">
        <f>IF(COUNTA(J775:M775)=0,"",MIN(10,SUMPRODUCT((COUNTIF(J775:M775,L_KOM)&gt;0)*S_KOM)))</f>
        <v/>
      </c>
      <c r="O775" s="11" t="n"/>
      <c r="P775" s="10">
        <f>IF(O775="","",IFERROR(VLOOKUP(O775,T_KHID,2,FALSE),0))</f>
        <v/>
      </c>
      <c r="Q775" s="11" t="n"/>
      <c r="R775" s="11" t="n"/>
      <c r="S775" s="10">
        <f>IF(AND(Q775="",R775=""),"",IFERROR(INDEX(T_LIBAT,MATCH(Q775,L_PER,0),MATCH(R775,L_JENIS,0)),0))</f>
        <v/>
      </c>
      <c r="T775" s="11" t="n"/>
      <c r="U775" s="11" t="n"/>
      <c r="V775" s="10">
        <f>IF(AND(T775="",U775=""),"",IFERROR(INDEX(T_CAPAI,MATCH(T775,L_PER,0),MATCH(U775,L_KED,0)),0))</f>
        <v/>
      </c>
      <c r="W775" s="17">
        <f>IF(OR(B775="",E775="",COUNTA(F775,H775,J775:M775,O775,Q775:R775,T775:U775)=0),"",SUM(G775,I775,N775,P775,S775,V775))</f>
        <v/>
      </c>
      <c r="X775" s="18">
        <f>IF(W775="","",IF(Murid!F775="TL","TL",ROUND(W775/110*100,2)))</f>
        <v/>
      </c>
    </row>
    <row r="776">
      <c r="A776" s="15">
        <f>Murid!A776</f>
        <v/>
      </c>
      <c r="B776" s="15">
        <f>IF(Murid!B776="","",Murid!B776)</f>
        <v/>
      </c>
      <c r="C776" s="16">
        <f>IF(Murid!C776="","",Murid!C776)</f>
        <v/>
      </c>
      <c r="D776" s="15">
        <f>IF(Murid!E776="","",Murid!E776)</f>
        <v/>
      </c>
      <c r="E776" s="11" t="n"/>
      <c r="F776" s="11" t="n"/>
      <c r="G776" s="10">
        <f>IF(F776="","",IFERROR(VLOOKUP(F776,T_JKP,2,FALSE),0))</f>
        <v/>
      </c>
      <c r="H776" s="11" t="n"/>
      <c r="I776" s="17">
        <f>IF(H776="","",IF(H776&gt;=12,40,ROUND(H776*3.33,2)))</f>
        <v/>
      </c>
      <c r="J776" s="11" t="n"/>
      <c r="K776" s="11" t="n"/>
      <c r="L776" s="11" t="n"/>
      <c r="M776" s="11" t="n"/>
      <c r="N776" s="10">
        <f>IF(COUNTA(J776:M776)=0,"",MIN(10,SUMPRODUCT((COUNTIF(J776:M776,L_KOM)&gt;0)*S_KOM)))</f>
        <v/>
      </c>
      <c r="O776" s="11" t="n"/>
      <c r="P776" s="10">
        <f>IF(O776="","",IFERROR(VLOOKUP(O776,T_KHID,2,FALSE),0))</f>
        <v/>
      </c>
      <c r="Q776" s="11" t="n"/>
      <c r="R776" s="11" t="n"/>
      <c r="S776" s="10">
        <f>IF(AND(Q776="",R776=""),"",IFERROR(INDEX(T_LIBAT,MATCH(Q776,L_PER,0),MATCH(R776,L_JENIS,0)),0))</f>
        <v/>
      </c>
      <c r="T776" s="11" t="n"/>
      <c r="U776" s="11" t="n"/>
      <c r="V776" s="10">
        <f>IF(AND(T776="",U776=""),"",IFERROR(INDEX(T_CAPAI,MATCH(T776,L_PER,0),MATCH(U776,L_KED,0)),0))</f>
        <v/>
      </c>
      <c r="W776" s="17">
        <f>IF(OR(B776="",E776="",COUNTA(F776,H776,J776:M776,O776,Q776:R776,T776:U776)=0),"",SUM(G776,I776,N776,P776,S776,V776))</f>
        <v/>
      </c>
      <c r="X776" s="18">
        <f>IF(W776="","",IF(Murid!F776="TL","TL",ROUND(W776/110*100,2)))</f>
        <v/>
      </c>
    </row>
    <row r="777">
      <c r="A777" s="15">
        <f>Murid!A777</f>
        <v/>
      </c>
      <c r="B777" s="15">
        <f>IF(Murid!B777="","",Murid!B777)</f>
        <v/>
      </c>
      <c r="C777" s="16">
        <f>IF(Murid!C777="","",Murid!C777)</f>
        <v/>
      </c>
      <c r="D777" s="15">
        <f>IF(Murid!E777="","",Murid!E777)</f>
        <v/>
      </c>
      <c r="E777" s="11" t="n"/>
      <c r="F777" s="11" t="n"/>
      <c r="G777" s="10">
        <f>IF(F777="","",IFERROR(VLOOKUP(F777,T_JKP,2,FALSE),0))</f>
        <v/>
      </c>
      <c r="H777" s="11" t="n"/>
      <c r="I777" s="17">
        <f>IF(H777="","",IF(H777&gt;=12,40,ROUND(H777*3.33,2)))</f>
        <v/>
      </c>
      <c r="J777" s="11" t="n"/>
      <c r="K777" s="11" t="n"/>
      <c r="L777" s="11" t="n"/>
      <c r="M777" s="11" t="n"/>
      <c r="N777" s="10">
        <f>IF(COUNTA(J777:M777)=0,"",MIN(10,SUMPRODUCT((COUNTIF(J777:M777,L_KOM)&gt;0)*S_KOM)))</f>
        <v/>
      </c>
      <c r="O777" s="11" t="n"/>
      <c r="P777" s="10">
        <f>IF(O777="","",IFERROR(VLOOKUP(O777,T_KHID,2,FALSE),0))</f>
        <v/>
      </c>
      <c r="Q777" s="11" t="n"/>
      <c r="R777" s="11" t="n"/>
      <c r="S777" s="10">
        <f>IF(AND(Q777="",R777=""),"",IFERROR(INDEX(T_LIBAT,MATCH(Q777,L_PER,0),MATCH(R777,L_JENIS,0)),0))</f>
        <v/>
      </c>
      <c r="T777" s="11" t="n"/>
      <c r="U777" s="11" t="n"/>
      <c r="V777" s="10">
        <f>IF(AND(T777="",U777=""),"",IFERROR(INDEX(T_CAPAI,MATCH(T777,L_PER,0),MATCH(U777,L_KED,0)),0))</f>
        <v/>
      </c>
      <c r="W777" s="17">
        <f>IF(OR(B777="",E777="",COUNTA(F777,H777,J777:M777,O777,Q777:R777,T777:U777)=0),"",SUM(G777,I777,N777,P777,S777,V777))</f>
        <v/>
      </c>
      <c r="X777" s="18">
        <f>IF(W777="","",IF(Murid!F777="TL","TL",ROUND(W777/110*100,2)))</f>
        <v/>
      </c>
    </row>
    <row r="778">
      <c r="A778" s="15">
        <f>Murid!A778</f>
        <v/>
      </c>
      <c r="B778" s="15">
        <f>IF(Murid!B778="","",Murid!B778)</f>
        <v/>
      </c>
      <c r="C778" s="16">
        <f>IF(Murid!C778="","",Murid!C778)</f>
        <v/>
      </c>
      <c r="D778" s="15">
        <f>IF(Murid!E778="","",Murid!E778)</f>
        <v/>
      </c>
      <c r="E778" s="11" t="n"/>
      <c r="F778" s="11" t="n"/>
      <c r="G778" s="10">
        <f>IF(F778="","",IFERROR(VLOOKUP(F778,T_JKP,2,FALSE),0))</f>
        <v/>
      </c>
      <c r="H778" s="11" t="n"/>
      <c r="I778" s="17">
        <f>IF(H778="","",IF(H778&gt;=12,40,ROUND(H778*3.33,2)))</f>
        <v/>
      </c>
      <c r="J778" s="11" t="n"/>
      <c r="K778" s="11" t="n"/>
      <c r="L778" s="11" t="n"/>
      <c r="M778" s="11" t="n"/>
      <c r="N778" s="10">
        <f>IF(COUNTA(J778:M778)=0,"",MIN(10,SUMPRODUCT((COUNTIF(J778:M778,L_KOM)&gt;0)*S_KOM)))</f>
        <v/>
      </c>
      <c r="O778" s="11" t="n"/>
      <c r="P778" s="10">
        <f>IF(O778="","",IFERROR(VLOOKUP(O778,T_KHID,2,FALSE),0))</f>
        <v/>
      </c>
      <c r="Q778" s="11" t="n"/>
      <c r="R778" s="11" t="n"/>
      <c r="S778" s="10">
        <f>IF(AND(Q778="",R778=""),"",IFERROR(INDEX(T_LIBAT,MATCH(Q778,L_PER,0),MATCH(R778,L_JENIS,0)),0))</f>
        <v/>
      </c>
      <c r="T778" s="11" t="n"/>
      <c r="U778" s="11" t="n"/>
      <c r="V778" s="10">
        <f>IF(AND(T778="",U778=""),"",IFERROR(INDEX(T_CAPAI,MATCH(T778,L_PER,0),MATCH(U778,L_KED,0)),0))</f>
        <v/>
      </c>
      <c r="W778" s="17">
        <f>IF(OR(B778="",E778="",COUNTA(F778,H778,J778:M778,O778,Q778:R778,T778:U778)=0),"",SUM(G778,I778,N778,P778,S778,V778))</f>
        <v/>
      </c>
      <c r="X778" s="18">
        <f>IF(W778="","",IF(Murid!F778="TL","TL",ROUND(W778/110*100,2)))</f>
        <v/>
      </c>
    </row>
    <row r="779">
      <c r="A779" s="15">
        <f>Murid!A779</f>
        <v/>
      </c>
      <c r="B779" s="15">
        <f>IF(Murid!B779="","",Murid!B779)</f>
        <v/>
      </c>
      <c r="C779" s="16">
        <f>IF(Murid!C779="","",Murid!C779)</f>
        <v/>
      </c>
      <c r="D779" s="15">
        <f>IF(Murid!E779="","",Murid!E779)</f>
        <v/>
      </c>
      <c r="E779" s="11" t="n"/>
      <c r="F779" s="11" t="n"/>
      <c r="G779" s="10">
        <f>IF(F779="","",IFERROR(VLOOKUP(F779,T_JKP,2,FALSE),0))</f>
        <v/>
      </c>
      <c r="H779" s="11" t="n"/>
      <c r="I779" s="17">
        <f>IF(H779="","",IF(H779&gt;=12,40,ROUND(H779*3.33,2)))</f>
        <v/>
      </c>
      <c r="J779" s="11" t="n"/>
      <c r="K779" s="11" t="n"/>
      <c r="L779" s="11" t="n"/>
      <c r="M779" s="11" t="n"/>
      <c r="N779" s="10">
        <f>IF(COUNTA(J779:M779)=0,"",MIN(10,SUMPRODUCT((COUNTIF(J779:M779,L_KOM)&gt;0)*S_KOM)))</f>
        <v/>
      </c>
      <c r="O779" s="11" t="n"/>
      <c r="P779" s="10">
        <f>IF(O779="","",IFERROR(VLOOKUP(O779,T_KHID,2,FALSE),0))</f>
        <v/>
      </c>
      <c r="Q779" s="11" t="n"/>
      <c r="R779" s="11" t="n"/>
      <c r="S779" s="10">
        <f>IF(AND(Q779="",R779=""),"",IFERROR(INDEX(T_LIBAT,MATCH(Q779,L_PER,0),MATCH(R779,L_JENIS,0)),0))</f>
        <v/>
      </c>
      <c r="T779" s="11" t="n"/>
      <c r="U779" s="11" t="n"/>
      <c r="V779" s="10">
        <f>IF(AND(T779="",U779=""),"",IFERROR(INDEX(T_CAPAI,MATCH(T779,L_PER,0),MATCH(U779,L_KED,0)),0))</f>
        <v/>
      </c>
      <c r="W779" s="17">
        <f>IF(OR(B779="",E779="",COUNTA(F779,H779,J779:M779,O779,Q779:R779,T779:U779)=0),"",SUM(G779,I779,N779,P779,S779,V779))</f>
        <v/>
      </c>
      <c r="X779" s="18">
        <f>IF(W779="","",IF(Murid!F779="TL","TL",ROUND(W779/110*100,2)))</f>
        <v/>
      </c>
    </row>
    <row r="780">
      <c r="A780" s="15">
        <f>Murid!A780</f>
        <v/>
      </c>
      <c r="B780" s="15">
        <f>IF(Murid!B780="","",Murid!B780)</f>
        <v/>
      </c>
      <c r="C780" s="16">
        <f>IF(Murid!C780="","",Murid!C780)</f>
        <v/>
      </c>
      <c r="D780" s="15">
        <f>IF(Murid!E780="","",Murid!E780)</f>
        <v/>
      </c>
      <c r="E780" s="11" t="n"/>
      <c r="F780" s="11" t="n"/>
      <c r="G780" s="10">
        <f>IF(F780="","",IFERROR(VLOOKUP(F780,T_JKP,2,FALSE),0))</f>
        <v/>
      </c>
      <c r="H780" s="11" t="n"/>
      <c r="I780" s="17">
        <f>IF(H780="","",IF(H780&gt;=12,40,ROUND(H780*3.33,2)))</f>
        <v/>
      </c>
      <c r="J780" s="11" t="n"/>
      <c r="K780" s="11" t="n"/>
      <c r="L780" s="11" t="n"/>
      <c r="M780" s="11" t="n"/>
      <c r="N780" s="10">
        <f>IF(COUNTA(J780:M780)=0,"",MIN(10,SUMPRODUCT((COUNTIF(J780:M780,L_KOM)&gt;0)*S_KOM)))</f>
        <v/>
      </c>
      <c r="O780" s="11" t="n"/>
      <c r="P780" s="10">
        <f>IF(O780="","",IFERROR(VLOOKUP(O780,T_KHID,2,FALSE),0))</f>
        <v/>
      </c>
      <c r="Q780" s="11" t="n"/>
      <c r="R780" s="11" t="n"/>
      <c r="S780" s="10">
        <f>IF(AND(Q780="",R780=""),"",IFERROR(INDEX(T_LIBAT,MATCH(Q780,L_PER,0),MATCH(R780,L_JENIS,0)),0))</f>
        <v/>
      </c>
      <c r="T780" s="11" t="n"/>
      <c r="U780" s="11" t="n"/>
      <c r="V780" s="10">
        <f>IF(AND(T780="",U780=""),"",IFERROR(INDEX(T_CAPAI,MATCH(T780,L_PER,0),MATCH(U780,L_KED,0)),0))</f>
        <v/>
      </c>
      <c r="W780" s="17">
        <f>IF(OR(B780="",E780="",COUNTA(F780,H780,J780:M780,O780,Q780:R780,T780:U780)=0),"",SUM(G780,I780,N780,P780,S780,V780))</f>
        <v/>
      </c>
      <c r="X780" s="18">
        <f>IF(W780="","",IF(Murid!F780="TL","TL",ROUND(W780/110*100,2)))</f>
        <v/>
      </c>
    </row>
    <row r="781">
      <c r="A781" s="15">
        <f>Murid!A781</f>
        <v/>
      </c>
      <c r="B781" s="15">
        <f>IF(Murid!B781="","",Murid!B781)</f>
        <v/>
      </c>
      <c r="C781" s="16">
        <f>IF(Murid!C781="","",Murid!C781)</f>
        <v/>
      </c>
      <c r="D781" s="15">
        <f>IF(Murid!E781="","",Murid!E781)</f>
        <v/>
      </c>
      <c r="E781" s="11" t="n"/>
      <c r="F781" s="11" t="n"/>
      <c r="G781" s="10">
        <f>IF(F781="","",IFERROR(VLOOKUP(F781,T_JKP,2,FALSE),0))</f>
        <v/>
      </c>
      <c r="H781" s="11" t="n"/>
      <c r="I781" s="17">
        <f>IF(H781="","",IF(H781&gt;=12,40,ROUND(H781*3.33,2)))</f>
        <v/>
      </c>
      <c r="J781" s="11" t="n"/>
      <c r="K781" s="11" t="n"/>
      <c r="L781" s="11" t="n"/>
      <c r="M781" s="11" t="n"/>
      <c r="N781" s="10">
        <f>IF(COUNTA(J781:M781)=0,"",MIN(10,SUMPRODUCT((COUNTIF(J781:M781,L_KOM)&gt;0)*S_KOM)))</f>
        <v/>
      </c>
      <c r="O781" s="11" t="n"/>
      <c r="P781" s="10">
        <f>IF(O781="","",IFERROR(VLOOKUP(O781,T_KHID,2,FALSE),0))</f>
        <v/>
      </c>
      <c r="Q781" s="11" t="n"/>
      <c r="R781" s="11" t="n"/>
      <c r="S781" s="10">
        <f>IF(AND(Q781="",R781=""),"",IFERROR(INDEX(T_LIBAT,MATCH(Q781,L_PER,0),MATCH(R781,L_JENIS,0)),0))</f>
        <v/>
      </c>
      <c r="T781" s="11" t="n"/>
      <c r="U781" s="11" t="n"/>
      <c r="V781" s="10">
        <f>IF(AND(T781="",U781=""),"",IFERROR(INDEX(T_CAPAI,MATCH(T781,L_PER,0),MATCH(U781,L_KED,0)),0))</f>
        <v/>
      </c>
      <c r="W781" s="17">
        <f>IF(OR(B781="",E781="",COUNTA(F781,H781,J781:M781,O781,Q781:R781,T781:U781)=0),"",SUM(G781,I781,N781,P781,S781,V781))</f>
        <v/>
      </c>
      <c r="X781" s="18">
        <f>IF(W781="","",IF(Murid!F781="TL","TL",ROUND(W781/110*100,2)))</f>
        <v/>
      </c>
    </row>
    <row r="782">
      <c r="A782" s="15">
        <f>Murid!A782</f>
        <v/>
      </c>
      <c r="B782" s="15">
        <f>IF(Murid!B782="","",Murid!B782)</f>
        <v/>
      </c>
      <c r="C782" s="16">
        <f>IF(Murid!C782="","",Murid!C782)</f>
        <v/>
      </c>
      <c r="D782" s="15">
        <f>IF(Murid!E782="","",Murid!E782)</f>
        <v/>
      </c>
      <c r="E782" s="11" t="n"/>
      <c r="F782" s="11" t="n"/>
      <c r="G782" s="10">
        <f>IF(F782="","",IFERROR(VLOOKUP(F782,T_JKP,2,FALSE),0))</f>
        <v/>
      </c>
      <c r="H782" s="11" t="n"/>
      <c r="I782" s="17">
        <f>IF(H782="","",IF(H782&gt;=12,40,ROUND(H782*3.33,2)))</f>
        <v/>
      </c>
      <c r="J782" s="11" t="n"/>
      <c r="K782" s="11" t="n"/>
      <c r="L782" s="11" t="n"/>
      <c r="M782" s="11" t="n"/>
      <c r="N782" s="10">
        <f>IF(COUNTA(J782:M782)=0,"",MIN(10,SUMPRODUCT((COUNTIF(J782:M782,L_KOM)&gt;0)*S_KOM)))</f>
        <v/>
      </c>
      <c r="O782" s="11" t="n"/>
      <c r="P782" s="10">
        <f>IF(O782="","",IFERROR(VLOOKUP(O782,T_KHID,2,FALSE),0))</f>
        <v/>
      </c>
      <c r="Q782" s="11" t="n"/>
      <c r="R782" s="11" t="n"/>
      <c r="S782" s="10">
        <f>IF(AND(Q782="",R782=""),"",IFERROR(INDEX(T_LIBAT,MATCH(Q782,L_PER,0),MATCH(R782,L_JENIS,0)),0))</f>
        <v/>
      </c>
      <c r="T782" s="11" t="n"/>
      <c r="U782" s="11" t="n"/>
      <c r="V782" s="10">
        <f>IF(AND(T782="",U782=""),"",IFERROR(INDEX(T_CAPAI,MATCH(T782,L_PER,0),MATCH(U782,L_KED,0)),0))</f>
        <v/>
      </c>
      <c r="W782" s="17">
        <f>IF(OR(B782="",E782="",COUNTA(F782,H782,J782:M782,O782,Q782:R782,T782:U782)=0),"",SUM(G782,I782,N782,P782,S782,V782))</f>
        <v/>
      </c>
      <c r="X782" s="18">
        <f>IF(W782="","",IF(Murid!F782="TL","TL",ROUND(W782/110*100,2)))</f>
        <v/>
      </c>
    </row>
    <row r="783">
      <c r="A783" s="15">
        <f>Murid!A783</f>
        <v/>
      </c>
      <c r="B783" s="15">
        <f>IF(Murid!B783="","",Murid!B783)</f>
        <v/>
      </c>
      <c r="C783" s="16">
        <f>IF(Murid!C783="","",Murid!C783)</f>
        <v/>
      </c>
      <c r="D783" s="15">
        <f>IF(Murid!E783="","",Murid!E783)</f>
        <v/>
      </c>
      <c r="E783" s="11" t="n"/>
      <c r="F783" s="11" t="n"/>
      <c r="G783" s="10">
        <f>IF(F783="","",IFERROR(VLOOKUP(F783,T_JKP,2,FALSE),0))</f>
        <v/>
      </c>
      <c r="H783" s="11" t="n"/>
      <c r="I783" s="17">
        <f>IF(H783="","",IF(H783&gt;=12,40,ROUND(H783*3.33,2)))</f>
        <v/>
      </c>
      <c r="J783" s="11" t="n"/>
      <c r="K783" s="11" t="n"/>
      <c r="L783" s="11" t="n"/>
      <c r="M783" s="11" t="n"/>
      <c r="N783" s="10">
        <f>IF(COUNTA(J783:M783)=0,"",MIN(10,SUMPRODUCT((COUNTIF(J783:M783,L_KOM)&gt;0)*S_KOM)))</f>
        <v/>
      </c>
      <c r="O783" s="11" t="n"/>
      <c r="P783" s="10">
        <f>IF(O783="","",IFERROR(VLOOKUP(O783,T_KHID,2,FALSE),0))</f>
        <v/>
      </c>
      <c r="Q783" s="11" t="n"/>
      <c r="R783" s="11" t="n"/>
      <c r="S783" s="10">
        <f>IF(AND(Q783="",R783=""),"",IFERROR(INDEX(T_LIBAT,MATCH(Q783,L_PER,0),MATCH(R783,L_JENIS,0)),0))</f>
        <v/>
      </c>
      <c r="T783" s="11" t="n"/>
      <c r="U783" s="11" t="n"/>
      <c r="V783" s="10">
        <f>IF(AND(T783="",U783=""),"",IFERROR(INDEX(T_CAPAI,MATCH(T783,L_PER,0),MATCH(U783,L_KED,0)),0))</f>
        <v/>
      </c>
      <c r="W783" s="17">
        <f>IF(OR(B783="",E783="",COUNTA(F783,H783,J783:M783,O783,Q783:R783,T783:U783)=0),"",SUM(G783,I783,N783,P783,S783,V783))</f>
        <v/>
      </c>
      <c r="X783" s="18">
        <f>IF(W783="","",IF(Murid!F783="TL","TL",ROUND(W783/110*100,2)))</f>
        <v/>
      </c>
    </row>
    <row r="784">
      <c r="A784" s="15">
        <f>Murid!A784</f>
        <v/>
      </c>
      <c r="B784" s="15">
        <f>IF(Murid!B784="","",Murid!B784)</f>
        <v/>
      </c>
      <c r="C784" s="16">
        <f>IF(Murid!C784="","",Murid!C784)</f>
        <v/>
      </c>
      <c r="D784" s="15">
        <f>IF(Murid!E784="","",Murid!E784)</f>
        <v/>
      </c>
      <c r="E784" s="11" t="n"/>
      <c r="F784" s="11" t="n"/>
      <c r="G784" s="10">
        <f>IF(F784="","",IFERROR(VLOOKUP(F784,T_JKP,2,FALSE),0))</f>
        <v/>
      </c>
      <c r="H784" s="11" t="n"/>
      <c r="I784" s="17">
        <f>IF(H784="","",IF(H784&gt;=12,40,ROUND(H784*3.33,2)))</f>
        <v/>
      </c>
      <c r="J784" s="11" t="n"/>
      <c r="K784" s="11" t="n"/>
      <c r="L784" s="11" t="n"/>
      <c r="M784" s="11" t="n"/>
      <c r="N784" s="10">
        <f>IF(COUNTA(J784:M784)=0,"",MIN(10,SUMPRODUCT((COUNTIF(J784:M784,L_KOM)&gt;0)*S_KOM)))</f>
        <v/>
      </c>
      <c r="O784" s="11" t="n"/>
      <c r="P784" s="10">
        <f>IF(O784="","",IFERROR(VLOOKUP(O784,T_KHID,2,FALSE),0))</f>
        <v/>
      </c>
      <c r="Q784" s="11" t="n"/>
      <c r="R784" s="11" t="n"/>
      <c r="S784" s="10">
        <f>IF(AND(Q784="",R784=""),"",IFERROR(INDEX(T_LIBAT,MATCH(Q784,L_PER,0),MATCH(R784,L_JENIS,0)),0))</f>
        <v/>
      </c>
      <c r="T784" s="11" t="n"/>
      <c r="U784" s="11" t="n"/>
      <c r="V784" s="10">
        <f>IF(AND(T784="",U784=""),"",IFERROR(INDEX(T_CAPAI,MATCH(T784,L_PER,0),MATCH(U784,L_KED,0)),0))</f>
        <v/>
      </c>
      <c r="W784" s="17">
        <f>IF(OR(B784="",E784="",COUNTA(F784,H784,J784:M784,O784,Q784:R784,T784:U784)=0),"",SUM(G784,I784,N784,P784,S784,V784))</f>
        <v/>
      </c>
      <c r="X784" s="18">
        <f>IF(W784="","",IF(Murid!F784="TL","TL",ROUND(W784/110*100,2)))</f>
        <v/>
      </c>
    </row>
    <row r="785">
      <c r="A785" s="15">
        <f>Murid!A785</f>
        <v/>
      </c>
      <c r="B785" s="15">
        <f>IF(Murid!B785="","",Murid!B785)</f>
        <v/>
      </c>
      <c r="C785" s="16">
        <f>IF(Murid!C785="","",Murid!C785)</f>
        <v/>
      </c>
      <c r="D785" s="15">
        <f>IF(Murid!E785="","",Murid!E785)</f>
        <v/>
      </c>
      <c r="E785" s="11" t="n"/>
      <c r="F785" s="11" t="n"/>
      <c r="G785" s="10">
        <f>IF(F785="","",IFERROR(VLOOKUP(F785,T_JKP,2,FALSE),0))</f>
        <v/>
      </c>
      <c r="H785" s="11" t="n"/>
      <c r="I785" s="17">
        <f>IF(H785="","",IF(H785&gt;=12,40,ROUND(H785*3.33,2)))</f>
        <v/>
      </c>
      <c r="J785" s="11" t="n"/>
      <c r="K785" s="11" t="n"/>
      <c r="L785" s="11" t="n"/>
      <c r="M785" s="11" t="n"/>
      <c r="N785" s="10">
        <f>IF(COUNTA(J785:M785)=0,"",MIN(10,SUMPRODUCT((COUNTIF(J785:M785,L_KOM)&gt;0)*S_KOM)))</f>
        <v/>
      </c>
      <c r="O785" s="11" t="n"/>
      <c r="P785" s="10">
        <f>IF(O785="","",IFERROR(VLOOKUP(O785,T_KHID,2,FALSE),0))</f>
        <v/>
      </c>
      <c r="Q785" s="11" t="n"/>
      <c r="R785" s="11" t="n"/>
      <c r="S785" s="10">
        <f>IF(AND(Q785="",R785=""),"",IFERROR(INDEX(T_LIBAT,MATCH(Q785,L_PER,0),MATCH(R785,L_JENIS,0)),0))</f>
        <v/>
      </c>
      <c r="T785" s="11" t="n"/>
      <c r="U785" s="11" t="n"/>
      <c r="V785" s="10">
        <f>IF(AND(T785="",U785=""),"",IFERROR(INDEX(T_CAPAI,MATCH(T785,L_PER,0),MATCH(U785,L_KED,0)),0))</f>
        <v/>
      </c>
      <c r="W785" s="17">
        <f>IF(OR(B785="",E785="",COUNTA(F785,H785,J785:M785,O785,Q785:R785,T785:U785)=0),"",SUM(G785,I785,N785,P785,S785,V785))</f>
        <v/>
      </c>
      <c r="X785" s="18">
        <f>IF(W785="","",IF(Murid!F785="TL","TL",ROUND(W785/110*100,2)))</f>
        <v/>
      </c>
    </row>
    <row r="786">
      <c r="A786" s="15">
        <f>Murid!A786</f>
        <v/>
      </c>
      <c r="B786" s="15">
        <f>IF(Murid!B786="","",Murid!B786)</f>
        <v/>
      </c>
      <c r="C786" s="16">
        <f>IF(Murid!C786="","",Murid!C786)</f>
        <v/>
      </c>
      <c r="D786" s="15">
        <f>IF(Murid!E786="","",Murid!E786)</f>
        <v/>
      </c>
      <c r="E786" s="11" t="n"/>
      <c r="F786" s="11" t="n"/>
      <c r="G786" s="10">
        <f>IF(F786="","",IFERROR(VLOOKUP(F786,T_JKP,2,FALSE),0))</f>
        <v/>
      </c>
      <c r="H786" s="11" t="n"/>
      <c r="I786" s="17">
        <f>IF(H786="","",IF(H786&gt;=12,40,ROUND(H786*3.33,2)))</f>
        <v/>
      </c>
      <c r="J786" s="11" t="n"/>
      <c r="K786" s="11" t="n"/>
      <c r="L786" s="11" t="n"/>
      <c r="M786" s="11" t="n"/>
      <c r="N786" s="10">
        <f>IF(COUNTA(J786:M786)=0,"",MIN(10,SUMPRODUCT((COUNTIF(J786:M786,L_KOM)&gt;0)*S_KOM)))</f>
        <v/>
      </c>
      <c r="O786" s="11" t="n"/>
      <c r="P786" s="10">
        <f>IF(O786="","",IFERROR(VLOOKUP(O786,T_KHID,2,FALSE),0))</f>
        <v/>
      </c>
      <c r="Q786" s="11" t="n"/>
      <c r="R786" s="11" t="n"/>
      <c r="S786" s="10">
        <f>IF(AND(Q786="",R786=""),"",IFERROR(INDEX(T_LIBAT,MATCH(Q786,L_PER,0),MATCH(R786,L_JENIS,0)),0))</f>
        <v/>
      </c>
      <c r="T786" s="11" t="n"/>
      <c r="U786" s="11" t="n"/>
      <c r="V786" s="10">
        <f>IF(AND(T786="",U786=""),"",IFERROR(INDEX(T_CAPAI,MATCH(T786,L_PER,0),MATCH(U786,L_KED,0)),0))</f>
        <v/>
      </c>
      <c r="W786" s="17">
        <f>IF(OR(B786="",E786="",COUNTA(F786,H786,J786:M786,O786,Q786:R786,T786:U786)=0),"",SUM(G786,I786,N786,P786,S786,V786))</f>
        <v/>
      </c>
      <c r="X786" s="18">
        <f>IF(W786="","",IF(Murid!F786="TL","TL",ROUND(W786/110*100,2)))</f>
        <v/>
      </c>
    </row>
    <row r="787">
      <c r="A787" s="15">
        <f>Murid!A787</f>
        <v/>
      </c>
      <c r="B787" s="15">
        <f>IF(Murid!B787="","",Murid!B787)</f>
        <v/>
      </c>
      <c r="C787" s="16">
        <f>IF(Murid!C787="","",Murid!C787)</f>
        <v/>
      </c>
      <c r="D787" s="15">
        <f>IF(Murid!E787="","",Murid!E787)</f>
        <v/>
      </c>
      <c r="E787" s="11" t="n"/>
      <c r="F787" s="11" t="n"/>
      <c r="G787" s="10">
        <f>IF(F787="","",IFERROR(VLOOKUP(F787,T_JKP,2,FALSE),0))</f>
        <v/>
      </c>
      <c r="H787" s="11" t="n"/>
      <c r="I787" s="17">
        <f>IF(H787="","",IF(H787&gt;=12,40,ROUND(H787*3.33,2)))</f>
        <v/>
      </c>
      <c r="J787" s="11" t="n"/>
      <c r="K787" s="11" t="n"/>
      <c r="L787" s="11" t="n"/>
      <c r="M787" s="11" t="n"/>
      <c r="N787" s="10">
        <f>IF(COUNTA(J787:M787)=0,"",MIN(10,SUMPRODUCT((COUNTIF(J787:M787,L_KOM)&gt;0)*S_KOM)))</f>
        <v/>
      </c>
      <c r="O787" s="11" t="n"/>
      <c r="P787" s="10">
        <f>IF(O787="","",IFERROR(VLOOKUP(O787,T_KHID,2,FALSE),0))</f>
        <v/>
      </c>
      <c r="Q787" s="11" t="n"/>
      <c r="R787" s="11" t="n"/>
      <c r="S787" s="10">
        <f>IF(AND(Q787="",R787=""),"",IFERROR(INDEX(T_LIBAT,MATCH(Q787,L_PER,0),MATCH(R787,L_JENIS,0)),0))</f>
        <v/>
      </c>
      <c r="T787" s="11" t="n"/>
      <c r="U787" s="11" t="n"/>
      <c r="V787" s="10">
        <f>IF(AND(T787="",U787=""),"",IFERROR(INDEX(T_CAPAI,MATCH(T787,L_PER,0),MATCH(U787,L_KED,0)),0))</f>
        <v/>
      </c>
      <c r="W787" s="17">
        <f>IF(OR(B787="",E787="",COUNTA(F787,H787,J787:M787,O787,Q787:R787,T787:U787)=0),"",SUM(G787,I787,N787,P787,S787,V787))</f>
        <v/>
      </c>
      <c r="X787" s="18">
        <f>IF(W787="","",IF(Murid!F787="TL","TL",ROUND(W787/110*100,2)))</f>
        <v/>
      </c>
    </row>
    <row r="788">
      <c r="A788" s="15">
        <f>Murid!A788</f>
        <v/>
      </c>
      <c r="B788" s="15">
        <f>IF(Murid!B788="","",Murid!B788)</f>
        <v/>
      </c>
      <c r="C788" s="16">
        <f>IF(Murid!C788="","",Murid!C788)</f>
        <v/>
      </c>
      <c r="D788" s="15">
        <f>IF(Murid!E788="","",Murid!E788)</f>
        <v/>
      </c>
      <c r="E788" s="11" t="n"/>
      <c r="F788" s="11" t="n"/>
      <c r="G788" s="10">
        <f>IF(F788="","",IFERROR(VLOOKUP(F788,T_JKP,2,FALSE),0))</f>
        <v/>
      </c>
      <c r="H788" s="11" t="n"/>
      <c r="I788" s="17">
        <f>IF(H788="","",IF(H788&gt;=12,40,ROUND(H788*3.33,2)))</f>
        <v/>
      </c>
      <c r="J788" s="11" t="n"/>
      <c r="K788" s="11" t="n"/>
      <c r="L788" s="11" t="n"/>
      <c r="M788" s="11" t="n"/>
      <c r="N788" s="10">
        <f>IF(COUNTA(J788:M788)=0,"",MIN(10,SUMPRODUCT((COUNTIF(J788:M788,L_KOM)&gt;0)*S_KOM)))</f>
        <v/>
      </c>
      <c r="O788" s="11" t="n"/>
      <c r="P788" s="10">
        <f>IF(O788="","",IFERROR(VLOOKUP(O788,T_KHID,2,FALSE),0))</f>
        <v/>
      </c>
      <c r="Q788" s="11" t="n"/>
      <c r="R788" s="11" t="n"/>
      <c r="S788" s="10">
        <f>IF(AND(Q788="",R788=""),"",IFERROR(INDEX(T_LIBAT,MATCH(Q788,L_PER,0),MATCH(R788,L_JENIS,0)),0))</f>
        <v/>
      </c>
      <c r="T788" s="11" t="n"/>
      <c r="U788" s="11" t="n"/>
      <c r="V788" s="10">
        <f>IF(AND(T788="",U788=""),"",IFERROR(INDEX(T_CAPAI,MATCH(T788,L_PER,0),MATCH(U788,L_KED,0)),0))</f>
        <v/>
      </c>
      <c r="W788" s="17">
        <f>IF(OR(B788="",E788="",COUNTA(F788,H788,J788:M788,O788,Q788:R788,T788:U788)=0),"",SUM(G788,I788,N788,P788,S788,V788))</f>
        <v/>
      </c>
      <c r="X788" s="18">
        <f>IF(W788="","",IF(Murid!F788="TL","TL",ROUND(W788/110*100,2)))</f>
        <v/>
      </c>
    </row>
    <row r="789">
      <c r="A789" s="15">
        <f>Murid!A789</f>
        <v/>
      </c>
      <c r="B789" s="15">
        <f>IF(Murid!B789="","",Murid!B789)</f>
        <v/>
      </c>
      <c r="C789" s="16">
        <f>IF(Murid!C789="","",Murid!C789)</f>
        <v/>
      </c>
      <c r="D789" s="15">
        <f>IF(Murid!E789="","",Murid!E789)</f>
        <v/>
      </c>
      <c r="E789" s="11" t="n"/>
      <c r="F789" s="11" t="n"/>
      <c r="G789" s="10">
        <f>IF(F789="","",IFERROR(VLOOKUP(F789,T_JKP,2,FALSE),0))</f>
        <v/>
      </c>
      <c r="H789" s="11" t="n"/>
      <c r="I789" s="17">
        <f>IF(H789="","",IF(H789&gt;=12,40,ROUND(H789*3.33,2)))</f>
        <v/>
      </c>
      <c r="J789" s="11" t="n"/>
      <c r="K789" s="11" t="n"/>
      <c r="L789" s="11" t="n"/>
      <c r="M789" s="11" t="n"/>
      <c r="N789" s="10">
        <f>IF(COUNTA(J789:M789)=0,"",MIN(10,SUMPRODUCT((COUNTIF(J789:M789,L_KOM)&gt;0)*S_KOM)))</f>
        <v/>
      </c>
      <c r="O789" s="11" t="n"/>
      <c r="P789" s="10">
        <f>IF(O789="","",IFERROR(VLOOKUP(O789,T_KHID,2,FALSE),0))</f>
        <v/>
      </c>
      <c r="Q789" s="11" t="n"/>
      <c r="R789" s="11" t="n"/>
      <c r="S789" s="10">
        <f>IF(AND(Q789="",R789=""),"",IFERROR(INDEX(T_LIBAT,MATCH(Q789,L_PER,0),MATCH(R789,L_JENIS,0)),0))</f>
        <v/>
      </c>
      <c r="T789" s="11" t="n"/>
      <c r="U789" s="11" t="n"/>
      <c r="V789" s="10">
        <f>IF(AND(T789="",U789=""),"",IFERROR(INDEX(T_CAPAI,MATCH(T789,L_PER,0),MATCH(U789,L_KED,0)),0))</f>
        <v/>
      </c>
      <c r="W789" s="17">
        <f>IF(OR(B789="",E789="",COUNTA(F789,H789,J789:M789,O789,Q789:R789,T789:U789)=0),"",SUM(G789,I789,N789,P789,S789,V789))</f>
        <v/>
      </c>
      <c r="X789" s="18">
        <f>IF(W789="","",IF(Murid!F789="TL","TL",ROUND(W789/110*100,2)))</f>
        <v/>
      </c>
    </row>
    <row r="790">
      <c r="A790" s="15">
        <f>Murid!A790</f>
        <v/>
      </c>
      <c r="B790" s="15">
        <f>IF(Murid!B790="","",Murid!B790)</f>
        <v/>
      </c>
      <c r="C790" s="16">
        <f>IF(Murid!C790="","",Murid!C790)</f>
        <v/>
      </c>
      <c r="D790" s="15">
        <f>IF(Murid!E790="","",Murid!E790)</f>
        <v/>
      </c>
      <c r="E790" s="11" t="n"/>
      <c r="F790" s="11" t="n"/>
      <c r="G790" s="10">
        <f>IF(F790="","",IFERROR(VLOOKUP(F790,T_JKP,2,FALSE),0))</f>
        <v/>
      </c>
      <c r="H790" s="11" t="n"/>
      <c r="I790" s="17">
        <f>IF(H790="","",IF(H790&gt;=12,40,ROUND(H790*3.33,2)))</f>
        <v/>
      </c>
      <c r="J790" s="11" t="n"/>
      <c r="K790" s="11" t="n"/>
      <c r="L790" s="11" t="n"/>
      <c r="M790" s="11" t="n"/>
      <c r="N790" s="10">
        <f>IF(COUNTA(J790:M790)=0,"",MIN(10,SUMPRODUCT((COUNTIF(J790:M790,L_KOM)&gt;0)*S_KOM)))</f>
        <v/>
      </c>
      <c r="O790" s="11" t="n"/>
      <c r="P790" s="10">
        <f>IF(O790="","",IFERROR(VLOOKUP(O790,T_KHID,2,FALSE),0))</f>
        <v/>
      </c>
      <c r="Q790" s="11" t="n"/>
      <c r="R790" s="11" t="n"/>
      <c r="S790" s="10">
        <f>IF(AND(Q790="",R790=""),"",IFERROR(INDEX(T_LIBAT,MATCH(Q790,L_PER,0),MATCH(R790,L_JENIS,0)),0))</f>
        <v/>
      </c>
      <c r="T790" s="11" t="n"/>
      <c r="U790" s="11" t="n"/>
      <c r="V790" s="10">
        <f>IF(AND(T790="",U790=""),"",IFERROR(INDEX(T_CAPAI,MATCH(T790,L_PER,0),MATCH(U790,L_KED,0)),0))</f>
        <v/>
      </c>
      <c r="W790" s="17">
        <f>IF(OR(B790="",E790="",COUNTA(F790,H790,J790:M790,O790,Q790:R790,T790:U790)=0),"",SUM(G790,I790,N790,P790,S790,V790))</f>
        <v/>
      </c>
      <c r="X790" s="18">
        <f>IF(W790="","",IF(Murid!F790="TL","TL",ROUND(W790/110*100,2)))</f>
        <v/>
      </c>
    </row>
    <row r="791">
      <c r="A791" s="15">
        <f>Murid!A791</f>
        <v/>
      </c>
      <c r="B791" s="15">
        <f>IF(Murid!B791="","",Murid!B791)</f>
        <v/>
      </c>
      <c r="C791" s="16">
        <f>IF(Murid!C791="","",Murid!C791)</f>
        <v/>
      </c>
      <c r="D791" s="15">
        <f>IF(Murid!E791="","",Murid!E791)</f>
        <v/>
      </c>
      <c r="E791" s="11" t="n"/>
      <c r="F791" s="11" t="n"/>
      <c r="G791" s="10">
        <f>IF(F791="","",IFERROR(VLOOKUP(F791,T_JKP,2,FALSE),0))</f>
        <v/>
      </c>
      <c r="H791" s="11" t="n"/>
      <c r="I791" s="17">
        <f>IF(H791="","",IF(H791&gt;=12,40,ROUND(H791*3.33,2)))</f>
        <v/>
      </c>
      <c r="J791" s="11" t="n"/>
      <c r="K791" s="11" t="n"/>
      <c r="L791" s="11" t="n"/>
      <c r="M791" s="11" t="n"/>
      <c r="N791" s="10">
        <f>IF(COUNTA(J791:M791)=0,"",MIN(10,SUMPRODUCT((COUNTIF(J791:M791,L_KOM)&gt;0)*S_KOM)))</f>
        <v/>
      </c>
      <c r="O791" s="11" t="n"/>
      <c r="P791" s="10">
        <f>IF(O791="","",IFERROR(VLOOKUP(O791,T_KHID,2,FALSE),0))</f>
        <v/>
      </c>
      <c r="Q791" s="11" t="n"/>
      <c r="R791" s="11" t="n"/>
      <c r="S791" s="10">
        <f>IF(AND(Q791="",R791=""),"",IFERROR(INDEX(T_LIBAT,MATCH(Q791,L_PER,0),MATCH(R791,L_JENIS,0)),0))</f>
        <v/>
      </c>
      <c r="T791" s="11" t="n"/>
      <c r="U791" s="11" t="n"/>
      <c r="V791" s="10">
        <f>IF(AND(T791="",U791=""),"",IFERROR(INDEX(T_CAPAI,MATCH(T791,L_PER,0),MATCH(U791,L_KED,0)),0))</f>
        <v/>
      </c>
      <c r="W791" s="17">
        <f>IF(OR(B791="",E791="",COUNTA(F791,H791,J791:M791,O791,Q791:R791,T791:U791)=0),"",SUM(G791,I791,N791,P791,S791,V791))</f>
        <v/>
      </c>
      <c r="X791" s="18">
        <f>IF(W791="","",IF(Murid!F791="TL","TL",ROUND(W791/110*100,2)))</f>
        <v/>
      </c>
    </row>
    <row r="792">
      <c r="A792" s="15">
        <f>Murid!A792</f>
        <v/>
      </c>
      <c r="B792" s="15">
        <f>IF(Murid!B792="","",Murid!B792)</f>
        <v/>
      </c>
      <c r="C792" s="16">
        <f>IF(Murid!C792="","",Murid!C792)</f>
        <v/>
      </c>
      <c r="D792" s="15">
        <f>IF(Murid!E792="","",Murid!E792)</f>
        <v/>
      </c>
      <c r="E792" s="11" t="n"/>
      <c r="F792" s="11" t="n"/>
      <c r="G792" s="10">
        <f>IF(F792="","",IFERROR(VLOOKUP(F792,T_JKP,2,FALSE),0))</f>
        <v/>
      </c>
      <c r="H792" s="11" t="n"/>
      <c r="I792" s="17">
        <f>IF(H792="","",IF(H792&gt;=12,40,ROUND(H792*3.33,2)))</f>
        <v/>
      </c>
      <c r="J792" s="11" t="n"/>
      <c r="K792" s="11" t="n"/>
      <c r="L792" s="11" t="n"/>
      <c r="M792" s="11" t="n"/>
      <c r="N792" s="10">
        <f>IF(COUNTA(J792:M792)=0,"",MIN(10,SUMPRODUCT((COUNTIF(J792:M792,L_KOM)&gt;0)*S_KOM)))</f>
        <v/>
      </c>
      <c r="O792" s="11" t="n"/>
      <c r="P792" s="10">
        <f>IF(O792="","",IFERROR(VLOOKUP(O792,T_KHID,2,FALSE),0))</f>
        <v/>
      </c>
      <c r="Q792" s="11" t="n"/>
      <c r="R792" s="11" t="n"/>
      <c r="S792" s="10">
        <f>IF(AND(Q792="",R792=""),"",IFERROR(INDEX(T_LIBAT,MATCH(Q792,L_PER,0),MATCH(R792,L_JENIS,0)),0))</f>
        <v/>
      </c>
      <c r="T792" s="11" t="n"/>
      <c r="U792" s="11" t="n"/>
      <c r="V792" s="10">
        <f>IF(AND(T792="",U792=""),"",IFERROR(INDEX(T_CAPAI,MATCH(T792,L_PER,0),MATCH(U792,L_KED,0)),0))</f>
        <v/>
      </c>
      <c r="W792" s="17">
        <f>IF(OR(B792="",E792="",COUNTA(F792,H792,J792:M792,O792,Q792:R792,T792:U792)=0),"",SUM(G792,I792,N792,P792,S792,V792))</f>
        <v/>
      </c>
      <c r="X792" s="18">
        <f>IF(W792="","",IF(Murid!F792="TL","TL",ROUND(W792/110*100,2)))</f>
        <v/>
      </c>
    </row>
    <row r="793">
      <c r="A793" s="15">
        <f>Murid!A793</f>
        <v/>
      </c>
      <c r="B793" s="15">
        <f>IF(Murid!B793="","",Murid!B793)</f>
        <v/>
      </c>
      <c r="C793" s="16">
        <f>IF(Murid!C793="","",Murid!C793)</f>
        <v/>
      </c>
      <c r="D793" s="15">
        <f>IF(Murid!E793="","",Murid!E793)</f>
        <v/>
      </c>
      <c r="E793" s="11" t="n"/>
      <c r="F793" s="11" t="n"/>
      <c r="G793" s="10">
        <f>IF(F793="","",IFERROR(VLOOKUP(F793,T_JKP,2,FALSE),0))</f>
        <v/>
      </c>
      <c r="H793" s="11" t="n"/>
      <c r="I793" s="17">
        <f>IF(H793="","",IF(H793&gt;=12,40,ROUND(H793*3.33,2)))</f>
        <v/>
      </c>
      <c r="J793" s="11" t="n"/>
      <c r="K793" s="11" t="n"/>
      <c r="L793" s="11" t="n"/>
      <c r="M793" s="11" t="n"/>
      <c r="N793" s="10">
        <f>IF(COUNTA(J793:M793)=0,"",MIN(10,SUMPRODUCT((COUNTIF(J793:M793,L_KOM)&gt;0)*S_KOM)))</f>
        <v/>
      </c>
      <c r="O793" s="11" t="n"/>
      <c r="P793" s="10">
        <f>IF(O793="","",IFERROR(VLOOKUP(O793,T_KHID,2,FALSE),0))</f>
        <v/>
      </c>
      <c r="Q793" s="11" t="n"/>
      <c r="R793" s="11" t="n"/>
      <c r="S793" s="10">
        <f>IF(AND(Q793="",R793=""),"",IFERROR(INDEX(T_LIBAT,MATCH(Q793,L_PER,0),MATCH(R793,L_JENIS,0)),0))</f>
        <v/>
      </c>
      <c r="T793" s="11" t="n"/>
      <c r="U793" s="11" t="n"/>
      <c r="V793" s="10">
        <f>IF(AND(T793="",U793=""),"",IFERROR(INDEX(T_CAPAI,MATCH(T793,L_PER,0),MATCH(U793,L_KED,0)),0))</f>
        <v/>
      </c>
      <c r="W793" s="17">
        <f>IF(OR(B793="",E793="",COUNTA(F793,H793,J793:M793,O793,Q793:R793,T793:U793)=0),"",SUM(G793,I793,N793,P793,S793,V793))</f>
        <v/>
      </c>
      <c r="X793" s="18">
        <f>IF(W793="","",IF(Murid!F793="TL","TL",ROUND(W793/110*100,2)))</f>
        <v/>
      </c>
    </row>
    <row r="794">
      <c r="A794" s="15">
        <f>Murid!A794</f>
        <v/>
      </c>
      <c r="B794" s="15">
        <f>IF(Murid!B794="","",Murid!B794)</f>
        <v/>
      </c>
      <c r="C794" s="16">
        <f>IF(Murid!C794="","",Murid!C794)</f>
        <v/>
      </c>
      <c r="D794" s="15">
        <f>IF(Murid!E794="","",Murid!E794)</f>
        <v/>
      </c>
      <c r="E794" s="11" t="n"/>
      <c r="F794" s="11" t="n"/>
      <c r="G794" s="10">
        <f>IF(F794="","",IFERROR(VLOOKUP(F794,T_JKP,2,FALSE),0))</f>
        <v/>
      </c>
      <c r="H794" s="11" t="n"/>
      <c r="I794" s="17">
        <f>IF(H794="","",IF(H794&gt;=12,40,ROUND(H794*3.33,2)))</f>
        <v/>
      </c>
      <c r="J794" s="11" t="n"/>
      <c r="K794" s="11" t="n"/>
      <c r="L794" s="11" t="n"/>
      <c r="M794" s="11" t="n"/>
      <c r="N794" s="10">
        <f>IF(COUNTA(J794:M794)=0,"",MIN(10,SUMPRODUCT((COUNTIF(J794:M794,L_KOM)&gt;0)*S_KOM)))</f>
        <v/>
      </c>
      <c r="O794" s="11" t="n"/>
      <c r="P794" s="10">
        <f>IF(O794="","",IFERROR(VLOOKUP(O794,T_KHID,2,FALSE),0))</f>
        <v/>
      </c>
      <c r="Q794" s="11" t="n"/>
      <c r="R794" s="11" t="n"/>
      <c r="S794" s="10">
        <f>IF(AND(Q794="",R794=""),"",IFERROR(INDEX(T_LIBAT,MATCH(Q794,L_PER,0),MATCH(R794,L_JENIS,0)),0))</f>
        <v/>
      </c>
      <c r="T794" s="11" t="n"/>
      <c r="U794" s="11" t="n"/>
      <c r="V794" s="10">
        <f>IF(AND(T794="",U794=""),"",IFERROR(INDEX(T_CAPAI,MATCH(T794,L_PER,0),MATCH(U794,L_KED,0)),0))</f>
        <v/>
      </c>
      <c r="W794" s="17">
        <f>IF(OR(B794="",E794="",COUNTA(F794,H794,J794:M794,O794,Q794:R794,T794:U794)=0),"",SUM(G794,I794,N794,P794,S794,V794))</f>
        <v/>
      </c>
      <c r="X794" s="18">
        <f>IF(W794="","",IF(Murid!F794="TL","TL",ROUND(W794/110*100,2)))</f>
        <v/>
      </c>
    </row>
    <row r="795">
      <c r="A795" s="15">
        <f>Murid!A795</f>
        <v/>
      </c>
      <c r="B795" s="15">
        <f>IF(Murid!B795="","",Murid!B795)</f>
        <v/>
      </c>
      <c r="C795" s="16">
        <f>IF(Murid!C795="","",Murid!C795)</f>
        <v/>
      </c>
      <c r="D795" s="15">
        <f>IF(Murid!E795="","",Murid!E795)</f>
        <v/>
      </c>
      <c r="E795" s="11" t="n"/>
      <c r="F795" s="11" t="n"/>
      <c r="G795" s="10">
        <f>IF(F795="","",IFERROR(VLOOKUP(F795,T_JKP,2,FALSE),0))</f>
        <v/>
      </c>
      <c r="H795" s="11" t="n"/>
      <c r="I795" s="17">
        <f>IF(H795="","",IF(H795&gt;=12,40,ROUND(H795*3.33,2)))</f>
        <v/>
      </c>
      <c r="J795" s="11" t="n"/>
      <c r="K795" s="11" t="n"/>
      <c r="L795" s="11" t="n"/>
      <c r="M795" s="11" t="n"/>
      <c r="N795" s="10">
        <f>IF(COUNTA(J795:M795)=0,"",MIN(10,SUMPRODUCT((COUNTIF(J795:M795,L_KOM)&gt;0)*S_KOM)))</f>
        <v/>
      </c>
      <c r="O795" s="11" t="n"/>
      <c r="P795" s="10">
        <f>IF(O795="","",IFERROR(VLOOKUP(O795,T_KHID,2,FALSE),0))</f>
        <v/>
      </c>
      <c r="Q795" s="11" t="n"/>
      <c r="R795" s="11" t="n"/>
      <c r="S795" s="10">
        <f>IF(AND(Q795="",R795=""),"",IFERROR(INDEX(T_LIBAT,MATCH(Q795,L_PER,0),MATCH(R795,L_JENIS,0)),0))</f>
        <v/>
      </c>
      <c r="T795" s="11" t="n"/>
      <c r="U795" s="11" t="n"/>
      <c r="V795" s="10">
        <f>IF(AND(T795="",U795=""),"",IFERROR(INDEX(T_CAPAI,MATCH(T795,L_PER,0),MATCH(U795,L_KED,0)),0))</f>
        <v/>
      </c>
      <c r="W795" s="17">
        <f>IF(OR(B795="",E795="",COUNTA(F795,H795,J795:M795,O795,Q795:R795,T795:U795)=0),"",SUM(G795,I795,N795,P795,S795,V795))</f>
        <v/>
      </c>
      <c r="X795" s="18">
        <f>IF(W795="","",IF(Murid!F795="TL","TL",ROUND(W795/110*100,2)))</f>
        <v/>
      </c>
    </row>
    <row r="796">
      <c r="A796" s="15">
        <f>Murid!A796</f>
        <v/>
      </c>
      <c r="B796" s="15">
        <f>IF(Murid!B796="","",Murid!B796)</f>
        <v/>
      </c>
      <c r="C796" s="16">
        <f>IF(Murid!C796="","",Murid!C796)</f>
        <v/>
      </c>
      <c r="D796" s="15">
        <f>IF(Murid!E796="","",Murid!E796)</f>
        <v/>
      </c>
      <c r="E796" s="11" t="n"/>
      <c r="F796" s="11" t="n"/>
      <c r="G796" s="10">
        <f>IF(F796="","",IFERROR(VLOOKUP(F796,T_JKP,2,FALSE),0))</f>
        <v/>
      </c>
      <c r="H796" s="11" t="n"/>
      <c r="I796" s="17">
        <f>IF(H796="","",IF(H796&gt;=12,40,ROUND(H796*3.33,2)))</f>
        <v/>
      </c>
      <c r="J796" s="11" t="n"/>
      <c r="K796" s="11" t="n"/>
      <c r="L796" s="11" t="n"/>
      <c r="M796" s="11" t="n"/>
      <c r="N796" s="10">
        <f>IF(COUNTA(J796:M796)=0,"",MIN(10,SUMPRODUCT((COUNTIF(J796:M796,L_KOM)&gt;0)*S_KOM)))</f>
        <v/>
      </c>
      <c r="O796" s="11" t="n"/>
      <c r="P796" s="10">
        <f>IF(O796="","",IFERROR(VLOOKUP(O796,T_KHID,2,FALSE),0))</f>
        <v/>
      </c>
      <c r="Q796" s="11" t="n"/>
      <c r="R796" s="11" t="n"/>
      <c r="S796" s="10">
        <f>IF(AND(Q796="",R796=""),"",IFERROR(INDEX(T_LIBAT,MATCH(Q796,L_PER,0),MATCH(R796,L_JENIS,0)),0))</f>
        <v/>
      </c>
      <c r="T796" s="11" t="n"/>
      <c r="U796" s="11" t="n"/>
      <c r="V796" s="10">
        <f>IF(AND(T796="",U796=""),"",IFERROR(INDEX(T_CAPAI,MATCH(T796,L_PER,0),MATCH(U796,L_KED,0)),0))</f>
        <v/>
      </c>
      <c r="W796" s="17">
        <f>IF(OR(B796="",E796="",COUNTA(F796,H796,J796:M796,O796,Q796:R796,T796:U796)=0),"",SUM(G796,I796,N796,P796,S796,V796))</f>
        <v/>
      </c>
      <c r="X796" s="18">
        <f>IF(W796="","",IF(Murid!F796="TL","TL",ROUND(W796/110*100,2)))</f>
        <v/>
      </c>
    </row>
    <row r="797">
      <c r="A797" s="15">
        <f>Murid!A797</f>
        <v/>
      </c>
      <c r="B797" s="15">
        <f>IF(Murid!B797="","",Murid!B797)</f>
        <v/>
      </c>
      <c r="C797" s="16">
        <f>IF(Murid!C797="","",Murid!C797)</f>
        <v/>
      </c>
      <c r="D797" s="15">
        <f>IF(Murid!E797="","",Murid!E797)</f>
        <v/>
      </c>
      <c r="E797" s="11" t="n"/>
      <c r="F797" s="11" t="n"/>
      <c r="G797" s="10">
        <f>IF(F797="","",IFERROR(VLOOKUP(F797,T_JKP,2,FALSE),0))</f>
        <v/>
      </c>
      <c r="H797" s="11" t="n"/>
      <c r="I797" s="17">
        <f>IF(H797="","",IF(H797&gt;=12,40,ROUND(H797*3.33,2)))</f>
        <v/>
      </c>
      <c r="J797" s="11" t="n"/>
      <c r="K797" s="11" t="n"/>
      <c r="L797" s="11" t="n"/>
      <c r="M797" s="11" t="n"/>
      <c r="N797" s="10">
        <f>IF(COUNTA(J797:M797)=0,"",MIN(10,SUMPRODUCT((COUNTIF(J797:M797,L_KOM)&gt;0)*S_KOM)))</f>
        <v/>
      </c>
      <c r="O797" s="11" t="n"/>
      <c r="P797" s="10">
        <f>IF(O797="","",IFERROR(VLOOKUP(O797,T_KHID,2,FALSE),0))</f>
        <v/>
      </c>
      <c r="Q797" s="11" t="n"/>
      <c r="R797" s="11" t="n"/>
      <c r="S797" s="10">
        <f>IF(AND(Q797="",R797=""),"",IFERROR(INDEX(T_LIBAT,MATCH(Q797,L_PER,0),MATCH(R797,L_JENIS,0)),0))</f>
        <v/>
      </c>
      <c r="T797" s="11" t="n"/>
      <c r="U797" s="11" t="n"/>
      <c r="V797" s="10">
        <f>IF(AND(T797="",U797=""),"",IFERROR(INDEX(T_CAPAI,MATCH(T797,L_PER,0),MATCH(U797,L_KED,0)),0))</f>
        <v/>
      </c>
      <c r="W797" s="17">
        <f>IF(OR(B797="",E797="",COUNTA(F797,H797,J797:M797,O797,Q797:R797,T797:U797)=0),"",SUM(G797,I797,N797,P797,S797,V797))</f>
        <v/>
      </c>
      <c r="X797" s="18">
        <f>IF(W797="","",IF(Murid!F797="TL","TL",ROUND(W797/110*100,2)))</f>
        <v/>
      </c>
    </row>
    <row r="798">
      <c r="A798" s="15">
        <f>Murid!A798</f>
        <v/>
      </c>
      <c r="B798" s="15">
        <f>IF(Murid!B798="","",Murid!B798)</f>
        <v/>
      </c>
      <c r="C798" s="16">
        <f>IF(Murid!C798="","",Murid!C798)</f>
        <v/>
      </c>
      <c r="D798" s="15">
        <f>IF(Murid!E798="","",Murid!E798)</f>
        <v/>
      </c>
      <c r="E798" s="11" t="n"/>
      <c r="F798" s="11" t="n"/>
      <c r="G798" s="10">
        <f>IF(F798="","",IFERROR(VLOOKUP(F798,T_JKP,2,FALSE),0))</f>
        <v/>
      </c>
      <c r="H798" s="11" t="n"/>
      <c r="I798" s="17">
        <f>IF(H798="","",IF(H798&gt;=12,40,ROUND(H798*3.33,2)))</f>
        <v/>
      </c>
      <c r="J798" s="11" t="n"/>
      <c r="K798" s="11" t="n"/>
      <c r="L798" s="11" t="n"/>
      <c r="M798" s="11" t="n"/>
      <c r="N798" s="10">
        <f>IF(COUNTA(J798:M798)=0,"",MIN(10,SUMPRODUCT((COUNTIF(J798:M798,L_KOM)&gt;0)*S_KOM)))</f>
        <v/>
      </c>
      <c r="O798" s="11" t="n"/>
      <c r="P798" s="10">
        <f>IF(O798="","",IFERROR(VLOOKUP(O798,T_KHID,2,FALSE),0))</f>
        <v/>
      </c>
      <c r="Q798" s="11" t="n"/>
      <c r="R798" s="11" t="n"/>
      <c r="S798" s="10">
        <f>IF(AND(Q798="",R798=""),"",IFERROR(INDEX(T_LIBAT,MATCH(Q798,L_PER,0),MATCH(R798,L_JENIS,0)),0))</f>
        <v/>
      </c>
      <c r="T798" s="11" t="n"/>
      <c r="U798" s="11" t="n"/>
      <c r="V798" s="10">
        <f>IF(AND(T798="",U798=""),"",IFERROR(INDEX(T_CAPAI,MATCH(T798,L_PER,0),MATCH(U798,L_KED,0)),0))</f>
        <v/>
      </c>
      <c r="W798" s="17">
        <f>IF(OR(B798="",E798="",COUNTA(F798,H798,J798:M798,O798,Q798:R798,T798:U798)=0),"",SUM(G798,I798,N798,P798,S798,V798))</f>
        <v/>
      </c>
      <c r="X798" s="18">
        <f>IF(W798="","",IF(Murid!F798="TL","TL",ROUND(W798/110*100,2)))</f>
        <v/>
      </c>
    </row>
    <row r="799">
      <c r="A799" s="15">
        <f>Murid!A799</f>
        <v/>
      </c>
      <c r="B799" s="15">
        <f>IF(Murid!B799="","",Murid!B799)</f>
        <v/>
      </c>
      <c r="C799" s="16">
        <f>IF(Murid!C799="","",Murid!C799)</f>
        <v/>
      </c>
      <c r="D799" s="15">
        <f>IF(Murid!E799="","",Murid!E799)</f>
        <v/>
      </c>
      <c r="E799" s="11" t="n"/>
      <c r="F799" s="11" t="n"/>
      <c r="G799" s="10">
        <f>IF(F799="","",IFERROR(VLOOKUP(F799,T_JKP,2,FALSE),0))</f>
        <v/>
      </c>
      <c r="H799" s="11" t="n"/>
      <c r="I799" s="17">
        <f>IF(H799="","",IF(H799&gt;=12,40,ROUND(H799*3.33,2)))</f>
        <v/>
      </c>
      <c r="J799" s="11" t="n"/>
      <c r="K799" s="11" t="n"/>
      <c r="L799" s="11" t="n"/>
      <c r="M799" s="11" t="n"/>
      <c r="N799" s="10">
        <f>IF(COUNTA(J799:M799)=0,"",MIN(10,SUMPRODUCT((COUNTIF(J799:M799,L_KOM)&gt;0)*S_KOM)))</f>
        <v/>
      </c>
      <c r="O799" s="11" t="n"/>
      <c r="P799" s="10">
        <f>IF(O799="","",IFERROR(VLOOKUP(O799,T_KHID,2,FALSE),0))</f>
        <v/>
      </c>
      <c r="Q799" s="11" t="n"/>
      <c r="R799" s="11" t="n"/>
      <c r="S799" s="10">
        <f>IF(AND(Q799="",R799=""),"",IFERROR(INDEX(T_LIBAT,MATCH(Q799,L_PER,0),MATCH(R799,L_JENIS,0)),0))</f>
        <v/>
      </c>
      <c r="T799" s="11" t="n"/>
      <c r="U799" s="11" t="n"/>
      <c r="V799" s="10">
        <f>IF(AND(T799="",U799=""),"",IFERROR(INDEX(T_CAPAI,MATCH(T799,L_PER,0),MATCH(U799,L_KED,0)),0))</f>
        <v/>
      </c>
      <c r="W799" s="17">
        <f>IF(OR(B799="",E799="",COUNTA(F799,H799,J799:M799,O799,Q799:R799,T799:U799)=0),"",SUM(G799,I799,N799,P799,S799,V799))</f>
        <v/>
      </c>
      <c r="X799" s="18">
        <f>IF(W799="","",IF(Murid!F799="TL","TL",ROUND(W799/110*100,2)))</f>
        <v/>
      </c>
    </row>
    <row r="800">
      <c r="A800" s="15">
        <f>Murid!A800</f>
        <v/>
      </c>
      <c r="B800" s="15">
        <f>IF(Murid!B800="","",Murid!B800)</f>
        <v/>
      </c>
      <c r="C800" s="16">
        <f>IF(Murid!C800="","",Murid!C800)</f>
        <v/>
      </c>
      <c r="D800" s="15">
        <f>IF(Murid!E800="","",Murid!E800)</f>
        <v/>
      </c>
      <c r="E800" s="11" t="n"/>
      <c r="F800" s="11" t="n"/>
      <c r="G800" s="10">
        <f>IF(F800="","",IFERROR(VLOOKUP(F800,T_JKP,2,FALSE),0))</f>
        <v/>
      </c>
      <c r="H800" s="11" t="n"/>
      <c r="I800" s="17">
        <f>IF(H800="","",IF(H800&gt;=12,40,ROUND(H800*3.33,2)))</f>
        <v/>
      </c>
      <c r="J800" s="11" t="n"/>
      <c r="K800" s="11" t="n"/>
      <c r="L800" s="11" t="n"/>
      <c r="M800" s="11" t="n"/>
      <c r="N800" s="10">
        <f>IF(COUNTA(J800:M800)=0,"",MIN(10,SUMPRODUCT((COUNTIF(J800:M800,L_KOM)&gt;0)*S_KOM)))</f>
        <v/>
      </c>
      <c r="O800" s="11" t="n"/>
      <c r="P800" s="10">
        <f>IF(O800="","",IFERROR(VLOOKUP(O800,T_KHID,2,FALSE),0))</f>
        <v/>
      </c>
      <c r="Q800" s="11" t="n"/>
      <c r="R800" s="11" t="n"/>
      <c r="S800" s="10">
        <f>IF(AND(Q800="",R800=""),"",IFERROR(INDEX(T_LIBAT,MATCH(Q800,L_PER,0),MATCH(R800,L_JENIS,0)),0))</f>
        <v/>
      </c>
      <c r="T800" s="11" t="n"/>
      <c r="U800" s="11" t="n"/>
      <c r="V800" s="10">
        <f>IF(AND(T800="",U800=""),"",IFERROR(INDEX(T_CAPAI,MATCH(T800,L_PER,0),MATCH(U800,L_KED,0)),0))</f>
        <v/>
      </c>
      <c r="W800" s="17">
        <f>IF(OR(B800="",E800="",COUNTA(F800,H800,J800:M800,O800,Q800:R800,T800:U800)=0),"",SUM(G800,I800,N800,P800,S800,V800))</f>
        <v/>
      </c>
      <c r="X800" s="18">
        <f>IF(W800="","",IF(Murid!F800="TL","TL",ROUND(W800/110*100,2)))</f>
        <v/>
      </c>
    </row>
    <row r="801">
      <c r="A801" s="15">
        <f>Murid!A801</f>
        <v/>
      </c>
      <c r="B801" s="15">
        <f>IF(Murid!B801="","",Murid!B801)</f>
        <v/>
      </c>
      <c r="C801" s="16">
        <f>IF(Murid!C801="","",Murid!C801)</f>
        <v/>
      </c>
      <c r="D801" s="15">
        <f>IF(Murid!E801="","",Murid!E801)</f>
        <v/>
      </c>
      <c r="E801" s="11" t="n"/>
      <c r="F801" s="11" t="n"/>
      <c r="G801" s="10">
        <f>IF(F801="","",IFERROR(VLOOKUP(F801,T_JKP,2,FALSE),0))</f>
        <v/>
      </c>
      <c r="H801" s="11" t="n"/>
      <c r="I801" s="17">
        <f>IF(H801="","",IF(H801&gt;=12,40,ROUND(H801*3.33,2)))</f>
        <v/>
      </c>
      <c r="J801" s="11" t="n"/>
      <c r="K801" s="11" t="n"/>
      <c r="L801" s="11" t="n"/>
      <c r="M801" s="11" t="n"/>
      <c r="N801" s="10">
        <f>IF(COUNTA(J801:M801)=0,"",MIN(10,SUMPRODUCT((COUNTIF(J801:M801,L_KOM)&gt;0)*S_KOM)))</f>
        <v/>
      </c>
      <c r="O801" s="11" t="n"/>
      <c r="P801" s="10">
        <f>IF(O801="","",IFERROR(VLOOKUP(O801,T_KHID,2,FALSE),0))</f>
        <v/>
      </c>
      <c r="Q801" s="11" t="n"/>
      <c r="R801" s="11" t="n"/>
      <c r="S801" s="10">
        <f>IF(AND(Q801="",R801=""),"",IFERROR(INDEX(T_LIBAT,MATCH(Q801,L_PER,0),MATCH(R801,L_JENIS,0)),0))</f>
        <v/>
      </c>
      <c r="T801" s="11" t="n"/>
      <c r="U801" s="11" t="n"/>
      <c r="V801" s="10">
        <f>IF(AND(T801="",U801=""),"",IFERROR(INDEX(T_CAPAI,MATCH(T801,L_PER,0),MATCH(U801,L_KED,0)),0))</f>
        <v/>
      </c>
      <c r="W801" s="17">
        <f>IF(OR(B801="",E801="",COUNTA(F801,H801,J801:M801,O801,Q801:R801,T801:U801)=0),"",SUM(G801,I801,N801,P801,S801,V801))</f>
        <v/>
      </c>
      <c r="X801" s="18">
        <f>IF(W801="","",IF(Murid!F801="TL","TL",ROUND(W801/110*100,2)))</f>
        <v/>
      </c>
    </row>
    <row r="802">
      <c r="A802" s="15">
        <f>Murid!A802</f>
        <v/>
      </c>
      <c r="B802" s="15">
        <f>IF(Murid!B802="","",Murid!B802)</f>
        <v/>
      </c>
      <c r="C802" s="16">
        <f>IF(Murid!C802="","",Murid!C802)</f>
        <v/>
      </c>
      <c r="D802" s="15">
        <f>IF(Murid!E802="","",Murid!E802)</f>
        <v/>
      </c>
      <c r="E802" s="11" t="n"/>
      <c r="F802" s="11" t="n"/>
      <c r="G802" s="10">
        <f>IF(F802="","",IFERROR(VLOOKUP(F802,T_JKP,2,FALSE),0))</f>
        <v/>
      </c>
      <c r="H802" s="11" t="n"/>
      <c r="I802" s="17">
        <f>IF(H802="","",IF(H802&gt;=12,40,ROUND(H802*3.33,2)))</f>
        <v/>
      </c>
      <c r="J802" s="11" t="n"/>
      <c r="K802" s="11" t="n"/>
      <c r="L802" s="11" t="n"/>
      <c r="M802" s="11" t="n"/>
      <c r="N802" s="10">
        <f>IF(COUNTA(J802:M802)=0,"",MIN(10,SUMPRODUCT((COUNTIF(J802:M802,L_KOM)&gt;0)*S_KOM)))</f>
        <v/>
      </c>
      <c r="O802" s="11" t="n"/>
      <c r="P802" s="10">
        <f>IF(O802="","",IFERROR(VLOOKUP(O802,T_KHID,2,FALSE),0))</f>
        <v/>
      </c>
      <c r="Q802" s="11" t="n"/>
      <c r="R802" s="11" t="n"/>
      <c r="S802" s="10">
        <f>IF(AND(Q802="",R802=""),"",IFERROR(INDEX(T_LIBAT,MATCH(Q802,L_PER,0),MATCH(R802,L_JENIS,0)),0))</f>
        <v/>
      </c>
      <c r="T802" s="11" t="n"/>
      <c r="U802" s="11" t="n"/>
      <c r="V802" s="10">
        <f>IF(AND(T802="",U802=""),"",IFERROR(INDEX(T_CAPAI,MATCH(T802,L_PER,0),MATCH(U802,L_KED,0)),0))</f>
        <v/>
      </c>
      <c r="W802" s="17">
        <f>IF(OR(B802="",E802="",COUNTA(F802,H802,J802:M802,O802,Q802:R802,T802:U802)=0),"",SUM(G802,I802,N802,P802,S802,V802))</f>
        <v/>
      </c>
      <c r="X802" s="18">
        <f>IF(W802="","",IF(Murid!F802="TL","TL",ROUND(W802/110*100,2)))</f>
        <v/>
      </c>
    </row>
    <row r="803">
      <c r="A803" s="15">
        <f>Murid!A803</f>
        <v/>
      </c>
      <c r="B803" s="15">
        <f>IF(Murid!B803="","",Murid!B803)</f>
        <v/>
      </c>
      <c r="C803" s="16">
        <f>IF(Murid!C803="","",Murid!C803)</f>
        <v/>
      </c>
      <c r="D803" s="15">
        <f>IF(Murid!E803="","",Murid!E803)</f>
        <v/>
      </c>
      <c r="E803" s="11" t="n"/>
      <c r="F803" s="11" t="n"/>
      <c r="G803" s="10">
        <f>IF(F803="","",IFERROR(VLOOKUP(F803,T_JKP,2,FALSE),0))</f>
        <v/>
      </c>
      <c r="H803" s="11" t="n"/>
      <c r="I803" s="17">
        <f>IF(H803="","",IF(H803&gt;=12,40,ROUND(H803*3.33,2)))</f>
        <v/>
      </c>
      <c r="J803" s="11" t="n"/>
      <c r="K803" s="11" t="n"/>
      <c r="L803" s="11" t="n"/>
      <c r="M803" s="11" t="n"/>
      <c r="N803" s="10">
        <f>IF(COUNTA(J803:M803)=0,"",MIN(10,SUMPRODUCT((COUNTIF(J803:M803,L_KOM)&gt;0)*S_KOM)))</f>
        <v/>
      </c>
      <c r="O803" s="11" t="n"/>
      <c r="P803" s="10">
        <f>IF(O803="","",IFERROR(VLOOKUP(O803,T_KHID,2,FALSE),0))</f>
        <v/>
      </c>
      <c r="Q803" s="11" t="n"/>
      <c r="R803" s="11" t="n"/>
      <c r="S803" s="10">
        <f>IF(AND(Q803="",R803=""),"",IFERROR(INDEX(T_LIBAT,MATCH(Q803,L_PER,0),MATCH(R803,L_JENIS,0)),0))</f>
        <v/>
      </c>
      <c r="T803" s="11" t="n"/>
      <c r="U803" s="11" t="n"/>
      <c r="V803" s="10">
        <f>IF(AND(T803="",U803=""),"",IFERROR(INDEX(T_CAPAI,MATCH(T803,L_PER,0),MATCH(U803,L_KED,0)),0))</f>
        <v/>
      </c>
      <c r="W803" s="17">
        <f>IF(OR(B803="",E803="",COUNTA(F803,H803,J803:M803,O803,Q803:R803,T803:U803)=0),"",SUM(G803,I803,N803,P803,S803,V803))</f>
        <v/>
      </c>
      <c r="X803" s="18">
        <f>IF(W803="","",IF(Murid!F803="TL","TL",ROUND(W803/110*100,2)))</f>
        <v/>
      </c>
    </row>
    <row r="804">
      <c r="A804" s="15">
        <f>Murid!A804</f>
        <v/>
      </c>
      <c r="B804" s="15">
        <f>IF(Murid!B804="","",Murid!B804)</f>
        <v/>
      </c>
      <c r="C804" s="16">
        <f>IF(Murid!C804="","",Murid!C804)</f>
        <v/>
      </c>
      <c r="D804" s="15">
        <f>IF(Murid!E804="","",Murid!E804)</f>
        <v/>
      </c>
      <c r="E804" s="11" t="n"/>
      <c r="F804" s="11" t="n"/>
      <c r="G804" s="10">
        <f>IF(F804="","",IFERROR(VLOOKUP(F804,T_JKP,2,FALSE),0))</f>
        <v/>
      </c>
      <c r="H804" s="11" t="n"/>
      <c r="I804" s="17">
        <f>IF(H804="","",IF(H804&gt;=12,40,ROUND(H804*3.33,2)))</f>
        <v/>
      </c>
      <c r="J804" s="11" t="n"/>
      <c r="K804" s="11" t="n"/>
      <c r="L804" s="11" t="n"/>
      <c r="M804" s="11" t="n"/>
      <c r="N804" s="10">
        <f>IF(COUNTA(J804:M804)=0,"",MIN(10,SUMPRODUCT((COUNTIF(J804:M804,L_KOM)&gt;0)*S_KOM)))</f>
        <v/>
      </c>
      <c r="O804" s="11" t="n"/>
      <c r="P804" s="10">
        <f>IF(O804="","",IFERROR(VLOOKUP(O804,T_KHID,2,FALSE),0))</f>
        <v/>
      </c>
      <c r="Q804" s="11" t="n"/>
      <c r="R804" s="11" t="n"/>
      <c r="S804" s="10">
        <f>IF(AND(Q804="",R804=""),"",IFERROR(INDEX(T_LIBAT,MATCH(Q804,L_PER,0),MATCH(R804,L_JENIS,0)),0))</f>
        <v/>
      </c>
      <c r="T804" s="11" t="n"/>
      <c r="U804" s="11" t="n"/>
      <c r="V804" s="10">
        <f>IF(AND(T804="",U804=""),"",IFERROR(INDEX(T_CAPAI,MATCH(T804,L_PER,0),MATCH(U804,L_KED,0)),0))</f>
        <v/>
      </c>
      <c r="W804" s="17">
        <f>IF(OR(B804="",E804="",COUNTA(F804,H804,J804:M804,O804,Q804:R804,T804:U804)=0),"",SUM(G804,I804,N804,P804,S804,V804))</f>
        <v/>
      </c>
      <c r="X804" s="18">
        <f>IF(W804="","",IF(Murid!F804="TL","TL",ROUND(W804/110*100,2)))</f>
        <v/>
      </c>
    </row>
    <row r="805">
      <c r="A805" s="15">
        <f>Murid!A805</f>
        <v/>
      </c>
      <c r="B805" s="15">
        <f>IF(Murid!B805="","",Murid!B805)</f>
        <v/>
      </c>
      <c r="C805" s="16">
        <f>IF(Murid!C805="","",Murid!C805)</f>
        <v/>
      </c>
      <c r="D805" s="15">
        <f>IF(Murid!E805="","",Murid!E805)</f>
        <v/>
      </c>
      <c r="E805" s="11" t="n"/>
      <c r="F805" s="11" t="n"/>
      <c r="G805" s="10">
        <f>IF(F805="","",IFERROR(VLOOKUP(F805,T_JKP,2,FALSE),0))</f>
        <v/>
      </c>
      <c r="H805" s="11" t="n"/>
      <c r="I805" s="17">
        <f>IF(H805="","",IF(H805&gt;=12,40,ROUND(H805*3.33,2)))</f>
        <v/>
      </c>
      <c r="J805" s="11" t="n"/>
      <c r="K805" s="11" t="n"/>
      <c r="L805" s="11" t="n"/>
      <c r="M805" s="11" t="n"/>
      <c r="N805" s="10">
        <f>IF(COUNTA(J805:M805)=0,"",MIN(10,SUMPRODUCT((COUNTIF(J805:M805,L_KOM)&gt;0)*S_KOM)))</f>
        <v/>
      </c>
      <c r="O805" s="11" t="n"/>
      <c r="P805" s="10">
        <f>IF(O805="","",IFERROR(VLOOKUP(O805,T_KHID,2,FALSE),0))</f>
        <v/>
      </c>
      <c r="Q805" s="11" t="n"/>
      <c r="R805" s="11" t="n"/>
      <c r="S805" s="10">
        <f>IF(AND(Q805="",R805=""),"",IFERROR(INDEX(T_LIBAT,MATCH(Q805,L_PER,0),MATCH(R805,L_JENIS,0)),0))</f>
        <v/>
      </c>
      <c r="T805" s="11" t="n"/>
      <c r="U805" s="11" t="n"/>
      <c r="V805" s="10">
        <f>IF(AND(T805="",U805=""),"",IFERROR(INDEX(T_CAPAI,MATCH(T805,L_PER,0),MATCH(U805,L_KED,0)),0))</f>
        <v/>
      </c>
      <c r="W805" s="17">
        <f>IF(OR(B805="",E805="",COUNTA(F805,H805,J805:M805,O805,Q805:R805,T805:U805)=0),"",SUM(G805,I805,N805,P805,S805,V805))</f>
        <v/>
      </c>
      <c r="X805" s="18">
        <f>IF(W805="","",IF(Murid!F805="TL","TL",ROUND(W805/110*100,2)))</f>
        <v/>
      </c>
    </row>
    <row r="806">
      <c r="A806" s="15">
        <f>Murid!A806</f>
        <v/>
      </c>
      <c r="B806" s="15">
        <f>IF(Murid!B806="","",Murid!B806)</f>
        <v/>
      </c>
      <c r="C806" s="16">
        <f>IF(Murid!C806="","",Murid!C806)</f>
        <v/>
      </c>
      <c r="D806" s="15">
        <f>IF(Murid!E806="","",Murid!E806)</f>
        <v/>
      </c>
      <c r="E806" s="11" t="n"/>
      <c r="F806" s="11" t="n"/>
      <c r="G806" s="10">
        <f>IF(F806="","",IFERROR(VLOOKUP(F806,T_JKP,2,FALSE),0))</f>
        <v/>
      </c>
      <c r="H806" s="11" t="n"/>
      <c r="I806" s="17">
        <f>IF(H806="","",IF(H806&gt;=12,40,ROUND(H806*3.33,2)))</f>
        <v/>
      </c>
      <c r="J806" s="11" t="n"/>
      <c r="K806" s="11" t="n"/>
      <c r="L806" s="11" t="n"/>
      <c r="M806" s="11" t="n"/>
      <c r="N806" s="10">
        <f>IF(COUNTA(J806:M806)=0,"",MIN(10,SUMPRODUCT((COUNTIF(J806:M806,L_KOM)&gt;0)*S_KOM)))</f>
        <v/>
      </c>
      <c r="O806" s="11" t="n"/>
      <c r="P806" s="10">
        <f>IF(O806="","",IFERROR(VLOOKUP(O806,T_KHID,2,FALSE),0))</f>
        <v/>
      </c>
      <c r="Q806" s="11" t="n"/>
      <c r="R806" s="11" t="n"/>
      <c r="S806" s="10">
        <f>IF(AND(Q806="",R806=""),"",IFERROR(INDEX(T_LIBAT,MATCH(Q806,L_PER,0),MATCH(R806,L_JENIS,0)),0))</f>
        <v/>
      </c>
      <c r="T806" s="11" t="n"/>
      <c r="U806" s="11" t="n"/>
      <c r="V806" s="10">
        <f>IF(AND(T806="",U806=""),"",IFERROR(INDEX(T_CAPAI,MATCH(T806,L_PER,0),MATCH(U806,L_KED,0)),0))</f>
        <v/>
      </c>
      <c r="W806" s="17">
        <f>IF(OR(B806="",E806="",COUNTA(F806,H806,J806:M806,O806,Q806:R806,T806:U806)=0),"",SUM(G806,I806,N806,P806,S806,V806))</f>
        <v/>
      </c>
      <c r="X806" s="18">
        <f>IF(W806="","",IF(Murid!F806="TL","TL",ROUND(W806/110*100,2)))</f>
        <v/>
      </c>
    </row>
    <row r="807">
      <c r="A807" s="15">
        <f>Murid!A807</f>
        <v/>
      </c>
      <c r="B807" s="15">
        <f>IF(Murid!B807="","",Murid!B807)</f>
        <v/>
      </c>
      <c r="C807" s="16">
        <f>IF(Murid!C807="","",Murid!C807)</f>
        <v/>
      </c>
      <c r="D807" s="15">
        <f>IF(Murid!E807="","",Murid!E807)</f>
        <v/>
      </c>
      <c r="E807" s="11" t="n"/>
      <c r="F807" s="11" t="n"/>
      <c r="G807" s="10">
        <f>IF(F807="","",IFERROR(VLOOKUP(F807,T_JKP,2,FALSE),0))</f>
        <v/>
      </c>
      <c r="H807" s="11" t="n"/>
      <c r="I807" s="17">
        <f>IF(H807="","",IF(H807&gt;=12,40,ROUND(H807*3.33,2)))</f>
        <v/>
      </c>
      <c r="J807" s="11" t="n"/>
      <c r="K807" s="11" t="n"/>
      <c r="L807" s="11" t="n"/>
      <c r="M807" s="11" t="n"/>
      <c r="N807" s="10">
        <f>IF(COUNTA(J807:M807)=0,"",MIN(10,SUMPRODUCT((COUNTIF(J807:M807,L_KOM)&gt;0)*S_KOM)))</f>
        <v/>
      </c>
      <c r="O807" s="11" t="n"/>
      <c r="P807" s="10">
        <f>IF(O807="","",IFERROR(VLOOKUP(O807,T_KHID,2,FALSE),0))</f>
        <v/>
      </c>
      <c r="Q807" s="11" t="n"/>
      <c r="R807" s="11" t="n"/>
      <c r="S807" s="10">
        <f>IF(AND(Q807="",R807=""),"",IFERROR(INDEX(T_LIBAT,MATCH(Q807,L_PER,0),MATCH(R807,L_JENIS,0)),0))</f>
        <v/>
      </c>
      <c r="T807" s="11" t="n"/>
      <c r="U807" s="11" t="n"/>
      <c r="V807" s="10">
        <f>IF(AND(T807="",U807=""),"",IFERROR(INDEX(T_CAPAI,MATCH(T807,L_PER,0),MATCH(U807,L_KED,0)),0))</f>
        <v/>
      </c>
      <c r="W807" s="17">
        <f>IF(OR(B807="",E807="",COUNTA(F807,H807,J807:M807,O807,Q807:R807,T807:U807)=0),"",SUM(G807,I807,N807,P807,S807,V807))</f>
        <v/>
      </c>
      <c r="X807" s="18">
        <f>IF(W807="","",IF(Murid!F807="TL","TL",ROUND(W807/110*100,2)))</f>
        <v/>
      </c>
    </row>
    <row r="808">
      <c r="A808" s="15">
        <f>Murid!A808</f>
        <v/>
      </c>
      <c r="B808" s="15">
        <f>IF(Murid!B808="","",Murid!B808)</f>
        <v/>
      </c>
      <c r="C808" s="16">
        <f>IF(Murid!C808="","",Murid!C808)</f>
        <v/>
      </c>
      <c r="D808" s="15">
        <f>IF(Murid!E808="","",Murid!E808)</f>
        <v/>
      </c>
      <c r="E808" s="11" t="n"/>
      <c r="F808" s="11" t="n"/>
      <c r="G808" s="10">
        <f>IF(F808="","",IFERROR(VLOOKUP(F808,T_JKP,2,FALSE),0))</f>
        <v/>
      </c>
      <c r="H808" s="11" t="n"/>
      <c r="I808" s="17">
        <f>IF(H808="","",IF(H808&gt;=12,40,ROUND(H808*3.33,2)))</f>
        <v/>
      </c>
      <c r="J808" s="11" t="n"/>
      <c r="K808" s="11" t="n"/>
      <c r="L808" s="11" t="n"/>
      <c r="M808" s="11" t="n"/>
      <c r="N808" s="10">
        <f>IF(COUNTA(J808:M808)=0,"",MIN(10,SUMPRODUCT((COUNTIF(J808:M808,L_KOM)&gt;0)*S_KOM)))</f>
        <v/>
      </c>
      <c r="O808" s="11" t="n"/>
      <c r="P808" s="10">
        <f>IF(O808="","",IFERROR(VLOOKUP(O808,T_KHID,2,FALSE),0))</f>
        <v/>
      </c>
      <c r="Q808" s="11" t="n"/>
      <c r="R808" s="11" t="n"/>
      <c r="S808" s="10">
        <f>IF(AND(Q808="",R808=""),"",IFERROR(INDEX(T_LIBAT,MATCH(Q808,L_PER,0),MATCH(R808,L_JENIS,0)),0))</f>
        <v/>
      </c>
      <c r="T808" s="11" t="n"/>
      <c r="U808" s="11" t="n"/>
      <c r="V808" s="10">
        <f>IF(AND(T808="",U808=""),"",IFERROR(INDEX(T_CAPAI,MATCH(T808,L_PER,0),MATCH(U808,L_KED,0)),0))</f>
        <v/>
      </c>
      <c r="W808" s="17">
        <f>IF(OR(B808="",E808="",COUNTA(F808,H808,J808:M808,O808,Q808:R808,T808:U808)=0),"",SUM(G808,I808,N808,P808,S808,V808))</f>
        <v/>
      </c>
      <c r="X808" s="18">
        <f>IF(W808="","",IF(Murid!F808="TL","TL",ROUND(W808/110*100,2)))</f>
        <v/>
      </c>
    </row>
    <row r="809">
      <c r="A809" s="15">
        <f>Murid!A809</f>
        <v/>
      </c>
      <c r="B809" s="15">
        <f>IF(Murid!B809="","",Murid!B809)</f>
        <v/>
      </c>
      <c r="C809" s="16">
        <f>IF(Murid!C809="","",Murid!C809)</f>
        <v/>
      </c>
      <c r="D809" s="15">
        <f>IF(Murid!E809="","",Murid!E809)</f>
        <v/>
      </c>
      <c r="E809" s="11" t="n"/>
      <c r="F809" s="11" t="n"/>
      <c r="G809" s="10">
        <f>IF(F809="","",IFERROR(VLOOKUP(F809,T_JKP,2,FALSE),0))</f>
        <v/>
      </c>
      <c r="H809" s="11" t="n"/>
      <c r="I809" s="17">
        <f>IF(H809="","",IF(H809&gt;=12,40,ROUND(H809*3.33,2)))</f>
        <v/>
      </c>
      <c r="J809" s="11" t="n"/>
      <c r="K809" s="11" t="n"/>
      <c r="L809" s="11" t="n"/>
      <c r="M809" s="11" t="n"/>
      <c r="N809" s="10">
        <f>IF(COUNTA(J809:M809)=0,"",MIN(10,SUMPRODUCT((COUNTIF(J809:M809,L_KOM)&gt;0)*S_KOM)))</f>
        <v/>
      </c>
      <c r="O809" s="11" t="n"/>
      <c r="P809" s="10">
        <f>IF(O809="","",IFERROR(VLOOKUP(O809,T_KHID,2,FALSE),0))</f>
        <v/>
      </c>
      <c r="Q809" s="11" t="n"/>
      <c r="R809" s="11" t="n"/>
      <c r="S809" s="10">
        <f>IF(AND(Q809="",R809=""),"",IFERROR(INDEX(T_LIBAT,MATCH(Q809,L_PER,0),MATCH(R809,L_JENIS,0)),0))</f>
        <v/>
      </c>
      <c r="T809" s="11" t="n"/>
      <c r="U809" s="11" t="n"/>
      <c r="V809" s="10">
        <f>IF(AND(T809="",U809=""),"",IFERROR(INDEX(T_CAPAI,MATCH(T809,L_PER,0),MATCH(U809,L_KED,0)),0))</f>
        <v/>
      </c>
      <c r="W809" s="17">
        <f>IF(OR(B809="",E809="",COUNTA(F809,H809,J809:M809,O809,Q809:R809,T809:U809)=0),"",SUM(G809,I809,N809,P809,S809,V809))</f>
        <v/>
      </c>
      <c r="X809" s="18">
        <f>IF(W809="","",IF(Murid!F809="TL","TL",ROUND(W809/110*100,2)))</f>
        <v/>
      </c>
    </row>
    <row r="810">
      <c r="A810" s="15">
        <f>Murid!A810</f>
        <v/>
      </c>
      <c r="B810" s="15">
        <f>IF(Murid!B810="","",Murid!B810)</f>
        <v/>
      </c>
      <c r="C810" s="16">
        <f>IF(Murid!C810="","",Murid!C810)</f>
        <v/>
      </c>
      <c r="D810" s="15">
        <f>IF(Murid!E810="","",Murid!E810)</f>
        <v/>
      </c>
      <c r="E810" s="11" t="n"/>
      <c r="F810" s="11" t="n"/>
      <c r="G810" s="10">
        <f>IF(F810="","",IFERROR(VLOOKUP(F810,T_JKP,2,FALSE),0))</f>
        <v/>
      </c>
      <c r="H810" s="11" t="n"/>
      <c r="I810" s="17">
        <f>IF(H810="","",IF(H810&gt;=12,40,ROUND(H810*3.33,2)))</f>
        <v/>
      </c>
      <c r="J810" s="11" t="n"/>
      <c r="K810" s="11" t="n"/>
      <c r="L810" s="11" t="n"/>
      <c r="M810" s="11" t="n"/>
      <c r="N810" s="10">
        <f>IF(COUNTA(J810:M810)=0,"",MIN(10,SUMPRODUCT((COUNTIF(J810:M810,L_KOM)&gt;0)*S_KOM)))</f>
        <v/>
      </c>
      <c r="O810" s="11" t="n"/>
      <c r="P810" s="10">
        <f>IF(O810="","",IFERROR(VLOOKUP(O810,T_KHID,2,FALSE),0))</f>
        <v/>
      </c>
      <c r="Q810" s="11" t="n"/>
      <c r="R810" s="11" t="n"/>
      <c r="S810" s="10">
        <f>IF(AND(Q810="",R810=""),"",IFERROR(INDEX(T_LIBAT,MATCH(Q810,L_PER,0),MATCH(R810,L_JENIS,0)),0))</f>
        <v/>
      </c>
      <c r="T810" s="11" t="n"/>
      <c r="U810" s="11" t="n"/>
      <c r="V810" s="10">
        <f>IF(AND(T810="",U810=""),"",IFERROR(INDEX(T_CAPAI,MATCH(T810,L_PER,0),MATCH(U810,L_KED,0)),0))</f>
        <v/>
      </c>
      <c r="W810" s="17">
        <f>IF(OR(B810="",E810="",COUNTA(F810,H810,J810:M810,O810,Q810:R810,T810:U810)=0),"",SUM(G810,I810,N810,P810,S810,V810))</f>
        <v/>
      </c>
      <c r="X810" s="18">
        <f>IF(W810="","",IF(Murid!F810="TL","TL",ROUND(W810/110*100,2)))</f>
        <v/>
      </c>
    </row>
    <row r="811">
      <c r="A811" s="15">
        <f>Murid!A811</f>
        <v/>
      </c>
      <c r="B811" s="15">
        <f>IF(Murid!B811="","",Murid!B811)</f>
        <v/>
      </c>
      <c r="C811" s="16">
        <f>IF(Murid!C811="","",Murid!C811)</f>
        <v/>
      </c>
      <c r="D811" s="15">
        <f>IF(Murid!E811="","",Murid!E811)</f>
        <v/>
      </c>
      <c r="E811" s="11" t="n"/>
      <c r="F811" s="11" t="n"/>
      <c r="G811" s="10">
        <f>IF(F811="","",IFERROR(VLOOKUP(F811,T_JKP,2,FALSE),0))</f>
        <v/>
      </c>
      <c r="H811" s="11" t="n"/>
      <c r="I811" s="17">
        <f>IF(H811="","",IF(H811&gt;=12,40,ROUND(H811*3.33,2)))</f>
        <v/>
      </c>
      <c r="J811" s="11" t="n"/>
      <c r="K811" s="11" t="n"/>
      <c r="L811" s="11" t="n"/>
      <c r="M811" s="11" t="n"/>
      <c r="N811" s="10">
        <f>IF(COUNTA(J811:M811)=0,"",MIN(10,SUMPRODUCT((COUNTIF(J811:M811,L_KOM)&gt;0)*S_KOM)))</f>
        <v/>
      </c>
      <c r="O811" s="11" t="n"/>
      <c r="P811" s="10">
        <f>IF(O811="","",IFERROR(VLOOKUP(O811,T_KHID,2,FALSE),0))</f>
        <v/>
      </c>
      <c r="Q811" s="11" t="n"/>
      <c r="R811" s="11" t="n"/>
      <c r="S811" s="10">
        <f>IF(AND(Q811="",R811=""),"",IFERROR(INDEX(T_LIBAT,MATCH(Q811,L_PER,0),MATCH(R811,L_JENIS,0)),0))</f>
        <v/>
      </c>
      <c r="T811" s="11" t="n"/>
      <c r="U811" s="11" t="n"/>
      <c r="V811" s="10">
        <f>IF(AND(T811="",U811=""),"",IFERROR(INDEX(T_CAPAI,MATCH(T811,L_PER,0),MATCH(U811,L_KED,0)),0))</f>
        <v/>
      </c>
      <c r="W811" s="17">
        <f>IF(OR(B811="",E811="",COUNTA(F811,H811,J811:M811,O811,Q811:R811,T811:U811)=0),"",SUM(G811,I811,N811,P811,S811,V811))</f>
        <v/>
      </c>
      <c r="X811" s="18">
        <f>IF(W811="","",IF(Murid!F811="TL","TL",ROUND(W811/110*100,2)))</f>
        <v/>
      </c>
    </row>
    <row r="812">
      <c r="A812" s="15">
        <f>Murid!A812</f>
        <v/>
      </c>
      <c r="B812" s="15">
        <f>IF(Murid!B812="","",Murid!B812)</f>
        <v/>
      </c>
      <c r="C812" s="16">
        <f>IF(Murid!C812="","",Murid!C812)</f>
        <v/>
      </c>
      <c r="D812" s="15">
        <f>IF(Murid!E812="","",Murid!E812)</f>
        <v/>
      </c>
      <c r="E812" s="11" t="n"/>
      <c r="F812" s="11" t="n"/>
      <c r="G812" s="10">
        <f>IF(F812="","",IFERROR(VLOOKUP(F812,T_JKP,2,FALSE),0))</f>
        <v/>
      </c>
      <c r="H812" s="11" t="n"/>
      <c r="I812" s="17">
        <f>IF(H812="","",IF(H812&gt;=12,40,ROUND(H812*3.33,2)))</f>
        <v/>
      </c>
      <c r="J812" s="11" t="n"/>
      <c r="K812" s="11" t="n"/>
      <c r="L812" s="11" t="n"/>
      <c r="M812" s="11" t="n"/>
      <c r="N812" s="10">
        <f>IF(COUNTA(J812:M812)=0,"",MIN(10,SUMPRODUCT((COUNTIF(J812:M812,L_KOM)&gt;0)*S_KOM)))</f>
        <v/>
      </c>
      <c r="O812" s="11" t="n"/>
      <c r="P812" s="10">
        <f>IF(O812="","",IFERROR(VLOOKUP(O812,T_KHID,2,FALSE),0))</f>
        <v/>
      </c>
      <c r="Q812" s="11" t="n"/>
      <c r="R812" s="11" t="n"/>
      <c r="S812" s="10">
        <f>IF(AND(Q812="",R812=""),"",IFERROR(INDEX(T_LIBAT,MATCH(Q812,L_PER,0),MATCH(R812,L_JENIS,0)),0))</f>
        <v/>
      </c>
      <c r="T812" s="11" t="n"/>
      <c r="U812" s="11" t="n"/>
      <c r="V812" s="10">
        <f>IF(AND(T812="",U812=""),"",IFERROR(INDEX(T_CAPAI,MATCH(T812,L_PER,0),MATCH(U812,L_KED,0)),0))</f>
        <v/>
      </c>
      <c r="W812" s="17">
        <f>IF(OR(B812="",E812="",COUNTA(F812,H812,J812:M812,O812,Q812:R812,T812:U812)=0),"",SUM(G812,I812,N812,P812,S812,V812))</f>
        <v/>
      </c>
      <c r="X812" s="18">
        <f>IF(W812="","",IF(Murid!F812="TL","TL",ROUND(W812/110*100,2)))</f>
        <v/>
      </c>
    </row>
    <row r="813">
      <c r="A813" s="15">
        <f>Murid!A813</f>
        <v/>
      </c>
      <c r="B813" s="15">
        <f>IF(Murid!B813="","",Murid!B813)</f>
        <v/>
      </c>
      <c r="C813" s="16">
        <f>IF(Murid!C813="","",Murid!C813)</f>
        <v/>
      </c>
      <c r="D813" s="15">
        <f>IF(Murid!E813="","",Murid!E813)</f>
        <v/>
      </c>
      <c r="E813" s="11" t="n"/>
      <c r="F813" s="11" t="n"/>
      <c r="G813" s="10">
        <f>IF(F813="","",IFERROR(VLOOKUP(F813,T_JKP,2,FALSE),0))</f>
        <v/>
      </c>
      <c r="H813" s="11" t="n"/>
      <c r="I813" s="17">
        <f>IF(H813="","",IF(H813&gt;=12,40,ROUND(H813*3.33,2)))</f>
        <v/>
      </c>
      <c r="J813" s="11" t="n"/>
      <c r="K813" s="11" t="n"/>
      <c r="L813" s="11" t="n"/>
      <c r="M813" s="11" t="n"/>
      <c r="N813" s="10">
        <f>IF(COUNTA(J813:M813)=0,"",MIN(10,SUMPRODUCT((COUNTIF(J813:M813,L_KOM)&gt;0)*S_KOM)))</f>
        <v/>
      </c>
      <c r="O813" s="11" t="n"/>
      <c r="P813" s="10">
        <f>IF(O813="","",IFERROR(VLOOKUP(O813,T_KHID,2,FALSE),0))</f>
        <v/>
      </c>
      <c r="Q813" s="11" t="n"/>
      <c r="R813" s="11" t="n"/>
      <c r="S813" s="10">
        <f>IF(AND(Q813="",R813=""),"",IFERROR(INDEX(T_LIBAT,MATCH(Q813,L_PER,0),MATCH(R813,L_JENIS,0)),0))</f>
        <v/>
      </c>
      <c r="T813" s="11" t="n"/>
      <c r="U813" s="11" t="n"/>
      <c r="V813" s="10">
        <f>IF(AND(T813="",U813=""),"",IFERROR(INDEX(T_CAPAI,MATCH(T813,L_PER,0),MATCH(U813,L_KED,0)),0))</f>
        <v/>
      </c>
      <c r="W813" s="17">
        <f>IF(OR(B813="",E813="",COUNTA(F813,H813,J813:M813,O813,Q813:R813,T813:U813)=0),"",SUM(G813,I813,N813,P813,S813,V813))</f>
        <v/>
      </c>
      <c r="X813" s="18">
        <f>IF(W813="","",IF(Murid!F813="TL","TL",ROUND(W813/110*100,2)))</f>
        <v/>
      </c>
    </row>
    <row r="814">
      <c r="A814" s="15">
        <f>Murid!A814</f>
        <v/>
      </c>
      <c r="B814" s="15">
        <f>IF(Murid!B814="","",Murid!B814)</f>
        <v/>
      </c>
      <c r="C814" s="16">
        <f>IF(Murid!C814="","",Murid!C814)</f>
        <v/>
      </c>
      <c r="D814" s="15">
        <f>IF(Murid!E814="","",Murid!E814)</f>
        <v/>
      </c>
      <c r="E814" s="11" t="n"/>
      <c r="F814" s="11" t="n"/>
      <c r="G814" s="10">
        <f>IF(F814="","",IFERROR(VLOOKUP(F814,T_JKP,2,FALSE),0))</f>
        <v/>
      </c>
      <c r="H814" s="11" t="n"/>
      <c r="I814" s="17">
        <f>IF(H814="","",IF(H814&gt;=12,40,ROUND(H814*3.33,2)))</f>
        <v/>
      </c>
      <c r="J814" s="11" t="n"/>
      <c r="K814" s="11" t="n"/>
      <c r="L814" s="11" t="n"/>
      <c r="M814" s="11" t="n"/>
      <c r="N814" s="10">
        <f>IF(COUNTA(J814:M814)=0,"",MIN(10,SUMPRODUCT((COUNTIF(J814:M814,L_KOM)&gt;0)*S_KOM)))</f>
        <v/>
      </c>
      <c r="O814" s="11" t="n"/>
      <c r="P814" s="10">
        <f>IF(O814="","",IFERROR(VLOOKUP(O814,T_KHID,2,FALSE),0))</f>
        <v/>
      </c>
      <c r="Q814" s="11" t="n"/>
      <c r="R814" s="11" t="n"/>
      <c r="S814" s="10">
        <f>IF(AND(Q814="",R814=""),"",IFERROR(INDEX(T_LIBAT,MATCH(Q814,L_PER,0),MATCH(R814,L_JENIS,0)),0))</f>
        <v/>
      </c>
      <c r="T814" s="11" t="n"/>
      <c r="U814" s="11" t="n"/>
      <c r="V814" s="10">
        <f>IF(AND(T814="",U814=""),"",IFERROR(INDEX(T_CAPAI,MATCH(T814,L_PER,0),MATCH(U814,L_KED,0)),0))</f>
        <v/>
      </c>
      <c r="W814" s="17">
        <f>IF(OR(B814="",E814="",COUNTA(F814,H814,J814:M814,O814,Q814:R814,T814:U814)=0),"",SUM(G814,I814,N814,P814,S814,V814))</f>
        <v/>
      </c>
      <c r="X814" s="18">
        <f>IF(W814="","",IF(Murid!F814="TL","TL",ROUND(W814/110*100,2)))</f>
        <v/>
      </c>
    </row>
    <row r="815">
      <c r="A815" s="15">
        <f>Murid!A815</f>
        <v/>
      </c>
      <c r="B815" s="15">
        <f>IF(Murid!B815="","",Murid!B815)</f>
        <v/>
      </c>
      <c r="C815" s="16">
        <f>IF(Murid!C815="","",Murid!C815)</f>
        <v/>
      </c>
      <c r="D815" s="15">
        <f>IF(Murid!E815="","",Murid!E815)</f>
        <v/>
      </c>
      <c r="E815" s="11" t="n"/>
      <c r="F815" s="11" t="n"/>
      <c r="G815" s="10">
        <f>IF(F815="","",IFERROR(VLOOKUP(F815,T_JKP,2,FALSE),0))</f>
        <v/>
      </c>
      <c r="H815" s="11" t="n"/>
      <c r="I815" s="17">
        <f>IF(H815="","",IF(H815&gt;=12,40,ROUND(H815*3.33,2)))</f>
        <v/>
      </c>
      <c r="J815" s="11" t="n"/>
      <c r="K815" s="11" t="n"/>
      <c r="L815" s="11" t="n"/>
      <c r="M815" s="11" t="n"/>
      <c r="N815" s="10">
        <f>IF(COUNTA(J815:M815)=0,"",MIN(10,SUMPRODUCT((COUNTIF(J815:M815,L_KOM)&gt;0)*S_KOM)))</f>
        <v/>
      </c>
      <c r="O815" s="11" t="n"/>
      <c r="P815" s="10">
        <f>IF(O815="","",IFERROR(VLOOKUP(O815,T_KHID,2,FALSE),0))</f>
        <v/>
      </c>
      <c r="Q815" s="11" t="n"/>
      <c r="R815" s="11" t="n"/>
      <c r="S815" s="10">
        <f>IF(AND(Q815="",R815=""),"",IFERROR(INDEX(T_LIBAT,MATCH(Q815,L_PER,0),MATCH(R815,L_JENIS,0)),0))</f>
        <v/>
      </c>
      <c r="T815" s="11" t="n"/>
      <c r="U815" s="11" t="n"/>
      <c r="V815" s="10">
        <f>IF(AND(T815="",U815=""),"",IFERROR(INDEX(T_CAPAI,MATCH(T815,L_PER,0),MATCH(U815,L_KED,0)),0))</f>
        <v/>
      </c>
      <c r="W815" s="17">
        <f>IF(OR(B815="",E815="",COUNTA(F815,H815,J815:M815,O815,Q815:R815,T815:U815)=0),"",SUM(G815,I815,N815,P815,S815,V815))</f>
        <v/>
      </c>
      <c r="X815" s="18">
        <f>IF(W815="","",IF(Murid!F815="TL","TL",ROUND(W815/110*100,2)))</f>
        <v/>
      </c>
    </row>
    <row r="816">
      <c r="A816" s="15">
        <f>Murid!A816</f>
        <v/>
      </c>
      <c r="B816" s="15">
        <f>IF(Murid!B816="","",Murid!B816)</f>
        <v/>
      </c>
      <c r="C816" s="16">
        <f>IF(Murid!C816="","",Murid!C816)</f>
        <v/>
      </c>
      <c r="D816" s="15">
        <f>IF(Murid!E816="","",Murid!E816)</f>
        <v/>
      </c>
      <c r="E816" s="11" t="n"/>
      <c r="F816" s="11" t="n"/>
      <c r="G816" s="10">
        <f>IF(F816="","",IFERROR(VLOOKUP(F816,T_JKP,2,FALSE),0))</f>
        <v/>
      </c>
      <c r="H816" s="11" t="n"/>
      <c r="I816" s="17">
        <f>IF(H816="","",IF(H816&gt;=12,40,ROUND(H816*3.33,2)))</f>
        <v/>
      </c>
      <c r="J816" s="11" t="n"/>
      <c r="K816" s="11" t="n"/>
      <c r="L816" s="11" t="n"/>
      <c r="M816" s="11" t="n"/>
      <c r="N816" s="10">
        <f>IF(COUNTA(J816:M816)=0,"",MIN(10,SUMPRODUCT((COUNTIF(J816:M816,L_KOM)&gt;0)*S_KOM)))</f>
        <v/>
      </c>
      <c r="O816" s="11" t="n"/>
      <c r="P816" s="10">
        <f>IF(O816="","",IFERROR(VLOOKUP(O816,T_KHID,2,FALSE),0))</f>
        <v/>
      </c>
      <c r="Q816" s="11" t="n"/>
      <c r="R816" s="11" t="n"/>
      <c r="S816" s="10">
        <f>IF(AND(Q816="",R816=""),"",IFERROR(INDEX(T_LIBAT,MATCH(Q816,L_PER,0),MATCH(R816,L_JENIS,0)),0))</f>
        <v/>
      </c>
      <c r="T816" s="11" t="n"/>
      <c r="U816" s="11" t="n"/>
      <c r="V816" s="10">
        <f>IF(AND(T816="",U816=""),"",IFERROR(INDEX(T_CAPAI,MATCH(T816,L_PER,0),MATCH(U816,L_KED,0)),0))</f>
        <v/>
      </c>
      <c r="W816" s="17">
        <f>IF(OR(B816="",E816="",COUNTA(F816,H816,J816:M816,O816,Q816:R816,T816:U816)=0),"",SUM(G816,I816,N816,P816,S816,V816))</f>
        <v/>
      </c>
      <c r="X816" s="18">
        <f>IF(W816="","",IF(Murid!F816="TL","TL",ROUND(W816/110*100,2)))</f>
        <v/>
      </c>
    </row>
    <row r="817">
      <c r="A817" s="15">
        <f>Murid!A817</f>
        <v/>
      </c>
      <c r="B817" s="15">
        <f>IF(Murid!B817="","",Murid!B817)</f>
        <v/>
      </c>
      <c r="C817" s="16">
        <f>IF(Murid!C817="","",Murid!C817)</f>
        <v/>
      </c>
      <c r="D817" s="15">
        <f>IF(Murid!E817="","",Murid!E817)</f>
        <v/>
      </c>
      <c r="E817" s="11" t="n"/>
      <c r="F817" s="11" t="n"/>
      <c r="G817" s="10">
        <f>IF(F817="","",IFERROR(VLOOKUP(F817,T_JKP,2,FALSE),0))</f>
        <v/>
      </c>
      <c r="H817" s="11" t="n"/>
      <c r="I817" s="17">
        <f>IF(H817="","",IF(H817&gt;=12,40,ROUND(H817*3.33,2)))</f>
        <v/>
      </c>
      <c r="J817" s="11" t="n"/>
      <c r="K817" s="11" t="n"/>
      <c r="L817" s="11" t="n"/>
      <c r="M817" s="11" t="n"/>
      <c r="N817" s="10">
        <f>IF(COUNTA(J817:M817)=0,"",MIN(10,SUMPRODUCT((COUNTIF(J817:M817,L_KOM)&gt;0)*S_KOM)))</f>
        <v/>
      </c>
      <c r="O817" s="11" t="n"/>
      <c r="P817" s="10">
        <f>IF(O817="","",IFERROR(VLOOKUP(O817,T_KHID,2,FALSE),0))</f>
        <v/>
      </c>
      <c r="Q817" s="11" t="n"/>
      <c r="R817" s="11" t="n"/>
      <c r="S817" s="10">
        <f>IF(AND(Q817="",R817=""),"",IFERROR(INDEX(T_LIBAT,MATCH(Q817,L_PER,0),MATCH(R817,L_JENIS,0)),0))</f>
        <v/>
      </c>
      <c r="T817" s="11" t="n"/>
      <c r="U817" s="11" t="n"/>
      <c r="V817" s="10">
        <f>IF(AND(T817="",U817=""),"",IFERROR(INDEX(T_CAPAI,MATCH(T817,L_PER,0),MATCH(U817,L_KED,0)),0))</f>
        <v/>
      </c>
      <c r="W817" s="17">
        <f>IF(OR(B817="",E817="",COUNTA(F817,H817,J817:M817,O817,Q817:R817,T817:U817)=0),"",SUM(G817,I817,N817,P817,S817,V817))</f>
        <v/>
      </c>
      <c r="X817" s="18">
        <f>IF(W817="","",IF(Murid!F817="TL","TL",ROUND(W817/110*100,2)))</f>
        <v/>
      </c>
    </row>
    <row r="818">
      <c r="A818" s="15">
        <f>Murid!A818</f>
        <v/>
      </c>
      <c r="B818" s="15">
        <f>IF(Murid!B818="","",Murid!B818)</f>
        <v/>
      </c>
      <c r="C818" s="16">
        <f>IF(Murid!C818="","",Murid!C818)</f>
        <v/>
      </c>
      <c r="D818" s="15">
        <f>IF(Murid!E818="","",Murid!E818)</f>
        <v/>
      </c>
      <c r="E818" s="11" t="n"/>
      <c r="F818" s="11" t="n"/>
      <c r="G818" s="10">
        <f>IF(F818="","",IFERROR(VLOOKUP(F818,T_JKP,2,FALSE),0))</f>
        <v/>
      </c>
      <c r="H818" s="11" t="n"/>
      <c r="I818" s="17">
        <f>IF(H818="","",IF(H818&gt;=12,40,ROUND(H818*3.33,2)))</f>
        <v/>
      </c>
      <c r="J818" s="11" t="n"/>
      <c r="K818" s="11" t="n"/>
      <c r="L818" s="11" t="n"/>
      <c r="M818" s="11" t="n"/>
      <c r="N818" s="10">
        <f>IF(COUNTA(J818:M818)=0,"",MIN(10,SUMPRODUCT((COUNTIF(J818:M818,L_KOM)&gt;0)*S_KOM)))</f>
        <v/>
      </c>
      <c r="O818" s="11" t="n"/>
      <c r="P818" s="10">
        <f>IF(O818="","",IFERROR(VLOOKUP(O818,T_KHID,2,FALSE),0))</f>
        <v/>
      </c>
      <c r="Q818" s="11" t="n"/>
      <c r="R818" s="11" t="n"/>
      <c r="S818" s="10">
        <f>IF(AND(Q818="",R818=""),"",IFERROR(INDEX(T_LIBAT,MATCH(Q818,L_PER,0),MATCH(R818,L_JENIS,0)),0))</f>
        <v/>
      </c>
      <c r="T818" s="11" t="n"/>
      <c r="U818" s="11" t="n"/>
      <c r="V818" s="10">
        <f>IF(AND(T818="",U818=""),"",IFERROR(INDEX(T_CAPAI,MATCH(T818,L_PER,0),MATCH(U818,L_KED,0)),0))</f>
        <v/>
      </c>
      <c r="W818" s="17">
        <f>IF(OR(B818="",E818="",COUNTA(F818,H818,J818:M818,O818,Q818:R818,T818:U818)=0),"",SUM(G818,I818,N818,P818,S818,V818))</f>
        <v/>
      </c>
      <c r="X818" s="18">
        <f>IF(W818="","",IF(Murid!F818="TL","TL",ROUND(W818/110*100,2)))</f>
        <v/>
      </c>
    </row>
    <row r="819">
      <c r="A819" s="15">
        <f>Murid!A819</f>
        <v/>
      </c>
      <c r="B819" s="15">
        <f>IF(Murid!B819="","",Murid!B819)</f>
        <v/>
      </c>
      <c r="C819" s="16">
        <f>IF(Murid!C819="","",Murid!C819)</f>
        <v/>
      </c>
      <c r="D819" s="15">
        <f>IF(Murid!E819="","",Murid!E819)</f>
        <v/>
      </c>
      <c r="E819" s="11" t="n"/>
      <c r="F819" s="11" t="n"/>
      <c r="G819" s="10">
        <f>IF(F819="","",IFERROR(VLOOKUP(F819,T_JKP,2,FALSE),0))</f>
        <v/>
      </c>
      <c r="H819" s="11" t="n"/>
      <c r="I819" s="17">
        <f>IF(H819="","",IF(H819&gt;=12,40,ROUND(H819*3.33,2)))</f>
        <v/>
      </c>
      <c r="J819" s="11" t="n"/>
      <c r="K819" s="11" t="n"/>
      <c r="L819" s="11" t="n"/>
      <c r="M819" s="11" t="n"/>
      <c r="N819" s="10">
        <f>IF(COUNTA(J819:M819)=0,"",MIN(10,SUMPRODUCT((COUNTIF(J819:M819,L_KOM)&gt;0)*S_KOM)))</f>
        <v/>
      </c>
      <c r="O819" s="11" t="n"/>
      <c r="P819" s="10">
        <f>IF(O819="","",IFERROR(VLOOKUP(O819,T_KHID,2,FALSE),0))</f>
        <v/>
      </c>
      <c r="Q819" s="11" t="n"/>
      <c r="R819" s="11" t="n"/>
      <c r="S819" s="10">
        <f>IF(AND(Q819="",R819=""),"",IFERROR(INDEX(T_LIBAT,MATCH(Q819,L_PER,0),MATCH(R819,L_JENIS,0)),0))</f>
        <v/>
      </c>
      <c r="T819" s="11" t="n"/>
      <c r="U819" s="11" t="n"/>
      <c r="V819" s="10">
        <f>IF(AND(T819="",U819=""),"",IFERROR(INDEX(T_CAPAI,MATCH(T819,L_PER,0),MATCH(U819,L_KED,0)),0))</f>
        <v/>
      </c>
      <c r="W819" s="17">
        <f>IF(OR(B819="",E819="",COUNTA(F819,H819,J819:M819,O819,Q819:R819,T819:U819)=0),"",SUM(G819,I819,N819,P819,S819,V819))</f>
        <v/>
      </c>
      <c r="X819" s="18">
        <f>IF(W819="","",IF(Murid!F819="TL","TL",ROUND(W819/110*100,2)))</f>
        <v/>
      </c>
    </row>
    <row r="820">
      <c r="A820" s="15">
        <f>Murid!A820</f>
        <v/>
      </c>
      <c r="B820" s="15">
        <f>IF(Murid!B820="","",Murid!B820)</f>
        <v/>
      </c>
      <c r="C820" s="16">
        <f>IF(Murid!C820="","",Murid!C820)</f>
        <v/>
      </c>
      <c r="D820" s="15">
        <f>IF(Murid!E820="","",Murid!E820)</f>
        <v/>
      </c>
      <c r="E820" s="11" t="n"/>
      <c r="F820" s="11" t="n"/>
      <c r="G820" s="10">
        <f>IF(F820="","",IFERROR(VLOOKUP(F820,T_JKP,2,FALSE),0))</f>
        <v/>
      </c>
      <c r="H820" s="11" t="n"/>
      <c r="I820" s="17">
        <f>IF(H820="","",IF(H820&gt;=12,40,ROUND(H820*3.33,2)))</f>
        <v/>
      </c>
      <c r="J820" s="11" t="n"/>
      <c r="K820" s="11" t="n"/>
      <c r="L820" s="11" t="n"/>
      <c r="M820" s="11" t="n"/>
      <c r="N820" s="10">
        <f>IF(COUNTA(J820:M820)=0,"",MIN(10,SUMPRODUCT((COUNTIF(J820:M820,L_KOM)&gt;0)*S_KOM)))</f>
        <v/>
      </c>
      <c r="O820" s="11" t="n"/>
      <c r="P820" s="10">
        <f>IF(O820="","",IFERROR(VLOOKUP(O820,T_KHID,2,FALSE),0))</f>
        <v/>
      </c>
      <c r="Q820" s="11" t="n"/>
      <c r="R820" s="11" t="n"/>
      <c r="S820" s="10">
        <f>IF(AND(Q820="",R820=""),"",IFERROR(INDEX(T_LIBAT,MATCH(Q820,L_PER,0),MATCH(R820,L_JENIS,0)),0))</f>
        <v/>
      </c>
      <c r="T820" s="11" t="n"/>
      <c r="U820" s="11" t="n"/>
      <c r="V820" s="10">
        <f>IF(AND(T820="",U820=""),"",IFERROR(INDEX(T_CAPAI,MATCH(T820,L_PER,0),MATCH(U820,L_KED,0)),0))</f>
        <v/>
      </c>
      <c r="W820" s="17">
        <f>IF(OR(B820="",E820="",COUNTA(F820,H820,J820:M820,O820,Q820:R820,T820:U820)=0),"",SUM(G820,I820,N820,P820,S820,V820))</f>
        <v/>
      </c>
      <c r="X820" s="18">
        <f>IF(W820="","",IF(Murid!F820="TL","TL",ROUND(W820/110*100,2)))</f>
        <v/>
      </c>
    </row>
    <row r="821">
      <c r="A821" s="15">
        <f>Murid!A821</f>
        <v/>
      </c>
      <c r="B821" s="15">
        <f>IF(Murid!B821="","",Murid!B821)</f>
        <v/>
      </c>
      <c r="C821" s="16">
        <f>IF(Murid!C821="","",Murid!C821)</f>
        <v/>
      </c>
      <c r="D821" s="15">
        <f>IF(Murid!E821="","",Murid!E821)</f>
        <v/>
      </c>
      <c r="E821" s="11" t="n"/>
      <c r="F821" s="11" t="n"/>
      <c r="G821" s="10">
        <f>IF(F821="","",IFERROR(VLOOKUP(F821,T_JKP,2,FALSE),0))</f>
        <v/>
      </c>
      <c r="H821" s="11" t="n"/>
      <c r="I821" s="17">
        <f>IF(H821="","",IF(H821&gt;=12,40,ROUND(H821*3.33,2)))</f>
        <v/>
      </c>
      <c r="J821" s="11" t="n"/>
      <c r="K821" s="11" t="n"/>
      <c r="L821" s="11" t="n"/>
      <c r="M821" s="11" t="n"/>
      <c r="N821" s="10">
        <f>IF(COUNTA(J821:M821)=0,"",MIN(10,SUMPRODUCT((COUNTIF(J821:M821,L_KOM)&gt;0)*S_KOM)))</f>
        <v/>
      </c>
      <c r="O821" s="11" t="n"/>
      <c r="P821" s="10">
        <f>IF(O821="","",IFERROR(VLOOKUP(O821,T_KHID,2,FALSE),0))</f>
        <v/>
      </c>
      <c r="Q821" s="11" t="n"/>
      <c r="R821" s="11" t="n"/>
      <c r="S821" s="10">
        <f>IF(AND(Q821="",R821=""),"",IFERROR(INDEX(T_LIBAT,MATCH(Q821,L_PER,0),MATCH(R821,L_JENIS,0)),0))</f>
        <v/>
      </c>
      <c r="T821" s="11" t="n"/>
      <c r="U821" s="11" t="n"/>
      <c r="V821" s="10">
        <f>IF(AND(T821="",U821=""),"",IFERROR(INDEX(T_CAPAI,MATCH(T821,L_PER,0),MATCH(U821,L_KED,0)),0))</f>
        <v/>
      </c>
      <c r="W821" s="17">
        <f>IF(OR(B821="",E821="",COUNTA(F821,H821,J821:M821,O821,Q821:R821,T821:U821)=0),"",SUM(G821,I821,N821,P821,S821,V821))</f>
        <v/>
      </c>
      <c r="X821" s="18">
        <f>IF(W821="","",IF(Murid!F821="TL","TL",ROUND(W821/110*100,2)))</f>
        <v/>
      </c>
    </row>
    <row r="822">
      <c r="A822" s="15">
        <f>Murid!A822</f>
        <v/>
      </c>
      <c r="B822" s="15">
        <f>IF(Murid!B822="","",Murid!B822)</f>
        <v/>
      </c>
      <c r="C822" s="16">
        <f>IF(Murid!C822="","",Murid!C822)</f>
        <v/>
      </c>
      <c r="D822" s="15">
        <f>IF(Murid!E822="","",Murid!E822)</f>
        <v/>
      </c>
      <c r="E822" s="11" t="n"/>
      <c r="F822" s="11" t="n"/>
      <c r="G822" s="10">
        <f>IF(F822="","",IFERROR(VLOOKUP(F822,T_JKP,2,FALSE),0))</f>
        <v/>
      </c>
      <c r="H822" s="11" t="n"/>
      <c r="I822" s="17">
        <f>IF(H822="","",IF(H822&gt;=12,40,ROUND(H822*3.33,2)))</f>
        <v/>
      </c>
      <c r="J822" s="11" t="n"/>
      <c r="K822" s="11" t="n"/>
      <c r="L822" s="11" t="n"/>
      <c r="M822" s="11" t="n"/>
      <c r="N822" s="10">
        <f>IF(COUNTA(J822:M822)=0,"",MIN(10,SUMPRODUCT((COUNTIF(J822:M822,L_KOM)&gt;0)*S_KOM)))</f>
        <v/>
      </c>
      <c r="O822" s="11" t="n"/>
      <c r="P822" s="10">
        <f>IF(O822="","",IFERROR(VLOOKUP(O822,T_KHID,2,FALSE),0))</f>
        <v/>
      </c>
      <c r="Q822" s="11" t="n"/>
      <c r="R822" s="11" t="n"/>
      <c r="S822" s="10">
        <f>IF(AND(Q822="",R822=""),"",IFERROR(INDEX(T_LIBAT,MATCH(Q822,L_PER,0),MATCH(R822,L_JENIS,0)),0))</f>
        <v/>
      </c>
      <c r="T822" s="11" t="n"/>
      <c r="U822" s="11" t="n"/>
      <c r="V822" s="10">
        <f>IF(AND(T822="",U822=""),"",IFERROR(INDEX(T_CAPAI,MATCH(T822,L_PER,0),MATCH(U822,L_KED,0)),0))</f>
        <v/>
      </c>
      <c r="W822" s="17">
        <f>IF(OR(B822="",E822="",COUNTA(F822,H822,J822:M822,O822,Q822:R822,T822:U822)=0),"",SUM(G822,I822,N822,P822,S822,V822))</f>
        <v/>
      </c>
      <c r="X822" s="18">
        <f>IF(W822="","",IF(Murid!F822="TL","TL",ROUND(W822/110*100,2)))</f>
        <v/>
      </c>
    </row>
    <row r="823">
      <c r="A823" s="15">
        <f>Murid!A823</f>
        <v/>
      </c>
      <c r="B823" s="15">
        <f>IF(Murid!B823="","",Murid!B823)</f>
        <v/>
      </c>
      <c r="C823" s="16">
        <f>IF(Murid!C823="","",Murid!C823)</f>
        <v/>
      </c>
      <c r="D823" s="15">
        <f>IF(Murid!E823="","",Murid!E823)</f>
        <v/>
      </c>
      <c r="E823" s="11" t="n"/>
      <c r="F823" s="11" t="n"/>
      <c r="G823" s="10">
        <f>IF(F823="","",IFERROR(VLOOKUP(F823,T_JKP,2,FALSE),0))</f>
        <v/>
      </c>
      <c r="H823" s="11" t="n"/>
      <c r="I823" s="17">
        <f>IF(H823="","",IF(H823&gt;=12,40,ROUND(H823*3.33,2)))</f>
        <v/>
      </c>
      <c r="J823" s="11" t="n"/>
      <c r="K823" s="11" t="n"/>
      <c r="L823" s="11" t="n"/>
      <c r="M823" s="11" t="n"/>
      <c r="N823" s="10">
        <f>IF(COUNTA(J823:M823)=0,"",MIN(10,SUMPRODUCT((COUNTIF(J823:M823,L_KOM)&gt;0)*S_KOM)))</f>
        <v/>
      </c>
      <c r="O823" s="11" t="n"/>
      <c r="P823" s="10">
        <f>IF(O823="","",IFERROR(VLOOKUP(O823,T_KHID,2,FALSE),0))</f>
        <v/>
      </c>
      <c r="Q823" s="11" t="n"/>
      <c r="R823" s="11" t="n"/>
      <c r="S823" s="10">
        <f>IF(AND(Q823="",R823=""),"",IFERROR(INDEX(T_LIBAT,MATCH(Q823,L_PER,0),MATCH(R823,L_JENIS,0)),0))</f>
        <v/>
      </c>
      <c r="T823" s="11" t="n"/>
      <c r="U823" s="11" t="n"/>
      <c r="V823" s="10">
        <f>IF(AND(T823="",U823=""),"",IFERROR(INDEX(T_CAPAI,MATCH(T823,L_PER,0),MATCH(U823,L_KED,0)),0))</f>
        <v/>
      </c>
      <c r="W823" s="17">
        <f>IF(OR(B823="",E823="",COUNTA(F823,H823,J823:M823,O823,Q823:R823,T823:U823)=0),"",SUM(G823,I823,N823,P823,S823,V823))</f>
        <v/>
      </c>
      <c r="X823" s="18">
        <f>IF(W823="","",IF(Murid!F823="TL","TL",ROUND(W823/110*100,2)))</f>
        <v/>
      </c>
    </row>
    <row r="824">
      <c r="A824" s="15">
        <f>Murid!A824</f>
        <v/>
      </c>
      <c r="B824" s="15">
        <f>IF(Murid!B824="","",Murid!B824)</f>
        <v/>
      </c>
      <c r="C824" s="16">
        <f>IF(Murid!C824="","",Murid!C824)</f>
        <v/>
      </c>
      <c r="D824" s="15">
        <f>IF(Murid!E824="","",Murid!E824)</f>
        <v/>
      </c>
      <c r="E824" s="11" t="n"/>
      <c r="F824" s="11" t="n"/>
      <c r="G824" s="10">
        <f>IF(F824="","",IFERROR(VLOOKUP(F824,T_JKP,2,FALSE),0))</f>
        <v/>
      </c>
      <c r="H824" s="11" t="n"/>
      <c r="I824" s="17">
        <f>IF(H824="","",IF(H824&gt;=12,40,ROUND(H824*3.33,2)))</f>
        <v/>
      </c>
      <c r="J824" s="11" t="n"/>
      <c r="K824" s="11" t="n"/>
      <c r="L824" s="11" t="n"/>
      <c r="M824" s="11" t="n"/>
      <c r="N824" s="10">
        <f>IF(COUNTA(J824:M824)=0,"",MIN(10,SUMPRODUCT((COUNTIF(J824:M824,L_KOM)&gt;0)*S_KOM)))</f>
        <v/>
      </c>
      <c r="O824" s="11" t="n"/>
      <c r="P824" s="10">
        <f>IF(O824="","",IFERROR(VLOOKUP(O824,T_KHID,2,FALSE),0))</f>
        <v/>
      </c>
      <c r="Q824" s="11" t="n"/>
      <c r="R824" s="11" t="n"/>
      <c r="S824" s="10">
        <f>IF(AND(Q824="",R824=""),"",IFERROR(INDEX(T_LIBAT,MATCH(Q824,L_PER,0),MATCH(R824,L_JENIS,0)),0))</f>
        <v/>
      </c>
      <c r="T824" s="11" t="n"/>
      <c r="U824" s="11" t="n"/>
      <c r="V824" s="10">
        <f>IF(AND(T824="",U824=""),"",IFERROR(INDEX(T_CAPAI,MATCH(T824,L_PER,0),MATCH(U824,L_KED,0)),0))</f>
        <v/>
      </c>
      <c r="W824" s="17">
        <f>IF(OR(B824="",E824="",COUNTA(F824,H824,J824:M824,O824,Q824:R824,T824:U824)=0),"",SUM(G824,I824,N824,P824,S824,V824))</f>
        <v/>
      </c>
      <c r="X824" s="18">
        <f>IF(W824="","",IF(Murid!F824="TL","TL",ROUND(W824/110*100,2)))</f>
        <v/>
      </c>
    </row>
    <row r="825">
      <c r="A825" s="15">
        <f>Murid!A825</f>
        <v/>
      </c>
      <c r="B825" s="15">
        <f>IF(Murid!B825="","",Murid!B825)</f>
        <v/>
      </c>
      <c r="C825" s="16">
        <f>IF(Murid!C825="","",Murid!C825)</f>
        <v/>
      </c>
      <c r="D825" s="15">
        <f>IF(Murid!E825="","",Murid!E825)</f>
        <v/>
      </c>
      <c r="E825" s="11" t="n"/>
      <c r="F825" s="11" t="n"/>
      <c r="G825" s="10">
        <f>IF(F825="","",IFERROR(VLOOKUP(F825,T_JKP,2,FALSE),0))</f>
        <v/>
      </c>
      <c r="H825" s="11" t="n"/>
      <c r="I825" s="17">
        <f>IF(H825="","",IF(H825&gt;=12,40,ROUND(H825*3.33,2)))</f>
        <v/>
      </c>
      <c r="J825" s="11" t="n"/>
      <c r="K825" s="11" t="n"/>
      <c r="L825" s="11" t="n"/>
      <c r="M825" s="11" t="n"/>
      <c r="N825" s="10">
        <f>IF(COUNTA(J825:M825)=0,"",MIN(10,SUMPRODUCT((COUNTIF(J825:M825,L_KOM)&gt;0)*S_KOM)))</f>
        <v/>
      </c>
      <c r="O825" s="11" t="n"/>
      <c r="P825" s="10">
        <f>IF(O825="","",IFERROR(VLOOKUP(O825,T_KHID,2,FALSE),0))</f>
        <v/>
      </c>
      <c r="Q825" s="11" t="n"/>
      <c r="R825" s="11" t="n"/>
      <c r="S825" s="10">
        <f>IF(AND(Q825="",R825=""),"",IFERROR(INDEX(T_LIBAT,MATCH(Q825,L_PER,0),MATCH(R825,L_JENIS,0)),0))</f>
        <v/>
      </c>
      <c r="T825" s="11" t="n"/>
      <c r="U825" s="11" t="n"/>
      <c r="V825" s="10">
        <f>IF(AND(T825="",U825=""),"",IFERROR(INDEX(T_CAPAI,MATCH(T825,L_PER,0),MATCH(U825,L_KED,0)),0))</f>
        <v/>
      </c>
      <c r="W825" s="17">
        <f>IF(OR(B825="",E825="",COUNTA(F825,H825,J825:M825,O825,Q825:R825,T825:U825)=0),"",SUM(G825,I825,N825,P825,S825,V825))</f>
        <v/>
      </c>
      <c r="X825" s="18">
        <f>IF(W825="","",IF(Murid!F825="TL","TL",ROUND(W825/110*100,2)))</f>
        <v/>
      </c>
    </row>
    <row r="826">
      <c r="A826" s="15">
        <f>Murid!A826</f>
        <v/>
      </c>
      <c r="B826" s="15">
        <f>IF(Murid!B826="","",Murid!B826)</f>
        <v/>
      </c>
      <c r="C826" s="16">
        <f>IF(Murid!C826="","",Murid!C826)</f>
        <v/>
      </c>
      <c r="D826" s="15">
        <f>IF(Murid!E826="","",Murid!E826)</f>
        <v/>
      </c>
      <c r="E826" s="11" t="n"/>
      <c r="F826" s="11" t="n"/>
      <c r="G826" s="10">
        <f>IF(F826="","",IFERROR(VLOOKUP(F826,T_JKP,2,FALSE),0))</f>
        <v/>
      </c>
      <c r="H826" s="11" t="n"/>
      <c r="I826" s="17">
        <f>IF(H826="","",IF(H826&gt;=12,40,ROUND(H826*3.33,2)))</f>
        <v/>
      </c>
      <c r="J826" s="11" t="n"/>
      <c r="K826" s="11" t="n"/>
      <c r="L826" s="11" t="n"/>
      <c r="M826" s="11" t="n"/>
      <c r="N826" s="10">
        <f>IF(COUNTA(J826:M826)=0,"",MIN(10,SUMPRODUCT((COUNTIF(J826:M826,L_KOM)&gt;0)*S_KOM)))</f>
        <v/>
      </c>
      <c r="O826" s="11" t="n"/>
      <c r="P826" s="10">
        <f>IF(O826="","",IFERROR(VLOOKUP(O826,T_KHID,2,FALSE),0))</f>
        <v/>
      </c>
      <c r="Q826" s="11" t="n"/>
      <c r="R826" s="11" t="n"/>
      <c r="S826" s="10">
        <f>IF(AND(Q826="",R826=""),"",IFERROR(INDEX(T_LIBAT,MATCH(Q826,L_PER,0),MATCH(R826,L_JENIS,0)),0))</f>
        <v/>
      </c>
      <c r="T826" s="11" t="n"/>
      <c r="U826" s="11" t="n"/>
      <c r="V826" s="10">
        <f>IF(AND(T826="",U826=""),"",IFERROR(INDEX(T_CAPAI,MATCH(T826,L_PER,0),MATCH(U826,L_KED,0)),0))</f>
        <v/>
      </c>
      <c r="W826" s="17">
        <f>IF(OR(B826="",E826="",COUNTA(F826,H826,J826:M826,O826,Q826:R826,T826:U826)=0),"",SUM(G826,I826,N826,P826,S826,V826))</f>
        <v/>
      </c>
      <c r="X826" s="18">
        <f>IF(W826="","",IF(Murid!F826="TL","TL",ROUND(W826/110*100,2)))</f>
        <v/>
      </c>
    </row>
    <row r="827">
      <c r="A827" s="15">
        <f>Murid!A827</f>
        <v/>
      </c>
      <c r="B827" s="15">
        <f>IF(Murid!B827="","",Murid!B827)</f>
        <v/>
      </c>
      <c r="C827" s="16">
        <f>IF(Murid!C827="","",Murid!C827)</f>
        <v/>
      </c>
      <c r="D827" s="15">
        <f>IF(Murid!E827="","",Murid!E827)</f>
        <v/>
      </c>
      <c r="E827" s="11" t="n"/>
      <c r="F827" s="11" t="n"/>
      <c r="G827" s="10">
        <f>IF(F827="","",IFERROR(VLOOKUP(F827,T_JKP,2,FALSE),0))</f>
        <v/>
      </c>
      <c r="H827" s="11" t="n"/>
      <c r="I827" s="17">
        <f>IF(H827="","",IF(H827&gt;=12,40,ROUND(H827*3.33,2)))</f>
        <v/>
      </c>
      <c r="J827" s="11" t="n"/>
      <c r="K827" s="11" t="n"/>
      <c r="L827" s="11" t="n"/>
      <c r="M827" s="11" t="n"/>
      <c r="N827" s="10">
        <f>IF(COUNTA(J827:M827)=0,"",MIN(10,SUMPRODUCT((COUNTIF(J827:M827,L_KOM)&gt;0)*S_KOM)))</f>
        <v/>
      </c>
      <c r="O827" s="11" t="n"/>
      <c r="P827" s="10">
        <f>IF(O827="","",IFERROR(VLOOKUP(O827,T_KHID,2,FALSE),0))</f>
        <v/>
      </c>
      <c r="Q827" s="11" t="n"/>
      <c r="R827" s="11" t="n"/>
      <c r="S827" s="10">
        <f>IF(AND(Q827="",R827=""),"",IFERROR(INDEX(T_LIBAT,MATCH(Q827,L_PER,0),MATCH(R827,L_JENIS,0)),0))</f>
        <v/>
      </c>
      <c r="T827" s="11" t="n"/>
      <c r="U827" s="11" t="n"/>
      <c r="V827" s="10">
        <f>IF(AND(T827="",U827=""),"",IFERROR(INDEX(T_CAPAI,MATCH(T827,L_PER,0),MATCH(U827,L_KED,0)),0))</f>
        <v/>
      </c>
      <c r="W827" s="17">
        <f>IF(OR(B827="",E827="",COUNTA(F827,H827,J827:M827,O827,Q827:R827,T827:U827)=0),"",SUM(G827,I827,N827,P827,S827,V827))</f>
        <v/>
      </c>
      <c r="X827" s="18">
        <f>IF(W827="","",IF(Murid!F827="TL","TL",ROUND(W827/110*100,2)))</f>
        <v/>
      </c>
    </row>
    <row r="828">
      <c r="A828" s="15">
        <f>Murid!A828</f>
        <v/>
      </c>
      <c r="B828" s="15">
        <f>IF(Murid!B828="","",Murid!B828)</f>
        <v/>
      </c>
      <c r="C828" s="16">
        <f>IF(Murid!C828="","",Murid!C828)</f>
        <v/>
      </c>
      <c r="D828" s="15">
        <f>IF(Murid!E828="","",Murid!E828)</f>
        <v/>
      </c>
      <c r="E828" s="11" t="n"/>
      <c r="F828" s="11" t="n"/>
      <c r="G828" s="10">
        <f>IF(F828="","",IFERROR(VLOOKUP(F828,T_JKP,2,FALSE),0))</f>
        <v/>
      </c>
      <c r="H828" s="11" t="n"/>
      <c r="I828" s="17">
        <f>IF(H828="","",IF(H828&gt;=12,40,ROUND(H828*3.33,2)))</f>
        <v/>
      </c>
      <c r="J828" s="11" t="n"/>
      <c r="K828" s="11" t="n"/>
      <c r="L828" s="11" t="n"/>
      <c r="M828" s="11" t="n"/>
      <c r="N828" s="10">
        <f>IF(COUNTA(J828:M828)=0,"",MIN(10,SUMPRODUCT((COUNTIF(J828:M828,L_KOM)&gt;0)*S_KOM)))</f>
        <v/>
      </c>
      <c r="O828" s="11" t="n"/>
      <c r="P828" s="10">
        <f>IF(O828="","",IFERROR(VLOOKUP(O828,T_KHID,2,FALSE),0))</f>
        <v/>
      </c>
      <c r="Q828" s="11" t="n"/>
      <c r="R828" s="11" t="n"/>
      <c r="S828" s="10">
        <f>IF(AND(Q828="",R828=""),"",IFERROR(INDEX(T_LIBAT,MATCH(Q828,L_PER,0),MATCH(R828,L_JENIS,0)),0))</f>
        <v/>
      </c>
      <c r="T828" s="11" t="n"/>
      <c r="U828" s="11" t="n"/>
      <c r="V828" s="10">
        <f>IF(AND(T828="",U828=""),"",IFERROR(INDEX(T_CAPAI,MATCH(T828,L_PER,0),MATCH(U828,L_KED,0)),0))</f>
        <v/>
      </c>
      <c r="W828" s="17">
        <f>IF(OR(B828="",E828="",COUNTA(F828,H828,J828:M828,O828,Q828:R828,T828:U828)=0),"",SUM(G828,I828,N828,P828,S828,V828))</f>
        <v/>
      </c>
      <c r="X828" s="18">
        <f>IF(W828="","",IF(Murid!F828="TL","TL",ROUND(W828/110*100,2)))</f>
        <v/>
      </c>
    </row>
    <row r="829">
      <c r="A829" s="15">
        <f>Murid!A829</f>
        <v/>
      </c>
      <c r="B829" s="15">
        <f>IF(Murid!B829="","",Murid!B829)</f>
        <v/>
      </c>
      <c r="C829" s="16">
        <f>IF(Murid!C829="","",Murid!C829)</f>
        <v/>
      </c>
      <c r="D829" s="15">
        <f>IF(Murid!E829="","",Murid!E829)</f>
        <v/>
      </c>
      <c r="E829" s="11" t="n"/>
      <c r="F829" s="11" t="n"/>
      <c r="G829" s="10">
        <f>IF(F829="","",IFERROR(VLOOKUP(F829,T_JKP,2,FALSE),0))</f>
        <v/>
      </c>
      <c r="H829" s="11" t="n"/>
      <c r="I829" s="17">
        <f>IF(H829="","",IF(H829&gt;=12,40,ROUND(H829*3.33,2)))</f>
        <v/>
      </c>
      <c r="J829" s="11" t="n"/>
      <c r="K829" s="11" t="n"/>
      <c r="L829" s="11" t="n"/>
      <c r="M829" s="11" t="n"/>
      <c r="N829" s="10">
        <f>IF(COUNTA(J829:M829)=0,"",MIN(10,SUMPRODUCT((COUNTIF(J829:M829,L_KOM)&gt;0)*S_KOM)))</f>
        <v/>
      </c>
      <c r="O829" s="11" t="n"/>
      <c r="P829" s="10">
        <f>IF(O829="","",IFERROR(VLOOKUP(O829,T_KHID,2,FALSE),0))</f>
        <v/>
      </c>
      <c r="Q829" s="11" t="n"/>
      <c r="R829" s="11" t="n"/>
      <c r="S829" s="10">
        <f>IF(AND(Q829="",R829=""),"",IFERROR(INDEX(T_LIBAT,MATCH(Q829,L_PER,0),MATCH(R829,L_JENIS,0)),0))</f>
        <v/>
      </c>
      <c r="T829" s="11" t="n"/>
      <c r="U829" s="11" t="n"/>
      <c r="V829" s="10">
        <f>IF(AND(T829="",U829=""),"",IFERROR(INDEX(T_CAPAI,MATCH(T829,L_PER,0),MATCH(U829,L_KED,0)),0))</f>
        <v/>
      </c>
      <c r="W829" s="17">
        <f>IF(OR(B829="",E829="",COUNTA(F829,H829,J829:M829,O829,Q829:R829,T829:U829)=0),"",SUM(G829,I829,N829,P829,S829,V829))</f>
        <v/>
      </c>
      <c r="X829" s="18">
        <f>IF(W829="","",IF(Murid!F829="TL","TL",ROUND(W829/110*100,2)))</f>
        <v/>
      </c>
    </row>
    <row r="830">
      <c r="A830" s="15">
        <f>Murid!A830</f>
        <v/>
      </c>
      <c r="B830" s="15">
        <f>IF(Murid!B830="","",Murid!B830)</f>
        <v/>
      </c>
      <c r="C830" s="16">
        <f>IF(Murid!C830="","",Murid!C830)</f>
        <v/>
      </c>
      <c r="D830" s="15">
        <f>IF(Murid!E830="","",Murid!E830)</f>
        <v/>
      </c>
      <c r="E830" s="11" t="n"/>
      <c r="F830" s="11" t="n"/>
      <c r="G830" s="10">
        <f>IF(F830="","",IFERROR(VLOOKUP(F830,T_JKP,2,FALSE),0))</f>
        <v/>
      </c>
      <c r="H830" s="11" t="n"/>
      <c r="I830" s="17">
        <f>IF(H830="","",IF(H830&gt;=12,40,ROUND(H830*3.33,2)))</f>
        <v/>
      </c>
      <c r="J830" s="11" t="n"/>
      <c r="K830" s="11" t="n"/>
      <c r="L830" s="11" t="n"/>
      <c r="M830" s="11" t="n"/>
      <c r="N830" s="10">
        <f>IF(COUNTA(J830:M830)=0,"",MIN(10,SUMPRODUCT((COUNTIF(J830:M830,L_KOM)&gt;0)*S_KOM)))</f>
        <v/>
      </c>
      <c r="O830" s="11" t="n"/>
      <c r="P830" s="10">
        <f>IF(O830="","",IFERROR(VLOOKUP(O830,T_KHID,2,FALSE),0))</f>
        <v/>
      </c>
      <c r="Q830" s="11" t="n"/>
      <c r="R830" s="11" t="n"/>
      <c r="S830" s="10">
        <f>IF(AND(Q830="",R830=""),"",IFERROR(INDEX(T_LIBAT,MATCH(Q830,L_PER,0),MATCH(R830,L_JENIS,0)),0))</f>
        <v/>
      </c>
      <c r="T830" s="11" t="n"/>
      <c r="U830" s="11" t="n"/>
      <c r="V830" s="10">
        <f>IF(AND(T830="",U830=""),"",IFERROR(INDEX(T_CAPAI,MATCH(T830,L_PER,0),MATCH(U830,L_KED,0)),0))</f>
        <v/>
      </c>
      <c r="W830" s="17">
        <f>IF(OR(B830="",E830="",COUNTA(F830,H830,J830:M830,O830,Q830:R830,T830:U830)=0),"",SUM(G830,I830,N830,P830,S830,V830))</f>
        <v/>
      </c>
      <c r="X830" s="18">
        <f>IF(W830="","",IF(Murid!F830="TL","TL",ROUND(W830/110*100,2)))</f>
        <v/>
      </c>
    </row>
    <row r="831">
      <c r="A831" s="15">
        <f>Murid!A831</f>
        <v/>
      </c>
      <c r="B831" s="15">
        <f>IF(Murid!B831="","",Murid!B831)</f>
        <v/>
      </c>
      <c r="C831" s="16">
        <f>IF(Murid!C831="","",Murid!C831)</f>
        <v/>
      </c>
      <c r="D831" s="15">
        <f>IF(Murid!E831="","",Murid!E831)</f>
        <v/>
      </c>
      <c r="E831" s="11" t="n"/>
      <c r="F831" s="11" t="n"/>
      <c r="G831" s="10">
        <f>IF(F831="","",IFERROR(VLOOKUP(F831,T_JKP,2,FALSE),0))</f>
        <v/>
      </c>
      <c r="H831" s="11" t="n"/>
      <c r="I831" s="17">
        <f>IF(H831="","",IF(H831&gt;=12,40,ROUND(H831*3.33,2)))</f>
        <v/>
      </c>
      <c r="J831" s="11" t="n"/>
      <c r="K831" s="11" t="n"/>
      <c r="L831" s="11" t="n"/>
      <c r="M831" s="11" t="n"/>
      <c r="N831" s="10">
        <f>IF(COUNTA(J831:M831)=0,"",MIN(10,SUMPRODUCT((COUNTIF(J831:M831,L_KOM)&gt;0)*S_KOM)))</f>
        <v/>
      </c>
      <c r="O831" s="11" t="n"/>
      <c r="P831" s="10">
        <f>IF(O831="","",IFERROR(VLOOKUP(O831,T_KHID,2,FALSE),0))</f>
        <v/>
      </c>
      <c r="Q831" s="11" t="n"/>
      <c r="R831" s="11" t="n"/>
      <c r="S831" s="10">
        <f>IF(AND(Q831="",R831=""),"",IFERROR(INDEX(T_LIBAT,MATCH(Q831,L_PER,0),MATCH(R831,L_JENIS,0)),0))</f>
        <v/>
      </c>
      <c r="T831" s="11" t="n"/>
      <c r="U831" s="11" t="n"/>
      <c r="V831" s="10">
        <f>IF(AND(T831="",U831=""),"",IFERROR(INDEX(T_CAPAI,MATCH(T831,L_PER,0),MATCH(U831,L_KED,0)),0))</f>
        <v/>
      </c>
      <c r="W831" s="17">
        <f>IF(OR(B831="",E831="",COUNTA(F831,H831,J831:M831,O831,Q831:R831,T831:U831)=0),"",SUM(G831,I831,N831,P831,S831,V831))</f>
        <v/>
      </c>
      <c r="X831" s="18">
        <f>IF(W831="","",IF(Murid!F831="TL","TL",ROUND(W831/110*100,2)))</f>
        <v/>
      </c>
    </row>
    <row r="832">
      <c r="A832" s="15">
        <f>Murid!A832</f>
        <v/>
      </c>
      <c r="B832" s="15">
        <f>IF(Murid!B832="","",Murid!B832)</f>
        <v/>
      </c>
      <c r="C832" s="16">
        <f>IF(Murid!C832="","",Murid!C832)</f>
        <v/>
      </c>
      <c r="D832" s="15">
        <f>IF(Murid!E832="","",Murid!E832)</f>
        <v/>
      </c>
      <c r="E832" s="11" t="n"/>
      <c r="F832" s="11" t="n"/>
      <c r="G832" s="10">
        <f>IF(F832="","",IFERROR(VLOOKUP(F832,T_JKP,2,FALSE),0))</f>
        <v/>
      </c>
      <c r="H832" s="11" t="n"/>
      <c r="I832" s="17">
        <f>IF(H832="","",IF(H832&gt;=12,40,ROUND(H832*3.33,2)))</f>
        <v/>
      </c>
      <c r="J832" s="11" t="n"/>
      <c r="K832" s="11" t="n"/>
      <c r="L832" s="11" t="n"/>
      <c r="M832" s="11" t="n"/>
      <c r="N832" s="10">
        <f>IF(COUNTA(J832:M832)=0,"",MIN(10,SUMPRODUCT((COUNTIF(J832:M832,L_KOM)&gt;0)*S_KOM)))</f>
        <v/>
      </c>
      <c r="O832" s="11" t="n"/>
      <c r="P832" s="10">
        <f>IF(O832="","",IFERROR(VLOOKUP(O832,T_KHID,2,FALSE),0))</f>
        <v/>
      </c>
      <c r="Q832" s="11" t="n"/>
      <c r="R832" s="11" t="n"/>
      <c r="S832" s="10">
        <f>IF(AND(Q832="",R832=""),"",IFERROR(INDEX(T_LIBAT,MATCH(Q832,L_PER,0),MATCH(R832,L_JENIS,0)),0))</f>
        <v/>
      </c>
      <c r="T832" s="11" t="n"/>
      <c r="U832" s="11" t="n"/>
      <c r="V832" s="10">
        <f>IF(AND(T832="",U832=""),"",IFERROR(INDEX(T_CAPAI,MATCH(T832,L_PER,0),MATCH(U832,L_KED,0)),0))</f>
        <v/>
      </c>
      <c r="W832" s="17">
        <f>IF(OR(B832="",E832="",COUNTA(F832,H832,J832:M832,O832,Q832:R832,T832:U832)=0),"",SUM(G832,I832,N832,P832,S832,V832))</f>
        <v/>
      </c>
      <c r="X832" s="18">
        <f>IF(W832="","",IF(Murid!F832="TL","TL",ROUND(W832/110*100,2)))</f>
        <v/>
      </c>
    </row>
    <row r="833">
      <c r="A833" s="15">
        <f>Murid!A833</f>
        <v/>
      </c>
      <c r="B833" s="15">
        <f>IF(Murid!B833="","",Murid!B833)</f>
        <v/>
      </c>
      <c r="C833" s="16">
        <f>IF(Murid!C833="","",Murid!C833)</f>
        <v/>
      </c>
      <c r="D833" s="15">
        <f>IF(Murid!E833="","",Murid!E833)</f>
        <v/>
      </c>
      <c r="E833" s="11" t="n"/>
      <c r="F833" s="11" t="n"/>
      <c r="G833" s="10">
        <f>IF(F833="","",IFERROR(VLOOKUP(F833,T_JKP,2,FALSE),0))</f>
        <v/>
      </c>
      <c r="H833" s="11" t="n"/>
      <c r="I833" s="17">
        <f>IF(H833="","",IF(H833&gt;=12,40,ROUND(H833*3.33,2)))</f>
        <v/>
      </c>
      <c r="J833" s="11" t="n"/>
      <c r="K833" s="11" t="n"/>
      <c r="L833" s="11" t="n"/>
      <c r="M833" s="11" t="n"/>
      <c r="N833" s="10">
        <f>IF(COUNTA(J833:M833)=0,"",MIN(10,SUMPRODUCT((COUNTIF(J833:M833,L_KOM)&gt;0)*S_KOM)))</f>
        <v/>
      </c>
      <c r="O833" s="11" t="n"/>
      <c r="P833" s="10">
        <f>IF(O833="","",IFERROR(VLOOKUP(O833,T_KHID,2,FALSE),0))</f>
        <v/>
      </c>
      <c r="Q833" s="11" t="n"/>
      <c r="R833" s="11" t="n"/>
      <c r="S833" s="10">
        <f>IF(AND(Q833="",R833=""),"",IFERROR(INDEX(T_LIBAT,MATCH(Q833,L_PER,0),MATCH(R833,L_JENIS,0)),0))</f>
        <v/>
      </c>
      <c r="T833" s="11" t="n"/>
      <c r="U833" s="11" t="n"/>
      <c r="V833" s="10">
        <f>IF(AND(T833="",U833=""),"",IFERROR(INDEX(T_CAPAI,MATCH(T833,L_PER,0),MATCH(U833,L_KED,0)),0))</f>
        <v/>
      </c>
      <c r="W833" s="17">
        <f>IF(OR(B833="",E833="",COUNTA(F833,H833,J833:M833,O833,Q833:R833,T833:U833)=0),"",SUM(G833,I833,N833,P833,S833,V833))</f>
        <v/>
      </c>
      <c r="X833" s="18">
        <f>IF(W833="","",IF(Murid!F833="TL","TL",ROUND(W833/110*100,2)))</f>
        <v/>
      </c>
    </row>
    <row r="834">
      <c r="A834" s="15">
        <f>Murid!A834</f>
        <v/>
      </c>
      <c r="B834" s="15">
        <f>IF(Murid!B834="","",Murid!B834)</f>
        <v/>
      </c>
      <c r="C834" s="16">
        <f>IF(Murid!C834="","",Murid!C834)</f>
        <v/>
      </c>
      <c r="D834" s="15">
        <f>IF(Murid!E834="","",Murid!E834)</f>
        <v/>
      </c>
      <c r="E834" s="11" t="n"/>
      <c r="F834" s="11" t="n"/>
      <c r="G834" s="10">
        <f>IF(F834="","",IFERROR(VLOOKUP(F834,T_JKP,2,FALSE),0))</f>
        <v/>
      </c>
      <c r="H834" s="11" t="n"/>
      <c r="I834" s="17">
        <f>IF(H834="","",IF(H834&gt;=12,40,ROUND(H834*3.33,2)))</f>
        <v/>
      </c>
      <c r="J834" s="11" t="n"/>
      <c r="K834" s="11" t="n"/>
      <c r="L834" s="11" t="n"/>
      <c r="M834" s="11" t="n"/>
      <c r="N834" s="10">
        <f>IF(COUNTA(J834:M834)=0,"",MIN(10,SUMPRODUCT((COUNTIF(J834:M834,L_KOM)&gt;0)*S_KOM)))</f>
        <v/>
      </c>
      <c r="O834" s="11" t="n"/>
      <c r="P834" s="10">
        <f>IF(O834="","",IFERROR(VLOOKUP(O834,T_KHID,2,FALSE),0))</f>
        <v/>
      </c>
      <c r="Q834" s="11" t="n"/>
      <c r="R834" s="11" t="n"/>
      <c r="S834" s="10">
        <f>IF(AND(Q834="",R834=""),"",IFERROR(INDEX(T_LIBAT,MATCH(Q834,L_PER,0),MATCH(R834,L_JENIS,0)),0))</f>
        <v/>
      </c>
      <c r="T834" s="11" t="n"/>
      <c r="U834" s="11" t="n"/>
      <c r="V834" s="10">
        <f>IF(AND(T834="",U834=""),"",IFERROR(INDEX(T_CAPAI,MATCH(T834,L_PER,0),MATCH(U834,L_KED,0)),0))</f>
        <v/>
      </c>
      <c r="W834" s="17">
        <f>IF(OR(B834="",E834="",COUNTA(F834,H834,J834:M834,O834,Q834:R834,T834:U834)=0),"",SUM(G834,I834,N834,P834,S834,V834))</f>
        <v/>
      </c>
      <c r="X834" s="18">
        <f>IF(W834="","",IF(Murid!F834="TL","TL",ROUND(W834/110*100,2)))</f>
        <v/>
      </c>
    </row>
    <row r="835">
      <c r="A835" s="15">
        <f>Murid!A835</f>
        <v/>
      </c>
      <c r="B835" s="15">
        <f>IF(Murid!B835="","",Murid!B835)</f>
        <v/>
      </c>
      <c r="C835" s="16">
        <f>IF(Murid!C835="","",Murid!C835)</f>
        <v/>
      </c>
      <c r="D835" s="15">
        <f>IF(Murid!E835="","",Murid!E835)</f>
        <v/>
      </c>
      <c r="E835" s="11" t="n"/>
      <c r="F835" s="11" t="n"/>
      <c r="G835" s="10">
        <f>IF(F835="","",IFERROR(VLOOKUP(F835,T_JKP,2,FALSE),0))</f>
        <v/>
      </c>
      <c r="H835" s="11" t="n"/>
      <c r="I835" s="17">
        <f>IF(H835="","",IF(H835&gt;=12,40,ROUND(H835*3.33,2)))</f>
        <v/>
      </c>
      <c r="J835" s="11" t="n"/>
      <c r="K835" s="11" t="n"/>
      <c r="L835" s="11" t="n"/>
      <c r="M835" s="11" t="n"/>
      <c r="N835" s="10">
        <f>IF(COUNTA(J835:M835)=0,"",MIN(10,SUMPRODUCT((COUNTIF(J835:M835,L_KOM)&gt;0)*S_KOM)))</f>
        <v/>
      </c>
      <c r="O835" s="11" t="n"/>
      <c r="P835" s="10">
        <f>IF(O835="","",IFERROR(VLOOKUP(O835,T_KHID,2,FALSE),0))</f>
        <v/>
      </c>
      <c r="Q835" s="11" t="n"/>
      <c r="R835" s="11" t="n"/>
      <c r="S835" s="10">
        <f>IF(AND(Q835="",R835=""),"",IFERROR(INDEX(T_LIBAT,MATCH(Q835,L_PER,0),MATCH(R835,L_JENIS,0)),0))</f>
        <v/>
      </c>
      <c r="T835" s="11" t="n"/>
      <c r="U835" s="11" t="n"/>
      <c r="V835" s="10">
        <f>IF(AND(T835="",U835=""),"",IFERROR(INDEX(T_CAPAI,MATCH(T835,L_PER,0),MATCH(U835,L_KED,0)),0))</f>
        <v/>
      </c>
      <c r="W835" s="17">
        <f>IF(OR(B835="",E835="",COUNTA(F835,H835,J835:M835,O835,Q835:R835,T835:U835)=0),"",SUM(G835,I835,N835,P835,S835,V835))</f>
        <v/>
      </c>
      <c r="X835" s="18">
        <f>IF(W835="","",IF(Murid!F835="TL","TL",ROUND(W835/110*100,2)))</f>
        <v/>
      </c>
    </row>
    <row r="836">
      <c r="A836" s="15">
        <f>Murid!A836</f>
        <v/>
      </c>
      <c r="B836" s="15">
        <f>IF(Murid!B836="","",Murid!B836)</f>
        <v/>
      </c>
      <c r="C836" s="16">
        <f>IF(Murid!C836="","",Murid!C836)</f>
        <v/>
      </c>
      <c r="D836" s="15">
        <f>IF(Murid!E836="","",Murid!E836)</f>
        <v/>
      </c>
      <c r="E836" s="11" t="n"/>
      <c r="F836" s="11" t="n"/>
      <c r="G836" s="10">
        <f>IF(F836="","",IFERROR(VLOOKUP(F836,T_JKP,2,FALSE),0))</f>
        <v/>
      </c>
      <c r="H836" s="11" t="n"/>
      <c r="I836" s="17">
        <f>IF(H836="","",IF(H836&gt;=12,40,ROUND(H836*3.33,2)))</f>
        <v/>
      </c>
      <c r="J836" s="11" t="n"/>
      <c r="K836" s="11" t="n"/>
      <c r="L836" s="11" t="n"/>
      <c r="M836" s="11" t="n"/>
      <c r="N836" s="10">
        <f>IF(COUNTA(J836:M836)=0,"",MIN(10,SUMPRODUCT((COUNTIF(J836:M836,L_KOM)&gt;0)*S_KOM)))</f>
        <v/>
      </c>
      <c r="O836" s="11" t="n"/>
      <c r="P836" s="10">
        <f>IF(O836="","",IFERROR(VLOOKUP(O836,T_KHID,2,FALSE),0))</f>
        <v/>
      </c>
      <c r="Q836" s="11" t="n"/>
      <c r="R836" s="11" t="n"/>
      <c r="S836" s="10">
        <f>IF(AND(Q836="",R836=""),"",IFERROR(INDEX(T_LIBAT,MATCH(Q836,L_PER,0),MATCH(R836,L_JENIS,0)),0))</f>
        <v/>
      </c>
      <c r="T836" s="11" t="n"/>
      <c r="U836" s="11" t="n"/>
      <c r="V836" s="10">
        <f>IF(AND(T836="",U836=""),"",IFERROR(INDEX(T_CAPAI,MATCH(T836,L_PER,0),MATCH(U836,L_KED,0)),0))</f>
        <v/>
      </c>
      <c r="W836" s="17">
        <f>IF(OR(B836="",E836="",COUNTA(F836,H836,J836:M836,O836,Q836:R836,T836:U836)=0),"",SUM(G836,I836,N836,P836,S836,V836))</f>
        <v/>
      </c>
      <c r="X836" s="18">
        <f>IF(W836="","",IF(Murid!F836="TL","TL",ROUND(W836/110*100,2)))</f>
        <v/>
      </c>
    </row>
    <row r="837">
      <c r="A837" s="15">
        <f>Murid!A837</f>
        <v/>
      </c>
      <c r="B837" s="15">
        <f>IF(Murid!B837="","",Murid!B837)</f>
        <v/>
      </c>
      <c r="C837" s="16">
        <f>IF(Murid!C837="","",Murid!C837)</f>
        <v/>
      </c>
      <c r="D837" s="15">
        <f>IF(Murid!E837="","",Murid!E837)</f>
        <v/>
      </c>
      <c r="E837" s="11" t="n"/>
      <c r="F837" s="11" t="n"/>
      <c r="G837" s="10">
        <f>IF(F837="","",IFERROR(VLOOKUP(F837,T_JKP,2,FALSE),0))</f>
        <v/>
      </c>
      <c r="H837" s="11" t="n"/>
      <c r="I837" s="17">
        <f>IF(H837="","",IF(H837&gt;=12,40,ROUND(H837*3.33,2)))</f>
        <v/>
      </c>
      <c r="J837" s="11" t="n"/>
      <c r="K837" s="11" t="n"/>
      <c r="L837" s="11" t="n"/>
      <c r="M837" s="11" t="n"/>
      <c r="N837" s="10">
        <f>IF(COUNTA(J837:M837)=0,"",MIN(10,SUMPRODUCT((COUNTIF(J837:M837,L_KOM)&gt;0)*S_KOM)))</f>
        <v/>
      </c>
      <c r="O837" s="11" t="n"/>
      <c r="P837" s="10">
        <f>IF(O837="","",IFERROR(VLOOKUP(O837,T_KHID,2,FALSE),0))</f>
        <v/>
      </c>
      <c r="Q837" s="11" t="n"/>
      <c r="R837" s="11" t="n"/>
      <c r="S837" s="10">
        <f>IF(AND(Q837="",R837=""),"",IFERROR(INDEX(T_LIBAT,MATCH(Q837,L_PER,0),MATCH(R837,L_JENIS,0)),0))</f>
        <v/>
      </c>
      <c r="T837" s="11" t="n"/>
      <c r="U837" s="11" t="n"/>
      <c r="V837" s="10">
        <f>IF(AND(T837="",U837=""),"",IFERROR(INDEX(T_CAPAI,MATCH(T837,L_PER,0),MATCH(U837,L_KED,0)),0))</f>
        <v/>
      </c>
      <c r="W837" s="17">
        <f>IF(OR(B837="",E837="",COUNTA(F837,H837,J837:M837,O837,Q837:R837,T837:U837)=0),"",SUM(G837,I837,N837,P837,S837,V837))</f>
        <v/>
      </c>
      <c r="X837" s="18">
        <f>IF(W837="","",IF(Murid!F837="TL","TL",ROUND(W837/110*100,2)))</f>
        <v/>
      </c>
    </row>
    <row r="838">
      <c r="A838" s="15">
        <f>Murid!A838</f>
        <v/>
      </c>
      <c r="B838" s="15">
        <f>IF(Murid!B838="","",Murid!B838)</f>
        <v/>
      </c>
      <c r="C838" s="16">
        <f>IF(Murid!C838="","",Murid!C838)</f>
        <v/>
      </c>
      <c r="D838" s="15">
        <f>IF(Murid!E838="","",Murid!E838)</f>
        <v/>
      </c>
      <c r="E838" s="11" t="n"/>
      <c r="F838" s="11" t="n"/>
      <c r="G838" s="10">
        <f>IF(F838="","",IFERROR(VLOOKUP(F838,T_JKP,2,FALSE),0))</f>
        <v/>
      </c>
      <c r="H838" s="11" t="n"/>
      <c r="I838" s="17">
        <f>IF(H838="","",IF(H838&gt;=12,40,ROUND(H838*3.33,2)))</f>
        <v/>
      </c>
      <c r="J838" s="11" t="n"/>
      <c r="K838" s="11" t="n"/>
      <c r="L838" s="11" t="n"/>
      <c r="M838" s="11" t="n"/>
      <c r="N838" s="10">
        <f>IF(COUNTA(J838:M838)=0,"",MIN(10,SUMPRODUCT((COUNTIF(J838:M838,L_KOM)&gt;0)*S_KOM)))</f>
        <v/>
      </c>
      <c r="O838" s="11" t="n"/>
      <c r="P838" s="10">
        <f>IF(O838="","",IFERROR(VLOOKUP(O838,T_KHID,2,FALSE),0))</f>
        <v/>
      </c>
      <c r="Q838" s="11" t="n"/>
      <c r="R838" s="11" t="n"/>
      <c r="S838" s="10">
        <f>IF(AND(Q838="",R838=""),"",IFERROR(INDEX(T_LIBAT,MATCH(Q838,L_PER,0),MATCH(R838,L_JENIS,0)),0))</f>
        <v/>
      </c>
      <c r="T838" s="11" t="n"/>
      <c r="U838" s="11" t="n"/>
      <c r="V838" s="10">
        <f>IF(AND(T838="",U838=""),"",IFERROR(INDEX(T_CAPAI,MATCH(T838,L_PER,0),MATCH(U838,L_KED,0)),0))</f>
        <v/>
      </c>
      <c r="W838" s="17">
        <f>IF(OR(B838="",E838="",COUNTA(F838,H838,J838:M838,O838,Q838:R838,T838:U838)=0),"",SUM(G838,I838,N838,P838,S838,V838))</f>
        <v/>
      </c>
      <c r="X838" s="18">
        <f>IF(W838="","",IF(Murid!F838="TL","TL",ROUND(W838/110*100,2)))</f>
        <v/>
      </c>
    </row>
    <row r="839">
      <c r="A839" s="15">
        <f>Murid!A839</f>
        <v/>
      </c>
      <c r="B839" s="15">
        <f>IF(Murid!B839="","",Murid!B839)</f>
        <v/>
      </c>
      <c r="C839" s="16">
        <f>IF(Murid!C839="","",Murid!C839)</f>
        <v/>
      </c>
      <c r="D839" s="15">
        <f>IF(Murid!E839="","",Murid!E839)</f>
        <v/>
      </c>
      <c r="E839" s="11" t="n"/>
      <c r="F839" s="11" t="n"/>
      <c r="G839" s="10">
        <f>IF(F839="","",IFERROR(VLOOKUP(F839,T_JKP,2,FALSE),0))</f>
        <v/>
      </c>
      <c r="H839" s="11" t="n"/>
      <c r="I839" s="17">
        <f>IF(H839="","",IF(H839&gt;=12,40,ROUND(H839*3.33,2)))</f>
        <v/>
      </c>
      <c r="J839" s="11" t="n"/>
      <c r="K839" s="11" t="n"/>
      <c r="L839" s="11" t="n"/>
      <c r="M839" s="11" t="n"/>
      <c r="N839" s="10">
        <f>IF(COUNTA(J839:M839)=0,"",MIN(10,SUMPRODUCT((COUNTIF(J839:M839,L_KOM)&gt;0)*S_KOM)))</f>
        <v/>
      </c>
      <c r="O839" s="11" t="n"/>
      <c r="P839" s="10">
        <f>IF(O839="","",IFERROR(VLOOKUP(O839,T_KHID,2,FALSE),0))</f>
        <v/>
      </c>
      <c r="Q839" s="11" t="n"/>
      <c r="R839" s="11" t="n"/>
      <c r="S839" s="10">
        <f>IF(AND(Q839="",R839=""),"",IFERROR(INDEX(T_LIBAT,MATCH(Q839,L_PER,0),MATCH(R839,L_JENIS,0)),0))</f>
        <v/>
      </c>
      <c r="T839" s="11" t="n"/>
      <c r="U839" s="11" t="n"/>
      <c r="V839" s="10">
        <f>IF(AND(T839="",U839=""),"",IFERROR(INDEX(T_CAPAI,MATCH(T839,L_PER,0),MATCH(U839,L_KED,0)),0))</f>
        <v/>
      </c>
      <c r="W839" s="17">
        <f>IF(OR(B839="",E839="",COUNTA(F839,H839,J839:M839,O839,Q839:R839,T839:U839)=0),"",SUM(G839,I839,N839,P839,S839,V839))</f>
        <v/>
      </c>
      <c r="X839" s="18">
        <f>IF(W839="","",IF(Murid!F839="TL","TL",ROUND(W839/110*100,2)))</f>
        <v/>
      </c>
    </row>
    <row r="840">
      <c r="A840" s="15">
        <f>Murid!A840</f>
        <v/>
      </c>
      <c r="B840" s="15">
        <f>IF(Murid!B840="","",Murid!B840)</f>
        <v/>
      </c>
      <c r="C840" s="16">
        <f>IF(Murid!C840="","",Murid!C840)</f>
        <v/>
      </c>
      <c r="D840" s="15">
        <f>IF(Murid!E840="","",Murid!E840)</f>
        <v/>
      </c>
      <c r="E840" s="11" t="n"/>
      <c r="F840" s="11" t="n"/>
      <c r="G840" s="10">
        <f>IF(F840="","",IFERROR(VLOOKUP(F840,T_JKP,2,FALSE),0))</f>
        <v/>
      </c>
      <c r="H840" s="11" t="n"/>
      <c r="I840" s="17">
        <f>IF(H840="","",IF(H840&gt;=12,40,ROUND(H840*3.33,2)))</f>
        <v/>
      </c>
      <c r="J840" s="11" t="n"/>
      <c r="K840" s="11" t="n"/>
      <c r="L840" s="11" t="n"/>
      <c r="M840" s="11" t="n"/>
      <c r="N840" s="10">
        <f>IF(COUNTA(J840:M840)=0,"",MIN(10,SUMPRODUCT((COUNTIF(J840:M840,L_KOM)&gt;0)*S_KOM)))</f>
        <v/>
      </c>
      <c r="O840" s="11" t="n"/>
      <c r="P840" s="10">
        <f>IF(O840="","",IFERROR(VLOOKUP(O840,T_KHID,2,FALSE),0))</f>
        <v/>
      </c>
      <c r="Q840" s="11" t="n"/>
      <c r="R840" s="11" t="n"/>
      <c r="S840" s="10">
        <f>IF(AND(Q840="",R840=""),"",IFERROR(INDEX(T_LIBAT,MATCH(Q840,L_PER,0),MATCH(R840,L_JENIS,0)),0))</f>
        <v/>
      </c>
      <c r="T840" s="11" t="n"/>
      <c r="U840" s="11" t="n"/>
      <c r="V840" s="10">
        <f>IF(AND(T840="",U840=""),"",IFERROR(INDEX(T_CAPAI,MATCH(T840,L_PER,0),MATCH(U840,L_KED,0)),0))</f>
        <v/>
      </c>
      <c r="W840" s="17">
        <f>IF(OR(B840="",E840="",COUNTA(F840,H840,J840:M840,O840,Q840:R840,T840:U840)=0),"",SUM(G840,I840,N840,P840,S840,V840))</f>
        <v/>
      </c>
      <c r="X840" s="18">
        <f>IF(W840="","",IF(Murid!F840="TL","TL",ROUND(W840/110*100,2)))</f>
        <v/>
      </c>
    </row>
    <row r="841">
      <c r="A841" s="15">
        <f>Murid!A841</f>
        <v/>
      </c>
      <c r="B841" s="15">
        <f>IF(Murid!B841="","",Murid!B841)</f>
        <v/>
      </c>
      <c r="C841" s="16">
        <f>IF(Murid!C841="","",Murid!C841)</f>
        <v/>
      </c>
      <c r="D841" s="15">
        <f>IF(Murid!E841="","",Murid!E841)</f>
        <v/>
      </c>
      <c r="E841" s="11" t="n"/>
      <c r="F841" s="11" t="n"/>
      <c r="G841" s="10">
        <f>IF(F841="","",IFERROR(VLOOKUP(F841,T_JKP,2,FALSE),0))</f>
        <v/>
      </c>
      <c r="H841" s="11" t="n"/>
      <c r="I841" s="17">
        <f>IF(H841="","",IF(H841&gt;=12,40,ROUND(H841*3.33,2)))</f>
        <v/>
      </c>
      <c r="J841" s="11" t="n"/>
      <c r="K841" s="11" t="n"/>
      <c r="L841" s="11" t="n"/>
      <c r="M841" s="11" t="n"/>
      <c r="N841" s="10">
        <f>IF(COUNTA(J841:M841)=0,"",MIN(10,SUMPRODUCT((COUNTIF(J841:M841,L_KOM)&gt;0)*S_KOM)))</f>
        <v/>
      </c>
      <c r="O841" s="11" t="n"/>
      <c r="P841" s="10">
        <f>IF(O841="","",IFERROR(VLOOKUP(O841,T_KHID,2,FALSE),0))</f>
        <v/>
      </c>
      <c r="Q841" s="11" t="n"/>
      <c r="R841" s="11" t="n"/>
      <c r="S841" s="10">
        <f>IF(AND(Q841="",R841=""),"",IFERROR(INDEX(T_LIBAT,MATCH(Q841,L_PER,0),MATCH(R841,L_JENIS,0)),0))</f>
        <v/>
      </c>
      <c r="T841" s="11" t="n"/>
      <c r="U841" s="11" t="n"/>
      <c r="V841" s="10">
        <f>IF(AND(T841="",U841=""),"",IFERROR(INDEX(T_CAPAI,MATCH(T841,L_PER,0),MATCH(U841,L_KED,0)),0))</f>
        <v/>
      </c>
      <c r="W841" s="17">
        <f>IF(OR(B841="",E841="",COUNTA(F841,H841,J841:M841,O841,Q841:R841,T841:U841)=0),"",SUM(G841,I841,N841,P841,S841,V841))</f>
        <v/>
      </c>
      <c r="X841" s="18">
        <f>IF(W841="","",IF(Murid!F841="TL","TL",ROUND(W841/110*100,2)))</f>
        <v/>
      </c>
    </row>
    <row r="842">
      <c r="A842" s="15">
        <f>Murid!A842</f>
        <v/>
      </c>
      <c r="B842" s="15">
        <f>IF(Murid!B842="","",Murid!B842)</f>
        <v/>
      </c>
      <c r="C842" s="16">
        <f>IF(Murid!C842="","",Murid!C842)</f>
        <v/>
      </c>
      <c r="D842" s="15">
        <f>IF(Murid!E842="","",Murid!E842)</f>
        <v/>
      </c>
      <c r="E842" s="11" t="n"/>
      <c r="F842" s="11" t="n"/>
      <c r="G842" s="10">
        <f>IF(F842="","",IFERROR(VLOOKUP(F842,T_JKP,2,FALSE),0))</f>
        <v/>
      </c>
      <c r="H842" s="11" t="n"/>
      <c r="I842" s="17">
        <f>IF(H842="","",IF(H842&gt;=12,40,ROUND(H842*3.33,2)))</f>
        <v/>
      </c>
      <c r="J842" s="11" t="n"/>
      <c r="K842" s="11" t="n"/>
      <c r="L842" s="11" t="n"/>
      <c r="M842" s="11" t="n"/>
      <c r="N842" s="10">
        <f>IF(COUNTA(J842:M842)=0,"",MIN(10,SUMPRODUCT((COUNTIF(J842:M842,L_KOM)&gt;0)*S_KOM)))</f>
        <v/>
      </c>
      <c r="O842" s="11" t="n"/>
      <c r="P842" s="10">
        <f>IF(O842="","",IFERROR(VLOOKUP(O842,T_KHID,2,FALSE),0))</f>
        <v/>
      </c>
      <c r="Q842" s="11" t="n"/>
      <c r="R842" s="11" t="n"/>
      <c r="S842" s="10">
        <f>IF(AND(Q842="",R842=""),"",IFERROR(INDEX(T_LIBAT,MATCH(Q842,L_PER,0),MATCH(R842,L_JENIS,0)),0))</f>
        <v/>
      </c>
      <c r="T842" s="11" t="n"/>
      <c r="U842" s="11" t="n"/>
      <c r="V842" s="10">
        <f>IF(AND(T842="",U842=""),"",IFERROR(INDEX(T_CAPAI,MATCH(T842,L_PER,0),MATCH(U842,L_KED,0)),0))</f>
        <v/>
      </c>
      <c r="W842" s="17">
        <f>IF(OR(B842="",E842="",COUNTA(F842,H842,J842:M842,O842,Q842:R842,T842:U842)=0),"",SUM(G842,I842,N842,P842,S842,V842))</f>
        <v/>
      </c>
      <c r="X842" s="18">
        <f>IF(W842="","",IF(Murid!F842="TL","TL",ROUND(W842/110*100,2)))</f>
        <v/>
      </c>
    </row>
    <row r="843">
      <c r="A843" s="15">
        <f>Murid!A843</f>
        <v/>
      </c>
      <c r="B843" s="15">
        <f>IF(Murid!B843="","",Murid!B843)</f>
        <v/>
      </c>
      <c r="C843" s="16">
        <f>IF(Murid!C843="","",Murid!C843)</f>
        <v/>
      </c>
      <c r="D843" s="15">
        <f>IF(Murid!E843="","",Murid!E843)</f>
        <v/>
      </c>
      <c r="E843" s="11" t="n"/>
      <c r="F843" s="11" t="n"/>
      <c r="G843" s="10">
        <f>IF(F843="","",IFERROR(VLOOKUP(F843,T_JKP,2,FALSE),0))</f>
        <v/>
      </c>
      <c r="H843" s="11" t="n"/>
      <c r="I843" s="17">
        <f>IF(H843="","",IF(H843&gt;=12,40,ROUND(H843*3.33,2)))</f>
        <v/>
      </c>
      <c r="J843" s="11" t="n"/>
      <c r="K843" s="11" t="n"/>
      <c r="L843" s="11" t="n"/>
      <c r="M843" s="11" t="n"/>
      <c r="N843" s="10">
        <f>IF(COUNTA(J843:M843)=0,"",MIN(10,SUMPRODUCT((COUNTIF(J843:M843,L_KOM)&gt;0)*S_KOM)))</f>
        <v/>
      </c>
      <c r="O843" s="11" t="n"/>
      <c r="P843" s="10">
        <f>IF(O843="","",IFERROR(VLOOKUP(O843,T_KHID,2,FALSE),0))</f>
        <v/>
      </c>
      <c r="Q843" s="11" t="n"/>
      <c r="R843" s="11" t="n"/>
      <c r="S843" s="10">
        <f>IF(AND(Q843="",R843=""),"",IFERROR(INDEX(T_LIBAT,MATCH(Q843,L_PER,0),MATCH(R843,L_JENIS,0)),0))</f>
        <v/>
      </c>
      <c r="T843" s="11" t="n"/>
      <c r="U843" s="11" t="n"/>
      <c r="V843" s="10">
        <f>IF(AND(T843="",U843=""),"",IFERROR(INDEX(T_CAPAI,MATCH(T843,L_PER,0),MATCH(U843,L_KED,0)),0))</f>
        <v/>
      </c>
      <c r="W843" s="17">
        <f>IF(OR(B843="",E843="",COUNTA(F843,H843,J843:M843,O843,Q843:R843,T843:U843)=0),"",SUM(G843,I843,N843,P843,S843,V843))</f>
        <v/>
      </c>
      <c r="X843" s="18">
        <f>IF(W843="","",IF(Murid!F843="TL","TL",ROUND(W843/110*100,2)))</f>
        <v/>
      </c>
    </row>
    <row r="844">
      <c r="A844" s="15">
        <f>Murid!A844</f>
        <v/>
      </c>
      <c r="B844" s="15">
        <f>IF(Murid!B844="","",Murid!B844)</f>
        <v/>
      </c>
      <c r="C844" s="16">
        <f>IF(Murid!C844="","",Murid!C844)</f>
        <v/>
      </c>
      <c r="D844" s="15">
        <f>IF(Murid!E844="","",Murid!E844)</f>
        <v/>
      </c>
      <c r="E844" s="11" t="n"/>
      <c r="F844" s="11" t="n"/>
      <c r="G844" s="10">
        <f>IF(F844="","",IFERROR(VLOOKUP(F844,T_JKP,2,FALSE),0))</f>
        <v/>
      </c>
      <c r="H844" s="11" t="n"/>
      <c r="I844" s="17">
        <f>IF(H844="","",IF(H844&gt;=12,40,ROUND(H844*3.33,2)))</f>
        <v/>
      </c>
      <c r="J844" s="11" t="n"/>
      <c r="K844" s="11" t="n"/>
      <c r="L844" s="11" t="n"/>
      <c r="M844" s="11" t="n"/>
      <c r="N844" s="10">
        <f>IF(COUNTA(J844:M844)=0,"",MIN(10,SUMPRODUCT((COUNTIF(J844:M844,L_KOM)&gt;0)*S_KOM)))</f>
        <v/>
      </c>
      <c r="O844" s="11" t="n"/>
      <c r="P844" s="10">
        <f>IF(O844="","",IFERROR(VLOOKUP(O844,T_KHID,2,FALSE),0))</f>
        <v/>
      </c>
      <c r="Q844" s="11" t="n"/>
      <c r="R844" s="11" t="n"/>
      <c r="S844" s="10">
        <f>IF(AND(Q844="",R844=""),"",IFERROR(INDEX(T_LIBAT,MATCH(Q844,L_PER,0),MATCH(R844,L_JENIS,0)),0))</f>
        <v/>
      </c>
      <c r="T844" s="11" t="n"/>
      <c r="U844" s="11" t="n"/>
      <c r="V844" s="10">
        <f>IF(AND(T844="",U844=""),"",IFERROR(INDEX(T_CAPAI,MATCH(T844,L_PER,0),MATCH(U844,L_KED,0)),0))</f>
        <v/>
      </c>
      <c r="W844" s="17">
        <f>IF(OR(B844="",E844="",COUNTA(F844,H844,J844:M844,O844,Q844:R844,T844:U844)=0),"",SUM(G844,I844,N844,P844,S844,V844))</f>
        <v/>
      </c>
      <c r="X844" s="18">
        <f>IF(W844="","",IF(Murid!F844="TL","TL",ROUND(W844/110*100,2)))</f>
        <v/>
      </c>
    </row>
    <row r="845">
      <c r="A845" s="15">
        <f>Murid!A845</f>
        <v/>
      </c>
      <c r="B845" s="15">
        <f>IF(Murid!B845="","",Murid!B845)</f>
        <v/>
      </c>
      <c r="C845" s="16">
        <f>IF(Murid!C845="","",Murid!C845)</f>
        <v/>
      </c>
      <c r="D845" s="15">
        <f>IF(Murid!E845="","",Murid!E845)</f>
        <v/>
      </c>
      <c r="E845" s="11" t="n"/>
      <c r="F845" s="11" t="n"/>
      <c r="G845" s="10">
        <f>IF(F845="","",IFERROR(VLOOKUP(F845,T_JKP,2,FALSE),0))</f>
        <v/>
      </c>
      <c r="H845" s="11" t="n"/>
      <c r="I845" s="17">
        <f>IF(H845="","",IF(H845&gt;=12,40,ROUND(H845*3.33,2)))</f>
        <v/>
      </c>
      <c r="J845" s="11" t="n"/>
      <c r="K845" s="11" t="n"/>
      <c r="L845" s="11" t="n"/>
      <c r="M845" s="11" t="n"/>
      <c r="N845" s="10">
        <f>IF(COUNTA(J845:M845)=0,"",MIN(10,SUMPRODUCT((COUNTIF(J845:M845,L_KOM)&gt;0)*S_KOM)))</f>
        <v/>
      </c>
      <c r="O845" s="11" t="n"/>
      <c r="P845" s="10">
        <f>IF(O845="","",IFERROR(VLOOKUP(O845,T_KHID,2,FALSE),0))</f>
        <v/>
      </c>
      <c r="Q845" s="11" t="n"/>
      <c r="R845" s="11" t="n"/>
      <c r="S845" s="10">
        <f>IF(AND(Q845="",R845=""),"",IFERROR(INDEX(T_LIBAT,MATCH(Q845,L_PER,0),MATCH(R845,L_JENIS,0)),0))</f>
        <v/>
      </c>
      <c r="T845" s="11" t="n"/>
      <c r="U845" s="11" t="n"/>
      <c r="V845" s="10">
        <f>IF(AND(T845="",U845=""),"",IFERROR(INDEX(T_CAPAI,MATCH(T845,L_PER,0),MATCH(U845,L_KED,0)),0))</f>
        <v/>
      </c>
      <c r="W845" s="17">
        <f>IF(OR(B845="",E845="",COUNTA(F845,H845,J845:M845,O845,Q845:R845,T845:U845)=0),"",SUM(G845,I845,N845,P845,S845,V845))</f>
        <v/>
      </c>
      <c r="X845" s="18">
        <f>IF(W845="","",IF(Murid!F845="TL","TL",ROUND(W845/110*100,2)))</f>
        <v/>
      </c>
    </row>
    <row r="846">
      <c r="A846" s="15">
        <f>Murid!A846</f>
        <v/>
      </c>
      <c r="B846" s="15">
        <f>IF(Murid!B846="","",Murid!B846)</f>
        <v/>
      </c>
      <c r="C846" s="16">
        <f>IF(Murid!C846="","",Murid!C846)</f>
        <v/>
      </c>
      <c r="D846" s="15">
        <f>IF(Murid!E846="","",Murid!E846)</f>
        <v/>
      </c>
      <c r="E846" s="11" t="n"/>
      <c r="F846" s="11" t="n"/>
      <c r="G846" s="10">
        <f>IF(F846="","",IFERROR(VLOOKUP(F846,T_JKP,2,FALSE),0))</f>
        <v/>
      </c>
      <c r="H846" s="11" t="n"/>
      <c r="I846" s="17">
        <f>IF(H846="","",IF(H846&gt;=12,40,ROUND(H846*3.33,2)))</f>
        <v/>
      </c>
      <c r="J846" s="11" t="n"/>
      <c r="K846" s="11" t="n"/>
      <c r="L846" s="11" t="n"/>
      <c r="M846" s="11" t="n"/>
      <c r="N846" s="10">
        <f>IF(COUNTA(J846:M846)=0,"",MIN(10,SUMPRODUCT((COUNTIF(J846:M846,L_KOM)&gt;0)*S_KOM)))</f>
        <v/>
      </c>
      <c r="O846" s="11" t="n"/>
      <c r="P846" s="10">
        <f>IF(O846="","",IFERROR(VLOOKUP(O846,T_KHID,2,FALSE),0))</f>
        <v/>
      </c>
      <c r="Q846" s="11" t="n"/>
      <c r="R846" s="11" t="n"/>
      <c r="S846" s="10">
        <f>IF(AND(Q846="",R846=""),"",IFERROR(INDEX(T_LIBAT,MATCH(Q846,L_PER,0),MATCH(R846,L_JENIS,0)),0))</f>
        <v/>
      </c>
      <c r="T846" s="11" t="n"/>
      <c r="U846" s="11" t="n"/>
      <c r="V846" s="10">
        <f>IF(AND(T846="",U846=""),"",IFERROR(INDEX(T_CAPAI,MATCH(T846,L_PER,0),MATCH(U846,L_KED,0)),0))</f>
        <v/>
      </c>
      <c r="W846" s="17">
        <f>IF(OR(B846="",E846="",COUNTA(F846,H846,J846:M846,O846,Q846:R846,T846:U846)=0),"",SUM(G846,I846,N846,P846,S846,V846))</f>
        <v/>
      </c>
      <c r="X846" s="18">
        <f>IF(W846="","",IF(Murid!F846="TL","TL",ROUND(W846/110*100,2)))</f>
        <v/>
      </c>
    </row>
    <row r="847">
      <c r="A847" s="15">
        <f>Murid!A847</f>
        <v/>
      </c>
      <c r="B847" s="15">
        <f>IF(Murid!B847="","",Murid!B847)</f>
        <v/>
      </c>
      <c r="C847" s="16">
        <f>IF(Murid!C847="","",Murid!C847)</f>
        <v/>
      </c>
      <c r="D847" s="15">
        <f>IF(Murid!E847="","",Murid!E847)</f>
        <v/>
      </c>
      <c r="E847" s="11" t="n"/>
      <c r="F847" s="11" t="n"/>
      <c r="G847" s="10">
        <f>IF(F847="","",IFERROR(VLOOKUP(F847,T_JKP,2,FALSE),0))</f>
        <v/>
      </c>
      <c r="H847" s="11" t="n"/>
      <c r="I847" s="17">
        <f>IF(H847="","",IF(H847&gt;=12,40,ROUND(H847*3.33,2)))</f>
        <v/>
      </c>
      <c r="J847" s="11" t="n"/>
      <c r="K847" s="11" t="n"/>
      <c r="L847" s="11" t="n"/>
      <c r="M847" s="11" t="n"/>
      <c r="N847" s="10">
        <f>IF(COUNTA(J847:M847)=0,"",MIN(10,SUMPRODUCT((COUNTIF(J847:M847,L_KOM)&gt;0)*S_KOM)))</f>
        <v/>
      </c>
      <c r="O847" s="11" t="n"/>
      <c r="P847" s="10">
        <f>IF(O847="","",IFERROR(VLOOKUP(O847,T_KHID,2,FALSE),0))</f>
        <v/>
      </c>
      <c r="Q847" s="11" t="n"/>
      <c r="R847" s="11" t="n"/>
      <c r="S847" s="10">
        <f>IF(AND(Q847="",R847=""),"",IFERROR(INDEX(T_LIBAT,MATCH(Q847,L_PER,0),MATCH(R847,L_JENIS,0)),0))</f>
        <v/>
      </c>
      <c r="T847" s="11" t="n"/>
      <c r="U847" s="11" t="n"/>
      <c r="V847" s="10">
        <f>IF(AND(T847="",U847=""),"",IFERROR(INDEX(T_CAPAI,MATCH(T847,L_PER,0),MATCH(U847,L_KED,0)),0))</f>
        <v/>
      </c>
      <c r="W847" s="17">
        <f>IF(OR(B847="",E847="",COUNTA(F847,H847,J847:M847,O847,Q847:R847,T847:U847)=0),"",SUM(G847,I847,N847,P847,S847,V847))</f>
        <v/>
      </c>
      <c r="X847" s="18">
        <f>IF(W847="","",IF(Murid!F847="TL","TL",ROUND(W847/110*100,2)))</f>
        <v/>
      </c>
    </row>
    <row r="848">
      <c r="A848" s="15">
        <f>Murid!A848</f>
        <v/>
      </c>
      <c r="B848" s="15">
        <f>IF(Murid!B848="","",Murid!B848)</f>
        <v/>
      </c>
      <c r="C848" s="16">
        <f>IF(Murid!C848="","",Murid!C848)</f>
        <v/>
      </c>
      <c r="D848" s="15">
        <f>IF(Murid!E848="","",Murid!E848)</f>
        <v/>
      </c>
      <c r="E848" s="11" t="n"/>
      <c r="F848" s="11" t="n"/>
      <c r="G848" s="10">
        <f>IF(F848="","",IFERROR(VLOOKUP(F848,T_JKP,2,FALSE),0))</f>
        <v/>
      </c>
      <c r="H848" s="11" t="n"/>
      <c r="I848" s="17">
        <f>IF(H848="","",IF(H848&gt;=12,40,ROUND(H848*3.33,2)))</f>
        <v/>
      </c>
      <c r="J848" s="11" t="n"/>
      <c r="K848" s="11" t="n"/>
      <c r="L848" s="11" t="n"/>
      <c r="M848" s="11" t="n"/>
      <c r="N848" s="10">
        <f>IF(COUNTA(J848:M848)=0,"",MIN(10,SUMPRODUCT((COUNTIF(J848:M848,L_KOM)&gt;0)*S_KOM)))</f>
        <v/>
      </c>
      <c r="O848" s="11" t="n"/>
      <c r="P848" s="10">
        <f>IF(O848="","",IFERROR(VLOOKUP(O848,T_KHID,2,FALSE),0))</f>
        <v/>
      </c>
      <c r="Q848" s="11" t="n"/>
      <c r="R848" s="11" t="n"/>
      <c r="S848" s="10">
        <f>IF(AND(Q848="",R848=""),"",IFERROR(INDEX(T_LIBAT,MATCH(Q848,L_PER,0),MATCH(R848,L_JENIS,0)),0))</f>
        <v/>
      </c>
      <c r="T848" s="11" t="n"/>
      <c r="U848" s="11" t="n"/>
      <c r="V848" s="10">
        <f>IF(AND(T848="",U848=""),"",IFERROR(INDEX(T_CAPAI,MATCH(T848,L_PER,0),MATCH(U848,L_KED,0)),0))</f>
        <v/>
      </c>
      <c r="W848" s="17">
        <f>IF(OR(B848="",E848="",COUNTA(F848,H848,J848:M848,O848,Q848:R848,T848:U848)=0),"",SUM(G848,I848,N848,P848,S848,V848))</f>
        <v/>
      </c>
      <c r="X848" s="18">
        <f>IF(W848="","",IF(Murid!F848="TL","TL",ROUND(W848/110*100,2)))</f>
        <v/>
      </c>
    </row>
    <row r="849">
      <c r="A849" s="15">
        <f>Murid!A849</f>
        <v/>
      </c>
      <c r="B849" s="15">
        <f>IF(Murid!B849="","",Murid!B849)</f>
        <v/>
      </c>
      <c r="C849" s="16">
        <f>IF(Murid!C849="","",Murid!C849)</f>
        <v/>
      </c>
      <c r="D849" s="15">
        <f>IF(Murid!E849="","",Murid!E849)</f>
        <v/>
      </c>
      <c r="E849" s="11" t="n"/>
      <c r="F849" s="11" t="n"/>
      <c r="G849" s="10">
        <f>IF(F849="","",IFERROR(VLOOKUP(F849,T_JKP,2,FALSE),0))</f>
        <v/>
      </c>
      <c r="H849" s="11" t="n"/>
      <c r="I849" s="17">
        <f>IF(H849="","",IF(H849&gt;=12,40,ROUND(H849*3.33,2)))</f>
        <v/>
      </c>
      <c r="J849" s="11" t="n"/>
      <c r="K849" s="11" t="n"/>
      <c r="L849" s="11" t="n"/>
      <c r="M849" s="11" t="n"/>
      <c r="N849" s="10">
        <f>IF(COUNTA(J849:M849)=0,"",MIN(10,SUMPRODUCT((COUNTIF(J849:M849,L_KOM)&gt;0)*S_KOM)))</f>
        <v/>
      </c>
      <c r="O849" s="11" t="n"/>
      <c r="P849" s="10">
        <f>IF(O849="","",IFERROR(VLOOKUP(O849,T_KHID,2,FALSE),0))</f>
        <v/>
      </c>
      <c r="Q849" s="11" t="n"/>
      <c r="R849" s="11" t="n"/>
      <c r="S849" s="10">
        <f>IF(AND(Q849="",R849=""),"",IFERROR(INDEX(T_LIBAT,MATCH(Q849,L_PER,0),MATCH(R849,L_JENIS,0)),0))</f>
        <v/>
      </c>
      <c r="T849" s="11" t="n"/>
      <c r="U849" s="11" t="n"/>
      <c r="V849" s="10">
        <f>IF(AND(T849="",U849=""),"",IFERROR(INDEX(T_CAPAI,MATCH(T849,L_PER,0),MATCH(U849,L_KED,0)),0))</f>
        <v/>
      </c>
      <c r="W849" s="17">
        <f>IF(OR(B849="",E849="",COUNTA(F849,H849,J849:M849,O849,Q849:R849,T849:U849)=0),"",SUM(G849,I849,N849,P849,S849,V849))</f>
        <v/>
      </c>
      <c r="X849" s="18">
        <f>IF(W849="","",IF(Murid!F849="TL","TL",ROUND(W849/110*100,2)))</f>
        <v/>
      </c>
    </row>
    <row r="850">
      <c r="A850" s="15">
        <f>Murid!A850</f>
        <v/>
      </c>
      <c r="B850" s="15">
        <f>IF(Murid!B850="","",Murid!B850)</f>
        <v/>
      </c>
      <c r="C850" s="16">
        <f>IF(Murid!C850="","",Murid!C850)</f>
        <v/>
      </c>
      <c r="D850" s="15">
        <f>IF(Murid!E850="","",Murid!E850)</f>
        <v/>
      </c>
      <c r="E850" s="11" t="n"/>
      <c r="F850" s="11" t="n"/>
      <c r="G850" s="10">
        <f>IF(F850="","",IFERROR(VLOOKUP(F850,T_JKP,2,FALSE),0))</f>
        <v/>
      </c>
      <c r="H850" s="11" t="n"/>
      <c r="I850" s="17">
        <f>IF(H850="","",IF(H850&gt;=12,40,ROUND(H850*3.33,2)))</f>
        <v/>
      </c>
      <c r="J850" s="11" t="n"/>
      <c r="K850" s="11" t="n"/>
      <c r="L850" s="11" t="n"/>
      <c r="M850" s="11" t="n"/>
      <c r="N850" s="10">
        <f>IF(COUNTA(J850:M850)=0,"",MIN(10,SUMPRODUCT((COUNTIF(J850:M850,L_KOM)&gt;0)*S_KOM)))</f>
        <v/>
      </c>
      <c r="O850" s="11" t="n"/>
      <c r="P850" s="10">
        <f>IF(O850="","",IFERROR(VLOOKUP(O850,T_KHID,2,FALSE),0))</f>
        <v/>
      </c>
      <c r="Q850" s="11" t="n"/>
      <c r="R850" s="11" t="n"/>
      <c r="S850" s="10">
        <f>IF(AND(Q850="",R850=""),"",IFERROR(INDEX(T_LIBAT,MATCH(Q850,L_PER,0),MATCH(R850,L_JENIS,0)),0))</f>
        <v/>
      </c>
      <c r="T850" s="11" t="n"/>
      <c r="U850" s="11" t="n"/>
      <c r="V850" s="10">
        <f>IF(AND(T850="",U850=""),"",IFERROR(INDEX(T_CAPAI,MATCH(T850,L_PER,0),MATCH(U850,L_KED,0)),0))</f>
        <v/>
      </c>
      <c r="W850" s="17">
        <f>IF(OR(B850="",E850="",COUNTA(F850,H850,J850:M850,O850,Q850:R850,T850:U850)=0),"",SUM(G850,I850,N850,P850,S850,V850))</f>
        <v/>
      </c>
      <c r="X850" s="18">
        <f>IF(W850="","",IF(Murid!F850="TL","TL",ROUND(W850/110*100,2)))</f>
        <v/>
      </c>
    </row>
    <row r="851">
      <c r="A851" s="15">
        <f>Murid!A851</f>
        <v/>
      </c>
      <c r="B851" s="15">
        <f>IF(Murid!B851="","",Murid!B851)</f>
        <v/>
      </c>
      <c r="C851" s="16">
        <f>IF(Murid!C851="","",Murid!C851)</f>
        <v/>
      </c>
      <c r="D851" s="15">
        <f>IF(Murid!E851="","",Murid!E851)</f>
        <v/>
      </c>
      <c r="E851" s="11" t="n"/>
      <c r="F851" s="11" t="n"/>
      <c r="G851" s="10">
        <f>IF(F851="","",IFERROR(VLOOKUP(F851,T_JKP,2,FALSE),0))</f>
        <v/>
      </c>
      <c r="H851" s="11" t="n"/>
      <c r="I851" s="17">
        <f>IF(H851="","",IF(H851&gt;=12,40,ROUND(H851*3.33,2)))</f>
        <v/>
      </c>
      <c r="J851" s="11" t="n"/>
      <c r="K851" s="11" t="n"/>
      <c r="L851" s="11" t="n"/>
      <c r="M851" s="11" t="n"/>
      <c r="N851" s="10">
        <f>IF(COUNTA(J851:M851)=0,"",MIN(10,SUMPRODUCT((COUNTIF(J851:M851,L_KOM)&gt;0)*S_KOM)))</f>
        <v/>
      </c>
      <c r="O851" s="11" t="n"/>
      <c r="P851" s="10">
        <f>IF(O851="","",IFERROR(VLOOKUP(O851,T_KHID,2,FALSE),0))</f>
        <v/>
      </c>
      <c r="Q851" s="11" t="n"/>
      <c r="R851" s="11" t="n"/>
      <c r="S851" s="10">
        <f>IF(AND(Q851="",R851=""),"",IFERROR(INDEX(T_LIBAT,MATCH(Q851,L_PER,0),MATCH(R851,L_JENIS,0)),0))</f>
        <v/>
      </c>
      <c r="T851" s="11" t="n"/>
      <c r="U851" s="11" t="n"/>
      <c r="V851" s="10">
        <f>IF(AND(T851="",U851=""),"",IFERROR(INDEX(T_CAPAI,MATCH(T851,L_PER,0),MATCH(U851,L_KED,0)),0))</f>
        <v/>
      </c>
      <c r="W851" s="17">
        <f>IF(OR(B851="",E851="",COUNTA(F851,H851,J851:M851,O851,Q851:R851,T851:U851)=0),"",SUM(G851,I851,N851,P851,S851,V851))</f>
        <v/>
      </c>
      <c r="X851" s="18">
        <f>IF(W851="","",IF(Murid!F851="TL","TL",ROUND(W851/110*100,2)))</f>
        <v/>
      </c>
    </row>
    <row r="852">
      <c r="A852" s="15">
        <f>Murid!A852</f>
        <v/>
      </c>
      <c r="B852" s="15">
        <f>IF(Murid!B852="","",Murid!B852)</f>
        <v/>
      </c>
      <c r="C852" s="16">
        <f>IF(Murid!C852="","",Murid!C852)</f>
        <v/>
      </c>
      <c r="D852" s="15">
        <f>IF(Murid!E852="","",Murid!E852)</f>
        <v/>
      </c>
      <c r="E852" s="11" t="n"/>
      <c r="F852" s="11" t="n"/>
      <c r="G852" s="10">
        <f>IF(F852="","",IFERROR(VLOOKUP(F852,T_JKP,2,FALSE),0))</f>
        <v/>
      </c>
      <c r="H852" s="11" t="n"/>
      <c r="I852" s="17">
        <f>IF(H852="","",IF(H852&gt;=12,40,ROUND(H852*3.33,2)))</f>
        <v/>
      </c>
      <c r="J852" s="11" t="n"/>
      <c r="K852" s="11" t="n"/>
      <c r="L852" s="11" t="n"/>
      <c r="M852" s="11" t="n"/>
      <c r="N852" s="10">
        <f>IF(COUNTA(J852:M852)=0,"",MIN(10,SUMPRODUCT((COUNTIF(J852:M852,L_KOM)&gt;0)*S_KOM)))</f>
        <v/>
      </c>
      <c r="O852" s="11" t="n"/>
      <c r="P852" s="10">
        <f>IF(O852="","",IFERROR(VLOOKUP(O852,T_KHID,2,FALSE),0))</f>
        <v/>
      </c>
      <c r="Q852" s="11" t="n"/>
      <c r="R852" s="11" t="n"/>
      <c r="S852" s="10">
        <f>IF(AND(Q852="",R852=""),"",IFERROR(INDEX(T_LIBAT,MATCH(Q852,L_PER,0),MATCH(R852,L_JENIS,0)),0))</f>
        <v/>
      </c>
      <c r="T852" s="11" t="n"/>
      <c r="U852" s="11" t="n"/>
      <c r="V852" s="10">
        <f>IF(AND(T852="",U852=""),"",IFERROR(INDEX(T_CAPAI,MATCH(T852,L_PER,0),MATCH(U852,L_KED,0)),0))</f>
        <v/>
      </c>
      <c r="W852" s="17">
        <f>IF(OR(B852="",E852="",COUNTA(F852,H852,J852:M852,O852,Q852:R852,T852:U852)=0),"",SUM(G852,I852,N852,P852,S852,V852))</f>
        <v/>
      </c>
      <c r="X852" s="18">
        <f>IF(W852="","",IF(Murid!F852="TL","TL",ROUND(W852/110*100,2)))</f>
        <v/>
      </c>
    </row>
    <row r="853">
      <c r="A853" s="15">
        <f>Murid!A853</f>
        <v/>
      </c>
      <c r="B853" s="15">
        <f>IF(Murid!B853="","",Murid!B853)</f>
        <v/>
      </c>
      <c r="C853" s="16">
        <f>IF(Murid!C853="","",Murid!C853)</f>
        <v/>
      </c>
      <c r="D853" s="15">
        <f>IF(Murid!E853="","",Murid!E853)</f>
        <v/>
      </c>
      <c r="E853" s="11" t="n"/>
      <c r="F853" s="11" t="n"/>
      <c r="G853" s="10">
        <f>IF(F853="","",IFERROR(VLOOKUP(F853,T_JKP,2,FALSE),0))</f>
        <v/>
      </c>
      <c r="H853" s="11" t="n"/>
      <c r="I853" s="17">
        <f>IF(H853="","",IF(H853&gt;=12,40,ROUND(H853*3.33,2)))</f>
        <v/>
      </c>
      <c r="J853" s="11" t="n"/>
      <c r="K853" s="11" t="n"/>
      <c r="L853" s="11" t="n"/>
      <c r="M853" s="11" t="n"/>
      <c r="N853" s="10">
        <f>IF(COUNTA(J853:M853)=0,"",MIN(10,SUMPRODUCT((COUNTIF(J853:M853,L_KOM)&gt;0)*S_KOM)))</f>
        <v/>
      </c>
      <c r="O853" s="11" t="n"/>
      <c r="P853" s="10">
        <f>IF(O853="","",IFERROR(VLOOKUP(O853,T_KHID,2,FALSE),0))</f>
        <v/>
      </c>
      <c r="Q853" s="11" t="n"/>
      <c r="R853" s="11" t="n"/>
      <c r="S853" s="10">
        <f>IF(AND(Q853="",R853=""),"",IFERROR(INDEX(T_LIBAT,MATCH(Q853,L_PER,0),MATCH(R853,L_JENIS,0)),0))</f>
        <v/>
      </c>
      <c r="T853" s="11" t="n"/>
      <c r="U853" s="11" t="n"/>
      <c r="V853" s="10">
        <f>IF(AND(T853="",U853=""),"",IFERROR(INDEX(T_CAPAI,MATCH(T853,L_PER,0),MATCH(U853,L_KED,0)),0))</f>
        <v/>
      </c>
      <c r="W853" s="17">
        <f>IF(OR(B853="",E853="",COUNTA(F853,H853,J853:M853,O853,Q853:R853,T853:U853)=0),"",SUM(G853,I853,N853,P853,S853,V853))</f>
        <v/>
      </c>
      <c r="X853" s="18">
        <f>IF(W853="","",IF(Murid!F853="TL","TL",ROUND(W853/110*100,2)))</f>
        <v/>
      </c>
    </row>
    <row r="854">
      <c r="A854" s="15">
        <f>Murid!A854</f>
        <v/>
      </c>
      <c r="B854" s="15">
        <f>IF(Murid!B854="","",Murid!B854)</f>
        <v/>
      </c>
      <c r="C854" s="16">
        <f>IF(Murid!C854="","",Murid!C854)</f>
        <v/>
      </c>
      <c r="D854" s="15">
        <f>IF(Murid!E854="","",Murid!E854)</f>
        <v/>
      </c>
      <c r="E854" s="11" t="n"/>
      <c r="F854" s="11" t="n"/>
      <c r="G854" s="10">
        <f>IF(F854="","",IFERROR(VLOOKUP(F854,T_JKP,2,FALSE),0))</f>
        <v/>
      </c>
      <c r="H854" s="11" t="n"/>
      <c r="I854" s="17">
        <f>IF(H854="","",IF(H854&gt;=12,40,ROUND(H854*3.33,2)))</f>
        <v/>
      </c>
      <c r="J854" s="11" t="n"/>
      <c r="K854" s="11" t="n"/>
      <c r="L854" s="11" t="n"/>
      <c r="M854" s="11" t="n"/>
      <c r="N854" s="10">
        <f>IF(COUNTA(J854:M854)=0,"",MIN(10,SUMPRODUCT((COUNTIF(J854:M854,L_KOM)&gt;0)*S_KOM)))</f>
        <v/>
      </c>
      <c r="O854" s="11" t="n"/>
      <c r="P854" s="10">
        <f>IF(O854="","",IFERROR(VLOOKUP(O854,T_KHID,2,FALSE),0))</f>
        <v/>
      </c>
      <c r="Q854" s="11" t="n"/>
      <c r="R854" s="11" t="n"/>
      <c r="S854" s="10">
        <f>IF(AND(Q854="",R854=""),"",IFERROR(INDEX(T_LIBAT,MATCH(Q854,L_PER,0),MATCH(R854,L_JENIS,0)),0))</f>
        <v/>
      </c>
      <c r="T854" s="11" t="n"/>
      <c r="U854" s="11" t="n"/>
      <c r="V854" s="10">
        <f>IF(AND(T854="",U854=""),"",IFERROR(INDEX(T_CAPAI,MATCH(T854,L_PER,0),MATCH(U854,L_KED,0)),0))</f>
        <v/>
      </c>
      <c r="W854" s="17">
        <f>IF(OR(B854="",E854="",COUNTA(F854,H854,J854:M854,O854,Q854:R854,T854:U854)=0),"",SUM(G854,I854,N854,P854,S854,V854))</f>
        <v/>
      </c>
      <c r="X854" s="18">
        <f>IF(W854="","",IF(Murid!F854="TL","TL",ROUND(W854/110*100,2)))</f>
        <v/>
      </c>
    </row>
    <row r="855">
      <c r="A855" s="15">
        <f>Murid!A855</f>
        <v/>
      </c>
      <c r="B855" s="15">
        <f>IF(Murid!B855="","",Murid!B855)</f>
        <v/>
      </c>
      <c r="C855" s="16">
        <f>IF(Murid!C855="","",Murid!C855)</f>
        <v/>
      </c>
      <c r="D855" s="15">
        <f>IF(Murid!E855="","",Murid!E855)</f>
        <v/>
      </c>
      <c r="E855" s="11" t="n"/>
      <c r="F855" s="11" t="n"/>
      <c r="G855" s="10">
        <f>IF(F855="","",IFERROR(VLOOKUP(F855,T_JKP,2,FALSE),0))</f>
        <v/>
      </c>
      <c r="H855" s="11" t="n"/>
      <c r="I855" s="17">
        <f>IF(H855="","",IF(H855&gt;=12,40,ROUND(H855*3.33,2)))</f>
        <v/>
      </c>
      <c r="J855" s="11" t="n"/>
      <c r="K855" s="11" t="n"/>
      <c r="L855" s="11" t="n"/>
      <c r="M855" s="11" t="n"/>
      <c r="N855" s="10">
        <f>IF(COUNTA(J855:M855)=0,"",MIN(10,SUMPRODUCT((COUNTIF(J855:M855,L_KOM)&gt;0)*S_KOM)))</f>
        <v/>
      </c>
      <c r="O855" s="11" t="n"/>
      <c r="P855" s="10">
        <f>IF(O855="","",IFERROR(VLOOKUP(O855,T_KHID,2,FALSE),0))</f>
        <v/>
      </c>
      <c r="Q855" s="11" t="n"/>
      <c r="R855" s="11" t="n"/>
      <c r="S855" s="10">
        <f>IF(AND(Q855="",R855=""),"",IFERROR(INDEX(T_LIBAT,MATCH(Q855,L_PER,0),MATCH(R855,L_JENIS,0)),0))</f>
        <v/>
      </c>
      <c r="T855" s="11" t="n"/>
      <c r="U855" s="11" t="n"/>
      <c r="V855" s="10">
        <f>IF(AND(T855="",U855=""),"",IFERROR(INDEX(T_CAPAI,MATCH(T855,L_PER,0),MATCH(U855,L_KED,0)),0))</f>
        <v/>
      </c>
      <c r="W855" s="17">
        <f>IF(OR(B855="",E855="",COUNTA(F855,H855,J855:M855,O855,Q855:R855,T855:U855)=0),"",SUM(G855,I855,N855,P855,S855,V855))</f>
        <v/>
      </c>
      <c r="X855" s="18">
        <f>IF(W855="","",IF(Murid!F855="TL","TL",ROUND(W855/110*100,2)))</f>
        <v/>
      </c>
    </row>
    <row r="856">
      <c r="A856" s="15">
        <f>Murid!A856</f>
        <v/>
      </c>
      <c r="B856" s="15">
        <f>IF(Murid!B856="","",Murid!B856)</f>
        <v/>
      </c>
      <c r="C856" s="16">
        <f>IF(Murid!C856="","",Murid!C856)</f>
        <v/>
      </c>
      <c r="D856" s="15">
        <f>IF(Murid!E856="","",Murid!E856)</f>
        <v/>
      </c>
      <c r="E856" s="11" t="n"/>
      <c r="F856" s="11" t="n"/>
      <c r="G856" s="10">
        <f>IF(F856="","",IFERROR(VLOOKUP(F856,T_JKP,2,FALSE),0))</f>
        <v/>
      </c>
      <c r="H856" s="11" t="n"/>
      <c r="I856" s="17">
        <f>IF(H856="","",IF(H856&gt;=12,40,ROUND(H856*3.33,2)))</f>
        <v/>
      </c>
      <c r="J856" s="11" t="n"/>
      <c r="K856" s="11" t="n"/>
      <c r="L856" s="11" t="n"/>
      <c r="M856" s="11" t="n"/>
      <c r="N856" s="10">
        <f>IF(COUNTA(J856:M856)=0,"",MIN(10,SUMPRODUCT((COUNTIF(J856:M856,L_KOM)&gt;0)*S_KOM)))</f>
        <v/>
      </c>
      <c r="O856" s="11" t="n"/>
      <c r="P856" s="10">
        <f>IF(O856="","",IFERROR(VLOOKUP(O856,T_KHID,2,FALSE),0))</f>
        <v/>
      </c>
      <c r="Q856" s="11" t="n"/>
      <c r="R856" s="11" t="n"/>
      <c r="S856" s="10">
        <f>IF(AND(Q856="",R856=""),"",IFERROR(INDEX(T_LIBAT,MATCH(Q856,L_PER,0),MATCH(R856,L_JENIS,0)),0))</f>
        <v/>
      </c>
      <c r="T856" s="11" t="n"/>
      <c r="U856" s="11" t="n"/>
      <c r="V856" s="10">
        <f>IF(AND(T856="",U856=""),"",IFERROR(INDEX(T_CAPAI,MATCH(T856,L_PER,0),MATCH(U856,L_KED,0)),0))</f>
        <v/>
      </c>
      <c r="W856" s="17">
        <f>IF(OR(B856="",E856="",COUNTA(F856,H856,J856:M856,O856,Q856:R856,T856:U856)=0),"",SUM(G856,I856,N856,P856,S856,V856))</f>
        <v/>
      </c>
      <c r="X856" s="18">
        <f>IF(W856="","",IF(Murid!F856="TL","TL",ROUND(W856/110*100,2)))</f>
        <v/>
      </c>
    </row>
    <row r="857">
      <c r="A857" s="15">
        <f>Murid!A857</f>
        <v/>
      </c>
      <c r="B857" s="15">
        <f>IF(Murid!B857="","",Murid!B857)</f>
        <v/>
      </c>
      <c r="C857" s="16">
        <f>IF(Murid!C857="","",Murid!C857)</f>
        <v/>
      </c>
      <c r="D857" s="15">
        <f>IF(Murid!E857="","",Murid!E857)</f>
        <v/>
      </c>
      <c r="E857" s="11" t="n"/>
      <c r="F857" s="11" t="n"/>
      <c r="G857" s="10">
        <f>IF(F857="","",IFERROR(VLOOKUP(F857,T_JKP,2,FALSE),0))</f>
        <v/>
      </c>
      <c r="H857" s="11" t="n"/>
      <c r="I857" s="17">
        <f>IF(H857="","",IF(H857&gt;=12,40,ROUND(H857*3.33,2)))</f>
        <v/>
      </c>
      <c r="J857" s="11" t="n"/>
      <c r="K857" s="11" t="n"/>
      <c r="L857" s="11" t="n"/>
      <c r="M857" s="11" t="n"/>
      <c r="N857" s="10">
        <f>IF(COUNTA(J857:M857)=0,"",MIN(10,SUMPRODUCT((COUNTIF(J857:M857,L_KOM)&gt;0)*S_KOM)))</f>
        <v/>
      </c>
      <c r="O857" s="11" t="n"/>
      <c r="P857" s="10">
        <f>IF(O857="","",IFERROR(VLOOKUP(O857,T_KHID,2,FALSE),0))</f>
        <v/>
      </c>
      <c r="Q857" s="11" t="n"/>
      <c r="R857" s="11" t="n"/>
      <c r="S857" s="10">
        <f>IF(AND(Q857="",R857=""),"",IFERROR(INDEX(T_LIBAT,MATCH(Q857,L_PER,0),MATCH(R857,L_JENIS,0)),0))</f>
        <v/>
      </c>
      <c r="T857" s="11" t="n"/>
      <c r="U857" s="11" t="n"/>
      <c r="V857" s="10">
        <f>IF(AND(T857="",U857=""),"",IFERROR(INDEX(T_CAPAI,MATCH(T857,L_PER,0),MATCH(U857,L_KED,0)),0))</f>
        <v/>
      </c>
      <c r="W857" s="17">
        <f>IF(OR(B857="",E857="",COUNTA(F857,H857,J857:M857,O857,Q857:R857,T857:U857)=0),"",SUM(G857,I857,N857,P857,S857,V857))</f>
        <v/>
      </c>
      <c r="X857" s="18">
        <f>IF(W857="","",IF(Murid!F857="TL","TL",ROUND(W857/110*100,2)))</f>
        <v/>
      </c>
    </row>
    <row r="858">
      <c r="A858" s="15">
        <f>Murid!A858</f>
        <v/>
      </c>
      <c r="B858" s="15">
        <f>IF(Murid!B858="","",Murid!B858)</f>
        <v/>
      </c>
      <c r="C858" s="16">
        <f>IF(Murid!C858="","",Murid!C858)</f>
        <v/>
      </c>
      <c r="D858" s="15">
        <f>IF(Murid!E858="","",Murid!E858)</f>
        <v/>
      </c>
      <c r="E858" s="11" t="n"/>
      <c r="F858" s="11" t="n"/>
      <c r="G858" s="10">
        <f>IF(F858="","",IFERROR(VLOOKUP(F858,T_JKP,2,FALSE),0))</f>
        <v/>
      </c>
      <c r="H858" s="11" t="n"/>
      <c r="I858" s="17">
        <f>IF(H858="","",IF(H858&gt;=12,40,ROUND(H858*3.33,2)))</f>
        <v/>
      </c>
      <c r="J858" s="11" t="n"/>
      <c r="K858" s="11" t="n"/>
      <c r="L858" s="11" t="n"/>
      <c r="M858" s="11" t="n"/>
      <c r="N858" s="10">
        <f>IF(COUNTA(J858:M858)=0,"",MIN(10,SUMPRODUCT((COUNTIF(J858:M858,L_KOM)&gt;0)*S_KOM)))</f>
        <v/>
      </c>
      <c r="O858" s="11" t="n"/>
      <c r="P858" s="10">
        <f>IF(O858="","",IFERROR(VLOOKUP(O858,T_KHID,2,FALSE),0))</f>
        <v/>
      </c>
      <c r="Q858" s="11" t="n"/>
      <c r="R858" s="11" t="n"/>
      <c r="S858" s="10">
        <f>IF(AND(Q858="",R858=""),"",IFERROR(INDEX(T_LIBAT,MATCH(Q858,L_PER,0),MATCH(R858,L_JENIS,0)),0))</f>
        <v/>
      </c>
      <c r="T858" s="11" t="n"/>
      <c r="U858" s="11" t="n"/>
      <c r="V858" s="10">
        <f>IF(AND(T858="",U858=""),"",IFERROR(INDEX(T_CAPAI,MATCH(T858,L_PER,0),MATCH(U858,L_KED,0)),0))</f>
        <v/>
      </c>
      <c r="W858" s="17">
        <f>IF(OR(B858="",E858="",COUNTA(F858,H858,J858:M858,O858,Q858:R858,T858:U858)=0),"",SUM(G858,I858,N858,P858,S858,V858))</f>
        <v/>
      </c>
      <c r="X858" s="18">
        <f>IF(W858="","",IF(Murid!F858="TL","TL",ROUND(W858/110*100,2)))</f>
        <v/>
      </c>
    </row>
    <row r="859">
      <c r="A859" s="15">
        <f>Murid!A859</f>
        <v/>
      </c>
      <c r="B859" s="15">
        <f>IF(Murid!B859="","",Murid!B859)</f>
        <v/>
      </c>
      <c r="C859" s="16">
        <f>IF(Murid!C859="","",Murid!C859)</f>
        <v/>
      </c>
      <c r="D859" s="15">
        <f>IF(Murid!E859="","",Murid!E859)</f>
        <v/>
      </c>
      <c r="E859" s="11" t="n"/>
      <c r="F859" s="11" t="n"/>
      <c r="G859" s="10">
        <f>IF(F859="","",IFERROR(VLOOKUP(F859,T_JKP,2,FALSE),0))</f>
        <v/>
      </c>
      <c r="H859" s="11" t="n"/>
      <c r="I859" s="17">
        <f>IF(H859="","",IF(H859&gt;=12,40,ROUND(H859*3.33,2)))</f>
        <v/>
      </c>
      <c r="J859" s="11" t="n"/>
      <c r="K859" s="11" t="n"/>
      <c r="L859" s="11" t="n"/>
      <c r="M859" s="11" t="n"/>
      <c r="N859" s="10">
        <f>IF(COUNTA(J859:M859)=0,"",MIN(10,SUMPRODUCT((COUNTIF(J859:M859,L_KOM)&gt;0)*S_KOM)))</f>
        <v/>
      </c>
      <c r="O859" s="11" t="n"/>
      <c r="P859" s="10">
        <f>IF(O859="","",IFERROR(VLOOKUP(O859,T_KHID,2,FALSE),0))</f>
        <v/>
      </c>
      <c r="Q859" s="11" t="n"/>
      <c r="R859" s="11" t="n"/>
      <c r="S859" s="10">
        <f>IF(AND(Q859="",R859=""),"",IFERROR(INDEX(T_LIBAT,MATCH(Q859,L_PER,0),MATCH(R859,L_JENIS,0)),0))</f>
        <v/>
      </c>
      <c r="T859" s="11" t="n"/>
      <c r="U859" s="11" t="n"/>
      <c r="V859" s="10">
        <f>IF(AND(T859="",U859=""),"",IFERROR(INDEX(T_CAPAI,MATCH(T859,L_PER,0),MATCH(U859,L_KED,0)),0))</f>
        <v/>
      </c>
      <c r="W859" s="17">
        <f>IF(OR(B859="",E859="",COUNTA(F859,H859,J859:M859,O859,Q859:R859,T859:U859)=0),"",SUM(G859,I859,N859,P859,S859,V859))</f>
        <v/>
      </c>
      <c r="X859" s="18">
        <f>IF(W859="","",IF(Murid!F859="TL","TL",ROUND(W859/110*100,2)))</f>
        <v/>
      </c>
    </row>
    <row r="860">
      <c r="A860" s="15">
        <f>Murid!A860</f>
        <v/>
      </c>
      <c r="B860" s="15">
        <f>IF(Murid!B860="","",Murid!B860)</f>
        <v/>
      </c>
      <c r="C860" s="16">
        <f>IF(Murid!C860="","",Murid!C860)</f>
        <v/>
      </c>
      <c r="D860" s="15">
        <f>IF(Murid!E860="","",Murid!E860)</f>
        <v/>
      </c>
      <c r="E860" s="11" t="n"/>
      <c r="F860" s="11" t="n"/>
      <c r="G860" s="10">
        <f>IF(F860="","",IFERROR(VLOOKUP(F860,T_JKP,2,FALSE),0))</f>
        <v/>
      </c>
      <c r="H860" s="11" t="n"/>
      <c r="I860" s="17">
        <f>IF(H860="","",IF(H860&gt;=12,40,ROUND(H860*3.33,2)))</f>
        <v/>
      </c>
      <c r="J860" s="11" t="n"/>
      <c r="K860" s="11" t="n"/>
      <c r="L860" s="11" t="n"/>
      <c r="M860" s="11" t="n"/>
      <c r="N860" s="10">
        <f>IF(COUNTA(J860:M860)=0,"",MIN(10,SUMPRODUCT((COUNTIF(J860:M860,L_KOM)&gt;0)*S_KOM)))</f>
        <v/>
      </c>
      <c r="O860" s="11" t="n"/>
      <c r="P860" s="10">
        <f>IF(O860="","",IFERROR(VLOOKUP(O860,T_KHID,2,FALSE),0))</f>
        <v/>
      </c>
      <c r="Q860" s="11" t="n"/>
      <c r="R860" s="11" t="n"/>
      <c r="S860" s="10">
        <f>IF(AND(Q860="",R860=""),"",IFERROR(INDEX(T_LIBAT,MATCH(Q860,L_PER,0),MATCH(R860,L_JENIS,0)),0))</f>
        <v/>
      </c>
      <c r="T860" s="11" t="n"/>
      <c r="U860" s="11" t="n"/>
      <c r="V860" s="10">
        <f>IF(AND(T860="",U860=""),"",IFERROR(INDEX(T_CAPAI,MATCH(T860,L_PER,0),MATCH(U860,L_KED,0)),0))</f>
        <v/>
      </c>
      <c r="W860" s="17">
        <f>IF(OR(B860="",E860="",COUNTA(F860,H860,J860:M860,O860,Q860:R860,T860:U860)=0),"",SUM(G860,I860,N860,P860,S860,V860))</f>
        <v/>
      </c>
      <c r="X860" s="18">
        <f>IF(W860="","",IF(Murid!F860="TL","TL",ROUND(W860/110*100,2)))</f>
        <v/>
      </c>
    </row>
    <row r="861">
      <c r="A861" s="15">
        <f>Murid!A861</f>
        <v/>
      </c>
      <c r="B861" s="15">
        <f>IF(Murid!B861="","",Murid!B861)</f>
        <v/>
      </c>
      <c r="C861" s="16">
        <f>IF(Murid!C861="","",Murid!C861)</f>
        <v/>
      </c>
      <c r="D861" s="15">
        <f>IF(Murid!E861="","",Murid!E861)</f>
        <v/>
      </c>
      <c r="E861" s="11" t="n"/>
      <c r="F861" s="11" t="n"/>
      <c r="G861" s="10">
        <f>IF(F861="","",IFERROR(VLOOKUP(F861,T_JKP,2,FALSE),0))</f>
        <v/>
      </c>
      <c r="H861" s="11" t="n"/>
      <c r="I861" s="17">
        <f>IF(H861="","",IF(H861&gt;=12,40,ROUND(H861*3.33,2)))</f>
        <v/>
      </c>
      <c r="J861" s="11" t="n"/>
      <c r="K861" s="11" t="n"/>
      <c r="L861" s="11" t="n"/>
      <c r="M861" s="11" t="n"/>
      <c r="N861" s="10">
        <f>IF(COUNTA(J861:M861)=0,"",MIN(10,SUMPRODUCT((COUNTIF(J861:M861,L_KOM)&gt;0)*S_KOM)))</f>
        <v/>
      </c>
      <c r="O861" s="11" t="n"/>
      <c r="P861" s="10">
        <f>IF(O861="","",IFERROR(VLOOKUP(O861,T_KHID,2,FALSE),0))</f>
        <v/>
      </c>
      <c r="Q861" s="11" t="n"/>
      <c r="R861" s="11" t="n"/>
      <c r="S861" s="10">
        <f>IF(AND(Q861="",R861=""),"",IFERROR(INDEX(T_LIBAT,MATCH(Q861,L_PER,0),MATCH(R861,L_JENIS,0)),0))</f>
        <v/>
      </c>
      <c r="T861" s="11" t="n"/>
      <c r="U861" s="11" t="n"/>
      <c r="V861" s="10">
        <f>IF(AND(T861="",U861=""),"",IFERROR(INDEX(T_CAPAI,MATCH(T861,L_PER,0),MATCH(U861,L_KED,0)),0))</f>
        <v/>
      </c>
      <c r="W861" s="17">
        <f>IF(OR(B861="",E861="",COUNTA(F861,H861,J861:M861,O861,Q861:R861,T861:U861)=0),"",SUM(G861,I861,N861,P861,S861,V861))</f>
        <v/>
      </c>
      <c r="X861" s="18">
        <f>IF(W861="","",IF(Murid!F861="TL","TL",ROUND(W861/110*100,2)))</f>
        <v/>
      </c>
    </row>
    <row r="862">
      <c r="A862" s="15">
        <f>Murid!A862</f>
        <v/>
      </c>
      <c r="B862" s="15">
        <f>IF(Murid!B862="","",Murid!B862)</f>
        <v/>
      </c>
      <c r="C862" s="16">
        <f>IF(Murid!C862="","",Murid!C862)</f>
        <v/>
      </c>
      <c r="D862" s="15">
        <f>IF(Murid!E862="","",Murid!E862)</f>
        <v/>
      </c>
      <c r="E862" s="11" t="n"/>
      <c r="F862" s="11" t="n"/>
      <c r="G862" s="10">
        <f>IF(F862="","",IFERROR(VLOOKUP(F862,T_JKP,2,FALSE),0))</f>
        <v/>
      </c>
      <c r="H862" s="11" t="n"/>
      <c r="I862" s="17">
        <f>IF(H862="","",IF(H862&gt;=12,40,ROUND(H862*3.33,2)))</f>
        <v/>
      </c>
      <c r="J862" s="11" t="n"/>
      <c r="K862" s="11" t="n"/>
      <c r="L862" s="11" t="n"/>
      <c r="M862" s="11" t="n"/>
      <c r="N862" s="10">
        <f>IF(COUNTA(J862:M862)=0,"",MIN(10,SUMPRODUCT((COUNTIF(J862:M862,L_KOM)&gt;0)*S_KOM)))</f>
        <v/>
      </c>
      <c r="O862" s="11" t="n"/>
      <c r="P862" s="10">
        <f>IF(O862="","",IFERROR(VLOOKUP(O862,T_KHID,2,FALSE),0))</f>
        <v/>
      </c>
      <c r="Q862" s="11" t="n"/>
      <c r="R862" s="11" t="n"/>
      <c r="S862" s="10">
        <f>IF(AND(Q862="",R862=""),"",IFERROR(INDEX(T_LIBAT,MATCH(Q862,L_PER,0),MATCH(R862,L_JENIS,0)),0))</f>
        <v/>
      </c>
      <c r="T862" s="11" t="n"/>
      <c r="U862" s="11" t="n"/>
      <c r="V862" s="10">
        <f>IF(AND(T862="",U862=""),"",IFERROR(INDEX(T_CAPAI,MATCH(T862,L_PER,0),MATCH(U862,L_KED,0)),0))</f>
        <v/>
      </c>
      <c r="W862" s="17">
        <f>IF(OR(B862="",E862="",COUNTA(F862,H862,J862:M862,O862,Q862:R862,T862:U862)=0),"",SUM(G862,I862,N862,P862,S862,V862))</f>
        <v/>
      </c>
      <c r="X862" s="18">
        <f>IF(W862="","",IF(Murid!F862="TL","TL",ROUND(W862/110*100,2)))</f>
        <v/>
      </c>
    </row>
    <row r="863">
      <c r="A863" s="15">
        <f>Murid!A863</f>
        <v/>
      </c>
      <c r="B863" s="15">
        <f>IF(Murid!B863="","",Murid!B863)</f>
        <v/>
      </c>
      <c r="C863" s="16">
        <f>IF(Murid!C863="","",Murid!C863)</f>
        <v/>
      </c>
      <c r="D863" s="15">
        <f>IF(Murid!E863="","",Murid!E863)</f>
        <v/>
      </c>
      <c r="E863" s="11" t="n"/>
      <c r="F863" s="11" t="n"/>
      <c r="G863" s="10">
        <f>IF(F863="","",IFERROR(VLOOKUP(F863,T_JKP,2,FALSE),0))</f>
        <v/>
      </c>
      <c r="H863" s="11" t="n"/>
      <c r="I863" s="17">
        <f>IF(H863="","",IF(H863&gt;=12,40,ROUND(H863*3.33,2)))</f>
        <v/>
      </c>
      <c r="J863" s="11" t="n"/>
      <c r="K863" s="11" t="n"/>
      <c r="L863" s="11" t="n"/>
      <c r="M863" s="11" t="n"/>
      <c r="N863" s="10">
        <f>IF(COUNTA(J863:M863)=0,"",MIN(10,SUMPRODUCT((COUNTIF(J863:M863,L_KOM)&gt;0)*S_KOM)))</f>
        <v/>
      </c>
      <c r="O863" s="11" t="n"/>
      <c r="P863" s="10">
        <f>IF(O863="","",IFERROR(VLOOKUP(O863,T_KHID,2,FALSE),0))</f>
        <v/>
      </c>
      <c r="Q863" s="11" t="n"/>
      <c r="R863" s="11" t="n"/>
      <c r="S863" s="10">
        <f>IF(AND(Q863="",R863=""),"",IFERROR(INDEX(T_LIBAT,MATCH(Q863,L_PER,0),MATCH(R863,L_JENIS,0)),0))</f>
        <v/>
      </c>
      <c r="T863" s="11" t="n"/>
      <c r="U863" s="11" t="n"/>
      <c r="V863" s="10">
        <f>IF(AND(T863="",U863=""),"",IFERROR(INDEX(T_CAPAI,MATCH(T863,L_PER,0),MATCH(U863,L_KED,0)),0))</f>
        <v/>
      </c>
      <c r="W863" s="17">
        <f>IF(OR(B863="",E863="",COUNTA(F863,H863,J863:M863,O863,Q863:R863,T863:U863)=0),"",SUM(G863,I863,N863,P863,S863,V863))</f>
        <v/>
      </c>
      <c r="X863" s="18">
        <f>IF(W863="","",IF(Murid!F863="TL","TL",ROUND(W863/110*100,2)))</f>
        <v/>
      </c>
    </row>
    <row r="864">
      <c r="A864" s="15">
        <f>Murid!A864</f>
        <v/>
      </c>
      <c r="B864" s="15">
        <f>IF(Murid!B864="","",Murid!B864)</f>
        <v/>
      </c>
      <c r="C864" s="16">
        <f>IF(Murid!C864="","",Murid!C864)</f>
        <v/>
      </c>
      <c r="D864" s="15">
        <f>IF(Murid!E864="","",Murid!E864)</f>
        <v/>
      </c>
      <c r="E864" s="11" t="n"/>
      <c r="F864" s="11" t="n"/>
      <c r="G864" s="10">
        <f>IF(F864="","",IFERROR(VLOOKUP(F864,T_JKP,2,FALSE),0))</f>
        <v/>
      </c>
      <c r="H864" s="11" t="n"/>
      <c r="I864" s="17">
        <f>IF(H864="","",IF(H864&gt;=12,40,ROUND(H864*3.33,2)))</f>
        <v/>
      </c>
      <c r="J864" s="11" t="n"/>
      <c r="K864" s="11" t="n"/>
      <c r="L864" s="11" t="n"/>
      <c r="M864" s="11" t="n"/>
      <c r="N864" s="10">
        <f>IF(COUNTA(J864:M864)=0,"",MIN(10,SUMPRODUCT((COUNTIF(J864:M864,L_KOM)&gt;0)*S_KOM)))</f>
        <v/>
      </c>
      <c r="O864" s="11" t="n"/>
      <c r="P864" s="10">
        <f>IF(O864="","",IFERROR(VLOOKUP(O864,T_KHID,2,FALSE),0))</f>
        <v/>
      </c>
      <c r="Q864" s="11" t="n"/>
      <c r="R864" s="11" t="n"/>
      <c r="S864" s="10">
        <f>IF(AND(Q864="",R864=""),"",IFERROR(INDEX(T_LIBAT,MATCH(Q864,L_PER,0),MATCH(R864,L_JENIS,0)),0))</f>
        <v/>
      </c>
      <c r="T864" s="11" t="n"/>
      <c r="U864" s="11" t="n"/>
      <c r="V864" s="10">
        <f>IF(AND(T864="",U864=""),"",IFERROR(INDEX(T_CAPAI,MATCH(T864,L_PER,0),MATCH(U864,L_KED,0)),0))</f>
        <v/>
      </c>
      <c r="W864" s="17">
        <f>IF(OR(B864="",E864="",COUNTA(F864,H864,J864:M864,O864,Q864:R864,T864:U864)=0),"",SUM(G864,I864,N864,P864,S864,V864))</f>
        <v/>
      </c>
      <c r="X864" s="18">
        <f>IF(W864="","",IF(Murid!F864="TL","TL",ROUND(W864/110*100,2)))</f>
        <v/>
      </c>
    </row>
    <row r="865">
      <c r="A865" s="15">
        <f>Murid!A865</f>
        <v/>
      </c>
      <c r="B865" s="15">
        <f>IF(Murid!B865="","",Murid!B865)</f>
        <v/>
      </c>
      <c r="C865" s="16">
        <f>IF(Murid!C865="","",Murid!C865)</f>
        <v/>
      </c>
      <c r="D865" s="15">
        <f>IF(Murid!E865="","",Murid!E865)</f>
        <v/>
      </c>
      <c r="E865" s="11" t="n"/>
      <c r="F865" s="11" t="n"/>
      <c r="G865" s="10">
        <f>IF(F865="","",IFERROR(VLOOKUP(F865,T_JKP,2,FALSE),0))</f>
        <v/>
      </c>
      <c r="H865" s="11" t="n"/>
      <c r="I865" s="17">
        <f>IF(H865="","",IF(H865&gt;=12,40,ROUND(H865*3.33,2)))</f>
        <v/>
      </c>
      <c r="J865" s="11" t="n"/>
      <c r="K865" s="11" t="n"/>
      <c r="L865" s="11" t="n"/>
      <c r="M865" s="11" t="n"/>
      <c r="N865" s="10">
        <f>IF(COUNTA(J865:M865)=0,"",MIN(10,SUMPRODUCT((COUNTIF(J865:M865,L_KOM)&gt;0)*S_KOM)))</f>
        <v/>
      </c>
      <c r="O865" s="11" t="n"/>
      <c r="P865" s="10">
        <f>IF(O865="","",IFERROR(VLOOKUP(O865,T_KHID,2,FALSE),0))</f>
        <v/>
      </c>
      <c r="Q865" s="11" t="n"/>
      <c r="R865" s="11" t="n"/>
      <c r="S865" s="10">
        <f>IF(AND(Q865="",R865=""),"",IFERROR(INDEX(T_LIBAT,MATCH(Q865,L_PER,0),MATCH(R865,L_JENIS,0)),0))</f>
        <v/>
      </c>
      <c r="T865" s="11" t="n"/>
      <c r="U865" s="11" t="n"/>
      <c r="V865" s="10">
        <f>IF(AND(T865="",U865=""),"",IFERROR(INDEX(T_CAPAI,MATCH(T865,L_PER,0),MATCH(U865,L_KED,0)),0))</f>
        <v/>
      </c>
      <c r="W865" s="17">
        <f>IF(OR(B865="",E865="",COUNTA(F865,H865,J865:M865,O865,Q865:R865,T865:U865)=0),"",SUM(G865,I865,N865,P865,S865,V865))</f>
        <v/>
      </c>
      <c r="X865" s="18">
        <f>IF(W865="","",IF(Murid!F865="TL","TL",ROUND(W865/110*100,2)))</f>
        <v/>
      </c>
    </row>
    <row r="866">
      <c r="A866" s="15">
        <f>Murid!A866</f>
        <v/>
      </c>
      <c r="B866" s="15">
        <f>IF(Murid!B866="","",Murid!B866)</f>
        <v/>
      </c>
      <c r="C866" s="16">
        <f>IF(Murid!C866="","",Murid!C866)</f>
        <v/>
      </c>
      <c r="D866" s="15">
        <f>IF(Murid!E866="","",Murid!E866)</f>
        <v/>
      </c>
      <c r="E866" s="11" t="n"/>
      <c r="F866" s="11" t="n"/>
      <c r="G866" s="10">
        <f>IF(F866="","",IFERROR(VLOOKUP(F866,T_JKP,2,FALSE),0))</f>
        <v/>
      </c>
      <c r="H866" s="11" t="n"/>
      <c r="I866" s="17">
        <f>IF(H866="","",IF(H866&gt;=12,40,ROUND(H866*3.33,2)))</f>
        <v/>
      </c>
      <c r="J866" s="11" t="n"/>
      <c r="K866" s="11" t="n"/>
      <c r="L866" s="11" t="n"/>
      <c r="M866" s="11" t="n"/>
      <c r="N866" s="10">
        <f>IF(COUNTA(J866:M866)=0,"",MIN(10,SUMPRODUCT((COUNTIF(J866:M866,L_KOM)&gt;0)*S_KOM)))</f>
        <v/>
      </c>
      <c r="O866" s="11" t="n"/>
      <c r="P866" s="10">
        <f>IF(O866="","",IFERROR(VLOOKUP(O866,T_KHID,2,FALSE),0))</f>
        <v/>
      </c>
      <c r="Q866" s="11" t="n"/>
      <c r="R866" s="11" t="n"/>
      <c r="S866" s="10">
        <f>IF(AND(Q866="",R866=""),"",IFERROR(INDEX(T_LIBAT,MATCH(Q866,L_PER,0),MATCH(R866,L_JENIS,0)),0))</f>
        <v/>
      </c>
      <c r="T866" s="11" t="n"/>
      <c r="U866" s="11" t="n"/>
      <c r="V866" s="10">
        <f>IF(AND(T866="",U866=""),"",IFERROR(INDEX(T_CAPAI,MATCH(T866,L_PER,0),MATCH(U866,L_KED,0)),0))</f>
        <v/>
      </c>
      <c r="W866" s="17">
        <f>IF(OR(B866="",E866="",COUNTA(F866,H866,J866:M866,O866,Q866:R866,T866:U866)=0),"",SUM(G866,I866,N866,P866,S866,V866))</f>
        <v/>
      </c>
      <c r="X866" s="18">
        <f>IF(W866="","",IF(Murid!F866="TL","TL",ROUND(W866/110*100,2)))</f>
        <v/>
      </c>
    </row>
    <row r="867">
      <c r="A867" s="15">
        <f>Murid!A867</f>
        <v/>
      </c>
      <c r="B867" s="15">
        <f>IF(Murid!B867="","",Murid!B867)</f>
        <v/>
      </c>
      <c r="C867" s="16">
        <f>IF(Murid!C867="","",Murid!C867)</f>
        <v/>
      </c>
      <c r="D867" s="15">
        <f>IF(Murid!E867="","",Murid!E867)</f>
        <v/>
      </c>
      <c r="E867" s="11" t="n"/>
      <c r="F867" s="11" t="n"/>
      <c r="G867" s="10">
        <f>IF(F867="","",IFERROR(VLOOKUP(F867,T_JKP,2,FALSE),0))</f>
        <v/>
      </c>
      <c r="H867" s="11" t="n"/>
      <c r="I867" s="17">
        <f>IF(H867="","",IF(H867&gt;=12,40,ROUND(H867*3.33,2)))</f>
        <v/>
      </c>
      <c r="J867" s="11" t="n"/>
      <c r="K867" s="11" t="n"/>
      <c r="L867" s="11" t="n"/>
      <c r="M867" s="11" t="n"/>
      <c r="N867" s="10">
        <f>IF(COUNTA(J867:M867)=0,"",MIN(10,SUMPRODUCT((COUNTIF(J867:M867,L_KOM)&gt;0)*S_KOM)))</f>
        <v/>
      </c>
      <c r="O867" s="11" t="n"/>
      <c r="P867" s="10">
        <f>IF(O867="","",IFERROR(VLOOKUP(O867,T_KHID,2,FALSE),0))</f>
        <v/>
      </c>
      <c r="Q867" s="11" t="n"/>
      <c r="R867" s="11" t="n"/>
      <c r="S867" s="10">
        <f>IF(AND(Q867="",R867=""),"",IFERROR(INDEX(T_LIBAT,MATCH(Q867,L_PER,0),MATCH(R867,L_JENIS,0)),0))</f>
        <v/>
      </c>
      <c r="T867" s="11" t="n"/>
      <c r="U867" s="11" t="n"/>
      <c r="V867" s="10">
        <f>IF(AND(T867="",U867=""),"",IFERROR(INDEX(T_CAPAI,MATCH(T867,L_PER,0),MATCH(U867,L_KED,0)),0))</f>
        <v/>
      </c>
      <c r="W867" s="17">
        <f>IF(OR(B867="",E867="",COUNTA(F867,H867,J867:M867,O867,Q867:R867,T867:U867)=0),"",SUM(G867,I867,N867,P867,S867,V867))</f>
        <v/>
      </c>
      <c r="X867" s="18">
        <f>IF(W867="","",IF(Murid!F867="TL","TL",ROUND(W867/110*100,2)))</f>
        <v/>
      </c>
    </row>
    <row r="868">
      <c r="A868" s="15">
        <f>Murid!A868</f>
        <v/>
      </c>
      <c r="B868" s="15">
        <f>IF(Murid!B868="","",Murid!B868)</f>
        <v/>
      </c>
      <c r="C868" s="16">
        <f>IF(Murid!C868="","",Murid!C868)</f>
        <v/>
      </c>
      <c r="D868" s="15">
        <f>IF(Murid!E868="","",Murid!E868)</f>
        <v/>
      </c>
      <c r="E868" s="11" t="n"/>
      <c r="F868" s="11" t="n"/>
      <c r="G868" s="10">
        <f>IF(F868="","",IFERROR(VLOOKUP(F868,T_JKP,2,FALSE),0))</f>
        <v/>
      </c>
      <c r="H868" s="11" t="n"/>
      <c r="I868" s="17">
        <f>IF(H868="","",IF(H868&gt;=12,40,ROUND(H868*3.33,2)))</f>
        <v/>
      </c>
      <c r="J868" s="11" t="n"/>
      <c r="K868" s="11" t="n"/>
      <c r="L868" s="11" t="n"/>
      <c r="M868" s="11" t="n"/>
      <c r="N868" s="10">
        <f>IF(COUNTA(J868:M868)=0,"",MIN(10,SUMPRODUCT((COUNTIF(J868:M868,L_KOM)&gt;0)*S_KOM)))</f>
        <v/>
      </c>
      <c r="O868" s="11" t="n"/>
      <c r="P868" s="10">
        <f>IF(O868="","",IFERROR(VLOOKUP(O868,T_KHID,2,FALSE),0))</f>
        <v/>
      </c>
      <c r="Q868" s="11" t="n"/>
      <c r="R868" s="11" t="n"/>
      <c r="S868" s="10">
        <f>IF(AND(Q868="",R868=""),"",IFERROR(INDEX(T_LIBAT,MATCH(Q868,L_PER,0),MATCH(R868,L_JENIS,0)),0))</f>
        <v/>
      </c>
      <c r="T868" s="11" t="n"/>
      <c r="U868" s="11" t="n"/>
      <c r="V868" s="10">
        <f>IF(AND(T868="",U868=""),"",IFERROR(INDEX(T_CAPAI,MATCH(T868,L_PER,0),MATCH(U868,L_KED,0)),0))</f>
        <v/>
      </c>
      <c r="W868" s="17">
        <f>IF(OR(B868="",E868="",COUNTA(F868,H868,J868:M868,O868,Q868:R868,T868:U868)=0),"",SUM(G868,I868,N868,P868,S868,V868))</f>
        <v/>
      </c>
      <c r="X868" s="18">
        <f>IF(W868="","",IF(Murid!F868="TL","TL",ROUND(W868/110*100,2)))</f>
        <v/>
      </c>
    </row>
    <row r="869">
      <c r="A869" s="15">
        <f>Murid!A869</f>
        <v/>
      </c>
      <c r="B869" s="15">
        <f>IF(Murid!B869="","",Murid!B869)</f>
        <v/>
      </c>
      <c r="C869" s="16">
        <f>IF(Murid!C869="","",Murid!C869)</f>
        <v/>
      </c>
      <c r="D869" s="15">
        <f>IF(Murid!E869="","",Murid!E869)</f>
        <v/>
      </c>
      <c r="E869" s="11" t="n"/>
      <c r="F869" s="11" t="n"/>
      <c r="G869" s="10">
        <f>IF(F869="","",IFERROR(VLOOKUP(F869,T_JKP,2,FALSE),0))</f>
        <v/>
      </c>
      <c r="H869" s="11" t="n"/>
      <c r="I869" s="17">
        <f>IF(H869="","",IF(H869&gt;=12,40,ROUND(H869*3.33,2)))</f>
        <v/>
      </c>
      <c r="J869" s="11" t="n"/>
      <c r="K869" s="11" t="n"/>
      <c r="L869" s="11" t="n"/>
      <c r="M869" s="11" t="n"/>
      <c r="N869" s="10">
        <f>IF(COUNTA(J869:M869)=0,"",MIN(10,SUMPRODUCT((COUNTIF(J869:M869,L_KOM)&gt;0)*S_KOM)))</f>
        <v/>
      </c>
      <c r="O869" s="11" t="n"/>
      <c r="P869" s="10">
        <f>IF(O869="","",IFERROR(VLOOKUP(O869,T_KHID,2,FALSE),0))</f>
        <v/>
      </c>
      <c r="Q869" s="11" t="n"/>
      <c r="R869" s="11" t="n"/>
      <c r="S869" s="10">
        <f>IF(AND(Q869="",R869=""),"",IFERROR(INDEX(T_LIBAT,MATCH(Q869,L_PER,0),MATCH(R869,L_JENIS,0)),0))</f>
        <v/>
      </c>
      <c r="T869" s="11" t="n"/>
      <c r="U869" s="11" t="n"/>
      <c r="V869" s="10">
        <f>IF(AND(T869="",U869=""),"",IFERROR(INDEX(T_CAPAI,MATCH(T869,L_PER,0),MATCH(U869,L_KED,0)),0))</f>
        <v/>
      </c>
      <c r="W869" s="17">
        <f>IF(OR(B869="",E869="",COUNTA(F869,H869,J869:M869,O869,Q869:R869,T869:U869)=0),"",SUM(G869,I869,N869,P869,S869,V869))</f>
        <v/>
      </c>
      <c r="X869" s="18">
        <f>IF(W869="","",IF(Murid!F869="TL","TL",ROUND(W869/110*100,2)))</f>
        <v/>
      </c>
    </row>
    <row r="870">
      <c r="A870" s="15">
        <f>Murid!A870</f>
        <v/>
      </c>
      <c r="B870" s="15">
        <f>IF(Murid!B870="","",Murid!B870)</f>
        <v/>
      </c>
      <c r="C870" s="16">
        <f>IF(Murid!C870="","",Murid!C870)</f>
        <v/>
      </c>
      <c r="D870" s="15">
        <f>IF(Murid!E870="","",Murid!E870)</f>
        <v/>
      </c>
      <c r="E870" s="11" t="n"/>
      <c r="F870" s="11" t="n"/>
      <c r="G870" s="10">
        <f>IF(F870="","",IFERROR(VLOOKUP(F870,T_JKP,2,FALSE),0))</f>
        <v/>
      </c>
      <c r="H870" s="11" t="n"/>
      <c r="I870" s="17">
        <f>IF(H870="","",IF(H870&gt;=12,40,ROUND(H870*3.33,2)))</f>
        <v/>
      </c>
      <c r="J870" s="11" t="n"/>
      <c r="K870" s="11" t="n"/>
      <c r="L870" s="11" t="n"/>
      <c r="M870" s="11" t="n"/>
      <c r="N870" s="10">
        <f>IF(COUNTA(J870:M870)=0,"",MIN(10,SUMPRODUCT((COUNTIF(J870:M870,L_KOM)&gt;0)*S_KOM)))</f>
        <v/>
      </c>
      <c r="O870" s="11" t="n"/>
      <c r="P870" s="10">
        <f>IF(O870="","",IFERROR(VLOOKUP(O870,T_KHID,2,FALSE),0))</f>
        <v/>
      </c>
      <c r="Q870" s="11" t="n"/>
      <c r="R870" s="11" t="n"/>
      <c r="S870" s="10">
        <f>IF(AND(Q870="",R870=""),"",IFERROR(INDEX(T_LIBAT,MATCH(Q870,L_PER,0),MATCH(R870,L_JENIS,0)),0))</f>
        <v/>
      </c>
      <c r="T870" s="11" t="n"/>
      <c r="U870" s="11" t="n"/>
      <c r="V870" s="10">
        <f>IF(AND(T870="",U870=""),"",IFERROR(INDEX(T_CAPAI,MATCH(T870,L_PER,0),MATCH(U870,L_KED,0)),0))</f>
        <v/>
      </c>
      <c r="W870" s="17">
        <f>IF(OR(B870="",E870="",COUNTA(F870,H870,J870:M870,O870,Q870:R870,T870:U870)=0),"",SUM(G870,I870,N870,P870,S870,V870))</f>
        <v/>
      </c>
      <c r="X870" s="18">
        <f>IF(W870="","",IF(Murid!F870="TL","TL",ROUND(W870/110*100,2)))</f>
        <v/>
      </c>
    </row>
    <row r="871">
      <c r="A871" s="15">
        <f>Murid!A871</f>
        <v/>
      </c>
      <c r="B871" s="15">
        <f>IF(Murid!B871="","",Murid!B871)</f>
        <v/>
      </c>
      <c r="C871" s="16">
        <f>IF(Murid!C871="","",Murid!C871)</f>
        <v/>
      </c>
      <c r="D871" s="15">
        <f>IF(Murid!E871="","",Murid!E871)</f>
        <v/>
      </c>
      <c r="E871" s="11" t="n"/>
      <c r="F871" s="11" t="n"/>
      <c r="G871" s="10">
        <f>IF(F871="","",IFERROR(VLOOKUP(F871,T_JKP,2,FALSE),0))</f>
        <v/>
      </c>
      <c r="H871" s="11" t="n"/>
      <c r="I871" s="17">
        <f>IF(H871="","",IF(H871&gt;=12,40,ROUND(H871*3.33,2)))</f>
        <v/>
      </c>
      <c r="J871" s="11" t="n"/>
      <c r="K871" s="11" t="n"/>
      <c r="L871" s="11" t="n"/>
      <c r="M871" s="11" t="n"/>
      <c r="N871" s="10">
        <f>IF(COUNTA(J871:M871)=0,"",MIN(10,SUMPRODUCT((COUNTIF(J871:M871,L_KOM)&gt;0)*S_KOM)))</f>
        <v/>
      </c>
      <c r="O871" s="11" t="n"/>
      <c r="P871" s="10">
        <f>IF(O871="","",IFERROR(VLOOKUP(O871,T_KHID,2,FALSE),0))</f>
        <v/>
      </c>
      <c r="Q871" s="11" t="n"/>
      <c r="R871" s="11" t="n"/>
      <c r="S871" s="10">
        <f>IF(AND(Q871="",R871=""),"",IFERROR(INDEX(T_LIBAT,MATCH(Q871,L_PER,0),MATCH(R871,L_JENIS,0)),0))</f>
        <v/>
      </c>
      <c r="T871" s="11" t="n"/>
      <c r="U871" s="11" t="n"/>
      <c r="V871" s="10">
        <f>IF(AND(T871="",U871=""),"",IFERROR(INDEX(T_CAPAI,MATCH(T871,L_PER,0),MATCH(U871,L_KED,0)),0))</f>
        <v/>
      </c>
      <c r="W871" s="17">
        <f>IF(OR(B871="",E871="",COUNTA(F871,H871,J871:M871,O871,Q871:R871,T871:U871)=0),"",SUM(G871,I871,N871,P871,S871,V871))</f>
        <v/>
      </c>
      <c r="X871" s="18">
        <f>IF(W871="","",IF(Murid!F871="TL","TL",ROUND(W871/110*100,2)))</f>
        <v/>
      </c>
    </row>
    <row r="872">
      <c r="A872" s="15">
        <f>Murid!A872</f>
        <v/>
      </c>
      <c r="B872" s="15">
        <f>IF(Murid!B872="","",Murid!B872)</f>
        <v/>
      </c>
      <c r="C872" s="16">
        <f>IF(Murid!C872="","",Murid!C872)</f>
        <v/>
      </c>
      <c r="D872" s="15">
        <f>IF(Murid!E872="","",Murid!E872)</f>
        <v/>
      </c>
      <c r="E872" s="11" t="n"/>
      <c r="F872" s="11" t="n"/>
      <c r="G872" s="10">
        <f>IF(F872="","",IFERROR(VLOOKUP(F872,T_JKP,2,FALSE),0))</f>
        <v/>
      </c>
      <c r="H872" s="11" t="n"/>
      <c r="I872" s="17">
        <f>IF(H872="","",IF(H872&gt;=12,40,ROUND(H872*3.33,2)))</f>
        <v/>
      </c>
      <c r="J872" s="11" t="n"/>
      <c r="K872" s="11" t="n"/>
      <c r="L872" s="11" t="n"/>
      <c r="M872" s="11" t="n"/>
      <c r="N872" s="10">
        <f>IF(COUNTA(J872:M872)=0,"",MIN(10,SUMPRODUCT((COUNTIF(J872:M872,L_KOM)&gt;0)*S_KOM)))</f>
        <v/>
      </c>
      <c r="O872" s="11" t="n"/>
      <c r="P872" s="10">
        <f>IF(O872="","",IFERROR(VLOOKUP(O872,T_KHID,2,FALSE),0))</f>
        <v/>
      </c>
      <c r="Q872" s="11" t="n"/>
      <c r="R872" s="11" t="n"/>
      <c r="S872" s="10">
        <f>IF(AND(Q872="",R872=""),"",IFERROR(INDEX(T_LIBAT,MATCH(Q872,L_PER,0),MATCH(R872,L_JENIS,0)),0))</f>
        <v/>
      </c>
      <c r="T872" s="11" t="n"/>
      <c r="U872" s="11" t="n"/>
      <c r="V872" s="10">
        <f>IF(AND(T872="",U872=""),"",IFERROR(INDEX(T_CAPAI,MATCH(T872,L_PER,0),MATCH(U872,L_KED,0)),0))</f>
        <v/>
      </c>
      <c r="W872" s="17">
        <f>IF(OR(B872="",E872="",COUNTA(F872,H872,J872:M872,O872,Q872:R872,T872:U872)=0),"",SUM(G872,I872,N872,P872,S872,V872))</f>
        <v/>
      </c>
      <c r="X872" s="18">
        <f>IF(W872="","",IF(Murid!F872="TL","TL",ROUND(W872/110*100,2)))</f>
        <v/>
      </c>
    </row>
    <row r="873">
      <c r="A873" s="15">
        <f>Murid!A873</f>
        <v/>
      </c>
      <c r="B873" s="15">
        <f>IF(Murid!B873="","",Murid!B873)</f>
        <v/>
      </c>
      <c r="C873" s="16">
        <f>IF(Murid!C873="","",Murid!C873)</f>
        <v/>
      </c>
      <c r="D873" s="15">
        <f>IF(Murid!E873="","",Murid!E873)</f>
        <v/>
      </c>
      <c r="E873" s="11" t="n"/>
      <c r="F873" s="11" t="n"/>
      <c r="G873" s="10">
        <f>IF(F873="","",IFERROR(VLOOKUP(F873,T_JKP,2,FALSE),0))</f>
        <v/>
      </c>
      <c r="H873" s="11" t="n"/>
      <c r="I873" s="17">
        <f>IF(H873="","",IF(H873&gt;=12,40,ROUND(H873*3.33,2)))</f>
        <v/>
      </c>
      <c r="J873" s="11" t="n"/>
      <c r="K873" s="11" t="n"/>
      <c r="L873" s="11" t="n"/>
      <c r="M873" s="11" t="n"/>
      <c r="N873" s="10">
        <f>IF(COUNTA(J873:M873)=0,"",MIN(10,SUMPRODUCT((COUNTIF(J873:M873,L_KOM)&gt;0)*S_KOM)))</f>
        <v/>
      </c>
      <c r="O873" s="11" t="n"/>
      <c r="P873" s="10">
        <f>IF(O873="","",IFERROR(VLOOKUP(O873,T_KHID,2,FALSE),0))</f>
        <v/>
      </c>
      <c r="Q873" s="11" t="n"/>
      <c r="R873" s="11" t="n"/>
      <c r="S873" s="10">
        <f>IF(AND(Q873="",R873=""),"",IFERROR(INDEX(T_LIBAT,MATCH(Q873,L_PER,0),MATCH(R873,L_JENIS,0)),0))</f>
        <v/>
      </c>
      <c r="T873" s="11" t="n"/>
      <c r="U873" s="11" t="n"/>
      <c r="V873" s="10">
        <f>IF(AND(T873="",U873=""),"",IFERROR(INDEX(T_CAPAI,MATCH(T873,L_PER,0),MATCH(U873,L_KED,0)),0))</f>
        <v/>
      </c>
      <c r="W873" s="17">
        <f>IF(OR(B873="",E873="",COUNTA(F873,H873,J873:M873,O873,Q873:R873,T873:U873)=0),"",SUM(G873,I873,N873,P873,S873,V873))</f>
        <v/>
      </c>
      <c r="X873" s="18">
        <f>IF(W873="","",IF(Murid!F873="TL","TL",ROUND(W873/110*100,2)))</f>
        <v/>
      </c>
    </row>
    <row r="874">
      <c r="A874" s="15">
        <f>Murid!A874</f>
        <v/>
      </c>
      <c r="B874" s="15">
        <f>IF(Murid!B874="","",Murid!B874)</f>
        <v/>
      </c>
      <c r="C874" s="16">
        <f>IF(Murid!C874="","",Murid!C874)</f>
        <v/>
      </c>
      <c r="D874" s="15">
        <f>IF(Murid!E874="","",Murid!E874)</f>
        <v/>
      </c>
      <c r="E874" s="11" t="n"/>
      <c r="F874" s="11" t="n"/>
      <c r="G874" s="10">
        <f>IF(F874="","",IFERROR(VLOOKUP(F874,T_JKP,2,FALSE),0))</f>
        <v/>
      </c>
      <c r="H874" s="11" t="n"/>
      <c r="I874" s="17">
        <f>IF(H874="","",IF(H874&gt;=12,40,ROUND(H874*3.33,2)))</f>
        <v/>
      </c>
      <c r="J874" s="11" t="n"/>
      <c r="K874" s="11" t="n"/>
      <c r="L874" s="11" t="n"/>
      <c r="M874" s="11" t="n"/>
      <c r="N874" s="10">
        <f>IF(COUNTA(J874:M874)=0,"",MIN(10,SUMPRODUCT((COUNTIF(J874:M874,L_KOM)&gt;0)*S_KOM)))</f>
        <v/>
      </c>
      <c r="O874" s="11" t="n"/>
      <c r="P874" s="10">
        <f>IF(O874="","",IFERROR(VLOOKUP(O874,T_KHID,2,FALSE),0))</f>
        <v/>
      </c>
      <c r="Q874" s="11" t="n"/>
      <c r="R874" s="11" t="n"/>
      <c r="S874" s="10">
        <f>IF(AND(Q874="",R874=""),"",IFERROR(INDEX(T_LIBAT,MATCH(Q874,L_PER,0),MATCH(R874,L_JENIS,0)),0))</f>
        <v/>
      </c>
      <c r="T874" s="11" t="n"/>
      <c r="U874" s="11" t="n"/>
      <c r="V874" s="10">
        <f>IF(AND(T874="",U874=""),"",IFERROR(INDEX(T_CAPAI,MATCH(T874,L_PER,0),MATCH(U874,L_KED,0)),0))</f>
        <v/>
      </c>
      <c r="W874" s="17">
        <f>IF(OR(B874="",E874="",COUNTA(F874,H874,J874:M874,O874,Q874:R874,T874:U874)=0),"",SUM(G874,I874,N874,P874,S874,V874))</f>
        <v/>
      </c>
      <c r="X874" s="18">
        <f>IF(W874="","",IF(Murid!F874="TL","TL",ROUND(W874/110*100,2)))</f>
        <v/>
      </c>
    </row>
    <row r="875">
      <c r="A875" s="15">
        <f>Murid!A875</f>
        <v/>
      </c>
      <c r="B875" s="15">
        <f>IF(Murid!B875="","",Murid!B875)</f>
        <v/>
      </c>
      <c r="C875" s="16">
        <f>IF(Murid!C875="","",Murid!C875)</f>
        <v/>
      </c>
      <c r="D875" s="15">
        <f>IF(Murid!E875="","",Murid!E875)</f>
        <v/>
      </c>
      <c r="E875" s="11" t="n"/>
      <c r="F875" s="11" t="n"/>
      <c r="G875" s="10">
        <f>IF(F875="","",IFERROR(VLOOKUP(F875,T_JKP,2,FALSE),0))</f>
        <v/>
      </c>
      <c r="H875" s="11" t="n"/>
      <c r="I875" s="17">
        <f>IF(H875="","",IF(H875&gt;=12,40,ROUND(H875*3.33,2)))</f>
        <v/>
      </c>
      <c r="J875" s="11" t="n"/>
      <c r="K875" s="11" t="n"/>
      <c r="L875" s="11" t="n"/>
      <c r="M875" s="11" t="n"/>
      <c r="N875" s="10">
        <f>IF(COUNTA(J875:M875)=0,"",MIN(10,SUMPRODUCT((COUNTIF(J875:M875,L_KOM)&gt;0)*S_KOM)))</f>
        <v/>
      </c>
      <c r="O875" s="11" t="n"/>
      <c r="P875" s="10">
        <f>IF(O875="","",IFERROR(VLOOKUP(O875,T_KHID,2,FALSE),0))</f>
        <v/>
      </c>
      <c r="Q875" s="11" t="n"/>
      <c r="R875" s="11" t="n"/>
      <c r="S875" s="10">
        <f>IF(AND(Q875="",R875=""),"",IFERROR(INDEX(T_LIBAT,MATCH(Q875,L_PER,0),MATCH(R875,L_JENIS,0)),0))</f>
        <v/>
      </c>
      <c r="T875" s="11" t="n"/>
      <c r="U875" s="11" t="n"/>
      <c r="V875" s="10">
        <f>IF(AND(T875="",U875=""),"",IFERROR(INDEX(T_CAPAI,MATCH(T875,L_PER,0),MATCH(U875,L_KED,0)),0))</f>
        <v/>
      </c>
      <c r="W875" s="17">
        <f>IF(OR(B875="",E875="",COUNTA(F875,H875,J875:M875,O875,Q875:R875,T875:U875)=0),"",SUM(G875,I875,N875,P875,S875,V875))</f>
        <v/>
      </c>
      <c r="X875" s="18">
        <f>IF(W875="","",IF(Murid!F875="TL","TL",ROUND(W875/110*100,2)))</f>
        <v/>
      </c>
    </row>
    <row r="876">
      <c r="A876" s="15">
        <f>Murid!A876</f>
        <v/>
      </c>
      <c r="B876" s="15">
        <f>IF(Murid!B876="","",Murid!B876)</f>
        <v/>
      </c>
      <c r="C876" s="16">
        <f>IF(Murid!C876="","",Murid!C876)</f>
        <v/>
      </c>
      <c r="D876" s="15">
        <f>IF(Murid!E876="","",Murid!E876)</f>
        <v/>
      </c>
      <c r="E876" s="11" t="n"/>
      <c r="F876" s="11" t="n"/>
      <c r="G876" s="10">
        <f>IF(F876="","",IFERROR(VLOOKUP(F876,T_JKP,2,FALSE),0))</f>
        <v/>
      </c>
      <c r="H876" s="11" t="n"/>
      <c r="I876" s="17">
        <f>IF(H876="","",IF(H876&gt;=12,40,ROUND(H876*3.33,2)))</f>
        <v/>
      </c>
      <c r="J876" s="11" t="n"/>
      <c r="K876" s="11" t="n"/>
      <c r="L876" s="11" t="n"/>
      <c r="M876" s="11" t="n"/>
      <c r="N876" s="10">
        <f>IF(COUNTA(J876:M876)=0,"",MIN(10,SUMPRODUCT((COUNTIF(J876:M876,L_KOM)&gt;0)*S_KOM)))</f>
        <v/>
      </c>
      <c r="O876" s="11" t="n"/>
      <c r="P876" s="10">
        <f>IF(O876="","",IFERROR(VLOOKUP(O876,T_KHID,2,FALSE),0))</f>
        <v/>
      </c>
      <c r="Q876" s="11" t="n"/>
      <c r="R876" s="11" t="n"/>
      <c r="S876" s="10">
        <f>IF(AND(Q876="",R876=""),"",IFERROR(INDEX(T_LIBAT,MATCH(Q876,L_PER,0),MATCH(R876,L_JENIS,0)),0))</f>
        <v/>
      </c>
      <c r="T876" s="11" t="n"/>
      <c r="U876" s="11" t="n"/>
      <c r="V876" s="10">
        <f>IF(AND(T876="",U876=""),"",IFERROR(INDEX(T_CAPAI,MATCH(T876,L_PER,0),MATCH(U876,L_KED,0)),0))</f>
        <v/>
      </c>
      <c r="W876" s="17">
        <f>IF(OR(B876="",E876="",COUNTA(F876,H876,J876:M876,O876,Q876:R876,T876:U876)=0),"",SUM(G876,I876,N876,P876,S876,V876))</f>
        <v/>
      </c>
      <c r="X876" s="18">
        <f>IF(W876="","",IF(Murid!F876="TL","TL",ROUND(W876/110*100,2)))</f>
        <v/>
      </c>
    </row>
    <row r="877">
      <c r="A877" s="15">
        <f>Murid!A877</f>
        <v/>
      </c>
      <c r="B877" s="15">
        <f>IF(Murid!B877="","",Murid!B877)</f>
        <v/>
      </c>
      <c r="C877" s="16">
        <f>IF(Murid!C877="","",Murid!C877)</f>
        <v/>
      </c>
      <c r="D877" s="15">
        <f>IF(Murid!E877="","",Murid!E877)</f>
        <v/>
      </c>
      <c r="E877" s="11" t="n"/>
      <c r="F877" s="11" t="n"/>
      <c r="G877" s="10">
        <f>IF(F877="","",IFERROR(VLOOKUP(F877,T_JKP,2,FALSE),0))</f>
        <v/>
      </c>
      <c r="H877" s="11" t="n"/>
      <c r="I877" s="17">
        <f>IF(H877="","",IF(H877&gt;=12,40,ROUND(H877*3.33,2)))</f>
        <v/>
      </c>
      <c r="J877" s="11" t="n"/>
      <c r="K877" s="11" t="n"/>
      <c r="L877" s="11" t="n"/>
      <c r="M877" s="11" t="n"/>
      <c r="N877" s="10">
        <f>IF(COUNTA(J877:M877)=0,"",MIN(10,SUMPRODUCT((COUNTIF(J877:M877,L_KOM)&gt;0)*S_KOM)))</f>
        <v/>
      </c>
      <c r="O877" s="11" t="n"/>
      <c r="P877" s="10">
        <f>IF(O877="","",IFERROR(VLOOKUP(O877,T_KHID,2,FALSE),0))</f>
        <v/>
      </c>
      <c r="Q877" s="11" t="n"/>
      <c r="R877" s="11" t="n"/>
      <c r="S877" s="10">
        <f>IF(AND(Q877="",R877=""),"",IFERROR(INDEX(T_LIBAT,MATCH(Q877,L_PER,0),MATCH(R877,L_JENIS,0)),0))</f>
        <v/>
      </c>
      <c r="T877" s="11" t="n"/>
      <c r="U877" s="11" t="n"/>
      <c r="V877" s="10">
        <f>IF(AND(T877="",U877=""),"",IFERROR(INDEX(T_CAPAI,MATCH(T877,L_PER,0),MATCH(U877,L_KED,0)),0))</f>
        <v/>
      </c>
      <c r="W877" s="17">
        <f>IF(OR(B877="",E877="",COUNTA(F877,H877,J877:M877,O877,Q877:R877,T877:U877)=0),"",SUM(G877,I877,N877,P877,S877,V877))</f>
        <v/>
      </c>
      <c r="X877" s="18">
        <f>IF(W877="","",IF(Murid!F877="TL","TL",ROUND(W877/110*100,2)))</f>
        <v/>
      </c>
    </row>
    <row r="878">
      <c r="A878" s="15">
        <f>Murid!A878</f>
        <v/>
      </c>
      <c r="B878" s="15">
        <f>IF(Murid!B878="","",Murid!B878)</f>
        <v/>
      </c>
      <c r="C878" s="16">
        <f>IF(Murid!C878="","",Murid!C878)</f>
        <v/>
      </c>
      <c r="D878" s="15">
        <f>IF(Murid!E878="","",Murid!E878)</f>
        <v/>
      </c>
      <c r="E878" s="11" t="n"/>
      <c r="F878" s="11" t="n"/>
      <c r="G878" s="10">
        <f>IF(F878="","",IFERROR(VLOOKUP(F878,T_JKP,2,FALSE),0))</f>
        <v/>
      </c>
      <c r="H878" s="11" t="n"/>
      <c r="I878" s="17">
        <f>IF(H878="","",IF(H878&gt;=12,40,ROUND(H878*3.33,2)))</f>
        <v/>
      </c>
      <c r="J878" s="11" t="n"/>
      <c r="K878" s="11" t="n"/>
      <c r="L878" s="11" t="n"/>
      <c r="M878" s="11" t="n"/>
      <c r="N878" s="10">
        <f>IF(COUNTA(J878:M878)=0,"",MIN(10,SUMPRODUCT((COUNTIF(J878:M878,L_KOM)&gt;0)*S_KOM)))</f>
        <v/>
      </c>
      <c r="O878" s="11" t="n"/>
      <c r="P878" s="10">
        <f>IF(O878="","",IFERROR(VLOOKUP(O878,T_KHID,2,FALSE),0))</f>
        <v/>
      </c>
      <c r="Q878" s="11" t="n"/>
      <c r="R878" s="11" t="n"/>
      <c r="S878" s="10">
        <f>IF(AND(Q878="",R878=""),"",IFERROR(INDEX(T_LIBAT,MATCH(Q878,L_PER,0),MATCH(R878,L_JENIS,0)),0))</f>
        <v/>
      </c>
      <c r="T878" s="11" t="n"/>
      <c r="U878" s="11" t="n"/>
      <c r="V878" s="10">
        <f>IF(AND(T878="",U878=""),"",IFERROR(INDEX(T_CAPAI,MATCH(T878,L_PER,0),MATCH(U878,L_KED,0)),0))</f>
        <v/>
      </c>
      <c r="W878" s="17">
        <f>IF(OR(B878="",E878="",COUNTA(F878,H878,J878:M878,O878,Q878:R878,T878:U878)=0),"",SUM(G878,I878,N878,P878,S878,V878))</f>
        <v/>
      </c>
      <c r="X878" s="18">
        <f>IF(W878="","",IF(Murid!F878="TL","TL",ROUND(W878/110*100,2)))</f>
        <v/>
      </c>
    </row>
    <row r="879">
      <c r="A879" s="15">
        <f>Murid!A879</f>
        <v/>
      </c>
      <c r="B879" s="15">
        <f>IF(Murid!B879="","",Murid!B879)</f>
        <v/>
      </c>
      <c r="C879" s="16">
        <f>IF(Murid!C879="","",Murid!C879)</f>
        <v/>
      </c>
      <c r="D879" s="15">
        <f>IF(Murid!E879="","",Murid!E879)</f>
        <v/>
      </c>
      <c r="E879" s="11" t="n"/>
      <c r="F879" s="11" t="n"/>
      <c r="G879" s="10">
        <f>IF(F879="","",IFERROR(VLOOKUP(F879,T_JKP,2,FALSE),0))</f>
        <v/>
      </c>
      <c r="H879" s="11" t="n"/>
      <c r="I879" s="17">
        <f>IF(H879="","",IF(H879&gt;=12,40,ROUND(H879*3.33,2)))</f>
        <v/>
      </c>
      <c r="J879" s="11" t="n"/>
      <c r="K879" s="11" t="n"/>
      <c r="L879" s="11" t="n"/>
      <c r="M879" s="11" t="n"/>
      <c r="N879" s="10">
        <f>IF(COUNTA(J879:M879)=0,"",MIN(10,SUMPRODUCT((COUNTIF(J879:M879,L_KOM)&gt;0)*S_KOM)))</f>
        <v/>
      </c>
      <c r="O879" s="11" t="n"/>
      <c r="P879" s="10">
        <f>IF(O879="","",IFERROR(VLOOKUP(O879,T_KHID,2,FALSE),0))</f>
        <v/>
      </c>
      <c r="Q879" s="11" t="n"/>
      <c r="R879" s="11" t="n"/>
      <c r="S879" s="10">
        <f>IF(AND(Q879="",R879=""),"",IFERROR(INDEX(T_LIBAT,MATCH(Q879,L_PER,0),MATCH(R879,L_JENIS,0)),0))</f>
        <v/>
      </c>
      <c r="T879" s="11" t="n"/>
      <c r="U879" s="11" t="n"/>
      <c r="V879" s="10">
        <f>IF(AND(T879="",U879=""),"",IFERROR(INDEX(T_CAPAI,MATCH(T879,L_PER,0),MATCH(U879,L_KED,0)),0))</f>
        <v/>
      </c>
      <c r="W879" s="17">
        <f>IF(OR(B879="",E879="",COUNTA(F879,H879,J879:M879,O879,Q879:R879,T879:U879)=0),"",SUM(G879,I879,N879,P879,S879,V879))</f>
        <v/>
      </c>
      <c r="X879" s="18">
        <f>IF(W879="","",IF(Murid!F879="TL","TL",ROUND(W879/110*100,2)))</f>
        <v/>
      </c>
    </row>
    <row r="880">
      <c r="A880" s="15">
        <f>Murid!A880</f>
        <v/>
      </c>
      <c r="B880" s="15">
        <f>IF(Murid!B880="","",Murid!B880)</f>
        <v/>
      </c>
      <c r="C880" s="16">
        <f>IF(Murid!C880="","",Murid!C880)</f>
        <v/>
      </c>
      <c r="D880" s="15">
        <f>IF(Murid!E880="","",Murid!E880)</f>
        <v/>
      </c>
      <c r="E880" s="11" t="n"/>
      <c r="F880" s="11" t="n"/>
      <c r="G880" s="10">
        <f>IF(F880="","",IFERROR(VLOOKUP(F880,T_JKP,2,FALSE),0))</f>
        <v/>
      </c>
      <c r="H880" s="11" t="n"/>
      <c r="I880" s="17">
        <f>IF(H880="","",IF(H880&gt;=12,40,ROUND(H880*3.33,2)))</f>
        <v/>
      </c>
      <c r="J880" s="11" t="n"/>
      <c r="K880" s="11" t="n"/>
      <c r="L880" s="11" t="n"/>
      <c r="M880" s="11" t="n"/>
      <c r="N880" s="10">
        <f>IF(COUNTA(J880:M880)=0,"",MIN(10,SUMPRODUCT((COUNTIF(J880:M880,L_KOM)&gt;0)*S_KOM)))</f>
        <v/>
      </c>
      <c r="O880" s="11" t="n"/>
      <c r="P880" s="10">
        <f>IF(O880="","",IFERROR(VLOOKUP(O880,T_KHID,2,FALSE),0))</f>
        <v/>
      </c>
      <c r="Q880" s="11" t="n"/>
      <c r="R880" s="11" t="n"/>
      <c r="S880" s="10">
        <f>IF(AND(Q880="",R880=""),"",IFERROR(INDEX(T_LIBAT,MATCH(Q880,L_PER,0),MATCH(R880,L_JENIS,0)),0))</f>
        <v/>
      </c>
      <c r="T880" s="11" t="n"/>
      <c r="U880" s="11" t="n"/>
      <c r="V880" s="10">
        <f>IF(AND(T880="",U880=""),"",IFERROR(INDEX(T_CAPAI,MATCH(T880,L_PER,0),MATCH(U880,L_KED,0)),0))</f>
        <v/>
      </c>
      <c r="W880" s="17">
        <f>IF(OR(B880="",E880="",COUNTA(F880,H880,J880:M880,O880,Q880:R880,T880:U880)=0),"",SUM(G880,I880,N880,P880,S880,V880))</f>
        <v/>
      </c>
      <c r="X880" s="18">
        <f>IF(W880="","",IF(Murid!F880="TL","TL",ROUND(W880/110*100,2)))</f>
        <v/>
      </c>
    </row>
    <row r="881">
      <c r="A881" s="15">
        <f>Murid!A881</f>
        <v/>
      </c>
      <c r="B881" s="15">
        <f>IF(Murid!B881="","",Murid!B881)</f>
        <v/>
      </c>
      <c r="C881" s="16">
        <f>IF(Murid!C881="","",Murid!C881)</f>
        <v/>
      </c>
      <c r="D881" s="15">
        <f>IF(Murid!E881="","",Murid!E881)</f>
        <v/>
      </c>
      <c r="E881" s="11" t="n"/>
      <c r="F881" s="11" t="n"/>
      <c r="G881" s="10">
        <f>IF(F881="","",IFERROR(VLOOKUP(F881,T_JKP,2,FALSE),0))</f>
        <v/>
      </c>
      <c r="H881" s="11" t="n"/>
      <c r="I881" s="17">
        <f>IF(H881="","",IF(H881&gt;=12,40,ROUND(H881*3.33,2)))</f>
        <v/>
      </c>
      <c r="J881" s="11" t="n"/>
      <c r="K881" s="11" t="n"/>
      <c r="L881" s="11" t="n"/>
      <c r="M881" s="11" t="n"/>
      <c r="N881" s="10">
        <f>IF(COUNTA(J881:M881)=0,"",MIN(10,SUMPRODUCT((COUNTIF(J881:M881,L_KOM)&gt;0)*S_KOM)))</f>
        <v/>
      </c>
      <c r="O881" s="11" t="n"/>
      <c r="P881" s="10">
        <f>IF(O881="","",IFERROR(VLOOKUP(O881,T_KHID,2,FALSE),0))</f>
        <v/>
      </c>
      <c r="Q881" s="11" t="n"/>
      <c r="R881" s="11" t="n"/>
      <c r="S881" s="10">
        <f>IF(AND(Q881="",R881=""),"",IFERROR(INDEX(T_LIBAT,MATCH(Q881,L_PER,0),MATCH(R881,L_JENIS,0)),0))</f>
        <v/>
      </c>
      <c r="T881" s="11" t="n"/>
      <c r="U881" s="11" t="n"/>
      <c r="V881" s="10">
        <f>IF(AND(T881="",U881=""),"",IFERROR(INDEX(T_CAPAI,MATCH(T881,L_PER,0),MATCH(U881,L_KED,0)),0))</f>
        <v/>
      </c>
      <c r="W881" s="17">
        <f>IF(OR(B881="",E881="",COUNTA(F881,H881,J881:M881,O881,Q881:R881,T881:U881)=0),"",SUM(G881,I881,N881,P881,S881,V881))</f>
        <v/>
      </c>
      <c r="X881" s="18">
        <f>IF(W881="","",IF(Murid!F881="TL","TL",ROUND(W881/110*100,2)))</f>
        <v/>
      </c>
    </row>
    <row r="882">
      <c r="A882" s="15">
        <f>Murid!A882</f>
        <v/>
      </c>
      <c r="B882" s="15">
        <f>IF(Murid!B882="","",Murid!B882)</f>
        <v/>
      </c>
      <c r="C882" s="16">
        <f>IF(Murid!C882="","",Murid!C882)</f>
        <v/>
      </c>
      <c r="D882" s="15">
        <f>IF(Murid!E882="","",Murid!E882)</f>
        <v/>
      </c>
      <c r="E882" s="11" t="n"/>
      <c r="F882" s="11" t="n"/>
      <c r="G882" s="10">
        <f>IF(F882="","",IFERROR(VLOOKUP(F882,T_JKP,2,FALSE),0))</f>
        <v/>
      </c>
      <c r="H882" s="11" t="n"/>
      <c r="I882" s="17">
        <f>IF(H882="","",IF(H882&gt;=12,40,ROUND(H882*3.33,2)))</f>
        <v/>
      </c>
      <c r="J882" s="11" t="n"/>
      <c r="K882" s="11" t="n"/>
      <c r="L882" s="11" t="n"/>
      <c r="M882" s="11" t="n"/>
      <c r="N882" s="10">
        <f>IF(COUNTA(J882:M882)=0,"",MIN(10,SUMPRODUCT((COUNTIF(J882:M882,L_KOM)&gt;0)*S_KOM)))</f>
        <v/>
      </c>
      <c r="O882" s="11" t="n"/>
      <c r="P882" s="10">
        <f>IF(O882="","",IFERROR(VLOOKUP(O882,T_KHID,2,FALSE),0))</f>
        <v/>
      </c>
      <c r="Q882" s="11" t="n"/>
      <c r="R882" s="11" t="n"/>
      <c r="S882" s="10">
        <f>IF(AND(Q882="",R882=""),"",IFERROR(INDEX(T_LIBAT,MATCH(Q882,L_PER,0),MATCH(R882,L_JENIS,0)),0))</f>
        <v/>
      </c>
      <c r="T882" s="11" t="n"/>
      <c r="U882" s="11" t="n"/>
      <c r="V882" s="10">
        <f>IF(AND(T882="",U882=""),"",IFERROR(INDEX(T_CAPAI,MATCH(T882,L_PER,0),MATCH(U882,L_KED,0)),0))</f>
        <v/>
      </c>
      <c r="W882" s="17">
        <f>IF(OR(B882="",E882="",COUNTA(F882,H882,J882:M882,O882,Q882:R882,T882:U882)=0),"",SUM(G882,I882,N882,P882,S882,V882))</f>
        <v/>
      </c>
      <c r="X882" s="18">
        <f>IF(W882="","",IF(Murid!F882="TL","TL",ROUND(W882/110*100,2)))</f>
        <v/>
      </c>
    </row>
    <row r="883">
      <c r="A883" s="15">
        <f>Murid!A883</f>
        <v/>
      </c>
      <c r="B883" s="15">
        <f>IF(Murid!B883="","",Murid!B883)</f>
        <v/>
      </c>
      <c r="C883" s="16">
        <f>IF(Murid!C883="","",Murid!C883)</f>
        <v/>
      </c>
      <c r="D883" s="15">
        <f>IF(Murid!E883="","",Murid!E883)</f>
        <v/>
      </c>
      <c r="E883" s="11" t="n"/>
      <c r="F883" s="11" t="n"/>
      <c r="G883" s="10">
        <f>IF(F883="","",IFERROR(VLOOKUP(F883,T_JKP,2,FALSE),0))</f>
        <v/>
      </c>
      <c r="H883" s="11" t="n"/>
      <c r="I883" s="17">
        <f>IF(H883="","",IF(H883&gt;=12,40,ROUND(H883*3.33,2)))</f>
        <v/>
      </c>
      <c r="J883" s="11" t="n"/>
      <c r="K883" s="11" t="n"/>
      <c r="L883" s="11" t="n"/>
      <c r="M883" s="11" t="n"/>
      <c r="N883" s="10">
        <f>IF(COUNTA(J883:M883)=0,"",MIN(10,SUMPRODUCT((COUNTIF(J883:M883,L_KOM)&gt;0)*S_KOM)))</f>
        <v/>
      </c>
      <c r="O883" s="11" t="n"/>
      <c r="P883" s="10">
        <f>IF(O883="","",IFERROR(VLOOKUP(O883,T_KHID,2,FALSE),0))</f>
        <v/>
      </c>
      <c r="Q883" s="11" t="n"/>
      <c r="R883" s="11" t="n"/>
      <c r="S883" s="10">
        <f>IF(AND(Q883="",R883=""),"",IFERROR(INDEX(T_LIBAT,MATCH(Q883,L_PER,0),MATCH(R883,L_JENIS,0)),0))</f>
        <v/>
      </c>
      <c r="T883" s="11" t="n"/>
      <c r="U883" s="11" t="n"/>
      <c r="V883" s="10">
        <f>IF(AND(T883="",U883=""),"",IFERROR(INDEX(T_CAPAI,MATCH(T883,L_PER,0),MATCH(U883,L_KED,0)),0))</f>
        <v/>
      </c>
      <c r="W883" s="17">
        <f>IF(OR(B883="",E883="",COUNTA(F883,H883,J883:M883,O883,Q883:R883,T883:U883)=0),"",SUM(G883,I883,N883,P883,S883,V883))</f>
        <v/>
      </c>
      <c r="X883" s="18">
        <f>IF(W883="","",IF(Murid!F883="TL","TL",ROUND(W883/110*100,2)))</f>
        <v/>
      </c>
    </row>
    <row r="884">
      <c r="A884" s="15">
        <f>Murid!A884</f>
        <v/>
      </c>
      <c r="B884" s="15">
        <f>IF(Murid!B884="","",Murid!B884)</f>
        <v/>
      </c>
      <c r="C884" s="16">
        <f>IF(Murid!C884="","",Murid!C884)</f>
        <v/>
      </c>
      <c r="D884" s="15">
        <f>IF(Murid!E884="","",Murid!E884)</f>
        <v/>
      </c>
      <c r="E884" s="11" t="n"/>
      <c r="F884" s="11" t="n"/>
      <c r="G884" s="10">
        <f>IF(F884="","",IFERROR(VLOOKUP(F884,T_JKP,2,FALSE),0))</f>
        <v/>
      </c>
      <c r="H884" s="11" t="n"/>
      <c r="I884" s="17">
        <f>IF(H884="","",IF(H884&gt;=12,40,ROUND(H884*3.33,2)))</f>
        <v/>
      </c>
      <c r="J884" s="11" t="n"/>
      <c r="K884" s="11" t="n"/>
      <c r="L884" s="11" t="n"/>
      <c r="M884" s="11" t="n"/>
      <c r="N884" s="10">
        <f>IF(COUNTA(J884:M884)=0,"",MIN(10,SUMPRODUCT((COUNTIF(J884:M884,L_KOM)&gt;0)*S_KOM)))</f>
        <v/>
      </c>
      <c r="O884" s="11" t="n"/>
      <c r="P884" s="10">
        <f>IF(O884="","",IFERROR(VLOOKUP(O884,T_KHID,2,FALSE),0))</f>
        <v/>
      </c>
      <c r="Q884" s="11" t="n"/>
      <c r="R884" s="11" t="n"/>
      <c r="S884" s="10">
        <f>IF(AND(Q884="",R884=""),"",IFERROR(INDEX(T_LIBAT,MATCH(Q884,L_PER,0),MATCH(R884,L_JENIS,0)),0))</f>
        <v/>
      </c>
      <c r="T884" s="11" t="n"/>
      <c r="U884" s="11" t="n"/>
      <c r="V884" s="10">
        <f>IF(AND(T884="",U884=""),"",IFERROR(INDEX(T_CAPAI,MATCH(T884,L_PER,0),MATCH(U884,L_KED,0)),0))</f>
        <v/>
      </c>
      <c r="W884" s="17">
        <f>IF(OR(B884="",E884="",COUNTA(F884,H884,J884:M884,O884,Q884:R884,T884:U884)=0),"",SUM(G884,I884,N884,P884,S884,V884))</f>
        <v/>
      </c>
      <c r="X884" s="18">
        <f>IF(W884="","",IF(Murid!F884="TL","TL",ROUND(W884/110*100,2)))</f>
        <v/>
      </c>
    </row>
    <row r="885">
      <c r="A885" s="15">
        <f>Murid!A885</f>
        <v/>
      </c>
      <c r="B885" s="15">
        <f>IF(Murid!B885="","",Murid!B885)</f>
        <v/>
      </c>
      <c r="C885" s="16">
        <f>IF(Murid!C885="","",Murid!C885)</f>
        <v/>
      </c>
      <c r="D885" s="15">
        <f>IF(Murid!E885="","",Murid!E885)</f>
        <v/>
      </c>
      <c r="E885" s="11" t="n"/>
      <c r="F885" s="11" t="n"/>
      <c r="G885" s="10">
        <f>IF(F885="","",IFERROR(VLOOKUP(F885,T_JKP,2,FALSE),0))</f>
        <v/>
      </c>
      <c r="H885" s="11" t="n"/>
      <c r="I885" s="17">
        <f>IF(H885="","",IF(H885&gt;=12,40,ROUND(H885*3.33,2)))</f>
        <v/>
      </c>
      <c r="J885" s="11" t="n"/>
      <c r="K885" s="11" t="n"/>
      <c r="L885" s="11" t="n"/>
      <c r="M885" s="11" t="n"/>
      <c r="N885" s="10">
        <f>IF(COUNTA(J885:M885)=0,"",MIN(10,SUMPRODUCT((COUNTIF(J885:M885,L_KOM)&gt;0)*S_KOM)))</f>
        <v/>
      </c>
      <c r="O885" s="11" t="n"/>
      <c r="P885" s="10">
        <f>IF(O885="","",IFERROR(VLOOKUP(O885,T_KHID,2,FALSE),0))</f>
        <v/>
      </c>
      <c r="Q885" s="11" t="n"/>
      <c r="R885" s="11" t="n"/>
      <c r="S885" s="10">
        <f>IF(AND(Q885="",R885=""),"",IFERROR(INDEX(T_LIBAT,MATCH(Q885,L_PER,0),MATCH(R885,L_JENIS,0)),0))</f>
        <v/>
      </c>
      <c r="T885" s="11" t="n"/>
      <c r="U885" s="11" t="n"/>
      <c r="V885" s="10">
        <f>IF(AND(T885="",U885=""),"",IFERROR(INDEX(T_CAPAI,MATCH(T885,L_PER,0),MATCH(U885,L_KED,0)),0))</f>
        <v/>
      </c>
      <c r="W885" s="17">
        <f>IF(OR(B885="",E885="",COUNTA(F885,H885,J885:M885,O885,Q885:R885,T885:U885)=0),"",SUM(G885,I885,N885,P885,S885,V885))</f>
        <v/>
      </c>
      <c r="X885" s="18">
        <f>IF(W885="","",IF(Murid!F885="TL","TL",ROUND(W885/110*100,2)))</f>
        <v/>
      </c>
    </row>
    <row r="886">
      <c r="A886" s="15">
        <f>Murid!A886</f>
        <v/>
      </c>
      <c r="B886" s="15">
        <f>IF(Murid!B886="","",Murid!B886)</f>
        <v/>
      </c>
      <c r="C886" s="16">
        <f>IF(Murid!C886="","",Murid!C886)</f>
        <v/>
      </c>
      <c r="D886" s="15">
        <f>IF(Murid!E886="","",Murid!E886)</f>
        <v/>
      </c>
      <c r="E886" s="11" t="n"/>
      <c r="F886" s="11" t="n"/>
      <c r="G886" s="10">
        <f>IF(F886="","",IFERROR(VLOOKUP(F886,T_JKP,2,FALSE),0))</f>
        <v/>
      </c>
      <c r="H886" s="11" t="n"/>
      <c r="I886" s="17">
        <f>IF(H886="","",IF(H886&gt;=12,40,ROUND(H886*3.33,2)))</f>
        <v/>
      </c>
      <c r="J886" s="11" t="n"/>
      <c r="K886" s="11" t="n"/>
      <c r="L886" s="11" t="n"/>
      <c r="M886" s="11" t="n"/>
      <c r="N886" s="10">
        <f>IF(COUNTA(J886:M886)=0,"",MIN(10,SUMPRODUCT((COUNTIF(J886:M886,L_KOM)&gt;0)*S_KOM)))</f>
        <v/>
      </c>
      <c r="O886" s="11" t="n"/>
      <c r="P886" s="10">
        <f>IF(O886="","",IFERROR(VLOOKUP(O886,T_KHID,2,FALSE),0))</f>
        <v/>
      </c>
      <c r="Q886" s="11" t="n"/>
      <c r="R886" s="11" t="n"/>
      <c r="S886" s="10">
        <f>IF(AND(Q886="",R886=""),"",IFERROR(INDEX(T_LIBAT,MATCH(Q886,L_PER,0),MATCH(R886,L_JENIS,0)),0))</f>
        <v/>
      </c>
      <c r="T886" s="11" t="n"/>
      <c r="U886" s="11" t="n"/>
      <c r="V886" s="10">
        <f>IF(AND(T886="",U886=""),"",IFERROR(INDEX(T_CAPAI,MATCH(T886,L_PER,0),MATCH(U886,L_KED,0)),0))</f>
        <v/>
      </c>
      <c r="W886" s="17">
        <f>IF(OR(B886="",E886="",COUNTA(F886,H886,J886:M886,O886,Q886:R886,T886:U886)=0),"",SUM(G886,I886,N886,P886,S886,V886))</f>
        <v/>
      </c>
      <c r="X886" s="18">
        <f>IF(W886="","",IF(Murid!F886="TL","TL",ROUND(W886/110*100,2)))</f>
        <v/>
      </c>
    </row>
    <row r="887">
      <c r="A887" s="15">
        <f>Murid!A887</f>
        <v/>
      </c>
      <c r="B887" s="15">
        <f>IF(Murid!B887="","",Murid!B887)</f>
        <v/>
      </c>
      <c r="C887" s="16">
        <f>IF(Murid!C887="","",Murid!C887)</f>
        <v/>
      </c>
      <c r="D887" s="15">
        <f>IF(Murid!E887="","",Murid!E887)</f>
        <v/>
      </c>
      <c r="E887" s="11" t="n"/>
      <c r="F887" s="11" t="n"/>
      <c r="G887" s="10">
        <f>IF(F887="","",IFERROR(VLOOKUP(F887,T_JKP,2,FALSE),0))</f>
        <v/>
      </c>
      <c r="H887" s="11" t="n"/>
      <c r="I887" s="17">
        <f>IF(H887="","",IF(H887&gt;=12,40,ROUND(H887*3.33,2)))</f>
        <v/>
      </c>
      <c r="J887" s="11" t="n"/>
      <c r="K887" s="11" t="n"/>
      <c r="L887" s="11" t="n"/>
      <c r="M887" s="11" t="n"/>
      <c r="N887" s="10">
        <f>IF(COUNTA(J887:M887)=0,"",MIN(10,SUMPRODUCT((COUNTIF(J887:M887,L_KOM)&gt;0)*S_KOM)))</f>
        <v/>
      </c>
      <c r="O887" s="11" t="n"/>
      <c r="P887" s="10">
        <f>IF(O887="","",IFERROR(VLOOKUP(O887,T_KHID,2,FALSE),0))</f>
        <v/>
      </c>
      <c r="Q887" s="11" t="n"/>
      <c r="R887" s="11" t="n"/>
      <c r="S887" s="10">
        <f>IF(AND(Q887="",R887=""),"",IFERROR(INDEX(T_LIBAT,MATCH(Q887,L_PER,0),MATCH(R887,L_JENIS,0)),0))</f>
        <v/>
      </c>
      <c r="T887" s="11" t="n"/>
      <c r="U887" s="11" t="n"/>
      <c r="V887" s="10">
        <f>IF(AND(T887="",U887=""),"",IFERROR(INDEX(T_CAPAI,MATCH(T887,L_PER,0),MATCH(U887,L_KED,0)),0))</f>
        <v/>
      </c>
      <c r="W887" s="17">
        <f>IF(OR(B887="",E887="",COUNTA(F887,H887,J887:M887,O887,Q887:R887,T887:U887)=0),"",SUM(G887,I887,N887,P887,S887,V887))</f>
        <v/>
      </c>
      <c r="X887" s="18">
        <f>IF(W887="","",IF(Murid!F887="TL","TL",ROUND(W887/110*100,2)))</f>
        <v/>
      </c>
    </row>
    <row r="888">
      <c r="A888" s="15">
        <f>Murid!A888</f>
        <v/>
      </c>
      <c r="B888" s="15">
        <f>IF(Murid!B888="","",Murid!B888)</f>
        <v/>
      </c>
      <c r="C888" s="16">
        <f>IF(Murid!C888="","",Murid!C888)</f>
        <v/>
      </c>
      <c r="D888" s="15">
        <f>IF(Murid!E888="","",Murid!E888)</f>
        <v/>
      </c>
      <c r="E888" s="11" t="n"/>
      <c r="F888" s="11" t="n"/>
      <c r="G888" s="10">
        <f>IF(F888="","",IFERROR(VLOOKUP(F888,T_JKP,2,FALSE),0))</f>
        <v/>
      </c>
      <c r="H888" s="11" t="n"/>
      <c r="I888" s="17">
        <f>IF(H888="","",IF(H888&gt;=12,40,ROUND(H888*3.33,2)))</f>
        <v/>
      </c>
      <c r="J888" s="11" t="n"/>
      <c r="K888" s="11" t="n"/>
      <c r="L888" s="11" t="n"/>
      <c r="M888" s="11" t="n"/>
      <c r="N888" s="10">
        <f>IF(COUNTA(J888:M888)=0,"",MIN(10,SUMPRODUCT((COUNTIF(J888:M888,L_KOM)&gt;0)*S_KOM)))</f>
        <v/>
      </c>
      <c r="O888" s="11" t="n"/>
      <c r="P888" s="10">
        <f>IF(O888="","",IFERROR(VLOOKUP(O888,T_KHID,2,FALSE),0))</f>
        <v/>
      </c>
      <c r="Q888" s="11" t="n"/>
      <c r="R888" s="11" t="n"/>
      <c r="S888" s="10">
        <f>IF(AND(Q888="",R888=""),"",IFERROR(INDEX(T_LIBAT,MATCH(Q888,L_PER,0),MATCH(R888,L_JENIS,0)),0))</f>
        <v/>
      </c>
      <c r="T888" s="11" t="n"/>
      <c r="U888" s="11" t="n"/>
      <c r="V888" s="10">
        <f>IF(AND(T888="",U888=""),"",IFERROR(INDEX(T_CAPAI,MATCH(T888,L_PER,0),MATCH(U888,L_KED,0)),0))</f>
        <v/>
      </c>
      <c r="W888" s="17">
        <f>IF(OR(B888="",E888="",COUNTA(F888,H888,J888:M888,O888,Q888:R888,T888:U888)=0),"",SUM(G888,I888,N888,P888,S888,V888))</f>
        <v/>
      </c>
      <c r="X888" s="18">
        <f>IF(W888="","",IF(Murid!F888="TL","TL",ROUND(W888/110*100,2)))</f>
        <v/>
      </c>
    </row>
    <row r="889">
      <c r="A889" s="15">
        <f>Murid!A889</f>
        <v/>
      </c>
      <c r="B889" s="15">
        <f>IF(Murid!B889="","",Murid!B889)</f>
        <v/>
      </c>
      <c r="C889" s="16">
        <f>IF(Murid!C889="","",Murid!C889)</f>
        <v/>
      </c>
      <c r="D889" s="15">
        <f>IF(Murid!E889="","",Murid!E889)</f>
        <v/>
      </c>
      <c r="E889" s="11" t="n"/>
      <c r="F889" s="11" t="n"/>
      <c r="G889" s="10">
        <f>IF(F889="","",IFERROR(VLOOKUP(F889,T_JKP,2,FALSE),0))</f>
        <v/>
      </c>
      <c r="H889" s="11" t="n"/>
      <c r="I889" s="17">
        <f>IF(H889="","",IF(H889&gt;=12,40,ROUND(H889*3.33,2)))</f>
        <v/>
      </c>
      <c r="J889" s="11" t="n"/>
      <c r="K889" s="11" t="n"/>
      <c r="L889" s="11" t="n"/>
      <c r="M889" s="11" t="n"/>
      <c r="N889" s="10">
        <f>IF(COUNTA(J889:M889)=0,"",MIN(10,SUMPRODUCT((COUNTIF(J889:M889,L_KOM)&gt;0)*S_KOM)))</f>
        <v/>
      </c>
      <c r="O889" s="11" t="n"/>
      <c r="P889" s="10">
        <f>IF(O889="","",IFERROR(VLOOKUP(O889,T_KHID,2,FALSE),0))</f>
        <v/>
      </c>
      <c r="Q889" s="11" t="n"/>
      <c r="R889" s="11" t="n"/>
      <c r="S889" s="10">
        <f>IF(AND(Q889="",R889=""),"",IFERROR(INDEX(T_LIBAT,MATCH(Q889,L_PER,0),MATCH(R889,L_JENIS,0)),0))</f>
        <v/>
      </c>
      <c r="T889" s="11" t="n"/>
      <c r="U889" s="11" t="n"/>
      <c r="V889" s="10">
        <f>IF(AND(T889="",U889=""),"",IFERROR(INDEX(T_CAPAI,MATCH(T889,L_PER,0),MATCH(U889,L_KED,0)),0))</f>
        <v/>
      </c>
      <c r="W889" s="17">
        <f>IF(OR(B889="",E889="",COUNTA(F889,H889,J889:M889,O889,Q889:R889,T889:U889)=0),"",SUM(G889,I889,N889,P889,S889,V889))</f>
        <v/>
      </c>
      <c r="X889" s="18">
        <f>IF(W889="","",IF(Murid!F889="TL","TL",ROUND(W889/110*100,2)))</f>
        <v/>
      </c>
    </row>
    <row r="890">
      <c r="A890" s="15">
        <f>Murid!A890</f>
        <v/>
      </c>
      <c r="B890" s="15">
        <f>IF(Murid!B890="","",Murid!B890)</f>
        <v/>
      </c>
      <c r="C890" s="16">
        <f>IF(Murid!C890="","",Murid!C890)</f>
        <v/>
      </c>
      <c r="D890" s="15">
        <f>IF(Murid!E890="","",Murid!E890)</f>
        <v/>
      </c>
      <c r="E890" s="11" t="n"/>
      <c r="F890" s="11" t="n"/>
      <c r="G890" s="10">
        <f>IF(F890="","",IFERROR(VLOOKUP(F890,T_JKP,2,FALSE),0))</f>
        <v/>
      </c>
      <c r="H890" s="11" t="n"/>
      <c r="I890" s="17">
        <f>IF(H890="","",IF(H890&gt;=12,40,ROUND(H890*3.33,2)))</f>
        <v/>
      </c>
      <c r="J890" s="11" t="n"/>
      <c r="K890" s="11" t="n"/>
      <c r="L890" s="11" t="n"/>
      <c r="M890" s="11" t="n"/>
      <c r="N890" s="10">
        <f>IF(COUNTA(J890:M890)=0,"",MIN(10,SUMPRODUCT((COUNTIF(J890:M890,L_KOM)&gt;0)*S_KOM)))</f>
        <v/>
      </c>
      <c r="O890" s="11" t="n"/>
      <c r="P890" s="10">
        <f>IF(O890="","",IFERROR(VLOOKUP(O890,T_KHID,2,FALSE),0))</f>
        <v/>
      </c>
      <c r="Q890" s="11" t="n"/>
      <c r="R890" s="11" t="n"/>
      <c r="S890" s="10">
        <f>IF(AND(Q890="",R890=""),"",IFERROR(INDEX(T_LIBAT,MATCH(Q890,L_PER,0),MATCH(R890,L_JENIS,0)),0))</f>
        <v/>
      </c>
      <c r="T890" s="11" t="n"/>
      <c r="U890" s="11" t="n"/>
      <c r="V890" s="10">
        <f>IF(AND(T890="",U890=""),"",IFERROR(INDEX(T_CAPAI,MATCH(T890,L_PER,0),MATCH(U890,L_KED,0)),0))</f>
        <v/>
      </c>
      <c r="W890" s="17">
        <f>IF(OR(B890="",E890="",COUNTA(F890,H890,J890:M890,O890,Q890:R890,T890:U890)=0),"",SUM(G890,I890,N890,P890,S890,V890))</f>
        <v/>
      </c>
      <c r="X890" s="18">
        <f>IF(W890="","",IF(Murid!F890="TL","TL",ROUND(W890/110*100,2)))</f>
        <v/>
      </c>
    </row>
    <row r="891">
      <c r="A891" s="15">
        <f>Murid!A891</f>
        <v/>
      </c>
      <c r="B891" s="15">
        <f>IF(Murid!B891="","",Murid!B891)</f>
        <v/>
      </c>
      <c r="C891" s="16">
        <f>IF(Murid!C891="","",Murid!C891)</f>
        <v/>
      </c>
      <c r="D891" s="15">
        <f>IF(Murid!E891="","",Murid!E891)</f>
        <v/>
      </c>
      <c r="E891" s="11" t="n"/>
      <c r="F891" s="11" t="n"/>
      <c r="G891" s="10">
        <f>IF(F891="","",IFERROR(VLOOKUP(F891,T_JKP,2,FALSE),0))</f>
        <v/>
      </c>
      <c r="H891" s="11" t="n"/>
      <c r="I891" s="17">
        <f>IF(H891="","",IF(H891&gt;=12,40,ROUND(H891*3.33,2)))</f>
        <v/>
      </c>
      <c r="J891" s="11" t="n"/>
      <c r="K891" s="11" t="n"/>
      <c r="L891" s="11" t="n"/>
      <c r="M891" s="11" t="n"/>
      <c r="N891" s="10">
        <f>IF(COUNTA(J891:M891)=0,"",MIN(10,SUMPRODUCT((COUNTIF(J891:M891,L_KOM)&gt;0)*S_KOM)))</f>
        <v/>
      </c>
      <c r="O891" s="11" t="n"/>
      <c r="P891" s="10">
        <f>IF(O891="","",IFERROR(VLOOKUP(O891,T_KHID,2,FALSE),0))</f>
        <v/>
      </c>
      <c r="Q891" s="11" t="n"/>
      <c r="R891" s="11" t="n"/>
      <c r="S891" s="10">
        <f>IF(AND(Q891="",R891=""),"",IFERROR(INDEX(T_LIBAT,MATCH(Q891,L_PER,0),MATCH(R891,L_JENIS,0)),0))</f>
        <v/>
      </c>
      <c r="T891" s="11" t="n"/>
      <c r="U891" s="11" t="n"/>
      <c r="V891" s="10">
        <f>IF(AND(T891="",U891=""),"",IFERROR(INDEX(T_CAPAI,MATCH(T891,L_PER,0),MATCH(U891,L_KED,0)),0))</f>
        <v/>
      </c>
      <c r="W891" s="17">
        <f>IF(OR(B891="",E891="",COUNTA(F891,H891,J891:M891,O891,Q891:R891,T891:U891)=0),"",SUM(G891,I891,N891,P891,S891,V891))</f>
        <v/>
      </c>
      <c r="X891" s="18">
        <f>IF(W891="","",IF(Murid!F891="TL","TL",ROUND(W891/110*100,2)))</f>
        <v/>
      </c>
    </row>
    <row r="892">
      <c r="A892" s="15">
        <f>Murid!A892</f>
        <v/>
      </c>
      <c r="B892" s="15">
        <f>IF(Murid!B892="","",Murid!B892)</f>
        <v/>
      </c>
      <c r="C892" s="16">
        <f>IF(Murid!C892="","",Murid!C892)</f>
        <v/>
      </c>
      <c r="D892" s="15">
        <f>IF(Murid!E892="","",Murid!E892)</f>
        <v/>
      </c>
      <c r="E892" s="11" t="n"/>
      <c r="F892" s="11" t="n"/>
      <c r="G892" s="10">
        <f>IF(F892="","",IFERROR(VLOOKUP(F892,T_JKP,2,FALSE),0))</f>
        <v/>
      </c>
      <c r="H892" s="11" t="n"/>
      <c r="I892" s="17">
        <f>IF(H892="","",IF(H892&gt;=12,40,ROUND(H892*3.33,2)))</f>
        <v/>
      </c>
      <c r="J892" s="11" t="n"/>
      <c r="K892" s="11" t="n"/>
      <c r="L892" s="11" t="n"/>
      <c r="M892" s="11" t="n"/>
      <c r="N892" s="10">
        <f>IF(COUNTA(J892:M892)=0,"",MIN(10,SUMPRODUCT((COUNTIF(J892:M892,L_KOM)&gt;0)*S_KOM)))</f>
        <v/>
      </c>
      <c r="O892" s="11" t="n"/>
      <c r="P892" s="10">
        <f>IF(O892="","",IFERROR(VLOOKUP(O892,T_KHID,2,FALSE),0))</f>
        <v/>
      </c>
      <c r="Q892" s="11" t="n"/>
      <c r="R892" s="11" t="n"/>
      <c r="S892" s="10">
        <f>IF(AND(Q892="",R892=""),"",IFERROR(INDEX(T_LIBAT,MATCH(Q892,L_PER,0),MATCH(R892,L_JENIS,0)),0))</f>
        <v/>
      </c>
      <c r="T892" s="11" t="n"/>
      <c r="U892" s="11" t="n"/>
      <c r="V892" s="10">
        <f>IF(AND(T892="",U892=""),"",IFERROR(INDEX(T_CAPAI,MATCH(T892,L_PER,0),MATCH(U892,L_KED,0)),0))</f>
        <v/>
      </c>
      <c r="W892" s="17">
        <f>IF(OR(B892="",E892="",COUNTA(F892,H892,J892:M892,O892,Q892:R892,T892:U892)=0),"",SUM(G892,I892,N892,P892,S892,V892))</f>
        <v/>
      </c>
      <c r="X892" s="18">
        <f>IF(W892="","",IF(Murid!F892="TL","TL",ROUND(W892/110*100,2)))</f>
        <v/>
      </c>
    </row>
    <row r="893">
      <c r="A893" s="15">
        <f>Murid!A893</f>
        <v/>
      </c>
      <c r="B893" s="15">
        <f>IF(Murid!B893="","",Murid!B893)</f>
        <v/>
      </c>
      <c r="C893" s="16">
        <f>IF(Murid!C893="","",Murid!C893)</f>
        <v/>
      </c>
      <c r="D893" s="15">
        <f>IF(Murid!E893="","",Murid!E893)</f>
        <v/>
      </c>
      <c r="E893" s="11" t="n"/>
      <c r="F893" s="11" t="n"/>
      <c r="G893" s="10">
        <f>IF(F893="","",IFERROR(VLOOKUP(F893,T_JKP,2,FALSE),0))</f>
        <v/>
      </c>
      <c r="H893" s="11" t="n"/>
      <c r="I893" s="17">
        <f>IF(H893="","",IF(H893&gt;=12,40,ROUND(H893*3.33,2)))</f>
        <v/>
      </c>
      <c r="J893" s="11" t="n"/>
      <c r="K893" s="11" t="n"/>
      <c r="L893" s="11" t="n"/>
      <c r="M893" s="11" t="n"/>
      <c r="N893" s="10">
        <f>IF(COUNTA(J893:M893)=0,"",MIN(10,SUMPRODUCT((COUNTIF(J893:M893,L_KOM)&gt;0)*S_KOM)))</f>
        <v/>
      </c>
      <c r="O893" s="11" t="n"/>
      <c r="P893" s="10">
        <f>IF(O893="","",IFERROR(VLOOKUP(O893,T_KHID,2,FALSE),0))</f>
        <v/>
      </c>
      <c r="Q893" s="11" t="n"/>
      <c r="R893" s="11" t="n"/>
      <c r="S893" s="10">
        <f>IF(AND(Q893="",R893=""),"",IFERROR(INDEX(T_LIBAT,MATCH(Q893,L_PER,0),MATCH(R893,L_JENIS,0)),0))</f>
        <v/>
      </c>
      <c r="T893" s="11" t="n"/>
      <c r="U893" s="11" t="n"/>
      <c r="V893" s="10">
        <f>IF(AND(T893="",U893=""),"",IFERROR(INDEX(T_CAPAI,MATCH(T893,L_PER,0),MATCH(U893,L_KED,0)),0))</f>
        <v/>
      </c>
      <c r="W893" s="17">
        <f>IF(OR(B893="",E893="",COUNTA(F893,H893,J893:M893,O893,Q893:R893,T893:U893)=0),"",SUM(G893,I893,N893,P893,S893,V893))</f>
        <v/>
      </c>
      <c r="X893" s="18">
        <f>IF(W893="","",IF(Murid!F893="TL","TL",ROUND(W893/110*100,2)))</f>
        <v/>
      </c>
    </row>
    <row r="894">
      <c r="A894" s="15">
        <f>Murid!A894</f>
        <v/>
      </c>
      <c r="B894" s="15">
        <f>IF(Murid!B894="","",Murid!B894)</f>
        <v/>
      </c>
      <c r="C894" s="16">
        <f>IF(Murid!C894="","",Murid!C894)</f>
        <v/>
      </c>
      <c r="D894" s="15">
        <f>IF(Murid!E894="","",Murid!E894)</f>
        <v/>
      </c>
      <c r="E894" s="11" t="n"/>
      <c r="F894" s="11" t="n"/>
      <c r="G894" s="10">
        <f>IF(F894="","",IFERROR(VLOOKUP(F894,T_JKP,2,FALSE),0))</f>
        <v/>
      </c>
      <c r="H894" s="11" t="n"/>
      <c r="I894" s="17">
        <f>IF(H894="","",IF(H894&gt;=12,40,ROUND(H894*3.33,2)))</f>
        <v/>
      </c>
      <c r="J894" s="11" t="n"/>
      <c r="K894" s="11" t="n"/>
      <c r="L894" s="11" t="n"/>
      <c r="M894" s="11" t="n"/>
      <c r="N894" s="10">
        <f>IF(COUNTA(J894:M894)=0,"",MIN(10,SUMPRODUCT((COUNTIF(J894:M894,L_KOM)&gt;0)*S_KOM)))</f>
        <v/>
      </c>
      <c r="O894" s="11" t="n"/>
      <c r="P894" s="10">
        <f>IF(O894="","",IFERROR(VLOOKUP(O894,T_KHID,2,FALSE),0))</f>
        <v/>
      </c>
      <c r="Q894" s="11" t="n"/>
      <c r="R894" s="11" t="n"/>
      <c r="S894" s="10">
        <f>IF(AND(Q894="",R894=""),"",IFERROR(INDEX(T_LIBAT,MATCH(Q894,L_PER,0),MATCH(R894,L_JENIS,0)),0))</f>
        <v/>
      </c>
      <c r="T894" s="11" t="n"/>
      <c r="U894" s="11" t="n"/>
      <c r="V894" s="10">
        <f>IF(AND(T894="",U894=""),"",IFERROR(INDEX(T_CAPAI,MATCH(T894,L_PER,0),MATCH(U894,L_KED,0)),0))</f>
        <v/>
      </c>
      <c r="W894" s="17">
        <f>IF(OR(B894="",E894="",COUNTA(F894,H894,J894:M894,O894,Q894:R894,T894:U894)=0),"",SUM(G894,I894,N894,P894,S894,V894))</f>
        <v/>
      </c>
      <c r="X894" s="18">
        <f>IF(W894="","",IF(Murid!F894="TL","TL",ROUND(W894/110*100,2)))</f>
        <v/>
      </c>
    </row>
    <row r="895">
      <c r="A895" s="15">
        <f>Murid!A895</f>
        <v/>
      </c>
      <c r="B895" s="15">
        <f>IF(Murid!B895="","",Murid!B895)</f>
        <v/>
      </c>
      <c r="C895" s="16">
        <f>IF(Murid!C895="","",Murid!C895)</f>
        <v/>
      </c>
      <c r="D895" s="15">
        <f>IF(Murid!E895="","",Murid!E895)</f>
        <v/>
      </c>
      <c r="E895" s="11" t="n"/>
      <c r="F895" s="11" t="n"/>
      <c r="G895" s="10">
        <f>IF(F895="","",IFERROR(VLOOKUP(F895,T_JKP,2,FALSE),0))</f>
        <v/>
      </c>
      <c r="H895" s="11" t="n"/>
      <c r="I895" s="17">
        <f>IF(H895="","",IF(H895&gt;=12,40,ROUND(H895*3.33,2)))</f>
        <v/>
      </c>
      <c r="J895" s="11" t="n"/>
      <c r="K895" s="11" t="n"/>
      <c r="L895" s="11" t="n"/>
      <c r="M895" s="11" t="n"/>
      <c r="N895" s="10">
        <f>IF(COUNTA(J895:M895)=0,"",MIN(10,SUMPRODUCT((COUNTIF(J895:M895,L_KOM)&gt;0)*S_KOM)))</f>
        <v/>
      </c>
      <c r="O895" s="11" t="n"/>
      <c r="P895" s="10">
        <f>IF(O895="","",IFERROR(VLOOKUP(O895,T_KHID,2,FALSE),0))</f>
        <v/>
      </c>
      <c r="Q895" s="11" t="n"/>
      <c r="R895" s="11" t="n"/>
      <c r="S895" s="10">
        <f>IF(AND(Q895="",R895=""),"",IFERROR(INDEX(T_LIBAT,MATCH(Q895,L_PER,0),MATCH(R895,L_JENIS,0)),0))</f>
        <v/>
      </c>
      <c r="T895" s="11" t="n"/>
      <c r="U895" s="11" t="n"/>
      <c r="V895" s="10">
        <f>IF(AND(T895="",U895=""),"",IFERROR(INDEX(T_CAPAI,MATCH(T895,L_PER,0),MATCH(U895,L_KED,0)),0))</f>
        <v/>
      </c>
      <c r="W895" s="17">
        <f>IF(OR(B895="",E895="",COUNTA(F895,H895,J895:M895,O895,Q895:R895,T895:U895)=0),"",SUM(G895,I895,N895,P895,S895,V895))</f>
        <v/>
      </c>
      <c r="X895" s="18">
        <f>IF(W895="","",IF(Murid!F895="TL","TL",ROUND(W895/110*100,2)))</f>
        <v/>
      </c>
    </row>
    <row r="896">
      <c r="A896" s="15">
        <f>Murid!A896</f>
        <v/>
      </c>
      <c r="B896" s="15">
        <f>IF(Murid!B896="","",Murid!B896)</f>
        <v/>
      </c>
      <c r="C896" s="16">
        <f>IF(Murid!C896="","",Murid!C896)</f>
        <v/>
      </c>
      <c r="D896" s="15">
        <f>IF(Murid!E896="","",Murid!E896)</f>
        <v/>
      </c>
      <c r="E896" s="11" t="n"/>
      <c r="F896" s="11" t="n"/>
      <c r="G896" s="10">
        <f>IF(F896="","",IFERROR(VLOOKUP(F896,T_JKP,2,FALSE),0))</f>
        <v/>
      </c>
      <c r="H896" s="11" t="n"/>
      <c r="I896" s="17">
        <f>IF(H896="","",IF(H896&gt;=12,40,ROUND(H896*3.33,2)))</f>
        <v/>
      </c>
      <c r="J896" s="11" t="n"/>
      <c r="K896" s="11" t="n"/>
      <c r="L896" s="11" t="n"/>
      <c r="M896" s="11" t="n"/>
      <c r="N896" s="10">
        <f>IF(COUNTA(J896:M896)=0,"",MIN(10,SUMPRODUCT((COUNTIF(J896:M896,L_KOM)&gt;0)*S_KOM)))</f>
        <v/>
      </c>
      <c r="O896" s="11" t="n"/>
      <c r="P896" s="10">
        <f>IF(O896="","",IFERROR(VLOOKUP(O896,T_KHID,2,FALSE),0))</f>
        <v/>
      </c>
      <c r="Q896" s="11" t="n"/>
      <c r="R896" s="11" t="n"/>
      <c r="S896" s="10">
        <f>IF(AND(Q896="",R896=""),"",IFERROR(INDEX(T_LIBAT,MATCH(Q896,L_PER,0),MATCH(R896,L_JENIS,0)),0))</f>
        <v/>
      </c>
      <c r="T896" s="11" t="n"/>
      <c r="U896" s="11" t="n"/>
      <c r="V896" s="10">
        <f>IF(AND(T896="",U896=""),"",IFERROR(INDEX(T_CAPAI,MATCH(T896,L_PER,0),MATCH(U896,L_KED,0)),0))</f>
        <v/>
      </c>
      <c r="W896" s="17">
        <f>IF(OR(B896="",E896="",COUNTA(F896,H896,J896:M896,O896,Q896:R896,T896:U896)=0),"",SUM(G896,I896,N896,P896,S896,V896))</f>
        <v/>
      </c>
      <c r="X896" s="18">
        <f>IF(W896="","",IF(Murid!F896="TL","TL",ROUND(W896/110*100,2)))</f>
        <v/>
      </c>
    </row>
    <row r="897">
      <c r="A897" s="15">
        <f>Murid!A897</f>
        <v/>
      </c>
      <c r="B897" s="15">
        <f>IF(Murid!B897="","",Murid!B897)</f>
        <v/>
      </c>
      <c r="C897" s="16">
        <f>IF(Murid!C897="","",Murid!C897)</f>
        <v/>
      </c>
      <c r="D897" s="15">
        <f>IF(Murid!E897="","",Murid!E897)</f>
        <v/>
      </c>
      <c r="E897" s="11" t="n"/>
      <c r="F897" s="11" t="n"/>
      <c r="G897" s="10">
        <f>IF(F897="","",IFERROR(VLOOKUP(F897,T_JKP,2,FALSE),0))</f>
        <v/>
      </c>
      <c r="H897" s="11" t="n"/>
      <c r="I897" s="17">
        <f>IF(H897="","",IF(H897&gt;=12,40,ROUND(H897*3.33,2)))</f>
        <v/>
      </c>
      <c r="J897" s="11" t="n"/>
      <c r="K897" s="11" t="n"/>
      <c r="L897" s="11" t="n"/>
      <c r="M897" s="11" t="n"/>
      <c r="N897" s="10">
        <f>IF(COUNTA(J897:M897)=0,"",MIN(10,SUMPRODUCT((COUNTIF(J897:M897,L_KOM)&gt;0)*S_KOM)))</f>
        <v/>
      </c>
      <c r="O897" s="11" t="n"/>
      <c r="P897" s="10">
        <f>IF(O897="","",IFERROR(VLOOKUP(O897,T_KHID,2,FALSE),0))</f>
        <v/>
      </c>
      <c r="Q897" s="11" t="n"/>
      <c r="R897" s="11" t="n"/>
      <c r="S897" s="10">
        <f>IF(AND(Q897="",R897=""),"",IFERROR(INDEX(T_LIBAT,MATCH(Q897,L_PER,0),MATCH(R897,L_JENIS,0)),0))</f>
        <v/>
      </c>
      <c r="T897" s="11" t="n"/>
      <c r="U897" s="11" t="n"/>
      <c r="V897" s="10">
        <f>IF(AND(T897="",U897=""),"",IFERROR(INDEX(T_CAPAI,MATCH(T897,L_PER,0),MATCH(U897,L_KED,0)),0))</f>
        <v/>
      </c>
      <c r="W897" s="17">
        <f>IF(OR(B897="",E897="",COUNTA(F897,H897,J897:M897,O897,Q897:R897,T897:U897)=0),"",SUM(G897,I897,N897,P897,S897,V897))</f>
        <v/>
      </c>
      <c r="X897" s="18">
        <f>IF(W897="","",IF(Murid!F897="TL","TL",ROUND(W897/110*100,2)))</f>
        <v/>
      </c>
    </row>
    <row r="898">
      <c r="A898" s="15">
        <f>Murid!A898</f>
        <v/>
      </c>
      <c r="B898" s="15">
        <f>IF(Murid!B898="","",Murid!B898)</f>
        <v/>
      </c>
      <c r="C898" s="16">
        <f>IF(Murid!C898="","",Murid!C898)</f>
        <v/>
      </c>
      <c r="D898" s="15">
        <f>IF(Murid!E898="","",Murid!E898)</f>
        <v/>
      </c>
      <c r="E898" s="11" t="n"/>
      <c r="F898" s="11" t="n"/>
      <c r="G898" s="10">
        <f>IF(F898="","",IFERROR(VLOOKUP(F898,T_JKP,2,FALSE),0))</f>
        <v/>
      </c>
      <c r="H898" s="11" t="n"/>
      <c r="I898" s="17">
        <f>IF(H898="","",IF(H898&gt;=12,40,ROUND(H898*3.33,2)))</f>
        <v/>
      </c>
      <c r="J898" s="11" t="n"/>
      <c r="K898" s="11" t="n"/>
      <c r="L898" s="11" t="n"/>
      <c r="M898" s="11" t="n"/>
      <c r="N898" s="10">
        <f>IF(COUNTA(J898:M898)=0,"",MIN(10,SUMPRODUCT((COUNTIF(J898:M898,L_KOM)&gt;0)*S_KOM)))</f>
        <v/>
      </c>
      <c r="O898" s="11" t="n"/>
      <c r="P898" s="10">
        <f>IF(O898="","",IFERROR(VLOOKUP(O898,T_KHID,2,FALSE),0))</f>
        <v/>
      </c>
      <c r="Q898" s="11" t="n"/>
      <c r="R898" s="11" t="n"/>
      <c r="S898" s="10">
        <f>IF(AND(Q898="",R898=""),"",IFERROR(INDEX(T_LIBAT,MATCH(Q898,L_PER,0),MATCH(R898,L_JENIS,0)),0))</f>
        <v/>
      </c>
      <c r="T898" s="11" t="n"/>
      <c r="U898" s="11" t="n"/>
      <c r="V898" s="10">
        <f>IF(AND(T898="",U898=""),"",IFERROR(INDEX(T_CAPAI,MATCH(T898,L_PER,0),MATCH(U898,L_KED,0)),0))</f>
        <v/>
      </c>
      <c r="W898" s="17">
        <f>IF(OR(B898="",E898="",COUNTA(F898,H898,J898:M898,O898,Q898:R898,T898:U898)=0),"",SUM(G898,I898,N898,P898,S898,V898))</f>
        <v/>
      </c>
      <c r="X898" s="18">
        <f>IF(W898="","",IF(Murid!F898="TL","TL",ROUND(W898/110*100,2)))</f>
        <v/>
      </c>
    </row>
    <row r="899">
      <c r="A899" s="15">
        <f>Murid!A899</f>
        <v/>
      </c>
      <c r="B899" s="15">
        <f>IF(Murid!B899="","",Murid!B899)</f>
        <v/>
      </c>
      <c r="C899" s="16">
        <f>IF(Murid!C899="","",Murid!C899)</f>
        <v/>
      </c>
      <c r="D899" s="15">
        <f>IF(Murid!E899="","",Murid!E899)</f>
        <v/>
      </c>
      <c r="E899" s="11" t="n"/>
      <c r="F899" s="11" t="n"/>
      <c r="G899" s="10">
        <f>IF(F899="","",IFERROR(VLOOKUP(F899,T_JKP,2,FALSE),0))</f>
        <v/>
      </c>
      <c r="H899" s="11" t="n"/>
      <c r="I899" s="17">
        <f>IF(H899="","",IF(H899&gt;=12,40,ROUND(H899*3.33,2)))</f>
        <v/>
      </c>
      <c r="J899" s="11" t="n"/>
      <c r="K899" s="11" t="n"/>
      <c r="L899" s="11" t="n"/>
      <c r="M899" s="11" t="n"/>
      <c r="N899" s="10">
        <f>IF(COUNTA(J899:M899)=0,"",MIN(10,SUMPRODUCT((COUNTIF(J899:M899,L_KOM)&gt;0)*S_KOM)))</f>
        <v/>
      </c>
      <c r="O899" s="11" t="n"/>
      <c r="P899" s="10">
        <f>IF(O899="","",IFERROR(VLOOKUP(O899,T_KHID,2,FALSE),0))</f>
        <v/>
      </c>
      <c r="Q899" s="11" t="n"/>
      <c r="R899" s="11" t="n"/>
      <c r="S899" s="10">
        <f>IF(AND(Q899="",R899=""),"",IFERROR(INDEX(T_LIBAT,MATCH(Q899,L_PER,0),MATCH(R899,L_JENIS,0)),0))</f>
        <v/>
      </c>
      <c r="T899" s="11" t="n"/>
      <c r="U899" s="11" t="n"/>
      <c r="V899" s="10">
        <f>IF(AND(T899="",U899=""),"",IFERROR(INDEX(T_CAPAI,MATCH(T899,L_PER,0),MATCH(U899,L_KED,0)),0))</f>
        <v/>
      </c>
      <c r="W899" s="17">
        <f>IF(OR(B899="",E899="",COUNTA(F899,H899,J899:M899,O899,Q899:R899,T899:U899)=0),"",SUM(G899,I899,N899,P899,S899,V899))</f>
        <v/>
      </c>
      <c r="X899" s="18">
        <f>IF(W899="","",IF(Murid!F899="TL","TL",ROUND(W899/110*100,2)))</f>
        <v/>
      </c>
    </row>
    <row r="900">
      <c r="A900" s="15">
        <f>Murid!A900</f>
        <v/>
      </c>
      <c r="B900" s="15">
        <f>IF(Murid!B900="","",Murid!B900)</f>
        <v/>
      </c>
      <c r="C900" s="16">
        <f>IF(Murid!C900="","",Murid!C900)</f>
        <v/>
      </c>
      <c r="D900" s="15">
        <f>IF(Murid!E900="","",Murid!E900)</f>
        <v/>
      </c>
      <c r="E900" s="11" t="n"/>
      <c r="F900" s="11" t="n"/>
      <c r="G900" s="10">
        <f>IF(F900="","",IFERROR(VLOOKUP(F900,T_JKP,2,FALSE),0))</f>
        <v/>
      </c>
      <c r="H900" s="11" t="n"/>
      <c r="I900" s="17">
        <f>IF(H900="","",IF(H900&gt;=12,40,ROUND(H900*3.33,2)))</f>
        <v/>
      </c>
      <c r="J900" s="11" t="n"/>
      <c r="K900" s="11" t="n"/>
      <c r="L900" s="11" t="n"/>
      <c r="M900" s="11" t="n"/>
      <c r="N900" s="10">
        <f>IF(COUNTA(J900:M900)=0,"",MIN(10,SUMPRODUCT((COUNTIF(J900:M900,L_KOM)&gt;0)*S_KOM)))</f>
        <v/>
      </c>
      <c r="O900" s="11" t="n"/>
      <c r="P900" s="10">
        <f>IF(O900="","",IFERROR(VLOOKUP(O900,T_KHID,2,FALSE),0))</f>
        <v/>
      </c>
      <c r="Q900" s="11" t="n"/>
      <c r="R900" s="11" t="n"/>
      <c r="S900" s="10">
        <f>IF(AND(Q900="",R900=""),"",IFERROR(INDEX(T_LIBAT,MATCH(Q900,L_PER,0),MATCH(R900,L_JENIS,0)),0))</f>
        <v/>
      </c>
      <c r="T900" s="11" t="n"/>
      <c r="U900" s="11" t="n"/>
      <c r="V900" s="10">
        <f>IF(AND(T900="",U900=""),"",IFERROR(INDEX(T_CAPAI,MATCH(T900,L_PER,0),MATCH(U900,L_KED,0)),0))</f>
        <v/>
      </c>
      <c r="W900" s="17">
        <f>IF(OR(B900="",E900="",COUNTA(F900,H900,J900:M900,O900,Q900:R900,T900:U900)=0),"",SUM(G900,I900,N900,P900,S900,V900))</f>
        <v/>
      </c>
      <c r="X900" s="18">
        <f>IF(W900="","",IF(Murid!F900="TL","TL",ROUND(W900/110*100,2)))</f>
        <v/>
      </c>
    </row>
    <row r="901">
      <c r="A901" s="15">
        <f>Murid!A901</f>
        <v/>
      </c>
      <c r="B901" s="15">
        <f>IF(Murid!B901="","",Murid!B901)</f>
        <v/>
      </c>
      <c r="C901" s="16">
        <f>IF(Murid!C901="","",Murid!C901)</f>
        <v/>
      </c>
      <c r="D901" s="15">
        <f>IF(Murid!E901="","",Murid!E901)</f>
        <v/>
      </c>
      <c r="E901" s="11" t="n"/>
      <c r="F901" s="11" t="n"/>
      <c r="G901" s="10">
        <f>IF(F901="","",IFERROR(VLOOKUP(F901,T_JKP,2,FALSE),0))</f>
        <v/>
      </c>
      <c r="H901" s="11" t="n"/>
      <c r="I901" s="17">
        <f>IF(H901="","",IF(H901&gt;=12,40,ROUND(H901*3.33,2)))</f>
        <v/>
      </c>
      <c r="J901" s="11" t="n"/>
      <c r="K901" s="11" t="n"/>
      <c r="L901" s="11" t="n"/>
      <c r="M901" s="11" t="n"/>
      <c r="N901" s="10">
        <f>IF(COUNTA(J901:M901)=0,"",MIN(10,SUMPRODUCT((COUNTIF(J901:M901,L_KOM)&gt;0)*S_KOM)))</f>
        <v/>
      </c>
      <c r="O901" s="11" t="n"/>
      <c r="P901" s="10">
        <f>IF(O901="","",IFERROR(VLOOKUP(O901,T_KHID,2,FALSE),0))</f>
        <v/>
      </c>
      <c r="Q901" s="11" t="n"/>
      <c r="R901" s="11" t="n"/>
      <c r="S901" s="10">
        <f>IF(AND(Q901="",R901=""),"",IFERROR(INDEX(T_LIBAT,MATCH(Q901,L_PER,0),MATCH(R901,L_JENIS,0)),0))</f>
        <v/>
      </c>
      <c r="T901" s="11" t="n"/>
      <c r="U901" s="11" t="n"/>
      <c r="V901" s="10">
        <f>IF(AND(T901="",U901=""),"",IFERROR(INDEX(T_CAPAI,MATCH(T901,L_PER,0),MATCH(U901,L_KED,0)),0))</f>
        <v/>
      </c>
      <c r="W901" s="17">
        <f>IF(OR(B901="",E901="",COUNTA(F901,H901,J901:M901,O901,Q901:R901,T901:U901)=0),"",SUM(G901,I901,N901,P901,S901,V901))</f>
        <v/>
      </c>
      <c r="X901" s="18">
        <f>IF(W901="","",IF(Murid!F901="TL","TL",ROUND(W901/110*100,2)))</f>
        <v/>
      </c>
    </row>
    <row r="902">
      <c r="A902" s="15">
        <f>Murid!A902</f>
        <v/>
      </c>
      <c r="B902" s="15">
        <f>IF(Murid!B902="","",Murid!B902)</f>
        <v/>
      </c>
      <c r="C902" s="16">
        <f>IF(Murid!C902="","",Murid!C902)</f>
        <v/>
      </c>
      <c r="D902" s="15">
        <f>IF(Murid!E902="","",Murid!E902)</f>
        <v/>
      </c>
      <c r="E902" s="11" t="n"/>
      <c r="F902" s="11" t="n"/>
      <c r="G902" s="10">
        <f>IF(F902="","",IFERROR(VLOOKUP(F902,T_JKP,2,FALSE),0))</f>
        <v/>
      </c>
      <c r="H902" s="11" t="n"/>
      <c r="I902" s="17">
        <f>IF(H902="","",IF(H902&gt;=12,40,ROUND(H902*3.33,2)))</f>
        <v/>
      </c>
      <c r="J902" s="11" t="n"/>
      <c r="K902" s="11" t="n"/>
      <c r="L902" s="11" t="n"/>
      <c r="M902" s="11" t="n"/>
      <c r="N902" s="10">
        <f>IF(COUNTA(J902:M902)=0,"",MIN(10,SUMPRODUCT((COUNTIF(J902:M902,L_KOM)&gt;0)*S_KOM)))</f>
        <v/>
      </c>
      <c r="O902" s="11" t="n"/>
      <c r="P902" s="10">
        <f>IF(O902="","",IFERROR(VLOOKUP(O902,T_KHID,2,FALSE),0))</f>
        <v/>
      </c>
      <c r="Q902" s="11" t="n"/>
      <c r="R902" s="11" t="n"/>
      <c r="S902" s="10">
        <f>IF(AND(Q902="",R902=""),"",IFERROR(INDEX(T_LIBAT,MATCH(Q902,L_PER,0),MATCH(R902,L_JENIS,0)),0))</f>
        <v/>
      </c>
      <c r="T902" s="11" t="n"/>
      <c r="U902" s="11" t="n"/>
      <c r="V902" s="10">
        <f>IF(AND(T902="",U902=""),"",IFERROR(INDEX(T_CAPAI,MATCH(T902,L_PER,0),MATCH(U902,L_KED,0)),0))</f>
        <v/>
      </c>
      <c r="W902" s="17">
        <f>IF(OR(B902="",E902="",COUNTA(F902,H902,J902:M902,O902,Q902:R902,T902:U902)=0),"",SUM(G902,I902,N902,P902,S902,V902))</f>
        <v/>
      </c>
      <c r="X902" s="18">
        <f>IF(W902="","",IF(Murid!F902="TL","TL",ROUND(W902/110*100,2)))</f>
        <v/>
      </c>
    </row>
    <row r="903">
      <c r="A903" s="15">
        <f>Murid!A903</f>
        <v/>
      </c>
      <c r="B903" s="15">
        <f>IF(Murid!B903="","",Murid!B903)</f>
        <v/>
      </c>
      <c r="C903" s="16">
        <f>IF(Murid!C903="","",Murid!C903)</f>
        <v/>
      </c>
      <c r="D903" s="15">
        <f>IF(Murid!E903="","",Murid!E903)</f>
        <v/>
      </c>
      <c r="E903" s="11" t="n"/>
      <c r="F903" s="11" t="n"/>
      <c r="G903" s="10">
        <f>IF(F903="","",IFERROR(VLOOKUP(F903,T_JKP,2,FALSE),0))</f>
        <v/>
      </c>
      <c r="H903" s="11" t="n"/>
      <c r="I903" s="17">
        <f>IF(H903="","",IF(H903&gt;=12,40,ROUND(H903*3.33,2)))</f>
        <v/>
      </c>
      <c r="J903" s="11" t="n"/>
      <c r="K903" s="11" t="n"/>
      <c r="L903" s="11" t="n"/>
      <c r="M903" s="11" t="n"/>
      <c r="N903" s="10">
        <f>IF(COUNTA(J903:M903)=0,"",MIN(10,SUMPRODUCT((COUNTIF(J903:M903,L_KOM)&gt;0)*S_KOM)))</f>
        <v/>
      </c>
      <c r="O903" s="11" t="n"/>
      <c r="P903" s="10">
        <f>IF(O903="","",IFERROR(VLOOKUP(O903,T_KHID,2,FALSE),0))</f>
        <v/>
      </c>
      <c r="Q903" s="11" t="n"/>
      <c r="R903" s="11" t="n"/>
      <c r="S903" s="10">
        <f>IF(AND(Q903="",R903=""),"",IFERROR(INDEX(T_LIBAT,MATCH(Q903,L_PER,0),MATCH(R903,L_JENIS,0)),0))</f>
        <v/>
      </c>
      <c r="T903" s="11" t="n"/>
      <c r="U903" s="11" t="n"/>
      <c r="V903" s="10">
        <f>IF(AND(T903="",U903=""),"",IFERROR(INDEX(T_CAPAI,MATCH(T903,L_PER,0),MATCH(U903,L_KED,0)),0))</f>
        <v/>
      </c>
      <c r="W903" s="17">
        <f>IF(OR(B903="",E903="",COUNTA(F903,H903,J903:M903,O903,Q903:R903,T903:U903)=0),"",SUM(G903,I903,N903,P903,S903,V903))</f>
        <v/>
      </c>
      <c r="X903" s="18">
        <f>IF(W903="","",IF(Murid!F903="TL","TL",ROUND(W903/110*100,2)))</f>
        <v/>
      </c>
    </row>
    <row r="904">
      <c r="A904" s="15">
        <f>Murid!A904</f>
        <v/>
      </c>
      <c r="B904" s="15">
        <f>IF(Murid!B904="","",Murid!B904)</f>
        <v/>
      </c>
      <c r="C904" s="16">
        <f>IF(Murid!C904="","",Murid!C904)</f>
        <v/>
      </c>
      <c r="D904" s="15">
        <f>IF(Murid!E904="","",Murid!E904)</f>
        <v/>
      </c>
      <c r="E904" s="11" t="n"/>
      <c r="F904" s="11" t="n"/>
      <c r="G904" s="10">
        <f>IF(F904="","",IFERROR(VLOOKUP(F904,T_JKP,2,FALSE),0))</f>
        <v/>
      </c>
      <c r="H904" s="11" t="n"/>
      <c r="I904" s="17">
        <f>IF(H904="","",IF(H904&gt;=12,40,ROUND(H904*3.33,2)))</f>
        <v/>
      </c>
      <c r="J904" s="11" t="n"/>
      <c r="K904" s="11" t="n"/>
      <c r="L904" s="11" t="n"/>
      <c r="M904" s="11" t="n"/>
      <c r="N904" s="10">
        <f>IF(COUNTA(J904:M904)=0,"",MIN(10,SUMPRODUCT((COUNTIF(J904:M904,L_KOM)&gt;0)*S_KOM)))</f>
        <v/>
      </c>
      <c r="O904" s="11" t="n"/>
      <c r="P904" s="10">
        <f>IF(O904="","",IFERROR(VLOOKUP(O904,T_KHID,2,FALSE),0))</f>
        <v/>
      </c>
      <c r="Q904" s="11" t="n"/>
      <c r="R904" s="11" t="n"/>
      <c r="S904" s="10">
        <f>IF(AND(Q904="",R904=""),"",IFERROR(INDEX(T_LIBAT,MATCH(Q904,L_PER,0),MATCH(R904,L_JENIS,0)),0))</f>
        <v/>
      </c>
      <c r="T904" s="11" t="n"/>
      <c r="U904" s="11" t="n"/>
      <c r="V904" s="10">
        <f>IF(AND(T904="",U904=""),"",IFERROR(INDEX(T_CAPAI,MATCH(T904,L_PER,0),MATCH(U904,L_KED,0)),0))</f>
        <v/>
      </c>
      <c r="W904" s="17">
        <f>IF(OR(B904="",E904="",COUNTA(F904,H904,J904:M904,O904,Q904:R904,T904:U904)=0),"",SUM(G904,I904,N904,P904,S904,V904))</f>
        <v/>
      </c>
      <c r="X904" s="18">
        <f>IF(W904="","",IF(Murid!F904="TL","TL",ROUND(W904/110*100,2)))</f>
        <v/>
      </c>
    </row>
    <row r="905">
      <c r="A905" s="15">
        <f>Murid!A905</f>
        <v/>
      </c>
      <c r="B905" s="15">
        <f>IF(Murid!B905="","",Murid!B905)</f>
        <v/>
      </c>
      <c r="C905" s="16">
        <f>IF(Murid!C905="","",Murid!C905)</f>
        <v/>
      </c>
      <c r="D905" s="15">
        <f>IF(Murid!E905="","",Murid!E905)</f>
        <v/>
      </c>
      <c r="E905" s="11" t="n"/>
      <c r="F905" s="11" t="n"/>
      <c r="G905" s="10">
        <f>IF(F905="","",IFERROR(VLOOKUP(F905,T_JKP,2,FALSE),0))</f>
        <v/>
      </c>
      <c r="H905" s="11" t="n"/>
      <c r="I905" s="17">
        <f>IF(H905="","",IF(H905&gt;=12,40,ROUND(H905*3.33,2)))</f>
        <v/>
      </c>
      <c r="J905" s="11" t="n"/>
      <c r="K905" s="11" t="n"/>
      <c r="L905" s="11" t="n"/>
      <c r="M905" s="11" t="n"/>
      <c r="N905" s="10">
        <f>IF(COUNTA(J905:M905)=0,"",MIN(10,SUMPRODUCT((COUNTIF(J905:M905,L_KOM)&gt;0)*S_KOM)))</f>
        <v/>
      </c>
      <c r="O905" s="11" t="n"/>
      <c r="P905" s="10">
        <f>IF(O905="","",IFERROR(VLOOKUP(O905,T_KHID,2,FALSE),0))</f>
        <v/>
      </c>
      <c r="Q905" s="11" t="n"/>
      <c r="R905" s="11" t="n"/>
      <c r="S905" s="10">
        <f>IF(AND(Q905="",R905=""),"",IFERROR(INDEX(T_LIBAT,MATCH(Q905,L_PER,0),MATCH(R905,L_JENIS,0)),0))</f>
        <v/>
      </c>
      <c r="T905" s="11" t="n"/>
      <c r="U905" s="11" t="n"/>
      <c r="V905" s="10">
        <f>IF(AND(T905="",U905=""),"",IFERROR(INDEX(T_CAPAI,MATCH(T905,L_PER,0),MATCH(U905,L_KED,0)),0))</f>
        <v/>
      </c>
      <c r="W905" s="17">
        <f>IF(OR(B905="",E905="",COUNTA(F905,H905,J905:M905,O905,Q905:R905,T905:U905)=0),"",SUM(G905,I905,N905,P905,S905,V905))</f>
        <v/>
      </c>
      <c r="X905" s="18">
        <f>IF(W905="","",IF(Murid!F905="TL","TL",ROUND(W905/110*100,2)))</f>
        <v/>
      </c>
    </row>
    <row r="906">
      <c r="A906" s="15">
        <f>Murid!A906</f>
        <v/>
      </c>
      <c r="B906" s="15">
        <f>IF(Murid!B906="","",Murid!B906)</f>
        <v/>
      </c>
      <c r="C906" s="16">
        <f>IF(Murid!C906="","",Murid!C906)</f>
        <v/>
      </c>
      <c r="D906" s="15">
        <f>IF(Murid!E906="","",Murid!E906)</f>
        <v/>
      </c>
      <c r="E906" s="11" t="n"/>
      <c r="F906" s="11" t="n"/>
      <c r="G906" s="10">
        <f>IF(F906="","",IFERROR(VLOOKUP(F906,T_JKP,2,FALSE),0))</f>
        <v/>
      </c>
      <c r="H906" s="11" t="n"/>
      <c r="I906" s="17">
        <f>IF(H906="","",IF(H906&gt;=12,40,ROUND(H906*3.33,2)))</f>
        <v/>
      </c>
      <c r="J906" s="11" t="n"/>
      <c r="K906" s="11" t="n"/>
      <c r="L906" s="11" t="n"/>
      <c r="M906" s="11" t="n"/>
      <c r="N906" s="10">
        <f>IF(COUNTA(J906:M906)=0,"",MIN(10,SUMPRODUCT((COUNTIF(J906:M906,L_KOM)&gt;0)*S_KOM)))</f>
        <v/>
      </c>
      <c r="O906" s="11" t="n"/>
      <c r="P906" s="10">
        <f>IF(O906="","",IFERROR(VLOOKUP(O906,T_KHID,2,FALSE),0))</f>
        <v/>
      </c>
      <c r="Q906" s="11" t="n"/>
      <c r="R906" s="11" t="n"/>
      <c r="S906" s="10">
        <f>IF(AND(Q906="",R906=""),"",IFERROR(INDEX(T_LIBAT,MATCH(Q906,L_PER,0),MATCH(R906,L_JENIS,0)),0))</f>
        <v/>
      </c>
      <c r="T906" s="11" t="n"/>
      <c r="U906" s="11" t="n"/>
      <c r="V906" s="10">
        <f>IF(AND(T906="",U906=""),"",IFERROR(INDEX(T_CAPAI,MATCH(T906,L_PER,0),MATCH(U906,L_KED,0)),0))</f>
        <v/>
      </c>
      <c r="W906" s="17">
        <f>IF(OR(B906="",E906="",COUNTA(F906,H906,J906:M906,O906,Q906:R906,T906:U906)=0),"",SUM(G906,I906,N906,P906,S906,V906))</f>
        <v/>
      </c>
      <c r="X906" s="18">
        <f>IF(W906="","",IF(Murid!F906="TL","TL",ROUND(W906/110*100,2)))</f>
        <v/>
      </c>
    </row>
    <row r="907">
      <c r="A907" s="15">
        <f>Murid!A907</f>
        <v/>
      </c>
      <c r="B907" s="15">
        <f>IF(Murid!B907="","",Murid!B907)</f>
        <v/>
      </c>
      <c r="C907" s="16">
        <f>IF(Murid!C907="","",Murid!C907)</f>
        <v/>
      </c>
      <c r="D907" s="15">
        <f>IF(Murid!E907="","",Murid!E907)</f>
        <v/>
      </c>
      <c r="E907" s="11" t="n"/>
      <c r="F907" s="11" t="n"/>
      <c r="G907" s="10">
        <f>IF(F907="","",IFERROR(VLOOKUP(F907,T_JKP,2,FALSE),0))</f>
        <v/>
      </c>
      <c r="H907" s="11" t="n"/>
      <c r="I907" s="17">
        <f>IF(H907="","",IF(H907&gt;=12,40,ROUND(H907*3.33,2)))</f>
        <v/>
      </c>
      <c r="J907" s="11" t="n"/>
      <c r="K907" s="11" t="n"/>
      <c r="L907" s="11" t="n"/>
      <c r="M907" s="11" t="n"/>
      <c r="N907" s="10">
        <f>IF(COUNTA(J907:M907)=0,"",MIN(10,SUMPRODUCT((COUNTIF(J907:M907,L_KOM)&gt;0)*S_KOM)))</f>
        <v/>
      </c>
      <c r="O907" s="11" t="n"/>
      <c r="P907" s="10">
        <f>IF(O907="","",IFERROR(VLOOKUP(O907,T_KHID,2,FALSE),0))</f>
        <v/>
      </c>
      <c r="Q907" s="11" t="n"/>
      <c r="R907" s="11" t="n"/>
      <c r="S907" s="10">
        <f>IF(AND(Q907="",R907=""),"",IFERROR(INDEX(T_LIBAT,MATCH(Q907,L_PER,0),MATCH(R907,L_JENIS,0)),0))</f>
        <v/>
      </c>
      <c r="T907" s="11" t="n"/>
      <c r="U907" s="11" t="n"/>
      <c r="V907" s="10">
        <f>IF(AND(T907="",U907=""),"",IFERROR(INDEX(T_CAPAI,MATCH(T907,L_PER,0),MATCH(U907,L_KED,0)),0))</f>
        <v/>
      </c>
      <c r="W907" s="17">
        <f>IF(OR(B907="",E907="",COUNTA(F907,H907,J907:M907,O907,Q907:R907,T907:U907)=0),"",SUM(G907,I907,N907,P907,S907,V907))</f>
        <v/>
      </c>
      <c r="X907" s="18">
        <f>IF(W907="","",IF(Murid!F907="TL","TL",ROUND(W907/110*100,2)))</f>
        <v/>
      </c>
    </row>
    <row r="908">
      <c r="A908" s="15">
        <f>Murid!A908</f>
        <v/>
      </c>
      <c r="B908" s="15">
        <f>IF(Murid!B908="","",Murid!B908)</f>
        <v/>
      </c>
      <c r="C908" s="16">
        <f>IF(Murid!C908="","",Murid!C908)</f>
        <v/>
      </c>
      <c r="D908" s="15">
        <f>IF(Murid!E908="","",Murid!E908)</f>
        <v/>
      </c>
      <c r="E908" s="11" t="n"/>
      <c r="F908" s="11" t="n"/>
      <c r="G908" s="10">
        <f>IF(F908="","",IFERROR(VLOOKUP(F908,T_JKP,2,FALSE),0))</f>
        <v/>
      </c>
      <c r="H908" s="11" t="n"/>
      <c r="I908" s="17">
        <f>IF(H908="","",IF(H908&gt;=12,40,ROUND(H908*3.33,2)))</f>
        <v/>
      </c>
      <c r="J908" s="11" t="n"/>
      <c r="K908" s="11" t="n"/>
      <c r="L908" s="11" t="n"/>
      <c r="M908" s="11" t="n"/>
      <c r="N908" s="10">
        <f>IF(COUNTA(J908:M908)=0,"",MIN(10,SUMPRODUCT((COUNTIF(J908:M908,L_KOM)&gt;0)*S_KOM)))</f>
        <v/>
      </c>
      <c r="O908" s="11" t="n"/>
      <c r="P908" s="10">
        <f>IF(O908="","",IFERROR(VLOOKUP(O908,T_KHID,2,FALSE),0))</f>
        <v/>
      </c>
      <c r="Q908" s="11" t="n"/>
      <c r="R908" s="11" t="n"/>
      <c r="S908" s="10">
        <f>IF(AND(Q908="",R908=""),"",IFERROR(INDEX(T_LIBAT,MATCH(Q908,L_PER,0),MATCH(R908,L_JENIS,0)),0))</f>
        <v/>
      </c>
      <c r="T908" s="11" t="n"/>
      <c r="U908" s="11" t="n"/>
      <c r="V908" s="10">
        <f>IF(AND(T908="",U908=""),"",IFERROR(INDEX(T_CAPAI,MATCH(T908,L_PER,0),MATCH(U908,L_KED,0)),0))</f>
        <v/>
      </c>
      <c r="W908" s="17">
        <f>IF(OR(B908="",E908="",COUNTA(F908,H908,J908:M908,O908,Q908:R908,T908:U908)=0),"",SUM(G908,I908,N908,P908,S908,V908))</f>
        <v/>
      </c>
      <c r="X908" s="18">
        <f>IF(W908="","",IF(Murid!F908="TL","TL",ROUND(W908/110*100,2)))</f>
        <v/>
      </c>
    </row>
    <row r="909">
      <c r="A909" s="15">
        <f>Murid!A909</f>
        <v/>
      </c>
      <c r="B909" s="15">
        <f>IF(Murid!B909="","",Murid!B909)</f>
        <v/>
      </c>
      <c r="C909" s="16">
        <f>IF(Murid!C909="","",Murid!C909)</f>
        <v/>
      </c>
      <c r="D909" s="15">
        <f>IF(Murid!E909="","",Murid!E909)</f>
        <v/>
      </c>
      <c r="E909" s="11" t="n"/>
      <c r="F909" s="11" t="n"/>
      <c r="G909" s="10">
        <f>IF(F909="","",IFERROR(VLOOKUP(F909,T_JKP,2,FALSE),0))</f>
        <v/>
      </c>
      <c r="H909" s="11" t="n"/>
      <c r="I909" s="17">
        <f>IF(H909="","",IF(H909&gt;=12,40,ROUND(H909*3.33,2)))</f>
        <v/>
      </c>
      <c r="J909" s="11" t="n"/>
      <c r="K909" s="11" t="n"/>
      <c r="L909" s="11" t="n"/>
      <c r="M909" s="11" t="n"/>
      <c r="N909" s="10">
        <f>IF(COUNTA(J909:M909)=0,"",MIN(10,SUMPRODUCT((COUNTIF(J909:M909,L_KOM)&gt;0)*S_KOM)))</f>
        <v/>
      </c>
      <c r="O909" s="11" t="n"/>
      <c r="P909" s="10">
        <f>IF(O909="","",IFERROR(VLOOKUP(O909,T_KHID,2,FALSE),0))</f>
        <v/>
      </c>
      <c r="Q909" s="11" t="n"/>
      <c r="R909" s="11" t="n"/>
      <c r="S909" s="10">
        <f>IF(AND(Q909="",R909=""),"",IFERROR(INDEX(T_LIBAT,MATCH(Q909,L_PER,0),MATCH(R909,L_JENIS,0)),0))</f>
        <v/>
      </c>
      <c r="T909" s="11" t="n"/>
      <c r="U909" s="11" t="n"/>
      <c r="V909" s="10">
        <f>IF(AND(T909="",U909=""),"",IFERROR(INDEX(T_CAPAI,MATCH(T909,L_PER,0),MATCH(U909,L_KED,0)),0))</f>
        <v/>
      </c>
      <c r="W909" s="17">
        <f>IF(OR(B909="",E909="",COUNTA(F909,H909,J909:M909,O909,Q909:R909,T909:U909)=0),"",SUM(G909,I909,N909,P909,S909,V909))</f>
        <v/>
      </c>
      <c r="X909" s="18">
        <f>IF(W909="","",IF(Murid!F909="TL","TL",ROUND(W909/110*100,2)))</f>
        <v/>
      </c>
    </row>
    <row r="910">
      <c r="A910" s="15">
        <f>Murid!A910</f>
        <v/>
      </c>
      <c r="B910" s="15">
        <f>IF(Murid!B910="","",Murid!B910)</f>
        <v/>
      </c>
      <c r="C910" s="16">
        <f>IF(Murid!C910="","",Murid!C910)</f>
        <v/>
      </c>
      <c r="D910" s="15">
        <f>IF(Murid!E910="","",Murid!E910)</f>
        <v/>
      </c>
      <c r="E910" s="11" t="n"/>
      <c r="F910" s="11" t="n"/>
      <c r="G910" s="10">
        <f>IF(F910="","",IFERROR(VLOOKUP(F910,T_JKP,2,FALSE),0))</f>
        <v/>
      </c>
      <c r="H910" s="11" t="n"/>
      <c r="I910" s="17">
        <f>IF(H910="","",IF(H910&gt;=12,40,ROUND(H910*3.33,2)))</f>
        <v/>
      </c>
      <c r="J910" s="11" t="n"/>
      <c r="K910" s="11" t="n"/>
      <c r="L910" s="11" t="n"/>
      <c r="M910" s="11" t="n"/>
      <c r="N910" s="10">
        <f>IF(COUNTA(J910:M910)=0,"",MIN(10,SUMPRODUCT((COUNTIF(J910:M910,L_KOM)&gt;0)*S_KOM)))</f>
        <v/>
      </c>
      <c r="O910" s="11" t="n"/>
      <c r="P910" s="10">
        <f>IF(O910="","",IFERROR(VLOOKUP(O910,T_KHID,2,FALSE),0))</f>
        <v/>
      </c>
      <c r="Q910" s="11" t="n"/>
      <c r="R910" s="11" t="n"/>
      <c r="S910" s="10">
        <f>IF(AND(Q910="",R910=""),"",IFERROR(INDEX(T_LIBAT,MATCH(Q910,L_PER,0),MATCH(R910,L_JENIS,0)),0))</f>
        <v/>
      </c>
      <c r="T910" s="11" t="n"/>
      <c r="U910" s="11" t="n"/>
      <c r="V910" s="10">
        <f>IF(AND(T910="",U910=""),"",IFERROR(INDEX(T_CAPAI,MATCH(T910,L_PER,0),MATCH(U910,L_KED,0)),0))</f>
        <v/>
      </c>
      <c r="W910" s="17">
        <f>IF(OR(B910="",E910="",COUNTA(F910,H910,J910:M910,O910,Q910:R910,T910:U910)=0),"",SUM(G910,I910,N910,P910,S910,V910))</f>
        <v/>
      </c>
      <c r="X910" s="18">
        <f>IF(W910="","",IF(Murid!F910="TL","TL",ROUND(W910/110*100,2)))</f>
        <v/>
      </c>
    </row>
    <row r="911">
      <c r="A911" s="15">
        <f>Murid!A911</f>
        <v/>
      </c>
      <c r="B911" s="15">
        <f>IF(Murid!B911="","",Murid!B911)</f>
        <v/>
      </c>
      <c r="C911" s="16">
        <f>IF(Murid!C911="","",Murid!C911)</f>
        <v/>
      </c>
      <c r="D911" s="15">
        <f>IF(Murid!E911="","",Murid!E911)</f>
        <v/>
      </c>
      <c r="E911" s="11" t="n"/>
      <c r="F911" s="11" t="n"/>
      <c r="G911" s="10">
        <f>IF(F911="","",IFERROR(VLOOKUP(F911,T_JKP,2,FALSE),0))</f>
        <v/>
      </c>
      <c r="H911" s="11" t="n"/>
      <c r="I911" s="17">
        <f>IF(H911="","",IF(H911&gt;=12,40,ROUND(H911*3.33,2)))</f>
        <v/>
      </c>
      <c r="J911" s="11" t="n"/>
      <c r="K911" s="11" t="n"/>
      <c r="L911" s="11" t="n"/>
      <c r="M911" s="11" t="n"/>
      <c r="N911" s="10">
        <f>IF(COUNTA(J911:M911)=0,"",MIN(10,SUMPRODUCT((COUNTIF(J911:M911,L_KOM)&gt;0)*S_KOM)))</f>
        <v/>
      </c>
      <c r="O911" s="11" t="n"/>
      <c r="P911" s="10">
        <f>IF(O911="","",IFERROR(VLOOKUP(O911,T_KHID,2,FALSE),0))</f>
        <v/>
      </c>
      <c r="Q911" s="11" t="n"/>
      <c r="R911" s="11" t="n"/>
      <c r="S911" s="10">
        <f>IF(AND(Q911="",R911=""),"",IFERROR(INDEX(T_LIBAT,MATCH(Q911,L_PER,0),MATCH(R911,L_JENIS,0)),0))</f>
        <v/>
      </c>
      <c r="T911" s="11" t="n"/>
      <c r="U911" s="11" t="n"/>
      <c r="V911" s="10">
        <f>IF(AND(T911="",U911=""),"",IFERROR(INDEX(T_CAPAI,MATCH(T911,L_PER,0),MATCH(U911,L_KED,0)),0))</f>
        <v/>
      </c>
      <c r="W911" s="17">
        <f>IF(OR(B911="",E911="",COUNTA(F911,H911,J911:M911,O911,Q911:R911,T911:U911)=0),"",SUM(G911,I911,N911,P911,S911,V911))</f>
        <v/>
      </c>
      <c r="X911" s="18">
        <f>IF(W911="","",IF(Murid!F911="TL","TL",ROUND(W911/110*100,2)))</f>
        <v/>
      </c>
    </row>
    <row r="912">
      <c r="A912" s="15">
        <f>Murid!A912</f>
        <v/>
      </c>
      <c r="B912" s="15">
        <f>IF(Murid!B912="","",Murid!B912)</f>
        <v/>
      </c>
      <c r="C912" s="16">
        <f>IF(Murid!C912="","",Murid!C912)</f>
        <v/>
      </c>
      <c r="D912" s="15">
        <f>IF(Murid!E912="","",Murid!E912)</f>
        <v/>
      </c>
      <c r="E912" s="11" t="n"/>
      <c r="F912" s="11" t="n"/>
      <c r="G912" s="10">
        <f>IF(F912="","",IFERROR(VLOOKUP(F912,T_JKP,2,FALSE),0))</f>
        <v/>
      </c>
      <c r="H912" s="11" t="n"/>
      <c r="I912" s="17">
        <f>IF(H912="","",IF(H912&gt;=12,40,ROUND(H912*3.33,2)))</f>
        <v/>
      </c>
      <c r="J912" s="11" t="n"/>
      <c r="K912" s="11" t="n"/>
      <c r="L912" s="11" t="n"/>
      <c r="M912" s="11" t="n"/>
      <c r="N912" s="10">
        <f>IF(COUNTA(J912:M912)=0,"",MIN(10,SUMPRODUCT((COUNTIF(J912:M912,L_KOM)&gt;0)*S_KOM)))</f>
        <v/>
      </c>
      <c r="O912" s="11" t="n"/>
      <c r="P912" s="10">
        <f>IF(O912="","",IFERROR(VLOOKUP(O912,T_KHID,2,FALSE),0))</f>
        <v/>
      </c>
      <c r="Q912" s="11" t="n"/>
      <c r="R912" s="11" t="n"/>
      <c r="S912" s="10">
        <f>IF(AND(Q912="",R912=""),"",IFERROR(INDEX(T_LIBAT,MATCH(Q912,L_PER,0),MATCH(R912,L_JENIS,0)),0))</f>
        <v/>
      </c>
      <c r="T912" s="11" t="n"/>
      <c r="U912" s="11" t="n"/>
      <c r="V912" s="10">
        <f>IF(AND(T912="",U912=""),"",IFERROR(INDEX(T_CAPAI,MATCH(T912,L_PER,0),MATCH(U912,L_KED,0)),0))</f>
        <v/>
      </c>
      <c r="W912" s="17">
        <f>IF(OR(B912="",E912="",COUNTA(F912,H912,J912:M912,O912,Q912:R912,T912:U912)=0),"",SUM(G912,I912,N912,P912,S912,V912))</f>
        <v/>
      </c>
      <c r="X912" s="18">
        <f>IF(W912="","",IF(Murid!F912="TL","TL",ROUND(W912/110*100,2)))</f>
        <v/>
      </c>
    </row>
    <row r="913">
      <c r="A913" s="15">
        <f>Murid!A913</f>
        <v/>
      </c>
      <c r="B913" s="15">
        <f>IF(Murid!B913="","",Murid!B913)</f>
        <v/>
      </c>
      <c r="C913" s="16">
        <f>IF(Murid!C913="","",Murid!C913)</f>
        <v/>
      </c>
      <c r="D913" s="15">
        <f>IF(Murid!E913="","",Murid!E913)</f>
        <v/>
      </c>
      <c r="E913" s="11" t="n"/>
      <c r="F913" s="11" t="n"/>
      <c r="G913" s="10">
        <f>IF(F913="","",IFERROR(VLOOKUP(F913,T_JKP,2,FALSE),0))</f>
        <v/>
      </c>
      <c r="H913" s="11" t="n"/>
      <c r="I913" s="17">
        <f>IF(H913="","",IF(H913&gt;=12,40,ROUND(H913*3.33,2)))</f>
        <v/>
      </c>
      <c r="J913" s="11" t="n"/>
      <c r="K913" s="11" t="n"/>
      <c r="L913" s="11" t="n"/>
      <c r="M913" s="11" t="n"/>
      <c r="N913" s="10">
        <f>IF(COUNTA(J913:M913)=0,"",MIN(10,SUMPRODUCT((COUNTIF(J913:M913,L_KOM)&gt;0)*S_KOM)))</f>
        <v/>
      </c>
      <c r="O913" s="11" t="n"/>
      <c r="P913" s="10">
        <f>IF(O913="","",IFERROR(VLOOKUP(O913,T_KHID,2,FALSE),0))</f>
        <v/>
      </c>
      <c r="Q913" s="11" t="n"/>
      <c r="R913" s="11" t="n"/>
      <c r="S913" s="10">
        <f>IF(AND(Q913="",R913=""),"",IFERROR(INDEX(T_LIBAT,MATCH(Q913,L_PER,0),MATCH(R913,L_JENIS,0)),0))</f>
        <v/>
      </c>
      <c r="T913" s="11" t="n"/>
      <c r="U913" s="11" t="n"/>
      <c r="V913" s="10">
        <f>IF(AND(T913="",U913=""),"",IFERROR(INDEX(T_CAPAI,MATCH(T913,L_PER,0),MATCH(U913,L_KED,0)),0))</f>
        <v/>
      </c>
      <c r="W913" s="17">
        <f>IF(OR(B913="",E913="",COUNTA(F913,H913,J913:M913,O913,Q913:R913,T913:U913)=0),"",SUM(G913,I913,N913,P913,S913,V913))</f>
        <v/>
      </c>
      <c r="X913" s="18">
        <f>IF(W913="","",IF(Murid!F913="TL","TL",ROUND(W913/110*100,2)))</f>
        <v/>
      </c>
    </row>
    <row r="914">
      <c r="A914" s="15">
        <f>Murid!A914</f>
        <v/>
      </c>
      <c r="B914" s="15">
        <f>IF(Murid!B914="","",Murid!B914)</f>
        <v/>
      </c>
      <c r="C914" s="16">
        <f>IF(Murid!C914="","",Murid!C914)</f>
        <v/>
      </c>
      <c r="D914" s="15">
        <f>IF(Murid!E914="","",Murid!E914)</f>
        <v/>
      </c>
      <c r="E914" s="11" t="n"/>
      <c r="F914" s="11" t="n"/>
      <c r="G914" s="10">
        <f>IF(F914="","",IFERROR(VLOOKUP(F914,T_JKP,2,FALSE),0))</f>
        <v/>
      </c>
      <c r="H914" s="11" t="n"/>
      <c r="I914" s="17">
        <f>IF(H914="","",IF(H914&gt;=12,40,ROUND(H914*3.33,2)))</f>
        <v/>
      </c>
      <c r="J914" s="11" t="n"/>
      <c r="K914" s="11" t="n"/>
      <c r="L914" s="11" t="n"/>
      <c r="M914" s="11" t="n"/>
      <c r="N914" s="10">
        <f>IF(COUNTA(J914:M914)=0,"",MIN(10,SUMPRODUCT((COUNTIF(J914:M914,L_KOM)&gt;0)*S_KOM)))</f>
        <v/>
      </c>
      <c r="O914" s="11" t="n"/>
      <c r="P914" s="10">
        <f>IF(O914="","",IFERROR(VLOOKUP(O914,T_KHID,2,FALSE),0))</f>
        <v/>
      </c>
      <c r="Q914" s="11" t="n"/>
      <c r="R914" s="11" t="n"/>
      <c r="S914" s="10">
        <f>IF(AND(Q914="",R914=""),"",IFERROR(INDEX(T_LIBAT,MATCH(Q914,L_PER,0),MATCH(R914,L_JENIS,0)),0))</f>
        <v/>
      </c>
      <c r="T914" s="11" t="n"/>
      <c r="U914" s="11" t="n"/>
      <c r="V914" s="10">
        <f>IF(AND(T914="",U914=""),"",IFERROR(INDEX(T_CAPAI,MATCH(T914,L_PER,0),MATCH(U914,L_KED,0)),0))</f>
        <v/>
      </c>
      <c r="W914" s="17">
        <f>IF(OR(B914="",E914="",COUNTA(F914,H914,J914:M914,O914,Q914:R914,T914:U914)=0),"",SUM(G914,I914,N914,P914,S914,V914))</f>
        <v/>
      </c>
      <c r="X914" s="18">
        <f>IF(W914="","",IF(Murid!F914="TL","TL",ROUND(W914/110*100,2)))</f>
        <v/>
      </c>
    </row>
    <row r="915">
      <c r="A915" s="15">
        <f>Murid!A915</f>
        <v/>
      </c>
      <c r="B915" s="15">
        <f>IF(Murid!B915="","",Murid!B915)</f>
        <v/>
      </c>
      <c r="C915" s="16">
        <f>IF(Murid!C915="","",Murid!C915)</f>
        <v/>
      </c>
      <c r="D915" s="15">
        <f>IF(Murid!E915="","",Murid!E915)</f>
        <v/>
      </c>
      <c r="E915" s="11" t="n"/>
      <c r="F915" s="11" t="n"/>
      <c r="G915" s="10">
        <f>IF(F915="","",IFERROR(VLOOKUP(F915,T_JKP,2,FALSE),0))</f>
        <v/>
      </c>
      <c r="H915" s="11" t="n"/>
      <c r="I915" s="17">
        <f>IF(H915="","",IF(H915&gt;=12,40,ROUND(H915*3.33,2)))</f>
        <v/>
      </c>
      <c r="J915" s="11" t="n"/>
      <c r="K915" s="11" t="n"/>
      <c r="L915" s="11" t="n"/>
      <c r="M915" s="11" t="n"/>
      <c r="N915" s="10">
        <f>IF(COUNTA(J915:M915)=0,"",MIN(10,SUMPRODUCT((COUNTIF(J915:M915,L_KOM)&gt;0)*S_KOM)))</f>
        <v/>
      </c>
      <c r="O915" s="11" t="n"/>
      <c r="P915" s="10">
        <f>IF(O915="","",IFERROR(VLOOKUP(O915,T_KHID,2,FALSE),0))</f>
        <v/>
      </c>
      <c r="Q915" s="11" t="n"/>
      <c r="R915" s="11" t="n"/>
      <c r="S915" s="10">
        <f>IF(AND(Q915="",R915=""),"",IFERROR(INDEX(T_LIBAT,MATCH(Q915,L_PER,0),MATCH(R915,L_JENIS,0)),0))</f>
        <v/>
      </c>
      <c r="T915" s="11" t="n"/>
      <c r="U915" s="11" t="n"/>
      <c r="V915" s="10">
        <f>IF(AND(T915="",U915=""),"",IFERROR(INDEX(T_CAPAI,MATCH(T915,L_PER,0),MATCH(U915,L_KED,0)),0))</f>
        <v/>
      </c>
      <c r="W915" s="17">
        <f>IF(OR(B915="",E915="",COUNTA(F915,H915,J915:M915,O915,Q915:R915,T915:U915)=0),"",SUM(G915,I915,N915,P915,S915,V915))</f>
        <v/>
      </c>
      <c r="X915" s="18">
        <f>IF(W915="","",IF(Murid!F915="TL","TL",ROUND(W915/110*100,2)))</f>
        <v/>
      </c>
    </row>
    <row r="916">
      <c r="A916" s="15">
        <f>Murid!A916</f>
        <v/>
      </c>
      <c r="B916" s="15">
        <f>IF(Murid!B916="","",Murid!B916)</f>
        <v/>
      </c>
      <c r="C916" s="16">
        <f>IF(Murid!C916="","",Murid!C916)</f>
        <v/>
      </c>
      <c r="D916" s="15">
        <f>IF(Murid!E916="","",Murid!E916)</f>
        <v/>
      </c>
      <c r="E916" s="11" t="n"/>
      <c r="F916" s="11" t="n"/>
      <c r="G916" s="10">
        <f>IF(F916="","",IFERROR(VLOOKUP(F916,T_JKP,2,FALSE),0))</f>
        <v/>
      </c>
      <c r="H916" s="11" t="n"/>
      <c r="I916" s="17">
        <f>IF(H916="","",IF(H916&gt;=12,40,ROUND(H916*3.33,2)))</f>
        <v/>
      </c>
      <c r="J916" s="11" t="n"/>
      <c r="K916" s="11" t="n"/>
      <c r="L916" s="11" t="n"/>
      <c r="M916" s="11" t="n"/>
      <c r="N916" s="10">
        <f>IF(COUNTA(J916:M916)=0,"",MIN(10,SUMPRODUCT((COUNTIF(J916:M916,L_KOM)&gt;0)*S_KOM)))</f>
        <v/>
      </c>
      <c r="O916" s="11" t="n"/>
      <c r="P916" s="10">
        <f>IF(O916="","",IFERROR(VLOOKUP(O916,T_KHID,2,FALSE),0))</f>
        <v/>
      </c>
      <c r="Q916" s="11" t="n"/>
      <c r="R916" s="11" t="n"/>
      <c r="S916" s="10">
        <f>IF(AND(Q916="",R916=""),"",IFERROR(INDEX(T_LIBAT,MATCH(Q916,L_PER,0),MATCH(R916,L_JENIS,0)),0))</f>
        <v/>
      </c>
      <c r="T916" s="11" t="n"/>
      <c r="U916" s="11" t="n"/>
      <c r="V916" s="10">
        <f>IF(AND(T916="",U916=""),"",IFERROR(INDEX(T_CAPAI,MATCH(T916,L_PER,0),MATCH(U916,L_KED,0)),0))</f>
        <v/>
      </c>
      <c r="W916" s="17">
        <f>IF(OR(B916="",E916="",COUNTA(F916,H916,J916:M916,O916,Q916:R916,T916:U916)=0),"",SUM(G916,I916,N916,P916,S916,V916))</f>
        <v/>
      </c>
      <c r="X916" s="18">
        <f>IF(W916="","",IF(Murid!F916="TL","TL",ROUND(W916/110*100,2)))</f>
        <v/>
      </c>
    </row>
    <row r="917">
      <c r="A917" s="15">
        <f>Murid!A917</f>
        <v/>
      </c>
      <c r="B917" s="15">
        <f>IF(Murid!B917="","",Murid!B917)</f>
        <v/>
      </c>
      <c r="C917" s="16">
        <f>IF(Murid!C917="","",Murid!C917)</f>
        <v/>
      </c>
      <c r="D917" s="15">
        <f>IF(Murid!E917="","",Murid!E917)</f>
        <v/>
      </c>
      <c r="E917" s="11" t="n"/>
      <c r="F917" s="11" t="n"/>
      <c r="G917" s="10">
        <f>IF(F917="","",IFERROR(VLOOKUP(F917,T_JKP,2,FALSE),0))</f>
        <v/>
      </c>
      <c r="H917" s="11" t="n"/>
      <c r="I917" s="17">
        <f>IF(H917="","",IF(H917&gt;=12,40,ROUND(H917*3.33,2)))</f>
        <v/>
      </c>
      <c r="J917" s="11" t="n"/>
      <c r="K917" s="11" t="n"/>
      <c r="L917" s="11" t="n"/>
      <c r="M917" s="11" t="n"/>
      <c r="N917" s="10">
        <f>IF(COUNTA(J917:M917)=0,"",MIN(10,SUMPRODUCT((COUNTIF(J917:M917,L_KOM)&gt;0)*S_KOM)))</f>
        <v/>
      </c>
      <c r="O917" s="11" t="n"/>
      <c r="P917" s="10">
        <f>IF(O917="","",IFERROR(VLOOKUP(O917,T_KHID,2,FALSE),0))</f>
        <v/>
      </c>
      <c r="Q917" s="11" t="n"/>
      <c r="R917" s="11" t="n"/>
      <c r="S917" s="10">
        <f>IF(AND(Q917="",R917=""),"",IFERROR(INDEX(T_LIBAT,MATCH(Q917,L_PER,0),MATCH(R917,L_JENIS,0)),0))</f>
        <v/>
      </c>
      <c r="T917" s="11" t="n"/>
      <c r="U917" s="11" t="n"/>
      <c r="V917" s="10">
        <f>IF(AND(T917="",U917=""),"",IFERROR(INDEX(T_CAPAI,MATCH(T917,L_PER,0),MATCH(U917,L_KED,0)),0))</f>
        <v/>
      </c>
      <c r="W917" s="17">
        <f>IF(OR(B917="",E917="",COUNTA(F917,H917,J917:M917,O917,Q917:R917,T917:U917)=0),"",SUM(G917,I917,N917,P917,S917,V917))</f>
        <v/>
      </c>
      <c r="X917" s="18">
        <f>IF(W917="","",IF(Murid!F917="TL","TL",ROUND(W917/110*100,2)))</f>
        <v/>
      </c>
    </row>
    <row r="918">
      <c r="A918" s="15">
        <f>Murid!A918</f>
        <v/>
      </c>
      <c r="B918" s="15">
        <f>IF(Murid!B918="","",Murid!B918)</f>
        <v/>
      </c>
      <c r="C918" s="16">
        <f>IF(Murid!C918="","",Murid!C918)</f>
        <v/>
      </c>
      <c r="D918" s="15">
        <f>IF(Murid!E918="","",Murid!E918)</f>
        <v/>
      </c>
      <c r="E918" s="11" t="n"/>
      <c r="F918" s="11" t="n"/>
      <c r="G918" s="10">
        <f>IF(F918="","",IFERROR(VLOOKUP(F918,T_JKP,2,FALSE),0))</f>
        <v/>
      </c>
      <c r="H918" s="11" t="n"/>
      <c r="I918" s="17">
        <f>IF(H918="","",IF(H918&gt;=12,40,ROUND(H918*3.33,2)))</f>
        <v/>
      </c>
      <c r="J918" s="11" t="n"/>
      <c r="K918" s="11" t="n"/>
      <c r="L918" s="11" t="n"/>
      <c r="M918" s="11" t="n"/>
      <c r="N918" s="10">
        <f>IF(COUNTA(J918:M918)=0,"",MIN(10,SUMPRODUCT((COUNTIF(J918:M918,L_KOM)&gt;0)*S_KOM)))</f>
        <v/>
      </c>
      <c r="O918" s="11" t="n"/>
      <c r="P918" s="10">
        <f>IF(O918="","",IFERROR(VLOOKUP(O918,T_KHID,2,FALSE),0))</f>
        <v/>
      </c>
      <c r="Q918" s="11" t="n"/>
      <c r="R918" s="11" t="n"/>
      <c r="S918" s="10">
        <f>IF(AND(Q918="",R918=""),"",IFERROR(INDEX(T_LIBAT,MATCH(Q918,L_PER,0),MATCH(R918,L_JENIS,0)),0))</f>
        <v/>
      </c>
      <c r="T918" s="11" t="n"/>
      <c r="U918" s="11" t="n"/>
      <c r="V918" s="10">
        <f>IF(AND(T918="",U918=""),"",IFERROR(INDEX(T_CAPAI,MATCH(T918,L_PER,0),MATCH(U918,L_KED,0)),0))</f>
        <v/>
      </c>
      <c r="W918" s="17">
        <f>IF(OR(B918="",E918="",COUNTA(F918,H918,J918:M918,O918,Q918:R918,T918:U918)=0),"",SUM(G918,I918,N918,P918,S918,V918))</f>
        <v/>
      </c>
      <c r="X918" s="18">
        <f>IF(W918="","",IF(Murid!F918="TL","TL",ROUND(W918/110*100,2)))</f>
        <v/>
      </c>
    </row>
    <row r="919">
      <c r="A919" s="15">
        <f>Murid!A919</f>
        <v/>
      </c>
      <c r="B919" s="15">
        <f>IF(Murid!B919="","",Murid!B919)</f>
        <v/>
      </c>
      <c r="C919" s="16">
        <f>IF(Murid!C919="","",Murid!C919)</f>
        <v/>
      </c>
      <c r="D919" s="15">
        <f>IF(Murid!E919="","",Murid!E919)</f>
        <v/>
      </c>
      <c r="E919" s="11" t="n"/>
      <c r="F919" s="11" t="n"/>
      <c r="G919" s="10">
        <f>IF(F919="","",IFERROR(VLOOKUP(F919,T_JKP,2,FALSE),0))</f>
        <v/>
      </c>
      <c r="H919" s="11" t="n"/>
      <c r="I919" s="17">
        <f>IF(H919="","",IF(H919&gt;=12,40,ROUND(H919*3.33,2)))</f>
        <v/>
      </c>
      <c r="J919" s="11" t="n"/>
      <c r="K919" s="11" t="n"/>
      <c r="L919" s="11" t="n"/>
      <c r="M919" s="11" t="n"/>
      <c r="N919" s="10">
        <f>IF(COUNTA(J919:M919)=0,"",MIN(10,SUMPRODUCT((COUNTIF(J919:M919,L_KOM)&gt;0)*S_KOM)))</f>
        <v/>
      </c>
      <c r="O919" s="11" t="n"/>
      <c r="P919" s="10">
        <f>IF(O919="","",IFERROR(VLOOKUP(O919,T_KHID,2,FALSE),0))</f>
        <v/>
      </c>
      <c r="Q919" s="11" t="n"/>
      <c r="R919" s="11" t="n"/>
      <c r="S919" s="10">
        <f>IF(AND(Q919="",R919=""),"",IFERROR(INDEX(T_LIBAT,MATCH(Q919,L_PER,0),MATCH(R919,L_JENIS,0)),0))</f>
        <v/>
      </c>
      <c r="T919" s="11" t="n"/>
      <c r="U919" s="11" t="n"/>
      <c r="V919" s="10">
        <f>IF(AND(T919="",U919=""),"",IFERROR(INDEX(T_CAPAI,MATCH(T919,L_PER,0),MATCH(U919,L_KED,0)),0))</f>
        <v/>
      </c>
      <c r="W919" s="17">
        <f>IF(OR(B919="",E919="",COUNTA(F919,H919,J919:M919,O919,Q919:R919,T919:U919)=0),"",SUM(G919,I919,N919,P919,S919,V919))</f>
        <v/>
      </c>
      <c r="X919" s="18">
        <f>IF(W919="","",IF(Murid!F919="TL","TL",ROUND(W919/110*100,2)))</f>
        <v/>
      </c>
    </row>
    <row r="920">
      <c r="A920" s="15">
        <f>Murid!A920</f>
        <v/>
      </c>
      <c r="B920" s="15">
        <f>IF(Murid!B920="","",Murid!B920)</f>
        <v/>
      </c>
      <c r="C920" s="16">
        <f>IF(Murid!C920="","",Murid!C920)</f>
        <v/>
      </c>
      <c r="D920" s="15">
        <f>IF(Murid!E920="","",Murid!E920)</f>
        <v/>
      </c>
      <c r="E920" s="11" t="n"/>
      <c r="F920" s="11" t="n"/>
      <c r="G920" s="10">
        <f>IF(F920="","",IFERROR(VLOOKUP(F920,T_JKP,2,FALSE),0))</f>
        <v/>
      </c>
      <c r="H920" s="11" t="n"/>
      <c r="I920" s="17">
        <f>IF(H920="","",IF(H920&gt;=12,40,ROUND(H920*3.33,2)))</f>
        <v/>
      </c>
      <c r="J920" s="11" t="n"/>
      <c r="K920" s="11" t="n"/>
      <c r="L920" s="11" t="n"/>
      <c r="M920" s="11" t="n"/>
      <c r="N920" s="10">
        <f>IF(COUNTA(J920:M920)=0,"",MIN(10,SUMPRODUCT((COUNTIF(J920:M920,L_KOM)&gt;0)*S_KOM)))</f>
        <v/>
      </c>
      <c r="O920" s="11" t="n"/>
      <c r="P920" s="10">
        <f>IF(O920="","",IFERROR(VLOOKUP(O920,T_KHID,2,FALSE),0))</f>
        <v/>
      </c>
      <c r="Q920" s="11" t="n"/>
      <c r="R920" s="11" t="n"/>
      <c r="S920" s="10">
        <f>IF(AND(Q920="",R920=""),"",IFERROR(INDEX(T_LIBAT,MATCH(Q920,L_PER,0),MATCH(R920,L_JENIS,0)),0))</f>
        <v/>
      </c>
      <c r="T920" s="11" t="n"/>
      <c r="U920" s="11" t="n"/>
      <c r="V920" s="10">
        <f>IF(AND(T920="",U920=""),"",IFERROR(INDEX(T_CAPAI,MATCH(T920,L_PER,0),MATCH(U920,L_KED,0)),0))</f>
        <v/>
      </c>
      <c r="W920" s="17">
        <f>IF(OR(B920="",E920="",COUNTA(F920,H920,J920:M920,O920,Q920:R920,T920:U920)=0),"",SUM(G920,I920,N920,P920,S920,V920))</f>
        <v/>
      </c>
      <c r="X920" s="18">
        <f>IF(W920="","",IF(Murid!F920="TL","TL",ROUND(W920/110*100,2)))</f>
        <v/>
      </c>
    </row>
    <row r="921">
      <c r="A921" s="15">
        <f>Murid!A921</f>
        <v/>
      </c>
      <c r="B921" s="15">
        <f>IF(Murid!B921="","",Murid!B921)</f>
        <v/>
      </c>
      <c r="C921" s="16">
        <f>IF(Murid!C921="","",Murid!C921)</f>
        <v/>
      </c>
      <c r="D921" s="15">
        <f>IF(Murid!E921="","",Murid!E921)</f>
        <v/>
      </c>
      <c r="E921" s="11" t="n"/>
      <c r="F921" s="11" t="n"/>
      <c r="G921" s="10">
        <f>IF(F921="","",IFERROR(VLOOKUP(F921,T_JKP,2,FALSE),0))</f>
        <v/>
      </c>
      <c r="H921" s="11" t="n"/>
      <c r="I921" s="17">
        <f>IF(H921="","",IF(H921&gt;=12,40,ROUND(H921*3.33,2)))</f>
        <v/>
      </c>
      <c r="J921" s="11" t="n"/>
      <c r="K921" s="11" t="n"/>
      <c r="L921" s="11" t="n"/>
      <c r="M921" s="11" t="n"/>
      <c r="N921" s="10">
        <f>IF(COUNTA(J921:M921)=0,"",MIN(10,SUMPRODUCT((COUNTIF(J921:M921,L_KOM)&gt;0)*S_KOM)))</f>
        <v/>
      </c>
      <c r="O921" s="11" t="n"/>
      <c r="P921" s="10">
        <f>IF(O921="","",IFERROR(VLOOKUP(O921,T_KHID,2,FALSE),0))</f>
        <v/>
      </c>
      <c r="Q921" s="11" t="n"/>
      <c r="R921" s="11" t="n"/>
      <c r="S921" s="10">
        <f>IF(AND(Q921="",R921=""),"",IFERROR(INDEX(T_LIBAT,MATCH(Q921,L_PER,0),MATCH(R921,L_JENIS,0)),0))</f>
        <v/>
      </c>
      <c r="T921" s="11" t="n"/>
      <c r="U921" s="11" t="n"/>
      <c r="V921" s="10">
        <f>IF(AND(T921="",U921=""),"",IFERROR(INDEX(T_CAPAI,MATCH(T921,L_PER,0),MATCH(U921,L_KED,0)),0))</f>
        <v/>
      </c>
      <c r="W921" s="17">
        <f>IF(OR(B921="",E921="",COUNTA(F921,H921,J921:M921,O921,Q921:R921,T921:U921)=0),"",SUM(G921,I921,N921,P921,S921,V921))</f>
        <v/>
      </c>
      <c r="X921" s="18">
        <f>IF(W921="","",IF(Murid!F921="TL","TL",ROUND(W921/110*100,2)))</f>
        <v/>
      </c>
    </row>
    <row r="922">
      <c r="A922" s="15">
        <f>Murid!A922</f>
        <v/>
      </c>
      <c r="B922" s="15">
        <f>IF(Murid!B922="","",Murid!B922)</f>
        <v/>
      </c>
      <c r="C922" s="16">
        <f>IF(Murid!C922="","",Murid!C922)</f>
        <v/>
      </c>
      <c r="D922" s="15">
        <f>IF(Murid!E922="","",Murid!E922)</f>
        <v/>
      </c>
      <c r="E922" s="11" t="n"/>
      <c r="F922" s="11" t="n"/>
      <c r="G922" s="10">
        <f>IF(F922="","",IFERROR(VLOOKUP(F922,T_JKP,2,FALSE),0))</f>
        <v/>
      </c>
      <c r="H922" s="11" t="n"/>
      <c r="I922" s="17">
        <f>IF(H922="","",IF(H922&gt;=12,40,ROUND(H922*3.33,2)))</f>
        <v/>
      </c>
      <c r="J922" s="11" t="n"/>
      <c r="K922" s="11" t="n"/>
      <c r="L922" s="11" t="n"/>
      <c r="M922" s="11" t="n"/>
      <c r="N922" s="10">
        <f>IF(COUNTA(J922:M922)=0,"",MIN(10,SUMPRODUCT((COUNTIF(J922:M922,L_KOM)&gt;0)*S_KOM)))</f>
        <v/>
      </c>
      <c r="O922" s="11" t="n"/>
      <c r="P922" s="10">
        <f>IF(O922="","",IFERROR(VLOOKUP(O922,T_KHID,2,FALSE),0))</f>
        <v/>
      </c>
      <c r="Q922" s="11" t="n"/>
      <c r="R922" s="11" t="n"/>
      <c r="S922" s="10">
        <f>IF(AND(Q922="",R922=""),"",IFERROR(INDEX(T_LIBAT,MATCH(Q922,L_PER,0),MATCH(R922,L_JENIS,0)),0))</f>
        <v/>
      </c>
      <c r="T922" s="11" t="n"/>
      <c r="U922" s="11" t="n"/>
      <c r="V922" s="10">
        <f>IF(AND(T922="",U922=""),"",IFERROR(INDEX(T_CAPAI,MATCH(T922,L_PER,0),MATCH(U922,L_KED,0)),0))</f>
        <v/>
      </c>
      <c r="W922" s="17">
        <f>IF(OR(B922="",E922="",COUNTA(F922,H922,J922:M922,O922,Q922:R922,T922:U922)=0),"",SUM(G922,I922,N922,P922,S922,V922))</f>
        <v/>
      </c>
      <c r="X922" s="18">
        <f>IF(W922="","",IF(Murid!F922="TL","TL",ROUND(W922/110*100,2)))</f>
        <v/>
      </c>
    </row>
    <row r="923">
      <c r="A923" s="15">
        <f>Murid!A923</f>
        <v/>
      </c>
      <c r="B923" s="15">
        <f>IF(Murid!B923="","",Murid!B923)</f>
        <v/>
      </c>
      <c r="C923" s="16">
        <f>IF(Murid!C923="","",Murid!C923)</f>
        <v/>
      </c>
      <c r="D923" s="15">
        <f>IF(Murid!E923="","",Murid!E923)</f>
        <v/>
      </c>
      <c r="E923" s="11" t="n"/>
      <c r="F923" s="11" t="n"/>
      <c r="G923" s="10">
        <f>IF(F923="","",IFERROR(VLOOKUP(F923,T_JKP,2,FALSE),0))</f>
        <v/>
      </c>
      <c r="H923" s="11" t="n"/>
      <c r="I923" s="17">
        <f>IF(H923="","",IF(H923&gt;=12,40,ROUND(H923*3.33,2)))</f>
        <v/>
      </c>
      <c r="J923" s="11" t="n"/>
      <c r="K923" s="11" t="n"/>
      <c r="L923" s="11" t="n"/>
      <c r="M923" s="11" t="n"/>
      <c r="N923" s="10">
        <f>IF(COUNTA(J923:M923)=0,"",MIN(10,SUMPRODUCT((COUNTIF(J923:M923,L_KOM)&gt;0)*S_KOM)))</f>
        <v/>
      </c>
      <c r="O923" s="11" t="n"/>
      <c r="P923" s="10">
        <f>IF(O923="","",IFERROR(VLOOKUP(O923,T_KHID,2,FALSE),0))</f>
        <v/>
      </c>
      <c r="Q923" s="11" t="n"/>
      <c r="R923" s="11" t="n"/>
      <c r="S923" s="10">
        <f>IF(AND(Q923="",R923=""),"",IFERROR(INDEX(T_LIBAT,MATCH(Q923,L_PER,0),MATCH(R923,L_JENIS,0)),0))</f>
        <v/>
      </c>
      <c r="T923" s="11" t="n"/>
      <c r="U923" s="11" t="n"/>
      <c r="V923" s="10">
        <f>IF(AND(T923="",U923=""),"",IFERROR(INDEX(T_CAPAI,MATCH(T923,L_PER,0),MATCH(U923,L_KED,0)),0))</f>
        <v/>
      </c>
      <c r="W923" s="17">
        <f>IF(OR(B923="",E923="",COUNTA(F923,H923,J923:M923,O923,Q923:R923,T923:U923)=0),"",SUM(G923,I923,N923,P923,S923,V923))</f>
        <v/>
      </c>
      <c r="X923" s="18">
        <f>IF(W923="","",IF(Murid!F923="TL","TL",ROUND(W923/110*100,2)))</f>
        <v/>
      </c>
    </row>
    <row r="924">
      <c r="A924" s="15">
        <f>Murid!A924</f>
        <v/>
      </c>
      <c r="B924" s="15">
        <f>IF(Murid!B924="","",Murid!B924)</f>
        <v/>
      </c>
      <c r="C924" s="16">
        <f>IF(Murid!C924="","",Murid!C924)</f>
        <v/>
      </c>
      <c r="D924" s="15">
        <f>IF(Murid!E924="","",Murid!E924)</f>
        <v/>
      </c>
      <c r="E924" s="11" t="n"/>
      <c r="F924" s="11" t="n"/>
      <c r="G924" s="10">
        <f>IF(F924="","",IFERROR(VLOOKUP(F924,T_JKP,2,FALSE),0))</f>
        <v/>
      </c>
      <c r="H924" s="11" t="n"/>
      <c r="I924" s="17">
        <f>IF(H924="","",IF(H924&gt;=12,40,ROUND(H924*3.33,2)))</f>
        <v/>
      </c>
      <c r="J924" s="11" t="n"/>
      <c r="K924" s="11" t="n"/>
      <c r="L924" s="11" t="n"/>
      <c r="M924" s="11" t="n"/>
      <c r="N924" s="10">
        <f>IF(COUNTA(J924:M924)=0,"",MIN(10,SUMPRODUCT((COUNTIF(J924:M924,L_KOM)&gt;0)*S_KOM)))</f>
        <v/>
      </c>
      <c r="O924" s="11" t="n"/>
      <c r="P924" s="10">
        <f>IF(O924="","",IFERROR(VLOOKUP(O924,T_KHID,2,FALSE),0))</f>
        <v/>
      </c>
      <c r="Q924" s="11" t="n"/>
      <c r="R924" s="11" t="n"/>
      <c r="S924" s="10">
        <f>IF(AND(Q924="",R924=""),"",IFERROR(INDEX(T_LIBAT,MATCH(Q924,L_PER,0),MATCH(R924,L_JENIS,0)),0))</f>
        <v/>
      </c>
      <c r="T924" s="11" t="n"/>
      <c r="U924" s="11" t="n"/>
      <c r="V924" s="10">
        <f>IF(AND(T924="",U924=""),"",IFERROR(INDEX(T_CAPAI,MATCH(T924,L_PER,0),MATCH(U924,L_KED,0)),0))</f>
        <v/>
      </c>
      <c r="W924" s="17">
        <f>IF(OR(B924="",E924="",COUNTA(F924,H924,J924:M924,O924,Q924:R924,T924:U924)=0),"",SUM(G924,I924,N924,P924,S924,V924))</f>
        <v/>
      </c>
      <c r="X924" s="18">
        <f>IF(W924="","",IF(Murid!F924="TL","TL",ROUND(W924/110*100,2)))</f>
        <v/>
      </c>
    </row>
    <row r="925">
      <c r="A925" s="15">
        <f>Murid!A925</f>
        <v/>
      </c>
      <c r="B925" s="15">
        <f>IF(Murid!B925="","",Murid!B925)</f>
        <v/>
      </c>
      <c r="C925" s="16">
        <f>IF(Murid!C925="","",Murid!C925)</f>
        <v/>
      </c>
      <c r="D925" s="15">
        <f>IF(Murid!E925="","",Murid!E925)</f>
        <v/>
      </c>
      <c r="E925" s="11" t="n"/>
      <c r="F925" s="11" t="n"/>
      <c r="G925" s="10">
        <f>IF(F925="","",IFERROR(VLOOKUP(F925,T_JKP,2,FALSE),0))</f>
        <v/>
      </c>
      <c r="H925" s="11" t="n"/>
      <c r="I925" s="17">
        <f>IF(H925="","",IF(H925&gt;=12,40,ROUND(H925*3.33,2)))</f>
        <v/>
      </c>
      <c r="J925" s="11" t="n"/>
      <c r="K925" s="11" t="n"/>
      <c r="L925" s="11" t="n"/>
      <c r="M925" s="11" t="n"/>
      <c r="N925" s="10">
        <f>IF(COUNTA(J925:M925)=0,"",MIN(10,SUMPRODUCT((COUNTIF(J925:M925,L_KOM)&gt;0)*S_KOM)))</f>
        <v/>
      </c>
      <c r="O925" s="11" t="n"/>
      <c r="P925" s="10">
        <f>IF(O925="","",IFERROR(VLOOKUP(O925,T_KHID,2,FALSE),0))</f>
        <v/>
      </c>
      <c r="Q925" s="11" t="n"/>
      <c r="R925" s="11" t="n"/>
      <c r="S925" s="10">
        <f>IF(AND(Q925="",R925=""),"",IFERROR(INDEX(T_LIBAT,MATCH(Q925,L_PER,0),MATCH(R925,L_JENIS,0)),0))</f>
        <v/>
      </c>
      <c r="T925" s="11" t="n"/>
      <c r="U925" s="11" t="n"/>
      <c r="V925" s="10">
        <f>IF(AND(T925="",U925=""),"",IFERROR(INDEX(T_CAPAI,MATCH(T925,L_PER,0),MATCH(U925,L_KED,0)),0))</f>
        <v/>
      </c>
      <c r="W925" s="17">
        <f>IF(OR(B925="",E925="",COUNTA(F925,H925,J925:M925,O925,Q925:R925,T925:U925)=0),"",SUM(G925,I925,N925,P925,S925,V925))</f>
        <v/>
      </c>
      <c r="X925" s="18">
        <f>IF(W925="","",IF(Murid!F925="TL","TL",ROUND(W925/110*100,2)))</f>
        <v/>
      </c>
    </row>
    <row r="926">
      <c r="A926" s="15">
        <f>Murid!A926</f>
        <v/>
      </c>
      <c r="B926" s="15">
        <f>IF(Murid!B926="","",Murid!B926)</f>
        <v/>
      </c>
      <c r="C926" s="16">
        <f>IF(Murid!C926="","",Murid!C926)</f>
        <v/>
      </c>
      <c r="D926" s="15">
        <f>IF(Murid!E926="","",Murid!E926)</f>
        <v/>
      </c>
      <c r="E926" s="11" t="n"/>
      <c r="F926" s="11" t="n"/>
      <c r="G926" s="10">
        <f>IF(F926="","",IFERROR(VLOOKUP(F926,T_JKP,2,FALSE),0))</f>
        <v/>
      </c>
      <c r="H926" s="11" t="n"/>
      <c r="I926" s="17">
        <f>IF(H926="","",IF(H926&gt;=12,40,ROUND(H926*3.33,2)))</f>
        <v/>
      </c>
      <c r="J926" s="11" t="n"/>
      <c r="K926" s="11" t="n"/>
      <c r="L926" s="11" t="n"/>
      <c r="M926" s="11" t="n"/>
      <c r="N926" s="10">
        <f>IF(COUNTA(J926:M926)=0,"",MIN(10,SUMPRODUCT((COUNTIF(J926:M926,L_KOM)&gt;0)*S_KOM)))</f>
        <v/>
      </c>
      <c r="O926" s="11" t="n"/>
      <c r="P926" s="10">
        <f>IF(O926="","",IFERROR(VLOOKUP(O926,T_KHID,2,FALSE),0))</f>
        <v/>
      </c>
      <c r="Q926" s="11" t="n"/>
      <c r="R926" s="11" t="n"/>
      <c r="S926" s="10">
        <f>IF(AND(Q926="",R926=""),"",IFERROR(INDEX(T_LIBAT,MATCH(Q926,L_PER,0),MATCH(R926,L_JENIS,0)),0))</f>
        <v/>
      </c>
      <c r="T926" s="11" t="n"/>
      <c r="U926" s="11" t="n"/>
      <c r="V926" s="10">
        <f>IF(AND(T926="",U926=""),"",IFERROR(INDEX(T_CAPAI,MATCH(T926,L_PER,0),MATCH(U926,L_KED,0)),0))</f>
        <v/>
      </c>
      <c r="W926" s="17">
        <f>IF(OR(B926="",E926="",COUNTA(F926,H926,J926:M926,O926,Q926:R926,T926:U926)=0),"",SUM(G926,I926,N926,P926,S926,V926))</f>
        <v/>
      </c>
      <c r="X926" s="18">
        <f>IF(W926="","",IF(Murid!F926="TL","TL",ROUND(W926/110*100,2)))</f>
        <v/>
      </c>
    </row>
    <row r="927">
      <c r="A927" s="15">
        <f>Murid!A927</f>
        <v/>
      </c>
      <c r="B927" s="15">
        <f>IF(Murid!B927="","",Murid!B927)</f>
        <v/>
      </c>
      <c r="C927" s="16">
        <f>IF(Murid!C927="","",Murid!C927)</f>
        <v/>
      </c>
      <c r="D927" s="15">
        <f>IF(Murid!E927="","",Murid!E927)</f>
        <v/>
      </c>
      <c r="E927" s="11" t="n"/>
      <c r="F927" s="11" t="n"/>
      <c r="G927" s="10">
        <f>IF(F927="","",IFERROR(VLOOKUP(F927,T_JKP,2,FALSE),0))</f>
        <v/>
      </c>
      <c r="H927" s="11" t="n"/>
      <c r="I927" s="17">
        <f>IF(H927="","",IF(H927&gt;=12,40,ROUND(H927*3.33,2)))</f>
        <v/>
      </c>
      <c r="J927" s="11" t="n"/>
      <c r="K927" s="11" t="n"/>
      <c r="L927" s="11" t="n"/>
      <c r="M927" s="11" t="n"/>
      <c r="N927" s="10">
        <f>IF(COUNTA(J927:M927)=0,"",MIN(10,SUMPRODUCT((COUNTIF(J927:M927,L_KOM)&gt;0)*S_KOM)))</f>
        <v/>
      </c>
      <c r="O927" s="11" t="n"/>
      <c r="P927" s="10">
        <f>IF(O927="","",IFERROR(VLOOKUP(O927,T_KHID,2,FALSE),0))</f>
        <v/>
      </c>
      <c r="Q927" s="11" t="n"/>
      <c r="R927" s="11" t="n"/>
      <c r="S927" s="10">
        <f>IF(AND(Q927="",R927=""),"",IFERROR(INDEX(T_LIBAT,MATCH(Q927,L_PER,0),MATCH(R927,L_JENIS,0)),0))</f>
        <v/>
      </c>
      <c r="T927" s="11" t="n"/>
      <c r="U927" s="11" t="n"/>
      <c r="V927" s="10">
        <f>IF(AND(T927="",U927=""),"",IFERROR(INDEX(T_CAPAI,MATCH(T927,L_PER,0),MATCH(U927,L_KED,0)),0))</f>
        <v/>
      </c>
      <c r="W927" s="17">
        <f>IF(OR(B927="",E927="",COUNTA(F927,H927,J927:M927,O927,Q927:R927,T927:U927)=0),"",SUM(G927,I927,N927,P927,S927,V927))</f>
        <v/>
      </c>
      <c r="X927" s="18">
        <f>IF(W927="","",IF(Murid!F927="TL","TL",ROUND(W927/110*100,2)))</f>
        <v/>
      </c>
    </row>
    <row r="928">
      <c r="A928" s="15">
        <f>Murid!A928</f>
        <v/>
      </c>
      <c r="B928" s="15">
        <f>IF(Murid!B928="","",Murid!B928)</f>
        <v/>
      </c>
      <c r="C928" s="16">
        <f>IF(Murid!C928="","",Murid!C928)</f>
        <v/>
      </c>
      <c r="D928" s="15">
        <f>IF(Murid!E928="","",Murid!E928)</f>
        <v/>
      </c>
      <c r="E928" s="11" t="n"/>
      <c r="F928" s="11" t="n"/>
      <c r="G928" s="10">
        <f>IF(F928="","",IFERROR(VLOOKUP(F928,T_JKP,2,FALSE),0))</f>
        <v/>
      </c>
      <c r="H928" s="11" t="n"/>
      <c r="I928" s="17">
        <f>IF(H928="","",IF(H928&gt;=12,40,ROUND(H928*3.33,2)))</f>
        <v/>
      </c>
      <c r="J928" s="11" t="n"/>
      <c r="K928" s="11" t="n"/>
      <c r="L928" s="11" t="n"/>
      <c r="M928" s="11" t="n"/>
      <c r="N928" s="10">
        <f>IF(COUNTA(J928:M928)=0,"",MIN(10,SUMPRODUCT((COUNTIF(J928:M928,L_KOM)&gt;0)*S_KOM)))</f>
        <v/>
      </c>
      <c r="O928" s="11" t="n"/>
      <c r="P928" s="10">
        <f>IF(O928="","",IFERROR(VLOOKUP(O928,T_KHID,2,FALSE),0))</f>
        <v/>
      </c>
      <c r="Q928" s="11" t="n"/>
      <c r="R928" s="11" t="n"/>
      <c r="S928" s="10">
        <f>IF(AND(Q928="",R928=""),"",IFERROR(INDEX(T_LIBAT,MATCH(Q928,L_PER,0),MATCH(R928,L_JENIS,0)),0))</f>
        <v/>
      </c>
      <c r="T928" s="11" t="n"/>
      <c r="U928" s="11" t="n"/>
      <c r="V928" s="10">
        <f>IF(AND(T928="",U928=""),"",IFERROR(INDEX(T_CAPAI,MATCH(T928,L_PER,0),MATCH(U928,L_KED,0)),0))</f>
        <v/>
      </c>
      <c r="W928" s="17">
        <f>IF(OR(B928="",E928="",COUNTA(F928,H928,J928:M928,O928,Q928:R928,T928:U928)=0),"",SUM(G928,I928,N928,P928,S928,V928))</f>
        <v/>
      </c>
      <c r="X928" s="18">
        <f>IF(W928="","",IF(Murid!F928="TL","TL",ROUND(W928/110*100,2)))</f>
        <v/>
      </c>
    </row>
    <row r="929">
      <c r="A929" s="15">
        <f>Murid!A929</f>
        <v/>
      </c>
      <c r="B929" s="15">
        <f>IF(Murid!B929="","",Murid!B929)</f>
        <v/>
      </c>
      <c r="C929" s="16">
        <f>IF(Murid!C929="","",Murid!C929)</f>
        <v/>
      </c>
      <c r="D929" s="15">
        <f>IF(Murid!E929="","",Murid!E929)</f>
        <v/>
      </c>
      <c r="E929" s="11" t="n"/>
      <c r="F929" s="11" t="n"/>
      <c r="G929" s="10">
        <f>IF(F929="","",IFERROR(VLOOKUP(F929,T_JKP,2,FALSE),0))</f>
        <v/>
      </c>
      <c r="H929" s="11" t="n"/>
      <c r="I929" s="17">
        <f>IF(H929="","",IF(H929&gt;=12,40,ROUND(H929*3.33,2)))</f>
        <v/>
      </c>
      <c r="J929" s="11" t="n"/>
      <c r="K929" s="11" t="n"/>
      <c r="L929" s="11" t="n"/>
      <c r="M929" s="11" t="n"/>
      <c r="N929" s="10">
        <f>IF(COUNTA(J929:M929)=0,"",MIN(10,SUMPRODUCT((COUNTIF(J929:M929,L_KOM)&gt;0)*S_KOM)))</f>
        <v/>
      </c>
      <c r="O929" s="11" t="n"/>
      <c r="P929" s="10">
        <f>IF(O929="","",IFERROR(VLOOKUP(O929,T_KHID,2,FALSE),0))</f>
        <v/>
      </c>
      <c r="Q929" s="11" t="n"/>
      <c r="R929" s="11" t="n"/>
      <c r="S929" s="10">
        <f>IF(AND(Q929="",R929=""),"",IFERROR(INDEX(T_LIBAT,MATCH(Q929,L_PER,0),MATCH(R929,L_JENIS,0)),0))</f>
        <v/>
      </c>
      <c r="T929" s="11" t="n"/>
      <c r="U929" s="11" t="n"/>
      <c r="V929" s="10">
        <f>IF(AND(T929="",U929=""),"",IFERROR(INDEX(T_CAPAI,MATCH(T929,L_PER,0),MATCH(U929,L_KED,0)),0))</f>
        <v/>
      </c>
      <c r="W929" s="17">
        <f>IF(OR(B929="",E929="",COUNTA(F929,H929,J929:M929,O929,Q929:R929,T929:U929)=0),"",SUM(G929,I929,N929,P929,S929,V929))</f>
        <v/>
      </c>
      <c r="X929" s="18">
        <f>IF(W929="","",IF(Murid!F929="TL","TL",ROUND(W929/110*100,2)))</f>
        <v/>
      </c>
    </row>
    <row r="930">
      <c r="A930" s="15">
        <f>Murid!A930</f>
        <v/>
      </c>
      <c r="B930" s="15">
        <f>IF(Murid!B930="","",Murid!B930)</f>
        <v/>
      </c>
      <c r="C930" s="16">
        <f>IF(Murid!C930="","",Murid!C930)</f>
        <v/>
      </c>
      <c r="D930" s="15">
        <f>IF(Murid!E930="","",Murid!E930)</f>
        <v/>
      </c>
      <c r="E930" s="11" t="n"/>
      <c r="F930" s="11" t="n"/>
      <c r="G930" s="10">
        <f>IF(F930="","",IFERROR(VLOOKUP(F930,T_JKP,2,FALSE),0))</f>
        <v/>
      </c>
      <c r="H930" s="11" t="n"/>
      <c r="I930" s="17">
        <f>IF(H930="","",IF(H930&gt;=12,40,ROUND(H930*3.33,2)))</f>
        <v/>
      </c>
      <c r="J930" s="11" t="n"/>
      <c r="K930" s="11" t="n"/>
      <c r="L930" s="11" t="n"/>
      <c r="M930" s="11" t="n"/>
      <c r="N930" s="10">
        <f>IF(COUNTA(J930:M930)=0,"",MIN(10,SUMPRODUCT((COUNTIF(J930:M930,L_KOM)&gt;0)*S_KOM)))</f>
        <v/>
      </c>
      <c r="O930" s="11" t="n"/>
      <c r="P930" s="10">
        <f>IF(O930="","",IFERROR(VLOOKUP(O930,T_KHID,2,FALSE),0))</f>
        <v/>
      </c>
      <c r="Q930" s="11" t="n"/>
      <c r="R930" s="11" t="n"/>
      <c r="S930" s="10">
        <f>IF(AND(Q930="",R930=""),"",IFERROR(INDEX(T_LIBAT,MATCH(Q930,L_PER,0),MATCH(R930,L_JENIS,0)),0))</f>
        <v/>
      </c>
      <c r="T930" s="11" t="n"/>
      <c r="U930" s="11" t="n"/>
      <c r="V930" s="10">
        <f>IF(AND(T930="",U930=""),"",IFERROR(INDEX(T_CAPAI,MATCH(T930,L_PER,0),MATCH(U930,L_KED,0)),0))</f>
        <v/>
      </c>
      <c r="W930" s="17">
        <f>IF(OR(B930="",E930="",COUNTA(F930,H930,J930:M930,O930,Q930:R930,T930:U930)=0),"",SUM(G930,I930,N930,P930,S930,V930))</f>
        <v/>
      </c>
      <c r="X930" s="18">
        <f>IF(W930="","",IF(Murid!F930="TL","TL",ROUND(W930/110*100,2)))</f>
        <v/>
      </c>
    </row>
    <row r="931">
      <c r="A931" s="15">
        <f>Murid!A931</f>
        <v/>
      </c>
      <c r="B931" s="15">
        <f>IF(Murid!B931="","",Murid!B931)</f>
        <v/>
      </c>
      <c r="C931" s="16">
        <f>IF(Murid!C931="","",Murid!C931)</f>
        <v/>
      </c>
      <c r="D931" s="15">
        <f>IF(Murid!E931="","",Murid!E931)</f>
        <v/>
      </c>
      <c r="E931" s="11" t="n"/>
      <c r="F931" s="11" t="n"/>
      <c r="G931" s="10">
        <f>IF(F931="","",IFERROR(VLOOKUP(F931,T_JKP,2,FALSE),0))</f>
        <v/>
      </c>
      <c r="H931" s="11" t="n"/>
      <c r="I931" s="17">
        <f>IF(H931="","",IF(H931&gt;=12,40,ROUND(H931*3.33,2)))</f>
        <v/>
      </c>
      <c r="J931" s="11" t="n"/>
      <c r="K931" s="11" t="n"/>
      <c r="L931" s="11" t="n"/>
      <c r="M931" s="11" t="n"/>
      <c r="N931" s="10">
        <f>IF(COUNTA(J931:M931)=0,"",MIN(10,SUMPRODUCT((COUNTIF(J931:M931,L_KOM)&gt;0)*S_KOM)))</f>
        <v/>
      </c>
      <c r="O931" s="11" t="n"/>
      <c r="P931" s="10">
        <f>IF(O931="","",IFERROR(VLOOKUP(O931,T_KHID,2,FALSE),0))</f>
        <v/>
      </c>
      <c r="Q931" s="11" t="n"/>
      <c r="R931" s="11" t="n"/>
      <c r="S931" s="10">
        <f>IF(AND(Q931="",R931=""),"",IFERROR(INDEX(T_LIBAT,MATCH(Q931,L_PER,0),MATCH(R931,L_JENIS,0)),0))</f>
        <v/>
      </c>
      <c r="T931" s="11" t="n"/>
      <c r="U931" s="11" t="n"/>
      <c r="V931" s="10">
        <f>IF(AND(T931="",U931=""),"",IFERROR(INDEX(T_CAPAI,MATCH(T931,L_PER,0),MATCH(U931,L_KED,0)),0))</f>
        <v/>
      </c>
      <c r="W931" s="17">
        <f>IF(OR(B931="",E931="",COUNTA(F931,H931,J931:M931,O931,Q931:R931,T931:U931)=0),"",SUM(G931,I931,N931,P931,S931,V931))</f>
        <v/>
      </c>
      <c r="X931" s="18">
        <f>IF(W931="","",IF(Murid!F931="TL","TL",ROUND(W931/110*100,2)))</f>
        <v/>
      </c>
    </row>
    <row r="932">
      <c r="A932" s="15">
        <f>Murid!A932</f>
        <v/>
      </c>
      <c r="B932" s="15">
        <f>IF(Murid!B932="","",Murid!B932)</f>
        <v/>
      </c>
      <c r="C932" s="16">
        <f>IF(Murid!C932="","",Murid!C932)</f>
        <v/>
      </c>
      <c r="D932" s="15">
        <f>IF(Murid!E932="","",Murid!E932)</f>
        <v/>
      </c>
      <c r="E932" s="11" t="n"/>
      <c r="F932" s="11" t="n"/>
      <c r="G932" s="10">
        <f>IF(F932="","",IFERROR(VLOOKUP(F932,T_JKP,2,FALSE),0))</f>
        <v/>
      </c>
      <c r="H932" s="11" t="n"/>
      <c r="I932" s="17">
        <f>IF(H932="","",IF(H932&gt;=12,40,ROUND(H932*3.33,2)))</f>
        <v/>
      </c>
      <c r="J932" s="11" t="n"/>
      <c r="K932" s="11" t="n"/>
      <c r="L932" s="11" t="n"/>
      <c r="M932" s="11" t="n"/>
      <c r="N932" s="10">
        <f>IF(COUNTA(J932:M932)=0,"",MIN(10,SUMPRODUCT((COUNTIF(J932:M932,L_KOM)&gt;0)*S_KOM)))</f>
        <v/>
      </c>
      <c r="O932" s="11" t="n"/>
      <c r="P932" s="10">
        <f>IF(O932="","",IFERROR(VLOOKUP(O932,T_KHID,2,FALSE),0))</f>
        <v/>
      </c>
      <c r="Q932" s="11" t="n"/>
      <c r="R932" s="11" t="n"/>
      <c r="S932" s="10">
        <f>IF(AND(Q932="",R932=""),"",IFERROR(INDEX(T_LIBAT,MATCH(Q932,L_PER,0),MATCH(R932,L_JENIS,0)),0))</f>
        <v/>
      </c>
      <c r="T932" s="11" t="n"/>
      <c r="U932" s="11" t="n"/>
      <c r="V932" s="10">
        <f>IF(AND(T932="",U932=""),"",IFERROR(INDEX(T_CAPAI,MATCH(T932,L_PER,0),MATCH(U932,L_KED,0)),0))</f>
        <v/>
      </c>
      <c r="W932" s="17">
        <f>IF(OR(B932="",E932="",COUNTA(F932,H932,J932:M932,O932,Q932:R932,T932:U932)=0),"",SUM(G932,I932,N932,P932,S932,V932))</f>
        <v/>
      </c>
      <c r="X932" s="18">
        <f>IF(W932="","",IF(Murid!F932="TL","TL",ROUND(W932/110*100,2)))</f>
        <v/>
      </c>
    </row>
    <row r="933">
      <c r="A933" s="15">
        <f>Murid!A933</f>
        <v/>
      </c>
      <c r="B933" s="15">
        <f>IF(Murid!B933="","",Murid!B933)</f>
        <v/>
      </c>
      <c r="C933" s="16">
        <f>IF(Murid!C933="","",Murid!C933)</f>
        <v/>
      </c>
      <c r="D933" s="15">
        <f>IF(Murid!E933="","",Murid!E933)</f>
        <v/>
      </c>
      <c r="E933" s="11" t="n"/>
      <c r="F933" s="11" t="n"/>
      <c r="G933" s="10">
        <f>IF(F933="","",IFERROR(VLOOKUP(F933,T_JKP,2,FALSE),0))</f>
        <v/>
      </c>
      <c r="H933" s="11" t="n"/>
      <c r="I933" s="17">
        <f>IF(H933="","",IF(H933&gt;=12,40,ROUND(H933*3.33,2)))</f>
        <v/>
      </c>
      <c r="J933" s="11" t="n"/>
      <c r="K933" s="11" t="n"/>
      <c r="L933" s="11" t="n"/>
      <c r="M933" s="11" t="n"/>
      <c r="N933" s="10">
        <f>IF(COUNTA(J933:M933)=0,"",MIN(10,SUMPRODUCT((COUNTIF(J933:M933,L_KOM)&gt;0)*S_KOM)))</f>
        <v/>
      </c>
      <c r="O933" s="11" t="n"/>
      <c r="P933" s="10">
        <f>IF(O933="","",IFERROR(VLOOKUP(O933,T_KHID,2,FALSE),0))</f>
        <v/>
      </c>
      <c r="Q933" s="11" t="n"/>
      <c r="R933" s="11" t="n"/>
      <c r="S933" s="10">
        <f>IF(AND(Q933="",R933=""),"",IFERROR(INDEX(T_LIBAT,MATCH(Q933,L_PER,0),MATCH(R933,L_JENIS,0)),0))</f>
        <v/>
      </c>
      <c r="T933" s="11" t="n"/>
      <c r="U933" s="11" t="n"/>
      <c r="V933" s="10">
        <f>IF(AND(T933="",U933=""),"",IFERROR(INDEX(T_CAPAI,MATCH(T933,L_PER,0),MATCH(U933,L_KED,0)),0))</f>
        <v/>
      </c>
      <c r="W933" s="17">
        <f>IF(OR(B933="",E933="",COUNTA(F933,H933,J933:M933,O933,Q933:R933,T933:U933)=0),"",SUM(G933,I933,N933,P933,S933,V933))</f>
        <v/>
      </c>
      <c r="X933" s="18">
        <f>IF(W933="","",IF(Murid!F933="TL","TL",ROUND(W933/110*100,2)))</f>
        <v/>
      </c>
    </row>
    <row r="934">
      <c r="A934" s="15">
        <f>Murid!A934</f>
        <v/>
      </c>
      <c r="B934" s="15">
        <f>IF(Murid!B934="","",Murid!B934)</f>
        <v/>
      </c>
      <c r="C934" s="16">
        <f>IF(Murid!C934="","",Murid!C934)</f>
        <v/>
      </c>
      <c r="D934" s="15">
        <f>IF(Murid!E934="","",Murid!E934)</f>
        <v/>
      </c>
      <c r="E934" s="11" t="n"/>
      <c r="F934" s="11" t="n"/>
      <c r="G934" s="10">
        <f>IF(F934="","",IFERROR(VLOOKUP(F934,T_JKP,2,FALSE),0))</f>
        <v/>
      </c>
      <c r="H934" s="11" t="n"/>
      <c r="I934" s="17">
        <f>IF(H934="","",IF(H934&gt;=12,40,ROUND(H934*3.33,2)))</f>
        <v/>
      </c>
      <c r="J934" s="11" t="n"/>
      <c r="K934" s="11" t="n"/>
      <c r="L934" s="11" t="n"/>
      <c r="M934" s="11" t="n"/>
      <c r="N934" s="10">
        <f>IF(COUNTA(J934:M934)=0,"",MIN(10,SUMPRODUCT((COUNTIF(J934:M934,L_KOM)&gt;0)*S_KOM)))</f>
        <v/>
      </c>
      <c r="O934" s="11" t="n"/>
      <c r="P934" s="10">
        <f>IF(O934="","",IFERROR(VLOOKUP(O934,T_KHID,2,FALSE),0))</f>
        <v/>
      </c>
      <c r="Q934" s="11" t="n"/>
      <c r="R934" s="11" t="n"/>
      <c r="S934" s="10">
        <f>IF(AND(Q934="",R934=""),"",IFERROR(INDEX(T_LIBAT,MATCH(Q934,L_PER,0),MATCH(R934,L_JENIS,0)),0))</f>
        <v/>
      </c>
      <c r="T934" s="11" t="n"/>
      <c r="U934" s="11" t="n"/>
      <c r="V934" s="10">
        <f>IF(AND(T934="",U934=""),"",IFERROR(INDEX(T_CAPAI,MATCH(T934,L_PER,0),MATCH(U934,L_KED,0)),0))</f>
        <v/>
      </c>
      <c r="W934" s="17">
        <f>IF(OR(B934="",E934="",COUNTA(F934,H934,J934:M934,O934,Q934:R934,T934:U934)=0),"",SUM(G934,I934,N934,P934,S934,V934))</f>
        <v/>
      </c>
      <c r="X934" s="18">
        <f>IF(W934="","",IF(Murid!F934="TL","TL",ROUND(W934/110*100,2)))</f>
        <v/>
      </c>
    </row>
    <row r="935">
      <c r="A935" s="15">
        <f>Murid!A935</f>
        <v/>
      </c>
      <c r="B935" s="15">
        <f>IF(Murid!B935="","",Murid!B935)</f>
        <v/>
      </c>
      <c r="C935" s="16">
        <f>IF(Murid!C935="","",Murid!C935)</f>
        <v/>
      </c>
      <c r="D935" s="15">
        <f>IF(Murid!E935="","",Murid!E935)</f>
        <v/>
      </c>
      <c r="E935" s="11" t="n"/>
      <c r="F935" s="11" t="n"/>
      <c r="G935" s="10">
        <f>IF(F935="","",IFERROR(VLOOKUP(F935,T_JKP,2,FALSE),0))</f>
        <v/>
      </c>
      <c r="H935" s="11" t="n"/>
      <c r="I935" s="17">
        <f>IF(H935="","",IF(H935&gt;=12,40,ROUND(H935*3.33,2)))</f>
        <v/>
      </c>
      <c r="J935" s="11" t="n"/>
      <c r="K935" s="11" t="n"/>
      <c r="L935" s="11" t="n"/>
      <c r="M935" s="11" t="n"/>
      <c r="N935" s="10">
        <f>IF(COUNTA(J935:M935)=0,"",MIN(10,SUMPRODUCT((COUNTIF(J935:M935,L_KOM)&gt;0)*S_KOM)))</f>
        <v/>
      </c>
      <c r="O935" s="11" t="n"/>
      <c r="P935" s="10">
        <f>IF(O935="","",IFERROR(VLOOKUP(O935,T_KHID,2,FALSE),0))</f>
        <v/>
      </c>
      <c r="Q935" s="11" t="n"/>
      <c r="R935" s="11" t="n"/>
      <c r="S935" s="10">
        <f>IF(AND(Q935="",R935=""),"",IFERROR(INDEX(T_LIBAT,MATCH(Q935,L_PER,0),MATCH(R935,L_JENIS,0)),0))</f>
        <v/>
      </c>
      <c r="T935" s="11" t="n"/>
      <c r="U935" s="11" t="n"/>
      <c r="V935" s="10">
        <f>IF(AND(T935="",U935=""),"",IFERROR(INDEX(T_CAPAI,MATCH(T935,L_PER,0),MATCH(U935,L_KED,0)),0))</f>
        <v/>
      </c>
      <c r="W935" s="17">
        <f>IF(OR(B935="",E935="",COUNTA(F935,H935,J935:M935,O935,Q935:R935,T935:U935)=0),"",SUM(G935,I935,N935,P935,S935,V935))</f>
        <v/>
      </c>
      <c r="X935" s="18">
        <f>IF(W935="","",IF(Murid!F935="TL","TL",ROUND(W935/110*100,2)))</f>
        <v/>
      </c>
    </row>
    <row r="936">
      <c r="A936" s="15">
        <f>Murid!A936</f>
        <v/>
      </c>
      <c r="B936" s="15">
        <f>IF(Murid!B936="","",Murid!B936)</f>
        <v/>
      </c>
      <c r="C936" s="16">
        <f>IF(Murid!C936="","",Murid!C936)</f>
        <v/>
      </c>
      <c r="D936" s="15">
        <f>IF(Murid!E936="","",Murid!E936)</f>
        <v/>
      </c>
      <c r="E936" s="11" t="n"/>
      <c r="F936" s="11" t="n"/>
      <c r="G936" s="10">
        <f>IF(F936="","",IFERROR(VLOOKUP(F936,T_JKP,2,FALSE),0))</f>
        <v/>
      </c>
      <c r="H936" s="11" t="n"/>
      <c r="I936" s="17">
        <f>IF(H936="","",IF(H936&gt;=12,40,ROUND(H936*3.33,2)))</f>
        <v/>
      </c>
      <c r="J936" s="11" t="n"/>
      <c r="K936" s="11" t="n"/>
      <c r="L936" s="11" t="n"/>
      <c r="M936" s="11" t="n"/>
      <c r="N936" s="10">
        <f>IF(COUNTA(J936:M936)=0,"",MIN(10,SUMPRODUCT((COUNTIF(J936:M936,L_KOM)&gt;0)*S_KOM)))</f>
        <v/>
      </c>
      <c r="O936" s="11" t="n"/>
      <c r="P936" s="10">
        <f>IF(O936="","",IFERROR(VLOOKUP(O936,T_KHID,2,FALSE),0))</f>
        <v/>
      </c>
      <c r="Q936" s="11" t="n"/>
      <c r="R936" s="11" t="n"/>
      <c r="S936" s="10">
        <f>IF(AND(Q936="",R936=""),"",IFERROR(INDEX(T_LIBAT,MATCH(Q936,L_PER,0),MATCH(R936,L_JENIS,0)),0))</f>
        <v/>
      </c>
      <c r="T936" s="11" t="n"/>
      <c r="U936" s="11" t="n"/>
      <c r="V936" s="10">
        <f>IF(AND(T936="",U936=""),"",IFERROR(INDEX(T_CAPAI,MATCH(T936,L_PER,0),MATCH(U936,L_KED,0)),0))</f>
        <v/>
      </c>
      <c r="W936" s="17">
        <f>IF(OR(B936="",E936="",COUNTA(F936,H936,J936:M936,O936,Q936:R936,T936:U936)=0),"",SUM(G936,I936,N936,P936,S936,V936))</f>
        <v/>
      </c>
      <c r="X936" s="18">
        <f>IF(W936="","",IF(Murid!F936="TL","TL",ROUND(W936/110*100,2)))</f>
        <v/>
      </c>
    </row>
    <row r="937">
      <c r="A937" s="15">
        <f>Murid!A937</f>
        <v/>
      </c>
      <c r="B937" s="15">
        <f>IF(Murid!B937="","",Murid!B937)</f>
        <v/>
      </c>
      <c r="C937" s="16">
        <f>IF(Murid!C937="","",Murid!C937)</f>
        <v/>
      </c>
      <c r="D937" s="15">
        <f>IF(Murid!E937="","",Murid!E937)</f>
        <v/>
      </c>
      <c r="E937" s="11" t="n"/>
      <c r="F937" s="11" t="n"/>
      <c r="G937" s="10">
        <f>IF(F937="","",IFERROR(VLOOKUP(F937,T_JKP,2,FALSE),0))</f>
        <v/>
      </c>
      <c r="H937" s="11" t="n"/>
      <c r="I937" s="17">
        <f>IF(H937="","",IF(H937&gt;=12,40,ROUND(H937*3.33,2)))</f>
        <v/>
      </c>
      <c r="J937" s="11" t="n"/>
      <c r="K937" s="11" t="n"/>
      <c r="L937" s="11" t="n"/>
      <c r="M937" s="11" t="n"/>
      <c r="N937" s="10">
        <f>IF(COUNTA(J937:M937)=0,"",MIN(10,SUMPRODUCT((COUNTIF(J937:M937,L_KOM)&gt;0)*S_KOM)))</f>
        <v/>
      </c>
      <c r="O937" s="11" t="n"/>
      <c r="P937" s="10">
        <f>IF(O937="","",IFERROR(VLOOKUP(O937,T_KHID,2,FALSE),0))</f>
        <v/>
      </c>
      <c r="Q937" s="11" t="n"/>
      <c r="R937" s="11" t="n"/>
      <c r="S937" s="10">
        <f>IF(AND(Q937="",R937=""),"",IFERROR(INDEX(T_LIBAT,MATCH(Q937,L_PER,0),MATCH(R937,L_JENIS,0)),0))</f>
        <v/>
      </c>
      <c r="T937" s="11" t="n"/>
      <c r="U937" s="11" t="n"/>
      <c r="V937" s="10">
        <f>IF(AND(T937="",U937=""),"",IFERROR(INDEX(T_CAPAI,MATCH(T937,L_PER,0),MATCH(U937,L_KED,0)),0))</f>
        <v/>
      </c>
      <c r="W937" s="17">
        <f>IF(OR(B937="",E937="",COUNTA(F937,H937,J937:M937,O937,Q937:R937,T937:U937)=0),"",SUM(G937,I937,N937,P937,S937,V937))</f>
        <v/>
      </c>
      <c r="X937" s="18">
        <f>IF(W937="","",IF(Murid!F937="TL","TL",ROUND(W937/110*100,2)))</f>
        <v/>
      </c>
    </row>
    <row r="938">
      <c r="A938" s="15">
        <f>Murid!A938</f>
        <v/>
      </c>
      <c r="B938" s="15">
        <f>IF(Murid!B938="","",Murid!B938)</f>
        <v/>
      </c>
      <c r="C938" s="16">
        <f>IF(Murid!C938="","",Murid!C938)</f>
        <v/>
      </c>
      <c r="D938" s="15">
        <f>IF(Murid!E938="","",Murid!E938)</f>
        <v/>
      </c>
      <c r="E938" s="11" t="n"/>
      <c r="F938" s="11" t="n"/>
      <c r="G938" s="10">
        <f>IF(F938="","",IFERROR(VLOOKUP(F938,T_JKP,2,FALSE),0))</f>
        <v/>
      </c>
      <c r="H938" s="11" t="n"/>
      <c r="I938" s="17">
        <f>IF(H938="","",IF(H938&gt;=12,40,ROUND(H938*3.33,2)))</f>
        <v/>
      </c>
      <c r="J938" s="11" t="n"/>
      <c r="K938" s="11" t="n"/>
      <c r="L938" s="11" t="n"/>
      <c r="M938" s="11" t="n"/>
      <c r="N938" s="10">
        <f>IF(COUNTA(J938:M938)=0,"",MIN(10,SUMPRODUCT((COUNTIF(J938:M938,L_KOM)&gt;0)*S_KOM)))</f>
        <v/>
      </c>
      <c r="O938" s="11" t="n"/>
      <c r="P938" s="10">
        <f>IF(O938="","",IFERROR(VLOOKUP(O938,T_KHID,2,FALSE),0))</f>
        <v/>
      </c>
      <c r="Q938" s="11" t="n"/>
      <c r="R938" s="11" t="n"/>
      <c r="S938" s="10">
        <f>IF(AND(Q938="",R938=""),"",IFERROR(INDEX(T_LIBAT,MATCH(Q938,L_PER,0),MATCH(R938,L_JENIS,0)),0))</f>
        <v/>
      </c>
      <c r="T938" s="11" t="n"/>
      <c r="U938" s="11" t="n"/>
      <c r="V938" s="10">
        <f>IF(AND(T938="",U938=""),"",IFERROR(INDEX(T_CAPAI,MATCH(T938,L_PER,0),MATCH(U938,L_KED,0)),0))</f>
        <v/>
      </c>
      <c r="W938" s="17">
        <f>IF(OR(B938="",E938="",COUNTA(F938,H938,J938:M938,O938,Q938:R938,T938:U938)=0),"",SUM(G938,I938,N938,P938,S938,V938))</f>
        <v/>
      </c>
      <c r="X938" s="18">
        <f>IF(W938="","",IF(Murid!F938="TL","TL",ROUND(W938/110*100,2)))</f>
        <v/>
      </c>
    </row>
    <row r="939">
      <c r="A939" s="15">
        <f>Murid!A939</f>
        <v/>
      </c>
      <c r="B939" s="15">
        <f>IF(Murid!B939="","",Murid!B939)</f>
        <v/>
      </c>
      <c r="C939" s="16">
        <f>IF(Murid!C939="","",Murid!C939)</f>
        <v/>
      </c>
      <c r="D939" s="15">
        <f>IF(Murid!E939="","",Murid!E939)</f>
        <v/>
      </c>
      <c r="E939" s="11" t="n"/>
      <c r="F939" s="11" t="n"/>
      <c r="G939" s="10">
        <f>IF(F939="","",IFERROR(VLOOKUP(F939,T_JKP,2,FALSE),0))</f>
        <v/>
      </c>
      <c r="H939" s="11" t="n"/>
      <c r="I939" s="17">
        <f>IF(H939="","",IF(H939&gt;=12,40,ROUND(H939*3.33,2)))</f>
        <v/>
      </c>
      <c r="J939" s="11" t="n"/>
      <c r="K939" s="11" t="n"/>
      <c r="L939" s="11" t="n"/>
      <c r="M939" s="11" t="n"/>
      <c r="N939" s="10">
        <f>IF(COUNTA(J939:M939)=0,"",MIN(10,SUMPRODUCT((COUNTIF(J939:M939,L_KOM)&gt;0)*S_KOM)))</f>
        <v/>
      </c>
      <c r="O939" s="11" t="n"/>
      <c r="P939" s="10">
        <f>IF(O939="","",IFERROR(VLOOKUP(O939,T_KHID,2,FALSE),0))</f>
        <v/>
      </c>
      <c r="Q939" s="11" t="n"/>
      <c r="R939" s="11" t="n"/>
      <c r="S939" s="10">
        <f>IF(AND(Q939="",R939=""),"",IFERROR(INDEX(T_LIBAT,MATCH(Q939,L_PER,0),MATCH(R939,L_JENIS,0)),0))</f>
        <v/>
      </c>
      <c r="T939" s="11" t="n"/>
      <c r="U939" s="11" t="n"/>
      <c r="V939" s="10">
        <f>IF(AND(T939="",U939=""),"",IFERROR(INDEX(T_CAPAI,MATCH(T939,L_PER,0),MATCH(U939,L_KED,0)),0))</f>
        <v/>
      </c>
      <c r="W939" s="17">
        <f>IF(OR(B939="",E939="",COUNTA(F939,H939,J939:M939,O939,Q939:R939,T939:U939)=0),"",SUM(G939,I939,N939,P939,S939,V939))</f>
        <v/>
      </c>
      <c r="X939" s="18">
        <f>IF(W939="","",IF(Murid!F939="TL","TL",ROUND(W939/110*100,2)))</f>
        <v/>
      </c>
    </row>
    <row r="940">
      <c r="A940" s="15">
        <f>Murid!A940</f>
        <v/>
      </c>
      <c r="B940" s="15">
        <f>IF(Murid!B940="","",Murid!B940)</f>
        <v/>
      </c>
      <c r="C940" s="16">
        <f>IF(Murid!C940="","",Murid!C940)</f>
        <v/>
      </c>
      <c r="D940" s="15">
        <f>IF(Murid!E940="","",Murid!E940)</f>
        <v/>
      </c>
      <c r="E940" s="11" t="n"/>
      <c r="F940" s="11" t="n"/>
      <c r="G940" s="10">
        <f>IF(F940="","",IFERROR(VLOOKUP(F940,T_JKP,2,FALSE),0))</f>
        <v/>
      </c>
      <c r="H940" s="11" t="n"/>
      <c r="I940" s="17">
        <f>IF(H940="","",IF(H940&gt;=12,40,ROUND(H940*3.33,2)))</f>
        <v/>
      </c>
      <c r="J940" s="11" t="n"/>
      <c r="K940" s="11" t="n"/>
      <c r="L940" s="11" t="n"/>
      <c r="M940" s="11" t="n"/>
      <c r="N940" s="10">
        <f>IF(COUNTA(J940:M940)=0,"",MIN(10,SUMPRODUCT((COUNTIF(J940:M940,L_KOM)&gt;0)*S_KOM)))</f>
        <v/>
      </c>
      <c r="O940" s="11" t="n"/>
      <c r="P940" s="10">
        <f>IF(O940="","",IFERROR(VLOOKUP(O940,T_KHID,2,FALSE),0))</f>
        <v/>
      </c>
      <c r="Q940" s="11" t="n"/>
      <c r="R940" s="11" t="n"/>
      <c r="S940" s="10">
        <f>IF(AND(Q940="",R940=""),"",IFERROR(INDEX(T_LIBAT,MATCH(Q940,L_PER,0),MATCH(R940,L_JENIS,0)),0))</f>
        <v/>
      </c>
      <c r="T940" s="11" t="n"/>
      <c r="U940" s="11" t="n"/>
      <c r="V940" s="10">
        <f>IF(AND(T940="",U940=""),"",IFERROR(INDEX(T_CAPAI,MATCH(T940,L_PER,0),MATCH(U940,L_KED,0)),0))</f>
        <v/>
      </c>
      <c r="W940" s="17">
        <f>IF(OR(B940="",E940="",COUNTA(F940,H940,J940:M940,O940,Q940:R940,T940:U940)=0),"",SUM(G940,I940,N940,P940,S940,V940))</f>
        <v/>
      </c>
      <c r="X940" s="18">
        <f>IF(W940="","",IF(Murid!F940="TL","TL",ROUND(W940/110*100,2)))</f>
        <v/>
      </c>
    </row>
    <row r="941">
      <c r="A941" s="15">
        <f>Murid!A941</f>
        <v/>
      </c>
      <c r="B941" s="15">
        <f>IF(Murid!B941="","",Murid!B941)</f>
        <v/>
      </c>
      <c r="C941" s="16">
        <f>IF(Murid!C941="","",Murid!C941)</f>
        <v/>
      </c>
      <c r="D941" s="15">
        <f>IF(Murid!E941="","",Murid!E941)</f>
        <v/>
      </c>
      <c r="E941" s="11" t="n"/>
      <c r="F941" s="11" t="n"/>
      <c r="G941" s="10">
        <f>IF(F941="","",IFERROR(VLOOKUP(F941,T_JKP,2,FALSE),0))</f>
        <v/>
      </c>
      <c r="H941" s="11" t="n"/>
      <c r="I941" s="17">
        <f>IF(H941="","",IF(H941&gt;=12,40,ROUND(H941*3.33,2)))</f>
        <v/>
      </c>
      <c r="J941" s="11" t="n"/>
      <c r="K941" s="11" t="n"/>
      <c r="L941" s="11" t="n"/>
      <c r="M941" s="11" t="n"/>
      <c r="N941" s="10">
        <f>IF(COUNTA(J941:M941)=0,"",MIN(10,SUMPRODUCT((COUNTIF(J941:M941,L_KOM)&gt;0)*S_KOM)))</f>
        <v/>
      </c>
      <c r="O941" s="11" t="n"/>
      <c r="P941" s="10">
        <f>IF(O941="","",IFERROR(VLOOKUP(O941,T_KHID,2,FALSE),0))</f>
        <v/>
      </c>
      <c r="Q941" s="11" t="n"/>
      <c r="R941" s="11" t="n"/>
      <c r="S941" s="10">
        <f>IF(AND(Q941="",R941=""),"",IFERROR(INDEX(T_LIBAT,MATCH(Q941,L_PER,0),MATCH(R941,L_JENIS,0)),0))</f>
        <v/>
      </c>
      <c r="T941" s="11" t="n"/>
      <c r="U941" s="11" t="n"/>
      <c r="V941" s="10">
        <f>IF(AND(T941="",U941=""),"",IFERROR(INDEX(T_CAPAI,MATCH(T941,L_PER,0),MATCH(U941,L_KED,0)),0))</f>
        <v/>
      </c>
      <c r="W941" s="17">
        <f>IF(OR(B941="",E941="",COUNTA(F941,H941,J941:M941,O941,Q941:R941,T941:U941)=0),"",SUM(G941,I941,N941,P941,S941,V941))</f>
        <v/>
      </c>
      <c r="X941" s="18">
        <f>IF(W941="","",IF(Murid!F941="TL","TL",ROUND(W941/110*100,2)))</f>
        <v/>
      </c>
    </row>
    <row r="942">
      <c r="A942" s="15">
        <f>Murid!A942</f>
        <v/>
      </c>
      <c r="B942" s="15">
        <f>IF(Murid!B942="","",Murid!B942)</f>
        <v/>
      </c>
      <c r="C942" s="16">
        <f>IF(Murid!C942="","",Murid!C942)</f>
        <v/>
      </c>
      <c r="D942" s="15">
        <f>IF(Murid!E942="","",Murid!E942)</f>
        <v/>
      </c>
      <c r="E942" s="11" t="n"/>
      <c r="F942" s="11" t="n"/>
      <c r="G942" s="10">
        <f>IF(F942="","",IFERROR(VLOOKUP(F942,T_JKP,2,FALSE),0))</f>
        <v/>
      </c>
      <c r="H942" s="11" t="n"/>
      <c r="I942" s="17">
        <f>IF(H942="","",IF(H942&gt;=12,40,ROUND(H942*3.33,2)))</f>
        <v/>
      </c>
      <c r="J942" s="11" t="n"/>
      <c r="K942" s="11" t="n"/>
      <c r="L942" s="11" t="n"/>
      <c r="M942" s="11" t="n"/>
      <c r="N942" s="10">
        <f>IF(COUNTA(J942:M942)=0,"",MIN(10,SUMPRODUCT((COUNTIF(J942:M942,L_KOM)&gt;0)*S_KOM)))</f>
        <v/>
      </c>
      <c r="O942" s="11" t="n"/>
      <c r="P942" s="10">
        <f>IF(O942="","",IFERROR(VLOOKUP(O942,T_KHID,2,FALSE),0))</f>
        <v/>
      </c>
      <c r="Q942" s="11" t="n"/>
      <c r="R942" s="11" t="n"/>
      <c r="S942" s="10">
        <f>IF(AND(Q942="",R942=""),"",IFERROR(INDEX(T_LIBAT,MATCH(Q942,L_PER,0),MATCH(R942,L_JENIS,0)),0))</f>
        <v/>
      </c>
      <c r="T942" s="11" t="n"/>
      <c r="U942" s="11" t="n"/>
      <c r="V942" s="10">
        <f>IF(AND(T942="",U942=""),"",IFERROR(INDEX(T_CAPAI,MATCH(T942,L_PER,0),MATCH(U942,L_KED,0)),0))</f>
        <v/>
      </c>
      <c r="W942" s="17">
        <f>IF(OR(B942="",E942="",COUNTA(F942,H942,J942:M942,O942,Q942:R942,T942:U942)=0),"",SUM(G942,I942,N942,P942,S942,V942))</f>
        <v/>
      </c>
      <c r="X942" s="18">
        <f>IF(W942="","",IF(Murid!F942="TL","TL",ROUND(W942/110*100,2)))</f>
        <v/>
      </c>
    </row>
    <row r="943">
      <c r="A943" s="15">
        <f>Murid!A943</f>
        <v/>
      </c>
      <c r="B943" s="15">
        <f>IF(Murid!B943="","",Murid!B943)</f>
        <v/>
      </c>
      <c r="C943" s="16">
        <f>IF(Murid!C943="","",Murid!C943)</f>
        <v/>
      </c>
      <c r="D943" s="15">
        <f>IF(Murid!E943="","",Murid!E943)</f>
        <v/>
      </c>
      <c r="E943" s="11" t="n"/>
      <c r="F943" s="11" t="n"/>
      <c r="G943" s="10">
        <f>IF(F943="","",IFERROR(VLOOKUP(F943,T_JKP,2,FALSE),0))</f>
        <v/>
      </c>
      <c r="H943" s="11" t="n"/>
      <c r="I943" s="17">
        <f>IF(H943="","",IF(H943&gt;=12,40,ROUND(H943*3.33,2)))</f>
        <v/>
      </c>
      <c r="J943" s="11" t="n"/>
      <c r="K943" s="11" t="n"/>
      <c r="L943" s="11" t="n"/>
      <c r="M943" s="11" t="n"/>
      <c r="N943" s="10">
        <f>IF(COUNTA(J943:M943)=0,"",MIN(10,SUMPRODUCT((COUNTIF(J943:M943,L_KOM)&gt;0)*S_KOM)))</f>
        <v/>
      </c>
      <c r="O943" s="11" t="n"/>
      <c r="P943" s="10">
        <f>IF(O943="","",IFERROR(VLOOKUP(O943,T_KHID,2,FALSE),0))</f>
        <v/>
      </c>
      <c r="Q943" s="11" t="n"/>
      <c r="R943" s="11" t="n"/>
      <c r="S943" s="10">
        <f>IF(AND(Q943="",R943=""),"",IFERROR(INDEX(T_LIBAT,MATCH(Q943,L_PER,0),MATCH(R943,L_JENIS,0)),0))</f>
        <v/>
      </c>
      <c r="T943" s="11" t="n"/>
      <c r="U943" s="11" t="n"/>
      <c r="V943" s="10">
        <f>IF(AND(T943="",U943=""),"",IFERROR(INDEX(T_CAPAI,MATCH(T943,L_PER,0),MATCH(U943,L_KED,0)),0))</f>
        <v/>
      </c>
      <c r="W943" s="17">
        <f>IF(OR(B943="",E943="",COUNTA(F943,H943,J943:M943,O943,Q943:R943,T943:U943)=0),"",SUM(G943,I943,N943,P943,S943,V943))</f>
        <v/>
      </c>
      <c r="X943" s="18">
        <f>IF(W943="","",IF(Murid!F943="TL","TL",ROUND(W943/110*100,2)))</f>
        <v/>
      </c>
    </row>
    <row r="944">
      <c r="A944" s="15">
        <f>Murid!A944</f>
        <v/>
      </c>
      <c r="B944" s="15">
        <f>IF(Murid!B944="","",Murid!B944)</f>
        <v/>
      </c>
      <c r="C944" s="16">
        <f>IF(Murid!C944="","",Murid!C944)</f>
        <v/>
      </c>
      <c r="D944" s="15">
        <f>IF(Murid!E944="","",Murid!E944)</f>
        <v/>
      </c>
      <c r="E944" s="11" t="n"/>
      <c r="F944" s="11" t="n"/>
      <c r="G944" s="10">
        <f>IF(F944="","",IFERROR(VLOOKUP(F944,T_JKP,2,FALSE),0))</f>
        <v/>
      </c>
      <c r="H944" s="11" t="n"/>
      <c r="I944" s="17">
        <f>IF(H944="","",IF(H944&gt;=12,40,ROUND(H944*3.33,2)))</f>
        <v/>
      </c>
      <c r="J944" s="11" t="n"/>
      <c r="K944" s="11" t="n"/>
      <c r="L944" s="11" t="n"/>
      <c r="M944" s="11" t="n"/>
      <c r="N944" s="10">
        <f>IF(COUNTA(J944:M944)=0,"",MIN(10,SUMPRODUCT((COUNTIF(J944:M944,L_KOM)&gt;0)*S_KOM)))</f>
        <v/>
      </c>
      <c r="O944" s="11" t="n"/>
      <c r="P944" s="10">
        <f>IF(O944="","",IFERROR(VLOOKUP(O944,T_KHID,2,FALSE),0))</f>
        <v/>
      </c>
      <c r="Q944" s="11" t="n"/>
      <c r="R944" s="11" t="n"/>
      <c r="S944" s="10">
        <f>IF(AND(Q944="",R944=""),"",IFERROR(INDEX(T_LIBAT,MATCH(Q944,L_PER,0),MATCH(R944,L_JENIS,0)),0))</f>
        <v/>
      </c>
      <c r="T944" s="11" t="n"/>
      <c r="U944" s="11" t="n"/>
      <c r="V944" s="10">
        <f>IF(AND(T944="",U944=""),"",IFERROR(INDEX(T_CAPAI,MATCH(T944,L_PER,0),MATCH(U944,L_KED,0)),0))</f>
        <v/>
      </c>
      <c r="W944" s="17">
        <f>IF(OR(B944="",E944="",COUNTA(F944,H944,J944:M944,O944,Q944:R944,T944:U944)=0),"",SUM(G944,I944,N944,P944,S944,V944))</f>
        <v/>
      </c>
      <c r="X944" s="18">
        <f>IF(W944="","",IF(Murid!F944="TL","TL",ROUND(W944/110*100,2)))</f>
        <v/>
      </c>
    </row>
    <row r="945">
      <c r="A945" s="15">
        <f>Murid!A945</f>
        <v/>
      </c>
      <c r="B945" s="15">
        <f>IF(Murid!B945="","",Murid!B945)</f>
        <v/>
      </c>
      <c r="C945" s="16">
        <f>IF(Murid!C945="","",Murid!C945)</f>
        <v/>
      </c>
      <c r="D945" s="15">
        <f>IF(Murid!E945="","",Murid!E945)</f>
        <v/>
      </c>
      <c r="E945" s="11" t="n"/>
      <c r="F945" s="11" t="n"/>
      <c r="G945" s="10">
        <f>IF(F945="","",IFERROR(VLOOKUP(F945,T_JKP,2,FALSE),0))</f>
        <v/>
      </c>
      <c r="H945" s="11" t="n"/>
      <c r="I945" s="17">
        <f>IF(H945="","",IF(H945&gt;=12,40,ROUND(H945*3.33,2)))</f>
        <v/>
      </c>
      <c r="J945" s="11" t="n"/>
      <c r="K945" s="11" t="n"/>
      <c r="L945" s="11" t="n"/>
      <c r="M945" s="11" t="n"/>
      <c r="N945" s="10">
        <f>IF(COUNTA(J945:M945)=0,"",MIN(10,SUMPRODUCT((COUNTIF(J945:M945,L_KOM)&gt;0)*S_KOM)))</f>
        <v/>
      </c>
      <c r="O945" s="11" t="n"/>
      <c r="P945" s="10">
        <f>IF(O945="","",IFERROR(VLOOKUP(O945,T_KHID,2,FALSE),0))</f>
        <v/>
      </c>
      <c r="Q945" s="11" t="n"/>
      <c r="R945" s="11" t="n"/>
      <c r="S945" s="10">
        <f>IF(AND(Q945="",R945=""),"",IFERROR(INDEX(T_LIBAT,MATCH(Q945,L_PER,0),MATCH(R945,L_JENIS,0)),0))</f>
        <v/>
      </c>
      <c r="T945" s="11" t="n"/>
      <c r="U945" s="11" t="n"/>
      <c r="V945" s="10">
        <f>IF(AND(T945="",U945=""),"",IFERROR(INDEX(T_CAPAI,MATCH(T945,L_PER,0),MATCH(U945,L_KED,0)),0))</f>
        <v/>
      </c>
      <c r="W945" s="17">
        <f>IF(OR(B945="",E945="",COUNTA(F945,H945,J945:M945,O945,Q945:R945,T945:U945)=0),"",SUM(G945,I945,N945,P945,S945,V945))</f>
        <v/>
      </c>
      <c r="X945" s="18">
        <f>IF(W945="","",IF(Murid!F945="TL","TL",ROUND(W945/110*100,2)))</f>
        <v/>
      </c>
    </row>
    <row r="946">
      <c r="A946" s="15">
        <f>Murid!A946</f>
        <v/>
      </c>
      <c r="B946" s="15">
        <f>IF(Murid!B946="","",Murid!B946)</f>
        <v/>
      </c>
      <c r="C946" s="16">
        <f>IF(Murid!C946="","",Murid!C946)</f>
        <v/>
      </c>
      <c r="D946" s="15">
        <f>IF(Murid!E946="","",Murid!E946)</f>
        <v/>
      </c>
      <c r="E946" s="11" t="n"/>
      <c r="F946" s="11" t="n"/>
      <c r="G946" s="10">
        <f>IF(F946="","",IFERROR(VLOOKUP(F946,T_JKP,2,FALSE),0))</f>
        <v/>
      </c>
      <c r="H946" s="11" t="n"/>
      <c r="I946" s="17">
        <f>IF(H946="","",IF(H946&gt;=12,40,ROUND(H946*3.33,2)))</f>
        <v/>
      </c>
      <c r="J946" s="11" t="n"/>
      <c r="K946" s="11" t="n"/>
      <c r="L946" s="11" t="n"/>
      <c r="M946" s="11" t="n"/>
      <c r="N946" s="10">
        <f>IF(COUNTA(J946:M946)=0,"",MIN(10,SUMPRODUCT((COUNTIF(J946:M946,L_KOM)&gt;0)*S_KOM)))</f>
        <v/>
      </c>
      <c r="O946" s="11" t="n"/>
      <c r="P946" s="10">
        <f>IF(O946="","",IFERROR(VLOOKUP(O946,T_KHID,2,FALSE),0))</f>
        <v/>
      </c>
      <c r="Q946" s="11" t="n"/>
      <c r="R946" s="11" t="n"/>
      <c r="S946" s="10">
        <f>IF(AND(Q946="",R946=""),"",IFERROR(INDEX(T_LIBAT,MATCH(Q946,L_PER,0),MATCH(R946,L_JENIS,0)),0))</f>
        <v/>
      </c>
      <c r="T946" s="11" t="n"/>
      <c r="U946" s="11" t="n"/>
      <c r="V946" s="10">
        <f>IF(AND(T946="",U946=""),"",IFERROR(INDEX(T_CAPAI,MATCH(T946,L_PER,0),MATCH(U946,L_KED,0)),0))</f>
        <v/>
      </c>
      <c r="W946" s="17">
        <f>IF(OR(B946="",E946="",COUNTA(F946,H946,J946:M946,O946,Q946:R946,T946:U946)=0),"",SUM(G946,I946,N946,P946,S946,V946))</f>
        <v/>
      </c>
      <c r="X946" s="18">
        <f>IF(W946="","",IF(Murid!F946="TL","TL",ROUND(W946/110*100,2)))</f>
        <v/>
      </c>
    </row>
    <row r="947">
      <c r="A947" s="15">
        <f>Murid!A947</f>
        <v/>
      </c>
      <c r="B947" s="15">
        <f>IF(Murid!B947="","",Murid!B947)</f>
        <v/>
      </c>
      <c r="C947" s="16">
        <f>IF(Murid!C947="","",Murid!C947)</f>
        <v/>
      </c>
      <c r="D947" s="15">
        <f>IF(Murid!E947="","",Murid!E947)</f>
        <v/>
      </c>
      <c r="E947" s="11" t="n"/>
      <c r="F947" s="11" t="n"/>
      <c r="G947" s="10">
        <f>IF(F947="","",IFERROR(VLOOKUP(F947,T_JKP,2,FALSE),0))</f>
        <v/>
      </c>
      <c r="H947" s="11" t="n"/>
      <c r="I947" s="17">
        <f>IF(H947="","",IF(H947&gt;=12,40,ROUND(H947*3.33,2)))</f>
        <v/>
      </c>
      <c r="J947" s="11" t="n"/>
      <c r="K947" s="11" t="n"/>
      <c r="L947" s="11" t="n"/>
      <c r="M947" s="11" t="n"/>
      <c r="N947" s="10">
        <f>IF(COUNTA(J947:M947)=0,"",MIN(10,SUMPRODUCT((COUNTIF(J947:M947,L_KOM)&gt;0)*S_KOM)))</f>
        <v/>
      </c>
      <c r="O947" s="11" t="n"/>
      <c r="P947" s="10">
        <f>IF(O947="","",IFERROR(VLOOKUP(O947,T_KHID,2,FALSE),0))</f>
        <v/>
      </c>
      <c r="Q947" s="11" t="n"/>
      <c r="R947" s="11" t="n"/>
      <c r="S947" s="10">
        <f>IF(AND(Q947="",R947=""),"",IFERROR(INDEX(T_LIBAT,MATCH(Q947,L_PER,0),MATCH(R947,L_JENIS,0)),0))</f>
        <v/>
      </c>
      <c r="T947" s="11" t="n"/>
      <c r="U947" s="11" t="n"/>
      <c r="V947" s="10">
        <f>IF(AND(T947="",U947=""),"",IFERROR(INDEX(T_CAPAI,MATCH(T947,L_PER,0),MATCH(U947,L_KED,0)),0))</f>
        <v/>
      </c>
      <c r="W947" s="17">
        <f>IF(OR(B947="",E947="",COUNTA(F947,H947,J947:M947,O947,Q947:R947,T947:U947)=0),"",SUM(G947,I947,N947,P947,S947,V947))</f>
        <v/>
      </c>
      <c r="X947" s="18">
        <f>IF(W947="","",IF(Murid!F947="TL","TL",ROUND(W947/110*100,2)))</f>
        <v/>
      </c>
    </row>
    <row r="948">
      <c r="A948" s="15">
        <f>Murid!A948</f>
        <v/>
      </c>
      <c r="B948" s="15">
        <f>IF(Murid!B948="","",Murid!B948)</f>
        <v/>
      </c>
      <c r="C948" s="16">
        <f>IF(Murid!C948="","",Murid!C948)</f>
        <v/>
      </c>
      <c r="D948" s="15">
        <f>IF(Murid!E948="","",Murid!E948)</f>
        <v/>
      </c>
      <c r="E948" s="11" t="n"/>
      <c r="F948" s="11" t="n"/>
      <c r="G948" s="10">
        <f>IF(F948="","",IFERROR(VLOOKUP(F948,T_JKP,2,FALSE),0))</f>
        <v/>
      </c>
      <c r="H948" s="11" t="n"/>
      <c r="I948" s="17">
        <f>IF(H948="","",IF(H948&gt;=12,40,ROUND(H948*3.33,2)))</f>
        <v/>
      </c>
      <c r="J948" s="11" t="n"/>
      <c r="K948" s="11" t="n"/>
      <c r="L948" s="11" t="n"/>
      <c r="M948" s="11" t="n"/>
      <c r="N948" s="10">
        <f>IF(COUNTA(J948:M948)=0,"",MIN(10,SUMPRODUCT((COUNTIF(J948:M948,L_KOM)&gt;0)*S_KOM)))</f>
        <v/>
      </c>
      <c r="O948" s="11" t="n"/>
      <c r="P948" s="10">
        <f>IF(O948="","",IFERROR(VLOOKUP(O948,T_KHID,2,FALSE),0))</f>
        <v/>
      </c>
      <c r="Q948" s="11" t="n"/>
      <c r="R948" s="11" t="n"/>
      <c r="S948" s="10">
        <f>IF(AND(Q948="",R948=""),"",IFERROR(INDEX(T_LIBAT,MATCH(Q948,L_PER,0),MATCH(R948,L_JENIS,0)),0))</f>
        <v/>
      </c>
      <c r="T948" s="11" t="n"/>
      <c r="U948" s="11" t="n"/>
      <c r="V948" s="10">
        <f>IF(AND(T948="",U948=""),"",IFERROR(INDEX(T_CAPAI,MATCH(T948,L_PER,0),MATCH(U948,L_KED,0)),0))</f>
        <v/>
      </c>
      <c r="W948" s="17">
        <f>IF(OR(B948="",E948="",COUNTA(F948,H948,J948:M948,O948,Q948:R948,T948:U948)=0),"",SUM(G948,I948,N948,P948,S948,V948))</f>
        <v/>
      </c>
      <c r="X948" s="18">
        <f>IF(W948="","",IF(Murid!F948="TL","TL",ROUND(W948/110*100,2)))</f>
        <v/>
      </c>
    </row>
    <row r="949">
      <c r="A949" s="15">
        <f>Murid!A949</f>
        <v/>
      </c>
      <c r="B949" s="15">
        <f>IF(Murid!B949="","",Murid!B949)</f>
        <v/>
      </c>
      <c r="C949" s="16">
        <f>IF(Murid!C949="","",Murid!C949)</f>
        <v/>
      </c>
      <c r="D949" s="15">
        <f>IF(Murid!E949="","",Murid!E949)</f>
        <v/>
      </c>
      <c r="E949" s="11" t="n"/>
      <c r="F949" s="11" t="n"/>
      <c r="G949" s="10">
        <f>IF(F949="","",IFERROR(VLOOKUP(F949,T_JKP,2,FALSE),0))</f>
        <v/>
      </c>
      <c r="H949" s="11" t="n"/>
      <c r="I949" s="17">
        <f>IF(H949="","",IF(H949&gt;=12,40,ROUND(H949*3.33,2)))</f>
        <v/>
      </c>
      <c r="J949" s="11" t="n"/>
      <c r="K949" s="11" t="n"/>
      <c r="L949" s="11" t="n"/>
      <c r="M949" s="11" t="n"/>
      <c r="N949" s="10">
        <f>IF(COUNTA(J949:M949)=0,"",MIN(10,SUMPRODUCT((COUNTIF(J949:M949,L_KOM)&gt;0)*S_KOM)))</f>
        <v/>
      </c>
      <c r="O949" s="11" t="n"/>
      <c r="P949" s="10">
        <f>IF(O949="","",IFERROR(VLOOKUP(O949,T_KHID,2,FALSE),0))</f>
        <v/>
      </c>
      <c r="Q949" s="11" t="n"/>
      <c r="R949" s="11" t="n"/>
      <c r="S949" s="10">
        <f>IF(AND(Q949="",R949=""),"",IFERROR(INDEX(T_LIBAT,MATCH(Q949,L_PER,0),MATCH(R949,L_JENIS,0)),0))</f>
        <v/>
      </c>
      <c r="T949" s="11" t="n"/>
      <c r="U949" s="11" t="n"/>
      <c r="V949" s="10">
        <f>IF(AND(T949="",U949=""),"",IFERROR(INDEX(T_CAPAI,MATCH(T949,L_PER,0),MATCH(U949,L_KED,0)),0))</f>
        <v/>
      </c>
      <c r="W949" s="17">
        <f>IF(OR(B949="",E949="",COUNTA(F949,H949,J949:M949,O949,Q949:R949,T949:U949)=0),"",SUM(G949,I949,N949,P949,S949,V949))</f>
        <v/>
      </c>
      <c r="X949" s="18">
        <f>IF(W949="","",IF(Murid!F949="TL","TL",ROUND(W949/110*100,2)))</f>
        <v/>
      </c>
    </row>
    <row r="950">
      <c r="A950" s="15">
        <f>Murid!A950</f>
        <v/>
      </c>
      <c r="B950" s="15">
        <f>IF(Murid!B950="","",Murid!B950)</f>
        <v/>
      </c>
      <c r="C950" s="16">
        <f>IF(Murid!C950="","",Murid!C950)</f>
        <v/>
      </c>
      <c r="D950" s="15">
        <f>IF(Murid!E950="","",Murid!E950)</f>
        <v/>
      </c>
      <c r="E950" s="11" t="n"/>
      <c r="F950" s="11" t="n"/>
      <c r="G950" s="10">
        <f>IF(F950="","",IFERROR(VLOOKUP(F950,T_JKP,2,FALSE),0))</f>
        <v/>
      </c>
      <c r="H950" s="11" t="n"/>
      <c r="I950" s="17">
        <f>IF(H950="","",IF(H950&gt;=12,40,ROUND(H950*3.33,2)))</f>
        <v/>
      </c>
      <c r="J950" s="11" t="n"/>
      <c r="K950" s="11" t="n"/>
      <c r="L950" s="11" t="n"/>
      <c r="M950" s="11" t="n"/>
      <c r="N950" s="10">
        <f>IF(COUNTA(J950:M950)=0,"",MIN(10,SUMPRODUCT((COUNTIF(J950:M950,L_KOM)&gt;0)*S_KOM)))</f>
        <v/>
      </c>
      <c r="O950" s="11" t="n"/>
      <c r="P950" s="10">
        <f>IF(O950="","",IFERROR(VLOOKUP(O950,T_KHID,2,FALSE),0))</f>
        <v/>
      </c>
      <c r="Q950" s="11" t="n"/>
      <c r="R950" s="11" t="n"/>
      <c r="S950" s="10">
        <f>IF(AND(Q950="",R950=""),"",IFERROR(INDEX(T_LIBAT,MATCH(Q950,L_PER,0),MATCH(R950,L_JENIS,0)),0))</f>
        <v/>
      </c>
      <c r="T950" s="11" t="n"/>
      <c r="U950" s="11" t="n"/>
      <c r="V950" s="10">
        <f>IF(AND(T950="",U950=""),"",IFERROR(INDEX(T_CAPAI,MATCH(T950,L_PER,0),MATCH(U950,L_KED,0)),0))</f>
        <v/>
      </c>
      <c r="W950" s="17">
        <f>IF(OR(B950="",E950="",COUNTA(F950,H950,J950:M950,O950,Q950:R950,T950:U950)=0),"",SUM(G950,I950,N950,P950,S950,V950))</f>
        <v/>
      </c>
      <c r="X950" s="18">
        <f>IF(W950="","",IF(Murid!F950="TL","TL",ROUND(W950/110*100,2)))</f>
        <v/>
      </c>
    </row>
    <row r="951">
      <c r="A951" s="15">
        <f>Murid!A951</f>
        <v/>
      </c>
      <c r="B951" s="15">
        <f>IF(Murid!B951="","",Murid!B951)</f>
        <v/>
      </c>
      <c r="C951" s="16">
        <f>IF(Murid!C951="","",Murid!C951)</f>
        <v/>
      </c>
      <c r="D951" s="15">
        <f>IF(Murid!E951="","",Murid!E951)</f>
        <v/>
      </c>
      <c r="E951" s="11" t="n"/>
      <c r="F951" s="11" t="n"/>
      <c r="G951" s="10">
        <f>IF(F951="","",IFERROR(VLOOKUP(F951,T_JKP,2,FALSE),0))</f>
        <v/>
      </c>
      <c r="H951" s="11" t="n"/>
      <c r="I951" s="17">
        <f>IF(H951="","",IF(H951&gt;=12,40,ROUND(H951*3.33,2)))</f>
        <v/>
      </c>
      <c r="J951" s="11" t="n"/>
      <c r="K951" s="11" t="n"/>
      <c r="L951" s="11" t="n"/>
      <c r="M951" s="11" t="n"/>
      <c r="N951" s="10">
        <f>IF(COUNTA(J951:M951)=0,"",MIN(10,SUMPRODUCT((COUNTIF(J951:M951,L_KOM)&gt;0)*S_KOM)))</f>
        <v/>
      </c>
      <c r="O951" s="11" t="n"/>
      <c r="P951" s="10">
        <f>IF(O951="","",IFERROR(VLOOKUP(O951,T_KHID,2,FALSE),0))</f>
        <v/>
      </c>
      <c r="Q951" s="11" t="n"/>
      <c r="R951" s="11" t="n"/>
      <c r="S951" s="10">
        <f>IF(AND(Q951="",R951=""),"",IFERROR(INDEX(T_LIBAT,MATCH(Q951,L_PER,0),MATCH(R951,L_JENIS,0)),0))</f>
        <v/>
      </c>
      <c r="T951" s="11" t="n"/>
      <c r="U951" s="11" t="n"/>
      <c r="V951" s="10">
        <f>IF(AND(T951="",U951=""),"",IFERROR(INDEX(T_CAPAI,MATCH(T951,L_PER,0),MATCH(U951,L_KED,0)),0))</f>
        <v/>
      </c>
      <c r="W951" s="17">
        <f>IF(OR(B951="",E951="",COUNTA(F951,H951,J951:M951,O951,Q951:R951,T951:U951)=0),"",SUM(G951,I951,N951,P951,S951,V951))</f>
        <v/>
      </c>
      <c r="X951" s="18">
        <f>IF(W951="","",IF(Murid!F951="TL","TL",ROUND(W951/110*100,2)))</f>
        <v/>
      </c>
    </row>
    <row r="952">
      <c r="A952" s="15">
        <f>Murid!A952</f>
        <v/>
      </c>
      <c r="B952" s="15">
        <f>IF(Murid!B952="","",Murid!B952)</f>
        <v/>
      </c>
      <c r="C952" s="16">
        <f>IF(Murid!C952="","",Murid!C952)</f>
        <v/>
      </c>
      <c r="D952" s="15">
        <f>IF(Murid!E952="","",Murid!E952)</f>
        <v/>
      </c>
      <c r="E952" s="11" t="n"/>
      <c r="F952" s="11" t="n"/>
      <c r="G952" s="10">
        <f>IF(F952="","",IFERROR(VLOOKUP(F952,T_JKP,2,FALSE),0))</f>
        <v/>
      </c>
      <c r="H952" s="11" t="n"/>
      <c r="I952" s="17">
        <f>IF(H952="","",IF(H952&gt;=12,40,ROUND(H952*3.33,2)))</f>
        <v/>
      </c>
      <c r="J952" s="11" t="n"/>
      <c r="K952" s="11" t="n"/>
      <c r="L952" s="11" t="n"/>
      <c r="M952" s="11" t="n"/>
      <c r="N952" s="10">
        <f>IF(COUNTA(J952:M952)=0,"",MIN(10,SUMPRODUCT((COUNTIF(J952:M952,L_KOM)&gt;0)*S_KOM)))</f>
        <v/>
      </c>
      <c r="O952" s="11" t="n"/>
      <c r="P952" s="10">
        <f>IF(O952="","",IFERROR(VLOOKUP(O952,T_KHID,2,FALSE),0))</f>
        <v/>
      </c>
      <c r="Q952" s="11" t="n"/>
      <c r="R952" s="11" t="n"/>
      <c r="S952" s="10">
        <f>IF(AND(Q952="",R952=""),"",IFERROR(INDEX(T_LIBAT,MATCH(Q952,L_PER,0),MATCH(R952,L_JENIS,0)),0))</f>
        <v/>
      </c>
      <c r="T952" s="11" t="n"/>
      <c r="U952" s="11" t="n"/>
      <c r="V952" s="10">
        <f>IF(AND(T952="",U952=""),"",IFERROR(INDEX(T_CAPAI,MATCH(T952,L_PER,0),MATCH(U952,L_KED,0)),0))</f>
        <v/>
      </c>
      <c r="W952" s="17">
        <f>IF(OR(B952="",E952="",COUNTA(F952,H952,J952:M952,O952,Q952:R952,T952:U952)=0),"",SUM(G952,I952,N952,P952,S952,V952))</f>
        <v/>
      </c>
      <c r="X952" s="18">
        <f>IF(W952="","",IF(Murid!F952="TL","TL",ROUND(W952/110*100,2)))</f>
        <v/>
      </c>
    </row>
    <row r="953">
      <c r="A953" s="15">
        <f>Murid!A953</f>
        <v/>
      </c>
      <c r="B953" s="15">
        <f>IF(Murid!B953="","",Murid!B953)</f>
        <v/>
      </c>
      <c r="C953" s="16">
        <f>IF(Murid!C953="","",Murid!C953)</f>
        <v/>
      </c>
      <c r="D953" s="15">
        <f>IF(Murid!E953="","",Murid!E953)</f>
        <v/>
      </c>
      <c r="E953" s="11" t="n"/>
      <c r="F953" s="11" t="n"/>
      <c r="G953" s="10">
        <f>IF(F953="","",IFERROR(VLOOKUP(F953,T_JKP,2,FALSE),0))</f>
        <v/>
      </c>
      <c r="H953" s="11" t="n"/>
      <c r="I953" s="17">
        <f>IF(H953="","",IF(H953&gt;=12,40,ROUND(H953*3.33,2)))</f>
        <v/>
      </c>
      <c r="J953" s="11" t="n"/>
      <c r="K953" s="11" t="n"/>
      <c r="L953" s="11" t="n"/>
      <c r="M953" s="11" t="n"/>
      <c r="N953" s="10">
        <f>IF(COUNTA(J953:M953)=0,"",MIN(10,SUMPRODUCT((COUNTIF(J953:M953,L_KOM)&gt;0)*S_KOM)))</f>
        <v/>
      </c>
      <c r="O953" s="11" t="n"/>
      <c r="P953" s="10">
        <f>IF(O953="","",IFERROR(VLOOKUP(O953,T_KHID,2,FALSE),0))</f>
        <v/>
      </c>
      <c r="Q953" s="11" t="n"/>
      <c r="R953" s="11" t="n"/>
      <c r="S953" s="10">
        <f>IF(AND(Q953="",R953=""),"",IFERROR(INDEX(T_LIBAT,MATCH(Q953,L_PER,0),MATCH(R953,L_JENIS,0)),0))</f>
        <v/>
      </c>
      <c r="T953" s="11" t="n"/>
      <c r="U953" s="11" t="n"/>
      <c r="V953" s="10">
        <f>IF(AND(T953="",U953=""),"",IFERROR(INDEX(T_CAPAI,MATCH(T953,L_PER,0),MATCH(U953,L_KED,0)),0))</f>
        <v/>
      </c>
      <c r="W953" s="17">
        <f>IF(OR(B953="",E953="",COUNTA(F953,H953,J953:M953,O953,Q953:R953,T953:U953)=0),"",SUM(G953,I953,N953,P953,S953,V953))</f>
        <v/>
      </c>
      <c r="X953" s="18">
        <f>IF(W953="","",IF(Murid!F953="TL","TL",ROUND(W953/110*100,2)))</f>
        <v/>
      </c>
    </row>
    <row r="954">
      <c r="A954" s="15">
        <f>Murid!A954</f>
        <v/>
      </c>
      <c r="B954" s="15">
        <f>IF(Murid!B954="","",Murid!B954)</f>
        <v/>
      </c>
      <c r="C954" s="16">
        <f>IF(Murid!C954="","",Murid!C954)</f>
        <v/>
      </c>
      <c r="D954" s="15">
        <f>IF(Murid!E954="","",Murid!E954)</f>
        <v/>
      </c>
      <c r="E954" s="11" t="n"/>
      <c r="F954" s="11" t="n"/>
      <c r="G954" s="10">
        <f>IF(F954="","",IFERROR(VLOOKUP(F954,T_JKP,2,FALSE),0))</f>
        <v/>
      </c>
      <c r="H954" s="11" t="n"/>
      <c r="I954" s="17">
        <f>IF(H954="","",IF(H954&gt;=12,40,ROUND(H954*3.33,2)))</f>
        <v/>
      </c>
      <c r="J954" s="11" t="n"/>
      <c r="K954" s="11" t="n"/>
      <c r="L954" s="11" t="n"/>
      <c r="M954" s="11" t="n"/>
      <c r="N954" s="10">
        <f>IF(COUNTA(J954:M954)=0,"",MIN(10,SUMPRODUCT((COUNTIF(J954:M954,L_KOM)&gt;0)*S_KOM)))</f>
        <v/>
      </c>
      <c r="O954" s="11" t="n"/>
      <c r="P954" s="10">
        <f>IF(O954="","",IFERROR(VLOOKUP(O954,T_KHID,2,FALSE),0))</f>
        <v/>
      </c>
      <c r="Q954" s="11" t="n"/>
      <c r="R954" s="11" t="n"/>
      <c r="S954" s="10">
        <f>IF(AND(Q954="",R954=""),"",IFERROR(INDEX(T_LIBAT,MATCH(Q954,L_PER,0),MATCH(R954,L_JENIS,0)),0))</f>
        <v/>
      </c>
      <c r="T954" s="11" t="n"/>
      <c r="U954" s="11" t="n"/>
      <c r="V954" s="10">
        <f>IF(AND(T954="",U954=""),"",IFERROR(INDEX(T_CAPAI,MATCH(T954,L_PER,0),MATCH(U954,L_KED,0)),0))</f>
        <v/>
      </c>
      <c r="W954" s="17">
        <f>IF(OR(B954="",E954="",COUNTA(F954,H954,J954:M954,O954,Q954:R954,T954:U954)=0),"",SUM(G954,I954,N954,P954,S954,V954))</f>
        <v/>
      </c>
      <c r="X954" s="18">
        <f>IF(W954="","",IF(Murid!F954="TL","TL",ROUND(W954/110*100,2)))</f>
        <v/>
      </c>
    </row>
    <row r="955">
      <c r="A955" s="15">
        <f>Murid!A955</f>
        <v/>
      </c>
      <c r="B955" s="15">
        <f>IF(Murid!B955="","",Murid!B955)</f>
        <v/>
      </c>
      <c r="C955" s="16">
        <f>IF(Murid!C955="","",Murid!C955)</f>
        <v/>
      </c>
      <c r="D955" s="15">
        <f>IF(Murid!E955="","",Murid!E955)</f>
        <v/>
      </c>
      <c r="E955" s="11" t="n"/>
      <c r="F955" s="11" t="n"/>
      <c r="G955" s="10">
        <f>IF(F955="","",IFERROR(VLOOKUP(F955,T_JKP,2,FALSE),0))</f>
        <v/>
      </c>
      <c r="H955" s="11" t="n"/>
      <c r="I955" s="17">
        <f>IF(H955="","",IF(H955&gt;=12,40,ROUND(H955*3.33,2)))</f>
        <v/>
      </c>
      <c r="J955" s="11" t="n"/>
      <c r="K955" s="11" t="n"/>
      <c r="L955" s="11" t="n"/>
      <c r="M955" s="11" t="n"/>
      <c r="N955" s="10">
        <f>IF(COUNTA(J955:M955)=0,"",MIN(10,SUMPRODUCT((COUNTIF(J955:M955,L_KOM)&gt;0)*S_KOM)))</f>
        <v/>
      </c>
      <c r="O955" s="11" t="n"/>
      <c r="P955" s="10">
        <f>IF(O955="","",IFERROR(VLOOKUP(O955,T_KHID,2,FALSE),0))</f>
        <v/>
      </c>
      <c r="Q955" s="11" t="n"/>
      <c r="R955" s="11" t="n"/>
      <c r="S955" s="10">
        <f>IF(AND(Q955="",R955=""),"",IFERROR(INDEX(T_LIBAT,MATCH(Q955,L_PER,0),MATCH(R955,L_JENIS,0)),0))</f>
        <v/>
      </c>
      <c r="T955" s="11" t="n"/>
      <c r="U955" s="11" t="n"/>
      <c r="V955" s="10">
        <f>IF(AND(T955="",U955=""),"",IFERROR(INDEX(T_CAPAI,MATCH(T955,L_PER,0),MATCH(U955,L_KED,0)),0))</f>
        <v/>
      </c>
      <c r="W955" s="17">
        <f>IF(OR(B955="",E955="",COUNTA(F955,H955,J955:M955,O955,Q955:R955,T955:U955)=0),"",SUM(G955,I955,N955,P955,S955,V955))</f>
        <v/>
      </c>
      <c r="X955" s="18">
        <f>IF(W955="","",IF(Murid!F955="TL","TL",ROUND(W955/110*100,2)))</f>
        <v/>
      </c>
    </row>
    <row r="956">
      <c r="A956" s="15">
        <f>Murid!A956</f>
        <v/>
      </c>
      <c r="B956" s="15">
        <f>IF(Murid!B956="","",Murid!B956)</f>
        <v/>
      </c>
      <c r="C956" s="16">
        <f>IF(Murid!C956="","",Murid!C956)</f>
        <v/>
      </c>
      <c r="D956" s="15">
        <f>IF(Murid!E956="","",Murid!E956)</f>
        <v/>
      </c>
      <c r="E956" s="11" t="n"/>
      <c r="F956" s="11" t="n"/>
      <c r="G956" s="10">
        <f>IF(F956="","",IFERROR(VLOOKUP(F956,T_JKP,2,FALSE),0))</f>
        <v/>
      </c>
      <c r="H956" s="11" t="n"/>
      <c r="I956" s="17">
        <f>IF(H956="","",IF(H956&gt;=12,40,ROUND(H956*3.33,2)))</f>
        <v/>
      </c>
      <c r="J956" s="11" t="n"/>
      <c r="K956" s="11" t="n"/>
      <c r="L956" s="11" t="n"/>
      <c r="M956" s="11" t="n"/>
      <c r="N956" s="10">
        <f>IF(COUNTA(J956:M956)=0,"",MIN(10,SUMPRODUCT((COUNTIF(J956:M956,L_KOM)&gt;0)*S_KOM)))</f>
        <v/>
      </c>
      <c r="O956" s="11" t="n"/>
      <c r="P956" s="10">
        <f>IF(O956="","",IFERROR(VLOOKUP(O956,T_KHID,2,FALSE),0))</f>
        <v/>
      </c>
      <c r="Q956" s="11" t="n"/>
      <c r="R956" s="11" t="n"/>
      <c r="S956" s="10">
        <f>IF(AND(Q956="",R956=""),"",IFERROR(INDEX(T_LIBAT,MATCH(Q956,L_PER,0),MATCH(R956,L_JENIS,0)),0))</f>
        <v/>
      </c>
      <c r="T956" s="11" t="n"/>
      <c r="U956" s="11" t="n"/>
      <c r="V956" s="10">
        <f>IF(AND(T956="",U956=""),"",IFERROR(INDEX(T_CAPAI,MATCH(T956,L_PER,0),MATCH(U956,L_KED,0)),0))</f>
        <v/>
      </c>
      <c r="W956" s="17">
        <f>IF(OR(B956="",E956="",COUNTA(F956,H956,J956:M956,O956,Q956:R956,T956:U956)=0),"",SUM(G956,I956,N956,P956,S956,V956))</f>
        <v/>
      </c>
      <c r="X956" s="18">
        <f>IF(W956="","",IF(Murid!F956="TL","TL",ROUND(W956/110*100,2)))</f>
        <v/>
      </c>
    </row>
    <row r="957">
      <c r="A957" s="15">
        <f>Murid!A957</f>
        <v/>
      </c>
      <c r="B957" s="15">
        <f>IF(Murid!B957="","",Murid!B957)</f>
        <v/>
      </c>
      <c r="C957" s="16">
        <f>IF(Murid!C957="","",Murid!C957)</f>
        <v/>
      </c>
      <c r="D957" s="15">
        <f>IF(Murid!E957="","",Murid!E957)</f>
        <v/>
      </c>
      <c r="E957" s="11" t="n"/>
      <c r="F957" s="11" t="n"/>
      <c r="G957" s="10">
        <f>IF(F957="","",IFERROR(VLOOKUP(F957,T_JKP,2,FALSE),0))</f>
        <v/>
      </c>
      <c r="H957" s="11" t="n"/>
      <c r="I957" s="17">
        <f>IF(H957="","",IF(H957&gt;=12,40,ROUND(H957*3.33,2)))</f>
        <v/>
      </c>
      <c r="J957" s="11" t="n"/>
      <c r="K957" s="11" t="n"/>
      <c r="L957" s="11" t="n"/>
      <c r="M957" s="11" t="n"/>
      <c r="N957" s="10">
        <f>IF(COUNTA(J957:M957)=0,"",MIN(10,SUMPRODUCT((COUNTIF(J957:M957,L_KOM)&gt;0)*S_KOM)))</f>
        <v/>
      </c>
      <c r="O957" s="11" t="n"/>
      <c r="P957" s="10">
        <f>IF(O957="","",IFERROR(VLOOKUP(O957,T_KHID,2,FALSE),0))</f>
        <v/>
      </c>
      <c r="Q957" s="11" t="n"/>
      <c r="R957" s="11" t="n"/>
      <c r="S957" s="10">
        <f>IF(AND(Q957="",R957=""),"",IFERROR(INDEX(T_LIBAT,MATCH(Q957,L_PER,0),MATCH(R957,L_JENIS,0)),0))</f>
        <v/>
      </c>
      <c r="T957" s="11" t="n"/>
      <c r="U957" s="11" t="n"/>
      <c r="V957" s="10">
        <f>IF(AND(T957="",U957=""),"",IFERROR(INDEX(T_CAPAI,MATCH(T957,L_PER,0),MATCH(U957,L_KED,0)),0))</f>
        <v/>
      </c>
      <c r="W957" s="17">
        <f>IF(OR(B957="",E957="",COUNTA(F957,H957,J957:M957,O957,Q957:R957,T957:U957)=0),"",SUM(G957,I957,N957,P957,S957,V957))</f>
        <v/>
      </c>
      <c r="X957" s="18">
        <f>IF(W957="","",IF(Murid!F957="TL","TL",ROUND(W957/110*100,2)))</f>
        <v/>
      </c>
    </row>
    <row r="958">
      <c r="A958" s="15">
        <f>Murid!A958</f>
        <v/>
      </c>
      <c r="B958" s="15">
        <f>IF(Murid!B958="","",Murid!B958)</f>
        <v/>
      </c>
      <c r="C958" s="16">
        <f>IF(Murid!C958="","",Murid!C958)</f>
        <v/>
      </c>
      <c r="D958" s="15">
        <f>IF(Murid!E958="","",Murid!E958)</f>
        <v/>
      </c>
      <c r="E958" s="11" t="n"/>
      <c r="F958" s="11" t="n"/>
      <c r="G958" s="10">
        <f>IF(F958="","",IFERROR(VLOOKUP(F958,T_JKP,2,FALSE),0))</f>
        <v/>
      </c>
      <c r="H958" s="11" t="n"/>
      <c r="I958" s="17">
        <f>IF(H958="","",IF(H958&gt;=12,40,ROUND(H958*3.33,2)))</f>
        <v/>
      </c>
      <c r="J958" s="11" t="n"/>
      <c r="K958" s="11" t="n"/>
      <c r="L958" s="11" t="n"/>
      <c r="M958" s="11" t="n"/>
      <c r="N958" s="10">
        <f>IF(COUNTA(J958:M958)=0,"",MIN(10,SUMPRODUCT((COUNTIF(J958:M958,L_KOM)&gt;0)*S_KOM)))</f>
        <v/>
      </c>
      <c r="O958" s="11" t="n"/>
      <c r="P958" s="10">
        <f>IF(O958="","",IFERROR(VLOOKUP(O958,T_KHID,2,FALSE),0))</f>
        <v/>
      </c>
      <c r="Q958" s="11" t="n"/>
      <c r="R958" s="11" t="n"/>
      <c r="S958" s="10">
        <f>IF(AND(Q958="",R958=""),"",IFERROR(INDEX(T_LIBAT,MATCH(Q958,L_PER,0),MATCH(R958,L_JENIS,0)),0))</f>
        <v/>
      </c>
      <c r="T958" s="11" t="n"/>
      <c r="U958" s="11" t="n"/>
      <c r="V958" s="10">
        <f>IF(AND(T958="",U958=""),"",IFERROR(INDEX(T_CAPAI,MATCH(T958,L_PER,0),MATCH(U958,L_KED,0)),0))</f>
        <v/>
      </c>
      <c r="W958" s="17">
        <f>IF(OR(B958="",E958="",COUNTA(F958,H958,J958:M958,O958,Q958:R958,T958:U958)=0),"",SUM(G958,I958,N958,P958,S958,V958))</f>
        <v/>
      </c>
      <c r="X958" s="18">
        <f>IF(W958="","",IF(Murid!F958="TL","TL",ROUND(W958/110*100,2)))</f>
        <v/>
      </c>
    </row>
    <row r="959">
      <c r="A959" s="15">
        <f>Murid!A959</f>
        <v/>
      </c>
      <c r="B959" s="15">
        <f>IF(Murid!B959="","",Murid!B959)</f>
        <v/>
      </c>
      <c r="C959" s="16">
        <f>IF(Murid!C959="","",Murid!C959)</f>
        <v/>
      </c>
      <c r="D959" s="15">
        <f>IF(Murid!E959="","",Murid!E959)</f>
        <v/>
      </c>
      <c r="E959" s="11" t="n"/>
      <c r="F959" s="11" t="n"/>
      <c r="G959" s="10">
        <f>IF(F959="","",IFERROR(VLOOKUP(F959,T_JKP,2,FALSE),0))</f>
        <v/>
      </c>
      <c r="H959" s="11" t="n"/>
      <c r="I959" s="17">
        <f>IF(H959="","",IF(H959&gt;=12,40,ROUND(H959*3.33,2)))</f>
        <v/>
      </c>
      <c r="J959" s="11" t="n"/>
      <c r="K959" s="11" t="n"/>
      <c r="L959" s="11" t="n"/>
      <c r="M959" s="11" t="n"/>
      <c r="N959" s="10">
        <f>IF(COUNTA(J959:M959)=0,"",MIN(10,SUMPRODUCT((COUNTIF(J959:M959,L_KOM)&gt;0)*S_KOM)))</f>
        <v/>
      </c>
      <c r="O959" s="11" t="n"/>
      <c r="P959" s="10">
        <f>IF(O959="","",IFERROR(VLOOKUP(O959,T_KHID,2,FALSE),0))</f>
        <v/>
      </c>
      <c r="Q959" s="11" t="n"/>
      <c r="R959" s="11" t="n"/>
      <c r="S959" s="10">
        <f>IF(AND(Q959="",R959=""),"",IFERROR(INDEX(T_LIBAT,MATCH(Q959,L_PER,0),MATCH(R959,L_JENIS,0)),0))</f>
        <v/>
      </c>
      <c r="T959" s="11" t="n"/>
      <c r="U959" s="11" t="n"/>
      <c r="V959" s="10">
        <f>IF(AND(T959="",U959=""),"",IFERROR(INDEX(T_CAPAI,MATCH(T959,L_PER,0),MATCH(U959,L_KED,0)),0))</f>
        <v/>
      </c>
      <c r="W959" s="17">
        <f>IF(OR(B959="",E959="",COUNTA(F959,H959,J959:M959,O959,Q959:R959,T959:U959)=0),"",SUM(G959,I959,N959,P959,S959,V959))</f>
        <v/>
      </c>
      <c r="X959" s="18">
        <f>IF(W959="","",IF(Murid!F959="TL","TL",ROUND(W959/110*100,2)))</f>
        <v/>
      </c>
    </row>
    <row r="960">
      <c r="A960" s="15">
        <f>Murid!A960</f>
        <v/>
      </c>
      <c r="B960" s="15">
        <f>IF(Murid!B960="","",Murid!B960)</f>
        <v/>
      </c>
      <c r="C960" s="16">
        <f>IF(Murid!C960="","",Murid!C960)</f>
        <v/>
      </c>
      <c r="D960" s="15">
        <f>IF(Murid!E960="","",Murid!E960)</f>
        <v/>
      </c>
      <c r="E960" s="11" t="n"/>
      <c r="F960" s="11" t="n"/>
      <c r="G960" s="10">
        <f>IF(F960="","",IFERROR(VLOOKUP(F960,T_JKP,2,FALSE),0))</f>
        <v/>
      </c>
      <c r="H960" s="11" t="n"/>
      <c r="I960" s="17">
        <f>IF(H960="","",IF(H960&gt;=12,40,ROUND(H960*3.33,2)))</f>
        <v/>
      </c>
      <c r="J960" s="11" t="n"/>
      <c r="K960" s="11" t="n"/>
      <c r="L960" s="11" t="n"/>
      <c r="M960" s="11" t="n"/>
      <c r="N960" s="10">
        <f>IF(COUNTA(J960:M960)=0,"",MIN(10,SUMPRODUCT((COUNTIF(J960:M960,L_KOM)&gt;0)*S_KOM)))</f>
        <v/>
      </c>
      <c r="O960" s="11" t="n"/>
      <c r="P960" s="10">
        <f>IF(O960="","",IFERROR(VLOOKUP(O960,T_KHID,2,FALSE),0))</f>
        <v/>
      </c>
      <c r="Q960" s="11" t="n"/>
      <c r="R960" s="11" t="n"/>
      <c r="S960" s="10">
        <f>IF(AND(Q960="",R960=""),"",IFERROR(INDEX(T_LIBAT,MATCH(Q960,L_PER,0),MATCH(R960,L_JENIS,0)),0))</f>
        <v/>
      </c>
      <c r="T960" s="11" t="n"/>
      <c r="U960" s="11" t="n"/>
      <c r="V960" s="10">
        <f>IF(AND(T960="",U960=""),"",IFERROR(INDEX(T_CAPAI,MATCH(T960,L_PER,0),MATCH(U960,L_KED,0)),0))</f>
        <v/>
      </c>
      <c r="W960" s="17">
        <f>IF(OR(B960="",E960="",COUNTA(F960,H960,J960:M960,O960,Q960:R960,T960:U960)=0),"",SUM(G960,I960,N960,P960,S960,V960))</f>
        <v/>
      </c>
      <c r="X960" s="18">
        <f>IF(W960="","",IF(Murid!F960="TL","TL",ROUND(W960/110*100,2)))</f>
        <v/>
      </c>
    </row>
    <row r="961">
      <c r="A961" s="15">
        <f>Murid!A961</f>
        <v/>
      </c>
      <c r="B961" s="15">
        <f>IF(Murid!B961="","",Murid!B961)</f>
        <v/>
      </c>
      <c r="C961" s="16">
        <f>IF(Murid!C961="","",Murid!C961)</f>
        <v/>
      </c>
      <c r="D961" s="15">
        <f>IF(Murid!E961="","",Murid!E961)</f>
        <v/>
      </c>
      <c r="E961" s="11" t="n"/>
      <c r="F961" s="11" t="n"/>
      <c r="G961" s="10">
        <f>IF(F961="","",IFERROR(VLOOKUP(F961,T_JKP,2,FALSE),0))</f>
        <v/>
      </c>
      <c r="H961" s="11" t="n"/>
      <c r="I961" s="17">
        <f>IF(H961="","",IF(H961&gt;=12,40,ROUND(H961*3.33,2)))</f>
        <v/>
      </c>
      <c r="J961" s="11" t="n"/>
      <c r="K961" s="11" t="n"/>
      <c r="L961" s="11" t="n"/>
      <c r="M961" s="11" t="n"/>
      <c r="N961" s="10">
        <f>IF(COUNTA(J961:M961)=0,"",MIN(10,SUMPRODUCT((COUNTIF(J961:M961,L_KOM)&gt;0)*S_KOM)))</f>
        <v/>
      </c>
      <c r="O961" s="11" t="n"/>
      <c r="P961" s="10">
        <f>IF(O961="","",IFERROR(VLOOKUP(O961,T_KHID,2,FALSE),0))</f>
        <v/>
      </c>
      <c r="Q961" s="11" t="n"/>
      <c r="R961" s="11" t="n"/>
      <c r="S961" s="10">
        <f>IF(AND(Q961="",R961=""),"",IFERROR(INDEX(T_LIBAT,MATCH(Q961,L_PER,0),MATCH(R961,L_JENIS,0)),0))</f>
        <v/>
      </c>
      <c r="T961" s="11" t="n"/>
      <c r="U961" s="11" t="n"/>
      <c r="V961" s="10">
        <f>IF(AND(T961="",U961=""),"",IFERROR(INDEX(T_CAPAI,MATCH(T961,L_PER,0),MATCH(U961,L_KED,0)),0))</f>
        <v/>
      </c>
      <c r="W961" s="17">
        <f>IF(OR(B961="",E961="",COUNTA(F961,H961,J961:M961,O961,Q961:R961,T961:U961)=0),"",SUM(G961,I961,N961,P961,S961,V961))</f>
        <v/>
      </c>
      <c r="X961" s="18">
        <f>IF(W961="","",IF(Murid!F961="TL","TL",ROUND(W961/110*100,2)))</f>
        <v/>
      </c>
    </row>
    <row r="962">
      <c r="A962" s="15">
        <f>Murid!A962</f>
        <v/>
      </c>
      <c r="B962" s="15">
        <f>IF(Murid!B962="","",Murid!B962)</f>
        <v/>
      </c>
      <c r="C962" s="16">
        <f>IF(Murid!C962="","",Murid!C962)</f>
        <v/>
      </c>
      <c r="D962" s="15">
        <f>IF(Murid!E962="","",Murid!E962)</f>
        <v/>
      </c>
      <c r="E962" s="11" t="n"/>
      <c r="F962" s="11" t="n"/>
      <c r="G962" s="10">
        <f>IF(F962="","",IFERROR(VLOOKUP(F962,T_JKP,2,FALSE),0))</f>
        <v/>
      </c>
      <c r="H962" s="11" t="n"/>
      <c r="I962" s="17">
        <f>IF(H962="","",IF(H962&gt;=12,40,ROUND(H962*3.33,2)))</f>
        <v/>
      </c>
      <c r="J962" s="11" t="n"/>
      <c r="K962" s="11" t="n"/>
      <c r="L962" s="11" t="n"/>
      <c r="M962" s="11" t="n"/>
      <c r="N962" s="10">
        <f>IF(COUNTA(J962:M962)=0,"",MIN(10,SUMPRODUCT((COUNTIF(J962:M962,L_KOM)&gt;0)*S_KOM)))</f>
        <v/>
      </c>
      <c r="O962" s="11" t="n"/>
      <c r="P962" s="10">
        <f>IF(O962="","",IFERROR(VLOOKUP(O962,T_KHID,2,FALSE),0))</f>
        <v/>
      </c>
      <c r="Q962" s="11" t="n"/>
      <c r="R962" s="11" t="n"/>
      <c r="S962" s="10">
        <f>IF(AND(Q962="",R962=""),"",IFERROR(INDEX(T_LIBAT,MATCH(Q962,L_PER,0),MATCH(R962,L_JENIS,0)),0))</f>
        <v/>
      </c>
      <c r="T962" s="11" t="n"/>
      <c r="U962" s="11" t="n"/>
      <c r="V962" s="10">
        <f>IF(AND(T962="",U962=""),"",IFERROR(INDEX(T_CAPAI,MATCH(T962,L_PER,0),MATCH(U962,L_KED,0)),0))</f>
        <v/>
      </c>
      <c r="W962" s="17">
        <f>IF(OR(B962="",E962="",COUNTA(F962,H962,J962:M962,O962,Q962:R962,T962:U962)=0),"",SUM(G962,I962,N962,P962,S962,V962))</f>
        <v/>
      </c>
      <c r="X962" s="18">
        <f>IF(W962="","",IF(Murid!F962="TL","TL",ROUND(W962/110*100,2)))</f>
        <v/>
      </c>
    </row>
    <row r="963">
      <c r="A963" s="15">
        <f>Murid!A963</f>
        <v/>
      </c>
      <c r="B963" s="15">
        <f>IF(Murid!B963="","",Murid!B963)</f>
        <v/>
      </c>
      <c r="C963" s="16">
        <f>IF(Murid!C963="","",Murid!C963)</f>
        <v/>
      </c>
      <c r="D963" s="15">
        <f>IF(Murid!E963="","",Murid!E963)</f>
        <v/>
      </c>
      <c r="E963" s="11" t="n"/>
      <c r="F963" s="11" t="n"/>
      <c r="G963" s="10">
        <f>IF(F963="","",IFERROR(VLOOKUP(F963,T_JKP,2,FALSE),0))</f>
        <v/>
      </c>
      <c r="H963" s="11" t="n"/>
      <c r="I963" s="17">
        <f>IF(H963="","",IF(H963&gt;=12,40,ROUND(H963*3.33,2)))</f>
        <v/>
      </c>
      <c r="J963" s="11" t="n"/>
      <c r="K963" s="11" t="n"/>
      <c r="L963" s="11" t="n"/>
      <c r="M963" s="11" t="n"/>
      <c r="N963" s="10">
        <f>IF(COUNTA(J963:M963)=0,"",MIN(10,SUMPRODUCT((COUNTIF(J963:M963,L_KOM)&gt;0)*S_KOM)))</f>
        <v/>
      </c>
      <c r="O963" s="11" t="n"/>
      <c r="P963" s="10">
        <f>IF(O963="","",IFERROR(VLOOKUP(O963,T_KHID,2,FALSE),0))</f>
        <v/>
      </c>
      <c r="Q963" s="11" t="n"/>
      <c r="R963" s="11" t="n"/>
      <c r="S963" s="10">
        <f>IF(AND(Q963="",R963=""),"",IFERROR(INDEX(T_LIBAT,MATCH(Q963,L_PER,0),MATCH(R963,L_JENIS,0)),0))</f>
        <v/>
      </c>
      <c r="T963" s="11" t="n"/>
      <c r="U963" s="11" t="n"/>
      <c r="V963" s="10">
        <f>IF(AND(T963="",U963=""),"",IFERROR(INDEX(T_CAPAI,MATCH(T963,L_PER,0),MATCH(U963,L_KED,0)),0))</f>
        <v/>
      </c>
      <c r="W963" s="17">
        <f>IF(OR(B963="",E963="",COUNTA(F963,H963,J963:M963,O963,Q963:R963,T963:U963)=0),"",SUM(G963,I963,N963,P963,S963,V963))</f>
        <v/>
      </c>
      <c r="X963" s="18">
        <f>IF(W963="","",IF(Murid!F963="TL","TL",ROUND(W963/110*100,2)))</f>
        <v/>
      </c>
    </row>
    <row r="964">
      <c r="A964" s="15">
        <f>Murid!A964</f>
        <v/>
      </c>
      <c r="B964" s="15">
        <f>IF(Murid!B964="","",Murid!B964)</f>
        <v/>
      </c>
      <c r="C964" s="16">
        <f>IF(Murid!C964="","",Murid!C964)</f>
        <v/>
      </c>
      <c r="D964" s="15">
        <f>IF(Murid!E964="","",Murid!E964)</f>
        <v/>
      </c>
      <c r="E964" s="11" t="n"/>
      <c r="F964" s="11" t="n"/>
      <c r="G964" s="10">
        <f>IF(F964="","",IFERROR(VLOOKUP(F964,T_JKP,2,FALSE),0))</f>
        <v/>
      </c>
      <c r="H964" s="11" t="n"/>
      <c r="I964" s="17">
        <f>IF(H964="","",IF(H964&gt;=12,40,ROUND(H964*3.33,2)))</f>
        <v/>
      </c>
      <c r="J964" s="11" t="n"/>
      <c r="K964" s="11" t="n"/>
      <c r="L964" s="11" t="n"/>
      <c r="M964" s="11" t="n"/>
      <c r="N964" s="10">
        <f>IF(COUNTA(J964:M964)=0,"",MIN(10,SUMPRODUCT((COUNTIF(J964:M964,L_KOM)&gt;0)*S_KOM)))</f>
        <v/>
      </c>
      <c r="O964" s="11" t="n"/>
      <c r="P964" s="10">
        <f>IF(O964="","",IFERROR(VLOOKUP(O964,T_KHID,2,FALSE),0))</f>
        <v/>
      </c>
      <c r="Q964" s="11" t="n"/>
      <c r="R964" s="11" t="n"/>
      <c r="S964" s="10">
        <f>IF(AND(Q964="",R964=""),"",IFERROR(INDEX(T_LIBAT,MATCH(Q964,L_PER,0),MATCH(R964,L_JENIS,0)),0))</f>
        <v/>
      </c>
      <c r="T964" s="11" t="n"/>
      <c r="U964" s="11" t="n"/>
      <c r="V964" s="10">
        <f>IF(AND(T964="",U964=""),"",IFERROR(INDEX(T_CAPAI,MATCH(T964,L_PER,0),MATCH(U964,L_KED,0)),0))</f>
        <v/>
      </c>
      <c r="W964" s="17">
        <f>IF(OR(B964="",E964="",COUNTA(F964,H964,J964:M964,O964,Q964:R964,T964:U964)=0),"",SUM(G964,I964,N964,P964,S964,V964))</f>
        <v/>
      </c>
      <c r="X964" s="18">
        <f>IF(W964="","",IF(Murid!F964="TL","TL",ROUND(W964/110*100,2)))</f>
        <v/>
      </c>
    </row>
    <row r="965">
      <c r="A965" s="15">
        <f>Murid!A965</f>
        <v/>
      </c>
      <c r="B965" s="15">
        <f>IF(Murid!B965="","",Murid!B965)</f>
        <v/>
      </c>
      <c r="C965" s="16">
        <f>IF(Murid!C965="","",Murid!C965)</f>
        <v/>
      </c>
      <c r="D965" s="15">
        <f>IF(Murid!E965="","",Murid!E965)</f>
        <v/>
      </c>
      <c r="E965" s="11" t="n"/>
      <c r="F965" s="11" t="n"/>
      <c r="G965" s="10">
        <f>IF(F965="","",IFERROR(VLOOKUP(F965,T_JKP,2,FALSE),0))</f>
        <v/>
      </c>
      <c r="H965" s="11" t="n"/>
      <c r="I965" s="17">
        <f>IF(H965="","",IF(H965&gt;=12,40,ROUND(H965*3.33,2)))</f>
        <v/>
      </c>
      <c r="J965" s="11" t="n"/>
      <c r="K965" s="11" t="n"/>
      <c r="L965" s="11" t="n"/>
      <c r="M965" s="11" t="n"/>
      <c r="N965" s="10">
        <f>IF(COUNTA(J965:M965)=0,"",MIN(10,SUMPRODUCT((COUNTIF(J965:M965,L_KOM)&gt;0)*S_KOM)))</f>
        <v/>
      </c>
      <c r="O965" s="11" t="n"/>
      <c r="P965" s="10">
        <f>IF(O965="","",IFERROR(VLOOKUP(O965,T_KHID,2,FALSE),0))</f>
        <v/>
      </c>
      <c r="Q965" s="11" t="n"/>
      <c r="R965" s="11" t="n"/>
      <c r="S965" s="10">
        <f>IF(AND(Q965="",R965=""),"",IFERROR(INDEX(T_LIBAT,MATCH(Q965,L_PER,0),MATCH(R965,L_JENIS,0)),0))</f>
        <v/>
      </c>
      <c r="T965" s="11" t="n"/>
      <c r="U965" s="11" t="n"/>
      <c r="V965" s="10">
        <f>IF(AND(T965="",U965=""),"",IFERROR(INDEX(T_CAPAI,MATCH(T965,L_PER,0),MATCH(U965,L_KED,0)),0))</f>
        <v/>
      </c>
      <c r="W965" s="17">
        <f>IF(OR(B965="",E965="",COUNTA(F965,H965,J965:M965,O965,Q965:R965,T965:U965)=0),"",SUM(G965,I965,N965,P965,S965,V965))</f>
        <v/>
      </c>
      <c r="X965" s="18">
        <f>IF(W965="","",IF(Murid!F965="TL","TL",ROUND(W965/110*100,2)))</f>
        <v/>
      </c>
    </row>
    <row r="966">
      <c r="A966" s="15">
        <f>Murid!A966</f>
        <v/>
      </c>
      <c r="B966" s="15">
        <f>IF(Murid!B966="","",Murid!B966)</f>
        <v/>
      </c>
      <c r="C966" s="16">
        <f>IF(Murid!C966="","",Murid!C966)</f>
        <v/>
      </c>
      <c r="D966" s="15">
        <f>IF(Murid!E966="","",Murid!E966)</f>
        <v/>
      </c>
      <c r="E966" s="11" t="n"/>
      <c r="F966" s="11" t="n"/>
      <c r="G966" s="10">
        <f>IF(F966="","",IFERROR(VLOOKUP(F966,T_JKP,2,FALSE),0))</f>
        <v/>
      </c>
      <c r="H966" s="11" t="n"/>
      <c r="I966" s="17">
        <f>IF(H966="","",IF(H966&gt;=12,40,ROUND(H966*3.33,2)))</f>
        <v/>
      </c>
      <c r="J966" s="11" t="n"/>
      <c r="K966" s="11" t="n"/>
      <c r="L966" s="11" t="n"/>
      <c r="M966" s="11" t="n"/>
      <c r="N966" s="10">
        <f>IF(COUNTA(J966:M966)=0,"",MIN(10,SUMPRODUCT((COUNTIF(J966:M966,L_KOM)&gt;0)*S_KOM)))</f>
        <v/>
      </c>
      <c r="O966" s="11" t="n"/>
      <c r="P966" s="10">
        <f>IF(O966="","",IFERROR(VLOOKUP(O966,T_KHID,2,FALSE),0))</f>
        <v/>
      </c>
      <c r="Q966" s="11" t="n"/>
      <c r="R966" s="11" t="n"/>
      <c r="S966" s="10">
        <f>IF(AND(Q966="",R966=""),"",IFERROR(INDEX(T_LIBAT,MATCH(Q966,L_PER,0),MATCH(R966,L_JENIS,0)),0))</f>
        <v/>
      </c>
      <c r="T966" s="11" t="n"/>
      <c r="U966" s="11" t="n"/>
      <c r="V966" s="10">
        <f>IF(AND(T966="",U966=""),"",IFERROR(INDEX(T_CAPAI,MATCH(T966,L_PER,0),MATCH(U966,L_KED,0)),0))</f>
        <v/>
      </c>
      <c r="W966" s="17">
        <f>IF(OR(B966="",E966="",COUNTA(F966,H966,J966:M966,O966,Q966:R966,T966:U966)=0),"",SUM(G966,I966,N966,P966,S966,V966))</f>
        <v/>
      </c>
      <c r="X966" s="18">
        <f>IF(W966="","",IF(Murid!F966="TL","TL",ROUND(W966/110*100,2)))</f>
        <v/>
      </c>
    </row>
    <row r="967">
      <c r="A967" s="15">
        <f>Murid!A967</f>
        <v/>
      </c>
      <c r="B967" s="15">
        <f>IF(Murid!B967="","",Murid!B967)</f>
        <v/>
      </c>
      <c r="C967" s="16">
        <f>IF(Murid!C967="","",Murid!C967)</f>
        <v/>
      </c>
      <c r="D967" s="15">
        <f>IF(Murid!E967="","",Murid!E967)</f>
        <v/>
      </c>
      <c r="E967" s="11" t="n"/>
      <c r="F967" s="11" t="n"/>
      <c r="G967" s="10">
        <f>IF(F967="","",IFERROR(VLOOKUP(F967,T_JKP,2,FALSE),0))</f>
        <v/>
      </c>
      <c r="H967" s="11" t="n"/>
      <c r="I967" s="17">
        <f>IF(H967="","",IF(H967&gt;=12,40,ROUND(H967*3.33,2)))</f>
        <v/>
      </c>
      <c r="J967" s="11" t="n"/>
      <c r="K967" s="11" t="n"/>
      <c r="L967" s="11" t="n"/>
      <c r="M967" s="11" t="n"/>
      <c r="N967" s="10">
        <f>IF(COUNTA(J967:M967)=0,"",MIN(10,SUMPRODUCT((COUNTIF(J967:M967,L_KOM)&gt;0)*S_KOM)))</f>
        <v/>
      </c>
      <c r="O967" s="11" t="n"/>
      <c r="P967" s="10">
        <f>IF(O967="","",IFERROR(VLOOKUP(O967,T_KHID,2,FALSE),0))</f>
        <v/>
      </c>
      <c r="Q967" s="11" t="n"/>
      <c r="R967" s="11" t="n"/>
      <c r="S967" s="10">
        <f>IF(AND(Q967="",R967=""),"",IFERROR(INDEX(T_LIBAT,MATCH(Q967,L_PER,0),MATCH(R967,L_JENIS,0)),0))</f>
        <v/>
      </c>
      <c r="T967" s="11" t="n"/>
      <c r="U967" s="11" t="n"/>
      <c r="V967" s="10">
        <f>IF(AND(T967="",U967=""),"",IFERROR(INDEX(T_CAPAI,MATCH(T967,L_PER,0),MATCH(U967,L_KED,0)),0))</f>
        <v/>
      </c>
      <c r="W967" s="17">
        <f>IF(OR(B967="",E967="",COUNTA(F967,H967,J967:M967,O967,Q967:R967,T967:U967)=0),"",SUM(G967,I967,N967,P967,S967,V967))</f>
        <v/>
      </c>
      <c r="X967" s="18">
        <f>IF(W967="","",IF(Murid!F967="TL","TL",ROUND(W967/110*100,2)))</f>
        <v/>
      </c>
    </row>
    <row r="968">
      <c r="A968" s="15">
        <f>Murid!A968</f>
        <v/>
      </c>
      <c r="B968" s="15">
        <f>IF(Murid!B968="","",Murid!B968)</f>
        <v/>
      </c>
      <c r="C968" s="16">
        <f>IF(Murid!C968="","",Murid!C968)</f>
        <v/>
      </c>
      <c r="D968" s="15">
        <f>IF(Murid!E968="","",Murid!E968)</f>
        <v/>
      </c>
      <c r="E968" s="11" t="n"/>
      <c r="F968" s="11" t="n"/>
      <c r="G968" s="10">
        <f>IF(F968="","",IFERROR(VLOOKUP(F968,T_JKP,2,FALSE),0))</f>
        <v/>
      </c>
      <c r="H968" s="11" t="n"/>
      <c r="I968" s="17">
        <f>IF(H968="","",IF(H968&gt;=12,40,ROUND(H968*3.33,2)))</f>
        <v/>
      </c>
      <c r="J968" s="11" t="n"/>
      <c r="K968" s="11" t="n"/>
      <c r="L968" s="11" t="n"/>
      <c r="M968" s="11" t="n"/>
      <c r="N968" s="10">
        <f>IF(COUNTA(J968:M968)=0,"",MIN(10,SUMPRODUCT((COUNTIF(J968:M968,L_KOM)&gt;0)*S_KOM)))</f>
        <v/>
      </c>
      <c r="O968" s="11" t="n"/>
      <c r="P968" s="10">
        <f>IF(O968="","",IFERROR(VLOOKUP(O968,T_KHID,2,FALSE),0))</f>
        <v/>
      </c>
      <c r="Q968" s="11" t="n"/>
      <c r="R968" s="11" t="n"/>
      <c r="S968" s="10">
        <f>IF(AND(Q968="",R968=""),"",IFERROR(INDEX(T_LIBAT,MATCH(Q968,L_PER,0),MATCH(R968,L_JENIS,0)),0))</f>
        <v/>
      </c>
      <c r="T968" s="11" t="n"/>
      <c r="U968" s="11" t="n"/>
      <c r="V968" s="10">
        <f>IF(AND(T968="",U968=""),"",IFERROR(INDEX(T_CAPAI,MATCH(T968,L_PER,0),MATCH(U968,L_KED,0)),0))</f>
        <v/>
      </c>
      <c r="W968" s="17">
        <f>IF(OR(B968="",E968="",COUNTA(F968,H968,J968:M968,O968,Q968:R968,T968:U968)=0),"",SUM(G968,I968,N968,P968,S968,V968))</f>
        <v/>
      </c>
      <c r="X968" s="18">
        <f>IF(W968="","",IF(Murid!F968="TL","TL",ROUND(W968/110*100,2)))</f>
        <v/>
      </c>
    </row>
    <row r="969">
      <c r="A969" s="15">
        <f>Murid!A969</f>
        <v/>
      </c>
      <c r="B969" s="15">
        <f>IF(Murid!B969="","",Murid!B969)</f>
        <v/>
      </c>
      <c r="C969" s="16">
        <f>IF(Murid!C969="","",Murid!C969)</f>
        <v/>
      </c>
      <c r="D969" s="15">
        <f>IF(Murid!E969="","",Murid!E969)</f>
        <v/>
      </c>
      <c r="E969" s="11" t="n"/>
      <c r="F969" s="11" t="n"/>
      <c r="G969" s="10">
        <f>IF(F969="","",IFERROR(VLOOKUP(F969,T_JKP,2,FALSE),0))</f>
        <v/>
      </c>
      <c r="H969" s="11" t="n"/>
      <c r="I969" s="17">
        <f>IF(H969="","",IF(H969&gt;=12,40,ROUND(H969*3.33,2)))</f>
        <v/>
      </c>
      <c r="J969" s="11" t="n"/>
      <c r="K969" s="11" t="n"/>
      <c r="L969" s="11" t="n"/>
      <c r="M969" s="11" t="n"/>
      <c r="N969" s="10">
        <f>IF(COUNTA(J969:M969)=0,"",MIN(10,SUMPRODUCT((COUNTIF(J969:M969,L_KOM)&gt;0)*S_KOM)))</f>
        <v/>
      </c>
      <c r="O969" s="11" t="n"/>
      <c r="P969" s="10">
        <f>IF(O969="","",IFERROR(VLOOKUP(O969,T_KHID,2,FALSE),0))</f>
        <v/>
      </c>
      <c r="Q969" s="11" t="n"/>
      <c r="R969" s="11" t="n"/>
      <c r="S969" s="10">
        <f>IF(AND(Q969="",R969=""),"",IFERROR(INDEX(T_LIBAT,MATCH(Q969,L_PER,0),MATCH(R969,L_JENIS,0)),0))</f>
        <v/>
      </c>
      <c r="T969" s="11" t="n"/>
      <c r="U969" s="11" t="n"/>
      <c r="V969" s="10">
        <f>IF(AND(T969="",U969=""),"",IFERROR(INDEX(T_CAPAI,MATCH(T969,L_PER,0),MATCH(U969,L_KED,0)),0))</f>
        <v/>
      </c>
      <c r="W969" s="17">
        <f>IF(OR(B969="",E969="",COUNTA(F969,H969,J969:M969,O969,Q969:R969,T969:U969)=0),"",SUM(G969,I969,N969,P969,S969,V969))</f>
        <v/>
      </c>
      <c r="X969" s="18">
        <f>IF(W969="","",IF(Murid!F969="TL","TL",ROUND(W969/110*100,2)))</f>
        <v/>
      </c>
    </row>
    <row r="970">
      <c r="A970" s="15">
        <f>Murid!A970</f>
        <v/>
      </c>
      <c r="B970" s="15">
        <f>IF(Murid!B970="","",Murid!B970)</f>
        <v/>
      </c>
      <c r="C970" s="16">
        <f>IF(Murid!C970="","",Murid!C970)</f>
        <v/>
      </c>
      <c r="D970" s="15">
        <f>IF(Murid!E970="","",Murid!E970)</f>
        <v/>
      </c>
      <c r="E970" s="11" t="n"/>
      <c r="F970" s="11" t="n"/>
      <c r="G970" s="10">
        <f>IF(F970="","",IFERROR(VLOOKUP(F970,T_JKP,2,FALSE),0))</f>
        <v/>
      </c>
      <c r="H970" s="11" t="n"/>
      <c r="I970" s="17">
        <f>IF(H970="","",IF(H970&gt;=12,40,ROUND(H970*3.33,2)))</f>
        <v/>
      </c>
      <c r="J970" s="11" t="n"/>
      <c r="K970" s="11" t="n"/>
      <c r="L970" s="11" t="n"/>
      <c r="M970" s="11" t="n"/>
      <c r="N970" s="10">
        <f>IF(COUNTA(J970:M970)=0,"",MIN(10,SUMPRODUCT((COUNTIF(J970:M970,L_KOM)&gt;0)*S_KOM)))</f>
        <v/>
      </c>
      <c r="O970" s="11" t="n"/>
      <c r="P970" s="10">
        <f>IF(O970="","",IFERROR(VLOOKUP(O970,T_KHID,2,FALSE),0))</f>
        <v/>
      </c>
      <c r="Q970" s="11" t="n"/>
      <c r="R970" s="11" t="n"/>
      <c r="S970" s="10">
        <f>IF(AND(Q970="",R970=""),"",IFERROR(INDEX(T_LIBAT,MATCH(Q970,L_PER,0),MATCH(R970,L_JENIS,0)),0))</f>
        <v/>
      </c>
      <c r="T970" s="11" t="n"/>
      <c r="U970" s="11" t="n"/>
      <c r="V970" s="10">
        <f>IF(AND(T970="",U970=""),"",IFERROR(INDEX(T_CAPAI,MATCH(T970,L_PER,0),MATCH(U970,L_KED,0)),0))</f>
        <v/>
      </c>
      <c r="W970" s="17">
        <f>IF(OR(B970="",E970="",COUNTA(F970,H970,J970:M970,O970,Q970:R970,T970:U970)=0),"",SUM(G970,I970,N970,P970,S970,V970))</f>
        <v/>
      </c>
      <c r="X970" s="18">
        <f>IF(W970="","",IF(Murid!F970="TL","TL",ROUND(W970/110*100,2)))</f>
        <v/>
      </c>
    </row>
    <row r="971">
      <c r="A971" s="15">
        <f>Murid!A971</f>
        <v/>
      </c>
      <c r="B971" s="15">
        <f>IF(Murid!B971="","",Murid!B971)</f>
        <v/>
      </c>
      <c r="C971" s="16">
        <f>IF(Murid!C971="","",Murid!C971)</f>
        <v/>
      </c>
      <c r="D971" s="15">
        <f>IF(Murid!E971="","",Murid!E971)</f>
        <v/>
      </c>
      <c r="E971" s="11" t="n"/>
      <c r="F971" s="11" t="n"/>
      <c r="G971" s="10">
        <f>IF(F971="","",IFERROR(VLOOKUP(F971,T_JKP,2,FALSE),0))</f>
        <v/>
      </c>
      <c r="H971" s="11" t="n"/>
      <c r="I971" s="17">
        <f>IF(H971="","",IF(H971&gt;=12,40,ROUND(H971*3.33,2)))</f>
        <v/>
      </c>
      <c r="J971" s="11" t="n"/>
      <c r="K971" s="11" t="n"/>
      <c r="L971" s="11" t="n"/>
      <c r="M971" s="11" t="n"/>
      <c r="N971" s="10">
        <f>IF(COUNTA(J971:M971)=0,"",MIN(10,SUMPRODUCT((COUNTIF(J971:M971,L_KOM)&gt;0)*S_KOM)))</f>
        <v/>
      </c>
      <c r="O971" s="11" t="n"/>
      <c r="P971" s="10">
        <f>IF(O971="","",IFERROR(VLOOKUP(O971,T_KHID,2,FALSE),0))</f>
        <v/>
      </c>
      <c r="Q971" s="11" t="n"/>
      <c r="R971" s="11" t="n"/>
      <c r="S971" s="10">
        <f>IF(AND(Q971="",R971=""),"",IFERROR(INDEX(T_LIBAT,MATCH(Q971,L_PER,0),MATCH(R971,L_JENIS,0)),0))</f>
        <v/>
      </c>
      <c r="T971" s="11" t="n"/>
      <c r="U971" s="11" t="n"/>
      <c r="V971" s="10">
        <f>IF(AND(T971="",U971=""),"",IFERROR(INDEX(T_CAPAI,MATCH(T971,L_PER,0),MATCH(U971,L_KED,0)),0))</f>
        <v/>
      </c>
      <c r="W971" s="17">
        <f>IF(OR(B971="",E971="",COUNTA(F971,H971,J971:M971,O971,Q971:R971,T971:U971)=0),"",SUM(G971,I971,N971,P971,S971,V971))</f>
        <v/>
      </c>
      <c r="X971" s="18">
        <f>IF(W971="","",IF(Murid!F971="TL","TL",ROUND(W971/110*100,2)))</f>
        <v/>
      </c>
    </row>
    <row r="972">
      <c r="A972" s="15">
        <f>Murid!A972</f>
        <v/>
      </c>
      <c r="B972" s="15">
        <f>IF(Murid!B972="","",Murid!B972)</f>
        <v/>
      </c>
      <c r="C972" s="16">
        <f>IF(Murid!C972="","",Murid!C972)</f>
        <v/>
      </c>
      <c r="D972" s="15">
        <f>IF(Murid!E972="","",Murid!E972)</f>
        <v/>
      </c>
      <c r="E972" s="11" t="n"/>
      <c r="F972" s="11" t="n"/>
      <c r="G972" s="10">
        <f>IF(F972="","",IFERROR(VLOOKUP(F972,T_JKP,2,FALSE),0))</f>
        <v/>
      </c>
      <c r="H972" s="11" t="n"/>
      <c r="I972" s="17">
        <f>IF(H972="","",IF(H972&gt;=12,40,ROUND(H972*3.33,2)))</f>
        <v/>
      </c>
      <c r="J972" s="11" t="n"/>
      <c r="K972" s="11" t="n"/>
      <c r="L972" s="11" t="n"/>
      <c r="M972" s="11" t="n"/>
      <c r="N972" s="10">
        <f>IF(COUNTA(J972:M972)=0,"",MIN(10,SUMPRODUCT((COUNTIF(J972:M972,L_KOM)&gt;0)*S_KOM)))</f>
        <v/>
      </c>
      <c r="O972" s="11" t="n"/>
      <c r="P972" s="10">
        <f>IF(O972="","",IFERROR(VLOOKUP(O972,T_KHID,2,FALSE),0))</f>
        <v/>
      </c>
      <c r="Q972" s="11" t="n"/>
      <c r="R972" s="11" t="n"/>
      <c r="S972" s="10">
        <f>IF(AND(Q972="",R972=""),"",IFERROR(INDEX(T_LIBAT,MATCH(Q972,L_PER,0),MATCH(R972,L_JENIS,0)),0))</f>
        <v/>
      </c>
      <c r="T972" s="11" t="n"/>
      <c r="U972" s="11" t="n"/>
      <c r="V972" s="10">
        <f>IF(AND(T972="",U972=""),"",IFERROR(INDEX(T_CAPAI,MATCH(T972,L_PER,0),MATCH(U972,L_KED,0)),0))</f>
        <v/>
      </c>
      <c r="W972" s="17">
        <f>IF(OR(B972="",E972="",COUNTA(F972,H972,J972:M972,O972,Q972:R972,T972:U972)=0),"",SUM(G972,I972,N972,P972,S972,V972))</f>
        <v/>
      </c>
      <c r="X972" s="18">
        <f>IF(W972="","",IF(Murid!F972="TL","TL",ROUND(W972/110*100,2)))</f>
        <v/>
      </c>
    </row>
    <row r="973">
      <c r="A973" s="15">
        <f>Murid!A973</f>
        <v/>
      </c>
      <c r="B973" s="15">
        <f>IF(Murid!B973="","",Murid!B973)</f>
        <v/>
      </c>
      <c r="C973" s="16">
        <f>IF(Murid!C973="","",Murid!C973)</f>
        <v/>
      </c>
      <c r="D973" s="15">
        <f>IF(Murid!E973="","",Murid!E973)</f>
        <v/>
      </c>
      <c r="E973" s="11" t="n"/>
      <c r="F973" s="11" t="n"/>
      <c r="G973" s="10">
        <f>IF(F973="","",IFERROR(VLOOKUP(F973,T_JKP,2,FALSE),0))</f>
        <v/>
      </c>
      <c r="H973" s="11" t="n"/>
      <c r="I973" s="17">
        <f>IF(H973="","",IF(H973&gt;=12,40,ROUND(H973*3.33,2)))</f>
        <v/>
      </c>
      <c r="J973" s="11" t="n"/>
      <c r="K973" s="11" t="n"/>
      <c r="L973" s="11" t="n"/>
      <c r="M973" s="11" t="n"/>
      <c r="N973" s="10">
        <f>IF(COUNTA(J973:M973)=0,"",MIN(10,SUMPRODUCT((COUNTIF(J973:M973,L_KOM)&gt;0)*S_KOM)))</f>
        <v/>
      </c>
      <c r="O973" s="11" t="n"/>
      <c r="P973" s="10">
        <f>IF(O973="","",IFERROR(VLOOKUP(O973,T_KHID,2,FALSE),0))</f>
        <v/>
      </c>
      <c r="Q973" s="11" t="n"/>
      <c r="R973" s="11" t="n"/>
      <c r="S973" s="10">
        <f>IF(AND(Q973="",R973=""),"",IFERROR(INDEX(T_LIBAT,MATCH(Q973,L_PER,0),MATCH(R973,L_JENIS,0)),0))</f>
        <v/>
      </c>
      <c r="T973" s="11" t="n"/>
      <c r="U973" s="11" t="n"/>
      <c r="V973" s="10">
        <f>IF(AND(T973="",U973=""),"",IFERROR(INDEX(T_CAPAI,MATCH(T973,L_PER,0),MATCH(U973,L_KED,0)),0))</f>
        <v/>
      </c>
      <c r="W973" s="17">
        <f>IF(OR(B973="",E973="",COUNTA(F973,H973,J973:M973,O973,Q973:R973,T973:U973)=0),"",SUM(G973,I973,N973,P973,S973,V973))</f>
        <v/>
      </c>
      <c r="X973" s="18">
        <f>IF(W973="","",IF(Murid!F973="TL","TL",ROUND(W973/110*100,2)))</f>
        <v/>
      </c>
    </row>
    <row r="974">
      <c r="A974" s="15">
        <f>Murid!A974</f>
        <v/>
      </c>
      <c r="B974" s="15">
        <f>IF(Murid!B974="","",Murid!B974)</f>
        <v/>
      </c>
      <c r="C974" s="16">
        <f>IF(Murid!C974="","",Murid!C974)</f>
        <v/>
      </c>
      <c r="D974" s="15">
        <f>IF(Murid!E974="","",Murid!E974)</f>
        <v/>
      </c>
      <c r="E974" s="11" t="n"/>
      <c r="F974" s="11" t="n"/>
      <c r="G974" s="10">
        <f>IF(F974="","",IFERROR(VLOOKUP(F974,T_JKP,2,FALSE),0))</f>
        <v/>
      </c>
      <c r="H974" s="11" t="n"/>
      <c r="I974" s="17">
        <f>IF(H974="","",IF(H974&gt;=12,40,ROUND(H974*3.33,2)))</f>
        <v/>
      </c>
      <c r="J974" s="11" t="n"/>
      <c r="K974" s="11" t="n"/>
      <c r="L974" s="11" t="n"/>
      <c r="M974" s="11" t="n"/>
      <c r="N974" s="10">
        <f>IF(COUNTA(J974:M974)=0,"",MIN(10,SUMPRODUCT((COUNTIF(J974:M974,L_KOM)&gt;0)*S_KOM)))</f>
        <v/>
      </c>
      <c r="O974" s="11" t="n"/>
      <c r="P974" s="10">
        <f>IF(O974="","",IFERROR(VLOOKUP(O974,T_KHID,2,FALSE),0))</f>
        <v/>
      </c>
      <c r="Q974" s="11" t="n"/>
      <c r="R974" s="11" t="n"/>
      <c r="S974" s="10">
        <f>IF(AND(Q974="",R974=""),"",IFERROR(INDEX(T_LIBAT,MATCH(Q974,L_PER,0),MATCH(R974,L_JENIS,0)),0))</f>
        <v/>
      </c>
      <c r="T974" s="11" t="n"/>
      <c r="U974" s="11" t="n"/>
      <c r="V974" s="10">
        <f>IF(AND(T974="",U974=""),"",IFERROR(INDEX(T_CAPAI,MATCH(T974,L_PER,0),MATCH(U974,L_KED,0)),0))</f>
        <v/>
      </c>
      <c r="W974" s="17">
        <f>IF(OR(B974="",E974="",COUNTA(F974,H974,J974:M974,O974,Q974:R974,T974:U974)=0),"",SUM(G974,I974,N974,P974,S974,V974))</f>
        <v/>
      </c>
      <c r="X974" s="18">
        <f>IF(W974="","",IF(Murid!F974="TL","TL",ROUND(W974/110*100,2)))</f>
        <v/>
      </c>
    </row>
    <row r="975">
      <c r="A975" s="15">
        <f>Murid!A975</f>
        <v/>
      </c>
      <c r="B975" s="15">
        <f>IF(Murid!B975="","",Murid!B975)</f>
        <v/>
      </c>
      <c r="C975" s="16">
        <f>IF(Murid!C975="","",Murid!C975)</f>
        <v/>
      </c>
      <c r="D975" s="15">
        <f>IF(Murid!E975="","",Murid!E975)</f>
        <v/>
      </c>
      <c r="E975" s="11" t="n"/>
      <c r="F975" s="11" t="n"/>
      <c r="G975" s="10">
        <f>IF(F975="","",IFERROR(VLOOKUP(F975,T_JKP,2,FALSE),0))</f>
        <v/>
      </c>
      <c r="H975" s="11" t="n"/>
      <c r="I975" s="17">
        <f>IF(H975="","",IF(H975&gt;=12,40,ROUND(H975*3.33,2)))</f>
        <v/>
      </c>
      <c r="J975" s="11" t="n"/>
      <c r="K975" s="11" t="n"/>
      <c r="L975" s="11" t="n"/>
      <c r="M975" s="11" t="n"/>
      <c r="N975" s="10">
        <f>IF(COUNTA(J975:M975)=0,"",MIN(10,SUMPRODUCT((COUNTIF(J975:M975,L_KOM)&gt;0)*S_KOM)))</f>
        <v/>
      </c>
      <c r="O975" s="11" t="n"/>
      <c r="P975" s="10">
        <f>IF(O975="","",IFERROR(VLOOKUP(O975,T_KHID,2,FALSE),0))</f>
        <v/>
      </c>
      <c r="Q975" s="11" t="n"/>
      <c r="R975" s="11" t="n"/>
      <c r="S975" s="10">
        <f>IF(AND(Q975="",R975=""),"",IFERROR(INDEX(T_LIBAT,MATCH(Q975,L_PER,0),MATCH(R975,L_JENIS,0)),0))</f>
        <v/>
      </c>
      <c r="T975" s="11" t="n"/>
      <c r="U975" s="11" t="n"/>
      <c r="V975" s="10">
        <f>IF(AND(T975="",U975=""),"",IFERROR(INDEX(T_CAPAI,MATCH(T975,L_PER,0),MATCH(U975,L_KED,0)),0))</f>
        <v/>
      </c>
      <c r="W975" s="17">
        <f>IF(OR(B975="",E975="",COUNTA(F975,H975,J975:M975,O975,Q975:R975,T975:U975)=0),"",SUM(G975,I975,N975,P975,S975,V975))</f>
        <v/>
      </c>
      <c r="X975" s="18">
        <f>IF(W975="","",IF(Murid!F975="TL","TL",ROUND(W975/110*100,2)))</f>
        <v/>
      </c>
    </row>
    <row r="976">
      <c r="A976" s="15">
        <f>Murid!A976</f>
        <v/>
      </c>
      <c r="B976" s="15">
        <f>IF(Murid!B976="","",Murid!B976)</f>
        <v/>
      </c>
      <c r="C976" s="16">
        <f>IF(Murid!C976="","",Murid!C976)</f>
        <v/>
      </c>
      <c r="D976" s="15">
        <f>IF(Murid!E976="","",Murid!E976)</f>
        <v/>
      </c>
      <c r="E976" s="11" t="n"/>
      <c r="F976" s="11" t="n"/>
      <c r="G976" s="10">
        <f>IF(F976="","",IFERROR(VLOOKUP(F976,T_JKP,2,FALSE),0))</f>
        <v/>
      </c>
      <c r="H976" s="11" t="n"/>
      <c r="I976" s="17">
        <f>IF(H976="","",IF(H976&gt;=12,40,ROUND(H976*3.33,2)))</f>
        <v/>
      </c>
      <c r="J976" s="11" t="n"/>
      <c r="K976" s="11" t="n"/>
      <c r="L976" s="11" t="n"/>
      <c r="M976" s="11" t="n"/>
      <c r="N976" s="10">
        <f>IF(COUNTA(J976:M976)=0,"",MIN(10,SUMPRODUCT((COUNTIF(J976:M976,L_KOM)&gt;0)*S_KOM)))</f>
        <v/>
      </c>
      <c r="O976" s="11" t="n"/>
      <c r="P976" s="10">
        <f>IF(O976="","",IFERROR(VLOOKUP(O976,T_KHID,2,FALSE),0))</f>
        <v/>
      </c>
      <c r="Q976" s="11" t="n"/>
      <c r="R976" s="11" t="n"/>
      <c r="S976" s="10">
        <f>IF(AND(Q976="",R976=""),"",IFERROR(INDEX(T_LIBAT,MATCH(Q976,L_PER,0),MATCH(R976,L_JENIS,0)),0))</f>
        <v/>
      </c>
      <c r="T976" s="11" t="n"/>
      <c r="U976" s="11" t="n"/>
      <c r="V976" s="10">
        <f>IF(AND(T976="",U976=""),"",IFERROR(INDEX(T_CAPAI,MATCH(T976,L_PER,0),MATCH(U976,L_KED,0)),0))</f>
        <v/>
      </c>
      <c r="W976" s="17">
        <f>IF(OR(B976="",E976="",COUNTA(F976,H976,J976:M976,O976,Q976:R976,T976:U976)=0),"",SUM(G976,I976,N976,P976,S976,V976))</f>
        <v/>
      </c>
      <c r="X976" s="18">
        <f>IF(W976="","",IF(Murid!F976="TL","TL",ROUND(W976/110*100,2)))</f>
        <v/>
      </c>
    </row>
    <row r="977">
      <c r="A977" s="15">
        <f>Murid!A977</f>
        <v/>
      </c>
      <c r="B977" s="15">
        <f>IF(Murid!B977="","",Murid!B977)</f>
        <v/>
      </c>
      <c r="C977" s="16">
        <f>IF(Murid!C977="","",Murid!C977)</f>
        <v/>
      </c>
      <c r="D977" s="15">
        <f>IF(Murid!E977="","",Murid!E977)</f>
        <v/>
      </c>
      <c r="E977" s="11" t="n"/>
      <c r="F977" s="11" t="n"/>
      <c r="G977" s="10">
        <f>IF(F977="","",IFERROR(VLOOKUP(F977,T_JKP,2,FALSE),0))</f>
        <v/>
      </c>
      <c r="H977" s="11" t="n"/>
      <c r="I977" s="17">
        <f>IF(H977="","",IF(H977&gt;=12,40,ROUND(H977*3.33,2)))</f>
        <v/>
      </c>
      <c r="J977" s="11" t="n"/>
      <c r="K977" s="11" t="n"/>
      <c r="L977" s="11" t="n"/>
      <c r="M977" s="11" t="n"/>
      <c r="N977" s="10">
        <f>IF(COUNTA(J977:M977)=0,"",MIN(10,SUMPRODUCT((COUNTIF(J977:M977,L_KOM)&gt;0)*S_KOM)))</f>
        <v/>
      </c>
      <c r="O977" s="11" t="n"/>
      <c r="P977" s="10">
        <f>IF(O977="","",IFERROR(VLOOKUP(O977,T_KHID,2,FALSE),0))</f>
        <v/>
      </c>
      <c r="Q977" s="11" t="n"/>
      <c r="R977" s="11" t="n"/>
      <c r="S977" s="10">
        <f>IF(AND(Q977="",R977=""),"",IFERROR(INDEX(T_LIBAT,MATCH(Q977,L_PER,0),MATCH(R977,L_JENIS,0)),0))</f>
        <v/>
      </c>
      <c r="T977" s="11" t="n"/>
      <c r="U977" s="11" t="n"/>
      <c r="V977" s="10">
        <f>IF(AND(T977="",U977=""),"",IFERROR(INDEX(T_CAPAI,MATCH(T977,L_PER,0),MATCH(U977,L_KED,0)),0))</f>
        <v/>
      </c>
      <c r="W977" s="17">
        <f>IF(OR(B977="",E977="",COUNTA(F977,H977,J977:M977,O977,Q977:R977,T977:U977)=0),"",SUM(G977,I977,N977,P977,S977,V977))</f>
        <v/>
      </c>
      <c r="X977" s="18">
        <f>IF(W977="","",IF(Murid!F977="TL","TL",ROUND(W977/110*100,2)))</f>
        <v/>
      </c>
    </row>
    <row r="978">
      <c r="A978" s="15">
        <f>Murid!A978</f>
        <v/>
      </c>
      <c r="B978" s="15">
        <f>IF(Murid!B978="","",Murid!B978)</f>
        <v/>
      </c>
      <c r="C978" s="16">
        <f>IF(Murid!C978="","",Murid!C978)</f>
        <v/>
      </c>
      <c r="D978" s="15">
        <f>IF(Murid!E978="","",Murid!E978)</f>
        <v/>
      </c>
      <c r="E978" s="11" t="n"/>
      <c r="F978" s="11" t="n"/>
      <c r="G978" s="10">
        <f>IF(F978="","",IFERROR(VLOOKUP(F978,T_JKP,2,FALSE),0))</f>
        <v/>
      </c>
      <c r="H978" s="11" t="n"/>
      <c r="I978" s="17">
        <f>IF(H978="","",IF(H978&gt;=12,40,ROUND(H978*3.33,2)))</f>
        <v/>
      </c>
      <c r="J978" s="11" t="n"/>
      <c r="K978" s="11" t="n"/>
      <c r="L978" s="11" t="n"/>
      <c r="M978" s="11" t="n"/>
      <c r="N978" s="10">
        <f>IF(COUNTA(J978:M978)=0,"",MIN(10,SUMPRODUCT((COUNTIF(J978:M978,L_KOM)&gt;0)*S_KOM)))</f>
        <v/>
      </c>
      <c r="O978" s="11" t="n"/>
      <c r="P978" s="10">
        <f>IF(O978="","",IFERROR(VLOOKUP(O978,T_KHID,2,FALSE),0))</f>
        <v/>
      </c>
      <c r="Q978" s="11" t="n"/>
      <c r="R978" s="11" t="n"/>
      <c r="S978" s="10">
        <f>IF(AND(Q978="",R978=""),"",IFERROR(INDEX(T_LIBAT,MATCH(Q978,L_PER,0),MATCH(R978,L_JENIS,0)),0))</f>
        <v/>
      </c>
      <c r="T978" s="11" t="n"/>
      <c r="U978" s="11" t="n"/>
      <c r="V978" s="10">
        <f>IF(AND(T978="",U978=""),"",IFERROR(INDEX(T_CAPAI,MATCH(T978,L_PER,0),MATCH(U978,L_KED,0)),0))</f>
        <v/>
      </c>
      <c r="W978" s="17">
        <f>IF(OR(B978="",E978="",COUNTA(F978,H978,J978:M978,O978,Q978:R978,T978:U978)=0),"",SUM(G978,I978,N978,P978,S978,V978))</f>
        <v/>
      </c>
      <c r="X978" s="18">
        <f>IF(W978="","",IF(Murid!F978="TL","TL",ROUND(W978/110*100,2)))</f>
        <v/>
      </c>
    </row>
    <row r="979">
      <c r="A979" s="15">
        <f>Murid!A979</f>
        <v/>
      </c>
      <c r="B979" s="15">
        <f>IF(Murid!B979="","",Murid!B979)</f>
        <v/>
      </c>
      <c r="C979" s="16">
        <f>IF(Murid!C979="","",Murid!C979)</f>
        <v/>
      </c>
      <c r="D979" s="15">
        <f>IF(Murid!E979="","",Murid!E979)</f>
        <v/>
      </c>
      <c r="E979" s="11" t="n"/>
      <c r="F979" s="11" t="n"/>
      <c r="G979" s="10">
        <f>IF(F979="","",IFERROR(VLOOKUP(F979,T_JKP,2,FALSE),0))</f>
        <v/>
      </c>
      <c r="H979" s="11" t="n"/>
      <c r="I979" s="17">
        <f>IF(H979="","",IF(H979&gt;=12,40,ROUND(H979*3.33,2)))</f>
        <v/>
      </c>
      <c r="J979" s="11" t="n"/>
      <c r="K979" s="11" t="n"/>
      <c r="L979" s="11" t="n"/>
      <c r="M979" s="11" t="n"/>
      <c r="N979" s="10">
        <f>IF(COUNTA(J979:M979)=0,"",MIN(10,SUMPRODUCT((COUNTIF(J979:M979,L_KOM)&gt;0)*S_KOM)))</f>
        <v/>
      </c>
      <c r="O979" s="11" t="n"/>
      <c r="P979" s="10">
        <f>IF(O979="","",IFERROR(VLOOKUP(O979,T_KHID,2,FALSE),0))</f>
        <v/>
      </c>
      <c r="Q979" s="11" t="n"/>
      <c r="R979" s="11" t="n"/>
      <c r="S979" s="10">
        <f>IF(AND(Q979="",R979=""),"",IFERROR(INDEX(T_LIBAT,MATCH(Q979,L_PER,0),MATCH(R979,L_JENIS,0)),0))</f>
        <v/>
      </c>
      <c r="T979" s="11" t="n"/>
      <c r="U979" s="11" t="n"/>
      <c r="V979" s="10">
        <f>IF(AND(T979="",U979=""),"",IFERROR(INDEX(T_CAPAI,MATCH(T979,L_PER,0),MATCH(U979,L_KED,0)),0))</f>
        <v/>
      </c>
      <c r="W979" s="17">
        <f>IF(OR(B979="",E979="",COUNTA(F979,H979,J979:M979,O979,Q979:R979,T979:U979)=0),"",SUM(G979,I979,N979,P979,S979,V979))</f>
        <v/>
      </c>
      <c r="X979" s="18">
        <f>IF(W979="","",IF(Murid!F979="TL","TL",ROUND(W979/110*100,2)))</f>
        <v/>
      </c>
    </row>
    <row r="980">
      <c r="A980" s="15">
        <f>Murid!A980</f>
        <v/>
      </c>
      <c r="B980" s="15">
        <f>IF(Murid!B980="","",Murid!B980)</f>
        <v/>
      </c>
      <c r="C980" s="16">
        <f>IF(Murid!C980="","",Murid!C980)</f>
        <v/>
      </c>
      <c r="D980" s="15">
        <f>IF(Murid!E980="","",Murid!E980)</f>
        <v/>
      </c>
      <c r="E980" s="11" t="n"/>
      <c r="F980" s="11" t="n"/>
      <c r="G980" s="10">
        <f>IF(F980="","",IFERROR(VLOOKUP(F980,T_JKP,2,FALSE),0))</f>
        <v/>
      </c>
      <c r="H980" s="11" t="n"/>
      <c r="I980" s="17">
        <f>IF(H980="","",IF(H980&gt;=12,40,ROUND(H980*3.33,2)))</f>
        <v/>
      </c>
      <c r="J980" s="11" t="n"/>
      <c r="K980" s="11" t="n"/>
      <c r="L980" s="11" t="n"/>
      <c r="M980" s="11" t="n"/>
      <c r="N980" s="10">
        <f>IF(COUNTA(J980:M980)=0,"",MIN(10,SUMPRODUCT((COUNTIF(J980:M980,L_KOM)&gt;0)*S_KOM)))</f>
        <v/>
      </c>
      <c r="O980" s="11" t="n"/>
      <c r="P980" s="10">
        <f>IF(O980="","",IFERROR(VLOOKUP(O980,T_KHID,2,FALSE),0))</f>
        <v/>
      </c>
      <c r="Q980" s="11" t="n"/>
      <c r="R980" s="11" t="n"/>
      <c r="S980" s="10">
        <f>IF(AND(Q980="",R980=""),"",IFERROR(INDEX(T_LIBAT,MATCH(Q980,L_PER,0),MATCH(R980,L_JENIS,0)),0))</f>
        <v/>
      </c>
      <c r="T980" s="11" t="n"/>
      <c r="U980" s="11" t="n"/>
      <c r="V980" s="10">
        <f>IF(AND(T980="",U980=""),"",IFERROR(INDEX(T_CAPAI,MATCH(T980,L_PER,0),MATCH(U980,L_KED,0)),0))</f>
        <v/>
      </c>
      <c r="W980" s="17">
        <f>IF(OR(B980="",E980="",COUNTA(F980,H980,J980:M980,O980,Q980:R980,T980:U980)=0),"",SUM(G980,I980,N980,P980,S980,V980))</f>
        <v/>
      </c>
      <c r="X980" s="18">
        <f>IF(W980="","",IF(Murid!F980="TL","TL",ROUND(W980/110*100,2)))</f>
        <v/>
      </c>
    </row>
    <row r="981">
      <c r="A981" s="15">
        <f>Murid!A981</f>
        <v/>
      </c>
      <c r="B981" s="15">
        <f>IF(Murid!B981="","",Murid!B981)</f>
        <v/>
      </c>
      <c r="C981" s="16">
        <f>IF(Murid!C981="","",Murid!C981)</f>
        <v/>
      </c>
      <c r="D981" s="15">
        <f>IF(Murid!E981="","",Murid!E981)</f>
        <v/>
      </c>
      <c r="E981" s="11" t="n"/>
      <c r="F981" s="11" t="n"/>
      <c r="G981" s="10">
        <f>IF(F981="","",IFERROR(VLOOKUP(F981,T_JKP,2,FALSE),0))</f>
        <v/>
      </c>
      <c r="H981" s="11" t="n"/>
      <c r="I981" s="17">
        <f>IF(H981="","",IF(H981&gt;=12,40,ROUND(H981*3.33,2)))</f>
        <v/>
      </c>
      <c r="J981" s="11" t="n"/>
      <c r="K981" s="11" t="n"/>
      <c r="L981" s="11" t="n"/>
      <c r="M981" s="11" t="n"/>
      <c r="N981" s="10">
        <f>IF(COUNTA(J981:M981)=0,"",MIN(10,SUMPRODUCT((COUNTIF(J981:M981,L_KOM)&gt;0)*S_KOM)))</f>
        <v/>
      </c>
      <c r="O981" s="11" t="n"/>
      <c r="P981" s="10">
        <f>IF(O981="","",IFERROR(VLOOKUP(O981,T_KHID,2,FALSE),0))</f>
        <v/>
      </c>
      <c r="Q981" s="11" t="n"/>
      <c r="R981" s="11" t="n"/>
      <c r="S981" s="10">
        <f>IF(AND(Q981="",R981=""),"",IFERROR(INDEX(T_LIBAT,MATCH(Q981,L_PER,0),MATCH(R981,L_JENIS,0)),0))</f>
        <v/>
      </c>
      <c r="T981" s="11" t="n"/>
      <c r="U981" s="11" t="n"/>
      <c r="V981" s="10">
        <f>IF(AND(T981="",U981=""),"",IFERROR(INDEX(T_CAPAI,MATCH(T981,L_PER,0),MATCH(U981,L_KED,0)),0))</f>
        <v/>
      </c>
      <c r="W981" s="17">
        <f>IF(OR(B981="",E981="",COUNTA(F981,H981,J981:M981,O981,Q981:R981,T981:U981)=0),"",SUM(G981,I981,N981,P981,S981,V981))</f>
        <v/>
      </c>
      <c r="X981" s="18">
        <f>IF(W981="","",IF(Murid!F981="TL","TL",ROUND(W981/110*100,2)))</f>
        <v/>
      </c>
    </row>
    <row r="982">
      <c r="A982" s="15">
        <f>Murid!A982</f>
        <v/>
      </c>
      <c r="B982" s="15">
        <f>IF(Murid!B982="","",Murid!B982)</f>
        <v/>
      </c>
      <c r="C982" s="16">
        <f>IF(Murid!C982="","",Murid!C982)</f>
        <v/>
      </c>
      <c r="D982" s="15">
        <f>IF(Murid!E982="","",Murid!E982)</f>
        <v/>
      </c>
      <c r="E982" s="11" t="n"/>
      <c r="F982" s="11" t="n"/>
      <c r="G982" s="10">
        <f>IF(F982="","",IFERROR(VLOOKUP(F982,T_JKP,2,FALSE),0))</f>
        <v/>
      </c>
      <c r="H982" s="11" t="n"/>
      <c r="I982" s="17">
        <f>IF(H982="","",IF(H982&gt;=12,40,ROUND(H982*3.33,2)))</f>
        <v/>
      </c>
      <c r="J982" s="11" t="n"/>
      <c r="K982" s="11" t="n"/>
      <c r="L982" s="11" t="n"/>
      <c r="M982" s="11" t="n"/>
      <c r="N982" s="10">
        <f>IF(COUNTA(J982:M982)=0,"",MIN(10,SUMPRODUCT((COUNTIF(J982:M982,L_KOM)&gt;0)*S_KOM)))</f>
        <v/>
      </c>
      <c r="O982" s="11" t="n"/>
      <c r="P982" s="10">
        <f>IF(O982="","",IFERROR(VLOOKUP(O982,T_KHID,2,FALSE),0))</f>
        <v/>
      </c>
      <c r="Q982" s="11" t="n"/>
      <c r="R982" s="11" t="n"/>
      <c r="S982" s="10">
        <f>IF(AND(Q982="",R982=""),"",IFERROR(INDEX(T_LIBAT,MATCH(Q982,L_PER,0),MATCH(R982,L_JENIS,0)),0))</f>
        <v/>
      </c>
      <c r="T982" s="11" t="n"/>
      <c r="U982" s="11" t="n"/>
      <c r="V982" s="10">
        <f>IF(AND(T982="",U982=""),"",IFERROR(INDEX(T_CAPAI,MATCH(T982,L_PER,0),MATCH(U982,L_KED,0)),0))</f>
        <v/>
      </c>
      <c r="W982" s="17">
        <f>IF(OR(B982="",E982="",COUNTA(F982,H982,J982:M982,O982,Q982:R982,T982:U982)=0),"",SUM(G982,I982,N982,P982,S982,V982))</f>
        <v/>
      </c>
      <c r="X982" s="18">
        <f>IF(W982="","",IF(Murid!F982="TL","TL",ROUND(W982/110*100,2)))</f>
        <v/>
      </c>
    </row>
    <row r="983">
      <c r="A983" s="15">
        <f>Murid!A983</f>
        <v/>
      </c>
      <c r="B983" s="15">
        <f>IF(Murid!B983="","",Murid!B983)</f>
        <v/>
      </c>
      <c r="C983" s="16">
        <f>IF(Murid!C983="","",Murid!C983)</f>
        <v/>
      </c>
      <c r="D983" s="15">
        <f>IF(Murid!E983="","",Murid!E983)</f>
        <v/>
      </c>
      <c r="E983" s="11" t="n"/>
      <c r="F983" s="11" t="n"/>
      <c r="G983" s="10">
        <f>IF(F983="","",IFERROR(VLOOKUP(F983,T_JKP,2,FALSE),0))</f>
        <v/>
      </c>
      <c r="H983" s="11" t="n"/>
      <c r="I983" s="17">
        <f>IF(H983="","",IF(H983&gt;=12,40,ROUND(H983*3.33,2)))</f>
        <v/>
      </c>
      <c r="J983" s="11" t="n"/>
      <c r="K983" s="11" t="n"/>
      <c r="L983" s="11" t="n"/>
      <c r="M983" s="11" t="n"/>
      <c r="N983" s="10">
        <f>IF(COUNTA(J983:M983)=0,"",MIN(10,SUMPRODUCT((COUNTIF(J983:M983,L_KOM)&gt;0)*S_KOM)))</f>
        <v/>
      </c>
      <c r="O983" s="11" t="n"/>
      <c r="P983" s="10">
        <f>IF(O983="","",IFERROR(VLOOKUP(O983,T_KHID,2,FALSE),0))</f>
        <v/>
      </c>
      <c r="Q983" s="11" t="n"/>
      <c r="R983" s="11" t="n"/>
      <c r="S983" s="10">
        <f>IF(AND(Q983="",R983=""),"",IFERROR(INDEX(T_LIBAT,MATCH(Q983,L_PER,0),MATCH(R983,L_JENIS,0)),0))</f>
        <v/>
      </c>
      <c r="T983" s="11" t="n"/>
      <c r="U983" s="11" t="n"/>
      <c r="V983" s="10">
        <f>IF(AND(T983="",U983=""),"",IFERROR(INDEX(T_CAPAI,MATCH(T983,L_PER,0),MATCH(U983,L_KED,0)),0))</f>
        <v/>
      </c>
      <c r="W983" s="17">
        <f>IF(OR(B983="",E983="",COUNTA(F983,H983,J983:M983,O983,Q983:R983,T983:U983)=0),"",SUM(G983,I983,N983,P983,S983,V983))</f>
        <v/>
      </c>
      <c r="X983" s="18">
        <f>IF(W983="","",IF(Murid!F983="TL","TL",ROUND(W983/110*100,2)))</f>
        <v/>
      </c>
    </row>
    <row r="984">
      <c r="A984" s="15">
        <f>Murid!A984</f>
        <v/>
      </c>
      <c r="B984" s="15">
        <f>IF(Murid!B984="","",Murid!B984)</f>
        <v/>
      </c>
      <c r="C984" s="16">
        <f>IF(Murid!C984="","",Murid!C984)</f>
        <v/>
      </c>
      <c r="D984" s="15">
        <f>IF(Murid!E984="","",Murid!E984)</f>
        <v/>
      </c>
      <c r="E984" s="11" t="n"/>
      <c r="F984" s="11" t="n"/>
      <c r="G984" s="10">
        <f>IF(F984="","",IFERROR(VLOOKUP(F984,T_JKP,2,FALSE),0))</f>
        <v/>
      </c>
      <c r="H984" s="11" t="n"/>
      <c r="I984" s="17">
        <f>IF(H984="","",IF(H984&gt;=12,40,ROUND(H984*3.33,2)))</f>
        <v/>
      </c>
      <c r="J984" s="11" t="n"/>
      <c r="K984" s="11" t="n"/>
      <c r="L984" s="11" t="n"/>
      <c r="M984" s="11" t="n"/>
      <c r="N984" s="10">
        <f>IF(COUNTA(J984:M984)=0,"",MIN(10,SUMPRODUCT((COUNTIF(J984:M984,L_KOM)&gt;0)*S_KOM)))</f>
        <v/>
      </c>
      <c r="O984" s="11" t="n"/>
      <c r="P984" s="10">
        <f>IF(O984="","",IFERROR(VLOOKUP(O984,T_KHID,2,FALSE),0))</f>
        <v/>
      </c>
      <c r="Q984" s="11" t="n"/>
      <c r="R984" s="11" t="n"/>
      <c r="S984" s="10">
        <f>IF(AND(Q984="",R984=""),"",IFERROR(INDEX(T_LIBAT,MATCH(Q984,L_PER,0),MATCH(R984,L_JENIS,0)),0))</f>
        <v/>
      </c>
      <c r="T984" s="11" t="n"/>
      <c r="U984" s="11" t="n"/>
      <c r="V984" s="10">
        <f>IF(AND(T984="",U984=""),"",IFERROR(INDEX(T_CAPAI,MATCH(T984,L_PER,0),MATCH(U984,L_KED,0)),0))</f>
        <v/>
      </c>
      <c r="W984" s="17">
        <f>IF(OR(B984="",E984="",COUNTA(F984,H984,J984:M984,O984,Q984:R984,T984:U984)=0),"",SUM(G984,I984,N984,P984,S984,V984))</f>
        <v/>
      </c>
      <c r="X984" s="18">
        <f>IF(W984="","",IF(Murid!F984="TL","TL",ROUND(W984/110*100,2)))</f>
        <v/>
      </c>
    </row>
    <row r="985">
      <c r="A985" s="15">
        <f>Murid!A985</f>
        <v/>
      </c>
      <c r="B985" s="15">
        <f>IF(Murid!B985="","",Murid!B985)</f>
        <v/>
      </c>
      <c r="C985" s="16">
        <f>IF(Murid!C985="","",Murid!C985)</f>
        <v/>
      </c>
      <c r="D985" s="15">
        <f>IF(Murid!E985="","",Murid!E985)</f>
        <v/>
      </c>
      <c r="E985" s="11" t="n"/>
      <c r="F985" s="11" t="n"/>
      <c r="G985" s="10">
        <f>IF(F985="","",IFERROR(VLOOKUP(F985,T_JKP,2,FALSE),0))</f>
        <v/>
      </c>
      <c r="H985" s="11" t="n"/>
      <c r="I985" s="17">
        <f>IF(H985="","",IF(H985&gt;=12,40,ROUND(H985*3.33,2)))</f>
        <v/>
      </c>
      <c r="J985" s="11" t="n"/>
      <c r="K985" s="11" t="n"/>
      <c r="L985" s="11" t="n"/>
      <c r="M985" s="11" t="n"/>
      <c r="N985" s="10">
        <f>IF(COUNTA(J985:M985)=0,"",MIN(10,SUMPRODUCT((COUNTIF(J985:M985,L_KOM)&gt;0)*S_KOM)))</f>
        <v/>
      </c>
      <c r="O985" s="11" t="n"/>
      <c r="P985" s="10">
        <f>IF(O985="","",IFERROR(VLOOKUP(O985,T_KHID,2,FALSE),0))</f>
        <v/>
      </c>
      <c r="Q985" s="11" t="n"/>
      <c r="R985" s="11" t="n"/>
      <c r="S985" s="10">
        <f>IF(AND(Q985="",R985=""),"",IFERROR(INDEX(T_LIBAT,MATCH(Q985,L_PER,0),MATCH(R985,L_JENIS,0)),0))</f>
        <v/>
      </c>
      <c r="T985" s="11" t="n"/>
      <c r="U985" s="11" t="n"/>
      <c r="V985" s="10">
        <f>IF(AND(T985="",U985=""),"",IFERROR(INDEX(T_CAPAI,MATCH(T985,L_PER,0),MATCH(U985,L_KED,0)),0))</f>
        <v/>
      </c>
      <c r="W985" s="17">
        <f>IF(OR(B985="",E985="",COUNTA(F985,H985,J985:M985,O985,Q985:R985,T985:U985)=0),"",SUM(G985,I985,N985,P985,S985,V985))</f>
        <v/>
      </c>
      <c r="X985" s="18">
        <f>IF(W985="","",IF(Murid!F985="TL","TL",ROUND(W985/110*100,2)))</f>
        <v/>
      </c>
    </row>
    <row r="986">
      <c r="A986" s="15">
        <f>Murid!A986</f>
        <v/>
      </c>
      <c r="B986" s="15">
        <f>IF(Murid!B986="","",Murid!B986)</f>
        <v/>
      </c>
      <c r="C986" s="16">
        <f>IF(Murid!C986="","",Murid!C986)</f>
        <v/>
      </c>
      <c r="D986" s="15">
        <f>IF(Murid!E986="","",Murid!E986)</f>
        <v/>
      </c>
      <c r="E986" s="11" t="n"/>
      <c r="F986" s="11" t="n"/>
      <c r="G986" s="10">
        <f>IF(F986="","",IFERROR(VLOOKUP(F986,T_JKP,2,FALSE),0))</f>
        <v/>
      </c>
      <c r="H986" s="11" t="n"/>
      <c r="I986" s="17">
        <f>IF(H986="","",IF(H986&gt;=12,40,ROUND(H986*3.33,2)))</f>
        <v/>
      </c>
      <c r="J986" s="11" t="n"/>
      <c r="K986" s="11" t="n"/>
      <c r="L986" s="11" t="n"/>
      <c r="M986" s="11" t="n"/>
      <c r="N986" s="10">
        <f>IF(COUNTA(J986:M986)=0,"",MIN(10,SUMPRODUCT((COUNTIF(J986:M986,L_KOM)&gt;0)*S_KOM)))</f>
        <v/>
      </c>
      <c r="O986" s="11" t="n"/>
      <c r="P986" s="10">
        <f>IF(O986="","",IFERROR(VLOOKUP(O986,T_KHID,2,FALSE),0))</f>
        <v/>
      </c>
      <c r="Q986" s="11" t="n"/>
      <c r="R986" s="11" t="n"/>
      <c r="S986" s="10">
        <f>IF(AND(Q986="",R986=""),"",IFERROR(INDEX(T_LIBAT,MATCH(Q986,L_PER,0),MATCH(R986,L_JENIS,0)),0))</f>
        <v/>
      </c>
      <c r="T986" s="11" t="n"/>
      <c r="U986" s="11" t="n"/>
      <c r="V986" s="10">
        <f>IF(AND(T986="",U986=""),"",IFERROR(INDEX(T_CAPAI,MATCH(T986,L_PER,0),MATCH(U986,L_KED,0)),0))</f>
        <v/>
      </c>
      <c r="W986" s="17">
        <f>IF(OR(B986="",E986="",COUNTA(F986,H986,J986:M986,O986,Q986:R986,T986:U986)=0),"",SUM(G986,I986,N986,P986,S986,V986))</f>
        <v/>
      </c>
      <c r="X986" s="18">
        <f>IF(W986="","",IF(Murid!F986="TL","TL",ROUND(W986/110*100,2)))</f>
        <v/>
      </c>
    </row>
    <row r="987">
      <c r="A987" s="15">
        <f>Murid!A987</f>
        <v/>
      </c>
      <c r="B987" s="15">
        <f>IF(Murid!B987="","",Murid!B987)</f>
        <v/>
      </c>
      <c r="C987" s="16">
        <f>IF(Murid!C987="","",Murid!C987)</f>
        <v/>
      </c>
      <c r="D987" s="15">
        <f>IF(Murid!E987="","",Murid!E987)</f>
        <v/>
      </c>
      <c r="E987" s="11" t="n"/>
      <c r="F987" s="11" t="n"/>
      <c r="G987" s="10">
        <f>IF(F987="","",IFERROR(VLOOKUP(F987,T_JKP,2,FALSE),0))</f>
        <v/>
      </c>
      <c r="H987" s="11" t="n"/>
      <c r="I987" s="17">
        <f>IF(H987="","",IF(H987&gt;=12,40,ROUND(H987*3.33,2)))</f>
        <v/>
      </c>
      <c r="J987" s="11" t="n"/>
      <c r="K987" s="11" t="n"/>
      <c r="L987" s="11" t="n"/>
      <c r="M987" s="11" t="n"/>
      <c r="N987" s="10">
        <f>IF(COUNTA(J987:M987)=0,"",MIN(10,SUMPRODUCT((COUNTIF(J987:M987,L_KOM)&gt;0)*S_KOM)))</f>
        <v/>
      </c>
      <c r="O987" s="11" t="n"/>
      <c r="P987" s="10">
        <f>IF(O987="","",IFERROR(VLOOKUP(O987,T_KHID,2,FALSE),0))</f>
        <v/>
      </c>
      <c r="Q987" s="11" t="n"/>
      <c r="R987" s="11" t="n"/>
      <c r="S987" s="10">
        <f>IF(AND(Q987="",R987=""),"",IFERROR(INDEX(T_LIBAT,MATCH(Q987,L_PER,0),MATCH(R987,L_JENIS,0)),0))</f>
        <v/>
      </c>
      <c r="T987" s="11" t="n"/>
      <c r="U987" s="11" t="n"/>
      <c r="V987" s="10">
        <f>IF(AND(T987="",U987=""),"",IFERROR(INDEX(T_CAPAI,MATCH(T987,L_PER,0),MATCH(U987,L_KED,0)),0))</f>
        <v/>
      </c>
      <c r="W987" s="17">
        <f>IF(OR(B987="",E987="",COUNTA(F987,H987,J987:M987,O987,Q987:R987,T987:U987)=0),"",SUM(G987,I987,N987,P987,S987,V987))</f>
        <v/>
      </c>
      <c r="X987" s="18">
        <f>IF(W987="","",IF(Murid!F987="TL","TL",ROUND(W987/110*100,2)))</f>
        <v/>
      </c>
    </row>
    <row r="988">
      <c r="A988" s="15">
        <f>Murid!A988</f>
        <v/>
      </c>
      <c r="B988" s="15">
        <f>IF(Murid!B988="","",Murid!B988)</f>
        <v/>
      </c>
      <c r="C988" s="16">
        <f>IF(Murid!C988="","",Murid!C988)</f>
        <v/>
      </c>
      <c r="D988" s="15">
        <f>IF(Murid!E988="","",Murid!E988)</f>
        <v/>
      </c>
      <c r="E988" s="11" t="n"/>
      <c r="F988" s="11" t="n"/>
      <c r="G988" s="10">
        <f>IF(F988="","",IFERROR(VLOOKUP(F988,T_JKP,2,FALSE),0))</f>
        <v/>
      </c>
      <c r="H988" s="11" t="n"/>
      <c r="I988" s="17">
        <f>IF(H988="","",IF(H988&gt;=12,40,ROUND(H988*3.33,2)))</f>
        <v/>
      </c>
      <c r="J988" s="11" t="n"/>
      <c r="K988" s="11" t="n"/>
      <c r="L988" s="11" t="n"/>
      <c r="M988" s="11" t="n"/>
      <c r="N988" s="10">
        <f>IF(COUNTA(J988:M988)=0,"",MIN(10,SUMPRODUCT((COUNTIF(J988:M988,L_KOM)&gt;0)*S_KOM)))</f>
        <v/>
      </c>
      <c r="O988" s="11" t="n"/>
      <c r="P988" s="10">
        <f>IF(O988="","",IFERROR(VLOOKUP(O988,T_KHID,2,FALSE),0))</f>
        <v/>
      </c>
      <c r="Q988" s="11" t="n"/>
      <c r="R988" s="11" t="n"/>
      <c r="S988" s="10">
        <f>IF(AND(Q988="",R988=""),"",IFERROR(INDEX(T_LIBAT,MATCH(Q988,L_PER,0),MATCH(R988,L_JENIS,0)),0))</f>
        <v/>
      </c>
      <c r="T988" s="11" t="n"/>
      <c r="U988" s="11" t="n"/>
      <c r="V988" s="10">
        <f>IF(AND(T988="",U988=""),"",IFERROR(INDEX(T_CAPAI,MATCH(T988,L_PER,0),MATCH(U988,L_KED,0)),0))</f>
        <v/>
      </c>
      <c r="W988" s="17">
        <f>IF(OR(B988="",E988="",COUNTA(F988,H988,J988:M988,O988,Q988:R988,T988:U988)=0),"",SUM(G988,I988,N988,P988,S988,V988))</f>
        <v/>
      </c>
      <c r="X988" s="18">
        <f>IF(W988="","",IF(Murid!F988="TL","TL",ROUND(W988/110*100,2)))</f>
        <v/>
      </c>
    </row>
    <row r="989">
      <c r="A989" s="15">
        <f>Murid!A989</f>
        <v/>
      </c>
      <c r="B989" s="15">
        <f>IF(Murid!B989="","",Murid!B989)</f>
        <v/>
      </c>
      <c r="C989" s="16">
        <f>IF(Murid!C989="","",Murid!C989)</f>
        <v/>
      </c>
      <c r="D989" s="15">
        <f>IF(Murid!E989="","",Murid!E989)</f>
        <v/>
      </c>
      <c r="E989" s="11" t="n"/>
      <c r="F989" s="11" t="n"/>
      <c r="G989" s="10">
        <f>IF(F989="","",IFERROR(VLOOKUP(F989,T_JKP,2,FALSE),0))</f>
        <v/>
      </c>
      <c r="H989" s="11" t="n"/>
      <c r="I989" s="17">
        <f>IF(H989="","",IF(H989&gt;=12,40,ROUND(H989*3.33,2)))</f>
        <v/>
      </c>
      <c r="J989" s="11" t="n"/>
      <c r="K989" s="11" t="n"/>
      <c r="L989" s="11" t="n"/>
      <c r="M989" s="11" t="n"/>
      <c r="N989" s="10">
        <f>IF(COUNTA(J989:M989)=0,"",MIN(10,SUMPRODUCT((COUNTIF(J989:M989,L_KOM)&gt;0)*S_KOM)))</f>
        <v/>
      </c>
      <c r="O989" s="11" t="n"/>
      <c r="P989" s="10">
        <f>IF(O989="","",IFERROR(VLOOKUP(O989,T_KHID,2,FALSE),0))</f>
        <v/>
      </c>
      <c r="Q989" s="11" t="n"/>
      <c r="R989" s="11" t="n"/>
      <c r="S989" s="10">
        <f>IF(AND(Q989="",R989=""),"",IFERROR(INDEX(T_LIBAT,MATCH(Q989,L_PER,0),MATCH(R989,L_JENIS,0)),0))</f>
        <v/>
      </c>
      <c r="T989" s="11" t="n"/>
      <c r="U989" s="11" t="n"/>
      <c r="V989" s="10">
        <f>IF(AND(T989="",U989=""),"",IFERROR(INDEX(T_CAPAI,MATCH(T989,L_PER,0),MATCH(U989,L_KED,0)),0))</f>
        <v/>
      </c>
      <c r="W989" s="17">
        <f>IF(OR(B989="",E989="",COUNTA(F989,H989,J989:M989,O989,Q989:R989,T989:U989)=0),"",SUM(G989,I989,N989,P989,S989,V989))</f>
        <v/>
      </c>
      <c r="X989" s="18">
        <f>IF(W989="","",IF(Murid!F989="TL","TL",ROUND(W989/110*100,2)))</f>
        <v/>
      </c>
    </row>
    <row r="990">
      <c r="A990" s="15">
        <f>Murid!A990</f>
        <v/>
      </c>
      <c r="B990" s="15">
        <f>IF(Murid!B990="","",Murid!B990)</f>
        <v/>
      </c>
      <c r="C990" s="16">
        <f>IF(Murid!C990="","",Murid!C990)</f>
        <v/>
      </c>
      <c r="D990" s="15">
        <f>IF(Murid!E990="","",Murid!E990)</f>
        <v/>
      </c>
      <c r="E990" s="11" t="n"/>
      <c r="F990" s="11" t="n"/>
      <c r="G990" s="10">
        <f>IF(F990="","",IFERROR(VLOOKUP(F990,T_JKP,2,FALSE),0))</f>
        <v/>
      </c>
      <c r="H990" s="11" t="n"/>
      <c r="I990" s="17">
        <f>IF(H990="","",IF(H990&gt;=12,40,ROUND(H990*3.33,2)))</f>
        <v/>
      </c>
      <c r="J990" s="11" t="n"/>
      <c r="K990" s="11" t="n"/>
      <c r="L990" s="11" t="n"/>
      <c r="M990" s="11" t="n"/>
      <c r="N990" s="10">
        <f>IF(COUNTA(J990:M990)=0,"",MIN(10,SUMPRODUCT((COUNTIF(J990:M990,L_KOM)&gt;0)*S_KOM)))</f>
        <v/>
      </c>
      <c r="O990" s="11" t="n"/>
      <c r="P990" s="10">
        <f>IF(O990="","",IFERROR(VLOOKUP(O990,T_KHID,2,FALSE),0))</f>
        <v/>
      </c>
      <c r="Q990" s="11" t="n"/>
      <c r="R990" s="11" t="n"/>
      <c r="S990" s="10">
        <f>IF(AND(Q990="",R990=""),"",IFERROR(INDEX(T_LIBAT,MATCH(Q990,L_PER,0),MATCH(R990,L_JENIS,0)),0))</f>
        <v/>
      </c>
      <c r="T990" s="11" t="n"/>
      <c r="U990" s="11" t="n"/>
      <c r="V990" s="10">
        <f>IF(AND(T990="",U990=""),"",IFERROR(INDEX(T_CAPAI,MATCH(T990,L_PER,0),MATCH(U990,L_KED,0)),0))</f>
        <v/>
      </c>
      <c r="W990" s="17">
        <f>IF(OR(B990="",E990="",COUNTA(F990,H990,J990:M990,O990,Q990:R990,T990:U990)=0),"",SUM(G990,I990,N990,P990,S990,V990))</f>
        <v/>
      </c>
      <c r="X990" s="18">
        <f>IF(W990="","",IF(Murid!F990="TL","TL",ROUND(W990/110*100,2)))</f>
        <v/>
      </c>
    </row>
    <row r="991">
      <c r="A991" s="15">
        <f>Murid!A991</f>
        <v/>
      </c>
      <c r="B991" s="15">
        <f>IF(Murid!B991="","",Murid!B991)</f>
        <v/>
      </c>
      <c r="C991" s="16">
        <f>IF(Murid!C991="","",Murid!C991)</f>
        <v/>
      </c>
      <c r="D991" s="15">
        <f>IF(Murid!E991="","",Murid!E991)</f>
        <v/>
      </c>
      <c r="E991" s="11" t="n"/>
      <c r="F991" s="11" t="n"/>
      <c r="G991" s="10">
        <f>IF(F991="","",IFERROR(VLOOKUP(F991,T_JKP,2,FALSE),0))</f>
        <v/>
      </c>
      <c r="H991" s="11" t="n"/>
      <c r="I991" s="17">
        <f>IF(H991="","",IF(H991&gt;=12,40,ROUND(H991*3.33,2)))</f>
        <v/>
      </c>
      <c r="J991" s="11" t="n"/>
      <c r="K991" s="11" t="n"/>
      <c r="L991" s="11" t="n"/>
      <c r="M991" s="11" t="n"/>
      <c r="N991" s="10">
        <f>IF(COUNTA(J991:M991)=0,"",MIN(10,SUMPRODUCT((COUNTIF(J991:M991,L_KOM)&gt;0)*S_KOM)))</f>
        <v/>
      </c>
      <c r="O991" s="11" t="n"/>
      <c r="P991" s="10">
        <f>IF(O991="","",IFERROR(VLOOKUP(O991,T_KHID,2,FALSE),0))</f>
        <v/>
      </c>
      <c r="Q991" s="11" t="n"/>
      <c r="R991" s="11" t="n"/>
      <c r="S991" s="10">
        <f>IF(AND(Q991="",R991=""),"",IFERROR(INDEX(T_LIBAT,MATCH(Q991,L_PER,0),MATCH(R991,L_JENIS,0)),0))</f>
        <v/>
      </c>
      <c r="T991" s="11" t="n"/>
      <c r="U991" s="11" t="n"/>
      <c r="V991" s="10">
        <f>IF(AND(T991="",U991=""),"",IFERROR(INDEX(T_CAPAI,MATCH(T991,L_PER,0),MATCH(U991,L_KED,0)),0))</f>
        <v/>
      </c>
      <c r="W991" s="17">
        <f>IF(OR(B991="",E991="",COUNTA(F991,H991,J991:M991,O991,Q991:R991,T991:U991)=0),"",SUM(G991,I991,N991,P991,S991,V991))</f>
        <v/>
      </c>
      <c r="X991" s="18">
        <f>IF(W991="","",IF(Murid!F991="TL","TL",ROUND(W991/110*100,2)))</f>
        <v/>
      </c>
    </row>
    <row r="992">
      <c r="A992" s="15">
        <f>Murid!A992</f>
        <v/>
      </c>
      <c r="B992" s="15">
        <f>IF(Murid!B992="","",Murid!B992)</f>
        <v/>
      </c>
      <c r="C992" s="16">
        <f>IF(Murid!C992="","",Murid!C992)</f>
        <v/>
      </c>
      <c r="D992" s="15">
        <f>IF(Murid!E992="","",Murid!E992)</f>
        <v/>
      </c>
      <c r="E992" s="11" t="n"/>
      <c r="F992" s="11" t="n"/>
      <c r="G992" s="10">
        <f>IF(F992="","",IFERROR(VLOOKUP(F992,T_JKP,2,FALSE),0))</f>
        <v/>
      </c>
      <c r="H992" s="11" t="n"/>
      <c r="I992" s="17">
        <f>IF(H992="","",IF(H992&gt;=12,40,ROUND(H992*3.33,2)))</f>
        <v/>
      </c>
      <c r="J992" s="11" t="n"/>
      <c r="K992" s="11" t="n"/>
      <c r="L992" s="11" t="n"/>
      <c r="M992" s="11" t="n"/>
      <c r="N992" s="10">
        <f>IF(COUNTA(J992:M992)=0,"",MIN(10,SUMPRODUCT((COUNTIF(J992:M992,L_KOM)&gt;0)*S_KOM)))</f>
        <v/>
      </c>
      <c r="O992" s="11" t="n"/>
      <c r="P992" s="10">
        <f>IF(O992="","",IFERROR(VLOOKUP(O992,T_KHID,2,FALSE),0))</f>
        <v/>
      </c>
      <c r="Q992" s="11" t="n"/>
      <c r="R992" s="11" t="n"/>
      <c r="S992" s="10">
        <f>IF(AND(Q992="",R992=""),"",IFERROR(INDEX(T_LIBAT,MATCH(Q992,L_PER,0),MATCH(R992,L_JENIS,0)),0))</f>
        <v/>
      </c>
      <c r="T992" s="11" t="n"/>
      <c r="U992" s="11" t="n"/>
      <c r="V992" s="10">
        <f>IF(AND(T992="",U992=""),"",IFERROR(INDEX(T_CAPAI,MATCH(T992,L_PER,0),MATCH(U992,L_KED,0)),0))</f>
        <v/>
      </c>
      <c r="W992" s="17">
        <f>IF(OR(B992="",E992="",COUNTA(F992,H992,J992:M992,O992,Q992:R992,T992:U992)=0),"",SUM(G992,I992,N992,P992,S992,V992))</f>
        <v/>
      </c>
      <c r="X992" s="18">
        <f>IF(W992="","",IF(Murid!F992="TL","TL",ROUND(W992/110*100,2)))</f>
        <v/>
      </c>
    </row>
    <row r="993">
      <c r="A993" s="15">
        <f>Murid!A993</f>
        <v/>
      </c>
      <c r="B993" s="15">
        <f>IF(Murid!B993="","",Murid!B993)</f>
        <v/>
      </c>
      <c r="C993" s="16">
        <f>IF(Murid!C993="","",Murid!C993)</f>
        <v/>
      </c>
      <c r="D993" s="15">
        <f>IF(Murid!E993="","",Murid!E993)</f>
        <v/>
      </c>
      <c r="E993" s="11" t="n"/>
      <c r="F993" s="11" t="n"/>
      <c r="G993" s="10">
        <f>IF(F993="","",IFERROR(VLOOKUP(F993,T_JKP,2,FALSE),0))</f>
        <v/>
      </c>
      <c r="H993" s="11" t="n"/>
      <c r="I993" s="17">
        <f>IF(H993="","",IF(H993&gt;=12,40,ROUND(H993*3.33,2)))</f>
        <v/>
      </c>
      <c r="J993" s="11" t="n"/>
      <c r="K993" s="11" t="n"/>
      <c r="L993" s="11" t="n"/>
      <c r="M993" s="11" t="n"/>
      <c r="N993" s="10">
        <f>IF(COUNTA(J993:M993)=0,"",MIN(10,SUMPRODUCT((COUNTIF(J993:M993,L_KOM)&gt;0)*S_KOM)))</f>
        <v/>
      </c>
      <c r="O993" s="11" t="n"/>
      <c r="P993" s="10">
        <f>IF(O993="","",IFERROR(VLOOKUP(O993,T_KHID,2,FALSE),0))</f>
        <v/>
      </c>
      <c r="Q993" s="11" t="n"/>
      <c r="R993" s="11" t="n"/>
      <c r="S993" s="10">
        <f>IF(AND(Q993="",R993=""),"",IFERROR(INDEX(T_LIBAT,MATCH(Q993,L_PER,0),MATCH(R993,L_JENIS,0)),0))</f>
        <v/>
      </c>
      <c r="T993" s="11" t="n"/>
      <c r="U993" s="11" t="n"/>
      <c r="V993" s="10">
        <f>IF(AND(T993="",U993=""),"",IFERROR(INDEX(T_CAPAI,MATCH(T993,L_PER,0),MATCH(U993,L_KED,0)),0))</f>
        <v/>
      </c>
      <c r="W993" s="17">
        <f>IF(OR(B993="",E993="",COUNTA(F993,H993,J993:M993,O993,Q993:R993,T993:U993)=0),"",SUM(G993,I993,N993,P993,S993,V993))</f>
        <v/>
      </c>
      <c r="X993" s="18">
        <f>IF(W993="","",IF(Murid!F993="TL","TL",ROUND(W993/110*100,2)))</f>
        <v/>
      </c>
    </row>
    <row r="994">
      <c r="A994" s="15">
        <f>Murid!A994</f>
        <v/>
      </c>
      <c r="B994" s="15">
        <f>IF(Murid!B994="","",Murid!B994)</f>
        <v/>
      </c>
      <c r="C994" s="16">
        <f>IF(Murid!C994="","",Murid!C994)</f>
        <v/>
      </c>
      <c r="D994" s="15">
        <f>IF(Murid!E994="","",Murid!E994)</f>
        <v/>
      </c>
      <c r="E994" s="11" t="n"/>
      <c r="F994" s="11" t="n"/>
      <c r="G994" s="10">
        <f>IF(F994="","",IFERROR(VLOOKUP(F994,T_JKP,2,FALSE),0))</f>
        <v/>
      </c>
      <c r="H994" s="11" t="n"/>
      <c r="I994" s="17">
        <f>IF(H994="","",IF(H994&gt;=12,40,ROUND(H994*3.33,2)))</f>
        <v/>
      </c>
      <c r="J994" s="11" t="n"/>
      <c r="K994" s="11" t="n"/>
      <c r="L994" s="11" t="n"/>
      <c r="M994" s="11" t="n"/>
      <c r="N994" s="10">
        <f>IF(COUNTA(J994:M994)=0,"",MIN(10,SUMPRODUCT((COUNTIF(J994:M994,L_KOM)&gt;0)*S_KOM)))</f>
        <v/>
      </c>
      <c r="O994" s="11" t="n"/>
      <c r="P994" s="10">
        <f>IF(O994="","",IFERROR(VLOOKUP(O994,T_KHID,2,FALSE),0))</f>
        <v/>
      </c>
      <c r="Q994" s="11" t="n"/>
      <c r="R994" s="11" t="n"/>
      <c r="S994" s="10">
        <f>IF(AND(Q994="",R994=""),"",IFERROR(INDEX(T_LIBAT,MATCH(Q994,L_PER,0),MATCH(R994,L_JENIS,0)),0))</f>
        <v/>
      </c>
      <c r="T994" s="11" t="n"/>
      <c r="U994" s="11" t="n"/>
      <c r="V994" s="10">
        <f>IF(AND(T994="",U994=""),"",IFERROR(INDEX(T_CAPAI,MATCH(T994,L_PER,0),MATCH(U994,L_KED,0)),0))</f>
        <v/>
      </c>
      <c r="W994" s="17">
        <f>IF(OR(B994="",E994="",COUNTA(F994,H994,J994:M994,O994,Q994:R994,T994:U994)=0),"",SUM(G994,I994,N994,P994,S994,V994))</f>
        <v/>
      </c>
      <c r="X994" s="18">
        <f>IF(W994="","",IF(Murid!F994="TL","TL",ROUND(W994/110*100,2)))</f>
        <v/>
      </c>
    </row>
    <row r="995">
      <c r="A995" s="15">
        <f>Murid!A995</f>
        <v/>
      </c>
      <c r="B995" s="15">
        <f>IF(Murid!B995="","",Murid!B995)</f>
        <v/>
      </c>
      <c r="C995" s="16">
        <f>IF(Murid!C995="","",Murid!C995)</f>
        <v/>
      </c>
      <c r="D995" s="15">
        <f>IF(Murid!E995="","",Murid!E995)</f>
        <v/>
      </c>
      <c r="E995" s="11" t="n"/>
      <c r="F995" s="11" t="n"/>
      <c r="G995" s="10">
        <f>IF(F995="","",IFERROR(VLOOKUP(F995,T_JKP,2,FALSE),0))</f>
        <v/>
      </c>
      <c r="H995" s="11" t="n"/>
      <c r="I995" s="17">
        <f>IF(H995="","",IF(H995&gt;=12,40,ROUND(H995*3.33,2)))</f>
        <v/>
      </c>
      <c r="J995" s="11" t="n"/>
      <c r="K995" s="11" t="n"/>
      <c r="L995" s="11" t="n"/>
      <c r="M995" s="11" t="n"/>
      <c r="N995" s="10">
        <f>IF(COUNTA(J995:M995)=0,"",MIN(10,SUMPRODUCT((COUNTIF(J995:M995,L_KOM)&gt;0)*S_KOM)))</f>
        <v/>
      </c>
      <c r="O995" s="11" t="n"/>
      <c r="P995" s="10">
        <f>IF(O995="","",IFERROR(VLOOKUP(O995,T_KHID,2,FALSE),0))</f>
        <v/>
      </c>
      <c r="Q995" s="11" t="n"/>
      <c r="R995" s="11" t="n"/>
      <c r="S995" s="10">
        <f>IF(AND(Q995="",R995=""),"",IFERROR(INDEX(T_LIBAT,MATCH(Q995,L_PER,0),MATCH(R995,L_JENIS,0)),0))</f>
        <v/>
      </c>
      <c r="T995" s="11" t="n"/>
      <c r="U995" s="11" t="n"/>
      <c r="V995" s="10">
        <f>IF(AND(T995="",U995=""),"",IFERROR(INDEX(T_CAPAI,MATCH(T995,L_PER,0),MATCH(U995,L_KED,0)),0))</f>
        <v/>
      </c>
      <c r="W995" s="17">
        <f>IF(OR(B995="",E995="",COUNTA(F995,H995,J995:M995,O995,Q995:R995,T995:U995)=0),"",SUM(G995,I995,N995,P995,S995,V995))</f>
        <v/>
      </c>
      <c r="X995" s="18">
        <f>IF(W995="","",IF(Murid!F995="TL","TL",ROUND(W995/110*100,2)))</f>
        <v/>
      </c>
    </row>
    <row r="996">
      <c r="A996" s="15">
        <f>Murid!A996</f>
        <v/>
      </c>
      <c r="B996" s="15">
        <f>IF(Murid!B996="","",Murid!B996)</f>
        <v/>
      </c>
      <c r="C996" s="16">
        <f>IF(Murid!C996="","",Murid!C996)</f>
        <v/>
      </c>
      <c r="D996" s="15">
        <f>IF(Murid!E996="","",Murid!E996)</f>
        <v/>
      </c>
      <c r="E996" s="11" t="n"/>
      <c r="F996" s="11" t="n"/>
      <c r="G996" s="10">
        <f>IF(F996="","",IFERROR(VLOOKUP(F996,T_JKP,2,FALSE),0))</f>
        <v/>
      </c>
      <c r="H996" s="11" t="n"/>
      <c r="I996" s="17">
        <f>IF(H996="","",IF(H996&gt;=12,40,ROUND(H996*3.33,2)))</f>
        <v/>
      </c>
      <c r="J996" s="11" t="n"/>
      <c r="K996" s="11" t="n"/>
      <c r="L996" s="11" t="n"/>
      <c r="M996" s="11" t="n"/>
      <c r="N996" s="10">
        <f>IF(COUNTA(J996:M996)=0,"",MIN(10,SUMPRODUCT((COUNTIF(J996:M996,L_KOM)&gt;0)*S_KOM)))</f>
        <v/>
      </c>
      <c r="O996" s="11" t="n"/>
      <c r="P996" s="10">
        <f>IF(O996="","",IFERROR(VLOOKUP(O996,T_KHID,2,FALSE),0))</f>
        <v/>
      </c>
      <c r="Q996" s="11" t="n"/>
      <c r="R996" s="11" t="n"/>
      <c r="S996" s="10">
        <f>IF(AND(Q996="",R996=""),"",IFERROR(INDEX(T_LIBAT,MATCH(Q996,L_PER,0),MATCH(R996,L_JENIS,0)),0))</f>
        <v/>
      </c>
      <c r="T996" s="11" t="n"/>
      <c r="U996" s="11" t="n"/>
      <c r="V996" s="10">
        <f>IF(AND(T996="",U996=""),"",IFERROR(INDEX(T_CAPAI,MATCH(T996,L_PER,0),MATCH(U996,L_KED,0)),0))</f>
        <v/>
      </c>
      <c r="W996" s="17">
        <f>IF(OR(B996="",E996="",COUNTA(F996,H996,J996:M996,O996,Q996:R996,T996:U996)=0),"",SUM(G996,I996,N996,P996,S996,V996))</f>
        <v/>
      </c>
      <c r="X996" s="18">
        <f>IF(W996="","",IF(Murid!F996="TL","TL",ROUND(W996/110*100,2)))</f>
        <v/>
      </c>
    </row>
    <row r="997">
      <c r="A997" s="15">
        <f>Murid!A997</f>
        <v/>
      </c>
      <c r="B997" s="15">
        <f>IF(Murid!B997="","",Murid!B997)</f>
        <v/>
      </c>
      <c r="C997" s="16">
        <f>IF(Murid!C997="","",Murid!C997)</f>
        <v/>
      </c>
      <c r="D997" s="15">
        <f>IF(Murid!E997="","",Murid!E997)</f>
        <v/>
      </c>
      <c r="E997" s="11" t="n"/>
      <c r="F997" s="11" t="n"/>
      <c r="G997" s="10">
        <f>IF(F997="","",IFERROR(VLOOKUP(F997,T_JKP,2,FALSE),0))</f>
        <v/>
      </c>
      <c r="H997" s="11" t="n"/>
      <c r="I997" s="17">
        <f>IF(H997="","",IF(H997&gt;=12,40,ROUND(H997*3.33,2)))</f>
        <v/>
      </c>
      <c r="J997" s="11" t="n"/>
      <c r="K997" s="11" t="n"/>
      <c r="L997" s="11" t="n"/>
      <c r="M997" s="11" t="n"/>
      <c r="N997" s="10">
        <f>IF(COUNTA(J997:M997)=0,"",MIN(10,SUMPRODUCT((COUNTIF(J997:M997,L_KOM)&gt;0)*S_KOM)))</f>
        <v/>
      </c>
      <c r="O997" s="11" t="n"/>
      <c r="P997" s="10">
        <f>IF(O997="","",IFERROR(VLOOKUP(O997,T_KHID,2,FALSE),0))</f>
        <v/>
      </c>
      <c r="Q997" s="11" t="n"/>
      <c r="R997" s="11" t="n"/>
      <c r="S997" s="10">
        <f>IF(AND(Q997="",R997=""),"",IFERROR(INDEX(T_LIBAT,MATCH(Q997,L_PER,0),MATCH(R997,L_JENIS,0)),0))</f>
        <v/>
      </c>
      <c r="T997" s="11" t="n"/>
      <c r="U997" s="11" t="n"/>
      <c r="V997" s="10">
        <f>IF(AND(T997="",U997=""),"",IFERROR(INDEX(T_CAPAI,MATCH(T997,L_PER,0),MATCH(U997,L_KED,0)),0))</f>
        <v/>
      </c>
      <c r="W997" s="17">
        <f>IF(OR(B997="",E997="",COUNTA(F997,H997,J997:M997,O997,Q997:R997,T997:U997)=0),"",SUM(G997,I997,N997,P997,S997,V997))</f>
        <v/>
      </c>
      <c r="X997" s="18">
        <f>IF(W997="","",IF(Murid!F997="TL","TL",ROUND(W997/110*100,2)))</f>
        <v/>
      </c>
    </row>
    <row r="998">
      <c r="A998" s="15">
        <f>Murid!A998</f>
        <v/>
      </c>
      <c r="B998" s="15">
        <f>IF(Murid!B998="","",Murid!B998)</f>
        <v/>
      </c>
      <c r="C998" s="16">
        <f>IF(Murid!C998="","",Murid!C998)</f>
        <v/>
      </c>
      <c r="D998" s="15">
        <f>IF(Murid!E998="","",Murid!E998)</f>
        <v/>
      </c>
      <c r="E998" s="11" t="n"/>
      <c r="F998" s="11" t="n"/>
      <c r="G998" s="10">
        <f>IF(F998="","",IFERROR(VLOOKUP(F998,T_JKP,2,FALSE),0))</f>
        <v/>
      </c>
      <c r="H998" s="11" t="n"/>
      <c r="I998" s="17">
        <f>IF(H998="","",IF(H998&gt;=12,40,ROUND(H998*3.33,2)))</f>
        <v/>
      </c>
      <c r="J998" s="11" t="n"/>
      <c r="K998" s="11" t="n"/>
      <c r="L998" s="11" t="n"/>
      <c r="M998" s="11" t="n"/>
      <c r="N998" s="10">
        <f>IF(COUNTA(J998:M998)=0,"",MIN(10,SUMPRODUCT((COUNTIF(J998:M998,L_KOM)&gt;0)*S_KOM)))</f>
        <v/>
      </c>
      <c r="O998" s="11" t="n"/>
      <c r="P998" s="10">
        <f>IF(O998="","",IFERROR(VLOOKUP(O998,T_KHID,2,FALSE),0))</f>
        <v/>
      </c>
      <c r="Q998" s="11" t="n"/>
      <c r="R998" s="11" t="n"/>
      <c r="S998" s="10">
        <f>IF(AND(Q998="",R998=""),"",IFERROR(INDEX(T_LIBAT,MATCH(Q998,L_PER,0),MATCH(R998,L_JENIS,0)),0))</f>
        <v/>
      </c>
      <c r="T998" s="11" t="n"/>
      <c r="U998" s="11" t="n"/>
      <c r="V998" s="10">
        <f>IF(AND(T998="",U998=""),"",IFERROR(INDEX(T_CAPAI,MATCH(T998,L_PER,0),MATCH(U998,L_KED,0)),0))</f>
        <v/>
      </c>
      <c r="W998" s="17">
        <f>IF(OR(B998="",E998="",COUNTA(F998,H998,J998:M998,O998,Q998:R998,T998:U998)=0),"",SUM(G998,I998,N998,P998,S998,V998))</f>
        <v/>
      </c>
      <c r="X998" s="18">
        <f>IF(W998="","",IF(Murid!F998="TL","TL",ROUND(W998/110*100,2)))</f>
        <v/>
      </c>
    </row>
    <row r="999">
      <c r="A999" s="15">
        <f>Murid!A999</f>
        <v/>
      </c>
      <c r="B999" s="15">
        <f>IF(Murid!B999="","",Murid!B999)</f>
        <v/>
      </c>
      <c r="C999" s="16">
        <f>IF(Murid!C999="","",Murid!C999)</f>
        <v/>
      </c>
      <c r="D999" s="15">
        <f>IF(Murid!E999="","",Murid!E999)</f>
        <v/>
      </c>
      <c r="E999" s="11" t="n"/>
      <c r="F999" s="11" t="n"/>
      <c r="G999" s="10">
        <f>IF(F999="","",IFERROR(VLOOKUP(F999,T_JKP,2,FALSE),0))</f>
        <v/>
      </c>
      <c r="H999" s="11" t="n"/>
      <c r="I999" s="17">
        <f>IF(H999="","",IF(H999&gt;=12,40,ROUND(H999*3.33,2)))</f>
        <v/>
      </c>
      <c r="J999" s="11" t="n"/>
      <c r="K999" s="11" t="n"/>
      <c r="L999" s="11" t="n"/>
      <c r="M999" s="11" t="n"/>
      <c r="N999" s="10">
        <f>IF(COUNTA(J999:M999)=0,"",MIN(10,SUMPRODUCT((COUNTIF(J999:M999,L_KOM)&gt;0)*S_KOM)))</f>
        <v/>
      </c>
      <c r="O999" s="11" t="n"/>
      <c r="P999" s="10">
        <f>IF(O999="","",IFERROR(VLOOKUP(O999,T_KHID,2,FALSE),0))</f>
        <v/>
      </c>
      <c r="Q999" s="11" t="n"/>
      <c r="R999" s="11" t="n"/>
      <c r="S999" s="10">
        <f>IF(AND(Q999="",R999=""),"",IFERROR(INDEX(T_LIBAT,MATCH(Q999,L_PER,0),MATCH(R999,L_JENIS,0)),0))</f>
        <v/>
      </c>
      <c r="T999" s="11" t="n"/>
      <c r="U999" s="11" t="n"/>
      <c r="V999" s="10">
        <f>IF(AND(T999="",U999=""),"",IFERROR(INDEX(T_CAPAI,MATCH(T999,L_PER,0),MATCH(U999,L_KED,0)),0))</f>
        <v/>
      </c>
      <c r="W999" s="17">
        <f>IF(OR(B999="",E999="",COUNTA(F999,H999,J999:M999,O999,Q999:R999,T999:U999)=0),"",SUM(G999,I999,N999,P999,S999,V999))</f>
        <v/>
      </c>
      <c r="X999" s="18">
        <f>IF(W999="","",IF(Murid!F999="TL","TL",ROUND(W999/110*100,2)))</f>
        <v/>
      </c>
    </row>
    <row r="1000">
      <c r="A1000" s="15">
        <f>Murid!A1000</f>
        <v/>
      </c>
      <c r="B1000" s="15">
        <f>IF(Murid!B1000="","",Murid!B1000)</f>
        <v/>
      </c>
      <c r="C1000" s="16">
        <f>IF(Murid!C1000="","",Murid!C1000)</f>
        <v/>
      </c>
      <c r="D1000" s="15">
        <f>IF(Murid!E1000="","",Murid!E1000)</f>
        <v/>
      </c>
      <c r="E1000" s="11" t="n"/>
      <c r="F1000" s="11" t="n"/>
      <c r="G1000" s="10">
        <f>IF(F1000="","",IFERROR(VLOOKUP(F1000,T_JKP,2,FALSE),0))</f>
        <v/>
      </c>
      <c r="H1000" s="11" t="n"/>
      <c r="I1000" s="17">
        <f>IF(H1000="","",IF(H1000&gt;=12,40,ROUND(H1000*3.33,2)))</f>
        <v/>
      </c>
      <c r="J1000" s="11" t="n"/>
      <c r="K1000" s="11" t="n"/>
      <c r="L1000" s="11" t="n"/>
      <c r="M1000" s="11" t="n"/>
      <c r="N1000" s="10">
        <f>IF(COUNTA(J1000:M1000)=0,"",MIN(10,SUMPRODUCT((COUNTIF(J1000:M1000,L_KOM)&gt;0)*S_KOM)))</f>
        <v/>
      </c>
      <c r="O1000" s="11" t="n"/>
      <c r="P1000" s="10">
        <f>IF(O1000="","",IFERROR(VLOOKUP(O1000,T_KHID,2,FALSE),0))</f>
        <v/>
      </c>
      <c r="Q1000" s="11" t="n"/>
      <c r="R1000" s="11" t="n"/>
      <c r="S1000" s="10">
        <f>IF(AND(Q1000="",R1000=""),"",IFERROR(INDEX(T_LIBAT,MATCH(Q1000,L_PER,0),MATCH(R1000,L_JENIS,0)),0))</f>
        <v/>
      </c>
      <c r="T1000" s="11" t="n"/>
      <c r="U1000" s="11" t="n"/>
      <c r="V1000" s="10">
        <f>IF(AND(T1000="",U1000=""),"",IFERROR(INDEX(T_CAPAI,MATCH(T1000,L_PER,0),MATCH(U1000,L_KED,0)),0))</f>
        <v/>
      </c>
      <c r="W1000" s="17">
        <f>IF(OR(B1000="",E1000="",COUNTA(F1000,H1000,J1000:M1000,O1000,Q1000:R1000,T1000:U1000)=0),"",SUM(G1000,I1000,N1000,P1000,S1000,V1000))</f>
        <v/>
      </c>
      <c r="X1000" s="18">
        <f>IF(W1000="","",IF(Murid!F1000="TL","TL",ROUND(W1000/110*100,2)))</f>
        <v/>
      </c>
    </row>
    <row r="1001">
      <c r="A1001" s="15">
        <f>Murid!A1001</f>
        <v/>
      </c>
      <c r="B1001" s="15">
        <f>IF(Murid!B1001="","",Murid!B1001)</f>
        <v/>
      </c>
      <c r="C1001" s="16">
        <f>IF(Murid!C1001="","",Murid!C1001)</f>
        <v/>
      </c>
      <c r="D1001" s="15">
        <f>IF(Murid!E1001="","",Murid!E1001)</f>
        <v/>
      </c>
      <c r="E1001" s="11" t="n"/>
      <c r="F1001" s="11" t="n"/>
      <c r="G1001" s="10">
        <f>IF(F1001="","",IFERROR(VLOOKUP(F1001,T_JKP,2,FALSE),0))</f>
        <v/>
      </c>
      <c r="H1001" s="11" t="n"/>
      <c r="I1001" s="17">
        <f>IF(H1001="","",IF(H1001&gt;=12,40,ROUND(H1001*3.33,2)))</f>
        <v/>
      </c>
      <c r="J1001" s="11" t="n"/>
      <c r="K1001" s="11" t="n"/>
      <c r="L1001" s="11" t="n"/>
      <c r="M1001" s="11" t="n"/>
      <c r="N1001" s="10">
        <f>IF(COUNTA(J1001:M1001)=0,"",MIN(10,SUMPRODUCT((COUNTIF(J1001:M1001,L_KOM)&gt;0)*S_KOM)))</f>
        <v/>
      </c>
      <c r="O1001" s="11" t="n"/>
      <c r="P1001" s="10">
        <f>IF(O1001="","",IFERROR(VLOOKUP(O1001,T_KHID,2,FALSE),0))</f>
        <v/>
      </c>
      <c r="Q1001" s="11" t="n"/>
      <c r="R1001" s="11" t="n"/>
      <c r="S1001" s="10">
        <f>IF(AND(Q1001="",R1001=""),"",IFERROR(INDEX(T_LIBAT,MATCH(Q1001,L_PER,0),MATCH(R1001,L_JENIS,0)),0))</f>
        <v/>
      </c>
      <c r="T1001" s="11" t="n"/>
      <c r="U1001" s="11" t="n"/>
      <c r="V1001" s="10">
        <f>IF(AND(T1001="",U1001=""),"",IFERROR(INDEX(T_CAPAI,MATCH(T1001,L_PER,0),MATCH(U1001,L_KED,0)),0))</f>
        <v/>
      </c>
      <c r="W1001" s="17">
        <f>IF(OR(B1001="",E1001="",COUNTA(F1001,H1001,J1001:M1001,O1001,Q1001:R1001,T1001:U1001)=0),"",SUM(G1001,I1001,N1001,P1001,S1001,V1001))</f>
        <v/>
      </c>
      <c r="X1001" s="18">
        <f>IF(W1001="","",IF(Murid!F1001="TL","TL",ROUND(W1001/110*100,2)))</f>
        <v/>
      </c>
    </row>
    <row r="1002">
      <c r="A1002" s="15">
        <f>Murid!A1002</f>
        <v/>
      </c>
      <c r="B1002" s="15">
        <f>IF(Murid!B1002="","",Murid!B1002)</f>
        <v/>
      </c>
      <c r="C1002" s="16">
        <f>IF(Murid!C1002="","",Murid!C1002)</f>
        <v/>
      </c>
      <c r="D1002" s="15">
        <f>IF(Murid!E1002="","",Murid!E1002)</f>
        <v/>
      </c>
      <c r="E1002" s="11" t="n"/>
      <c r="F1002" s="11" t="n"/>
      <c r="G1002" s="10">
        <f>IF(F1002="","",IFERROR(VLOOKUP(F1002,T_JKP,2,FALSE),0))</f>
        <v/>
      </c>
      <c r="H1002" s="11" t="n"/>
      <c r="I1002" s="17">
        <f>IF(H1002="","",IF(H1002&gt;=12,40,ROUND(H1002*3.33,2)))</f>
        <v/>
      </c>
      <c r="J1002" s="11" t="n"/>
      <c r="K1002" s="11" t="n"/>
      <c r="L1002" s="11" t="n"/>
      <c r="M1002" s="11" t="n"/>
      <c r="N1002" s="10">
        <f>IF(COUNTA(J1002:M1002)=0,"",MIN(10,SUMPRODUCT((COUNTIF(J1002:M1002,L_KOM)&gt;0)*S_KOM)))</f>
        <v/>
      </c>
      <c r="O1002" s="11" t="n"/>
      <c r="P1002" s="10">
        <f>IF(O1002="","",IFERROR(VLOOKUP(O1002,T_KHID,2,FALSE),0))</f>
        <v/>
      </c>
      <c r="Q1002" s="11" t="n"/>
      <c r="R1002" s="11" t="n"/>
      <c r="S1002" s="10">
        <f>IF(AND(Q1002="",R1002=""),"",IFERROR(INDEX(T_LIBAT,MATCH(Q1002,L_PER,0),MATCH(R1002,L_JENIS,0)),0))</f>
        <v/>
      </c>
      <c r="T1002" s="11" t="n"/>
      <c r="U1002" s="11" t="n"/>
      <c r="V1002" s="10">
        <f>IF(AND(T1002="",U1002=""),"",IFERROR(INDEX(T_CAPAI,MATCH(T1002,L_PER,0),MATCH(U1002,L_KED,0)),0))</f>
        <v/>
      </c>
      <c r="W1002" s="17">
        <f>IF(OR(B1002="",E1002="",COUNTA(F1002,H1002,J1002:M1002,O1002,Q1002:R1002,T1002:U1002)=0),"",SUM(G1002,I1002,N1002,P1002,S1002,V1002))</f>
        <v/>
      </c>
      <c r="X1002" s="18">
        <f>IF(W1002="","",IF(Murid!F1002="TL","TL",ROUND(W1002/110*100,2)))</f>
        <v/>
      </c>
    </row>
    <row r="1003">
      <c r="A1003" s="15">
        <f>Murid!A1003</f>
        <v/>
      </c>
      <c r="B1003" s="15">
        <f>IF(Murid!B1003="","",Murid!B1003)</f>
        <v/>
      </c>
      <c r="C1003" s="16">
        <f>IF(Murid!C1003="","",Murid!C1003)</f>
        <v/>
      </c>
      <c r="D1003" s="15">
        <f>IF(Murid!E1003="","",Murid!E1003)</f>
        <v/>
      </c>
      <c r="E1003" s="11" t="n"/>
      <c r="F1003" s="11" t="n"/>
      <c r="G1003" s="10">
        <f>IF(F1003="","",IFERROR(VLOOKUP(F1003,T_JKP,2,FALSE),0))</f>
        <v/>
      </c>
      <c r="H1003" s="11" t="n"/>
      <c r="I1003" s="17">
        <f>IF(H1003="","",IF(H1003&gt;=12,40,ROUND(H1003*3.33,2)))</f>
        <v/>
      </c>
      <c r="J1003" s="11" t="n"/>
      <c r="K1003" s="11" t="n"/>
      <c r="L1003" s="11" t="n"/>
      <c r="M1003" s="11" t="n"/>
      <c r="N1003" s="10">
        <f>IF(COUNTA(J1003:M1003)=0,"",MIN(10,SUMPRODUCT((COUNTIF(J1003:M1003,L_KOM)&gt;0)*S_KOM)))</f>
        <v/>
      </c>
      <c r="O1003" s="11" t="n"/>
      <c r="P1003" s="10">
        <f>IF(O1003="","",IFERROR(VLOOKUP(O1003,T_KHID,2,FALSE),0))</f>
        <v/>
      </c>
      <c r="Q1003" s="11" t="n"/>
      <c r="R1003" s="11" t="n"/>
      <c r="S1003" s="10">
        <f>IF(AND(Q1003="",R1003=""),"",IFERROR(INDEX(T_LIBAT,MATCH(Q1003,L_PER,0),MATCH(R1003,L_JENIS,0)),0))</f>
        <v/>
      </c>
      <c r="T1003" s="11" t="n"/>
      <c r="U1003" s="11" t="n"/>
      <c r="V1003" s="10">
        <f>IF(AND(T1003="",U1003=""),"",IFERROR(INDEX(T_CAPAI,MATCH(T1003,L_PER,0),MATCH(U1003,L_KED,0)),0))</f>
        <v/>
      </c>
      <c r="W1003" s="17">
        <f>IF(OR(B1003="",E1003="",COUNTA(F1003,H1003,J1003:M1003,O1003,Q1003:R1003,T1003:U1003)=0),"",SUM(G1003,I1003,N1003,P1003,S1003,V1003))</f>
        <v/>
      </c>
      <c r="X1003" s="18">
        <f>IF(W1003="","",IF(Murid!F1003="TL","TL",ROUND(W1003/110*100,2)))</f>
        <v/>
      </c>
    </row>
    <row r="1004">
      <c r="A1004" s="15">
        <f>Murid!A1004</f>
        <v/>
      </c>
      <c r="B1004" s="15">
        <f>IF(Murid!B1004="","",Murid!B1004)</f>
        <v/>
      </c>
      <c r="C1004" s="16">
        <f>IF(Murid!C1004="","",Murid!C1004)</f>
        <v/>
      </c>
      <c r="D1004" s="15">
        <f>IF(Murid!E1004="","",Murid!E1004)</f>
        <v/>
      </c>
      <c r="E1004" s="11" t="n"/>
      <c r="F1004" s="11" t="n"/>
      <c r="G1004" s="10">
        <f>IF(F1004="","",IFERROR(VLOOKUP(F1004,T_JKP,2,FALSE),0))</f>
        <v/>
      </c>
      <c r="H1004" s="11" t="n"/>
      <c r="I1004" s="17">
        <f>IF(H1004="","",IF(H1004&gt;=12,40,ROUND(H1004*3.33,2)))</f>
        <v/>
      </c>
      <c r="J1004" s="11" t="n"/>
      <c r="K1004" s="11" t="n"/>
      <c r="L1004" s="11" t="n"/>
      <c r="M1004" s="11" t="n"/>
      <c r="N1004" s="10">
        <f>IF(COUNTA(J1004:M1004)=0,"",MIN(10,SUMPRODUCT((COUNTIF(J1004:M1004,L_KOM)&gt;0)*S_KOM)))</f>
        <v/>
      </c>
      <c r="O1004" s="11" t="n"/>
      <c r="P1004" s="10">
        <f>IF(O1004="","",IFERROR(VLOOKUP(O1004,T_KHID,2,FALSE),0))</f>
        <v/>
      </c>
      <c r="Q1004" s="11" t="n"/>
      <c r="R1004" s="11" t="n"/>
      <c r="S1004" s="10">
        <f>IF(AND(Q1004="",R1004=""),"",IFERROR(INDEX(T_LIBAT,MATCH(Q1004,L_PER,0),MATCH(R1004,L_JENIS,0)),0))</f>
        <v/>
      </c>
      <c r="T1004" s="11" t="n"/>
      <c r="U1004" s="11" t="n"/>
      <c r="V1004" s="10">
        <f>IF(AND(T1004="",U1004=""),"",IFERROR(INDEX(T_CAPAI,MATCH(T1004,L_PER,0),MATCH(U1004,L_KED,0)),0))</f>
        <v/>
      </c>
      <c r="W1004" s="17">
        <f>IF(OR(B1004="",E1004="",COUNTA(F1004,H1004,J1004:M1004,O1004,Q1004:R1004,T1004:U1004)=0),"",SUM(G1004,I1004,N1004,P1004,S1004,V1004))</f>
        <v/>
      </c>
      <c r="X1004" s="18">
        <f>IF(W1004="","",IF(Murid!F1004="TL","TL",ROUND(W1004/110*100,2)))</f>
        <v/>
      </c>
    </row>
  </sheetData>
  <autoFilter ref="A4:X1004"/>
  <mergeCells count="7">
    <mergeCell ref="F3:G3"/>
    <mergeCell ref="H3:I3"/>
    <mergeCell ref="O3:P3"/>
    <mergeCell ref="J3:N3"/>
    <mergeCell ref="T3:V3"/>
    <mergeCell ref="W3:X3"/>
    <mergeCell ref="Q3:S3"/>
  </mergeCells>
  <conditionalFormatting sqref="J5:M1004">
    <cfRule type="expression" priority="1" dxfId="0">
      <formula>AND(J5&lt;&gt;"",COUNTIF($J5:$M5,J5)&gt;1)</formula>
    </cfRule>
  </conditionalFormatting>
  <conditionalFormatting sqref="Q5:R1004">
    <cfRule type="expression" priority="2" dxfId="0">
      <formula>AND(COUNTA($Q5:$R5)=1,Q5="")</formula>
    </cfRule>
  </conditionalFormatting>
  <conditionalFormatting sqref="T5:U1004">
    <cfRule type="expression" priority="3" dxfId="0">
      <formula>AND(COUNTA($T5:$U5)=1,T5="")</formula>
    </cfRule>
  </conditionalFormatting>
  <dataValidations count="8">
    <dataValidation sqref="F5:F1004" showDropDown="0" showInputMessage="0" showErrorMessage="1" allowBlank="1" errorTitle="Pilihan tidak sah" error="Pilih jawatan daripada senarai (teks sama seperti MOEIS)." type="list">
      <formula1>=L_JKP</formula1>
    </dataValidation>
    <dataValidation sqref="H5:H1004" showDropDown="0" showInputMessage="0" showErrorMessage="1" allowBlank="1" errorTitle="Nombor tidak sah" error="Masukkan nombor 0 hingga 12." type="whole" operator="between">
      <formula1>0</formula1>
      <formula2>12</formula2>
    </dataValidation>
    <dataValidation sqref="J5:M1004" showDropDown="0" showInputMessage="0" showErrorMessage="1" allowBlank="1" errorTitle="Pilihan tidak sah" error="Pilih komitmen daripada senarai." type="list">
      <formula1>=L_KOM</formula1>
    </dataValidation>
    <dataValidation sqref="O5:O1004" showDropDown="0" showInputMessage="0" showErrorMessage="1" allowBlank="1" errorTitle="Pilihan tidak sah" error="Pilih khidmat sumbangan daripada senarai." type="list">
      <formula1>=L_KHID</formula1>
    </dataValidation>
    <dataValidation sqref="Q5:Q1004" showDropDown="0" showInputMessage="0" showErrorMessage="1" allowBlank="1" errorTitle="Pilihan tidak sah" error="Pilih peringkat daripada senarai." type="list">
      <formula1>=L_PER</formula1>
    </dataValidation>
    <dataValidation sqref="R5:R1004" showDropDown="0" showInputMessage="0" showErrorMessage="1" allowBlank="1" errorTitle="Pilihan tidak sah" error="Pilih jenis pelibatan daripada senarai." type="list">
      <formula1>=L_JENIS</formula1>
    </dataValidation>
    <dataValidation sqref="T5:T1004" showDropDown="0" showInputMessage="0" showErrorMessage="1" allowBlank="1" errorTitle="Pilihan tidak sah" error="Pilih peringkat daripada senarai." type="list">
      <formula1>=L_PER</formula1>
    </dataValidation>
    <dataValidation sqref="U5:U1004" showDropDown="0" showInputMessage="0" showErrorMessage="1" allowBlank="1" errorTitle="Pilihan tidak sah" error="Pilih kedudukan daripada senarai." type="list">
      <formula1>=L_KED</formula1>
    </dataValidation>
  </dataValidations>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X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1" customWidth="1" min="4" max="4"/>
    <col width="30" customWidth="1" min="5" max="5"/>
    <col width="34" customWidth="1" min="6" max="6"/>
    <col width="9" customWidth="1" min="7" max="7"/>
    <col width="9" customWidth="1" min="8" max="8"/>
    <col width="9" customWidth="1" min="9" max="9"/>
    <col width="26" customWidth="1" min="10" max="10"/>
    <col width="26" customWidth="1" min="11" max="11"/>
    <col width="26" customWidth="1" min="12" max="12"/>
    <col width="26" customWidth="1" min="13" max="13"/>
    <col width="11" customWidth="1" min="14" max="14"/>
    <col width="34" customWidth="1" min="15" max="15"/>
    <col width="9" customWidth="1" min="16" max="16"/>
    <col width="24" customWidth="1" min="17" max="17"/>
    <col width="30" customWidth="1" min="18" max="18"/>
    <col width="11" customWidth="1" min="19" max="19"/>
    <col width="24" customWidth="1" min="20" max="20"/>
    <col width="12" customWidth="1" min="21" max="21"/>
    <col width="12" customWidth="1" min="22" max="22"/>
    <col width="9" customWidth="1" min="23" max="23"/>
    <col width="9" customWidth="1" min="24" max="24"/>
  </cols>
  <sheetData>
    <row r="1">
      <c r="A1" s="1" t="inlineStr">
        <is>
          <t>BADAN BERUNIFORM (UB)</t>
        </is>
      </c>
    </row>
    <row r="2">
      <c r="A2" s="2" t="inlineStr">
        <is>
          <t>Isi petak kuning. Pelibatan &amp; Pencapaian: ambil yang TERTINGGI (aktiviti utama atau tambahan). Jawatan, Komitmen &amp; Khidmat: aktiviti utama sahaja.</t>
        </is>
      </c>
    </row>
    <row r="3">
      <c r="F3" s="13" t="inlineStr">
        <is>
          <t>Jawatan</t>
        </is>
      </c>
      <c r="G3" s="14" t="n"/>
      <c r="H3" s="13" t="inlineStr">
        <is>
          <t>Kehadiran</t>
        </is>
      </c>
      <c r="I3" s="14" t="n"/>
      <c r="J3" s="13" t="inlineStr">
        <is>
          <t>Komitmen (maks. 4 pilihan)</t>
        </is>
      </c>
      <c r="K3" s="14" t="n"/>
      <c r="L3" s="14" t="n"/>
      <c r="M3" s="14" t="n"/>
      <c r="N3" s="14" t="n"/>
      <c r="O3" s="13" t="inlineStr">
        <is>
          <t>Khidmat Sumbangan</t>
        </is>
      </c>
      <c r="P3" s="14" t="n"/>
      <c r="Q3" s="13" t="inlineStr">
        <is>
          <t>Pelibatan</t>
        </is>
      </c>
      <c r="R3" s="14" t="n"/>
      <c r="S3" s="14" t="n"/>
      <c r="T3" s="13" t="inlineStr">
        <is>
          <t>Pencapaian</t>
        </is>
      </c>
      <c r="U3" s="14" t="n"/>
      <c r="V3" s="14" t="n"/>
      <c r="W3" s="13" t="inlineStr">
        <is>
          <t>Markah</t>
        </is>
      </c>
      <c r="X3" s="14" t="n"/>
    </row>
    <row r="4" ht="42" customHeight="1">
      <c r="A4" s="9" t="inlineStr">
        <is>
          <t>Bil</t>
        </is>
      </c>
      <c r="B4" s="9" t="inlineStr">
        <is>
          <t>Nama Murid</t>
        </is>
      </c>
      <c r="C4" s="9" t="inlineStr">
        <is>
          <t>No. MyKad</t>
        </is>
      </c>
      <c r="D4" s="9" t="inlineStr">
        <is>
          <t>Kelas</t>
        </is>
      </c>
      <c r="E4" s="9" t="inlineStr">
        <is>
          <t>Unit / Aktiviti Utama</t>
        </is>
      </c>
      <c r="F4" s="9" t="inlineStr">
        <is>
          <t>Jawatan</t>
        </is>
      </c>
      <c r="G4" s="9" t="inlineStr">
        <is>
          <t>Skor
Jawatan</t>
        </is>
      </c>
      <c r="H4" s="9" t="inlineStr">
        <is>
          <t>Bil. Hadir
(0-12)</t>
        </is>
      </c>
      <c r="I4" s="9" t="inlineStr">
        <is>
          <t>Skor Hadir
(40)</t>
        </is>
      </c>
      <c r="J4" s="9" t="inlineStr">
        <is>
          <t>Komitmen 1</t>
        </is>
      </c>
      <c r="K4" s="9" t="inlineStr">
        <is>
          <t>Komitmen 2</t>
        </is>
      </c>
      <c r="L4" s="9" t="inlineStr">
        <is>
          <t>Komitmen 3</t>
        </is>
      </c>
      <c r="M4" s="9" t="inlineStr">
        <is>
          <t>Komitmen 4</t>
        </is>
      </c>
      <c r="N4" s="9" t="inlineStr">
        <is>
          <t>Skor
Komitmen
(10)</t>
        </is>
      </c>
      <c r="O4" s="9" t="inlineStr">
        <is>
          <t>Khidmat Sumbangan</t>
        </is>
      </c>
      <c r="P4" s="9" t="inlineStr">
        <is>
          <t>Skor
Khidmat
(10)</t>
        </is>
      </c>
      <c r="Q4" s="9" t="inlineStr">
        <is>
          <t>Pelibatan:
Peringkat</t>
        </is>
      </c>
      <c r="R4" s="9" t="inlineStr">
        <is>
          <t>Pelibatan:
Jenis</t>
        </is>
      </c>
      <c r="S4" s="9" t="inlineStr">
        <is>
          <t>Skor
Pelibatan
(20)</t>
        </is>
      </c>
      <c r="T4" s="9" t="inlineStr">
        <is>
          <t>Pencapaian:
Peringkat</t>
        </is>
      </c>
      <c r="U4" s="9" t="inlineStr">
        <is>
          <t>Pencapaian:
Kedudukan</t>
        </is>
      </c>
      <c r="V4" s="9" t="inlineStr">
        <is>
          <t>Skor
Pencapaian
(20)</t>
        </is>
      </c>
      <c r="W4" s="9" t="inlineStr">
        <is>
          <t>Jumlah
(110)</t>
        </is>
      </c>
      <c r="X4" s="9" t="inlineStr">
        <is>
          <t>Markah
(100)</t>
        </is>
      </c>
    </row>
    <row r="5">
      <c r="A5" s="15">
        <f>Murid!A5</f>
        <v/>
      </c>
      <c r="B5" s="15">
        <f>IF(Murid!B5="","",Murid!B5)</f>
        <v/>
      </c>
      <c r="C5" s="16">
        <f>IF(Murid!C5="","",Murid!C5)</f>
        <v/>
      </c>
      <c r="D5" s="15">
        <f>IF(Murid!E5="","",Murid!E5)</f>
        <v/>
      </c>
      <c r="E5" s="11" t="n"/>
      <c r="F5" s="11" t="n"/>
      <c r="G5" s="10">
        <f>IF(F5="","",IFERROR(VLOOKUP(F5,T_JUB,2,FALSE),0))</f>
        <v/>
      </c>
      <c r="H5" s="11" t="n"/>
      <c r="I5" s="17">
        <f>IF(H5="","",IF(H5&gt;=12,40,ROUND(H5*3.33,2)))</f>
        <v/>
      </c>
      <c r="J5" s="11" t="n"/>
      <c r="K5" s="11" t="n"/>
      <c r="L5" s="11" t="n"/>
      <c r="M5" s="11" t="n"/>
      <c r="N5" s="10">
        <f>IF(COUNTA(J5:M5)=0,"",MIN(10,SUMPRODUCT((COUNTIF(J5:M5,L_KOM)&gt;0)*S_KOM)))</f>
        <v/>
      </c>
      <c r="O5" s="11" t="n"/>
      <c r="P5" s="10">
        <f>IF(O5="","",IFERROR(VLOOKUP(O5,T_KHID,2,FALSE),0))</f>
        <v/>
      </c>
      <c r="Q5" s="11" t="n"/>
      <c r="R5" s="11" t="n"/>
      <c r="S5" s="10">
        <f>IF(AND(Q5="",R5=""),"",IFERROR(INDEX(T_LIBAT,MATCH(Q5,L_PER,0),MATCH(R5,L_JENIS,0)),0))</f>
        <v/>
      </c>
      <c r="T5" s="11" t="n"/>
      <c r="U5" s="11" t="n"/>
      <c r="V5" s="10">
        <f>IF(AND(T5="",U5=""),"",IFERROR(INDEX(T_CAPAI,MATCH(T5,L_PER,0),MATCH(U5,L_KED,0)),0))</f>
        <v/>
      </c>
      <c r="W5" s="17">
        <f>IF(OR(B5="",E5="",COUNTA(F5,H5,J5:M5,O5,Q5:R5,T5:U5)=0),"",SUM(G5,I5,N5,P5,S5,V5))</f>
        <v/>
      </c>
      <c r="X5" s="18">
        <f>IF(W5="","",IF(Murid!F5="TL","TL",ROUND(W5/110*100,2)))</f>
        <v/>
      </c>
    </row>
    <row r="6">
      <c r="A6" s="15">
        <f>Murid!A6</f>
        <v/>
      </c>
      <c r="B6" s="15">
        <f>IF(Murid!B6="","",Murid!B6)</f>
        <v/>
      </c>
      <c r="C6" s="16">
        <f>IF(Murid!C6="","",Murid!C6)</f>
        <v/>
      </c>
      <c r="D6" s="15">
        <f>IF(Murid!E6="","",Murid!E6)</f>
        <v/>
      </c>
      <c r="E6" s="11" t="n"/>
      <c r="F6" s="11" t="n"/>
      <c r="G6" s="10">
        <f>IF(F6="","",IFERROR(VLOOKUP(F6,T_JUB,2,FALSE),0))</f>
        <v/>
      </c>
      <c r="H6" s="11" t="n"/>
      <c r="I6" s="17">
        <f>IF(H6="","",IF(H6&gt;=12,40,ROUND(H6*3.33,2)))</f>
        <v/>
      </c>
      <c r="J6" s="11" t="n"/>
      <c r="K6" s="11" t="n"/>
      <c r="L6" s="11" t="n"/>
      <c r="M6" s="11" t="n"/>
      <c r="N6" s="10">
        <f>IF(COUNTA(J6:M6)=0,"",MIN(10,SUMPRODUCT((COUNTIF(J6:M6,L_KOM)&gt;0)*S_KOM)))</f>
        <v/>
      </c>
      <c r="O6" s="11" t="n"/>
      <c r="P6" s="10">
        <f>IF(O6="","",IFERROR(VLOOKUP(O6,T_KHID,2,FALSE),0))</f>
        <v/>
      </c>
      <c r="Q6" s="11" t="n"/>
      <c r="R6" s="11" t="n"/>
      <c r="S6" s="10">
        <f>IF(AND(Q6="",R6=""),"",IFERROR(INDEX(T_LIBAT,MATCH(Q6,L_PER,0),MATCH(R6,L_JENIS,0)),0))</f>
        <v/>
      </c>
      <c r="T6" s="11" t="n"/>
      <c r="U6" s="11" t="n"/>
      <c r="V6" s="10">
        <f>IF(AND(T6="",U6=""),"",IFERROR(INDEX(T_CAPAI,MATCH(T6,L_PER,0),MATCH(U6,L_KED,0)),0))</f>
        <v/>
      </c>
      <c r="W6" s="17">
        <f>IF(OR(B6="",E6="",COUNTA(F6,H6,J6:M6,O6,Q6:R6,T6:U6)=0),"",SUM(G6,I6,N6,P6,S6,V6))</f>
        <v/>
      </c>
      <c r="X6" s="18">
        <f>IF(W6="","",IF(Murid!F6="TL","TL",ROUND(W6/110*100,2)))</f>
        <v/>
      </c>
    </row>
    <row r="7">
      <c r="A7" s="15">
        <f>Murid!A7</f>
        <v/>
      </c>
      <c r="B7" s="15">
        <f>IF(Murid!B7="","",Murid!B7)</f>
        <v/>
      </c>
      <c r="C7" s="16">
        <f>IF(Murid!C7="","",Murid!C7)</f>
        <v/>
      </c>
      <c r="D7" s="15">
        <f>IF(Murid!E7="","",Murid!E7)</f>
        <v/>
      </c>
      <c r="E7" s="11" t="n"/>
      <c r="F7" s="11" t="n"/>
      <c r="G7" s="10">
        <f>IF(F7="","",IFERROR(VLOOKUP(F7,T_JUB,2,FALSE),0))</f>
        <v/>
      </c>
      <c r="H7" s="11" t="n"/>
      <c r="I7" s="17">
        <f>IF(H7="","",IF(H7&gt;=12,40,ROUND(H7*3.33,2)))</f>
        <v/>
      </c>
      <c r="J7" s="11" t="n"/>
      <c r="K7" s="11" t="n"/>
      <c r="L7" s="11" t="n"/>
      <c r="M7" s="11" t="n"/>
      <c r="N7" s="10">
        <f>IF(COUNTA(J7:M7)=0,"",MIN(10,SUMPRODUCT((COUNTIF(J7:M7,L_KOM)&gt;0)*S_KOM)))</f>
        <v/>
      </c>
      <c r="O7" s="11" t="n"/>
      <c r="P7" s="10">
        <f>IF(O7="","",IFERROR(VLOOKUP(O7,T_KHID,2,FALSE),0))</f>
        <v/>
      </c>
      <c r="Q7" s="11" t="n"/>
      <c r="R7" s="11" t="n"/>
      <c r="S7" s="10">
        <f>IF(AND(Q7="",R7=""),"",IFERROR(INDEX(T_LIBAT,MATCH(Q7,L_PER,0),MATCH(R7,L_JENIS,0)),0))</f>
        <v/>
      </c>
      <c r="T7" s="11" t="n"/>
      <c r="U7" s="11" t="n"/>
      <c r="V7" s="10">
        <f>IF(AND(T7="",U7=""),"",IFERROR(INDEX(T_CAPAI,MATCH(T7,L_PER,0),MATCH(U7,L_KED,0)),0))</f>
        <v/>
      </c>
      <c r="W7" s="17">
        <f>IF(OR(B7="",E7="",COUNTA(F7,H7,J7:M7,O7,Q7:R7,T7:U7)=0),"",SUM(G7,I7,N7,P7,S7,V7))</f>
        <v/>
      </c>
      <c r="X7" s="18">
        <f>IF(W7="","",IF(Murid!F7="TL","TL",ROUND(W7/110*100,2)))</f>
        <v/>
      </c>
    </row>
    <row r="8">
      <c r="A8" s="15">
        <f>Murid!A8</f>
        <v/>
      </c>
      <c r="B8" s="15">
        <f>IF(Murid!B8="","",Murid!B8)</f>
        <v/>
      </c>
      <c r="C8" s="16">
        <f>IF(Murid!C8="","",Murid!C8)</f>
        <v/>
      </c>
      <c r="D8" s="15">
        <f>IF(Murid!E8="","",Murid!E8)</f>
        <v/>
      </c>
      <c r="E8" s="11" t="n"/>
      <c r="F8" s="11" t="n"/>
      <c r="G8" s="10">
        <f>IF(F8="","",IFERROR(VLOOKUP(F8,T_JUB,2,FALSE),0))</f>
        <v/>
      </c>
      <c r="H8" s="11" t="n"/>
      <c r="I8" s="17">
        <f>IF(H8="","",IF(H8&gt;=12,40,ROUND(H8*3.33,2)))</f>
        <v/>
      </c>
      <c r="J8" s="11" t="n"/>
      <c r="K8" s="11" t="n"/>
      <c r="L8" s="11" t="n"/>
      <c r="M8" s="11" t="n"/>
      <c r="N8" s="10">
        <f>IF(COUNTA(J8:M8)=0,"",MIN(10,SUMPRODUCT((COUNTIF(J8:M8,L_KOM)&gt;0)*S_KOM)))</f>
        <v/>
      </c>
      <c r="O8" s="11" t="n"/>
      <c r="P8" s="10">
        <f>IF(O8="","",IFERROR(VLOOKUP(O8,T_KHID,2,FALSE),0))</f>
        <v/>
      </c>
      <c r="Q8" s="11" t="n"/>
      <c r="R8" s="11" t="n"/>
      <c r="S8" s="10">
        <f>IF(AND(Q8="",R8=""),"",IFERROR(INDEX(T_LIBAT,MATCH(Q8,L_PER,0),MATCH(R8,L_JENIS,0)),0))</f>
        <v/>
      </c>
      <c r="T8" s="11" t="n"/>
      <c r="U8" s="11" t="n"/>
      <c r="V8" s="10">
        <f>IF(AND(T8="",U8=""),"",IFERROR(INDEX(T_CAPAI,MATCH(T8,L_PER,0),MATCH(U8,L_KED,0)),0))</f>
        <v/>
      </c>
      <c r="W8" s="17">
        <f>IF(OR(B8="",E8="",COUNTA(F8,H8,J8:M8,O8,Q8:R8,T8:U8)=0),"",SUM(G8,I8,N8,P8,S8,V8))</f>
        <v/>
      </c>
      <c r="X8" s="18">
        <f>IF(W8="","",IF(Murid!F8="TL","TL",ROUND(W8/110*100,2)))</f>
        <v/>
      </c>
    </row>
    <row r="9">
      <c r="A9" s="15">
        <f>Murid!A9</f>
        <v/>
      </c>
      <c r="B9" s="15">
        <f>IF(Murid!B9="","",Murid!B9)</f>
        <v/>
      </c>
      <c r="C9" s="16">
        <f>IF(Murid!C9="","",Murid!C9)</f>
        <v/>
      </c>
      <c r="D9" s="15">
        <f>IF(Murid!E9="","",Murid!E9)</f>
        <v/>
      </c>
      <c r="E9" s="11" t="n"/>
      <c r="F9" s="11" t="n"/>
      <c r="G9" s="10">
        <f>IF(F9="","",IFERROR(VLOOKUP(F9,T_JUB,2,FALSE),0))</f>
        <v/>
      </c>
      <c r="H9" s="11" t="n"/>
      <c r="I9" s="17">
        <f>IF(H9="","",IF(H9&gt;=12,40,ROUND(H9*3.33,2)))</f>
        <v/>
      </c>
      <c r="J9" s="11" t="n"/>
      <c r="K9" s="11" t="n"/>
      <c r="L9" s="11" t="n"/>
      <c r="M9" s="11" t="n"/>
      <c r="N9" s="10">
        <f>IF(COUNTA(J9:M9)=0,"",MIN(10,SUMPRODUCT((COUNTIF(J9:M9,L_KOM)&gt;0)*S_KOM)))</f>
        <v/>
      </c>
      <c r="O9" s="11" t="n"/>
      <c r="P9" s="10">
        <f>IF(O9="","",IFERROR(VLOOKUP(O9,T_KHID,2,FALSE),0))</f>
        <v/>
      </c>
      <c r="Q9" s="11" t="n"/>
      <c r="R9" s="11" t="n"/>
      <c r="S9" s="10">
        <f>IF(AND(Q9="",R9=""),"",IFERROR(INDEX(T_LIBAT,MATCH(Q9,L_PER,0),MATCH(R9,L_JENIS,0)),0))</f>
        <v/>
      </c>
      <c r="T9" s="11" t="n"/>
      <c r="U9" s="11" t="n"/>
      <c r="V9" s="10">
        <f>IF(AND(T9="",U9=""),"",IFERROR(INDEX(T_CAPAI,MATCH(T9,L_PER,0),MATCH(U9,L_KED,0)),0))</f>
        <v/>
      </c>
      <c r="W9" s="17">
        <f>IF(OR(B9="",E9="",COUNTA(F9,H9,J9:M9,O9,Q9:R9,T9:U9)=0),"",SUM(G9,I9,N9,P9,S9,V9))</f>
        <v/>
      </c>
      <c r="X9" s="18">
        <f>IF(W9="","",IF(Murid!F9="TL","TL",ROUND(W9/110*100,2)))</f>
        <v/>
      </c>
    </row>
    <row r="10">
      <c r="A10" s="15">
        <f>Murid!A10</f>
        <v/>
      </c>
      <c r="B10" s="15">
        <f>IF(Murid!B10="","",Murid!B10)</f>
        <v/>
      </c>
      <c r="C10" s="16">
        <f>IF(Murid!C10="","",Murid!C10)</f>
        <v/>
      </c>
      <c r="D10" s="15">
        <f>IF(Murid!E10="","",Murid!E10)</f>
        <v/>
      </c>
      <c r="E10" s="11" t="n"/>
      <c r="F10" s="11" t="n"/>
      <c r="G10" s="10">
        <f>IF(F10="","",IFERROR(VLOOKUP(F10,T_JUB,2,FALSE),0))</f>
        <v/>
      </c>
      <c r="H10" s="11" t="n"/>
      <c r="I10" s="17">
        <f>IF(H10="","",IF(H10&gt;=12,40,ROUND(H10*3.33,2)))</f>
        <v/>
      </c>
      <c r="J10" s="11" t="n"/>
      <c r="K10" s="11" t="n"/>
      <c r="L10" s="11" t="n"/>
      <c r="M10" s="11" t="n"/>
      <c r="N10" s="10">
        <f>IF(COUNTA(J10:M10)=0,"",MIN(10,SUMPRODUCT((COUNTIF(J10:M10,L_KOM)&gt;0)*S_KOM)))</f>
        <v/>
      </c>
      <c r="O10" s="11" t="n"/>
      <c r="P10" s="10">
        <f>IF(O10="","",IFERROR(VLOOKUP(O10,T_KHID,2,FALSE),0))</f>
        <v/>
      </c>
      <c r="Q10" s="11" t="n"/>
      <c r="R10" s="11" t="n"/>
      <c r="S10" s="10">
        <f>IF(AND(Q10="",R10=""),"",IFERROR(INDEX(T_LIBAT,MATCH(Q10,L_PER,0),MATCH(R10,L_JENIS,0)),0))</f>
        <v/>
      </c>
      <c r="T10" s="11" t="n"/>
      <c r="U10" s="11" t="n"/>
      <c r="V10" s="10">
        <f>IF(AND(T10="",U10=""),"",IFERROR(INDEX(T_CAPAI,MATCH(T10,L_PER,0),MATCH(U10,L_KED,0)),0))</f>
        <v/>
      </c>
      <c r="W10" s="17">
        <f>IF(OR(B10="",E10="",COUNTA(F10,H10,J10:M10,O10,Q10:R10,T10:U10)=0),"",SUM(G10,I10,N10,P10,S10,V10))</f>
        <v/>
      </c>
      <c r="X10" s="18">
        <f>IF(W10="","",IF(Murid!F10="TL","TL",ROUND(W10/110*100,2)))</f>
        <v/>
      </c>
    </row>
    <row r="11">
      <c r="A11" s="15">
        <f>Murid!A11</f>
        <v/>
      </c>
      <c r="B11" s="15">
        <f>IF(Murid!B11="","",Murid!B11)</f>
        <v/>
      </c>
      <c r="C11" s="16">
        <f>IF(Murid!C11="","",Murid!C11)</f>
        <v/>
      </c>
      <c r="D11" s="15">
        <f>IF(Murid!E11="","",Murid!E11)</f>
        <v/>
      </c>
      <c r="E11" s="11" t="n"/>
      <c r="F11" s="11" t="n"/>
      <c r="G11" s="10">
        <f>IF(F11="","",IFERROR(VLOOKUP(F11,T_JUB,2,FALSE),0))</f>
        <v/>
      </c>
      <c r="H11" s="11" t="n"/>
      <c r="I11" s="17">
        <f>IF(H11="","",IF(H11&gt;=12,40,ROUND(H11*3.33,2)))</f>
        <v/>
      </c>
      <c r="J11" s="11" t="n"/>
      <c r="K11" s="11" t="n"/>
      <c r="L11" s="11" t="n"/>
      <c r="M11" s="11" t="n"/>
      <c r="N11" s="10">
        <f>IF(COUNTA(J11:M11)=0,"",MIN(10,SUMPRODUCT((COUNTIF(J11:M11,L_KOM)&gt;0)*S_KOM)))</f>
        <v/>
      </c>
      <c r="O11" s="11" t="n"/>
      <c r="P11" s="10">
        <f>IF(O11="","",IFERROR(VLOOKUP(O11,T_KHID,2,FALSE),0))</f>
        <v/>
      </c>
      <c r="Q11" s="11" t="n"/>
      <c r="R11" s="11" t="n"/>
      <c r="S11" s="10">
        <f>IF(AND(Q11="",R11=""),"",IFERROR(INDEX(T_LIBAT,MATCH(Q11,L_PER,0),MATCH(R11,L_JENIS,0)),0))</f>
        <v/>
      </c>
      <c r="T11" s="11" t="n"/>
      <c r="U11" s="11" t="n"/>
      <c r="V11" s="10">
        <f>IF(AND(T11="",U11=""),"",IFERROR(INDEX(T_CAPAI,MATCH(T11,L_PER,0),MATCH(U11,L_KED,0)),0))</f>
        <v/>
      </c>
      <c r="W11" s="17">
        <f>IF(OR(B11="",E11="",COUNTA(F11,H11,J11:M11,O11,Q11:R11,T11:U11)=0),"",SUM(G11,I11,N11,P11,S11,V11))</f>
        <v/>
      </c>
      <c r="X11" s="18">
        <f>IF(W11="","",IF(Murid!F11="TL","TL",ROUND(W11/110*100,2)))</f>
        <v/>
      </c>
    </row>
    <row r="12">
      <c r="A12" s="15">
        <f>Murid!A12</f>
        <v/>
      </c>
      <c r="B12" s="15">
        <f>IF(Murid!B12="","",Murid!B12)</f>
        <v/>
      </c>
      <c r="C12" s="16">
        <f>IF(Murid!C12="","",Murid!C12)</f>
        <v/>
      </c>
      <c r="D12" s="15">
        <f>IF(Murid!E12="","",Murid!E12)</f>
        <v/>
      </c>
      <c r="E12" s="11" t="n"/>
      <c r="F12" s="11" t="n"/>
      <c r="G12" s="10">
        <f>IF(F12="","",IFERROR(VLOOKUP(F12,T_JUB,2,FALSE),0))</f>
        <v/>
      </c>
      <c r="H12" s="11" t="n"/>
      <c r="I12" s="17">
        <f>IF(H12="","",IF(H12&gt;=12,40,ROUND(H12*3.33,2)))</f>
        <v/>
      </c>
      <c r="J12" s="11" t="n"/>
      <c r="K12" s="11" t="n"/>
      <c r="L12" s="11" t="n"/>
      <c r="M12" s="11" t="n"/>
      <c r="N12" s="10">
        <f>IF(COUNTA(J12:M12)=0,"",MIN(10,SUMPRODUCT((COUNTIF(J12:M12,L_KOM)&gt;0)*S_KOM)))</f>
        <v/>
      </c>
      <c r="O12" s="11" t="n"/>
      <c r="P12" s="10">
        <f>IF(O12="","",IFERROR(VLOOKUP(O12,T_KHID,2,FALSE),0))</f>
        <v/>
      </c>
      <c r="Q12" s="11" t="n"/>
      <c r="R12" s="11" t="n"/>
      <c r="S12" s="10">
        <f>IF(AND(Q12="",R12=""),"",IFERROR(INDEX(T_LIBAT,MATCH(Q12,L_PER,0),MATCH(R12,L_JENIS,0)),0))</f>
        <v/>
      </c>
      <c r="T12" s="11" t="n"/>
      <c r="U12" s="11" t="n"/>
      <c r="V12" s="10">
        <f>IF(AND(T12="",U12=""),"",IFERROR(INDEX(T_CAPAI,MATCH(T12,L_PER,0),MATCH(U12,L_KED,0)),0))</f>
        <v/>
      </c>
      <c r="W12" s="17">
        <f>IF(OR(B12="",E12="",COUNTA(F12,H12,J12:M12,O12,Q12:R12,T12:U12)=0),"",SUM(G12,I12,N12,P12,S12,V12))</f>
        <v/>
      </c>
      <c r="X12" s="18">
        <f>IF(W12="","",IF(Murid!F12="TL","TL",ROUND(W12/110*100,2)))</f>
        <v/>
      </c>
    </row>
    <row r="13">
      <c r="A13" s="15">
        <f>Murid!A13</f>
        <v/>
      </c>
      <c r="B13" s="15">
        <f>IF(Murid!B13="","",Murid!B13)</f>
        <v/>
      </c>
      <c r="C13" s="16">
        <f>IF(Murid!C13="","",Murid!C13)</f>
        <v/>
      </c>
      <c r="D13" s="15">
        <f>IF(Murid!E13="","",Murid!E13)</f>
        <v/>
      </c>
      <c r="E13" s="11" t="n"/>
      <c r="F13" s="11" t="n"/>
      <c r="G13" s="10">
        <f>IF(F13="","",IFERROR(VLOOKUP(F13,T_JUB,2,FALSE),0))</f>
        <v/>
      </c>
      <c r="H13" s="11" t="n"/>
      <c r="I13" s="17">
        <f>IF(H13="","",IF(H13&gt;=12,40,ROUND(H13*3.33,2)))</f>
        <v/>
      </c>
      <c r="J13" s="11" t="n"/>
      <c r="K13" s="11" t="n"/>
      <c r="L13" s="11" t="n"/>
      <c r="M13" s="11" t="n"/>
      <c r="N13" s="10">
        <f>IF(COUNTA(J13:M13)=0,"",MIN(10,SUMPRODUCT((COUNTIF(J13:M13,L_KOM)&gt;0)*S_KOM)))</f>
        <v/>
      </c>
      <c r="O13" s="11" t="n"/>
      <c r="P13" s="10">
        <f>IF(O13="","",IFERROR(VLOOKUP(O13,T_KHID,2,FALSE),0))</f>
        <v/>
      </c>
      <c r="Q13" s="11" t="n"/>
      <c r="R13" s="11" t="n"/>
      <c r="S13" s="10">
        <f>IF(AND(Q13="",R13=""),"",IFERROR(INDEX(T_LIBAT,MATCH(Q13,L_PER,0),MATCH(R13,L_JENIS,0)),0))</f>
        <v/>
      </c>
      <c r="T13" s="11" t="n"/>
      <c r="U13" s="11" t="n"/>
      <c r="V13" s="10">
        <f>IF(AND(T13="",U13=""),"",IFERROR(INDEX(T_CAPAI,MATCH(T13,L_PER,0),MATCH(U13,L_KED,0)),0))</f>
        <v/>
      </c>
      <c r="W13" s="17">
        <f>IF(OR(B13="",E13="",COUNTA(F13,H13,J13:M13,O13,Q13:R13,T13:U13)=0),"",SUM(G13,I13,N13,P13,S13,V13))</f>
        <v/>
      </c>
      <c r="X13" s="18">
        <f>IF(W13="","",IF(Murid!F13="TL","TL",ROUND(W13/110*100,2)))</f>
        <v/>
      </c>
    </row>
    <row r="14">
      <c r="A14" s="15">
        <f>Murid!A14</f>
        <v/>
      </c>
      <c r="B14" s="15">
        <f>IF(Murid!B14="","",Murid!B14)</f>
        <v/>
      </c>
      <c r="C14" s="16">
        <f>IF(Murid!C14="","",Murid!C14)</f>
        <v/>
      </c>
      <c r="D14" s="15">
        <f>IF(Murid!E14="","",Murid!E14)</f>
        <v/>
      </c>
      <c r="E14" s="11" t="n"/>
      <c r="F14" s="11" t="n"/>
      <c r="G14" s="10">
        <f>IF(F14="","",IFERROR(VLOOKUP(F14,T_JUB,2,FALSE),0))</f>
        <v/>
      </c>
      <c r="H14" s="11" t="n"/>
      <c r="I14" s="17">
        <f>IF(H14="","",IF(H14&gt;=12,40,ROUND(H14*3.33,2)))</f>
        <v/>
      </c>
      <c r="J14" s="11" t="n"/>
      <c r="K14" s="11" t="n"/>
      <c r="L14" s="11" t="n"/>
      <c r="M14" s="11" t="n"/>
      <c r="N14" s="10">
        <f>IF(COUNTA(J14:M14)=0,"",MIN(10,SUMPRODUCT((COUNTIF(J14:M14,L_KOM)&gt;0)*S_KOM)))</f>
        <v/>
      </c>
      <c r="O14" s="11" t="n"/>
      <c r="P14" s="10">
        <f>IF(O14="","",IFERROR(VLOOKUP(O14,T_KHID,2,FALSE),0))</f>
        <v/>
      </c>
      <c r="Q14" s="11" t="n"/>
      <c r="R14" s="11" t="n"/>
      <c r="S14" s="10">
        <f>IF(AND(Q14="",R14=""),"",IFERROR(INDEX(T_LIBAT,MATCH(Q14,L_PER,0),MATCH(R14,L_JENIS,0)),0))</f>
        <v/>
      </c>
      <c r="T14" s="11" t="n"/>
      <c r="U14" s="11" t="n"/>
      <c r="V14" s="10">
        <f>IF(AND(T14="",U14=""),"",IFERROR(INDEX(T_CAPAI,MATCH(T14,L_PER,0),MATCH(U14,L_KED,0)),0))</f>
        <v/>
      </c>
      <c r="W14" s="17">
        <f>IF(OR(B14="",E14="",COUNTA(F14,H14,J14:M14,O14,Q14:R14,T14:U14)=0),"",SUM(G14,I14,N14,P14,S14,V14))</f>
        <v/>
      </c>
      <c r="X14" s="18">
        <f>IF(W14="","",IF(Murid!F14="TL","TL",ROUND(W14/110*100,2)))</f>
        <v/>
      </c>
    </row>
    <row r="15">
      <c r="A15" s="15">
        <f>Murid!A15</f>
        <v/>
      </c>
      <c r="B15" s="15">
        <f>IF(Murid!B15="","",Murid!B15)</f>
        <v/>
      </c>
      <c r="C15" s="16">
        <f>IF(Murid!C15="","",Murid!C15)</f>
        <v/>
      </c>
      <c r="D15" s="15">
        <f>IF(Murid!E15="","",Murid!E15)</f>
        <v/>
      </c>
      <c r="E15" s="11" t="n"/>
      <c r="F15" s="11" t="n"/>
      <c r="G15" s="10">
        <f>IF(F15="","",IFERROR(VLOOKUP(F15,T_JUB,2,FALSE),0))</f>
        <v/>
      </c>
      <c r="H15" s="11" t="n"/>
      <c r="I15" s="17">
        <f>IF(H15="","",IF(H15&gt;=12,40,ROUND(H15*3.33,2)))</f>
        <v/>
      </c>
      <c r="J15" s="11" t="n"/>
      <c r="K15" s="11" t="n"/>
      <c r="L15" s="11" t="n"/>
      <c r="M15" s="11" t="n"/>
      <c r="N15" s="10">
        <f>IF(COUNTA(J15:M15)=0,"",MIN(10,SUMPRODUCT((COUNTIF(J15:M15,L_KOM)&gt;0)*S_KOM)))</f>
        <v/>
      </c>
      <c r="O15" s="11" t="n"/>
      <c r="P15" s="10">
        <f>IF(O15="","",IFERROR(VLOOKUP(O15,T_KHID,2,FALSE),0))</f>
        <v/>
      </c>
      <c r="Q15" s="11" t="n"/>
      <c r="R15" s="11" t="n"/>
      <c r="S15" s="10">
        <f>IF(AND(Q15="",R15=""),"",IFERROR(INDEX(T_LIBAT,MATCH(Q15,L_PER,0),MATCH(R15,L_JENIS,0)),0))</f>
        <v/>
      </c>
      <c r="T15" s="11" t="n"/>
      <c r="U15" s="11" t="n"/>
      <c r="V15" s="10">
        <f>IF(AND(T15="",U15=""),"",IFERROR(INDEX(T_CAPAI,MATCH(T15,L_PER,0),MATCH(U15,L_KED,0)),0))</f>
        <v/>
      </c>
      <c r="W15" s="17">
        <f>IF(OR(B15="",E15="",COUNTA(F15,H15,J15:M15,O15,Q15:R15,T15:U15)=0),"",SUM(G15,I15,N15,P15,S15,V15))</f>
        <v/>
      </c>
      <c r="X15" s="18">
        <f>IF(W15="","",IF(Murid!F15="TL","TL",ROUND(W15/110*100,2)))</f>
        <v/>
      </c>
    </row>
    <row r="16">
      <c r="A16" s="15">
        <f>Murid!A16</f>
        <v/>
      </c>
      <c r="B16" s="15">
        <f>IF(Murid!B16="","",Murid!B16)</f>
        <v/>
      </c>
      <c r="C16" s="16">
        <f>IF(Murid!C16="","",Murid!C16)</f>
        <v/>
      </c>
      <c r="D16" s="15">
        <f>IF(Murid!E16="","",Murid!E16)</f>
        <v/>
      </c>
      <c r="E16" s="11" t="n"/>
      <c r="F16" s="11" t="n"/>
      <c r="G16" s="10">
        <f>IF(F16="","",IFERROR(VLOOKUP(F16,T_JUB,2,FALSE),0))</f>
        <v/>
      </c>
      <c r="H16" s="11" t="n"/>
      <c r="I16" s="17">
        <f>IF(H16="","",IF(H16&gt;=12,40,ROUND(H16*3.33,2)))</f>
        <v/>
      </c>
      <c r="J16" s="11" t="n"/>
      <c r="K16" s="11" t="n"/>
      <c r="L16" s="11" t="n"/>
      <c r="M16" s="11" t="n"/>
      <c r="N16" s="10">
        <f>IF(COUNTA(J16:M16)=0,"",MIN(10,SUMPRODUCT((COUNTIF(J16:M16,L_KOM)&gt;0)*S_KOM)))</f>
        <v/>
      </c>
      <c r="O16" s="11" t="n"/>
      <c r="P16" s="10">
        <f>IF(O16="","",IFERROR(VLOOKUP(O16,T_KHID,2,FALSE),0))</f>
        <v/>
      </c>
      <c r="Q16" s="11" t="n"/>
      <c r="R16" s="11" t="n"/>
      <c r="S16" s="10">
        <f>IF(AND(Q16="",R16=""),"",IFERROR(INDEX(T_LIBAT,MATCH(Q16,L_PER,0),MATCH(R16,L_JENIS,0)),0))</f>
        <v/>
      </c>
      <c r="T16" s="11" t="n"/>
      <c r="U16" s="11" t="n"/>
      <c r="V16" s="10">
        <f>IF(AND(T16="",U16=""),"",IFERROR(INDEX(T_CAPAI,MATCH(T16,L_PER,0),MATCH(U16,L_KED,0)),0))</f>
        <v/>
      </c>
      <c r="W16" s="17">
        <f>IF(OR(B16="",E16="",COUNTA(F16,H16,J16:M16,O16,Q16:R16,T16:U16)=0),"",SUM(G16,I16,N16,P16,S16,V16))</f>
        <v/>
      </c>
      <c r="X16" s="18">
        <f>IF(W16="","",IF(Murid!F16="TL","TL",ROUND(W16/110*100,2)))</f>
        <v/>
      </c>
    </row>
    <row r="17">
      <c r="A17" s="15">
        <f>Murid!A17</f>
        <v/>
      </c>
      <c r="B17" s="15">
        <f>IF(Murid!B17="","",Murid!B17)</f>
        <v/>
      </c>
      <c r="C17" s="16">
        <f>IF(Murid!C17="","",Murid!C17)</f>
        <v/>
      </c>
      <c r="D17" s="15">
        <f>IF(Murid!E17="","",Murid!E17)</f>
        <v/>
      </c>
      <c r="E17" s="11" t="n"/>
      <c r="F17" s="11" t="n"/>
      <c r="G17" s="10">
        <f>IF(F17="","",IFERROR(VLOOKUP(F17,T_JUB,2,FALSE),0))</f>
        <v/>
      </c>
      <c r="H17" s="11" t="n"/>
      <c r="I17" s="17">
        <f>IF(H17="","",IF(H17&gt;=12,40,ROUND(H17*3.33,2)))</f>
        <v/>
      </c>
      <c r="J17" s="11" t="n"/>
      <c r="K17" s="11" t="n"/>
      <c r="L17" s="11" t="n"/>
      <c r="M17" s="11" t="n"/>
      <c r="N17" s="10">
        <f>IF(COUNTA(J17:M17)=0,"",MIN(10,SUMPRODUCT((COUNTIF(J17:M17,L_KOM)&gt;0)*S_KOM)))</f>
        <v/>
      </c>
      <c r="O17" s="11" t="n"/>
      <c r="P17" s="10">
        <f>IF(O17="","",IFERROR(VLOOKUP(O17,T_KHID,2,FALSE),0))</f>
        <v/>
      </c>
      <c r="Q17" s="11" t="n"/>
      <c r="R17" s="11" t="n"/>
      <c r="S17" s="10">
        <f>IF(AND(Q17="",R17=""),"",IFERROR(INDEX(T_LIBAT,MATCH(Q17,L_PER,0),MATCH(R17,L_JENIS,0)),0))</f>
        <v/>
      </c>
      <c r="T17" s="11" t="n"/>
      <c r="U17" s="11" t="n"/>
      <c r="V17" s="10">
        <f>IF(AND(T17="",U17=""),"",IFERROR(INDEX(T_CAPAI,MATCH(T17,L_PER,0),MATCH(U17,L_KED,0)),0))</f>
        <v/>
      </c>
      <c r="W17" s="17">
        <f>IF(OR(B17="",E17="",COUNTA(F17,H17,J17:M17,O17,Q17:R17,T17:U17)=0),"",SUM(G17,I17,N17,P17,S17,V17))</f>
        <v/>
      </c>
      <c r="X17" s="18">
        <f>IF(W17="","",IF(Murid!F17="TL","TL",ROUND(W17/110*100,2)))</f>
        <v/>
      </c>
    </row>
    <row r="18">
      <c r="A18" s="15">
        <f>Murid!A18</f>
        <v/>
      </c>
      <c r="B18" s="15">
        <f>IF(Murid!B18="","",Murid!B18)</f>
        <v/>
      </c>
      <c r="C18" s="16">
        <f>IF(Murid!C18="","",Murid!C18)</f>
        <v/>
      </c>
      <c r="D18" s="15">
        <f>IF(Murid!E18="","",Murid!E18)</f>
        <v/>
      </c>
      <c r="E18" s="11" t="n"/>
      <c r="F18" s="11" t="n"/>
      <c r="G18" s="10">
        <f>IF(F18="","",IFERROR(VLOOKUP(F18,T_JUB,2,FALSE),0))</f>
        <v/>
      </c>
      <c r="H18" s="11" t="n"/>
      <c r="I18" s="17">
        <f>IF(H18="","",IF(H18&gt;=12,40,ROUND(H18*3.33,2)))</f>
        <v/>
      </c>
      <c r="J18" s="11" t="n"/>
      <c r="K18" s="11" t="n"/>
      <c r="L18" s="11" t="n"/>
      <c r="M18" s="11" t="n"/>
      <c r="N18" s="10">
        <f>IF(COUNTA(J18:M18)=0,"",MIN(10,SUMPRODUCT((COUNTIF(J18:M18,L_KOM)&gt;0)*S_KOM)))</f>
        <v/>
      </c>
      <c r="O18" s="11" t="n"/>
      <c r="P18" s="10">
        <f>IF(O18="","",IFERROR(VLOOKUP(O18,T_KHID,2,FALSE),0))</f>
        <v/>
      </c>
      <c r="Q18" s="11" t="n"/>
      <c r="R18" s="11" t="n"/>
      <c r="S18" s="10">
        <f>IF(AND(Q18="",R18=""),"",IFERROR(INDEX(T_LIBAT,MATCH(Q18,L_PER,0),MATCH(R18,L_JENIS,0)),0))</f>
        <v/>
      </c>
      <c r="T18" s="11" t="n"/>
      <c r="U18" s="11" t="n"/>
      <c r="V18" s="10">
        <f>IF(AND(T18="",U18=""),"",IFERROR(INDEX(T_CAPAI,MATCH(T18,L_PER,0),MATCH(U18,L_KED,0)),0))</f>
        <v/>
      </c>
      <c r="W18" s="17">
        <f>IF(OR(B18="",E18="",COUNTA(F18,H18,J18:M18,O18,Q18:R18,T18:U18)=0),"",SUM(G18,I18,N18,P18,S18,V18))</f>
        <v/>
      </c>
      <c r="X18" s="18">
        <f>IF(W18="","",IF(Murid!F18="TL","TL",ROUND(W18/110*100,2)))</f>
        <v/>
      </c>
    </row>
    <row r="19">
      <c r="A19" s="15">
        <f>Murid!A19</f>
        <v/>
      </c>
      <c r="B19" s="15">
        <f>IF(Murid!B19="","",Murid!B19)</f>
        <v/>
      </c>
      <c r="C19" s="16">
        <f>IF(Murid!C19="","",Murid!C19)</f>
        <v/>
      </c>
      <c r="D19" s="15">
        <f>IF(Murid!E19="","",Murid!E19)</f>
        <v/>
      </c>
      <c r="E19" s="11" t="n"/>
      <c r="F19" s="11" t="n"/>
      <c r="G19" s="10">
        <f>IF(F19="","",IFERROR(VLOOKUP(F19,T_JUB,2,FALSE),0))</f>
        <v/>
      </c>
      <c r="H19" s="11" t="n"/>
      <c r="I19" s="17">
        <f>IF(H19="","",IF(H19&gt;=12,40,ROUND(H19*3.33,2)))</f>
        <v/>
      </c>
      <c r="J19" s="11" t="n"/>
      <c r="K19" s="11" t="n"/>
      <c r="L19" s="11" t="n"/>
      <c r="M19" s="11" t="n"/>
      <c r="N19" s="10">
        <f>IF(COUNTA(J19:M19)=0,"",MIN(10,SUMPRODUCT((COUNTIF(J19:M19,L_KOM)&gt;0)*S_KOM)))</f>
        <v/>
      </c>
      <c r="O19" s="11" t="n"/>
      <c r="P19" s="10">
        <f>IF(O19="","",IFERROR(VLOOKUP(O19,T_KHID,2,FALSE),0))</f>
        <v/>
      </c>
      <c r="Q19" s="11" t="n"/>
      <c r="R19" s="11" t="n"/>
      <c r="S19" s="10">
        <f>IF(AND(Q19="",R19=""),"",IFERROR(INDEX(T_LIBAT,MATCH(Q19,L_PER,0),MATCH(R19,L_JENIS,0)),0))</f>
        <v/>
      </c>
      <c r="T19" s="11" t="n"/>
      <c r="U19" s="11" t="n"/>
      <c r="V19" s="10">
        <f>IF(AND(T19="",U19=""),"",IFERROR(INDEX(T_CAPAI,MATCH(T19,L_PER,0),MATCH(U19,L_KED,0)),0))</f>
        <v/>
      </c>
      <c r="W19" s="17">
        <f>IF(OR(B19="",E19="",COUNTA(F19,H19,J19:M19,O19,Q19:R19,T19:U19)=0),"",SUM(G19,I19,N19,P19,S19,V19))</f>
        <v/>
      </c>
      <c r="X19" s="18">
        <f>IF(W19="","",IF(Murid!F19="TL","TL",ROUND(W19/110*100,2)))</f>
        <v/>
      </c>
    </row>
    <row r="20">
      <c r="A20" s="15">
        <f>Murid!A20</f>
        <v/>
      </c>
      <c r="B20" s="15">
        <f>IF(Murid!B20="","",Murid!B20)</f>
        <v/>
      </c>
      <c r="C20" s="16">
        <f>IF(Murid!C20="","",Murid!C20)</f>
        <v/>
      </c>
      <c r="D20" s="15">
        <f>IF(Murid!E20="","",Murid!E20)</f>
        <v/>
      </c>
      <c r="E20" s="11" t="n"/>
      <c r="F20" s="11" t="n"/>
      <c r="G20" s="10">
        <f>IF(F20="","",IFERROR(VLOOKUP(F20,T_JUB,2,FALSE),0))</f>
        <v/>
      </c>
      <c r="H20" s="11" t="n"/>
      <c r="I20" s="17">
        <f>IF(H20="","",IF(H20&gt;=12,40,ROUND(H20*3.33,2)))</f>
        <v/>
      </c>
      <c r="J20" s="11" t="n"/>
      <c r="K20" s="11" t="n"/>
      <c r="L20" s="11" t="n"/>
      <c r="M20" s="11" t="n"/>
      <c r="N20" s="10">
        <f>IF(COUNTA(J20:M20)=0,"",MIN(10,SUMPRODUCT((COUNTIF(J20:M20,L_KOM)&gt;0)*S_KOM)))</f>
        <v/>
      </c>
      <c r="O20" s="11" t="n"/>
      <c r="P20" s="10">
        <f>IF(O20="","",IFERROR(VLOOKUP(O20,T_KHID,2,FALSE),0))</f>
        <v/>
      </c>
      <c r="Q20" s="11" t="n"/>
      <c r="R20" s="11" t="n"/>
      <c r="S20" s="10">
        <f>IF(AND(Q20="",R20=""),"",IFERROR(INDEX(T_LIBAT,MATCH(Q20,L_PER,0),MATCH(R20,L_JENIS,0)),0))</f>
        <v/>
      </c>
      <c r="T20" s="11" t="n"/>
      <c r="U20" s="11" t="n"/>
      <c r="V20" s="10">
        <f>IF(AND(T20="",U20=""),"",IFERROR(INDEX(T_CAPAI,MATCH(T20,L_PER,0),MATCH(U20,L_KED,0)),0))</f>
        <v/>
      </c>
      <c r="W20" s="17">
        <f>IF(OR(B20="",E20="",COUNTA(F20,H20,J20:M20,O20,Q20:R20,T20:U20)=0),"",SUM(G20,I20,N20,P20,S20,V20))</f>
        <v/>
      </c>
      <c r="X20" s="18">
        <f>IF(W20="","",IF(Murid!F20="TL","TL",ROUND(W20/110*100,2)))</f>
        <v/>
      </c>
    </row>
    <row r="21">
      <c r="A21" s="15">
        <f>Murid!A21</f>
        <v/>
      </c>
      <c r="B21" s="15">
        <f>IF(Murid!B21="","",Murid!B21)</f>
        <v/>
      </c>
      <c r="C21" s="16">
        <f>IF(Murid!C21="","",Murid!C21)</f>
        <v/>
      </c>
      <c r="D21" s="15">
        <f>IF(Murid!E21="","",Murid!E21)</f>
        <v/>
      </c>
      <c r="E21" s="11" t="n"/>
      <c r="F21" s="11" t="n"/>
      <c r="G21" s="10">
        <f>IF(F21="","",IFERROR(VLOOKUP(F21,T_JUB,2,FALSE),0))</f>
        <v/>
      </c>
      <c r="H21" s="11" t="n"/>
      <c r="I21" s="17">
        <f>IF(H21="","",IF(H21&gt;=12,40,ROUND(H21*3.33,2)))</f>
        <v/>
      </c>
      <c r="J21" s="11" t="n"/>
      <c r="K21" s="11" t="n"/>
      <c r="L21" s="11" t="n"/>
      <c r="M21" s="11" t="n"/>
      <c r="N21" s="10">
        <f>IF(COUNTA(J21:M21)=0,"",MIN(10,SUMPRODUCT((COUNTIF(J21:M21,L_KOM)&gt;0)*S_KOM)))</f>
        <v/>
      </c>
      <c r="O21" s="11" t="n"/>
      <c r="P21" s="10">
        <f>IF(O21="","",IFERROR(VLOOKUP(O21,T_KHID,2,FALSE),0))</f>
        <v/>
      </c>
      <c r="Q21" s="11" t="n"/>
      <c r="R21" s="11" t="n"/>
      <c r="S21" s="10">
        <f>IF(AND(Q21="",R21=""),"",IFERROR(INDEX(T_LIBAT,MATCH(Q21,L_PER,0),MATCH(R21,L_JENIS,0)),0))</f>
        <v/>
      </c>
      <c r="T21" s="11" t="n"/>
      <c r="U21" s="11" t="n"/>
      <c r="V21" s="10">
        <f>IF(AND(T21="",U21=""),"",IFERROR(INDEX(T_CAPAI,MATCH(T21,L_PER,0),MATCH(U21,L_KED,0)),0))</f>
        <v/>
      </c>
      <c r="W21" s="17">
        <f>IF(OR(B21="",E21="",COUNTA(F21,H21,J21:M21,O21,Q21:R21,T21:U21)=0),"",SUM(G21,I21,N21,P21,S21,V21))</f>
        <v/>
      </c>
      <c r="X21" s="18">
        <f>IF(W21="","",IF(Murid!F21="TL","TL",ROUND(W21/110*100,2)))</f>
        <v/>
      </c>
    </row>
    <row r="22">
      <c r="A22" s="15">
        <f>Murid!A22</f>
        <v/>
      </c>
      <c r="B22" s="15">
        <f>IF(Murid!B22="","",Murid!B22)</f>
        <v/>
      </c>
      <c r="C22" s="16">
        <f>IF(Murid!C22="","",Murid!C22)</f>
        <v/>
      </c>
      <c r="D22" s="15">
        <f>IF(Murid!E22="","",Murid!E22)</f>
        <v/>
      </c>
      <c r="E22" s="11" t="n"/>
      <c r="F22" s="11" t="n"/>
      <c r="G22" s="10">
        <f>IF(F22="","",IFERROR(VLOOKUP(F22,T_JUB,2,FALSE),0))</f>
        <v/>
      </c>
      <c r="H22" s="11" t="n"/>
      <c r="I22" s="17">
        <f>IF(H22="","",IF(H22&gt;=12,40,ROUND(H22*3.33,2)))</f>
        <v/>
      </c>
      <c r="J22" s="11" t="n"/>
      <c r="K22" s="11" t="n"/>
      <c r="L22" s="11" t="n"/>
      <c r="M22" s="11" t="n"/>
      <c r="N22" s="10">
        <f>IF(COUNTA(J22:M22)=0,"",MIN(10,SUMPRODUCT((COUNTIF(J22:M22,L_KOM)&gt;0)*S_KOM)))</f>
        <v/>
      </c>
      <c r="O22" s="11" t="n"/>
      <c r="P22" s="10">
        <f>IF(O22="","",IFERROR(VLOOKUP(O22,T_KHID,2,FALSE),0))</f>
        <v/>
      </c>
      <c r="Q22" s="11" t="n"/>
      <c r="R22" s="11" t="n"/>
      <c r="S22" s="10">
        <f>IF(AND(Q22="",R22=""),"",IFERROR(INDEX(T_LIBAT,MATCH(Q22,L_PER,0),MATCH(R22,L_JENIS,0)),0))</f>
        <v/>
      </c>
      <c r="T22" s="11" t="n"/>
      <c r="U22" s="11" t="n"/>
      <c r="V22" s="10">
        <f>IF(AND(T22="",U22=""),"",IFERROR(INDEX(T_CAPAI,MATCH(T22,L_PER,0),MATCH(U22,L_KED,0)),0))</f>
        <v/>
      </c>
      <c r="W22" s="17">
        <f>IF(OR(B22="",E22="",COUNTA(F22,H22,J22:M22,O22,Q22:R22,T22:U22)=0),"",SUM(G22,I22,N22,P22,S22,V22))</f>
        <v/>
      </c>
      <c r="X22" s="18">
        <f>IF(W22="","",IF(Murid!F22="TL","TL",ROUND(W22/110*100,2)))</f>
        <v/>
      </c>
    </row>
    <row r="23">
      <c r="A23" s="15">
        <f>Murid!A23</f>
        <v/>
      </c>
      <c r="B23" s="15">
        <f>IF(Murid!B23="","",Murid!B23)</f>
        <v/>
      </c>
      <c r="C23" s="16">
        <f>IF(Murid!C23="","",Murid!C23)</f>
        <v/>
      </c>
      <c r="D23" s="15">
        <f>IF(Murid!E23="","",Murid!E23)</f>
        <v/>
      </c>
      <c r="E23" s="11" t="n"/>
      <c r="F23" s="11" t="n"/>
      <c r="G23" s="10">
        <f>IF(F23="","",IFERROR(VLOOKUP(F23,T_JUB,2,FALSE),0))</f>
        <v/>
      </c>
      <c r="H23" s="11" t="n"/>
      <c r="I23" s="17">
        <f>IF(H23="","",IF(H23&gt;=12,40,ROUND(H23*3.33,2)))</f>
        <v/>
      </c>
      <c r="J23" s="11" t="n"/>
      <c r="K23" s="11" t="n"/>
      <c r="L23" s="11" t="n"/>
      <c r="M23" s="11" t="n"/>
      <c r="N23" s="10">
        <f>IF(COUNTA(J23:M23)=0,"",MIN(10,SUMPRODUCT((COUNTIF(J23:M23,L_KOM)&gt;0)*S_KOM)))</f>
        <v/>
      </c>
      <c r="O23" s="11" t="n"/>
      <c r="P23" s="10">
        <f>IF(O23="","",IFERROR(VLOOKUP(O23,T_KHID,2,FALSE),0))</f>
        <v/>
      </c>
      <c r="Q23" s="11" t="n"/>
      <c r="R23" s="11" t="n"/>
      <c r="S23" s="10">
        <f>IF(AND(Q23="",R23=""),"",IFERROR(INDEX(T_LIBAT,MATCH(Q23,L_PER,0),MATCH(R23,L_JENIS,0)),0))</f>
        <v/>
      </c>
      <c r="T23" s="11" t="n"/>
      <c r="U23" s="11" t="n"/>
      <c r="V23" s="10">
        <f>IF(AND(T23="",U23=""),"",IFERROR(INDEX(T_CAPAI,MATCH(T23,L_PER,0),MATCH(U23,L_KED,0)),0))</f>
        <v/>
      </c>
      <c r="W23" s="17">
        <f>IF(OR(B23="",E23="",COUNTA(F23,H23,J23:M23,O23,Q23:R23,T23:U23)=0),"",SUM(G23,I23,N23,P23,S23,V23))</f>
        <v/>
      </c>
      <c r="X23" s="18">
        <f>IF(W23="","",IF(Murid!F23="TL","TL",ROUND(W23/110*100,2)))</f>
        <v/>
      </c>
    </row>
    <row r="24">
      <c r="A24" s="15">
        <f>Murid!A24</f>
        <v/>
      </c>
      <c r="B24" s="15">
        <f>IF(Murid!B24="","",Murid!B24)</f>
        <v/>
      </c>
      <c r="C24" s="16">
        <f>IF(Murid!C24="","",Murid!C24)</f>
        <v/>
      </c>
      <c r="D24" s="15">
        <f>IF(Murid!E24="","",Murid!E24)</f>
        <v/>
      </c>
      <c r="E24" s="11" t="n"/>
      <c r="F24" s="11" t="n"/>
      <c r="G24" s="10">
        <f>IF(F24="","",IFERROR(VLOOKUP(F24,T_JUB,2,FALSE),0))</f>
        <v/>
      </c>
      <c r="H24" s="11" t="n"/>
      <c r="I24" s="17">
        <f>IF(H24="","",IF(H24&gt;=12,40,ROUND(H24*3.33,2)))</f>
        <v/>
      </c>
      <c r="J24" s="11" t="n"/>
      <c r="K24" s="11" t="n"/>
      <c r="L24" s="11" t="n"/>
      <c r="M24" s="11" t="n"/>
      <c r="N24" s="10">
        <f>IF(COUNTA(J24:M24)=0,"",MIN(10,SUMPRODUCT((COUNTIF(J24:M24,L_KOM)&gt;0)*S_KOM)))</f>
        <v/>
      </c>
      <c r="O24" s="11" t="n"/>
      <c r="P24" s="10">
        <f>IF(O24="","",IFERROR(VLOOKUP(O24,T_KHID,2,FALSE),0))</f>
        <v/>
      </c>
      <c r="Q24" s="11" t="n"/>
      <c r="R24" s="11" t="n"/>
      <c r="S24" s="10">
        <f>IF(AND(Q24="",R24=""),"",IFERROR(INDEX(T_LIBAT,MATCH(Q24,L_PER,0),MATCH(R24,L_JENIS,0)),0))</f>
        <v/>
      </c>
      <c r="T24" s="11" t="n"/>
      <c r="U24" s="11" t="n"/>
      <c r="V24" s="10">
        <f>IF(AND(T24="",U24=""),"",IFERROR(INDEX(T_CAPAI,MATCH(T24,L_PER,0),MATCH(U24,L_KED,0)),0))</f>
        <v/>
      </c>
      <c r="W24" s="17">
        <f>IF(OR(B24="",E24="",COUNTA(F24,H24,J24:M24,O24,Q24:R24,T24:U24)=0),"",SUM(G24,I24,N24,P24,S24,V24))</f>
        <v/>
      </c>
      <c r="X24" s="18">
        <f>IF(W24="","",IF(Murid!F24="TL","TL",ROUND(W24/110*100,2)))</f>
        <v/>
      </c>
    </row>
    <row r="25">
      <c r="A25" s="15">
        <f>Murid!A25</f>
        <v/>
      </c>
      <c r="B25" s="15">
        <f>IF(Murid!B25="","",Murid!B25)</f>
        <v/>
      </c>
      <c r="C25" s="16">
        <f>IF(Murid!C25="","",Murid!C25)</f>
        <v/>
      </c>
      <c r="D25" s="15">
        <f>IF(Murid!E25="","",Murid!E25)</f>
        <v/>
      </c>
      <c r="E25" s="11" t="n"/>
      <c r="F25" s="11" t="n"/>
      <c r="G25" s="10">
        <f>IF(F25="","",IFERROR(VLOOKUP(F25,T_JUB,2,FALSE),0))</f>
        <v/>
      </c>
      <c r="H25" s="11" t="n"/>
      <c r="I25" s="17">
        <f>IF(H25="","",IF(H25&gt;=12,40,ROUND(H25*3.33,2)))</f>
        <v/>
      </c>
      <c r="J25" s="11" t="n"/>
      <c r="K25" s="11" t="n"/>
      <c r="L25" s="11" t="n"/>
      <c r="M25" s="11" t="n"/>
      <c r="N25" s="10">
        <f>IF(COUNTA(J25:M25)=0,"",MIN(10,SUMPRODUCT((COUNTIF(J25:M25,L_KOM)&gt;0)*S_KOM)))</f>
        <v/>
      </c>
      <c r="O25" s="11" t="n"/>
      <c r="P25" s="10">
        <f>IF(O25="","",IFERROR(VLOOKUP(O25,T_KHID,2,FALSE),0))</f>
        <v/>
      </c>
      <c r="Q25" s="11" t="n"/>
      <c r="R25" s="11" t="n"/>
      <c r="S25" s="10">
        <f>IF(AND(Q25="",R25=""),"",IFERROR(INDEX(T_LIBAT,MATCH(Q25,L_PER,0),MATCH(R25,L_JENIS,0)),0))</f>
        <v/>
      </c>
      <c r="T25" s="11" t="n"/>
      <c r="U25" s="11" t="n"/>
      <c r="V25" s="10">
        <f>IF(AND(T25="",U25=""),"",IFERROR(INDEX(T_CAPAI,MATCH(T25,L_PER,0),MATCH(U25,L_KED,0)),0))</f>
        <v/>
      </c>
      <c r="W25" s="17">
        <f>IF(OR(B25="",E25="",COUNTA(F25,H25,J25:M25,O25,Q25:R25,T25:U25)=0),"",SUM(G25,I25,N25,P25,S25,V25))</f>
        <v/>
      </c>
      <c r="X25" s="18">
        <f>IF(W25="","",IF(Murid!F25="TL","TL",ROUND(W25/110*100,2)))</f>
        <v/>
      </c>
    </row>
    <row r="26">
      <c r="A26" s="15">
        <f>Murid!A26</f>
        <v/>
      </c>
      <c r="B26" s="15">
        <f>IF(Murid!B26="","",Murid!B26)</f>
        <v/>
      </c>
      <c r="C26" s="16">
        <f>IF(Murid!C26="","",Murid!C26)</f>
        <v/>
      </c>
      <c r="D26" s="15">
        <f>IF(Murid!E26="","",Murid!E26)</f>
        <v/>
      </c>
      <c r="E26" s="11" t="n"/>
      <c r="F26" s="11" t="n"/>
      <c r="G26" s="10">
        <f>IF(F26="","",IFERROR(VLOOKUP(F26,T_JUB,2,FALSE),0))</f>
        <v/>
      </c>
      <c r="H26" s="11" t="n"/>
      <c r="I26" s="17">
        <f>IF(H26="","",IF(H26&gt;=12,40,ROUND(H26*3.33,2)))</f>
        <v/>
      </c>
      <c r="J26" s="11" t="n"/>
      <c r="K26" s="11" t="n"/>
      <c r="L26" s="11" t="n"/>
      <c r="M26" s="11" t="n"/>
      <c r="N26" s="10">
        <f>IF(COUNTA(J26:M26)=0,"",MIN(10,SUMPRODUCT((COUNTIF(J26:M26,L_KOM)&gt;0)*S_KOM)))</f>
        <v/>
      </c>
      <c r="O26" s="11" t="n"/>
      <c r="P26" s="10">
        <f>IF(O26="","",IFERROR(VLOOKUP(O26,T_KHID,2,FALSE),0))</f>
        <v/>
      </c>
      <c r="Q26" s="11" t="n"/>
      <c r="R26" s="11" t="n"/>
      <c r="S26" s="10">
        <f>IF(AND(Q26="",R26=""),"",IFERROR(INDEX(T_LIBAT,MATCH(Q26,L_PER,0),MATCH(R26,L_JENIS,0)),0))</f>
        <v/>
      </c>
      <c r="T26" s="11" t="n"/>
      <c r="U26" s="11" t="n"/>
      <c r="V26" s="10">
        <f>IF(AND(T26="",U26=""),"",IFERROR(INDEX(T_CAPAI,MATCH(T26,L_PER,0),MATCH(U26,L_KED,0)),0))</f>
        <v/>
      </c>
      <c r="W26" s="17">
        <f>IF(OR(B26="",E26="",COUNTA(F26,H26,J26:M26,O26,Q26:R26,T26:U26)=0),"",SUM(G26,I26,N26,P26,S26,V26))</f>
        <v/>
      </c>
      <c r="X26" s="18">
        <f>IF(W26="","",IF(Murid!F26="TL","TL",ROUND(W26/110*100,2)))</f>
        <v/>
      </c>
    </row>
    <row r="27">
      <c r="A27" s="15">
        <f>Murid!A27</f>
        <v/>
      </c>
      <c r="B27" s="15">
        <f>IF(Murid!B27="","",Murid!B27)</f>
        <v/>
      </c>
      <c r="C27" s="16">
        <f>IF(Murid!C27="","",Murid!C27)</f>
        <v/>
      </c>
      <c r="D27" s="15">
        <f>IF(Murid!E27="","",Murid!E27)</f>
        <v/>
      </c>
      <c r="E27" s="11" t="n"/>
      <c r="F27" s="11" t="n"/>
      <c r="G27" s="10">
        <f>IF(F27="","",IFERROR(VLOOKUP(F27,T_JUB,2,FALSE),0))</f>
        <v/>
      </c>
      <c r="H27" s="11" t="n"/>
      <c r="I27" s="17">
        <f>IF(H27="","",IF(H27&gt;=12,40,ROUND(H27*3.33,2)))</f>
        <v/>
      </c>
      <c r="J27" s="11" t="n"/>
      <c r="K27" s="11" t="n"/>
      <c r="L27" s="11" t="n"/>
      <c r="M27" s="11" t="n"/>
      <c r="N27" s="10">
        <f>IF(COUNTA(J27:M27)=0,"",MIN(10,SUMPRODUCT((COUNTIF(J27:M27,L_KOM)&gt;0)*S_KOM)))</f>
        <v/>
      </c>
      <c r="O27" s="11" t="n"/>
      <c r="P27" s="10">
        <f>IF(O27="","",IFERROR(VLOOKUP(O27,T_KHID,2,FALSE),0))</f>
        <v/>
      </c>
      <c r="Q27" s="11" t="n"/>
      <c r="R27" s="11" t="n"/>
      <c r="S27" s="10">
        <f>IF(AND(Q27="",R27=""),"",IFERROR(INDEX(T_LIBAT,MATCH(Q27,L_PER,0),MATCH(R27,L_JENIS,0)),0))</f>
        <v/>
      </c>
      <c r="T27" s="11" t="n"/>
      <c r="U27" s="11" t="n"/>
      <c r="V27" s="10">
        <f>IF(AND(T27="",U27=""),"",IFERROR(INDEX(T_CAPAI,MATCH(T27,L_PER,0),MATCH(U27,L_KED,0)),0))</f>
        <v/>
      </c>
      <c r="W27" s="17">
        <f>IF(OR(B27="",E27="",COUNTA(F27,H27,J27:M27,O27,Q27:R27,T27:U27)=0),"",SUM(G27,I27,N27,P27,S27,V27))</f>
        <v/>
      </c>
      <c r="X27" s="18">
        <f>IF(W27="","",IF(Murid!F27="TL","TL",ROUND(W27/110*100,2)))</f>
        <v/>
      </c>
    </row>
    <row r="28">
      <c r="A28" s="15">
        <f>Murid!A28</f>
        <v/>
      </c>
      <c r="B28" s="15">
        <f>IF(Murid!B28="","",Murid!B28)</f>
        <v/>
      </c>
      <c r="C28" s="16">
        <f>IF(Murid!C28="","",Murid!C28)</f>
        <v/>
      </c>
      <c r="D28" s="15">
        <f>IF(Murid!E28="","",Murid!E28)</f>
        <v/>
      </c>
      <c r="E28" s="11" t="n"/>
      <c r="F28" s="11" t="n"/>
      <c r="G28" s="10">
        <f>IF(F28="","",IFERROR(VLOOKUP(F28,T_JUB,2,FALSE),0))</f>
        <v/>
      </c>
      <c r="H28" s="11" t="n"/>
      <c r="I28" s="17">
        <f>IF(H28="","",IF(H28&gt;=12,40,ROUND(H28*3.33,2)))</f>
        <v/>
      </c>
      <c r="J28" s="11" t="n"/>
      <c r="K28" s="11" t="n"/>
      <c r="L28" s="11" t="n"/>
      <c r="M28" s="11" t="n"/>
      <c r="N28" s="10">
        <f>IF(COUNTA(J28:M28)=0,"",MIN(10,SUMPRODUCT((COUNTIF(J28:M28,L_KOM)&gt;0)*S_KOM)))</f>
        <v/>
      </c>
      <c r="O28" s="11" t="n"/>
      <c r="P28" s="10">
        <f>IF(O28="","",IFERROR(VLOOKUP(O28,T_KHID,2,FALSE),0))</f>
        <v/>
      </c>
      <c r="Q28" s="11" t="n"/>
      <c r="R28" s="11" t="n"/>
      <c r="S28" s="10">
        <f>IF(AND(Q28="",R28=""),"",IFERROR(INDEX(T_LIBAT,MATCH(Q28,L_PER,0),MATCH(R28,L_JENIS,0)),0))</f>
        <v/>
      </c>
      <c r="T28" s="11" t="n"/>
      <c r="U28" s="11" t="n"/>
      <c r="V28" s="10">
        <f>IF(AND(T28="",U28=""),"",IFERROR(INDEX(T_CAPAI,MATCH(T28,L_PER,0),MATCH(U28,L_KED,0)),0))</f>
        <v/>
      </c>
      <c r="W28" s="17">
        <f>IF(OR(B28="",E28="",COUNTA(F28,H28,J28:M28,O28,Q28:R28,T28:U28)=0),"",SUM(G28,I28,N28,P28,S28,V28))</f>
        <v/>
      </c>
      <c r="X28" s="18">
        <f>IF(W28="","",IF(Murid!F28="TL","TL",ROUND(W28/110*100,2)))</f>
        <v/>
      </c>
    </row>
    <row r="29">
      <c r="A29" s="15">
        <f>Murid!A29</f>
        <v/>
      </c>
      <c r="B29" s="15">
        <f>IF(Murid!B29="","",Murid!B29)</f>
        <v/>
      </c>
      <c r="C29" s="16">
        <f>IF(Murid!C29="","",Murid!C29)</f>
        <v/>
      </c>
      <c r="D29" s="15">
        <f>IF(Murid!E29="","",Murid!E29)</f>
        <v/>
      </c>
      <c r="E29" s="11" t="n"/>
      <c r="F29" s="11" t="n"/>
      <c r="G29" s="10">
        <f>IF(F29="","",IFERROR(VLOOKUP(F29,T_JUB,2,FALSE),0))</f>
        <v/>
      </c>
      <c r="H29" s="11" t="n"/>
      <c r="I29" s="17">
        <f>IF(H29="","",IF(H29&gt;=12,40,ROUND(H29*3.33,2)))</f>
        <v/>
      </c>
      <c r="J29" s="11" t="n"/>
      <c r="K29" s="11" t="n"/>
      <c r="L29" s="11" t="n"/>
      <c r="M29" s="11" t="n"/>
      <c r="N29" s="10">
        <f>IF(COUNTA(J29:M29)=0,"",MIN(10,SUMPRODUCT((COUNTIF(J29:M29,L_KOM)&gt;0)*S_KOM)))</f>
        <v/>
      </c>
      <c r="O29" s="11" t="n"/>
      <c r="P29" s="10">
        <f>IF(O29="","",IFERROR(VLOOKUP(O29,T_KHID,2,FALSE),0))</f>
        <v/>
      </c>
      <c r="Q29" s="11" t="n"/>
      <c r="R29" s="11" t="n"/>
      <c r="S29" s="10">
        <f>IF(AND(Q29="",R29=""),"",IFERROR(INDEX(T_LIBAT,MATCH(Q29,L_PER,0),MATCH(R29,L_JENIS,0)),0))</f>
        <v/>
      </c>
      <c r="T29" s="11" t="n"/>
      <c r="U29" s="11" t="n"/>
      <c r="V29" s="10">
        <f>IF(AND(T29="",U29=""),"",IFERROR(INDEX(T_CAPAI,MATCH(T29,L_PER,0),MATCH(U29,L_KED,0)),0))</f>
        <v/>
      </c>
      <c r="W29" s="17">
        <f>IF(OR(B29="",E29="",COUNTA(F29,H29,J29:M29,O29,Q29:R29,T29:U29)=0),"",SUM(G29,I29,N29,P29,S29,V29))</f>
        <v/>
      </c>
      <c r="X29" s="18">
        <f>IF(W29="","",IF(Murid!F29="TL","TL",ROUND(W29/110*100,2)))</f>
        <v/>
      </c>
    </row>
    <row r="30">
      <c r="A30" s="15">
        <f>Murid!A30</f>
        <v/>
      </c>
      <c r="B30" s="15">
        <f>IF(Murid!B30="","",Murid!B30)</f>
        <v/>
      </c>
      <c r="C30" s="16">
        <f>IF(Murid!C30="","",Murid!C30)</f>
        <v/>
      </c>
      <c r="D30" s="15">
        <f>IF(Murid!E30="","",Murid!E30)</f>
        <v/>
      </c>
      <c r="E30" s="11" t="n"/>
      <c r="F30" s="11" t="n"/>
      <c r="G30" s="10">
        <f>IF(F30="","",IFERROR(VLOOKUP(F30,T_JUB,2,FALSE),0))</f>
        <v/>
      </c>
      <c r="H30" s="11" t="n"/>
      <c r="I30" s="17">
        <f>IF(H30="","",IF(H30&gt;=12,40,ROUND(H30*3.33,2)))</f>
        <v/>
      </c>
      <c r="J30" s="11" t="n"/>
      <c r="K30" s="11" t="n"/>
      <c r="L30" s="11" t="n"/>
      <c r="M30" s="11" t="n"/>
      <c r="N30" s="10">
        <f>IF(COUNTA(J30:M30)=0,"",MIN(10,SUMPRODUCT((COUNTIF(J30:M30,L_KOM)&gt;0)*S_KOM)))</f>
        <v/>
      </c>
      <c r="O30" s="11" t="n"/>
      <c r="P30" s="10">
        <f>IF(O30="","",IFERROR(VLOOKUP(O30,T_KHID,2,FALSE),0))</f>
        <v/>
      </c>
      <c r="Q30" s="11" t="n"/>
      <c r="R30" s="11" t="n"/>
      <c r="S30" s="10">
        <f>IF(AND(Q30="",R30=""),"",IFERROR(INDEX(T_LIBAT,MATCH(Q30,L_PER,0),MATCH(R30,L_JENIS,0)),0))</f>
        <v/>
      </c>
      <c r="T30" s="11" t="n"/>
      <c r="U30" s="11" t="n"/>
      <c r="V30" s="10">
        <f>IF(AND(T30="",U30=""),"",IFERROR(INDEX(T_CAPAI,MATCH(T30,L_PER,0),MATCH(U30,L_KED,0)),0))</f>
        <v/>
      </c>
      <c r="W30" s="17">
        <f>IF(OR(B30="",E30="",COUNTA(F30,H30,J30:M30,O30,Q30:R30,T30:U30)=0),"",SUM(G30,I30,N30,P30,S30,V30))</f>
        <v/>
      </c>
      <c r="X30" s="18">
        <f>IF(W30="","",IF(Murid!F30="TL","TL",ROUND(W30/110*100,2)))</f>
        <v/>
      </c>
    </row>
    <row r="31">
      <c r="A31" s="15">
        <f>Murid!A31</f>
        <v/>
      </c>
      <c r="B31" s="15">
        <f>IF(Murid!B31="","",Murid!B31)</f>
        <v/>
      </c>
      <c r="C31" s="16">
        <f>IF(Murid!C31="","",Murid!C31)</f>
        <v/>
      </c>
      <c r="D31" s="15">
        <f>IF(Murid!E31="","",Murid!E31)</f>
        <v/>
      </c>
      <c r="E31" s="11" t="n"/>
      <c r="F31" s="11" t="n"/>
      <c r="G31" s="10">
        <f>IF(F31="","",IFERROR(VLOOKUP(F31,T_JUB,2,FALSE),0))</f>
        <v/>
      </c>
      <c r="H31" s="11" t="n"/>
      <c r="I31" s="17">
        <f>IF(H31="","",IF(H31&gt;=12,40,ROUND(H31*3.33,2)))</f>
        <v/>
      </c>
      <c r="J31" s="11" t="n"/>
      <c r="K31" s="11" t="n"/>
      <c r="L31" s="11" t="n"/>
      <c r="M31" s="11" t="n"/>
      <c r="N31" s="10">
        <f>IF(COUNTA(J31:M31)=0,"",MIN(10,SUMPRODUCT((COUNTIF(J31:M31,L_KOM)&gt;0)*S_KOM)))</f>
        <v/>
      </c>
      <c r="O31" s="11" t="n"/>
      <c r="P31" s="10">
        <f>IF(O31="","",IFERROR(VLOOKUP(O31,T_KHID,2,FALSE),0))</f>
        <v/>
      </c>
      <c r="Q31" s="11" t="n"/>
      <c r="R31" s="11" t="n"/>
      <c r="S31" s="10">
        <f>IF(AND(Q31="",R31=""),"",IFERROR(INDEX(T_LIBAT,MATCH(Q31,L_PER,0),MATCH(R31,L_JENIS,0)),0))</f>
        <v/>
      </c>
      <c r="T31" s="11" t="n"/>
      <c r="U31" s="11" t="n"/>
      <c r="V31" s="10">
        <f>IF(AND(T31="",U31=""),"",IFERROR(INDEX(T_CAPAI,MATCH(T31,L_PER,0),MATCH(U31,L_KED,0)),0))</f>
        <v/>
      </c>
      <c r="W31" s="17">
        <f>IF(OR(B31="",E31="",COUNTA(F31,H31,J31:M31,O31,Q31:R31,T31:U31)=0),"",SUM(G31,I31,N31,P31,S31,V31))</f>
        <v/>
      </c>
      <c r="X31" s="18">
        <f>IF(W31="","",IF(Murid!F31="TL","TL",ROUND(W31/110*100,2)))</f>
        <v/>
      </c>
    </row>
    <row r="32">
      <c r="A32" s="15">
        <f>Murid!A32</f>
        <v/>
      </c>
      <c r="B32" s="15">
        <f>IF(Murid!B32="","",Murid!B32)</f>
        <v/>
      </c>
      <c r="C32" s="16">
        <f>IF(Murid!C32="","",Murid!C32)</f>
        <v/>
      </c>
      <c r="D32" s="15">
        <f>IF(Murid!E32="","",Murid!E32)</f>
        <v/>
      </c>
      <c r="E32" s="11" t="n"/>
      <c r="F32" s="11" t="n"/>
      <c r="G32" s="10">
        <f>IF(F32="","",IFERROR(VLOOKUP(F32,T_JUB,2,FALSE),0))</f>
        <v/>
      </c>
      <c r="H32" s="11" t="n"/>
      <c r="I32" s="17">
        <f>IF(H32="","",IF(H32&gt;=12,40,ROUND(H32*3.33,2)))</f>
        <v/>
      </c>
      <c r="J32" s="11" t="n"/>
      <c r="K32" s="11" t="n"/>
      <c r="L32" s="11" t="n"/>
      <c r="M32" s="11" t="n"/>
      <c r="N32" s="10">
        <f>IF(COUNTA(J32:M32)=0,"",MIN(10,SUMPRODUCT((COUNTIF(J32:M32,L_KOM)&gt;0)*S_KOM)))</f>
        <v/>
      </c>
      <c r="O32" s="11" t="n"/>
      <c r="P32" s="10">
        <f>IF(O32="","",IFERROR(VLOOKUP(O32,T_KHID,2,FALSE),0))</f>
        <v/>
      </c>
      <c r="Q32" s="11" t="n"/>
      <c r="R32" s="11" t="n"/>
      <c r="S32" s="10">
        <f>IF(AND(Q32="",R32=""),"",IFERROR(INDEX(T_LIBAT,MATCH(Q32,L_PER,0),MATCH(R32,L_JENIS,0)),0))</f>
        <v/>
      </c>
      <c r="T32" s="11" t="n"/>
      <c r="U32" s="11" t="n"/>
      <c r="V32" s="10">
        <f>IF(AND(T32="",U32=""),"",IFERROR(INDEX(T_CAPAI,MATCH(T32,L_PER,0),MATCH(U32,L_KED,0)),0))</f>
        <v/>
      </c>
      <c r="W32" s="17">
        <f>IF(OR(B32="",E32="",COUNTA(F32,H32,J32:M32,O32,Q32:R32,T32:U32)=0),"",SUM(G32,I32,N32,P32,S32,V32))</f>
        <v/>
      </c>
      <c r="X32" s="18">
        <f>IF(W32="","",IF(Murid!F32="TL","TL",ROUND(W32/110*100,2)))</f>
        <v/>
      </c>
    </row>
    <row r="33">
      <c r="A33" s="15">
        <f>Murid!A33</f>
        <v/>
      </c>
      <c r="B33" s="15">
        <f>IF(Murid!B33="","",Murid!B33)</f>
        <v/>
      </c>
      <c r="C33" s="16">
        <f>IF(Murid!C33="","",Murid!C33)</f>
        <v/>
      </c>
      <c r="D33" s="15">
        <f>IF(Murid!E33="","",Murid!E33)</f>
        <v/>
      </c>
      <c r="E33" s="11" t="n"/>
      <c r="F33" s="11" t="n"/>
      <c r="G33" s="10">
        <f>IF(F33="","",IFERROR(VLOOKUP(F33,T_JUB,2,FALSE),0))</f>
        <v/>
      </c>
      <c r="H33" s="11" t="n"/>
      <c r="I33" s="17">
        <f>IF(H33="","",IF(H33&gt;=12,40,ROUND(H33*3.33,2)))</f>
        <v/>
      </c>
      <c r="J33" s="11" t="n"/>
      <c r="K33" s="11" t="n"/>
      <c r="L33" s="11" t="n"/>
      <c r="M33" s="11" t="n"/>
      <c r="N33" s="10">
        <f>IF(COUNTA(J33:M33)=0,"",MIN(10,SUMPRODUCT((COUNTIF(J33:M33,L_KOM)&gt;0)*S_KOM)))</f>
        <v/>
      </c>
      <c r="O33" s="11" t="n"/>
      <c r="P33" s="10">
        <f>IF(O33="","",IFERROR(VLOOKUP(O33,T_KHID,2,FALSE),0))</f>
        <v/>
      </c>
      <c r="Q33" s="11" t="n"/>
      <c r="R33" s="11" t="n"/>
      <c r="S33" s="10">
        <f>IF(AND(Q33="",R33=""),"",IFERROR(INDEX(T_LIBAT,MATCH(Q33,L_PER,0),MATCH(R33,L_JENIS,0)),0))</f>
        <v/>
      </c>
      <c r="T33" s="11" t="n"/>
      <c r="U33" s="11" t="n"/>
      <c r="V33" s="10">
        <f>IF(AND(T33="",U33=""),"",IFERROR(INDEX(T_CAPAI,MATCH(T33,L_PER,0),MATCH(U33,L_KED,0)),0))</f>
        <v/>
      </c>
      <c r="W33" s="17">
        <f>IF(OR(B33="",E33="",COUNTA(F33,H33,J33:M33,O33,Q33:R33,T33:U33)=0),"",SUM(G33,I33,N33,P33,S33,V33))</f>
        <v/>
      </c>
      <c r="X33" s="18">
        <f>IF(W33="","",IF(Murid!F33="TL","TL",ROUND(W33/110*100,2)))</f>
        <v/>
      </c>
    </row>
    <row r="34">
      <c r="A34" s="15">
        <f>Murid!A34</f>
        <v/>
      </c>
      <c r="B34" s="15">
        <f>IF(Murid!B34="","",Murid!B34)</f>
        <v/>
      </c>
      <c r="C34" s="16">
        <f>IF(Murid!C34="","",Murid!C34)</f>
        <v/>
      </c>
      <c r="D34" s="15">
        <f>IF(Murid!E34="","",Murid!E34)</f>
        <v/>
      </c>
      <c r="E34" s="11" t="n"/>
      <c r="F34" s="11" t="n"/>
      <c r="G34" s="10">
        <f>IF(F34="","",IFERROR(VLOOKUP(F34,T_JUB,2,FALSE),0))</f>
        <v/>
      </c>
      <c r="H34" s="11" t="n"/>
      <c r="I34" s="17">
        <f>IF(H34="","",IF(H34&gt;=12,40,ROUND(H34*3.33,2)))</f>
        <v/>
      </c>
      <c r="J34" s="11" t="n"/>
      <c r="K34" s="11" t="n"/>
      <c r="L34" s="11" t="n"/>
      <c r="M34" s="11" t="n"/>
      <c r="N34" s="10">
        <f>IF(COUNTA(J34:M34)=0,"",MIN(10,SUMPRODUCT((COUNTIF(J34:M34,L_KOM)&gt;0)*S_KOM)))</f>
        <v/>
      </c>
      <c r="O34" s="11" t="n"/>
      <c r="P34" s="10">
        <f>IF(O34="","",IFERROR(VLOOKUP(O34,T_KHID,2,FALSE),0))</f>
        <v/>
      </c>
      <c r="Q34" s="11" t="n"/>
      <c r="R34" s="11" t="n"/>
      <c r="S34" s="10">
        <f>IF(AND(Q34="",R34=""),"",IFERROR(INDEX(T_LIBAT,MATCH(Q34,L_PER,0),MATCH(R34,L_JENIS,0)),0))</f>
        <v/>
      </c>
      <c r="T34" s="11" t="n"/>
      <c r="U34" s="11" t="n"/>
      <c r="V34" s="10">
        <f>IF(AND(T34="",U34=""),"",IFERROR(INDEX(T_CAPAI,MATCH(T34,L_PER,0),MATCH(U34,L_KED,0)),0))</f>
        <v/>
      </c>
      <c r="W34" s="17">
        <f>IF(OR(B34="",E34="",COUNTA(F34,H34,J34:M34,O34,Q34:R34,T34:U34)=0),"",SUM(G34,I34,N34,P34,S34,V34))</f>
        <v/>
      </c>
      <c r="X34" s="18">
        <f>IF(W34="","",IF(Murid!F34="TL","TL",ROUND(W34/110*100,2)))</f>
        <v/>
      </c>
    </row>
    <row r="35">
      <c r="A35" s="15">
        <f>Murid!A35</f>
        <v/>
      </c>
      <c r="B35" s="15">
        <f>IF(Murid!B35="","",Murid!B35)</f>
        <v/>
      </c>
      <c r="C35" s="16">
        <f>IF(Murid!C35="","",Murid!C35)</f>
        <v/>
      </c>
      <c r="D35" s="15">
        <f>IF(Murid!E35="","",Murid!E35)</f>
        <v/>
      </c>
      <c r="E35" s="11" t="n"/>
      <c r="F35" s="11" t="n"/>
      <c r="G35" s="10">
        <f>IF(F35="","",IFERROR(VLOOKUP(F35,T_JUB,2,FALSE),0))</f>
        <v/>
      </c>
      <c r="H35" s="11" t="n"/>
      <c r="I35" s="17">
        <f>IF(H35="","",IF(H35&gt;=12,40,ROUND(H35*3.33,2)))</f>
        <v/>
      </c>
      <c r="J35" s="11" t="n"/>
      <c r="K35" s="11" t="n"/>
      <c r="L35" s="11" t="n"/>
      <c r="M35" s="11" t="n"/>
      <c r="N35" s="10">
        <f>IF(COUNTA(J35:M35)=0,"",MIN(10,SUMPRODUCT((COUNTIF(J35:M35,L_KOM)&gt;0)*S_KOM)))</f>
        <v/>
      </c>
      <c r="O35" s="11" t="n"/>
      <c r="P35" s="10">
        <f>IF(O35="","",IFERROR(VLOOKUP(O35,T_KHID,2,FALSE),0))</f>
        <v/>
      </c>
      <c r="Q35" s="11" t="n"/>
      <c r="R35" s="11" t="n"/>
      <c r="S35" s="10">
        <f>IF(AND(Q35="",R35=""),"",IFERROR(INDEX(T_LIBAT,MATCH(Q35,L_PER,0),MATCH(R35,L_JENIS,0)),0))</f>
        <v/>
      </c>
      <c r="T35" s="11" t="n"/>
      <c r="U35" s="11" t="n"/>
      <c r="V35" s="10">
        <f>IF(AND(T35="",U35=""),"",IFERROR(INDEX(T_CAPAI,MATCH(T35,L_PER,0),MATCH(U35,L_KED,0)),0))</f>
        <v/>
      </c>
      <c r="W35" s="17">
        <f>IF(OR(B35="",E35="",COUNTA(F35,H35,J35:M35,O35,Q35:R35,T35:U35)=0),"",SUM(G35,I35,N35,P35,S35,V35))</f>
        <v/>
      </c>
      <c r="X35" s="18">
        <f>IF(W35="","",IF(Murid!F35="TL","TL",ROUND(W35/110*100,2)))</f>
        <v/>
      </c>
    </row>
    <row r="36">
      <c r="A36" s="15">
        <f>Murid!A36</f>
        <v/>
      </c>
      <c r="B36" s="15">
        <f>IF(Murid!B36="","",Murid!B36)</f>
        <v/>
      </c>
      <c r="C36" s="16">
        <f>IF(Murid!C36="","",Murid!C36)</f>
        <v/>
      </c>
      <c r="D36" s="15">
        <f>IF(Murid!E36="","",Murid!E36)</f>
        <v/>
      </c>
      <c r="E36" s="11" t="n"/>
      <c r="F36" s="11" t="n"/>
      <c r="G36" s="10">
        <f>IF(F36="","",IFERROR(VLOOKUP(F36,T_JUB,2,FALSE),0))</f>
        <v/>
      </c>
      <c r="H36" s="11" t="n"/>
      <c r="I36" s="17">
        <f>IF(H36="","",IF(H36&gt;=12,40,ROUND(H36*3.33,2)))</f>
        <v/>
      </c>
      <c r="J36" s="11" t="n"/>
      <c r="K36" s="11" t="n"/>
      <c r="L36" s="11" t="n"/>
      <c r="M36" s="11" t="n"/>
      <c r="N36" s="10">
        <f>IF(COUNTA(J36:M36)=0,"",MIN(10,SUMPRODUCT((COUNTIF(J36:M36,L_KOM)&gt;0)*S_KOM)))</f>
        <v/>
      </c>
      <c r="O36" s="11" t="n"/>
      <c r="P36" s="10">
        <f>IF(O36="","",IFERROR(VLOOKUP(O36,T_KHID,2,FALSE),0))</f>
        <v/>
      </c>
      <c r="Q36" s="11" t="n"/>
      <c r="R36" s="11" t="n"/>
      <c r="S36" s="10">
        <f>IF(AND(Q36="",R36=""),"",IFERROR(INDEX(T_LIBAT,MATCH(Q36,L_PER,0),MATCH(R36,L_JENIS,0)),0))</f>
        <v/>
      </c>
      <c r="T36" s="11" t="n"/>
      <c r="U36" s="11" t="n"/>
      <c r="V36" s="10">
        <f>IF(AND(T36="",U36=""),"",IFERROR(INDEX(T_CAPAI,MATCH(T36,L_PER,0),MATCH(U36,L_KED,0)),0))</f>
        <v/>
      </c>
      <c r="W36" s="17">
        <f>IF(OR(B36="",E36="",COUNTA(F36,H36,J36:M36,O36,Q36:R36,T36:U36)=0),"",SUM(G36,I36,N36,P36,S36,V36))</f>
        <v/>
      </c>
      <c r="X36" s="18">
        <f>IF(W36="","",IF(Murid!F36="TL","TL",ROUND(W36/110*100,2)))</f>
        <v/>
      </c>
    </row>
    <row r="37">
      <c r="A37" s="15">
        <f>Murid!A37</f>
        <v/>
      </c>
      <c r="B37" s="15">
        <f>IF(Murid!B37="","",Murid!B37)</f>
        <v/>
      </c>
      <c r="C37" s="16">
        <f>IF(Murid!C37="","",Murid!C37)</f>
        <v/>
      </c>
      <c r="D37" s="15">
        <f>IF(Murid!E37="","",Murid!E37)</f>
        <v/>
      </c>
      <c r="E37" s="11" t="n"/>
      <c r="F37" s="11" t="n"/>
      <c r="G37" s="10">
        <f>IF(F37="","",IFERROR(VLOOKUP(F37,T_JUB,2,FALSE),0))</f>
        <v/>
      </c>
      <c r="H37" s="11" t="n"/>
      <c r="I37" s="17">
        <f>IF(H37="","",IF(H37&gt;=12,40,ROUND(H37*3.33,2)))</f>
        <v/>
      </c>
      <c r="J37" s="11" t="n"/>
      <c r="K37" s="11" t="n"/>
      <c r="L37" s="11" t="n"/>
      <c r="M37" s="11" t="n"/>
      <c r="N37" s="10">
        <f>IF(COUNTA(J37:M37)=0,"",MIN(10,SUMPRODUCT((COUNTIF(J37:M37,L_KOM)&gt;0)*S_KOM)))</f>
        <v/>
      </c>
      <c r="O37" s="11" t="n"/>
      <c r="P37" s="10">
        <f>IF(O37="","",IFERROR(VLOOKUP(O37,T_KHID,2,FALSE),0))</f>
        <v/>
      </c>
      <c r="Q37" s="11" t="n"/>
      <c r="R37" s="11" t="n"/>
      <c r="S37" s="10">
        <f>IF(AND(Q37="",R37=""),"",IFERROR(INDEX(T_LIBAT,MATCH(Q37,L_PER,0),MATCH(R37,L_JENIS,0)),0))</f>
        <v/>
      </c>
      <c r="T37" s="11" t="n"/>
      <c r="U37" s="11" t="n"/>
      <c r="V37" s="10">
        <f>IF(AND(T37="",U37=""),"",IFERROR(INDEX(T_CAPAI,MATCH(T37,L_PER,0),MATCH(U37,L_KED,0)),0))</f>
        <v/>
      </c>
      <c r="W37" s="17">
        <f>IF(OR(B37="",E37="",COUNTA(F37,H37,J37:M37,O37,Q37:R37,T37:U37)=0),"",SUM(G37,I37,N37,P37,S37,V37))</f>
        <v/>
      </c>
      <c r="X37" s="18">
        <f>IF(W37="","",IF(Murid!F37="TL","TL",ROUND(W37/110*100,2)))</f>
        <v/>
      </c>
    </row>
    <row r="38">
      <c r="A38" s="15">
        <f>Murid!A38</f>
        <v/>
      </c>
      <c r="B38" s="15">
        <f>IF(Murid!B38="","",Murid!B38)</f>
        <v/>
      </c>
      <c r="C38" s="16">
        <f>IF(Murid!C38="","",Murid!C38)</f>
        <v/>
      </c>
      <c r="D38" s="15">
        <f>IF(Murid!E38="","",Murid!E38)</f>
        <v/>
      </c>
      <c r="E38" s="11" t="n"/>
      <c r="F38" s="11" t="n"/>
      <c r="G38" s="10">
        <f>IF(F38="","",IFERROR(VLOOKUP(F38,T_JUB,2,FALSE),0))</f>
        <v/>
      </c>
      <c r="H38" s="11" t="n"/>
      <c r="I38" s="17">
        <f>IF(H38="","",IF(H38&gt;=12,40,ROUND(H38*3.33,2)))</f>
        <v/>
      </c>
      <c r="J38" s="11" t="n"/>
      <c r="K38" s="11" t="n"/>
      <c r="L38" s="11" t="n"/>
      <c r="M38" s="11" t="n"/>
      <c r="N38" s="10">
        <f>IF(COUNTA(J38:M38)=0,"",MIN(10,SUMPRODUCT((COUNTIF(J38:M38,L_KOM)&gt;0)*S_KOM)))</f>
        <v/>
      </c>
      <c r="O38" s="11" t="n"/>
      <c r="P38" s="10">
        <f>IF(O38="","",IFERROR(VLOOKUP(O38,T_KHID,2,FALSE),0))</f>
        <v/>
      </c>
      <c r="Q38" s="11" t="n"/>
      <c r="R38" s="11" t="n"/>
      <c r="S38" s="10">
        <f>IF(AND(Q38="",R38=""),"",IFERROR(INDEX(T_LIBAT,MATCH(Q38,L_PER,0),MATCH(R38,L_JENIS,0)),0))</f>
        <v/>
      </c>
      <c r="T38" s="11" t="n"/>
      <c r="U38" s="11" t="n"/>
      <c r="V38" s="10">
        <f>IF(AND(T38="",U38=""),"",IFERROR(INDEX(T_CAPAI,MATCH(T38,L_PER,0),MATCH(U38,L_KED,0)),0))</f>
        <v/>
      </c>
      <c r="W38" s="17">
        <f>IF(OR(B38="",E38="",COUNTA(F38,H38,J38:M38,O38,Q38:R38,T38:U38)=0),"",SUM(G38,I38,N38,P38,S38,V38))</f>
        <v/>
      </c>
      <c r="X38" s="18">
        <f>IF(W38="","",IF(Murid!F38="TL","TL",ROUND(W38/110*100,2)))</f>
        <v/>
      </c>
    </row>
    <row r="39">
      <c r="A39" s="15">
        <f>Murid!A39</f>
        <v/>
      </c>
      <c r="B39" s="15">
        <f>IF(Murid!B39="","",Murid!B39)</f>
        <v/>
      </c>
      <c r="C39" s="16">
        <f>IF(Murid!C39="","",Murid!C39)</f>
        <v/>
      </c>
      <c r="D39" s="15">
        <f>IF(Murid!E39="","",Murid!E39)</f>
        <v/>
      </c>
      <c r="E39" s="11" t="n"/>
      <c r="F39" s="11" t="n"/>
      <c r="G39" s="10">
        <f>IF(F39="","",IFERROR(VLOOKUP(F39,T_JUB,2,FALSE),0))</f>
        <v/>
      </c>
      <c r="H39" s="11" t="n"/>
      <c r="I39" s="17">
        <f>IF(H39="","",IF(H39&gt;=12,40,ROUND(H39*3.33,2)))</f>
        <v/>
      </c>
      <c r="J39" s="11" t="n"/>
      <c r="K39" s="11" t="n"/>
      <c r="L39" s="11" t="n"/>
      <c r="M39" s="11" t="n"/>
      <c r="N39" s="10">
        <f>IF(COUNTA(J39:M39)=0,"",MIN(10,SUMPRODUCT((COUNTIF(J39:M39,L_KOM)&gt;0)*S_KOM)))</f>
        <v/>
      </c>
      <c r="O39" s="11" t="n"/>
      <c r="P39" s="10">
        <f>IF(O39="","",IFERROR(VLOOKUP(O39,T_KHID,2,FALSE),0))</f>
        <v/>
      </c>
      <c r="Q39" s="11" t="n"/>
      <c r="R39" s="11" t="n"/>
      <c r="S39" s="10">
        <f>IF(AND(Q39="",R39=""),"",IFERROR(INDEX(T_LIBAT,MATCH(Q39,L_PER,0),MATCH(R39,L_JENIS,0)),0))</f>
        <v/>
      </c>
      <c r="T39" s="11" t="n"/>
      <c r="U39" s="11" t="n"/>
      <c r="V39" s="10">
        <f>IF(AND(T39="",U39=""),"",IFERROR(INDEX(T_CAPAI,MATCH(T39,L_PER,0),MATCH(U39,L_KED,0)),0))</f>
        <v/>
      </c>
      <c r="W39" s="17">
        <f>IF(OR(B39="",E39="",COUNTA(F39,H39,J39:M39,O39,Q39:R39,T39:U39)=0),"",SUM(G39,I39,N39,P39,S39,V39))</f>
        <v/>
      </c>
      <c r="X39" s="18">
        <f>IF(W39="","",IF(Murid!F39="TL","TL",ROUND(W39/110*100,2)))</f>
        <v/>
      </c>
    </row>
    <row r="40">
      <c r="A40" s="15">
        <f>Murid!A40</f>
        <v/>
      </c>
      <c r="B40" s="15">
        <f>IF(Murid!B40="","",Murid!B40)</f>
        <v/>
      </c>
      <c r="C40" s="16">
        <f>IF(Murid!C40="","",Murid!C40)</f>
        <v/>
      </c>
      <c r="D40" s="15">
        <f>IF(Murid!E40="","",Murid!E40)</f>
        <v/>
      </c>
      <c r="E40" s="11" t="n"/>
      <c r="F40" s="11" t="n"/>
      <c r="G40" s="10">
        <f>IF(F40="","",IFERROR(VLOOKUP(F40,T_JUB,2,FALSE),0))</f>
        <v/>
      </c>
      <c r="H40" s="11" t="n"/>
      <c r="I40" s="17">
        <f>IF(H40="","",IF(H40&gt;=12,40,ROUND(H40*3.33,2)))</f>
        <v/>
      </c>
      <c r="J40" s="11" t="n"/>
      <c r="K40" s="11" t="n"/>
      <c r="L40" s="11" t="n"/>
      <c r="M40" s="11" t="n"/>
      <c r="N40" s="10">
        <f>IF(COUNTA(J40:M40)=0,"",MIN(10,SUMPRODUCT((COUNTIF(J40:M40,L_KOM)&gt;0)*S_KOM)))</f>
        <v/>
      </c>
      <c r="O40" s="11" t="n"/>
      <c r="P40" s="10">
        <f>IF(O40="","",IFERROR(VLOOKUP(O40,T_KHID,2,FALSE),0))</f>
        <v/>
      </c>
      <c r="Q40" s="11" t="n"/>
      <c r="R40" s="11" t="n"/>
      <c r="S40" s="10">
        <f>IF(AND(Q40="",R40=""),"",IFERROR(INDEX(T_LIBAT,MATCH(Q40,L_PER,0),MATCH(R40,L_JENIS,0)),0))</f>
        <v/>
      </c>
      <c r="T40" s="11" t="n"/>
      <c r="U40" s="11" t="n"/>
      <c r="V40" s="10">
        <f>IF(AND(T40="",U40=""),"",IFERROR(INDEX(T_CAPAI,MATCH(T40,L_PER,0),MATCH(U40,L_KED,0)),0))</f>
        <v/>
      </c>
      <c r="W40" s="17">
        <f>IF(OR(B40="",E40="",COUNTA(F40,H40,J40:M40,O40,Q40:R40,T40:U40)=0),"",SUM(G40,I40,N40,P40,S40,V40))</f>
        <v/>
      </c>
      <c r="X40" s="18">
        <f>IF(W40="","",IF(Murid!F40="TL","TL",ROUND(W40/110*100,2)))</f>
        <v/>
      </c>
    </row>
    <row r="41">
      <c r="A41" s="15">
        <f>Murid!A41</f>
        <v/>
      </c>
      <c r="B41" s="15">
        <f>IF(Murid!B41="","",Murid!B41)</f>
        <v/>
      </c>
      <c r="C41" s="16">
        <f>IF(Murid!C41="","",Murid!C41)</f>
        <v/>
      </c>
      <c r="D41" s="15">
        <f>IF(Murid!E41="","",Murid!E41)</f>
        <v/>
      </c>
      <c r="E41" s="11" t="n"/>
      <c r="F41" s="11" t="n"/>
      <c r="G41" s="10">
        <f>IF(F41="","",IFERROR(VLOOKUP(F41,T_JUB,2,FALSE),0))</f>
        <v/>
      </c>
      <c r="H41" s="11" t="n"/>
      <c r="I41" s="17">
        <f>IF(H41="","",IF(H41&gt;=12,40,ROUND(H41*3.33,2)))</f>
        <v/>
      </c>
      <c r="J41" s="11" t="n"/>
      <c r="K41" s="11" t="n"/>
      <c r="L41" s="11" t="n"/>
      <c r="M41" s="11" t="n"/>
      <c r="N41" s="10">
        <f>IF(COUNTA(J41:M41)=0,"",MIN(10,SUMPRODUCT((COUNTIF(J41:M41,L_KOM)&gt;0)*S_KOM)))</f>
        <v/>
      </c>
      <c r="O41" s="11" t="n"/>
      <c r="P41" s="10">
        <f>IF(O41="","",IFERROR(VLOOKUP(O41,T_KHID,2,FALSE),0))</f>
        <v/>
      </c>
      <c r="Q41" s="11" t="n"/>
      <c r="R41" s="11" t="n"/>
      <c r="S41" s="10">
        <f>IF(AND(Q41="",R41=""),"",IFERROR(INDEX(T_LIBAT,MATCH(Q41,L_PER,0),MATCH(R41,L_JENIS,0)),0))</f>
        <v/>
      </c>
      <c r="T41" s="11" t="n"/>
      <c r="U41" s="11" t="n"/>
      <c r="V41" s="10">
        <f>IF(AND(T41="",U41=""),"",IFERROR(INDEX(T_CAPAI,MATCH(T41,L_PER,0),MATCH(U41,L_KED,0)),0))</f>
        <v/>
      </c>
      <c r="W41" s="17">
        <f>IF(OR(B41="",E41="",COUNTA(F41,H41,J41:M41,O41,Q41:R41,T41:U41)=0),"",SUM(G41,I41,N41,P41,S41,V41))</f>
        <v/>
      </c>
      <c r="X41" s="18">
        <f>IF(W41="","",IF(Murid!F41="TL","TL",ROUND(W41/110*100,2)))</f>
        <v/>
      </c>
    </row>
    <row r="42">
      <c r="A42" s="15">
        <f>Murid!A42</f>
        <v/>
      </c>
      <c r="B42" s="15">
        <f>IF(Murid!B42="","",Murid!B42)</f>
        <v/>
      </c>
      <c r="C42" s="16">
        <f>IF(Murid!C42="","",Murid!C42)</f>
        <v/>
      </c>
      <c r="D42" s="15">
        <f>IF(Murid!E42="","",Murid!E42)</f>
        <v/>
      </c>
      <c r="E42" s="11" t="n"/>
      <c r="F42" s="11" t="n"/>
      <c r="G42" s="10">
        <f>IF(F42="","",IFERROR(VLOOKUP(F42,T_JUB,2,FALSE),0))</f>
        <v/>
      </c>
      <c r="H42" s="11" t="n"/>
      <c r="I42" s="17">
        <f>IF(H42="","",IF(H42&gt;=12,40,ROUND(H42*3.33,2)))</f>
        <v/>
      </c>
      <c r="J42" s="11" t="n"/>
      <c r="K42" s="11" t="n"/>
      <c r="L42" s="11" t="n"/>
      <c r="M42" s="11" t="n"/>
      <c r="N42" s="10">
        <f>IF(COUNTA(J42:M42)=0,"",MIN(10,SUMPRODUCT((COUNTIF(J42:M42,L_KOM)&gt;0)*S_KOM)))</f>
        <v/>
      </c>
      <c r="O42" s="11" t="n"/>
      <c r="P42" s="10">
        <f>IF(O42="","",IFERROR(VLOOKUP(O42,T_KHID,2,FALSE),0))</f>
        <v/>
      </c>
      <c r="Q42" s="11" t="n"/>
      <c r="R42" s="11" t="n"/>
      <c r="S42" s="10">
        <f>IF(AND(Q42="",R42=""),"",IFERROR(INDEX(T_LIBAT,MATCH(Q42,L_PER,0),MATCH(R42,L_JENIS,0)),0))</f>
        <v/>
      </c>
      <c r="T42" s="11" t="n"/>
      <c r="U42" s="11" t="n"/>
      <c r="V42" s="10">
        <f>IF(AND(T42="",U42=""),"",IFERROR(INDEX(T_CAPAI,MATCH(T42,L_PER,0),MATCH(U42,L_KED,0)),0))</f>
        <v/>
      </c>
      <c r="W42" s="17">
        <f>IF(OR(B42="",E42="",COUNTA(F42,H42,J42:M42,O42,Q42:R42,T42:U42)=0),"",SUM(G42,I42,N42,P42,S42,V42))</f>
        <v/>
      </c>
      <c r="X42" s="18">
        <f>IF(W42="","",IF(Murid!F42="TL","TL",ROUND(W42/110*100,2)))</f>
        <v/>
      </c>
    </row>
    <row r="43">
      <c r="A43" s="15">
        <f>Murid!A43</f>
        <v/>
      </c>
      <c r="B43" s="15">
        <f>IF(Murid!B43="","",Murid!B43)</f>
        <v/>
      </c>
      <c r="C43" s="16">
        <f>IF(Murid!C43="","",Murid!C43)</f>
        <v/>
      </c>
      <c r="D43" s="15">
        <f>IF(Murid!E43="","",Murid!E43)</f>
        <v/>
      </c>
      <c r="E43" s="11" t="n"/>
      <c r="F43" s="11" t="n"/>
      <c r="G43" s="10">
        <f>IF(F43="","",IFERROR(VLOOKUP(F43,T_JUB,2,FALSE),0))</f>
        <v/>
      </c>
      <c r="H43" s="11" t="n"/>
      <c r="I43" s="17">
        <f>IF(H43="","",IF(H43&gt;=12,40,ROUND(H43*3.33,2)))</f>
        <v/>
      </c>
      <c r="J43" s="11" t="n"/>
      <c r="K43" s="11" t="n"/>
      <c r="L43" s="11" t="n"/>
      <c r="M43" s="11" t="n"/>
      <c r="N43" s="10">
        <f>IF(COUNTA(J43:M43)=0,"",MIN(10,SUMPRODUCT((COUNTIF(J43:M43,L_KOM)&gt;0)*S_KOM)))</f>
        <v/>
      </c>
      <c r="O43" s="11" t="n"/>
      <c r="P43" s="10">
        <f>IF(O43="","",IFERROR(VLOOKUP(O43,T_KHID,2,FALSE),0))</f>
        <v/>
      </c>
      <c r="Q43" s="11" t="n"/>
      <c r="R43" s="11" t="n"/>
      <c r="S43" s="10">
        <f>IF(AND(Q43="",R43=""),"",IFERROR(INDEX(T_LIBAT,MATCH(Q43,L_PER,0),MATCH(R43,L_JENIS,0)),0))</f>
        <v/>
      </c>
      <c r="T43" s="11" t="n"/>
      <c r="U43" s="11" t="n"/>
      <c r="V43" s="10">
        <f>IF(AND(T43="",U43=""),"",IFERROR(INDEX(T_CAPAI,MATCH(T43,L_PER,0),MATCH(U43,L_KED,0)),0))</f>
        <v/>
      </c>
      <c r="W43" s="17">
        <f>IF(OR(B43="",E43="",COUNTA(F43,H43,J43:M43,O43,Q43:R43,T43:U43)=0),"",SUM(G43,I43,N43,P43,S43,V43))</f>
        <v/>
      </c>
      <c r="X43" s="18">
        <f>IF(W43="","",IF(Murid!F43="TL","TL",ROUND(W43/110*100,2)))</f>
        <v/>
      </c>
    </row>
    <row r="44">
      <c r="A44" s="15">
        <f>Murid!A44</f>
        <v/>
      </c>
      <c r="B44" s="15">
        <f>IF(Murid!B44="","",Murid!B44)</f>
        <v/>
      </c>
      <c r="C44" s="16">
        <f>IF(Murid!C44="","",Murid!C44)</f>
        <v/>
      </c>
      <c r="D44" s="15">
        <f>IF(Murid!E44="","",Murid!E44)</f>
        <v/>
      </c>
      <c r="E44" s="11" t="n"/>
      <c r="F44" s="11" t="n"/>
      <c r="G44" s="10">
        <f>IF(F44="","",IFERROR(VLOOKUP(F44,T_JUB,2,FALSE),0))</f>
        <v/>
      </c>
      <c r="H44" s="11" t="n"/>
      <c r="I44" s="17">
        <f>IF(H44="","",IF(H44&gt;=12,40,ROUND(H44*3.33,2)))</f>
        <v/>
      </c>
      <c r="J44" s="11" t="n"/>
      <c r="K44" s="11" t="n"/>
      <c r="L44" s="11" t="n"/>
      <c r="M44" s="11" t="n"/>
      <c r="N44" s="10">
        <f>IF(COUNTA(J44:M44)=0,"",MIN(10,SUMPRODUCT((COUNTIF(J44:M44,L_KOM)&gt;0)*S_KOM)))</f>
        <v/>
      </c>
      <c r="O44" s="11" t="n"/>
      <c r="P44" s="10">
        <f>IF(O44="","",IFERROR(VLOOKUP(O44,T_KHID,2,FALSE),0))</f>
        <v/>
      </c>
      <c r="Q44" s="11" t="n"/>
      <c r="R44" s="11" t="n"/>
      <c r="S44" s="10">
        <f>IF(AND(Q44="",R44=""),"",IFERROR(INDEX(T_LIBAT,MATCH(Q44,L_PER,0),MATCH(R44,L_JENIS,0)),0))</f>
        <v/>
      </c>
      <c r="T44" s="11" t="n"/>
      <c r="U44" s="11" t="n"/>
      <c r="V44" s="10">
        <f>IF(AND(T44="",U44=""),"",IFERROR(INDEX(T_CAPAI,MATCH(T44,L_PER,0),MATCH(U44,L_KED,0)),0))</f>
        <v/>
      </c>
      <c r="W44" s="17">
        <f>IF(OR(B44="",E44="",COUNTA(F44,H44,J44:M44,O44,Q44:R44,T44:U44)=0),"",SUM(G44,I44,N44,P44,S44,V44))</f>
        <v/>
      </c>
      <c r="X44" s="18">
        <f>IF(W44="","",IF(Murid!F44="TL","TL",ROUND(W44/110*100,2)))</f>
        <v/>
      </c>
    </row>
    <row r="45">
      <c r="A45" s="15">
        <f>Murid!A45</f>
        <v/>
      </c>
      <c r="B45" s="15">
        <f>IF(Murid!B45="","",Murid!B45)</f>
        <v/>
      </c>
      <c r="C45" s="16">
        <f>IF(Murid!C45="","",Murid!C45)</f>
        <v/>
      </c>
      <c r="D45" s="15">
        <f>IF(Murid!E45="","",Murid!E45)</f>
        <v/>
      </c>
      <c r="E45" s="11" t="n"/>
      <c r="F45" s="11" t="n"/>
      <c r="G45" s="10">
        <f>IF(F45="","",IFERROR(VLOOKUP(F45,T_JUB,2,FALSE),0))</f>
        <v/>
      </c>
      <c r="H45" s="11" t="n"/>
      <c r="I45" s="17">
        <f>IF(H45="","",IF(H45&gt;=12,40,ROUND(H45*3.33,2)))</f>
        <v/>
      </c>
      <c r="J45" s="11" t="n"/>
      <c r="K45" s="11" t="n"/>
      <c r="L45" s="11" t="n"/>
      <c r="M45" s="11" t="n"/>
      <c r="N45" s="10">
        <f>IF(COUNTA(J45:M45)=0,"",MIN(10,SUMPRODUCT((COUNTIF(J45:M45,L_KOM)&gt;0)*S_KOM)))</f>
        <v/>
      </c>
      <c r="O45" s="11" t="n"/>
      <c r="P45" s="10">
        <f>IF(O45="","",IFERROR(VLOOKUP(O45,T_KHID,2,FALSE),0))</f>
        <v/>
      </c>
      <c r="Q45" s="11" t="n"/>
      <c r="R45" s="11" t="n"/>
      <c r="S45" s="10">
        <f>IF(AND(Q45="",R45=""),"",IFERROR(INDEX(T_LIBAT,MATCH(Q45,L_PER,0),MATCH(R45,L_JENIS,0)),0))</f>
        <v/>
      </c>
      <c r="T45" s="11" t="n"/>
      <c r="U45" s="11" t="n"/>
      <c r="V45" s="10">
        <f>IF(AND(T45="",U45=""),"",IFERROR(INDEX(T_CAPAI,MATCH(T45,L_PER,0),MATCH(U45,L_KED,0)),0))</f>
        <v/>
      </c>
      <c r="W45" s="17">
        <f>IF(OR(B45="",E45="",COUNTA(F45,H45,J45:M45,O45,Q45:R45,T45:U45)=0),"",SUM(G45,I45,N45,P45,S45,V45))</f>
        <v/>
      </c>
      <c r="X45" s="18">
        <f>IF(W45="","",IF(Murid!F45="TL","TL",ROUND(W45/110*100,2)))</f>
        <v/>
      </c>
    </row>
    <row r="46">
      <c r="A46" s="15">
        <f>Murid!A46</f>
        <v/>
      </c>
      <c r="B46" s="15">
        <f>IF(Murid!B46="","",Murid!B46)</f>
        <v/>
      </c>
      <c r="C46" s="16">
        <f>IF(Murid!C46="","",Murid!C46)</f>
        <v/>
      </c>
      <c r="D46" s="15">
        <f>IF(Murid!E46="","",Murid!E46)</f>
        <v/>
      </c>
      <c r="E46" s="11" t="n"/>
      <c r="F46" s="11" t="n"/>
      <c r="G46" s="10">
        <f>IF(F46="","",IFERROR(VLOOKUP(F46,T_JUB,2,FALSE),0))</f>
        <v/>
      </c>
      <c r="H46" s="11" t="n"/>
      <c r="I46" s="17">
        <f>IF(H46="","",IF(H46&gt;=12,40,ROUND(H46*3.33,2)))</f>
        <v/>
      </c>
      <c r="J46" s="11" t="n"/>
      <c r="K46" s="11" t="n"/>
      <c r="L46" s="11" t="n"/>
      <c r="M46" s="11" t="n"/>
      <c r="N46" s="10">
        <f>IF(COUNTA(J46:M46)=0,"",MIN(10,SUMPRODUCT((COUNTIF(J46:M46,L_KOM)&gt;0)*S_KOM)))</f>
        <v/>
      </c>
      <c r="O46" s="11" t="n"/>
      <c r="P46" s="10">
        <f>IF(O46="","",IFERROR(VLOOKUP(O46,T_KHID,2,FALSE),0))</f>
        <v/>
      </c>
      <c r="Q46" s="11" t="n"/>
      <c r="R46" s="11" t="n"/>
      <c r="S46" s="10">
        <f>IF(AND(Q46="",R46=""),"",IFERROR(INDEX(T_LIBAT,MATCH(Q46,L_PER,0),MATCH(R46,L_JENIS,0)),0))</f>
        <v/>
      </c>
      <c r="T46" s="11" t="n"/>
      <c r="U46" s="11" t="n"/>
      <c r="V46" s="10">
        <f>IF(AND(T46="",U46=""),"",IFERROR(INDEX(T_CAPAI,MATCH(T46,L_PER,0),MATCH(U46,L_KED,0)),0))</f>
        <v/>
      </c>
      <c r="W46" s="17">
        <f>IF(OR(B46="",E46="",COUNTA(F46,H46,J46:M46,O46,Q46:R46,T46:U46)=0),"",SUM(G46,I46,N46,P46,S46,V46))</f>
        <v/>
      </c>
      <c r="X46" s="18">
        <f>IF(W46="","",IF(Murid!F46="TL","TL",ROUND(W46/110*100,2)))</f>
        <v/>
      </c>
    </row>
    <row r="47">
      <c r="A47" s="15">
        <f>Murid!A47</f>
        <v/>
      </c>
      <c r="B47" s="15">
        <f>IF(Murid!B47="","",Murid!B47)</f>
        <v/>
      </c>
      <c r="C47" s="16">
        <f>IF(Murid!C47="","",Murid!C47)</f>
        <v/>
      </c>
      <c r="D47" s="15">
        <f>IF(Murid!E47="","",Murid!E47)</f>
        <v/>
      </c>
      <c r="E47" s="11" t="n"/>
      <c r="F47" s="11" t="n"/>
      <c r="G47" s="10">
        <f>IF(F47="","",IFERROR(VLOOKUP(F47,T_JUB,2,FALSE),0))</f>
        <v/>
      </c>
      <c r="H47" s="11" t="n"/>
      <c r="I47" s="17">
        <f>IF(H47="","",IF(H47&gt;=12,40,ROUND(H47*3.33,2)))</f>
        <v/>
      </c>
      <c r="J47" s="11" t="n"/>
      <c r="K47" s="11" t="n"/>
      <c r="L47" s="11" t="n"/>
      <c r="M47" s="11" t="n"/>
      <c r="N47" s="10">
        <f>IF(COUNTA(J47:M47)=0,"",MIN(10,SUMPRODUCT((COUNTIF(J47:M47,L_KOM)&gt;0)*S_KOM)))</f>
        <v/>
      </c>
      <c r="O47" s="11" t="n"/>
      <c r="P47" s="10">
        <f>IF(O47="","",IFERROR(VLOOKUP(O47,T_KHID,2,FALSE),0))</f>
        <v/>
      </c>
      <c r="Q47" s="11" t="n"/>
      <c r="R47" s="11" t="n"/>
      <c r="S47" s="10">
        <f>IF(AND(Q47="",R47=""),"",IFERROR(INDEX(T_LIBAT,MATCH(Q47,L_PER,0),MATCH(R47,L_JENIS,0)),0))</f>
        <v/>
      </c>
      <c r="T47" s="11" t="n"/>
      <c r="U47" s="11" t="n"/>
      <c r="V47" s="10">
        <f>IF(AND(T47="",U47=""),"",IFERROR(INDEX(T_CAPAI,MATCH(T47,L_PER,0),MATCH(U47,L_KED,0)),0))</f>
        <v/>
      </c>
      <c r="W47" s="17">
        <f>IF(OR(B47="",E47="",COUNTA(F47,H47,J47:M47,O47,Q47:R47,T47:U47)=0),"",SUM(G47,I47,N47,P47,S47,V47))</f>
        <v/>
      </c>
      <c r="X47" s="18">
        <f>IF(W47="","",IF(Murid!F47="TL","TL",ROUND(W47/110*100,2)))</f>
        <v/>
      </c>
    </row>
    <row r="48">
      <c r="A48" s="15">
        <f>Murid!A48</f>
        <v/>
      </c>
      <c r="B48" s="15">
        <f>IF(Murid!B48="","",Murid!B48)</f>
        <v/>
      </c>
      <c r="C48" s="16">
        <f>IF(Murid!C48="","",Murid!C48)</f>
        <v/>
      </c>
      <c r="D48" s="15">
        <f>IF(Murid!E48="","",Murid!E48)</f>
        <v/>
      </c>
      <c r="E48" s="11" t="n"/>
      <c r="F48" s="11" t="n"/>
      <c r="G48" s="10">
        <f>IF(F48="","",IFERROR(VLOOKUP(F48,T_JUB,2,FALSE),0))</f>
        <v/>
      </c>
      <c r="H48" s="11" t="n"/>
      <c r="I48" s="17">
        <f>IF(H48="","",IF(H48&gt;=12,40,ROUND(H48*3.33,2)))</f>
        <v/>
      </c>
      <c r="J48" s="11" t="n"/>
      <c r="K48" s="11" t="n"/>
      <c r="L48" s="11" t="n"/>
      <c r="M48" s="11" t="n"/>
      <c r="N48" s="10">
        <f>IF(COUNTA(J48:M48)=0,"",MIN(10,SUMPRODUCT((COUNTIF(J48:M48,L_KOM)&gt;0)*S_KOM)))</f>
        <v/>
      </c>
      <c r="O48" s="11" t="n"/>
      <c r="P48" s="10">
        <f>IF(O48="","",IFERROR(VLOOKUP(O48,T_KHID,2,FALSE),0))</f>
        <v/>
      </c>
      <c r="Q48" s="11" t="n"/>
      <c r="R48" s="11" t="n"/>
      <c r="S48" s="10">
        <f>IF(AND(Q48="",R48=""),"",IFERROR(INDEX(T_LIBAT,MATCH(Q48,L_PER,0),MATCH(R48,L_JENIS,0)),0))</f>
        <v/>
      </c>
      <c r="T48" s="11" t="n"/>
      <c r="U48" s="11" t="n"/>
      <c r="V48" s="10">
        <f>IF(AND(T48="",U48=""),"",IFERROR(INDEX(T_CAPAI,MATCH(T48,L_PER,0),MATCH(U48,L_KED,0)),0))</f>
        <v/>
      </c>
      <c r="W48" s="17">
        <f>IF(OR(B48="",E48="",COUNTA(F48,H48,J48:M48,O48,Q48:R48,T48:U48)=0),"",SUM(G48,I48,N48,P48,S48,V48))</f>
        <v/>
      </c>
      <c r="X48" s="18">
        <f>IF(W48="","",IF(Murid!F48="TL","TL",ROUND(W48/110*100,2)))</f>
        <v/>
      </c>
    </row>
    <row r="49">
      <c r="A49" s="15">
        <f>Murid!A49</f>
        <v/>
      </c>
      <c r="B49" s="15">
        <f>IF(Murid!B49="","",Murid!B49)</f>
        <v/>
      </c>
      <c r="C49" s="16">
        <f>IF(Murid!C49="","",Murid!C49)</f>
        <v/>
      </c>
      <c r="D49" s="15">
        <f>IF(Murid!E49="","",Murid!E49)</f>
        <v/>
      </c>
      <c r="E49" s="11" t="n"/>
      <c r="F49" s="11" t="n"/>
      <c r="G49" s="10">
        <f>IF(F49="","",IFERROR(VLOOKUP(F49,T_JUB,2,FALSE),0))</f>
        <v/>
      </c>
      <c r="H49" s="11" t="n"/>
      <c r="I49" s="17">
        <f>IF(H49="","",IF(H49&gt;=12,40,ROUND(H49*3.33,2)))</f>
        <v/>
      </c>
      <c r="J49" s="11" t="n"/>
      <c r="K49" s="11" t="n"/>
      <c r="L49" s="11" t="n"/>
      <c r="M49" s="11" t="n"/>
      <c r="N49" s="10">
        <f>IF(COUNTA(J49:M49)=0,"",MIN(10,SUMPRODUCT((COUNTIF(J49:M49,L_KOM)&gt;0)*S_KOM)))</f>
        <v/>
      </c>
      <c r="O49" s="11" t="n"/>
      <c r="P49" s="10">
        <f>IF(O49="","",IFERROR(VLOOKUP(O49,T_KHID,2,FALSE),0))</f>
        <v/>
      </c>
      <c r="Q49" s="11" t="n"/>
      <c r="R49" s="11" t="n"/>
      <c r="S49" s="10">
        <f>IF(AND(Q49="",R49=""),"",IFERROR(INDEX(T_LIBAT,MATCH(Q49,L_PER,0),MATCH(R49,L_JENIS,0)),0))</f>
        <v/>
      </c>
      <c r="T49" s="11" t="n"/>
      <c r="U49" s="11" t="n"/>
      <c r="V49" s="10">
        <f>IF(AND(T49="",U49=""),"",IFERROR(INDEX(T_CAPAI,MATCH(T49,L_PER,0),MATCH(U49,L_KED,0)),0))</f>
        <v/>
      </c>
      <c r="W49" s="17">
        <f>IF(OR(B49="",E49="",COUNTA(F49,H49,J49:M49,O49,Q49:R49,T49:U49)=0),"",SUM(G49,I49,N49,P49,S49,V49))</f>
        <v/>
      </c>
      <c r="X49" s="18">
        <f>IF(W49="","",IF(Murid!F49="TL","TL",ROUND(W49/110*100,2)))</f>
        <v/>
      </c>
    </row>
    <row r="50">
      <c r="A50" s="15">
        <f>Murid!A50</f>
        <v/>
      </c>
      <c r="B50" s="15">
        <f>IF(Murid!B50="","",Murid!B50)</f>
        <v/>
      </c>
      <c r="C50" s="16">
        <f>IF(Murid!C50="","",Murid!C50)</f>
        <v/>
      </c>
      <c r="D50" s="15">
        <f>IF(Murid!E50="","",Murid!E50)</f>
        <v/>
      </c>
      <c r="E50" s="11" t="n"/>
      <c r="F50" s="11" t="n"/>
      <c r="G50" s="10">
        <f>IF(F50="","",IFERROR(VLOOKUP(F50,T_JUB,2,FALSE),0))</f>
        <v/>
      </c>
      <c r="H50" s="11" t="n"/>
      <c r="I50" s="17">
        <f>IF(H50="","",IF(H50&gt;=12,40,ROUND(H50*3.33,2)))</f>
        <v/>
      </c>
      <c r="J50" s="11" t="n"/>
      <c r="K50" s="11" t="n"/>
      <c r="L50" s="11" t="n"/>
      <c r="M50" s="11" t="n"/>
      <c r="N50" s="10">
        <f>IF(COUNTA(J50:M50)=0,"",MIN(10,SUMPRODUCT((COUNTIF(J50:M50,L_KOM)&gt;0)*S_KOM)))</f>
        <v/>
      </c>
      <c r="O50" s="11" t="n"/>
      <c r="P50" s="10">
        <f>IF(O50="","",IFERROR(VLOOKUP(O50,T_KHID,2,FALSE),0))</f>
        <v/>
      </c>
      <c r="Q50" s="11" t="n"/>
      <c r="R50" s="11" t="n"/>
      <c r="S50" s="10">
        <f>IF(AND(Q50="",R50=""),"",IFERROR(INDEX(T_LIBAT,MATCH(Q50,L_PER,0),MATCH(R50,L_JENIS,0)),0))</f>
        <v/>
      </c>
      <c r="T50" s="11" t="n"/>
      <c r="U50" s="11" t="n"/>
      <c r="V50" s="10">
        <f>IF(AND(T50="",U50=""),"",IFERROR(INDEX(T_CAPAI,MATCH(T50,L_PER,0),MATCH(U50,L_KED,0)),0))</f>
        <v/>
      </c>
      <c r="W50" s="17">
        <f>IF(OR(B50="",E50="",COUNTA(F50,H50,J50:M50,O50,Q50:R50,T50:U50)=0),"",SUM(G50,I50,N50,P50,S50,V50))</f>
        <v/>
      </c>
      <c r="X50" s="18">
        <f>IF(W50="","",IF(Murid!F50="TL","TL",ROUND(W50/110*100,2)))</f>
        <v/>
      </c>
    </row>
    <row r="51">
      <c r="A51" s="15">
        <f>Murid!A51</f>
        <v/>
      </c>
      <c r="B51" s="15">
        <f>IF(Murid!B51="","",Murid!B51)</f>
        <v/>
      </c>
      <c r="C51" s="16">
        <f>IF(Murid!C51="","",Murid!C51)</f>
        <v/>
      </c>
      <c r="D51" s="15">
        <f>IF(Murid!E51="","",Murid!E51)</f>
        <v/>
      </c>
      <c r="E51" s="11" t="n"/>
      <c r="F51" s="11" t="n"/>
      <c r="G51" s="10">
        <f>IF(F51="","",IFERROR(VLOOKUP(F51,T_JUB,2,FALSE),0))</f>
        <v/>
      </c>
      <c r="H51" s="11" t="n"/>
      <c r="I51" s="17">
        <f>IF(H51="","",IF(H51&gt;=12,40,ROUND(H51*3.33,2)))</f>
        <v/>
      </c>
      <c r="J51" s="11" t="n"/>
      <c r="K51" s="11" t="n"/>
      <c r="L51" s="11" t="n"/>
      <c r="M51" s="11" t="n"/>
      <c r="N51" s="10">
        <f>IF(COUNTA(J51:M51)=0,"",MIN(10,SUMPRODUCT((COUNTIF(J51:M51,L_KOM)&gt;0)*S_KOM)))</f>
        <v/>
      </c>
      <c r="O51" s="11" t="n"/>
      <c r="P51" s="10">
        <f>IF(O51="","",IFERROR(VLOOKUP(O51,T_KHID,2,FALSE),0))</f>
        <v/>
      </c>
      <c r="Q51" s="11" t="n"/>
      <c r="R51" s="11" t="n"/>
      <c r="S51" s="10">
        <f>IF(AND(Q51="",R51=""),"",IFERROR(INDEX(T_LIBAT,MATCH(Q51,L_PER,0),MATCH(R51,L_JENIS,0)),0))</f>
        <v/>
      </c>
      <c r="T51" s="11" t="n"/>
      <c r="U51" s="11" t="n"/>
      <c r="V51" s="10">
        <f>IF(AND(T51="",U51=""),"",IFERROR(INDEX(T_CAPAI,MATCH(T51,L_PER,0),MATCH(U51,L_KED,0)),0))</f>
        <v/>
      </c>
      <c r="W51" s="17">
        <f>IF(OR(B51="",E51="",COUNTA(F51,H51,J51:M51,O51,Q51:R51,T51:U51)=0),"",SUM(G51,I51,N51,P51,S51,V51))</f>
        <v/>
      </c>
      <c r="X51" s="18">
        <f>IF(W51="","",IF(Murid!F51="TL","TL",ROUND(W51/110*100,2)))</f>
        <v/>
      </c>
    </row>
    <row r="52">
      <c r="A52" s="15">
        <f>Murid!A52</f>
        <v/>
      </c>
      <c r="B52" s="15">
        <f>IF(Murid!B52="","",Murid!B52)</f>
        <v/>
      </c>
      <c r="C52" s="16">
        <f>IF(Murid!C52="","",Murid!C52)</f>
        <v/>
      </c>
      <c r="D52" s="15">
        <f>IF(Murid!E52="","",Murid!E52)</f>
        <v/>
      </c>
      <c r="E52" s="11" t="n"/>
      <c r="F52" s="11" t="n"/>
      <c r="G52" s="10">
        <f>IF(F52="","",IFERROR(VLOOKUP(F52,T_JUB,2,FALSE),0))</f>
        <v/>
      </c>
      <c r="H52" s="11" t="n"/>
      <c r="I52" s="17">
        <f>IF(H52="","",IF(H52&gt;=12,40,ROUND(H52*3.33,2)))</f>
        <v/>
      </c>
      <c r="J52" s="11" t="n"/>
      <c r="K52" s="11" t="n"/>
      <c r="L52" s="11" t="n"/>
      <c r="M52" s="11" t="n"/>
      <c r="N52" s="10">
        <f>IF(COUNTA(J52:M52)=0,"",MIN(10,SUMPRODUCT((COUNTIF(J52:M52,L_KOM)&gt;0)*S_KOM)))</f>
        <v/>
      </c>
      <c r="O52" s="11" t="n"/>
      <c r="P52" s="10">
        <f>IF(O52="","",IFERROR(VLOOKUP(O52,T_KHID,2,FALSE),0))</f>
        <v/>
      </c>
      <c r="Q52" s="11" t="n"/>
      <c r="R52" s="11" t="n"/>
      <c r="S52" s="10">
        <f>IF(AND(Q52="",R52=""),"",IFERROR(INDEX(T_LIBAT,MATCH(Q52,L_PER,0),MATCH(R52,L_JENIS,0)),0))</f>
        <v/>
      </c>
      <c r="T52" s="11" t="n"/>
      <c r="U52" s="11" t="n"/>
      <c r="V52" s="10">
        <f>IF(AND(T52="",U52=""),"",IFERROR(INDEX(T_CAPAI,MATCH(T52,L_PER,0),MATCH(U52,L_KED,0)),0))</f>
        <v/>
      </c>
      <c r="W52" s="17">
        <f>IF(OR(B52="",E52="",COUNTA(F52,H52,J52:M52,O52,Q52:R52,T52:U52)=0),"",SUM(G52,I52,N52,P52,S52,V52))</f>
        <v/>
      </c>
      <c r="X52" s="18">
        <f>IF(W52="","",IF(Murid!F52="TL","TL",ROUND(W52/110*100,2)))</f>
        <v/>
      </c>
    </row>
    <row r="53">
      <c r="A53" s="15">
        <f>Murid!A53</f>
        <v/>
      </c>
      <c r="B53" s="15">
        <f>IF(Murid!B53="","",Murid!B53)</f>
        <v/>
      </c>
      <c r="C53" s="16">
        <f>IF(Murid!C53="","",Murid!C53)</f>
        <v/>
      </c>
      <c r="D53" s="15">
        <f>IF(Murid!E53="","",Murid!E53)</f>
        <v/>
      </c>
      <c r="E53" s="11" t="n"/>
      <c r="F53" s="11" t="n"/>
      <c r="G53" s="10">
        <f>IF(F53="","",IFERROR(VLOOKUP(F53,T_JUB,2,FALSE),0))</f>
        <v/>
      </c>
      <c r="H53" s="11" t="n"/>
      <c r="I53" s="17">
        <f>IF(H53="","",IF(H53&gt;=12,40,ROUND(H53*3.33,2)))</f>
        <v/>
      </c>
      <c r="J53" s="11" t="n"/>
      <c r="K53" s="11" t="n"/>
      <c r="L53" s="11" t="n"/>
      <c r="M53" s="11" t="n"/>
      <c r="N53" s="10">
        <f>IF(COUNTA(J53:M53)=0,"",MIN(10,SUMPRODUCT((COUNTIF(J53:M53,L_KOM)&gt;0)*S_KOM)))</f>
        <v/>
      </c>
      <c r="O53" s="11" t="n"/>
      <c r="P53" s="10">
        <f>IF(O53="","",IFERROR(VLOOKUP(O53,T_KHID,2,FALSE),0))</f>
        <v/>
      </c>
      <c r="Q53" s="11" t="n"/>
      <c r="R53" s="11" t="n"/>
      <c r="S53" s="10">
        <f>IF(AND(Q53="",R53=""),"",IFERROR(INDEX(T_LIBAT,MATCH(Q53,L_PER,0),MATCH(R53,L_JENIS,0)),0))</f>
        <v/>
      </c>
      <c r="T53" s="11" t="n"/>
      <c r="U53" s="11" t="n"/>
      <c r="V53" s="10">
        <f>IF(AND(T53="",U53=""),"",IFERROR(INDEX(T_CAPAI,MATCH(T53,L_PER,0),MATCH(U53,L_KED,0)),0))</f>
        <v/>
      </c>
      <c r="W53" s="17">
        <f>IF(OR(B53="",E53="",COUNTA(F53,H53,J53:M53,O53,Q53:R53,T53:U53)=0),"",SUM(G53,I53,N53,P53,S53,V53))</f>
        <v/>
      </c>
      <c r="X53" s="18">
        <f>IF(W53="","",IF(Murid!F53="TL","TL",ROUND(W53/110*100,2)))</f>
        <v/>
      </c>
    </row>
    <row r="54">
      <c r="A54" s="15">
        <f>Murid!A54</f>
        <v/>
      </c>
      <c r="B54" s="15">
        <f>IF(Murid!B54="","",Murid!B54)</f>
        <v/>
      </c>
      <c r="C54" s="16">
        <f>IF(Murid!C54="","",Murid!C54)</f>
        <v/>
      </c>
      <c r="D54" s="15">
        <f>IF(Murid!E54="","",Murid!E54)</f>
        <v/>
      </c>
      <c r="E54" s="11" t="n"/>
      <c r="F54" s="11" t="n"/>
      <c r="G54" s="10">
        <f>IF(F54="","",IFERROR(VLOOKUP(F54,T_JUB,2,FALSE),0))</f>
        <v/>
      </c>
      <c r="H54" s="11" t="n"/>
      <c r="I54" s="17">
        <f>IF(H54="","",IF(H54&gt;=12,40,ROUND(H54*3.33,2)))</f>
        <v/>
      </c>
      <c r="J54" s="11" t="n"/>
      <c r="K54" s="11" t="n"/>
      <c r="L54" s="11" t="n"/>
      <c r="M54" s="11" t="n"/>
      <c r="N54" s="10">
        <f>IF(COUNTA(J54:M54)=0,"",MIN(10,SUMPRODUCT((COUNTIF(J54:M54,L_KOM)&gt;0)*S_KOM)))</f>
        <v/>
      </c>
      <c r="O54" s="11" t="n"/>
      <c r="P54" s="10">
        <f>IF(O54="","",IFERROR(VLOOKUP(O54,T_KHID,2,FALSE),0))</f>
        <v/>
      </c>
      <c r="Q54" s="11" t="n"/>
      <c r="R54" s="11" t="n"/>
      <c r="S54" s="10">
        <f>IF(AND(Q54="",R54=""),"",IFERROR(INDEX(T_LIBAT,MATCH(Q54,L_PER,0),MATCH(R54,L_JENIS,0)),0))</f>
        <v/>
      </c>
      <c r="T54" s="11" t="n"/>
      <c r="U54" s="11" t="n"/>
      <c r="V54" s="10">
        <f>IF(AND(T54="",U54=""),"",IFERROR(INDEX(T_CAPAI,MATCH(T54,L_PER,0),MATCH(U54,L_KED,0)),0))</f>
        <v/>
      </c>
      <c r="W54" s="17">
        <f>IF(OR(B54="",E54="",COUNTA(F54,H54,J54:M54,O54,Q54:R54,T54:U54)=0),"",SUM(G54,I54,N54,P54,S54,V54))</f>
        <v/>
      </c>
      <c r="X54" s="18">
        <f>IF(W54="","",IF(Murid!F54="TL","TL",ROUND(W54/110*100,2)))</f>
        <v/>
      </c>
    </row>
    <row r="55">
      <c r="A55" s="15">
        <f>Murid!A55</f>
        <v/>
      </c>
      <c r="B55" s="15">
        <f>IF(Murid!B55="","",Murid!B55)</f>
        <v/>
      </c>
      <c r="C55" s="16">
        <f>IF(Murid!C55="","",Murid!C55)</f>
        <v/>
      </c>
      <c r="D55" s="15">
        <f>IF(Murid!E55="","",Murid!E55)</f>
        <v/>
      </c>
      <c r="E55" s="11" t="n"/>
      <c r="F55" s="11" t="n"/>
      <c r="G55" s="10">
        <f>IF(F55="","",IFERROR(VLOOKUP(F55,T_JUB,2,FALSE),0))</f>
        <v/>
      </c>
      <c r="H55" s="11" t="n"/>
      <c r="I55" s="17">
        <f>IF(H55="","",IF(H55&gt;=12,40,ROUND(H55*3.33,2)))</f>
        <v/>
      </c>
      <c r="J55" s="11" t="n"/>
      <c r="K55" s="11" t="n"/>
      <c r="L55" s="11" t="n"/>
      <c r="M55" s="11" t="n"/>
      <c r="N55" s="10">
        <f>IF(COUNTA(J55:M55)=0,"",MIN(10,SUMPRODUCT((COUNTIF(J55:M55,L_KOM)&gt;0)*S_KOM)))</f>
        <v/>
      </c>
      <c r="O55" s="11" t="n"/>
      <c r="P55" s="10">
        <f>IF(O55="","",IFERROR(VLOOKUP(O55,T_KHID,2,FALSE),0))</f>
        <v/>
      </c>
      <c r="Q55" s="11" t="n"/>
      <c r="R55" s="11" t="n"/>
      <c r="S55" s="10">
        <f>IF(AND(Q55="",R55=""),"",IFERROR(INDEX(T_LIBAT,MATCH(Q55,L_PER,0),MATCH(R55,L_JENIS,0)),0))</f>
        <v/>
      </c>
      <c r="T55" s="11" t="n"/>
      <c r="U55" s="11" t="n"/>
      <c r="V55" s="10">
        <f>IF(AND(T55="",U55=""),"",IFERROR(INDEX(T_CAPAI,MATCH(T55,L_PER,0),MATCH(U55,L_KED,0)),0))</f>
        <v/>
      </c>
      <c r="W55" s="17">
        <f>IF(OR(B55="",E55="",COUNTA(F55,H55,J55:M55,O55,Q55:R55,T55:U55)=0),"",SUM(G55,I55,N55,P55,S55,V55))</f>
        <v/>
      </c>
      <c r="X55" s="18">
        <f>IF(W55="","",IF(Murid!F55="TL","TL",ROUND(W55/110*100,2)))</f>
        <v/>
      </c>
    </row>
    <row r="56">
      <c r="A56" s="15">
        <f>Murid!A56</f>
        <v/>
      </c>
      <c r="B56" s="15">
        <f>IF(Murid!B56="","",Murid!B56)</f>
        <v/>
      </c>
      <c r="C56" s="16">
        <f>IF(Murid!C56="","",Murid!C56)</f>
        <v/>
      </c>
      <c r="D56" s="15">
        <f>IF(Murid!E56="","",Murid!E56)</f>
        <v/>
      </c>
      <c r="E56" s="11" t="n"/>
      <c r="F56" s="11" t="n"/>
      <c r="G56" s="10">
        <f>IF(F56="","",IFERROR(VLOOKUP(F56,T_JUB,2,FALSE),0))</f>
        <v/>
      </c>
      <c r="H56" s="11" t="n"/>
      <c r="I56" s="17">
        <f>IF(H56="","",IF(H56&gt;=12,40,ROUND(H56*3.33,2)))</f>
        <v/>
      </c>
      <c r="J56" s="11" t="n"/>
      <c r="K56" s="11" t="n"/>
      <c r="L56" s="11" t="n"/>
      <c r="M56" s="11" t="n"/>
      <c r="N56" s="10">
        <f>IF(COUNTA(J56:M56)=0,"",MIN(10,SUMPRODUCT((COUNTIF(J56:M56,L_KOM)&gt;0)*S_KOM)))</f>
        <v/>
      </c>
      <c r="O56" s="11" t="n"/>
      <c r="P56" s="10">
        <f>IF(O56="","",IFERROR(VLOOKUP(O56,T_KHID,2,FALSE),0))</f>
        <v/>
      </c>
      <c r="Q56" s="11" t="n"/>
      <c r="R56" s="11" t="n"/>
      <c r="S56" s="10">
        <f>IF(AND(Q56="",R56=""),"",IFERROR(INDEX(T_LIBAT,MATCH(Q56,L_PER,0),MATCH(R56,L_JENIS,0)),0))</f>
        <v/>
      </c>
      <c r="T56" s="11" t="n"/>
      <c r="U56" s="11" t="n"/>
      <c r="V56" s="10">
        <f>IF(AND(T56="",U56=""),"",IFERROR(INDEX(T_CAPAI,MATCH(T56,L_PER,0),MATCH(U56,L_KED,0)),0))</f>
        <v/>
      </c>
      <c r="W56" s="17">
        <f>IF(OR(B56="",E56="",COUNTA(F56,H56,J56:M56,O56,Q56:R56,T56:U56)=0),"",SUM(G56,I56,N56,P56,S56,V56))</f>
        <v/>
      </c>
      <c r="X56" s="18">
        <f>IF(W56="","",IF(Murid!F56="TL","TL",ROUND(W56/110*100,2)))</f>
        <v/>
      </c>
    </row>
    <row r="57">
      <c r="A57" s="15">
        <f>Murid!A57</f>
        <v/>
      </c>
      <c r="B57" s="15">
        <f>IF(Murid!B57="","",Murid!B57)</f>
        <v/>
      </c>
      <c r="C57" s="16">
        <f>IF(Murid!C57="","",Murid!C57)</f>
        <v/>
      </c>
      <c r="D57" s="15">
        <f>IF(Murid!E57="","",Murid!E57)</f>
        <v/>
      </c>
      <c r="E57" s="11" t="n"/>
      <c r="F57" s="11" t="n"/>
      <c r="G57" s="10">
        <f>IF(F57="","",IFERROR(VLOOKUP(F57,T_JUB,2,FALSE),0))</f>
        <v/>
      </c>
      <c r="H57" s="11" t="n"/>
      <c r="I57" s="17">
        <f>IF(H57="","",IF(H57&gt;=12,40,ROUND(H57*3.33,2)))</f>
        <v/>
      </c>
      <c r="J57" s="11" t="n"/>
      <c r="K57" s="11" t="n"/>
      <c r="L57" s="11" t="n"/>
      <c r="M57" s="11" t="n"/>
      <c r="N57" s="10">
        <f>IF(COUNTA(J57:M57)=0,"",MIN(10,SUMPRODUCT((COUNTIF(J57:M57,L_KOM)&gt;0)*S_KOM)))</f>
        <v/>
      </c>
      <c r="O57" s="11" t="n"/>
      <c r="P57" s="10">
        <f>IF(O57="","",IFERROR(VLOOKUP(O57,T_KHID,2,FALSE),0))</f>
        <v/>
      </c>
      <c r="Q57" s="11" t="n"/>
      <c r="R57" s="11" t="n"/>
      <c r="S57" s="10">
        <f>IF(AND(Q57="",R57=""),"",IFERROR(INDEX(T_LIBAT,MATCH(Q57,L_PER,0),MATCH(R57,L_JENIS,0)),0))</f>
        <v/>
      </c>
      <c r="T57" s="11" t="n"/>
      <c r="U57" s="11" t="n"/>
      <c r="V57" s="10">
        <f>IF(AND(T57="",U57=""),"",IFERROR(INDEX(T_CAPAI,MATCH(T57,L_PER,0),MATCH(U57,L_KED,0)),0))</f>
        <v/>
      </c>
      <c r="W57" s="17">
        <f>IF(OR(B57="",E57="",COUNTA(F57,H57,J57:M57,O57,Q57:R57,T57:U57)=0),"",SUM(G57,I57,N57,P57,S57,V57))</f>
        <v/>
      </c>
      <c r="X57" s="18">
        <f>IF(W57="","",IF(Murid!F57="TL","TL",ROUND(W57/110*100,2)))</f>
        <v/>
      </c>
    </row>
    <row r="58">
      <c r="A58" s="15">
        <f>Murid!A58</f>
        <v/>
      </c>
      <c r="B58" s="15">
        <f>IF(Murid!B58="","",Murid!B58)</f>
        <v/>
      </c>
      <c r="C58" s="16">
        <f>IF(Murid!C58="","",Murid!C58)</f>
        <v/>
      </c>
      <c r="D58" s="15">
        <f>IF(Murid!E58="","",Murid!E58)</f>
        <v/>
      </c>
      <c r="E58" s="11" t="n"/>
      <c r="F58" s="11" t="n"/>
      <c r="G58" s="10">
        <f>IF(F58="","",IFERROR(VLOOKUP(F58,T_JUB,2,FALSE),0))</f>
        <v/>
      </c>
      <c r="H58" s="11" t="n"/>
      <c r="I58" s="17">
        <f>IF(H58="","",IF(H58&gt;=12,40,ROUND(H58*3.33,2)))</f>
        <v/>
      </c>
      <c r="J58" s="11" t="n"/>
      <c r="K58" s="11" t="n"/>
      <c r="L58" s="11" t="n"/>
      <c r="M58" s="11" t="n"/>
      <c r="N58" s="10">
        <f>IF(COUNTA(J58:M58)=0,"",MIN(10,SUMPRODUCT((COUNTIF(J58:M58,L_KOM)&gt;0)*S_KOM)))</f>
        <v/>
      </c>
      <c r="O58" s="11" t="n"/>
      <c r="P58" s="10">
        <f>IF(O58="","",IFERROR(VLOOKUP(O58,T_KHID,2,FALSE),0))</f>
        <v/>
      </c>
      <c r="Q58" s="11" t="n"/>
      <c r="R58" s="11" t="n"/>
      <c r="S58" s="10">
        <f>IF(AND(Q58="",R58=""),"",IFERROR(INDEX(T_LIBAT,MATCH(Q58,L_PER,0),MATCH(R58,L_JENIS,0)),0))</f>
        <v/>
      </c>
      <c r="T58" s="11" t="n"/>
      <c r="U58" s="11" t="n"/>
      <c r="V58" s="10">
        <f>IF(AND(T58="",U58=""),"",IFERROR(INDEX(T_CAPAI,MATCH(T58,L_PER,0),MATCH(U58,L_KED,0)),0))</f>
        <v/>
      </c>
      <c r="W58" s="17">
        <f>IF(OR(B58="",E58="",COUNTA(F58,H58,J58:M58,O58,Q58:R58,T58:U58)=0),"",SUM(G58,I58,N58,P58,S58,V58))</f>
        <v/>
      </c>
      <c r="X58" s="18">
        <f>IF(W58="","",IF(Murid!F58="TL","TL",ROUND(W58/110*100,2)))</f>
        <v/>
      </c>
    </row>
    <row r="59">
      <c r="A59" s="15">
        <f>Murid!A59</f>
        <v/>
      </c>
      <c r="B59" s="15">
        <f>IF(Murid!B59="","",Murid!B59)</f>
        <v/>
      </c>
      <c r="C59" s="16">
        <f>IF(Murid!C59="","",Murid!C59)</f>
        <v/>
      </c>
      <c r="D59" s="15">
        <f>IF(Murid!E59="","",Murid!E59)</f>
        <v/>
      </c>
      <c r="E59" s="11" t="n"/>
      <c r="F59" s="11" t="n"/>
      <c r="G59" s="10">
        <f>IF(F59="","",IFERROR(VLOOKUP(F59,T_JUB,2,FALSE),0))</f>
        <v/>
      </c>
      <c r="H59" s="11" t="n"/>
      <c r="I59" s="17">
        <f>IF(H59="","",IF(H59&gt;=12,40,ROUND(H59*3.33,2)))</f>
        <v/>
      </c>
      <c r="J59" s="11" t="n"/>
      <c r="K59" s="11" t="n"/>
      <c r="L59" s="11" t="n"/>
      <c r="M59" s="11" t="n"/>
      <c r="N59" s="10">
        <f>IF(COUNTA(J59:M59)=0,"",MIN(10,SUMPRODUCT((COUNTIF(J59:M59,L_KOM)&gt;0)*S_KOM)))</f>
        <v/>
      </c>
      <c r="O59" s="11" t="n"/>
      <c r="P59" s="10">
        <f>IF(O59="","",IFERROR(VLOOKUP(O59,T_KHID,2,FALSE),0))</f>
        <v/>
      </c>
      <c r="Q59" s="11" t="n"/>
      <c r="R59" s="11" t="n"/>
      <c r="S59" s="10">
        <f>IF(AND(Q59="",R59=""),"",IFERROR(INDEX(T_LIBAT,MATCH(Q59,L_PER,0),MATCH(R59,L_JENIS,0)),0))</f>
        <v/>
      </c>
      <c r="T59" s="11" t="n"/>
      <c r="U59" s="11" t="n"/>
      <c r="V59" s="10">
        <f>IF(AND(T59="",U59=""),"",IFERROR(INDEX(T_CAPAI,MATCH(T59,L_PER,0),MATCH(U59,L_KED,0)),0))</f>
        <v/>
      </c>
      <c r="W59" s="17">
        <f>IF(OR(B59="",E59="",COUNTA(F59,H59,J59:M59,O59,Q59:R59,T59:U59)=0),"",SUM(G59,I59,N59,P59,S59,V59))</f>
        <v/>
      </c>
      <c r="X59" s="18">
        <f>IF(W59="","",IF(Murid!F59="TL","TL",ROUND(W59/110*100,2)))</f>
        <v/>
      </c>
    </row>
    <row r="60">
      <c r="A60" s="15">
        <f>Murid!A60</f>
        <v/>
      </c>
      <c r="B60" s="15">
        <f>IF(Murid!B60="","",Murid!B60)</f>
        <v/>
      </c>
      <c r="C60" s="16">
        <f>IF(Murid!C60="","",Murid!C60)</f>
        <v/>
      </c>
      <c r="D60" s="15">
        <f>IF(Murid!E60="","",Murid!E60)</f>
        <v/>
      </c>
      <c r="E60" s="11" t="n"/>
      <c r="F60" s="11" t="n"/>
      <c r="G60" s="10">
        <f>IF(F60="","",IFERROR(VLOOKUP(F60,T_JUB,2,FALSE),0))</f>
        <v/>
      </c>
      <c r="H60" s="11" t="n"/>
      <c r="I60" s="17">
        <f>IF(H60="","",IF(H60&gt;=12,40,ROUND(H60*3.33,2)))</f>
        <v/>
      </c>
      <c r="J60" s="11" t="n"/>
      <c r="K60" s="11" t="n"/>
      <c r="L60" s="11" t="n"/>
      <c r="M60" s="11" t="n"/>
      <c r="N60" s="10">
        <f>IF(COUNTA(J60:M60)=0,"",MIN(10,SUMPRODUCT((COUNTIF(J60:M60,L_KOM)&gt;0)*S_KOM)))</f>
        <v/>
      </c>
      <c r="O60" s="11" t="n"/>
      <c r="P60" s="10">
        <f>IF(O60="","",IFERROR(VLOOKUP(O60,T_KHID,2,FALSE),0))</f>
        <v/>
      </c>
      <c r="Q60" s="11" t="n"/>
      <c r="R60" s="11" t="n"/>
      <c r="S60" s="10">
        <f>IF(AND(Q60="",R60=""),"",IFERROR(INDEX(T_LIBAT,MATCH(Q60,L_PER,0),MATCH(R60,L_JENIS,0)),0))</f>
        <v/>
      </c>
      <c r="T60" s="11" t="n"/>
      <c r="U60" s="11" t="n"/>
      <c r="V60" s="10">
        <f>IF(AND(T60="",U60=""),"",IFERROR(INDEX(T_CAPAI,MATCH(T60,L_PER,0),MATCH(U60,L_KED,0)),0))</f>
        <v/>
      </c>
      <c r="W60" s="17">
        <f>IF(OR(B60="",E60="",COUNTA(F60,H60,J60:M60,O60,Q60:R60,T60:U60)=0),"",SUM(G60,I60,N60,P60,S60,V60))</f>
        <v/>
      </c>
      <c r="X60" s="18">
        <f>IF(W60="","",IF(Murid!F60="TL","TL",ROUND(W60/110*100,2)))</f>
        <v/>
      </c>
    </row>
    <row r="61">
      <c r="A61" s="15">
        <f>Murid!A61</f>
        <v/>
      </c>
      <c r="B61" s="15">
        <f>IF(Murid!B61="","",Murid!B61)</f>
        <v/>
      </c>
      <c r="C61" s="16">
        <f>IF(Murid!C61="","",Murid!C61)</f>
        <v/>
      </c>
      <c r="D61" s="15">
        <f>IF(Murid!E61="","",Murid!E61)</f>
        <v/>
      </c>
      <c r="E61" s="11" t="n"/>
      <c r="F61" s="11" t="n"/>
      <c r="G61" s="10">
        <f>IF(F61="","",IFERROR(VLOOKUP(F61,T_JUB,2,FALSE),0))</f>
        <v/>
      </c>
      <c r="H61" s="11" t="n"/>
      <c r="I61" s="17">
        <f>IF(H61="","",IF(H61&gt;=12,40,ROUND(H61*3.33,2)))</f>
        <v/>
      </c>
      <c r="J61" s="11" t="n"/>
      <c r="K61" s="11" t="n"/>
      <c r="L61" s="11" t="n"/>
      <c r="M61" s="11" t="n"/>
      <c r="N61" s="10">
        <f>IF(COUNTA(J61:M61)=0,"",MIN(10,SUMPRODUCT((COUNTIF(J61:M61,L_KOM)&gt;0)*S_KOM)))</f>
        <v/>
      </c>
      <c r="O61" s="11" t="n"/>
      <c r="P61" s="10">
        <f>IF(O61="","",IFERROR(VLOOKUP(O61,T_KHID,2,FALSE),0))</f>
        <v/>
      </c>
      <c r="Q61" s="11" t="n"/>
      <c r="R61" s="11" t="n"/>
      <c r="S61" s="10">
        <f>IF(AND(Q61="",R61=""),"",IFERROR(INDEX(T_LIBAT,MATCH(Q61,L_PER,0),MATCH(R61,L_JENIS,0)),0))</f>
        <v/>
      </c>
      <c r="T61" s="11" t="n"/>
      <c r="U61" s="11" t="n"/>
      <c r="V61" s="10">
        <f>IF(AND(T61="",U61=""),"",IFERROR(INDEX(T_CAPAI,MATCH(T61,L_PER,0),MATCH(U61,L_KED,0)),0))</f>
        <v/>
      </c>
      <c r="W61" s="17">
        <f>IF(OR(B61="",E61="",COUNTA(F61,H61,J61:M61,O61,Q61:R61,T61:U61)=0),"",SUM(G61,I61,N61,P61,S61,V61))</f>
        <v/>
      </c>
      <c r="X61" s="18">
        <f>IF(W61="","",IF(Murid!F61="TL","TL",ROUND(W61/110*100,2)))</f>
        <v/>
      </c>
    </row>
    <row r="62">
      <c r="A62" s="15">
        <f>Murid!A62</f>
        <v/>
      </c>
      <c r="B62" s="15">
        <f>IF(Murid!B62="","",Murid!B62)</f>
        <v/>
      </c>
      <c r="C62" s="16">
        <f>IF(Murid!C62="","",Murid!C62)</f>
        <v/>
      </c>
      <c r="D62" s="15">
        <f>IF(Murid!E62="","",Murid!E62)</f>
        <v/>
      </c>
      <c r="E62" s="11" t="n"/>
      <c r="F62" s="11" t="n"/>
      <c r="G62" s="10">
        <f>IF(F62="","",IFERROR(VLOOKUP(F62,T_JUB,2,FALSE),0))</f>
        <v/>
      </c>
      <c r="H62" s="11" t="n"/>
      <c r="I62" s="17">
        <f>IF(H62="","",IF(H62&gt;=12,40,ROUND(H62*3.33,2)))</f>
        <v/>
      </c>
      <c r="J62" s="11" t="n"/>
      <c r="K62" s="11" t="n"/>
      <c r="L62" s="11" t="n"/>
      <c r="M62" s="11" t="n"/>
      <c r="N62" s="10">
        <f>IF(COUNTA(J62:M62)=0,"",MIN(10,SUMPRODUCT((COUNTIF(J62:M62,L_KOM)&gt;0)*S_KOM)))</f>
        <v/>
      </c>
      <c r="O62" s="11" t="n"/>
      <c r="P62" s="10">
        <f>IF(O62="","",IFERROR(VLOOKUP(O62,T_KHID,2,FALSE),0))</f>
        <v/>
      </c>
      <c r="Q62" s="11" t="n"/>
      <c r="R62" s="11" t="n"/>
      <c r="S62" s="10">
        <f>IF(AND(Q62="",R62=""),"",IFERROR(INDEX(T_LIBAT,MATCH(Q62,L_PER,0),MATCH(R62,L_JENIS,0)),0))</f>
        <v/>
      </c>
      <c r="T62" s="11" t="n"/>
      <c r="U62" s="11" t="n"/>
      <c r="V62" s="10">
        <f>IF(AND(T62="",U62=""),"",IFERROR(INDEX(T_CAPAI,MATCH(T62,L_PER,0),MATCH(U62,L_KED,0)),0))</f>
        <v/>
      </c>
      <c r="W62" s="17">
        <f>IF(OR(B62="",E62="",COUNTA(F62,H62,J62:M62,O62,Q62:R62,T62:U62)=0),"",SUM(G62,I62,N62,P62,S62,V62))</f>
        <v/>
      </c>
      <c r="X62" s="18">
        <f>IF(W62="","",IF(Murid!F62="TL","TL",ROUND(W62/110*100,2)))</f>
        <v/>
      </c>
    </row>
    <row r="63">
      <c r="A63" s="15">
        <f>Murid!A63</f>
        <v/>
      </c>
      <c r="B63" s="15">
        <f>IF(Murid!B63="","",Murid!B63)</f>
        <v/>
      </c>
      <c r="C63" s="16">
        <f>IF(Murid!C63="","",Murid!C63)</f>
        <v/>
      </c>
      <c r="D63" s="15">
        <f>IF(Murid!E63="","",Murid!E63)</f>
        <v/>
      </c>
      <c r="E63" s="11" t="n"/>
      <c r="F63" s="11" t="n"/>
      <c r="G63" s="10">
        <f>IF(F63="","",IFERROR(VLOOKUP(F63,T_JUB,2,FALSE),0))</f>
        <v/>
      </c>
      <c r="H63" s="11" t="n"/>
      <c r="I63" s="17">
        <f>IF(H63="","",IF(H63&gt;=12,40,ROUND(H63*3.33,2)))</f>
        <v/>
      </c>
      <c r="J63" s="11" t="n"/>
      <c r="K63" s="11" t="n"/>
      <c r="L63" s="11" t="n"/>
      <c r="M63" s="11" t="n"/>
      <c r="N63" s="10">
        <f>IF(COUNTA(J63:M63)=0,"",MIN(10,SUMPRODUCT((COUNTIF(J63:M63,L_KOM)&gt;0)*S_KOM)))</f>
        <v/>
      </c>
      <c r="O63" s="11" t="n"/>
      <c r="P63" s="10">
        <f>IF(O63="","",IFERROR(VLOOKUP(O63,T_KHID,2,FALSE),0))</f>
        <v/>
      </c>
      <c r="Q63" s="11" t="n"/>
      <c r="R63" s="11" t="n"/>
      <c r="S63" s="10">
        <f>IF(AND(Q63="",R63=""),"",IFERROR(INDEX(T_LIBAT,MATCH(Q63,L_PER,0),MATCH(R63,L_JENIS,0)),0))</f>
        <v/>
      </c>
      <c r="T63" s="11" t="n"/>
      <c r="U63" s="11" t="n"/>
      <c r="V63" s="10">
        <f>IF(AND(T63="",U63=""),"",IFERROR(INDEX(T_CAPAI,MATCH(T63,L_PER,0),MATCH(U63,L_KED,0)),0))</f>
        <v/>
      </c>
      <c r="W63" s="17">
        <f>IF(OR(B63="",E63="",COUNTA(F63,H63,J63:M63,O63,Q63:R63,T63:U63)=0),"",SUM(G63,I63,N63,P63,S63,V63))</f>
        <v/>
      </c>
      <c r="X63" s="18">
        <f>IF(W63="","",IF(Murid!F63="TL","TL",ROUND(W63/110*100,2)))</f>
        <v/>
      </c>
    </row>
    <row r="64">
      <c r="A64" s="15">
        <f>Murid!A64</f>
        <v/>
      </c>
      <c r="B64" s="15">
        <f>IF(Murid!B64="","",Murid!B64)</f>
        <v/>
      </c>
      <c r="C64" s="16">
        <f>IF(Murid!C64="","",Murid!C64)</f>
        <v/>
      </c>
      <c r="D64" s="15">
        <f>IF(Murid!E64="","",Murid!E64)</f>
        <v/>
      </c>
      <c r="E64" s="11" t="n"/>
      <c r="F64" s="11" t="n"/>
      <c r="G64" s="10">
        <f>IF(F64="","",IFERROR(VLOOKUP(F64,T_JUB,2,FALSE),0))</f>
        <v/>
      </c>
      <c r="H64" s="11" t="n"/>
      <c r="I64" s="17">
        <f>IF(H64="","",IF(H64&gt;=12,40,ROUND(H64*3.33,2)))</f>
        <v/>
      </c>
      <c r="J64" s="11" t="n"/>
      <c r="K64" s="11" t="n"/>
      <c r="L64" s="11" t="n"/>
      <c r="M64" s="11" t="n"/>
      <c r="N64" s="10">
        <f>IF(COUNTA(J64:M64)=0,"",MIN(10,SUMPRODUCT((COUNTIF(J64:M64,L_KOM)&gt;0)*S_KOM)))</f>
        <v/>
      </c>
      <c r="O64" s="11" t="n"/>
      <c r="P64" s="10">
        <f>IF(O64="","",IFERROR(VLOOKUP(O64,T_KHID,2,FALSE),0))</f>
        <v/>
      </c>
      <c r="Q64" s="11" t="n"/>
      <c r="R64" s="11" t="n"/>
      <c r="S64" s="10">
        <f>IF(AND(Q64="",R64=""),"",IFERROR(INDEX(T_LIBAT,MATCH(Q64,L_PER,0),MATCH(R64,L_JENIS,0)),0))</f>
        <v/>
      </c>
      <c r="T64" s="11" t="n"/>
      <c r="U64" s="11" t="n"/>
      <c r="V64" s="10">
        <f>IF(AND(T64="",U64=""),"",IFERROR(INDEX(T_CAPAI,MATCH(T64,L_PER,0),MATCH(U64,L_KED,0)),0))</f>
        <v/>
      </c>
      <c r="W64" s="17">
        <f>IF(OR(B64="",E64="",COUNTA(F64,H64,J64:M64,O64,Q64:R64,T64:U64)=0),"",SUM(G64,I64,N64,P64,S64,V64))</f>
        <v/>
      </c>
      <c r="X64" s="18">
        <f>IF(W64="","",IF(Murid!F64="TL","TL",ROUND(W64/110*100,2)))</f>
        <v/>
      </c>
    </row>
    <row r="65">
      <c r="A65" s="15">
        <f>Murid!A65</f>
        <v/>
      </c>
      <c r="B65" s="15">
        <f>IF(Murid!B65="","",Murid!B65)</f>
        <v/>
      </c>
      <c r="C65" s="16">
        <f>IF(Murid!C65="","",Murid!C65)</f>
        <v/>
      </c>
      <c r="D65" s="15">
        <f>IF(Murid!E65="","",Murid!E65)</f>
        <v/>
      </c>
      <c r="E65" s="11" t="n"/>
      <c r="F65" s="11" t="n"/>
      <c r="G65" s="10">
        <f>IF(F65="","",IFERROR(VLOOKUP(F65,T_JUB,2,FALSE),0))</f>
        <v/>
      </c>
      <c r="H65" s="11" t="n"/>
      <c r="I65" s="17">
        <f>IF(H65="","",IF(H65&gt;=12,40,ROUND(H65*3.33,2)))</f>
        <v/>
      </c>
      <c r="J65" s="11" t="n"/>
      <c r="K65" s="11" t="n"/>
      <c r="L65" s="11" t="n"/>
      <c r="M65" s="11" t="n"/>
      <c r="N65" s="10">
        <f>IF(COUNTA(J65:M65)=0,"",MIN(10,SUMPRODUCT((COUNTIF(J65:M65,L_KOM)&gt;0)*S_KOM)))</f>
        <v/>
      </c>
      <c r="O65" s="11" t="n"/>
      <c r="P65" s="10">
        <f>IF(O65="","",IFERROR(VLOOKUP(O65,T_KHID,2,FALSE),0))</f>
        <v/>
      </c>
      <c r="Q65" s="11" t="n"/>
      <c r="R65" s="11" t="n"/>
      <c r="S65" s="10">
        <f>IF(AND(Q65="",R65=""),"",IFERROR(INDEX(T_LIBAT,MATCH(Q65,L_PER,0),MATCH(R65,L_JENIS,0)),0))</f>
        <v/>
      </c>
      <c r="T65" s="11" t="n"/>
      <c r="U65" s="11" t="n"/>
      <c r="V65" s="10">
        <f>IF(AND(T65="",U65=""),"",IFERROR(INDEX(T_CAPAI,MATCH(T65,L_PER,0),MATCH(U65,L_KED,0)),0))</f>
        <v/>
      </c>
      <c r="W65" s="17">
        <f>IF(OR(B65="",E65="",COUNTA(F65,H65,J65:M65,O65,Q65:R65,T65:U65)=0),"",SUM(G65,I65,N65,P65,S65,V65))</f>
        <v/>
      </c>
      <c r="X65" s="18">
        <f>IF(W65="","",IF(Murid!F65="TL","TL",ROUND(W65/110*100,2)))</f>
        <v/>
      </c>
    </row>
    <row r="66">
      <c r="A66" s="15">
        <f>Murid!A66</f>
        <v/>
      </c>
      <c r="B66" s="15">
        <f>IF(Murid!B66="","",Murid!B66)</f>
        <v/>
      </c>
      <c r="C66" s="16">
        <f>IF(Murid!C66="","",Murid!C66)</f>
        <v/>
      </c>
      <c r="D66" s="15">
        <f>IF(Murid!E66="","",Murid!E66)</f>
        <v/>
      </c>
      <c r="E66" s="11" t="n"/>
      <c r="F66" s="11" t="n"/>
      <c r="G66" s="10">
        <f>IF(F66="","",IFERROR(VLOOKUP(F66,T_JUB,2,FALSE),0))</f>
        <v/>
      </c>
      <c r="H66" s="11" t="n"/>
      <c r="I66" s="17">
        <f>IF(H66="","",IF(H66&gt;=12,40,ROUND(H66*3.33,2)))</f>
        <v/>
      </c>
      <c r="J66" s="11" t="n"/>
      <c r="K66" s="11" t="n"/>
      <c r="L66" s="11" t="n"/>
      <c r="M66" s="11" t="n"/>
      <c r="N66" s="10">
        <f>IF(COUNTA(J66:M66)=0,"",MIN(10,SUMPRODUCT((COUNTIF(J66:M66,L_KOM)&gt;0)*S_KOM)))</f>
        <v/>
      </c>
      <c r="O66" s="11" t="n"/>
      <c r="P66" s="10">
        <f>IF(O66="","",IFERROR(VLOOKUP(O66,T_KHID,2,FALSE),0))</f>
        <v/>
      </c>
      <c r="Q66" s="11" t="n"/>
      <c r="R66" s="11" t="n"/>
      <c r="S66" s="10">
        <f>IF(AND(Q66="",R66=""),"",IFERROR(INDEX(T_LIBAT,MATCH(Q66,L_PER,0),MATCH(R66,L_JENIS,0)),0))</f>
        <v/>
      </c>
      <c r="T66" s="11" t="n"/>
      <c r="U66" s="11" t="n"/>
      <c r="V66" s="10">
        <f>IF(AND(T66="",U66=""),"",IFERROR(INDEX(T_CAPAI,MATCH(T66,L_PER,0),MATCH(U66,L_KED,0)),0))</f>
        <v/>
      </c>
      <c r="W66" s="17">
        <f>IF(OR(B66="",E66="",COUNTA(F66,H66,J66:M66,O66,Q66:R66,T66:U66)=0),"",SUM(G66,I66,N66,P66,S66,V66))</f>
        <v/>
      </c>
      <c r="X66" s="18">
        <f>IF(W66="","",IF(Murid!F66="TL","TL",ROUND(W66/110*100,2)))</f>
        <v/>
      </c>
    </row>
    <row r="67">
      <c r="A67" s="15">
        <f>Murid!A67</f>
        <v/>
      </c>
      <c r="B67" s="15">
        <f>IF(Murid!B67="","",Murid!B67)</f>
        <v/>
      </c>
      <c r="C67" s="16">
        <f>IF(Murid!C67="","",Murid!C67)</f>
        <v/>
      </c>
      <c r="D67" s="15">
        <f>IF(Murid!E67="","",Murid!E67)</f>
        <v/>
      </c>
      <c r="E67" s="11" t="n"/>
      <c r="F67" s="11" t="n"/>
      <c r="G67" s="10">
        <f>IF(F67="","",IFERROR(VLOOKUP(F67,T_JUB,2,FALSE),0))</f>
        <v/>
      </c>
      <c r="H67" s="11" t="n"/>
      <c r="I67" s="17">
        <f>IF(H67="","",IF(H67&gt;=12,40,ROUND(H67*3.33,2)))</f>
        <v/>
      </c>
      <c r="J67" s="11" t="n"/>
      <c r="K67" s="11" t="n"/>
      <c r="L67" s="11" t="n"/>
      <c r="M67" s="11" t="n"/>
      <c r="N67" s="10">
        <f>IF(COUNTA(J67:M67)=0,"",MIN(10,SUMPRODUCT((COUNTIF(J67:M67,L_KOM)&gt;0)*S_KOM)))</f>
        <v/>
      </c>
      <c r="O67" s="11" t="n"/>
      <c r="P67" s="10">
        <f>IF(O67="","",IFERROR(VLOOKUP(O67,T_KHID,2,FALSE),0))</f>
        <v/>
      </c>
      <c r="Q67" s="11" t="n"/>
      <c r="R67" s="11" t="n"/>
      <c r="S67" s="10">
        <f>IF(AND(Q67="",R67=""),"",IFERROR(INDEX(T_LIBAT,MATCH(Q67,L_PER,0),MATCH(R67,L_JENIS,0)),0))</f>
        <v/>
      </c>
      <c r="T67" s="11" t="n"/>
      <c r="U67" s="11" t="n"/>
      <c r="V67" s="10">
        <f>IF(AND(T67="",U67=""),"",IFERROR(INDEX(T_CAPAI,MATCH(T67,L_PER,0),MATCH(U67,L_KED,0)),0))</f>
        <v/>
      </c>
      <c r="W67" s="17">
        <f>IF(OR(B67="",E67="",COUNTA(F67,H67,J67:M67,O67,Q67:R67,T67:U67)=0),"",SUM(G67,I67,N67,P67,S67,V67))</f>
        <v/>
      </c>
      <c r="X67" s="18">
        <f>IF(W67="","",IF(Murid!F67="TL","TL",ROUND(W67/110*100,2)))</f>
        <v/>
      </c>
    </row>
    <row r="68">
      <c r="A68" s="15">
        <f>Murid!A68</f>
        <v/>
      </c>
      <c r="B68" s="15">
        <f>IF(Murid!B68="","",Murid!B68)</f>
        <v/>
      </c>
      <c r="C68" s="16">
        <f>IF(Murid!C68="","",Murid!C68)</f>
        <v/>
      </c>
      <c r="D68" s="15">
        <f>IF(Murid!E68="","",Murid!E68)</f>
        <v/>
      </c>
      <c r="E68" s="11" t="n"/>
      <c r="F68" s="11" t="n"/>
      <c r="G68" s="10">
        <f>IF(F68="","",IFERROR(VLOOKUP(F68,T_JUB,2,FALSE),0))</f>
        <v/>
      </c>
      <c r="H68" s="11" t="n"/>
      <c r="I68" s="17">
        <f>IF(H68="","",IF(H68&gt;=12,40,ROUND(H68*3.33,2)))</f>
        <v/>
      </c>
      <c r="J68" s="11" t="n"/>
      <c r="K68" s="11" t="n"/>
      <c r="L68" s="11" t="n"/>
      <c r="M68" s="11" t="n"/>
      <c r="N68" s="10">
        <f>IF(COUNTA(J68:M68)=0,"",MIN(10,SUMPRODUCT((COUNTIF(J68:M68,L_KOM)&gt;0)*S_KOM)))</f>
        <v/>
      </c>
      <c r="O68" s="11" t="n"/>
      <c r="P68" s="10">
        <f>IF(O68="","",IFERROR(VLOOKUP(O68,T_KHID,2,FALSE),0))</f>
        <v/>
      </c>
      <c r="Q68" s="11" t="n"/>
      <c r="R68" s="11" t="n"/>
      <c r="S68" s="10">
        <f>IF(AND(Q68="",R68=""),"",IFERROR(INDEX(T_LIBAT,MATCH(Q68,L_PER,0),MATCH(R68,L_JENIS,0)),0))</f>
        <v/>
      </c>
      <c r="T68" s="11" t="n"/>
      <c r="U68" s="11" t="n"/>
      <c r="V68" s="10">
        <f>IF(AND(T68="",U68=""),"",IFERROR(INDEX(T_CAPAI,MATCH(T68,L_PER,0),MATCH(U68,L_KED,0)),0))</f>
        <v/>
      </c>
      <c r="W68" s="17">
        <f>IF(OR(B68="",E68="",COUNTA(F68,H68,J68:M68,O68,Q68:R68,T68:U68)=0),"",SUM(G68,I68,N68,P68,S68,V68))</f>
        <v/>
      </c>
      <c r="X68" s="18">
        <f>IF(W68="","",IF(Murid!F68="TL","TL",ROUND(W68/110*100,2)))</f>
        <v/>
      </c>
    </row>
    <row r="69">
      <c r="A69" s="15">
        <f>Murid!A69</f>
        <v/>
      </c>
      <c r="B69" s="15">
        <f>IF(Murid!B69="","",Murid!B69)</f>
        <v/>
      </c>
      <c r="C69" s="16">
        <f>IF(Murid!C69="","",Murid!C69)</f>
        <v/>
      </c>
      <c r="D69" s="15">
        <f>IF(Murid!E69="","",Murid!E69)</f>
        <v/>
      </c>
      <c r="E69" s="11" t="n"/>
      <c r="F69" s="11" t="n"/>
      <c r="G69" s="10">
        <f>IF(F69="","",IFERROR(VLOOKUP(F69,T_JUB,2,FALSE),0))</f>
        <v/>
      </c>
      <c r="H69" s="11" t="n"/>
      <c r="I69" s="17">
        <f>IF(H69="","",IF(H69&gt;=12,40,ROUND(H69*3.33,2)))</f>
        <v/>
      </c>
      <c r="J69" s="11" t="n"/>
      <c r="K69" s="11" t="n"/>
      <c r="L69" s="11" t="n"/>
      <c r="M69" s="11" t="n"/>
      <c r="N69" s="10">
        <f>IF(COUNTA(J69:M69)=0,"",MIN(10,SUMPRODUCT((COUNTIF(J69:M69,L_KOM)&gt;0)*S_KOM)))</f>
        <v/>
      </c>
      <c r="O69" s="11" t="n"/>
      <c r="P69" s="10">
        <f>IF(O69="","",IFERROR(VLOOKUP(O69,T_KHID,2,FALSE),0))</f>
        <v/>
      </c>
      <c r="Q69" s="11" t="n"/>
      <c r="R69" s="11" t="n"/>
      <c r="S69" s="10">
        <f>IF(AND(Q69="",R69=""),"",IFERROR(INDEX(T_LIBAT,MATCH(Q69,L_PER,0),MATCH(R69,L_JENIS,0)),0))</f>
        <v/>
      </c>
      <c r="T69" s="11" t="n"/>
      <c r="U69" s="11" t="n"/>
      <c r="V69" s="10">
        <f>IF(AND(T69="",U69=""),"",IFERROR(INDEX(T_CAPAI,MATCH(T69,L_PER,0),MATCH(U69,L_KED,0)),0))</f>
        <v/>
      </c>
      <c r="W69" s="17">
        <f>IF(OR(B69="",E69="",COUNTA(F69,H69,J69:M69,O69,Q69:R69,T69:U69)=0),"",SUM(G69,I69,N69,P69,S69,V69))</f>
        <v/>
      </c>
      <c r="X69" s="18">
        <f>IF(W69="","",IF(Murid!F69="TL","TL",ROUND(W69/110*100,2)))</f>
        <v/>
      </c>
    </row>
    <row r="70">
      <c r="A70" s="15">
        <f>Murid!A70</f>
        <v/>
      </c>
      <c r="B70" s="15">
        <f>IF(Murid!B70="","",Murid!B70)</f>
        <v/>
      </c>
      <c r="C70" s="16">
        <f>IF(Murid!C70="","",Murid!C70)</f>
        <v/>
      </c>
      <c r="D70" s="15">
        <f>IF(Murid!E70="","",Murid!E70)</f>
        <v/>
      </c>
      <c r="E70" s="11" t="n"/>
      <c r="F70" s="11" t="n"/>
      <c r="G70" s="10">
        <f>IF(F70="","",IFERROR(VLOOKUP(F70,T_JUB,2,FALSE),0))</f>
        <v/>
      </c>
      <c r="H70" s="11" t="n"/>
      <c r="I70" s="17">
        <f>IF(H70="","",IF(H70&gt;=12,40,ROUND(H70*3.33,2)))</f>
        <v/>
      </c>
      <c r="J70" s="11" t="n"/>
      <c r="K70" s="11" t="n"/>
      <c r="L70" s="11" t="n"/>
      <c r="M70" s="11" t="n"/>
      <c r="N70" s="10">
        <f>IF(COUNTA(J70:M70)=0,"",MIN(10,SUMPRODUCT((COUNTIF(J70:M70,L_KOM)&gt;0)*S_KOM)))</f>
        <v/>
      </c>
      <c r="O70" s="11" t="n"/>
      <c r="P70" s="10">
        <f>IF(O70="","",IFERROR(VLOOKUP(O70,T_KHID,2,FALSE),0))</f>
        <v/>
      </c>
      <c r="Q70" s="11" t="n"/>
      <c r="R70" s="11" t="n"/>
      <c r="S70" s="10">
        <f>IF(AND(Q70="",R70=""),"",IFERROR(INDEX(T_LIBAT,MATCH(Q70,L_PER,0),MATCH(R70,L_JENIS,0)),0))</f>
        <v/>
      </c>
      <c r="T70" s="11" t="n"/>
      <c r="U70" s="11" t="n"/>
      <c r="V70" s="10">
        <f>IF(AND(T70="",U70=""),"",IFERROR(INDEX(T_CAPAI,MATCH(T70,L_PER,0),MATCH(U70,L_KED,0)),0))</f>
        <v/>
      </c>
      <c r="W70" s="17">
        <f>IF(OR(B70="",E70="",COUNTA(F70,H70,J70:M70,O70,Q70:R70,T70:U70)=0),"",SUM(G70,I70,N70,P70,S70,V70))</f>
        <v/>
      </c>
      <c r="X70" s="18">
        <f>IF(W70="","",IF(Murid!F70="TL","TL",ROUND(W70/110*100,2)))</f>
        <v/>
      </c>
    </row>
    <row r="71">
      <c r="A71" s="15">
        <f>Murid!A71</f>
        <v/>
      </c>
      <c r="B71" s="15">
        <f>IF(Murid!B71="","",Murid!B71)</f>
        <v/>
      </c>
      <c r="C71" s="16">
        <f>IF(Murid!C71="","",Murid!C71)</f>
        <v/>
      </c>
      <c r="D71" s="15">
        <f>IF(Murid!E71="","",Murid!E71)</f>
        <v/>
      </c>
      <c r="E71" s="11" t="n"/>
      <c r="F71" s="11" t="n"/>
      <c r="G71" s="10">
        <f>IF(F71="","",IFERROR(VLOOKUP(F71,T_JUB,2,FALSE),0))</f>
        <v/>
      </c>
      <c r="H71" s="11" t="n"/>
      <c r="I71" s="17">
        <f>IF(H71="","",IF(H71&gt;=12,40,ROUND(H71*3.33,2)))</f>
        <v/>
      </c>
      <c r="J71" s="11" t="n"/>
      <c r="K71" s="11" t="n"/>
      <c r="L71" s="11" t="n"/>
      <c r="M71" s="11" t="n"/>
      <c r="N71" s="10">
        <f>IF(COUNTA(J71:M71)=0,"",MIN(10,SUMPRODUCT((COUNTIF(J71:M71,L_KOM)&gt;0)*S_KOM)))</f>
        <v/>
      </c>
      <c r="O71" s="11" t="n"/>
      <c r="P71" s="10">
        <f>IF(O71="","",IFERROR(VLOOKUP(O71,T_KHID,2,FALSE),0))</f>
        <v/>
      </c>
      <c r="Q71" s="11" t="n"/>
      <c r="R71" s="11" t="n"/>
      <c r="S71" s="10">
        <f>IF(AND(Q71="",R71=""),"",IFERROR(INDEX(T_LIBAT,MATCH(Q71,L_PER,0),MATCH(R71,L_JENIS,0)),0))</f>
        <v/>
      </c>
      <c r="T71" s="11" t="n"/>
      <c r="U71" s="11" t="n"/>
      <c r="V71" s="10">
        <f>IF(AND(T71="",U71=""),"",IFERROR(INDEX(T_CAPAI,MATCH(T71,L_PER,0),MATCH(U71,L_KED,0)),0))</f>
        <v/>
      </c>
      <c r="W71" s="17">
        <f>IF(OR(B71="",E71="",COUNTA(F71,H71,J71:M71,O71,Q71:R71,T71:U71)=0),"",SUM(G71,I71,N71,P71,S71,V71))</f>
        <v/>
      </c>
      <c r="X71" s="18">
        <f>IF(W71="","",IF(Murid!F71="TL","TL",ROUND(W71/110*100,2)))</f>
        <v/>
      </c>
    </row>
    <row r="72">
      <c r="A72" s="15">
        <f>Murid!A72</f>
        <v/>
      </c>
      <c r="B72" s="15">
        <f>IF(Murid!B72="","",Murid!B72)</f>
        <v/>
      </c>
      <c r="C72" s="16">
        <f>IF(Murid!C72="","",Murid!C72)</f>
        <v/>
      </c>
      <c r="D72" s="15">
        <f>IF(Murid!E72="","",Murid!E72)</f>
        <v/>
      </c>
      <c r="E72" s="11" t="n"/>
      <c r="F72" s="11" t="n"/>
      <c r="G72" s="10">
        <f>IF(F72="","",IFERROR(VLOOKUP(F72,T_JUB,2,FALSE),0))</f>
        <v/>
      </c>
      <c r="H72" s="11" t="n"/>
      <c r="I72" s="17">
        <f>IF(H72="","",IF(H72&gt;=12,40,ROUND(H72*3.33,2)))</f>
        <v/>
      </c>
      <c r="J72" s="11" t="n"/>
      <c r="K72" s="11" t="n"/>
      <c r="L72" s="11" t="n"/>
      <c r="M72" s="11" t="n"/>
      <c r="N72" s="10">
        <f>IF(COUNTA(J72:M72)=0,"",MIN(10,SUMPRODUCT((COUNTIF(J72:M72,L_KOM)&gt;0)*S_KOM)))</f>
        <v/>
      </c>
      <c r="O72" s="11" t="n"/>
      <c r="P72" s="10">
        <f>IF(O72="","",IFERROR(VLOOKUP(O72,T_KHID,2,FALSE),0))</f>
        <v/>
      </c>
      <c r="Q72" s="11" t="n"/>
      <c r="R72" s="11" t="n"/>
      <c r="S72" s="10">
        <f>IF(AND(Q72="",R72=""),"",IFERROR(INDEX(T_LIBAT,MATCH(Q72,L_PER,0),MATCH(R72,L_JENIS,0)),0))</f>
        <v/>
      </c>
      <c r="T72" s="11" t="n"/>
      <c r="U72" s="11" t="n"/>
      <c r="V72" s="10">
        <f>IF(AND(T72="",U72=""),"",IFERROR(INDEX(T_CAPAI,MATCH(T72,L_PER,0),MATCH(U72,L_KED,0)),0))</f>
        <v/>
      </c>
      <c r="W72" s="17">
        <f>IF(OR(B72="",E72="",COUNTA(F72,H72,J72:M72,O72,Q72:R72,T72:U72)=0),"",SUM(G72,I72,N72,P72,S72,V72))</f>
        <v/>
      </c>
      <c r="X72" s="18">
        <f>IF(W72="","",IF(Murid!F72="TL","TL",ROUND(W72/110*100,2)))</f>
        <v/>
      </c>
    </row>
    <row r="73">
      <c r="A73" s="15">
        <f>Murid!A73</f>
        <v/>
      </c>
      <c r="B73" s="15">
        <f>IF(Murid!B73="","",Murid!B73)</f>
        <v/>
      </c>
      <c r="C73" s="16">
        <f>IF(Murid!C73="","",Murid!C73)</f>
        <v/>
      </c>
      <c r="D73" s="15">
        <f>IF(Murid!E73="","",Murid!E73)</f>
        <v/>
      </c>
      <c r="E73" s="11" t="n"/>
      <c r="F73" s="11" t="n"/>
      <c r="G73" s="10">
        <f>IF(F73="","",IFERROR(VLOOKUP(F73,T_JUB,2,FALSE),0))</f>
        <v/>
      </c>
      <c r="H73" s="11" t="n"/>
      <c r="I73" s="17">
        <f>IF(H73="","",IF(H73&gt;=12,40,ROUND(H73*3.33,2)))</f>
        <v/>
      </c>
      <c r="J73" s="11" t="n"/>
      <c r="K73" s="11" t="n"/>
      <c r="L73" s="11" t="n"/>
      <c r="M73" s="11" t="n"/>
      <c r="N73" s="10">
        <f>IF(COUNTA(J73:M73)=0,"",MIN(10,SUMPRODUCT((COUNTIF(J73:M73,L_KOM)&gt;0)*S_KOM)))</f>
        <v/>
      </c>
      <c r="O73" s="11" t="n"/>
      <c r="P73" s="10">
        <f>IF(O73="","",IFERROR(VLOOKUP(O73,T_KHID,2,FALSE),0))</f>
        <v/>
      </c>
      <c r="Q73" s="11" t="n"/>
      <c r="R73" s="11" t="n"/>
      <c r="S73" s="10">
        <f>IF(AND(Q73="",R73=""),"",IFERROR(INDEX(T_LIBAT,MATCH(Q73,L_PER,0),MATCH(R73,L_JENIS,0)),0))</f>
        <v/>
      </c>
      <c r="T73" s="11" t="n"/>
      <c r="U73" s="11" t="n"/>
      <c r="V73" s="10">
        <f>IF(AND(T73="",U73=""),"",IFERROR(INDEX(T_CAPAI,MATCH(T73,L_PER,0),MATCH(U73,L_KED,0)),0))</f>
        <v/>
      </c>
      <c r="W73" s="17">
        <f>IF(OR(B73="",E73="",COUNTA(F73,H73,J73:M73,O73,Q73:R73,T73:U73)=0),"",SUM(G73,I73,N73,P73,S73,V73))</f>
        <v/>
      </c>
      <c r="X73" s="18">
        <f>IF(W73="","",IF(Murid!F73="TL","TL",ROUND(W73/110*100,2)))</f>
        <v/>
      </c>
    </row>
    <row r="74">
      <c r="A74" s="15">
        <f>Murid!A74</f>
        <v/>
      </c>
      <c r="B74" s="15">
        <f>IF(Murid!B74="","",Murid!B74)</f>
        <v/>
      </c>
      <c r="C74" s="16">
        <f>IF(Murid!C74="","",Murid!C74)</f>
        <v/>
      </c>
      <c r="D74" s="15">
        <f>IF(Murid!E74="","",Murid!E74)</f>
        <v/>
      </c>
      <c r="E74" s="11" t="n"/>
      <c r="F74" s="11" t="n"/>
      <c r="G74" s="10">
        <f>IF(F74="","",IFERROR(VLOOKUP(F74,T_JUB,2,FALSE),0))</f>
        <v/>
      </c>
      <c r="H74" s="11" t="n"/>
      <c r="I74" s="17">
        <f>IF(H74="","",IF(H74&gt;=12,40,ROUND(H74*3.33,2)))</f>
        <v/>
      </c>
      <c r="J74" s="11" t="n"/>
      <c r="K74" s="11" t="n"/>
      <c r="L74" s="11" t="n"/>
      <c r="M74" s="11" t="n"/>
      <c r="N74" s="10">
        <f>IF(COUNTA(J74:M74)=0,"",MIN(10,SUMPRODUCT((COUNTIF(J74:M74,L_KOM)&gt;0)*S_KOM)))</f>
        <v/>
      </c>
      <c r="O74" s="11" t="n"/>
      <c r="P74" s="10">
        <f>IF(O74="","",IFERROR(VLOOKUP(O74,T_KHID,2,FALSE),0))</f>
        <v/>
      </c>
      <c r="Q74" s="11" t="n"/>
      <c r="R74" s="11" t="n"/>
      <c r="S74" s="10">
        <f>IF(AND(Q74="",R74=""),"",IFERROR(INDEX(T_LIBAT,MATCH(Q74,L_PER,0),MATCH(R74,L_JENIS,0)),0))</f>
        <v/>
      </c>
      <c r="T74" s="11" t="n"/>
      <c r="U74" s="11" t="n"/>
      <c r="V74" s="10">
        <f>IF(AND(T74="",U74=""),"",IFERROR(INDEX(T_CAPAI,MATCH(T74,L_PER,0),MATCH(U74,L_KED,0)),0))</f>
        <v/>
      </c>
      <c r="W74" s="17">
        <f>IF(OR(B74="",E74="",COUNTA(F74,H74,J74:M74,O74,Q74:R74,T74:U74)=0),"",SUM(G74,I74,N74,P74,S74,V74))</f>
        <v/>
      </c>
      <c r="X74" s="18">
        <f>IF(W74="","",IF(Murid!F74="TL","TL",ROUND(W74/110*100,2)))</f>
        <v/>
      </c>
    </row>
    <row r="75">
      <c r="A75" s="15">
        <f>Murid!A75</f>
        <v/>
      </c>
      <c r="B75" s="15">
        <f>IF(Murid!B75="","",Murid!B75)</f>
        <v/>
      </c>
      <c r="C75" s="16">
        <f>IF(Murid!C75="","",Murid!C75)</f>
        <v/>
      </c>
      <c r="D75" s="15">
        <f>IF(Murid!E75="","",Murid!E75)</f>
        <v/>
      </c>
      <c r="E75" s="11" t="n"/>
      <c r="F75" s="11" t="n"/>
      <c r="G75" s="10">
        <f>IF(F75="","",IFERROR(VLOOKUP(F75,T_JUB,2,FALSE),0))</f>
        <v/>
      </c>
      <c r="H75" s="11" t="n"/>
      <c r="I75" s="17">
        <f>IF(H75="","",IF(H75&gt;=12,40,ROUND(H75*3.33,2)))</f>
        <v/>
      </c>
      <c r="J75" s="11" t="n"/>
      <c r="K75" s="11" t="n"/>
      <c r="L75" s="11" t="n"/>
      <c r="M75" s="11" t="n"/>
      <c r="N75" s="10">
        <f>IF(COUNTA(J75:M75)=0,"",MIN(10,SUMPRODUCT((COUNTIF(J75:M75,L_KOM)&gt;0)*S_KOM)))</f>
        <v/>
      </c>
      <c r="O75" s="11" t="n"/>
      <c r="P75" s="10">
        <f>IF(O75="","",IFERROR(VLOOKUP(O75,T_KHID,2,FALSE),0))</f>
        <v/>
      </c>
      <c r="Q75" s="11" t="n"/>
      <c r="R75" s="11" t="n"/>
      <c r="S75" s="10">
        <f>IF(AND(Q75="",R75=""),"",IFERROR(INDEX(T_LIBAT,MATCH(Q75,L_PER,0),MATCH(R75,L_JENIS,0)),0))</f>
        <v/>
      </c>
      <c r="T75" s="11" t="n"/>
      <c r="U75" s="11" t="n"/>
      <c r="V75" s="10">
        <f>IF(AND(T75="",U75=""),"",IFERROR(INDEX(T_CAPAI,MATCH(T75,L_PER,0),MATCH(U75,L_KED,0)),0))</f>
        <v/>
      </c>
      <c r="W75" s="17">
        <f>IF(OR(B75="",E75="",COUNTA(F75,H75,J75:M75,O75,Q75:R75,T75:U75)=0),"",SUM(G75,I75,N75,P75,S75,V75))</f>
        <v/>
      </c>
      <c r="X75" s="18">
        <f>IF(W75="","",IF(Murid!F75="TL","TL",ROUND(W75/110*100,2)))</f>
        <v/>
      </c>
    </row>
    <row r="76">
      <c r="A76" s="15">
        <f>Murid!A76</f>
        <v/>
      </c>
      <c r="B76" s="15">
        <f>IF(Murid!B76="","",Murid!B76)</f>
        <v/>
      </c>
      <c r="C76" s="16">
        <f>IF(Murid!C76="","",Murid!C76)</f>
        <v/>
      </c>
      <c r="D76" s="15">
        <f>IF(Murid!E76="","",Murid!E76)</f>
        <v/>
      </c>
      <c r="E76" s="11" t="n"/>
      <c r="F76" s="11" t="n"/>
      <c r="G76" s="10">
        <f>IF(F76="","",IFERROR(VLOOKUP(F76,T_JUB,2,FALSE),0))</f>
        <v/>
      </c>
      <c r="H76" s="11" t="n"/>
      <c r="I76" s="17">
        <f>IF(H76="","",IF(H76&gt;=12,40,ROUND(H76*3.33,2)))</f>
        <v/>
      </c>
      <c r="J76" s="11" t="n"/>
      <c r="K76" s="11" t="n"/>
      <c r="L76" s="11" t="n"/>
      <c r="M76" s="11" t="n"/>
      <c r="N76" s="10">
        <f>IF(COUNTA(J76:M76)=0,"",MIN(10,SUMPRODUCT((COUNTIF(J76:M76,L_KOM)&gt;0)*S_KOM)))</f>
        <v/>
      </c>
      <c r="O76" s="11" t="n"/>
      <c r="P76" s="10">
        <f>IF(O76="","",IFERROR(VLOOKUP(O76,T_KHID,2,FALSE),0))</f>
        <v/>
      </c>
      <c r="Q76" s="11" t="n"/>
      <c r="R76" s="11" t="n"/>
      <c r="S76" s="10">
        <f>IF(AND(Q76="",R76=""),"",IFERROR(INDEX(T_LIBAT,MATCH(Q76,L_PER,0),MATCH(R76,L_JENIS,0)),0))</f>
        <v/>
      </c>
      <c r="T76" s="11" t="n"/>
      <c r="U76" s="11" t="n"/>
      <c r="V76" s="10">
        <f>IF(AND(T76="",U76=""),"",IFERROR(INDEX(T_CAPAI,MATCH(T76,L_PER,0),MATCH(U76,L_KED,0)),0))</f>
        <v/>
      </c>
      <c r="W76" s="17">
        <f>IF(OR(B76="",E76="",COUNTA(F76,H76,J76:M76,O76,Q76:R76,T76:U76)=0),"",SUM(G76,I76,N76,P76,S76,V76))</f>
        <v/>
      </c>
      <c r="X76" s="18">
        <f>IF(W76="","",IF(Murid!F76="TL","TL",ROUND(W76/110*100,2)))</f>
        <v/>
      </c>
    </row>
    <row r="77">
      <c r="A77" s="15">
        <f>Murid!A77</f>
        <v/>
      </c>
      <c r="B77" s="15">
        <f>IF(Murid!B77="","",Murid!B77)</f>
        <v/>
      </c>
      <c r="C77" s="16">
        <f>IF(Murid!C77="","",Murid!C77)</f>
        <v/>
      </c>
      <c r="D77" s="15">
        <f>IF(Murid!E77="","",Murid!E77)</f>
        <v/>
      </c>
      <c r="E77" s="11" t="n"/>
      <c r="F77" s="11" t="n"/>
      <c r="G77" s="10">
        <f>IF(F77="","",IFERROR(VLOOKUP(F77,T_JUB,2,FALSE),0))</f>
        <v/>
      </c>
      <c r="H77" s="11" t="n"/>
      <c r="I77" s="17">
        <f>IF(H77="","",IF(H77&gt;=12,40,ROUND(H77*3.33,2)))</f>
        <v/>
      </c>
      <c r="J77" s="11" t="n"/>
      <c r="K77" s="11" t="n"/>
      <c r="L77" s="11" t="n"/>
      <c r="M77" s="11" t="n"/>
      <c r="N77" s="10">
        <f>IF(COUNTA(J77:M77)=0,"",MIN(10,SUMPRODUCT((COUNTIF(J77:M77,L_KOM)&gt;0)*S_KOM)))</f>
        <v/>
      </c>
      <c r="O77" s="11" t="n"/>
      <c r="P77" s="10">
        <f>IF(O77="","",IFERROR(VLOOKUP(O77,T_KHID,2,FALSE),0))</f>
        <v/>
      </c>
      <c r="Q77" s="11" t="n"/>
      <c r="R77" s="11" t="n"/>
      <c r="S77" s="10">
        <f>IF(AND(Q77="",R77=""),"",IFERROR(INDEX(T_LIBAT,MATCH(Q77,L_PER,0),MATCH(R77,L_JENIS,0)),0))</f>
        <v/>
      </c>
      <c r="T77" s="11" t="n"/>
      <c r="U77" s="11" t="n"/>
      <c r="V77" s="10">
        <f>IF(AND(T77="",U77=""),"",IFERROR(INDEX(T_CAPAI,MATCH(T77,L_PER,0),MATCH(U77,L_KED,0)),0))</f>
        <v/>
      </c>
      <c r="W77" s="17">
        <f>IF(OR(B77="",E77="",COUNTA(F77,H77,J77:M77,O77,Q77:R77,T77:U77)=0),"",SUM(G77,I77,N77,P77,S77,V77))</f>
        <v/>
      </c>
      <c r="X77" s="18">
        <f>IF(W77="","",IF(Murid!F77="TL","TL",ROUND(W77/110*100,2)))</f>
        <v/>
      </c>
    </row>
    <row r="78">
      <c r="A78" s="15">
        <f>Murid!A78</f>
        <v/>
      </c>
      <c r="B78" s="15">
        <f>IF(Murid!B78="","",Murid!B78)</f>
        <v/>
      </c>
      <c r="C78" s="16">
        <f>IF(Murid!C78="","",Murid!C78)</f>
        <v/>
      </c>
      <c r="D78" s="15">
        <f>IF(Murid!E78="","",Murid!E78)</f>
        <v/>
      </c>
      <c r="E78" s="11" t="n"/>
      <c r="F78" s="11" t="n"/>
      <c r="G78" s="10">
        <f>IF(F78="","",IFERROR(VLOOKUP(F78,T_JUB,2,FALSE),0))</f>
        <v/>
      </c>
      <c r="H78" s="11" t="n"/>
      <c r="I78" s="17">
        <f>IF(H78="","",IF(H78&gt;=12,40,ROUND(H78*3.33,2)))</f>
        <v/>
      </c>
      <c r="J78" s="11" t="n"/>
      <c r="K78" s="11" t="n"/>
      <c r="L78" s="11" t="n"/>
      <c r="M78" s="11" t="n"/>
      <c r="N78" s="10">
        <f>IF(COUNTA(J78:M78)=0,"",MIN(10,SUMPRODUCT((COUNTIF(J78:M78,L_KOM)&gt;0)*S_KOM)))</f>
        <v/>
      </c>
      <c r="O78" s="11" t="n"/>
      <c r="P78" s="10">
        <f>IF(O78="","",IFERROR(VLOOKUP(O78,T_KHID,2,FALSE),0))</f>
        <v/>
      </c>
      <c r="Q78" s="11" t="n"/>
      <c r="R78" s="11" t="n"/>
      <c r="S78" s="10">
        <f>IF(AND(Q78="",R78=""),"",IFERROR(INDEX(T_LIBAT,MATCH(Q78,L_PER,0),MATCH(R78,L_JENIS,0)),0))</f>
        <v/>
      </c>
      <c r="T78" s="11" t="n"/>
      <c r="U78" s="11" t="n"/>
      <c r="V78" s="10">
        <f>IF(AND(T78="",U78=""),"",IFERROR(INDEX(T_CAPAI,MATCH(T78,L_PER,0),MATCH(U78,L_KED,0)),0))</f>
        <v/>
      </c>
      <c r="W78" s="17">
        <f>IF(OR(B78="",E78="",COUNTA(F78,H78,J78:M78,O78,Q78:R78,T78:U78)=0),"",SUM(G78,I78,N78,P78,S78,V78))</f>
        <v/>
      </c>
      <c r="X78" s="18">
        <f>IF(W78="","",IF(Murid!F78="TL","TL",ROUND(W78/110*100,2)))</f>
        <v/>
      </c>
    </row>
    <row r="79">
      <c r="A79" s="15">
        <f>Murid!A79</f>
        <v/>
      </c>
      <c r="B79" s="15">
        <f>IF(Murid!B79="","",Murid!B79)</f>
        <v/>
      </c>
      <c r="C79" s="16">
        <f>IF(Murid!C79="","",Murid!C79)</f>
        <v/>
      </c>
      <c r="D79" s="15">
        <f>IF(Murid!E79="","",Murid!E79)</f>
        <v/>
      </c>
      <c r="E79" s="11" t="n"/>
      <c r="F79" s="11" t="n"/>
      <c r="G79" s="10">
        <f>IF(F79="","",IFERROR(VLOOKUP(F79,T_JUB,2,FALSE),0))</f>
        <v/>
      </c>
      <c r="H79" s="11" t="n"/>
      <c r="I79" s="17">
        <f>IF(H79="","",IF(H79&gt;=12,40,ROUND(H79*3.33,2)))</f>
        <v/>
      </c>
      <c r="J79" s="11" t="n"/>
      <c r="K79" s="11" t="n"/>
      <c r="L79" s="11" t="n"/>
      <c r="M79" s="11" t="n"/>
      <c r="N79" s="10">
        <f>IF(COUNTA(J79:M79)=0,"",MIN(10,SUMPRODUCT((COUNTIF(J79:M79,L_KOM)&gt;0)*S_KOM)))</f>
        <v/>
      </c>
      <c r="O79" s="11" t="n"/>
      <c r="P79" s="10">
        <f>IF(O79="","",IFERROR(VLOOKUP(O79,T_KHID,2,FALSE),0))</f>
        <v/>
      </c>
      <c r="Q79" s="11" t="n"/>
      <c r="R79" s="11" t="n"/>
      <c r="S79" s="10">
        <f>IF(AND(Q79="",R79=""),"",IFERROR(INDEX(T_LIBAT,MATCH(Q79,L_PER,0),MATCH(R79,L_JENIS,0)),0))</f>
        <v/>
      </c>
      <c r="T79" s="11" t="n"/>
      <c r="U79" s="11" t="n"/>
      <c r="V79" s="10">
        <f>IF(AND(T79="",U79=""),"",IFERROR(INDEX(T_CAPAI,MATCH(T79,L_PER,0),MATCH(U79,L_KED,0)),0))</f>
        <v/>
      </c>
      <c r="W79" s="17">
        <f>IF(OR(B79="",E79="",COUNTA(F79,H79,J79:M79,O79,Q79:R79,T79:U79)=0),"",SUM(G79,I79,N79,P79,S79,V79))</f>
        <v/>
      </c>
      <c r="X79" s="18">
        <f>IF(W79="","",IF(Murid!F79="TL","TL",ROUND(W79/110*100,2)))</f>
        <v/>
      </c>
    </row>
    <row r="80">
      <c r="A80" s="15">
        <f>Murid!A80</f>
        <v/>
      </c>
      <c r="B80" s="15">
        <f>IF(Murid!B80="","",Murid!B80)</f>
        <v/>
      </c>
      <c r="C80" s="16">
        <f>IF(Murid!C80="","",Murid!C80)</f>
        <v/>
      </c>
      <c r="D80" s="15">
        <f>IF(Murid!E80="","",Murid!E80)</f>
        <v/>
      </c>
      <c r="E80" s="11" t="n"/>
      <c r="F80" s="11" t="n"/>
      <c r="G80" s="10">
        <f>IF(F80="","",IFERROR(VLOOKUP(F80,T_JUB,2,FALSE),0))</f>
        <v/>
      </c>
      <c r="H80" s="11" t="n"/>
      <c r="I80" s="17">
        <f>IF(H80="","",IF(H80&gt;=12,40,ROUND(H80*3.33,2)))</f>
        <v/>
      </c>
      <c r="J80" s="11" t="n"/>
      <c r="K80" s="11" t="n"/>
      <c r="L80" s="11" t="n"/>
      <c r="M80" s="11" t="n"/>
      <c r="N80" s="10">
        <f>IF(COUNTA(J80:M80)=0,"",MIN(10,SUMPRODUCT((COUNTIF(J80:M80,L_KOM)&gt;0)*S_KOM)))</f>
        <v/>
      </c>
      <c r="O80" s="11" t="n"/>
      <c r="P80" s="10">
        <f>IF(O80="","",IFERROR(VLOOKUP(O80,T_KHID,2,FALSE),0))</f>
        <v/>
      </c>
      <c r="Q80" s="11" t="n"/>
      <c r="R80" s="11" t="n"/>
      <c r="S80" s="10">
        <f>IF(AND(Q80="",R80=""),"",IFERROR(INDEX(T_LIBAT,MATCH(Q80,L_PER,0),MATCH(R80,L_JENIS,0)),0))</f>
        <v/>
      </c>
      <c r="T80" s="11" t="n"/>
      <c r="U80" s="11" t="n"/>
      <c r="V80" s="10">
        <f>IF(AND(T80="",U80=""),"",IFERROR(INDEX(T_CAPAI,MATCH(T80,L_PER,0),MATCH(U80,L_KED,0)),0))</f>
        <v/>
      </c>
      <c r="W80" s="17">
        <f>IF(OR(B80="",E80="",COUNTA(F80,H80,J80:M80,O80,Q80:R80,T80:U80)=0),"",SUM(G80,I80,N80,P80,S80,V80))</f>
        <v/>
      </c>
      <c r="X80" s="18">
        <f>IF(W80="","",IF(Murid!F80="TL","TL",ROUND(W80/110*100,2)))</f>
        <v/>
      </c>
    </row>
    <row r="81">
      <c r="A81" s="15">
        <f>Murid!A81</f>
        <v/>
      </c>
      <c r="B81" s="15">
        <f>IF(Murid!B81="","",Murid!B81)</f>
        <v/>
      </c>
      <c r="C81" s="16">
        <f>IF(Murid!C81="","",Murid!C81)</f>
        <v/>
      </c>
      <c r="D81" s="15">
        <f>IF(Murid!E81="","",Murid!E81)</f>
        <v/>
      </c>
      <c r="E81" s="11" t="n"/>
      <c r="F81" s="11" t="n"/>
      <c r="G81" s="10">
        <f>IF(F81="","",IFERROR(VLOOKUP(F81,T_JUB,2,FALSE),0))</f>
        <v/>
      </c>
      <c r="H81" s="11" t="n"/>
      <c r="I81" s="17">
        <f>IF(H81="","",IF(H81&gt;=12,40,ROUND(H81*3.33,2)))</f>
        <v/>
      </c>
      <c r="J81" s="11" t="n"/>
      <c r="K81" s="11" t="n"/>
      <c r="L81" s="11" t="n"/>
      <c r="M81" s="11" t="n"/>
      <c r="N81" s="10">
        <f>IF(COUNTA(J81:M81)=0,"",MIN(10,SUMPRODUCT((COUNTIF(J81:M81,L_KOM)&gt;0)*S_KOM)))</f>
        <v/>
      </c>
      <c r="O81" s="11" t="n"/>
      <c r="P81" s="10">
        <f>IF(O81="","",IFERROR(VLOOKUP(O81,T_KHID,2,FALSE),0))</f>
        <v/>
      </c>
      <c r="Q81" s="11" t="n"/>
      <c r="R81" s="11" t="n"/>
      <c r="S81" s="10">
        <f>IF(AND(Q81="",R81=""),"",IFERROR(INDEX(T_LIBAT,MATCH(Q81,L_PER,0),MATCH(R81,L_JENIS,0)),0))</f>
        <v/>
      </c>
      <c r="T81" s="11" t="n"/>
      <c r="U81" s="11" t="n"/>
      <c r="V81" s="10">
        <f>IF(AND(T81="",U81=""),"",IFERROR(INDEX(T_CAPAI,MATCH(T81,L_PER,0),MATCH(U81,L_KED,0)),0))</f>
        <v/>
      </c>
      <c r="W81" s="17">
        <f>IF(OR(B81="",E81="",COUNTA(F81,H81,J81:M81,O81,Q81:R81,T81:U81)=0),"",SUM(G81,I81,N81,P81,S81,V81))</f>
        <v/>
      </c>
      <c r="X81" s="18">
        <f>IF(W81="","",IF(Murid!F81="TL","TL",ROUND(W81/110*100,2)))</f>
        <v/>
      </c>
    </row>
    <row r="82">
      <c r="A82" s="15">
        <f>Murid!A82</f>
        <v/>
      </c>
      <c r="B82" s="15">
        <f>IF(Murid!B82="","",Murid!B82)</f>
        <v/>
      </c>
      <c r="C82" s="16">
        <f>IF(Murid!C82="","",Murid!C82)</f>
        <v/>
      </c>
      <c r="D82" s="15">
        <f>IF(Murid!E82="","",Murid!E82)</f>
        <v/>
      </c>
      <c r="E82" s="11" t="n"/>
      <c r="F82" s="11" t="n"/>
      <c r="G82" s="10">
        <f>IF(F82="","",IFERROR(VLOOKUP(F82,T_JUB,2,FALSE),0))</f>
        <v/>
      </c>
      <c r="H82" s="11" t="n"/>
      <c r="I82" s="17">
        <f>IF(H82="","",IF(H82&gt;=12,40,ROUND(H82*3.33,2)))</f>
        <v/>
      </c>
      <c r="J82" s="11" t="n"/>
      <c r="K82" s="11" t="n"/>
      <c r="L82" s="11" t="n"/>
      <c r="M82" s="11" t="n"/>
      <c r="N82" s="10">
        <f>IF(COUNTA(J82:M82)=0,"",MIN(10,SUMPRODUCT((COUNTIF(J82:M82,L_KOM)&gt;0)*S_KOM)))</f>
        <v/>
      </c>
      <c r="O82" s="11" t="n"/>
      <c r="P82" s="10">
        <f>IF(O82="","",IFERROR(VLOOKUP(O82,T_KHID,2,FALSE),0))</f>
        <v/>
      </c>
      <c r="Q82" s="11" t="n"/>
      <c r="R82" s="11" t="n"/>
      <c r="S82" s="10">
        <f>IF(AND(Q82="",R82=""),"",IFERROR(INDEX(T_LIBAT,MATCH(Q82,L_PER,0),MATCH(R82,L_JENIS,0)),0))</f>
        <v/>
      </c>
      <c r="T82" s="11" t="n"/>
      <c r="U82" s="11" t="n"/>
      <c r="V82" s="10">
        <f>IF(AND(T82="",U82=""),"",IFERROR(INDEX(T_CAPAI,MATCH(T82,L_PER,0),MATCH(U82,L_KED,0)),0))</f>
        <v/>
      </c>
      <c r="W82" s="17">
        <f>IF(OR(B82="",E82="",COUNTA(F82,H82,J82:M82,O82,Q82:R82,T82:U82)=0),"",SUM(G82,I82,N82,P82,S82,V82))</f>
        <v/>
      </c>
      <c r="X82" s="18">
        <f>IF(W82="","",IF(Murid!F82="TL","TL",ROUND(W82/110*100,2)))</f>
        <v/>
      </c>
    </row>
    <row r="83">
      <c r="A83" s="15">
        <f>Murid!A83</f>
        <v/>
      </c>
      <c r="B83" s="15">
        <f>IF(Murid!B83="","",Murid!B83)</f>
        <v/>
      </c>
      <c r="C83" s="16">
        <f>IF(Murid!C83="","",Murid!C83)</f>
        <v/>
      </c>
      <c r="D83" s="15">
        <f>IF(Murid!E83="","",Murid!E83)</f>
        <v/>
      </c>
      <c r="E83" s="11" t="n"/>
      <c r="F83" s="11" t="n"/>
      <c r="G83" s="10">
        <f>IF(F83="","",IFERROR(VLOOKUP(F83,T_JUB,2,FALSE),0))</f>
        <v/>
      </c>
      <c r="H83" s="11" t="n"/>
      <c r="I83" s="17">
        <f>IF(H83="","",IF(H83&gt;=12,40,ROUND(H83*3.33,2)))</f>
        <v/>
      </c>
      <c r="J83" s="11" t="n"/>
      <c r="K83" s="11" t="n"/>
      <c r="L83" s="11" t="n"/>
      <c r="M83" s="11" t="n"/>
      <c r="N83" s="10">
        <f>IF(COUNTA(J83:M83)=0,"",MIN(10,SUMPRODUCT((COUNTIF(J83:M83,L_KOM)&gt;0)*S_KOM)))</f>
        <v/>
      </c>
      <c r="O83" s="11" t="n"/>
      <c r="P83" s="10">
        <f>IF(O83="","",IFERROR(VLOOKUP(O83,T_KHID,2,FALSE),0))</f>
        <v/>
      </c>
      <c r="Q83" s="11" t="n"/>
      <c r="R83" s="11" t="n"/>
      <c r="S83" s="10">
        <f>IF(AND(Q83="",R83=""),"",IFERROR(INDEX(T_LIBAT,MATCH(Q83,L_PER,0),MATCH(R83,L_JENIS,0)),0))</f>
        <v/>
      </c>
      <c r="T83" s="11" t="n"/>
      <c r="U83" s="11" t="n"/>
      <c r="V83" s="10">
        <f>IF(AND(T83="",U83=""),"",IFERROR(INDEX(T_CAPAI,MATCH(T83,L_PER,0),MATCH(U83,L_KED,0)),0))</f>
        <v/>
      </c>
      <c r="W83" s="17">
        <f>IF(OR(B83="",E83="",COUNTA(F83,H83,J83:M83,O83,Q83:R83,T83:U83)=0),"",SUM(G83,I83,N83,P83,S83,V83))</f>
        <v/>
      </c>
      <c r="X83" s="18">
        <f>IF(W83="","",IF(Murid!F83="TL","TL",ROUND(W83/110*100,2)))</f>
        <v/>
      </c>
    </row>
    <row r="84">
      <c r="A84" s="15">
        <f>Murid!A84</f>
        <v/>
      </c>
      <c r="B84" s="15">
        <f>IF(Murid!B84="","",Murid!B84)</f>
        <v/>
      </c>
      <c r="C84" s="16">
        <f>IF(Murid!C84="","",Murid!C84)</f>
        <v/>
      </c>
      <c r="D84" s="15">
        <f>IF(Murid!E84="","",Murid!E84)</f>
        <v/>
      </c>
      <c r="E84" s="11" t="n"/>
      <c r="F84" s="11" t="n"/>
      <c r="G84" s="10">
        <f>IF(F84="","",IFERROR(VLOOKUP(F84,T_JUB,2,FALSE),0))</f>
        <v/>
      </c>
      <c r="H84" s="11" t="n"/>
      <c r="I84" s="17">
        <f>IF(H84="","",IF(H84&gt;=12,40,ROUND(H84*3.33,2)))</f>
        <v/>
      </c>
      <c r="J84" s="11" t="n"/>
      <c r="K84" s="11" t="n"/>
      <c r="L84" s="11" t="n"/>
      <c r="M84" s="11" t="n"/>
      <c r="N84" s="10">
        <f>IF(COUNTA(J84:M84)=0,"",MIN(10,SUMPRODUCT((COUNTIF(J84:M84,L_KOM)&gt;0)*S_KOM)))</f>
        <v/>
      </c>
      <c r="O84" s="11" t="n"/>
      <c r="P84" s="10">
        <f>IF(O84="","",IFERROR(VLOOKUP(O84,T_KHID,2,FALSE),0))</f>
        <v/>
      </c>
      <c r="Q84" s="11" t="n"/>
      <c r="R84" s="11" t="n"/>
      <c r="S84" s="10">
        <f>IF(AND(Q84="",R84=""),"",IFERROR(INDEX(T_LIBAT,MATCH(Q84,L_PER,0),MATCH(R84,L_JENIS,0)),0))</f>
        <v/>
      </c>
      <c r="T84" s="11" t="n"/>
      <c r="U84" s="11" t="n"/>
      <c r="V84" s="10">
        <f>IF(AND(T84="",U84=""),"",IFERROR(INDEX(T_CAPAI,MATCH(T84,L_PER,0),MATCH(U84,L_KED,0)),0))</f>
        <v/>
      </c>
      <c r="W84" s="17">
        <f>IF(OR(B84="",E84="",COUNTA(F84,H84,J84:M84,O84,Q84:R84,T84:U84)=0),"",SUM(G84,I84,N84,P84,S84,V84))</f>
        <v/>
      </c>
      <c r="X84" s="18">
        <f>IF(W84="","",IF(Murid!F84="TL","TL",ROUND(W84/110*100,2)))</f>
        <v/>
      </c>
    </row>
    <row r="85">
      <c r="A85" s="15">
        <f>Murid!A85</f>
        <v/>
      </c>
      <c r="B85" s="15">
        <f>IF(Murid!B85="","",Murid!B85)</f>
        <v/>
      </c>
      <c r="C85" s="16">
        <f>IF(Murid!C85="","",Murid!C85)</f>
        <v/>
      </c>
      <c r="D85" s="15">
        <f>IF(Murid!E85="","",Murid!E85)</f>
        <v/>
      </c>
      <c r="E85" s="11" t="n"/>
      <c r="F85" s="11" t="n"/>
      <c r="G85" s="10">
        <f>IF(F85="","",IFERROR(VLOOKUP(F85,T_JUB,2,FALSE),0))</f>
        <v/>
      </c>
      <c r="H85" s="11" t="n"/>
      <c r="I85" s="17">
        <f>IF(H85="","",IF(H85&gt;=12,40,ROUND(H85*3.33,2)))</f>
        <v/>
      </c>
      <c r="J85" s="11" t="n"/>
      <c r="K85" s="11" t="n"/>
      <c r="L85" s="11" t="n"/>
      <c r="M85" s="11" t="n"/>
      <c r="N85" s="10">
        <f>IF(COUNTA(J85:M85)=0,"",MIN(10,SUMPRODUCT((COUNTIF(J85:M85,L_KOM)&gt;0)*S_KOM)))</f>
        <v/>
      </c>
      <c r="O85" s="11" t="n"/>
      <c r="P85" s="10">
        <f>IF(O85="","",IFERROR(VLOOKUP(O85,T_KHID,2,FALSE),0))</f>
        <v/>
      </c>
      <c r="Q85" s="11" t="n"/>
      <c r="R85" s="11" t="n"/>
      <c r="S85" s="10">
        <f>IF(AND(Q85="",R85=""),"",IFERROR(INDEX(T_LIBAT,MATCH(Q85,L_PER,0),MATCH(R85,L_JENIS,0)),0))</f>
        <v/>
      </c>
      <c r="T85" s="11" t="n"/>
      <c r="U85" s="11" t="n"/>
      <c r="V85" s="10">
        <f>IF(AND(T85="",U85=""),"",IFERROR(INDEX(T_CAPAI,MATCH(T85,L_PER,0),MATCH(U85,L_KED,0)),0))</f>
        <v/>
      </c>
      <c r="W85" s="17">
        <f>IF(OR(B85="",E85="",COUNTA(F85,H85,J85:M85,O85,Q85:R85,T85:U85)=0),"",SUM(G85,I85,N85,P85,S85,V85))</f>
        <v/>
      </c>
      <c r="X85" s="18">
        <f>IF(W85="","",IF(Murid!F85="TL","TL",ROUND(W85/110*100,2)))</f>
        <v/>
      </c>
    </row>
    <row r="86">
      <c r="A86" s="15">
        <f>Murid!A86</f>
        <v/>
      </c>
      <c r="B86" s="15">
        <f>IF(Murid!B86="","",Murid!B86)</f>
        <v/>
      </c>
      <c r="C86" s="16">
        <f>IF(Murid!C86="","",Murid!C86)</f>
        <v/>
      </c>
      <c r="D86" s="15">
        <f>IF(Murid!E86="","",Murid!E86)</f>
        <v/>
      </c>
      <c r="E86" s="11" t="n"/>
      <c r="F86" s="11" t="n"/>
      <c r="G86" s="10">
        <f>IF(F86="","",IFERROR(VLOOKUP(F86,T_JUB,2,FALSE),0))</f>
        <v/>
      </c>
      <c r="H86" s="11" t="n"/>
      <c r="I86" s="17">
        <f>IF(H86="","",IF(H86&gt;=12,40,ROUND(H86*3.33,2)))</f>
        <v/>
      </c>
      <c r="J86" s="11" t="n"/>
      <c r="K86" s="11" t="n"/>
      <c r="L86" s="11" t="n"/>
      <c r="M86" s="11" t="n"/>
      <c r="N86" s="10">
        <f>IF(COUNTA(J86:M86)=0,"",MIN(10,SUMPRODUCT((COUNTIF(J86:M86,L_KOM)&gt;0)*S_KOM)))</f>
        <v/>
      </c>
      <c r="O86" s="11" t="n"/>
      <c r="P86" s="10">
        <f>IF(O86="","",IFERROR(VLOOKUP(O86,T_KHID,2,FALSE),0))</f>
        <v/>
      </c>
      <c r="Q86" s="11" t="n"/>
      <c r="R86" s="11" t="n"/>
      <c r="S86" s="10">
        <f>IF(AND(Q86="",R86=""),"",IFERROR(INDEX(T_LIBAT,MATCH(Q86,L_PER,0),MATCH(R86,L_JENIS,0)),0))</f>
        <v/>
      </c>
      <c r="T86" s="11" t="n"/>
      <c r="U86" s="11" t="n"/>
      <c r="V86" s="10">
        <f>IF(AND(T86="",U86=""),"",IFERROR(INDEX(T_CAPAI,MATCH(T86,L_PER,0),MATCH(U86,L_KED,0)),0))</f>
        <v/>
      </c>
      <c r="W86" s="17">
        <f>IF(OR(B86="",E86="",COUNTA(F86,H86,J86:M86,O86,Q86:R86,T86:U86)=0),"",SUM(G86,I86,N86,P86,S86,V86))</f>
        <v/>
      </c>
      <c r="X86" s="18">
        <f>IF(W86="","",IF(Murid!F86="TL","TL",ROUND(W86/110*100,2)))</f>
        <v/>
      </c>
    </row>
    <row r="87">
      <c r="A87" s="15">
        <f>Murid!A87</f>
        <v/>
      </c>
      <c r="B87" s="15">
        <f>IF(Murid!B87="","",Murid!B87)</f>
        <v/>
      </c>
      <c r="C87" s="16">
        <f>IF(Murid!C87="","",Murid!C87)</f>
        <v/>
      </c>
      <c r="D87" s="15">
        <f>IF(Murid!E87="","",Murid!E87)</f>
        <v/>
      </c>
      <c r="E87" s="11" t="n"/>
      <c r="F87" s="11" t="n"/>
      <c r="G87" s="10">
        <f>IF(F87="","",IFERROR(VLOOKUP(F87,T_JUB,2,FALSE),0))</f>
        <v/>
      </c>
      <c r="H87" s="11" t="n"/>
      <c r="I87" s="17">
        <f>IF(H87="","",IF(H87&gt;=12,40,ROUND(H87*3.33,2)))</f>
        <v/>
      </c>
      <c r="J87" s="11" t="n"/>
      <c r="K87" s="11" t="n"/>
      <c r="L87" s="11" t="n"/>
      <c r="M87" s="11" t="n"/>
      <c r="N87" s="10">
        <f>IF(COUNTA(J87:M87)=0,"",MIN(10,SUMPRODUCT((COUNTIF(J87:M87,L_KOM)&gt;0)*S_KOM)))</f>
        <v/>
      </c>
      <c r="O87" s="11" t="n"/>
      <c r="P87" s="10">
        <f>IF(O87="","",IFERROR(VLOOKUP(O87,T_KHID,2,FALSE),0))</f>
        <v/>
      </c>
      <c r="Q87" s="11" t="n"/>
      <c r="R87" s="11" t="n"/>
      <c r="S87" s="10">
        <f>IF(AND(Q87="",R87=""),"",IFERROR(INDEX(T_LIBAT,MATCH(Q87,L_PER,0),MATCH(R87,L_JENIS,0)),0))</f>
        <v/>
      </c>
      <c r="T87" s="11" t="n"/>
      <c r="U87" s="11" t="n"/>
      <c r="V87" s="10">
        <f>IF(AND(T87="",U87=""),"",IFERROR(INDEX(T_CAPAI,MATCH(T87,L_PER,0),MATCH(U87,L_KED,0)),0))</f>
        <v/>
      </c>
      <c r="W87" s="17">
        <f>IF(OR(B87="",E87="",COUNTA(F87,H87,J87:M87,O87,Q87:R87,T87:U87)=0),"",SUM(G87,I87,N87,P87,S87,V87))</f>
        <v/>
      </c>
      <c r="X87" s="18">
        <f>IF(W87="","",IF(Murid!F87="TL","TL",ROUND(W87/110*100,2)))</f>
        <v/>
      </c>
    </row>
    <row r="88">
      <c r="A88" s="15">
        <f>Murid!A88</f>
        <v/>
      </c>
      <c r="B88" s="15">
        <f>IF(Murid!B88="","",Murid!B88)</f>
        <v/>
      </c>
      <c r="C88" s="16">
        <f>IF(Murid!C88="","",Murid!C88)</f>
        <v/>
      </c>
      <c r="D88" s="15">
        <f>IF(Murid!E88="","",Murid!E88)</f>
        <v/>
      </c>
      <c r="E88" s="11" t="n"/>
      <c r="F88" s="11" t="n"/>
      <c r="G88" s="10">
        <f>IF(F88="","",IFERROR(VLOOKUP(F88,T_JUB,2,FALSE),0))</f>
        <v/>
      </c>
      <c r="H88" s="11" t="n"/>
      <c r="I88" s="17">
        <f>IF(H88="","",IF(H88&gt;=12,40,ROUND(H88*3.33,2)))</f>
        <v/>
      </c>
      <c r="J88" s="11" t="n"/>
      <c r="K88" s="11" t="n"/>
      <c r="L88" s="11" t="n"/>
      <c r="M88" s="11" t="n"/>
      <c r="N88" s="10">
        <f>IF(COUNTA(J88:M88)=0,"",MIN(10,SUMPRODUCT((COUNTIF(J88:M88,L_KOM)&gt;0)*S_KOM)))</f>
        <v/>
      </c>
      <c r="O88" s="11" t="n"/>
      <c r="P88" s="10">
        <f>IF(O88="","",IFERROR(VLOOKUP(O88,T_KHID,2,FALSE),0))</f>
        <v/>
      </c>
      <c r="Q88" s="11" t="n"/>
      <c r="R88" s="11" t="n"/>
      <c r="S88" s="10">
        <f>IF(AND(Q88="",R88=""),"",IFERROR(INDEX(T_LIBAT,MATCH(Q88,L_PER,0),MATCH(R88,L_JENIS,0)),0))</f>
        <v/>
      </c>
      <c r="T88" s="11" t="n"/>
      <c r="U88" s="11" t="n"/>
      <c r="V88" s="10">
        <f>IF(AND(T88="",U88=""),"",IFERROR(INDEX(T_CAPAI,MATCH(T88,L_PER,0),MATCH(U88,L_KED,0)),0))</f>
        <v/>
      </c>
      <c r="W88" s="17">
        <f>IF(OR(B88="",E88="",COUNTA(F88,H88,J88:M88,O88,Q88:R88,T88:U88)=0),"",SUM(G88,I88,N88,P88,S88,V88))</f>
        <v/>
      </c>
      <c r="X88" s="18">
        <f>IF(W88="","",IF(Murid!F88="TL","TL",ROUND(W88/110*100,2)))</f>
        <v/>
      </c>
    </row>
    <row r="89">
      <c r="A89" s="15">
        <f>Murid!A89</f>
        <v/>
      </c>
      <c r="B89" s="15">
        <f>IF(Murid!B89="","",Murid!B89)</f>
        <v/>
      </c>
      <c r="C89" s="16">
        <f>IF(Murid!C89="","",Murid!C89)</f>
        <v/>
      </c>
      <c r="D89" s="15">
        <f>IF(Murid!E89="","",Murid!E89)</f>
        <v/>
      </c>
      <c r="E89" s="11" t="n"/>
      <c r="F89" s="11" t="n"/>
      <c r="G89" s="10">
        <f>IF(F89="","",IFERROR(VLOOKUP(F89,T_JUB,2,FALSE),0))</f>
        <v/>
      </c>
      <c r="H89" s="11" t="n"/>
      <c r="I89" s="17">
        <f>IF(H89="","",IF(H89&gt;=12,40,ROUND(H89*3.33,2)))</f>
        <v/>
      </c>
      <c r="J89" s="11" t="n"/>
      <c r="K89" s="11" t="n"/>
      <c r="L89" s="11" t="n"/>
      <c r="M89" s="11" t="n"/>
      <c r="N89" s="10">
        <f>IF(COUNTA(J89:M89)=0,"",MIN(10,SUMPRODUCT((COUNTIF(J89:M89,L_KOM)&gt;0)*S_KOM)))</f>
        <v/>
      </c>
      <c r="O89" s="11" t="n"/>
      <c r="P89" s="10">
        <f>IF(O89="","",IFERROR(VLOOKUP(O89,T_KHID,2,FALSE),0))</f>
        <v/>
      </c>
      <c r="Q89" s="11" t="n"/>
      <c r="R89" s="11" t="n"/>
      <c r="S89" s="10">
        <f>IF(AND(Q89="",R89=""),"",IFERROR(INDEX(T_LIBAT,MATCH(Q89,L_PER,0),MATCH(R89,L_JENIS,0)),0))</f>
        <v/>
      </c>
      <c r="T89" s="11" t="n"/>
      <c r="U89" s="11" t="n"/>
      <c r="V89" s="10">
        <f>IF(AND(T89="",U89=""),"",IFERROR(INDEX(T_CAPAI,MATCH(T89,L_PER,0),MATCH(U89,L_KED,0)),0))</f>
        <v/>
      </c>
      <c r="W89" s="17">
        <f>IF(OR(B89="",E89="",COUNTA(F89,H89,J89:M89,O89,Q89:R89,T89:U89)=0),"",SUM(G89,I89,N89,P89,S89,V89))</f>
        <v/>
      </c>
      <c r="X89" s="18">
        <f>IF(W89="","",IF(Murid!F89="TL","TL",ROUND(W89/110*100,2)))</f>
        <v/>
      </c>
    </row>
    <row r="90">
      <c r="A90" s="15">
        <f>Murid!A90</f>
        <v/>
      </c>
      <c r="B90" s="15">
        <f>IF(Murid!B90="","",Murid!B90)</f>
        <v/>
      </c>
      <c r="C90" s="16">
        <f>IF(Murid!C90="","",Murid!C90)</f>
        <v/>
      </c>
      <c r="D90" s="15">
        <f>IF(Murid!E90="","",Murid!E90)</f>
        <v/>
      </c>
      <c r="E90" s="11" t="n"/>
      <c r="F90" s="11" t="n"/>
      <c r="G90" s="10">
        <f>IF(F90="","",IFERROR(VLOOKUP(F90,T_JUB,2,FALSE),0))</f>
        <v/>
      </c>
      <c r="H90" s="11" t="n"/>
      <c r="I90" s="17">
        <f>IF(H90="","",IF(H90&gt;=12,40,ROUND(H90*3.33,2)))</f>
        <v/>
      </c>
      <c r="J90" s="11" t="n"/>
      <c r="K90" s="11" t="n"/>
      <c r="L90" s="11" t="n"/>
      <c r="M90" s="11" t="n"/>
      <c r="N90" s="10">
        <f>IF(COUNTA(J90:M90)=0,"",MIN(10,SUMPRODUCT((COUNTIF(J90:M90,L_KOM)&gt;0)*S_KOM)))</f>
        <v/>
      </c>
      <c r="O90" s="11" t="n"/>
      <c r="P90" s="10">
        <f>IF(O90="","",IFERROR(VLOOKUP(O90,T_KHID,2,FALSE),0))</f>
        <v/>
      </c>
      <c r="Q90" s="11" t="n"/>
      <c r="R90" s="11" t="n"/>
      <c r="S90" s="10">
        <f>IF(AND(Q90="",R90=""),"",IFERROR(INDEX(T_LIBAT,MATCH(Q90,L_PER,0),MATCH(R90,L_JENIS,0)),0))</f>
        <v/>
      </c>
      <c r="T90" s="11" t="n"/>
      <c r="U90" s="11" t="n"/>
      <c r="V90" s="10">
        <f>IF(AND(T90="",U90=""),"",IFERROR(INDEX(T_CAPAI,MATCH(T90,L_PER,0),MATCH(U90,L_KED,0)),0))</f>
        <v/>
      </c>
      <c r="W90" s="17">
        <f>IF(OR(B90="",E90="",COUNTA(F90,H90,J90:M90,O90,Q90:R90,T90:U90)=0),"",SUM(G90,I90,N90,P90,S90,V90))</f>
        <v/>
      </c>
      <c r="X90" s="18">
        <f>IF(W90="","",IF(Murid!F90="TL","TL",ROUND(W90/110*100,2)))</f>
        <v/>
      </c>
    </row>
    <row r="91">
      <c r="A91" s="15">
        <f>Murid!A91</f>
        <v/>
      </c>
      <c r="B91" s="15">
        <f>IF(Murid!B91="","",Murid!B91)</f>
        <v/>
      </c>
      <c r="C91" s="16">
        <f>IF(Murid!C91="","",Murid!C91)</f>
        <v/>
      </c>
      <c r="D91" s="15">
        <f>IF(Murid!E91="","",Murid!E91)</f>
        <v/>
      </c>
      <c r="E91" s="11" t="n"/>
      <c r="F91" s="11" t="n"/>
      <c r="G91" s="10">
        <f>IF(F91="","",IFERROR(VLOOKUP(F91,T_JUB,2,FALSE),0))</f>
        <v/>
      </c>
      <c r="H91" s="11" t="n"/>
      <c r="I91" s="17">
        <f>IF(H91="","",IF(H91&gt;=12,40,ROUND(H91*3.33,2)))</f>
        <v/>
      </c>
      <c r="J91" s="11" t="n"/>
      <c r="K91" s="11" t="n"/>
      <c r="L91" s="11" t="n"/>
      <c r="M91" s="11" t="n"/>
      <c r="N91" s="10">
        <f>IF(COUNTA(J91:M91)=0,"",MIN(10,SUMPRODUCT((COUNTIF(J91:M91,L_KOM)&gt;0)*S_KOM)))</f>
        <v/>
      </c>
      <c r="O91" s="11" t="n"/>
      <c r="P91" s="10">
        <f>IF(O91="","",IFERROR(VLOOKUP(O91,T_KHID,2,FALSE),0))</f>
        <v/>
      </c>
      <c r="Q91" s="11" t="n"/>
      <c r="R91" s="11" t="n"/>
      <c r="S91" s="10">
        <f>IF(AND(Q91="",R91=""),"",IFERROR(INDEX(T_LIBAT,MATCH(Q91,L_PER,0),MATCH(R91,L_JENIS,0)),0))</f>
        <v/>
      </c>
      <c r="T91" s="11" t="n"/>
      <c r="U91" s="11" t="n"/>
      <c r="V91" s="10">
        <f>IF(AND(T91="",U91=""),"",IFERROR(INDEX(T_CAPAI,MATCH(T91,L_PER,0),MATCH(U91,L_KED,0)),0))</f>
        <v/>
      </c>
      <c r="W91" s="17">
        <f>IF(OR(B91="",E91="",COUNTA(F91,H91,J91:M91,O91,Q91:R91,T91:U91)=0),"",SUM(G91,I91,N91,P91,S91,V91))</f>
        <v/>
      </c>
      <c r="X91" s="18">
        <f>IF(W91="","",IF(Murid!F91="TL","TL",ROUND(W91/110*100,2)))</f>
        <v/>
      </c>
    </row>
    <row r="92">
      <c r="A92" s="15">
        <f>Murid!A92</f>
        <v/>
      </c>
      <c r="B92" s="15">
        <f>IF(Murid!B92="","",Murid!B92)</f>
        <v/>
      </c>
      <c r="C92" s="16">
        <f>IF(Murid!C92="","",Murid!C92)</f>
        <v/>
      </c>
      <c r="D92" s="15">
        <f>IF(Murid!E92="","",Murid!E92)</f>
        <v/>
      </c>
      <c r="E92" s="11" t="n"/>
      <c r="F92" s="11" t="n"/>
      <c r="G92" s="10">
        <f>IF(F92="","",IFERROR(VLOOKUP(F92,T_JUB,2,FALSE),0))</f>
        <v/>
      </c>
      <c r="H92" s="11" t="n"/>
      <c r="I92" s="17">
        <f>IF(H92="","",IF(H92&gt;=12,40,ROUND(H92*3.33,2)))</f>
        <v/>
      </c>
      <c r="J92" s="11" t="n"/>
      <c r="K92" s="11" t="n"/>
      <c r="L92" s="11" t="n"/>
      <c r="M92" s="11" t="n"/>
      <c r="N92" s="10">
        <f>IF(COUNTA(J92:M92)=0,"",MIN(10,SUMPRODUCT((COUNTIF(J92:M92,L_KOM)&gt;0)*S_KOM)))</f>
        <v/>
      </c>
      <c r="O92" s="11" t="n"/>
      <c r="P92" s="10">
        <f>IF(O92="","",IFERROR(VLOOKUP(O92,T_KHID,2,FALSE),0))</f>
        <v/>
      </c>
      <c r="Q92" s="11" t="n"/>
      <c r="R92" s="11" t="n"/>
      <c r="S92" s="10">
        <f>IF(AND(Q92="",R92=""),"",IFERROR(INDEX(T_LIBAT,MATCH(Q92,L_PER,0),MATCH(R92,L_JENIS,0)),0))</f>
        <v/>
      </c>
      <c r="T92" s="11" t="n"/>
      <c r="U92" s="11" t="n"/>
      <c r="V92" s="10">
        <f>IF(AND(T92="",U92=""),"",IFERROR(INDEX(T_CAPAI,MATCH(T92,L_PER,0),MATCH(U92,L_KED,0)),0))</f>
        <v/>
      </c>
      <c r="W92" s="17">
        <f>IF(OR(B92="",E92="",COUNTA(F92,H92,J92:M92,O92,Q92:R92,T92:U92)=0),"",SUM(G92,I92,N92,P92,S92,V92))</f>
        <v/>
      </c>
      <c r="X92" s="18">
        <f>IF(W92="","",IF(Murid!F92="TL","TL",ROUND(W92/110*100,2)))</f>
        <v/>
      </c>
    </row>
    <row r="93">
      <c r="A93" s="15">
        <f>Murid!A93</f>
        <v/>
      </c>
      <c r="B93" s="15">
        <f>IF(Murid!B93="","",Murid!B93)</f>
        <v/>
      </c>
      <c r="C93" s="16">
        <f>IF(Murid!C93="","",Murid!C93)</f>
        <v/>
      </c>
      <c r="D93" s="15">
        <f>IF(Murid!E93="","",Murid!E93)</f>
        <v/>
      </c>
      <c r="E93" s="11" t="n"/>
      <c r="F93" s="11" t="n"/>
      <c r="G93" s="10">
        <f>IF(F93="","",IFERROR(VLOOKUP(F93,T_JUB,2,FALSE),0))</f>
        <v/>
      </c>
      <c r="H93" s="11" t="n"/>
      <c r="I93" s="17">
        <f>IF(H93="","",IF(H93&gt;=12,40,ROUND(H93*3.33,2)))</f>
        <v/>
      </c>
      <c r="J93" s="11" t="n"/>
      <c r="K93" s="11" t="n"/>
      <c r="L93" s="11" t="n"/>
      <c r="M93" s="11" t="n"/>
      <c r="N93" s="10">
        <f>IF(COUNTA(J93:M93)=0,"",MIN(10,SUMPRODUCT((COUNTIF(J93:M93,L_KOM)&gt;0)*S_KOM)))</f>
        <v/>
      </c>
      <c r="O93" s="11" t="n"/>
      <c r="P93" s="10">
        <f>IF(O93="","",IFERROR(VLOOKUP(O93,T_KHID,2,FALSE),0))</f>
        <v/>
      </c>
      <c r="Q93" s="11" t="n"/>
      <c r="R93" s="11" t="n"/>
      <c r="S93" s="10">
        <f>IF(AND(Q93="",R93=""),"",IFERROR(INDEX(T_LIBAT,MATCH(Q93,L_PER,0),MATCH(R93,L_JENIS,0)),0))</f>
        <v/>
      </c>
      <c r="T93" s="11" t="n"/>
      <c r="U93" s="11" t="n"/>
      <c r="V93" s="10">
        <f>IF(AND(T93="",U93=""),"",IFERROR(INDEX(T_CAPAI,MATCH(T93,L_PER,0),MATCH(U93,L_KED,0)),0))</f>
        <v/>
      </c>
      <c r="W93" s="17">
        <f>IF(OR(B93="",E93="",COUNTA(F93,H93,J93:M93,O93,Q93:R93,T93:U93)=0),"",SUM(G93,I93,N93,P93,S93,V93))</f>
        <v/>
      </c>
      <c r="X93" s="18">
        <f>IF(W93="","",IF(Murid!F93="TL","TL",ROUND(W93/110*100,2)))</f>
        <v/>
      </c>
    </row>
    <row r="94">
      <c r="A94" s="15">
        <f>Murid!A94</f>
        <v/>
      </c>
      <c r="B94" s="15">
        <f>IF(Murid!B94="","",Murid!B94)</f>
        <v/>
      </c>
      <c r="C94" s="16">
        <f>IF(Murid!C94="","",Murid!C94)</f>
        <v/>
      </c>
      <c r="D94" s="15">
        <f>IF(Murid!E94="","",Murid!E94)</f>
        <v/>
      </c>
      <c r="E94" s="11" t="n"/>
      <c r="F94" s="11" t="n"/>
      <c r="G94" s="10">
        <f>IF(F94="","",IFERROR(VLOOKUP(F94,T_JUB,2,FALSE),0))</f>
        <v/>
      </c>
      <c r="H94" s="11" t="n"/>
      <c r="I94" s="17">
        <f>IF(H94="","",IF(H94&gt;=12,40,ROUND(H94*3.33,2)))</f>
        <v/>
      </c>
      <c r="J94" s="11" t="n"/>
      <c r="K94" s="11" t="n"/>
      <c r="L94" s="11" t="n"/>
      <c r="M94" s="11" t="n"/>
      <c r="N94" s="10">
        <f>IF(COUNTA(J94:M94)=0,"",MIN(10,SUMPRODUCT((COUNTIF(J94:M94,L_KOM)&gt;0)*S_KOM)))</f>
        <v/>
      </c>
      <c r="O94" s="11" t="n"/>
      <c r="P94" s="10">
        <f>IF(O94="","",IFERROR(VLOOKUP(O94,T_KHID,2,FALSE),0))</f>
        <v/>
      </c>
      <c r="Q94" s="11" t="n"/>
      <c r="R94" s="11" t="n"/>
      <c r="S94" s="10">
        <f>IF(AND(Q94="",R94=""),"",IFERROR(INDEX(T_LIBAT,MATCH(Q94,L_PER,0),MATCH(R94,L_JENIS,0)),0))</f>
        <v/>
      </c>
      <c r="T94" s="11" t="n"/>
      <c r="U94" s="11" t="n"/>
      <c r="V94" s="10">
        <f>IF(AND(T94="",U94=""),"",IFERROR(INDEX(T_CAPAI,MATCH(T94,L_PER,0),MATCH(U94,L_KED,0)),0))</f>
        <v/>
      </c>
      <c r="W94" s="17">
        <f>IF(OR(B94="",E94="",COUNTA(F94,H94,J94:M94,O94,Q94:R94,T94:U94)=0),"",SUM(G94,I94,N94,P94,S94,V94))</f>
        <v/>
      </c>
      <c r="X94" s="18">
        <f>IF(W94="","",IF(Murid!F94="TL","TL",ROUND(W94/110*100,2)))</f>
        <v/>
      </c>
    </row>
    <row r="95">
      <c r="A95" s="15">
        <f>Murid!A95</f>
        <v/>
      </c>
      <c r="B95" s="15">
        <f>IF(Murid!B95="","",Murid!B95)</f>
        <v/>
      </c>
      <c r="C95" s="16">
        <f>IF(Murid!C95="","",Murid!C95)</f>
        <v/>
      </c>
      <c r="D95" s="15">
        <f>IF(Murid!E95="","",Murid!E95)</f>
        <v/>
      </c>
      <c r="E95" s="11" t="n"/>
      <c r="F95" s="11" t="n"/>
      <c r="G95" s="10">
        <f>IF(F95="","",IFERROR(VLOOKUP(F95,T_JUB,2,FALSE),0))</f>
        <v/>
      </c>
      <c r="H95" s="11" t="n"/>
      <c r="I95" s="17">
        <f>IF(H95="","",IF(H95&gt;=12,40,ROUND(H95*3.33,2)))</f>
        <v/>
      </c>
      <c r="J95" s="11" t="n"/>
      <c r="K95" s="11" t="n"/>
      <c r="L95" s="11" t="n"/>
      <c r="M95" s="11" t="n"/>
      <c r="N95" s="10">
        <f>IF(COUNTA(J95:M95)=0,"",MIN(10,SUMPRODUCT((COUNTIF(J95:M95,L_KOM)&gt;0)*S_KOM)))</f>
        <v/>
      </c>
      <c r="O95" s="11" t="n"/>
      <c r="P95" s="10">
        <f>IF(O95="","",IFERROR(VLOOKUP(O95,T_KHID,2,FALSE),0))</f>
        <v/>
      </c>
      <c r="Q95" s="11" t="n"/>
      <c r="R95" s="11" t="n"/>
      <c r="S95" s="10">
        <f>IF(AND(Q95="",R95=""),"",IFERROR(INDEX(T_LIBAT,MATCH(Q95,L_PER,0),MATCH(R95,L_JENIS,0)),0))</f>
        <v/>
      </c>
      <c r="T95" s="11" t="n"/>
      <c r="U95" s="11" t="n"/>
      <c r="V95" s="10">
        <f>IF(AND(T95="",U95=""),"",IFERROR(INDEX(T_CAPAI,MATCH(T95,L_PER,0),MATCH(U95,L_KED,0)),0))</f>
        <v/>
      </c>
      <c r="W95" s="17">
        <f>IF(OR(B95="",E95="",COUNTA(F95,H95,J95:M95,O95,Q95:R95,T95:U95)=0),"",SUM(G95,I95,N95,P95,S95,V95))</f>
        <v/>
      </c>
      <c r="X95" s="18">
        <f>IF(W95="","",IF(Murid!F95="TL","TL",ROUND(W95/110*100,2)))</f>
        <v/>
      </c>
    </row>
    <row r="96">
      <c r="A96" s="15">
        <f>Murid!A96</f>
        <v/>
      </c>
      <c r="B96" s="15">
        <f>IF(Murid!B96="","",Murid!B96)</f>
        <v/>
      </c>
      <c r="C96" s="16">
        <f>IF(Murid!C96="","",Murid!C96)</f>
        <v/>
      </c>
      <c r="D96" s="15">
        <f>IF(Murid!E96="","",Murid!E96)</f>
        <v/>
      </c>
      <c r="E96" s="11" t="n"/>
      <c r="F96" s="11" t="n"/>
      <c r="G96" s="10">
        <f>IF(F96="","",IFERROR(VLOOKUP(F96,T_JUB,2,FALSE),0))</f>
        <v/>
      </c>
      <c r="H96" s="11" t="n"/>
      <c r="I96" s="17">
        <f>IF(H96="","",IF(H96&gt;=12,40,ROUND(H96*3.33,2)))</f>
        <v/>
      </c>
      <c r="J96" s="11" t="n"/>
      <c r="K96" s="11" t="n"/>
      <c r="L96" s="11" t="n"/>
      <c r="M96" s="11" t="n"/>
      <c r="N96" s="10">
        <f>IF(COUNTA(J96:M96)=0,"",MIN(10,SUMPRODUCT((COUNTIF(J96:M96,L_KOM)&gt;0)*S_KOM)))</f>
        <v/>
      </c>
      <c r="O96" s="11" t="n"/>
      <c r="P96" s="10">
        <f>IF(O96="","",IFERROR(VLOOKUP(O96,T_KHID,2,FALSE),0))</f>
        <v/>
      </c>
      <c r="Q96" s="11" t="n"/>
      <c r="R96" s="11" t="n"/>
      <c r="S96" s="10">
        <f>IF(AND(Q96="",R96=""),"",IFERROR(INDEX(T_LIBAT,MATCH(Q96,L_PER,0),MATCH(R96,L_JENIS,0)),0))</f>
        <v/>
      </c>
      <c r="T96" s="11" t="n"/>
      <c r="U96" s="11" t="n"/>
      <c r="V96" s="10">
        <f>IF(AND(T96="",U96=""),"",IFERROR(INDEX(T_CAPAI,MATCH(T96,L_PER,0),MATCH(U96,L_KED,0)),0))</f>
        <v/>
      </c>
      <c r="W96" s="17">
        <f>IF(OR(B96="",E96="",COUNTA(F96,H96,J96:M96,O96,Q96:R96,T96:U96)=0),"",SUM(G96,I96,N96,P96,S96,V96))</f>
        <v/>
      </c>
      <c r="X96" s="18">
        <f>IF(W96="","",IF(Murid!F96="TL","TL",ROUND(W96/110*100,2)))</f>
        <v/>
      </c>
    </row>
    <row r="97">
      <c r="A97" s="15">
        <f>Murid!A97</f>
        <v/>
      </c>
      <c r="B97" s="15">
        <f>IF(Murid!B97="","",Murid!B97)</f>
        <v/>
      </c>
      <c r="C97" s="16">
        <f>IF(Murid!C97="","",Murid!C97)</f>
        <v/>
      </c>
      <c r="D97" s="15">
        <f>IF(Murid!E97="","",Murid!E97)</f>
        <v/>
      </c>
      <c r="E97" s="11" t="n"/>
      <c r="F97" s="11" t="n"/>
      <c r="G97" s="10">
        <f>IF(F97="","",IFERROR(VLOOKUP(F97,T_JUB,2,FALSE),0))</f>
        <v/>
      </c>
      <c r="H97" s="11" t="n"/>
      <c r="I97" s="17">
        <f>IF(H97="","",IF(H97&gt;=12,40,ROUND(H97*3.33,2)))</f>
        <v/>
      </c>
      <c r="J97" s="11" t="n"/>
      <c r="K97" s="11" t="n"/>
      <c r="L97" s="11" t="n"/>
      <c r="M97" s="11" t="n"/>
      <c r="N97" s="10">
        <f>IF(COUNTA(J97:M97)=0,"",MIN(10,SUMPRODUCT((COUNTIF(J97:M97,L_KOM)&gt;0)*S_KOM)))</f>
        <v/>
      </c>
      <c r="O97" s="11" t="n"/>
      <c r="P97" s="10">
        <f>IF(O97="","",IFERROR(VLOOKUP(O97,T_KHID,2,FALSE),0))</f>
        <v/>
      </c>
      <c r="Q97" s="11" t="n"/>
      <c r="R97" s="11" t="n"/>
      <c r="S97" s="10">
        <f>IF(AND(Q97="",R97=""),"",IFERROR(INDEX(T_LIBAT,MATCH(Q97,L_PER,0),MATCH(R97,L_JENIS,0)),0))</f>
        <v/>
      </c>
      <c r="T97" s="11" t="n"/>
      <c r="U97" s="11" t="n"/>
      <c r="V97" s="10">
        <f>IF(AND(T97="",U97=""),"",IFERROR(INDEX(T_CAPAI,MATCH(T97,L_PER,0),MATCH(U97,L_KED,0)),0))</f>
        <v/>
      </c>
      <c r="W97" s="17">
        <f>IF(OR(B97="",E97="",COUNTA(F97,H97,J97:M97,O97,Q97:R97,T97:U97)=0),"",SUM(G97,I97,N97,P97,S97,V97))</f>
        <v/>
      </c>
      <c r="X97" s="18">
        <f>IF(W97="","",IF(Murid!F97="TL","TL",ROUND(W97/110*100,2)))</f>
        <v/>
      </c>
    </row>
    <row r="98">
      <c r="A98" s="15">
        <f>Murid!A98</f>
        <v/>
      </c>
      <c r="B98" s="15">
        <f>IF(Murid!B98="","",Murid!B98)</f>
        <v/>
      </c>
      <c r="C98" s="16">
        <f>IF(Murid!C98="","",Murid!C98)</f>
        <v/>
      </c>
      <c r="D98" s="15">
        <f>IF(Murid!E98="","",Murid!E98)</f>
        <v/>
      </c>
      <c r="E98" s="11" t="n"/>
      <c r="F98" s="11" t="n"/>
      <c r="G98" s="10">
        <f>IF(F98="","",IFERROR(VLOOKUP(F98,T_JUB,2,FALSE),0))</f>
        <v/>
      </c>
      <c r="H98" s="11" t="n"/>
      <c r="I98" s="17">
        <f>IF(H98="","",IF(H98&gt;=12,40,ROUND(H98*3.33,2)))</f>
        <v/>
      </c>
      <c r="J98" s="11" t="n"/>
      <c r="K98" s="11" t="n"/>
      <c r="L98" s="11" t="n"/>
      <c r="M98" s="11" t="n"/>
      <c r="N98" s="10">
        <f>IF(COUNTA(J98:M98)=0,"",MIN(10,SUMPRODUCT((COUNTIF(J98:M98,L_KOM)&gt;0)*S_KOM)))</f>
        <v/>
      </c>
      <c r="O98" s="11" t="n"/>
      <c r="P98" s="10">
        <f>IF(O98="","",IFERROR(VLOOKUP(O98,T_KHID,2,FALSE),0))</f>
        <v/>
      </c>
      <c r="Q98" s="11" t="n"/>
      <c r="R98" s="11" t="n"/>
      <c r="S98" s="10">
        <f>IF(AND(Q98="",R98=""),"",IFERROR(INDEX(T_LIBAT,MATCH(Q98,L_PER,0),MATCH(R98,L_JENIS,0)),0))</f>
        <v/>
      </c>
      <c r="T98" s="11" t="n"/>
      <c r="U98" s="11" t="n"/>
      <c r="V98" s="10">
        <f>IF(AND(T98="",U98=""),"",IFERROR(INDEX(T_CAPAI,MATCH(T98,L_PER,0),MATCH(U98,L_KED,0)),0))</f>
        <v/>
      </c>
      <c r="W98" s="17">
        <f>IF(OR(B98="",E98="",COUNTA(F98,H98,J98:M98,O98,Q98:R98,T98:U98)=0),"",SUM(G98,I98,N98,P98,S98,V98))</f>
        <v/>
      </c>
      <c r="X98" s="18">
        <f>IF(W98="","",IF(Murid!F98="TL","TL",ROUND(W98/110*100,2)))</f>
        <v/>
      </c>
    </row>
    <row r="99">
      <c r="A99" s="15">
        <f>Murid!A99</f>
        <v/>
      </c>
      <c r="B99" s="15">
        <f>IF(Murid!B99="","",Murid!B99)</f>
        <v/>
      </c>
      <c r="C99" s="16">
        <f>IF(Murid!C99="","",Murid!C99)</f>
        <v/>
      </c>
      <c r="D99" s="15">
        <f>IF(Murid!E99="","",Murid!E99)</f>
        <v/>
      </c>
      <c r="E99" s="11" t="n"/>
      <c r="F99" s="11" t="n"/>
      <c r="G99" s="10">
        <f>IF(F99="","",IFERROR(VLOOKUP(F99,T_JUB,2,FALSE),0))</f>
        <v/>
      </c>
      <c r="H99" s="11" t="n"/>
      <c r="I99" s="17">
        <f>IF(H99="","",IF(H99&gt;=12,40,ROUND(H99*3.33,2)))</f>
        <v/>
      </c>
      <c r="J99" s="11" t="n"/>
      <c r="K99" s="11" t="n"/>
      <c r="L99" s="11" t="n"/>
      <c r="M99" s="11" t="n"/>
      <c r="N99" s="10">
        <f>IF(COUNTA(J99:M99)=0,"",MIN(10,SUMPRODUCT((COUNTIF(J99:M99,L_KOM)&gt;0)*S_KOM)))</f>
        <v/>
      </c>
      <c r="O99" s="11" t="n"/>
      <c r="P99" s="10">
        <f>IF(O99="","",IFERROR(VLOOKUP(O99,T_KHID,2,FALSE),0))</f>
        <v/>
      </c>
      <c r="Q99" s="11" t="n"/>
      <c r="R99" s="11" t="n"/>
      <c r="S99" s="10">
        <f>IF(AND(Q99="",R99=""),"",IFERROR(INDEX(T_LIBAT,MATCH(Q99,L_PER,0),MATCH(R99,L_JENIS,0)),0))</f>
        <v/>
      </c>
      <c r="T99" s="11" t="n"/>
      <c r="U99" s="11" t="n"/>
      <c r="V99" s="10">
        <f>IF(AND(T99="",U99=""),"",IFERROR(INDEX(T_CAPAI,MATCH(T99,L_PER,0),MATCH(U99,L_KED,0)),0))</f>
        <v/>
      </c>
      <c r="W99" s="17">
        <f>IF(OR(B99="",E99="",COUNTA(F99,H99,J99:M99,O99,Q99:R99,T99:U99)=0),"",SUM(G99,I99,N99,P99,S99,V99))</f>
        <v/>
      </c>
      <c r="X99" s="18">
        <f>IF(W99="","",IF(Murid!F99="TL","TL",ROUND(W99/110*100,2)))</f>
        <v/>
      </c>
    </row>
    <row r="100">
      <c r="A100" s="15">
        <f>Murid!A100</f>
        <v/>
      </c>
      <c r="B100" s="15">
        <f>IF(Murid!B100="","",Murid!B100)</f>
        <v/>
      </c>
      <c r="C100" s="16">
        <f>IF(Murid!C100="","",Murid!C100)</f>
        <v/>
      </c>
      <c r="D100" s="15">
        <f>IF(Murid!E100="","",Murid!E100)</f>
        <v/>
      </c>
      <c r="E100" s="11" t="n"/>
      <c r="F100" s="11" t="n"/>
      <c r="G100" s="10">
        <f>IF(F100="","",IFERROR(VLOOKUP(F100,T_JUB,2,FALSE),0))</f>
        <v/>
      </c>
      <c r="H100" s="11" t="n"/>
      <c r="I100" s="17">
        <f>IF(H100="","",IF(H100&gt;=12,40,ROUND(H100*3.33,2)))</f>
        <v/>
      </c>
      <c r="J100" s="11" t="n"/>
      <c r="K100" s="11" t="n"/>
      <c r="L100" s="11" t="n"/>
      <c r="M100" s="11" t="n"/>
      <c r="N100" s="10">
        <f>IF(COUNTA(J100:M100)=0,"",MIN(10,SUMPRODUCT((COUNTIF(J100:M100,L_KOM)&gt;0)*S_KOM)))</f>
        <v/>
      </c>
      <c r="O100" s="11" t="n"/>
      <c r="P100" s="10">
        <f>IF(O100="","",IFERROR(VLOOKUP(O100,T_KHID,2,FALSE),0))</f>
        <v/>
      </c>
      <c r="Q100" s="11" t="n"/>
      <c r="R100" s="11" t="n"/>
      <c r="S100" s="10">
        <f>IF(AND(Q100="",R100=""),"",IFERROR(INDEX(T_LIBAT,MATCH(Q100,L_PER,0),MATCH(R100,L_JENIS,0)),0))</f>
        <v/>
      </c>
      <c r="T100" s="11" t="n"/>
      <c r="U100" s="11" t="n"/>
      <c r="V100" s="10">
        <f>IF(AND(T100="",U100=""),"",IFERROR(INDEX(T_CAPAI,MATCH(T100,L_PER,0),MATCH(U100,L_KED,0)),0))</f>
        <v/>
      </c>
      <c r="W100" s="17">
        <f>IF(OR(B100="",E100="",COUNTA(F100,H100,J100:M100,O100,Q100:R100,T100:U100)=0),"",SUM(G100,I100,N100,P100,S100,V100))</f>
        <v/>
      </c>
      <c r="X100" s="18">
        <f>IF(W100="","",IF(Murid!F100="TL","TL",ROUND(W100/110*100,2)))</f>
        <v/>
      </c>
    </row>
    <row r="101">
      <c r="A101" s="15">
        <f>Murid!A101</f>
        <v/>
      </c>
      <c r="B101" s="15">
        <f>IF(Murid!B101="","",Murid!B101)</f>
        <v/>
      </c>
      <c r="C101" s="16">
        <f>IF(Murid!C101="","",Murid!C101)</f>
        <v/>
      </c>
      <c r="D101" s="15">
        <f>IF(Murid!E101="","",Murid!E101)</f>
        <v/>
      </c>
      <c r="E101" s="11" t="n"/>
      <c r="F101" s="11" t="n"/>
      <c r="G101" s="10">
        <f>IF(F101="","",IFERROR(VLOOKUP(F101,T_JUB,2,FALSE),0))</f>
        <v/>
      </c>
      <c r="H101" s="11" t="n"/>
      <c r="I101" s="17">
        <f>IF(H101="","",IF(H101&gt;=12,40,ROUND(H101*3.33,2)))</f>
        <v/>
      </c>
      <c r="J101" s="11" t="n"/>
      <c r="K101" s="11" t="n"/>
      <c r="L101" s="11" t="n"/>
      <c r="M101" s="11" t="n"/>
      <c r="N101" s="10">
        <f>IF(COUNTA(J101:M101)=0,"",MIN(10,SUMPRODUCT((COUNTIF(J101:M101,L_KOM)&gt;0)*S_KOM)))</f>
        <v/>
      </c>
      <c r="O101" s="11" t="n"/>
      <c r="P101" s="10">
        <f>IF(O101="","",IFERROR(VLOOKUP(O101,T_KHID,2,FALSE),0))</f>
        <v/>
      </c>
      <c r="Q101" s="11" t="n"/>
      <c r="R101" s="11" t="n"/>
      <c r="S101" s="10">
        <f>IF(AND(Q101="",R101=""),"",IFERROR(INDEX(T_LIBAT,MATCH(Q101,L_PER,0),MATCH(R101,L_JENIS,0)),0))</f>
        <v/>
      </c>
      <c r="T101" s="11" t="n"/>
      <c r="U101" s="11" t="n"/>
      <c r="V101" s="10">
        <f>IF(AND(T101="",U101=""),"",IFERROR(INDEX(T_CAPAI,MATCH(T101,L_PER,0),MATCH(U101,L_KED,0)),0))</f>
        <v/>
      </c>
      <c r="W101" s="17">
        <f>IF(OR(B101="",E101="",COUNTA(F101,H101,J101:M101,O101,Q101:R101,T101:U101)=0),"",SUM(G101,I101,N101,P101,S101,V101))</f>
        <v/>
      </c>
      <c r="X101" s="18">
        <f>IF(W101="","",IF(Murid!F101="TL","TL",ROUND(W101/110*100,2)))</f>
        <v/>
      </c>
    </row>
    <row r="102">
      <c r="A102" s="15">
        <f>Murid!A102</f>
        <v/>
      </c>
      <c r="B102" s="15">
        <f>IF(Murid!B102="","",Murid!B102)</f>
        <v/>
      </c>
      <c r="C102" s="16">
        <f>IF(Murid!C102="","",Murid!C102)</f>
        <v/>
      </c>
      <c r="D102" s="15">
        <f>IF(Murid!E102="","",Murid!E102)</f>
        <v/>
      </c>
      <c r="E102" s="11" t="n"/>
      <c r="F102" s="11" t="n"/>
      <c r="G102" s="10">
        <f>IF(F102="","",IFERROR(VLOOKUP(F102,T_JUB,2,FALSE),0))</f>
        <v/>
      </c>
      <c r="H102" s="11" t="n"/>
      <c r="I102" s="17">
        <f>IF(H102="","",IF(H102&gt;=12,40,ROUND(H102*3.33,2)))</f>
        <v/>
      </c>
      <c r="J102" s="11" t="n"/>
      <c r="K102" s="11" t="n"/>
      <c r="L102" s="11" t="n"/>
      <c r="M102" s="11" t="n"/>
      <c r="N102" s="10">
        <f>IF(COUNTA(J102:M102)=0,"",MIN(10,SUMPRODUCT((COUNTIF(J102:M102,L_KOM)&gt;0)*S_KOM)))</f>
        <v/>
      </c>
      <c r="O102" s="11" t="n"/>
      <c r="P102" s="10">
        <f>IF(O102="","",IFERROR(VLOOKUP(O102,T_KHID,2,FALSE),0))</f>
        <v/>
      </c>
      <c r="Q102" s="11" t="n"/>
      <c r="R102" s="11" t="n"/>
      <c r="S102" s="10">
        <f>IF(AND(Q102="",R102=""),"",IFERROR(INDEX(T_LIBAT,MATCH(Q102,L_PER,0),MATCH(R102,L_JENIS,0)),0))</f>
        <v/>
      </c>
      <c r="T102" s="11" t="n"/>
      <c r="U102" s="11" t="n"/>
      <c r="V102" s="10">
        <f>IF(AND(T102="",U102=""),"",IFERROR(INDEX(T_CAPAI,MATCH(T102,L_PER,0),MATCH(U102,L_KED,0)),0))</f>
        <v/>
      </c>
      <c r="W102" s="17">
        <f>IF(OR(B102="",E102="",COUNTA(F102,H102,J102:M102,O102,Q102:R102,T102:U102)=0),"",SUM(G102,I102,N102,P102,S102,V102))</f>
        <v/>
      </c>
      <c r="X102" s="18">
        <f>IF(W102="","",IF(Murid!F102="TL","TL",ROUND(W102/110*100,2)))</f>
        <v/>
      </c>
    </row>
    <row r="103">
      <c r="A103" s="15">
        <f>Murid!A103</f>
        <v/>
      </c>
      <c r="B103" s="15">
        <f>IF(Murid!B103="","",Murid!B103)</f>
        <v/>
      </c>
      <c r="C103" s="16">
        <f>IF(Murid!C103="","",Murid!C103)</f>
        <v/>
      </c>
      <c r="D103" s="15">
        <f>IF(Murid!E103="","",Murid!E103)</f>
        <v/>
      </c>
      <c r="E103" s="11" t="n"/>
      <c r="F103" s="11" t="n"/>
      <c r="G103" s="10">
        <f>IF(F103="","",IFERROR(VLOOKUP(F103,T_JUB,2,FALSE),0))</f>
        <v/>
      </c>
      <c r="H103" s="11" t="n"/>
      <c r="I103" s="17">
        <f>IF(H103="","",IF(H103&gt;=12,40,ROUND(H103*3.33,2)))</f>
        <v/>
      </c>
      <c r="J103" s="11" t="n"/>
      <c r="K103" s="11" t="n"/>
      <c r="L103" s="11" t="n"/>
      <c r="M103" s="11" t="n"/>
      <c r="N103" s="10">
        <f>IF(COUNTA(J103:M103)=0,"",MIN(10,SUMPRODUCT((COUNTIF(J103:M103,L_KOM)&gt;0)*S_KOM)))</f>
        <v/>
      </c>
      <c r="O103" s="11" t="n"/>
      <c r="P103" s="10">
        <f>IF(O103="","",IFERROR(VLOOKUP(O103,T_KHID,2,FALSE),0))</f>
        <v/>
      </c>
      <c r="Q103" s="11" t="n"/>
      <c r="R103" s="11" t="n"/>
      <c r="S103" s="10">
        <f>IF(AND(Q103="",R103=""),"",IFERROR(INDEX(T_LIBAT,MATCH(Q103,L_PER,0),MATCH(R103,L_JENIS,0)),0))</f>
        <v/>
      </c>
      <c r="T103" s="11" t="n"/>
      <c r="U103" s="11" t="n"/>
      <c r="V103" s="10">
        <f>IF(AND(T103="",U103=""),"",IFERROR(INDEX(T_CAPAI,MATCH(T103,L_PER,0),MATCH(U103,L_KED,0)),0))</f>
        <v/>
      </c>
      <c r="W103" s="17">
        <f>IF(OR(B103="",E103="",COUNTA(F103,H103,J103:M103,O103,Q103:R103,T103:U103)=0),"",SUM(G103,I103,N103,P103,S103,V103))</f>
        <v/>
      </c>
      <c r="X103" s="18">
        <f>IF(W103="","",IF(Murid!F103="TL","TL",ROUND(W103/110*100,2)))</f>
        <v/>
      </c>
    </row>
    <row r="104">
      <c r="A104" s="15">
        <f>Murid!A104</f>
        <v/>
      </c>
      <c r="B104" s="15">
        <f>IF(Murid!B104="","",Murid!B104)</f>
        <v/>
      </c>
      <c r="C104" s="16">
        <f>IF(Murid!C104="","",Murid!C104)</f>
        <v/>
      </c>
      <c r="D104" s="15">
        <f>IF(Murid!E104="","",Murid!E104)</f>
        <v/>
      </c>
      <c r="E104" s="11" t="n"/>
      <c r="F104" s="11" t="n"/>
      <c r="G104" s="10">
        <f>IF(F104="","",IFERROR(VLOOKUP(F104,T_JUB,2,FALSE),0))</f>
        <v/>
      </c>
      <c r="H104" s="11" t="n"/>
      <c r="I104" s="17">
        <f>IF(H104="","",IF(H104&gt;=12,40,ROUND(H104*3.33,2)))</f>
        <v/>
      </c>
      <c r="J104" s="11" t="n"/>
      <c r="K104" s="11" t="n"/>
      <c r="L104" s="11" t="n"/>
      <c r="M104" s="11" t="n"/>
      <c r="N104" s="10">
        <f>IF(COUNTA(J104:M104)=0,"",MIN(10,SUMPRODUCT((COUNTIF(J104:M104,L_KOM)&gt;0)*S_KOM)))</f>
        <v/>
      </c>
      <c r="O104" s="11" t="n"/>
      <c r="P104" s="10">
        <f>IF(O104="","",IFERROR(VLOOKUP(O104,T_KHID,2,FALSE),0))</f>
        <v/>
      </c>
      <c r="Q104" s="11" t="n"/>
      <c r="R104" s="11" t="n"/>
      <c r="S104" s="10">
        <f>IF(AND(Q104="",R104=""),"",IFERROR(INDEX(T_LIBAT,MATCH(Q104,L_PER,0),MATCH(R104,L_JENIS,0)),0))</f>
        <v/>
      </c>
      <c r="T104" s="11" t="n"/>
      <c r="U104" s="11" t="n"/>
      <c r="V104" s="10">
        <f>IF(AND(T104="",U104=""),"",IFERROR(INDEX(T_CAPAI,MATCH(T104,L_PER,0),MATCH(U104,L_KED,0)),0))</f>
        <v/>
      </c>
      <c r="W104" s="17">
        <f>IF(OR(B104="",E104="",COUNTA(F104,H104,J104:M104,O104,Q104:R104,T104:U104)=0),"",SUM(G104,I104,N104,P104,S104,V104))</f>
        <v/>
      </c>
      <c r="X104" s="18">
        <f>IF(W104="","",IF(Murid!F104="TL","TL",ROUND(W104/110*100,2)))</f>
        <v/>
      </c>
    </row>
    <row r="105">
      <c r="A105" s="15">
        <f>Murid!A105</f>
        <v/>
      </c>
      <c r="B105" s="15">
        <f>IF(Murid!B105="","",Murid!B105)</f>
        <v/>
      </c>
      <c r="C105" s="16">
        <f>IF(Murid!C105="","",Murid!C105)</f>
        <v/>
      </c>
      <c r="D105" s="15">
        <f>IF(Murid!E105="","",Murid!E105)</f>
        <v/>
      </c>
      <c r="E105" s="11" t="n"/>
      <c r="F105" s="11" t="n"/>
      <c r="G105" s="10">
        <f>IF(F105="","",IFERROR(VLOOKUP(F105,T_JUB,2,FALSE),0))</f>
        <v/>
      </c>
      <c r="H105" s="11" t="n"/>
      <c r="I105" s="17">
        <f>IF(H105="","",IF(H105&gt;=12,40,ROUND(H105*3.33,2)))</f>
        <v/>
      </c>
      <c r="J105" s="11" t="n"/>
      <c r="K105" s="11" t="n"/>
      <c r="L105" s="11" t="n"/>
      <c r="M105" s="11" t="n"/>
      <c r="N105" s="10">
        <f>IF(COUNTA(J105:M105)=0,"",MIN(10,SUMPRODUCT((COUNTIF(J105:M105,L_KOM)&gt;0)*S_KOM)))</f>
        <v/>
      </c>
      <c r="O105" s="11" t="n"/>
      <c r="P105" s="10">
        <f>IF(O105="","",IFERROR(VLOOKUP(O105,T_KHID,2,FALSE),0))</f>
        <v/>
      </c>
      <c r="Q105" s="11" t="n"/>
      <c r="R105" s="11" t="n"/>
      <c r="S105" s="10">
        <f>IF(AND(Q105="",R105=""),"",IFERROR(INDEX(T_LIBAT,MATCH(Q105,L_PER,0),MATCH(R105,L_JENIS,0)),0))</f>
        <v/>
      </c>
      <c r="T105" s="11" t="n"/>
      <c r="U105" s="11" t="n"/>
      <c r="V105" s="10">
        <f>IF(AND(T105="",U105=""),"",IFERROR(INDEX(T_CAPAI,MATCH(T105,L_PER,0),MATCH(U105,L_KED,0)),0))</f>
        <v/>
      </c>
      <c r="W105" s="17">
        <f>IF(OR(B105="",E105="",COUNTA(F105,H105,J105:M105,O105,Q105:R105,T105:U105)=0),"",SUM(G105,I105,N105,P105,S105,V105))</f>
        <v/>
      </c>
      <c r="X105" s="18">
        <f>IF(W105="","",IF(Murid!F105="TL","TL",ROUND(W105/110*100,2)))</f>
        <v/>
      </c>
    </row>
    <row r="106">
      <c r="A106" s="15">
        <f>Murid!A106</f>
        <v/>
      </c>
      <c r="B106" s="15">
        <f>IF(Murid!B106="","",Murid!B106)</f>
        <v/>
      </c>
      <c r="C106" s="16">
        <f>IF(Murid!C106="","",Murid!C106)</f>
        <v/>
      </c>
      <c r="D106" s="15">
        <f>IF(Murid!E106="","",Murid!E106)</f>
        <v/>
      </c>
      <c r="E106" s="11" t="n"/>
      <c r="F106" s="11" t="n"/>
      <c r="G106" s="10">
        <f>IF(F106="","",IFERROR(VLOOKUP(F106,T_JUB,2,FALSE),0))</f>
        <v/>
      </c>
      <c r="H106" s="11" t="n"/>
      <c r="I106" s="17">
        <f>IF(H106="","",IF(H106&gt;=12,40,ROUND(H106*3.33,2)))</f>
        <v/>
      </c>
      <c r="J106" s="11" t="n"/>
      <c r="K106" s="11" t="n"/>
      <c r="L106" s="11" t="n"/>
      <c r="M106" s="11" t="n"/>
      <c r="N106" s="10">
        <f>IF(COUNTA(J106:M106)=0,"",MIN(10,SUMPRODUCT((COUNTIF(J106:M106,L_KOM)&gt;0)*S_KOM)))</f>
        <v/>
      </c>
      <c r="O106" s="11" t="n"/>
      <c r="P106" s="10">
        <f>IF(O106="","",IFERROR(VLOOKUP(O106,T_KHID,2,FALSE),0))</f>
        <v/>
      </c>
      <c r="Q106" s="11" t="n"/>
      <c r="R106" s="11" t="n"/>
      <c r="S106" s="10">
        <f>IF(AND(Q106="",R106=""),"",IFERROR(INDEX(T_LIBAT,MATCH(Q106,L_PER,0),MATCH(R106,L_JENIS,0)),0))</f>
        <v/>
      </c>
      <c r="T106" s="11" t="n"/>
      <c r="U106" s="11" t="n"/>
      <c r="V106" s="10">
        <f>IF(AND(T106="",U106=""),"",IFERROR(INDEX(T_CAPAI,MATCH(T106,L_PER,0),MATCH(U106,L_KED,0)),0))</f>
        <v/>
      </c>
      <c r="W106" s="17">
        <f>IF(OR(B106="",E106="",COUNTA(F106,H106,J106:M106,O106,Q106:R106,T106:U106)=0),"",SUM(G106,I106,N106,P106,S106,V106))</f>
        <v/>
      </c>
      <c r="X106" s="18">
        <f>IF(W106="","",IF(Murid!F106="TL","TL",ROUND(W106/110*100,2)))</f>
        <v/>
      </c>
    </row>
    <row r="107">
      <c r="A107" s="15">
        <f>Murid!A107</f>
        <v/>
      </c>
      <c r="B107" s="15">
        <f>IF(Murid!B107="","",Murid!B107)</f>
        <v/>
      </c>
      <c r="C107" s="16">
        <f>IF(Murid!C107="","",Murid!C107)</f>
        <v/>
      </c>
      <c r="D107" s="15">
        <f>IF(Murid!E107="","",Murid!E107)</f>
        <v/>
      </c>
      <c r="E107" s="11" t="n"/>
      <c r="F107" s="11" t="n"/>
      <c r="G107" s="10">
        <f>IF(F107="","",IFERROR(VLOOKUP(F107,T_JUB,2,FALSE),0))</f>
        <v/>
      </c>
      <c r="H107" s="11" t="n"/>
      <c r="I107" s="17">
        <f>IF(H107="","",IF(H107&gt;=12,40,ROUND(H107*3.33,2)))</f>
        <v/>
      </c>
      <c r="J107" s="11" t="n"/>
      <c r="K107" s="11" t="n"/>
      <c r="L107" s="11" t="n"/>
      <c r="M107" s="11" t="n"/>
      <c r="N107" s="10">
        <f>IF(COUNTA(J107:M107)=0,"",MIN(10,SUMPRODUCT((COUNTIF(J107:M107,L_KOM)&gt;0)*S_KOM)))</f>
        <v/>
      </c>
      <c r="O107" s="11" t="n"/>
      <c r="P107" s="10">
        <f>IF(O107="","",IFERROR(VLOOKUP(O107,T_KHID,2,FALSE),0))</f>
        <v/>
      </c>
      <c r="Q107" s="11" t="n"/>
      <c r="R107" s="11" t="n"/>
      <c r="S107" s="10">
        <f>IF(AND(Q107="",R107=""),"",IFERROR(INDEX(T_LIBAT,MATCH(Q107,L_PER,0),MATCH(R107,L_JENIS,0)),0))</f>
        <v/>
      </c>
      <c r="T107" s="11" t="n"/>
      <c r="U107" s="11" t="n"/>
      <c r="V107" s="10">
        <f>IF(AND(T107="",U107=""),"",IFERROR(INDEX(T_CAPAI,MATCH(T107,L_PER,0),MATCH(U107,L_KED,0)),0))</f>
        <v/>
      </c>
      <c r="W107" s="17">
        <f>IF(OR(B107="",E107="",COUNTA(F107,H107,J107:M107,O107,Q107:R107,T107:U107)=0),"",SUM(G107,I107,N107,P107,S107,V107))</f>
        <v/>
      </c>
      <c r="X107" s="18">
        <f>IF(W107="","",IF(Murid!F107="TL","TL",ROUND(W107/110*100,2)))</f>
        <v/>
      </c>
    </row>
    <row r="108">
      <c r="A108" s="15">
        <f>Murid!A108</f>
        <v/>
      </c>
      <c r="B108" s="15">
        <f>IF(Murid!B108="","",Murid!B108)</f>
        <v/>
      </c>
      <c r="C108" s="16">
        <f>IF(Murid!C108="","",Murid!C108)</f>
        <v/>
      </c>
      <c r="D108" s="15">
        <f>IF(Murid!E108="","",Murid!E108)</f>
        <v/>
      </c>
      <c r="E108" s="11" t="n"/>
      <c r="F108" s="11" t="n"/>
      <c r="G108" s="10">
        <f>IF(F108="","",IFERROR(VLOOKUP(F108,T_JUB,2,FALSE),0))</f>
        <v/>
      </c>
      <c r="H108" s="11" t="n"/>
      <c r="I108" s="17">
        <f>IF(H108="","",IF(H108&gt;=12,40,ROUND(H108*3.33,2)))</f>
        <v/>
      </c>
      <c r="J108" s="11" t="n"/>
      <c r="K108" s="11" t="n"/>
      <c r="L108" s="11" t="n"/>
      <c r="M108" s="11" t="n"/>
      <c r="N108" s="10">
        <f>IF(COUNTA(J108:M108)=0,"",MIN(10,SUMPRODUCT((COUNTIF(J108:M108,L_KOM)&gt;0)*S_KOM)))</f>
        <v/>
      </c>
      <c r="O108" s="11" t="n"/>
      <c r="P108" s="10">
        <f>IF(O108="","",IFERROR(VLOOKUP(O108,T_KHID,2,FALSE),0))</f>
        <v/>
      </c>
      <c r="Q108" s="11" t="n"/>
      <c r="R108" s="11" t="n"/>
      <c r="S108" s="10">
        <f>IF(AND(Q108="",R108=""),"",IFERROR(INDEX(T_LIBAT,MATCH(Q108,L_PER,0),MATCH(R108,L_JENIS,0)),0))</f>
        <v/>
      </c>
      <c r="T108" s="11" t="n"/>
      <c r="U108" s="11" t="n"/>
      <c r="V108" s="10">
        <f>IF(AND(T108="",U108=""),"",IFERROR(INDEX(T_CAPAI,MATCH(T108,L_PER,0),MATCH(U108,L_KED,0)),0))</f>
        <v/>
      </c>
      <c r="W108" s="17">
        <f>IF(OR(B108="",E108="",COUNTA(F108,H108,J108:M108,O108,Q108:R108,T108:U108)=0),"",SUM(G108,I108,N108,P108,S108,V108))</f>
        <v/>
      </c>
      <c r="X108" s="18">
        <f>IF(W108="","",IF(Murid!F108="TL","TL",ROUND(W108/110*100,2)))</f>
        <v/>
      </c>
    </row>
    <row r="109">
      <c r="A109" s="15">
        <f>Murid!A109</f>
        <v/>
      </c>
      <c r="B109" s="15">
        <f>IF(Murid!B109="","",Murid!B109)</f>
        <v/>
      </c>
      <c r="C109" s="16">
        <f>IF(Murid!C109="","",Murid!C109)</f>
        <v/>
      </c>
      <c r="D109" s="15">
        <f>IF(Murid!E109="","",Murid!E109)</f>
        <v/>
      </c>
      <c r="E109" s="11" t="n"/>
      <c r="F109" s="11" t="n"/>
      <c r="G109" s="10">
        <f>IF(F109="","",IFERROR(VLOOKUP(F109,T_JUB,2,FALSE),0))</f>
        <v/>
      </c>
      <c r="H109" s="11" t="n"/>
      <c r="I109" s="17">
        <f>IF(H109="","",IF(H109&gt;=12,40,ROUND(H109*3.33,2)))</f>
        <v/>
      </c>
      <c r="J109" s="11" t="n"/>
      <c r="K109" s="11" t="n"/>
      <c r="L109" s="11" t="n"/>
      <c r="M109" s="11" t="n"/>
      <c r="N109" s="10">
        <f>IF(COUNTA(J109:M109)=0,"",MIN(10,SUMPRODUCT((COUNTIF(J109:M109,L_KOM)&gt;0)*S_KOM)))</f>
        <v/>
      </c>
      <c r="O109" s="11" t="n"/>
      <c r="P109" s="10">
        <f>IF(O109="","",IFERROR(VLOOKUP(O109,T_KHID,2,FALSE),0))</f>
        <v/>
      </c>
      <c r="Q109" s="11" t="n"/>
      <c r="R109" s="11" t="n"/>
      <c r="S109" s="10">
        <f>IF(AND(Q109="",R109=""),"",IFERROR(INDEX(T_LIBAT,MATCH(Q109,L_PER,0),MATCH(R109,L_JENIS,0)),0))</f>
        <v/>
      </c>
      <c r="T109" s="11" t="n"/>
      <c r="U109" s="11" t="n"/>
      <c r="V109" s="10">
        <f>IF(AND(T109="",U109=""),"",IFERROR(INDEX(T_CAPAI,MATCH(T109,L_PER,0),MATCH(U109,L_KED,0)),0))</f>
        <v/>
      </c>
      <c r="W109" s="17">
        <f>IF(OR(B109="",E109="",COUNTA(F109,H109,J109:M109,O109,Q109:R109,T109:U109)=0),"",SUM(G109,I109,N109,P109,S109,V109))</f>
        <v/>
      </c>
      <c r="X109" s="18">
        <f>IF(W109="","",IF(Murid!F109="TL","TL",ROUND(W109/110*100,2)))</f>
        <v/>
      </c>
    </row>
    <row r="110">
      <c r="A110" s="15">
        <f>Murid!A110</f>
        <v/>
      </c>
      <c r="B110" s="15">
        <f>IF(Murid!B110="","",Murid!B110)</f>
        <v/>
      </c>
      <c r="C110" s="16">
        <f>IF(Murid!C110="","",Murid!C110)</f>
        <v/>
      </c>
      <c r="D110" s="15">
        <f>IF(Murid!E110="","",Murid!E110)</f>
        <v/>
      </c>
      <c r="E110" s="11" t="n"/>
      <c r="F110" s="11" t="n"/>
      <c r="G110" s="10">
        <f>IF(F110="","",IFERROR(VLOOKUP(F110,T_JUB,2,FALSE),0))</f>
        <v/>
      </c>
      <c r="H110" s="11" t="n"/>
      <c r="I110" s="17">
        <f>IF(H110="","",IF(H110&gt;=12,40,ROUND(H110*3.33,2)))</f>
        <v/>
      </c>
      <c r="J110" s="11" t="n"/>
      <c r="K110" s="11" t="n"/>
      <c r="L110" s="11" t="n"/>
      <c r="M110" s="11" t="n"/>
      <c r="N110" s="10">
        <f>IF(COUNTA(J110:M110)=0,"",MIN(10,SUMPRODUCT((COUNTIF(J110:M110,L_KOM)&gt;0)*S_KOM)))</f>
        <v/>
      </c>
      <c r="O110" s="11" t="n"/>
      <c r="P110" s="10">
        <f>IF(O110="","",IFERROR(VLOOKUP(O110,T_KHID,2,FALSE),0))</f>
        <v/>
      </c>
      <c r="Q110" s="11" t="n"/>
      <c r="R110" s="11" t="n"/>
      <c r="S110" s="10">
        <f>IF(AND(Q110="",R110=""),"",IFERROR(INDEX(T_LIBAT,MATCH(Q110,L_PER,0),MATCH(R110,L_JENIS,0)),0))</f>
        <v/>
      </c>
      <c r="T110" s="11" t="n"/>
      <c r="U110" s="11" t="n"/>
      <c r="V110" s="10">
        <f>IF(AND(T110="",U110=""),"",IFERROR(INDEX(T_CAPAI,MATCH(T110,L_PER,0),MATCH(U110,L_KED,0)),0))</f>
        <v/>
      </c>
      <c r="W110" s="17">
        <f>IF(OR(B110="",E110="",COUNTA(F110,H110,J110:M110,O110,Q110:R110,T110:U110)=0),"",SUM(G110,I110,N110,P110,S110,V110))</f>
        <v/>
      </c>
      <c r="X110" s="18">
        <f>IF(W110="","",IF(Murid!F110="TL","TL",ROUND(W110/110*100,2)))</f>
        <v/>
      </c>
    </row>
    <row r="111">
      <c r="A111" s="15">
        <f>Murid!A111</f>
        <v/>
      </c>
      <c r="B111" s="15">
        <f>IF(Murid!B111="","",Murid!B111)</f>
        <v/>
      </c>
      <c r="C111" s="16">
        <f>IF(Murid!C111="","",Murid!C111)</f>
        <v/>
      </c>
      <c r="D111" s="15">
        <f>IF(Murid!E111="","",Murid!E111)</f>
        <v/>
      </c>
      <c r="E111" s="11" t="n"/>
      <c r="F111" s="11" t="n"/>
      <c r="G111" s="10">
        <f>IF(F111="","",IFERROR(VLOOKUP(F111,T_JUB,2,FALSE),0))</f>
        <v/>
      </c>
      <c r="H111" s="11" t="n"/>
      <c r="I111" s="17">
        <f>IF(H111="","",IF(H111&gt;=12,40,ROUND(H111*3.33,2)))</f>
        <v/>
      </c>
      <c r="J111" s="11" t="n"/>
      <c r="K111" s="11" t="n"/>
      <c r="L111" s="11" t="n"/>
      <c r="M111" s="11" t="n"/>
      <c r="N111" s="10">
        <f>IF(COUNTA(J111:M111)=0,"",MIN(10,SUMPRODUCT((COUNTIF(J111:M111,L_KOM)&gt;0)*S_KOM)))</f>
        <v/>
      </c>
      <c r="O111" s="11" t="n"/>
      <c r="P111" s="10">
        <f>IF(O111="","",IFERROR(VLOOKUP(O111,T_KHID,2,FALSE),0))</f>
        <v/>
      </c>
      <c r="Q111" s="11" t="n"/>
      <c r="R111" s="11" t="n"/>
      <c r="S111" s="10">
        <f>IF(AND(Q111="",R111=""),"",IFERROR(INDEX(T_LIBAT,MATCH(Q111,L_PER,0),MATCH(R111,L_JENIS,0)),0))</f>
        <v/>
      </c>
      <c r="T111" s="11" t="n"/>
      <c r="U111" s="11" t="n"/>
      <c r="V111" s="10">
        <f>IF(AND(T111="",U111=""),"",IFERROR(INDEX(T_CAPAI,MATCH(T111,L_PER,0),MATCH(U111,L_KED,0)),0))</f>
        <v/>
      </c>
      <c r="W111" s="17">
        <f>IF(OR(B111="",E111="",COUNTA(F111,H111,J111:M111,O111,Q111:R111,T111:U111)=0),"",SUM(G111,I111,N111,P111,S111,V111))</f>
        <v/>
      </c>
      <c r="X111" s="18">
        <f>IF(W111="","",IF(Murid!F111="TL","TL",ROUND(W111/110*100,2)))</f>
        <v/>
      </c>
    </row>
    <row r="112">
      <c r="A112" s="15">
        <f>Murid!A112</f>
        <v/>
      </c>
      <c r="B112" s="15">
        <f>IF(Murid!B112="","",Murid!B112)</f>
        <v/>
      </c>
      <c r="C112" s="16">
        <f>IF(Murid!C112="","",Murid!C112)</f>
        <v/>
      </c>
      <c r="D112" s="15">
        <f>IF(Murid!E112="","",Murid!E112)</f>
        <v/>
      </c>
      <c r="E112" s="11" t="n"/>
      <c r="F112" s="11" t="n"/>
      <c r="G112" s="10">
        <f>IF(F112="","",IFERROR(VLOOKUP(F112,T_JUB,2,FALSE),0))</f>
        <v/>
      </c>
      <c r="H112" s="11" t="n"/>
      <c r="I112" s="17">
        <f>IF(H112="","",IF(H112&gt;=12,40,ROUND(H112*3.33,2)))</f>
        <v/>
      </c>
      <c r="J112" s="11" t="n"/>
      <c r="K112" s="11" t="n"/>
      <c r="L112" s="11" t="n"/>
      <c r="M112" s="11" t="n"/>
      <c r="N112" s="10">
        <f>IF(COUNTA(J112:M112)=0,"",MIN(10,SUMPRODUCT((COUNTIF(J112:M112,L_KOM)&gt;0)*S_KOM)))</f>
        <v/>
      </c>
      <c r="O112" s="11" t="n"/>
      <c r="P112" s="10">
        <f>IF(O112="","",IFERROR(VLOOKUP(O112,T_KHID,2,FALSE),0))</f>
        <v/>
      </c>
      <c r="Q112" s="11" t="n"/>
      <c r="R112" s="11" t="n"/>
      <c r="S112" s="10">
        <f>IF(AND(Q112="",R112=""),"",IFERROR(INDEX(T_LIBAT,MATCH(Q112,L_PER,0),MATCH(R112,L_JENIS,0)),0))</f>
        <v/>
      </c>
      <c r="T112" s="11" t="n"/>
      <c r="U112" s="11" t="n"/>
      <c r="V112" s="10">
        <f>IF(AND(T112="",U112=""),"",IFERROR(INDEX(T_CAPAI,MATCH(T112,L_PER,0),MATCH(U112,L_KED,0)),0))</f>
        <v/>
      </c>
      <c r="W112" s="17">
        <f>IF(OR(B112="",E112="",COUNTA(F112,H112,J112:M112,O112,Q112:R112,T112:U112)=0),"",SUM(G112,I112,N112,P112,S112,V112))</f>
        <v/>
      </c>
      <c r="X112" s="18">
        <f>IF(W112="","",IF(Murid!F112="TL","TL",ROUND(W112/110*100,2)))</f>
        <v/>
      </c>
    </row>
    <row r="113">
      <c r="A113" s="15">
        <f>Murid!A113</f>
        <v/>
      </c>
      <c r="B113" s="15">
        <f>IF(Murid!B113="","",Murid!B113)</f>
        <v/>
      </c>
      <c r="C113" s="16">
        <f>IF(Murid!C113="","",Murid!C113)</f>
        <v/>
      </c>
      <c r="D113" s="15">
        <f>IF(Murid!E113="","",Murid!E113)</f>
        <v/>
      </c>
      <c r="E113" s="11" t="n"/>
      <c r="F113" s="11" t="n"/>
      <c r="G113" s="10">
        <f>IF(F113="","",IFERROR(VLOOKUP(F113,T_JUB,2,FALSE),0))</f>
        <v/>
      </c>
      <c r="H113" s="11" t="n"/>
      <c r="I113" s="17">
        <f>IF(H113="","",IF(H113&gt;=12,40,ROUND(H113*3.33,2)))</f>
        <v/>
      </c>
      <c r="J113" s="11" t="n"/>
      <c r="K113" s="11" t="n"/>
      <c r="L113" s="11" t="n"/>
      <c r="M113" s="11" t="n"/>
      <c r="N113" s="10">
        <f>IF(COUNTA(J113:M113)=0,"",MIN(10,SUMPRODUCT((COUNTIF(J113:M113,L_KOM)&gt;0)*S_KOM)))</f>
        <v/>
      </c>
      <c r="O113" s="11" t="n"/>
      <c r="P113" s="10">
        <f>IF(O113="","",IFERROR(VLOOKUP(O113,T_KHID,2,FALSE),0))</f>
        <v/>
      </c>
      <c r="Q113" s="11" t="n"/>
      <c r="R113" s="11" t="n"/>
      <c r="S113" s="10">
        <f>IF(AND(Q113="",R113=""),"",IFERROR(INDEX(T_LIBAT,MATCH(Q113,L_PER,0),MATCH(R113,L_JENIS,0)),0))</f>
        <v/>
      </c>
      <c r="T113" s="11" t="n"/>
      <c r="U113" s="11" t="n"/>
      <c r="V113" s="10">
        <f>IF(AND(T113="",U113=""),"",IFERROR(INDEX(T_CAPAI,MATCH(T113,L_PER,0),MATCH(U113,L_KED,0)),0))</f>
        <v/>
      </c>
      <c r="W113" s="17">
        <f>IF(OR(B113="",E113="",COUNTA(F113,H113,J113:M113,O113,Q113:R113,T113:U113)=0),"",SUM(G113,I113,N113,P113,S113,V113))</f>
        <v/>
      </c>
      <c r="X113" s="18">
        <f>IF(W113="","",IF(Murid!F113="TL","TL",ROUND(W113/110*100,2)))</f>
        <v/>
      </c>
    </row>
    <row r="114">
      <c r="A114" s="15">
        <f>Murid!A114</f>
        <v/>
      </c>
      <c r="B114" s="15">
        <f>IF(Murid!B114="","",Murid!B114)</f>
        <v/>
      </c>
      <c r="C114" s="16">
        <f>IF(Murid!C114="","",Murid!C114)</f>
        <v/>
      </c>
      <c r="D114" s="15">
        <f>IF(Murid!E114="","",Murid!E114)</f>
        <v/>
      </c>
      <c r="E114" s="11" t="n"/>
      <c r="F114" s="11" t="n"/>
      <c r="G114" s="10">
        <f>IF(F114="","",IFERROR(VLOOKUP(F114,T_JUB,2,FALSE),0))</f>
        <v/>
      </c>
      <c r="H114" s="11" t="n"/>
      <c r="I114" s="17">
        <f>IF(H114="","",IF(H114&gt;=12,40,ROUND(H114*3.33,2)))</f>
        <v/>
      </c>
      <c r="J114" s="11" t="n"/>
      <c r="K114" s="11" t="n"/>
      <c r="L114" s="11" t="n"/>
      <c r="M114" s="11" t="n"/>
      <c r="N114" s="10">
        <f>IF(COUNTA(J114:M114)=0,"",MIN(10,SUMPRODUCT((COUNTIF(J114:M114,L_KOM)&gt;0)*S_KOM)))</f>
        <v/>
      </c>
      <c r="O114" s="11" t="n"/>
      <c r="P114" s="10">
        <f>IF(O114="","",IFERROR(VLOOKUP(O114,T_KHID,2,FALSE),0))</f>
        <v/>
      </c>
      <c r="Q114" s="11" t="n"/>
      <c r="R114" s="11" t="n"/>
      <c r="S114" s="10">
        <f>IF(AND(Q114="",R114=""),"",IFERROR(INDEX(T_LIBAT,MATCH(Q114,L_PER,0),MATCH(R114,L_JENIS,0)),0))</f>
        <v/>
      </c>
      <c r="T114" s="11" t="n"/>
      <c r="U114" s="11" t="n"/>
      <c r="V114" s="10">
        <f>IF(AND(T114="",U114=""),"",IFERROR(INDEX(T_CAPAI,MATCH(T114,L_PER,0),MATCH(U114,L_KED,0)),0))</f>
        <v/>
      </c>
      <c r="W114" s="17">
        <f>IF(OR(B114="",E114="",COUNTA(F114,H114,J114:M114,O114,Q114:R114,T114:U114)=0),"",SUM(G114,I114,N114,P114,S114,V114))</f>
        <v/>
      </c>
      <c r="X114" s="18">
        <f>IF(W114="","",IF(Murid!F114="TL","TL",ROUND(W114/110*100,2)))</f>
        <v/>
      </c>
    </row>
    <row r="115">
      <c r="A115" s="15">
        <f>Murid!A115</f>
        <v/>
      </c>
      <c r="B115" s="15">
        <f>IF(Murid!B115="","",Murid!B115)</f>
        <v/>
      </c>
      <c r="C115" s="16">
        <f>IF(Murid!C115="","",Murid!C115)</f>
        <v/>
      </c>
      <c r="D115" s="15">
        <f>IF(Murid!E115="","",Murid!E115)</f>
        <v/>
      </c>
      <c r="E115" s="11" t="n"/>
      <c r="F115" s="11" t="n"/>
      <c r="G115" s="10">
        <f>IF(F115="","",IFERROR(VLOOKUP(F115,T_JUB,2,FALSE),0))</f>
        <v/>
      </c>
      <c r="H115" s="11" t="n"/>
      <c r="I115" s="17">
        <f>IF(H115="","",IF(H115&gt;=12,40,ROUND(H115*3.33,2)))</f>
        <v/>
      </c>
      <c r="J115" s="11" t="n"/>
      <c r="K115" s="11" t="n"/>
      <c r="L115" s="11" t="n"/>
      <c r="M115" s="11" t="n"/>
      <c r="N115" s="10">
        <f>IF(COUNTA(J115:M115)=0,"",MIN(10,SUMPRODUCT((COUNTIF(J115:M115,L_KOM)&gt;0)*S_KOM)))</f>
        <v/>
      </c>
      <c r="O115" s="11" t="n"/>
      <c r="P115" s="10">
        <f>IF(O115="","",IFERROR(VLOOKUP(O115,T_KHID,2,FALSE),0))</f>
        <v/>
      </c>
      <c r="Q115" s="11" t="n"/>
      <c r="R115" s="11" t="n"/>
      <c r="S115" s="10">
        <f>IF(AND(Q115="",R115=""),"",IFERROR(INDEX(T_LIBAT,MATCH(Q115,L_PER,0),MATCH(R115,L_JENIS,0)),0))</f>
        <v/>
      </c>
      <c r="T115" s="11" t="n"/>
      <c r="U115" s="11" t="n"/>
      <c r="V115" s="10">
        <f>IF(AND(T115="",U115=""),"",IFERROR(INDEX(T_CAPAI,MATCH(T115,L_PER,0),MATCH(U115,L_KED,0)),0))</f>
        <v/>
      </c>
      <c r="W115" s="17">
        <f>IF(OR(B115="",E115="",COUNTA(F115,H115,J115:M115,O115,Q115:R115,T115:U115)=0),"",SUM(G115,I115,N115,P115,S115,V115))</f>
        <v/>
      </c>
      <c r="X115" s="18">
        <f>IF(W115="","",IF(Murid!F115="TL","TL",ROUND(W115/110*100,2)))</f>
        <v/>
      </c>
    </row>
    <row r="116">
      <c r="A116" s="15">
        <f>Murid!A116</f>
        <v/>
      </c>
      <c r="B116" s="15">
        <f>IF(Murid!B116="","",Murid!B116)</f>
        <v/>
      </c>
      <c r="C116" s="16">
        <f>IF(Murid!C116="","",Murid!C116)</f>
        <v/>
      </c>
      <c r="D116" s="15">
        <f>IF(Murid!E116="","",Murid!E116)</f>
        <v/>
      </c>
      <c r="E116" s="11" t="n"/>
      <c r="F116" s="11" t="n"/>
      <c r="G116" s="10">
        <f>IF(F116="","",IFERROR(VLOOKUP(F116,T_JUB,2,FALSE),0))</f>
        <v/>
      </c>
      <c r="H116" s="11" t="n"/>
      <c r="I116" s="17">
        <f>IF(H116="","",IF(H116&gt;=12,40,ROUND(H116*3.33,2)))</f>
        <v/>
      </c>
      <c r="J116" s="11" t="n"/>
      <c r="K116" s="11" t="n"/>
      <c r="L116" s="11" t="n"/>
      <c r="M116" s="11" t="n"/>
      <c r="N116" s="10">
        <f>IF(COUNTA(J116:M116)=0,"",MIN(10,SUMPRODUCT((COUNTIF(J116:M116,L_KOM)&gt;0)*S_KOM)))</f>
        <v/>
      </c>
      <c r="O116" s="11" t="n"/>
      <c r="P116" s="10">
        <f>IF(O116="","",IFERROR(VLOOKUP(O116,T_KHID,2,FALSE),0))</f>
        <v/>
      </c>
      <c r="Q116" s="11" t="n"/>
      <c r="R116" s="11" t="n"/>
      <c r="S116" s="10">
        <f>IF(AND(Q116="",R116=""),"",IFERROR(INDEX(T_LIBAT,MATCH(Q116,L_PER,0),MATCH(R116,L_JENIS,0)),0))</f>
        <v/>
      </c>
      <c r="T116" s="11" t="n"/>
      <c r="U116" s="11" t="n"/>
      <c r="V116" s="10">
        <f>IF(AND(T116="",U116=""),"",IFERROR(INDEX(T_CAPAI,MATCH(T116,L_PER,0),MATCH(U116,L_KED,0)),0))</f>
        <v/>
      </c>
      <c r="W116" s="17">
        <f>IF(OR(B116="",E116="",COUNTA(F116,H116,J116:M116,O116,Q116:R116,T116:U116)=0),"",SUM(G116,I116,N116,P116,S116,V116))</f>
        <v/>
      </c>
      <c r="X116" s="18">
        <f>IF(W116="","",IF(Murid!F116="TL","TL",ROUND(W116/110*100,2)))</f>
        <v/>
      </c>
    </row>
    <row r="117">
      <c r="A117" s="15">
        <f>Murid!A117</f>
        <v/>
      </c>
      <c r="B117" s="15">
        <f>IF(Murid!B117="","",Murid!B117)</f>
        <v/>
      </c>
      <c r="C117" s="16">
        <f>IF(Murid!C117="","",Murid!C117)</f>
        <v/>
      </c>
      <c r="D117" s="15">
        <f>IF(Murid!E117="","",Murid!E117)</f>
        <v/>
      </c>
      <c r="E117" s="11" t="n"/>
      <c r="F117" s="11" t="n"/>
      <c r="G117" s="10">
        <f>IF(F117="","",IFERROR(VLOOKUP(F117,T_JUB,2,FALSE),0))</f>
        <v/>
      </c>
      <c r="H117" s="11" t="n"/>
      <c r="I117" s="17">
        <f>IF(H117="","",IF(H117&gt;=12,40,ROUND(H117*3.33,2)))</f>
        <v/>
      </c>
      <c r="J117" s="11" t="n"/>
      <c r="K117" s="11" t="n"/>
      <c r="L117" s="11" t="n"/>
      <c r="M117" s="11" t="n"/>
      <c r="N117" s="10">
        <f>IF(COUNTA(J117:M117)=0,"",MIN(10,SUMPRODUCT((COUNTIF(J117:M117,L_KOM)&gt;0)*S_KOM)))</f>
        <v/>
      </c>
      <c r="O117" s="11" t="n"/>
      <c r="P117" s="10">
        <f>IF(O117="","",IFERROR(VLOOKUP(O117,T_KHID,2,FALSE),0))</f>
        <v/>
      </c>
      <c r="Q117" s="11" t="n"/>
      <c r="R117" s="11" t="n"/>
      <c r="S117" s="10">
        <f>IF(AND(Q117="",R117=""),"",IFERROR(INDEX(T_LIBAT,MATCH(Q117,L_PER,0),MATCH(R117,L_JENIS,0)),0))</f>
        <v/>
      </c>
      <c r="T117" s="11" t="n"/>
      <c r="U117" s="11" t="n"/>
      <c r="V117" s="10">
        <f>IF(AND(T117="",U117=""),"",IFERROR(INDEX(T_CAPAI,MATCH(T117,L_PER,0),MATCH(U117,L_KED,0)),0))</f>
        <v/>
      </c>
      <c r="W117" s="17">
        <f>IF(OR(B117="",E117="",COUNTA(F117,H117,J117:M117,O117,Q117:R117,T117:U117)=0),"",SUM(G117,I117,N117,P117,S117,V117))</f>
        <v/>
      </c>
      <c r="X117" s="18">
        <f>IF(W117="","",IF(Murid!F117="TL","TL",ROUND(W117/110*100,2)))</f>
        <v/>
      </c>
    </row>
    <row r="118">
      <c r="A118" s="15">
        <f>Murid!A118</f>
        <v/>
      </c>
      <c r="B118" s="15">
        <f>IF(Murid!B118="","",Murid!B118)</f>
        <v/>
      </c>
      <c r="C118" s="16">
        <f>IF(Murid!C118="","",Murid!C118)</f>
        <v/>
      </c>
      <c r="D118" s="15">
        <f>IF(Murid!E118="","",Murid!E118)</f>
        <v/>
      </c>
      <c r="E118" s="11" t="n"/>
      <c r="F118" s="11" t="n"/>
      <c r="G118" s="10">
        <f>IF(F118="","",IFERROR(VLOOKUP(F118,T_JUB,2,FALSE),0))</f>
        <v/>
      </c>
      <c r="H118" s="11" t="n"/>
      <c r="I118" s="17">
        <f>IF(H118="","",IF(H118&gt;=12,40,ROUND(H118*3.33,2)))</f>
        <v/>
      </c>
      <c r="J118" s="11" t="n"/>
      <c r="K118" s="11" t="n"/>
      <c r="L118" s="11" t="n"/>
      <c r="M118" s="11" t="n"/>
      <c r="N118" s="10">
        <f>IF(COUNTA(J118:M118)=0,"",MIN(10,SUMPRODUCT((COUNTIF(J118:M118,L_KOM)&gt;0)*S_KOM)))</f>
        <v/>
      </c>
      <c r="O118" s="11" t="n"/>
      <c r="P118" s="10">
        <f>IF(O118="","",IFERROR(VLOOKUP(O118,T_KHID,2,FALSE),0))</f>
        <v/>
      </c>
      <c r="Q118" s="11" t="n"/>
      <c r="R118" s="11" t="n"/>
      <c r="S118" s="10">
        <f>IF(AND(Q118="",R118=""),"",IFERROR(INDEX(T_LIBAT,MATCH(Q118,L_PER,0),MATCH(R118,L_JENIS,0)),0))</f>
        <v/>
      </c>
      <c r="T118" s="11" t="n"/>
      <c r="U118" s="11" t="n"/>
      <c r="V118" s="10">
        <f>IF(AND(T118="",U118=""),"",IFERROR(INDEX(T_CAPAI,MATCH(T118,L_PER,0),MATCH(U118,L_KED,0)),0))</f>
        <v/>
      </c>
      <c r="W118" s="17">
        <f>IF(OR(B118="",E118="",COUNTA(F118,H118,J118:M118,O118,Q118:R118,T118:U118)=0),"",SUM(G118,I118,N118,P118,S118,V118))</f>
        <v/>
      </c>
      <c r="X118" s="18">
        <f>IF(W118="","",IF(Murid!F118="TL","TL",ROUND(W118/110*100,2)))</f>
        <v/>
      </c>
    </row>
    <row r="119">
      <c r="A119" s="15">
        <f>Murid!A119</f>
        <v/>
      </c>
      <c r="B119" s="15">
        <f>IF(Murid!B119="","",Murid!B119)</f>
        <v/>
      </c>
      <c r="C119" s="16">
        <f>IF(Murid!C119="","",Murid!C119)</f>
        <v/>
      </c>
      <c r="D119" s="15">
        <f>IF(Murid!E119="","",Murid!E119)</f>
        <v/>
      </c>
      <c r="E119" s="11" t="n"/>
      <c r="F119" s="11" t="n"/>
      <c r="G119" s="10">
        <f>IF(F119="","",IFERROR(VLOOKUP(F119,T_JUB,2,FALSE),0))</f>
        <v/>
      </c>
      <c r="H119" s="11" t="n"/>
      <c r="I119" s="17">
        <f>IF(H119="","",IF(H119&gt;=12,40,ROUND(H119*3.33,2)))</f>
        <v/>
      </c>
      <c r="J119" s="11" t="n"/>
      <c r="K119" s="11" t="n"/>
      <c r="L119" s="11" t="n"/>
      <c r="M119" s="11" t="n"/>
      <c r="N119" s="10">
        <f>IF(COUNTA(J119:M119)=0,"",MIN(10,SUMPRODUCT((COUNTIF(J119:M119,L_KOM)&gt;0)*S_KOM)))</f>
        <v/>
      </c>
      <c r="O119" s="11" t="n"/>
      <c r="P119" s="10">
        <f>IF(O119="","",IFERROR(VLOOKUP(O119,T_KHID,2,FALSE),0))</f>
        <v/>
      </c>
      <c r="Q119" s="11" t="n"/>
      <c r="R119" s="11" t="n"/>
      <c r="S119" s="10">
        <f>IF(AND(Q119="",R119=""),"",IFERROR(INDEX(T_LIBAT,MATCH(Q119,L_PER,0),MATCH(R119,L_JENIS,0)),0))</f>
        <v/>
      </c>
      <c r="T119" s="11" t="n"/>
      <c r="U119" s="11" t="n"/>
      <c r="V119" s="10">
        <f>IF(AND(T119="",U119=""),"",IFERROR(INDEX(T_CAPAI,MATCH(T119,L_PER,0),MATCH(U119,L_KED,0)),0))</f>
        <v/>
      </c>
      <c r="W119" s="17">
        <f>IF(OR(B119="",E119="",COUNTA(F119,H119,J119:M119,O119,Q119:R119,T119:U119)=0),"",SUM(G119,I119,N119,P119,S119,V119))</f>
        <v/>
      </c>
      <c r="X119" s="18">
        <f>IF(W119="","",IF(Murid!F119="TL","TL",ROUND(W119/110*100,2)))</f>
        <v/>
      </c>
    </row>
    <row r="120">
      <c r="A120" s="15">
        <f>Murid!A120</f>
        <v/>
      </c>
      <c r="B120" s="15">
        <f>IF(Murid!B120="","",Murid!B120)</f>
        <v/>
      </c>
      <c r="C120" s="16">
        <f>IF(Murid!C120="","",Murid!C120)</f>
        <v/>
      </c>
      <c r="D120" s="15">
        <f>IF(Murid!E120="","",Murid!E120)</f>
        <v/>
      </c>
      <c r="E120" s="11" t="n"/>
      <c r="F120" s="11" t="n"/>
      <c r="G120" s="10">
        <f>IF(F120="","",IFERROR(VLOOKUP(F120,T_JUB,2,FALSE),0))</f>
        <v/>
      </c>
      <c r="H120" s="11" t="n"/>
      <c r="I120" s="17">
        <f>IF(H120="","",IF(H120&gt;=12,40,ROUND(H120*3.33,2)))</f>
        <v/>
      </c>
      <c r="J120" s="11" t="n"/>
      <c r="K120" s="11" t="n"/>
      <c r="L120" s="11" t="n"/>
      <c r="M120" s="11" t="n"/>
      <c r="N120" s="10">
        <f>IF(COUNTA(J120:M120)=0,"",MIN(10,SUMPRODUCT((COUNTIF(J120:M120,L_KOM)&gt;0)*S_KOM)))</f>
        <v/>
      </c>
      <c r="O120" s="11" t="n"/>
      <c r="P120" s="10">
        <f>IF(O120="","",IFERROR(VLOOKUP(O120,T_KHID,2,FALSE),0))</f>
        <v/>
      </c>
      <c r="Q120" s="11" t="n"/>
      <c r="R120" s="11" t="n"/>
      <c r="S120" s="10">
        <f>IF(AND(Q120="",R120=""),"",IFERROR(INDEX(T_LIBAT,MATCH(Q120,L_PER,0),MATCH(R120,L_JENIS,0)),0))</f>
        <v/>
      </c>
      <c r="T120" s="11" t="n"/>
      <c r="U120" s="11" t="n"/>
      <c r="V120" s="10">
        <f>IF(AND(T120="",U120=""),"",IFERROR(INDEX(T_CAPAI,MATCH(T120,L_PER,0),MATCH(U120,L_KED,0)),0))</f>
        <v/>
      </c>
      <c r="W120" s="17">
        <f>IF(OR(B120="",E120="",COUNTA(F120,H120,J120:M120,O120,Q120:R120,T120:U120)=0),"",SUM(G120,I120,N120,P120,S120,V120))</f>
        <v/>
      </c>
      <c r="X120" s="18">
        <f>IF(W120="","",IF(Murid!F120="TL","TL",ROUND(W120/110*100,2)))</f>
        <v/>
      </c>
    </row>
    <row r="121">
      <c r="A121" s="15">
        <f>Murid!A121</f>
        <v/>
      </c>
      <c r="B121" s="15">
        <f>IF(Murid!B121="","",Murid!B121)</f>
        <v/>
      </c>
      <c r="C121" s="16">
        <f>IF(Murid!C121="","",Murid!C121)</f>
        <v/>
      </c>
      <c r="D121" s="15">
        <f>IF(Murid!E121="","",Murid!E121)</f>
        <v/>
      </c>
      <c r="E121" s="11" t="n"/>
      <c r="F121" s="11" t="n"/>
      <c r="G121" s="10">
        <f>IF(F121="","",IFERROR(VLOOKUP(F121,T_JUB,2,FALSE),0))</f>
        <v/>
      </c>
      <c r="H121" s="11" t="n"/>
      <c r="I121" s="17">
        <f>IF(H121="","",IF(H121&gt;=12,40,ROUND(H121*3.33,2)))</f>
        <v/>
      </c>
      <c r="J121" s="11" t="n"/>
      <c r="K121" s="11" t="n"/>
      <c r="L121" s="11" t="n"/>
      <c r="M121" s="11" t="n"/>
      <c r="N121" s="10">
        <f>IF(COUNTA(J121:M121)=0,"",MIN(10,SUMPRODUCT((COUNTIF(J121:M121,L_KOM)&gt;0)*S_KOM)))</f>
        <v/>
      </c>
      <c r="O121" s="11" t="n"/>
      <c r="P121" s="10">
        <f>IF(O121="","",IFERROR(VLOOKUP(O121,T_KHID,2,FALSE),0))</f>
        <v/>
      </c>
      <c r="Q121" s="11" t="n"/>
      <c r="R121" s="11" t="n"/>
      <c r="S121" s="10">
        <f>IF(AND(Q121="",R121=""),"",IFERROR(INDEX(T_LIBAT,MATCH(Q121,L_PER,0),MATCH(R121,L_JENIS,0)),0))</f>
        <v/>
      </c>
      <c r="T121" s="11" t="n"/>
      <c r="U121" s="11" t="n"/>
      <c r="V121" s="10">
        <f>IF(AND(T121="",U121=""),"",IFERROR(INDEX(T_CAPAI,MATCH(T121,L_PER,0),MATCH(U121,L_KED,0)),0))</f>
        <v/>
      </c>
      <c r="W121" s="17">
        <f>IF(OR(B121="",E121="",COUNTA(F121,H121,J121:M121,O121,Q121:R121,T121:U121)=0),"",SUM(G121,I121,N121,P121,S121,V121))</f>
        <v/>
      </c>
      <c r="X121" s="18">
        <f>IF(W121="","",IF(Murid!F121="TL","TL",ROUND(W121/110*100,2)))</f>
        <v/>
      </c>
    </row>
    <row r="122">
      <c r="A122" s="15">
        <f>Murid!A122</f>
        <v/>
      </c>
      <c r="B122" s="15">
        <f>IF(Murid!B122="","",Murid!B122)</f>
        <v/>
      </c>
      <c r="C122" s="16">
        <f>IF(Murid!C122="","",Murid!C122)</f>
        <v/>
      </c>
      <c r="D122" s="15">
        <f>IF(Murid!E122="","",Murid!E122)</f>
        <v/>
      </c>
      <c r="E122" s="11" t="n"/>
      <c r="F122" s="11" t="n"/>
      <c r="G122" s="10">
        <f>IF(F122="","",IFERROR(VLOOKUP(F122,T_JUB,2,FALSE),0))</f>
        <v/>
      </c>
      <c r="H122" s="11" t="n"/>
      <c r="I122" s="17">
        <f>IF(H122="","",IF(H122&gt;=12,40,ROUND(H122*3.33,2)))</f>
        <v/>
      </c>
      <c r="J122" s="11" t="n"/>
      <c r="K122" s="11" t="n"/>
      <c r="L122" s="11" t="n"/>
      <c r="M122" s="11" t="n"/>
      <c r="N122" s="10">
        <f>IF(COUNTA(J122:M122)=0,"",MIN(10,SUMPRODUCT((COUNTIF(J122:M122,L_KOM)&gt;0)*S_KOM)))</f>
        <v/>
      </c>
      <c r="O122" s="11" t="n"/>
      <c r="P122" s="10">
        <f>IF(O122="","",IFERROR(VLOOKUP(O122,T_KHID,2,FALSE),0))</f>
        <v/>
      </c>
      <c r="Q122" s="11" t="n"/>
      <c r="R122" s="11" t="n"/>
      <c r="S122" s="10">
        <f>IF(AND(Q122="",R122=""),"",IFERROR(INDEX(T_LIBAT,MATCH(Q122,L_PER,0),MATCH(R122,L_JENIS,0)),0))</f>
        <v/>
      </c>
      <c r="T122" s="11" t="n"/>
      <c r="U122" s="11" t="n"/>
      <c r="V122" s="10">
        <f>IF(AND(T122="",U122=""),"",IFERROR(INDEX(T_CAPAI,MATCH(T122,L_PER,0),MATCH(U122,L_KED,0)),0))</f>
        <v/>
      </c>
      <c r="W122" s="17">
        <f>IF(OR(B122="",E122="",COUNTA(F122,H122,J122:M122,O122,Q122:R122,T122:U122)=0),"",SUM(G122,I122,N122,P122,S122,V122))</f>
        <v/>
      </c>
      <c r="X122" s="18">
        <f>IF(W122="","",IF(Murid!F122="TL","TL",ROUND(W122/110*100,2)))</f>
        <v/>
      </c>
    </row>
    <row r="123">
      <c r="A123" s="15">
        <f>Murid!A123</f>
        <v/>
      </c>
      <c r="B123" s="15">
        <f>IF(Murid!B123="","",Murid!B123)</f>
        <v/>
      </c>
      <c r="C123" s="16">
        <f>IF(Murid!C123="","",Murid!C123)</f>
        <v/>
      </c>
      <c r="D123" s="15">
        <f>IF(Murid!E123="","",Murid!E123)</f>
        <v/>
      </c>
      <c r="E123" s="11" t="n"/>
      <c r="F123" s="11" t="n"/>
      <c r="G123" s="10">
        <f>IF(F123="","",IFERROR(VLOOKUP(F123,T_JUB,2,FALSE),0))</f>
        <v/>
      </c>
      <c r="H123" s="11" t="n"/>
      <c r="I123" s="17">
        <f>IF(H123="","",IF(H123&gt;=12,40,ROUND(H123*3.33,2)))</f>
        <v/>
      </c>
      <c r="J123" s="11" t="n"/>
      <c r="K123" s="11" t="n"/>
      <c r="L123" s="11" t="n"/>
      <c r="M123" s="11" t="n"/>
      <c r="N123" s="10">
        <f>IF(COUNTA(J123:M123)=0,"",MIN(10,SUMPRODUCT((COUNTIF(J123:M123,L_KOM)&gt;0)*S_KOM)))</f>
        <v/>
      </c>
      <c r="O123" s="11" t="n"/>
      <c r="P123" s="10">
        <f>IF(O123="","",IFERROR(VLOOKUP(O123,T_KHID,2,FALSE),0))</f>
        <v/>
      </c>
      <c r="Q123" s="11" t="n"/>
      <c r="R123" s="11" t="n"/>
      <c r="S123" s="10">
        <f>IF(AND(Q123="",R123=""),"",IFERROR(INDEX(T_LIBAT,MATCH(Q123,L_PER,0),MATCH(R123,L_JENIS,0)),0))</f>
        <v/>
      </c>
      <c r="T123" s="11" t="n"/>
      <c r="U123" s="11" t="n"/>
      <c r="V123" s="10">
        <f>IF(AND(T123="",U123=""),"",IFERROR(INDEX(T_CAPAI,MATCH(T123,L_PER,0),MATCH(U123,L_KED,0)),0))</f>
        <v/>
      </c>
      <c r="W123" s="17">
        <f>IF(OR(B123="",E123="",COUNTA(F123,H123,J123:M123,O123,Q123:R123,T123:U123)=0),"",SUM(G123,I123,N123,P123,S123,V123))</f>
        <v/>
      </c>
      <c r="X123" s="18">
        <f>IF(W123="","",IF(Murid!F123="TL","TL",ROUND(W123/110*100,2)))</f>
        <v/>
      </c>
    </row>
    <row r="124">
      <c r="A124" s="15">
        <f>Murid!A124</f>
        <v/>
      </c>
      <c r="B124" s="15">
        <f>IF(Murid!B124="","",Murid!B124)</f>
        <v/>
      </c>
      <c r="C124" s="16">
        <f>IF(Murid!C124="","",Murid!C124)</f>
        <v/>
      </c>
      <c r="D124" s="15">
        <f>IF(Murid!E124="","",Murid!E124)</f>
        <v/>
      </c>
      <c r="E124" s="11" t="n"/>
      <c r="F124" s="11" t="n"/>
      <c r="G124" s="10">
        <f>IF(F124="","",IFERROR(VLOOKUP(F124,T_JUB,2,FALSE),0))</f>
        <v/>
      </c>
      <c r="H124" s="11" t="n"/>
      <c r="I124" s="17">
        <f>IF(H124="","",IF(H124&gt;=12,40,ROUND(H124*3.33,2)))</f>
        <v/>
      </c>
      <c r="J124" s="11" t="n"/>
      <c r="K124" s="11" t="n"/>
      <c r="L124" s="11" t="n"/>
      <c r="M124" s="11" t="n"/>
      <c r="N124" s="10">
        <f>IF(COUNTA(J124:M124)=0,"",MIN(10,SUMPRODUCT((COUNTIF(J124:M124,L_KOM)&gt;0)*S_KOM)))</f>
        <v/>
      </c>
      <c r="O124" s="11" t="n"/>
      <c r="P124" s="10">
        <f>IF(O124="","",IFERROR(VLOOKUP(O124,T_KHID,2,FALSE),0))</f>
        <v/>
      </c>
      <c r="Q124" s="11" t="n"/>
      <c r="R124" s="11" t="n"/>
      <c r="S124" s="10">
        <f>IF(AND(Q124="",R124=""),"",IFERROR(INDEX(T_LIBAT,MATCH(Q124,L_PER,0),MATCH(R124,L_JENIS,0)),0))</f>
        <v/>
      </c>
      <c r="T124" s="11" t="n"/>
      <c r="U124" s="11" t="n"/>
      <c r="V124" s="10">
        <f>IF(AND(T124="",U124=""),"",IFERROR(INDEX(T_CAPAI,MATCH(T124,L_PER,0),MATCH(U124,L_KED,0)),0))</f>
        <v/>
      </c>
      <c r="W124" s="17">
        <f>IF(OR(B124="",E124="",COUNTA(F124,H124,J124:M124,O124,Q124:R124,T124:U124)=0),"",SUM(G124,I124,N124,P124,S124,V124))</f>
        <v/>
      </c>
      <c r="X124" s="18">
        <f>IF(W124="","",IF(Murid!F124="TL","TL",ROUND(W124/110*100,2)))</f>
        <v/>
      </c>
    </row>
    <row r="125">
      <c r="A125" s="15">
        <f>Murid!A125</f>
        <v/>
      </c>
      <c r="B125" s="15">
        <f>IF(Murid!B125="","",Murid!B125)</f>
        <v/>
      </c>
      <c r="C125" s="16">
        <f>IF(Murid!C125="","",Murid!C125)</f>
        <v/>
      </c>
      <c r="D125" s="15">
        <f>IF(Murid!E125="","",Murid!E125)</f>
        <v/>
      </c>
      <c r="E125" s="11" t="n"/>
      <c r="F125" s="11" t="n"/>
      <c r="G125" s="10">
        <f>IF(F125="","",IFERROR(VLOOKUP(F125,T_JUB,2,FALSE),0))</f>
        <v/>
      </c>
      <c r="H125" s="11" t="n"/>
      <c r="I125" s="17">
        <f>IF(H125="","",IF(H125&gt;=12,40,ROUND(H125*3.33,2)))</f>
        <v/>
      </c>
      <c r="J125" s="11" t="n"/>
      <c r="K125" s="11" t="n"/>
      <c r="L125" s="11" t="n"/>
      <c r="M125" s="11" t="n"/>
      <c r="N125" s="10">
        <f>IF(COUNTA(J125:M125)=0,"",MIN(10,SUMPRODUCT((COUNTIF(J125:M125,L_KOM)&gt;0)*S_KOM)))</f>
        <v/>
      </c>
      <c r="O125" s="11" t="n"/>
      <c r="P125" s="10">
        <f>IF(O125="","",IFERROR(VLOOKUP(O125,T_KHID,2,FALSE),0))</f>
        <v/>
      </c>
      <c r="Q125" s="11" t="n"/>
      <c r="R125" s="11" t="n"/>
      <c r="S125" s="10">
        <f>IF(AND(Q125="",R125=""),"",IFERROR(INDEX(T_LIBAT,MATCH(Q125,L_PER,0),MATCH(R125,L_JENIS,0)),0))</f>
        <v/>
      </c>
      <c r="T125" s="11" t="n"/>
      <c r="U125" s="11" t="n"/>
      <c r="V125" s="10">
        <f>IF(AND(T125="",U125=""),"",IFERROR(INDEX(T_CAPAI,MATCH(T125,L_PER,0),MATCH(U125,L_KED,0)),0))</f>
        <v/>
      </c>
      <c r="W125" s="17">
        <f>IF(OR(B125="",E125="",COUNTA(F125,H125,J125:M125,O125,Q125:R125,T125:U125)=0),"",SUM(G125,I125,N125,P125,S125,V125))</f>
        <v/>
      </c>
      <c r="X125" s="18">
        <f>IF(W125="","",IF(Murid!F125="TL","TL",ROUND(W125/110*100,2)))</f>
        <v/>
      </c>
    </row>
    <row r="126">
      <c r="A126" s="15">
        <f>Murid!A126</f>
        <v/>
      </c>
      <c r="B126" s="15">
        <f>IF(Murid!B126="","",Murid!B126)</f>
        <v/>
      </c>
      <c r="C126" s="16">
        <f>IF(Murid!C126="","",Murid!C126)</f>
        <v/>
      </c>
      <c r="D126" s="15">
        <f>IF(Murid!E126="","",Murid!E126)</f>
        <v/>
      </c>
      <c r="E126" s="11" t="n"/>
      <c r="F126" s="11" t="n"/>
      <c r="G126" s="10">
        <f>IF(F126="","",IFERROR(VLOOKUP(F126,T_JUB,2,FALSE),0))</f>
        <v/>
      </c>
      <c r="H126" s="11" t="n"/>
      <c r="I126" s="17">
        <f>IF(H126="","",IF(H126&gt;=12,40,ROUND(H126*3.33,2)))</f>
        <v/>
      </c>
      <c r="J126" s="11" t="n"/>
      <c r="K126" s="11" t="n"/>
      <c r="L126" s="11" t="n"/>
      <c r="M126" s="11" t="n"/>
      <c r="N126" s="10">
        <f>IF(COUNTA(J126:M126)=0,"",MIN(10,SUMPRODUCT((COUNTIF(J126:M126,L_KOM)&gt;0)*S_KOM)))</f>
        <v/>
      </c>
      <c r="O126" s="11" t="n"/>
      <c r="P126" s="10">
        <f>IF(O126="","",IFERROR(VLOOKUP(O126,T_KHID,2,FALSE),0))</f>
        <v/>
      </c>
      <c r="Q126" s="11" t="n"/>
      <c r="R126" s="11" t="n"/>
      <c r="S126" s="10">
        <f>IF(AND(Q126="",R126=""),"",IFERROR(INDEX(T_LIBAT,MATCH(Q126,L_PER,0),MATCH(R126,L_JENIS,0)),0))</f>
        <v/>
      </c>
      <c r="T126" s="11" t="n"/>
      <c r="U126" s="11" t="n"/>
      <c r="V126" s="10">
        <f>IF(AND(T126="",U126=""),"",IFERROR(INDEX(T_CAPAI,MATCH(T126,L_PER,0),MATCH(U126,L_KED,0)),0))</f>
        <v/>
      </c>
      <c r="W126" s="17">
        <f>IF(OR(B126="",E126="",COUNTA(F126,H126,J126:M126,O126,Q126:R126,T126:U126)=0),"",SUM(G126,I126,N126,P126,S126,V126))</f>
        <v/>
      </c>
      <c r="X126" s="18">
        <f>IF(W126="","",IF(Murid!F126="TL","TL",ROUND(W126/110*100,2)))</f>
        <v/>
      </c>
    </row>
    <row r="127">
      <c r="A127" s="15">
        <f>Murid!A127</f>
        <v/>
      </c>
      <c r="B127" s="15">
        <f>IF(Murid!B127="","",Murid!B127)</f>
        <v/>
      </c>
      <c r="C127" s="16">
        <f>IF(Murid!C127="","",Murid!C127)</f>
        <v/>
      </c>
      <c r="D127" s="15">
        <f>IF(Murid!E127="","",Murid!E127)</f>
        <v/>
      </c>
      <c r="E127" s="11" t="n"/>
      <c r="F127" s="11" t="n"/>
      <c r="G127" s="10">
        <f>IF(F127="","",IFERROR(VLOOKUP(F127,T_JUB,2,FALSE),0))</f>
        <v/>
      </c>
      <c r="H127" s="11" t="n"/>
      <c r="I127" s="17">
        <f>IF(H127="","",IF(H127&gt;=12,40,ROUND(H127*3.33,2)))</f>
        <v/>
      </c>
      <c r="J127" s="11" t="n"/>
      <c r="K127" s="11" t="n"/>
      <c r="L127" s="11" t="n"/>
      <c r="M127" s="11" t="n"/>
      <c r="N127" s="10">
        <f>IF(COUNTA(J127:M127)=0,"",MIN(10,SUMPRODUCT((COUNTIF(J127:M127,L_KOM)&gt;0)*S_KOM)))</f>
        <v/>
      </c>
      <c r="O127" s="11" t="n"/>
      <c r="P127" s="10">
        <f>IF(O127="","",IFERROR(VLOOKUP(O127,T_KHID,2,FALSE),0))</f>
        <v/>
      </c>
      <c r="Q127" s="11" t="n"/>
      <c r="R127" s="11" t="n"/>
      <c r="S127" s="10">
        <f>IF(AND(Q127="",R127=""),"",IFERROR(INDEX(T_LIBAT,MATCH(Q127,L_PER,0),MATCH(R127,L_JENIS,0)),0))</f>
        <v/>
      </c>
      <c r="T127" s="11" t="n"/>
      <c r="U127" s="11" t="n"/>
      <c r="V127" s="10">
        <f>IF(AND(T127="",U127=""),"",IFERROR(INDEX(T_CAPAI,MATCH(T127,L_PER,0),MATCH(U127,L_KED,0)),0))</f>
        <v/>
      </c>
      <c r="W127" s="17">
        <f>IF(OR(B127="",E127="",COUNTA(F127,H127,J127:M127,O127,Q127:R127,T127:U127)=0),"",SUM(G127,I127,N127,P127,S127,V127))</f>
        <v/>
      </c>
      <c r="X127" s="18">
        <f>IF(W127="","",IF(Murid!F127="TL","TL",ROUND(W127/110*100,2)))</f>
        <v/>
      </c>
    </row>
    <row r="128">
      <c r="A128" s="15">
        <f>Murid!A128</f>
        <v/>
      </c>
      <c r="B128" s="15">
        <f>IF(Murid!B128="","",Murid!B128)</f>
        <v/>
      </c>
      <c r="C128" s="16">
        <f>IF(Murid!C128="","",Murid!C128)</f>
        <v/>
      </c>
      <c r="D128" s="15">
        <f>IF(Murid!E128="","",Murid!E128)</f>
        <v/>
      </c>
      <c r="E128" s="11" t="n"/>
      <c r="F128" s="11" t="n"/>
      <c r="G128" s="10">
        <f>IF(F128="","",IFERROR(VLOOKUP(F128,T_JUB,2,FALSE),0))</f>
        <v/>
      </c>
      <c r="H128" s="11" t="n"/>
      <c r="I128" s="17">
        <f>IF(H128="","",IF(H128&gt;=12,40,ROUND(H128*3.33,2)))</f>
        <v/>
      </c>
      <c r="J128" s="11" t="n"/>
      <c r="K128" s="11" t="n"/>
      <c r="L128" s="11" t="n"/>
      <c r="M128" s="11" t="n"/>
      <c r="N128" s="10">
        <f>IF(COUNTA(J128:M128)=0,"",MIN(10,SUMPRODUCT((COUNTIF(J128:M128,L_KOM)&gt;0)*S_KOM)))</f>
        <v/>
      </c>
      <c r="O128" s="11" t="n"/>
      <c r="P128" s="10">
        <f>IF(O128="","",IFERROR(VLOOKUP(O128,T_KHID,2,FALSE),0))</f>
        <v/>
      </c>
      <c r="Q128" s="11" t="n"/>
      <c r="R128" s="11" t="n"/>
      <c r="S128" s="10">
        <f>IF(AND(Q128="",R128=""),"",IFERROR(INDEX(T_LIBAT,MATCH(Q128,L_PER,0),MATCH(R128,L_JENIS,0)),0))</f>
        <v/>
      </c>
      <c r="T128" s="11" t="n"/>
      <c r="U128" s="11" t="n"/>
      <c r="V128" s="10">
        <f>IF(AND(T128="",U128=""),"",IFERROR(INDEX(T_CAPAI,MATCH(T128,L_PER,0),MATCH(U128,L_KED,0)),0))</f>
        <v/>
      </c>
      <c r="W128" s="17">
        <f>IF(OR(B128="",E128="",COUNTA(F128,H128,J128:M128,O128,Q128:R128,T128:U128)=0),"",SUM(G128,I128,N128,P128,S128,V128))</f>
        <v/>
      </c>
      <c r="X128" s="18">
        <f>IF(W128="","",IF(Murid!F128="TL","TL",ROUND(W128/110*100,2)))</f>
        <v/>
      </c>
    </row>
    <row r="129">
      <c r="A129" s="15">
        <f>Murid!A129</f>
        <v/>
      </c>
      <c r="B129" s="15">
        <f>IF(Murid!B129="","",Murid!B129)</f>
        <v/>
      </c>
      <c r="C129" s="16">
        <f>IF(Murid!C129="","",Murid!C129)</f>
        <v/>
      </c>
      <c r="D129" s="15">
        <f>IF(Murid!E129="","",Murid!E129)</f>
        <v/>
      </c>
      <c r="E129" s="11" t="n"/>
      <c r="F129" s="11" t="n"/>
      <c r="G129" s="10">
        <f>IF(F129="","",IFERROR(VLOOKUP(F129,T_JUB,2,FALSE),0))</f>
        <v/>
      </c>
      <c r="H129" s="11" t="n"/>
      <c r="I129" s="17">
        <f>IF(H129="","",IF(H129&gt;=12,40,ROUND(H129*3.33,2)))</f>
        <v/>
      </c>
      <c r="J129" s="11" t="n"/>
      <c r="K129" s="11" t="n"/>
      <c r="L129" s="11" t="n"/>
      <c r="M129" s="11" t="n"/>
      <c r="N129" s="10">
        <f>IF(COUNTA(J129:M129)=0,"",MIN(10,SUMPRODUCT((COUNTIF(J129:M129,L_KOM)&gt;0)*S_KOM)))</f>
        <v/>
      </c>
      <c r="O129" s="11" t="n"/>
      <c r="P129" s="10">
        <f>IF(O129="","",IFERROR(VLOOKUP(O129,T_KHID,2,FALSE),0))</f>
        <v/>
      </c>
      <c r="Q129" s="11" t="n"/>
      <c r="R129" s="11" t="n"/>
      <c r="S129" s="10">
        <f>IF(AND(Q129="",R129=""),"",IFERROR(INDEX(T_LIBAT,MATCH(Q129,L_PER,0),MATCH(R129,L_JENIS,0)),0))</f>
        <v/>
      </c>
      <c r="T129" s="11" t="n"/>
      <c r="U129" s="11" t="n"/>
      <c r="V129" s="10">
        <f>IF(AND(T129="",U129=""),"",IFERROR(INDEX(T_CAPAI,MATCH(T129,L_PER,0),MATCH(U129,L_KED,0)),0))</f>
        <v/>
      </c>
      <c r="W129" s="17">
        <f>IF(OR(B129="",E129="",COUNTA(F129,H129,J129:M129,O129,Q129:R129,T129:U129)=0),"",SUM(G129,I129,N129,P129,S129,V129))</f>
        <v/>
      </c>
      <c r="X129" s="18">
        <f>IF(W129="","",IF(Murid!F129="TL","TL",ROUND(W129/110*100,2)))</f>
        <v/>
      </c>
    </row>
    <row r="130">
      <c r="A130" s="15">
        <f>Murid!A130</f>
        <v/>
      </c>
      <c r="B130" s="15">
        <f>IF(Murid!B130="","",Murid!B130)</f>
        <v/>
      </c>
      <c r="C130" s="16">
        <f>IF(Murid!C130="","",Murid!C130)</f>
        <v/>
      </c>
      <c r="D130" s="15">
        <f>IF(Murid!E130="","",Murid!E130)</f>
        <v/>
      </c>
      <c r="E130" s="11" t="n"/>
      <c r="F130" s="11" t="n"/>
      <c r="G130" s="10">
        <f>IF(F130="","",IFERROR(VLOOKUP(F130,T_JUB,2,FALSE),0))</f>
        <v/>
      </c>
      <c r="H130" s="11" t="n"/>
      <c r="I130" s="17">
        <f>IF(H130="","",IF(H130&gt;=12,40,ROUND(H130*3.33,2)))</f>
        <v/>
      </c>
      <c r="J130" s="11" t="n"/>
      <c r="K130" s="11" t="n"/>
      <c r="L130" s="11" t="n"/>
      <c r="M130" s="11" t="n"/>
      <c r="N130" s="10">
        <f>IF(COUNTA(J130:M130)=0,"",MIN(10,SUMPRODUCT((COUNTIF(J130:M130,L_KOM)&gt;0)*S_KOM)))</f>
        <v/>
      </c>
      <c r="O130" s="11" t="n"/>
      <c r="P130" s="10">
        <f>IF(O130="","",IFERROR(VLOOKUP(O130,T_KHID,2,FALSE),0))</f>
        <v/>
      </c>
      <c r="Q130" s="11" t="n"/>
      <c r="R130" s="11" t="n"/>
      <c r="S130" s="10">
        <f>IF(AND(Q130="",R130=""),"",IFERROR(INDEX(T_LIBAT,MATCH(Q130,L_PER,0),MATCH(R130,L_JENIS,0)),0))</f>
        <v/>
      </c>
      <c r="T130" s="11" t="n"/>
      <c r="U130" s="11" t="n"/>
      <c r="V130" s="10">
        <f>IF(AND(T130="",U130=""),"",IFERROR(INDEX(T_CAPAI,MATCH(T130,L_PER,0),MATCH(U130,L_KED,0)),0))</f>
        <v/>
      </c>
      <c r="W130" s="17">
        <f>IF(OR(B130="",E130="",COUNTA(F130,H130,J130:M130,O130,Q130:R130,T130:U130)=0),"",SUM(G130,I130,N130,P130,S130,V130))</f>
        <v/>
      </c>
      <c r="X130" s="18">
        <f>IF(W130="","",IF(Murid!F130="TL","TL",ROUND(W130/110*100,2)))</f>
        <v/>
      </c>
    </row>
    <row r="131">
      <c r="A131" s="15">
        <f>Murid!A131</f>
        <v/>
      </c>
      <c r="B131" s="15">
        <f>IF(Murid!B131="","",Murid!B131)</f>
        <v/>
      </c>
      <c r="C131" s="16">
        <f>IF(Murid!C131="","",Murid!C131)</f>
        <v/>
      </c>
      <c r="D131" s="15">
        <f>IF(Murid!E131="","",Murid!E131)</f>
        <v/>
      </c>
      <c r="E131" s="11" t="n"/>
      <c r="F131" s="11" t="n"/>
      <c r="G131" s="10">
        <f>IF(F131="","",IFERROR(VLOOKUP(F131,T_JUB,2,FALSE),0))</f>
        <v/>
      </c>
      <c r="H131" s="11" t="n"/>
      <c r="I131" s="17">
        <f>IF(H131="","",IF(H131&gt;=12,40,ROUND(H131*3.33,2)))</f>
        <v/>
      </c>
      <c r="J131" s="11" t="n"/>
      <c r="K131" s="11" t="n"/>
      <c r="L131" s="11" t="n"/>
      <c r="M131" s="11" t="n"/>
      <c r="N131" s="10">
        <f>IF(COUNTA(J131:M131)=0,"",MIN(10,SUMPRODUCT((COUNTIF(J131:M131,L_KOM)&gt;0)*S_KOM)))</f>
        <v/>
      </c>
      <c r="O131" s="11" t="n"/>
      <c r="P131" s="10">
        <f>IF(O131="","",IFERROR(VLOOKUP(O131,T_KHID,2,FALSE),0))</f>
        <v/>
      </c>
      <c r="Q131" s="11" t="n"/>
      <c r="R131" s="11" t="n"/>
      <c r="S131" s="10">
        <f>IF(AND(Q131="",R131=""),"",IFERROR(INDEX(T_LIBAT,MATCH(Q131,L_PER,0),MATCH(R131,L_JENIS,0)),0))</f>
        <v/>
      </c>
      <c r="T131" s="11" t="n"/>
      <c r="U131" s="11" t="n"/>
      <c r="V131" s="10">
        <f>IF(AND(T131="",U131=""),"",IFERROR(INDEX(T_CAPAI,MATCH(T131,L_PER,0),MATCH(U131,L_KED,0)),0))</f>
        <v/>
      </c>
      <c r="W131" s="17">
        <f>IF(OR(B131="",E131="",COUNTA(F131,H131,J131:M131,O131,Q131:R131,T131:U131)=0),"",SUM(G131,I131,N131,P131,S131,V131))</f>
        <v/>
      </c>
      <c r="X131" s="18">
        <f>IF(W131="","",IF(Murid!F131="TL","TL",ROUND(W131/110*100,2)))</f>
        <v/>
      </c>
    </row>
    <row r="132">
      <c r="A132" s="15">
        <f>Murid!A132</f>
        <v/>
      </c>
      <c r="B132" s="15">
        <f>IF(Murid!B132="","",Murid!B132)</f>
        <v/>
      </c>
      <c r="C132" s="16">
        <f>IF(Murid!C132="","",Murid!C132)</f>
        <v/>
      </c>
      <c r="D132" s="15">
        <f>IF(Murid!E132="","",Murid!E132)</f>
        <v/>
      </c>
      <c r="E132" s="11" t="n"/>
      <c r="F132" s="11" t="n"/>
      <c r="G132" s="10">
        <f>IF(F132="","",IFERROR(VLOOKUP(F132,T_JUB,2,FALSE),0))</f>
        <v/>
      </c>
      <c r="H132" s="11" t="n"/>
      <c r="I132" s="17">
        <f>IF(H132="","",IF(H132&gt;=12,40,ROUND(H132*3.33,2)))</f>
        <v/>
      </c>
      <c r="J132" s="11" t="n"/>
      <c r="K132" s="11" t="n"/>
      <c r="L132" s="11" t="n"/>
      <c r="M132" s="11" t="n"/>
      <c r="N132" s="10">
        <f>IF(COUNTA(J132:M132)=0,"",MIN(10,SUMPRODUCT((COUNTIF(J132:M132,L_KOM)&gt;0)*S_KOM)))</f>
        <v/>
      </c>
      <c r="O132" s="11" t="n"/>
      <c r="P132" s="10">
        <f>IF(O132="","",IFERROR(VLOOKUP(O132,T_KHID,2,FALSE),0))</f>
        <v/>
      </c>
      <c r="Q132" s="11" t="n"/>
      <c r="R132" s="11" t="n"/>
      <c r="S132" s="10">
        <f>IF(AND(Q132="",R132=""),"",IFERROR(INDEX(T_LIBAT,MATCH(Q132,L_PER,0),MATCH(R132,L_JENIS,0)),0))</f>
        <v/>
      </c>
      <c r="T132" s="11" t="n"/>
      <c r="U132" s="11" t="n"/>
      <c r="V132" s="10">
        <f>IF(AND(T132="",U132=""),"",IFERROR(INDEX(T_CAPAI,MATCH(T132,L_PER,0),MATCH(U132,L_KED,0)),0))</f>
        <v/>
      </c>
      <c r="W132" s="17">
        <f>IF(OR(B132="",E132="",COUNTA(F132,H132,J132:M132,O132,Q132:R132,T132:U132)=0),"",SUM(G132,I132,N132,P132,S132,V132))</f>
        <v/>
      </c>
      <c r="X132" s="18">
        <f>IF(W132="","",IF(Murid!F132="TL","TL",ROUND(W132/110*100,2)))</f>
        <v/>
      </c>
    </row>
    <row r="133">
      <c r="A133" s="15">
        <f>Murid!A133</f>
        <v/>
      </c>
      <c r="B133" s="15">
        <f>IF(Murid!B133="","",Murid!B133)</f>
        <v/>
      </c>
      <c r="C133" s="16">
        <f>IF(Murid!C133="","",Murid!C133)</f>
        <v/>
      </c>
      <c r="D133" s="15">
        <f>IF(Murid!E133="","",Murid!E133)</f>
        <v/>
      </c>
      <c r="E133" s="11" t="n"/>
      <c r="F133" s="11" t="n"/>
      <c r="G133" s="10">
        <f>IF(F133="","",IFERROR(VLOOKUP(F133,T_JUB,2,FALSE),0))</f>
        <v/>
      </c>
      <c r="H133" s="11" t="n"/>
      <c r="I133" s="17">
        <f>IF(H133="","",IF(H133&gt;=12,40,ROUND(H133*3.33,2)))</f>
        <v/>
      </c>
      <c r="J133" s="11" t="n"/>
      <c r="K133" s="11" t="n"/>
      <c r="L133" s="11" t="n"/>
      <c r="M133" s="11" t="n"/>
      <c r="N133" s="10">
        <f>IF(COUNTA(J133:M133)=0,"",MIN(10,SUMPRODUCT((COUNTIF(J133:M133,L_KOM)&gt;0)*S_KOM)))</f>
        <v/>
      </c>
      <c r="O133" s="11" t="n"/>
      <c r="P133" s="10">
        <f>IF(O133="","",IFERROR(VLOOKUP(O133,T_KHID,2,FALSE),0))</f>
        <v/>
      </c>
      <c r="Q133" s="11" t="n"/>
      <c r="R133" s="11" t="n"/>
      <c r="S133" s="10">
        <f>IF(AND(Q133="",R133=""),"",IFERROR(INDEX(T_LIBAT,MATCH(Q133,L_PER,0),MATCH(R133,L_JENIS,0)),0))</f>
        <v/>
      </c>
      <c r="T133" s="11" t="n"/>
      <c r="U133" s="11" t="n"/>
      <c r="V133" s="10">
        <f>IF(AND(T133="",U133=""),"",IFERROR(INDEX(T_CAPAI,MATCH(T133,L_PER,0),MATCH(U133,L_KED,0)),0))</f>
        <v/>
      </c>
      <c r="W133" s="17">
        <f>IF(OR(B133="",E133="",COUNTA(F133,H133,J133:M133,O133,Q133:R133,T133:U133)=0),"",SUM(G133,I133,N133,P133,S133,V133))</f>
        <v/>
      </c>
      <c r="X133" s="18">
        <f>IF(W133="","",IF(Murid!F133="TL","TL",ROUND(W133/110*100,2)))</f>
        <v/>
      </c>
    </row>
    <row r="134">
      <c r="A134" s="15">
        <f>Murid!A134</f>
        <v/>
      </c>
      <c r="B134" s="15">
        <f>IF(Murid!B134="","",Murid!B134)</f>
        <v/>
      </c>
      <c r="C134" s="16">
        <f>IF(Murid!C134="","",Murid!C134)</f>
        <v/>
      </c>
      <c r="D134" s="15">
        <f>IF(Murid!E134="","",Murid!E134)</f>
        <v/>
      </c>
      <c r="E134" s="11" t="n"/>
      <c r="F134" s="11" t="n"/>
      <c r="G134" s="10">
        <f>IF(F134="","",IFERROR(VLOOKUP(F134,T_JUB,2,FALSE),0))</f>
        <v/>
      </c>
      <c r="H134" s="11" t="n"/>
      <c r="I134" s="17">
        <f>IF(H134="","",IF(H134&gt;=12,40,ROUND(H134*3.33,2)))</f>
        <v/>
      </c>
      <c r="J134" s="11" t="n"/>
      <c r="K134" s="11" t="n"/>
      <c r="L134" s="11" t="n"/>
      <c r="M134" s="11" t="n"/>
      <c r="N134" s="10">
        <f>IF(COUNTA(J134:M134)=0,"",MIN(10,SUMPRODUCT((COUNTIF(J134:M134,L_KOM)&gt;0)*S_KOM)))</f>
        <v/>
      </c>
      <c r="O134" s="11" t="n"/>
      <c r="P134" s="10">
        <f>IF(O134="","",IFERROR(VLOOKUP(O134,T_KHID,2,FALSE),0))</f>
        <v/>
      </c>
      <c r="Q134" s="11" t="n"/>
      <c r="R134" s="11" t="n"/>
      <c r="S134" s="10">
        <f>IF(AND(Q134="",R134=""),"",IFERROR(INDEX(T_LIBAT,MATCH(Q134,L_PER,0),MATCH(R134,L_JENIS,0)),0))</f>
        <v/>
      </c>
      <c r="T134" s="11" t="n"/>
      <c r="U134" s="11" t="n"/>
      <c r="V134" s="10">
        <f>IF(AND(T134="",U134=""),"",IFERROR(INDEX(T_CAPAI,MATCH(T134,L_PER,0),MATCH(U134,L_KED,0)),0))</f>
        <v/>
      </c>
      <c r="W134" s="17">
        <f>IF(OR(B134="",E134="",COUNTA(F134,H134,J134:M134,O134,Q134:R134,T134:U134)=0),"",SUM(G134,I134,N134,P134,S134,V134))</f>
        <v/>
      </c>
      <c r="X134" s="18">
        <f>IF(W134="","",IF(Murid!F134="TL","TL",ROUND(W134/110*100,2)))</f>
        <v/>
      </c>
    </row>
    <row r="135">
      <c r="A135" s="15">
        <f>Murid!A135</f>
        <v/>
      </c>
      <c r="B135" s="15">
        <f>IF(Murid!B135="","",Murid!B135)</f>
        <v/>
      </c>
      <c r="C135" s="16">
        <f>IF(Murid!C135="","",Murid!C135)</f>
        <v/>
      </c>
      <c r="D135" s="15">
        <f>IF(Murid!E135="","",Murid!E135)</f>
        <v/>
      </c>
      <c r="E135" s="11" t="n"/>
      <c r="F135" s="11" t="n"/>
      <c r="G135" s="10">
        <f>IF(F135="","",IFERROR(VLOOKUP(F135,T_JUB,2,FALSE),0))</f>
        <v/>
      </c>
      <c r="H135" s="11" t="n"/>
      <c r="I135" s="17">
        <f>IF(H135="","",IF(H135&gt;=12,40,ROUND(H135*3.33,2)))</f>
        <v/>
      </c>
      <c r="J135" s="11" t="n"/>
      <c r="K135" s="11" t="n"/>
      <c r="L135" s="11" t="n"/>
      <c r="M135" s="11" t="n"/>
      <c r="N135" s="10">
        <f>IF(COUNTA(J135:M135)=0,"",MIN(10,SUMPRODUCT((COUNTIF(J135:M135,L_KOM)&gt;0)*S_KOM)))</f>
        <v/>
      </c>
      <c r="O135" s="11" t="n"/>
      <c r="P135" s="10">
        <f>IF(O135="","",IFERROR(VLOOKUP(O135,T_KHID,2,FALSE),0))</f>
        <v/>
      </c>
      <c r="Q135" s="11" t="n"/>
      <c r="R135" s="11" t="n"/>
      <c r="S135" s="10">
        <f>IF(AND(Q135="",R135=""),"",IFERROR(INDEX(T_LIBAT,MATCH(Q135,L_PER,0),MATCH(R135,L_JENIS,0)),0))</f>
        <v/>
      </c>
      <c r="T135" s="11" t="n"/>
      <c r="U135" s="11" t="n"/>
      <c r="V135" s="10">
        <f>IF(AND(T135="",U135=""),"",IFERROR(INDEX(T_CAPAI,MATCH(T135,L_PER,0),MATCH(U135,L_KED,0)),0))</f>
        <v/>
      </c>
      <c r="W135" s="17">
        <f>IF(OR(B135="",E135="",COUNTA(F135,H135,J135:M135,O135,Q135:R135,T135:U135)=0),"",SUM(G135,I135,N135,P135,S135,V135))</f>
        <v/>
      </c>
      <c r="X135" s="18">
        <f>IF(W135="","",IF(Murid!F135="TL","TL",ROUND(W135/110*100,2)))</f>
        <v/>
      </c>
    </row>
    <row r="136">
      <c r="A136" s="15">
        <f>Murid!A136</f>
        <v/>
      </c>
      <c r="B136" s="15">
        <f>IF(Murid!B136="","",Murid!B136)</f>
        <v/>
      </c>
      <c r="C136" s="16">
        <f>IF(Murid!C136="","",Murid!C136)</f>
        <v/>
      </c>
      <c r="D136" s="15">
        <f>IF(Murid!E136="","",Murid!E136)</f>
        <v/>
      </c>
      <c r="E136" s="11" t="n"/>
      <c r="F136" s="11" t="n"/>
      <c r="G136" s="10">
        <f>IF(F136="","",IFERROR(VLOOKUP(F136,T_JUB,2,FALSE),0))</f>
        <v/>
      </c>
      <c r="H136" s="11" t="n"/>
      <c r="I136" s="17">
        <f>IF(H136="","",IF(H136&gt;=12,40,ROUND(H136*3.33,2)))</f>
        <v/>
      </c>
      <c r="J136" s="11" t="n"/>
      <c r="K136" s="11" t="n"/>
      <c r="L136" s="11" t="n"/>
      <c r="M136" s="11" t="n"/>
      <c r="N136" s="10">
        <f>IF(COUNTA(J136:M136)=0,"",MIN(10,SUMPRODUCT((COUNTIF(J136:M136,L_KOM)&gt;0)*S_KOM)))</f>
        <v/>
      </c>
      <c r="O136" s="11" t="n"/>
      <c r="P136" s="10">
        <f>IF(O136="","",IFERROR(VLOOKUP(O136,T_KHID,2,FALSE),0))</f>
        <v/>
      </c>
      <c r="Q136" s="11" t="n"/>
      <c r="R136" s="11" t="n"/>
      <c r="S136" s="10">
        <f>IF(AND(Q136="",R136=""),"",IFERROR(INDEX(T_LIBAT,MATCH(Q136,L_PER,0),MATCH(R136,L_JENIS,0)),0))</f>
        <v/>
      </c>
      <c r="T136" s="11" t="n"/>
      <c r="U136" s="11" t="n"/>
      <c r="V136" s="10">
        <f>IF(AND(T136="",U136=""),"",IFERROR(INDEX(T_CAPAI,MATCH(T136,L_PER,0),MATCH(U136,L_KED,0)),0))</f>
        <v/>
      </c>
      <c r="W136" s="17">
        <f>IF(OR(B136="",E136="",COUNTA(F136,H136,J136:M136,O136,Q136:R136,T136:U136)=0),"",SUM(G136,I136,N136,P136,S136,V136))</f>
        <v/>
      </c>
      <c r="X136" s="18">
        <f>IF(W136="","",IF(Murid!F136="TL","TL",ROUND(W136/110*100,2)))</f>
        <v/>
      </c>
    </row>
    <row r="137">
      <c r="A137" s="15">
        <f>Murid!A137</f>
        <v/>
      </c>
      <c r="B137" s="15">
        <f>IF(Murid!B137="","",Murid!B137)</f>
        <v/>
      </c>
      <c r="C137" s="16">
        <f>IF(Murid!C137="","",Murid!C137)</f>
        <v/>
      </c>
      <c r="D137" s="15">
        <f>IF(Murid!E137="","",Murid!E137)</f>
        <v/>
      </c>
      <c r="E137" s="11" t="n"/>
      <c r="F137" s="11" t="n"/>
      <c r="G137" s="10">
        <f>IF(F137="","",IFERROR(VLOOKUP(F137,T_JUB,2,FALSE),0))</f>
        <v/>
      </c>
      <c r="H137" s="11" t="n"/>
      <c r="I137" s="17">
        <f>IF(H137="","",IF(H137&gt;=12,40,ROUND(H137*3.33,2)))</f>
        <v/>
      </c>
      <c r="J137" s="11" t="n"/>
      <c r="K137" s="11" t="n"/>
      <c r="L137" s="11" t="n"/>
      <c r="M137" s="11" t="n"/>
      <c r="N137" s="10">
        <f>IF(COUNTA(J137:M137)=0,"",MIN(10,SUMPRODUCT((COUNTIF(J137:M137,L_KOM)&gt;0)*S_KOM)))</f>
        <v/>
      </c>
      <c r="O137" s="11" t="n"/>
      <c r="P137" s="10">
        <f>IF(O137="","",IFERROR(VLOOKUP(O137,T_KHID,2,FALSE),0))</f>
        <v/>
      </c>
      <c r="Q137" s="11" t="n"/>
      <c r="R137" s="11" t="n"/>
      <c r="S137" s="10">
        <f>IF(AND(Q137="",R137=""),"",IFERROR(INDEX(T_LIBAT,MATCH(Q137,L_PER,0),MATCH(R137,L_JENIS,0)),0))</f>
        <v/>
      </c>
      <c r="T137" s="11" t="n"/>
      <c r="U137" s="11" t="n"/>
      <c r="V137" s="10">
        <f>IF(AND(T137="",U137=""),"",IFERROR(INDEX(T_CAPAI,MATCH(T137,L_PER,0),MATCH(U137,L_KED,0)),0))</f>
        <v/>
      </c>
      <c r="W137" s="17">
        <f>IF(OR(B137="",E137="",COUNTA(F137,H137,J137:M137,O137,Q137:R137,T137:U137)=0),"",SUM(G137,I137,N137,P137,S137,V137))</f>
        <v/>
      </c>
      <c r="X137" s="18">
        <f>IF(W137="","",IF(Murid!F137="TL","TL",ROUND(W137/110*100,2)))</f>
        <v/>
      </c>
    </row>
    <row r="138">
      <c r="A138" s="15">
        <f>Murid!A138</f>
        <v/>
      </c>
      <c r="B138" s="15">
        <f>IF(Murid!B138="","",Murid!B138)</f>
        <v/>
      </c>
      <c r="C138" s="16">
        <f>IF(Murid!C138="","",Murid!C138)</f>
        <v/>
      </c>
      <c r="D138" s="15">
        <f>IF(Murid!E138="","",Murid!E138)</f>
        <v/>
      </c>
      <c r="E138" s="11" t="n"/>
      <c r="F138" s="11" t="n"/>
      <c r="G138" s="10">
        <f>IF(F138="","",IFERROR(VLOOKUP(F138,T_JUB,2,FALSE),0))</f>
        <v/>
      </c>
      <c r="H138" s="11" t="n"/>
      <c r="I138" s="17">
        <f>IF(H138="","",IF(H138&gt;=12,40,ROUND(H138*3.33,2)))</f>
        <v/>
      </c>
      <c r="J138" s="11" t="n"/>
      <c r="K138" s="11" t="n"/>
      <c r="L138" s="11" t="n"/>
      <c r="M138" s="11" t="n"/>
      <c r="N138" s="10">
        <f>IF(COUNTA(J138:M138)=0,"",MIN(10,SUMPRODUCT((COUNTIF(J138:M138,L_KOM)&gt;0)*S_KOM)))</f>
        <v/>
      </c>
      <c r="O138" s="11" t="n"/>
      <c r="P138" s="10">
        <f>IF(O138="","",IFERROR(VLOOKUP(O138,T_KHID,2,FALSE),0))</f>
        <v/>
      </c>
      <c r="Q138" s="11" t="n"/>
      <c r="R138" s="11" t="n"/>
      <c r="S138" s="10">
        <f>IF(AND(Q138="",R138=""),"",IFERROR(INDEX(T_LIBAT,MATCH(Q138,L_PER,0),MATCH(R138,L_JENIS,0)),0))</f>
        <v/>
      </c>
      <c r="T138" s="11" t="n"/>
      <c r="U138" s="11" t="n"/>
      <c r="V138" s="10">
        <f>IF(AND(T138="",U138=""),"",IFERROR(INDEX(T_CAPAI,MATCH(T138,L_PER,0),MATCH(U138,L_KED,0)),0))</f>
        <v/>
      </c>
      <c r="W138" s="17">
        <f>IF(OR(B138="",E138="",COUNTA(F138,H138,J138:M138,O138,Q138:R138,T138:U138)=0),"",SUM(G138,I138,N138,P138,S138,V138))</f>
        <v/>
      </c>
      <c r="X138" s="18">
        <f>IF(W138="","",IF(Murid!F138="TL","TL",ROUND(W138/110*100,2)))</f>
        <v/>
      </c>
    </row>
    <row r="139">
      <c r="A139" s="15">
        <f>Murid!A139</f>
        <v/>
      </c>
      <c r="B139" s="15">
        <f>IF(Murid!B139="","",Murid!B139)</f>
        <v/>
      </c>
      <c r="C139" s="16">
        <f>IF(Murid!C139="","",Murid!C139)</f>
        <v/>
      </c>
      <c r="D139" s="15">
        <f>IF(Murid!E139="","",Murid!E139)</f>
        <v/>
      </c>
      <c r="E139" s="11" t="n"/>
      <c r="F139" s="11" t="n"/>
      <c r="G139" s="10">
        <f>IF(F139="","",IFERROR(VLOOKUP(F139,T_JUB,2,FALSE),0))</f>
        <v/>
      </c>
      <c r="H139" s="11" t="n"/>
      <c r="I139" s="17">
        <f>IF(H139="","",IF(H139&gt;=12,40,ROUND(H139*3.33,2)))</f>
        <v/>
      </c>
      <c r="J139" s="11" t="n"/>
      <c r="K139" s="11" t="n"/>
      <c r="L139" s="11" t="n"/>
      <c r="M139" s="11" t="n"/>
      <c r="N139" s="10">
        <f>IF(COUNTA(J139:M139)=0,"",MIN(10,SUMPRODUCT((COUNTIF(J139:M139,L_KOM)&gt;0)*S_KOM)))</f>
        <v/>
      </c>
      <c r="O139" s="11" t="n"/>
      <c r="P139" s="10">
        <f>IF(O139="","",IFERROR(VLOOKUP(O139,T_KHID,2,FALSE),0))</f>
        <v/>
      </c>
      <c r="Q139" s="11" t="n"/>
      <c r="R139" s="11" t="n"/>
      <c r="S139" s="10">
        <f>IF(AND(Q139="",R139=""),"",IFERROR(INDEX(T_LIBAT,MATCH(Q139,L_PER,0),MATCH(R139,L_JENIS,0)),0))</f>
        <v/>
      </c>
      <c r="T139" s="11" t="n"/>
      <c r="U139" s="11" t="n"/>
      <c r="V139" s="10">
        <f>IF(AND(T139="",U139=""),"",IFERROR(INDEX(T_CAPAI,MATCH(T139,L_PER,0),MATCH(U139,L_KED,0)),0))</f>
        <v/>
      </c>
      <c r="W139" s="17">
        <f>IF(OR(B139="",E139="",COUNTA(F139,H139,J139:M139,O139,Q139:R139,T139:U139)=0),"",SUM(G139,I139,N139,P139,S139,V139))</f>
        <v/>
      </c>
      <c r="X139" s="18">
        <f>IF(W139="","",IF(Murid!F139="TL","TL",ROUND(W139/110*100,2)))</f>
        <v/>
      </c>
    </row>
    <row r="140">
      <c r="A140" s="15">
        <f>Murid!A140</f>
        <v/>
      </c>
      <c r="B140" s="15">
        <f>IF(Murid!B140="","",Murid!B140)</f>
        <v/>
      </c>
      <c r="C140" s="16">
        <f>IF(Murid!C140="","",Murid!C140)</f>
        <v/>
      </c>
      <c r="D140" s="15">
        <f>IF(Murid!E140="","",Murid!E140)</f>
        <v/>
      </c>
      <c r="E140" s="11" t="n"/>
      <c r="F140" s="11" t="n"/>
      <c r="G140" s="10">
        <f>IF(F140="","",IFERROR(VLOOKUP(F140,T_JUB,2,FALSE),0))</f>
        <v/>
      </c>
      <c r="H140" s="11" t="n"/>
      <c r="I140" s="17">
        <f>IF(H140="","",IF(H140&gt;=12,40,ROUND(H140*3.33,2)))</f>
        <v/>
      </c>
      <c r="J140" s="11" t="n"/>
      <c r="K140" s="11" t="n"/>
      <c r="L140" s="11" t="n"/>
      <c r="M140" s="11" t="n"/>
      <c r="N140" s="10">
        <f>IF(COUNTA(J140:M140)=0,"",MIN(10,SUMPRODUCT((COUNTIF(J140:M140,L_KOM)&gt;0)*S_KOM)))</f>
        <v/>
      </c>
      <c r="O140" s="11" t="n"/>
      <c r="P140" s="10">
        <f>IF(O140="","",IFERROR(VLOOKUP(O140,T_KHID,2,FALSE),0))</f>
        <v/>
      </c>
      <c r="Q140" s="11" t="n"/>
      <c r="R140" s="11" t="n"/>
      <c r="S140" s="10">
        <f>IF(AND(Q140="",R140=""),"",IFERROR(INDEX(T_LIBAT,MATCH(Q140,L_PER,0),MATCH(R140,L_JENIS,0)),0))</f>
        <v/>
      </c>
      <c r="T140" s="11" t="n"/>
      <c r="U140" s="11" t="n"/>
      <c r="V140" s="10">
        <f>IF(AND(T140="",U140=""),"",IFERROR(INDEX(T_CAPAI,MATCH(T140,L_PER,0),MATCH(U140,L_KED,0)),0))</f>
        <v/>
      </c>
      <c r="W140" s="17">
        <f>IF(OR(B140="",E140="",COUNTA(F140,H140,J140:M140,O140,Q140:R140,T140:U140)=0),"",SUM(G140,I140,N140,P140,S140,V140))</f>
        <v/>
      </c>
      <c r="X140" s="18">
        <f>IF(W140="","",IF(Murid!F140="TL","TL",ROUND(W140/110*100,2)))</f>
        <v/>
      </c>
    </row>
    <row r="141">
      <c r="A141" s="15">
        <f>Murid!A141</f>
        <v/>
      </c>
      <c r="B141" s="15">
        <f>IF(Murid!B141="","",Murid!B141)</f>
        <v/>
      </c>
      <c r="C141" s="16">
        <f>IF(Murid!C141="","",Murid!C141)</f>
        <v/>
      </c>
      <c r="D141" s="15">
        <f>IF(Murid!E141="","",Murid!E141)</f>
        <v/>
      </c>
      <c r="E141" s="11" t="n"/>
      <c r="F141" s="11" t="n"/>
      <c r="G141" s="10">
        <f>IF(F141="","",IFERROR(VLOOKUP(F141,T_JUB,2,FALSE),0))</f>
        <v/>
      </c>
      <c r="H141" s="11" t="n"/>
      <c r="I141" s="17">
        <f>IF(H141="","",IF(H141&gt;=12,40,ROUND(H141*3.33,2)))</f>
        <v/>
      </c>
      <c r="J141" s="11" t="n"/>
      <c r="K141" s="11" t="n"/>
      <c r="L141" s="11" t="n"/>
      <c r="M141" s="11" t="n"/>
      <c r="N141" s="10">
        <f>IF(COUNTA(J141:M141)=0,"",MIN(10,SUMPRODUCT((COUNTIF(J141:M141,L_KOM)&gt;0)*S_KOM)))</f>
        <v/>
      </c>
      <c r="O141" s="11" t="n"/>
      <c r="P141" s="10">
        <f>IF(O141="","",IFERROR(VLOOKUP(O141,T_KHID,2,FALSE),0))</f>
        <v/>
      </c>
      <c r="Q141" s="11" t="n"/>
      <c r="R141" s="11" t="n"/>
      <c r="S141" s="10">
        <f>IF(AND(Q141="",R141=""),"",IFERROR(INDEX(T_LIBAT,MATCH(Q141,L_PER,0),MATCH(R141,L_JENIS,0)),0))</f>
        <v/>
      </c>
      <c r="T141" s="11" t="n"/>
      <c r="U141" s="11" t="n"/>
      <c r="V141" s="10">
        <f>IF(AND(T141="",U141=""),"",IFERROR(INDEX(T_CAPAI,MATCH(T141,L_PER,0),MATCH(U141,L_KED,0)),0))</f>
        <v/>
      </c>
      <c r="W141" s="17">
        <f>IF(OR(B141="",E141="",COUNTA(F141,H141,J141:M141,O141,Q141:R141,T141:U141)=0),"",SUM(G141,I141,N141,P141,S141,V141))</f>
        <v/>
      </c>
      <c r="X141" s="18">
        <f>IF(W141="","",IF(Murid!F141="TL","TL",ROUND(W141/110*100,2)))</f>
        <v/>
      </c>
    </row>
    <row r="142">
      <c r="A142" s="15">
        <f>Murid!A142</f>
        <v/>
      </c>
      <c r="B142" s="15">
        <f>IF(Murid!B142="","",Murid!B142)</f>
        <v/>
      </c>
      <c r="C142" s="16">
        <f>IF(Murid!C142="","",Murid!C142)</f>
        <v/>
      </c>
      <c r="D142" s="15">
        <f>IF(Murid!E142="","",Murid!E142)</f>
        <v/>
      </c>
      <c r="E142" s="11" t="n"/>
      <c r="F142" s="11" t="n"/>
      <c r="G142" s="10">
        <f>IF(F142="","",IFERROR(VLOOKUP(F142,T_JUB,2,FALSE),0))</f>
        <v/>
      </c>
      <c r="H142" s="11" t="n"/>
      <c r="I142" s="17">
        <f>IF(H142="","",IF(H142&gt;=12,40,ROUND(H142*3.33,2)))</f>
        <v/>
      </c>
      <c r="J142" s="11" t="n"/>
      <c r="K142" s="11" t="n"/>
      <c r="L142" s="11" t="n"/>
      <c r="M142" s="11" t="n"/>
      <c r="N142" s="10">
        <f>IF(COUNTA(J142:M142)=0,"",MIN(10,SUMPRODUCT((COUNTIF(J142:M142,L_KOM)&gt;0)*S_KOM)))</f>
        <v/>
      </c>
      <c r="O142" s="11" t="n"/>
      <c r="P142" s="10">
        <f>IF(O142="","",IFERROR(VLOOKUP(O142,T_KHID,2,FALSE),0))</f>
        <v/>
      </c>
      <c r="Q142" s="11" t="n"/>
      <c r="R142" s="11" t="n"/>
      <c r="S142" s="10">
        <f>IF(AND(Q142="",R142=""),"",IFERROR(INDEX(T_LIBAT,MATCH(Q142,L_PER,0),MATCH(R142,L_JENIS,0)),0))</f>
        <v/>
      </c>
      <c r="T142" s="11" t="n"/>
      <c r="U142" s="11" t="n"/>
      <c r="V142" s="10">
        <f>IF(AND(T142="",U142=""),"",IFERROR(INDEX(T_CAPAI,MATCH(T142,L_PER,0),MATCH(U142,L_KED,0)),0))</f>
        <v/>
      </c>
      <c r="W142" s="17">
        <f>IF(OR(B142="",E142="",COUNTA(F142,H142,J142:M142,O142,Q142:R142,T142:U142)=0),"",SUM(G142,I142,N142,P142,S142,V142))</f>
        <v/>
      </c>
      <c r="X142" s="18">
        <f>IF(W142="","",IF(Murid!F142="TL","TL",ROUND(W142/110*100,2)))</f>
        <v/>
      </c>
    </row>
    <row r="143">
      <c r="A143" s="15">
        <f>Murid!A143</f>
        <v/>
      </c>
      <c r="B143" s="15">
        <f>IF(Murid!B143="","",Murid!B143)</f>
        <v/>
      </c>
      <c r="C143" s="16">
        <f>IF(Murid!C143="","",Murid!C143)</f>
        <v/>
      </c>
      <c r="D143" s="15">
        <f>IF(Murid!E143="","",Murid!E143)</f>
        <v/>
      </c>
      <c r="E143" s="11" t="n"/>
      <c r="F143" s="11" t="n"/>
      <c r="G143" s="10">
        <f>IF(F143="","",IFERROR(VLOOKUP(F143,T_JUB,2,FALSE),0))</f>
        <v/>
      </c>
      <c r="H143" s="11" t="n"/>
      <c r="I143" s="17">
        <f>IF(H143="","",IF(H143&gt;=12,40,ROUND(H143*3.33,2)))</f>
        <v/>
      </c>
      <c r="J143" s="11" t="n"/>
      <c r="K143" s="11" t="n"/>
      <c r="L143" s="11" t="n"/>
      <c r="M143" s="11" t="n"/>
      <c r="N143" s="10">
        <f>IF(COUNTA(J143:M143)=0,"",MIN(10,SUMPRODUCT((COUNTIF(J143:M143,L_KOM)&gt;0)*S_KOM)))</f>
        <v/>
      </c>
      <c r="O143" s="11" t="n"/>
      <c r="P143" s="10">
        <f>IF(O143="","",IFERROR(VLOOKUP(O143,T_KHID,2,FALSE),0))</f>
        <v/>
      </c>
      <c r="Q143" s="11" t="n"/>
      <c r="R143" s="11" t="n"/>
      <c r="S143" s="10">
        <f>IF(AND(Q143="",R143=""),"",IFERROR(INDEX(T_LIBAT,MATCH(Q143,L_PER,0),MATCH(R143,L_JENIS,0)),0))</f>
        <v/>
      </c>
      <c r="T143" s="11" t="n"/>
      <c r="U143" s="11" t="n"/>
      <c r="V143" s="10">
        <f>IF(AND(T143="",U143=""),"",IFERROR(INDEX(T_CAPAI,MATCH(T143,L_PER,0),MATCH(U143,L_KED,0)),0))</f>
        <v/>
      </c>
      <c r="W143" s="17">
        <f>IF(OR(B143="",E143="",COUNTA(F143,H143,J143:M143,O143,Q143:R143,T143:U143)=0),"",SUM(G143,I143,N143,P143,S143,V143))</f>
        <v/>
      </c>
      <c r="X143" s="18">
        <f>IF(W143="","",IF(Murid!F143="TL","TL",ROUND(W143/110*100,2)))</f>
        <v/>
      </c>
    </row>
    <row r="144">
      <c r="A144" s="15">
        <f>Murid!A144</f>
        <v/>
      </c>
      <c r="B144" s="15">
        <f>IF(Murid!B144="","",Murid!B144)</f>
        <v/>
      </c>
      <c r="C144" s="16">
        <f>IF(Murid!C144="","",Murid!C144)</f>
        <v/>
      </c>
      <c r="D144" s="15">
        <f>IF(Murid!E144="","",Murid!E144)</f>
        <v/>
      </c>
      <c r="E144" s="11" t="n"/>
      <c r="F144" s="11" t="n"/>
      <c r="G144" s="10">
        <f>IF(F144="","",IFERROR(VLOOKUP(F144,T_JUB,2,FALSE),0))</f>
        <v/>
      </c>
      <c r="H144" s="11" t="n"/>
      <c r="I144" s="17">
        <f>IF(H144="","",IF(H144&gt;=12,40,ROUND(H144*3.33,2)))</f>
        <v/>
      </c>
      <c r="J144" s="11" t="n"/>
      <c r="K144" s="11" t="n"/>
      <c r="L144" s="11" t="n"/>
      <c r="M144" s="11" t="n"/>
      <c r="N144" s="10">
        <f>IF(COUNTA(J144:M144)=0,"",MIN(10,SUMPRODUCT((COUNTIF(J144:M144,L_KOM)&gt;0)*S_KOM)))</f>
        <v/>
      </c>
      <c r="O144" s="11" t="n"/>
      <c r="P144" s="10">
        <f>IF(O144="","",IFERROR(VLOOKUP(O144,T_KHID,2,FALSE),0))</f>
        <v/>
      </c>
      <c r="Q144" s="11" t="n"/>
      <c r="R144" s="11" t="n"/>
      <c r="S144" s="10">
        <f>IF(AND(Q144="",R144=""),"",IFERROR(INDEX(T_LIBAT,MATCH(Q144,L_PER,0),MATCH(R144,L_JENIS,0)),0))</f>
        <v/>
      </c>
      <c r="T144" s="11" t="n"/>
      <c r="U144" s="11" t="n"/>
      <c r="V144" s="10">
        <f>IF(AND(T144="",U144=""),"",IFERROR(INDEX(T_CAPAI,MATCH(T144,L_PER,0),MATCH(U144,L_KED,0)),0))</f>
        <v/>
      </c>
      <c r="W144" s="17">
        <f>IF(OR(B144="",E144="",COUNTA(F144,H144,J144:M144,O144,Q144:R144,T144:U144)=0),"",SUM(G144,I144,N144,P144,S144,V144))</f>
        <v/>
      </c>
      <c r="X144" s="18">
        <f>IF(W144="","",IF(Murid!F144="TL","TL",ROUND(W144/110*100,2)))</f>
        <v/>
      </c>
    </row>
    <row r="145">
      <c r="A145" s="15">
        <f>Murid!A145</f>
        <v/>
      </c>
      <c r="B145" s="15">
        <f>IF(Murid!B145="","",Murid!B145)</f>
        <v/>
      </c>
      <c r="C145" s="16">
        <f>IF(Murid!C145="","",Murid!C145)</f>
        <v/>
      </c>
      <c r="D145" s="15">
        <f>IF(Murid!E145="","",Murid!E145)</f>
        <v/>
      </c>
      <c r="E145" s="11" t="n"/>
      <c r="F145" s="11" t="n"/>
      <c r="G145" s="10">
        <f>IF(F145="","",IFERROR(VLOOKUP(F145,T_JUB,2,FALSE),0))</f>
        <v/>
      </c>
      <c r="H145" s="11" t="n"/>
      <c r="I145" s="17">
        <f>IF(H145="","",IF(H145&gt;=12,40,ROUND(H145*3.33,2)))</f>
        <v/>
      </c>
      <c r="J145" s="11" t="n"/>
      <c r="K145" s="11" t="n"/>
      <c r="L145" s="11" t="n"/>
      <c r="M145" s="11" t="n"/>
      <c r="N145" s="10">
        <f>IF(COUNTA(J145:M145)=0,"",MIN(10,SUMPRODUCT((COUNTIF(J145:M145,L_KOM)&gt;0)*S_KOM)))</f>
        <v/>
      </c>
      <c r="O145" s="11" t="n"/>
      <c r="P145" s="10">
        <f>IF(O145="","",IFERROR(VLOOKUP(O145,T_KHID,2,FALSE),0))</f>
        <v/>
      </c>
      <c r="Q145" s="11" t="n"/>
      <c r="R145" s="11" t="n"/>
      <c r="S145" s="10">
        <f>IF(AND(Q145="",R145=""),"",IFERROR(INDEX(T_LIBAT,MATCH(Q145,L_PER,0),MATCH(R145,L_JENIS,0)),0))</f>
        <v/>
      </c>
      <c r="T145" s="11" t="n"/>
      <c r="U145" s="11" t="n"/>
      <c r="V145" s="10">
        <f>IF(AND(T145="",U145=""),"",IFERROR(INDEX(T_CAPAI,MATCH(T145,L_PER,0),MATCH(U145,L_KED,0)),0))</f>
        <v/>
      </c>
      <c r="W145" s="17">
        <f>IF(OR(B145="",E145="",COUNTA(F145,H145,J145:M145,O145,Q145:R145,T145:U145)=0),"",SUM(G145,I145,N145,P145,S145,V145))</f>
        <v/>
      </c>
      <c r="X145" s="18">
        <f>IF(W145="","",IF(Murid!F145="TL","TL",ROUND(W145/110*100,2)))</f>
        <v/>
      </c>
    </row>
    <row r="146">
      <c r="A146" s="15">
        <f>Murid!A146</f>
        <v/>
      </c>
      <c r="B146" s="15">
        <f>IF(Murid!B146="","",Murid!B146)</f>
        <v/>
      </c>
      <c r="C146" s="16">
        <f>IF(Murid!C146="","",Murid!C146)</f>
        <v/>
      </c>
      <c r="D146" s="15">
        <f>IF(Murid!E146="","",Murid!E146)</f>
        <v/>
      </c>
      <c r="E146" s="11" t="n"/>
      <c r="F146" s="11" t="n"/>
      <c r="G146" s="10">
        <f>IF(F146="","",IFERROR(VLOOKUP(F146,T_JUB,2,FALSE),0))</f>
        <v/>
      </c>
      <c r="H146" s="11" t="n"/>
      <c r="I146" s="17">
        <f>IF(H146="","",IF(H146&gt;=12,40,ROUND(H146*3.33,2)))</f>
        <v/>
      </c>
      <c r="J146" s="11" t="n"/>
      <c r="K146" s="11" t="n"/>
      <c r="L146" s="11" t="n"/>
      <c r="M146" s="11" t="n"/>
      <c r="N146" s="10">
        <f>IF(COUNTA(J146:M146)=0,"",MIN(10,SUMPRODUCT((COUNTIF(J146:M146,L_KOM)&gt;0)*S_KOM)))</f>
        <v/>
      </c>
      <c r="O146" s="11" t="n"/>
      <c r="P146" s="10">
        <f>IF(O146="","",IFERROR(VLOOKUP(O146,T_KHID,2,FALSE),0))</f>
        <v/>
      </c>
      <c r="Q146" s="11" t="n"/>
      <c r="R146" s="11" t="n"/>
      <c r="S146" s="10">
        <f>IF(AND(Q146="",R146=""),"",IFERROR(INDEX(T_LIBAT,MATCH(Q146,L_PER,0),MATCH(R146,L_JENIS,0)),0))</f>
        <v/>
      </c>
      <c r="T146" s="11" t="n"/>
      <c r="U146" s="11" t="n"/>
      <c r="V146" s="10">
        <f>IF(AND(T146="",U146=""),"",IFERROR(INDEX(T_CAPAI,MATCH(T146,L_PER,0),MATCH(U146,L_KED,0)),0))</f>
        <v/>
      </c>
      <c r="W146" s="17">
        <f>IF(OR(B146="",E146="",COUNTA(F146,H146,J146:M146,O146,Q146:R146,T146:U146)=0),"",SUM(G146,I146,N146,P146,S146,V146))</f>
        <v/>
      </c>
      <c r="X146" s="18">
        <f>IF(W146="","",IF(Murid!F146="TL","TL",ROUND(W146/110*100,2)))</f>
        <v/>
      </c>
    </row>
    <row r="147">
      <c r="A147" s="15">
        <f>Murid!A147</f>
        <v/>
      </c>
      <c r="B147" s="15">
        <f>IF(Murid!B147="","",Murid!B147)</f>
        <v/>
      </c>
      <c r="C147" s="16">
        <f>IF(Murid!C147="","",Murid!C147)</f>
        <v/>
      </c>
      <c r="D147" s="15">
        <f>IF(Murid!E147="","",Murid!E147)</f>
        <v/>
      </c>
      <c r="E147" s="11" t="n"/>
      <c r="F147" s="11" t="n"/>
      <c r="G147" s="10">
        <f>IF(F147="","",IFERROR(VLOOKUP(F147,T_JUB,2,FALSE),0))</f>
        <v/>
      </c>
      <c r="H147" s="11" t="n"/>
      <c r="I147" s="17">
        <f>IF(H147="","",IF(H147&gt;=12,40,ROUND(H147*3.33,2)))</f>
        <v/>
      </c>
      <c r="J147" s="11" t="n"/>
      <c r="K147" s="11" t="n"/>
      <c r="L147" s="11" t="n"/>
      <c r="M147" s="11" t="n"/>
      <c r="N147" s="10">
        <f>IF(COUNTA(J147:M147)=0,"",MIN(10,SUMPRODUCT((COUNTIF(J147:M147,L_KOM)&gt;0)*S_KOM)))</f>
        <v/>
      </c>
      <c r="O147" s="11" t="n"/>
      <c r="P147" s="10">
        <f>IF(O147="","",IFERROR(VLOOKUP(O147,T_KHID,2,FALSE),0))</f>
        <v/>
      </c>
      <c r="Q147" s="11" t="n"/>
      <c r="R147" s="11" t="n"/>
      <c r="S147" s="10">
        <f>IF(AND(Q147="",R147=""),"",IFERROR(INDEX(T_LIBAT,MATCH(Q147,L_PER,0),MATCH(R147,L_JENIS,0)),0))</f>
        <v/>
      </c>
      <c r="T147" s="11" t="n"/>
      <c r="U147" s="11" t="n"/>
      <c r="V147" s="10">
        <f>IF(AND(T147="",U147=""),"",IFERROR(INDEX(T_CAPAI,MATCH(T147,L_PER,0),MATCH(U147,L_KED,0)),0))</f>
        <v/>
      </c>
      <c r="W147" s="17">
        <f>IF(OR(B147="",E147="",COUNTA(F147,H147,J147:M147,O147,Q147:R147,T147:U147)=0),"",SUM(G147,I147,N147,P147,S147,V147))</f>
        <v/>
      </c>
      <c r="X147" s="18">
        <f>IF(W147="","",IF(Murid!F147="TL","TL",ROUND(W147/110*100,2)))</f>
        <v/>
      </c>
    </row>
    <row r="148">
      <c r="A148" s="15">
        <f>Murid!A148</f>
        <v/>
      </c>
      <c r="B148" s="15">
        <f>IF(Murid!B148="","",Murid!B148)</f>
        <v/>
      </c>
      <c r="C148" s="16">
        <f>IF(Murid!C148="","",Murid!C148)</f>
        <v/>
      </c>
      <c r="D148" s="15">
        <f>IF(Murid!E148="","",Murid!E148)</f>
        <v/>
      </c>
      <c r="E148" s="11" t="n"/>
      <c r="F148" s="11" t="n"/>
      <c r="G148" s="10">
        <f>IF(F148="","",IFERROR(VLOOKUP(F148,T_JUB,2,FALSE),0))</f>
        <v/>
      </c>
      <c r="H148" s="11" t="n"/>
      <c r="I148" s="17">
        <f>IF(H148="","",IF(H148&gt;=12,40,ROUND(H148*3.33,2)))</f>
        <v/>
      </c>
      <c r="J148" s="11" t="n"/>
      <c r="K148" s="11" t="n"/>
      <c r="L148" s="11" t="n"/>
      <c r="M148" s="11" t="n"/>
      <c r="N148" s="10">
        <f>IF(COUNTA(J148:M148)=0,"",MIN(10,SUMPRODUCT((COUNTIF(J148:M148,L_KOM)&gt;0)*S_KOM)))</f>
        <v/>
      </c>
      <c r="O148" s="11" t="n"/>
      <c r="P148" s="10">
        <f>IF(O148="","",IFERROR(VLOOKUP(O148,T_KHID,2,FALSE),0))</f>
        <v/>
      </c>
      <c r="Q148" s="11" t="n"/>
      <c r="R148" s="11" t="n"/>
      <c r="S148" s="10">
        <f>IF(AND(Q148="",R148=""),"",IFERROR(INDEX(T_LIBAT,MATCH(Q148,L_PER,0),MATCH(R148,L_JENIS,0)),0))</f>
        <v/>
      </c>
      <c r="T148" s="11" t="n"/>
      <c r="U148" s="11" t="n"/>
      <c r="V148" s="10">
        <f>IF(AND(T148="",U148=""),"",IFERROR(INDEX(T_CAPAI,MATCH(T148,L_PER,0),MATCH(U148,L_KED,0)),0))</f>
        <v/>
      </c>
      <c r="W148" s="17">
        <f>IF(OR(B148="",E148="",COUNTA(F148,H148,J148:M148,O148,Q148:R148,T148:U148)=0),"",SUM(G148,I148,N148,P148,S148,V148))</f>
        <v/>
      </c>
      <c r="X148" s="18">
        <f>IF(W148="","",IF(Murid!F148="TL","TL",ROUND(W148/110*100,2)))</f>
        <v/>
      </c>
    </row>
    <row r="149">
      <c r="A149" s="15">
        <f>Murid!A149</f>
        <v/>
      </c>
      <c r="B149" s="15">
        <f>IF(Murid!B149="","",Murid!B149)</f>
        <v/>
      </c>
      <c r="C149" s="16">
        <f>IF(Murid!C149="","",Murid!C149)</f>
        <v/>
      </c>
      <c r="D149" s="15">
        <f>IF(Murid!E149="","",Murid!E149)</f>
        <v/>
      </c>
      <c r="E149" s="11" t="n"/>
      <c r="F149" s="11" t="n"/>
      <c r="G149" s="10">
        <f>IF(F149="","",IFERROR(VLOOKUP(F149,T_JUB,2,FALSE),0))</f>
        <v/>
      </c>
      <c r="H149" s="11" t="n"/>
      <c r="I149" s="17">
        <f>IF(H149="","",IF(H149&gt;=12,40,ROUND(H149*3.33,2)))</f>
        <v/>
      </c>
      <c r="J149" s="11" t="n"/>
      <c r="K149" s="11" t="n"/>
      <c r="L149" s="11" t="n"/>
      <c r="M149" s="11" t="n"/>
      <c r="N149" s="10">
        <f>IF(COUNTA(J149:M149)=0,"",MIN(10,SUMPRODUCT((COUNTIF(J149:M149,L_KOM)&gt;0)*S_KOM)))</f>
        <v/>
      </c>
      <c r="O149" s="11" t="n"/>
      <c r="P149" s="10">
        <f>IF(O149="","",IFERROR(VLOOKUP(O149,T_KHID,2,FALSE),0))</f>
        <v/>
      </c>
      <c r="Q149" s="11" t="n"/>
      <c r="R149" s="11" t="n"/>
      <c r="S149" s="10">
        <f>IF(AND(Q149="",R149=""),"",IFERROR(INDEX(T_LIBAT,MATCH(Q149,L_PER,0),MATCH(R149,L_JENIS,0)),0))</f>
        <v/>
      </c>
      <c r="T149" s="11" t="n"/>
      <c r="U149" s="11" t="n"/>
      <c r="V149" s="10">
        <f>IF(AND(T149="",U149=""),"",IFERROR(INDEX(T_CAPAI,MATCH(T149,L_PER,0),MATCH(U149,L_KED,0)),0))</f>
        <v/>
      </c>
      <c r="W149" s="17">
        <f>IF(OR(B149="",E149="",COUNTA(F149,H149,J149:M149,O149,Q149:R149,T149:U149)=0),"",SUM(G149,I149,N149,P149,S149,V149))</f>
        <v/>
      </c>
      <c r="X149" s="18">
        <f>IF(W149="","",IF(Murid!F149="TL","TL",ROUND(W149/110*100,2)))</f>
        <v/>
      </c>
    </row>
    <row r="150">
      <c r="A150" s="15">
        <f>Murid!A150</f>
        <v/>
      </c>
      <c r="B150" s="15">
        <f>IF(Murid!B150="","",Murid!B150)</f>
        <v/>
      </c>
      <c r="C150" s="16">
        <f>IF(Murid!C150="","",Murid!C150)</f>
        <v/>
      </c>
      <c r="D150" s="15">
        <f>IF(Murid!E150="","",Murid!E150)</f>
        <v/>
      </c>
      <c r="E150" s="11" t="n"/>
      <c r="F150" s="11" t="n"/>
      <c r="G150" s="10">
        <f>IF(F150="","",IFERROR(VLOOKUP(F150,T_JUB,2,FALSE),0))</f>
        <v/>
      </c>
      <c r="H150" s="11" t="n"/>
      <c r="I150" s="17">
        <f>IF(H150="","",IF(H150&gt;=12,40,ROUND(H150*3.33,2)))</f>
        <v/>
      </c>
      <c r="J150" s="11" t="n"/>
      <c r="K150" s="11" t="n"/>
      <c r="L150" s="11" t="n"/>
      <c r="M150" s="11" t="n"/>
      <c r="N150" s="10">
        <f>IF(COUNTA(J150:M150)=0,"",MIN(10,SUMPRODUCT((COUNTIF(J150:M150,L_KOM)&gt;0)*S_KOM)))</f>
        <v/>
      </c>
      <c r="O150" s="11" t="n"/>
      <c r="P150" s="10">
        <f>IF(O150="","",IFERROR(VLOOKUP(O150,T_KHID,2,FALSE),0))</f>
        <v/>
      </c>
      <c r="Q150" s="11" t="n"/>
      <c r="R150" s="11" t="n"/>
      <c r="S150" s="10">
        <f>IF(AND(Q150="",R150=""),"",IFERROR(INDEX(T_LIBAT,MATCH(Q150,L_PER,0),MATCH(R150,L_JENIS,0)),0))</f>
        <v/>
      </c>
      <c r="T150" s="11" t="n"/>
      <c r="U150" s="11" t="n"/>
      <c r="V150" s="10">
        <f>IF(AND(T150="",U150=""),"",IFERROR(INDEX(T_CAPAI,MATCH(T150,L_PER,0),MATCH(U150,L_KED,0)),0))</f>
        <v/>
      </c>
      <c r="W150" s="17">
        <f>IF(OR(B150="",E150="",COUNTA(F150,H150,J150:M150,O150,Q150:R150,T150:U150)=0),"",SUM(G150,I150,N150,P150,S150,V150))</f>
        <v/>
      </c>
      <c r="X150" s="18">
        <f>IF(W150="","",IF(Murid!F150="TL","TL",ROUND(W150/110*100,2)))</f>
        <v/>
      </c>
    </row>
    <row r="151">
      <c r="A151" s="15">
        <f>Murid!A151</f>
        <v/>
      </c>
      <c r="B151" s="15">
        <f>IF(Murid!B151="","",Murid!B151)</f>
        <v/>
      </c>
      <c r="C151" s="16">
        <f>IF(Murid!C151="","",Murid!C151)</f>
        <v/>
      </c>
      <c r="D151" s="15">
        <f>IF(Murid!E151="","",Murid!E151)</f>
        <v/>
      </c>
      <c r="E151" s="11" t="n"/>
      <c r="F151" s="11" t="n"/>
      <c r="G151" s="10">
        <f>IF(F151="","",IFERROR(VLOOKUP(F151,T_JUB,2,FALSE),0))</f>
        <v/>
      </c>
      <c r="H151" s="11" t="n"/>
      <c r="I151" s="17">
        <f>IF(H151="","",IF(H151&gt;=12,40,ROUND(H151*3.33,2)))</f>
        <v/>
      </c>
      <c r="J151" s="11" t="n"/>
      <c r="K151" s="11" t="n"/>
      <c r="L151" s="11" t="n"/>
      <c r="M151" s="11" t="n"/>
      <c r="N151" s="10">
        <f>IF(COUNTA(J151:M151)=0,"",MIN(10,SUMPRODUCT((COUNTIF(J151:M151,L_KOM)&gt;0)*S_KOM)))</f>
        <v/>
      </c>
      <c r="O151" s="11" t="n"/>
      <c r="P151" s="10">
        <f>IF(O151="","",IFERROR(VLOOKUP(O151,T_KHID,2,FALSE),0))</f>
        <v/>
      </c>
      <c r="Q151" s="11" t="n"/>
      <c r="R151" s="11" t="n"/>
      <c r="S151" s="10">
        <f>IF(AND(Q151="",R151=""),"",IFERROR(INDEX(T_LIBAT,MATCH(Q151,L_PER,0),MATCH(R151,L_JENIS,0)),0))</f>
        <v/>
      </c>
      <c r="T151" s="11" t="n"/>
      <c r="U151" s="11" t="n"/>
      <c r="V151" s="10">
        <f>IF(AND(T151="",U151=""),"",IFERROR(INDEX(T_CAPAI,MATCH(T151,L_PER,0),MATCH(U151,L_KED,0)),0))</f>
        <v/>
      </c>
      <c r="W151" s="17">
        <f>IF(OR(B151="",E151="",COUNTA(F151,H151,J151:M151,O151,Q151:R151,T151:U151)=0),"",SUM(G151,I151,N151,P151,S151,V151))</f>
        <v/>
      </c>
      <c r="X151" s="18">
        <f>IF(W151="","",IF(Murid!F151="TL","TL",ROUND(W151/110*100,2)))</f>
        <v/>
      </c>
    </row>
    <row r="152">
      <c r="A152" s="15">
        <f>Murid!A152</f>
        <v/>
      </c>
      <c r="B152" s="15">
        <f>IF(Murid!B152="","",Murid!B152)</f>
        <v/>
      </c>
      <c r="C152" s="16">
        <f>IF(Murid!C152="","",Murid!C152)</f>
        <v/>
      </c>
      <c r="D152" s="15">
        <f>IF(Murid!E152="","",Murid!E152)</f>
        <v/>
      </c>
      <c r="E152" s="11" t="n"/>
      <c r="F152" s="11" t="n"/>
      <c r="G152" s="10">
        <f>IF(F152="","",IFERROR(VLOOKUP(F152,T_JUB,2,FALSE),0))</f>
        <v/>
      </c>
      <c r="H152" s="11" t="n"/>
      <c r="I152" s="17">
        <f>IF(H152="","",IF(H152&gt;=12,40,ROUND(H152*3.33,2)))</f>
        <v/>
      </c>
      <c r="J152" s="11" t="n"/>
      <c r="K152" s="11" t="n"/>
      <c r="L152" s="11" t="n"/>
      <c r="M152" s="11" t="n"/>
      <c r="N152" s="10">
        <f>IF(COUNTA(J152:M152)=0,"",MIN(10,SUMPRODUCT((COUNTIF(J152:M152,L_KOM)&gt;0)*S_KOM)))</f>
        <v/>
      </c>
      <c r="O152" s="11" t="n"/>
      <c r="P152" s="10">
        <f>IF(O152="","",IFERROR(VLOOKUP(O152,T_KHID,2,FALSE),0))</f>
        <v/>
      </c>
      <c r="Q152" s="11" t="n"/>
      <c r="R152" s="11" t="n"/>
      <c r="S152" s="10">
        <f>IF(AND(Q152="",R152=""),"",IFERROR(INDEX(T_LIBAT,MATCH(Q152,L_PER,0),MATCH(R152,L_JENIS,0)),0))</f>
        <v/>
      </c>
      <c r="T152" s="11" t="n"/>
      <c r="U152" s="11" t="n"/>
      <c r="V152" s="10">
        <f>IF(AND(T152="",U152=""),"",IFERROR(INDEX(T_CAPAI,MATCH(T152,L_PER,0),MATCH(U152,L_KED,0)),0))</f>
        <v/>
      </c>
      <c r="W152" s="17">
        <f>IF(OR(B152="",E152="",COUNTA(F152,H152,J152:M152,O152,Q152:R152,T152:U152)=0),"",SUM(G152,I152,N152,P152,S152,V152))</f>
        <v/>
      </c>
      <c r="X152" s="18">
        <f>IF(W152="","",IF(Murid!F152="TL","TL",ROUND(W152/110*100,2)))</f>
        <v/>
      </c>
    </row>
    <row r="153">
      <c r="A153" s="15">
        <f>Murid!A153</f>
        <v/>
      </c>
      <c r="B153" s="15">
        <f>IF(Murid!B153="","",Murid!B153)</f>
        <v/>
      </c>
      <c r="C153" s="16">
        <f>IF(Murid!C153="","",Murid!C153)</f>
        <v/>
      </c>
      <c r="D153" s="15">
        <f>IF(Murid!E153="","",Murid!E153)</f>
        <v/>
      </c>
      <c r="E153" s="11" t="n"/>
      <c r="F153" s="11" t="n"/>
      <c r="G153" s="10">
        <f>IF(F153="","",IFERROR(VLOOKUP(F153,T_JUB,2,FALSE),0))</f>
        <v/>
      </c>
      <c r="H153" s="11" t="n"/>
      <c r="I153" s="17">
        <f>IF(H153="","",IF(H153&gt;=12,40,ROUND(H153*3.33,2)))</f>
        <v/>
      </c>
      <c r="J153" s="11" t="n"/>
      <c r="K153" s="11" t="n"/>
      <c r="L153" s="11" t="n"/>
      <c r="M153" s="11" t="n"/>
      <c r="N153" s="10">
        <f>IF(COUNTA(J153:M153)=0,"",MIN(10,SUMPRODUCT((COUNTIF(J153:M153,L_KOM)&gt;0)*S_KOM)))</f>
        <v/>
      </c>
      <c r="O153" s="11" t="n"/>
      <c r="P153" s="10">
        <f>IF(O153="","",IFERROR(VLOOKUP(O153,T_KHID,2,FALSE),0))</f>
        <v/>
      </c>
      <c r="Q153" s="11" t="n"/>
      <c r="R153" s="11" t="n"/>
      <c r="S153" s="10">
        <f>IF(AND(Q153="",R153=""),"",IFERROR(INDEX(T_LIBAT,MATCH(Q153,L_PER,0),MATCH(R153,L_JENIS,0)),0))</f>
        <v/>
      </c>
      <c r="T153" s="11" t="n"/>
      <c r="U153" s="11" t="n"/>
      <c r="V153" s="10">
        <f>IF(AND(T153="",U153=""),"",IFERROR(INDEX(T_CAPAI,MATCH(T153,L_PER,0),MATCH(U153,L_KED,0)),0))</f>
        <v/>
      </c>
      <c r="W153" s="17">
        <f>IF(OR(B153="",E153="",COUNTA(F153,H153,J153:M153,O153,Q153:R153,T153:U153)=0),"",SUM(G153,I153,N153,P153,S153,V153))</f>
        <v/>
      </c>
      <c r="X153" s="18">
        <f>IF(W153="","",IF(Murid!F153="TL","TL",ROUND(W153/110*100,2)))</f>
        <v/>
      </c>
    </row>
    <row r="154">
      <c r="A154" s="15">
        <f>Murid!A154</f>
        <v/>
      </c>
      <c r="B154" s="15">
        <f>IF(Murid!B154="","",Murid!B154)</f>
        <v/>
      </c>
      <c r="C154" s="16">
        <f>IF(Murid!C154="","",Murid!C154)</f>
        <v/>
      </c>
      <c r="D154" s="15">
        <f>IF(Murid!E154="","",Murid!E154)</f>
        <v/>
      </c>
      <c r="E154" s="11" t="n"/>
      <c r="F154" s="11" t="n"/>
      <c r="G154" s="10">
        <f>IF(F154="","",IFERROR(VLOOKUP(F154,T_JUB,2,FALSE),0))</f>
        <v/>
      </c>
      <c r="H154" s="11" t="n"/>
      <c r="I154" s="17">
        <f>IF(H154="","",IF(H154&gt;=12,40,ROUND(H154*3.33,2)))</f>
        <v/>
      </c>
      <c r="J154" s="11" t="n"/>
      <c r="K154" s="11" t="n"/>
      <c r="L154" s="11" t="n"/>
      <c r="M154" s="11" t="n"/>
      <c r="N154" s="10">
        <f>IF(COUNTA(J154:M154)=0,"",MIN(10,SUMPRODUCT((COUNTIF(J154:M154,L_KOM)&gt;0)*S_KOM)))</f>
        <v/>
      </c>
      <c r="O154" s="11" t="n"/>
      <c r="P154" s="10">
        <f>IF(O154="","",IFERROR(VLOOKUP(O154,T_KHID,2,FALSE),0))</f>
        <v/>
      </c>
      <c r="Q154" s="11" t="n"/>
      <c r="R154" s="11" t="n"/>
      <c r="S154" s="10">
        <f>IF(AND(Q154="",R154=""),"",IFERROR(INDEX(T_LIBAT,MATCH(Q154,L_PER,0),MATCH(R154,L_JENIS,0)),0))</f>
        <v/>
      </c>
      <c r="T154" s="11" t="n"/>
      <c r="U154" s="11" t="n"/>
      <c r="V154" s="10">
        <f>IF(AND(T154="",U154=""),"",IFERROR(INDEX(T_CAPAI,MATCH(T154,L_PER,0),MATCH(U154,L_KED,0)),0))</f>
        <v/>
      </c>
      <c r="W154" s="17">
        <f>IF(OR(B154="",E154="",COUNTA(F154,H154,J154:M154,O154,Q154:R154,T154:U154)=0),"",SUM(G154,I154,N154,P154,S154,V154))</f>
        <v/>
      </c>
      <c r="X154" s="18">
        <f>IF(W154="","",IF(Murid!F154="TL","TL",ROUND(W154/110*100,2)))</f>
        <v/>
      </c>
    </row>
    <row r="155">
      <c r="A155" s="15">
        <f>Murid!A155</f>
        <v/>
      </c>
      <c r="B155" s="15">
        <f>IF(Murid!B155="","",Murid!B155)</f>
        <v/>
      </c>
      <c r="C155" s="16">
        <f>IF(Murid!C155="","",Murid!C155)</f>
        <v/>
      </c>
      <c r="D155" s="15">
        <f>IF(Murid!E155="","",Murid!E155)</f>
        <v/>
      </c>
      <c r="E155" s="11" t="n"/>
      <c r="F155" s="11" t="n"/>
      <c r="G155" s="10">
        <f>IF(F155="","",IFERROR(VLOOKUP(F155,T_JUB,2,FALSE),0))</f>
        <v/>
      </c>
      <c r="H155" s="11" t="n"/>
      <c r="I155" s="17">
        <f>IF(H155="","",IF(H155&gt;=12,40,ROUND(H155*3.33,2)))</f>
        <v/>
      </c>
      <c r="J155" s="11" t="n"/>
      <c r="K155" s="11" t="n"/>
      <c r="L155" s="11" t="n"/>
      <c r="M155" s="11" t="n"/>
      <c r="N155" s="10">
        <f>IF(COUNTA(J155:M155)=0,"",MIN(10,SUMPRODUCT((COUNTIF(J155:M155,L_KOM)&gt;0)*S_KOM)))</f>
        <v/>
      </c>
      <c r="O155" s="11" t="n"/>
      <c r="P155" s="10">
        <f>IF(O155="","",IFERROR(VLOOKUP(O155,T_KHID,2,FALSE),0))</f>
        <v/>
      </c>
      <c r="Q155" s="11" t="n"/>
      <c r="R155" s="11" t="n"/>
      <c r="S155" s="10">
        <f>IF(AND(Q155="",R155=""),"",IFERROR(INDEX(T_LIBAT,MATCH(Q155,L_PER,0),MATCH(R155,L_JENIS,0)),0))</f>
        <v/>
      </c>
      <c r="T155" s="11" t="n"/>
      <c r="U155" s="11" t="n"/>
      <c r="V155" s="10">
        <f>IF(AND(T155="",U155=""),"",IFERROR(INDEX(T_CAPAI,MATCH(T155,L_PER,0),MATCH(U155,L_KED,0)),0))</f>
        <v/>
      </c>
      <c r="W155" s="17">
        <f>IF(OR(B155="",E155="",COUNTA(F155,H155,J155:M155,O155,Q155:R155,T155:U155)=0),"",SUM(G155,I155,N155,P155,S155,V155))</f>
        <v/>
      </c>
      <c r="X155" s="18">
        <f>IF(W155="","",IF(Murid!F155="TL","TL",ROUND(W155/110*100,2)))</f>
        <v/>
      </c>
    </row>
    <row r="156">
      <c r="A156" s="15">
        <f>Murid!A156</f>
        <v/>
      </c>
      <c r="B156" s="15">
        <f>IF(Murid!B156="","",Murid!B156)</f>
        <v/>
      </c>
      <c r="C156" s="16">
        <f>IF(Murid!C156="","",Murid!C156)</f>
        <v/>
      </c>
      <c r="D156" s="15">
        <f>IF(Murid!E156="","",Murid!E156)</f>
        <v/>
      </c>
      <c r="E156" s="11" t="n"/>
      <c r="F156" s="11" t="n"/>
      <c r="G156" s="10">
        <f>IF(F156="","",IFERROR(VLOOKUP(F156,T_JUB,2,FALSE),0))</f>
        <v/>
      </c>
      <c r="H156" s="11" t="n"/>
      <c r="I156" s="17">
        <f>IF(H156="","",IF(H156&gt;=12,40,ROUND(H156*3.33,2)))</f>
        <v/>
      </c>
      <c r="J156" s="11" t="n"/>
      <c r="K156" s="11" t="n"/>
      <c r="L156" s="11" t="n"/>
      <c r="M156" s="11" t="n"/>
      <c r="N156" s="10">
        <f>IF(COUNTA(J156:M156)=0,"",MIN(10,SUMPRODUCT((COUNTIF(J156:M156,L_KOM)&gt;0)*S_KOM)))</f>
        <v/>
      </c>
      <c r="O156" s="11" t="n"/>
      <c r="P156" s="10">
        <f>IF(O156="","",IFERROR(VLOOKUP(O156,T_KHID,2,FALSE),0))</f>
        <v/>
      </c>
      <c r="Q156" s="11" t="n"/>
      <c r="R156" s="11" t="n"/>
      <c r="S156" s="10">
        <f>IF(AND(Q156="",R156=""),"",IFERROR(INDEX(T_LIBAT,MATCH(Q156,L_PER,0),MATCH(R156,L_JENIS,0)),0))</f>
        <v/>
      </c>
      <c r="T156" s="11" t="n"/>
      <c r="U156" s="11" t="n"/>
      <c r="V156" s="10">
        <f>IF(AND(T156="",U156=""),"",IFERROR(INDEX(T_CAPAI,MATCH(T156,L_PER,0),MATCH(U156,L_KED,0)),0))</f>
        <v/>
      </c>
      <c r="W156" s="17">
        <f>IF(OR(B156="",E156="",COUNTA(F156,H156,J156:M156,O156,Q156:R156,T156:U156)=0),"",SUM(G156,I156,N156,P156,S156,V156))</f>
        <v/>
      </c>
      <c r="X156" s="18">
        <f>IF(W156="","",IF(Murid!F156="TL","TL",ROUND(W156/110*100,2)))</f>
        <v/>
      </c>
    </row>
    <row r="157">
      <c r="A157" s="15">
        <f>Murid!A157</f>
        <v/>
      </c>
      <c r="B157" s="15">
        <f>IF(Murid!B157="","",Murid!B157)</f>
        <v/>
      </c>
      <c r="C157" s="16">
        <f>IF(Murid!C157="","",Murid!C157)</f>
        <v/>
      </c>
      <c r="D157" s="15">
        <f>IF(Murid!E157="","",Murid!E157)</f>
        <v/>
      </c>
      <c r="E157" s="11" t="n"/>
      <c r="F157" s="11" t="n"/>
      <c r="G157" s="10">
        <f>IF(F157="","",IFERROR(VLOOKUP(F157,T_JUB,2,FALSE),0))</f>
        <v/>
      </c>
      <c r="H157" s="11" t="n"/>
      <c r="I157" s="17">
        <f>IF(H157="","",IF(H157&gt;=12,40,ROUND(H157*3.33,2)))</f>
        <v/>
      </c>
      <c r="J157" s="11" t="n"/>
      <c r="K157" s="11" t="n"/>
      <c r="L157" s="11" t="n"/>
      <c r="M157" s="11" t="n"/>
      <c r="N157" s="10">
        <f>IF(COUNTA(J157:M157)=0,"",MIN(10,SUMPRODUCT((COUNTIF(J157:M157,L_KOM)&gt;0)*S_KOM)))</f>
        <v/>
      </c>
      <c r="O157" s="11" t="n"/>
      <c r="P157" s="10">
        <f>IF(O157="","",IFERROR(VLOOKUP(O157,T_KHID,2,FALSE),0))</f>
        <v/>
      </c>
      <c r="Q157" s="11" t="n"/>
      <c r="R157" s="11" t="n"/>
      <c r="S157" s="10">
        <f>IF(AND(Q157="",R157=""),"",IFERROR(INDEX(T_LIBAT,MATCH(Q157,L_PER,0),MATCH(R157,L_JENIS,0)),0))</f>
        <v/>
      </c>
      <c r="T157" s="11" t="n"/>
      <c r="U157" s="11" t="n"/>
      <c r="V157" s="10">
        <f>IF(AND(T157="",U157=""),"",IFERROR(INDEX(T_CAPAI,MATCH(T157,L_PER,0),MATCH(U157,L_KED,0)),0))</f>
        <v/>
      </c>
      <c r="W157" s="17">
        <f>IF(OR(B157="",E157="",COUNTA(F157,H157,J157:M157,O157,Q157:R157,T157:U157)=0),"",SUM(G157,I157,N157,P157,S157,V157))</f>
        <v/>
      </c>
      <c r="X157" s="18">
        <f>IF(W157="","",IF(Murid!F157="TL","TL",ROUND(W157/110*100,2)))</f>
        <v/>
      </c>
    </row>
    <row r="158">
      <c r="A158" s="15">
        <f>Murid!A158</f>
        <v/>
      </c>
      <c r="B158" s="15">
        <f>IF(Murid!B158="","",Murid!B158)</f>
        <v/>
      </c>
      <c r="C158" s="16">
        <f>IF(Murid!C158="","",Murid!C158)</f>
        <v/>
      </c>
      <c r="D158" s="15">
        <f>IF(Murid!E158="","",Murid!E158)</f>
        <v/>
      </c>
      <c r="E158" s="11" t="n"/>
      <c r="F158" s="11" t="n"/>
      <c r="G158" s="10">
        <f>IF(F158="","",IFERROR(VLOOKUP(F158,T_JUB,2,FALSE),0))</f>
        <v/>
      </c>
      <c r="H158" s="11" t="n"/>
      <c r="I158" s="17">
        <f>IF(H158="","",IF(H158&gt;=12,40,ROUND(H158*3.33,2)))</f>
        <v/>
      </c>
      <c r="J158" s="11" t="n"/>
      <c r="K158" s="11" t="n"/>
      <c r="L158" s="11" t="n"/>
      <c r="M158" s="11" t="n"/>
      <c r="N158" s="10">
        <f>IF(COUNTA(J158:M158)=0,"",MIN(10,SUMPRODUCT((COUNTIF(J158:M158,L_KOM)&gt;0)*S_KOM)))</f>
        <v/>
      </c>
      <c r="O158" s="11" t="n"/>
      <c r="P158" s="10">
        <f>IF(O158="","",IFERROR(VLOOKUP(O158,T_KHID,2,FALSE),0))</f>
        <v/>
      </c>
      <c r="Q158" s="11" t="n"/>
      <c r="R158" s="11" t="n"/>
      <c r="S158" s="10">
        <f>IF(AND(Q158="",R158=""),"",IFERROR(INDEX(T_LIBAT,MATCH(Q158,L_PER,0),MATCH(R158,L_JENIS,0)),0))</f>
        <v/>
      </c>
      <c r="T158" s="11" t="n"/>
      <c r="U158" s="11" t="n"/>
      <c r="V158" s="10">
        <f>IF(AND(T158="",U158=""),"",IFERROR(INDEX(T_CAPAI,MATCH(T158,L_PER,0),MATCH(U158,L_KED,0)),0))</f>
        <v/>
      </c>
      <c r="W158" s="17">
        <f>IF(OR(B158="",E158="",COUNTA(F158,H158,J158:M158,O158,Q158:R158,T158:U158)=0),"",SUM(G158,I158,N158,P158,S158,V158))</f>
        <v/>
      </c>
      <c r="X158" s="18">
        <f>IF(W158="","",IF(Murid!F158="TL","TL",ROUND(W158/110*100,2)))</f>
        <v/>
      </c>
    </row>
    <row r="159">
      <c r="A159" s="15">
        <f>Murid!A159</f>
        <v/>
      </c>
      <c r="B159" s="15">
        <f>IF(Murid!B159="","",Murid!B159)</f>
        <v/>
      </c>
      <c r="C159" s="16">
        <f>IF(Murid!C159="","",Murid!C159)</f>
        <v/>
      </c>
      <c r="D159" s="15">
        <f>IF(Murid!E159="","",Murid!E159)</f>
        <v/>
      </c>
      <c r="E159" s="11" t="n"/>
      <c r="F159" s="11" t="n"/>
      <c r="G159" s="10">
        <f>IF(F159="","",IFERROR(VLOOKUP(F159,T_JUB,2,FALSE),0))</f>
        <v/>
      </c>
      <c r="H159" s="11" t="n"/>
      <c r="I159" s="17">
        <f>IF(H159="","",IF(H159&gt;=12,40,ROUND(H159*3.33,2)))</f>
        <v/>
      </c>
      <c r="J159" s="11" t="n"/>
      <c r="K159" s="11" t="n"/>
      <c r="L159" s="11" t="n"/>
      <c r="M159" s="11" t="n"/>
      <c r="N159" s="10">
        <f>IF(COUNTA(J159:M159)=0,"",MIN(10,SUMPRODUCT((COUNTIF(J159:M159,L_KOM)&gt;0)*S_KOM)))</f>
        <v/>
      </c>
      <c r="O159" s="11" t="n"/>
      <c r="P159" s="10">
        <f>IF(O159="","",IFERROR(VLOOKUP(O159,T_KHID,2,FALSE),0))</f>
        <v/>
      </c>
      <c r="Q159" s="11" t="n"/>
      <c r="R159" s="11" t="n"/>
      <c r="S159" s="10">
        <f>IF(AND(Q159="",R159=""),"",IFERROR(INDEX(T_LIBAT,MATCH(Q159,L_PER,0),MATCH(R159,L_JENIS,0)),0))</f>
        <v/>
      </c>
      <c r="T159" s="11" t="n"/>
      <c r="U159" s="11" t="n"/>
      <c r="V159" s="10">
        <f>IF(AND(T159="",U159=""),"",IFERROR(INDEX(T_CAPAI,MATCH(T159,L_PER,0),MATCH(U159,L_KED,0)),0))</f>
        <v/>
      </c>
      <c r="W159" s="17">
        <f>IF(OR(B159="",E159="",COUNTA(F159,H159,J159:M159,O159,Q159:R159,T159:U159)=0),"",SUM(G159,I159,N159,P159,S159,V159))</f>
        <v/>
      </c>
      <c r="X159" s="18">
        <f>IF(W159="","",IF(Murid!F159="TL","TL",ROUND(W159/110*100,2)))</f>
        <v/>
      </c>
    </row>
    <row r="160">
      <c r="A160" s="15">
        <f>Murid!A160</f>
        <v/>
      </c>
      <c r="B160" s="15">
        <f>IF(Murid!B160="","",Murid!B160)</f>
        <v/>
      </c>
      <c r="C160" s="16">
        <f>IF(Murid!C160="","",Murid!C160)</f>
        <v/>
      </c>
      <c r="D160" s="15">
        <f>IF(Murid!E160="","",Murid!E160)</f>
        <v/>
      </c>
      <c r="E160" s="11" t="n"/>
      <c r="F160" s="11" t="n"/>
      <c r="G160" s="10">
        <f>IF(F160="","",IFERROR(VLOOKUP(F160,T_JUB,2,FALSE),0))</f>
        <v/>
      </c>
      <c r="H160" s="11" t="n"/>
      <c r="I160" s="17">
        <f>IF(H160="","",IF(H160&gt;=12,40,ROUND(H160*3.33,2)))</f>
        <v/>
      </c>
      <c r="J160" s="11" t="n"/>
      <c r="K160" s="11" t="n"/>
      <c r="L160" s="11" t="n"/>
      <c r="M160" s="11" t="n"/>
      <c r="N160" s="10">
        <f>IF(COUNTA(J160:M160)=0,"",MIN(10,SUMPRODUCT((COUNTIF(J160:M160,L_KOM)&gt;0)*S_KOM)))</f>
        <v/>
      </c>
      <c r="O160" s="11" t="n"/>
      <c r="P160" s="10">
        <f>IF(O160="","",IFERROR(VLOOKUP(O160,T_KHID,2,FALSE),0))</f>
        <v/>
      </c>
      <c r="Q160" s="11" t="n"/>
      <c r="R160" s="11" t="n"/>
      <c r="S160" s="10">
        <f>IF(AND(Q160="",R160=""),"",IFERROR(INDEX(T_LIBAT,MATCH(Q160,L_PER,0),MATCH(R160,L_JENIS,0)),0))</f>
        <v/>
      </c>
      <c r="T160" s="11" t="n"/>
      <c r="U160" s="11" t="n"/>
      <c r="V160" s="10">
        <f>IF(AND(T160="",U160=""),"",IFERROR(INDEX(T_CAPAI,MATCH(T160,L_PER,0),MATCH(U160,L_KED,0)),0))</f>
        <v/>
      </c>
      <c r="W160" s="17">
        <f>IF(OR(B160="",E160="",COUNTA(F160,H160,J160:M160,O160,Q160:R160,T160:U160)=0),"",SUM(G160,I160,N160,P160,S160,V160))</f>
        <v/>
      </c>
      <c r="X160" s="18">
        <f>IF(W160="","",IF(Murid!F160="TL","TL",ROUND(W160/110*100,2)))</f>
        <v/>
      </c>
    </row>
    <row r="161">
      <c r="A161" s="15">
        <f>Murid!A161</f>
        <v/>
      </c>
      <c r="B161" s="15">
        <f>IF(Murid!B161="","",Murid!B161)</f>
        <v/>
      </c>
      <c r="C161" s="16">
        <f>IF(Murid!C161="","",Murid!C161)</f>
        <v/>
      </c>
      <c r="D161" s="15">
        <f>IF(Murid!E161="","",Murid!E161)</f>
        <v/>
      </c>
      <c r="E161" s="11" t="n"/>
      <c r="F161" s="11" t="n"/>
      <c r="G161" s="10">
        <f>IF(F161="","",IFERROR(VLOOKUP(F161,T_JUB,2,FALSE),0))</f>
        <v/>
      </c>
      <c r="H161" s="11" t="n"/>
      <c r="I161" s="17">
        <f>IF(H161="","",IF(H161&gt;=12,40,ROUND(H161*3.33,2)))</f>
        <v/>
      </c>
      <c r="J161" s="11" t="n"/>
      <c r="K161" s="11" t="n"/>
      <c r="L161" s="11" t="n"/>
      <c r="M161" s="11" t="n"/>
      <c r="N161" s="10">
        <f>IF(COUNTA(J161:M161)=0,"",MIN(10,SUMPRODUCT((COUNTIF(J161:M161,L_KOM)&gt;0)*S_KOM)))</f>
        <v/>
      </c>
      <c r="O161" s="11" t="n"/>
      <c r="P161" s="10">
        <f>IF(O161="","",IFERROR(VLOOKUP(O161,T_KHID,2,FALSE),0))</f>
        <v/>
      </c>
      <c r="Q161" s="11" t="n"/>
      <c r="R161" s="11" t="n"/>
      <c r="S161" s="10">
        <f>IF(AND(Q161="",R161=""),"",IFERROR(INDEX(T_LIBAT,MATCH(Q161,L_PER,0),MATCH(R161,L_JENIS,0)),0))</f>
        <v/>
      </c>
      <c r="T161" s="11" t="n"/>
      <c r="U161" s="11" t="n"/>
      <c r="V161" s="10">
        <f>IF(AND(T161="",U161=""),"",IFERROR(INDEX(T_CAPAI,MATCH(T161,L_PER,0),MATCH(U161,L_KED,0)),0))</f>
        <v/>
      </c>
      <c r="W161" s="17">
        <f>IF(OR(B161="",E161="",COUNTA(F161,H161,J161:M161,O161,Q161:R161,T161:U161)=0),"",SUM(G161,I161,N161,P161,S161,V161))</f>
        <v/>
      </c>
      <c r="X161" s="18">
        <f>IF(W161="","",IF(Murid!F161="TL","TL",ROUND(W161/110*100,2)))</f>
        <v/>
      </c>
    </row>
    <row r="162">
      <c r="A162" s="15">
        <f>Murid!A162</f>
        <v/>
      </c>
      <c r="B162" s="15">
        <f>IF(Murid!B162="","",Murid!B162)</f>
        <v/>
      </c>
      <c r="C162" s="16">
        <f>IF(Murid!C162="","",Murid!C162)</f>
        <v/>
      </c>
      <c r="D162" s="15">
        <f>IF(Murid!E162="","",Murid!E162)</f>
        <v/>
      </c>
      <c r="E162" s="11" t="n"/>
      <c r="F162" s="11" t="n"/>
      <c r="G162" s="10">
        <f>IF(F162="","",IFERROR(VLOOKUP(F162,T_JUB,2,FALSE),0))</f>
        <v/>
      </c>
      <c r="H162" s="11" t="n"/>
      <c r="I162" s="17">
        <f>IF(H162="","",IF(H162&gt;=12,40,ROUND(H162*3.33,2)))</f>
        <v/>
      </c>
      <c r="J162" s="11" t="n"/>
      <c r="K162" s="11" t="n"/>
      <c r="L162" s="11" t="n"/>
      <c r="M162" s="11" t="n"/>
      <c r="N162" s="10">
        <f>IF(COUNTA(J162:M162)=0,"",MIN(10,SUMPRODUCT((COUNTIF(J162:M162,L_KOM)&gt;0)*S_KOM)))</f>
        <v/>
      </c>
      <c r="O162" s="11" t="n"/>
      <c r="P162" s="10">
        <f>IF(O162="","",IFERROR(VLOOKUP(O162,T_KHID,2,FALSE),0))</f>
        <v/>
      </c>
      <c r="Q162" s="11" t="n"/>
      <c r="R162" s="11" t="n"/>
      <c r="S162" s="10">
        <f>IF(AND(Q162="",R162=""),"",IFERROR(INDEX(T_LIBAT,MATCH(Q162,L_PER,0),MATCH(R162,L_JENIS,0)),0))</f>
        <v/>
      </c>
      <c r="T162" s="11" t="n"/>
      <c r="U162" s="11" t="n"/>
      <c r="V162" s="10">
        <f>IF(AND(T162="",U162=""),"",IFERROR(INDEX(T_CAPAI,MATCH(T162,L_PER,0),MATCH(U162,L_KED,0)),0))</f>
        <v/>
      </c>
      <c r="W162" s="17">
        <f>IF(OR(B162="",E162="",COUNTA(F162,H162,J162:M162,O162,Q162:R162,T162:U162)=0),"",SUM(G162,I162,N162,P162,S162,V162))</f>
        <v/>
      </c>
      <c r="X162" s="18">
        <f>IF(W162="","",IF(Murid!F162="TL","TL",ROUND(W162/110*100,2)))</f>
        <v/>
      </c>
    </row>
    <row r="163">
      <c r="A163" s="15">
        <f>Murid!A163</f>
        <v/>
      </c>
      <c r="B163" s="15">
        <f>IF(Murid!B163="","",Murid!B163)</f>
        <v/>
      </c>
      <c r="C163" s="16">
        <f>IF(Murid!C163="","",Murid!C163)</f>
        <v/>
      </c>
      <c r="D163" s="15">
        <f>IF(Murid!E163="","",Murid!E163)</f>
        <v/>
      </c>
      <c r="E163" s="11" t="n"/>
      <c r="F163" s="11" t="n"/>
      <c r="G163" s="10">
        <f>IF(F163="","",IFERROR(VLOOKUP(F163,T_JUB,2,FALSE),0))</f>
        <v/>
      </c>
      <c r="H163" s="11" t="n"/>
      <c r="I163" s="17">
        <f>IF(H163="","",IF(H163&gt;=12,40,ROUND(H163*3.33,2)))</f>
        <v/>
      </c>
      <c r="J163" s="11" t="n"/>
      <c r="K163" s="11" t="n"/>
      <c r="L163" s="11" t="n"/>
      <c r="M163" s="11" t="n"/>
      <c r="N163" s="10">
        <f>IF(COUNTA(J163:M163)=0,"",MIN(10,SUMPRODUCT((COUNTIF(J163:M163,L_KOM)&gt;0)*S_KOM)))</f>
        <v/>
      </c>
      <c r="O163" s="11" t="n"/>
      <c r="P163" s="10">
        <f>IF(O163="","",IFERROR(VLOOKUP(O163,T_KHID,2,FALSE),0))</f>
        <v/>
      </c>
      <c r="Q163" s="11" t="n"/>
      <c r="R163" s="11" t="n"/>
      <c r="S163" s="10">
        <f>IF(AND(Q163="",R163=""),"",IFERROR(INDEX(T_LIBAT,MATCH(Q163,L_PER,0),MATCH(R163,L_JENIS,0)),0))</f>
        <v/>
      </c>
      <c r="T163" s="11" t="n"/>
      <c r="U163" s="11" t="n"/>
      <c r="V163" s="10">
        <f>IF(AND(T163="",U163=""),"",IFERROR(INDEX(T_CAPAI,MATCH(T163,L_PER,0),MATCH(U163,L_KED,0)),0))</f>
        <v/>
      </c>
      <c r="W163" s="17">
        <f>IF(OR(B163="",E163="",COUNTA(F163,H163,J163:M163,O163,Q163:R163,T163:U163)=0),"",SUM(G163,I163,N163,P163,S163,V163))</f>
        <v/>
      </c>
      <c r="X163" s="18">
        <f>IF(W163="","",IF(Murid!F163="TL","TL",ROUND(W163/110*100,2)))</f>
        <v/>
      </c>
    </row>
    <row r="164">
      <c r="A164" s="15">
        <f>Murid!A164</f>
        <v/>
      </c>
      <c r="B164" s="15">
        <f>IF(Murid!B164="","",Murid!B164)</f>
        <v/>
      </c>
      <c r="C164" s="16">
        <f>IF(Murid!C164="","",Murid!C164)</f>
        <v/>
      </c>
      <c r="D164" s="15">
        <f>IF(Murid!E164="","",Murid!E164)</f>
        <v/>
      </c>
      <c r="E164" s="11" t="n"/>
      <c r="F164" s="11" t="n"/>
      <c r="G164" s="10">
        <f>IF(F164="","",IFERROR(VLOOKUP(F164,T_JUB,2,FALSE),0))</f>
        <v/>
      </c>
      <c r="H164" s="11" t="n"/>
      <c r="I164" s="17">
        <f>IF(H164="","",IF(H164&gt;=12,40,ROUND(H164*3.33,2)))</f>
        <v/>
      </c>
      <c r="J164" s="11" t="n"/>
      <c r="K164" s="11" t="n"/>
      <c r="L164" s="11" t="n"/>
      <c r="M164" s="11" t="n"/>
      <c r="N164" s="10">
        <f>IF(COUNTA(J164:M164)=0,"",MIN(10,SUMPRODUCT((COUNTIF(J164:M164,L_KOM)&gt;0)*S_KOM)))</f>
        <v/>
      </c>
      <c r="O164" s="11" t="n"/>
      <c r="P164" s="10">
        <f>IF(O164="","",IFERROR(VLOOKUP(O164,T_KHID,2,FALSE),0))</f>
        <v/>
      </c>
      <c r="Q164" s="11" t="n"/>
      <c r="R164" s="11" t="n"/>
      <c r="S164" s="10">
        <f>IF(AND(Q164="",R164=""),"",IFERROR(INDEX(T_LIBAT,MATCH(Q164,L_PER,0),MATCH(R164,L_JENIS,0)),0))</f>
        <v/>
      </c>
      <c r="T164" s="11" t="n"/>
      <c r="U164" s="11" t="n"/>
      <c r="V164" s="10">
        <f>IF(AND(T164="",U164=""),"",IFERROR(INDEX(T_CAPAI,MATCH(T164,L_PER,0),MATCH(U164,L_KED,0)),0))</f>
        <v/>
      </c>
      <c r="W164" s="17">
        <f>IF(OR(B164="",E164="",COUNTA(F164,H164,J164:M164,O164,Q164:R164,T164:U164)=0),"",SUM(G164,I164,N164,P164,S164,V164))</f>
        <v/>
      </c>
      <c r="X164" s="18">
        <f>IF(W164="","",IF(Murid!F164="TL","TL",ROUND(W164/110*100,2)))</f>
        <v/>
      </c>
    </row>
    <row r="165">
      <c r="A165" s="15">
        <f>Murid!A165</f>
        <v/>
      </c>
      <c r="B165" s="15">
        <f>IF(Murid!B165="","",Murid!B165)</f>
        <v/>
      </c>
      <c r="C165" s="16">
        <f>IF(Murid!C165="","",Murid!C165)</f>
        <v/>
      </c>
      <c r="D165" s="15">
        <f>IF(Murid!E165="","",Murid!E165)</f>
        <v/>
      </c>
      <c r="E165" s="11" t="n"/>
      <c r="F165" s="11" t="n"/>
      <c r="G165" s="10">
        <f>IF(F165="","",IFERROR(VLOOKUP(F165,T_JUB,2,FALSE),0))</f>
        <v/>
      </c>
      <c r="H165" s="11" t="n"/>
      <c r="I165" s="17">
        <f>IF(H165="","",IF(H165&gt;=12,40,ROUND(H165*3.33,2)))</f>
        <v/>
      </c>
      <c r="J165" s="11" t="n"/>
      <c r="K165" s="11" t="n"/>
      <c r="L165" s="11" t="n"/>
      <c r="M165" s="11" t="n"/>
      <c r="N165" s="10">
        <f>IF(COUNTA(J165:M165)=0,"",MIN(10,SUMPRODUCT((COUNTIF(J165:M165,L_KOM)&gt;0)*S_KOM)))</f>
        <v/>
      </c>
      <c r="O165" s="11" t="n"/>
      <c r="P165" s="10">
        <f>IF(O165="","",IFERROR(VLOOKUP(O165,T_KHID,2,FALSE),0))</f>
        <v/>
      </c>
      <c r="Q165" s="11" t="n"/>
      <c r="R165" s="11" t="n"/>
      <c r="S165" s="10">
        <f>IF(AND(Q165="",R165=""),"",IFERROR(INDEX(T_LIBAT,MATCH(Q165,L_PER,0),MATCH(R165,L_JENIS,0)),0))</f>
        <v/>
      </c>
      <c r="T165" s="11" t="n"/>
      <c r="U165" s="11" t="n"/>
      <c r="V165" s="10">
        <f>IF(AND(T165="",U165=""),"",IFERROR(INDEX(T_CAPAI,MATCH(T165,L_PER,0),MATCH(U165,L_KED,0)),0))</f>
        <v/>
      </c>
      <c r="W165" s="17">
        <f>IF(OR(B165="",E165="",COUNTA(F165,H165,J165:M165,O165,Q165:R165,T165:U165)=0),"",SUM(G165,I165,N165,P165,S165,V165))</f>
        <v/>
      </c>
      <c r="X165" s="18">
        <f>IF(W165="","",IF(Murid!F165="TL","TL",ROUND(W165/110*100,2)))</f>
        <v/>
      </c>
    </row>
    <row r="166">
      <c r="A166" s="15">
        <f>Murid!A166</f>
        <v/>
      </c>
      <c r="B166" s="15">
        <f>IF(Murid!B166="","",Murid!B166)</f>
        <v/>
      </c>
      <c r="C166" s="16">
        <f>IF(Murid!C166="","",Murid!C166)</f>
        <v/>
      </c>
      <c r="D166" s="15">
        <f>IF(Murid!E166="","",Murid!E166)</f>
        <v/>
      </c>
      <c r="E166" s="11" t="n"/>
      <c r="F166" s="11" t="n"/>
      <c r="G166" s="10">
        <f>IF(F166="","",IFERROR(VLOOKUP(F166,T_JUB,2,FALSE),0))</f>
        <v/>
      </c>
      <c r="H166" s="11" t="n"/>
      <c r="I166" s="17">
        <f>IF(H166="","",IF(H166&gt;=12,40,ROUND(H166*3.33,2)))</f>
        <v/>
      </c>
      <c r="J166" s="11" t="n"/>
      <c r="K166" s="11" t="n"/>
      <c r="L166" s="11" t="n"/>
      <c r="M166" s="11" t="n"/>
      <c r="N166" s="10">
        <f>IF(COUNTA(J166:M166)=0,"",MIN(10,SUMPRODUCT((COUNTIF(J166:M166,L_KOM)&gt;0)*S_KOM)))</f>
        <v/>
      </c>
      <c r="O166" s="11" t="n"/>
      <c r="P166" s="10">
        <f>IF(O166="","",IFERROR(VLOOKUP(O166,T_KHID,2,FALSE),0))</f>
        <v/>
      </c>
      <c r="Q166" s="11" t="n"/>
      <c r="R166" s="11" t="n"/>
      <c r="S166" s="10">
        <f>IF(AND(Q166="",R166=""),"",IFERROR(INDEX(T_LIBAT,MATCH(Q166,L_PER,0),MATCH(R166,L_JENIS,0)),0))</f>
        <v/>
      </c>
      <c r="T166" s="11" t="n"/>
      <c r="U166" s="11" t="n"/>
      <c r="V166" s="10">
        <f>IF(AND(T166="",U166=""),"",IFERROR(INDEX(T_CAPAI,MATCH(T166,L_PER,0),MATCH(U166,L_KED,0)),0))</f>
        <v/>
      </c>
      <c r="W166" s="17">
        <f>IF(OR(B166="",E166="",COUNTA(F166,H166,J166:M166,O166,Q166:R166,T166:U166)=0),"",SUM(G166,I166,N166,P166,S166,V166))</f>
        <v/>
      </c>
      <c r="X166" s="18">
        <f>IF(W166="","",IF(Murid!F166="TL","TL",ROUND(W166/110*100,2)))</f>
        <v/>
      </c>
    </row>
    <row r="167">
      <c r="A167" s="15">
        <f>Murid!A167</f>
        <v/>
      </c>
      <c r="B167" s="15">
        <f>IF(Murid!B167="","",Murid!B167)</f>
        <v/>
      </c>
      <c r="C167" s="16">
        <f>IF(Murid!C167="","",Murid!C167)</f>
        <v/>
      </c>
      <c r="D167" s="15">
        <f>IF(Murid!E167="","",Murid!E167)</f>
        <v/>
      </c>
      <c r="E167" s="11" t="n"/>
      <c r="F167" s="11" t="n"/>
      <c r="G167" s="10">
        <f>IF(F167="","",IFERROR(VLOOKUP(F167,T_JUB,2,FALSE),0))</f>
        <v/>
      </c>
      <c r="H167" s="11" t="n"/>
      <c r="I167" s="17">
        <f>IF(H167="","",IF(H167&gt;=12,40,ROUND(H167*3.33,2)))</f>
        <v/>
      </c>
      <c r="J167" s="11" t="n"/>
      <c r="K167" s="11" t="n"/>
      <c r="L167" s="11" t="n"/>
      <c r="M167" s="11" t="n"/>
      <c r="N167" s="10">
        <f>IF(COUNTA(J167:M167)=0,"",MIN(10,SUMPRODUCT((COUNTIF(J167:M167,L_KOM)&gt;0)*S_KOM)))</f>
        <v/>
      </c>
      <c r="O167" s="11" t="n"/>
      <c r="P167" s="10">
        <f>IF(O167="","",IFERROR(VLOOKUP(O167,T_KHID,2,FALSE),0))</f>
        <v/>
      </c>
      <c r="Q167" s="11" t="n"/>
      <c r="R167" s="11" t="n"/>
      <c r="S167" s="10">
        <f>IF(AND(Q167="",R167=""),"",IFERROR(INDEX(T_LIBAT,MATCH(Q167,L_PER,0),MATCH(R167,L_JENIS,0)),0))</f>
        <v/>
      </c>
      <c r="T167" s="11" t="n"/>
      <c r="U167" s="11" t="n"/>
      <c r="V167" s="10">
        <f>IF(AND(T167="",U167=""),"",IFERROR(INDEX(T_CAPAI,MATCH(T167,L_PER,0),MATCH(U167,L_KED,0)),0))</f>
        <v/>
      </c>
      <c r="W167" s="17">
        <f>IF(OR(B167="",E167="",COUNTA(F167,H167,J167:M167,O167,Q167:R167,T167:U167)=0),"",SUM(G167,I167,N167,P167,S167,V167))</f>
        <v/>
      </c>
      <c r="X167" s="18">
        <f>IF(W167="","",IF(Murid!F167="TL","TL",ROUND(W167/110*100,2)))</f>
        <v/>
      </c>
    </row>
    <row r="168">
      <c r="A168" s="15">
        <f>Murid!A168</f>
        <v/>
      </c>
      <c r="B168" s="15">
        <f>IF(Murid!B168="","",Murid!B168)</f>
        <v/>
      </c>
      <c r="C168" s="16">
        <f>IF(Murid!C168="","",Murid!C168)</f>
        <v/>
      </c>
      <c r="D168" s="15">
        <f>IF(Murid!E168="","",Murid!E168)</f>
        <v/>
      </c>
      <c r="E168" s="11" t="n"/>
      <c r="F168" s="11" t="n"/>
      <c r="G168" s="10">
        <f>IF(F168="","",IFERROR(VLOOKUP(F168,T_JUB,2,FALSE),0))</f>
        <v/>
      </c>
      <c r="H168" s="11" t="n"/>
      <c r="I168" s="17">
        <f>IF(H168="","",IF(H168&gt;=12,40,ROUND(H168*3.33,2)))</f>
        <v/>
      </c>
      <c r="J168" s="11" t="n"/>
      <c r="K168" s="11" t="n"/>
      <c r="L168" s="11" t="n"/>
      <c r="M168" s="11" t="n"/>
      <c r="N168" s="10">
        <f>IF(COUNTA(J168:M168)=0,"",MIN(10,SUMPRODUCT((COUNTIF(J168:M168,L_KOM)&gt;0)*S_KOM)))</f>
        <v/>
      </c>
      <c r="O168" s="11" t="n"/>
      <c r="P168" s="10">
        <f>IF(O168="","",IFERROR(VLOOKUP(O168,T_KHID,2,FALSE),0))</f>
        <v/>
      </c>
      <c r="Q168" s="11" t="n"/>
      <c r="R168" s="11" t="n"/>
      <c r="S168" s="10">
        <f>IF(AND(Q168="",R168=""),"",IFERROR(INDEX(T_LIBAT,MATCH(Q168,L_PER,0),MATCH(R168,L_JENIS,0)),0))</f>
        <v/>
      </c>
      <c r="T168" s="11" t="n"/>
      <c r="U168" s="11" t="n"/>
      <c r="V168" s="10">
        <f>IF(AND(T168="",U168=""),"",IFERROR(INDEX(T_CAPAI,MATCH(T168,L_PER,0),MATCH(U168,L_KED,0)),0))</f>
        <v/>
      </c>
      <c r="W168" s="17">
        <f>IF(OR(B168="",E168="",COUNTA(F168,H168,J168:M168,O168,Q168:R168,T168:U168)=0),"",SUM(G168,I168,N168,P168,S168,V168))</f>
        <v/>
      </c>
      <c r="X168" s="18">
        <f>IF(W168="","",IF(Murid!F168="TL","TL",ROUND(W168/110*100,2)))</f>
        <v/>
      </c>
    </row>
    <row r="169">
      <c r="A169" s="15">
        <f>Murid!A169</f>
        <v/>
      </c>
      <c r="B169" s="15">
        <f>IF(Murid!B169="","",Murid!B169)</f>
        <v/>
      </c>
      <c r="C169" s="16">
        <f>IF(Murid!C169="","",Murid!C169)</f>
        <v/>
      </c>
      <c r="D169" s="15">
        <f>IF(Murid!E169="","",Murid!E169)</f>
        <v/>
      </c>
      <c r="E169" s="11" t="n"/>
      <c r="F169" s="11" t="n"/>
      <c r="G169" s="10">
        <f>IF(F169="","",IFERROR(VLOOKUP(F169,T_JUB,2,FALSE),0))</f>
        <v/>
      </c>
      <c r="H169" s="11" t="n"/>
      <c r="I169" s="17">
        <f>IF(H169="","",IF(H169&gt;=12,40,ROUND(H169*3.33,2)))</f>
        <v/>
      </c>
      <c r="J169" s="11" t="n"/>
      <c r="K169" s="11" t="n"/>
      <c r="L169" s="11" t="n"/>
      <c r="M169" s="11" t="n"/>
      <c r="N169" s="10">
        <f>IF(COUNTA(J169:M169)=0,"",MIN(10,SUMPRODUCT((COUNTIF(J169:M169,L_KOM)&gt;0)*S_KOM)))</f>
        <v/>
      </c>
      <c r="O169" s="11" t="n"/>
      <c r="P169" s="10">
        <f>IF(O169="","",IFERROR(VLOOKUP(O169,T_KHID,2,FALSE),0))</f>
        <v/>
      </c>
      <c r="Q169" s="11" t="n"/>
      <c r="R169" s="11" t="n"/>
      <c r="S169" s="10">
        <f>IF(AND(Q169="",R169=""),"",IFERROR(INDEX(T_LIBAT,MATCH(Q169,L_PER,0),MATCH(R169,L_JENIS,0)),0))</f>
        <v/>
      </c>
      <c r="T169" s="11" t="n"/>
      <c r="U169" s="11" t="n"/>
      <c r="V169" s="10">
        <f>IF(AND(T169="",U169=""),"",IFERROR(INDEX(T_CAPAI,MATCH(T169,L_PER,0),MATCH(U169,L_KED,0)),0))</f>
        <v/>
      </c>
      <c r="W169" s="17">
        <f>IF(OR(B169="",E169="",COUNTA(F169,H169,J169:M169,O169,Q169:R169,T169:U169)=0),"",SUM(G169,I169,N169,P169,S169,V169))</f>
        <v/>
      </c>
      <c r="X169" s="18">
        <f>IF(W169="","",IF(Murid!F169="TL","TL",ROUND(W169/110*100,2)))</f>
        <v/>
      </c>
    </row>
    <row r="170">
      <c r="A170" s="15">
        <f>Murid!A170</f>
        <v/>
      </c>
      <c r="B170" s="15">
        <f>IF(Murid!B170="","",Murid!B170)</f>
        <v/>
      </c>
      <c r="C170" s="16">
        <f>IF(Murid!C170="","",Murid!C170)</f>
        <v/>
      </c>
      <c r="D170" s="15">
        <f>IF(Murid!E170="","",Murid!E170)</f>
        <v/>
      </c>
      <c r="E170" s="11" t="n"/>
      <c r="F170" s="11" t="n"/>
      <c r="G170" s="10">
        <f>IF(F170="","",IFERROR(VLOOKUP(F170,T_JUB,2,FALSE),0))</f>
        <v/>
      </c>
      <c r="H170" s="11" t="n"/>
      <c r="I170" s="17">
        <f>IF(H170="","",IF(H170&gt;=12,40,ROUND(H170*3.33,2)))</f>
        <v/>
      </c>
      <c r="J170" s="11" t="n"/>
      <c r="K170" s="11" t="n"/>
      <c r="L170" s="11" t="n"/>
      <c r="M170" s="11" t="n"/>
      <c r="N170" s="10">
        <f>IF(COUNTA(J170:M170)=0,"",MIN(10,SUMPRODUCT((COUNTIF(J170:M170,L_KOM)&gt;0)*S_KOM)))</f>
        <v/>
      </c>
      <c r="O170" s="11" t="n"/>
      <c r="P170" s="10">
        <f>IF(O170="","",IFERROR(VLOOKUP(O170,T_KHID,2,FALSE),0))</f>
        <v/>
      </c>
      <c r="Q170" s="11" t="n"/>
      <c r="R170" s="11" t="n"/>
      <c r="S170" s="10">
        <f>IF(AND(Q170="",R170=""),"",IFERROR(INDEX(T_LIBAT,MATCH(Q170,L_PER,0),MATCH(R170,L_JENIS,0)),0))</f>
        <v/>
      </c>
      <c r="T170" s="11" t="n"/>
      <c r="U170" s="11" t="n"/>
      <c r="V170" s="10">
        <f>IF(AND(T170="",U170=""),"",IFERROR(INDEX(T_CAPAI,MATCH(T170,L_PER,0),MATCH(U170,L_KED,0)),0))</f>
        <v/>
      </c>
      <c r="W170" s="17">
        <f>IF(OR(B170="",E170="",COUNTA(F170,H170,J170:M170,O170,Q170:R170,T170:U170)=0),"",SUM(G170,I170,N170,P170,S170,V170))</f>
        <v/>
      </c>
      <c r="X170" s="18">
        <f>IF(W170="","",IF(Murid!F170="TL","TL",ROUND(W170/110*100,2)))</f>
        <v/>
      </c>
    </row>
    <row r="171">
      <c r="A171" s="15">
        <f>Murid!A171</f>
        <v/>
      </c>
      <c r="B171" s="15">
        <f>IF(Murid!B171="","",Murid!B171)</f>
        <v/>
      </c>
      <c r="C171" s="16">
        <f>IF(Murid!C171="","",Murid!C171)</f>
        <v/>
      </c>
      <c r="D171" s="15">
        <f>IF(Murid!E171="","",Murid!E171)</f>
        <v/>
      </c>
      <c r="E171" s="11" t="n"/>
      <c r="F171" s="11" t="n"/>
      <c r="G171" s="10">
        <f>IF(F171="","",IFERROR(VLOOKUP(F171,T_JUB,2,FALSE),0))</f>
        <v/>
      </c>
      <c r="H171" s="11" t="n"/>
      <c r="I171" s="17">
        <f>IF(H171="","",IF(H171&gt;=12,40,ROUND(H171*3.33,2)))</f>
        <v/>
      </c>
      <c r="J171" s="11" t="n"/>
      <c r="K171" s="11" t="n"/>
      <c r="L171" s="11" t="n"/>
      <c r="M171" s="11" t="n"/>
      <c r="N171" s="10">
        <f>IF(COUNTA(J171:M171)=0,"",MIN(10,SUMPRODUCT((COUNTIF(J171:M171,L_KOM)&gt;0)*S_KOM)))</f>
        <v/>
      </c>
      <c r="O171" s="11" t="n"/>
      <c r="P171" s="10">
        <f>IF(O171="","",IFERROR(VLOOKUP(O171,T_KHID,2,FALSE),0))</f>
        <v/>
      </c>
      <c r="Q171" s="11" t="n"/>
      <c r="R171" s="11" t="n"/>
      <c r="S171" s="10">
        <f>IF(AND(Q171="",R171=""),"",IFERROR(INDEX(T_LIBAT,MATCH(Q171,L_PER,0),MATCH(R171,L_JENIS,0)),0))</f>
        <v/>
      </c>
      <c r="T171" s="11" t="n"/>
      <c r="U171" s="11" t="n"/>
      <c r="V171" s="10">
        <f>IF(AND(T171="",U171=""),"",IFERROR(INDEX(T_CAPAI,MATCH(T171,L_PER,0),MATCH(U171,L_KED,0)),0))</f>
        <v/>
      </c>
      <c r="W171" s="17">
        <f>IF(OR(B171="",E171="",COUNTA(F171,H171,J171:M171,O171,Q171:R171,T171:U171)=0),"",SUM(G171,I171,N171,P171,S171,V171))</f>
        <v/>
      </c>
      <c r="X171" s="18">
        <f>IF(W171="","",IF(Murid!F171="TL","TL",ROUND(W171/110*100,2)))</f>
        <v/>
      </c>
    </row>
    <row r="172">
      <c r="A172" s="15">
        <f>Murid!A172</f>
        <v/>
      </c>
      <c r="B172" s="15">
        <f>IF(Murid!B172="","",Murid!B172)</f>
        <v/>
      </c>
      <c r="C172" s="16">
        <f>IF(Murid!C172="","",Murid!C172)</f>
        <v/>
      </c>
      <c r="D172" s="15">
        <f>IF(Murid!E172="","",Murid!E172)</f>
        <v/>
      </c>
      <c r="E172" s="11" t="n"/>
      <c r="F172" s="11" t="n"/>
      <c r="G172" s="10">
        <f>IF(F172="","",IFERROR(VLOOKUP(F172,T_JUB,2,FALSE),0))</f>
        <v/>
      </c>
      <c r="H172" s="11" t="n"/>
      <c r="I172" s="17">
        <f>IF(H172="","",IF(H172&gt;=12,40,ROUND(H172*3.33,2)))</f>
        <v/>
      </c>
      <c r="J172" s="11" t="n"/>
      <c r="K172" s="11" t="n"/>
      <c r="L172" s="11" t="n"/>
      <c r="M172" s="11" t="n"/>
      <c r="N172" s="10">
        <f>IF(COUNTA(J172:M172)=0,"",MIN(10,SUMPRODUCT((COUNTIF(J172:M172,L_KOM)&gt;0)*S_KOM)))</f>
        <v/>
      </c>
      <c r="O172" s="11" t="n"/>
      <c r="P172" s="10">
        <f>IF(O172="","",IFERROR(VLOOKUP(O172,T_KHID,2,FALSE),0))</f>
        <v/>
      </c>
      <c r="Q172" s="11" t="n"/>
      <c r="R172" s="11" t="n"/>
      <c r="S172" s="10">
        <f>IF(AND(Q172="",R172=""),"",IFERROR(INDEX(T_LIBAT,MATCH(Q172,L_PER,0),MATCH(R172,L_JENIS,0)),0))</f>
        <v/>
      </c>
      <c r="T172" s="11" t="n"/>
      <c r="U172" s="11" t="n"/>
      <c r="V172" s="10">
        <f>IF(AND(T172="",U172=""),"",IFERROR(INDEX(T_CAPAI,MATCH(T172,L_PER,0),MATCH(U172,L_KED,0)),0))</f>
        <v/>
      </c>
      <c r="W172" s="17">
        <f>IF(OR(B172="",E172="",COUNTA(F172,H172,J172:M172,O172,Q172:R172,T172:U172)=0),"",SUM(G172,I172,N172,P172,S172,V172))</f>
        <v/>
      </c>
      <c r="X172" s="18">
        <f>IF(W172="","",IF(Murid!F172="TL","TL",ROUND(W172/110*100,2)))</f>
        <v/>
      </c>
    </row>
    <row r="173">
      <c r="A173" s="15">
        <f>Murid!A173</f>
        <v/>
      </c>
      <c r="B173" s="15">
        <f>IF(Murid!B173="","",Murid!B173)</f>
        <v/>
      </c>
      <c r="C173" s="16">
        <f>IF(Murid!C173="","",Murid!C173)</f>
        <v/>
      </c>
      <c r="D173" s="15">
        <f>IF(Murid!E173="","",Murid!E173)</f>
        <v/>
      </c>
      <c r="E173" s="11" t="n"/>
      <c r="F173" s="11" t="n"/>
      <c r="G173" s="10">
        <f>IF(F173="","",IFERROR(VLOOKUP(F173,T_JUB,2,FALSE),0))</f>
        <v/>
      </c>
      <c r="H173" s="11" t="n"/>
      <c r="I173" s="17">
        <f>IF(H173="","",IF(H173&gt;=12,40,ROUND(H173*3.33,2)))</f>
        <v/>
      </c>
      <c r="J173" s="11" t="n"/>
      <c r="K173" s="11" t="n"/>
      <c r="L173" s="11" t="n"/>
      <c r="M173" s="11" t="n"/>
      <c r="N173" s="10">
        <f>IF(COUNTA(J173:M173)=0,"",MIN(10,SUMPRODUCT((COUNTIF(J173:M173,L_KOM)&gt;0)*S_KOM)))</f>
        <v/>
      </c>
      <c r="O173" s="11" t="n"/>
      <c r="P173" s="10">
        <f>IF(O173="","",IFERROR(VLOOKUP(O173,T_KHID,2,FALSE),0))</f>
        <v/>
      </c>
      <c r="Q173" s="11" t="n"/>
      <c r="R173" s="11" t="n"/>
      <c r="S173" s="10">
        <f>IF(AND(Q173="",R173=""),"",IFERROR(INDEX(T_LIBAT,MATCH(Q173,L_PER,0),MATCH(R173,L_JENIS,0)),0))</f>
        <v/>
      </c>
      <c r="T173" s="11" t="n"/>
      <c r="U173" s="11" t="n"/>
      <c r="V173" s="10">
        <f>IF(AND(T173="",U173=""),"",IFERROR(INDEX(T_CAPAI,MATCH(T173,L_PER,0),MATCH(U173,L_KED,0)),0))</f>
        <v/>
      </c>
      <c r="W173" s="17">
        <f>IF(OR(B173="",E173="",COUNTA(F173,H173,J173:M173,O173,Q173:R173,T173:U173)=0),"",SUM(G173,I173,N173,P173,S173,V173))</f>
        <v/>
      </c>
      <c r="X173" s="18">
        <f>IF(W173="","",IF(Murid!F173="TL","TL",ROUND(W173/110*100,2)))</f>
        <v/>
      </c>
    </row>
    <row r="174">
      <c r="A174" s="15">
        <f>Murid!A174</f>
        <v/>
      </c>
      <c r="B174" s="15">
        <f>IF(Murid!B174="","",Murid!B174)</f>
        <v/>
      </c>
      <c r="C174" s="16">
        <f>IF(Murid!C174="","",Murid!C174)</f>
        <v/>
      </c>
      <c r="D174" s="15">
        <f>IF(Murid!E174="","",Murid!E174)</f>
        <v/>
      </c>
      <c r="E174" s="11" t="n"/>
      <c r="F174" s="11" t="n"/>
      <c r="G174" s="10">
        <f>IF(F174="","",IFERROR(VLOOKUP(F174,T_JUB,2,FALSE),0))</f>
        <v/>
      </c>
      <c r="H174" s="11" t="n"/>
      <c r="I174" s="17">
        <f>IF(H174="","",IF(H174&gt;=12,40,ROUND(H174*3.33,2)))</f>
        <v/>
      </c>
      <c r="J174" s="11" t="n"/>
      <c r="K174" s="11" t="n"/>
      <c r="L174" s="11" t="n"/>
      <c r="M174" s="11" t="n"/>
      <c r="N174" s="10">
        <f>IF(COUNTA(J174:M174)=0,"",MIN(10,SUMPRODUCT((COUNTIF(J174:M174,L_KOM)&gt;0)*S_KOM)))</f>
        <v/>
      </c>
      <c r="O174" s="11" t="n"/>
      <c r="P174" s="10">
        <f>IF(O174="","",IFERROR(VLOOKUP(O174,T_KHID,2,FALSE),0))</f>
        <v/>
      </c>
      <c r="Q174" s="11" t="n"/>
      <c r="R174" s="11" t="n"/>
      <c r="S174" s="10">
        <f>IF(AND(Q174="",R174=""),"",IFERROR(INDEX(T_LIBAT,MATCH(Q174,L_PER,0),MATCH(R174,L_JENIS,0)),0))</f>
        <v/>
      </c>
      <c r="T174" s="11" t="n"/>
      <c r="U174" s="11" t="n"/>
      <c r="V174" s="10">
        <f>IF(AND(T174="",U174=""),"",IFERROR(INDEX(T_CAPAI,MATCH(T174,L_PER,0),MATCH(U174,L_KED,0)),0))</f>
        <v/>
      </c>
      <c r="W174" s="17">
        <f>IF(OR(B174="",E174="",COUNTA(F174,H174,J174:M174,O174,Q174:R174,T174:U174)=0),"",SUM(G174,I174,N174,P174,S174,V174))</f>
        <v/>
      </c>
      <c r="X174" s="18">
        <f>IF(W174="","",IF(Murid!F174="TL","TL",ROUND(W174/110*100,2)))</f>
        <v/>
      </c>
    </row>
    <row r="175">
      <c r="A175" s="15">
        <f>Murid!A175</f>
        <v/>
      </c>
      <c r="B175" s="15">
        <f>IF(Murid!B175="","",Murid!B175)</f>
        <v/>
      </c>
      <c r="C175" s="16">
        <f>IF(Murid!C175="","",Murid!C175)</f>
        <v/>
      </c>
      <c r="D175" s="15">
        <f>IF(Murid!E175="","",Murid!E175)</f>
        <v/>
      </c>
      <c r="E175" s="11" t="n"/>
      <c r="F175" s="11" t="n"/>
      <c r="G175" s="10">
        <f>IF(F175="","",IFERROR(VLOOKUP(F175,T_JUB,2,FALSE),0))</f>
        <v/>
      </c>
      <c r="H175" s="11" t="n"/>
      <c r="I175" s="17">
        <f>IF(H175="","",IF(H175&gt;=12,40,ROUND(H175*3.33,2)))</f>
        <v/>
      </c>
      <c r="J175" s="11" t="n"/>
      <c r="K175" s="11" t="n"/>
      <c r="L175" s="11" t="n"/>
      <c r="M175" s="11" t="n"/>
      <c r="N175" s="10">
        <f>IF(COUNTA(J175:M175)=0,"",MIN(10,SUMPRODUCT((COUNTIF(J175:M175,L_KOM)&gt;0)*S_KOM)))</f>
        <v/>
      </c>
      <c r="O175" s="11" t="n"/>
      <c r="P175" s="10">
        <f>IF(O175="","",IFERROR(VLOOKUP(O175,T_KHID,2,FALSE),0))</f>
        <v/>
      </c>
      <c r="Q175" s="11" t="n"/>
      <c r="R175" s="11" t="n"/>
      <c r="S175" s="10">
        <f>IF(AND(Q175="",R175=""),"",IFERROR(INDEX(T_LIBAT,MATCH(Q175,L_PER,0),MATCH(R175,L_JENIS,0)),0))</f>
        <v/>
      </c>
      <c r="T175" s="11" t="n"/>
      <c r="U175" s="11" t="n"/>
      <c r="V175" s="10">
        <f>IF(AND(T175="",U175=""),"",IFERROR(INDEX(T_CAPAI,MATCH(T175,L_PER,0),MATCH(U175,L_KED,0)),0))</f>
        <v/>
      </c>
      <c r="W175" s="17">
        <f>IF(OR(B175="",E175="",COUNTA(F175,H175,J175:M175,O175,Q175:R175,T175:U175)=0),"",SUM(G175,I175,N175,P175,S175,V175))</f>
        <v/>
      </c>
      <c r="X175" s="18">
        <f>IF(W175="","",IF(Murid!F175="TL","TL",ROUND(W175/110*100,2)))</f>
        <v/>
      </c>
    </row>
    <row r="176">
      <c r="A176" s="15">
        <f>Murid!A176</f>
        <v/>
      </c>
      <c r="B176" s="15">
        <f>IF(Murid!B176="","",Murid!B176)</f>
        <v/>
      </c>
      <c r="C176" s="16">
        <f>IF(Murid!C176="","",Murid!C176)</f>
        <v/>
      </c>
      <c r="D176" s="15">
        <f>IF(Murid!E176="","",Murid!E176)</f>
        <v/>
      </c>
      <c r="E176" s="11" t="n"/>
      <c r="F176" s="11" t="n"/>
      <c r="G176" s="10">
        <f>IF(F176="","",IFERROR(VLOOKUP(F176,T_JUB,2,FALSE),0))</f>
        <v/>
      </c>
      <c r="H176" s="11" t="n"/>
      <c r="I176" s="17">
        <f>IF(H176="","",IF(H176&gt;=12,40,ROUND(H176*3.33,2)))</f>
        <v/>
      </c>
      <c r="J176" s="11" t="n"/>
      <c r="K176" s="11" t="n"/>
      <c r="L176" s="11" t="n"/>
      <c r="M176" s="11" t="n"/>
      <c r="N176" s="10">
        <f>IF(COUNTA(J176:M176)=0,"",MIN(10,SUMPRODUCT((COUNTIF(J176:M176,L_KOM)&gt;0)*S_KOM)))</f>
        <v/>
      </c>
      <c r="O176" s="11" t="n"/>
      <c r="P176" s="10">
        <f>IF(O176="","",IFERROR(VLOOKUP(O176,T_KHID,2,FALSE),0))</f>
        <v/>
      </c>
      <c r="Q176" s="11" t="n"/>
      <c r="R176" s="11" t="n"/>
      <c r="S176" s="10">
        <f>IF(AND(Q176="",R176=""),"",IFERROR(INDEX(T_LIBAT,MATCH(Q176,L_PER,0),MATCH(R176,L_JENIS,0)),0))</f>
        <v/>
      </c>
      <c r="T176" s="11" t="n"/>
      <c r="U176" s="11" t="n"/>
      <c r="V176" s="10">
        <f>IF(AND(T176="",U176=""),"",IFERROR(INDEX(T_CAPAI,MATCH(T176,L_PER,0),MATCH(U176,L_KED,0)),0))</f>
        <v/>
      </c>
      <c r="W176" s="17">
        <f>IF(OR(B176="",E176="",COUNTA(F176,H176,J176:M176,O176,Q176:R176,T176:U176)=0),"",SUM(G176,I176,N176,P176,S176,V176))</f>
        <v/>
      </c>
      <c r="X176" s="18">
        <f>IF(W176="","",IF(Murid!F176="TL","TL",ROUND(W176/110*100,2)))</f>
        <v/>
      </c>
    </row>
    <row r="177">
      <c r="A177" s="15">
        <f>Murid!A177</f>
        <v/>
      </c>
      <c r="B177" s="15">
        <f>IF(Murid!B177="","",Murid!B177)</f>
        <v/>
      </c>
      <c r="C177" s="16">
        <f>IF(Murid!C177="","",Murid!C177)</f>
        <v/>
      </c>
      <c r="D177" s="15">
        <f>IF(Murid!E177="","",Murid!E177)</f>
        <v/>
      </c>
      <c r="E177" s="11" t="n"/>
      <c r="F177" s="11" t="n"/>
      <c r="G177" s="10">
        <f>IF(F177="","",IFERROR(VLOOKUP(F177,T_JUB,2,FALSE),0))</f>
        <v/>
      </c>
      <c r="H177" s="11" t="n"/>
      <c r="I177" s="17">
        <f>IF(H177="","",IF(H177&gt;=12,40,ROUND(H177*3.33,2)))</f>
        <v/>
      </c>
      <c r="J177" s="11" t="n"/>
      <c r="K177" s="11" t="n"/>
      <c r="L177" s="11" t="n"/>
      <c r="M177" s="11" t="n"/>
      <c r="N177" s="10">
        <f>IF(COUNTA(J177:M177)=0,"",MIN(10,SUMPRODUCT((COUNTIF(J177:M177,L_KOM)&gt;0)*S_KOM)))</f>
        <v/>
      </c>
      <c r="O177" s="11" t="n"/>
      <c r="P177" s="10">
        <f>IF(O177="","",IFERROR(VLOOKUP(O177,T_KHID,2,FALSE),0))</f>
        <v/>
      </c>
      <c r="Q177" s="11" t="n"/>
      <c r="R177" s="11" t="n"/>
      <c r="S177" s="10">
        <f>IF(AND(Q177="",R177=""),"",IFERROR(INDEX(T_LIBAT,MATCH(Q177,L_PER,0),MATCH(R177,L_JENIS,0)),0))</f>
        <v/>
      </c>
      <c r="T177" s="11" t="n"/>
      <c r="U177" s="11" t="n"/>
      <c r="V177" s="10">
        <f>IF(AND(T177="",U177=""),"",IFERROR(INDEX(T_CAPAI,MATCH(T177,L_PER,0),MATCH(U177,L_KED,0)),0))</f>
        <v/>
      </c>
      <c r="W177" s="17">
        <f>IF(OR(B177="",E177="",COUNTA(F177,H177,J177:M177,O177,Q177:R177,T177:U177)=0),"",SUM(G177,I177,N177,P177,S177,V177))</f>
        <v/>
      </c>
      <c r="X177" s="18">
        <f>IF(W177="","",IF(Murid!F177="TL","TL",ROUND(W177/110*100,2)))</f>
        <v/>
      </c>
    </row>
    <row r="178">
      <c r="A178" s="15">
        <f>Murid!A178</f>
        <v/>
      </c>
      <c r="B178" s="15">
        <f>IF(Murid!B178="","",Murid!B178)</f>
        <v/>
      </c>
      <c r="C178" s="16">
        <f>IF(Murid!C178="","",Murid!C178)</f>
        <v/>
      </c>
      <c r="D178" s="15">
        <f>IF(Murid!E178="","",Murid!E178)</f>
        <v/>
      </c>
      <c r="E178" s="11" t="n"/>
      <c r="F178" s="11" t="n"/>
      <c r="G178" s="10">
        <f>IF(F178="","",IFERROR(VLOOKUP(F178,T_JUB,2,FALSE),0))</f>
        <v/>
      </c>
      <c r="H178" s="11" t="n"/>
      <c r="I178" s="17">
        <f>IF(H178="","",IF(H178&gt;=12,40,ROUND(H178*3.33,2)))</f>
        <v/>
      </c>
      <c r="J178" s="11" t="n"/>
      <c r="K178" s="11" t="n"/>
      <c r="L178" s="11" t="n"/>
      <c r="M178" s="11" t="n"/>
      <c r="N178" s="10">
        <f>IF(COUNTA(J178:M178)=0,"",MIN(10,SUMPRODUCT((COUNTIF(J178:M178,L_KOM)&gt;0)*S_KOM)))</f>
        <v/>
      </c>
      <c r="O178" s="11" t="n"/>
      <c r="P178" s="10">
        <f>IF(O178="","",IFERROR(VLOOKUP(O178,T_KHID,2,FALSE),0))</f>
        <v/>
      </c>
      <c r="Q178" s="11" t="n"/>
      <c r="R178" s="11" t="n"/>
      <c r="S178" s="10">
        <f>IF(AND(Q178="",R178=""),"",IFERROR(INDEX(T_LIBAT,MATCH(Q178,L_PER,0),MATCH(R178,L_JENIS,0)),0))</f>
        <v/>
      </c>
      <c r="T178" s="11" t="n"/>
      <c r="U178" s="11" t="n"/>
      <c r="V178" s="10">
        <f>IF(AND(T178="",U178=""),"",IFERROR(INDEX(T_CAPAI,MATCH(T178,L_PER,0),MATCH(U178,L_KED,0)),0))</f>
        <v/>
      </c>
      <c r="W178" s="17">
        <f>IF(OR(B178="",E178="",COUNTA(F178,H178,J178:M178,O178,Q178:R178,T178:U178)=0),"",SUM(G178,I178,N178,P178,S178,V178))</f>
        <v/>
      </c>
      <c r="X178" s="18">
        <f>IF(W178="","",IF(Murid!F178="TL","TL",ROUND(W178/110*100,2)))</f>
        <v/>
      </c>
    </row>
    <row r="179">
      <c r="A179" s="15">
        <f>Murid!A179</f>
        <v/>
      </c>
      <c r="B179" s="15">
        <f>IF(Murid!B179="","",Murid!B179)</f>
        <v/>
      </c>
      <c r="C179" s="16">
        <f>IF(Murid!C179="","",Murid!C179)</f>
        <v/>
      </c>
      <c r="D179" s="15">
        <f>IF(Murid!E179="","",Murid!E179)</f>
        <v/>
      </c>
      <c r="E179" s="11" t="n"/>
      <c r="F179" s="11" t="n"/>
      <c r="G179" s="10">
        <f>IF(F179="","",IFERROR(VLOOKUP(F179,T_JUB,2,FALSE),0))</f>
        <v/>
      </c>
      <c r="H179" s="11" t="n"/>
      <c r="I179" s="17">
        <f>IF(H179="","",IF(H179&gt;=12,40,ROUND(H179*3.33,2)))</f>
        <v/>
      </c>
      <c r="J179" s="11" t="n"/>
      <c r="K179" s="11" t="n"/>
      <c r="L179" s="11" t="n"/>
      <c r="M179" s="11" t="n"/>
      <c r="N179" s="10">
        <f>IF(COUNTA(J179:M179)=0,"",MIN(10,SUMPRODUCT((COUNTIF(J179:M179,L_KOM)&gt;0)*S_KOM)))</f>
        <v/>
      </c>
      <c r="O179" s="11" t="n"/>
      <c r="P179" s="10">
        <f>IF(O179="","",IFERROR(VLOOKUP(O179,T_KHID,2,FALSE),0))</f>
        <v/>
      </c>
      <c r="Q179" s="11" t="n"/>
      <c r="R179" s="11" t="n"/>
      <c r="S179" s="10">
        <f>IF(AND(Q179="",R179=""),"",IFERROR(INDEX(T_LIBAT,MATCH(Q179,L_PER,0),MATCH(R179,L_JENIS,0)),0))</f>
        <v/>
      </c>
      <c r="T179" s="11" t="n"/>
      <c r="U179" s="11" t="n"/>
      <c r="V179" s="10">
        <f>IF(AND(T179="",U179=""),"",IFERROR(INDEX(T_CAPAI,MATCH(T179,L_PER,0),MATCH(U179,L_KED,0)),0))</f>
        <v/>
      </c>
      <c r="W179" s="17">
        <f>IF(OR(B179="",E179="",COUNTA(F179,H179,J179:M179,O179,Q179:R179,T179:U179)=0),"",SUM(G179,I179,N179,P179,S179,V179))</f>
        <v/>
      </c>
      <c r="X179" s="18">
        <f>IF(W179="","",IF(Murid!F179="TL","TL",ROUND(W179/110*100,2)))</f>
        <v/>
      </c>
    </row>
    <row r="180">
      <c r="A180" s="15">
        <f>Murid!A180</f>
        <v/>
      </c>
      <c r="B180" s="15">
        <f>IF(Murid!B180="","",Murid!B180)</f>
        <v/>
      </c>
      <c r="C180" s="16">
        <f>IF(Murid!C180="","",Murid!C180)</f>
        <v/>
      </c>
      <c r="D180" s="15">
        <f>IF(Murid!E180="","",Murid!E180)</f>
        <v/>
      </c>
      <c r="E180" s="11" t="n"/>
      <c r="F180" s="11" t="n"/>
      <c r="G180" s="10">
        <f>IF(F180="","",IFERROR(VLOOKUP(F180,T_JUB,2,FALSE),0))</f>
        <v/>
      </c>
      <c r="H180" s="11" t="n"/>
      <c r="I180" s="17">
        <f>IF(H180="","",IF(H180&gt;=12,40,ROUND(H180*3.33,2)))</f>
        <v/>
      </c>
      <c r="J180" s="11" t="n"/>
      <c r="K180" s="11" t="n"/>
      <c r="L180" s="11" t="n"/>
      <c r="M180" s="11" t="n"/>
      <c r="N180" s="10">
        <f>IF(COUNTA(J180:M180)=0,"",MIN(10,SUMPRODUCT((COUNTIF(J180:M180,L_KOM)&gt;0)*S_KOM)))</f>
        <v/>
      </c>
      <c r="O180" s="11" t="n"/>
      <c r="P180" s="10">
        <f>IF(O180="","",IFERROR(VLOOKUP(O180,T_KHID,2,FALSE),0))</f>
        <v/>
      </c>
      <c r="Q180" s="11" t="n"/>
      <c r="R180" s="11" t="n"/>
      <c r="S180" s="10">
        <f>IF(AND(Q180="",R180=""),"",IFERROR(INDEX(T_LIBAT,MATCH(Q180,L_PER,0),MATCH(R180,L_JENIS,0)),0))</f>
        <v/>
      </c>
      <c r="T180" s="11" t="n"/>
      <c r="U180" s="11" t="n"/>
      <c r="V180" s="10">
        <f>IF(AND(T180="",U180=""),"",IFERROR(INDEX(T_CAPAI,MATCH(T180,L_PER,0),MATCH(U180,L_KED,0)),0))</f>
        <v/>
      </c>
      <c r="W180" s="17">
        <f>IF(OR(B180="",E180="",COUNTA(F180,H180,J180:M180,O180,Q180:R180,T180:U180)=0),"",SUM(G180,I180,N180,P180,S180,V180))</f>
        <v/>
      </c>
      <c r="X180" s="18">
        <f>IF(W180="","",IF(Murid!F180="TL","TL",ROUND(W180/110*100,2)))</f>
        <v/>
      </c>
    </row>
    <row r="181">
      <c r="A181" s="15">
        <f>Murid!A181</f>
        <v/>
      </c>
      <c r="B181" s="15">
        <f>IF(Murid!B181="","",Murid!B181)</f>
        <v/>
      </c>
      <c r="C181" s="16">
        <f>IF(Murid!C181="","",Murid!C181)</f>
        <v/>
      </c>
      <c r="D181" s="15">
        <f>IF(Murid!E181="","",Murid!E181)</f>
        <v/>
      </c>
      <c r="E181" s="11" t="n"/>
      <c r="F181" s="11" t="n"/>
      <c r="G181" s="10">
        <f>IF(F181="","",IFERROR(VLOOKUP(F181,T_JUB,2,FALSE),0))</f>
        <v/>
      </c>
      <c r="H181" s="11" t="n"/>
      <c r="I181" s="17">
        <f>IF(H181="","",IF(H181&gt;=12,40,ROUND(H181*3.33,2)))</f>
        <v/>
      </c>
      <c r="J181" s="11" t="n"/>
      <c r="K181" s="11" t="n"/>
      <c r="L181" s="11" t="n"/>
      <c r="M181" s="11" t="n"/>
      <c r="N181" s="10">
        <f>IF(COUNTA(J181:M181)=0,"",MIN(10,SUMPRODUCT((COUNTIF(J181:M181,L_KOM)&gt;0)*S_KOM)))</f>
        <v/>
      </c>
      <c r="O181" s="11" t="n"/>
      <c r="P181" s="10">
        <f>IF(O181="","",IFERROR(VLOOKUP(O181,T_KHID,2,FALSE),0))</f>
        <v/>
      </c>
      <c r="Q181" s="11" t="n"/>
      <c r="R181" s="11" t="n"/>
      <c r="S181" s="10">
        <f>IF(AND(Q181="",R181=""),"",IFERROR(INDEX(T_LIBAT,MATCH(Q181,L_PER,0),MATCH(R181,L_JENIS,0)),0))</f>
        <v/>
      </c>
      <c r="T181" s="11" t="n"/>
      <c r="U181" s="11" t="n"/>
      <c r="V181" s="10">
        <f>IF(AND(T181="",U181=""),"",IFERROR(INDEX(T_CAPAI,MATCH(T181,L_PER,0),MATCH(U181,L_KED,0)),0))</f>
        <v/>
      </c>
      <c r="W181" s="17">
        <f>IF(OR(B181="",E181="",COUNTA(F181,H181,J181:M181,O181,Q181:R181,T181:U181)=0),"",SUM(G181,I181,N181,P181,S181,V181))</f>
        <v/>
      </c>
      <c r="X181" s="18">
        <f>IF(W181="","",IF(Murid!F181="TL","TL",ROUND(W181/110*100,2)))</f>
        <v/>
      </c>
    </row>
    <row r="182">
      <c r="A182" s="15">
        <f>Murid!A182</f>
        <v/>
      </c>
      <c r="B182" s="15">
        <f>IF(Murid!B182="","",Murid!B182)</f>
        <v/>
      </c>
      <c r="C182" s="16">
        <f>IF(Murid!C182="","",Murid!C182)</f>
        <v/>
      </c>
      <c r="D182" s="15">
        <f>IF(Murid!E182="","",Murid!E182)</f>
        <v/>
      </c>
      <c r="E182" s="11" t="n"/>
      <c r="F182" s="11" t="n"/>
      <c r="G182" s="10">
        <f>IF(F182="","",IFERROR(VLOOKUP(F182,T_JUB,2,FALSE),0))</f>
        <v/>
      </c>
      <c r="H182" s="11" t="n"/>
      <c r="I182" s="17">
        <f>IF(H182="","",IF(H182&gt;=12,40,ROUND(H182*3.33,2)))</f>
        <v/>
      </c>
      <c r="J182" s="11" t="n"/>
      <c r="K182" s="11" t="n"/>
      <c r="L182" s="11" t="n"/>
      <c r="M182" s="11" t="n"/>
      <c r="N182" s="10">
        <f>IF(COUNTA(J182:M182)=0,"",MIN(10,SUMPRODUCT((COUNTIF(J182:M182,L_KOM)&gt;0)*S_KOM)))</f>
        <v/>
      </c>
      <c r="O182" s="11" t="n"/>
      <c r="P182" s="10">
        <f>IF(O182="","",IFERROR(VLOOKUP(O182,T_KHID,2,FALSE),0))</f>
        <v/>
      </c>
      <c r="Q182" s="11" t="n"/>
      <c r="R182" s="11" t="n"/>
      <c r="S182" s="10">
        <f>IF(AND(Q182="",R182=""),"",IFERROR(INDEX(T_LIBAT,MATCH(Q182,L_PER,0),MATCH(R182,L_JENIS,0)),0))</f>
        <v/>
      </c>
      <c r="T182" s="11" t="n"/>
      <c r="U182" s="11" t="n"/>
      <c r="V182" s="10">
        <f>IF(AND(T182="",U182=""),"",IFERROR(INDEX(T_CAPAI,MATCH(T182,L_PER,0),MATCH(U182,L_KED,0)),0))</f>
        <v/>
      </c>
      <c r="W182" s="17">
        <f>IF(OR(B182="",E182="",COUNTA(F182,H182,J182:M182,O182,Q182:R182,T182:U182)=0),"",SUM(G182,I182,N182,P182,S182,V182))</f>
        <v/>
      </c>
      <c r="X182" s="18">
        <f>IF(W182="","",IF(Murid!F182="TL","TL",ROUND(W182/110*100,2)))</f>
        <v/>
      </c>
    </row>
    <row r="183">
      <c r="A183" s="15">
        <f>Murid!A183</f>
        <v/>
      </c>
      <c r="B183" s="15">
        <f>IF(Murid!B183="","",Murid!B183)</f>
        <v/>
      </c>
      <c r="C183" s="16">
        <f>IF(Murid!C183="","",Murid!C183)</f>
        <v/>
      </c>
      <c r="D183" s="15">
        <f>IF(Murid!E183="","",Murid!E183)</f>
        <v/>
      </c>
      <c r="E183" s="11" t="n"/>
      <c r="F183" s="11" t="n"/>
      <c r="G183" s="10">
        <f>IF(F183="","",IFERROR(VLOOKUP(F183,T_JUB,2,FALSE),0))</f>
        <v/>
      </c>
      <c r="H183" s="11" t="n"/>
      <c r="I183" s="17">
        <f>IF(H183="","",IF(H183&gt;=12,40,ROUND(H183*3.33,2)))</f>
        <v/>
      </c>
      <c r="J183" s="11" t="n"/>
      <c r="K183" s="11" t="n"/>
      <c r="L183" s="11" t="n"/>
      <c r="M183" s="11" t="n"/>
      <c r="N183" s="10">
        <f>IF(COUNTA(J183:M183)=0,"",MIN(10,SUMPRODUCT((COUNTIF(J183:M183,L_KOM)&gt;0)*S_KOM)))</f>
        <v/>
      </c>
      <c r="O183" s="11" t="n"/>
      <c r="P183" s="10">
        <f>IF(O183="","",IFERROR(VLOOKUP(O183,T_KHID,2,FALSE),0))</f>
        <v/>
      </c>
      <c r="Q183" s="11" t="n"/>
      <c r="R183" s="11" t="n"/>
      <c r="S183" s="10">
        <f>IF(AND(Q183="",R183=""),"",IFERROR(INDEX(T_LIBAT,MATCH(Q183,L_PER,0),MATCH(R183,L_JENIS,0)),0))</f>
        <v/>
      </c>
      <c r="T183" s="11" t="n"/>
      <c r="U183" s="11" t="n"/>
      <c r="V183" s="10">
        <f>IF(AND(T183="",U183=""),"",IFERROR(INDEX(T_CAPAI,MATCH(T183,L_PER,0),MATCH(U183,L_KED,0)),0))</f>
        <v/>
      </c>
      <c r="W183" s="17">
        <f>IF(OR(B183="",E183="",COUNTA(F183,H183,J183:M183,O183,Q183:R183,T183:U183)=0),"",SUM(G183,I183,N183,P183,S183,V183))</f>
        <v/>
      </c>
      <c r="X183" s="18">
        <f>IF(W183="","",IF(Murid!F183="TL","TL",ROUND(W183/110*100,2)))</f>
        <v/>
      </c>
    </row>
    <row r="184">
      <c r="A184" s="15">
        <f>Murid!A184</f>
        <v/>
      </c>
      <c r="B184" s="15">
        <f>IF(Murid!B184="","",Murid!B184)</f>
        <v/>
      </c>
      <c r="C184" s="16">
        <f>IF(Murid!C184="","",Murid!C184)</f>
        <v/>
      </c>
      <c r="D184" s="15">
        <f>IF(Murid!E184="","",Murid!E184)</f>
        <v/>
      </c>
      <c r="E184" s="11" t="n"/>
      <c r="F184" s="11" t="n"/>
      <c r="G184" s="10">
        <f>IF(F184="","",IFERROR(VLOOKUP(F184,T_JUB,2,FALSE),0))</f>
        <v/>
      </c>
      <c r="H184" s="11" t="n"/>
      <c r="I184" s="17">
        <f>IF(H184="","",IF(H184&gt;=12,40,ROUND(H184*3.33,2)))</f>
        <v/>
      </c>
      <c r="J184" s="11" t="n"/>
      <c r="K184" s="11" t="n"/>
      <c r="L184" s="11" t="n"/>
      <c r="M184" s="11" t="n"/>
      <c r="N184" s="10">
        <f>IF(COUNTA(J184:M184)=0,"",MIN(10,SUMPRODUCT((COUNTIF(J184:M184,L_KOM)&gt;0)*S_KOM)))</f>
        <v/>
      </c>
      <c r="O184" s="11" t="n"/>
      <c r="P184" s="10">
        <f>IF(O184="","",IFERROR(VLOOKUP(O184,T_KHID,2,FALSE),0))</f>
        <v/>
      </c>
      <c r="Q184" s="11" t="n"/>
      <c r="R184" s="11" t="n"/>
      <c r="S184" s="10">
        <f>IF(AND(Q184="",R184=""),"",IFERROR(INDEX(T_LIBAT,MATCH(Q184,L_PER,0),MATCH(R184,L_JENIS,0)),0))</f>
        <v/>
      </c>
      <c r="T184" s="11" t="n"/>
      <c r="U184" s="11" t="n"/>
      <c r="V184" s="10">
        <f>IF(AND(T184="",U184=""),"",IFERROR(INDEX(T_CAPAI,MATCH(T184,L_PER,0),MATCH(U184,L_KED,0)),0))</f>
        <v/>
      </c>
      <c r="W184" s="17">
        <f>IF(OR(B184="",E184="",COUNTA(F184,H184,J184:M184,O184,Q184:R184,T184:U184)=0),"",SUM(G184,I184,N184,P184,S184,V184))</f>
        <v/>
      </c>
      <c r="X184" s="18">
        <f>IF(W184="","",IF(Murid!F184="TL","TL",ROUND(W184/110*100,2)))</f>
        <v/>
      </c>
    </row>
    <row r="185">
      <c r="A185" s="15">
        <f>Murid!A185</f>
        <v/>
      </c>
      <c r="B185" s="15">
        <f>IF(Murid!B185="","",Murid!B185)</f>
        <v/>
      </c>
      <c r="C185" s="16">
        <f>IF(Murid!C185="","",Murid!C185)</f>
        <v/>
      </c>
      <c r="D185" s="15">
        <f>IF(Murid!E185="","",Murid!E185)</f>
        <v/>
      </c>
      <c r="E185" s="11" t="n"/>
      <c r="F185" s="11" t="n"/>
      <c r="G185" s="10">
        <f>IF(F185="","",IFERROR(VLOOKUP(F185,T_JUB,2,FALSE),0))</f>
        <v/>
      </c>
      <c r="H185" s="11" t="n"/>
      <c r="I185" s="17">
        <f>IF(H185="","",IF(H185&gt;=12,40,ROUND(H185*3.33,2)))</f>
        <v/>
      </c>
      <c r="J185" s="11" t="n"/>
      <c r="K185" s="11" t="n"/>
      <c r="L185" s="11" t="n"/>
      <c r="M185" s="11" t="n"/>
      <c r="N185" s="10">
        <f>IF(COUNTA(J185:M185)=0,"",MIN(10,SUMPRODUCT((COUNTIF(J185:M185,L_KOM)&gt;0)*S_KOM)))</f>
        <v/>
      </c>
      <c r="O185" s="11" t="n"/>
      <c r="P185" s="10">
        <f>IF(O185="","",IFERROR(VLOOKUP(O185,T_KHID,2,FALSE),0))</f>
        <v/>
      </c>
      <c r="Q185" s="11" t="n"/>
      <c r="R185" s="11" t="n"/>
      <c r="S185" s="10">
        <f>IF(AND(Q185="",R185=""),"",IFERROR(INDEX(T_LIBAT,MATCH(Q185,L_PER,0),MATCH(R185,L_JENIS,0)),0))</f>
        <v/>
      </c>
      <c r="T185" s="11" t="n"/>
      <c r="U185" s="11" t="n"/>
      <c r="V185" s="10">
        <f>IF(AND(T185="",U185=""),"",IFERROR(INDEX(T_CAPAI,MATCH(T185,L_PER,0),MATCH(U185,L_KED,0)),0))</f>
        <v/>
      </c>
      <c r="W185" s="17">
        <f>IF(OR(B185="",E185="",COUNTA(F185,H185,J185:M185,O185,Q185:R185,T185:U185)=0),"",SUM(G185,I185,N185,P185,S185,V185))</f>
        <v/>
      </c>
      <c r="X185" s="18">
        <f>IF(W185="","",IF(Murid!F185="TL","TL",ROUND(W185/110*100,2)))</f>
        <v/>
      </c>
    </row>
    <row r="186">
      <c r="A186" s="15">
        <f>Murid!A186</f>
        <v/>
      </c>
      <c r="B186" s="15">
        <f>IF(Murid!B186="","",Murid!B186)</f>
        <v/>
      </c>
      <c r="C186" s="16">
        <f>IF(Murid!C186="","",Murid!C186)</f>
        <v/>
      </c>
      <c r="D186" s="15">
        <f>IF(Murid!E186="","",Murid!E186)</f>
        <v/>
      </c>
      <c r="E186" s="11" t="n"/>
      <c r="F186" s="11" t="n"/>
      <c r="G186" s="10">
        <f>IF(F186="","",IFERROR(VLOOKUP(F186,T_JUB,2,FALSE),0))</f>
        <v/>
      </c>
      <c r="H186" s="11" t="n"/>
      <c r="I186" s="17">
        <f>IF(H186="","",IF(H186&gt;=12,40,ROUND(H186*3.33,2)))</f>
        <v/>
      </c>
      <c r="J186" s="11" t="n"/>
      <c r="K186" s="11" t="n"/>
      <c r="L186" s="11" t="n"/>
      <c r="M186" s="11" t="n"/>
      <c r="N186" s="10">
        <f>IF(COUNTA(J186:M186)=0,"",MIN(10,SUMPRODUCT((COUNTIF(J186:M186,L_KOM)&gt;0)*S_KOM)))</f>
        <v/>
      </c>
      <c r="O186" s="11" t="n"/>
      <c r="P186" s="10">
        <f>IF(O186="","",IFERROR(VLOOKUP(O186,T_KHID,2,FALSE),0))</f>
        <v/>
      </c>
      <c r="Q186" s="11" t="n"/>
      <c r="R186" s="11" t="n"/>
      <c r="S186" s="10">
        <f>IF(AND(Q186="",R186=""),"",IFERROR(INDEX(T_LIBAT,MATCH(Q186,L_PER,0),MATCH(R186,L_JENIS,0)),0))</f>
        <v/>
      </c>
      <c r="T186" s="11" t="n"/>
      <c r="U186" s="11" t="n"/>
      <c r="V186" s="10">
        <f>IF(AND(T186="",U186=""),"",IFERROR(INDEX(T_CAPAI,MATCH(T186,L_PER,0),MATCH(U186,L_KED,0)),0))</f>
        <v/>
      </c>
      <c r="W186" s="17">
        <f>IF(OR(B186="",E186="",COUNTA(F186,H186,J186:M186,O186,Q186:R186,T186:U186)=0),"",SUM(G186,I186,N186,P186,S186,V186))</f>
        <v/>
      </c>
      <c r="X186" s="18">
        <f>IF(W186="","",IF(Murid!F186="TL","TL",ROUND(W186/110*100,2)))</f>
        <v/>
      </c>
    </row>
    <row r="187">
      <c r="A187" s="15">
        <f>Murid!A187</f>
        <v/>
      </c>
      <c r="B187" s="15">
        <f>IF(Murid!B187="","",Murid!B187)</f>
        <v/>
      </c>
      <c r="C187" s="16">
        <f>IF(Murid!C187="","",Murid!C187)</f>
        <v/>
      </c>
      <c r="D187" s="15">
        <f>IF(Murid!E187="","",Murid!E187)</f>
        <v/>
      </c>
      <c r="E187" s="11" t="n"/>
      <c r="F187" s="11" t="n"/>
      <c r="G187" s="10">
        <f>IF(F187="","",IFERROR(VLOOKUP(F187,T_JUB,2,FALSE),0))</f>
        <v/>
      </c>
      <c r="H187" s="11" t="n"/>
      <c r="I187" s="17">
        <f>IF(H187="","",IF(H187&gt;=12,40,ROUND(H187*3.33,2)))</f>
        <v/>
      </c>
      <c r="J187" s="11" t="n"/>
      <c r="K187" s="11" t="n"/>
      <c r="L187" s="11" t="n"/>
      <c r="M187" s="11" t="n"/>
      <c r="N187" s="10">
        <f>IF(COUNTA(J187:M187)=0,"",MIN(10,SUMPRODUCT((COUNTIF(J187:M187,L_KOM)&gt;0)*S_KOM)))</f>
        <v/>
      </c>
      <c r="O187" s="11" t="n"/>
      <c r="P187" s="10">
        <f>IF(O187="","",IFERROR(VLOOKUP(O187,T_KHID,2,FALSE),0))</f>
        <v/>
      </c>
      <c r="Q187" s="11" t="n"/>
      <c r="R187" s="11" t="n"/>
      <c r="S187" s="10">
        <f>IF(AND(Q187="",R187=""),"",IFERROR(INDEX(T_LIBAT,MATCH(Q187,L_PER,0),MATCH(R187,L_JENIS,0)),0))</f>
        <v/>
      </c>
      <c r="T187" s="11" t="n"/>
      <c r="U187" s="11" t="n"/>
      <c r="V187" s="10">
        <f>IF(AND(T187="",U187=""),"",IFERROR(INDEX(T_CAPAI,MATCH(T187,L_PER,0),MATCH(U187,L_KED,0)),0))</f>
        <v/>
      </c>
      <c r="W187" s="17">
        <f>IF(OR(B187="",E187="",COUNTA(F187,H187,J187:M187,O187,Q187:R187,T187:U187)=0),"",SUM(G187,I187,N187,P187,S187,V187))</f>
        <v/>
      </c>
      <c r="X187" s="18">
        <f>IF(W187="","",IF(Murid!F187="TL","TL",ROUND(W187/110*100,2)))</f>
        <v/>
      </c>
    </row>
    <row r="188">
      <c r="A188" s="15">
        <f>Murid!A188</f>
        <v/>
      </c>
      <c r="B188" s="15">
        <f>IF(Murid!B188="","",Murid!B188)</f>
        <v/>
      </c>
      <c r="C188" s="16">
        <f>IF(Murid!C188="","",Murid!C188)</f>
        <v/>
      </c>
      <c r="D188" s="15">
        <f>IF(Murid!E188="","",Murid!E188)</f>
        <v/>
      </c>
      <c r="E188" s="11" t="n"/>
      <c r="F188" s="11" t="n"/>
      <c r="G188" s="10">
        <f>IF(F188="","",IFERROR(VLOOKUP(F188,T_JUB,2,FALSE),0))</f>
        <v/>
      </c>
      <c r="H188" s="11" t="n"/>
      <c r="I188" s="17">
        <f>IF(H188="","",IF(H188&gt;=12,40,ROUND(H188*3.33,2)))</f>
        <v/>
      </c>
      <c r="J188" s="11" t="n"/>
      <c r="K188" s="11" t="n"/>
      <c r="L188" s="11" t="n"/>
      <c r="M188" s="11" t="n"/>
      <c r="N188" s="10">
        <f>IF(COUNTA(J188:M188)=0,"",MIN(10,SUMPRODUCT((COUNTIF(J188:M188,L_KOM)&gt;0)*S_KOM)))</f>
        <v/>
      </c>
      <c r="O188" s="11" t="n"/>
      <c r="P188" s="10">
        <f>IF(O188="","",IFERROR(VLOOKUP(O188,T_KHID,2,FALSE),0))</f>
        <v/>
      </c>
      <c r="Q188" s="11" t="n"/>
      <c r="R188" s="11" t="n"/>
      <c r="S188" s="10">
        <f>IF(AND(Q188="",R188=""),"",IFERROR(INDEX(T_LIBAT,MATCH(Q188,L_PER,0),MATCH(R188,L_JENIS,0)),0))</f>
        <v/>
      </c>
      <c r="T188" s="11" t="n"/>
      <c r="U188" s="11" t="n"/>
      <c r="V188" s="10">
        <f>IF(AND(T188="",U188=""),"",IFERROR(INDEX(T_CAPAI,MATCH(T188,L_PER,0),MATCH(U188,L_KED,0)),0))</f>
        <v/>
      </c>
      <c r="W188" s="17">
        <f>IF(OR(B188="",E188="",COUNTA(F188,H188,J188:M188,O188,Q188:R188,T188:U188)=0),"",SUM(G188,I188,N188,P188,S188,V188))</f>
        <v/>
      </c>
      <c r="X188" s="18">
        <f>IF(W188="","",IF(Murid!F188="TL","TL",ROUND(W188/110*100,2)))</f>
        <v/>
      </c>
    </row>
    <row r="189">
      <c r="A189" s="15">
        <f>Murid!A189</f>
        <v/>
      </c>
      <c r="B189" s="15">
        <f>IF(Murid!B189="","",Murid!B189)</f>
        <v/>
      </c>
      <c r="C189" s="16">
        <f>IF(Murid!C189="","",Murid!C189)</f>
        <v/>
      </c>
      <c r="D189" s="15">
        <f>IF(Murid!E189="","",Murid!E189)</f>
        <v/>
      </c>
      <c r="E189" s="11" t="n"/>
      <c r="F189" s="11" t="n"/>
      <c r="G189" s="10">
        <f>IF(F189="","",IFERROR(VLOOKUP(F189,T_JUB,2,FALSE),0))</f>
        <v/>
      </c>
      <c r="H189" s="11" t="n"/>
      <c r="I189" s="17">
        <f>IF(H189="","",IF(H189&gt;=12,40,ROUND(H189*3.33,2)))</f>
        <v/>
      </c>
      <c r="J189" s="11" t="n"/>
      <c r="K189" s="11" t="n"/>
      <c r="L189" s="11" t="n"/>
      <c r="M189" s="11" t="n"/>
      <c r="N189" s="10">
        <f>IF(COUNTA(J189:M189)=0,"",MIN(10,SUMPRODUCT((COUNTIF(J189:M189,L_KOM)&gt;0)*S_KOM)))</f>
        <v/>
      </c>
      <c r="O189" s="11" t="n"/>
      <c r="P189" s="10">
        <f>IF(O189="","",IFERROR(VLOOKUP(O189,T_KHID,2,FALSE),0))</f>
        <v/>
      </c>
      <c r="Q189" s="11" t="n"/>
      <c r="R189" s="11" t="n"/>
      <c r="S189" s="10">
        <f>IF(AND(Q189="",R189=""),"",IFERROR(INDEX(T_LIBAT,MATCH(Q189,L_PER,0),MATCH(R189,L_JENIS,0)),0))</f>
        <v/>
      </c>
      <c r="T189" s="11" t="n"/>
      <c r="U189" s="11" t="n"/>
      <c r="V189" s="10">
        <f>IF(AND(T189="",U189=""),"",IFERROR(INDEX(T_CAPAI,MATCH(T189,L_PER,0),MATCH(U189,L_KED,0)),0))</f>
        <v/>
      </c>
      <c r="W189" s="17">
        <f>IF(OR(B189="",E189="",COUNTA(F189,H189,J189:M189,O189,Q189:R189,T189:U189)=0),"",SUM(G189,I189,N189,P189,S189,V189))</f>
        <v/>
      </c>
      <c r="X189" s="18">
        <f>IF(W189="","",IF(Murid!F189="TL","TL",ROUND(W189/110*100,2)))</f>
        <v/>
      </c>
    </row>
    <row r="190">
      <c r="A190" s="15">
        <f>Murid!A190</f>
        <v/>
      </c>
      <c r="B190" s="15">
        <f>IF(Murid!B190="","",Murid!B190)</f>
        <v/>
      </c>
      <c r="C190" s="16">
        <f>IF(Murid!C190="","",Murid!C190)</f>
        <v/>
      </c>
      <c r="D190" s="15">
        <f>IF(Murid!E190="","",Murid!E190)</f>
        <v/>
      </c>
      <c r="E190" s="11" t="n"/>
      <c r="F190" s="11" t="n"/>
      <c r="G190" s="10">
        <f>IF(F190="","",IFERROR(VLOOKUP(F190,T_JUB,2,FALSE),0))</f>
        <v/>
      </c>
      <c r="H190" s="11" t="n"/>
      <c r="I190" s="17">
        <f>IF(H190="","",IF(H190&gt;=12,40,ROUND(H190*3.33,2)))</f>
        <v/>
      </c>
      <c r="J190" s="11" t="n"/>
      <c r="K190" s="11" t="n"/>
      <c r="L190" s="11" t="n"/>
      <c r="M190" s="11" t="n"/>
      <c r="N190" s="10">
        <f>IF(COUNTA(J190:M190)=0,"",MIN(10,SUMPRODUCT((COUNTIF(J190:M190,L_KOM)&gt;0)*S_KOM)))</f>
        <v/>
      </c>
      <c r="O190" s="11" t="n"/>
      <c r="P190" s="10">
        <f>IF(O190="","",IFERROR(VLOOKUP(O190,T_KHID,2,FALSE),0))</f>
        <v/>
      </c>
      <c r="Q190" s="11" t="n"/>
      <c r="R190" s="11" t="n"/>
      <c r="S190" s="10">
        <f>IF(AND(Q190="",R190=""),"",IFERROR(INDEX(T_LIBAT,MATCH(Q190,L_PER,0),MATCH(R190,L_JENIS,0)),0))</f>
        <v/>
      </c>
      <c r="T190" s="11" t="n"/>
      <c r="U190" s="11" t="n"/>
      <c r="V190" s="10">
        <f>IF(AND(T190="",U190=""),"",IFERROR(INDEX(T_CAPAI,MATCH(T190,L_PER,0),MATCH(U190,L_KED,0)),0))</f>
        <v/>
      </c>
      <c r="W190" s="17">
        <f>IF(OR(B190="",E190="",COUNTA(F190,H190,J190:M190,O190,Q190:R190,T190:U190)=0),"",SUM(G190,I190,N190,P190,S190,V190))</f>
        <v/>
      </c>
      <c r="X190" s="18">
        <f>IF(W190="","",IF(Murid!F190="TL","TL",ROUND(W190/110*100,2)))</f>
        <v/>
      </c>
    </row>
    <row r="191">
      <c r="A191" s="15">
        <f>Murid!A191</f>
        <v/>
      </c>
      <c r="B191" s="15">
        <f>IF(Murid!B191="","",Murid!B191)</f>
        <v/>
      </c>
      <c r="C191" s="16">
        <f>IF(Murid!C191="","",Murid!C191)</f>
        <v/>
      </c>
      <c r="D191" s="15">
        <f>IF(Murid!E191="","",Murid!E191)</f>
        <v/>
      </c>
      <c r="E191" s="11" t="n"/>
      <c r="F191" s="11" t="n"/>
      <c r="G191" s="10">
        <f>IF(F191="","",IFERROR(VLOOKUP(F191,T_JUB,2,FALSE),0))</f>
        <v/>
      </c>
      <c r="H191" s="11" t="n"/>
      <c r="I191" s="17">
        <f>IF(H191="","",IF(H191&gt;=12,40,ROUND(H191*3.33,2)))</f>
        <v/>
      </c>
      <c r="J191" s="11" t="n"/>
      <c r="K191" s="11" t="n"/>
      <c r="L191" s="11" t="n"/>
      <c r="M191" s="11" t="n"/>
      <c r="N191" s="10">
        <f>IF(COUNTA(J191:M191)=0,"",MIN(10,SUMPRODUCT((COUNTIF(J191:M191,L_KOM)&gt;0)*S_KOM)))</f>
        <v/>
      </c>
      <c r="O191" s="11" t="n"/>
      <c r="P191" s="10">
        <f>IF(O191="","",IFERROR(VLOOKUP(O191,T_KHID,2,FALSE),0))</f>
        <v/>
      </c>
      <c r="Q191" s="11" t="n"/>
      <c r="R191" s="11" t="n"/>
      <c r="S191" s="10">
        <f>IF(AND(Q191="",R191=""),"",IFERROR(INDEX(T_LIBAT,MATCH(Q191,L_PER,0),MATCH(R191,L_JENIS,0)),0))</f>
        <v/>
      </c>
      <c r="T191" s="11" t="n"/>
      <c r="U191" s="11" t="n"/>
      <c r="V191" s="10">
        <f>IF(AND(T191="",U191=""),"",IFERROR(INDEX(T_CAPAI,MATCH(T191,L_PER,0),MATCH(U191,L_KED,0)),0))</f>
        <v/>
      </c>
      <c r="W191" s="17">
        <f>IF(OR(B191="",E191="",COUNTA(F191,H191,J191:M191,O191,Q191:R191,T191:U191)=0),"",SUM(G191,I191,N191,P191,S191,V191))</f>
        <v/>
      </c>
      <c r="X191" s="18">
        <f>IF(W191="","",IF(Murid!F191="TL","TL",ROUND(W191/110*100,2)))</f>
        <v/>
      </c>
    </row>
    <row r="192">
      <c r="A192" s="15">
        <f>Murid!A192</f>
        <v/>
      </c>
      <c r="B192" s="15">
        <f>IF(Murid!B192="","",Murid!B192)</f>
        <v/>
      </c>
      <c r="C192" s="16">
        <f>IF(Murid!C192="","",Murid!C192)</f>
        <v/>
      </c>
      <c r="D192" s="15">
        <f>IF(Murid!E192="","",Murid!E192)</f>
        <v/>
      </c>
      <c r="E192" s="11" t="n"/>
      <c r="F192" s="11" t="n"/>
      <c r="G192" s="10">
        <f>IF(F192="","",IFERROR(VLOOKUP(F192,T_JUB,2,FALSE),0))</f>
        <v/>
      </c>
      <c r="H192" s="11" t="n"/>
      <c r="I192" s="17">
        <f>IF(H192="","",IF(H192&gt;=12,40,ROUND(H192*3.33,2)))</f>
        <v/>
      </c>
      <c r="J192" s="11" t="n"/>
      <c r="K192" s="11" t="n"/>
      <c r="L192" s="11" t="n"/>
      <c r="M192" s="11" t="n"/>
      <c r="N192" s="10">
        <f>IF(COUNTA(J192:M192)=0,"",MIN(10,SUMPRODUCT((COUNTIF(J192:M192,L_KOM)&gt;0)*S_KOM)))</f>
        <v/>
      </c>
      <c r="O192" s="11" t="n"/>
      <c r="P192" s="10">
        <f>IF(O192="","",IFERROR(VLOOKUP(O192,T_KHID,2,FALSE),0))</f>
        <v/>
      </c>
      <c r="Q192" s="11" t="n"/>
      <c r="R192" s="11" t="n"/>
      <c r="S192" s="10">
        <f>IF(AND(Q192="",R192=""),"",IFERROR(INDEX(T_LIBAT,MATCH(Q192,L_PER,0),MATCH(R192,L_JENIS,0)),0))</f>
        <v/>
      </c>
      <c r="T192" s="11" t="n"/>
      <c r="U192" s="11" t="n"/>
      <c r="V192" s="10">
        <f>IF(AND(T192="",U192=""),"",IFERROR(INDEX(T_CAPAI,MATCH(T192,L_PER,0),MATCH(U192,L_KED,0)),0))</f>
        <v/>
      </c>
      <c r="W192" s="17">
        <f>IF(OR(B192="",E192="",COUNTA(F192,H192,J192:M192,O192,Q192:R192,T192:U192)=0),"",SUM(G192,I192,N192,P192,S192,V192))</f>
        <v/>
      </c>
      <c r="X192" s="18">
        <f>IF(W192="","",IF(Murid!F192="TL","TL",ROUND(W192/110*100,2)))</f>
        <v/>
      </c>
    </row>
    <row r="193">
      <c r="A193" s="15">
        <f>Murid!A193</f>
        <v/>
      </c>
      <c r="B193" s="15">
        <f>IF(Murid!B193="","",Murid!B193)</f>
        <v/>
      </c>
      <c r="C193" s="16">
        <f>IF(Murid!C193="","",Murid!C193)</f>
        <v/>
      </c>
      <c r="D193" s="15">
        <f>IF(Murid!E193="","",Murid!E193)</f>
        <v/>
      </c>
      <c r="E193" s="11" t="n"/>
      <c r="F193" s="11" t="n"/>
      <c r="G193" s="10">
        <f>IF(F193="","",IFERROR(VLOOKUP(F193,T_JUB,2,FALSE),0))</f>
        <v/>
      </c>
      <c r="H193" s="11" t="n"/>
      <c r="I193" s="17">
        <f>IF(H193="","",IF(H193&gt;=12,40,ROUND(H193*3.33,2)))</f>
        <v/>
      </c>
      <c r="J193" s="11" t="n"/>
      <c r="K193" s="11" t="n"/>
      <c r="L193" s="11" t="n"/>
      <c r="M193" s="11" t="n"/>
      <c r="N193" s="10">
        <f>IF(COUNTA(J193:M193)=0,"",MIN(10,SUMPRODUCT((COUNTIF(J193:M193,L_KOM)&gt;0)*S_KOM)))</f>
        <v/>
      </c>
      <c r="O193" s="11" t="n"/>
      <c r="P193" s="10">
        <f>IF(O193="","",IFERROR(VLOOKUP(O193,T_KHID,2,FALSE),0))</f>
        <v/>
      </c>
      <c r="Q193" s="11" t="n"/>
      <c r="R193" s="11" t="n"/>
      <c r="S193" s="10">
        <f>IF(AND(Q193="",R193=""),"",IFERROR(INDEX(T_LIBAT,MATCH(Q193,L_PER,0),MATCH(R193,L_JENIS,0)),0))</f>
        <v/>
      </c>
      <c r="T193" s="11" t="n"/>
      <c r="U193" s="11" t="n"/>
      <c r="V193" s="10">
        <f>IF(AND(T193="",U193=""),"",IFERROR(INDEX(T_CAPAI,MATCH(T193,L_PER,0),MATCH(U193,L_KED,0)),0))</f>
        <v/>
      </c>
      <c r="W193" s="17">
        <f>IF(OR(B193="",E193="",COUNTA(F193,H193,J193:M193,O193,Q193:R193,T193:U193)=0),"",SUM(G193,I193,N193,P193,S193,V193))</f>
        <v/>
      </c>
      <c r="X193" s="18">
        <f>IF(W193="","",IF(Murid!F193="TL","TL",ROUND(W193/110*100,2)))</f>
        <v/>
      </c>
    </row>
    <row r="194">
      <c r="A194" s="15">
        <f>Murid!A194</f>
        <v/>
      </c>
      <c r="B194" s="15">
        <f>IF(Murid!B194="","",Murid!B194)</f>
        <v/>
      </c>
      <c r="C194" s="16">
        <f>IF(Murid!C194="","",Murid!C194)</f>
        <v/>
      </c>
      <c r="D194" s="15">
        <f>IF(Murid!E194="","",Murid!E194)</f>
        <v/>
      </c>
      <c r="E194" s="11" t="n"/>
      <c r="F194" s="11" t="n"/>
      <c r="G194" s="10">
        <f>IF(F194="","",IFERROR(VLOOKUP(F194,T_JUB,2,FALSE),0))</f>
        <v/>
      </c>
      <c r="H194" s="11" t="n"/>
      <c r="I194" s="17">
        <f>IF(H194="","",IF(H194&gt;=12,40,ROUND(H194*3.33,2)))</f>
        <v/>
      </c>
      <c r="J194" s="11" t="n"/>
      <c r="K194" s="11" t="n"/>
      <c r="L194" s="11" t="n"/>
      <c r="M194" s="11" t="n"/>
      <c r="N194" s="10">
        <f>IF(COUNTA(J194:M194)=0,"",MIN(10,SUMPRODUCT((COUNTIF(J194:M194,L_KOM)&gt;0)*S_KOM)))</f>
        <v/>
      </c>
      <c r="O194" s="11" t="n"/>
      <c r="P194" s="10">
        <f>IF(O194="","",IFERROR(VLOOKUP(O194,T_KHID,2,FALSE),0))</f>
        <v/>
      </c>
      <c r="Q194" s="11" t="n"/>
      <c r="R194" s="11" t="n"/>
      <c r="S194" s="10">
        <f>IF(AND(Q194="",R194=""),"",IFERROR(INDEX(T_LIBAT,MATCH(Q194,L_PER,0),MATCH(R194,L_JENIS,0)),0))</f>
        <v/>
      </c>
      <c r="T194" s="11" t="n"/>
      <c r="U194" s="11" t="n"/>
      <c r="V194" s="10">
        <f>IF(AND(T194="",U194=""),"",IFERROR(INDEX(T_CAPAI,MATCH(T194,L_PER,0),MATCH(U194,L_KED,0)),0))</f>
        <v/>
      </c>
      <c r="W194" s="17">
        <f>IF(OR(B194="",E194="",COUNTA(F194,H194,J194:M194,O194,Q194:R194,T194:U194)=0),"",SUM(G194,I194,N194,P194,S194,V194))</f>
        <v/>
      </c>
      <c r="X194" s="18">
        <f>IF(W194="","",IF(Murid!F194="TL","TL",ROUND(W194/110*100,2)))</f>
        <v/>
      </c>
    </row>
    <row r="195">
      <c r="A195" s="15">
        <f>Murid!A195</f>
        <v/>
      </c>
      <c r="B195" s="15">
        <f>IF(Murid!B195="","",Murid!B195)</f>
        <v/>
      </c>
      <c r="C195" s="16">
        <f>IF(Murid!C195="","",Murid!C195)</f>
        <v/>
      </c>
      <c r="D195" s="15">
        <f>IF(Murid!E195="","",Murid!E195)</f>
        <v/>
      </c>
      <c r="E195" s="11" t="n"/>
      <c r="F195" s="11" t="n"/>
      <c r="G195" s="10">
        <f>IF(F195="","",IFERROR(VLOOKUP(F195,T_JUB,2,FALSE),0))</f>
        <v/>
      </c>
      <c r="H195" s="11" t="n"/>
      <c r="I195" s="17">
        <f>IF(H195="","",IF(H195&gt;=12,40,ROUND(H195*3.33,2)))</f>
        <v/>
      </c>
      <c r="J195" s="11" t="n"/>
      <c r="K195" s="11" t="n"/>
      <c r="L195" s="11" t="n"/>
      <c r="M195" s="11" t="n"/>
      <c r="N195" s="10">
        <f>IF(COUNTA(J195:M195)=0,"",MIN(10,SUMPRODUCT((COUNTIF(J195:M195,L_KOM)&gt;0)*S_KOM)))</f>
        <v/>
      </c>
      <c r="O195" s="11" t="n"/>
      <c r="P195" s="10">
        <f>IF(O195="","",IFERROR(VLOOKUP(O195,T_KHID,2,FALSE),0))</f>
        <v/>
      </c>
      <c r="Q195" s="11" t="n"/>
      <c r="R195" s="11" t="n"/>
      <c r="S195" s="10">
        <f>IF(AND(Q195="",R195=""),"",IFERROR(INDEX(T_LIBAT,MATCH(Q195,L_PER,0),MATCH(R195,L_JENIS,0)),0))</f>
        <v/>
      </c>
      <c r="T195" s="11" t="n"/>
      <c r="U195" s="11" t="n"/>
      <c r="V195" s="10">
        <f>IF(AND(T195="",U195=""),"",IFERROR(INDEX(T_CAPAI,MATCH(T195,L_PER,0),MATCH(U195,L_KED,0)),0))</f>
        <v/>
      </c>
      <c r="W195" s="17">
        <f>IF(OR(B195="",E195="",COUNTA(F195,H195,J195:M195,O195,Q195:R195,T195:U195)=0),"",SUM(G195,I195,N195,P195,S195,V195))</f>
        <v/>
      </c>
      <c r="X195" s="18">
        <f>IF(W195="","",IF(Murid!F195="TL","TL",ROUND(W195/110*100,2)))</f>
        <v/>
      </c>
    </row>
    <row r="196">
      <c r="A196" s="15">
        <f>Murid!A196</f>
        <v/>
      </c>
      <c r="B196" s="15">
        <f>IF(Murid!B196="","",Murid!B196)</f>
        <v/>
      </c>
      <c r="C196" s="16">
        <f>IF(Murid!C196="","",Murid!C196)</f>
        <v/>
      </c>
      <c r="D196" s="15">
        <f>IF(Murid!E196="","",Murid!E196)</f>
        <v/>
      </c>
      <c r="E196" s="11" t="n"/>
      <c r="F196" s="11" t="n"/>
      <c r="G196" s="10">
        <f>IF(F196="","",IFERROR(VLOOKUP(F196,T_JUB,2,FALSE),0))</f>
        <v/>
      </c>
      <c r="H196" s="11" t="n"/>
      <c r="I196" s="17">
        <f>IF(H196="","",IF(H196&gt;=12,40,ROUND(H196*3.33,2)))</f>
        <v/>
      </c>
      <c r="J196" s="11" t="n"/>
      <c r="K196" s="11" t="n"/>
      <c r="L196" s="11" t="n"/>
      <c r="M196" s="11" t="n"/>
      <c r="N196" s="10">
        <f>IF(COUNTA(J196:M196)=0,"",MIN(10,SUMPRODUCT((COUNTIF(J196:M196,L_KOM)&gt;0)*S_KOM)))</f>
        <v/>
      </c>
      <c r="O196" s="11" t="n"/>
      <c r="P196" s="10">
        <f>IF(O196="","",IFERROR(VLOOKUP(O196,T_KHID,2,FALSE),0))</f>
        <v/>
      </c>
      <c r="Q196" s="11" t="n"/>
      <c r="R196" s="11" t="n"/>
      <c r="S196" s="10">
        <f>IF(AND(Q196="",R196=""),"",IFERROR(INDEX(T_LIBAT,MATCH(Q196,L_PER,0),MATCH(R196,L_JENIS,0)),0))</f>
        <v/>
      </c>
      <c r="T196" s="11" t="n"/>
      <c r="U196" s="11" t="n"/>
      <c r="V196" s="10">
        <f>IF(AND(T196="",U196=""),"",IFERROR(INDEX(T_CAPAI,MATCH(T196,L_PER,0),MATCH(U196,L_KED,0)),0))</f>
        <v/>
      </c>
      <c r="W196" s="17">
        <f>IF(OR(B196="",E196="",COUNTA(F196,H196,J196:M196,O196,Q196:R196,T196:U196)=0),"",SUM(G196,I196,N196,P196,S196,V196))</f>
        <v/>
      </c>
      <c r="X196" s="18">
        <f>IF(W196="","",IF(Murid!F196="TL","TL",ROUND(W196/110*100,2)))</f>
        <v/>
      </c>
    </row>
    <row r="197">
      <c r="A197" s="15">
        <f>Murid!A197</f>
        <v/>
      </c>
      <c r="B197" s="15">
        <f>IF(Murid!B197="","",Murid!B197)</f>
        <v/>
      </c>
      <c r="C197" s="16">
        <f>IF(Murid!C197="","",Murid!C197)</f>
        <v/>
      </c>
      <c r="D197" s="15">
        <f>IF(Murid!E197="","",Murid!E197)</f>
        <v/>
      </c>
      <c r="E197" s="11" t="n"/>
      <c r="F197" s="11" t="n"/>
      <c r="G197" s="10">
        <f>IF(F197="","",IFERROR(VLOOKUP(F197,T_JUB,2,FALSE),0))</f>
        <v/>
      </c>
      <c r="H197" s="11" t="n"/>
      <c r="I197" s="17">
        <f>IF(H197="","",IF(H197&gt;=12,40,ROUND(H197*3.33,2)))</f>
        <v/>
      </c>
      <c r="J197" s="11" t="n"/>
      <c r="K197" s="11" t="n"/>
      <c r="L197" s="11" t="n"/>
      <c r="M197" s="11" t="n"/>
      <c r="N197" s="10">
        <f>IF(COUNTA(J197:M197)=0,"",MIN(10,SUMPRODUCT((COUNTIF(J197:M197,L_KOM)&gt;0)*S_KOM)))</f>
        <v/>
      </c>
      <c r="O197" s="11" t="n"/>
      <c r="P197" s="10">
        <f>IF(O197="","",IFERROR(VLOOKUP(O197,T_KHID,2,FALSE),0))</f>
        <v/>
      </c>
      <c r="Q197" s="11" t="n"/>
      <c r="R197" s="11" t="n"/>
      <c r="S197" s="10">
        <f>IF(AND(Q197="",R197=""),"",IFERROR(INDEX(T_LIBAT,MATCH(Q197,L_PER,0),MATCH(R197,L_JENIS,0)),0))</f>
        <v/>
      </c>
      <c r="T197" s="11" t="n"/>
      <c r="U197" s="11" t="n"/>
      <c r="V197" s="10">
        <f>IF(AND(T197="",U197=""),"",IFERROR(INDEX(T_CAPAI,MATCH(T197,L_PER,0),MATCH(U197,L_KED,0)),0))</f>
        <v/>
      </c>
      <c r="W197" s="17">
        <f>IF(OR(B197="",E197="",COUNTA(F197,H197,J197:M197,O197,Q197:R197,T197:U197)=0),"",SUM(G197,I197,N197,P197,S197,V197))</f>
        <v/>
      </c>
      <c r="X197" s="18">
        <f>IF(W197="","",IF(Murid!F197="TL","TL",ROUND(W197/110*100,2)))</f>
        <v/>
      </c>
    </row>
    <row r="198">
      <c r="A198" s="15">
        <f>Murid!A198</f>
        <v/>
      </c>
      <c r="B198" s="15">
        <f>IF(Murid!B198="","",Murid!B198)</f>
        <v/>
      </c>
      <c r="C198" s="16">
        <f>IF(Murid!C198="","",Murid!C198)</f>
        <v/>
      </c>
      <c r="D198" s="15">
        <f>IF(Murid!E198="","",Murid!E198)</f>
        <v/>
      </c>
      <c r="E198" s="11" t="n"/>
      <c r="F198" s="11" t="n"/>
      <c r="G198" s="10">
        <f>IF(F198="","",IFERROR(VLOOKUP(F198,T_JUB,2,FALSE),0))</f>
        <v/>
      </c>
      <c r="H198" s="11" t="n"/>
      <c r="I198" s="17">
        <f>IF(H198="","",IF(H198&gt;=12,40,ROUND(H198*3.33,2)))</f>
        <v/>
      </c>
      <c r="J198" s="11" t="n"/>
      <c r="K198" s="11" t="n"/>
      <c r="L198" s="11" t="n"/>
      <c r="M198" s="11" t="n"/>
      <c r="N198" s="10">
        <f>IF(COUNTA(J198:M198)=0,"",MIN(10,SUMPRODUCT((COUNTIF(J198:M198,L_KOM)&gt;0)*S_KOM)))</f>
        <v/>
      </c>
      <c r="O198" s="11" t="n"/>
      <c r="P198" s="10">
        <f>IF(O198="","",IFERROR(VLOOKUP(O198,T_KHID,2,FALSE),0))</f>
        <v/>
      </c>
      <c r="Q198" s="11" t="n"/>
      <c r="R198" s="11" t="n"/>
      <c r="S198" s="10">
        <f>IF(AND(Q198="",R198=""),"",IFERROR(INDEX(T_LIBAT,MATCH(Q198,L_PER,0),MATCH(R198,L_JENIS,0)),0))</f>
        <v/>
      </c>
      <c r="T198" s="11" t="n"/>
      <c r="U198" s="11" t="n"/>
      <c r="V198" s="10">
        <f>IF(AND(T198="",U198=""),"",IFERROR(INDEX(T_CAPAI,MATCH(T198,L_PER,0),MATCH(U198,L_KED,0)),0))</f>
        <v/>
      </c>
      <c r="W198" s="17">
        <f>IF(OR(B198="",E198="",COUNTA(F198,H198,J198:M198,O198,Q198:R198,T198:U198)=0),"",SUM(G198,I198,N198,P198,S198,V198))</f>
        <v/>
      </c>
      <c r="X198" s="18">
        <f>IF(W198="","",IF(Murid!F198="TL","TL",ROUND(W198/110*100,2)))</f>
        <v/>
      </c>
    </row>
    <row r="199">
      <c r="A199" s="15">
        <f>Murid!A199</f>
        <v/>
      </c>
      <c r="B199" s="15">
        <f>IF(Murid!B199="","",Murid!B199)</f>
        <v/>
      </c>
      <c r="C199" s="16">
        <f>IF(Murid!C199="","",Murid!C199)</f>
        <v/>
      </c>
      <c r="D199" s="15">
        <f>IF(Murid!E199="","",Murid!E199)</f>
        <v/>
      </c>
      <c r="E199" s="11" t="n"/>
      <c r="F199" s="11" t="n"/>
      <c r="G199" s="10">
        <f>IF(F199="","",IFERROR(VLOOKUP(F199,T_JUB,2,FALSE),0))</f>
        <v/>
      </c>
      <c r="H199" s="11" t="n"/>
      <c r="I199" s="17">
        <f>IF(H199="","",IF(H199&gt;=12,40,ROUND(H199*3.33,2)))</f>
        <v/>
      </c>
      <c r="J199" s="11" t="n"/>
      <c r="K199" s="11" t="n"/>
      <c r="L199" s="11" t="n"/>
      <c r="M199" s="11" t="n"/>
      <c r="N199" s="10">
        <f>IF(COUNTA(J199:M199)=0,"",MIN(10,SUMPRODUCT((COUNTIF(J199:M199,L_KOM)&gt;0)*S_KOM)))</f>
        <v/>
      </c>
      <c r="O199" s="11" t="n"/>
      <c r="P199" s="10">
        <f>IF(O199="","",IFERROR(VLOOKUP(O199,T_KHID,2,FALSE),0))</f>
        <v/>
      </c>
      <c r="Q199" s="11" t="n"/>
      <c r="R199" s="11" t="n"/>
      <c r="S199" s="10">
        <f>IF(AND(Q199="",R199=""),"",IFERROR(INDEX(T_LIBAT,MATCH(Q199,L_PER,0),MATCH(R199,L_JENIS,0)),0))</f>
        <v/>
      </c>
      <c r="T199" s="11" t="n"/>
      <c r="U199" s="11" t="n"/>
      <c r="V199" s="10">
        <f>IF(AND(T199="",U199=""),"",IFERROR(INDEX(T_CAPAI,MATCH(T199,L_PER,0),MATCH(U199,L_KED,0)),0))</f>
        <v/>
      </c>
      <c r="W199" s="17">
        <f>IF(OR(B199="",E199="",COUNTA(F199,H199,J199:M199,O199,Q199:R199,T199:U199)=0),"",SUM(G199,I199,N199,P199,S199,V199))</f>
        <v/>
      </c>
      <c r="X199" s="18">
        <f>IF(W199="","",IF(Murid!F199="TL","TL",ROUND(W199/110*100,2)))</f>
        <v/>
      </c>
    </row>
    <row r="200">
      <c r="A200" s="15">
        <f>Murid!A200</f>
        <v/>
      </c>
      <c r="B200" s="15">
        <f>IF(Murid!B200="","",Murid!B200)</f>
        <v/>
      </c>
      <c r="C200" s="16">
        <f>IF(Murid!C200="","",Murid!C200)</f>
        <v/>
      </c>
      <c r="D200" s="15">
        <f>IF(Murid!E200="","",Murid!E200)</f>
        <v/>
      </c>
      <c r="E200" s="11" t="n"/>
      <c r="F200" s="11" t="n"/>
      <c r="G200" s="10">
        <f>IF(F200="","",IFERROR(VLOOKUP(F200,T_JUB,2,FALSE),0))</f>
        <v/>
      </c>
      <c r="H200" s="11" t="n"/>
      <c r="I200" s="17">
        <f>IF(H200="","",IF(H200&gt;=12,40,ROUND(H200*3.33,2)))</f>
        <v/>
      </c>
      <c r="J200" s="11" t="n"/>
      <c r="K200" s="11" t="n"/>
      <c r="L200" s="11" t="n"/>
      <c r="M200" s="11" t="n"/>
      <c r="N200" s="10">
        <f>IF(COUNTA(J200:M200)=0,"",MIN(10,SUMPRODUCT((COUNTIF(J200:M200,L_KOM)&gt;0)*S_KOM)))</f>
        <v/>
      </c>
      <c r="O200" s="11" t="n"/>
      <c r="P200" s="10">
        <f>IF(O200="","",IFERROR(VLOOKUP(O200,T_KHID,2,FALSE),0))</f>
        <v/>
      </c>
      <c r="Q200" s="11" t="n"/>
      <c r="R200" s="11" t="n"/>
      <c r="S200" s="10">
        <f>IF(AND(Q200="",R200=""),"",IFERROR(INDEX(T_LIBAT,MATCH(Q200,L_PER,0),MATCH(R200,L_JENIS,0)),0))</f>
        <v/>
      </c>
      <c r="T200" s="11" t="n"/>
      <c r="U200" s="11" t="n"/>
      <c r="V200" s="10">
        <f>IF(AND(T200="",U200=""),"",IFERROR(INDEX(T_CAPAI,MATCH(T200,L_PER,0),MATCH(U200,L_KED,0)),0))</f>
        <v/>
      </c>
      <c r="W200" s="17">
        <f>IF(OR(B200="",E200="",COUNTA(F200,H200,J200:M200,O200,Q200:R200,T200:U200)=0),"",SUM(G200,I200,N200,P200,S200,V200))</f>
        <v/>
      </c>
      <c r="X200" s="18">
        <f>IF(W200="","",IF(Murid!F200="TL","TL",ROUND(W200/110*100,2)))</f>
        <v/>
      </c>
    </row>
    <row r="201">
      <c r="A201" s="15">
        <f>Murid!A201</f>
        <v/>
      </c>
      <c r="B201" s="15">
        <f>IF(Murid!B201="","",Murid!B201)</f>
        <v/>
      </c>
      <c r="C201" s="16">
        <f>IF(Murid!C201="","",Murid!C201)</f>
        <v/>
      </c>
      <c r="D201" s="15">
        <f>IF(Murid!E201="","",Murid!E201)</f>
        <v/>
      </c>
      <c r="E201" s="11" t="n"/>
      <c r="F201" s="11" t="n"/>
      <c r="G201" s="10">
        <f>IF(F201="","",IFERROR(VLOOKUP(F201,T_JUB,2,FALSE),0))</f>
        <v/>
      </c>
      <c r="H201" s="11" t="n"/>
      <c r="I201" s="17">
        <f>IF(H201="","",IF(H201&gt;=12,40,ROUND(H201*3.33,2)))</f>
        <v/>
      </c>
      <c r="J201" s="11" t="n"/>
      <c r="K201" s="11" t="n"/>
      <c r="L201" s="11" t="n"/>
      <c r="M201" s="11" t="n"/>
      <c r="N201" s="10">
        <f>IF(COUNTA(J201:M201)=0,"",MIN(10,SUMPRODUCT((COUNTIF(J201:M201,L_KOM)&gt;0)*S_KOM)))</f>
        <v/>
      </c>
      <c r="O201" s="11" t="n"/>
      <c r="P201" s="10">
        <f>IF(O201="","",IFERROR(VLOOKUP(O201,T_KHID,2,FALSE),0))</f>
        <v/>
      </c>
      <c r="Q201" s="11" t="n"/>
      <c r="R201" s="11" t="n"/>
      <c r="S201" s="10">
        <f>IF(AND(Q201="",R201=""),"",IFERROR(INDEX(T_LIBAT,MATCH(Q201,L_PER,0),MATCH(R201,L_JENIS,0)),0))</f>
        <v/>
      </c>
      <c r="T201" s="11" t="n"/>
      <c r="U201" s="11" t="n"/>
      <c r="V201" s="10">
        <f>IF(AND(T201="",U201=""),"",IFERROR(INDEX(T_CAPAI,MATCH(T201,L_PER,0),MATCH(U201,L_KED,0)),0))</f>
        <v/>
      </c>
      <c r="W201" s="17">
        <f>IF(OR(B201="",E201="",COUNTA(F201,H201,J201:M201,O201,Q201:R201,T201:U201)=0),"",SUM(G201,I201,N201,P201,S201,V201))</f>
        <v/>
      </c>
      <c r="X201" s="18">
        <f>IF(W201="","",IF(Murid!F201="TL","TL",ROUND(W201/110*100,2)))</f>
        <v/>
      </c>
    </row>
    <row r="202">
      <c r="A202" s="15">
        <f>Murid!A202</f>
        <v/>
      </c>
      <c r="B202" s="15">
        <f>IF(Murid!B202="","",Murid!B202)</f>
        <v/>
      </c>
      <c r="C202" s="16">
        <f>IF(Murid!C202="","",Murid!C202)</f>
        <v/>
      </c>
      <c r="D202" s="15">
        <f>IF(Murid!E202="","",Murid!E202)</f>
        <v/>
      </c>
      <c r="E202" s="11" t="n"/>
      <c r="F202" s="11" t="n"/>
      <c r="G202" s="10">
        <f>IF(F202="","",IFERROR(VLOOKUP(F202,T_JUB,2,FALSE),0))</f>
        <v/>
      </c>
      <c r="H202" s="11" t="n"/>
      <c r="I202" s="17">
        <f>IF(H202="","",IF(H202&gt;=12,40,ROUND(H202*3.33,2)))</f>
        <v/>
      </c>
      <c r="J202" s="11" t="n"/>
      <c r="K202" s="11" t="n"/>
      <c r="L202" s="11" t="n"/>
      <c r="M202" s="11" t="n"/>
      <c r="N202" s="10">
        <f>IF(COUNTA(J202:M202)=0,"",MIN(10,SUMPRODUCT((COUNTIF(J202:M202,L_KOM)&gt;0)*S_KOM)))</f>
        <v/>
      </c>
      <c r="O202" s="11" t="n"/>
      <c r="P202" s="10">
        <f>IF(O202="","",IFERROR(VLOOKUP(O202,T_KHID,2,FALSE),0))</f>
        <v/>
      </c>
      <c r="Q202" s="11" t="n"/>
      <c r="R202" s="11" t="n"/>
      <c r="S202" s="10">
        <f>IF(AND(Q202="",R202=""),"",IFERROR(INDEX(T_LIBAT,MATCH(Q202,L_PER,0),MATCH(R202,L_JENIS,0)),0))</f>
        <v/>
      </c>
      <c r="T202" s="11" t="n"/>
      <c r="U202" s="11" t="n"/>
      <c r="V202" s="10">
        <f>IF(AND(T202="",U202=""),"",IFERROR(INDEX(T_CAPAI,MATCH(T202,L_PER,0),MATCH(U202,L_KED,0)),0))</f>
        <v/>
      </c>
      <c r="W202" s="17">
        <f>IF(OR(B202="",E202="",COUNTA(F202,H202,J202:M202,O202,Q202:R202,T202:U202)=0),"",SUM(G202,I202,N202,P202,S202,V202))</f>
        <v/>
      </c>
      <c r="X202" s="18">
        <f>IF(W202="","",IF(Murid!F202="TL","TL",ROUND(W202/110*100,2)))</f>
        <v/>
      </c>
    </row>
    <row r="203">
      <c r="A203" s="15">
        <f>Murid!A203</f>
        <v/>
      </c>
      <c r="B203" s="15">
        <f>IF(Murid!B203="","",Murid!B203)</f>
        <v/>
      </c>
      <c r="C203" s="16">
        <f>IF(Murid!C203="","",Murid!C203)</f>
        <v/>
      </c>
      <c r="D203" s="15">
        <f>IF(Murid!E203="","",Murid!E203)</f>
        <v/>
      </c>
      <c r="E203" s="11" t="n"/>
      <c r="F203" s="11" t="n"/>
      <c r="G203" s="10">
        <f>IF(F203="","",IFERROR(VLOOKUP(F203,T_JUB,2,FALSE),0))</f>
        <v/>
      </c>
      <c r="H203" s="11" t="n"/>
      <c r="I203" s="17">
        <f>IF(H203="","",IF(H203&gt;=12,40,ROUND(H203*3.33,2)))</f>
        <v/>
      </c>
      <c r="J203" s="11" t="n"/>
      <c r="K203" s="11" t="n"/>
      <c r="L203" s="11" t="n"/>
      <c r="M203" s="11" t="n"/>
      <c r="N203" s="10">
        <f>IF(COUNTA(J203:M203)=0,"",MIN(10,SUMPRODUCT((COUNTIF(J203:M203,L_KOM)&gt;0)*S_KOM)))</f>
        <v/>
      </c>
      <c r="O203" s="11" t="n"/>
      <c r="P203" s="10">
        <f>IF(O203="","",IFERROR(VLOOKUP(O203,T_KHID,2,FALSE),0))</f>
        <v/>
      </c>
      <c r="Q203" s="11" t="n"/>
      <c r="R203" s="11" t="n"/>
      <c r="S203" s="10">
        <f>IF(AND(Q203="",R203=""),"",IFERROR(INDEX(T_LIBAT,MATCH(Q203,L_PER,0),MATCH(R203,L_JENIS,0)),0))</f>
        <v/>
      </c>
      <c r="T203" s="11" t="n"/>
      <c r="U203" s="11" t="n"/>
      <c r="V203" s="10">
        <f>IF(AND(T203="",U203=""),"",IFERROR(INDEX(T_CAPAI,MATCH(T203,L_PER,0),MATCH(U203,L_KED,0)),0))</f>
        <v/>
      </c>
      <c r="W203" s="17">
        <f>IF(OR(B203="",E203="",COUNTA(F203,H203,J203:M203,O203,Q203:R203,T203:U203)=0),"",SUM(G203,I203,N203,P203,S203,V203))</f>
        <v/>
      </c>
      <c r="X203" s="18">
        <f>IF(W203="","",IF(Murid!F203="TL","TL",ROUND(W203/110*100,2)))</f>
        <v/>
      </c>
    </row>
    <row r="204">
      <c r="A204" s="15">
        <f>Murid!A204</f>
        <v/>
      </c>
      <c r="B204" s="15">
        <f>IF(Murid!B204="","",Murid!B204)</f>
        <v/>
      </c>
      <c r="C204" s="16">
        <f>IF(Murid!C204="","",Murid!C204)</f>
        <v/>
      </c>
      <c r="D204" s="15">
        <f>IF(Murid!E204="","",Murid!E204)</f>
        <v/>
      </c>
      <c r="E204" s="11" t="n"/>
      <c r="F204" s="11" t="n"/>
      <c r="G204" s="10">
        <f>IF(F204="","",IFERROR(VLOOKUP(F204,T_JUB,2,FALSE),0))</f>
        <v/>
      </c>
      <c r="H204" s="11" t="n"/>
      <c r="I204" s="17">
        <f>IF(H204="","",IF(H204&gt;=12,40,ROUND(H204*3.33,2)))</f>
        <v/>
      </c>
      <c r="J204" s="11" t="n"/>
      <c r="K204" s="11" t="n"/>
      <c r="L204" s="11" t="n"/>
      <c r="M204" s="11" t="n"/>
      <c r="N204" s="10">
        <f>IF(COUNTA(J204:M204)=0,"",MIN(10,SUMPRODUCT((COUNTIF(J204:M204,L_KOM)&gt;0)*S_KOM)))</f>
        <v/>
      </c>
      <c r="O204" s="11" t="n"/>
      <c r="P204" s="10">
        <f>IF(O204="","",IFERROR(VLOOKUP(O204,T_KHID,2,FALSE),0))</f>
        <v/>
      </c>
      <c r="Q204" s="11" t="n"/>
      <c r="R204" s="11" t="n"/>
      <c r="S204" s="10">
        <f>IF(AND(Q204="",R204=""),"",IFERROR(INDEX(T_LIBAT,MATCH(Q204,L_PER,0),MATCH(R204,L_JENIS,0)),0))</f>
        <v/>
      </c>
      <c r="T204" s="11" t="n"/>
      <c r="U204" s="11" t="n"/>
      <c r="V204" s="10">
        <f>IF(AND(T204="",U204=""),"",IFERROR(INDEX(T_CAPAI,MATCH(T204,L_PER,0),MATCH(U204,L_KED,0)),0))</f>
        <v/>
      </c>
      <c r="W204" s="17">
        <f>IF(OR(B204="",E204="",COUNTA(F204,H204,J204:M204,O204,Q204:R204,T204:U204)=0),"",SUM(G204,I204,N204,P204,S204,V204))</f>
        <v/>
      </c>
      <c r="X204" s="18">
        <f>IF(W204="","",IF(Murid!F204="TL","TL",ROUND(W204/110*100,2)))</f>
        <v/>
      </c>
    </row>
    <row r="205">
      <c r="A205" s="15">
        <f>Murid!A205</f>
        <v/>
      </c>
      <c r="B205" s="15">
        <f>IF(Murid!B205="","",Murid!B205)</f>
        <v/>
      </c>
      <c r="C205" s="16">
        <f>IF(Murid!C205="","",Murid!C205)</f>
        <v/>
      </c>
      <c r="D205" s="15">
        <f>IF(Murid!E205="","",Murid!E205)</f>
        <v/>
      </c>
      <c r="E205" s="11" t="n"/>
      <c r="F205" s="11" t="n"/>
      <c r="G205" s="10">
        <f>IF(F205="","",IFERROR(VLOOKUP(F205,T_JUB,2,FALSE),0))</f>
        <v/>
      </c>
      <c r="H205" s="11" t="n"/>
      <c r="I205" s="17">
        <f>IF(H205="","",IF(H205&gt;=12,40,ROUND(H205*3.33,2)))</f>
        <v/>
      </c>
      <c r="J205" s="11" t="n"/>
      <c r="K205" s="11" t="n"/>
      <c r="L205" s="11" t="n"/>
      <c r="M205" s="11" t="n"/>
      <c r="N205" s="10">
        <f>IF(COUNTA(J205:M205)=0,"",MIN(10,SUMPRODUCT((COUNTIF(J205:M205,L_KOM)&gt;0)*S_KOM)))</f>
        <v/>
      </c>
      <c r="O205" s="11" t="n"/>
      <c r="P205" s="10">
        <f>IF(O205="","",IFERROR(VLOOKUP(O205,T_KHID,2,FALSE),0))</f>
        <v/>
      </c>
      <c r="Q205" s="11" t="n"/>
      <c r="R205" s="11" t="n"/>
      <c r="S205" s="10">
        <f>IF(AND(Q205="",R205=""),"",IFERROR(INDEX(T_LIBAT,MATCH(Q205,L_PER,0),MATCH(R205,L_JENIS,0)),0))</f>
        <v/>
      </c>
      <c r="T205" s="11" t="n"/>
      <c r="U205" s="11" t="n"/>
      <c r="V205" s="10">
        <f>IF(AND(T205="",U205=""),"",IFERROR(INDEX(T_CAPAI,MATCH(T205,L_PER,0),MATCH(U205,L_KED,0)),0))</f>
        <v/>
      </c>
      <c r="W205" s="17">
        <f>IF(OR(B205="",E205="",COUNTA(F205,H205,J205:M205,O205,Q205:R205,T205:U205)=0),"",SUM(G205,I205,N205,P205,S205,V205))</f>
        <v/>
      </c>
      <c r="X205" s="18">
        <f>IF(W205="","",IF(Murid!F205="TL","TL",ROUND(W205/110*100,2)))</f>
        <v/>
      </c>
    </row>
    <row r="206">
      <c r="A206" s="15">
        <f>Murid!A206</f>
        <v/>
      </c>
      <c r="B206" s="15">
        <f>IF(Murid!B206="","",Murid!B206)</f>
        <v/>
      </c>
      <c r="C206" s="16">
        <f>IF(Murid!C206="","",Murid!C206)</f>
        <v/>
      </c>
      <c r="D206" s="15">
        <f>IF(Murid!E206="","",Murid!E206)</f>
        <v/>
      </c>
      <c r="E206" s="11" t="n"/>
      <c r="F206" s="11" t="n"/>
      <c r="G206" s="10">
        <f>IF(F206="","",IFERROR(VLOOKUP(F206,T_JUB,2,FALSE),0))</f>
        <v/>
      </c>
      <c r="H206" s="11" t="n"/>
      <c r="I206" s="17">
        <f>IF(H206="","",IF(H206&gt;=12,40,ROUND(H206*3.33,2)))</f>
        <v/>
      </c>
      <c r="J206" s="11" t="n"/>
      <c r="K206" s="11" t="n"/>
      <c r="L206" s="11" t="n"/>
      <c r="M206" s="11" t="n"/>
      <c r="N206" s="10">
        <f>IF(COUNTA(J206:M206)=0,"",MIN(10,SUMPRODUCT((COUNTIF(J206:M206,L_KOM)&gt;0)*S_KOM)))</f>
        <v/>
      </c>
      <c r="O206" s="11" t="n"/>
      <c r="P206" s="10">
        <f>IF(O206="","",IFERROR(VLOOKUP(O206,T_KHID,2,FALSE),0))</f>
        <v/>
      </c>
      <c r="Q206" s="11" t="n"/>
      <c r="R206" s="11" t="n"/>
      <c r="S206" s="10">
        <f>IF(AND(Q206="",R206=""),"",IFERROR(INDEX(T_LIBAT,MATCH(Q206,L_PER,0),MATCH(R206,L_JENIS,0)),0))</f>
        <v/>
      </c>
      <c r="T206" s="11" t="n"/>
      <c r="U206" s="11" t="n"/>
      <c r="V206" s="10">
        <f>IF(AND(T206="",U206=""),"",IFERROR(INDEX(T_CAPAI,MATCH(T206,L_PER,0),MATCH(U206,L_KED,0)),0))</f>
        <v/>
      </c>
      <c r="W206" s="17">
        <f>IF(OR(B206="",E206="",COUNTA(F206,H206,J206:M206,O206,Q206:R206,T206:U206)=0),"",SUM(G206,I206,N206,P206,S206,V206))</f>
        <v/>
      </c>
      <c r="X206" s="18">
        <f>IF(W206="","",IF(Murid!F206="TL","TL",ROUND(W206/110*100,2)))</f>
        <v/>
      </c>
    </row>
    <row r="207">
      <c r="A207" s="15">
        <f>Murid!A207</f>
        <v/>
      </c>
      <c r="B207" s="15">
        <f>IF(Murid!B207="","",Murid!B207)</f>
        <v/>
      </c>
      <c r="C207" s="16">
        <f>IF(Murid!C207="","",Murid!C207)</f>
        <v/>
      </c>
      <c r="D207" s="15">
        <f>IF(Murid!E207="","",Murid!E207)</f>
        <v/>
      </c>
      <c r="E207" s="11" t="n"/>
      <c r="F207" s="11" t="n"/>
      <c r="G207" s="10">
        <f>IF(F207="","",IFERROR(VLOOKUP(F207,T_JUB,2,FALSE),0))</f>
        <v/>
      </c>
      <c r="H207" s="11" t="n"/>
      <c r="I207" s="17">
        <f>IF(H207="","",IF(H207&gt;=12,40,ROUND(H207*3.33,2)))</f>
        <v/>
      </c>
      <c r="J207" s="11" t="n"/>
      <c r="K207" s="11" t="n"/>
      <c r="L207" s="11" t="n"/>
      <c r="M207" s="11" t="n"/>
      <c r="N207" s="10">
        <f>IF(COUNTA(J207:M207)=0,"",MIN(10,SUMPRODUCT((COUNTIF(J207:M207,L_KOM)&gt;0)*S_KOM)))</f>
        <v/>
      </c>
      <c r="O207" s="11" t="n"/>
      <c r="P207" s="10">
        <f>IF(O207="","",IFERROR(VLOOKUP(O207,T_KHID,2,FALSE),0))</f>
        <v/>
      </c>
      <c r="Q207" s="11" t="n"/>
      <c r="R207" s="11" t="n"/>
      <c r="S207" s="10">
        <f>IF(AND(Q207="",R207=""),"",IFERROR(INDEX(T_LIBAT,MATCH(Q207,L_PER,0),MATCH(R207,L_JENIS,0)),0))</f>
        <v/>
      </c>
      <c r="T207" s="11" t="n"/>
      <c r="U207" s="11" t="n"/>
      <c r="V207" s="10">
        <f>IF(AND(T207="",U207=""),"",IFERROR(INDEX(T_CAPAI,MATCH(T207,L_PER,0),MATCH(U207,L_KED,0)),0))</f>
        <v/>
      </c>
      <c r="W207" s="17">
        <f>IF(OR(B207="",E207="",COUNTA(F207,H207,J207:M207,O207,Q207:R207,T207:U207)=0),"",SUM(G207,I207,N207,P207,S207,V207))</f>
        <v/>
      </c>
      <c r="X207" s="18">
        <f>IF(W207="","",IF(Murid!F207="TL","TL",ROUND(W207/110*100,2)))</f>
        <v/>
      </c>
    </row>
    <row r="208">
      <c r="A208" s="15">
        <f>Murid!A208</f>
        <v/>
      </c>
      <c r="B208" s="15">
        <f>IF(Murid!B208="","",Murid!B208)</f>
        <v/>
      </c>
      <c r="C208" s="16">
        <f>IF(Murid!C208="","",Murid!C208)</f>
        <v/>
      </c>
      <c r="D208" s="15">
        <f>IF(Murid!E208="","",Murid!E208)</f>
        <v/>
      </c>
      <c r="E208" s="11" t="n"/>
      <c r="F208" s="11" t="n"/>
      <c r="G208" s="10">
        <f>IF(F208="","",IFERROR(VLOOKUP(F208,T_JUB,2,FALSE),0))</f>
        <v/>
      </c>
      <c r="H208" s="11" t="n"/>
      <c r="I208" s="17">
        <f>IF(H208="","",IF(H208&gt;=12,40,ROUND(H208*3.33,2)))</f>
        <v/>
      </c>
      <c r="J208" s="11" t="n"/>
      <c r="K208" s="11" t="n"/>
      <c r="L208" s="11" t="n"/>
      <c r="M208" s="11" t="n"/>
      <c r="N208" s="10">
        <f>IF(COUNTA(J208:M208)=0,"",MIN(10,SUMPRODUCT((COUNTIF(J208:M208,L_KOM)&gt;0)*S_KOM)))</f>
        <v/>
      </c>
      <c r="O208" s="11" t="n"/>
      <c r="P208" s="10">
        <f>IF(O208="","",IFERROR(VLOOKUP(O208,T_KHID,2,FALSE),0))</f>
        <v/>
      </c>
      <c r="Q208" s="11" t="n"/>
      <c r="R208" s="11" t="n"/>
      <c r="S208" s="10">
        <f>IF(AND(Q208="",R208=""),"",IFERROR(INDEX(T_LIBAT,MATCH(Q208,L_PER,0),MATCH(R208,L_JENIS,0)),0))</f>
        <v/>
      </c>
      <c r="T208" s="11" t="n"/>
      <c r="U208" s="11" t="n"/>
      <c r="V208" s="10">
        <f>IF(AND(T208="",U208=""),"",IFERROR(INDEX(T_CAPAI,MATCH(T208,L_PER,0),MATCH(U208,L_KED,0)),0))</f>
        <v/>
      </c>
      <c r="W208" s="17">
        <f>IF(OR(B208="",E208="",COUNTA(F208,H208,J208:M208,O208,Q208:R208,T208:U208)=0),"",SUM(G208,I208,N208,P208,S208,V208))</f>
        <v/>
      </c>
      <c r="X208" s="18">
        <f>IF(W208="","",IF(Murid!F208="TL","TL",ROUND(W208/110*100,2)))</f>
        <v/>
      </c>
    </row>
    <row r="209">
      <c r="A209" s="15">
        <f>Murid!A209</f>
        <v/>
      </c>
      <c r="B209" s="15">
        <f>IF(Murid!B209="","",Murid!B209)</f>
        <v/>
      </c>
      <c r="C209" s="16">
        <f>IF(Murid!C209="","",Murid!C209)</f>
        <v/>
      </c>
      <c r="D209" s="15">
        <f>IF(Murid!E209="","",Murid!E209)</f>
        <v/>
      </c>
      <c r="E209" s="11" t="n"/>
      <c r="F209" s="11" t="n"/>
      <c r="G209" s="10">
        <f>IF(F209="","",IFERROR(VLOOKUP(F209,T_JUB,2,FALSE),0))</f>
        <v/>
      </c>
      <c r="H209" s="11" t="n"/>
      <c r="I209" s="17">
        <f>IF(H209="","",IF(H209&gt;=12,40,ROUND(H209*3.33,2)))</f>
        <v/>
      </c>
      <c r="J209" s="11" t="n"/>
      <c r="K209" s="11" t="n"/>
      <c r="L209" s="11" t="n"/>
      <c r="M209" s="11" t="n"/>
      <c r="N209" s="10">
        <f>IF(COUNTA(J209:M209)=0,"",MIN(10,SUMPRODUCT((COUNTIF(J209:M209,L_KOM)&gt;0)*S_KOM)))</f>
        <v/>
      </c>
      <c r="O209" s="11" t="n"/>
      <c r="P209" s="10">
        <f>IF(O209="","",IFERROR(VLOOKUP(O209,T_KHID,2,FALSE),0))</f>
        <v/>
      </c>
      <c r="Q209" s="11" t="n"/>
      <c r="R209" s="11" t="n"/>
      <c r="S209" s="10">
        <f>IF(AND(Q209="",R209=""),"",IFERROR(INDEX(T_LIBAT,MATCH(Q209,L_PER,0),MATCH(R209,L_JENIS,0)),0))</f>
        <v/>
      </c>
      <c r="T209" s="11" t="n"/>
      <c r="U209" s="11" t="n"/>
      <c r="V209" s="10">
        <f>IF(AND(T209="",U209=""),"",IFERROR(INDEX(T_CAPAI,MATCH(T209,L_PER,0),MATCH(U209,L_KED,0)),0))</f>
        <v/>
      </c>
      <c r="W209" s="17">
        <f>IF(OR(B209="",E209="",COUNTA(F209,H209,J209:M209,O209,Q209:R209,T209:U209)=0),"",SUM(G209,I209,N209,P209,S209,V209))</f>
        <v/>
      </c>
      <c r="X209" s="18">
        <f>IF(W209="","",IF(Murid!F209="TL","TL",ROUND(W209/110*100,2)))</f>
        <v/>
      </c>
    </row>
    <row r="210">
      <c r="A210" s="15">
        <f>Murid!A210</f>
        <v/>
      </c>
      <c r="B210" s="15">
        <f>IF(Murid!B210="","",Murid!B210)</f>
        <v/>
      </c>
      <c r="C210" s="16">
        <f>IF(Murid!C210="","",Murid!C210)</f>
        <v/>
      </c>
      <c r="D210" s="15">
        <f>IF(Murid!E210="","",Murid!E210)</f>
        <v/>
      </c>
      <c r="E210" s="11" t="n"/>
      <c r="F210" s="11" t="n"/>
      <c r="G210" s="10">
        <f>IF(F210="","",IFERROR(VLOOKUP(F210,T_JUB,2,FALSE),0))</f>
        <v/>
      </c>
      <c r="H210" s="11" t="n"/>
      <c r="I210" s="17">
        <f>IF(H210="","",IF(H210&gt;=12,40,ROUND(H210*3.33,2)))</f>
        <v/>
      </c>
      <c r="J210" s="11" t="n"/>
      <c r="K210" s="11" t="n"/>
      <c r="L210" s="11" t="n"/>
      <c r="M210" s="11" t="n"/>
      <c r="N210" s="10">
        <f>IF(COUNTA(J210:M210)=0,"",MIN(10,SUMPRODUCT((COUNTIF(J210:M210,L_KOM)&gt;0)*S_KOM)))</f>
        <v/>
      </c>
      <c r="O210" s="11" t="n"/>
      <c r="P210" s="10">
        <f>IF(O210="","",IFERROR(VLOOKUP(O210,T_KHID,2,FALSE),0))</f>
        <v/>
      </c>
      <c r="Q210" s="11" t="n"/>
      <c r="R210" s="11" t="n"/>
      <c r="S210" s="10">
        <f>IF(AND(Q210="",R210=""),"",IFERROR(INDEX(T_LIBAT,MATCH(Q210,L_PER,0),MATCH(R210,L_JENIS,0)),0))</f>
        <v/>
      </c>
      <c r="T210" s="11" t="n"/>
      <c r="U210" s="11" t="n"/>
      <c r="V210" s="10">
        <f>IF(AND(T210="",U210=""),"",IFERROR(INDEX(T_CAPAI,MATCH(T210,L_PER,0),MATCH(U210,L_KED,0)),0))</f>
        <v/>
      </c>
      <c r="W210" s="17">
        <f>IF(OR(B210="",E210="",COUNTA(F210,H210,J210:M210,O210,Q210:R210,T210:U210)=0),"",SUM(G210,I210,N210,P210,S210,V210))</f>
        <v/>
      </c>
      <c r="X210" s="18">
        <f>IF(W210="","",IF(Murid!F210="TL","TL",ROUND(W210/110*100,2)))</f>
        <v/>
      </c>
    </row>
    <row r="211">
      <c r="A211" s="15">
        <f>Murid!A211</f>
        <v/>
      </c>
      <c r="B211" s="15">
        <f>IF(Murid!B211="","",Murid!B211)</f>
        <v/>
      </c>
      <c r="C211" s="16">
        <f>IF(Murid!C211="","",Murid!C211)</f>
        <v/>
      </c>
      <c r="D211" s="15">
        <f>IF(Murid!E211="","",Murid!E211)</f>
        <v/>
      </c>
      <c r="E211" s="11" t="n"/>
      <c r="F211" s="11" t="n"/>
      <c r="G211" s="10">
        <f>IF(F211="","",IFERROR(VLOOKUP(F211,T_JUB,2,FALSE),0))</f>
        <v/>
      </c>
      <c r="H211" s="11" t="n"/>
      <c r="I211" s="17">
        <f>IF(H211="","",IF(H211&gt;=12,40,ROUND(H211*3.33,2)))</f>
        <v/>
      </c>
      <c r="J211" s="11" t="n"/>
      <c r="K211" s="11" t="n"/>
      <c r="L211" s="11" t="n"/>
      <c r="M211" s="11" t="n"/>
      <c r="N211" s="10">
        <f>IF(COUNTA(J211:M211)=0,"",MIN(10,SUMPRODUCT((COUNTIF(J211:M211,L_KOM)&gt;0)*S_KOM)))</f>
        <v/>
      </c>
      <c r="O211" s="11" t="n"/>
      <c r="P211" s="10">
        <f>IF(O211="","",IFERROR(VLOOKUP(O211,T_KHID,2,FALSE),0))</f>
        <v/>
      </c>
      <c r="Q211" s="11" t="n"/>
      <c r="R211" s="11" t="n"/>
      <c r="S211" s="10">
        <f>IF(AND(Q211="",R211=""),"",IFERROR(INDEX(T_LIBAT,MATCH(Q211,L_PER,0),MATCH(R211,L_JENIS,0)),0))</f>
        <v/>
      </c>
      <c r="T211" s="11" t="n"/>
      <c r="U211" s="11" t="n"/>
      <c r="V211" s="10">
        <f>IF(AND(T211="",U211=""),"",IFERROR(INDEX(T_CAPAI,MATCH(T211,L_PER,0),MATCH(U211,L_KED,0)),0))</f>
        <v/>
      </c>
      <c r="W211" s="17">
        <f>IF(OR(B211="",E211="",COUNTA(F211,H211,J211:M211,O211,Q211:R211,T211:U211)=0),"",SUM(G211,I211,N211,P211,S211,V211))</f>
        <v/>
      </c>
      <c r="X211" s="18">
        <f>IF(W211="","",IF(Murid!F211="TL","TL",ROUND(W211/110*100,2)))</f>
        <v/>
      </c>
    </row>
    <row r="212">
      <c r="A212" s="15">
        <f>Murid!A212</f>
        <v/>
      </c>
      <c r="B212" s="15">
        <f>IF(Murid!B212="","",Murid!B212)</f>
        <v/>
      </c>
      <c r="C212" s="16">
        <f>IF(Murid!C212="","",Murid!C212)</f>
        <v/>
      </c>
      <c r="D212" s="15">
        <f>IF(Murid!E212="","",Murid!E212)</f>
        <v/>
      </c>
      <c r="E212" s="11" t="n"/>
      <c r="F212" s="11" t="n"/>
      <c r="G212" s="10">
        <f>IF(F212="","",IFERROR(VLOOKUP(F212,T_JUB,2,FALSE),0))</f>
        <v/>
      </c>
      <c r="H212" s="11" t="n"/>
      <c r="I212" s="17">
        <f>IF(H212="","",IF(H212&gt;=12,40,ROUND(H212*3.33,2)))</f>
        <v/>
      </c>
      <c r="J212" s="11" t="n"/>
      <c r="K212" s="11" t="n"/>
      <c r="L212" s="11" t="n"/>
      <c r="M212" s="11" t="n"/>
      <c r="N212" s="10">
        <f>IF(COUNTA(J212:M212)=0,"",MIN(10,SUMPRODUCT((COUNTIF(J212:M212,L_KOM)&gt;0)*S_KOM)))</f>
        <v/>
      </c>
      <c r="O212" s="11" t="n"/>
      <c r="P212" s="10">
        <f>IF(O212="","",IFERROR(VLOOKUP(O212,T_KHID,2,FALSE),0))</f>
        <v/>
      </c>
      <c r="Q212" s="11" t="n"/>
      <c r="R212" s="11" t="n"/>
      <c r="S212" s="10">
        <f>IF(AND(Q212="",R212=""),"",IFERROR(INDEX(T_LIBAT,MATCH(Q212,L_PER,0),MATCH(R212,L_JENIS,0)),0))</f>
        <v/>
      </c>
      <c r="T212" s="11" t="n"/>
      <c r="U212" s="11" t="n"/>
      <c r="V212" s="10">
        <f>IF(AND(T212="",U212=""),"",IFERROR(INDEX(T_CAPAI,MATCH(T212,L_PER,0),MATCH(U212,L_KED,0)),0))</f>
        <v/>
      </c>
      <c r="W212" s="17">
        <f>IF(OR(B212="",E212="",COUNTA(F212,H212,J212:M212,O212,Q212:R212,T212:U212)=0),"",SUM(G212,I212,N212,P212,S212,V212))</f>
        <v/>
      </c>
      <c r="X212" s="18">
        <f>IF(W212="","",IF(Murid!F212="TL","TL",ROUND(W212/110*100,2)))</f>
        <v/>
      </c>
    </row>
    <row r="213">
      <c r="A213" s="15">
        <f>Murid!A213</f>
        <v/>
      </c>
      <c r="B213" s="15">
        <f>IF(Murid!B213="","",Murid!B213)</f>
        <v/>
      </c>
      <c r="C213" s="16">
        <f>IF(Murid!C213="","",Murid!C213)</f>
        <v/>
      </c>
      <c r="D213" s="15">
        <f>IF(Murid!E213="","",Murid!E213)</f>
        <v/>
      </c>
      <c r="E213" s="11" t="n"/>
      <c r="F213" s="11" t="n"/>
      <c r="G213" s="10">
        <f>IF(F213="","",IFERROR(VLOOKUP(F213,T_JUB,2,FALSE),0))</f>
        <v/>
      </c>
      <c r="H213" s="11" t="n"/>
      <c r="I213" s="17">
        <f>IF(H213="","",IF(H213&gt;=12,40,ROUND(H213*3.33,2)))</f>
        <v/>
      </c>
      <c r="J213" s="11" t="n"/>
      <c r="K213" s="11" t="n"/>
      <c r="L213" s="11" t="n"/>
      <c r="M213" s="11" t="n"/>
      <c r="N213" s="10">
        <f>IF(COUNTA(J213:M213)=0,"",MIN(10,SUMPRODUCT((COUNTIF(J213:M213,L_KOM)&gt;0)*S_KOM)))</f>
        <v/>
      </c>
      <c r="O213" s="11" t="n"/>
      <c r="P213" s="10">
        <f>IF(O213="","",IFERROR(VLOOKUP(O213,T_KHID,2,FALSE),0))</f>
        <v/>
      </c>
      <c r="Q213" s="11" t="n"/>
      <c r="R213" s="11" t="n"/>
      <c r="S213" s="10">
        <f>IF(AND(Q213="",R213=""),"",IFERROR(INDEX(T_LIBAT,MATCH(Q213,L_PER,0),MATCH(R213,L_JENIS,0)),0))</f>
        <v/>
      </c>
      <c r="T213" s="11" t="n"/>
      <c r="U213" s="11" t="n"/>
      <c r="V213" s="10">
        <f>IF(AND(T213="",U213=""),"",IFERROR(INDEX(T_CAPAI,MATCH(T213,L_PER,0),MATCH(U213,L_KED,0)),0))</f>
        <v/>
      </c>
      <c r="W213" s="17">
        <f>IF(OR(B213="",E213="",COUNTA(F213,H213,J213:M213,O213,Q213:R213,T213:U213)=0),"",SUM(G213,I213,N213,P213,S213,V213))</f>
        <v/>
      </c>
      <c r="X213" s="18">
        <f>IF(W213="","",IF(Murid!F213="TL","TL",ROUND(W213/110*100,2)))</f>
        <v/>
      </c>
    </row>
    <row r="214">
      <c r="A214" s="15">
        <f>Murid!A214</f>
        <v/>
      </c>
      <c r="B214" s="15">
        <f>IF(Murid!B214="","",Murid!B214)</f>
        <v/>
      </c>
      <c r="C214" s="16">
        <f>IF(Murid!C214="","",Murid!C214)</f>
        <v/>
      </c>
      <c r="D214" s="15">
        <f>IF(Murid!E214="","",Murid!E214)</f>
        <v/>
      </c>
      <c r="E214" s="11" t="n"/>
      <c r="F214" s="11" t="n"/>
      <c r="G214" s="10">
        <f>IF(F214="","",IFERROR(VLOOKUP(F214,T_JUB,2,FALSE),0))</f>
        <v/>
      </c>
      <c r="H214" s="11" t="n"/>
      <c r="I214" s="17">
        <f>IF(H214="","",IF(H214&gt;=12,40,ROUND(H214*3.33,2)))</f>
        <v/>
      </c>
      <c r="J214" s="11" t="n"/>
      <c r="K214" s="11" t="n"/>
      <c r="L214" s="11" t="n"/>
      <c r="M214" s="11" t="n"/>
      <c r="N214" s="10">
        <f>IF(COUNTA(J214:M214)=0,"",MIN(10,SUMPRODUCT((COUNTIF(J214:M214,L_KOM)&gt;0)*S_KOM)))</f>
        <v/>
      </c>
      <c r="O214" s="11" t="n"/>
      <c r="P214" s="10">
        <f>IF(O214="","",IFERROR(VLOOKUP(O214,T_KHID,2,FALSE),0))</f>
        <v/>
      </c>
      <c r="Q214" s="11" t="n"/>
      <c r="R214" s="11" t="n"/>
      <c r="S214" s="10">
        <f>IF(AND(Q214="",R214=""),"",IFERROR(INDEX(T_LIBAT,MATCH(Q214,L_PER,0),MATCH(R214,L_JENIS,0)),0))</f>
        <v/>
      </c>
      <c r="T214" s="11" t="n"/>
      <c r="U214" s="11" t="n"/>
      <c r="V214" s="10">
        <f>IF(AND(T214="",U214=""),"",IFERROR(INDEX(T_CAPAI,MATCH(T214,L_PER,0),MATCH(U214,L_KED,0)),0))</f>
        <v/>
      </c>
      <c r="W214" s="17">
        <f>IF(OR(B214="",E214="",COUNTA(F214,H214,J214:M214,O214,Q214:R214,T214:U214)=0),"",SUM(G214,I214,N214,P214,S214,V214))</f>
        <v/>
      </c>
      <c r="X214" s="18">
        <f>IF(W214="","",IF(Murid!F214="TL","TL",ROUND(W214/110*100,2)))</f>
        <v/>
      </c>
    </row>
    <row r="215">
      <c r="A215" s="15">
        <f>Murid!A215</f>
        <v/>
      </c>
      <c r="B215" s="15">
        <f>IF(Murid!B215="","",Murid!B215)</f>
        <v/>
      </c>
      <c r="C215" s="16">
        <f>IF(Murid!C215="","",Murid!C215)</f>
        <v/>
      </c>
      <c r="D215" s="15">
        <f>IF(Murid!E215="","",Murid!E215)</f>
        <v/>
      </c>
      <c r="E215" s="11" t="n"/>
      <c r="F215" s="11" t="n"/>
      <c r="G215" s="10">
        <f>IF(F215="","",IFERROR(VLOOKUP(F215,T_JUB,2,FALSE),0))</f>
        <v/>
      </c>
      <c r="H215" s="11" t="n"/>
      <c r="I215" s="17">
        <f>IF(H215="","",IF(H215&gt;=12,40,ROUND(H215*3.33,2)))</f>
        <v/>
      </c>
      <c r="J215" s="11" t="n"/>
      <c r="K215" s="11" t="n"/>
      <c r="L215" s="11" t="n"/>
      <c r="M215" s="11" t="n"/>
      <c r="N215" s="10">
        <f>IF(COUNTA(J215:M215)=0,"",MIN(10,SUMPRODUCT((COUNTIF(J215:M215,L_KOM)&gt;0)*S_KOM)))</f>
        <v/>
      </c>
      <c r="O215" s="11" t="n"/>
      <c r="P215" s="10">
        <f>IF(O215="","",IFERROR(VLOOKUP(O215,T_KHID,2,FALSE),0))</f>
        <v/>
      </c>
      <c r="Q215" s="11" t="n"/>
      <c r="R215" s="11" t="n"/>
      <c r="S215" s="10">
        <f>IF(AND(Q215="",R215=""),"",IFERROR(INDEX(T_LIBAT,MATCH(Q215,L_PER,0),MATCH(R215,L_JENIS,0)),0))</f>
        <v/>
      </c>
      <c r="T215" s="11" t="n"/>
      <c r="U215" s="11" t="n"/>
      <c r="V215" s="10">
        <f>IF(AND(T215="",U215=""),"",IFERROR(INDEX(T_CAPAI,MATCH(T215,L_PER,0),MATCH(U215,L_KED,0)),0))</f>
        <v/>
      </c>
      <c r="W215" s="17">
        <f>IF(OR(B215="",E215="",COUNTA(F215,H215,J215:M215,O215,Q215:R215,T215:U215)=0),"",SUM(G215,I215,N215,P215,S215,V215))</f>
        <v/>
      </c>
      <c r="X215" s="18">
        <f>IF(W215="","",IF(Murid!F215="TL","TL",ROUND(W215/110*100,2)))</f>
        <v/>
      </c>
    </row>
    <row r="216">
      <c r="A216" s="15">
        <f>Murid!A216</f>
        <v/>
      </c>
      <c r="B216" s="15">
        <f>IF(Murid!B216="","",Murid!B216)</f>
        <v/>
      </c>
      <c r="C216" s="16">
        <f>IF(Murid!C216="","",Murid!C216)</f>
        <v/>
      </c>
      <c r="D216" s="15">
        <f>IF(Murid!E216="","",Murid!E216)</f>
        <v/>
      </c>
      <c r="E216" s="11" t="n"/>
      <c r="F216" s="11" t="n"/>
      <c r="G216" s="10">
        <f>IF(F216="","",IFERROR(VLOOKUP(F216,T_JUB,2,FALSE),0))</f>
        <v/>
      </c>
      <c r="H216" s="11" t="n"/>
      <c r="I216" s="17">
        <f>IF(H216="","",IF(H216&gt;=12,40,ROUND(H216*3.33,2)))</f>
        <v/>
      </c>
      <c r="J216" s="11" t="n"/>
      <c r="K216" s="11" t="n"/>
      <c r="L216" s="11" t="n"/>
      <c r="M216" s="11" t="n"/>
      <c r="N216" s="10">
        <f>IF(COUNTA(J216:M216)=0,"",MIN(10,SUMPRODUCT((COUNTIF(J216:M216,L_KOM)&gt;0)*S_KOM)))</f>
        <v/>
      </c>
      <c r="O216" s="11" t="n"/>
      <c r="P216" s="10">
        <f>IF(O216="","",IFERROR(VLOOKUP(O216,T_KHID,2,FALSE),0))</f>
        <v/>
      </c>
      <c r="Q216" s="11" t="n"/>
      <c r="R216" s="11" t="n"/>
      <c r="S216" s="10">
        <f>IF(AND(Q216="",R216=""),"",IFERROR(INDEX(T_LIBAT,MATCH(Q216,L_PER,0),MATCH(R216,L_JENIS,0)),0))</f>
        <v/>
      </c>
      <c r="T216" s="11" t="n"/>
      <c r="U216" s="11" t="n"/>
      <c r="V216" s="10">
        <f>IF(AND(T216="",U216=""),"",IFERROR(INDEX(T_CAPAI,MATCH(T216,L_PER,0),MATCH(U216,L_KED,0)),0))</f>
        <v/>
      </c>
      <c r="W216" s="17">
        <f>IF(OR(B216="",E216="",COUNTA(F216,H216,J216:M216,O216,Q216:R216,T216:U216)=0),"",SUM(G216,I216,N216,P216,S216,V216))</f>
        <v/>
      </c>
      <c r="X216" s="18">
        <f>IF(W216="","",IF(Murid!F216="TL","TL",ROUND(W216/110*100,2)))</f>
        <v/>
      </c>
    </row>
    <row r="217">
      <c r="A217" s="15">
        <f>Murid!A217</f>
        <v/>
      </c>
      <c r="B217" s="15">
        <f>IF(Murid!B217="","",Murid!B217)</f>
        <v/>
      </c>
      <c r="C217" s="16">
        <f>IF(Murid!C217="","",Murid!C217)</f>
        <v/>
      </c>
      <c r="D217" s="15">
        <f>IF(Murid!E217="","",Murid!E217)</f>
        <v/>
      </c>
      <c r="E217" s="11" t="n"/>
      <c r="F217" s="11" t="n"/>
      <c r="G217" s="10">
        <f>IF(F217="","",IFERROR(VLOOKUP(F217,T_JUB,2,FALSE),0))</f>
        <v/>
      </c>
      <c r="H217" s="11" t="n"/>
      <c r="I217" s="17">
        <f>IF(H217="","",IF(H217&gt;=12,40,ROUND(H217*3.33,2)))</f>
        <v/>
      </c>
      <c r="J217" s="11" t="n"/>
      <c r="K217" s="11" t="n"/>
      <c r="L217" s="11" t="n"/>
      <c r="M217" s="11" t="n"/>
      <c r="N217" s="10">
        <f>IF(COUNTA(J217:M217)=0,"",MIN(10,SUMPRODUCT((COUNTIF(J217:M217,L_KOM)&gt;0)*S_KOM)))</f>
        <v/>
      </c>
      <c r="O217" s="11" t="n"/>
      <c r="P217" s="10">
        <f>IF(O217="","",IFERROR(VLOOKUP(O217,T_KHID,2,FALSE),0))</f>
        <v/>
      </c>
      <c r="Q217" s="11" t="n"/>
      <c r="R217" s="11" t="n"/>
      <c r="S217" s="10">
        <f>IF(AND(Q217="",R217=""),"",IFERROR(INDEX(T_LIBAT,MATCH(Q217,L_PER,0),MATCH(R217,L_JENIS,0)),0))</f>
        <v/>
      </c>
      <c r="T217" s="11" t="n"/>
      <c r="U217" s="11" t="n"/>
      <c r="V217" s="10">
        <f>IF(AND(T217="",U217=""),"",IFERROR(INDEX(T_CAPAI,MATCH(T217,L_PER,0),MATCH(U217,L_KED,0)),0))</f>
        <v/>
      </c>
      <c r="W217" s="17">
        <f>IF(OR(B217="",E217="",COUNTA(F217,H217,J217:M217,O217,Q217:R217,T217:U217)=0),"",SUM(G217,I217,N217,P217,S217,V217))</f>
        <v/>
      </c>
      <c r="X217" s="18">
        <f>IF(W217="","",IF(Murid!F217="TL","TL",ROUND(W217/110*100,2)))</f>
        <v/>
      </c>
    </row>
    <row r="218">
      <c r="A218" s="15">
        <f>Murid!A218</f>
        <v/>
      </c>
      <c r="B218" s="15">
        <f>IF(Murid!B218="","",Murid!B218)</f>
        <v/>
      </c>
      <c r="C218" s="16">
        <f>IF(Murid!C218="","",Murid!C218)</f>
        <v/>
      </c>
      <c r="D218" s="15">
        <f>IF(Murid!E218="","",Murid!E218)</f>
        <v/>
      </c>
      <c r="E218" s="11" t="n"/>
      <c r="F218" s="11" t="n"/>
      <c r="G218" s="10">
        <f>IF(F218="","",IFERROR(VLOOKUP(F218,T_JUB,2,FALSE),0))</f>
        <v/>
      </c>
      <c r="H218" s="11" t="n"/>
      <c r="I218" s="17">
        <f>IF(H218="","",IF(H218&gt;=12,40,ROUND(H218*3.33,2)))</f>
        <v/>
      </c>
      <c r="J218" s="11" t="n"/>
      <c r="K218" s="11" t="n"/>
      <c r="L218" s="11" t="n"/>
      <c r="M218" s="11" t="n"/>
      <c r="N218" s="10">
        <f>IF(COUNTA(J218:M218)=0,"",MIN(10,SUMPRODUCT((COUNTIF(J218:M218,L_KOM)&gt;0)*S_KOM)))</f>
        <v/>
      </c>
      <c r="O218" s="11" t="n"/>
      <c r="P218" s="10">
        <f>IF(O218="","",IFERROR(VLOOKUP(O218,T_KHID,2,FALSE),0))</f>
        <v/>
      </c>
      <c r="Q218" s="11" t="n"/>
      <c r="R218" s="11" t="n"/>
      <c r="S218" s="10">
        <f>IF(AND(Q218="",R218=""),"",IFERROR(INDEX(T_LIBAT,MATCH(Q218,L_PER,0),MATCH(R218,L_JENIS,0)),0))</f>
        <v/>
      </c>
      <c r="T218" s="11" t="n"/>
      <c r="U218" s="11" t="n"/>
      <c r="V218" s="10">
        <f>IF(AND(T218="",U218=""),"",IFERROR(INDEX(T_CAPAI,MATCH(T218,L_PER,0),MATCH(U218,L_KED,0)),0))</f>
        <v/>
      </c>
      <c r="W218" s="17">
        <f>IF(OR(B218="",E218="",COUNTA(F218,H218,J218:M218,O218,Q218:R218,T218:U218)=0),"",SUM(G218,I218,N218,P218,S218,V218))</f>
        <v/>
      </c>
      <c r="X218" s="18">
        <f>IF(W218="","",IF(Murid!F218="TL","TL",ROUND(W218/110*100,2)))</f>
        <v/>
      </c>
    </row>
    <row r="219">
      <c r="A219" s="15">
        <f>Murid!A219</f>
        <v/>
      </c>
      <c r="B219" s="15">
        <f>IF(Murid!B219="","",Murid!B219)</f>
        <v/>
      </c>
      <c r="C219" s="16">
        <f>IF(Murid!C219="","",Murid!C219)</f>
        <v/>
      </c>
      <c r="D219" s="15">
        <f>IF(Murid!E219="","",Murid!E219)</f>
        <v/>
      </c>
      <c r="E219" s="11" t="n"/>
      <c r="F219" s="11" t="n"/>
      <c r="G219" s="10">
        <f>IF(F219="","",IFERROR(VLOOKUP(F219,T_JUB,2,FALSE),0))</f>
        <v/>
      </c>
      <c r="H219" s="11" t="n"/>
      <c r="I219" s="17">
        <f>IF(H219="","",IF(H219&gt;=12,40,ROUND(H219*3.33,2)))</f>
        <v/>
      </c>
      <c r="J219" s="11" t="n"/>
      <c r="K219" s="11" t="n"/>
      <c r="L219" s="11" t="n"/>
      <c r="M219" s="11" t="n"/>
      <c r="N219" s="10">
        <f>IF(COUNTA(J219:M219)=0,"",MIN(10,SUMPRODUCT((COUNTIF(J219:M219,L_KOM)&gt;0)*S_KOM)))</f>
        <v/>
      </c>
      <c r="O219" s="11" t="n"/>
      <c r="P219" s="10">
        <f>IF(O219="","",IFERROR(VLOOKUP(O219,T_KHID,2,FALSE),0))</f>
        <v/>
      </c>
      <c r="Q219" s="11" t="n"/>
      <c r="R219" s="11" t="n"/>
      <c r="S219" s="10">
        <f>IF(AND(Q219="",R219=""),"",IFERROR(INDEX(T_LIBAT,MATCH(Q219,L_PER,0),MATCH(R219,L_JENIS,0)),0))</f>
        <v/>
      </c>
      <c r="T219" s="11" t="n"/>
      <c r="U219" s="11" t="n"/>
      <c r="V219" s="10">
        <f>IF(AND(T219="",U219=""),"",IFERROR(INDEX(T_CAPAI,MATCH(T219,L_PER,0),MATCH(U219,L_KED,0)),0))</f>
        <v/>
      </c>
      <c r="W219" s="17">
        <f>IF(OR(B219="",E219="",COUNTA(F219,H219,J219:M219,O219,Q219:R219,T219:U219)=0),"",SUM(G219,I219,N219,P219,S219,V219))</f>
        <v/>
      </c>
      <c r="X219" s="18">
        <f>IF(W219="","",IF(Murid!F219="TL","TL",ROUND(W219/110*100,2)))</f>
        <v/>
      </c>
    </row>
    <row r="220">
      <c r="A220" s="15">
        <f>Murid!A220</f>
        <v/>
      </c>
      <c r="B220" s="15">
        <f>IF(Murid!B220="","",Murid!B220)</f>
        <v/>
      </c>
      <c r="C220" s="16">
        <f>IF(Murid!C220="","",Murid!C220)</f>
        <v/>
      </c>
      <c r="D220" s="15">
        <f>IF(Murid!E220="","",Murid!E220)</f>
        <v/>
      </c>
      <c r="E220" s="11" t="n"/>
      <c r="F220" s="11" t="n"/>
      <c r="G220" s="10">
        <f>IF(F220="","",IFERROR(VLOOKUP(F220,T_JUB,2,FALSE),0))</f>
        <v/>
      </c>
      <c r="H220" s="11" t="n"/>
      <c r="I220" s="17">
        <f>IF(H220="","",IF(H220&gt;=12,40,ROUND(H220*3.33,2)))</f>
        <v/>
      </c>
      <c r="J220" s="11" t="n"/>
      <c r="K220" s="11" t="n"/>
      <c r="L220" s="11" t="n"/>
      <c r="M220" s="11" t="n"/>
      <c r="N220" s="10">
        <f>IF(COUNTA(J220:M220)=0,"",MIN(10,SUMPRODUCT((COUNTIF(J220:M220,L_KOM)&gt;0)*S_KOM)))</f>
        <v/>
      </c>
      <c r="O220" s="11" t="n"/>
      <c r="P220" s="10">
        <f>IF(O220="","",IFERROR(VLOOKUP(O220,T_KHID,2,FALSE),0))</f>
        <v/>
      </c>
      <c r="Q220" s="11" t="n"/>
      <c r="R220" s="11" t="n"/>
      <c r="S220" s="10">
        <f>IF(AND(Q220="",R220=""),"",IFERROR(INDEX(T_LIBAT,MATCH(Q220,L_PER,0),MATCH(R220,L_JENIS,0)),0))</f>
        <v/>
      </c>
      <c r="T220" s="11" t="n"/>
      <c r="U220" s="11" t="n"/>
      <c r="V220" s="10">
        <f>IF(AND(T220="",U220=""),"",IFERROR(INDEX(T_CAPAI,MATCH(T220,L_PER,0),MATCH(U220,L_KED,0)),0))</f>
        <v/>
      </c>
      <c r="W220" s="17">
        <f>IF(OR(B220="",E220="",COUNTA(F220,H220,J220:M220,O220,Q220:R220,T220:U220)=0),"",SUM(G220,I220,N220,P220,S220,V220))</f>
        <v/>
      </c>
      <c r="X220" s="18">
        <f>IF(W220="","",IF(Murid!F220="TL","TL",ROUND(W220/110*100,2)))</f>
        <v/>
      </c>
    </row>
    <row r="221">
      <c r="A221" s="15">
        <f>Murid!A221</f>
        <v/>
      </c>
      <c r="B221" s="15">
        <f>IF(Murid!B221="","",Murid!B221)</f>
        <v/>
      </c>
      <c r="C221" s="16">
        <f>IF(Murid!C221="","",Murid!C221)</f>
        <v/>
      </c>
      <c r="D221" s="15">
        <f>IF(Murid!E221="","",Murid!E221)</f>
        <v/>
      </c>
      <c r="E221" s="11" t="n"/>
      <c r="F221" s="11" t="n"/>
      <c r="G221" s="10">
        <f>IF(F221="","",IFERROR(VLOOKUP(F221,T_JUB,2,FALSE),0))</f>
        <v/>
      </c>
      <c r="H221" s="11" t="n"/>
      <c r="I221" s="17">
        <f>IF(H221="","",IF(H221&gt;=12,40,ROUND(H221*3.33,2)))</f>
        <v/>
      </c>
      <c r="J221" s="11" t="n"/>
      <c r="K221" s="11" t="n"/>
      <c r="L221" s="11" t="n"/>
      <c r="M221" s="11" t="n"/>
      <c r="N221" s="10">
        <f>IF(COUNTA(J221:M221)=0,"",MIN(10,SUMPRODUCT((COUNTIF(J221:M221,L_KOM)&gt;0)*S_KOM)))</f>
        <v/>
      </c>
      <c r="O221" s="11" t="n"/>
      <c r="P221" s="10">
        <f>IF(O221="","",IFERROR(VLOOKUP(O221,T_KHID,2,FALSE),0))</f>
        <v/>
      </c>
      <c r="Q221" s="11" t="n"/>
      <c r="R221" s="11" t="n"/>
      <c r="S221" s="10">
        <f>IF(AND(Q221="",R221=""),"",IFERROR(INDEX(T_LIBAT,MATCH(Q221,L_PER,0),MATCH(R221,L_JENIS,0)),0))</f>
        <v/>
      </c>
      <c r="T221" s="11" t="n"/>
      <c r="U221" s="11" t="n"/>
      <c r="V221" s="10">
        <f>IF(AND(T221="",U221=""),"",IFERROR(INDEX(T_CAPAI,MATCH(T221,L_PER,0),MATCH(U221,L_KED,0)),0))</f>
        <v/>
      </c>
      <c r="W221" s="17">
        <f>IF(OR(B221="",E221="",COUNTA(F221,H221,J221:M221,O221,Q221:R221,T221:U221)=0),"",SUM(G221,I221,N221,P221,S221,V221))</f>
        <v/>
      </c>
      <c r="X221" s="18">
        <f>IF(W221="","",IF(Murid!F221="TL","TL",ROUND(W221/110*100,2)))</f>
        <v/>
      </c>
    </row>
    <row r="222">
      <c r="A222" s="15">
        <f>Murid!A222</f>
        <v/>
      </c>
      <c r="B222" s="15">
        <f>IF(Murid!B222="","",Murid!B222)</f>
        <v/>
      </c>
      <c r="C222" s="16">
        <f>IF(Murid!C222="","",Murid!C222)</f>
        <v/>
      </c>
      <c r="D222" s="15">
        <f>IF(Murid!E222="","",Murid!E222)</f>
        <v/>
      </c>
      <c r="E222" s="11" t="n"/>
      <c r="F222" s="11" t="n"/>
      <c r="G222" s="10">
        <f>IF(F222="","",IFERROR(VLOOKUP(F222,T_JUB,2,FALSE),0))</f>
        <v/>
      </c>
      <c r="H222" s="11" t="n"/>
      <c r="I222" s="17">
        <f>IF(H222="","",IF(H222&gt;=12,40,ROUND(H222*3.33,2)))</f>
        <v/>
      </c>
      <c r="J222" s="11" t="n"/>
      <c r="K222" s="11" t="n"/>
      <c r="L222" s="11" t="n"/>
      <c r="M222" s="11" t="n"/>
      <c r="N222" s="10">
        <f>IF(COUNTA(J222:M222)=0,"",MIN(10,SUMPRODUCT((COUNTIF(J222:M222,L_KOM)&gt;0)*S_KOM)))</f>
        <v/>
      </c>
      <c r="O222" s="11" t="n"/>
      <c r="P222" s="10">
        <f>IF(O222="","",IFERROR(VLOOKUP(O222,T_KHID,2,FALSE),0))</f>
        <v/>
      </c>
      <c r="Q222" s="11" t="n"/>
      <c r="R222" s="11" t="n"/>
      <c r="S222" s="10">
        <f>IF(AND(Q222="",R222=""),"",IFERROR(INDEX(T_LIBAT,MATCH(Q222,L_PER,0),MATCH(R222,L_JENIS,0)),0))</f>
        <v/>
      </c>
      <c r="T222" s="11" t="n"/>
      <c r="U222" s="11" t="n"/>
      <c r="V222" s="10">
        <f>IF(AND(T222="",U222=""),"",IFERROR(INDEX(T_CAPAI,MATCH(T222,L_PER,0),MATCH(U222,L_KED,0)),0))</f>
        <v/>
      </c>
      <c r="W222" s="17">
        <f>IF(OR(B222="",E222="",COUNTA(F222,H222,J222:M222,O222,Q222:R222,T222:U222)=0),"",SUM(G222,I222,N222,P222,S222,V222))</f>
        <v/>
      </c>
      <c r="X222" s="18">
        <f>IF(W222="","",IF(Murid!F222="TL","TL",ROUND(W222/110*100,2)))</f>
        <v/>
      </c>
    </row>
    <row r="223">
      <c r="A223" s="15">
        <f>Murid!A223</f>
        <v/>
      </c>
      <c r="B223" s="15">
        <f>IF(Murid!B223="","",Murid!B223)</f>
        <v/>
      </c>
      <c r="C223" s="16">
        <f>IF(Murid!C223="","",Murid!C223)</f>
        <v/>
      </c>
      <c r="D223" s="15">
        <f>IF(Murid!E223="","",Murid!E223)</f>
        <v/>
      </c>
      <c r="E223" s="11" t="n"/>
      <c r="F223" s="11" t="n"/>
      <c r="G223" s="10">
        <f>IF(F223="","",IFERROR(VLOOKUP(F223,T_JUB,2,FALSE),0))</f>
        <v/>
      </c>
      <c r="H223" s="11" t="n"/>
      <c r="I223" s="17">
        <f>IF(H223="","",IF(H223&gt;=12,40,ROUND(H223*3.33,2)))</f>
        <v/>
      </c>
      <c r="J223" s="11" t="n"/>
      <c r="K223" s="11" t="n"/>
      <c r="L223" s="11" t="n"/>
      <c r="M223" s="11" t="n"/>
      <c r="N223" s="10">
        <f>IF(COUNTA(J223:M223)=0,"",MIN(10,SUMPRODUCT((COUNTIF(J223:M223,L_KOM)&gt;0)*S_KOM)))</f>
        <v/>
      </c>
      <c r="O223" s="11" t="n"/>
      <c r="P223" s="10">
        <f>IF(O223="","",IFERROR(VLOOKUP(O223,T_KHID,2,FALSE),0))</f>
        <v/>
      </c>
      <c r="Q223" s="11" t="n"/>
      <c r="R223" s="11" t="n"/>
      <c r="S223" s="10">
        <f>IF(AND(Q223="",R223=""),"",IFERROR(INDEX(T_LIBAT,MATCH(Q223,L_PER,0),MATCH(R223,L_JENIS,0)),0))</f>
        <v/>
      </c>
      <c r="T223" s="11" t="n"/>
      <c r="U223" s="11" t="n"/>
      <c r="V223" s="10">
        <f>IF(AND(T223="",U223=""),"",IFERROR(INDEX(T_CAPAI,MATCH(T223,L_PER,0),MATCH(U223,L_KED,0)),0))</f>
        <v/>
      </c>
      <c r="W223" s="17">
        <f>IF(OR(B223="",E223="",COUNTA(F223,H223,J223:M223,O223,Q223:R223,T223:U223)=0),"",SUM(G223,I223,N223,P223,S223,V223))</f>
        <v/>
      </c>
      <c r="X223" s="18">
        <f>IF(W223="","",IF(Murid!F223="TL","TL",ROUND(W223/110*100,2)))</f>
        <v/>
      </c>
    </row>
    <row r="224">
      <c r="A224" s="15">
        <f>Murid!A224</f>
        <v/>
      </c>
      <c r="B224" s="15">
        <f>IF(Murid!B224="","",Murid!B224)</f>
        <v/>
      </c>
      <c r="C224" s="16">
        <f>IF(Murid!C224="","",Murid!C224)</f>
        <v/>
      </c>
      <c r="D224" s="15">
        <f>IF(Murid!E224="","",Murid!E224)</f>
        <v/>
      </c>
      <c r="E224" s="11" t="n"/>
      <c r="F224" s="11" t="n"/>
      <c r="G224" s="10">
        <f>IF(F224="","",IFERROR(VLOOKUP(F224,T_JUB,2,FALSE),0))</f>
        <v/>
      </c>
      <c r="H224" s="11" t="n"/>
      <c r="I224" s="17">
        <f>IF(H224="","",IF(H224&gt;=12,40,ROUND(H224*3.33,2)))</f>
        <v/>
      </c>
      <c r="J224" s="11" t="n"/>
      <c r="K224" s="11" t="n"/>
      <c r="L224" s="11" t="n"/>
      <c r="M224" s="11" t="n"/>
      <c r="N224" s="10">
        <f>IF(COUNTA(J224:M224)=0,"",MIN(10,SUMPRODUCT((COUNTIF(J224:M224,L_KOM)&gt;0)*S_KOM)))</f>
        <v/>
      </c>
      <c r="O224" s="11" t="n"/>
      <c r="P224" s="10">
        <f>IF(O224="","",IFERROR(VLOOKUP(O224,T_KHID,2,FALSE),0))</f>
        <v/>
      </c>
      <c r="Q224" s="11" t="n"/>
      <c r="R224" s="11" t="n"/>
      <c r="S224" s="10">
        <f>IF(AND(Q224="",R224=""),"",IFERROR(INDEX(T_LIBAT,MATCH(Q224,L_PER,0),MATCH(R224,L_JENIS,0)),0))</f>
        <v/>
      </c>
      <c r="T224" s="11" t="n"/>
      <c r="U224" s="11" t="n"/>
      <c r="V224" s="10">
        <f>IF(AND(T224="",U224=""),"",IFERROR(INDEX(T_CAPAI,MATCH(T224,L_PER,0),MATCH(U224,L_KED,0)),0))</f>
        <v/>
      </c>
      <c r="W224" s="17">
        <f>IF(OR(B224="",E224="",COUNTA(F224,H224,J224:M224,O224,Q224:R224,T224:U224)=0),"",SUM(G224,I224,N224,P224,S224,V224))</f>
        <v/>
      </c>
      <c r="X224" s="18">
        <f>IF(W224="","",IF(Murid!F224="TL","TL",ROUND(W224/110*100,2)))</f>
        <v/>
      </c>
    </row>
    <row r="225">
      <c r="A225" s="15">
        <f>Murid!A225</f>
        <v/>
      </c>
      <c r="B225" s="15">
        <f>IF(Murid!B225="","",Murid!B225)</f>
        <v/>
      </c>
      <c r="C225" s="16">
        <f>IF(Murid!C225="","",Murid!C225)</f>
        <v/>
      </c>
      <c r="D225" s="15">
        <f>IF(Murid!E225="","",Murid!E225)</f>
        <v/>
      </c>
      <c r="E225" s="11" t="n"/>
      <c r="F225" s="11" t="n"/>
      <c r="G225" s="10">
        <f>IF(F225="","",IFERROR(VLOOKUP(F225,T_JUB,2,FALSE),0))</f>
        <v/>
      </c>
      <c r="H225" s="11" t="n"/>
      <c r="I225" s="17">
        <f>IF(H225="","",IF(H225&gt;=12,40,ROUND(H225*3.33,2)))</f>
        <v/>
      </c>
      <c r="J225" s="11" t="n"/>
      <c r="K225" s="11" t="n"/>
      <c r="L225" s="11" t="n"/>
      <c r="M225" s="11" t="n"/>
      <c r="N225" s="10">
        <f>IF(COUNTA(J225:M225)=0,"",MIN(10,SUMPRODUCT((COUNTIF(J225:M225,L_KOM)&gt;0)*S_KOM)))</f>
        <v/>
      </c>
      <c r="O225" s="11" t="n"/>
      <c r="P225" s="10">
        <f>IF(O225="","",IFERROR(VLOOKUP(O225,T_KHID,2,FALSE),0))</f>
        <v/>
      </c>
      <c r="Q225" s="11" t="n"/>
      <c r="R225" s="11" t="n"/>
      <c r="S225" s="10">
        <f>IF(AND(Q225="",R225=""),"",IFERROR(INDEX(T_LIBAT,MATCH(Q225,L_PER,0),MATCH(R225,L_JENIS,0)),0))</f>
        <v/>
      </c>
      <c r="T225" s="11" t="n"/>
      <c r="U225" s="11" t="n"/>
      <c r="V225" s="10">
        <f>IF(AND(T225="",U225=""),"",IFERROR(INDEX(T_CAPAI,MATCH(T225,L_PER,0),MATCH(U225,L_KED,0)),0))</f>
        <v/>
      </c>
      <c r="W225" s="17">
        <f>IF(OR(B225="",E225="",COUNTA(F225,H225,J225:M225,O225,Q225:R225,T225:U225)=0),"",SUM(G225,I225,N225,P225,S225,V225))</f>
        <v/>
      </c>
      <c r="X225" s="18">
        <f>IF(W225="","",IF(Murid!F225="TL","TL",ROUND(W225/110*100,2)))</f>
        <v/>
      </c>
    </row>
    <row r="226">
      <c r="A226" s="15">
        <f>Murid!A226</f>
        <v/>
      </c>
      <c r="B226" s="15">
        <f>IF(Murid!B226="","",Murid!B226)</f>
        <v/>
      </c>
      <c r="C226" s="16">
        <f>IF(Murid!C226="","",Murid!C226)</f>
        <v/>
      </c>
      <c r="D226" s="15">
        <f>IF(Murid!E226="","",Murid!E226)</f>
        <v/>
      </c>
      <c r="E226" s="11" t="n"/>
      <c r="F226" s="11" t="n"/>
      <c r="G226" s="10">
        <f>IF(F226="","",IFERROR(VLOOKUP(F226,T_JUB,2,FALSE),0))</f>
        <v/>
      </c>
      <c r="H226" s="11" t="n"/>
      <c r="I226" s="17">
        <f>IF(H226="","",IF(H226&gt;=12,40,ROUND(H226*3.33,2)))</f>
        <v/>
      </c>
      <c r="J226" s="11" t="n"/>
      <c r="K226" s="11" t="n"/>
      <c r="L226" s="11" t="n"/>
      <c r="M226" s="11" t="n"/>
      <c r="N226" s="10">
        <f>IF(COUNTA(J226:M226)=0,"",MIN(10,SUMPRODUCT((COUNTIF(J226:M226,L_KOM)&gt;0)*S_KOM)))</f>
        <v/>
      </c>
      <c r="O226" s="11" t="n"/>
      <c r="P226" s="10">
        <f>IF(O226="","",IFERROR(VLOOKUP(O226,T_KHID,2,FALSE),0))</f>
        <v/>
      </c>
      <c r="Q226" s="11" t="n"/>
      <c r="R226" s="11" t="n"/>
      <c r="S226" s="10">
        <f>IF(AND(Q226="",R226=""),"",IFERROR(INDEX(T_LIBAT,MATCH(Q226,L_PER,0),MATCH(R226,L_JENIS,0)),0))</f>
        <v/>
      </c>
      <c r="T226" s="11" t="n"/>
      <c r="U226" s="11" t="n"/>
      <c r="V226" s="10">
        <f>IF(AND(T226="",U226=""),"",IFERROR(INDEX(T_CAPAI,MATCH(T226,L_PER,0),MATCH(U226,L_KED,0)),0))</f>
        <v/>
      </c>
      <c r="W226" s="17">
        <f>IF(OR(B226="",E226="",COUNTA(F226,H226,J226:M226,O226,Q226:R226,T226:U226)=0),"",SUM(G226,I226,N226,P226,S226,V226))</f>
        <v/>
      </c>
      <c r="X226" s="18">
        <f>IF(W226="","",IF(Murid!F226="TL","TL",ROUND(W226/110*100,2)))</f>
        <v/>
      </c>
    </row>
    <row r="227">
      <c r="A227" s="15">
        <f>Murid!A227</f>
        <v/>
      </c>
      <c r="B227" s="15">
        <f>IF(Murid!B227="","",Murid!B227)</f>
        <v/>
      </c>
      <c r="C227" s="16">
        <f>IF(Murid!C227="","",Murid!C227)</f>
        <v/>
      </c>
      <c r="D227" s="15">
        <f>IF(Murid!E227="","",Murid!E227)</f>
        <v/>
      </c>
      <c r="E227" s="11" t="n"/>
      <c r="F227" s="11" t="n"/>
      <c r="G227" s="10">
        <f>IF(F227="","",IFERROR(VLOOKUP(F227,T_JUB,2,FALSE),0))</f>
        <v/>
      </c>
      <c r="H227" s="11" t="n"/>
      <c r="I227" s="17">
        <f>IF(H227="","",IF(H227&gt;=12,40,ROUND(H227*3.33,2)))</f>
        <v/>
      </c>
      <c r="J227" s="11" t="n"/>
      <c r="K227" s="11" t="n"/>
      <c r="L227" s="11" t="n"/>
      <c r="M227" s="11" t="n"/>
      <c r="N227" s="10">
        <f>IF(COUNTA(J227:M227)=0,"",MIN(10,SUMPRODUCT((COUNTIF(J227:M227,L_KOM)&gt;0)*S_KOM)))</f>
        <v/>
      </c>
      <c r="O227" s="11" t="n"/>
      <c r="P227" s="10">
        <f>IF(O227="","",IFERROR(VLOOKUP(O227,T_KHID,2,FALSE),0))</f>
        <v/>
      </c>
      <c r="Q227" s="11" t="n"/>
      <c r="R227" s="11" t="n"/>
      <c r="S227" s="10">
        <f>IF(AND(Q227="",R227=""),"",IFERROR(INDEX(T_LIBAT,MATCH(Q227,L_PER,0),MATCH(R227,L_JENIS,0)),0))</f>
        <v/>
      </c>
      <c r="T227" s="11" t="n"/>
      <c r="U227" s="11" t="n"/>
      <c r="V227" s="10">
        <f>IF(AND(T227="",U227=""),"",IFERROR(INDEX(T_CAPAI,MATCH(T227,L_PER,0),MATCH(U227,L_KED,0)),0))</f>
        <v/>
      </c>
      <c r="W227" s="17">
        <f>IF(OR(B227="",E227="",COUNTA(F227,H227,J227:M227,O227,Q227:R227,T227:U227)=0),"",SUM(G227,I227,N227,P227,S227,V227))</f>
        <v/>
      </c>
      <c r="X227" s="18">
        <f>IF(W227="","",IF(Murid!F227="TL","TL",ROUND(W227/110*100,2)))</f>
        <v/>
      </c>
    </row>
    <row r="228">
      <c r="A228" s="15">
        <f>Murid!A228</f>
        <v/>
      </c>
      <c r="B228" s="15">
        <f>IF(Murid!B228="","",Murid!B228)</f>
        <v/>
      </c>
      <c r="C228" s="16">
        <f>IF(Murid!C228="","",Murid!C228)</f>
        <v/>
      </c>
      <c r="D228" s="15">
        <f>IF(Murid!E228="","",Murid!E228)</f>
        <v/>
      </c>
      <c r="E228" s="11" t="n"/>
      <c r="F228" s="11" t="n"/>
      <c r="G228" s="10">
        <f>IF(F228="","",IFERROR(VLOOKUP(F228,T_JUB,2,FALSE),0))</f>
        <v/>
      </c>
      <c r="H228" s="11" t="n"/>
      <c r="I228" s="17">
        <f>IF(H228="","",IF(H228&gt;=12,40,ROUND(H228*3.33,2)))</f>
        <v/>
      </c>
      <c r="J228" s="11" t="n"/>
      <c r="K228" s="11" t="n"/>
      <c r="L228" s="11" t="n"/>
      <c r="M228" s="11" t="n"/>
      <c r="N228" s="10">
        <f>IF(COUNTA(J228:M228)=0,"",MIN(10,SUMPRODUCT((COUNTIF(J228:M228,L_KOM)&gt;0)*S_KOM)))</f>
        <v/>
      </c>
      <c r="O228" s="11" t="n"/>
      <c r="P228" s="10">
        <f>IF(O228="","",IFERROR(VLOOKUP(O228,T_KHID,2,FALSE),0))</f>
        <v/>
      </c>
      <c r="Q228" s="11" t="n"/>
      <c r="R228" s="11" t="n"/>
      <c r="S228" s="10">
        <f>IF(AND(Q228="",R228=""),"",IFERROR(INDEX(T_LIBAT,MATCH(Q228,L_PER,0),MATCH(R228,L_JENIS,0)),0))</f>
        <v/>
      </c>
      <c r="T228" s="11" t="n"/>
      <c r="U228" s="11" t="n"/>
      <c r="V228" s="10">
        <f>IF(AND(T228="",U228=""),"",IFERROR(INDEX(T_CAPAI,MATCH(T228,L_PER,0),MATCH(U228,L_KED,0)),0))</f>
        <v/>
      </c>
      <c r="W228" s="17">
        <f>IF(OR(B228="",E228="",COUNTA(F228,H228,J228:M228,O228,Q228:R228,T228:U228)=0),"",SUM(G228,I228,N228,P228,S228,V228))</f>
        <v/>
      </c>
      <c r="X228" s="18">
        <f>IF(W228="","",IF(Murid!F228="TL","TL",ROUND(W228/110*100,2)))</f>
        <v/>
      </c>
    </row>
    <row r="229">
      <c r="A229" s="15">
        <f>Murid!A229</f>
        <v/>
      </c>
      <c r="B229" s="15">
        <f>IF(Murid!B229="","",Murid!B229)</f>
        <v/>
      </c>
      <c r="C229" s="16">
        <f>IF(Murid!C229="","",Murid!C229)</f>
        <v/>
      </c>
      <c r="D229" s="15">
        <f>IF(Murid!E229="","",Murid!E229)</f>
        <v/>
      </c>
      <c r="E229" s="11" t="n"/>
      <c r="F229" s="11" t="n"/>
      <c r="G229" s="10">
        <f>IF(F229="","",IFERROR(VLOOKUP(F229,T_JUB,2,FALSE),0))</f>
        <v/>
      </c>
      <c r="H229" s="11" t="n"/>
      <c r="I229" s="17">
        <f>IF(H229="","",IF(H229&gt;=12,40,ROUND(H229*3.33,2)))</f>
        <v/>
      </c>
      <c r="J229" s="11" t="n"/>
      <c r="K229" s="11" t="n"/>
      <c r="L229" s="11" t="n"/>
      <c r="M229" s="11" t="n"/>
      <c r="N229" s="10">
        <f>IF(COUNTA(J229:M229)=0,"",MIN(10,SUMPRODUCT((COUNTIF(J229:M229,L_KOM)&gt;0)*S_KOM)))</f>
        <v/>
      </c>
      <c r="O229" s="11" t="n"/>
      <c r="P229" s="10">
        <f>IF(O229="","",IFERROR(VLOOKUP(O229,T_KHID,2,FALSE),0))</f>
        <v/>
      </c>
      <c r="Q229" s="11" t="n"/>
      <c r="R229" s="11" t="n"/>
      <c r="S229" s="10">
        <f>IF(AND(Q229="",R229=""),"",IFERROR(INDEX(T_LIBAT,MATCH(Q229,L_PER,0),MATCH(R229,L_JENIS,0)),0))</f>
        <v/>
      </c>
      <c r="T229" s="11" t="n"/>
      <c r="U229" s="11" t="n"/>
      <c r="V229" s="10">
        <f>IF(AND(T229="",U229=""),"",IFERROR(INDEX(T_CAPAI,MATCH(T229,L_PER,0),MATCH(U229,L_KED,0)),0))</f>
        <v/>
      </c>
      <c r="W229" s="17">
        <f>IF(OR(B229="",E229="",COUNTA(F229,H229,J229:M229,O229,Q229:R229,T229:U229)=0),"",SUM(G229,I229,N229,P229,S229,V229))</f>
        <v/>
      </c>
      <c r="X229" s="18">
        <f>IF(W229="","",IF(Murid!F229="TL","TL",ROUND(W229/110*100,2)))</f>
        <v/>
      </c>
    </row>
    <row r="230">
      <c r="A230" s="15">
        <f>Murid!A230</f>
        <v/>
      </c>
      <c r="B230" s="15">
        <f>IF(Murid!B230="","",Murid!B230)</f>
        <v/>
      </c>
      <c r="C230" s="16">
        <f>IF(Murid!C230="","",Murid!C230)</f>
        <v/>
      </c>
      <c r="D230" s="15">
        <f>IF(Murid!E230="","",Murid!E230)</f>
        <v/>
      </c>
      <c r="E230" s="11" t="n"/>
      <c r="F230" s="11" t="n"/>
      <c r="G230" s="10">
        <f>IF(F230="","",IFERROR(VLOOKUP(F230,T_JUB,2,FALSE),0))</f>
        <v/>
      </c>
      <c r="H230" s="11" t="n"/>
      <c r="I230" s="17">
        <f>IF(H230="","",IF(H230&gt;=12,40,ROUND(H230*3.33,2)))</f>
        <v/>
      </c>
      <c r="J230" s="11" t="n"/>
      <c r="K230" s="11" t="n"/>
      <c r="L230" s="11" t="n"/>
      <c r="M230" s="11" t="n"/>
      <c r="N230" s="10">
        <f>IF(COUNTA(J230:M230)=0,"",MIN(10,SUMPRODUCT((COUNTIF(J230:M230,L_KOM)&gt;0)*S_KOM)))</f>
        <v/>
      </c>
      <c r="O230" s="11" t="n"/>
      <c r="P230" s="10">
        <f>IF(O230="","",IFERROR(VLOOKUP(O230,T_KHID,2,FALSE),0))</f>
        <v/>
      </c>
      <c r="Q230" s="11" t="n"/>
      <c r="R230" s="11" t="n"/>
      <c r="S230" s="10">
        <f>IF(AND(Q230="",R230=""),"",IFERROR(INDEX(T_LIBAT,MATCH(Q230,L_PER,0),MATCH(R230,L_JENIS,0)),0))</f>
        <v/>
      </c>
      <c r="T230" s="11" t="n"/>
      <c r="U230" s="11" t="n"/>
      <c r="V230" s="10">
        <f>IF(AND(T230="",U230=""),"",IFERROR(INDEX(T_CAPAI,MATCH(T230,L_PER,0),MATCH(U230,L_KED,0)),0))</f>
        <v/>
      </c>
      <c r="W230" s="17">
        <f>IF(OR(B230="",E230="",COUNTA(F230,H230,J230:M230,O230,Q230:R230,T230:U230)=0),"",SUM(G230,I230,N230,P230,S230,V230))</f>
        <v/>
      </c>
      <c r="X230" s="18">
        <f>IF(W230="","",IF(Murid!F230="TL","TL",ROUND(W230/110*100,2)))</f>
        <v/>
      </c>
    </row>
    <row r="231">
      <c r="A231" s="15">
        <f>Murid!A231</f>
        <v/>
      </c>
      <c r="B231" s="15">
        <f>IF(Murid!B231="","",Murid!B231)</f>
        <v/>
      </c>
      <c r="C231" s="16">
        <f>IF(Murid!C231="","",Murid!C231)</f>
        <v/>
      </c>
      <c r="D231" s="15">
        <f>IF(Murid!E231="","",Murid!E231)</f>
        <v/>
      </c>
      <c r="E231" s="11" t="n"/>
      <c r="F231" s="11" t="n"/>
      <c r="G231" s="10">
        <f>IF(F231="","",IFERROR(VLOOKUP(F231,T_JUB,2,FALSE),0))</f>
        <v/>
      </c>
      <c r="H231" s="11" t="n"/>
      <c r="I231" s="17">
        <f>IF(H231="","",IF(H231&gt;=12,40,ROUND(H231*3.33,2)))</f>
        <v/>
      </c>
      <c r="J231" s="11" t="n"/>
      <c r="K231" s="11" t="n"/>
      <c r="L231" s="11" t="n"/>
      <c r="M231" s="11" t="n"/>
      <c r="N231" s="10">
        <f>IF(COUNTA(J231:M231)=0,"",MIN(10,SUMPRODUCT((COUNTIF(J231:M231,L_KOM)&gt;0)*S_KOM)))</f>
        <v/>
      </c>
      <c r="O231" s="11" t="n"/>
      <c r="P231" s="10">
        <f>IF(O231="","",IFERROR(VLOOKUP(O231,T_KHID,2,FALSE),0))</f>
        <v/>
      </c>
      <c r="Q231" s="11" t="n"/>
      <c r="R231" s="11" t="n"/>
      <c r="S231" s="10">
        <f>IF(AND(Q231="",R231=""),"",IFERROR(INDEX(T_LIBAT,MATCH(Q231,L_PER,0),MATCH(R231,L_JENIS,0)),0))</f>
        <v/>
      </c>
      <c r="T231" s="11" t="n"/>
      <c r="U231" s="11" t="n"/>
      <c r="V231" s="10">
        <f>IF(AND(T231="",U231=""),"",IFERROR(INDEX(T_CAPAI,MATCH(T231,L_PER,0),MATCH(U231,L_KED,0)),0))</f>
        <v/>
      </c>
      <c r="W231" s="17">
        <f>IF(OR(B231="",E231="",COUNTA(F231,H231,J231:M231,O231,Q231:R231,T231:U231)=0),"",SUM(G231,I231,N231,P231,S231,V231))</f>
        <v/>
      </c>
      <c r="X231" s="18">
        <f>IF(W231="","",IF(Murid!F231="TL","TL",ROUND(W231/110*100,2)))</f>
        <v/>
      </c>
    </row>
    <row r="232">
      <c r="A232" s="15">
        <f>Murid!A232</f>
        <v/>
      </c>
      <c r="B232" s="15">
        <f>IF(Murid!B232="","",Murid!B232)</f>
        <v/>
      </c>
      <c r="C232" s="16">
        <f>IF(Murid!C232="","",Murid!C232)</f>
        <v/>
      </c>
      <c r="D232" s="15">
        <f>IF(Murid!E232="","",Murid!E232)</f>
        <v/>
      </c>
      <c r="E232" s="11" t="n"/>
      <c r="F232" s="11" t="n"/>
      <c r="G232" s="10">
        <f>IF(F232="","",IFERROR(VLOOKUP(F232,T_JUB,2,FALSE),0))</f>
        <v/>
      </c>
      <c r="H232" s="11" t="n"/>
      <c r="I232" s="17">
        <f>IF(H232="","",IF(H232&gt;=12,40,ROUND(H232*3.33,2)))</f>
        <v/>
      </c>
      <c r="J232" s="11" t="n"/>
      <c r="K232" s="11" t="n"/>
      <c r="L232" s="11" t="n"/>
      <c r="M232" s="11" t="n"/>
      <c r="N232" s="10">
        <f>IF(COUNTA(J232:M232)=0,"",MIN(10,SUMPRODUCT((COUNTIF(J232:M232,L_KOM)&gt;0)*S_KOM)))</f>
        <v/>
      </c>
      <c r="O232" s="11" t="n"/>
      <c r="P232" s="10">
        <f>IF(O232="","",IFERROR(VLOOKUP(O232,T_KHID,2,FALSE),0))</f>
        <v/>
      </c>
      <c r="Q232" s="11" t="n"/>
      <c r="R232" s="11" t="n"/>
      <c r="S232" s="10">
        <f>IF(AND(Q232="",R232=""),"",IFERROR(INDEX(T_LIBAT,MATCH(Q232,L_PER,0),MATCH(R232,L_JENIS,0)),0))</f>
        <v/>
      </c>
      <c r="T232" s="11" t="n"/>
      <c r="U232" s="11" t="n"/>
      <c r="V232" s="10">
        <f>IF(AND(T232="",U232=""),"",IFERROR(INDEX(T_CAPAI,MATCH(T232,L_PER,0),MATCH(U232,L_KED,0)),0))</f>
        <v/>
      </c>
      <c r="W232" s="17">
        <f>IF(OR(B232="",E232="",COUNTA(F232,H232,J232:M232,O232,Q232:R232,T232:U232)=0),"",SUM(G232,I232,N232,P232,S232,V232))</f>
        <v/>
      </c>
      <c r="X232" s="18">
        <f>IF(W232="","",IF(Murid!F232="TL","TL",ROUND(W232/110*100,2)))</f>
        <v/>
      </c>
    </row>
    <row r="233">
      <c r="A233" s="15">
        <f>Murid!A233</f>
        <v/>
      </c>
      <c r="B233" s="15">
        <f>IF(Murid!B233="","",Murid!B233)</f>
        <v/>
      </c>
      <c r="C233" s="16">
        <f>IF(Murid!C233="","",Murid!C233)</f>
        <v/>
      </c>
      <c r="D233" s="15">
        <f>IF(Murid!E233="","",Murid!E233)</f>
        <v/>
      </c>
      <c r="E233" s="11" t="n"/>
      <c r="F233" s="11" t="n"/>
      <c r="G233" s="10">
        <f>IF(F233="","",IFERROR(VLOOKUP(F233,T_JUB,2,FALSE),0))</f>
        <v/>
      </c>
      <c r="H233" s="11" t="n"/>
      <c r="I233" s="17">
        <f>IF(H233="","",IF(H233&gt;=12,40,ROUND(H233*3.33,2)))</f>
        <v/>
      </c>
      <c r="J233" s="11" t="n"/>
      <c r="K233" s="11" t="n"/>
      <c r="L233" s="11" t="n"/>
      <c r="M233" s="11" t="n"/>
      <c r="N233" s="10">
        <f>IF(COUNTA(J233:M233)=0,"",MIN(10,SUMPRODUCT((COUNTIF(J233:M233,L_KOM)&gt;0)*S_KOM)))</f>
        <v/>
      </c>
      <c r="O233" s="11" t="n"/>
      <c r="P233" s="10">
        <f>IF(O233="","",IFERROR(VLOOKUP(O233,T_KHID,2,FALSE),0))</f>
        <v/>
      </c>
      <c r="Q233" s="11" t="n"/>
      <c r="R233" s="11" t="n"/>
      <c r="S233" s="10">
        <f>IF(AND(Q233="",R233=""),"",IFERROR(INDEX(T_LIBAT,MATCH(Q233,L_PER,0),MATCH(R233,L_JENIS,0)),0))</f>
        <v/>
      </c>
      <c r="T233" s="11" t="n"/>
      <c r="U233" s="11" t="n"/>
      <c r="V233" s="10">
        <f>IF(AND(T233="",U233=""),"",IFERROR(INDEX(T_CAPAI,MATCH(T233,L_PER,0),MATCH(U233,L_KED,0)),0))</f>
        <v/>
      </c>
      <c r="W233" s="17">
        <f>IF(OR(B233="",E233="",COUNTA(F233,H233,J233:M233,O233,Q233:R233,T233:U233)=0),"",SUM(G233,I233,N233,P233,S233,V233))</f>
        <v/>
      </c>
      <c r="X233" s="18">
        <f>IF(W233="","",IF(Murid!F233="TL","TL",ROUND(W233/110*100,2)))</f>
        <v/>
      </c>
    </row>
    <row r="234">
      <c r="A234" s="15">
        <f>Murid!A234</f>
        <v/>
      </c>
      <c r="B234" s="15">
        <f>IF(Murid!B234="","",Murid!B234)</f>
        <v/>
      </c>
      <c r="C234" s="16">
        <f>IF(Murid!C234="","",Murid!C234)</f>
        <v/>
      </c>
      <c r="D234" s="15">
        <f>IF(Murid!E234="","",Murid!E234)</f>
        <v/>
      </c>
      <c r="E234" s="11" t="n"/>
      <c r="F234" s="11" t="n"/>
      <c r="G234" s="10">
        <f>IF(F234="","",IFERROR(VLOOKUP(F234,T_JUB,2,FALSE),0))</f>
        <v/>
      </c>
      <c r="H234" s="11" t="n"/>
      <c r="I234" s="17">
        <f>IF(H234="","",IF(H234&gt;=12,40,ROUND(H234*3.33,2)))</f>
        <v/>
      </c>
      <c r="J234" s="11" t="n"/>
      <c r="K234" s="11" t="n"/>
      <c r="L234" s="11" t="n"/>
      <c r="M234" s="11" t="n"/>
      <c r="N234" s="10">
        <f>IF(COUNTA(J234:M234)=0,"",MIN(10,SUMPRODUCT((COUNTIF(J234:M234,L_KOM)&gt;0)*S_KOM)))</f>
        <v/>
      </c>
      <c r="O234" s="11" t="n"/>
      <c r="P234" s="10">
        <f>IF(O234="","",IFERROR(VLOOKUP(O234,T_KHID,2,FALSE),0))</f>
        <v/>
      </c>
      <c r="Q234" s="11" t="n"/>
      <c r="R234" s="11" t="n"/>
      <c r="S234" s="10">
        <f>IF(AND(Q234="",R234=""),"",IFERROR(INDEX(T_LIBAT,MATCH(Q234,L_PER,0),MATCH(R234,L_JENIS,0)),0))</f>
        <v/>
      </c>
      <c r="T234" s="11" t="n"/>
      <c r="U234" s="11" t="n"/>
      <c r="V234" s="10">
        <f>IF(AND(T234="",U234=""),"",IFERROR(INDEX(T_CAPAI,MATCH(T234,L_PER,0),MATCH(U234,L_KED,0)),0))</f>
        <v/>
      </c>
      <c r="W234" s="17">
        <f>IF(OR(B234="",E234="",COUNTA(F234,H234,J234:M234,O234,Q234:R234,T234:U234)=0),"",SUM(G234,I234,N234,P234,S234,V234))</f>
        <v/>
      </c>
      <c r="X234" s="18">
        <f>IF(W234="","",IF(Murid!F234="TL","TL",ROUND(W234/110*100,2)))</f>
        <v/>
      </c>
    </row>
    <row r="235">
      <c r="A235" s="15">
        <f>Murid!A235</f>
        <v/>
      </c>
      <c r="B235" s="15">
        <f>IF(Murid!B235="","",Murid!B235)</f>
        <v/>
      </c>
      <c r="C235" s="16">
        <f>IF(Murid!C235="","",Murid!C235)</f>
        <v/>
      </c>
      <c r="D235" s="15">
        <f>IF(Murid!E235="","",Murid!E235)</f>
        <v/>
      </c>
      <c r="E235" s="11" t="n"/>
      <c r="F235" s="11" t="n"/>
      <c r="G235" s="10">
        <f>IF(F235="","",IFERROR(VLOOKUP(F235,T_JUB,2,FALSE),0))</f>
        <v/>
      </c>
      <c r="H235" s="11" t="n"/>
      <c r="I235" s="17">
        <f>IF(H235="","",IF(H235&gt;=12,40,ROUND(H235*3.33,2)))</f>
        <v/>
      </c>
      <c r="J235" s="11" t="n"/>
      <c r="K235" s="11" t="n"/>
      <c r="L235" s="11" t="n"/>
      <c r="M235" s="11" t="n"/>
      <c r="N235" s="10">
        <f>IF(COUNTA(J235:M235)=0,"",MIN(10,SUMPRODUCT((COUNTIF(J235:M235,L_KOM)&gt;0)*S_KOM)))</f>
        <v/>
      </c>
      <c r="O235" s="11" t="n"/>
      <c r="P235" s="10">
        <f>IF(O235="","",IFERROR(VLOOKUP(O235,T_KHID,2,FALSE),0))</f>
        <v/>
      </c>
      <c r="Q235" s="11" t="n"/>
      <c r="R235" s="11" t="n"/>
      <c r="S235" s="10">
        <f>IF(AND(Q235="",R235=""),"",IFERROR(INDEX(T_LIBAT,MATCH(Q235,L_PER,0),MATCH(R235,L_JENIS,0)),0))</f>
        <v/>
      </c>
      <c r="T235" s="11" t="n"/>
      <c r="U235" s="11" t="n"/>
      <c r="V235" s="10">
        <f>IF(AND(T235="",U235=""),"",IFERROR(INDEX(T_CAPAI,MATCH(T235,L_PER,0),MATCH(U235,L_KED,0)),0))</f>
        <v/>
      </c>
      <c r="W235" s="17">
        <f>IF(OR(B235="",E235="",COUNTA(F235,H235,J235:M235,O235,Q235:R235,T235:U235)=0),"",SUM(G235,I235,N235,P235,S235,V235))</f>
        <v/>
      </c>
      <c r="X235" s="18">
        <f>IF(W235="","",IF(Murid!F235="TL","TL",ROUND(W235/110*100,2)))</f>
        <v/>
      </c>
    </row>
    <row r="236">
      <c r="A236" s="15">
        <f>Murid!A236</f>
        <v/>
      </c>
      <c r="B236" s="15">
        <f>IF(Murid!B236="","",Murid!B236)</f>
        <v/>
      </c>
      <c r="C236" s="16">
        <f>IF(Murid!C236="","",Murid!C236)</f>
        <v/>
      </c>
      <c r="D236" s="15">
        <f>IF(Murid!E236="","",Murid!E236)</f>
        <v/>
      </c>
      <c r="E236" s="11" t="n"/>
      <c r="F236" s="11" t="n"/>
      <c r="G236" s="10">
        <f>IF(F236="","",IFERROR(VLOOKUP(F236,T_JUB,2,FALSE),0))</f>
        <v/>
      </c>
      <c r="H236" s="11" t="n"/>
      <c r="I236" s="17">
        <f>IF(H236="","",IF(H236&gt;=12,40,ROUND(H236*3.33,2)))</f>
        <v/>
      </c>
      <c r="J236" s="11" t="n"/>
      <c r="K236" s="11" t="n"/>
      <c r="L236" s="11" t="n"/>
      <c r="M236" s="11" t="n"/>
      <c r="N236" s="10">
        <f>IF(COUNTA(J236:M236)=0,"",MIN(10,SUMPRODUCT((COUNTIF(J236:M236,L_KOM)&gt;0)*S_KOM)))</f>
        <v/>
      </c>
      <c r="O236" s="11" t="n"/>
      <c r="P236" s="10">
        <f>IF(O236="","",IFERROR(VLOOKUP(O236,T_KHID,2,FALSE),0))</f>
        <v/>
      </c>
      <c r="Q236" s="11" t="n"/>
      <c r="R236" s="11" t="n"/>
      <c r="S236" s="10">
        <f>IF(AND(Q236="",R236=""),"",IFERROR(INDEX(T_LIBAT,MATCH(Q236,L_PER,0),MATCH(R236,L_JENIS,0)),0))</f>
        <v/>
      </c>
      <c r="T236" s="11" t="n"/>
      <c r="U236" s="11" t="n"/>
      <c r="V236" s="10">
        <f>IF(AND(T236="",U236=""),"",IFERROR(INDEX(T_CAPAI,MATCH(T236,L_PER,0),MATCH(U236,L_KED,0)),0))</f>
        <v/>
      </c>
      <c r="W236" s="17">
        <f>IF(OR(B236="",E236="",COUNTA(F236,H236,J236:M236,O236,Q236:R236,T236:U236)=0),"",SUM(G236,I236,N236,P236,S236,V236))</f>
        <v/>
      </c>
      <c r="X236" s="18">
        <f>IF(W236="","",IF(Murid!F236="TL","TL",ROUND(W236/110*100,2)))</f>
        <v/>
      </c>
    </row>
    <row r="237">
      <c r="A237" s="15">
        <f>Murid!A237</f>
        <v/>
      </c>
      <c r="B237" s="15">
        <f>IF(Murid!B237="","",Murid!B237)</f>
        <v/>
      </c>
      <c r="C237" s="16">
        <f>IF(Murid!C237="","",Murid!C237)</f>
        <v/>
      </c>
      <c r="D237" s="15">
        <f>IF(Murid!E237="","",Murid!E237)</f>
        <v/>
      </c>
      <c r="E237" s="11" t="n"/>
      <c r="F237" s="11" t="n"/>
      <c r="G237" s="10">
        <f>IF(F237="","",IFERROR(VLOOKUP(F237,T_JUB,2,FALSE),0))</f>
        <v/>
      </c>
      <c r="H237" s="11" t="n"/>
      <c r="I237" s="17">
        <f>IF(H237="","",IF(H237&gt;=12,40,ROUND(H237*3.33,2)))</f>
        <v/>
      </c>
      <c r="J237" s="11" t="n"/>
      <c r="K237" s="11" t="n"/>
      <c r="L237" s="11" t="n"/>
      <c r="M237" s="11" t="n"/>
      <c r="N237" s="10">
        <f>IF(COUNTA(J237:M237)=0,"",MIN(10,SUMPRODUCT((COUNTIF(J237:M237,L_KOM)&gt;0)*S_KOM)))</f>
        <v/>
      </c>
      <c r="O237" s="11" t="n"/>
      <c r="P237" s="10">
        <f>IF(O237="","",IFERROR(VLOOKUP(O237,T_KHID,2,FALSE),0))</f>
        <v/>
      </c>
      <c r="Q237" s="11" t="n"/>
      <c r="R237" s="11" t="n"/>
      <c r="S237" s="10">
        <f>IF(AND(Q237="",R237=""),"",IFERROR(INDEX(T_LIBAT,MATCH(Q237,L_PER,0),MATCH(R237,L_JENIS,0)),0))</f>
        <v/>
      </c>
      <c r="T237" s="11" t="n"/>
      <c r="U237" s="11" t="n"/>
      <c r="V237" s="10">
        <f>IF(AND(T237="",U237=""),"",IFERROR(INDEX(T_CAPAI,MATCH(T237,L_PER,0),MATCH(U237,L_KED,0)),0))</f>
        <v/>
      </c>
      <c r="W237" s="17">
        <f>IF(OR(B237="",E237="",COUNTA(F237,H237,J237:M237,O237,Q237:R237,T237:U237)=0),"",SUM(G237,I237,N237,P237,S237,V237))</f>
        <v/>
      </c>
      <c r="X237" s="18">
        <f>IF(W237="","",IF(Murid!F237="TL","TL",ROUND(W237/110*100,2)))</f>
        <v/>
      </c>
    </row>
    <row r="238">
      <c r="A238" s="15">
        <f>Murid!A238</f>
        <v/>
      </c>
      <c r="B238" s="15">
        <f>IF(Murid!B238="","",Murid!B238)</f>
        <v/>
      </c>
      <c r="C238" s="16">
        <f>IF(Murid!C238="","",Murid!C238)</f>
        <v/>
      </c>
      <c r="D238" s="15">
        <f>IF(Murid!E238="","",Murid!E238)</f>
        <v/>
      </c>
      <c r="E238" s="11" t="n"/>
      <c r="F238" s="11" t="n"/>
      <c r="G238" s="10">
        <f>IF(F238="","",IFERROR(VLOOKUP(F238,T_JUB,2,FALSE),0))</f>
        <v/>
      </c>
      <c r="H238" s="11" t="n"/>
      <c r="I238" s="17">
        <f>IF(H238="","",IF(H238&gt;=12,40,ROUND(H238*3.33,2)))</f>
        <v/>
      </c>
      <c r="J238" s="11" t="n"/>
      <c r="K238" s="11" t="n"/>
      <c r="L238" s="11" t="n"/>
      <c r="M238" s="11" t="n"/>
      <c r="N238" s="10">
        <f>IF(COUNTA(J238:M238)=0,"",MIN(10,SUMPRODUCT((COUNTIF(J238:M238,L_KOM)&gt;0)*S_KOM)))</f>
        <v/>
      </c>
      <c r="O238" s="11" t="n"/>
      <c r="P238" s="10">
        <f>IF(O238="","",IFERROR(VLOOKUP(O238,T_KHID,2,FALSE),0))</f>
        <v/>
      </c>
      <c r="Q238" s="11" t="n"/>
      <c r="R238" s="11" t="n"/>
      <c r="S238" s="10">
        <f>IF(AND(Q238="",R238=""),"",IFERROR(INDEX(T_LIBAT,MATCH(Q238,L_PER,0),MATCH(R238,L_JENIS,0)),0))</f>
        <v/>
      </c>
      <c r="T238" s="11" t="n"/>
      <c r="U238" s="11" t="n"/>
      <c r="V238" s="10">
        <f>IF(AND(T238="",U238=""),"",IFERROR(INDEX(T_CAPAI,MATCH(T238,L_PER,0),MATCH(U238,L_KED,0)),0))</f>
        <v/>
      </c>
      <c r="W238" s="17">
        <f>IF(OR(B238="",E238="",COUNTA(F238,H238,J238:M238,O238,Q238:R238,T238:U238)=0),"",SUM(G238,I238,N238,P238,S238,V238))</f>
        <v/>
      </c>
      <c r="X238" s="18">
        <f>IF(W238="","",IF(Murid!F238="TL","TL",ROUND(W238/110*100,2)))</f>
        <v/>
      </c>
    </row>
    <row r="239">
      <c r="A239" s="15">
        <f>Murid!A239</f>
        <v/>
      </c>
      <c r="B239" s="15">
        <f>IF(Murid!B239="","",Murid!B239)</f>
        <v/>
      </c>
      <c r="C239" s="16">
        <f>IF(Murid!C239="","",Murid!C239)</f>
        <v/>
      </c>
      <c r="D239" s="15">
        <f>IF(Murid!E239="","",Murid!E239)</f>
        <v/>
      </c>
      <c r="E239" s="11" t="n"/>
      <c r="F239" s="11" t="n"/>
      <c r="G239" s="10">
        <f>IF(F239="","",IFERROR(VLOOKUP(F239,T_JUB,2,FALSE),0))</f>
        <v/>
      </c>
      <c r="H239" s="11" t="n"/>
      <c r="I239" s="17">
        <f>IF(H239="","",IF(H239&gt;=12,40,ROUND(H239*3.33,2)))</f>
        <v/>
      </c>
      <c r="J239" s="11" t="n"/>
      <c r="K239" s="11" t="n"/>
      <c r="L239" s="11" t="n"/>
      <c r="M239" s="11" t="n"/>
      <c r="N239" s="10">
        <f>IF(COUNTA(J239:M239)=0,"",MIN(10,SUMPRODUCT((COUNTIF(J239:M239,L_KOM)&gt;0)*S_KOM)))</f>
        <v/>
      </c>
      <c r="O239" s="11" t="n"/>
      <c r="P239" s="10">
        <f>IF(O239="","",IFERROR(VLOOKUP(O239,T_KHID,2,FALSE),0))</f>
        <v/>
      </c>
      <c r="Q239" s="11" t="n"/>
      <c r="R239" s="11" t="n"/>
      <c r="S239" s="10">
        <f>IF(AND(Q239="",R239=""),"",IFERROR(INDEX(T_LIBAT,MATCH(Q239,L_PER,0),MATCH(R239,L_JENIS,0)),0))</f>
        <v/>
      </c>
      <c r="T239" s="11" t="n"/>
      <c r="U239" s="11" t="n"/>
      <c r="V239" s="10">
        <f>IF(AND(T239="",U239=""),"",IFERROR(INDEX(T_CAPAI,MATCH(T239,L_PER,0),MATCH(U239,L_KED,0)),0))</f>
        <v/>
      </c>
      <c r="W239" s="17">
        <f>IF(OR(B239="",E239="",COUNTA(F239,H239,J239:M239,O239,Q239:R239,T239:U239)=0),"",SUM(G239,I239,N239,P239,S239,V239))</f>
        <v/>
      </c>
      <c r="X239" s="18">
        <f>IF(W239="","",IF(Murid!F239="TL","TL",ROUND(W239/110*100,2)))</f>
        <v/>
      </c>
    </row>
    <row r="240">
      <c r="A240" s="15">
        <f>Murid!A240</f>
        <v/>
      </c>
      <c r="B240" s="15">
        <f>IF(Murid!B240="","",Murid!B240)</f>
        <v/>
      </c>
      <c r="C240" s="16">
        <f>IF(Murid!C240="","",Murid!C240)</f>
        <v/>
      </c>
      <c r="D240" s="15">
        <f>IF(Murid!E240="","",Murid!E240)</f>
        <v/>
      </c>
      <c r="E240" s="11" t="n"/>
      <c r="F240" s="11" t="n"/>
      <c r="G240" s="10">
        <f>IF(F240="","",IFERROR(VLOOKUP(F240,T_JUB,2,FALSE),0))</f>
        <v/>
      </c>
      <c r="H240" s="11" t="n"/>
      <c r="I240" s="17">
        <f>IF(H240="","",IF(H240&gt;=12,40,ROUND(H240*3.33,2)))</f>
        <v/>
      </c>
      <c r="J240" s="11" t="n"/>
      <c r="K240" s="11" t="n"/>
      <c r="L240" s="11" t="n"/>
      <c r="M240" s="11" t="n"/>
      <c r="N240" s="10">
        <f>IF(COUNTA(J240:M240)=0,"",MIN(10,SUMPRODUCT((COUNTIF(J240:M240,L_KOM)&gt;0)*S_KOM)))</f>
        <v/>
      </c>
      <c r="O240" s="11" t="n"/>
      <c r="P240" s="10">
        <f>IF(O240="","",IFERROR(VLOOKUP(O240,T_KHID,2,FALSE),0))</f>
        <v/>
      </c>
      <c r="Q240" s="11" t="n"/>
      <c r="R240" s="11" t="n"/>
      <c r="S240" s="10">
        <f>IF(AND(Q240="",R240=""),"",IFERROR(INDEX(T_LIBAT,MATCH(Q240,L_PER,0),MATCH(R240,L_JENIS,0)),0))</f>
        <v/>
      </c>
      <c r="T240" s="11" t="n"/>
      <c r="U240" s="11" t="n"/>
      <c r="V240" s="10">
        <f>IF(AND(T240="",U240=""),"",IFERROR(INDEX(T_CAPAI,MATCH(T240,L_PER,0),MATCH(U240,L_KED,0)),0))</f>
        <v/>
      </c>
      <c r="W240" s="17">
        <f>IF(OR(B240="",E240="",COUNTA(F240,H240,J240:M240,O240,Q240:R240,T240:U240)=0),"",SUM(G240,I240,N240,P240,S240,V240))</f>
        <v/>
      </c>
      <c r="X240" s="18">
        <f>IF(W240="","",IF(Murid!F240="TL","TL",ROUND(W240/110*100,2)))</f>
        <v/>
      </c>
    </row>
    <row r="241">
      <c r="A241" s="15">
        <f>Murid!A241</f>
        <v/>
      </c>
      <c r="B241" s="15">
        <f>IF(Murid!B241="","",Murid!B241)</f>
        <v/>
      </c>
      <c r="C241" s="16">
        <f>IF(Murid!C241="","",Murid!C241)</f>
        <v/>
      </c>
      <c r="D241" s="15">
        <f>IF(Murid!E241="","",Murid!E241)</f>
        <v/>
      </c>
      <c r="E241" s="11" t="n"/>
      <c r="F241" s="11" t="n"/>
      <c r="G241" s="10">
        <f>IF(F241="","",IFERROR(VLOOKUP(F241,T_JUB,2,FALSE),0))</f>
        <v/>
      </c>
      <c r="H241" s="11" t="n"/>
      <c r="I241" s="17">
        <f>IF(H241="","",IF(H241&gt;=12,40,ROUND(H241*3.33,2)))</f>
        <v/>
      </c>
      <c r="J241" s="11" t="n"/>
      <c r="K241" s="11" t="n"/>
      <c r="L241" s="11" t="n"/>
      <c r="M241" s="11" t="n"/>
      <c r="N241" s="10">
        <f>IF(COUNTA(J241:M241)=0,"",MIN(10,SUMPRODUCT((COUNTIF(J241:M241,L_KOM)&gt;0)*S_KOM)))</f>
        <v/>
      </c>
      <c r="O241" s="11" t="n"/>
      <c r="P241" s="10">
        <f>IF(O241="","",IFERROR(VLOOKUP(O241,T_KHID,2,FALSE),0))</f>
        <v/>
      </c>
      <c r="Q241" s="11" t="n"/>
      <c r="R241" s="11" t="n"/>
      <c r="S241" s="10">
        <f>IF(AND(Q241="",R241=""),"",IFERROR(INDEX(T_LIBAT,MATCH(Q241,L_PER,0),MATCH(R241,L_JENIS,0)),0))</f>
        <v/>
      </c>
      <c r="T241" s="11" t="n"/>
      <c r="U241" s="11" t="n"/>
      <c r="V241" s="10">
        <f>IF(AND(T241="",U241=""),"",IFERROR(INDEX(T_CAPAI,MATCH(T241,L_PER,0),MATCH(U241,L_KED,0)),0))</f>
        <v/>
      </c>
      <c r="W241" s="17">
        <f>IF(OR(B241="",E241="",COUNTA(F241,H241,J241:M241,O241,Q241:R241,T241:U241)=0),"",SUM(G241,I241,N241,P241,S241,V241))</f>
        <v/>
      </c>
      <c r="X241" s="18">
        <f>IF(W241="","",IF(Murid!F241="TL","TL",ROUND(W241/110*100,2)))</f>
        <v/>
      </c>
    </row>
    <row r="242">
      <c r="A242" s="15">
        <f>Murid!A242</f>
        <v/>
      </c>
      <c r="B242" s="15">
        <f>IF(Murid!B242="","",Murid!B242)</f>
        <v/>
      </c>
      <c r="C242" s="16">
        <f>IF(Murid!C242="","",Murid!C242)</f>
        <v/>
      </c>
      <c r="D242" s="15">
        <f>IF(Murid!E242="","",Murid!E242)</f>
        <v/>
      </c>
      <c r="E242" s="11" t="n"/>
      <c r="F242" s="11" t="n"/>
      <c r="G242" s="10">
        <f>IF(F242="","",IFERROR(VLOOKUP(F242,T_JUB,2,FALSE),0))</f>
        <v/>
      </c>
      <c r="H242" s="11" t="n"/>
      <c r="I242" s="17">
        <f>IF(H242="","",IF(H242&gt;=12,40,ROUND(H242*3.33,2)))</f>
        <v/>
      </c>
      <c r="J242" s="11" t="n"/>
      <c r="K242" s="11" t="n"/>
      <c r="L242" s="11" t="n"/>
      <c r="M242" s="11" t="n"/>
      <c r="N242" s="10">
        <f>IF(COUNTA(J242:M242)=0,"",MIN(10,SUMPRODUCT((COUNTIF(J242:M242,L_KOM)&gt;0)*S_KOM)))</f>
        <v/>
      </c>
      <c r="O242" s="11" t="n"/>
      <c r="P242" s="10">
        <f>IF(O242="","",IFERROR(VLOOKUP(O242,T_KHID,2,FALSE),0))</f>
        <v/>
      </c>
      <c r="Q242" s="11" t="n"/>
      <c r="R242" s="11" t="n"/>
      <c r="S242" s="10">
        <f>IF(AND(Q242="",R242=""),"",IFERROR(INDEX(T_LIBAT,MATCH(Q242,L_PER,0),MATCH(R242,L_JENIS,0)),0))</f>
        <v/>
      </c>
      <c r="T242" s="11" t="n"/>
      <c r="U242" s="11" t="n"/>
      <c r="V242" s="10">
        <f>IF(AND(T242="",U242=""),"",IFERROR(INDEX(T_CAPAI,MATCH(T242,L_PER,0),MATCH(U242,L_KED,0)),0))</f>
        <v/>
      </c>
      <c r="W242" s="17">
        <f>IF(OR(B242="",E242="",COUNTA(F242,H242,J242:M242,O242,Q242:R242,T242:U242)=0),"",SUM(G242,I242,N242,P242,S242,V242))</f>
        <v/>
      </c>
      <c r="X242" s="18">
        <f>IF(W242="","",IF(Murid!F242="TL","TL",ROUND(W242/110*100,2)))</f>
        <v/>
      </c>
    </row>
    <row r="243">
      <c r="A243" s="15">
        <f>Murid!A243</f>
        <v/>
      </c>
      <c r="B243" s="15">
        <f>IF(Murid!B243="","",Murid!B243)</f>
        <v/>
      </c>
      <c r="C243" s="16">
        <f>IF(Murid!C243="","",Murid!C243)</f>
        <v/>
      </c>
      <c r="D243" s="15">
        <f>IF(Murid!E243="","",Murid!E243)</f>
        <v/>
      </c>
      <c r="E243" s="11" t="n"/>
      <c r="F243" s="11" t="n"/>
      <c r="G243" s="10">
        <f>IF(F243="","",IFERROR(VLOOKUP(F243,T_JUB,2,FALSE),0))</f>
        <v/>
      </c>
      <c r="H243" s="11" t="n"/>
      <c r="I243" s="17">
        <f>IF(H243="","",IF(H243&gt;=12,40,ROUND(H243*3.33,2)))</f>
        <v/>
      </c>
      <c r="J243" s="11" t="n"/>
      <c r="K243" s="11" t="n"/>
      <c r="L243" s="11" t="n"/>
      <c r="M243" s="11" t="n"/>
      <c r="N243" s="10">
        <f>IF(COUNTA(J243:M243)=0,"",MIN(10,SUMPRODUCT((COUNTIF(J243:M243,L_KOM)&gt;0)*S_KOM)))</f>
        <v/>
      </c>
      <c r="O243" s="11" t="n"/>
      <c r="P243" s="10">
        <f>IF(O243="","",IFERROR(VLOOKUP(O243,T_KHID,2,FALSE),0))</f>
        <v/>
      </c>
      <c r="Q243" s="11" t="n"/>
      <c r="R243" s="11" t="n"/>
      <c r="S243" s="10">
        <f>IF(AND(Q243="",R243=""),"",IFERROR(INDEX(T_LIBAT,MATCH(Q243,L_PER,0),MATCH(R243,L_JENIS,0)),0))</f>
        <v/>
      </c>
      <c r="T243" s="11" t="n"/>
      <c r="U243" s="11" t="n"/>
      <c r="V243" s="10">
        <f>IF(AND(T243="",U243=""),"",IFERROR(INDEX(T_CAPAI,MATCH(T243,L_PER,0),MATCH(U243,L_KED,0)),0))</f>
        <v/>
      </c>
      <c r="W243" s="17">
        <f>IF(OR(B243="",E243="",COUNTA(F243,H243,J243:M243,O243,Q243:R243,T243:U243)=0),"",SUM(G243,I243,N243,P243,S243,V243))</f>
        <v/>
      </c>
      <c r="X243" s="18">
        <f>IF(W243="","",IF(Murid!F243="TL","TL",ROUND(W243/110*100,2)))</f>
        <v/>
      </c>
    </row>
    <row r="244">
      <c r="A244" s="15">
        <f>Murid!A244</f>
        <v/>
      </c>
      <c r="B244" s="15">
        <f>IF(Murid!B244="","",Murid!B244)</f>
        <v/>
      </c>
      <c r="C244" s="16">
        <f>IF(Murid!C244="","",Murid!C244)</f>
        <v/>
      </c>
      <c r="D244" s="15">
        <f>IF(Murid!E244="","",Murid!E244)</f>
        <v/>
      </c>
      <c r="E244" s="11" t="n"/>
      <c r="F244" s="11" t="n"/>
      <c r="G244" s="10">
        <f>IF(F244="","",IFERROR(VLOOKUP(F244,T_JUB,2,FALSE),0))</f>
        <v/>
      </c>
      <c r="H244" s="11" t="n"/>
      <c r="I244" s="17">
        <f>IF(H244="","",IF(H244&gt;=12,40,ROUND(H244*3.33,2)))</f>
        <v/>
      </c>
      <c r="J244" s="11" t="n"/>
      <c r="K244" s="11" t="n"/>
      <c r="L244" s="11" t="n"/>
      <c r="M244" s="11" t="n"/>
      <c r="N244" s="10">
        <f>IF(COUNTA(J244:M244)=0,"",MIN(10,SUMPRODUCT((COUNTIF(J244:M244,L_KOM)&gt;0)*S_KOM)))</f>
        <v/>
      </c>
      <c r="O244" s="11" t="n"/>
      <c r="P244" s="10">
        <f>IF(O244="","",IFERROR(VLOOKUP(O244,T_KHID,2,FALSE),0))</f>
        <v/>
      </c>
      <c r="Q244" s="11" t="n"/>
      <c r="R244" s="11" t="n"/>
      <c r="S244" s="10">
        <f>IF(AND(Q244="",R244=""),"",IFERROR(INDEX(T_LIBAT,MATCH(Q244,L_PER,0),MATCH(R244,L_JENIS,0)),0))</f>
        <v/>
      </c>
      <c r="T244" s="11" t="n"/>
      <c r="U244" s="11" t="n"/>
      <c r="V244" s="10">
        <f>IF(AND(T244="",U244=""),"",IFERROR(INDEX(T_CAPAI,MATCH(T244,L_PER,0),MATCH(U244,L_KED,0)),0))</f>
        <v/>
      </c>
      <c r="W244" s="17">
        <f>IF(OR(B244="",E244="",COUNTA(F244,H244,J244:M244,O244,Q244:R244,T244:U244)=0),"",SUM(G244,I244,N244,P244,S244,V244))</f>
        <v/>
      </c>
      <c r="X244" s="18">
        <f>IF(W244="","",IF(Murid!F244="TL","TL",ROUND(W244/110*100,2)))</f>
        <v/>
      </c>
    </row>
    <row r="245">
      <c r="A245" s="15">
        <f>Murid!A245</f>
        <v/>
      </c>
      <c r="B245" s="15">
        <f>IF(Murid!B245="","",Murid!B245)</f>
        <v/>
      </c>
      <c r="C245" s="16">
        <f>IF(Murid!C245="","",Murid!C245)</f>
        <v/>
      </c>
      <c r="D245" s="15">
        <f>IF(Murid!E245="","",Murid!E245)</f>
        <v/>
      </c>
      <c r="E245" s="11" t="n"/>
      <c r="F245" s="11" t="n"/>
      <c r="G245" s="10">
        <f>IF(F245="","",IFERROR(VLOOKUP(F245,T_JUB,2,FALSE),0))</f>
        <v/>
      </c>
      <c r="H245" s="11" t="n"/>
      <c r="I245" s="17">
        <f>IF(H245="","",IF(H245&gt;=12,40,ROUND(H245*3.33,2)))</f>
        <v/>
      </c>
      <c r="J245" s="11" t="n"/>
      <c r="K245" s="11" t="n"/>
      <c r="L245" s="11" t="n"/>
      <c r="M245" s="11" t="n"/>
      <c r="N245" s="10">
        <f>IF(COUNTA(J245:M245)=0,"",MIN(10,SUMPRODUCT((COUNTIF(J245:M245,L_KOM)&gt;0)*S_KOM)))</f>
        <v/>
      </c>
      <c r="O245" s="11" t="n"/>
      <c r="P245" s="10">
        <f>IF(O245="","",IFERROR(VLOOKUP(O245,T_KHID,2,FALSE),0))</f>
        <v/>
      </c>
      <c r="Q245" s="11" t="n"/>
      <c r="R245" s="11" t="n"/>
      <c r="S245" s="10">
        <f>IF(AND(Q245="",R245=""),"",IFERROR(INDEX(T_LIBAT,MATCH(Q245,L_PER,0),MATCH(R245,L_JENIS,0)),0))</f>
        <v/>
      </c>
      <c r="T245" s="11" t="n"/>
      <c r="U245" s="11" t="n"/>
      <c r="V245" s="10">
        <f>IF(AND(T245="",U245=""),"",IFERROR(INDEX(T_CAPAI,MATCH(T245,L_PER,0),MATCH(U245,L_KED,0)),0))</f>
        <v/>
      </c>
      <c r="W245" s="17">
        <f>IF(OR(B245="",E245="",COUNTA(F245,H245,J245:M245,O245,Q245:R245,T245:U245)=0),"",SUM(G245,I245,N245,P245,S245,V245))</f>
        <v/>
      </c>
      <c r="X245" s="18">
        <f>IF(W245="","",IF(Murid!F245="TL","TL",ROUND(W245/110*100,2)))</f>
        <v/>
      </c>
    </row>
    <row r="246">
      <c r="A246" s="15">
        <f>Murid!A246</f>
        <v/>
      </c>
      <c r="B246" s="15">
        <f>IF(Murid!B246="","",Murid!B246)</f>
        <v/>
      </c>
      <c r="C246" s="16">
        <f>IF(Murid!C246="","",Murid!C246)</f>
        <v/>
      </c>
      <c r="D246" s="15">
        <f>IF(Murid!E246="","",Murid!E246)</f>
        <v/>
      </c>
      <c r="E246" s="11" t="n"/>
      <c r="F246" s="11" t="n"/>
      <c r="G246" s="10">
        <f>IF(F246="","",IFERROR(VLOOKUP(F246,T_JUB,2,FALSE),0))</f>
        <v/>
      </c>
      <c r="H246" s="11" t="n"/>
      <c r="I246" s="17">
        <f>IF(H246="","",IF(H246&gt;=12,40,ROUND(H246*3.33,2)))</f>
        <v/>
      </c>
      <c r="J246" s="11" t="n"/>
      <c r="K246" s="11" t="n"/>
      <c r="L246" s="11" t="n"/>
      <c r="M246" s="11" t="n"/>
      <c r="N246" s="10">
        <f>IF(COUNTA(J246:M246)=0,"",MIN(10,SUMPRODUCT((COUNTIF(J246:M246,L_KOM)&gt;0)*S_KOM)))</f>
        <v/>
      </c>
      <c r="O246" s="11" t="n"/>
      <c r="P246" s="10">
        <f>IF(O246="","",IFERROR(VLOOKUP(O246,T_KHID,2,FALSE),0))</f>
        <v/>
      </c>
      <c r="Q246" s="11" t="n"/>
      <c r="R246" s="11" t="n"/>
      <c r="S246" s="10">
        <f>IF(AND(Q246="",R246=""),"",IFERROR(INDEX(T_LIBAT,MATCH(Q246,L_PER,0),MATCH(R246,L_JENIS,0)),0))</f>
        <v/>
      </c>
      <c r="T246" s="11" t="n"/>
      <c r="U246" s="11" t="n"/>
      <c r="V246" s="10">
        <f>IF(AND(T246="",U246=""),"",IFERROR(INDEX(T_CAPAI,MATCH(T246,L_PER,0),MATCH(U246,L_KED,0)),0))</f>
        <v/>
      </c>
      <c r="W246" s="17">
        <f>IF(OR(B246="",E246="",COUNTA(F246,H246,J246:M246,O246,Q246:R246,T246:U246)=0),"",SUM(G246,I246,N246,P246,S246,V246))</f>
        <v/>
      </c>
      <c r="X246" s="18">
        <f>IF(W246="","",IF(Murid!F246="TL","TL",ROUND(W246/110*100,2)))</f>
        <v/>
      </c>
    </row>
    <row r="247">
      <c r="A247" s="15">
        <f>Murid!A247</f>
        <v/>
      </c>
      <c r="B247" s="15">
        <f>IF(Murid!B247="","",Murid!B247)</f>
        <v/>
      </c>
      <c r="C247" s="16">
        <f>IF(Murid!C247="","",Murid!C247)</f>
        <v/>
      </c>
      <c r="D247" s="15">
        <f>IF(Murid!E247="","",Murid!E247)</f>
        <v/>
      </c>
      <c r="E247" s="11" t="n"/>
      <c r="F247" s="11" t="n"/>
      <c r="G247" s="10">
        <f>IF(F247="","",IFERROR(VLOOKUP(F247,T_JUB,2,FALSE),0))</f>
        <v/>
      </c>
      <c r="H247" s="11" t="n"/>
      <c r="I247" s="17">
        <f>IF(H247="","",IF(H247&gt;=12,40,ROUND(H247*3.33,2)))</f>
        <v/>
      </c>
      <c r="J247" s="11" t="n"/>
      <c r="K247" s="11" t="n"/>
      <c r="L247" s="11" t="n"/>
      <c r="M247" s="11" t="n"/>
      <c r="N247" s="10">
        <f>IF(COUNTA(J247:M247)=0,"",MIN(10,SUMPRODUCT((COUNTIF(J247:M247,L_KOM)&gt;0)*S_KOM)))</f>
        <v/>
      </c>
      <c r="O247" s="11" t="n"/>
      <c r="P247" s="10">
        <f>IF(O247="","",IFERROR(VLOOKUP(O247,T_KHID,2,FALSE),0))</f>
        <v/>
      </c>
      <c r="Q247" s="11" t="n"/>
      <c r="R247" s="11" t="n"/>
      <c r="S247" s="10">
        <f>IF(AND(Q247="",R247=""),"",IFERROR(INDEX(T_LIBAT,MATCH(Q247,L_PER,0),MATCH(R247,L_JENIS,0)),0))</f>
        <v/>
      </c>
      <c r="T247" s="11" t="n"/>
      <c r="U247" s="11" t="n"/>
      <c r="V247" s="10">
        <f>IF(AND(T247="",U247=""),"",IFERROR(INDEX(T_CAPAI,MATCH(T247,L_PER,0),MATCH(U247,L_KED,0)),0))</f>
        <v/>
      </c>
      <c r="W247" s="17">
        <f>IF(OR(B247="",E247="",COUNTA(F247,H247,J247:M247,O247,Q247:R247,T247:U247)=0),"",SUM(G247,I247,N247,P247,S247,V247))</f>
        <v/>
      </c>
      <c r="X247" s="18">
        <f>IF(W247="","",IF(Murid!F247="TL","TL",ROUND(W247/110*100,2)))</f>
        <v/>
      </c>
    </row>
    <row r="248">
      <c r="A248" s="15">
        <f>Murid!A248</f>
        <v/>
      </c>
      <c r="B248" s="15">
        <f>IF(Murid!B248="","",Murid!B248)</f>
        <v/>
      </c>
      <c r="C248" s="16">
        <f>IF(Murid!C248="","",Murid!C248)</f>
        <v/>
      </c>
      <c r="D248" s="15">
        <f>IF(Murid!E248="","",Murid!E248)</f>
        <v/>
      </c>
      <c r="E248" s="11" t="n"/>
      <c r="F248" s="11" t="n"/>
      <c r="G248" s="10">
        <f>IF(F248="","",IFERROR(VLOOKUP(F248,T_JUB,2,FALSE),0))</f>
        <v/>
      </c>
      <c r="H248" s="11" t="n"/>
      <c r="I248" s="17">
        <f>IF(H248="","",IF(H248&gt;=12,40,ROUND(H248*3.33,2)))</f>
        <v/>
      </c>
      <c r="J248" s="11" t="n"/>
      <c r="K248" s="11" t="n"/>
      <c r="L248" s="11" t="n"/>
      <c r="M248" s="11" t="n"/>
      <c r="N248" s="10">
        <f>IF(COUNTA(J248:M248)=0,"",MIN(10,SUMPRODUCT((COUNTIF(J248:M248,L_KOM)&gt;0)*S_KOM)))</f>
        <v/>
      </c>
      <c r="O248" s="11" t="n"/>
      <c r="P248" s="10">
        <f>IF(O248="","",IFERROR(VLOOKUP(O248,T_KHID,2,FALSE),0))</f>
        <v/>
      </c>
      <c r="Q248" s="11" t="n"/>
      <c r="R248" s="11" t="n"/>
      <c r="S248" s="10">
        <f>IF(AND(Q248="",R248=""),"",IFERROR(INDEX(T_LIBAT,MATCH(Q248,L_PER,0),MATCH(R248,L_JENIS,0)),0))</f>
        <v/>
      </c>
      <c r="T248" s="11" t="n"/>
      <c r="U248" s="11" t="n"/>
      <c r="V248" s="10">
        <f>IF(AND(T248="",U248=""),"",IFERROR(INDEX(T_CAPAI,MATCH(T248,L_PER,0),MATCH(U248,L_KED,0)),0))</f>
        <v/>
      </c>
      <c r="W248" s="17">
        <f>IF(OR(B248="",E248="",COUNTA(F248,H248,J248:M248,O248,Q248:R248,T248:U248)=0),"",SUM(G248,I248,N248,P248,S248,V248))</f>
        <v/>
      </c>
      <c r="X248" s="18">
        <f>IF(W248="","",IF(Murid!F248="TL","TL",ROUND(W248/110*100,2)))</f>
        <v/>
      </c>
    </row>
    <row r="249">
      <c r="A249" s="15">
        <f>Murid!A249</f>
        <v/>
      </c>
      <c r="B249" s="15">
        <f>IF(Murid!B249="","",Murid!B249)</f>
        <v/>
      </c>
      <c r="C249" s="16">
        <f>IF(Murid!C249="","",Murid!C249)</f>
        <v/>
      </c>
      <c r="D249" s="15">
        <f>IF(Murid!E249="","",Murid!E249)</f>
        <v/>
      </c>
      <c r="E249" s="11" t="n"/>
      <c r="F249" s="11" t="n"/>
      <c r="G249" s="10">
        <f>IF(F249="","",IFERROR(VLOOKUP(F249,T_JUB,2,FALSE),0))</f>
        <v/>
      </c>
      <c r="H249" s="11" t="n"/>
      <c r="I249" s="17">
        <f>IF(H249="","",IF(H249&gt;=12,40,ROUND(H249*3.33,2)))</f>
        <v/>
      </c>
      <c r="J249" s="11" t="n"/>
      <c r="K249" s="11" t="n"/>
      <c r="L249" s="11" t="n"/>
      <c r="M249" s="11" t="n"/>
      <c r="N249" s="10">
        <f>IF(COUNTA(J249:M249)=0,"",MIN(10,SUMPRODUCT((COUNTIF(J249:M249,L_KOM)&gt;0)*S_KOM)))</f>
        <v/>
      </c>
      <c r="O249" s="11" t="n"/>
      <c r="P249" s="10">
        <f>IF(O249="","",IFERROR(VLOOKUP(O249,T_KHID,2,FALSE),0))</f>
        <v/>
      </c>
      <c r="Q249" s="11" t="n"/>
      <c r="R249" s="11" t="n"/>
      <c r="S249" s="10">
        <f>IF(AND(Q249="",R249=""),"",IFERROR(INDEX(T_LIBAT,MATCH(Q249,L_PER,0),MATCH(R249,L_JENIS,0)),0))</f>
        <v/>
      </c>
      <c r="T249" s="11" t="n"/>
      <c r="U249" s="11" t="n"/>
      <c r="V249" s="10">
        <f>IF(AND(T249="",U249=""),"",IFERROR(INDEX(T_CAPAI,MATCH(T249,L_PER,0),MATCH(U249,L_KED,0)),0))</f>
        <v/>
      </c>
      <c r="W249" s="17">
        <f>IF(OR(B249="",E249="",COUNTA(F249,H249,J249:M249,O249,Q249:R249,T249:U249)=0),"",SUM(G249,I249,N249,P249,S249,V249))</f>
        <v/>
      </c>
      <c r="X249" s="18">
        <f>IF(W249="","",IF(Murid!F249="TL","TL",ROUND(W249/110*100,2)))</f>
        <v/>
      </c>
    </row>
    <row r="250">
      <c r="A250" s="15">
        <f>Murid!A250</f>
        <v/>
      </c>
      <c r="B250" s="15">
        <f>IF(Murid!B250="","",Murid!B250)</f>
        <v/>
      </c>
      <c r="C250" s="16">
        <f>IF(Murid!C250="","",Murid!C250)</f>
        <v/>
      </c>
      <c r="D250" s="15">
        <f>IF(Murid!E250="","",Murid!E250)</f>
        <v/>
      </c>
      <c r="E250" s="11" t="n"/>
      <c r="F250" s="11" t="n"/>
      <c r="G250" s="10">
        <f>IF(F250="","",IFERROR(VLOOKUP(F250,T_JUB,2,FALSE),0))</f>
        <v/>
      </c>
      <c r="H250" s="11" t="n"/>
      <c r="I250" s="17">
        <f>IF(H250="","",IF(H250&gt;=12,40,ROUND(H250*3.33,2)))</f>
        <v/>
      </c>
      <c r="J250" s="11" t="n"/>
      <c r="K250" s="11" t="n"/>
      <c r="L250" s="11" t="n"/>
      <c r="M250" s="11" t="n"/>
      <c r="N250" s="10">
        <f>IF(COUNTA(J250:M250)=0,"",MIN(10,SUMPRODUCT((COUNTIF(J250:M250,L_KOM)&gt;0)*S_KOM)))</f>
        <v/>
      </c>
      <c r="O250" s="11" t="n"/>
      <c r="P250" s="10">
        <f>IF(O250="","",IFERROR(VLOOKUP(O250,T_KHID,2,FALSE),0))</f>
        <v/>
      </c>
      <c r="Q250" s="11" t="n"/>
      <c r="R250" s="11" t="n"/>
      <c r="S250" s="10">
        <f>IF(AND(Q250="",R250=""),"",IFERROR(INDEX(T_LIBAT,MATCH(Q250,L_PER,0),MATCH(R250,L_JENIS,0)),0))</f>
        <v/>
      </c>
      <c r="T250" s="11" t="n"/>
      <c r="U250" s="11" t="n"/>
      <c r="V250" s="10">
        <f>IF(AND(T250="",U250=""),"",IFERROR(INDEX(T_CAPAI,MATCH(T250,L_PER,0),MATCH(U250,L_KED,0)),0))</f>
        <v/>
      </c>
      <c r="W250" s="17">
        <f>IF(OR(B250="",E250="",COUNTA(F250,H250,J250:M250,O250,Q250:R250,T250:U250)=0),"",SUM(G250,I250,N250,P250,S250,V250))</f>
        <v/>
      </c>
      <c r="X250" s="18">
        <f>IF(W250="","",IF(Murid!F250="TL","TL",ROUND(W250/110*100,2)))</f>
        <v/>
      </c>
    </row>
    <row r="251">
      <c r="A251" s="15">
        <f>Murid!A251</f>
        <v/>
      </c>
      <c r="B251" s="15">
        <f>IF(Murid!B251="","",Murid!B251)</f>
        <v/>
      </c>
      <c r="C251" s="16">
        <f>IF(Murid!C251="","",Murid!C251)</f>
        <v/>
      </c>
      <c r="D251" s="15">
        <f>IF(Murid!E251="","",Murid!E251)</f>
        <v/>
      </c>
      <c r="E251" s="11" t="n"/>
      <c r="F251" s="11" t="n"/>
      <c r="G251" s="10">
        <f>IF(F251="","",IFERROR(VLOOKUP(F251,T_JUB,2,FALSE),0))</f>
        <v/>
      </c>
      <c r="H251" s="11" t="n"/>
      <c r="I251" s="17">
        <f>IF(H251="","",IF(H251&gt;=12,40,ROUND(H251*3.33,2)))</f>
        <v/>
      </c>
      <c r="J251" s="11" t="n"/>
      <c r="K251" s="11" t="n"/>
      <c r="L251" s="11" t="n"/>
      <c r="M251" s="11" t="n"/>
      <c r="N251" s="10">
        <f>IF(COUNTA(J251:M251)=0,"",MIN(10,SUMPRODUCT((COUNTIF(J251:M251,L_KOM)&gt;0)*S_KOM)))</f>
        <v/>
      </c>
      <c r="O251" s="11" t="n"/>
      <c r="P251" s="10">
        <f>IF(O251="","",IFERROR(VLOOKUP(O251,T_KHID,2,FALSE),0))</f>
        <v/>
      </c>
      <c r="Q251" s="11" t="n"/>
      <c r="R251" s="11" t="n"/>
      <c r="S251" s="10">
        <f>IF(AND(Q251="",R251=""),"",IFERROR(INDEX(T_LIBAT,MATCH(Q251,L_PER,0),MATCH(R251,L_JENIS,0)),0))</f>
        <v/>
      </c>
      <c r="T251" s="11" t="n"/>
      <c r="U251" s="11" t="n"/>
      <c r="V251" s="10">
        <f>IF(AND(T251="",U251=""),"",IFERROR(INDEX(T_CAPAI,MATCH(T251,L_PER,0),MATCH(U251,L_KED,0)),0))</f>
        <v/>
      </c>
      <c r="W251" s="17">
        <f>IF(OR(B251="",E251="",COUNTA(F251,H251,J251:M251,O251,Q251:R251,T251:U251)=0),"",SUM(G251,I251,N251,P251,S251,V251))</f>
        <v/>
      </c>
      <c r="X251" s="18">
        <f>IF(W251="","",IF(Murid!F251="TL","TL",ROUND(W251/110*100,2)))</f>
        <v/>
      </c>
    </row>
    <row r="252">
      <c r="A252" s="15">
        <f>Murid!A252</f>
        <v/>
      </c>
      <c r="B252" s="15">
        <f>IF(Murid!B252="","",Murid!B252)</f>
        <v/>
      </c>
      <c r="C252" s="16">
        <f>IF(Murid!C252="","",Murid!C252)</f>
        <v/>
      </c>
      <c r="D252" s="15">
        <f>IF(Murid!E252="","",Murid!E252)</f>
        <v/>
      </c>
      <c r="E252" s="11" t="n"/>
      <c r="F252" s="11" t="n"/>
      <c r="G252" s="10">
        <f>IF(F252="","",IFERROR(VLOOKUP(F252,T_JUB,2,FALSE),0))</f>
        <v/>
      </c>
      <c r="H252" s="11" t="n"/>
      <c r="I252" s="17">
        <f>IF(H252="","",IF(H252&gt;=12,40,ROUND(H252*3.33,2)))</f>
        <v/>
      </c>
      <c r="J252" s="11" t="n"/>
      <c r="K252" s="11" t="n"/>
      <c r="L252" s="11" t="n"/>
      <c r="M252" s="11" t="n"/>
      <c r="N252" s="10">
        <f>IF(COUNTA(J252:M252)=0,"",MIN(10,SUMPRODUCT((COUNTIF(J252:M252,L_KOM)&gt;0)*S_KOM)))</f>
        <v/>
      </c>
      <c r="O252" s="11" t="n"/>
      <c r="P252" s="10">
        <f>IF(O252="","",IFERROR(VLOOKUP(O252,T_KHID,2,FALSE),0))</f>
        <v/>
      </c>
      <c r="Q252" s="11" t="n"/>
      <c r="R252" s="11" t="n"/>
      <c r="S252" s="10">
        <f>IF(AND(Q252="",R252=""),"",IFERROR(INDEX(T_LIBAT,MATCH(Q252,L_PER,0),MATCH(R252,L_JENIS,0)),0))</f>
        <v/>
      </c>
      <c r="T252" s="11" t="n"/>
      <c r="U252" s="11" t="n"/>
      <c r="V252" s="10">
        <f>IF(AND(T252="",U252=""),"",IFERROR(INDEX(T_CAPAI,MATCH(T252,L_PER,0),MATCH(U252,L_KED,0)),0))</f>
        <v/>
      </c>
      <c r="W252" s="17">
        <f>IF(OR(B252="",E252="",COUNTA(F252,H252,J252:M252,O252,Q252:R252,T252:U252)=0),"",SUM(G252,I252,N252,P252,S252,V252))</f>
        <v/>
      </c>
      <c r="X252" s="18">
        <f>IF(W252="","",IF(Murid!F252="TL","TL",ROUND(W252/110*100,2)))</f>
        <v/>
      </c>
    </row>
    <row r="253">
      <c r="A253" s="15">
        <f>Murid!A253</f>
        <v/>
      </c>
      <c r="B253" s="15">
        <f>IF(Murid!B253="","",Murid!B253)</f>
        <v/>
      </c>
      <c r="C253" s="16">
        <f>IF(Murid!C253="","",Murid!C253)</f>
        <v/>
      </c>
      <c r="D253" s="15">
        <f>IF(Murid!E253="","",Murid!E253)</f>
        <v/>
      </c>
      <c r="E253" s="11" t="n"/>
      <c r="F253" s="11" t="n"/>
      <c r="G253" s="10">
        <f>IF(F253="","",IFERROR(VLOOKUP(F253,T_JUB,2,FALSE),0))</f>
        <v/>
      </c>
      <c r="H253" s="11" t="n"/>
      <c r="I253" s="17">
        <f>IF(H253="","",IF(H253&gt;=12,40,ROUND(H253*3.33,2)))</f>
        <v/>
      </c>
      <c r="J253" s="11" t="n"/>
      <c r="K253" s="11" t="n"/>
      <c r="L253" s="11" t="n"/>
      <c r="M253" s="11" t="n"/>
      <c r="N253" s="10">
        <f>IF(COUNTA(J253:M253)=0,"",MIN(10,SUMPRODUCT((COUNTIF(J253:M253,L_KOM)&gt;0)*S_KOM)))</f>
        <v/>
      </c>
      <c r="O253" s="11" t="n"/>
      <c r="P253" s="10">
        <f>IF(O253="","",IFERROR(VLOOKUP(O253,T_KHID,2,FALSE),0))</f>
        <v/>
      </c>
      <c r="Q253" s="11" t="n"/>
      <c r="R253" s="11" t="n"/>
      <c r="S253" s="10">
        <f>IF(AND(Q253="",R253=""),"",IFERROR(INDEX(T_LIBAT,MATCH(Q253,L_PER,0),MATCH(R253,L_JENIS,0)),0))</f>
        <v/>
      </c>
      <c r="T253" s="11" t="n"/>
      <c r="U253" s="11" t="n"/>
      <c r="V253" s="10">
        <f>IF(AND(T253="",U253=""),"",IFERROR(INDEX(T_CAPAI,MATCH(T253,L_PER,0),MATCH(U253,L_KED,0)),0))</f>
        <v/>
      </c>
      <c r="W253" s="17">
        <f>IF(OR(B253="",E253="",COUNTA(F253,H253,J253:M253,O253,Q253:R253,T253:U253)=0),"",SUM(G253,I253,N253,P253,S253,V253))</f>
        <v/>
      </c>
      <c r="X253" s="18">
        <f>IF(W253="","",IF(Murid!F253="TL","TL",ROUND(W253/110*100,2)))</f>
        <v/>
      </c>
    </row>
    <row r="254">
      <c r="A254" s="15">
        <f>Murid!A254</f>
        <v/>
      </c>
      <c r="B254" s="15">
        <f>IF(Murid!B254="","",Murid!B254)</f>
        <v/>
      </c>
      <c r="C254" s="16">
        <f>IF(Murid!C254="","",Murid!C254)</f>
        <v/>
      </c>
      <c r="D254" s="15">
        <f>IF(Murid!E254="","",Murid!E254)</f>
        <v/>
      </c>
      <c r="E254" s="11" t="n"/>
      <c r="F254" s="11" t="n"/>
      <c r="G254" s="10">
        <f>IF(F254="","",IFERROR(VLOOKUP(F254,T_JUB,2,FALSE),0))</f>
        <v/>
      </c>
      <c r="H254" s="11" t="n"/>
      <c r="I254" s="17">
        <f>IF(H254="","",IF(H254&gt;=12,40,ROUND(H254*3.33,2)))</f>
        <v/>
      </c>
      <c r="J254" s="11" t="n"/>
      <c r="K254" s="11" t="n"/>
      <c r="L254" s="11" t="n"/>
      <c r="M254" s="11" t="n"/>
      <c r="N254" s="10">
        <f>IF(COUNTA(J254:M254)=0,"",MIN(10,SUMPRODUCT((COUNTIF(J254:M254,L_KOM)&gt;0)*S_KOM)))</f>
        <v/>
      </c>
      <c r="O254" s="11" t="n"/>
      <c r="P254" s="10">
        <f>IF(O254="","",IFERROR(VLOOKUP(O254,T_KHID,2,FALSE),0))</f>
        <v/>
      </c>
      <c r="Q254" s="11" t="n"/>
      <c r="R254" s="11" t="n"/>
      <c r="S254" s="10">
        <f>IF(AND(Q254="",R254=""),"",IFERROR(INDEX(T_LIBAT,MATCH(Q254,L_PER,0),MATCH(R254,L_JENIS,0)),0))</f>
        <v/>
      </c>
      <c r="T254" s="11" t="n"/>
      <c r="U254" s="11" t="n"/>
      <c r="V254" s="10">
        <f>IF(AND(T254="",U254=""),"",IFERROR(INDEX(T_CAPAI,MATCH(T254,L_PER,0),MATCH(U254,L_KED,0)),0))</f>
        <v/>
      </c>
      <c r="W254" s="17">
        <f>IF(OR(B254="",E254="",COUNTA(F254,H254,J254:M254,O254,Q254:R254,T254:U254)=0),"",SUM(G254,I254,N254,P254,S254,V254))</f>
        <v/>
      </c>
      <c r="X254" s="18">
        <f>IF(W254="","",IF(Murid!F254="TL","TL",ROUND(W254/110*100,2)))</f>
        <v/>
      </c>
    </row>
    <row r="255">
      <c r="A255" s="15">
        <f>Murid!A255</f>
        <v/>
      </c>
      <c r="B255" s="15">
        <f>IF(Murid!B255="","",Murid!B255)</f>
        <v/>
      </c>
      <c r="C255" s="16">
        <f>IF(Murid!C255="","",Murid!C255)</f>
        <v/>
      </c>
      <c r="D255" s="15">
        <f>IF(Murid!E255="","",Murid!E255)</f>
        <v/>
      </c>
      <c r="E255" s="11" t="n"/>
      <c r="F255" s="11" t="n"/>
      <c r="G255" s="10">
        <f>IF(F255="","",IFERROR(VLOOKUP(F255,T_JUB,2,FALSE),0))</f>
        <v/>
      </c>
      <c r="H255" s="11" t="n"/>
      <c r="I255" s="17">
        <f>IF(H255="","",IF(H255&gt;=12,40,ROUND(H255*3.33,2)))</f>
        <v/>
      </c>
      <c r="J255" s="11" t="n"/>
      <c r="K255" s="11" t="n"/>
      <c r="L255" s="11" t="n"/>
      <c r="M255" s="11" t="n"/>
      <c r="N255" s="10">
        <f>IF(COUNTA(J255:M255)=0,"",MIN(10,SUMPRODUCT((COUNTIF(J255:M255,L_KOM)&gt;0)*S_KOM)))</f>
        <v/>
      </c>
      <c r="O255" s="11" t="n"/>
      <c r="P255" s="10">
        <f>IF(O255="","",IFERROR(VLOOKUP(O255,T_KHID,2,FALSE),0))</f>
        <v/>
      </c>
      <c r="Q255" s="11" t="n"/>
      <c r="R255" s="11" t="n"/>
      <c r="S255" s="10">
        <f>IF(AND(Q255="",R255=""),"",IFERROR(INDEX(T_LIBAT,MATCH(Q255,L_PER,0),MATCH(R255,L_JENIS,0)),0))</f>
        <v/>
      </c>
      <c r="T255" s="11" t="n"/>
      <c r="U255" s="11" t="n"/>
      <c r="V255" s="10">
        <f>IF(AND(T255="",U255=""),"",IFERROR(INDEX(T_CAPAI,MATCH(T255,L_PER,0),MATCH(U255,L_KED,0)),0))</f>
        <v/>
      </c>
      <c r="W255" s="17">
        <f>IF(OR(B255="",E255="",COUNTA(F255,H255,J255:M255,O255,Q255:R255,T255:U255)=0),"",SUM(G255,I255,N255,P255,S255,V255))</f>
        <v/>
      </c>
      <c r="X255" s="18">
        <f>IF(W255="","",IF(Murid!F255="TL","TL",ROUND(W255/110*100,2)))</f>
        <v/>
      </c>
    </row>
    <row r="256">
      <c r="A256" s="15">
        <f>Murid!A256</f>
        <v/>
      </c>
      <c r="B256" s="15">
        <f>IF(Murid!B256="","",Murid!B256)</f>
        <v/>
      </c>
      <c r="C256" s="16">
        <f>IF(Murid!C256="","",Murid!C256)</f>
        <v/>
      </c>
      <c r="D256" s="15">
        <f>IF(Murid!E256="","",Murid!E256)</f>
        <v/>
      </c>
      <c r="E256" s="11" t="n"/>
      <c r="F256" s="11" t="n"/>
      <c r="G256" s="10">
        <f>IF(F256="","",IFERROR(VLOOKUP(F256,T_JUB,2,FALSE),0))</f>
        <v/>
      </c>
      <c r="H256" s="11" t="n"/>
      <c r="I256" s="17">
        <f>IF(H256="","",IF(H256&gt;=12,40,ROUND(H256*3.33,2)))</f>
        <v/>
      </c>
      <c r="J256" s="11" t="n"/>
      <c r="K256" s="11" t="n"/>
      <c r="L256" s="11" t="n"/>
      <c r="M256" s="11" t="n"/>
      <c r="N256" s="10">
        <f>IF(COUNTA(J256:M256)=0,"",MIN(10,SUMPRODUCT((COUNTIF(J256:M256,L_KOM)&gt;0)*S_KOM)))</f>
        <v/>
      </c>
      <c r="O256" s="11" t="n"/>
      <c r="P256" s="10">
        <f>IF(O256="","",IFERROR(VLOOKUP(O256,T_KHID,2,FALSE),0))</f>
        <v/>
      </c>
      <c r="Q256" s="11" t="n"/>
      <c r="R256" s="11" t="n"/>
      <c r="S256" s="10">
        <f>IF(AND(Q256="",R256=""),"",IFERROR(INDEX(T_LIBAT,MATCH(Q256,L_PER,0),MATCH(R256,L_JENIS,0)),0))</f>
        <v/>
      </c>
      <c r="T256" s="11" t="n"/>
      <c r="U256" s="11" t="n"/>
      <c r="V256" s="10">
        <f>IF(AND(T256="",U256=""),"",IFERROR(INDEX(T_CAPAI,MATCH(T256,L_PER,0),MATCH(U256,L_KED,0)),0))</f>
        <v/>
      </c>
      <c r="W256" s="17">
        <f>IF(OR(B256="",E256="",COUNTA(F256,H256,J256:M256,O256,Q256:R256,T256:U256)=0),"",SUM(G256,I256,N256,P256,S256,V256))</f>
        <v/>
      </c>
      <c r="X256" s="18">
        <f>IF(W256="","",IF(Murid!F256="TL","TL",ROUND(W256/110*100,2)))</f>
        <v/>
      </c>
    </row>
    <row r="257">
      <c r="A257" s="15">
        <f>Murid!A257</f>
        <v/>
      </c>
      <c r="B257" s="15">
        <f>IF(Murid!B257="","",Murid!B257)</f>
        <v/>
      </c>
      <c r="C257" s="16">
        <f>IF(Murid!C257="","",Murid!C257)</f>
        <v/>
      </c>
      <c r="D257" s="15">
        <f>IF(Murid!E257="","",Murid!E257)</f>
        <v/>
      </c>
      <c r="E257" s="11" t="n"/>
      <c r="F257" s="11" t="n"/>
      <c r="G257" s="10">
        <f>IF(F257="","",IFERROR(VLOOKUP(F257,T_JUB,2,FALSE),0))</f>
        <v/>
      </c>
      <c r="H257" s="11" t="n"/>
      <c r="I257" s="17">
        <f>IF(H257="","",IF(H257&gt;=12,40,ROUND(H257*3.33,2)))</f>
        <v/>
      </c>
      <c r="J257" s="11" t="n"/>
      <c r="K257" s="11" t="n"/>
      <c r="L257" s="11" t="n"/>
      <c r="M257" s="11" t="n"/>
      <c r="N257" s="10">
        <f>IF(COUNTA(J257:M257)=0,"",MIN(10,SUMPRODUCT((COUNTIF(J257:M257,L_KOM)&gt;0)*S_KOM)))</f>
        <v/>
      </c>
      <c r="O257" s="11" t="n"/>
      <c r="P257" s="10">
        <f>IF(O257="","",IFERROR(VLOOKUP(O257,T_KHID,2,FALSE),0))</f>
        <v/>
      </c>
      <c r="Q257" s="11" t="n"/>
      <c r="R257" s="11" t="n"/>
      <c r="S257" s="10">
        <f>IF(AND(Q257="",R257=""),"",IFERROR(INDEX(T_LIBAT,MATCH(Q257,L_PER,0),MATCH(R257,L_JENIS,0)),0))</f>
        <v/>
      </c>
      <c r="T257" s="11" t="n"/>
      <c r="U257" s="11" t="n"/>
      <c r="V257" s="10">
        <f>IF(AND(T257="",U257=""),"",IFERROR(INDEX(T_CAPAI,MATCH(T257,L_PER,0),MATCH(U257,L_KED,0)),0))</f>
        <v/>
      </c>
      <c r="W257" s="17">
        <f>IF(OR(B257="",E257="",COUNTA(F257,H257,J257:M257,O257,Q257:R257,T257:U257)=0),"",SUM(G257,I257,N257,P257,S257,V257))</f>
        <v/>
      </c>
      <c r="X257" s="18">
        <f>IF(W257="","",IF(Murid!F257="TL","TL",ROUND(W257/110*100,2)))</f>
        <v/>
      </c>
    </row>
    <row r="258">
      <c r="A258" s="15">
        <f>Murid!A258</f>
        <v/>
      </c>
      <c r="B258" s="15">
        <f>IF(Murid!B258="","",Murid!B258)</f>
        <v/>
      </c>
      <c r="C258" s="16">
        <f>IF(Murid!C258="","",Murid!C258)</f>
        <v/>
      </c>
      <c r="D258" s="15">
        <f>IF(Murid!E258="","",Murid!E258)</f>
        <v/>
      </c>
      <c r="E258" s="11" t="n"/>
      <c r="F258" s="11" t="n"/>
      <c r="G258" s="10">
        <f>IF(F258="","",IFERROR(VLOOKUP(F258,T_JUB,2,FALSE),0))</f>
        <v/>
      </c>
      <c r="H258" s="11" t="n"/>
      <c r="I258" s="17">
        <f>IF(H258="","",IF(H258&gt;=12,40,ROUND(H258*3.33,2)))</f>
        <v/>
      </c>
      <c r="J258" s="11" t="n"/>
      <c r="K258" s="11" t="n"/>
      <c r="L258" s="11" t="n"/>
      <c r="M258" s="11" t="n"/>
      <c r="N258" s="10">
        <f>IF(COUNTA(J258:M258)=0,"",MIN(10,SUMPRODUCT((COUNTIF(J258:M258,L_KOM)&gt;0)*S_KOM)))</f>
        <v/>
      </c>
      <c r="O258" s="11" t="n"/>
      <c r="P258" s="10">
        <f>IF(O258="","",IFERROR(VLOOKUP(O258,T_KHID,2,FALSE),0))</f>
        <v/>
      </c>
      <c r="Q258" s="11" t="n"/>
      <c r="R258" s="11" t="n"/>
      <c r="S258" s="10">
        <f>IF(AND(Q258="",R258=""),"",IFERROR(INDEX(T_LIBAT,MATCH(Q258,L_PER,0),MATCH(R258,L_JENIS,0)),0))</f>
        <v/>
      </c>
      <c r="T258" s="11" t="n"/>
      <c r="U258" s="11" t="n"/>
      <c r="V258" s="10">
        <f>IF(AND(T258="",U258=""),"",IFERROR(INDEX(T_CAPAI,MATCH(T258,L_PER,0),MATCH(U258,L_KED,0)),0))</f>
        <v/>
      </c>
      <c r="W258" s="17">
        <f>IF(OR(B258="",E258="",COUNTA(F258,H258,J258:M258,O258,Q258:R258,T258:U258)=0),"",SUM(G258,I258,N258,P258,S258,V258))</f>
        <v/>
      </c>
      <c r="X258" s="18">
        <f>IF(W258="","",IF(Murid!F258="TL","TL",ROUND(W258/110*100,2)))</f>
        <v/>
      </c>
    </row>
    <row r="259">
      <c r="A259" s="15">
        <f>Murid!A259</f>
        <v/>
      </c>
      <c r="B259" s="15">
        <f>IF(Murid!B259="","",Murid!B259)</f>
        <v/>
      </c>
      <c r="C259" s="16">
        <f>IF(Murid!C259="","",Murid!C259)</f>
        <v/>
      </c>
      <c r="D259" s="15">
        <f>IF(Murid!E259="","",Murid!E259)</f>
        <v/>
      </c>
      <c r="E259" s="11" t="n"/>
      <c r="F259" s="11" t="n"/>
      <c r="G259" s="10">
        <f>IF(F259="","",IFERROR(VLOOKUP(F259,T_JUB,2,FALSE),0))</f>
        <v/>
      </c>
      <c r="H259" s="11" t="n"/>
      <c r="I259" s="17">
        <f>IF(H259="","",IF(H259&gt;=12,40,ROUND(H259*3.33,2)))</f>
        <v/>
      </c>
      <c r="J259" s="11" t="n"/>
      <c r="K259" s="11" t="n"/>
      <c r="L259" s="11" t="n"/>
      <c r="M259" s="11" t="n"/>
      <c r="N259" s="10">
        <f>IF(COUNTA(J259:M259)=0,"",MIN(10,SUMPRODUCT((COUNTIF(J259:M259,L_KOM)&gt;0)*S_KOM)))</f>
        <v/>
      </c>
      <c r="O259" s="11" t="n"/>
      <c r="P259" s="10">
        <f>IF(O259="","",IFERROR(VLOOKUP(O259,T_KHID,2,FALSE),0))</f>
        <v/>
      </c>
      <c r="Q259" s="11" t="n"/>
      <c r="R259" s="11" t="n"/>
      <c r="S259" s="10">
        <f>IF(AND(Q259="",R259=""),"",IFERROR(INDEX(T_LIBAT,MATCH(Q259,L_PER,0),MATCH(R259,L_JENIS,0)),0))</f>
        <v/>
      </c>
      <c r="T259" s="11" t="n"/>
      <c r="U259" s="11" t="n"/>
      <c r="V259" s="10">
        <f>IF(AND(T259="",U259=""),"",IFERROR(INDEX(T_CAPAI,MATCH(T259,L_PER,0),MATCH(U259,L_KED,0)),0))</f>
        <v/>
      </c>
      <c r="W259" s="17">
        <f>IF(OR(B259="",E259="",COUNTA(F259,H259,J259:M259,O259,Q259:R259,T259:U259)=0),"",SUM(G259,I259,N259,P259,S259,V259))</f>
        <v/>
      </c>
      <c r="X259" s="18">
        <f>IF(W259="","",IF(Murid!F259="TL","TL",ROUND(W259/110*100,2)))</f>
        <v/>
      </c>
    </row>
    <row r="260">
      <c r="A260" s="15">
        <f>Murid!A260</f>
        <v/>
      </c>
      <c r="B260" s="15">
        <f>IF(Murid!B260="","",Murid!B260)</f>
        <v/>
      </c>
      <c r="C260" s="16">
        <f>IF(Murid!C260="","",Murid!C260)</f>
        <v/>
      </c>
      <c r="D260" s="15">
        <f>IF(Murid!E260="","",Murid!E260)</f>
        <v/>
      </c>
      <c r="E260" s="11" t="n"/>
      <c r="F260" s="11" t="n"/>
      <c r="G260" s="10">
        <f>IF(F260="","",IFERROR(VLOOKUP(F260,T_JUB,2,FALSE),0))</f>
        <v/>
      </c>
      <c r="H260" s="11" t="n"/>
      <c r="I260" s="17">
        <f>IF(H260="","",IF(H260&gt;=12,40,ROUND(H260*3.33,2)))</f>
        <v/>
      </c>
      <c r="J260" s="11" t="n"/>
      <c r="K260" s="11" t="n"/>
      <c r="L260" s="11" t="n"/>
      <c r="M260" s="11" t="n"/>
      <c r="N260" s="10">
        <f>IF(COUNTA(J260:M260)=0,"",MIN(10,SUMPRODUCT((COUNTIF(J260:M260,L_KOM)&gt;0)*S_KOM)))</f>
        <v/>
      </c>
      <c r="O260" s="11" t="n"/>
      <c r="P260" s="10">
        <f>IF(O260="","",IFERROR(VLOOKUP(O260,T_KHID,2,FALSE),0))</f>
        <v/>
      </c>
      <c r="Q260" s="11" t="n"/>
      <c r="R260" s="11" t="n"/>
      <c r="S260" s="10">
        <f>IF(AND(Q260="",R260=""),"",IFERROR(INDEX(T_LIBAT,MATCH(Q260,L_PER,0),MATCH(R260,L_JENIS,0)),0))</f>
        <v/>
      </c>
      <c r="T260" s="11" t="n"/>
      <c r="U260" s="11" t="n"/>
      <c r="V260" s="10">
        <f>IF(AND(T260="",U260=""),"",IFERROR(INDEX(T_CAPAI,MATCH(T260,L_PER,0),MATCH(U260,L_KED,0)),0))</f>
        <v/>
      </c>
      <c r="W260" s="17">
        <f>IF(OR(B260="",E260="",COUNTA(F260,H260,J260:M260,O260,Q260:R260,T260:U260)=0),"",SUM(G260,I260,N260,P260,S260,V260))</f>
        <v/>
      </c>
      <c r="X260" s="18">
        <f>IF(W260="","",IF(Murid!F260="TL","TL",ROUND(W260/110*100,2)))</f>
        <v/>
      </c>
    </row>
    <row r="261">
      <c r="A261" s="15">
        <f>Murid!A261</f>
        <v/>
      </c>
      <c r="B261" s="15">
        <f>IF(Murid!B261="","",Murid!B261)</f>
        <v/>
      </c>
      <c r="C261" s="16">
        <f>IF(Murid!C261="","",Murid!C261)</f>
        <v/>
      </c>
      <c r="D261" s="15">
        <f>IF(Murid!E261="","",Murid!E261)</f>
        <v/>
      </c>
      <c r="E261" s="11" t="n"/>
      <c r="F261" s="11" t="n"/>
      <c r="G261" s="10">
        <f>IF(F261="","",IFERROR(VLOOKUP(F261,T_JUB,2,FALSE),0))</f>
        <v/>
      </c>
      <c r="H261" s="11" t="n"/>
      <c r="I261" s="17">
        <f>IF(H261="","",IF(H261&gt;=12,40,ROUND(H261*3.33,2)))</f>
        <v/>
      </c>
      <c r="J261" s="11" t="n"/>
      <c r="K261" s="11" t="n"/>
      <c r="L261" s="11" t="n"/>
      <c r="M261" s="11" t="n"/>
      <c r="N261" s="10">
        <f>IF(COUNTA(J261:M261)=0,"",MIN(10,SUMPRODUCT((COUNTIF(J261:M261,L_KOM)&gt;0)*S_KOM)))</f>
        <v/>
      </c>
      <c r="O261" s="11" t="n"/>
      <c r="P261" s="10">
        <f>IF(O261="","",IFERROR(VLOOKUP(O261,T_KHID,2,FALSE),0))</f>
        <v/>
      </c>
      <c r="Q261" s="11" t="n"/>
      <c r="R261" s="11" t="n"/>
      <c r="S261" s="10">
        <f>IF(AND(Q261="",R261=""),"",IFERROR(INDEX(T_LIBAT,MATCH(Q261,L_PER,0),MATCH(R261,L_JENIS,0)),0))</f>
        <v/>
      </c>
      <c r="T261" s="11" t="n"/>
      <c r="U261" s="11" t="n"/>
      <c r="V261" s="10">
        <f>IF(AND(T261="",U261=""),"",IFERROR(INDEX(T_CAPAI,MATCH(T261,L_PER,0),MATCH(U261,L_KED,0)),0))</f>
        <v/>
      </c>
      <c r="W261" s="17">
        <f>IF(OR(B261="",E261="",COUNTA(F261,H261,J261:M261,O261,Q261:R261,T261:U261)=0),"",SUM(G261,I261,N261,P261,S261,V261))</f>
        <v/>
      </c>
      <c r="X261" s="18">
        <f>IF(W261="","",IF(Murid!F261="TL","TL",ROUND(W261/110*100,2)))</f>
        <v/>
      </c>
    </row>
    <row r="262">
      <c r="A262" s="15">
        <f>Murid!A262</f>
        <v/>
      </c>
      <c r="B262" s="15">
        <f>IF(Murid!B262="","",Murid!B262)</f>
        <v/>
      </c>
      <c r="C262" s="16">
        <f>IF(Murid!C262="","",Murid!C262)</f>
        <v/>
      </c>
      <c r="D262" s="15">
        <f>IF(Murid!E262="","",Murid!E262)</f>
        <v/>
      </c>
      <c r="E262" s="11" t="n"/>
      <c r="F262" s="11" t="n"/>
      <c r="G262" s="10">
        <f>IF(F262="","",IFERROR(VLOOKUP(F262,T_JUB,2,FALSE),0))</f>
        <v/>
      </c>
      <c r="H262" s="11" t="n"/>
      <c r="I262" s="17">
        <f>IF(H262="","",IF(H262&gt;=12,40,ROUND(H262*3.33,2)))</f>
        <v/>
      </c>
      <c r="J262" s="11" t="n"/>
      <c r="K262" s="11" t="n"/>
      <c r="L262" s="11" t="n"/>
      <c r="M262" s="11" t="n"/>
      <c r="N262" s="10">
        <f>IF(COUNTA(J262:M262)=0,"",MIN(10,SUMPRODUCT((COUNTIF(J262:M262,L_KOM)&gt;0)*S_KOM)))</f>
        <v/>
      </c>
      <c r="O262" s="11" t="n"/>
      <c r="P262" s="10">
        <f>IF(O262="","",IFERROR(VLOOKUP(O262,T_KHID,2,FALSE),0))</f>
        <v/>
      </c>
      <c r="Q262" s="11" t="n"/>
      <c r="R262" s="11" t="n"/>
      <c r="S262" s="10">
        <f>IF(AND(Q262="",R262=""),"",IFERROR(INDEX(T_LIBAT,MATCH(Q262,L_PER,0),MATCH(R262,L_JENIS,0)),0))</f>
        <v/>
      </c>
      <c r="T262" s="11" t="n"/>
      <c r="U262" s="11" t="n"/>
      <c r="V262" s="10">
        <f>IF(AND(T262="",U262=""),"",IFERROR(INDEX(T_CAPAI,MATCH(T262,L_PER,0),MATCH(U262,L_KED,0)),0))</f>
        <v/>
      </c>
      <c r="W262" s="17">
        <f>IF(OR(B262="",E262="",COUNTA(F262,H262,J262:M262,O262,Q262:R262,T262:U262)=0),"",SUM(G262,I262,N262,P262,S262,V262))</f>
        <v/>
      </c>
      <c r="X262" s="18">
        <f>IF(W262="","",IF(Murid!F262="TL","TL",ROUND(W262/110*100,2)))</f>
        <v/>
      </c>
    </row>
    <row r="263">
      <c r="A263" s="15">
        <f>Murid!A263</f>
        <v/>
      </c>
      <c r="B263" s="15">
        <f>IF(Murid!B263="","",Murid!B263)</f>
        <v/>
      </c>
      <c r="C263" s="16">
        <f>IF(Murid!C263="","",Murid!C263)</f>
        <v/>
      </c>
      <c r="D263" s="15">
        <f>IF(Murid!E263="","",Murid!E263)</f>
        <v/>
      </c>
      <c r="E263" s="11" t="n"/>
      <c r="F263" s="11" t="n"/>
      <c r="G263" s="10">
        <f>IF(F263="","",IFERROR(VLOOKUP(F263,T_JUB,2,FALSE),0))</f>
        <v/>
      </c>
      <c r="H263" s="11" t="n"/>
      <c r="I263" s="17">
        <f>IF(H263="","",IF(H263&gt;=12,40,ROUND(H263*3.33,2)))</f>
        <v/>
      </c>
      <c r="J263" s="11" t="n"/>
      <c r="K263" s="11" t="n"/>
      <c r="L263" s="11" t="n"/>
      <c r="M263" s="11" t="n"/>
      <c r="N263" s="10">
        <f>IF(COUNTA(J263:M263)=0,"",MIN(10,SUMPRODUCT((COUNTIF(J263:M263,L_KOM)&gt;0)*S_KOM)))</f>
        <v/>
      </c>
      <c r="O263" s="11" t="n"/>
      <c r="P263" s="10">
        <f>IF(O263="","",IFERROR(VLOOKUP(O263,T_KHID,2,FALSE),0))</f>
        <v/>
      </c>
      <c r="Q263" s="11" t="n"/>
      <c r="R263" s="11" t="n"/>
      <c r="S263" s="10">
        <f>IF(AND(Q263="",R263=""),"",IFERROR(INDEX(T_LIBAT,MATCH(Q263,L_PER,0),MATCH(R263,L_JENIS,0)),0))</f>
        <v/>
      </c>
      <c r="T263" s="11" t="n"/>
      <c r="U263" s="11" t="n"/>
      <c r="V263" s="10">
        <f>IF(AND(T263="",U263=""),"",IFERROR(INDEX(T_CAPAI,MATCH(T263,L_PER,0),MATCH(U263,L_KED,0)),0))</f>
        <v/>
      </c>
      <c r="W263" s="17">
        <f>IF(OR(B263="",E263="",COUNTA(F263,H263,J263:M263,O263,Q263:R263,T263:U263)=0),"",SUM(G263,I263,N263,P263,S263,V263))</f>
        <v/>
      </c>
      <c r="X263" s="18">
        <f>IF(W263="","",IF(Murid!F263="TL","TL",ROUND(W263/110*100,2)))</f>
        <v/>
      </c>
    </row>
    <row r="264">
      <c r="A264" s="15">
        <f>Murid!A264</f>
        <v/>
      </c>
      <c r="B264" s="15">
        <f>IF(Murid!B264="","",Murid!B264)</f>
        <v/>
      </c>
      <c r="C264" s="16">
        <f>IF(Murid!C264="","",Murid!C264)</f>
        <v/>
      </c>
      <c r="D264" s="15">
        <f>IF(Murid!E264="","",Murid!E264)</f>
        <v/>
      </c>
      <c r="E264" s="11" t="n"/>
      <c r="F264" s="11" t="n"/>
      <c r="G264" s="10">
        <f>IF(F264="","",IFERROR(VLOOKUP(F264,T_JUB,2,FALSE),0))</f>
        <v/>
      </c>
      <c r="H264" s="11" t="n"/>
      <c r="I264" s="17">
        <f>IF(H264="","",IF(H264&gt;=12,40,ROUND(H264*3.33,2)))</f>
        <v/>
      </c>
      <c r="J264" s="11" t="n"/>
      <c r="K264" s="11" t="n"/>
      <c r="L264" s="11" t="n"/>
      <c r="M264" s="11" t="n"/>
      <c r="N264" s="10">
        <f>IF(COUNTA(J264:M264)=0,"",MIN(10,SUMPRODUCT((COUNTIF(J264:M264,L_KOM)&gt;0)*S_KOM)))</f>
        <v/>
      </c>
      <c r="O264" s="11" t="n"/>
      <c r="P264" s="10">
        <f>IF(O264="","",IFERROR(VLOOKUP(O264,T_KHID,2,FALSE),0))</f>
        <v/>
      </c>
      <c r="Q264" s="11" t="n"/>
      <c r="R264" s="11" t="n"/>
      <c r="S264" s="10">
        <f>IF(AND(Q264="",R264=""),"",IFERROR(INDEX(T_LIBAT,MATCH(Q264,L_PER,0),MATCH(R264,L_JENIS,0)),0))</f>
        <v/>
      </c>
      <c r="T264" s="11" t="n"/>
      <c r="U264" s="11" t="n"/>
      <c r="V264" s="10">
        <f>IF(AND(T264="",U264=""),"",IFERROR(INDEX(T_CAPAI,MATCH(T264,L_PER,0),MATCH(U264,L_KED,0)),0))</f>
        <v/>
      </c>
      <c r="W264" s="17">
        <f>IF(OR(B264="",E264="",COUNTA(F264,H264,J264:M264,O264,Q264:R264,T264:U264)=0),"",SUM(G264,I264,N264,P264,S264,V264))</f>
        <v/>
      </c>
      <c r="X264" s="18">
        <f>IF(W264="","",IF(Murid!F264="TL","TL",ROUND(W264/110*100,2)))</f>
        <v/>
      </c>
    </row>
    <row r="265">
      <c r="A265" s="15">
        <f>Murid!A265</f>
        <v/>
      </c>
      <c r="B265" s="15">
        <f>IF(Murid!B265="","",Murid!B265)</f>
        <v/>
      </c>
      <c r="C265" s="16">
        <f>IF(Murid!C265="","",Murid!C265)</f>
        <v/>
      </c>
      <c r="D265" s="15">
        <f>IF(Murid!E265="","",Murid!E265)</f>
        <v/>
      </c>
      <c r="E265" s="11" t="n"/>
      <c r="F265" s="11" t="n"/>
      <c r="G265" s="10">
        <f>IF(F265="","",IFERROR(VLOOKUP(F265,T_JUB,2,FALSE),0))</f>
        <v/>
      </c>
      <c r="H265" s="11" t="n"/>
      <c r="I265" s="17">
        <f>IF(H265="","",IF(H265&gt;=12,40,ROUND(H265*3.33,2)))</f>
        <v/>
      </c>
      <c r="J265" s="11" t="n"/>
      <c r="K265" s="11" t="n"/>
      <c r="L265" s="11" t="n"/>
      <c r="M265" s="11" t="n"/>
      <c r="N265" s="10">
        <f>IF(COUNTA(J265:M265)=0,"",MIN(10,SUMPRODUCT((COUNTIF(J265:M265,L_KOM)&gt;0)*S_KOM)))</f>
        <v/>
      </c>
      <c r="O265" s="11" t="n"/>
      <c r="P265" s="10">
        <f>IF(O265="","",IFERROR(VLOOKUP(O265,T_KHID,2,FALSE),0))</f>
        <v/>
      </c>
      <c r="Q265" s="11" t="n"/>
      <c r="R265" s="11" t="n"/>
      <c r="S265" s="10">
        <f>IF(AND(Q265="",R265=""),"",IFERROR(INDEX(T_LIBAT,MATCH(Q265,L_PER,0),MATCH(R265,L_JENIS,0)),0))</f>
        <v/>
      </c>
      <c r="T265" s="11" t="n"/>
      <c r="U265" s="11" t="n"/>
      <c r="V265" s="10">
        <f>IF(AND(T265="",U265=""),"",IFERROR(INDEX(T_CAPAI,MATCH(T265,L_PER,0),MATCH(U265,L_KED,0)),0))</f>
        <v/>
      </c>
      <c r="W265" s="17">
        <f>IF(OR(B265="",E265="",COUNTA(F265,H265,J265:M265,O265,Q265:R265,T265:U265)=0),"",SUM(G265,I265,N265,P265,S265,V265))</f>
        <v/>
      </c>
      <c r="X265" s="18">
        <f>IF(W265="","",IF(Murid!F265="TL","TL",ROUND(W265/110*100,2)))</f>
        <v/>
      </c>
    </row>
    <row r="266">
      <c r="A266" s="15">
        <f>Murid!A266</f>
        <v/>
      </c>
      <c r="B266" s="15">
        <f>IF(Murid!B266="","",Murid!B266)</f>
        <v/>
      </c>
      <c r="C266" s="16">
        <f>IF(Murid!C266="","",Murid!C266)</f>
        <v/>
      </c>
      <c r="D266" s="15">
        <f>IF(Murid!E266="","",Murid!E266)</f>
        <v/>
      </c>
      <c r="E266" s="11" t="n"/>
      <c r="F266" s="11" t="n"/>
      <c r="G266" s="10">
        <f>IF(F266="","",IFERROR(VLOOKUP(F266,T_JUB,2,FALSE),0))</f>
        <v/>
      </c>
      <c r="H266" s="11" t="n"/>
      <c r="I266" s="17">
        <f>IF(H266="","",IF(H266&gt;=12,40,ROUND(H266*3.33,2)))</f>
        <v/>
      </c>
      <c r="J266" s="11" t="n"/>
      <c r="K266" s="11" t="n"/>
      <c r="L266" s="11" t="n"/>
      <c r="M266" s="11" t="n"/>
      <c r="N266" s="10">
        <f>IF(COUNTA(J266:M266)=0,"",MIN(10,SUMPRODUCT((COUNTIF(J266:M266,L_KOM)&gt;0)*S_KOM)))</f>
        <v/>
      </c>
      <c r="O266" s="11" t="n"/>
      <c r="P266" s="10">
        <f>IF(O266="","",IFERROR(VLOOKUP(O266,T_KHID,2,FALSE),0))</f>
        <v/>
      </c>
      <c r="Q266" s="11" t="n"/>
      <c r="R266" s="11" t="n"/>
      <c r="S266" s="10">
        <f>IF(AND(Q266="",R266=""),"",IFERROR(INDEX(T_LIBAT,MATCH(Q266,L_PER,0),MATCH(R266,L_JENIS,0)),0))</f>
        <v/>
      </c>
      <c r="T266" s="11" t="n"/>
      <c r="U266" s="11" t="n"/>
      <c r="V266" s="10">
        <f>IF(AND(T266="",U266=""),"",IFERROR(INDEX(T_CAPAI,MATCH(T266,L_PER,0),MATCH(U266,L_KED,0)),0))</f>
        <v/>
      </c>
      <c r="W266" s="17">
        <f>IF(OR(B266="",E266="",COUNTA(F266,H266,J266:M266,O266,Q266:R266,T266:U266)=0),"",SUM(G266,I266,N266,P266,S266,V266))</f>
        <v/>
      </c>
      <c r="X266" s="18">
        <f>IF(W266="","",IF(Murid!F266="TL","TL",ROUND(W266/110*100,2)))</f>
        <v/>
      </c>
    </row>
    <row r="267">
      <c r="A267" s="15">
        <f>Murid!A267</f>
        <v/>
      </c>
      <c r="B267" s="15">
        <f>IF(Murid!B267="","",Murid!B267)</f>
        <v/>
      </c>
      <c r="C267" s="16">
        <f>IF(Murid!C267="","",Murid!C267)</f>
        <v/>
      </c>
      <c r="D267" s="15">
        <f>IF(Murid!E267="","",Murid!E267)</f>
        <v/>
      </c>
      <c r="E267" s="11" t="n"/>
      <c r="F267" s="11" t="n"/>
      <c r="G267" s="10">
        <f>IF(F267="","",IFERROR(VLOOKUP(F267,T_JUB,2,FALSE),0))</f>
        <v/>
      </c>
      <c r="H267" s="11" t="n"/>
      <c r="I267" s="17">
        <f>IF(H267="","",IF(H267&gt;=12,40,ROUND(H267*3.33,2)))</f>
        <v/>
      </c>
      <c r="J267" s="11" t="n"/>
      <c r="K267" s="11" t="n"/>
      <c r="L267" s="11" t="n"/>
      <c r="M267" s="11" t="n"/>
      <c r="N267" s="10">
        <f>IF(COUNTA(J267:M267)=0,"",MIN(10,SUMPRODUCT((COUNTIF(J267:M267,L_KOM)&gt;0)*S_KOM)))</f>
        <v/>
      </c>
      <c r="O267" s="11" t="n"/>
      <c r="P267" s="10">
        <f>IF(O267="","",IFERROR(VLOOKUP(O267,T_KHID,2,FALSE),0))</f>
        <v/>
      </c>
      <c r="Q267" s="11" t="n"/>
      <c r="R267" s="11" t="n"/>
      <c r="S267" s="10">
        <f>IF(AND(Q267="",R267=""),"",IFERROR(INDEX(T_LIBAT,MATCH(Q267,L_PER,0),MATCH(R267,L_JENIS,0)),0))</f>
        <v/>
      </c>
      <c r="T267" s="11" t="n"/>
      <c r="U267" s="11" t="n"/>
      <c r="V267" s="10">
        <f>IF(AND(T267="",U267=""),"",IFERROR(INDEX(T_CAPAI,MATCH(T267,L_PER,0),MATCH(U267,L_KED,0)),0))</f>
        <v/>
      </c>
      <c r="W267" s="17">
        <f>IF(OR(B267="",E267="",COUNTA(F267,H267,J267:M267,O267,Q267:R267,T267:U267)=0),"",SUM(G267,I267,N267,P267,S267,V267))</f>
        <v/>
      </c>
      <c r="X267" s="18">
        <f>IF(W267="","",IF(Murid!F267="TL","TL",ROUND(W267/110*100,2)))</f>
        <v/>
      </c>
    </row>
    <row r="268">
      <c r="A268" s="15">
        <f>Murid!A268</f>
        <v/>
      </c>
      <c r="B268" s="15">
        <f>IF(Murid!B268="","",Murid!B268)</f>
        <v/>
      </c>
      <c r="C268" s="16">
        <f>IF(Murid!C268="","",Murid!C268)</f>
        <v/>
      </c>
      <c r="D268" s="15">
        <f>IF(Murid!E268="","",Murid!E268)</f>
        <v/>
      </c>
      <c r="E268" s="11" t="n"/>
      <c r="F268" s="11" t="n"/>
      <c r="G268" s="10">
        <f>IF(F268="","",IFERROR(VLOOKUP(F268,T_JUB,2,FALSE),0))</f>
        <v/>
      </c>
      <c r="H268" s="11" t="n"/>
      <c r="I268" s="17">
        <f>IF(H268="","",IF(H268&gt;=12,40,ROUND(H268*3.33,2)))</f>
        <v/>
      </c>
      <c r="J268" s="11" t="n"/>
      <c r="K268" s="11" t="n"/>
      <c r="L268" s="11" t="n"/>
      <c r="M268" s="11" t="n"/>
      <c r="N268" s="10">
        <f>IF(COUNTA(J268:M268)=0,"",MIN(10,SUMPRODUCT((COUNTIF(J268:M268,L_KOM)&gt;0)*S_KOM)))</f>
        <v/>
      </c>
      <c r="O268" s="11" t="n"/>
      <c r="P268" s="10">
        <f>IF(O268="","",IFERROR(VLOOKUP(O268,T_KHID,2,FALSE),0))</f>
        <v/>
      </c>
      <c r="Q268" s="11" t="n"/>
      <c r="R268" s="11" t="n"/>
      <c r="S268" s="10">
        <f>IF(AND(Q268="",R268=""),"",IFERROR(INDEX(T_LIBAT,MATCH(Q268,L_PER,0),MATCH(R268,L_JENIS,0)),0))</f>
        <v/>
      </c>
      <c r="T268" s="11" t="n"/>
      <c r="U268" s="11" t="n"/>
      <c r="V268" s="10">
        <f>IF(AND(T268="",U268=""),"",IFERROR(INDEX(T_CAPAI,MATCH(T268,L_PER,0),MATCH(U268,L_KED,0)),0))</f>
        <v/>
      </c>
      <c r="W268" s="17">
        <f>IF(OR(B268="",E268="",COUNTA(F268,H268,J268:M268,O268,Q268:R268,T268:U268)=0),"",SUM(G268,I268,N268,P268,S268,V268))</f>
        <v/>
      </c>
      <c r="X268" s="18">
        <f>IF(W268="","",IF(Murid!F268="TL","TL",ROUND(W268/110*100,2)))</f>
        <v/>
      </c>
    </row>
    <row r="269">
      <c r="A269" s="15">
        <f>Murid!A269</f>
        <v/>
      </c>
      <c r="B269" s="15">
        <f>IF(Murid!B269="","",Murid!B269)</f>
        <v/>
      </c>
      <c r="C269" s="16">
        <f>IF(Murid!C269="","",Murid!C269)</f>
        <v/>
      </c>
      <c r="D269" s="15">
        <f>IF(Murid!E269="","",Murid!E269)</f>
        <v/>
      </c>
      <c r="E269" s="11" t="n"/>
      <c r="F269" s="11" t="n"/>
      <c r="G269" s="10">
        <f>IF(F269="","",IFERROR(VLOOKUP(F269,T_JUB,2,FALSE),0))</f>
        <v/>
      </c>
      <c r="H269" s="11" t="n"/>
      <c r="I269" s="17">
        <f>IF(H269="","",IF(H269&gt;=12,40,ROUND(H269*3.33,2)))</f>
        <v/>
      </c>
      <c r="J269" s="11" t="n"/>
      <c r="K269" s="11" t="n"/>
      <c r="L269" s="11" t="n"/>
      <c r="M269" s="11" t="n"/>
      <c r="N269" s="10">
        <f>IF(COUNTA(J269:M269)=0,"",MIN(10,SUMPRODUCT((COUNTIF(J269:M269,L_KOM)&gt;0)*S_KOM)))</f>
        <v/>
      </c>
      <c r="O269" s="11" t="n"/>
      <c r="P269" s="10">
        <f>IF(O269="","",IFERROR(VLOOKUP(O269,T_KHID,2,FALSE),0))</f>
        <v/>
      </c>
      <c r="Q269" s="11" t="n"/>
      <c r="R269" s="11" t="n"/>
      <c r="S269" s="10">
        <f>IF(AND(Q269="",R269=""),"",IFERROR(INDEX(T_LIBAT,MATCH(Q269,L_PER,0),MATCH(R269,L_JENIS,0)),0))</f>
        <v/>
      </c>
      <c r="T269" s="11" t="n"/>
      <c r="U269" s="11" t="n"/>
      <c r="V269" s="10">
        <f>IF(AND(T269="",U269=""),"",IFERROR(INDEX(T_CAPAI,MATCH(T269,L_PER,0),MATCH(U269,L_KED,0)),0))</f>
        <v/>
      </c>
      <c r="W269" s="17">
        <f>IF(OR(B269="",E269="",COUNTA(F269,H269,J269:M269,O269,Q269:R269,T269:U269)=0),"",SUM(G269,I269,N269,P269,S269,V269))</f>
        <v/>
      </c>
      <c r="X269" s="18">
        <f>IF(W269="","",IF(Murid!F269="TL","TL",ROUND(W269/110*100,2)))</f>
        <v/>
      </c>
    </row>
    <row r="270">
      <c r="A270" s="15">
        <f>Murid!A270</f>
        <v/>
      </c>
      <c r="B270" s="15">
        <f>IF(Murid!B270="","",Murid!B270)</f>
        <v/>
      </c>
      <c r="C270" s="16">
        <f>IF(Murid!C270="","",Murid!C270)</f>
        <v/>
      </c>
      <c r="D270" s="15">
        <f>IF(Murid!E270="","",Murid!E270)</f>
        <v/>
      </c>
      <c r="E270" s="11" t="n"/>
      <c r="F270" s="11" t="n"/>
      <c r="G270" s="10">
        <f>IF(F270="","",IFERROR(VLOOKUP(F270,T_JUB,2,FALSE),0))</f>
        <v/>
      </c>
      <c r="H270" s="11" t="n"/>
      <c r="I270" s="17">
        <f>IF(H270="","",IF(H270&gt;=12,40,ROUND(H270*3.33,2)))</f>
        <v/>
      </c>
      <c r="J270" s="11" t="n"/>
      <c r="K270" s="11" t="n"/>
      <c r="L270" s="11" t="n"/>
      <c r="M270" s="11" t="n"/>
      <c r="N270" s="10">
        <f>IF(COUNTA(J270:M270)=0,"",MIN(10,SUMPRODUCT((COUNTIF(J270:M270,L_KOM)&gt;0)*S_KOM)))</f>
        <v/>
      </c>
      <c r="O270" s="11" t="n"/>
      <c r="P270" s="10">
        <f>IF(O270="","",IFERROR(VLOOKUP(O270,T_KHID,2,FALSE),0))</f>
        <v/>
      </c>
      <c r="Q270" s="11" t="n"/>
      <c r="R270" s="11" t="n"/>
      <c r="S270" s="10">
        <f>IF(AND(Q270="",R270=""),"",IFERROR(INDEX(T_LIBAT,MATCH(Q270,L_PER,0),MATCH(R270,L_JENIS,0)),0))</f>
        <v/>
      </c>
      <c r="T270" s="11" t="n"/>
      <c r="U270" s="11" t="n"/>
      <c r="V270" s="10">
        <f>IF(AND(T270="",U270=""),"",IFERROR(INDEX(T_CAPAI,MATCH(T270,L_PER,0),MATCH(U270,L_KED,0)),0))</f>
        <v/>
      </c>
      <c r="W270" s="17">
        <f>IF(OR(B270="",E270="",COUNTA(F270,H270,J270:M270,O270,Q270:R270,T270:U270)=0),"",SUM(G270,I270,N270,P270,S270,V270))</f>
        <v/>
      </c>
      <c r="X270" s="18">
        <f>IF(W270="","",IF(Murid!F270="TL","TL",ROUND(W270/110*100,2)))</f>
        <v/>
      </c>
    </row>
    <row r="271">
      <c r="A271" s="15">
        <f>Murid!A271</f>
        <v/>
      </c>
      <c r="B271" s="15">
        <f>IF(Murid!B271="","",Murid!B271)</f>
        <v/>
      </c>
      <c r="C271" s="16">
        <f>IF(Murid!C271="","",Murid!C271)</f>
        <v/>
      </c>
      <c r="D271" s="15">
        <f>IF(Murid!E271="","",Murid!E271)</f>
        <v/>
      </c>
      <c r="E271" s="11" t="n"/>
      <c r="F271" s="11" t="n"/>
      <c r="G271" s="10">
        <f>IF(F271="","",IFERROR(VLOOKUP(F271,T_JUB,2,FALSE),0))</f>
        <v/>
      </c>
      <c r="H271" s="11" t="n"/>
      <c r="I271" s="17">
        <f>IF(H271="","",IF(H271&gt;=12,40,ROUND(H271*3.33,2)))</f>
        <v/>
      </c>
      <c r="J271" s="11" t="n"/>
      <c r="K271" s="11" t="n"/>
      <c r="L271" s="11" t="n"/>
      <c r="M271" s="11" t="n"/>
      <c r="N271" s="10">
        <f>IF(COUNTA(J271:M271)=0,"",MIN(10,SUMPRODUCT((COUNTIF(J271:M271,L_KOM)&gt;0)*S_KOM)))</f>
        <v/>
      </c>
      <c r="O271" s="11" t="n"/>
      <c r="P271" s="10">
        <f>IF(O271="","",IFERROR(VLOOKUP(O271,T_KHID,2,FALSE),0))</f>
        <v/>
      </c>
      <c r="Q271" s="11" t="n"/>
      <c r="R271" s="11" t="n"/>
      <c r="S271" s="10">
        <f>IF(AND(Q271="",R271=""),"",IFERROR(INDEX(T_LIBAT,MATCH(Q271,L_PER,0),MATCH(R271,L_JENIS,0)),0))</f>
        <v/>
      </c>
      <c r="T271" s="11" t="n"/>
      <c r="U271" s="11" t="n"/>
      <c r="V271" s="10">
        <f>IF(AND(T271="",U271=""),"",IFERROR(INDEX(T_CAPAI,MATCH(T271,L_PER,0),MATCH(U271,L_KED,0)),0))</f>
        <v/>
      </c>
      <c r="W271" s="17">
        <f>IF(OR(B271="",E271="",COUNTA(F271,H271,J271:M271,O271,Q271:R271,T271:U271)=0),"",SUM(G271,I271,N271,P271,S271,V271))</f>
        <v/>
      </c>
      <c r="X271" s="18">
        <f>IF(W271="","",IF(Murid!F271="TL","TL",ROUND(W271/110*100,2)))</f>
        <v/>
      </c>
    </row>
    <row r="272">
      <c r="A272" s="15">
        <f>Murid!A272</f>
        <v/>
      </c>
      <c r="B272" s="15">
        <f>IF(Murid!B272="","",Murid!B272)</f>
        <v/>
      </c>
      <c r="C272" s="16">
        <f>IF(Murid!C272="","",Murid!C272)</f>
        <v/>
      </c>
      <c r="D272" s="15">
        <f>IF(Murid!E272="","",Murid!E272)</f>
        <v/>
      </c>
      <c r="E272" s="11" t="n"/>
      <c r="F272" s="11" t="n"/>
      <c r="G272" s="10">
        <f>IF(F272="","",IFERROR(VLOOKUP(F272,T_JUB,2,FALSE),0))</f>
        <v/>
      </c>
      <c r="H272" s="11" t="n"/>
      <c r="I272" s="17">
        <f>IF(H272="","",IF(H272&gt;=12,40,ROUND(H272*3.33,2)))</f>
        <v/>
      </c>
      <c r="J272" s="11" t="n"/>
      <c r="K272" s="11" t="n"/>
      <c r="L272" s="11" t="n"/>
      <c r="M272" s="11" t="n"/>
      <c r="N272" s="10">
        <f>IF(COUNTA(J272:M272)=0,"",MIN(10,SUMPRODUCT((COUNTIF(J272:M272,L_KOM)&gt;0)*S_KOM)))</f>
        <v/>
      </c>
      <c r="O272" s="11" t="n"/>
      <c r="P272" s="10">
        <f>IF(O272="","",IFERROR(VLOOKUP(O272,T_KHID,2,FALSE),0))</f>
        <v/>
      </c>
      <c r="Q272" s="11" t="n"/>
      <c r="R272" s="11" t="n"/>
      <c r="S272" s="10">
        <f>IF(AND(Q272="",R272=""),"",IFERROR(INDEX(T_LIBAT,MATCH(Q272,L_PER,0),MATCH(R272,L_JENIS,0)),0))</f>
        <v/>
      </c>
      <c r="T272" s="11" t="n"/>
      <c r="U272" s="11" t="n"/>
      <c r="V272" s="10">
        <f>IF(AND(T272="",U272=""),"",IFERROR(INDEX(T_CAPAI,MATCH(T272,L_PER,0),MATCH(U272,L_KED,0)),0))</f>
        <v/>
      </c>
      <c r="W272" s="17">
        <f>IF(OR(B272="",E272="",COUNTA(F272,H272,J272:M272,O272,Q272:R272,T272:U272)=0),"",SUM(G272,I272,N272,P272,S272,V272))</f>
        <v/>
      </c>
      <c r="X272" s="18">
        <f>IF(W272="","",IF(Murid!F272="TL","TL",ROUND(W272/110*100,2)))</f>
        <v/>
      </c>
    </row>
    <row r="273">
      <c r="A273" s="15">
        <f>Murid!A273</f>
        <v/>
      </c>
      <c r="B273" s="15">
        <f>IF(Murid!B273="","",Murid!B273)</f>
        <v/>
      </c>
      <c r="C273" s="16">
        <f>IF(Murid!C273="","",Murid!C273)</f>
        <v/>
      </c>
      <c r="D273" s="15">
        <f>IF(Murid!E273="","",Murid!E273)</f>
        <v/>
      </c>
      <c r="E273" s="11" t="n"/>
      <c r="F273" s="11" t="n"/>
      <c r="G273" s="10">
        <f>IF(F273="","",IFERROR(VLOOKUP(F273,T_JUB,2,FALSE),0))</f>
        <v/>
      </c>
      <c r="H273" s="11" t="n"/>
      <c r="I273" s="17">
        <f>IF(H273="","",IF(H273&gt;=12,40,ROUND(H273*3.33,2)))</f>
        <v/>
      </c>
      <c r="J273" s="11" t="n"/>
      <c r="K273" s="11" t="n"/>
      <c r="L273" s="11" t="n"/>
      <c r="M273" s="11" t="n"/>
      <c r="N273" s="10">
        <f>IF(COUNTA(J273:M273)=0,"",MIN(10,SUMPRODUCT((COUNTIF(J273:M273,L_KOM)&gt;0)*S_KOM)))</f>
        <v/>
      </c>
      <c r="O273" s="11" t="n"/>
      <c r="P273" s="10">
        <f>IF(O273="","",IFERROR(VLOOKUP(O273,T_KHID,2,FALSE),0))</f>
        <v/>
      </c>
      <c r="Q273" s="11" t="n"/>
      <c r="R273" s="11" t="n"/>
      <c r="S273" s="10">
        <f>IF(AND(Q273="",R273=""),"",IFERROR(INDEX(T_LIBAT,MATCH(Q273,L_PER,0),MATCH(R273,L_JENIS,0)),0))</f>
        <v/>
      </c>
      <c r="T273" s="11" t="n"/>
      <c r="U273" s="11" t="n"/>
      <c r="V273" s="10">
        <f>IF(AND(T273="",U273=""),"",IFERROR(INDEX(T_CAPAI,MATCH(T273,L_PER,0),MATCH(U273,L_KED,0)),0))</f>
        <v/>
      </c>
      <c r="W273" s="17">
        <f>IF(OR(B273="",E273="",COUNTA(F273,H273,J273:M273,O273,Q273:R273,T273:U273)=0),"",SUM(G273,I273,N273,P273,S273,V273))</f>
        <v/>
      </c>
      <c r="X273" s="18">
        <f>IF(W273="","",IF(Murid!F273="TL","TL",ROUND(W273/110*100,2)))</f>
        <v/>
      </c>
    </row>
    <row r="274">
      <c r="A274" s="15">
        <f>Murid!A274</f>
        <v/>
      </c>
      <c r="B274" s="15">
        <f>IF(Murid!B274="","",Murid!B274)</f>
        <v/>
      </c>
      <c r="C274" s="16">
        <f>IF(Murid!C274="","",Murid!C274)</f>
        <v/>
      </c>
      <c r="D274" s="15">
        <f>IF(Murid!E274="","",Murid!E274)</f>
        <v/>
      </c>
      <c r="E274" s="11" t="n"/>
      <c r="F274" s="11" t="n"/>
      <c r="G274" s="10">
        <f>IF(F274="","",IFERROR(VLOOKUP(F274,T_JUB,2,FALSE),0))</f>
        <v/>
      </c>
      <c r="H274" s="11" t="n"/>
      <c r="I274" s="17">
        <f>IF(H274="","",IF(H274&gt;=12,40,ROUND(H274*3.33,2)))</f>
        <v/>
      </c>
      <c r="J274" s="11" t="n"/>
      <c r="K274" s="11" t="n"/>
      <c r="L274" s="11" t="n"/>
      <c r="M274" s="11" t="n"/>
      <c r="N274" s="10">
        <f>IF(COUNTA(J274:M274)=0,"",MIN(10,SUMPRODUCT((COUNTIF(J274:M274,L_KOM)&gt;0)*S_KOM)))</f>
        <v/>
      </c>
      <c r="O274" s="11" t="n"/>
      <c r="P274" s="10">
        <f>IF(O274="","",IFERROR(VLOOKUP(O274,T_KHID,2,FALSE),0))</f>
        <v/>
      </c>
      <c r="Q274" s="11" t="n"/>
      <c r="R274" s="11" t="n"/>
      <c r="S274" s="10">
        <f>IF(AND(Q274="",R274=""),"",IFERROR(INDEX(T_LIBAT,MATCH(Q274,L_PER,0),MATCH(R274,L_JENIS,0)),0))</f>
        <v/>
      </c>
      <c r="T274" s="11" t="n"/>
      <c r="U274" s="11" t="n"/>
      <c r="V274" s="10">
        <f>IF(AND(T274="",U274=""),"",IFERROR(INDEX(T_CAPAI,MATCH(T274,L_PER,0),MATCH(U274,L_KED,0)),0))</f>
        <v/>
      </c>
      <c r="W274" s="17">
        <f>IF(OR(B274="",E274="",COUNTA(F274,H274,J274:M274,O274,Q274:R274,T274:U274)=0),"",SUM(G274,I274,N274,P274,S274,V274))</f>
        <v/>
      </c>
      <c r="X274" s="18">
        <f>IF(W274="","",IF(Murid!F274="TL","TL",ROUND(W274/110*100,2)))</f>
        <v/>
      </c>
    </row>
    <row r="275">
      <c r="A275" s="15">
        <f>Murid!A275</f>
        <v/>
      </c>
      <c r="B275" s="15">
        <f>IF(Murid!B275="","",Murid!B275)</f>
        <v/>
      </c>
      <c r="C275" s="16">
        <f>IF(Murid!C275="","",Murid!C275)</f>
        <v/>
      </c>
      <c r="D275" s="15">
        <f>IF(Murid!E275="","",Murid!E275)</f>
        <v/>
      </c>
      <c r="E275" s="11" t="n"/>
      <c r="F275" s="11" t="n"/>
      <c r="G275" s="10">
        <f>IF(F275="","",IFERROR(VLOOKUP(F275,T_JUB,2,FALSE),0))</f>
        <v/>
      </c>
      <c r="H275" s="11" t="n"/>
      <c r="I275" s="17">
        <f>IF(H275="","",IF(H275&gt;=12,40,ROUND(H275*3.33,2)))</f>
        <v/>
      </c>
      <c r="J275" s="11" t="n"/>
      <c r="K275" s="11" t="n"/>
      <c r="L275" s="11" t="n"/>
      <c r="M275" s="11" t="n"/>
      <c r="N275" s="10">
        <f>IF(COUNTA(J275:M275)=0,"",MIN(10,SUMPRODUCT((COUNTIF(J275:M275,L_KOM)&gt;0)*S_KOM)))</f>
        <v/>
      </c>
      <c r="O275" s="11" t="n"/>
      <c r="P275" s="10">
        <f>IF(O275="","",IFERROR(VLOOKUP(O275,T_KHID,2,FALSE),0))</f>
        <v/>
      </c>
      <c r="Q275" s="11" t="n"/>
      <c r="R275" s="11" t="n"/>
      <c r="S275" s="10">
        <f>IF(AND(Q275="",R275=""),"",IFERROR(INDEX(T_LIBAT,MATCH(Q275,L_PER,0),MATCH(R275,L_JENIS,0)),0))</f>
        <v/>
      </c>
      <c r="T275" s="11" t="n"/>
      <c r="U275" s="11" t="n"/>
      <c r="V275" s="10">
        <f>IF(AND(T275="",U275=""),"",IFERROR(INDEX(T_CAPAI,MATCH(T275,L_PER,0),MATCH(U275,L_KED,0)),0))</f>
        <v/>
      </c>
      <c r="W275" s="17">
        <f>IF(OR(B275="",E275="",COUNTA(F275,H275,J275:M275,O275,Q275:R275,T275:U275)=0),"",SUM(G275,I275,N275,P275,S275,V275))</f>
        <v/>
      </c>
      <c r="X275" s="18">
        <f>IF(W275="","",IF(Murid!F275="TL","TL",ROUND(W275/110*100,2)))</f>
        <v/>
      </c>
    </row>
    <row r="276">
      <c r="A276" s="15">
        <f>Murid!A276</f>
        <v/>
      </c>
      <c r="B276" s="15">
        <f>IF(Murid!B276="","",Murid!B276)</f>
        <v/>
      </c>
      <c r="C276" s="16">
        <f>IF(Murid!C276="","",Murid!C276)</f>
        <v/>
      </c>
      <c r="D276" s="15">
        <f>IF(Murid!E276="","",Murid!E276)</f>
        <v/>
      </c>
      <c r="E276" s="11" t="n"/>
      <c r="F276" s="11" t="n"/>
      <c r="G276" s="10">
        <f>IF(F276="","",IFERROR(VLOOKUP(F276,T_JUB,2,FALSE),0))</f>
        <v/>
      </c>
      <c r="H276" s="11" t="n"/>
      <c r="I276" s="17">
        <f>IF(H276="","",IF(H276&gt;=12,40,ROUND(H276*3.33,2)))</f>
        <v/>
      </c>
      <c r="J276" s="11" t="n"/>
      <c r="K276" s="11" t="n"/>
      <c r="L276" s="11" t="n"/>
      <c r="M276" s="11" t="n"/>
      <c r="N276" s="10">
        <f>IF(COUNTA(J276:M276)=0,"",MIN(10,SUMPRODUCT((COUNTIF(J276:M276,L_KOM)&gt;0)*S_KOM)))</f>
        <v/>
      </c>
      <c r="O276" s="11" t="n"/>
      <c r="P276" s="10">
        <f>IF(O276="","",IFERROR(VLOOKUP(O276,T_KHID,2,FALSE),0))</f>
        <v/>
      </c>
      <c r="Q276" s="11" t="n"/>
      <c r="R276" s="11" t="n"/>
      <c r="S276" s="10">
        <f>IF(AND(Q276="",R276=""),"",IFERROR(INDEX(T_LIBAT,MATCH(Q276,L_PER,0),MATCH(R276,L_JENIS,0)),0))</f>
        <v/>
      </c>
      <c r="T276" s="11" t="n"/>
      <c r="U276" s="11" t="n"/>
      <c r="V276" s="10">
        <f>IF(AND(T276="",U276=""),"",IFERROR(INDEX(T_CAPAI,MATCH(T276,L_PER,0),MATCH(U276,L_KED,0)),0))</f>
        <v/>
      </c>
      <c r="W276" s="17">
        <f>IF(OR(B276="",E276="",COUNTA(F276,H276,J276:M276,O276,Q276:R276,T276:U276)=0),"",SUM(G276,I276,N276,P276,S276,V276))</f>
        <v/>
      </c>
      <c r="X276" s="18">
        <f>IF(W276="","",IF(Murid!F276="TL","TL",ROUND(W276/110*100,2)))</f>
        <v/>
      </c>
    </row>
    <row r="277">
      <c r="A277" s="15">
        <f>Murid!A277</f>
        <v/>
      </c>
      <c r="B277" s="15">
        <f>IF(Murid!B277="","",Murid!B277)</f>
        <v/>
      </c>
      <c r="C277" s="16">
        <f>IF(Murid!C277="","",Murid!C277)</f>
        <v/>
      </c>
      <c r="D277" s="15">
        <f>IF(Murid!E277="","",Murid!E277)</f>
        <v/>
      </c>
      <c r="E277" s="11" t="n"/>
      <c r="F277" s="11" t="n"/>
      <c r="G277" s="10">
        <f>IF(F277="","",IFERROR(VLOOKUP(F277,T_JUB,2,FALSE),0))</f>
        <v/>
      </c>
      <c r="H277" s="11" t="n"/>
      <c r="I277" s="17">
        <f>IF(H277="","",IF(H277&gt;=12,40,ROUND(H277*3.33,2)))</f>
        <v/>
      </c>
      <c r="J277" s="11" t="n"/>
      <c r="K277" s="11" t="n"/>
      <c r="L277" s="11" t="n"/>
      <c r="M277" s="11" t="n"/>
      <c r="N277" s="10">
        <f>IF(COUNTA(J277:M277)=0,"",MIN(10,SUMPRODUCT((COUNTIF(J277:M277,L_KOM)&gt;0)*S_KOM)))</f>
        <v/>
      </c>
      <c r="O277" s="11" t="n"/>
      <c r="P277" s="10">
        <f>IF(O277="","",IFERROR(VLOOKUP(O277,T_KHID,2,FALSE),0))</f>
        <v/>
      </c>
      <c r="Q277" s="11" t="n"/>
      <c r="R277" s="11" t="n"/>
      <c r="S277" s="10">
        <f>IF(AND(Q277="",R277=""),"",IFERROR(INDEX(T_LIBAT,MATCH(Q277,L_PER,0),MATCH(R277,L_JENIS,0)),0))</f>
        <v/>
      </c>
      <c r="T277" s="11" t="n"/>
      <c r="U277" s="11" t="n"/>
      <c r="V277" s="10">
        <f>IF(AND(T277="",U277=""),"",IFERROR(INDEX(T_CAPAI,MATCH(T277,L_PER,0),MATCH(U277,L_KED,0)),0))</f>
        <v/>
      </c>
      <c r="W277" s="17">
        <f>IF(OR(B277="",E277="",COUNTA(F277,H277,J277:M277,O277,Q277:R277,T277:U277)=0),"",SUM(G277,I277,N277,P277,S277,V277))</f>
        <v/>
      </c>
      <c r="X277" s="18">
        <f>IF(W277="","",IF(Murid!F277="TL","TL",ROUND(W277/110*100,2)))</f>
        <v/>
      </c>
    </row>
    <row r="278">
      <c r="A278" s="15">
        <f>Murid!A278</f>
        <v/>
      </c>
      <c r="B278" s="15">
        <f>IF(Murid!B278="","",Murid!B278)</f>
        <v/>
      </c>
      <c r="C278" s="16">
        <f>IF(Murid!C278="","",Murid!C278)</f>
        <v/>
      </c>
      <c r="D278" s="15">
        <f>IF(Murid!E278="","",Murid!E278)</f>
        <v/>
      </c>
      <c r="E278" s="11" t="n"/>
      <c r="F278" s="11" t="n"/>
      <c r="G278" s="10">
        <f>IF(F278="","",IFERROR(VLOOKUP(F278,T_JUB,2,FALSE),0))</f>
        <v/>
      </c>
      <c r="H278" s="11" t="n"/>
      <c r="I278" s="17">
        <f>IF(H278="","",IF(H278&gt;=12,40,ROUND(H278*3.33,2)))</f>
        <v/>
      </c>
      <c r="J278" s="11" t="n"/>
      <c r="K278" s="11" t="n"/>
      <c r="L278" s="11" t="n"/>
      <c r="M278" s="11" t="n"/>
      <c r="N278" s="10">
        <f>IF(COUNTA(J278:M278)=0,"",MIN(10,SUMPRODUCT((COUNTIF(J278:M278,L_KOM)&gt;0)*S_KOM)))</f>
        <v/>
      </c>
      <c r="O278" s="11" t="n"/>
      <c r="P278" s="10">
        <f>IF(O278="","",IFERROR(VLOOKUP(O278,T_KHID,2,FALSE),0))</f>
        <v/>
      </c>
      <c r="Q278" s="11" t="n"/>
      <c r="R278" s="11" t="n"/>
      <c r="S278" s="10">
        <f>IF(AND(Q278="",R278=""),"",IFERROR(INDEX(T_LIBAT,MATCH(Q278,L_PER,0),MATCH(R278,L_JENIS,0)),0))</f>
        <v/>
      </c>
      <c r="T278" s="11" t="n"/>
      <c r="U278" s="11" t="n"/>
      <c r="V278" s="10">
        <f>IF(AND(T278="",U278=""),"",IFERROR(INDEX(T_CAPAI,MATCH(T278,L_PER,0),MATCH(U278,L_KED,0)),0))</f>
        <v/>
      </c>
      <c r="W278" s="17">
        <f>IF(OR(B278="",E278="",COUNTA(F278,H278,J278:M278,O278,Q278:R278,T278:U278)=0),"",SUM(G278,I278,N278,P278,S278,V278))</f>
        <v/>
      </c>
      <c r="X278" s="18">
        <f>IF(W278="","",IF(Murid!F278="TL","TL",ROUND(W278/110*100,2)))</f>
        <v/>
      </c>
    </row>
    <row r="279">
      <c r="A279" s="15">
        <f>Murid!A279</f>
        <v/>
      </c>
      <c r="B279" s="15">
        <f>IF(Murid!B279="","",Murid!B279)</f>
        <v/>
      </c>
      <c r="C279" s="16">
        <f>IF(Murid!C279="","",Murid!C279)</f>
        <v/>
      </c>
      <c r="D279" s="15">
        <f>IF(Murid!E279="","",Murid!E279)</f>
        <v/>
      </c>
      <c r="E279" s="11" t="n"/>
      <c r="F279" s="11" t="n"/>
      <c r="G279" s="10">
        <f>IF(F279="","",IFERROR(VLOOKUP(F279,T_JUB,2,FALSE),0))</f>
        <v/>
      </c>
      <c r="H279" s="11" t="n"/>
      <c r="I279" s="17">
        <f>IF(H279="","",IF(H279&gt;=12,40,ROUND(H279*3.33,2)))</f>
        <v/>
      </c>
      <c r="J279" s="11" t="n"/>
      <c r="K279" s="11" t="n"/>
      <c r="L279" s="11" t="n"/>
      <c r="M279" s="11" t="n"/>
      <c r="N279" s="10">
        <f>IF(COUNTA(J279:M279)=0,"",MIN(10,SUMPRODUCT((COUNTIF(J279:M279,L_KOM)&gt;0)*S_KOM)))</f>
        <v/>
      </c>
      <c r="O279" s="11" t="n"/>
      <c r="P279" s="10">
        <f>IF(O279="","",IFERROR(VLOOKUP(O279,T_KHID,2,FALSE),0))</f>
        <v/>
      </c>
      <c r="Q279" s="11" t="n"/>
      <c r="R279" s="11" t="n"/>
      <c r="S279" s="10">
        <f>IF(AND(Q279="",R279=""),"",IFERROR(INDEX(T_LIBAT,MATCH(Q279,L_PER,0),MATCH(R279,L_JENIS,0)),0))</f>
        <v/>
      </c>
      <c r="T279" s="11" t="n"/>
      <c r="U279" s="11" t="n"/>
      <c r="V279" s="10">
        <f>IF(AND(T279="",U279=""),"",IFERROR(INDEX(T_CAPAI,MATCH(T279,L_PER,0),MATCH(U279,L_KED,0)),0))</f>
        <v/>
      </c>
      <c r="W279" s="17">
        <f>IF(OR(B279="",E279="",COUNTA(F279,H279,J279:M279,O279,Q279:R279,T279:U279)=0),"",SUM(G279,I279,N279,P279,S279,V279))</f>
        <v/>
      </c>
      <c r="X279" s="18">
        <f>IF(W279="","",IF(Murid!F279="TL","TL",ROUND(W279/110*100,2)))</f>
        <v/>
      </c>
    </row>
    <row r="280">
      <c r="A280" s="15">
        <f>Murid!A280</f>
        <v/>
      </c>
      <c r="B280" s="15">
        <f>IF(Murid!B280="","",Murid!B280)</f>
        <v/>
      </c>
      <c r="C280" s="16">
        <f>IF(Murid!C280="","",Murid!C280)</f>
        <v/>
      </c>
      <c r="D280" s="15">
        <f>IF(Murid!E280="","",Murid!E280)</f>
        <v/>
      </c>
      <c r="E280" s="11" t="n"/>
      <c r="F280" s="11" t="n"/>
      <c r="G280" s="10">
        <f>IF(F280="","",IFERROR(VLOOKUP(F280,T_JUB,2,FALSE),0))</f>
        <v/>
      </c>
      <c r="H280" s="11" t="n"/>
      <c r="I280" s="17">
        <f>IF(H280="","",IF(H280&gt;=12,40,ROUND(H280*3.33,2)))</f>
        <v/>
      </c>
      <c r="J280" s="11" t="n"/>
      <c r="K280" s="11" t="n"/>
      <c r="L280" s="11" t="n"/>
      <c r="M280" s="11" t="n"/>
      <c r="N280" s="10">
        <f>IF(COUNTA(J280:M280)=0,"",MIN(10,SUMPRODUCT((COUNTIF(J280:M280,L_KOM)&gt;0)*S_KOM)))</f>
        <v/>
      </c>
      <c r="O280" s="11" t="n"/>
      <c r="P280" s="10">
        <f>IF(O280="","",IFERROR(VLOOKUP(O280,T_KHID,2,FALSE),0))</f>
        <v/>
      </c>
      <c r="Q280" s="11" t="n"/>
      <c r="R280" s="11" t="n"/>
      <c r="S280" s="10">
        <f>IF(AND(Q280="",R280=""),"",IFERROR(INDEX(T_LIBAT,MATCH(Q280,L_PER,0),MATCH(R280,L_JENIS,0)),0))</f>
        <v/>
      </c>
      <c r="T280" s="11" t="n"/>
      <c r="U280" s="11" t="n"/>
      <c r="V280" s="10">
        <f>IF(AND(T280="",U280=""),"",IFERROR(INDEX(T_CAPAI,MATCH(T280,L_PER,0),MATCH(U280,L_KED,0)),0))</f>
        <v/>
      </c>
      <c r="W280" s="17">
        <f>IF(OR(B280="",E280="",COUNTA(F280,H280,J280:M280,O280,Q280:R280,T280:U280)=0),"",SUM(G280,I280,N280,P280,S280,V280))</f>
        <v/>
      </c>
      <c r="X280" s="18">
        <f>IF(W280="","",IF(Murid!F280="TL","TL",ROUND(W280/110*100,2)))</f>
        <v/>
      </c>
    </row>
    <row r="281">
      <c r="A281" s="15">
        <f>Murid!A281</f>
        <v/>
      </c>
      <c r="B281" s="15">
        <f>IF(Murid!B281="","",Murid!B281)</f>
        <v/>
      </c>
      <c r="C281" s="16">
        <f>IF(Murid!C281="","",Murid!C281)</f>
        <v/>
      </c>
      <c r="D281" s="15">
        <f>IF(Murid!E281="","",Murid!E281)</f>
        <v/>
      </c>
      <c r="E281" s="11" t="n"/>
      <c r="F281" s="11" t="n"/>
      <c r="G281" s="10">
        <f>IF(F281="","",IFERROR(VLOOKUP(F281,T_JUB,2,FALSE),0))</f>
        <v/>
      </c>
      <c r="H281" s="11" t="n"/>
      <c r="I281" s="17">
        <f>IF(H281="","",IF(H281&gt;=12,40,ROUND(H281*3.33,2)))</f>
        <v/>
      </c>
      <c r="J281" s="11" t="n"/>
      <c r="K281" s="11" t="n"/>
      <c r="L281" s="11" t="n"/>
      <c r="M281" s="11" t="n"/>
      <c r="N281" s="10">
        <f>IF(COUNTA(J281:M281)=0,"",MIN(10,SUMPRODUCT((COUNTIF(J281:M281,L_KOM)&gt;0)*S_KOM)))</f>
        <v/>
      </c>
      <c r="O281" s="11" t="n"/>
      <c r="P281" s="10">
        <f>IF(O281="","",IFERROR(VLOOKUP(O281,T_KHID,2,FALSE),0))</f>
        <v/>
      </c>
      <c r="Q281" s="11" t="n"/>
      <c r="R281" s="11" t="n"/>
      <c r="S281" s="10">
        <f>IF(AND(Q281="",R281=""),"",IFERROR(INDEX(T_LIBAT,MATCH(Q281,L_PER,0),MATCH(R281,L_JENIS,0)),0))</f>
        <v/>
      </c>
      <c r="T281" s="11" t="n"/>
      <c r="U281" s="11" t="n"/>
      <c r="V281" s="10">
        <f>IF(AND(T281="",U281=""),"",IFERROR(INDEX(T_CAPAI,MATCH(T281,L_PER,0),MATCH(U281,L_KED,0)),0))</f>
        <v/>
      </c>
      <c r="W281" s="17">
        <f>IF(OR(B281="",E281="",COUNTA(F281,H281,J281:M281,O281,Q281:R281,T281:U281)=0),"",SUM(G281,I281,N281,P281,S281,V281))</f>
        <v/>
      </c>
      <c r="X281" s="18">
        <f>IF(W281="","",IF(Murid!F281="TL","TL",ROUND(W281/110*100,2)))</f>
        <v/>
      </c>
    </row>
    <row r="282">
      <c r="A282" s="15">
        <f>Murid!A282</f>
        <v/>
      </c>
      <c r="B282" s="15">
        <f>IF(Murid!B282="","",Murid!B282)</f>
        <v/>
      </c>
      <c r="C282" s="16">
        <f>IF(Murid!C282="","",Murid!C282)</f>
        <v/>
      </c>
      <c r="D282" s="15">
        <f>IF(Murid!E282="","",Murid!E282)</f>
        <v/>
      </c>
      <c r="E282" s="11" t="n"/>
      <c r="F282" s="11" t="n"/>
      <c r="G282" s="10">
        <f>IF(F282="","",IFERROR(VLOOKUP(F282,T_JUB,2,FALSE),0))</f>
        <v/>
      </c>
      <c r="H282" s="11" t="n"/>
      <c r="I282" s="17">
        <f>IF(H282="","",IF(H282&gt;=12,40,ROUND(H282*3.33,2)))</f>
        <v/>
      </c>
      <c r="J282" s="11" t="n"/>
      <c r="K282" s="11" t="n"/>
      <c r="L282" s="11" t="n"/>
      <c r="M282" s="11" t="n"/>
      <c r="N282" s="10">
        <f>IF(COUNTA(J282:M282)=0,"",MIN(10,SUMPRODUCT((COUNTIF(J282:M282,L_KOM)&gt;0)*S_KOM)))</f>
        <v/>
      </c>
      <c r="O282" s="11" t="n"/>
      <c r="P282" s="10">
        <f>IF(O282="","",IFERROR(VLOOKUP(O282,T_KHID,2,FALSE),0))</f>
        <v/>
      </c>
      <c r="Q282" s="11" t="n"/>
      <c r="R282" s="11" t="n"/>
      <c r="S282" s="10">
        <f>IF(AND(Q282="",R282=""),"",IFERROR(INDEX(T_LIBAT,MATCH(Q282,L_PER,0),MATCH(R282,L_JENIS,0)),0))</f>
        <v/>
      </c>
      <c r="T282" s="11" t="n"/>
      <c r="U282" s="11" t="n"/>
      <c r="V282" s="10">
        <f>IF(AND(T282="",U282=""),"",IFERROR(INDEX(T_CAPAI,MATCH(T282,L_PER,0),MATCH(U282,L_KED,0)),0))</f>
        <v/>
      </c>
      <c r="W282" s="17">
        <f>IF(OR(B282="",E282="",COUNTA(F282,H282,J282:M282,O282,Q282:R282,T282:U282)=0),"",SUM(G282,I282,N282,P282,S282,V282))</f>
        <v/>
      </c>
      <c r="X282" s="18">
        <f>IF(W282="","",IF(Murid!F282="TL","TL",ROUND(W282/110*100,2)))</f>
        <v/>
      </c>
    </row>
    <row r="283">
      <c r="A283" s="15">
        <f>Murid!A283</f>
        <v/>
      </c>
      <c r="B283" s="15">
        <f>IF(Murid!B283="","",Murid!B283)</f>
        <v/>
      </c>
      <c r="C283" s="16">
        <f>IF(Murid!C283="","",Murid!C283)</f>
        <v/>
      </c>
      <c r="D283" s="15">
        <f>IF(Murid!E283="","",Murid!E283)</f>
        <v/>
      </c>
      <c r="E283" s="11" t="n"/>
      <c r="F283" s="11" t="n"/>
      <c r="G283" s="10">
        <f>IF(F283="","",IFERROR(VLOOKUP(F283,T_JUB,2,FALSE),0))</f>
        <v/>
      </c>
      <c r="H283" s="11" t="n"/>
      <c r="I283" s="17">
        <f>IF(H283="","",IF(H283&gt;=12,40,ROUND(H283*3.33,2)))</f>
        <v/>
      </c>
      <c r="J283" s="11" t="n"/>
      <c r="K283" s="11" t="n"/>
      <c r="L283" s="11" t="n"/>
      <c r="M283" s="11" t="n"/>
      <c r="N283" s="10">
        <f>IF(COUNTA(J283:M283)=0,"",MIN(10,SUMPRODUCT((COUNTIF(J283:M283,L_KOM)&gt;0)*S_KOM)))</f>
        <v/>
      </c>
      <c r="O283" s="11" t="n"/>
      <c r="P283" s="10">
        <f>IF(O283="","",IFERROR(VLOOKUP(O283,T_KHID,2,FALSE),0))</f>
        <v/>
      </c>
      <c r="Q283" s="11" t="n"/>
      <c r="R283" s="11" t="n"/>
      <c r="S283" s="10">
        <f>IF(AND(Q283="",R283=""),"",IFERROR(INDEX(T_LIBAT,MATCH(Q283,L_PER,0),MATCH(R283,L_JENIS,0)),0))</f>
        <v/>
      </c>
      <c r="T283" s="11" t="n"/>
      <c r="U283" s="11" t="n"/>
      <c r="V283" s="10">
        <f>IF(AND(T283="",U283=""),"",IFERROR(INDEX(T_CAPAI,MATCH(T283,L_PER,0),MATCH(U283,L_KED,0)),0))</f>
        <v/>
      </c>
      <c r="W283" s="17">
        <f>IF(OR(B283="",E283="",COUNTA(F283,H283,J283:M283,O283,Q283:R283,T283:U283)=0),"",SUM(G283,I283,N283,P283,S283,V283))</f>
        <v/>
      </c>
      <c r="X283" s="18">
        <f>IF(W283="","",IF(Murid!F283="TL","TL",ROUND(W283/110*100,2)))</f>
        <v/>
      </c>
    </row>
    <row r="284">
      <c r="A284" s="15">
        <f>Murid!A284</f>
        <v/>
      </c>
      <c r="B284" s="15">
        <f>IF(Murid!B284="","",Murid!B284)</f>
        <v/>
      </c>
      <c r="C284" s="16">
        <f>IF(Murid!C284="","",Murid!C284)</f>
        <v/>
      </c>
      <c r="D284" s="15">
        <f>IF(Murid!E284="","",Murid!E284)</f>
        <v/>
      </c>
      <c r="E284" s="11" t="n"/>
      <c r="F284" s="11" t="n"/>
      <c r="G284" s="10">
        <f>IF(F284="","",IFERROR(VLOOKUP(F284,T_JUB,2,FALSE),0))</f>
        <v/>
      </c>
      <c r="H284" s="11" t="n"/>
      <c r="I284" s="17">
        <f>IF(H284="","",IF(H284&gt;=12,40,ROUND(H284*3.33,2)))</f>
        <v/>
      </c>
      <c r="J284" s="11" t="n"/>
      <c r="K284" s="11" t="n"/>
      <c r="L284" s="11" t="n"/>
      <c r="M284" s="11" t="n"/>
      <c r="N284" s="10">
        <f>IF(COUNTA(J284:M284)=0,"",MIN(10,SUMPRODUCT((COUNTIF(J284:M284,L_KOM)&gt;0)*S_KOM)))</f>
        <v/>
      </c>
      <c r="O284" s="11" t="n"/>
      <c r="P284" s="10">
        <f>IF(O284="","",IFERROR(VLOOKUP(O284,T_KHID,2,FALSE),0))</f>
        <v/>
      </c>
      <c r="Q284" s="11" t="n"/>
      <c r="R284" s="11" t="n"/>
      <c r="S284" s="10">
        <f>IF(AND(Q284="",R284=""),"",IFERROR(INDEX(T_LIBAT,MATCH(Q284,L_PER,0),MATCH(R284,L_JENIS,0)),0))</f>
        <v/>
      </c>
      <c r="T284" s="11" t="n"/>
      <c r="U284" s="11" t="n"/>
      <c r="V284" s="10">
        <f>IF(AND(T284="",U284=""),"",IFERROR(INDEX(T_CAPAI,MATCH(T284,L_PER,0),MATCH(U284,L_KED,0)),0))</f>
        <v/>
      </c>
      <c r="W284" s="17">
        <f>IF(OR(B284="",E284="",COUNTA(F284,H284,J284:M284,O284,Q284:R284,T284:U284)=0),"",SUM(G284,I284,N284,P284,S284,V284))</f>
        <v/>
      </c>
      <c r="X284" s="18">
        <f>IF(W284="","",IF(Murid!F284="TL","TL",ROUND(W284/110*100,2)))</f>
        <v/>
      </c>
    </row>
    <row r="285">
      <c r="A285" s="15">
        <f>Murid!A285</f>
        <v/>
      </c>
      <c r="B285" s="15">
        <f>IF(Murid!B285="","",Murid!B285)</f>
        <v/>
      </c>
      <c r="C285" s="16">
        <f>IF(Murid!C285="","",Murid!C285)</f>
        <v/>
      </c>
      <c r="D285" s="15">
        <f>IF(Murid!E285="","",Murid!E285)</f>
        <v/>
      </c>
      <c r="E285" s="11" t="n"/>
      <c r="F285" s="11" t="n"/>
      <c r="G285" s="10">
        <f>IF(F285="","",IFERROR(VLOOKUP(F285,T_JUB,2,FALSE),0))</f>
        <v/>
      </c>
      <c r="H285" s="11" t="n"/>
      <c r="I285" s="17">
        <f>IF(H285="","",IF(H285&gt;=12,40,ROUND(H285*3.33,2)))</f>
        <v/>
      </c>
      <c r="J285" s="11" t="n"/>
      <c r="K285" s="11" t="n"/>
      <c r="L285" s="11" t="n"/>
      <c r="M285" s="11" t="n"/>
      <c r="N285" s="10">
        <f>IF(COUNTA(J285:M285)=0,"",MIN(10,SUMPRODUCT((COUNTIF(J285:M285,L_KOM)&gt;0)*S_KOM)))</f>
        <v/>
      </c>
      <c r="O285" s="11" t="n"/>
      <c r="P285" s="10">
        <f>IF(O285="","",IFERROR(VLOOKUP(O285,T_KHID,2,FALSE),0))</f>
        <v/>
      </c>
      <c r="Q285" s="11" t="n"/>
      <c r="R285" s="11" t="n"/>
      <c r="S285" s="10">
        <f>IF(AND(Q285="",R285=""),"",IFERROR(INDEX(T_LIBAT,MATCH(Q285,L_PER,0),MATCH(R285,L_JENIS,0)),0))</f>
        <v/>
      </c>
      <c r="T285" s="11" t="n"/>
      <c r="U285" s="11" t="n"/>
      <c r="V285" s="10">
        <f>IF(AND(T285="",U285=""),"",IFERROR(INDEX(T_CAPAI,MATCH(T285,L_PER,0),MATCH(U285,L_KED,0)),0))</f>
        <v/>
      </c>
      <c r="W285" s="17">
        <f>IF(OR(B285="",E285="",COUNTA(F285,H285,J285:M285,O285,Q285:R285,T285:U285)=0),"",SUM(G285,I285,N285,P285,S285,V285))</f>
        <v/>
      </c>
      <c r="X285" s="18">
        <f>IF(W285="","",IF(Murid!F285="TL","TL",ROUND(W285/110*100,2)))</f>
        <v/>
      </c>
    </row>
    <row r="286">
      <c r="A286" s="15">
        <f>Murid!A286</f>
        <v/>
      </c>
      <c r="B286" s="15">
        <f>IF(Murid!B286="","",Murid!B286)</f>
        <v/>
      </c>
      <c r="C286" s="16">
        <f>IF(Murid!C286="","",Murid!C286)</f>
        <v/>
      </c>
      <c r="D286" s="15">
        <f>IF(Murid!E286="","",Murid!E286)</f>
        <v/>
      </c>
      <c r="E286" s="11" t="n"/>
      <c r="F286" s="11" t="n"/>
      <c r="G286" s="10">
        <f>IF(F286="","",IFERROR(VLOOKUP(F286,T_JUB,2,FALSE),0))</f>
        <v/>
      </c>
      <c r="H286" s="11" t="n"/>
      <c r="I286" s="17">
        <f>IF(H286="","",IF(H286&gt;=12,40,ROUND(H286*3.33,2)))</f>
        <v/>
      </c>
      <c r="J286" s="11" t="n"/>
      <c r="K286" s="11" t="n"/>
      <c r="L286" s="11" t="n"/>
      <c r="M286" s="11" t="n"/>
      <c r="N286" s="10">
        <f>IF(COUNTA(J286:M286)=0,"",MIN(10,SUMPRODUCT((COUNTIF(J286:M286,L_KOM)&gt;0)*S_KOM)))</f>
        <v/>
      </c>
      <c r="O286" s="11" t="n"/>
      <c r="P286" s="10">
        <f>IF(O286="","",IFERROR(VLOOKUP(O286,T_KHID,2,FALSE),0))</f>
        <v/>
      </c>
      <c r="Q286" s="11" t="n"/>
      <c r="R286" s="11" t="n"/>
      <c r="S286" s="10">
        <f>IF(AND(Q286="",R286=""),"",IFERROR(INDEX(T_LIBAT,MATCH(Q286,L_PER,0),MATCH(R286,L_JENIS,0)),0))</f>
        <v/>
      </c>
      <c r="T286" s="11" t="n"/>
      <c r="U286" s="11" t="n"/>
      <c r="V286" s="10">
        <f>IF(AND(T286="",U286=""),"",IFERROR(INDEX(T_CAPAI,MATCH(T286,L_PER,0),MATCH(U286,L_KED,0)),0))</f>
        <v/>
      </c>
      <c r="W286" s="17">
        <f>IF(OR(B286="",E286="",COUNTA(F286,H286,J286:M286,O286,Q286:R286,T286:U286)=0),"",SUM(G286,I286,N286,P286,S286,V286))</f>
        <v/>
      </c>
      <c r="X286" s="18">
        <f>IF(W286="","",IF(Murid!F286="TL","TL",ROUND(W286/110*100,2)))</f>
        <v/>
      </c>
    </row>
    <row r="287">
      <c r="A287" s="15">
        <f>Murid!A287</f>
        <v/>
      </c>
      <c r="B287" s="15">
        <f>IF(Murid!B287="","",Murid!B287)</f>
        <v/>
      </c>
      <c r="C287" s="16">
        <f>IF(Murid!C287="","",Murid!C287)</f>
        <v/>
      </c>
      <c r="D287" s="15">
        <f>IF(Murid!E287="","",Murid!E287)</f>
        <v/>
      </c>
      <c r="E287" s="11" t="n"/>
      <c r="F287" s="11" t="n"/>
      <c r="G287" s="10">
        <f>IF(F287="","",IFERROR(VLOOKUP(F287,T_JUB,2,FALSE),0))</f>
        <v/>
      </c>
      <c r="H287" s="11" t="n"/>
      <c r="I287" s="17">
        <f>IF(H287="","",IF(H287&gt;=12,40,ROUND(H287*3.33,2)))</f>
        <v/>
      </c>
      <c r="J287" s="11" t="n"/>
      <c r="K287" s="11" t="n"/>
      <c r="L287" s="11" t="n"/>
      <c r="M287" s="11" t="n"/>
      <c r="N287" s="10">
        <f>IF(COUNTA(J287:M287)=0,"",MIN(10,SUMPRODUCT((COUNTIF(J287:M287,L_KOM)&gt;0)*S_KOM)))</f>
        <v/>
      </c>
      <c r="O287" s="11" t="n"/>
      <c r="P287" s="10">
        <f>IF(O287="","",IFERROR(VLOOKUP(O287,T_KHID,2,FALSE),0))</f>
        <v/>
      </c>
      <c r="Q287" s="11" t="n"/>
      <c r="R287" s="11" t="n"/>
      <c r="S287" s="10">
        <f>IF(AND(Q287="",R287=""),"",IFERROR(INDEX(T_LIBAT,MATCH(Q287,L_PER,0),MATCH(R287,L_JENIS,0)),0))</f>
        <v/>
      </c>
      <c r="T287" s="11" t="n"/>
      <c r="U287" s="11" t="n"/>
      <c r="V287" s="10">
        <f>IF(AND(T287="",U287=""),"",IFERROR(INDEX(T_CAPAI,MATCH(T287,L_PER,0),MATCH(U287,L_KED,0)),0))</f>
        <v/>
      </c>
      <c r="W287" s="17">
        <f>IF(OR(B287="",E287="",COUNTA(F287,H287,J287:M287,O287,Q287:R287,T287:U287)=0),"",SUM(G287,I287,N287,P287,S287,V287))</f>
        <v/>
      </c>
      <c r="X287" s="18">
        <f>IF(W287="","",IF(Murid!F287="TL","TL",ROUND(W287/110*100,2)))</f>
        <v/>
      </c>
    </row>
    <row r="288">
      <c r="A288" s="15">
        <f>Murid!A288</f>
        <v/>
      </c>
      <c r="B288" s="15">
        <f>IF(Murid!B288="","",Murid!B288)</f>
        <v/>
      </c>
      <c r="C288" s="16">
        <f>IF(Murid!C288="","",Murid!C288)</f>
        <v/>
      </c>
      <c r="D288" s="15">
        <f>IF(Murid!E288="","",Murid!E288)</f>
        <v/>
      </c>
      <c r="E288" s="11" t="n"/>
      <c r="F288" s="11" t="n"/>
      <c r="G288" s="10">
        <f>IF(F288="","",IFERROR(VLOOKUP(F288,T_JUB,2,FALSE),0))</f>
        <v/>
      </c>
      <c r="H288" s="11" t="n"/>
      <c r="I288" s="17">
        <f>IF(H288="","",IF(H288&gt;=12,40,ROUND(H288*3.33,2)))</f>
        <v/>
      </c>
      <c r="J288" s="11" t="n"/>
      <c r="K288" s="11" t="n"/>
      <c r="L288" s="11" t="n"/>
      <c r="M288" s="11" t="n"/>
      <c r="N288" s="10">
        <f>IF(COUNTA(J288:M288)=0,"",MIN(10,SUMPRODUCT((COUNTIF(J288:M288,L_KOM)&gt;0)*S_KOM)))</f>
        <v/>
      </c>
      <c r="O288" s="11" t="n"/>
      <c r="P288" s="10">
        <f>IF(O288="","",IFERROR(VLOOKUP(O288,T_KHID,2,FALSE),0))</f>
        <v/>
      </c>
      <c r="Q288" s="11" t="n"/>
      <c r="R288" s="11" t="n"/>
      <c r="S288" s="10">
        <f>IF(AND(Q288="",R288=""),"",IFERROR(INDEX(T_LIBAT,MATCH(Q288,L_PER,0),MATCH(R288,L_JENIS,0)),0))</f>
        <v/>
      </c>
      <c r="T288" s="11" t="n"/>
      <c r="U288" s="11" t="n"/>
      <c r="V288" s="10">
        <f>IF(AND(T288="",U288=""),"",IFERROR(INDEX(T_CAPAI,MATCH(T288,L_PER,0),MATCH(U288,L_KED,0)),0))</f>
        <v/>
      </c>
      <c r="W288" s="17">
        <f>IF(OR(B288="",E288="",COUNTA(F288,H288,J288:M288,O288,Q288:R288,T288:U288)=0),"",SUM(G288,I288,N288,P288,S288,V288))</f>
        <v/>
      </c>
      <c r="X288" s="18">
        <f>IF(W288="","",IF(Murid!F288="TL","TL",ROUND(W288/110*100,2)))</f>
        <v/>
      </c>
    </row>
    <row r="289">
      <c r="A289" s="15">
        <f>Murid!A289</f>
        <v/>
      </c>
      <c r="B289" s="15">
        <f>IF(Murid!B289="","",Murid!B289)</f>
        <v/>
      </c>
      <c r="C289" s="16">
        <f>IF(Murid!C289="","",Murid!C289)</f>
        <v/>
      </c>
      <c r="D289" s="15">
        <f>IF(Murid!E289="","",Murid!E289)</f>
        <v/>
      </c>
      <c r="E289" s="11" t="n"/>
      <c r="F289" s="11" t="n"/>
      <c r="G289" s="10">
        <f>IF(F289="","",IFERROR(VLOOKUP(F289,T_JUB,2,FALSE),0))</f>
        <v/>
      </c>
      <c r="H289" s="11" t="n"/>
      <c r="I289" s="17">
        <f>IF(H289="","",IF(H289&gt;=12,40,ROUND(H289*3.33,2)))</f>
        <v/>
      </c>
      <c r="J289" s="11" t="n"/>
      <c r="K289" s="11" t="n"/>
      <c r="L289" s="11" t="n"/>
      <c r="M289" s="11" t="n"/>
      <c r="N289" s="10">
        <f>IF(COUNTA(J289:M289)=0,"",MIN(10,SUMPRODUCT((COUNTIF(J289:M289,L_KOM)&gt;0)*S_KOM)))</f>
        <v/>
      </c>
      <c r="O289" s="11" t="n"/>
      <c r="P289" s="10">
        <f>IF(O289="","",IFERROR(VLOOKUP(O289,T_KHID,2,FALSE),0))</f>
        <v/>
      </c>
      <c r="Q289" s="11" t="n"/>
      <c r="R289" s="11" t="n"/>
      <c r="S289" s="10">
        <f>IF(AND(Q289="",R289=""),"",IFERROR(INDEX(T_LIBAT,MATCH(Q289,L_PER,0),MATCH(R289,L_JENIS,0)),0))</f>
        <v/>
      </c>
      <c r="T289" s="11" t="n"/>
      <c r="U289" s="11" t="n"/>
      <c r="V289" s="10">
        <f>IF(AND(T289="",U289=""),"",IFERROR(INDEX(T_CAPAI,MATCH(T289,L_PER,0),MATCH(U289,L_KED,0)),0))</f>
        <v/>
      </c>
      <c r="W289" s="17">
        <f>IF(OR(B289="",E289="",COUNTA(F289,H289,J289:M289,O289,Q289:R289,T289:U289)=0),"",SUM(G289,I289,N289,P289,S289,V289))</f>
        <v/>
      </c>
      <c r="X289" s="18">
        <f>IF(W289="","",IF(Murid!F289="TL","TL",ROUND(W289/110*100,2)))</f>
        <v/>
      </c>
    </row>
    <row r="290">
      <c r="A290" s="15">
        <f>Murid!A290</f>
        <v/>
      </c>
      <c r="B290" s="15">
        <f>IF(Murid!B290="","",Murid!B290)</f>
        <v/>
      </c>
      <c r="C290" s="16">
        <f>IF(Murid!C290="","",Murid!C290)</f>
        <v/>
      </c>
      <c r="D290" s="15">
        <f>IF(Murid!E290="","",Murid!E290)</f>
        <v/>
      </c>
      <c r="E290" s="11" t="n"/>
      <c r="F290" s="11" t="n"/>
      <c r="G290" s="10">
        <f>IF(F290="","",IFERROR(VLOOKUP(F290,T_JUB,2,FALSE),0))</f>
        <v/>
      </c>
      <c r="H290" s="11" t="n"/>
      <c r="I290" s="17">
        <f>IF(H290="","",IF(H290&gt;=12,40,ROUND(H290*3.33,2)))</f>
        <v/>
      </c>
      <c r="J290" s="11" t="n"/>
      <c r="K290" s="11" t="n"/>
      <c r="L290" s="11" t="n"/>
      <c r="M290" s="11" t="n"/>
      <c r="N290" s="10">
        <f>IF(COUNTA(J290:M290)=0,"",MIN(10,SUMPRODUCT((COUNTIF(J290:M290,L_KOM)&gt;0)*S_KOM)))</f>
        <v/>
      </c>
      <c r="O290" s="11" t="n"/>
      <c r="P290" s="10">
        <f>IF(O290="","",IFERROR(VLOOKUP(O290,T_KHID,2,FALSE),0))</f>
        <v/>
      </c>
      <c r="Q290" s="11" t="n"/>
      <c r="R290" s="11" t="n"/>
      <c r="S290" s="10">
        <f>IF(AND(Q290="",R290=""),"",IFERROR(INDEX(T_LIBAT,MATCH(Q290,L_PER,0),MATCH(R290,L_JENIS,0)),0))</f>
        <v/>
      </c>
      <c r="T290" s="11" t="n"/>
      <c r="U290" s="11" t="n"/>
      <c r="V290" s="10">
        <f>IF(AND(T290="",U290=""),"",IFERROR(INDEX(T_CAPAI,MATCH(T290,L_PER,0),MATCH(U290,L_KED,0)),0))</f>
        <v/>
      </c>
      <c r="W290" s="17">
        <f>IF(OR(B290="",E290="",COUNTA(F290,H290,J290:M290,O290,Q290:R290,T290:U290)=0),"",SUM(G290,I290,N290,P290,S290,V290))</f>
        <v/>
      </c>
      <c r="X290" s="18">
        <f>IF(W290="","",IF(Murid!F290="TL","TL",ROUND(W290/110*100,2)))</f>
        <v/>
      </c>
    </row>
    <row r="291">
      <c r="A291" s="15">
        <f>Murid!A291</f>
        <v/>
      </c>
      <c r="B291" s="15">
        <f>IF(Murid!B291="","",Murid!B291)</f>
        <v/>
      </c>
      <c r="C291" s="16">
        <f>IF(Murid!C291="","",Murid!C291)</f>
        <v/>
      </c>
      <c r="D291" s="15">
        <f>IF(Murid!E291="","",Murid!E291)</f>
        <v/>
      </c>
      <c r="E291" s="11" t="n"/>
      <c r="F291" s="11" t="n"/>
      <c r="G291" s="10">
        <f>IF(F291="","",IFERROR(VLOOKUP(F291,T_JUB,2,FALSE),0))</f>
        <v/>
      </c>
      <c r="H291" s="11" t="n"/>
      <c r="I291" s="17">
        <f>IF(H291="","",IF(H291&gt;=12,40,ROUND(H291*3.33,2)))</f>
        <v/>
      </c>
      <c r="J291" s="11" t="n"/>
      <c r="K291" s="11" t="n"/>
      <c r="L291" s="11" t="n"/>
      <c r="M291" s="11" t="n"/>
      <c r="N291" s="10">
        <f>IF(COUNTA(J291:M291)=0,"",MIN(10,SUMPRODUCT((COUNTIF(J291:M291,L_KOM)&gt;0)*S_KOM)))</f>
        <v/>
      </c>
      <c r="O291" s="11" t="n"/>
      <c r="P291" s="10">
        <f>IF(O291="","",IFERROR(VLOOKUP(O291,T_KHID,2,FALSE),0))</f>
        <v/>
      </c>
      <c r="Q291" s="11" t="n"/>
      <c r="R291" s="11" t="n"/>
      <c r="S291" s="10">
        <f>IF(AND(Q291="",R291=""),"",IFERROR(INDEX(T_LIBAT,MATCH(Q291,L_PER,0),MATCH(R291,L_JENIS,0)),0))</f>
        <v/>
      </c>
      <c r="T291" s="11" t="n"/>
      <c r="U291" s="11" t="n"/>
      <c r="V291" s="10">
        <f>IF(AND(T291="",U291=""),"",IFERROR(INDEX(T_CAPAI,MATCH(T291,L_PER,0),MATCH(U291,L_KED,0)),0))</f>
        <v/>
      </c>
      <c r="W291" s="17">
        <f>IF(OR(B291="",E291="",COUNTA(F291,H291,J291:M291,O291,Q291:R291,T291:U291)=0),"",SUM(G291,I291,N291,P291,S291,V291))</f>
        <v/>
      </c>
      <c r="X291" s="18">
        <f>IF(W291="","",IF(Murid!F291="TL","TL",ROUND(W291/110*100,2)))</f>
        <v/>
      </c>
    </row>
    <row r="292">
      <c r="A292" s="15">
        <f>Murid!A292</f>
        <v/>
      </c>
      <c r="B292" s="15">
        <f>IF(Murid!B292="","",Murid!B292)</f>
        <v/>
      </c>
      <c r="C292" s="16">
        <f>IF(Murid!C292="","",Murid!C292)</f>
        <v/>
      </c>
      <c r="D292" s="15">
        <f>IF(Murid!E292="","",Murid!E292)</f>
        <v/>
      </c>
      <c r="E292" s="11" t="n"/>
      <c r="F292" s="11" t="n"/>
      <c r="G292" s="10">
        <f>IF(F292="","",IFERROR(VLOOKUP(F292,T_JUB,2,FALSE),0))</f>
        <v/>
      </c>
      <c r="H292" s="11" t="n"/>
      <c r="I292" s="17">
        <f>IF(H292="","",IF(H292&gt;=12,40,ROUND(H292*3.33,2)))</f>
        <v/>
      </c>
      <c r="J292" s="11" t="n"/>
      <c r="K292" s="11" t="n"/>
      <c r="L292" s="11" t="n"/>
      <c r="M292" s="11" t="n"/>
      <c r="N292" s="10">
        <f>IF(COUNTA(J292:M292)=0,"",MIN(10,SUMPRODUCT((COUNTIF(J292:M292,L_KOM)&gt;0)*S_KOM)))</f>
        <v/>
      </c>
      <c r="O292" s="11" t="n"/>
      <c r="P292" s="10">
        <f>IF(O292="","",IFERROR(VLOOKUP(O292,T_KHID,2,FALSE),0))</f>
        <v/>
      </c>
      <c r="Q292" s="11" t="n"/>
      <c r="R292" s="11" t="n"/>
      <c r="S292" s="10">
        <f>IF(AND(Q292="",R292=""),"",IFERROR(INDEX(T_LIBAT,MATCH(Q292,L_PER,0),MATCH(R292,L_JENIS,0)),0))</f>
        <v/>
      </c>
      <c r="T292" s="11" t="n"/>
      <c r="U292" s="11" t="n"/>
      <c r="V292" s="10">
        <f>IF(AND(T292="",U292=""),"",IFERROR(INDEX(T_CAPAI,MATCH(T292,L_PER,0),MATCH(U292,L_KED,0)),0))</f>
        <v/>
      </c>
      <c r="W292" s="17">
        <f>IF(OR(B292="",E292="",COUNTA(F292,H292,J292:M292,O292,Q292:R292,T292:U292)=0),"",SUM(G292,I292,N292,P292,S292,V292))</f>
        <v/>
      </c>
      <c r="X292" s="18">
        <f>IF(W292="","",IF(Murid!F292="TL","TL",ROUND(W292/110*100,2)))</f>
        <v/>
      </c>
    </row>
    <row r="293">
      <c r="A293" s="15">
        <f>Murid!A293</f>
        <v/>
      </c>
      <c r="B293" s="15">
        <f>IF(Murid!B293="","",Murid!B293)</f>
        <v/>
      </c>
      <c r="C293" s="16">
        <f>IF(Murid!C293="","",Murid!C293)</f>
        <v/>
      </c>
      <c r="D293" s="15">
        <f>IF(Murid!E293="","",Murid!E293)</f>
        <v/>
      </c>
      <c r="E293" s="11" t="n"/>
      <c r="F293" s="11" t="n"/>
      <c r="G293" s="10">
        <f>IF(F293="","",IFERROR(VLOOKUP(F293,T_JUB,2,FALSE),0))</f>
        <v/>
      </c>
      <c r="H293" s="11" t="n"/>
      <c r="I293" s="17">
        <f>IF(H293="","",IF(H293&gt;=12,40,ROUND(H293*3.33,2)))</f>
        <v/>
      </c>
      <c r="J293" s="11" t="n"/>
      <c r="K293" s="11" t="n"/>
      <c r="L293" s="11" t="n"/>
      <c r="M293" s="11" t="n"/>
      <c r="N293" s="10">
        <f>IF(COUNTA(J293:M293)=0,"",MIN(10,SUMPRODUCT((COUNTIF(J293:M293,L_KOM)&gt;0)*S_KOM)))</f>
        <v/>
      </c>
      <c r="O293" s="11" t="n"/>
      <c r="P293" s="10">
        <f>IF(O293="","",IFERROR(VLOOKUP(O293,T_KHID,2,FALSE),0))</f>
        <v/>
      </c>
      <c r="Q293" s="11" t="n"/>
      <c r="R293" s="11" t="n"/>
      <c r="S293" s="10">
        <f>IF(AND(Q293="",R293=""),"",IFERROR(INDEX(T_LIBAT,MATCH(Q293,L_PER,0),MATCH(R293,L_JENIS,0)),0))</f>
        <v/>
      </c>
      <c r="T293" s="11" t="n"/>
      <c r="U293" s="11" t="n"/>
      <c r="V293" s="10">
        <f>IF(AND(T293="",U293=""),"",IFERROR(INDEX(T_CAPAI,MATCH(T293,L_PER,0),MATCH(U293,L_KED,0)),0))</f>
        <v/>
      </c>
      <c r="W293" s="17">
        <f>IF(OR(B293="",E293="",COUNTA(F293,H293,J293:M293,O293,Q293:R293,T293:U293)=0),"",SUM(G293,I293,N293,P293,S293,V293))</f>
        <v/>
      </c>
      <c r="X293" s="18">
        <f>IF(W293="","",IF(Murid!F293="TL","TL",ROUND(W293/110*100,2)))</f>
        <v/>
      </c>
    </row>
    <row r="294">
      <c r="A294" s="15">
        <f>Murid!A294</f>
        <v/>
      </c>
      <c r="B294" s="15">
        <f>IF(Murid!B294="","",Murid!B294)</f>
        <v/>
      </c>
      <c r="C294" s="16">
        <f>IF(Murid!C294="","",Murid!C294)</f>
        <v/>
      </c>
      <c r="D294" s="15">
        <f>IF(Murid!E294="","",Murid!E294)</f>
        <v/>
      </c>
      <c r="E294" s="11" t="n"/>
      <c r="F294" s="11" t="n"/>
      <c r="G294" s="10">
        <f>IF(F294="","",IFERROR(VLOOKUP(F294,T_JUB,2,FALSE),0))</f>
        <v/>
      </c>
      <c r="H294" s="11" t="n"/>
      <c r="I294" s="17">
        <f>IF(H294="","",IF(H294&gt;=12,40,ROUND(H294*3.33,2)))</f>
        <v/>
      </c>
      <c r="J294" s="11" t="n"/>
      <c r="K294" s="11" t="n"/>
      <c r="L294" s="11" t="n"/>
      <c r="M294" s="11" t="n"/>
      <c r="N294" s="10">
        <f>IF(COUNTA(J294:M294)=0,"",MIN(10,SUMPRODUCT((COUNTIF(J294:M294,L_KOM)&gt;0)*S_KOM)))</f>
        <v/>
      </c>
      <c r="O294" s="11" t="n"/>
      <c r="P294" s="10">
        <f>IF(O294="","",IFERROR(VLOOKUP(O294,T_KHID,2,FALSE),0))</f>
        <v/>
      </c>
      <c r="Q294" s="11" t="n"/>
      <c r="R294" s="11" t="n"/>
      <c r="S294" s="10">
        <f>IF(AND(Q294="",R294=""),"",IFERROR(INDEX(T_LIBAT,MATCH(Q294,L_PER,0),MATCH(R294,L_JENIS,0)),0))</f>
        <v/>
      </c>
      <c r="T294" s="11" t="n"/>
      <c r="U294" s="11" t="n"/>
      <c r="V294" s="10">
        <f>IF(AND(T294="",U294=""),"",IFERROR(INDEX(T_CAPAI,MATCH(T294,L_PER,0),MATCH(U294,L_KED,0)),0))</f>
        <v/>
      </c>
      <c r="W294" s="17">
        <f>IF(OR(B294="",E294="",COUNTA(F294,H294,J294:M294,O294,Q294:R294,T294:U294)=0),"",SUM(G294,I294,N294,P294,S294,V294))</f>
        <v/>
      </c>
      <c r="X294" s="18">
        <f>IF(W294="","",IF(Murid!F294="TL","TL",ROUND(W294/110*100,2)))</f>
        <v/>
      </c>
    </row>
    <row r="295">
      <c r="A295" s="15">
        <f>Murid!A295</f>
        <v/>
      </c>
      <c r="B295" s="15">
        <f>IF(Murid!B295="","",Murid!B295)</f>
        <v/>
      </c>
      <c r="C295" s="16">
        <f>IF(Murid!C295="","",Murid!C295)</f>
        <v/>
      </c>
      <c r="D295" s="15">
        <f>IF(Murid!E295="","",Murid!E295)</f>
        <v/>
      </c>
      <c r="E295" s="11" t="n"/>
      <c r="F295" s="11" t="n"/>
      <c r="G295" s="10">
        <f>IF(F295="","",IFERROR(VLOOKUP(F295,T_JUB,2,FALSE),0))</f>
        <v/>
      </c>
      <c r="H295" s="11" t="n"/>
      <c r="I295" s="17">
        <f>IF(H295="","",IF(H295&gt;=12,40,ROUND(H295*3.33,2)))</f>
        <v/>
      </c>
      <c r="J295" s="11" t="n"/>
      <c r="K295" s="11" t="n"/>
      <c r="L295" s="11" t="n"/>
      <c r="M295" s="11" t="n"/>
      <c r="N295" s="10">
        <f>IF(COUNTA(J295:M295)=0,"",MIN(10,SUMPRODUCT((COUNTIF(J295:M295,L_KOM)&gt;0)*S_KOM)))</f>
        <v/>
      </c>
      <c r="O295" s="11" t="n"/>
      <c r="P295" s="10">
        <f>IF(O295="","",IFERROR(VLOOKUP(O295,T_KHID,2,FALSE),0))</f>
        <v/>
      </c>
      <c r="Q295" s="11" t="n"/>
      <c r="R295" s="11" t="n"/>
      <c r="S295" s="10">
        <f>IF(AND(Q295="",R295=""),"",IFERROR(INDEX(T_LIBAT,MATCH(Q295,L_PER,0),MATCH(R295,L_JENIS,0)),0))</f>
        <v/>
      </c>
      <c r="T295" s="11" t="n"/>
      <c r="U295" s="11" t="n"/>
      <c r="V295" s="10">
        <f>IF(AND(T295="",U295=""),"",IFERROR(INDEX(T_CAPAI,MATCH(T295,L_PER,0),MATCH(U295,L_KED,0)),0))</f>
        <v/>
      </c>
      <c r="W295" s="17">
        <f>IF(OR(B295="",E295="",COUNTA(F295,H295,J295:M295,O295,Q295:R295,T295:U295)=0),"",SUM(G295,I295,N295,P295,S295,V295))</f>
        <v/>
      </c>
      <c r="X295" s="18">
        <f>IF(W295="","",IF(Murid!F295="TL","TL",ROUND(W295/110*100,2)))</f>
        <v/>
      </c>
    </row>
    <row r="296">
      <c r="A296" s="15">
        <f>Murid!A296</f>
        <v/>
      </c>
      <c r="B296" s="15">
        <f>IF(Murid!B296="","",Murid!B296)</f>
        <v/>
      </c>
      <c r="C296" s="16">
        <f>IF(Murid!C296="","",Murid!C296)</f>
        <v/>
      </c>
      <c r="D296" s="15">
        <f>IF(Murid!E296="","",Murid!E296)</f>
        <v/>
      </c>
      <c r="E296" s="11" t="n"/>
      <c r="F296" s="11" t="n"/>
      <c r="G296" s="10">
        <f>IF(F296="","",IFERROR(VLOOKUP(F296,T_JUB,2,FALSE),0))</f>
        <v/>
      </c>
      <c r="H296" s="11" t="n"/>
      <c r="I296" s="17">
        <f>IF(H296="","",IF(H296&gt;=12,40,ROUND(H296*3.33,2)))</f>
        <v/>
      </c>
      <c r="J296" s="11" t="n"/>
      <c r="K296" s="11" t="n"/>
      <c r="L296" s="11" t="n"/>
      <c r="M296" s="11" t="n"/>
      <c r="N296" s="10">
        <f>IF(COUNTA(J296:M296)=0,"",MIN(10,SUMPRODUCT((COUNTIF(J296:M296,L_KOM)&gt;0)*S_KOM)))</f>
        <v/>
      </c>
      <c r="O296" s="11" t="n"/>
      <c r="P296" s="10">
        <f>IF(O296="","",IFERROR(VLOOKUP(O296,T_KHID,2,FALSE),0))</f>
        <v/>
      </c>
      <c r="Q296" s="11" t="n"/>
      <c r="R296" s="11" t="n"/>
      <c r="S296" s="10">
        <f>IF(AND(Q296="",R296=""),"",IFERROR(INDEX(T_LIBAT,MATCH(Q296,L_PER,0),MATCH(R296,L_JENIS,0)),0))</f>
        <v/>
      </c>
      <c r="T296" s="11" t="n"/>
      <c r="U296" s="11" t="n"/>
      <c r="V296" s="10">
        <f>IF(AND(T296="",U296=""),"",IFERROR(INDEX(T_CAPAI,MATCH(T296,L_PER,0),MATCH(U296,L_KED,0)),0))</f>
        <v/>
      </c>
      <c r="W296" s="17">
        <f>IF(OR(B296="",E296="",COUNTA(F296,H296,J296:M296,O296,Q296:R296,T296:U296)=0),"",SUM(G296,I296,N296,P296,S296,V296))</f>
        <v/>
      </c>
      <c r="X296" s="18">
        <f>IF(W296="","",IF(Murid!F296="TL","TL",ROUND(W296/110*100,2)))</f>
        <v/>
      </c>
    </row>
    <row r="297">
      <c r="A297" s="15">
        <f>Murid!A297</f>
        <v/>
      </c>
      <c r="B297" s="15">
        <f>IF(Murid!B297="","",Murid!B297)</f>
        <v/>
      </c>
      <c r="C297" s="16">
        <f>IF(Murid!C297="","",Murid!C297)</f>
        <v/>
      </c>
      <c r="D297" s="15">
        <f>IF(Murid!E297="","",Murid!E297)</f>
        <v/>
      </c>
      <c r="E297" s="11" t="n"/>
      <c r="F297" s="11" t="n"/>
      <c r="G297" s="10">
        <f>IF(F297="","",IFERROR(VLOOKUP(F297,T_JUB,2,FALSE),0))</f>
        <v/>
      </c>
      <c r="H297" s="11" t="n"/>
      <c r="I297" s="17">
        <f>IF(H297="","",IF(H297&gt;=12,40,ROUND(H297*3.33,2)))</f>
        <v/>
      </c>
      <c r="J297" s="11" t="n"/>
      <c r="K297" s="11" t="n"/>
      <c r="L297" s="11" t="n"/>
      <c r="M297" s="11" t="n"/>
      <c r="N297" s="10">
        <f>IF(COUNTA(J297:M297)=0,"",MIN(10,SUMPRODUCT((COUNTIF(J297:M297,L_KOM)&gt;0)*S_KOM)))</f>
        <v/>
      </c>
      <c r="O297" s="11" t="n"/>
      <c r="P297" s="10">
        <f>IF(O297="","",IFERROR(VLOOKUP(O297,T_KHID,2,FALSE),0))</f>
        <v/>
      </c>
      <c r="Q297" s="11" t="n"/>
      <c r="R297" s="11" t="n"/>
      <c r="S297" s="10">
        <f>IF(AND(Q297="",R297=""),"",IFERROR(INDEX(T_LIBAT,MATCH(Q297,L_PER,0),MATCH(R297,L_JENIS,0)),0))</f>
        <v/>
      </c>
      <c r="T297" s="11" t="n"/>
      <c r="U297" s="11" t="n"/>
      <c r="V297" s="10">
        <f>IF(AND(T297="",U297=""),"",IFERROR(INDEX(T_CAPAI,MATCH(T297,L_PER,0),MATCH(U297,L_KED,0)),0))</f>
        <v/>
      </c>
      <c r="W297" s="17">
        <f>IF(OR(B297="",E297="",COUNTA(F297,H297,J297:M297,O297,Q297:R297,T297:U297)=0),"",SUM(G297,I297,N297,P297,S297,V297))</f>
        <v/>
      </c>
      <c r="X297" s="18">
        <f>IF(W297="","",IF(Murid!F297="TL","TL",ROUND(W297/110*100,2)))</f>
        <v/>
      </c>
    </row>
    <row r="298">
      <c r="A298" s="15">
        <f>Murid!A298</f>
        <v/>
      </c>
      <c r="B298" s="15">
        <f>IF(Murid!B298="","",Murid!B298)</f>
        <v/>
      </c>
      <c r="C298" s="16">
        <f>IF(Murid!C298="","",Murid!C298)</f>
        <v/>
      </c>
      <c r="D298" s="15">
        <f>IF(Murid!E298="","",Murid!E298)</f>
        <v/>
      </c>
      <c r="E298" s="11" t="n"/>
      <c r="F298" s="11" t="n"/>
      <c r="G298" s="10">
        <f>IF(F298="","",IFERROR(VLOOKUP(F298,T_JUB,2,FALSE),0))</f>
        <v/>
      </c>
      <c r="H298" s="11" t="n"/>
      <c r="I298" s="17">
        <f>IF(H298="","",IF(H298&gt;=12,40,ROUND(H298*3.33,2)))</f>
        <v/>
      </c>
      <c r="J298" s="11" t="n"/>
      <c r="K298" s="11" t="n"/>
      <c r="L298" s="11" t="n"/>
      <c r="M298" s="11" t="n"/>
      <c r="N298" s="10">
        <f>IF(COUNTA(J298:M298)=0,"",MIN(10,SUMPRODUCT((COUNTIF(J298:M298,L_KOM)&gt;0)*S_KOM)))</f>
        <v/>
      </c>
      <c r="O298" s="11" t="n"/>
      <c r="P298" s="10">
        <f>IF(O298="","",IFERROR(VLOOKUP(O298,T_KHID,2,FALSE),0))</f>
        <v/>
      </c>
      <c r="Q298" s="11" t="n"/>
      <c r="R298" s="11" t="n"/>
      <c r="S298" s="10">
        <f>IF(AND(Q298="",R298=""),"",IFERROR(INDEX(T_LIBAT,MATCH(Q298,L_PER,0),MATCH(R298,L_JENIS,0)),0))</f>
        <v/>
      </c>
      <c r="T298" s="11" t="n"/>
      <c r="U298" s="11" t="n"/>
      <c r="V298" s="10">
        <f>IF(AND(T298="",U298=""),"",IFERROR(INDEX(T_CAPAI,MATCH(T298,L_PER,0),MATCH(U298,L_KED,0)),0))</f>
        <v/>
      </c>
      <c r="W298" s="17">
        <f>IF(OR(B298="",E298="",COUNTA(F298,H298,J298:M298,O298,Q298:R298,T298:U298)=0),"",SUM(G298,I298,N298,P298,S298,V298))</f>
        <v/>
      </c>
      <c r="X298" s="18">
        <f>IF(W298="","",IF(Murid!F298="TL","TL",ROUND(W298/110*100,2)))</f>
        <v/>
      </c>
    </row>
    <row r="299">
      <c r="A299" s="15">
        <f>Murid!A299</f>
        <v/>
      </c>
      <c r="B299" s="15">
        <f>IF(Murid!B299="","",Murid!B299)</f>
        <v/>
      </c>
      <c r="C299" s="16">
        <f>IF(Murid!C299="","",Murid!C299)</f>
        <v/>
      </c>
      <c r="D299" s="15">
        <f>IF(Murid!E299="","",Murid!E299)</f>
        <v/>
      </c>
      <c r="E299" s="11" t="n"/>
      <c r="F299" s="11" t="n"/>
      <c r="G299" s="10">
        <f>IF(F299="","",IFERROR(VLOOKUP(F299,T_JUB,2,FALSE),0))</f>
        <v/>
      </c>
      <c r="H299" s="11" t="n"/>
      <c r="I299" s="17">
        <f>IF(H299="","",IF(H299&gt;=12,40,ROUND(H299*3.33,2)))</f>
        <v/>
      </c>
      <c r="J299" s="11" t="n"/>
      <c r="K299" s="11" t="n"/>
      <c r="L299" s="11" t="n"/>
      <c r="M299" s="11" t="n"/>
      <c r="N299" s="10">
        <f>IF(COUNTA(J299:M299)=0,"",MIN(10,SUMPRODUCT((COUNTIF(J299:M299,L_KOM)&gt;0)*S_KOM)))</f>
        <v/>
      </c>
      <c r="O299" s="11" t="n"/>
      <c r="P299" s="10">
        <f>IF(O299="","",IFERROR(VLOOKUP(O299,T_KHID,2,FALSE),0))</f>
        <v/>
      </c>
      <c r="Q299" s="11" t="n"/>
      <c r="R299" s="11" t="n"/>
      <c r="S299" s="10">
        <f>IF(AND(Q299="",R299=""),"",IFERROR(INDEX(T_LIBAT,MATCH(Q299,L_PER,0),MATCH(R299,L_JENIS,0)),0))</f>
        <v/>
      </c>
      <c r="T299" s="11" t="n"/>
      <c r="U299" s="11" t="n"/>
      <c r="V299" s="10">
        <f>IF(AND(T299="",U299=""),"",IFERROR(INDEX(T_CAPAI,MATCH(T299,L_PER,0),MATCH(U299,L_KED,0)),0))</f>
        <v/>
      </c>
      <c r="W299" s="17">
        <f>IF(OR(B299="",E299="",COUNTA(F299,H299,J299:M299,O299,Q299:R299,T299:U299)=0),"",SUM(G299,I299,N299,P299,S299,V299))</f>
        <v/>
      </c>
      <c r="X299" s="18">
        <f>IF(W299="","",IF(Murid!F299="TL","TL",ROUND(W299/110*100,2)))</f>
        <v/>
      </c>
    </row>
    <row r="300">
      <c r="A300" s="15">
        <f>Murid!A300</f>
        <v/>
      </c>
      <c r="B300" s="15">
        <f>IF(Murid!B300="","",Murid!B300)</f>
        <v/>
      </c>
      <c r="C300" s="16">
        <f>IF(Murid!C300="","",Murid!C300)</f>
        <v/>
      </c>
      <c r="D300" s="15">
        <f>IF(Murid!E300="","",Murid!E300)</f>
        <v/>
      </c>
      <c r="E300" s="11" t="n"/>
      <c r="F300" s="11" t="n"/>
      <c r="G300" s="10">
        <f>IF(F300="","",IFERROR(VLOOKUP(F300,T_JUB,2,FALSE),0))</f>
        <v/>
      </c>
      <c r="H300" s="11" t="n"/>
      <c r="I300" s="17">
        <f>IF(H300="","",IF(H300&gt;=12,40,ROUND(H300*3.33,2)))</f>
        <v/>
      </c>
      <c r="J300" s="11" t="n"/>
      <c r="K300" s="11" t="n"/>
      <c r="L300" s="11" t="n"/>
      <c r="M300" s="11" t="n"/>
      <c r="N300" s="10">
        <f>IF(COUNTA(J300:M300)=0,"",MIN(10,SUMPRODUCT((COUNTIF(J300:M300,L_KOM)&gt;0)*S_KOM)))</f>
        <v/>
      </c>
      <c r="O300" s="11" t="n"/>
      <c r="P300" s="10">
        <f>IF(O300="","",IFERROR(VLOOKUP(O300,T_KHID,2,FALSE),0))</f>
        <v/>
      </c>
      <c r="Q300" s="11" t="n"/>
      <c r="R300" s="11" t="n"/>
      <c r="S300" s="10">
        <f>IF(AND(Q300="",R300=""),"",IFERROR(INDEX(T_LIBAT,MATCH(Q300,L_PER,0),MATCH(R300,L_JENIS,0)),0))</f>
        <v/>
      </c>
      <c r="T300" s="11" t="n"/>
      <c r="U300" s="11" t="n"/>
      <c r="V300" s="10">
        <f>IF(AND(T300="",U300=""),"",IFERROR(INDEX(T_CAPAI,MATCH(T300,L_PER,0),MATCH(U300,L_KED,0)),0))</f>
        <v/>
      </c>
      <c r="W300" s="17">
        <f>IF(OR(B300="",E300="",COUNTA(F300,H300,J300:M300,O300,Q300:R300,T300:U300)=0),"",SUM(G300,I300,N300,P300,S300,V300))</f>
        <v/>
      </c>
      <c r="X300" s="18">
        <f>IF(W300="","",IF(Murid!F300="TL","TL",ROUND(W300/110*100,2)))</f>
        <v/>
      </c>
    </row>
    <row r="301">
      <c r="A301" s="15">
        <f>Murid!A301</f>
        <v/>
      </c>
      <c r="B301" s="15">
        <f>IF(Murid!B301="","",Murid!B301)</f>
        <v/>
      </c>
      <c r="C301" s="16">
        <f>IF(Murid!C301="","",Murid!C301)</f>
        <v/>
      </c>
      <c r="D301" s="15">
        <f>IF(Murid!E301="","",Murid!E301)</f>
        <v/>
      </c>
      <c r="E301" s="11" t="n"/>
      <c r="F301" s="11" t="n"/>
      <c r="G301" s="10">
        <f>IF(F301="","",IFERROR(VLOOKUP(F301,T_JUB,2,FALSE),0))</f>
        <v/>
      </c>
      <c r="H301" s="11" t="n"/>
      <c r="I301" s="17">
        <f>IF(H301="","",IF(H301&gt;=12,40,ROUND(H301*3.33,2)))</f>
        <v/>
      </c>
      <c r="J301" s="11" t="n"/>
      <c r="K301" s="11" t="n"/>
      <c r="L301" s="11" t="n"/>
      <c r="M301" s="11" t="n"/>
      <c r="N301" s="10">
        <f>IF(COUNTA(J301:M301)=0,"",MIN(10,SUMPRODUCT((COUNTIF(J301:M301,L_KOM)&gt;0)*S_KOM)))</f>
        <v/>
      </c>
      <c r="O301" s="11" t="n"/>
      <c r="P301" s="10">
        <f>IF(O301="","",IFERROR(VLOOKUP(O301,T_KHID,2,FALSE),0))</f>
        <v/>
      </c>
      <c r="Q301" s="11" t="n"/>
      <c r="R301" s="11" t="n"/>
      <c r="S301" s="10">
        <f>IF(AND(Q301="",R301=""),"",IFERROR(INDEX(T_LIBAT,MATCH(Q301,L_PER,0),MATCH(R301,L_JENIS,0)),0))</f>
        <v/>
      </c>
      <c r="T301" s="11" t="n"/>
      <c r="U301" s="11" t="n"/>
      <c r="V301" s="10">
        <f>IF(AND(T301="",U301=""),"",IFERROR(INDEX(T_CAPAI,MATCH(T301,L_PER,0),MATCH(U301,L_KED,0)),0))</f>
        <v/>
      </c>
      <c r="W301" s="17">
        <f>IF(OR(B301="",E301="",COUNTA(F301,H301,J301:M301,O301,Q301:R301,T301:U301)=0),"",SUM(G301,I301,N301,P301,S301,V301))</f>
        <v/>
      </c>
      <c r="X301" s="18">
        <f>IF(W301="","",IF(Murid!F301="TL","TL",ROUND(W301/110*100,2)))</f>
        <v/>
      </c>
    </row>
    <row r="302">
      <c r="A302" s="15">
        <f>Murid!A302</f>
        <v/>
      </c>
      <c r="B302" s="15">
        <f>IF(Murid!B302="","",Murid!B302)</f>
        <v/>
      </c>
      <c r="C302" s="16">
        <f>IF(Murid!C302="","",Murid!C302)</f>
        <v/>
      </c>
      <c r="D302" s="15">
        <f>IF(Murid!E302="","",Murid!E302)</f>
        <v/>
      </c>
      <c r="E302" s="11" t="n"/>
      <c r="F302" s="11" t="n"/>
      <c r="G302" s="10">
        <f>IF(F302="","",IFERROR(VLOOKUP(F302,T_JUB,2,FALSE),0))</f>
        <v/>
      </c>
      <c r="H302" s="11" t="n"/>
      <c r="I302" s="17">
        <f>IF(H302="","",IF(H302&gt;=12,40,ROUND(H302*3.33,2)))</f>
        <v/>
      </c>
      <c r="J302" s="11" t="n"/>
      <c r="K302" s="11" t="n"/>
      <c r="L302" s="11" t="n"/>
      <c r="M302" s="11" t="n"/>
      <c r="N302" s="10">
        <f>IF(COUNTA(J302:M302)=0,"",MIN(10,SUMPRODUCT((COUNTIF(J302:M302,L_KOM)&gt;0)*S_KOM)))</f>
        <v/>
      </c>
      <c r="O302" s="11" t="n"/>
      <c r="P302" s="10">
        <f>IF(O302="","",IFERROR(VLOOKUP(O302,T_KHID,2,FALSE),0))</f>
        <v/>
      </c>
      <c r="Q302" s="11" t="n"/>
      <c r="R302" s="11" t="n"/>
      <c r="S302" s="10">
        <f>IF(AND(Q302="",R302=""),"",IFERROR(INDEX(T_LIBAT,MATCH(Q302,L_PER,0),MATCH(R302,L_JENIS,0)),0))</f>
        <v/>
      </c>
      <c r="T302" s="11" t="n"/>
      <c r="U302" s="11" t="n"/>
      <c r="V302" s="10">
        <f>IF(AND(T302="",U302=""),"",IFERROR(INDEX(T_CAPAI,MATCH(T302,L_PER,0),MATCH(U302,L_KED,0)),0))</f>
        <v/>
      </c>
      <c r="W302" s="17">
        <f>IF(OR(B302="",E302="",COUNTA(F302,H302,J302:M302,O302,Q302:R302,T302:U302)=0),"",SUM(G302,I302,N302,P302,S302,V302))</f>
        <v/>
      </c>
      <c r="X302" s="18">
        <f>IF(W302="","",IF(Murid!F302="TL","TL",ROUND(W302/110*100,2)))</f>
        <v/>
      </c>
    </row>
    <row r="303">
      <c r="A303" s="15">
        <f>Murid!A303</f>
        <v/>
      </c>
      <c r="B303" s="15">
        <f>IF(Murid!B303="","",Murid!B303)</f>
        <v/>
      </c>
      <c r="C303" s="16">
        <f>IF(Murid!C303="","",Murid!C303)</f>
        <v/>
      </c>
      <c r="D303" s="15">
        <f>IF(Murid!E303="","",Murid!E303)</f>
        <v/>
      </c>
      <c r="E303" s="11" t="n"/>
      <c r="F303" s="11" t="n"/>
      <c r="G303" s="10">
        <f>IF(F303="","",IFERROR(VLOOKUP(F303,T_JUB,2,FALSE),0))</f>
        <v/>
      </c>
      <c r="H303" s="11" t="n"/>
      <c r="I303" s="17">
        <f>IF(H303="","",IF(H303&gt;=12,40,ROUND(H303*3.33,2)))</f>
        <v/>
      </c>
      <c r="J303" s="11" t="n"/>
      <c r="K303" s="11" t="n"/>
      <c r="L303" s="11" t="n"/>
      <c r="M303" s="11" t="n"/>
      <c r="N303" s="10">
        <f>IF(COUNTA(J303:M303)=0,"",MIN(10,SUMPRODUCT((COUNTIF(J303:M303,L_KOM)&gt;0)*S_KOM)))</f>
        <v/>
      </c>
      <c r="O303" s="11" t="n"/>
      <c r="P303" s="10">
        <f>IF(O303="","",IFERROR(VLOOKUP(O303,T_KHID,2,FALSE),0))</f>
        <v/>
      </c>
      <c r="Q303" s="11" t="n"/>
      <c r="R303" s="11" t="n"/>
      <c r="S303" s="10">
        <f>IF(AND(Q303="",R303=""),"",IFERROR(INDEX(T_LIBAT,MATCH(Q303,L_PER,0),MATCH(R303,L_JENIS,0)),0))</f>
        <v/>
      </c>
      <c r="T303" s="11" t="n"/>
      <c r="U303" s="11" t="n"/>
      <c r="V303" s="10">
        <f>IF(AND(T303="",U303=""),"",IFERROR(INDEX(T_CAPAI,MATCH(T303,L_PER,0),MATCH(U303,L_KED,0)),0))</f>
        <v/>
      </c>
      <c r="W303" s="17">
        <f>IF(OR(B303="",E303="",COUNTA(F303,H303,J303:M303,O303,Q303:R303,T303:U303)=0),"",SUM(G303,I303,N303,P303,S303,V303))</f>
        <v/>
      </c>
      <c r="X303" s="18">
        <f>IF(W303="","",IF(Murid!F303="TL","TL",ROUND(W303/110*100,2)))</f>
        <v/>
      </c>
    </row>
    <row r="304">
      <c r="A304" s="15">
        <f>Murid!A304</f>
        <v/>
      </c>
      <c r="B304" s="15">
        <f>IF(Murid!B304="","",Murid!B304)</f>
        <v/>
      </c>
      <c r="C304" s="16">
        <f>IF(Murid!C304="","",Murid!C304)</f>
        <v/>
      </c>
      <c r="D304" s="15">
        <f>IF(Murid!E304="","",Murid!E304)</f>
        <v/>
      </c>
      <c r="E304" s="11" t="n"/>
      <c r="F304" s="11" t="n"/>
      <c r="G304" s="10">
        <f>IF(F304="","",IFERROR(VLOOKUP(F304,T_JUB,2,FALSE),0))</f>
        <v/>
      </c>
      <c r="H304" s="11" t="n"/>
      <c r="I304" s="17">
        <f>IF(H304="","",IF(H304&gt;=12,40,ROUND(H304*3.33,2)))</f>
        <v/>
      </c>
      <c r="J304" s="11" t="n"/>
      <c r="K304" s="11" t="n"/>
      <c r="L304" s="11" t="n"/>
      <c r="M304" s="11" t="n"/>
      <c r="N304" s="10">
        <f>IF(COUNTA(J304:M304)=0,"",MIN(10,SUMPRODUCT((COUNTIF(J304:M304,L_KOM)&gt;0)*S_KOM)))</f>
        <v/>
      </c>
      <c r="O304" s="11" t="n"/>
      <c r="P304" s="10">
        <f>IF(O304="","",IFERROR(VLOOKUP(O304,T_KHID,2,FALSE),0))</f>
        <v/>
      </c>
      <c r="Q304" s="11" t="n"/>
      <c r="R304" s="11" t="n"/>
      <c r="S304" s="10">
        <f>IF(AND(Q304="",R304=""),"",IFERROR(INDEX(T_LIBAT,MATCH(Q304,L_PER,0),MATCH(R304,L_JENIS,0)),0))</f>
        <v/>
      </c>
      <c r="T304" s="11" t="n"/>
      <c r="U304" s="11" t="n"/>
      <c r="V304" s="10">
        <f>IF(AND(T304="",U304=""),"",IFERROR(INDEX(T_CAPAI,MATCH(T304,L_PER,0),MATCH(U304,L_KED,0)),0))</f>
        <v/>
      </c>
      <c r="W304" s="17">
        <f>IF(OR(B304="",E304="",COUNTA(F304,H304,J304:M304,O304,Q304:R304,T304:U304)=0),"",SUM(G304,I304,N304,P304,S304,V304))</f>
        <v/>
      </c>
      <c r="X304" s="18">
        <f>IF(W304="","",IF(Murid!F304="TL","TL",ROUND(W304/110*100,2)))</f>
        <v/>
      </c>
    </row>
    <row r="305">
      <c r="A305" s="15">
        <f>Murid!A305</f>
        <v/>
      </c>
      <c r="B305" s="15">
        <f>IF(Murid!B305="","",Murid!B305)</f>
        <v/>
      </c>
      <c r="C305" s="16">
        <f>IF(Murid!C305="","",Murid!C305)</f>
        <v/>
      </c>
      <c r="D305" s="15">
        <f>IF(Murid!E305="","",Murid!E305)</f>
        <v/>
      </c>
      <c r="E305" s="11" t="n"/>
      <c r="F305" s="11" t="n"/>
      <c r="G305" s="10">
        <f>IF(F305="","",IFERROR(VLOOKUP(F305,T_JUB,2,FALSE),0))</f>
        <v/>
      </c>
      <c r="H305" s="11" t="n"/>
      <c r="I305" s="17">
        <f>IF(H305="","",IF(H305&gt;=12,40,ROUND(H305*3.33,2)))</f>
        <v/>
      </c>
      <c r="J305" s="11" t="n"/>
      <c r="K305" s="11" t="n"/>
      <c r="L305" s="11" t="n"/>
      <c r="M305" s="11" t="n"/>
      <c r="N305" s="10">
        <f>IF(COUNTA(J305:M305)=0,"",MIN(10,SUMPRODUCT((COUNTIF(J305:M305,L_KOM)&gt;0)*S_KOM)))</f>
        <v/>
      </c>
      <c r="O305" s="11" t="n"/>
      <c r="P305" s="10">
        <f>IF(O305="","",IFERROR(VLOOKUP(O305,T_KHID,2,FALSE),0))</f>
        <v/>
      </c>
      <c r="Q305" s="11" t="n"/>
      <c r="R305" s="11" t="n"/>
      <c r="S305" s="10">
        <f>IF(AND(Q305="",R305=""),"",IFERROR(INDEX(T_LIBAT,MATCH(Q305,L_PER,0),MATCH(R305,L_JENIS,0)),0))</f>
        <v/>
      </c>
      <c r="T305" s="11" t="n"/>
      <c r="U305" s="11" t="n"/>
      <c r="V305" s="10">
        <f>IF(AND(T305="",U305=""),"",IFERROR(INDEX(T_CAPAI,MATCH(T305,L_PER,0),MATCH(U305,L_KED,0)),0))</f>
        <v/>
      </c>
      <c r="W305" s="17">
        <f>IF(OR(B305="",E305="",COUNTA(F305,H305,J305:M305,O305,Q305:R305,T305:U305)=0),"",SUM(G305,I305,N305,P305,S305,V305))</f>
        <v/>
      </c>
      <c r="X305" s="18">
        <f>IF(W305="","",IF(Murid!F305="TL","TL",ROUND(W305/110*100,2)))</f>
        <v/>
      </c>
    </row>
    <row r="306">
      <c r="A306" s="15">
        <f>Murid!A306</f>
        <v/>
      </c>
      <c r="B306" s="15">
        <f>IF(Murid!B306="","",Murid!B306)</f>
        <v/>
      </c>
      <c r="C306" s="16">
        <f>IF(Murid!C306="","",Murid!C306)</f>
        <v/>
      </c>
      <c r="D306" s="15">
        <f>IF(Murid!E306="","",Murid!E306)</f>
        <v/>
      </c>
      <c r="E306" s="11" t="n"/>
      <c r="F306" s="11" t="n"/>
      <c r="G306" s="10">
        <f>IF(F306="","",IFERROR(VLOOKUP(F306,T_JUB,2,FALSE),0))</f>
        <v/>
      </c>
      <c r="H306" s="11" t="n"/>
      <c r="I306" s="17">
        <f>IF(H306="","",IF(H306&gt;=12,40,ROUND(H306*3.33,2)))</f>
        <v/>
      </c>
      <c r="J306" s="11" t="n"/>
      <c r="K306" s="11" t="n"/>
      <c r="L306" s="11" t="n"/>
      <c r="M306" s="11" t="n"/>
      <c r="N306" s="10">
        <f>IF(COUNTA(J306:M306)=0,"",MIN(10,SUMPRODUCT((COUNTIF(J306:M306,L_KOM)&gt;0)*S_KOM)))</f>
        <v/>
      </c>
      <c r="O306" s="11" t="n"/>
      <c r="P306" s="10">
        <f>IF(O306="","",IFERROR(VLOOKUP(O306,T_KHID,2,FALSE),0))</f>
        <v/>
      </c>
      <c r="Q306" s="11" t="n"/>
      <c r="R306" s="11" t="n"/>
      <c r="S306" s="10">
        <f>IF(AND(Q306="",R306=""),"",IFERROR(INDEX(T_LIBAT,MATCH(Q306,L_PER,0),MATCH(R306,L_JENIS,0)),0))</f>
        <v/>
      </c>
      <c r="T306" s="11" t="n"/>
      <c r="U306" s="11" t="n"/>
      <c r="V306" s="10">
        <f>IF(AND(T306="",U306=""),"",IFERROR(INDEX(T_CAPAI,MATCH(T306,L_PER,0),MATCH(U306,L_KED,0)),0))</f>
        <v/>
      </c>
      <c r="W306" s="17">
        <f>IF(OR(B306="",E306="",COUNTA(F306,H306,J306:M306,O306,Q306:R306,T306:U306)=0),"",SUM(G306,I306,N306,P306,S306,V306))</f>
        <v/>
      </c>
      <c r="X306" s="18">
        <f>IF(W306="","",IF(Murid!F306="TL","TL",ROUND(W306/110*100,2)))</f>
        <v/>
      </c>
    </row>
    <row r="307">
      <c r="A307" s="15">
        <f>Murid!A307</f>
        <v/>
      </c>
      <c r="B307" s="15">
        <f>IF(Murid!B307="","",Murid!B307)</f>
        <v/>
      </c>
      <c r="C307" s="16">
        <f>IF(Murid!C307="","",Murid!C307)</f>
        <v/>
      </c>
      <c r="D307" s="15">
        <f>IF(Murid!E307="","",Murid!E307)</f>
        <v/>
      </c>
      <c r="E307" s="11" t="n"/>
      <c r="F307" s="11" t="n"/>
      <c r="G307" s="10">
        <f>IF(F307="","",IFERROR(VLOOKUP(F307,T_JUB,2,FALSE),0))</f>
        <v/>
      </c>
      <c r="H307" s="11" t="n"/>
      <c r="I307" s="17">
        <f>IF(H307="","",IF(H307&gt;=12,40,ROUND(H307*3.33,2)))</f>
        <v/>
      </c>
      <c r="J307" s="11" t="n"/>
      <c r="K307" s="11" t="n"/>
      <c r="L307" s="11" t="n"/>
      <c r="M307" s="11" t="n"/>
      <c r="N307" s="10">
        <f>IF(COUNTA(J307:M307)=0,"",MIN(10,SUMPRODUCT((COUNTIF(J307:M307,L_KOM)&gt;0)*S_KOM)))</f>
        <v/>
      </c>
      <c r="O307" s="11" t="n"/>
      <c r="P307" s="10">
        <f>IF(O307="","",IFERROR(VLOOKUP(O307,T_KHID,2,FALSE),0))</f>
        <v/>
      </c>
      <c r="Q307" s="11" t="n"/>
      <c r="R307" s="11" t="n"/>
      <c r="S307" s="10">
        <f>IF(AND(Q307="",R307=""),"",IFERROR(INDEX(T_LIBAT,MATCH(Q307,L_PER,0),MATCH(R307,L_JENIS,0)),0))</f>
        <v/>
      </c>
      <c r="T307" s="11" t="n"/>
      <c r="U307" s="11" t="n"/>
      <c r="V307" s="10">
        <f>IF(AND(T307="",U307=""),"",IFERROR(INDEX(T_CAPAI,MATCH(T307,L_PER,0),MATCH(U307,L_KED,0)),0))</f>
        <v/>
      </c>
      <c r="W307" s="17">
        <f>IF(OR(B307="",E307="",COUNTA(F307,H307,J307:M307,O307,Q307:R307,T307:U307)=0),"",SUM(G307,I307,N307,P307,S307,V307))</f>
        <v/>
      </c>
      <c r="X307" s="18">
        <f>IF(W307="","",IF(Murid!F307="TL","TL",ROUND(W307/110*100,2)))</f>
        <v/>
      </c>
    </row>
    <row r="308">
      <c r="A308" s="15">
        <f>Murid!A308</f>
        <v/>
      </c>
      <c r="B308" s="15">
        <f>IF(Murid!B308="","",Murid!B308)</f>
        <v/>
      </c>
      <c r="C308" s="16">
        <f>IF(Murid!C308="","",Murid!C308)</f>
        <v/>
      </c>
      <c r="D308" s="15">
        <f>IF(Murid!E308="","",Murid!E308)</f>
        <v/>
      </c>
      <c r="E308" s="11" t="n"/>
      <c r="F308" s="11" t="n"/>
      <c r="G308" s="10">
        <f>IF(F308="","",IFERROR(VLOOKUP(F308,T_JUB,2,FALSE),0))</f>
        <v/>
      </c>
      <c r="H308" s="11" t="n"/>
      <c r="I308" s="17">
        <f>IF(H308="","",IF(H308&gt;=12,40,ROUND(H308*3.33,2)))</f>
        <v/>
      </c>
      <c r="J308" s="11" t="n"/>
      <c r="K308" s="11" t="n"/>
      <c r="L308" s="11" t="n"/>
      <c r="M308" s="11" t="n"/>
      <c r="N308" s="10">
        <f>IF(COUNTA(J308:M308)=0,"",MIN(10,SUMPRODUCT((COUNTIF(J308:M308,L_KOM)&gt;0)*S_KOM)))</f>
        <v/>
      </c>
      <c r="O308" s="11" t="n"/>
      <c r="P308" s="10">
        <f>IF(O308="","",IFERROR(VLOOKUP(O308,T_KHID,2,FALSE),0))</f>
        <v/>
      </c>
      <c r="Q308" s="11" t="n"/>
      <c r="R308" s="11" t="n"/>
      <c r="S308" s="10">
        <f>IF(AND(Q308="",R308=""),"",IFERROR(INDEX(T_LIBAT,MATCH(Q308,L_PER,0),MATCH(R308,L_JENIS,0)),0))</f>
        <v/>
      </c>
      <c r="T308" s="11" t="n"/>
      <c r="U308" s="11" t="n"/>
      <c r="V308" s="10">
        <f>IF(AND(T308="",U308=""),"",IFERROR(INDEX(T_CAPAI,MATCH(T308,L_PER,0),MATCH(U308,L_KED,0)),0))</f>
        <v/>
      </c>
      <c r="W308" s="17">
        <f>IF(OR(B308="",E308="",COUNTA(F308,H308,J308:M308,O308,Q308:R308,T308:U308)=0),"",SUM(G308,I308,N308,P308,S308,V308))</f>
        <v/>
      </c>
      <c r="X308" s="18">
        <f>IF(W308="","",IF(Murid!F308="TL","TL",ROUND(W308/110*100,2)))</f>
        <v/>
      </c>
    </row>
    <row r="309">
      <c r="A309" s="15">
        <f>Murid!A309</f>
        <v/>
      </c>
      <c r="B309" s="15">
        <f>IF(Murid!B309="","",Murid!B309)</f>
        <v/>
      </c>
      <c r="C309" s="16">
        <f>IF(Murid!C309="","",Murid!C309)</f>
        <v/>
      </c>
      <c r="D309" s="15">
        <f>IF(Murid!E309="","",Murid!E309)</f>
        <v/>
      </c>
      <c r="E309" s="11" t="n"/>
      <c r="F309" s="11" t="n"/>
      <c r="G309" s="10">
        <f>IF(F309="","",IFERROR(VLOOKUP(F309,T_JUB,2,FALSE),0))</f>
        <v/>
      </c>
      <c r="H309" s="11" t="n"/>
      <c r="I309" s="17">
        <f>IF(H309="","",IF(H309&gt;=12,40,ROUND(H309*3.33,2)))</f>
        <v/>
      </c>
      <c r="J309" s="11" t="n"/>
      <c r="K309" s="11" t="n"/>
      <c r="L309" s="11" t="n"/>
      <c r="M309" s="11" t="n"/>
      <c r="N309" s="10">
        <f>IF(COUNTA(J309:M309)=0,"",MIN(10,SUMPRODUCT((COUNTIF(J309:M309,L_KOM)&gt;0)*S_KOM)))</f>
        <v/>
      </c>
      <c r="O309" s="11" t="n"/>
      <c r="P309" s="10">
        <f>IF(O309="","",IFERROR(VLOOKUP(O309,T_KHID,2,FALSE),0))</f>
        <v/>
      </c>
      <c r="Q309" s="11" t="n"/>
      <c r="R309" s="11" t="n"/>
      <c r="S309" s="10">
        <f>IF(AND(Q309="",R309=""),"",IFERROR(INDEX(T_LIBAT,MATCH(Q309,L_PER,0),MATCH(R309,L_JENIS,0)),0))</f>
        <v/>
      </c>
      <c r="T309" s="11" t="n"/>
      <c r="U309" s="11" t="n"/>
      <c r="V309" s="10">
        <f>IF(AND(T309="",U309=""),"",IFERROR(INDEX(T_CAPAI,MATCH(T309,L_PER,0),MATCH(U309,L_KED,0)),0))</f>
        <v/>
      </c>
      <c r="W309" s="17">
        <f>IF(OR(B309="",E309="",COUNTA(F309,H309,J309:M309,O309,Q309:R309,T309:U309)=0),"",SUM(G309,I309,N309,P309,S309,V309))</f>
        <v/>
      </c>
      <c r="X309" s="18">
        <f>IF(W309="","",IF(Murid!F309="TL","TL",ROUND(W309/110*100,2)))</f>
        <v/>
      </c>
    </row>
    <row r="310">
      <c r="A310" s="15">
        <f>Murid!A310</f>
        <v/>
      </c>
      <c r="B310" s="15">
        <f>IF(Murid!B310="","",Murid!B310)</f>
        <v/>
      </c>
      <c r="C310" s="16">
        <f>IF(Murid!C310="","",Murid!C310)</f>
        <v/>
      </c>
      <c r="D310" s="15">
        <f>IF(Murid!E310="","",Murid!E310)</f>
        <v/>
      </c>
      <c r="E310" s="11" t="n"/>
      <c r="F310" s="11" t="n"/>
      <c r="G310" s="10">
        <f>IF(F310="","",IFERROR(VLOOKUP(F310,T_JUB,2,FALSE),0))</f>
        <v/>
      </c>
      <c r="H310" s="11" t="n"/>
      <c r="I310" s="17">
        <f>IF(H310="","",IF(H310&gt;=12,40,ROUND(H310*3.33,2)))</f>
        <v/>
      </c>
      <c r="J310" s="11" t="n"/>
      <c r="K310" s="11" t="n"/>
      <c r="L310" s="11" t="n"/>
      <c r="M310" s="11" t="n"/>
      <c r="N310" s="10">
        <f>IF(COUNTA(J310:M310)=0,"",MIN(10,SUMPRODUCT((COUNTIF(J310:M310,L_KOM)&gt;0)*S_KOM)))</f>
        <v/>
      </c>
      <c r="O310" s="11" t="n"/>
      <c r="P310" s="10">
        <f>IF(O310="","",IFERROR(VLOOKUP(O310,T_KHID,2,FALSE),0))</f>
        <v/>
      </c>
      <c r="Q310" s="11" t="n"/>
      <c r="R310" s="11" t="n"/>
      <c r="S310" s="10">
        <f>IF(AND(Q310="",R310=""),"",IFERROR(INDEX(T_LIBAT,MATCH(Q310,L_PER,0),MATCH(R310,L_JENIS,0)),0))</f>
        <v/>
      </c>
      <c r="T310" s="11" t="n"/>
      <c r="U310" s="11" t="n"/>
      <c r="V310" s="10">
        <f>IF(AND(T310="",U310=""),"",IFERROR(INDEX(T_CAPAI,MATCH(T310,L_PER,0),MATCH(U310,L_KED,0)),0))</f>
        <v/>
      </c>
      <c r="W310" s="17">
        <f>IF(OR(B310="",E310="",COUNTA(F310,H310,J310:M310,O310,Q310:R310,T310:U310)=0),"",SUM(G310,I310,N310,P310,S310,V310))</f>
        <v/>
      </c>
      <c r="X310" s="18">
        <f>IF(W310="","",IF(Murid!F310="TL","TL",ROUND(W310/110*100,2)))</f>
        <v/>
      </c>
    </row>
    <row r="311">
      <c r="A311" s="15">
        <f>Murid!A311</f>
        <v/>
      </c>
      <c r="B311" s="15">
        <f>IF(Murid!B311="","",Murid!B311)</f>
        <v/>
      </c>
      <c r="C311" s="16">
        <f>IF(Murid!C311="","",Murid!C311)</f>
        <v/>
      </c>
      <c r="D311" s="15">
        <f>IF(Murid!E311="","",Murid!E311)</f>
        <v/>
      </c>
      <c r="E311" s="11" t="n"/>
      <c r="F311" s="11" t="n"/>
      <c r="G311" s="10">
        <f>IF(F311="","",IFERROR(VLOOKUP(F311,T_JUB,2,FALSE),0))</f>
        <v/>
      </c>
      <c r="H311" s="11" t="n"/>
      <c r="I311" s="17">
        <f>IF(H311="","",IF(H311&gt;=12,40,ROUND(H311*3.33,2)))</f>
        <v/>
      </c>
      <c r="J311" s="11" t="n"/>
      <c r="K311" s="11" t="n"/>
      <c r="L311" s="11" t="n"/>
      <c r="M311" s="11" t="n"/>
      <c r="N311" s="10">
        <f>IF(COUNTA(J311:M311)=0,"",MIN(10,SUMPRODUCT((COUNTIF(J311:M311,L_KOM)&gt;0)*S_KOM)))</f>
        <v/>
      </c>
      <c r="O311" s="11" t="n"/>
      <c r="P311" s="10">
        <f>IF(O311="","",IFERROR(VLOOKUP(O311,T_KHID,2,FALSE),0))</f>
        <v/>
      </c>
      <c r="Q311" s="11" t="n"/>
      <c r="R311" s="11" t="n"/>
      <c r="S311" s="10">
        <f>IF(AND(Q311="",R311=""),"",IFERROR(INDEX(T_LIBAT,MATCH(Q311,L_PER,0),MATCH(R311,L_JENIS,0)),0))</f>
        <v/>
      </c>
      <c r="T311" s="11" t="n"/>
      <c r="U311" s="11" t="n"/>
      <c r="V311" s="10">
        <f>IF(AND(T311="",U311=""),"",IFERROR(INDEX(T_CAPAI,MATCH(T311,L_PER,0),MATCH(U311,L_KED,0)),0))</f>
        <v/>
      </c>
      <c r="W311" s="17">
        <f>IF(OR(B311="",E311="",COUNTA(F311,H311,J311:M311,O311,Q311:R311,T311:U311)=0),"",SUM(G311,I311,N311,P311,S311,V311))</f>
        <v/>
      </c>
      <c r="X311" s="18">
        <f>IF(W311="","",IF(Murid!F311="TL","TL",ROUND(W311/110*100,2)))</f>
        <v/>
      </c>
    </row>
    <row r="312">
      <c r="A312" s="15">
        <f>Murid!A312</f>
        <v/>
      </c>
      <c r="B312" s="15">
        <f>IF(Murid!B312="","",Murid!B312)</f>
        <v/>
      </c>
      <c r="C312" s="16">
        <f>IF(Murid!C312="","",Murid!C312)</f>
        <v/>
      </c>
      <c r="D312" s="15">
        <f>IF(Murid!E312="","",Murid!E312)</f>
        <v/>
      </c>
      <c r="E312" s="11" t="n"/>
      <c r="F312" s="11" t="n"/>
      <c r="G312" s="10">
        <f>IF(F312="","",IFERROR(VLOOKUP(F312,T_JUB,2,FALSE),0))</f>
        <v/>
      </c>
      <c r="H312" s="11" t="n"/>
      <c r="I312" s="17">
        <f>IF(H312="","",IF(H312&gt;=12,40,ROUND(H312*3.33,2)))</f>
        <v/>
      </c>
      <c r="J312" s="11" t="n"/>
      <c r="K312" s="11" t="n"/>
      <c r="L312" s="11" t="n"/>
      <c r="M312" s="11" t="n"/>
      <c r="N312" s="10">
        <f>IF(COUNTA(J312:M312)=0,"",MIN(10,SUMPRODUCT((COUNTIF(J312:M312,L_KOM)&gt;0)*S_KOM)))</f>
        <v/>
      </c>
      <c r="O312" s="11" t="n"/>
      <c r="P312" s="10">
        <f>IF(O312="","",IFERROR(VLOOKUP(O312,T_KHID,2,FALSE),0))</f>
        <v/>
      </c>
      <c r="Q312" s="11" t="n"/>
      <c r="R312" s="11" t="n"/>
      <c r="S312" s="10">
        <f>IF(AND(Q312="",R312=""),"",IFERROR(INDEX(T_LIBAT,MATCH(Q312,L_PER,0),MATCH(R312,L_JENIS,0)),0))</f>
        <v/>
      </c>
      <c r="T312" s="11" t="n"/>
      <c r="U312" s="11" t="n"/>
      <c r="V312" s="10">
        <f>IF(AND(T312="",U312=""),"",IFERROR(INDEX(T_CAPAI,MATCH(T312,L_PER,0),MATCH(U312,L_KED,0)),0))</f>
        <v/>
      </c>
      <c r="W312" s="17">
        <f>IF(OR(B312="",E312="",COUNTA(F312,H312,J312:M312,O312,Q312:R312,T312:U312)=0),"",SUM(G312,I312,N312,P312,S312,V312))</f>
        <v/>
      </c>
      <c r="X312" s="18">
        <f>IF(W312="","",IF(Murid!F312="TL","TL",ROUND(W312/110*100,2)))</f>
        <v/>
      </c>
    </row>
    <row r="313">
      <c r="A313" s="15">
        <f>Murid!A313</f>
        <v/>
      </c>
      <c r="B313" s="15">
        <f>IF(Murid!B313="","",Murid!B313)</f>
        <v/>
      </c>
      <c r="C313" s="16">
        <f>IF(Murid!C313="","",Murid!C313)</f>
        <v/>
      </c>
      <c r="D313" s="15">
        <f>IF(Murid!E313="","",Murid!E313)</f>
        <v/>
      </c>
      <c r="E313" s="11" t="n"/>
      <c r="F313" s="11" t="n"/>
      <c r="G313" s="10">
        <f>IF(F313="","",IFERROR(VLOOKUP(F313,T_JUB,2,FALSE),0))</f>
        <v/>
      </c>
      <c r="H313" s="11" t="n"/>
      <c r="I313" s="17">
        <f>IF(H313="","",IF(H313&gt;=12,40,ROUND(H313*3.33,2)))</f>
        <v/>
      </c>
      <c r="J313" s="11" t="n"/>
      <c r="K313" s="11" t="n"/>
      <c r="L313" s="11" t="n"/>
      <c r="M313" s="11" t="n"/>
      <c r="N313" s="10">
        <f>IF(COUNTA(J313:M313)=0,"",MIN(10,SUMPRODUCT((COUNTIF(J313:M313,L_KOM)&gt;0)*S_KOM)))</f>
        <v/>
      </c>
      <c r="O313" s="11" t="n"/>
      <c r="P313" s="10">
        <f>IF(O313="","",IFERROR(VLOOKUP(O313,T_KHID,2,FALSE),0))</f>
        <v/>
      </c>
      <c r="Q313" s="11" t="n"/>
      <c r="R313" s="11" t="n"/>
      <c r="S313" s="10">
        <f>IF(AND(Q313="",R313=""),"",IFERROR(INDEX(T_LIBAT,MATCH(Q313,L_PER,0),MATCH(R313,L_JENIS,0)),0))</f>
        <v/>
      </c>
      <c r="T313" s="11" t="n"/>
      <c r="U313" s="11" t="n"/>
      <c r="V313" s="10">
        <f>IF(AND(T313="",U313=""),"",IFERROR(INDEX(T_CAPAI,MATCH(T313,L_PER,0),MATCH(U313,L_KED,0)),0))</f>
        <v/>
      </c>
      <c r="W313" s="17">
        <f>IF(OR(B313="",E313="",COUNTA(F313,H313,J313:M313,O313,Q313:R313,T313:U313)=0),"",SUM(G313,I313,N313,P313,S313,V313))</f>
        <v/>
      </c>
      <c r="X313" s="18">
        <f>IF(W313="","",IF(Murid!F313="TL","TL",ROUND(W313/110*100,2)))</f>
        <v/>
      </c>
    </row>
    <row r="314">
      <c r="A314" s="15">
        <f>Murid!A314</f>
        <v/>
      </c>
      <c r="B314" s="15">
        <f>IF(Murid!B314="","",Murid!B314)</f>
        <v/>
      </c>
      <c r="C314" s="16">
        <f>IF(Murid!C314="","",Murid!C314)</f>
        <v/>
      </c>
      <c r="D314" s="15">
        <f>IF(Murid!E314="","",Murid!E314)</f>
        <v/>
      </c>
      <c r="E314" s="11" t="n"/>
      <c r="F314" s="11" t="n"/>
      <c r="G314" s="10">
        <f>IF(F314="","",IFERROR(VLOOKUP(F314,T_JUB,2,FALSE),0))</f>
        <v/>
      </c>
      <c r="H314" s="11" t="n"/>
      <c r="I314" s="17">
        <f>IF(H314="","",IF(H314&gt;=12,40,ROUND(H314*3.33,2)))</f>
        <v/>
      </c>
      <c r="J314" s="11" t="n"/>
      <c r="K314" s="11" t="n"/>
      <c r="L314" s="11" t="n"/>
      <c r="M314" s="11" t="n"/>
      <c r="N314" s="10">
        <f>IF(COUNTA(J314:M314)=0,"",MIN(10,SUMPRODUCT((COUNTIF(J314:M314,L_KOM)&gt;0)*S_KOM)))</f>
        <v/>
      </c>
      <c r="O314" s="11" t="n"/>
      <c r="P314" s="10">
        <f>IF(O314="","",IFERROR(VLOOKUP(O314,T_KHID,2,FALSE),0))</f>
        <v/>
      </c>
      <c r="Q314" s="11" t="n"/>
      <c r="R314" s="11" t="n"/>
      <c r="S314" s="10">
        <f>IF(AND(Q314="",R314=""),"",IFERROR(INDEX(T_LIBAT,MATCH(Q314,L_PER,0),MATCH(R314,L_JENIS,0)),0))</f>
        <v/>
      </c>
      <c r="T314" s="11" t="n"/>
      <c r="U314" s="11" t="n"/>
      <c r="V314" s="10">
        <f>IF(AND(T314="",U314=""),"",IFERROR(INDEX(T_CAPAI,MATCH(T314,L_PER,0),MATCH(U314,L_KED,0)),0))</f>
        <v/>
      </c>
      <c r="W314" s="17">
        <f>IF(OR(B314="",E314="",COUNTA(F314,H314,J314:M314,O314,Q314:R314,T314:U314)=0),"",SUM(G314,I314,N314,P314,S314,V314))</f>
        <v/>
      </c>
      <c r="X314" s="18">
        <f>IF(W314="","",IF(Murid!F314="TL","TL",ROUND(W314/110*100,2)))</f>
        <v/>
      </c>
    </row>
    <row r="315">
      <c r="A315" s="15">
        <f>Murid!A315</f>
        <v/>
      </c>
      <c r="B315" s="15">
        <f>IF(Murid!B315="","",Murid!B315)</f>
        <v/>
      </c>
      <c r="C315" s="16">
        <f>IF(Murid!C315="","",Murid!C315)</f>
        <v/>
      </c>
      <c r="D315" s="15">
        <f>IF(Murid!E315="","",Murid!E315)</f>
        <v/>
      </c>
      <c r="E315" s="11" t="n"/>
      <c r="F315" s="11" t="n"/>
      <c r="G315" s="10">
        <f>IF(F315="","",IFERROR(VLOOKUP(F315,T_JUB,2,FALSE),0))</f>
        <v/>
      </c>
      <c r="H315" s="11" t="n"/>
      <c r="I315" s="17">
        <f>IF(H315="","",IF(H315&gt;=12,40,ROUND(H315*3.33,2)))</f>
        <v/>
      </c>
      <c r="J315" s="11" t="n"/>
      <c r="K315" s="11" t="n"/>
      <c r="L315" s="11" t="n"/>
      <c r="M315" s="11" t="n"/>
      <c r="N315" s="10">
        <f>IF(COUNTA(J315:M315)=0,"",MIN(10,SUMPRODUCT((COUNTIF(J315:M315,L_KOM)&gt;0)*S_KOM)))</f>
        <v/>
      </c>
      <c r="O315" s="11" t="n"/>
      <c r="P315" s="10">
        <f>IF(O315="","",IFERROR(VLOOKUP(O315,T_KHID,2,FALSE),0))</f>
        <v/>
      </c>
      <c r="Q315" s="11" t="n"/>
      <c r="R315" s="11" t="n"/>
      <c r="S315" s="10">
        <f>IF(AND(Q315="",R315=""),"",IFERROR(INDEX(T_LIBAT,MATCH(Q315,L_PER,0),MATCH(R315,L_JENIS,0)),0))</f>
        <v/>
      </c>
      <c r="T315" s="11" t="n"/>
      <c r="U315" s="11" t="n"/>
      <c r="V315" s="10">
        <f>IF(AND(T315="",U315=""),"",IFERROR(INDEX(T_CAPAI,MATCH(T315,L_PER,0),MATCH(U315,L_KED,0)),0))</f>
        <v/>
      </c>
      <c r="W315" s="17">
        <f>IF(OR(B315="",E315="",COUNTA(F315,H315,J315:M315,O315,Q315:R315,T315:U315)=0),"",SUM(G315,I315,N315,P315,S315,V315))</f>
        <v/>
      </c>
      <c r="X315" s="18">
        <f>IF(W315="","",IF(Murid!F315="TL","TL",ROUND(W315/110*100,2)))</f>
        <v/>
      </c>
    </row>
    <row r="316">
      <c r="A316" s="15">
        <f>Murid!A316</f>
        <v/>
      </c>
      <c r="B316" s="15">
        <f>IF(Murid!B316="","",Murid!B316)</f>
        <v/>
      </c>
      <c r="C316" s="16">
        <f>IF(Murid!C316="","",Murid!C316)</f>
        <v/>
      </c>
      <c r="D316" s="15">
        <f>IF(Murid!E316="","",Murid!E316)</f>
        <v/>
      </c>
      <c r="E316" s="11" t="n"/>
      <c r="F316" s="11" t="n"/>
      <c r="G316" s="10">
        <f>IF(F316="","",IFERROR(VLOOKUP(F316,T_JUB,2,FALSE),0))</f>
        <v/>
      </c>
      <c r="H316" s="11" t="n"/>
      <c r="I316" s="17">
        <f>IF(H316="","",IF(H316&gt;=12,40,ROUND(H316*3.33,2)))</f>
        <v/>
      </c>
      <c r="J316" s="11" t="n"/>
      <c r="K316" s="11" t="n"/>
      <c r="L316" s="11" t="n"/>
      <c r="M316" s="11" t="n"/>
      <c r="N316" s="10">
        <f>IF(COUNTA(J316:M316)=0,"",MIN(10,SUMPRODUCT((COUNTIF(J316:M316,L_KOM)&gt;0)*S_KOM)))</f>
        <v/>
      </c>
      <c r="O316" s="11" t="n"/>
      <c r="P316" s="10">
        <f>IF(O316="","",IFERROR(VLOOKUP(O316,T_KHID,2,FALSE),0))</f>
        <v/>
      </c>
      <c r="Q316" s="11" t="n"/>
      <c r="R316" s="11" t="n"/>
      <c r="S316" s="10">
        <f>IF(AND(Q316="",R316=""),"",IFERROR(INDEX(T_LIBAT,MATCH(Q316,L_PER,0),MATCH(R316,L_JENIS,0)),0))</f>
        <v/>
      </c>
      <c r="T316" s="11" t="n"/>
      <c r="U316" s="11" t="n"/>
      <c r="V316" s="10">
        <f>IF(AND(T316="",U316=""),"",IFERROR(INDEX(T_CAPAI,MATCH(T316,L_PER,0),MATCH(U316,L_KED,0)),0))</f>
        <v/>
      </c>
      <c r="W316" s="17">
        <f>IF(OR(B316="",E316="",COUNTA(F316,H316,J316:M316,O316,Q316:R316,T316:U316)=0),"",SUM(G316,I316,N316,P316,S316,V316))</f>
        <v/>
      </c>
      <c r="X316" s="18">
        <f>IF(W316="","",IF(Murid!F316="TL","TL",ROUND(W316/110*100,2)))</f>
        <v/>
      </c>
    </row>
    <row r="317">
      <c r="A317" s="15">
        <f>Murid!A317</f>
        <v/>
      </c>
      <c r="B317" s="15">
        <f>IF(Murid!B317="","",Murid!B317)</f>
        <v/>
      </c>
      <c r="C317" s="16">
        <f>IF(Murid!C317="","",Murid!C317)</f>
        <v/>
      </c>
      <c r="D317" s="15">
        <f>IF(Murid!E317="","",Murid!E317)</f>
        <v/>
      </c>
      <c r="E317" s="11" t="n"/>
      <c r="F317" s="11" t="n"/>
      <c r="G317" s="10">
        <f>IF(F317="","",IFERROR(VLOOKUP(F317,T_JUB,2,FALSE),0))</f>
        <v/>
      </c>
      <c r="H317" s="11" t="n"/>
      <c r="I317" s="17">
        <f>IF(H317="","",IF(H317&gt;=12,40,ROUND(H317*3.33,2)))</f>
        <v/>
      </c>
      <c r="J317" s="11" t="n"/>
      <c r="K317" s="11" t="n"/>
      <c r="L317" s="11" t="n"/>
      <c r="M317" s="11" t="n"/>
      <c r="N317" s="10">
        <f>IF(COUNTA(J317:M317)=0,"",MIN(10,SUMPRODUCT((COUNTIF(J317:M317,L_KOM)&gt;0)*S_KOM)))</f>
        <v/>
      </c>
      <c r="O317" s="11" t="n"/>
      <c r="P317" s="10">
        <f>IF(O317="","",IFERROR(VLOOKUP(O317,T_KHID,2,FALSE),0))</f>
        <v/>
      </c>
      <c r="Q317" s="11" t="n"/>
      <c r="R317" s="11" t="n"/>
      <c r="S317" s="10">
        <f>IF(AND(Q317="",R317=""),"",IFERROR(INDEX(T_LIBAT,MATCH(Q317,L_PER,0),MATCH(R317,L_JENIS,0)),0))</f>
        <v/>
      </c>
      <c r="T317" s="11" t="n"/>
      <c r="U317" s="11" t="n"/>
      <c r="V317" s="10">
        <f>IF(AND(T317="",U317=""),"",IFERROR(INDEX(T_CAPAI,MATCH(T317,L_PER,0),MATCH(U317,L_KED,0)),0))</f>
        <v/>
      </c>
      <c r="W317" s="17">
        <f>IF(OR(B317="",E317="",COUNTA(F317,H317,J317:M317,O317,Q317:R317,T317:U317)=0),"",SUM(G317,I317,N317,P317,S317,V317))</f>
        <v/>
      </c>
      <c r="X317" s="18">
        <f>IF(W317="","",IF(Murid!F317="TL","TL",ROUND(W317/110*100,2)))</f>
        <v/>
      </c>
    </row>
    <row r="318">
      <c r="A318" s="15">
        <f>Murid!A318</f>
        <v/>
      </c>
      <c r="B318" s="15">
        <f>IF(Murid!B318="","",Murid!B318)</f>
        <v/>
      </c>
      <c r="C318" s="16">
        <f>IF(Murid!C318="","",Murid!C318)</f>
        <v/>
      </c>
      <c r="D318" s="15">
        <f>IF(Murid!E318="","",Murid!E318)</f>
        <v/>
      </c>
      <c r="E318" s="11" t="n"/>
      <c r="F318" s="11" t="n"/>
      <c r="G318" s="10">
        <f>IF(F318="","",IFERROR(VLOOKUP(F318,T_JUB,2,FALSE),0))</f>
        <v/>
      </c>
      <c r="H318" s="11" t="n"/>
      <c r="I318" s="17">
        <f>IF(H318="","",IF(H318&gt;=12,40,ROUND(H318*3.33,2)))</f>
        <v/>
      </c>
      <c r="J318" s="11" t="n"/>
      <c r="K318" s="11" t="n"/>
      <c r="L318" s="11" t="n"/>
      <c r="M318" s="11" t="n"/>
      <c r="N318" s="10">
        <f>IF(COUNTA(J318:M318)=0,"",MIN(10,SUMPRODUCT((COUNTIF(J318:M318,L_KOM)&gt;0)*S_KOM)))</f>
        <v/>
      </c>
      <c r="O318" s="11" t="n"/>
      <c r="P318" s="10">
        <f>IF(O318="","",IFERROR(VLOOKUP(O318,T_KHID,2,FALSE),0))</f>
        <v/>
      </c>
      <c r="Q318" s="11" t="n"/>
      <c r="R318" s="11" t="n"/>
      <c r="S318" s="10">
        <f>IF(AND(Q318="",R318=""),"",IFERROR(INDEX(T_LIBAT,MATCH(Q318,L_PER,0),MATCH(R318,L_JENIS,0)),0))</f>
        <v/>
      </c>
      <c r="T318" s="11" t="n"/>
      <c r="U318" s="11" t="n"/>
      <c r="V318" s="10">
        <f>IF(AND(T318="",U318=""),"",IFERROR(INDEX(T_CAPAI,MATCH(T318,L_PER,0),MATCH(U318,L_KED,0)),0))</f>
        <v/>
      </c>
      <c r="W318" s="17">
        <f>IF(OR(B318="",E318="",COUNTA(F318,H318,J318:M318,O318,Q318:R318,T318:U318)=0),"",SUM(G318,I318,N318,P318,S318,V318))</f>
        <v/>
      </c>
      <c r="X318" s="18">
        <f>IF(W318="","",IF(Murid!F318="TL","TL",ROUND(W318/110*100,2)))</f>
        <v/>
      </c>
    </row>
    <row r="319">
      <c r="A319" s="15">
        <f>Murid!A319</f>
        <v/>
      </c>
      <c r="B319" s="15">
        <f>IF(Murid!B319="","",Murid!B319)</f>
        <v/>
      </c>
      <c r="C319" s="16">
        <f>IF(Murid!C319="","",Murid!C319)</f>
        <v/>
      </c>
      <c r="D319" s="15">
        <f>IF(Murid!E319="","",Murid!E319)</f>
        <v/>
      </c>
      <c r="E319" s="11" t="n"/>
      <c r="F319" s="11" t="n"/>
      <c r="G319" s="10">
        <f>IF(F319="","",IFERROR(VLOOKUP(F319,T_JUB,2,FALSE),0))</f>
        <v/>
      </c>
      <c r="H319" s="11" t="n"/>
      <c r="I319" s="17">
        <f>IF(H319="","",IF(H319&gt;=12,40,ROUND(H319*3.33,2)))</f>
        <v/>
      </c>
      <c r="J319" s="11" t="n"/>
      <c r="K319" s="11" t="n"/>
      <c r="L319" s="11" t="n"/>
      <c r="M319" s="11" t="n"/>
      <c r="N319" s="10">
        <f>IF(COUNTA(J319:M319)=0,"",MIN(10,SUMPRODUCT((COUNTIF(J319:M319,L_KOM)&gt;0)*S_KOM)))</f>
        <v/>
      </c>
      <c r="O319" s="11" t="n"/>
      <c r="P319" s="10">
        <f>IF(O319="","",IFERROR(VLOOKUP(O319,T_KHID,2,FALSE),0))</f>
        <v/>
      </c>
      <c r="Q319" s="11" t="n"/>
      <c r="R319" s="11" t="n"/>
      <c r="S319" s="10">
        <f>IF(AND(Q319="",R319=""),"",IFERROR(INDEX(T_LIBAT,MATCH(Q319,L_PER,0),MATCH(R319,L_JENIS,0)),0))</f>
        <v/>
      </c>
      <c r="T319" s="11" t="n"/>
      <c r="U319" s="11" t="n"/>
      <c r="V319" s="10">
        <f>IF(AND(T319="",U319=""),"",IFERROR(INDEX(T_CAPAI,MATCH(T319,L_PER,0),MATCH(U319,L_KED,0)),0))</f>
        <v/>
      </c>
      <c r="W319" s="17">
        <f>IF(OR(B319="",E319="",COUNTA(F319,H319,J319:M319,O319,Q319:R319,T319:U319)=0),"",SUM(G319,I319,N319,P319,S319,V319))</f>
        <v/>
      </c>
      <c r="X319" s="18">
        <f>IF(W319="","",IF(Murid!F319="TL","TL",ROUND(W319/110*100,2)))</f>
        <v/>
      </c>
    </row>
    <row r="320">
      <c r="A320" s="15">
        <f>Murid!A320</f>
        <v/>
      </c>
      <c r="B320" s="15">
        <f>IF(Murid!B320="","",Murid!B320)</f>
        <v/>
      </c>
      <c r="C320" s="16">
        <f>IF(Murid!C320="","",Murid!C320)</f>
        <v/>
      </c>
      <c r="D320" s="15">
        <f>IF(Murid!E320="","",Murid!E320)</f>
        <v/>
      </c>
      <c r="E320" s="11" t="n"/>
      <c r="F320" s="11" t="n"/>
      <c r="G320" s="10">
        <f>IF(F320="","",IFERROR(VLOOKUP(F320,T_JUB,2,FALSE),0))</f>
        <v/>
      </c>
      <c r="H320" s="11" t="n"/>
      <c r="I320" s="17">
        <f>IF(H320="","",IF(H320&gt;=12,40,ROUND(H320*3.33,2)))</f>
        <v/>
      </c>
      <c r="J320" s="11" t="n"/>
      <c r="K320" s="11" t="n"/>
      <c r="L320" s="11" t="n"/>
      <c r="M320" s="11" t="n"/>
      <c r="N320" s="10">
        <f>IF(COUNTA(J320:M320)=0,"",MIN(10,SUMPRODUCT((COUNTIF(J320:M320,L_KOM)&gt;0)*S_KOM)))</f>
        <v/>
      </c>
      <c r="O320" s="11" t="n"/>
      <c r="P320" s="10">
        <f>IF(O320="","",IFERROR(VLOOKUP(O320,T_KHID,2,FALSE),0))</f>
        <v/>
      </c>
      <c r="Q320" s="11" t="n"/>
      <c r="R320" s="11" t="n"/>
      <c r="S320" s="10">
        <f>IF(AND(Q320="",R320=""),"",IFERROR(INDEX(T_LIBAT,MATCH(Q320,L_PER,0),MATCH(R320,L_JENIS,0)),0))</f>
        <v/>
      </c>
      <c r="T320" s="11" t="n"/>
      <c r="U320" s="11" t="n"/>
      <c r="V320" s="10">
        <f>IF(AND(T320="",U320=""),"",IFERROR(INDEX(T_CAPAI,MATCH(T320,L_PER,0),MATCH(U320,L_KED,0)),0))</f>
        <v/>
      </c>
      <c r="W320" s="17">
        <f>IF(OR(B320="",E320="",COUNTA(F320,H320,J320:M320,O320,Q320:R320,T320:U320)=0),"",SUM(G320,I320,N320,P320,S320,V320))</f>
        <v/>
      </c>
      <c r="X320" s="18">
        <f>IF(W320="","",IF(Murid!F320="TL","TL",ROUND(W320/110*100,2)))</f>
        <v/>
      </c>
    </row>
    <row r="321">
      <c r="A321" s="15">
        <f>Murid!A321</f>
        <v/>
      </c>
      <c r="B321" s="15">
        <f>IF(Murid!B321="","",Murid!B321)</f>
        <v/>
      </c>
      <c r="C321" s="16">
        <f>IF(Murid!C321="","",Murid!C321)</f>
        <v/>
      </c>
      <c r="D321" s="15">
        <f>IF(Murid!E321="","",Murid!E321)</f>
        <v/>
      </c>
      <c r="E321" s="11" t="n"/>
      <c r="F321" s="11" t="n"/>
      <c r="G321" s="10">
        <f>IF(F321="","",IFERROR(VLOOKUP(F321,T_JUB,2,FALSE),0))</f>
        <v/>
      </c>
      <c r="H321" s="11" t="n"/>
      <c r="I321" s="17">
        <f>IF(H321="","",IF(H321&gt;=12,40,ROUND(H321*3.33,2)))</f>
        <v/>
      </c>
      <c r="J321" s="11" t="n"/>
      <c r="K321" s="11" t="n"/>
      <c r="L321" s="11" t="n"/>
      <c r="M321" s="11" t="n"/>
      <c r="N321" s="10">
        <f>IF(COUNTA(J321:M321)=0,"",MIN(10,SUMPRODUCT((COUNTIF(J321:M321,L_KOM)&gt;0)*S_KOM)))</f>
        <v/>
      </c>
      <c r="O321" s="11" t="n"/>
      <c r="P321" s="10">
        <f>IF(O321="","",IFERROR(VLOOKUP(O321,T_KHID,2,FALSE),0))</f>
        <v/>
      </c>
      <c r="Q321" s="11" t="n"/>
      <c r="R321" s="11" t="n"/>
      <c r="S321" s="10">
        <f>IF(AND(Q321="",R321=""),"",IFERROR(INDEX(T_LIBAT,MATCH(Q321,L_PER,0),MATCH(R321,L_JENIS,0)),0))</f>
        <v/>
      </c>
      <c r="T321" s="11" t="n"/>
      <c r="U321" s="11" t="n"/>
      <c r="V321" s="10">
        <f>IF(AND(T321="",U321=""),"",IFERROR(INDEX(T_CAPAI,MATCH(T321,L_PER,0),MATCH(U321,L_KED,0)),0))</f>
        <v/>
      </c>
      <c r="W321" s="17">
        <f>IF(OR(B321="",E321="",COUNTA(F321,H321,J321:M321,O321,Q321:R321,T321:U321)=0),"",SUM(G321,I321,N321,P321,S321,V321))</f>
        <v/>
      </c>
      <c r="X321" s="18">
        <f>IF(W321="","",IF(Murid!F321="TL","TL",ROUND(W321/110*100,2)))</f>
        <v/>
      </c>
    </row>
    <row r="322">
      <c r="A322" s="15">
        <f>Murid!A322</f>
        <v/>
      </c>
      <c r="B322" s="15">
        <f>IF(Murid!B322="","",Murid!B322)</f>
        <v/>
      </c>
      <c r="C322" s="16">
        <f>IF(Murid!C322="","",Murid!C322)</f>
        <v/>
      </c>
      <c r="D322" s="15">
        <f>IF(Murid!E322="","",Murid!E322)</f>
        <v/>
      </c>
      <c r="E322" s="11" t="n"/>
      <c r="F322" s="11" t="n"/>
      <c r="G322" s="10">
        <f>IF(F322="","",IFERROR(VLOOKUP(F322,T_JUB,2,FALSE),0))</f>
        <v/>
      </c>
      <c r="H322" s="11" t="n"/>
      <c r="I322" s="17">
        <f>IF(H322="","",IF(H322&gt;=12,40,ROUND(H322*3.33,2)))</f>
        <v/>
      </c>
      <c r="J322" s="11" t="n"/>
      <c r="K322" s="11" t="n"/>
      <c r="L322" s="11" t="n"/>
      <c r="M322" s="11" t="n"/>
      <c r="N322" s="10">
        <f>IF(COUNTA(J322:M322)=0,"",MIN(10,SUMPRODUCT((COUNTIF(J322:M322,L_KOM)&gt;0)*S_KOM)))</f>
        <v/>
      </c>
      <c r="O322" s="11" t="n"/>
      <c r="P322" s="10">
        <f>IF(O322="","",IFERROR(VLOOKUP(O322,T_KHID,2,FALSE),0))</f>
        <v/>
      </c>
      <c r="Q322" s="11" t="n"/>
      <c r="R322" s="11" t="n"/>
      <c r="S322" s="10">
        <f>IF(AND(Q322="",R322=""),"",IFERROR(INDEX(T_LIBAT,MATCH(Q322,L_PER,0),MATCH(R322,L_JENIS,0)),0))</f>
        <v/>
      </c>
      <c r="T322" s="11" t="n"/>
      <c r="U322" s="11" t="n"/>
      <c r="V322" s="10">
        <f>IF(AND(T322="",U322=""),"",IFERROR(INDEX(T_CAPAI,MATCH(T322,L_PER,0),MATCH(U322,L_KED,0)),0))</f>
        <v/>
      </c>
      <c r="W322" s="17">
        <f>IF(OR(B322="",E322="",COUNTA(F322,H322,J322:M322,O322,Q322:R322,T322:U322)=0),"",SUM(G322,I322,N322,P322,S322,V322))</f>
        <v/>
      </c>
      <c r="X322" s="18">
        <f>IF(W322="","",IF(Murid!F322="TL","TL",ROUND(W322/110*100,2)))</f>
        <v/>
      </c>
    </row>
    <row r="323">
      <c r="A323" s="15">
        <f>Murid!A323</f>
        <v/>
      </c>
      <c r="B323" s="15">
        <f>IF(Murid!B323="","",Murid!B323)</f>
        <v/>
      </c>
      <c r="C323" s="16">
        <f>IF(Murid!C323="","",Murid!C323)</f>
        <v/>
      </c>
      <c r="D323" s="15">
        <f>IF(Murid!E323="","",Murid!E323)</f>
        <v/>
      </c>
      <c r="E323" s="11" t="n"/>
      <c r="F323" s="11" t="n"/>
      <c r="G323" s="10">
        <f>IF(F323="","",IFERROR(VLOOKUP(F323,T_JUB,2,FALSE),0))</f>
        <v/>
      </c>
      <c r="H323" s="11" t="n"/>
      <c r="I323" s="17">
        <f>IF(H323="","",IF(H323&gt;=12,40,ROUND(H323*3.33,2)))</f>
        <v/>
      </c>
      <c r="J323" s="11" t="n"/>
      <c r="K323" s="11" t="n"/>
      <c r="L323" s="11" t="n"/>
      <c r="M323" s="11" t="n"/>
      <c r="N323" s="10">
        <f>IF(COUNTA(J323:M323)=0,"",MIN(10,SUMPRODUCT((COUNTIF(J323:M323,L_KOM)&gt;0)*S_KOM)))</f>
        <v/>
      </c>
      <c r="O323" s="11" t="n"/>
      <c r="P323" s="10">
        <f>IF(O323="","",IFERROR(VLOOKUP(O323,T_KHID,2,FALSE),0))</f>
        <v/>
      </c>
      <c r="Q323" s="11" t="n"/>
      <c r="R323" s="11" t="n"/>
      <c r="S323" s="10">
        <f>IF(AND(Q323="",R323=""),"",IFERROR(INDEX(T_LIBAT,MATCH(Q323,L_PER,0),MATCH(R323,L_JENIS,0)),0))</f>
        <v/>
      </c>
      <c r="T323" s="11" t="n"/>
      <c r="U323" s="11" t="n"/>
      <c r="V323" s="10">
        <f>IF(AND(T323="",U323=""),"",IFERROR(INDEX(T_CAPAI,MATCH(T323,L_PER,0),MATCH(U323,L_KED,0)),0))</f>
        <v/>
      </c>
      <c r="W323" s="17">
        <f>IF(OR(B323="",E323="",COUNTA(F323,H323,J323:M323,O323,Q323:R323,T323:U323)=0),"",SUM(G323,I323,N323,P323,S323,V323))</f>
        <v/>
      </c>
      <c r="X323" s="18">
        <f>IF(W323="","",IF(Murid!F323="TL","TL",ROUND(W323/110*100,2)))</f>
        <v/>
      </c>
    </row>
    <row r="324">
      <c r="A324" s="15">
        <f>Murid!A324</f>
        <v/>
      </c>
      <c r="B324" s="15">
        <f>IF(Murid!B324="","",Murid!B324)</f>
        <v/>
      </c>
      <c r="C324" s="16">
        <f>IF(Murid!C324="","",Murid!C324)</f>
        <v/>
      </c>
      <c r="D324" s="15">
        <f>IF(Murid!E324="","",Murid!E324)</f>
        <v/>
      </c>
      <c r="E324" s="11" t="n"/>
      <c r="F324" s="11" t="n"/>
      <c r="G324" s="10">
        <f>IF(F324="","",IFERROR(VLOOKUP(F324,T_JUB,2,FALSE),0))</f>
        <v/>
      </c>
      <c r="H324" s="11" t="n"/>
      <c r="I324" s="17">
        <f>IF(H324="","",IF(H324&gt;=12,40,ROUND(H324*3.33,2)))</f>
        <v/>
      </c>
      <c r="J324" s="11" t="n"/>
      <c r="K324" s="11" t="n"/>
      <c r="L324" s="11" t="n"/>
      <c r="M324" s="11" t="n"/>
      <c r="N324" s="10">
        <f>IF(COUNTA(J324:M324)=0,"",MIN(10,SUMPRODUCT((COUNTIF(J324:M324,L_KOM)&gt;0)*S_KOM)))</f>
        <v/>
      </c>
      <c r="O324" s="11" t="n"/>
      <c r="P324" s="10">
        <f>IF(O324="","",IFERROR(VLOOKUP(O324,T_KHID,2,FALSE),0))</f>
        <v/>
      </c>
      <c r="Q324" s="11" t="n"/>
      <c r="R324" s="11" t="n"/>
      <c r="S324" s="10">
        <f>IF(AND(Q324="",R324=""),"",IFERROR(INDEX(T_LIBAT,MATCH(Q324,L_PER,0),MATCH(R324,L_JENIS,0)),0))</f>
        <v/>
      </c>
      <c r="T324" s="11" t="n"/>
      <c r="U324" s="11" t="n"/>
      <c r="V324" s="10">
        <f>IF(AND(T324="",U324=""),"",IFERROR(INDEX(T_CAPAI,MATCH(T324,L_PER,0),MATCH(U324,L_KED,0)),0))</f>
        <v/>
      </c>
      <c r="W324" s="17">
        <f>IF(OR(B324="",E324="",COUNTA(F324,H324,J324:M324,O324,Q324:R324,T324:U324)=0),"",SUM(G324,I324,N324,P324,S324,V324))</f>
        <v/>
      </c>
      <c r="X324" s="18">
        <f>IF(W324="","",IF(Murid!F324="TL","TL",ROUND(W324/110*100,2)))</f>
        <v/>
      </c>
    </row>
    <row r="325">
      <c r="A325" s="15">
        <f>Murid!A325</f>
        <v/>
      </c>
      <c r="B325" s="15">
        <f>IF(Murid!B325="","",Murid!B325)</f>
        <v/>
      </c>
      <c r="C325" s="16">
        <f>IF(Murid!C325="","",Murid!C325)</f>
        <v/>
      </c>
      <c r="D325" s="15">
        <f>IF(Murid!E325="","",Murid!E325)</f>
        <v/>
      </c>
      <c r="E325" s="11" t="n"/>
      <c r="F325" s="11" t="n"/>
      <c r="G325" s="10">
        <f>IF(F325="","",IFERROR(VLOOKUP(F325,T_JUB,2,FALSE),0))</f>
        <v/>
      </c>
      <c r="H325" s="11" t="n"/>
      <c r="I325" s="17">
        <f>IF(H325="","",IF(H325&gt;=12,40,ROUND(H325*3.33,2)))</f>
        <v/>
      </c>
      <c r="J325" s="11" t="n"/>
      <c r="K325" s="11" t="n"/>
      <c r="L325" s="11" t="n"/>
      <c r="M325" s="11" t="n"/>
      <c r="N325" s="10">
        <f>IF(COUNTA(J325:M325)=0,"",MIN(10,SUMPRODUCT((COUNTIF(J325:M325,L_KOM)&gt;0)*S_KOM)))</f>
        <v/>
      </c>
      <c r="O325" s="11" t="n"/>
      <c r="P325" s="10">
        <f>IF(O325="","",IFERROR(VLOOKUP(O325,T_KHID,2,FALSE),0))</f>
        <v/>
      </c>
      <c r="Q325" s="11" t="n"/>
      <c r="R325" s="11" t="n"/>
      <c r="S325" s="10">
        <f>IF(AND(Q325="",R325=""),"",IFERROR(INDEX(T_LIBAT,MATCH(Q325,L_PER,0),MATCH(R325,L_JENIS,0)),0))</f>
        <v/>
      </c>
      <c r="T325" s="11" t="n"/>
      <c r="U325" s="11" t="n"/>
      <c r="V325" s="10">
        <f>IF(AND(T325="",U325=""),"",IFERROR(INDEX(T_CAPAI,MATCH(T325,L_PER,0),MATCH(U325,L_KED,0)),0))</f>
        <v/>
      </c>
      <c r="W325" s="17">
        <f>IF(OR(B325="",E325="",COUNTA(F325,H325,J325:M325,O325,Q325:R325,T325:U325)=0),"",SUM(G325,I325,N325,P325,S325,V325))</f>
        <v/>
      </c>
      <c r="X325" s="18">
        <f>IF(W325="","",IF(Murid!F325="TL","TL",ROUND(W325/110*100,2)))</f>
        <v/>
      </c>
    </row>
    <row r="326">
      <c r="A326" s="15">
        <f>Murid!A326</f>
        <v/>
      </c>
      <c r="B326" s="15">
        <f>IF(Murid!B326="","",Murid!B326)</f>
        <v/>
      </c>
      <c r="C326" s="16">
        <f>IF(Murid!C326="","",Murid!C326)</f>
        <v/>
      </c>
      <c r="D326" s="15">
        <f>IF(Murid!E326="","",Murid!E326)</f>
        <v/>
      </c>
      <c r="E326" s="11" t="n"/>
      <c r="F326" s="11" t="n"/>
      <c r="G326" s="10">
        <f>IF(F326="","",IFERROR(VLOOKUP(F326,T_JUB,2,FALSE),0))</f>
        <v/>
      </c>
      <c r="H326" s="11" t="n"/>
      <c r="I326" s="17">
        <f>IF(H326="","",IF(H326&gt;=12,40,ROUND(H326*3.33,2)))</f>
        <v/>
      </c>
      <c r="J326" s="11" t="n"/>
      <c r="K326" s="11" t="n"/>
      <c r="L326" s="11" t="n"/>
      <c r="M326" s="11" t="n"/>
      <c r="N326" s="10">
        <f>IF(COUNTA(J326:M326)=0,"",MIN(10,SUMPRODUCT((COUNTIF(J326:M326,L_KOM)&gt;0)*S_KOM)))</f>
        <v/>
      </c>
      <c r="O326" s="11" t="n"/>
      <c r="P326" s="10">
        <f>IF(O326="","",IFERROR(VLOOKUP(O326,T_KHID,2,FALSE),0))</f>
        <v/>
      </c>
      <c r="Q326" s="11" t="n"/>
      <c r="R326" s="11" t="n"/>
      <c r="S326" s="10">
        <f>IF(AND(Q326="",R326=""),"",IFERROR(INDEX(T_LIBAT,MATCH(Q326,L_PER,0),MATCH(R326,L_JENIS,0)),0))</f>
        <v/>
      </c>
      <c r="T326" s="11" t="n"/>
      <c r="U326" s="11" t="n"/>
      <c r="V326" s="10">
        <f>IF(AND(T326="",U326=""),"",IFERROR(INDEX(T_CAPAI,MATCH(T326,L_PER,0),MATCH(U326,L_KED,0)),0))</f>
        <v/>
      </c>
      <c r="W326" s="17">
        <f>IF(OR(B326="",E326="",COUNTA(F326,H326,J326:M326,O326,Q326:R326,T326:U326)=0),"",SUM(G326,I326,N326,P326,S326,V326))</f>
        <v/>
      </c>
      <c r="X326" s="18">
        <f>IF(W326="","",IF(Murid!F326="TL","TL",ROUND(W326/110*100,2)))</f>
        <v/>
      </c>
    </row>
    <row r="327">
      <c r="A327" s="15">
        <f>Murid!A327</f>
        <v/>
      </c>
      <c r="B327" s="15">
        <f>IF(Murid!B327="","",Murid!B327)</f>
        <v/>
      </c>
      <c r="C327" s="16">
        <f>IF(Murid!C327="","",Murid!C327)</f>
        <v/>
      </c>
      <c r="D327" s="15">
        <f>IF(Murid!E327="","",Murid!E327)</f>
        <v/>
      </c>
      <c r="E327" s="11" t="n"/>
      <c r="F327" s="11" t="n"/>
      <c r="G327" s="10">
        <f>IF(F327="","",IFERROR(VLOOKUP(F327,T_JUB,2,FALSE),0))</f>
        <v/>
      </c>
      <c r="H327" s="11" t="n"/>
      <c r="I327" s="17">
        <f>IF(H327="","",IF(H327&gt;=12,40,ROUND(H327*3.33,2)))</f>
        <v/>
      </c>
      <c r="J327" s="11" t="n"/>
      <c r="K327" s="11" t="n"/>
      <c r="L327" s="11" t="n"/>
      <c r="M327" s="11" t="n"/>
      <c r="N327" s="10">
        <f>IF(COUNTA(J327:M327)=0,"",MIN(10,SUMPRODUCT((COUNTIF(J327:M327,L_KOM)&gt;0)*S_KOM)))</f>
        <v/>
      </c>
      <c r="O327" s="11" t="n"/>
      <c r="P327" s="10">
        <f>IF(O327="","",IFERROR(VLOOKUP(O327,T_KHID,2,FALSE),0))</f>
        <v/>
      </c>
      <c r="Q327" s="11" t="n"/>
      <c r="R327" s="11" t="n"/>
      <c r="S327" s="10">
        <f>IF(AND(Q327="",R327=""),"",IFERROR(INDEX(T_LIBAT,MATCH(Q327,L_PER,0),MATCH(R327,L_JENIS,0)),0))</f>
        <v/>
      </c>
      <c r="T327" s="11" t="n"/>
      <c r="U327" s="11" t="n"/>
      <c r="V327" s="10">
        <f>IF(AND(T327="",U327=""),"",IFERROR(INDEX(T_CAPAI,MATCH(T327,L_PER,0),MATCH(U327,L_KED,0)),0))</f>
        <v/>
      </c>
      <c r="W327" s="17">
        <f>IF(OR(B327="",E327="",COUNTA(F327,H327,J327:M327,O327,Q327:R327,T327:U327)=0),"",SUM(G327,I327,N327,P327,S327,V327))</f>
        <v/>
      </c>
      <c r="X327" s="18">
        <f>IF(W327="","",IF(Murid!F327="TL","TL",ROUND(W327/110*100,2)))</f>
        <v/>
      </c>
    </row>
    <row r="328">
      <c r="A328" s="15">
        <f>Murid!A328</f>
        <v/>
      </c>
      <c r="B328" s="15">
        <f>IF(Murid!B328="","",Murid!B328)</f>
        <v/>
      </c>
      <c r="C328" s="16">
        <f>IF(Murid!C328="","",Murid!C328)</f>
        <v/>
      </c>
      <c r="D328" s="15">
        <f>IF(Murid!E328="","",Murid!E328)</f>
        <v/>
      </c>
      <c r="E328" s="11" t="n"/>
      <c r="F328" s="11" t="n"/>
      <c r="G328" s="10">
        <f>IF(F328="","",IFERROR(VLOOKUP(F328,T_JUB,2,FALSE),0))</f>
        <v/>
      </c>
      <c r="H328" s="11" t="n"/>
      <c r="I328" s="17">
        <f>IF(H328="","",IF(H328&gt;=12,40,ROUND(H328*3.33,2)))</f>
        <v/>
      </c>
      <c r="J328" s="11" t="n"/>
      <c r="K328" s="11" t="n"/>
      <c r="L328" s="11" t="n"/>
      <c r="M328" s="11" t="n"/>
      <c r="N328" s="10">
        <f>IF(COUNTA(J328:M328)=0,"",MIN(10,SUMPRODUCT((COUNTIF(J328:M328,L_KOM)&gt;0)*S_KOM)))</f>
        <v/>
      </c>
      <c r="O328" s="11" t="n"/>
      <c r="P328" s="10">
        <f>IF(O328="","",IFERROR(VLOOKUP(O328,T_KHID,2,FALSE),0))</f>
        <v/>
      </c>
      <c r="Q328" s="11" t="n"/>
      <c r="R328" s="11" t="n"/>
      <c r="S328" s="10">
        <f>IF(AND(Q328="",R328=""),"",IFERROR(INDEX(T_LIBAT,MATCH(Q328,L_PER,0),MATCH(R328,L_JENIS,0)),0))</f>
        <v/>
      </c>
      <c r="T328" s="11" t="n"/>
      <c r="U328" s="11" t="n"/>
      <c r="V328" s="10">
        <f>IF(AND(T328="",U328=""),"",IFERROR(INDEX(T_CAPAI,MATCH(T328,L_PER,0),MATCH(U328,L_KED,0)),0))</f>
        <v/>
      </c>
      <c r="W328" s="17">
        <f>IF(OR(B328="",E328="",COUNTA(F328,H328,J328:M328,O328,Q328:R328,T328:U328)=0),"",SUM(G328,I328,N328,P328,S328,V328))</f>
        <v/>
      </c>
      <c r="X328" s="18">
        <f>IF(W328="","",IF(Murid!F328="TL","TL",ROUND(W328/110*100,2)))</f>
        <v/>
      </c>
    </row>
    <row r="329">
      <c r="A329" s="15">
        <f>Murid!A329</f>
        <v/>
      </c>
      <c r="B329" s="15">
        <f>IF(Murid!B329="","",Murid!B329)</f>
        <v/>
      </c>
      <c r="C329" s="16">
        <f>IF(Murid!C329="","",Murid!C329)</f>
        <v/>
      </c>
      <c r="D329" s="15">
        <f>IF(Murid!E329="","",Murid!E329)</f>
        <v/>
      </c>
      <c r="E329" s="11" t="n"/>
      <c r="F329" s="11" t="n"/>
      <c r="G329" s="10">
        <f>IF(F329="","",IFERROR(VLOOKUP(F329,T_JUB,2,FALSE),0))</f>
        <v/>
      </c>
      <c r="H329" s="11" t="n"/>
      <c r="I329" s="17">
        <f>IF(H329="","",IF(H329&gt;=12,40,ROUND(H329*3.33,2)))</f>
        <v/>
      </c>
      <c r="J329" s="11" t="n"/>
      <c r="K329" s="11" t="n"/>
      <c r="L329" s="11" t="n"/>
      <c r="M329" s="11" t="n"/>
      <c r="N329" s="10">
        <f>IF(COUNTA(J329:M329)=0,"",MIN(10,SUMPRODUCT((COUNTIF(J329:M329,L_KOM)&gt;0)*S_KOM)))</f>
        <v/>
      </c>
      <c r="O329" s="11" t="n"/>
      <c r="P329" s="10">
        <f>IF(O329="","",IFERROR(VLOOKUP(O329,T_KHID,2,FALSE),0))</f>
        <v/>
      </c>
      <c r="Q329" s="11" t="n"/>
      <c r="R329" s="11" t="n"/>
      <c r="S329" s="10">
        <f>IF(AND(Q329="",R329=""),"",IFERROR(INDEX(T_LIBAT,MATCH(Q329,L_PER,0),MATCH(R329,L_JENIS,0)),0))</f>
        <v/>
      </c>
      <c r="T329" s="11" t="n"/>
      <c r="U329" s="11" t="n"/>
      <c r="V329" s="10">
        <f>IF(AND(T329="",U329=""),"",IFERROR(INDEX(T_CAPAI,MATCH(T329,L_PER,0),MATCH(U329,L_KED,0)),0))</f>
        <v/>
      </c>
      <c r="W329" s="17">
        <f>IF(OR(B329="",E329="",COUNTA(F329,H329,J329:M329,O329,Q329:R329,T329:U329)=0),"",SUM(G329,I329,N329,P329,S329,V329))</f>
        <v/>
      </c>
      <c r="X329" s="18">
        <f>IF(W329="","",IF(Murid!F329="TL","TL",ROUND(W329/110*100,2)))</f>
        <v/>
      </c>
    </row>
    <row r="330">
      <c r="A330" s="15">
        <f>Murid!A330</f>
        <v/>
      </c>
      <c r="B330" s="15">
        <f>IF(Murid!B330="","",Murid!B330)</f>
        <v/>
      </c>
      <c r="C330" s="16">
        <f>IF(Murid!C330="","",Murid!C330)</f>
        <v/>
      </c>
      <c r="D330" s="15">
        <f>IF(Murid!E330="","",Murid!E330)</f>
        <v/>
      </c>
      <c r="E330" s="11" t="n"/>
      <c r="F330" s="11" t="n"/>
      <c r="G330" s="10">
        <f>IF(F330="","",IFERROR(VLOOKUP(F330,T_JUB,2,FALSE),0))</f>
        <v/>
      </c>
      <c r="H330" s="11" t="n"/>
      <c r="I330" s="17">
        <f>IF(H330="","",IF(H330&gt;=12,40,ROUND(H330*3.33,2)))</f>
        <v/>
      </c>
      <c r="J330" s="11" t="n"/>
      <c r="K330" s="11" t="n"/>
      <c r="L330" s="11" t="n"/>
      <c r="M330" s="11" t="n"/>
      <c r="N330" s="10">
        <f>IF(COUNTA(J330:M330)=0,"",MIN(10,SUMPRODUCT((COUNTIF(J330:M330,L_KOM)&gt;0)*S_KOM)))</f>
        <v/>
      </c>
      <c r="O330" s="11" t="n"/>
      <c r="P330" s="10">
        <f>IF(O330="","",IFERROR(VLOOKUP(O330,T_KHID,2,FALSE),0))</f>
        <v/>
      </c>
      <c r="Q330" s="11" t="n"/>
      <c r="R330" s="11" t="n"/>
      <c r="S330" s="10">
        <f>IF(AND(Q330="",R330=""),"",IFERROR(INDEX(T_LIBAT,MATCH(Q330,L_PER,0),MATCH(R330,L_JENIS,0)),0))</f>
        <v/>
      </c>
      <c r="T330" s="11" t="n"/>
      <c r="U330" s="11" t="n"/>
      <c r="V330" s="10">
        <f>IF(AND(T330="",U330=""),"",IFERROR(INDEX(T_CAPAI,MATCH(T330,L_PER,0),MATCH(U330,L_KED,0)),0))</f>
        <v/>
      </c>
      <c r="W330" s="17">
        <f>IF(OR(B330="",E330="",COUNTA(F330,H330,J330:M330,O330,Q330:R330,T330:U330)=0),"",SUM(G330,I330,N330,P330,S330,V330))</f>
        <v/>
      </c>
      <c r="X330" s="18">
        <f>IF(W330="","",IF(Murid!F330="TL","TL",ROUND(W330/110*100,2)))</f>
        <v/>
      </c>
    </row>
    <row r="331">
      <c r="A331" s="15">
        <f>Murid!A331</f>
        <v/>
      </c>
      <c r="B331" s="15">
        <f>IF(Murid!B331="","",Murid!B331)</f>
        <v/>
      </c>
      <c r="C331" s="16">
        <f>IF(Murid!C331="","",Murid!C331)</f>
        <v/>
      </c>
      <c r="D331" s="15">
        <f>IF(Murid!E331="","",Murid!E331)</f>
        <v/>
      </c>
      <c r="E331" s="11" t="n"/>
      <c r="F331" s="11" t="n"/>
      <c r="G331" s="10">
        <f>IF(F331="","",IFERROR(VLOOKUP(F331,T_JUB,2,FALSE),0))</f>
        <v/>
      </c>
      <c r="H331" s="11" t="n"/>
      <c r="I331" s="17">
        <f>IF(H331="","",IF(H331&gt;=12,40,ROUND(H331*3.33,2)))</f>
        <v/>
      </c>
      <c r="J331" s="11" t="n"/>
      <c r="K331" s="11" t="n"/>
      <c r="L331" s="11" t="n"/>
      <c r="M331" s="11" t="n"/>
      <c r="N331" s="10">
        <f>IF(COUNTA(J331:M331)=0,"",MIN(10,SUMPRODUCT((COUNTIF(J331:M331,L_KOM)&gt;0)*S_KOM)))</f>
        <v/>
      </c>
      <c r="O331" s="11" t="n"/>
      <c r="P331" s="10">
        <f>IF(O331="","",IFERROR(VLOOKUP(O331,T_KHID,2,FALSE),0))</f>
        <v/>
      </c>
      <c r="Q331" s="11" t="n"/>
      <c r="R331" s="11" t="n"/>
      <c r="S331" s="10">
        <f>IF(AND(Q331="",R331=""),"",IFERROR(INDEX(T_LIBAT,MATCH(Q331,L_PER,0),MATCH(R331,L_JENIS,0)),0))</f>
        <v/>
      </c>
      <c r="T331" s="11" t="n"/>
      <c r="U331" s="11" t="n"/>
      <c r="V331" s="10">
        <f>IF(AND(T331="",U331=""),"",IFERROR(INDEX(T_CAPAI,MATCH(T331,L_PER,0),MATCH(U331,L_KED,0)),0))</f>
        <v/>
      </c>
      <c r="W331" s="17">
        <f>IF(OR(B331="",E331="",COUNTA(F331,H331,J331:M331,O331,Q331:R331,T331:U331)=0),"",SUM(G331,I331,N331,P331,S331,V331))</f>
        <v/>
      </c>
      <c r="X331" s="18">
        <f>IF(W331="","",IF(Murid!F331="TL","TL",ROUND(W331/110*100,2)))</f>
        <v/>
      </c>
    </row>
    <row r="332">
      <c r="A332" s="15">
        <f>Murid!A332</f>
        <v/>
      </c>
      <c r="B332" s="15">
        <f>IF(Murid!B332="","",Murid!B332)</f>
        <v/>
      </c>
      <c r="C332" s="16">
        <f>IF(Murid!C332="","",Murid!C332)</f>
        <v/>
      </c>
      <c r="D332" s="15">
        <f>IF(Murid!E332="","",Murid!E332)</f>
        <v/>
      </c>
      <c r="E332" s="11" t="n"/>
      <c r="F332" s="11" t="n"/>
      <c r="G332" s="10">
        <f>IF(F332="","",IFERROR(VLOOKUP(F332,T_JUB,2,FALSE),0))</f>
        <v/>
      </c>
      <c r="H332" s="11" t="n"/>
      <c r="I332" s="17">
        <f>IF(H332="","",IF(H332&gt;=12,40,ROUND(H332*3.33,2)))</f>
        <v/>
      </c>
      <c r="J332" s="11" t="n"/>
      <c r="K332" s="11" t="n"/>
      <c r="L332" s="11" t="n"/>
      <c r="M332" s="11" t="n"/>
      <c r="N332" s="10">
        <f>IF(COUNTA(J332:M332)=0,"",MIN(10,SUMPRODUCT((COUNTIF(J332:M332,L_KOM)&gt;0)*S_KOM)))</f>
        <v/>
      </c>
      <c r="O332" s="11" t="n"/>
      <c r="P332" s="10">
        <f>IF(O332="","",IFERROR(VLOOKUP(O332,T_KHID,2,FALSE),0))</f>
        <v/>
      </c>
      <c r="Q332" s="11" t="n"/>
      <c r="R332" s="11" t="n"/>
      <c r="S332" s="10">
        <f>IF(AND(Q332="",R332=""),"",IFERROR(INDEX(T_LIBAT,MATCH(Q332,L_PER,0),MATCH(R332,L_JENIS,0)),0))</f>
        <v/>
      </c>
      <c r="T332" s="11" t="n"/>
      <c r="U332" s="11" t="n"/>
      <c r="V332" s="10">
        <f>IF(AND(T332="",U332=""),"",IFERROR(INDEX(T_CAPAI,MATCH(T332,L_PER,0),MATCH(U332,L_KED,0)),0))</f>
        <v/>
      </c>
      <c r="W332" s="17">
        <f>IF(OR(B332="",E332="",COUNTA(F332,H332,J332:M332,O332,Q332:R332,T332:U332)=0),"",SUM(G332,I332,N332,P332,S332,V332))</f>
        <v/>
      </c>
      <c r="X332" s="18">
        <f>IF(W332="","",IF(Murid!F332="TL","TL",ROUND(W332/110*100,2)))</f>
        <v/>
      </c>
    </row>
    <row r="333">
      <c r="A333" s="15">
        <f>Murid!A333</f>
        <v/>
      </c>
      <c r="B333" s="15">
        <f>IF(Murid!B333="","",Murid!B333)</f>
        <v/>
      </c>
      <c r="C333" s="16">
        <f>IF(Murid!C333="","",Murid!C333)</f>
        <v/>
      </c>
      <c r="D333" s="15">
        <f>IF(Murid!E333="","",Murid!E333)</f>
        <v/>
      </c>
      <c r="E333" s="11" t="n"/>
      <c r="F333" s="11" t="n"/>
      <c r="G333" s="10">
        <f>IF(F333="","",IFERROR(VLOOKUP(F333,T_JUB,2,FALSE),0))</f>
        <v/>
      </c>
      <c r="H333" s="11" t="n"/>
      <c r="I333" s="17">
        <f>IF(H333="","",IF(H333&gt;=12,40,ROUND(H333*3.33,2)))</f>
        <v/>
      </c>
      <c r="J333" s="11" t="n"/>
      <c r="K333" s="11" t="n"/>
      <c r="L333" s="11" t="n"/>
      <c r="M333" s="11" t="n"/>
      <c r="N333" s="10">
        <f>IF(COUNTA(J333:M333)=0,"",MIN(10,SUMPRODUCT((COUNTIF(J333:M333,L_KOM)&gt;0)*S_KOM)))</f>
        <v/>
      </c>
      <c r="O333" s="11" t="n"/>
      <c r="P333" s="10">
        <f>IF(O333="","",IFERROR(VLOOKUP(O333,T_KHID,2,FALSE),0))</f>
        <v/>
      </c>
      <c r="Q333" s="11" t="n"/>
      <c r="R333" s="11" t="n"/>
      <c r="S333" s="10">
        <f>IF(AND(Q333="",R333=""),"",IFERROR(INDEX(T_LIBAT,MATCH(Q333,L_PER,0),MATCH(R333,L_JENIS,0)),0))</f>
        <v/>
      </c>
      <c r="T333" s="11" t="n"/>
      <c r="U333" s="11" t="n"/>
      <c r="V333" s="10">
        <f>IF(AND(T333="",U333=""),"",IFERROR(INDEX(T_CAPAI,MATCH(T333,L_PER,0),MATCH(U333,L_KED,0)),0))</f>
        <v/>
      </c>
      <c r="W333" s="17">
        <f>IF(OR(B333="",E333="",COUNTA(F333,H333,J333:M333,O333,Q333:R333,T333:U333)=0),"",SUM(G333,I333,N333,P333,S333,V333))</f>
        <v/>
      </c>
      <c r="X333" s="18">
        <f>IF(W333="","",IF(Murid!F333="TL","TL",ROUND(W333/110*100,2)))</f>
        <v/>
      </c>
    </row>
    <row r="334">
      <c r="A334" s="15">
        <f>Murid!A334</f>
        <v/>
      </c>
      <c r="B334" s="15">
        <f>IF(Murid!B334="","",Murid!B334)</f>
        <v/>
      </c>
      <c r="C334" s="16">
        <f>IF(Murid!C334="","",Murid!C334)</f>
        <v/>
      </c>
      <c r="D334" s="15">
        <f>IF(Murid!E334="","",Murid!E334)</f>
        <v/>
      </c>
      <c r="E334" s="11" t="n"/>
      <c r="F334" s="11" t="n"/>
      <c r="G334" s="10">
        <f>IF(F334="","",IFERROR(VLOOKUP(F334,T_JUB,2,FALSE),0))</f>
        <v/>
      </c>
      <c r="H334" s="11" t="n"/>
      <c r="I334" s="17">
        <f>IF(H334="","",IF(H334&gt;=12,40,ROUND(H334*3.33,2)))</f>
        <v/>
      </c>
      <c r="J334" s="11" t="n"/>
      <c r="K334" s="11" t="n"/>
      <c r="L334" s="11" t="n"/>
      <c r="M334" s="11" t="n"/>
      <c r="N334" s="10">
        <f>IF(COUNTA(J334:M334)=0,"",MIN(10,SUMPRODUCT((COUNTIF(J334:M334,L_KOM)&gt;0)*S_KOM)))</f>
        <v/>
      </c>
      <c r="O334" s="11" t="n"/>
      <c r="P334" s="10">
        <f>IF(O334="","",IFERROR(VLOOKUP(O334,T_KHID,2,FALSE),0))</f>
        <v/>
      </c>
      <c r="Q334" s="11" t="n"/>
      <c r="R334" s="11" t="n"/>
      <c r="S334" s="10">
        <f>IF(AND(Q334="",R334=""),"",IFERROR(INDEX(T_LIBAT,MATCH(Q334,L_PER,0),MATCH(R334,L_JENIS,0)),0))</f>
        <v/>
      </c>
      <c r="T334" s="11" t="n"/>
      <c r="U334" s="11" t="n"/>
      <c r="V334" s="10">
        <f>IF(AND(T334="",U334=""),"",IFERROR(INDEX(T_CAPAI,MATCH(T334,L_PER,0),MATCH(U334,L_KED,0)),0))</f>
        <v/>
      </c>
      <c r="W334" s="17">
        <f>IF(OR(B334="",E334="",COUNTA(F334,H334,J334:M334,O334,Q334:R334,T334:U334)=0),"",SUM(G334,I334,N334,P334,S334,V334))</f>
        <v/>
      </c>
      <c r="X334" s="18">
        <f>IF(W334="","",IF(Murid!F334="TL","TL",ROUND(W334/110*100,2)))</f>
        <v/>
      </c>
    </row>
    <row r="335">
      <c r="A335" s="15">
        <f>Murid!A335</f>
        <v/>
      </c>
      <c r="B335" s="15">
        <f>IF(Murid!B335="","",Murid!B335)</f>
        <v/>
      </c>
      <c r="C335" s="16">
        <f>IF(Murid!C335="","",Murid!C335)</f>
        <v/>
      </c>
      <c r="D335" s="15">
        <f>IF(Murid!E335="","",Murid!E335)</f>
        <v/>
      </c>
      <c r="E335" s="11" t="n"/>
      <c r="F335" s="11" t="n"/>
      <c r="G335" s="10">
        <f>IF(F335="","",IFERROR(VLOOKUP(F335,T_JUB,2,FALSE),0))</f>
        <v/>
      </c>
      <c r="H335" s="11" t="n"/>
      <c r="I335" s="17">
        <f>IF(H335="","",IF(H335&gt;=12,40,ROUND(H335*3.33,2)))</f>
        <v/>
      </c>
      <c r="J335" s="11" t="n"/>
      <c r="K335" s="11" t="n"/>
      <c r="L335" s="11" t="n"/>
      <c r="M335" s="11" t="n"/>
      <c r="N335" s="10">
        <f>IF(COUNTA(J335:M335)=0,"",MIN(10,SUMPRODUCT((COUNTIF(J335:M335,L_KOM)&gt;0)*S_KOM)))</f>
        <v/>
      </c>
      <c r="O335" s="11" t="n"/>
      <c r="P335" s="10">
        <f>IF(O335="","",IFERROR(VLOOKUP(O335,T_KHID,2,FALSE),0))</f>
        <v/>
      </c>
      <c r="Q335" s="11" t="n"/>
      <c r="R335" s="11" t="n"/>
      <c r="S335" s="10">
        <f>IF(AND(Q335="",R335=""),"",IFERROR(INDEX(T_LIBAT,MATCH(Q335,L_PER,0),MATCH(R335,L_JENIS,0)),0))</f>
        <v/>
      </c>
      <c r="T335" s="11" t="n"/>
      <c r="U335" s="11" t="n"/>
      <c r="V335" s="10">
        <f>IF(AND(T335="",U335=""),"",IFERROR(INDEX(T_CAPAI,MATCH(T335,L_PER,0),MATCH(U335,L_KED,0)),0))</f>
        <v/>
      </c>
      <c r="W335" s="17">
        <f>IF(OR(B335="",E335="",COUNTA(F335,H335,J335:M335,O335,Q335:R335,T335:U335)=0),"",SUM(G335,I335,N335,P335,S335,V335))</f>
        <v/>
      </c>
      <c r="X335" s="18">
        <f>IF(W335="","",IF(Murid!F335="TL","TL",ROUND(W335/110*100,2)))</f>
        <v/>
      </c>
    </row>
    <row r="336">
      <c r="A336" s="15">
        <f>Murid!A336</f>
        <v/>
      </c>
      <c r="B336" s="15">
        <f>IF(Murid!B336="","",Murid!B336)</f>
        <v/>
      </c>
      <c r="C336" s="16">
        <f>IF(Murid!C336="","",Murid!C336)</f>
        <v/>
      </c>
      <c r="D336" s="15">
        <f>IF(Murid!E336="","",Murid!E336)</f>
        <v/>
      </c>
      <c r="E336" s="11" t="n"/>
      <c r="F336" s="11" t="n"/>
      <c r="G336" s="10">
        <f>IF(F336="","",IFERROR(VLOOKUP(F336,T_JUB,2,FALSE),0))</f>
        <v/>
      </c>
      <c r="H336" s="11" t="n"/>
      <c r="I336" s="17">
        <f>IF(H336="","",IF(H336&gt;=12,40,ROUND(H336*3.33,2)))</f>
        <v/>
      </c>
      <c r="J336" s="11" t="n"/>
      <c r="K336" s="11" t="n"/>
      <c r="L336" s="11" t="n"/>
      <c r="M336" s="11" t="n"/>
      <c r="N336" s="10">
        <f>IF(COUNTA(J336:M336)=0,"",MIN(10,SUMPRODUCT((COUNTIF(J336:M336,L_KOM)&gt;0)*S_KOM)))</f>
        <v/>
      </c>
      <c r="O336" s="11" t="n"/>
      <c r="P336" s="10">
        <f>IF(O336="","",IFERROR(VLOOKUP(O336,T_KHID,2,FALSE),0))</f>
        <v/>
      </c>
      <c r="Q336" s="11" t="n"/>
      <c r="R336" s="11" t="n"/>
      <c r="S336" s="10">
        <f>IF(AND(Q336="",R336=""),"",IFERROR(INDEX(T_LIBAT,MATCH(Q336,L_PER,0),MATCH(R336,L_JENIS,0)),0))</f>
        <v/>
      </c>
      <c r="T336" s="11" t="n"/>
      <c r="U336" s="11" t="n"/>
      <c r="V336" s="10">
        <f>IF(AND(T336="",U336=""),"",IFERROR(INDEX(T_CAPAI,MATCH(T336,L_PER,0),MATCH(U336,L_KED,0)),0))</f>
        <v/>
      </c>
      <c r="W336" s="17">
        <f>IF(OR(B336="",E336="",COUNTA(F336,H336,J336:M336,O336,Q336:R336,T336:U336)=0),"",SUM(G336,I336,N336,P336,S336,V336))</f>
        <v/>
      </c>
      <c r="X336" s="18">
        <f>IF(W336="","",IF(Murid!F336="TL","TL",ROUND(W336/110*100,2)))</f>
        <v/>
      </c>
    </row>
    <row r="337">
      <c r="A337" s="15">
        <f>Murid!A337</f>
        <v/>
      </c>
      <c r="B337" s="15">
        <f>IF(Murid!B337="","",Murid!B337)</f>
        <v/>
      </c>
      <c r="C337" s="16">
        <f>IF(Murid!C337="","",Murid!C337)</f>
        <v/>
      </c>
      <c r="D337" s="15">
        <f>IF(Murid!E337="","",Murid!E337)</f>
        <v/>
      </c>
      <c r="E337" s="11" t="n"/>
      <c r="F337" s="11" t="n"/>
      <c r="G337" s="10">
        <f>IF(F337="","",IFERROR(VLOOKUP(F337,T_JUB,2,FALSE),0))</f>
        <v/>
      </c>
      <c r="H337" s="11" t="n"/>
      <c r="I337" s="17">
        <f>IF(H337="","",IF(H337&gt;=12,40,ROUND(H337*3.33,2)))</f>
        <v/>
      </c>
      <c r="J337" s="11" t="n"/>
      <c r="K337" s="11" t="n"/>
      <c r="L337" s="11" t="n"/>
      <c r="M337" s="11" t="n"/>
      <c r="N337" s="10">
        <f>IF(COUNTA(J337:M337)=0,"",MIN(10,SUMPRODUCT((COUNTIF(J337:M337,L_KOM)&gt;0)*S_KOM)))</f>
        <v/>
      </c>
      <c r="O337" s="11" t="n"/>
      <c r="P337" s="10">
        <f>IF(O337="","",IFERROR(VLOOKUP(O337,T_KHID,2,FALSE),0))</f>
        <v/>
      </c>
      <c r="Q337" s="11" t="n"/>
      <c r="R337" s="11" t="n"/>
      <c r="S337" s="10">
        <f>IF(AND(Q337="",R337=""),"",IFERROR(INDEX(T_LIBAT,MATCH(Q337,L_PER,0),MATCH(R337,L_JENIS,0)),0))</f>
        <v/>
      </c>
      <c r="T337" s="11" t="n"/>
      <c r="U337" s="11" t="n"/>
      <c r="V337" s="10">
        <f>IF(AND(T337="",U337=""),"",IFERROR(INDEX(T_CAPAI,MATCH(T337,L_PER,0),MATCH(U337,L_KED,0)),0))</f>
        <v/>
      </c>
      <c r="W337" s="17">
        <f>IF(OR(B337="",E337="",COUNTA(F337,H337,J337:M337,O337,Q337:R337,T337:U337)=0),"",SUM(G337,I337,N337,P337,S337,V337))</f>
        <v/>
      </c>
      <c r="X337" s="18">
        <f>IF(W337="","",IF(Murid!F337="TL","TL",ROUND(W337/110*100,2)))</f>
        <v/>
      </c>
    </row>
    <row r="338">
      <c r="A338" s="15">
        <f>Murid!A338</f>
        <v/>
      </c>
      <c r="B338" s="15">
        <f>IF(Murid!B338="","",Murid!B338)</f>
        <v/>
      </c>
      <c r="C338" s="16">
        <f>IF(Murid!C338="","",Murid!C338)</f>
        <v/>
      </c>
      <c r="D338" s="15">
        <f>IF(Murid!E338="","",Murid!E338)</f>
        <v/>
      </c>
      <c r="E338" s="11" t="n"/>
      <c r="F338" s="11" t="n"/>
      <c r="G338" s="10">
        <f>IF(F338="","",IFERROR(VLOOKUP(F338,T_JUB,2,FALSE),0))</f>
        <v/>
      </c>
      <c r="H338" s="11" t="n"/>
      <c r="I338" s="17">
        <f>IF(H338="","",IF(H338&gt;=12,40,ROUND(H338*3.33,2)))</f>
        <v/>
      </c>
      <c r="J338" s="11" t="n"/>
      <c r="K338" s="11" t="n"/>
      <c r="L338" s="11" t="n"/>
      <c r="M338" s="11" t="n"/>
      <c r="N338" s="10">
        <f>IF(COUNTA(J338:M338)=0,"",MIN(10,SUMPRODUCT((COUNTIF(J338:M338,L_KOM)&gt;0)*S_KOM)))</f>
        <v/>
      </c>
      <c r="O338" s="11" t="n"/>
      <c r="P338" s="10">
        <f>IF(O338="","",IFERROR(VLOOKUP(O338,T_KHID,2,FALSE),0))</f>
        <v/>
      </c>
      <c r="Q338" s="11" t="n"/>
      <c r="R338" s="11" t="n"/>
      <c r="S338" s="10">
        <f>IF(AND(Q338="",R338=""),"",IFERROR(INDEX(T_LIBAT,MATCH(Q338,L_PER,0),MATCH(R338,L_JENIS,0)),0))</f>
        <v/>
      </c>
      <c r="T338" s="11" t="n"/>
      <c r="U338" s="11" t="n"/>
      <c r="V338" s="10">
        <f>IF(AND(T338="",U338=""),"",IFERROR(INDEX(T_CAPAI,MATCH(T338,L_PER,0),MATCH(U338,L_KED,0)),0))</f>
        <v/>
      </c>
      <c r="W338" s="17">
        <f>IF(OR(B338="",E338="",COUNTA(F338,H338,J338:M338,O338,Q338:R338,T338:U338)=0),"",SUM(G338,I338,N338,P338,S338,V338))</f>
        <v/>
      </c>
      <c r="X338" s="18">
        <f>IF(W338="","",IF(Murid!F338="TL","TL",ROUND(W338/110*100,2)))</f>
        <v/>
      </c>
    </row>
    <row r="339">
      <c r="A339" s="15">
        <f>Murid!A339</f>
        <v/>
      </c>
      <c r="B339" s="15">
        <f>IF(Murid!B339="","",Murid!B339)</f>
        <v/>
      </c>
      <c r="C339" s="16">
        <f>IF(Murid!C339="","",Murid!C339)</f>
        <v/>
      </c>
      <c r="D339" s="15">
        <f>IF(Murid!E339="","",Murid!E339)</f>
        <v/>
      </c>
      <c r="E339" s="11" t="n"/>
      <c r="F339" s="11" t="n"/>
      <c r="G339" s="10">
        <f>IF(F339="","",IFERROR(VLOOKUP(F339,T_JUB,2,FALSE),0))</f>
        <v/>
      </c>
      <c r="H339" s="11" t="n"/>
      <c r="I339" s="17">
        <f>IF(H339="","",IF(H339&gt;=12,40,ROUND(H339*3.33,2)))</f>
        <v/>
      </c>
      <c r="J339" s="11" t="n"/>
      <c r="K339" s="11" t="n"/>
      <c r="L339" s="11" t="n"/>
      <c r="M339" s="11" t="n"/>
      <c r="N339" s="10">
        <f>IF(COUNTA(J339:M339)=0,"",MIN(10,SUMPRODUCT((COUNTIF(J339:M339,L_KOM)&gt;0)*S_KOM)))</f>
        <v/>
      </c>
      <c r="O339" s="11" t="n"/>
      <c r="P339" s="10">
        <f>IF(O339="","",IFERROR(VLOOKUP(O339,T_KHID,2,FALSE),0))</f>
        <v/>
      </c>
      <c r="Q339" s="11" t="n"/>
      <c r="R339" s="11" t="n"/>
      <c r="S339" s="10">
        <f>IF(AND(Q339="",R339=""),"",IFERROR(INDEX(T_LIBAT,MATCH(Q339,L_PER,0),MATCH(R339,L_JENIS,0)),0))</f>
        <v/>
      </c>
      <c r="T339" s="11" t="n"/>
      <c r="U339" s="11" t="n"/>
      <c r="V339" s="10">
        <f>IF(AND(T339="",U339=""),"",IFERROR(INDEX(T_CAPAI,MATCH(T339,L_PER,0),MATCH(U339,L_KED,0)),0))</f>
        <v/>
      </c>
      <c r="W339" s="17">
        <f>IF(OR(B339="",E339="",COUNTA(F339,H339,J339:M339,O339,Q339:R339,T339:U339)=0),"",SUM(G339,I339,N339,P339,S339,V339))</f>
        <v/>
      </c>
      <c r="X339" s="18">
        <f>IF(W339="","",IF(Murid!F339="TL","TL",ROUND(W339/110*100,2)))</f>
        <v/>
      </c>
    </row>
    <row r="340">
      <c r="A340" s="15">
        <f>Murid!A340</f>
        <v/>
      </c>
      <c r="B340" s="15">
        <f>IF(Murid!B340="","",Murid!B340)</f>
        <v/>
      </c>
      <c r="C340" s="16">
        <f>IF(Murid!C340="","",Murid!C340)</f>
        <v/>
      </c>
      <c r="D340" s="15">
        <f>IF(Murid!E340="","",Murid!E340)</f>
        <v/>
      </c>
      <c r="E340" s="11" t="n"/>
      <c r="F340" s="11" t="n"/>
      <c r="G340" s="10">
        <f>IF(F340="","",IFERROR(VLOOKUP(F340,T_JUB,2,FALSE),0))</f>
        <v/>
      </c>
      <c r="H340" s="11" t="n"/>
      <c r="I340" s="17">
        <f>IF(H340="","",IF(H340&gt;=12,40,ROUND(H340*3.33,2)))</f>
        <v/>
      </c>
      <c r="J340" s="11" t="n"/>
      <c r="K340" s="11" t="n"/>
      <c r="L340" s="11" t="n"/>
      <c r="M340" s="11" t="n"/>
      <c r="N340" s="10">
        <f>IF(COUNTA(J340:M340)=0,"",MIN(10,SUMPRODUCT((COUNTIF(J340:M340,L_KOM)&gt;0)*S_KOM)))</f>
        <v/>
      </c>
      <c r="O340" s="11" t="n"/>
      <c r="P340" s="10">
        <f>IF(O340="","",IFERROR(VLOOKUP(O340,T_KHID,2,FALSE),0))</f>
        <v/>
      </c>
      <c r="Q340" s="11" t="n"/>
      <c r="R340" s="11" t="n"/>
      <c r="S340" s="10">
        <f>IF(AND(Q340="",R340=""),"",IFERROR(INDEX(T_LIBAT,MATCH(Q340,L_PER,0),MATCH(R340,L_JENIS,0)),0))</f>
        <v/>
      </c>
      <c r="T340" s="11" t="n"/>
      <c r="U340" s="11" t="n"/>
      <c r="V340" s="10">
        <f>IF(AND(T340="",U340=""),"",IFERROR(INDEX(T_CAPAI,MATCH(T340,L_PER,0),MATCH(U340,L_KED,0)),0))</f>
        <v/>
      </c>
      <c r="W340" s="17">
        <f>IF(OR(B340="",E340="",COUNTA(F340,H340,J340:M340,O340,Q340:R340,T340:U340)=0),"",SUM(G340,I340,N340,P340,S340,V340))</f>
        <v/>
      </c>
      <c r="X340" s="18">
        <f>IF(W340="","",IF(Murid!F340="TL","TL",ROUND(W340/110*100,2)))</f>
        <v/>
      </c>
    </row>
    <row r="341">
      <c r="A341" s="15">
        <f>Murid!A341</f>
        <v/>
      </c>
      <c r="B341" s="15">
        <f>IF(Murid!B341="","",Murid!B341)</f>
        <v/>
      </c>
      <c r="C341" s="16">
        <f>IF(Murid!C341="","",Murid!C341)</f>
        <v/>
      </c>
      <c r="D341" s="15">
        <f>IF(Murid!E341="","",Murid!E341)</f>
        <v/>
      </c>
      <c r="E341" s="11" t="n"/>
      <c r="F341" s="11" t="n"/>
      <c r="G341" s="10">
        <f>IF(F341="","",IFERROR(VLOOKUP(F341,T_JUB,2,FALSE),0))</f>
        <v/>
      </c>
      <c r="H341" s="11" t="n"/>
      <c r="I341" s="17">
        <f>IF(H341="","",IF(H341&gt;=12,40,ROUND(H341*3.33,2)))</f>
        <v/>
      </c>
      <c r="J341" s="11" t="n"/>
      <c r="K341" s="11" t="n"/>
      <c r="L341" s="11" t="n"/>
      <c r="M341" s="11" t="n"/>
      <c r="N341" s="10">
        <f>IF(COUNTA(J341:M341)=0,"",MIN(10,SUMPRODUCT((COUNTIF(J341:M341,L_KOM)&gt;0)*S_KOM)))</f>
        <v/>
      </c>
      <c r="O341" s="11" t="n"/>
      <c r="P341" s="10">
        <f>IF(O341="","",IFERROR(VLOOKUP(O341,T_KHID,2,FALSE),0))</f>
        <v/>
      </c>
      <c r="Q341" s="11" t="n"/>
      <c r="R341" s="11" t="n"/>
      <c r="S341" s="10">
        <f>IF(AND(Q341="",R341=""),"",IFERROR(INDEX(T_LIBAT,MATCH(Q341,L_PER,0),MATCH(R341,L_JENIS,0)),0))</f>
        <v/>
      </c>
      <c r="T341" s="11" t="n"/>
      <c r="U341" s="11" t="n"/>
      <c r="V341" s="10">
        <f>IF(AND(T341="",U341=""),"",IFERROR(INDEX(T_CAPAI,MATCH(T341,L_PER,0),MATCH(U341,L_KED,0)),0))</f>
        <v/>
      </c>
      <c r="W341" s="17">
        <f>IF(OR(B341="",E341="",COUNTA(F341,H341,J341:M341,O341,Q341:R341,T341:U341)=0),"",SUM(G341,I341,N341,P341,S341,V341))</f>
        <v/>
      </c>
      <c r="X341" s="18">
        <f>IF(W341="","",IF(Murid!F341="TL","TL",ROUND(W341/110*100,2)))</f>
        <v/>
      </c>
    </row>
    <row r="342">
      <c r="A342" s="15">
        <f>Murid!A342</f>
        <v/>
      </c>
      <c r="B342" s="15">
        <f>IF(Murid!B342="","",Murid!B342)</f>
        <v/>
      </c>
      <c r="C342" s="16">
        <f>IF(Murid!C342="","",Murid!C342)</f>
        <v/>
      </c>
      <c r="D342" s="15">
        <f>IF(Murid!E342="","",Murid!E342)</f>
        <v/>
      </c>
      <c r="E342" s="11" t="n"/>
      <c r="F342" s="11" t="n"/>
      <c r="G342" s="10">
        <f>IF(F342="","",IFERROR(VLOOKUP(F342,T_JUB,2,FALSE),0))</f>
        <v/>
      </c>
      <c r="H342" s="11" t="n"/>
      <c r="I342" s="17">
        <f>IF(H342="","",IF(H342&gt;=12,40,ROUND(H342*3.33,2)))</f>
        <v/>
      </c>
      <c r="J342" s="11" t="n"/>
      <c r="K342" s="11" t="n"/>
      <c r="L342" s="11" t="n"/>
      <c r="M342" s="11" t="n"/>
      <c r="N342" s="10">
        <f>IF(COUNTA(J342:M342)=0,"",MIN(10,SUMPRODUCT((COUNTIF(J342:M342,L_KOM)&gt;0)*S_KOM)))</f>
        <v/>
      </c>
      <c r="O342" s="11" t="n"/>
      <c r="P342" s="10">
        <f>IF(O342="","",IFERROR(VLOOKUP(O342,T_KHID,2,FALSE),0))</f>
        <v/>
      </c>
      <c r="Q342" s="11" t="n"/>
      <c r="R342" s="11" t="n"/>
      <c r="S342" s="10">
        <f>IF(AND(Q342="",R342=""),"",IFERROR(INDEX(T_LIBAT,MATCH(Q342,L_PER,0),MATCH(R342,L_JENIS,0)),0))</f>
        <v/>
      </c>
      <c r="T342" s="11" t="n"/>
      <c r="U342" s="11" t="n"/>
      <c r="V342" s="10">
        <f>IF(AND(T342="",U342=""),"",IFERROR(INDEX(T_CAPAI,MATCH(T342,L_PER,0),MATCH(U342,L_KED,0)),0))</f>
        <v/>
      </c>
      <c r="W342" s="17">
        <f>IF(OR(B342="",E342="",COUNTA(F342,H342,J342:M342,O342,Q342:R342,T342:U342)=0),"",SUM(G342,I342,N342,P342,S342,V342))</f>
        <v/>
      </c>
      <c r="X342" s="18">
        <f>IF(W342="","",IF(Murid!F342="TL","TL",ROUND(W342/110*100,2)))</f>
        <v/>
      </c>
    </row>
    <row r="343">
      <c r="A343" s="15">
        <f>Murid!A343</f>
        <v/>
      </c>
      <c r="B343" s="15">
        <f>IF(Murid!B343="","",Murid!B343)</f>
        <v/>
      </c>
      <c r="C343" s="16">
        <f>IF(Murid!C343="","",Murid!C343)</f>
        <v/>
      </c>
      <c r="D343" s="15">
        <f>IF(Murid!E343="","",Murid!E343)</f>
        <v/>
      </c>
      <c r="E343" s="11" t="n"/>
      <c r="F343" s="11" t="n"/>
      <c r="G343" s="10">
        <f>IF(F343="","",IFERROR(VLOOKUP(F343,T_JUB,2,FALSE),0))</f>
        <v/>
      </c>
      <c r="H343" s="11" t="n"/>
      <c r="I343" s="17">
        <f>IF(H343="","",IF(H343&gt;=12,40,ROUND(H343*3.33,2)))</f>
        <v/>
      </c>
      <c r="J343" s="11" t="n"/>
      <c r="K343" s="11" t="n"/>
      <c r="L343" s="11" t="n"/>
      <c r="M343" s="11" t="n"/>
      <c r="N343" s="10">
        <f>IF(COUNTA(J343:M343)=0,"",MIN(10,SUMPRODUCT((COUNTIF(J343:M343,L_KOM)&gt;0)*S_KOM)))</f>
        <v/>
      </c>
      <c r="O343" s="11" t="n"/>
      <c r="P343" s="10">
        <f>IF(O343="","",IFERROR(VLOOKUP(O343,T_KHID,2,FALSE),0))</f>
        <v/>
      </c>
      <c r="Q343" s="11" t="n"/>
      <c r="R343" s="11" t="n"/>
      <c r="S343" s="10">
        <f>IF(AND(Q343="",R343=""),"",IFERROR(INDEX(T_LIBAT,MATCH(Q343,L_PER,0),MATCH(R343,L_JENIS,0)),0))</f>
        <v/>
      </c>
      <c r="T343" s="11" t="n"/>
      <c r="U343" s="11" t="n"/>
      <c r="V343" s="10">
        <f>IF(AND(T343="",U343=""),"",IFERROR(INDEX(T_CAPAI,MATCH(T343,L_PER,0),MATCH(U343,L_KED,0)),0))</f>
        <v/>
      </c>
      <c r="W343" s="17">
        <f>IF(OR(B343="",E343="",COUNTA(F343,H343,J343:M343,O343,Q343:R343,T343:U343)=0),"",SUM(G343,I343,N343,P343,S343,V343))</f>
        <v/>
      </c>
      <c r="X343" s="18">
        <f>IF(W343="","",IF(Murid!F343="TL","TL",ROUND(W343/110*100,2)))</f>
        <v/>
      </c>
    </row>
    <row r="344">
      <c r="A344" s="15">
        <f>Murid!A344</f>
        <v/>
      </c>
      <c r="B344" s="15">
        <f>IF(Murid!B344="","",Murid!B344)</f>
        <v/>
      </c>
      <c r="C344" s="16">
        <f>IF(Murid!C344="","",Murid!C344)</f>
        <v/>
      </c>
      <c r="D344" s="15">
        <f>IF(Murid!E344="","",Murid!E344)</f>
        <v/>
      </c>
      <c r="E344" s="11" t="n"/>
      <c r="F344" s="11" t="n"/>
      <c r="G344" s="10">
        <f>IF(F344="","",IFERROR(VLOOKUP(F344,T_JUB,2,FALSE),0))</f>
        <v/>
      </c>
      <c r="H344" s="11" t="n"/>
      <c r="I344" s="17">
        <f>IF(H344="","",IF(H344&gt;=12,40,ROUND(H344*3.33,2)))</f>
        <v/>
      </c>
      <c r="J344" s="11" t="n"/>
      <c r="K344" s="11" t="n"/>
      <c r="L344" s="11" t="n"/>
      <c r="M344" s="11" t="n"/>
      <c r="N344" s="10">
        <f>IF(COUNTA(J344:M344)=0,"",MIN(10,SUMPRODUCT((COUNTIF(J344:M344,L_KOM)&gt;0)*S_KOM)))</f>
        <v/>
      </c>
      <c r="O344" s="11" t="n"/>
      <c r="P344" s="10">
        <f>IF(O344="","",IFERROR(VLOOKUP(O344,T_KHID,2,FALSE),0))</f>
        <v/>
      </c>
      <c r="Q344" s="11" t="n"/>
      <c r="R344" s="11" t="n"/>
      <c r="S344" s="10">
        <f>IF(AND(Q344="",R344=""),"",IFERROR(INDEX(T_LIBAT,MATCH(Q344,L_PER,0),MATCH(R344,L_JENIS,0)),0))</f>
        <v/>
      </c>
      <c r="T344" s="11" t="n"/>
      <c r="U344" s="11" t="n"/>
      <c r="V344" s="10">
        <f>IF(AND(T344="",U344=""),"",IFERROR(INDEX(T_CAPAI,MATCH(T344,L_PER,0),MATCH(U344,L_KED,0)),0))</f>
        <v/>
      </c>
      <c r="W344" s="17">
        <f>IF(OR(B344="",E344="",COUNTA(F344,H344,J344:M344,O344,Q344:R344,T344:U344)=0),"",SUM(G344,I344,N344,P344,S344,V344))</f>
        <v/>
      </c>
      <c r="X344" s="18">
        <f>IF(W344="","",IF(Murid!F344="TL","TL",ROUND(W344/110*100,2)))</f>
        <v/>
      </c>
    </row>
    <row r="345">
      <c r="A345" s="15">
        <f>Murid!A345</f>
        <v/>
      </c>
      <c r="B345" s="15">
        <f>IF(Murid!B345="","",Murid!B345)</f>
        <v/>
      </c>
      <c r="C345" s="16">
        <f>IF(Murid!C345="","",Murid!C345)</f>
        <v/>
      </c>
      <c r="D345" s="15">
        <f>IF(Murid!E345="","",Murid!E345)</f>
        <v/>
      </c>
      <c r="E345" s="11" t="n"/>
      <c r="F345" s="11" t="n"/>
      <c r="G345" s="10">
        <f>IF(F345="","",IFERROR(VLOOKUP(F345,T_JUB,2,FALSE),0))</f>
        <v/>
      </c>
      <c r="H345" s="11" t="n"/>
      <c r="I345" s="17">
        <f>IF(H345="","",IF(H345&gt;=12,40,ROUND(H345*3.33,2)))</f>
        <v/>
      </c>
      <c r="J345" s="11" t="n"/>
      <c r="K345" s="11" t="n"/>
      <c r="L345" s="11" t="n"/>
      <c r="M345" s="11" t="n"/>
      <c r="N345" s="10">
        <f>IF(COUNTA(J345:M345)=0,"",MIN(10,SUMPRODUCT((COUNTIF(J345:M345,L_KOM)&gt;0)*S_KOM)))</f>
        <v/>
      </c>
      <c r="O345" s="11" t="n"/>
      <c r="P345" s="10">
        <f>IF(O345="","",IFERROR(VLOOKUP(O345,T_KHID,2,FALSE),0))</f>
        <v/>
      </c>
      <c r="Q345" s="11" t="n"/>
      <c r="R345" s="11" t="n"/>
      <c r="S345" s="10">
        <f>IF(AND(Q345="",R345=""),"",IFERROR(INDEX(T_LIBAT,MATCH(Q345,L_PER,0),MATCH(R345,L_JENIS,0)),0))</f>
        <v/>
      </c>
      <c r="T345" s="11" t="n"/>
      <c r="U345" s="11" t="n"/>
      <c r="V345" s="10">
        <f>IF(AND(T345="",U345=""),"",IFERROR(INDEX(T_CAPAI,MATCH(T345,L_PER,0),MATCH(U345,L_KED,0)),0))</f>
        <v/>
      </c>
      <c r="W345" s="17">
        <f>IF(OR(B345="",E345="",COUNTA(F345,H345,J345:M345,O345,Q345:R345,T345:U345)=0),"",SUM(G345,I345,N345,P345,S345,V345))</f>
        <v/>
      </c>
      <c r="X345" s="18">
        <f>IF(W345="","",IF(Murid!F345="TL","TL",ROUND(W345/110*100,2)))</f>
        <v/>
      </c>
    </row>
    <row r="346">
      <c r="A346" s="15">
        <f>Murid!A346</f>
        <v/>
      </c>
      <c r="B346" s="15">
        <f>IF(Murid!B346="","",Murid!B346)</f>
        <v/>
      </c>
      <c r="C346" s="16">
        <f>IF(Murid!C346="","",Murid!C346)</f>
        <v/>
      </c>
      <c r="D346" s="15">
        <f>IF(Murid!E346="","",Murid!E346)</f>
        <v/>
      </c>
      <c r="E346" s="11" t="n"/>
      <c r="F346" s="11" t="n"/>
      <c r="G346" s="10">
        <f>IF(F346="","",IFERROR(VLOOKUP(F346,T_JUB,2,FALSE),0))</f>
        <v/>
      </c>
      <c r="H346" s="11" t="n"/>
      <c r="I346" s="17">
        <f>IF(H346="","",IF(H346&gt;=12,40,ROUND(H346*3.33,2)))</f>
        <v/>
      </c>
      <c r="J346" s="11" t="n"/>
      <c r="K346" s="11" t="n"/>
      <c r="L346" s="11" t="n"/>
      <c r="M346" s="11" t="n"/>
      <c r="N346" s="10">
        <f>IF(COUNTA(J346:M346)=0,"",MIN(10,SUMPRODUCT((COUNTIF(J346:M346,L_KOM)&gt;0)*S_KOM)))</f>
        <v/>
      </c>
      <c r="O346" s="11" t="n"/>
      <c r="P346" s="10">
        <f>IF(O346="","",IFERROR(VLOOKUP(O346,T_KHID,2,FALSE),0))</f>
        <v/>
      </c>
      <c r="Q346" s="11" t="n"/>
      <c r="R346" s="11" t="n"/>
      <c r="S346" s="10">
        <f>IF(AND(Q346="",R346=""),"",IFERROR(INDEX(T_LIBAT,MATCH(Q346,L_PER,0),MATCH(R346,L_JENIS,0)),0))</f>
        <v/>
      </c>
      <c r="T346" s="11" t="n"/>
      <c r="U346" s="11" t="n"/>
      <c r="V346" s="10">
        <f>IF(AND(T346="",U346=""),"",IFERROR(INDEX(T_CAPAI,MATCH(T346,L_PER,0),MATCH(U346,L_KED,0)),0))</f>
        <v/>
      </c>
      <c r="W346" s="17">
        <f>IF(OR(B346="",E346="",COUNTA(F346,H346,J346:M346,O346,Q346:R346,T346:U346)=0),"",SUM(G346,I346,N346,P346,S346,V346))</f>
        <v/>
      </c>
      <c r="X346" s="18">
        <f>IF(W346="","",IF(Murid!F346="TL","TL",ROUND(W346/110*100,2)))</f>
        <v/>
      </c>
    </row>
    <row r="347">
      <c r="A347" s="15">
        <f>Murid!A347</f>
        <v/>
      </c>
      <c r="B347" s="15">
        <f>IF(Murid!B347="","",Murid!B347)</f>
        <v/>
      </c>
      <c r="C347" s="16">
        <f>IF(Murid!C347="","",Murid!C347)</f>
        <v/>
      </c>
      <c r="D347" s="15">
        <f>IF(Murid!E347="","",Murid!E347)</f>
        <v/>
      </c>
      <c r="E347" s="11" t="n"/>
      <c r="F347" s="11" t="n"/>
      <c r="G347" s="10">
        <f>IF(F347="","",IFERROR(VLOOKUP(F347,T_JUB,2,FALSE),0))</f>
        <v/>
      </c>
      <c r="H347" s="11" t="n"/>
      <c r="I347" s="17">
        <f>IF(H347="","",IF(H347&gt;=12,40,ROUND(H347*3.33,2)))</f>
        <v/>
      </c>
      <c r="J347" s="11" t="n"/>
      <c r="K347" s="11" t="n"/>
      <c r="L347" s="11" t="n"/>
      <c r="M347" s="11" t="n"/>
      <c r="N347" s="10">
        <f>IF(COUNTA(J347:M347)=0,"",MIN(10,SUMPRODUCT((COUNTIF(J347:M347,L_KOM)&gt;0)*S_KOM)))</f>
        <v/>
      </c>
      <c r="O347" s="11" t="n"/>
      <c r="P347" s="10">
        <f>IF(O347="","",IFERROR(VLOOKUP(O347,T_KHID,2,FALSE),0))</f>
        <v/>
      </c>
      <c r="Q347" s="11" t="n"/>
      <c r="R347" s="11" t="n"/>
      <c r="S347" s="10">
        <f>IF(AND(Q347="",R347=""),"",IFERROR(INDEX(T_LIBAT,MATCH(Q347,L_PER,0),MATCH(R347,L_JENIS,0)),0))</f>
        <v/>
      </c>
      <c r="T347" s="11" t="n"/>
      <c r="U347" s="11" t="n"/>
      <c r="V347" s="10">
        <f>IF(AND(T347="",U347=""),"",IFERROR(INDEX(T_CAPAI,MATCH(T347,L_PER,0),MATCH(U347,L_KED,0)),0))</f>
        <v/>
      </c>
      <c r="W347" s="17">
        <f>IF(OR(B347="",E347="",COUNTA(F347,H347,J347:M347,O347,Q347:R347,T347:U347)=0),"",SUM(G347,I347,N347,P347,S347,V347))</f>
        <v/>
      </c>
      <c r="X347" s="18">
        <f>IF(W347="","",IF(Murid!F347="TL","TL",ROUND(W347/110*100,2)))</f>
        <v/>
      </c>
    </row>
    <row r="348">
      <c r="A348" s="15">
        <f>Murid!A348</f>
        <v/>
      </c>
      <c r="B348" s="15">
        <f>IF(Murid!B348="","",Murid!B348)</f>
        <v/>
      </c>
      <c r="C348" s="16">
        <f>IF(Murid!C348="","",Murid!C348)</f>
        <v/>
      </c>
      <c r="D348" s="15">
        <f>IF(Murid!E348="","",Murid!E348)</f>
        <v/>
      </c>
      <c r="E348" s="11" t="n"/>
      <c r="F348" s="11" t="n"/>
      <c r="G348" s="10">
        <f>IF(F348="","",IFERROR(VLOOKUP(F348,T_JUB,2,FALSE),0))</f>
        <v/>
      </c>
      <c r="H348" s="11" t="n"/>
      <c r="I348" s="17">
        <f>IF(H348="","",IF(H348&gt;=12,40,ROUND(H348*3.33,2)))</f>
        <v/>
      </c>
      <c r="J348" s="11" t="n"/>
      <c r="K348" s="11" t="n"/>
      <c r="L348" s="11" t="n"/>
      <c r="M348" s="11" t="n"/>
      <c r="N348" s="10">
        <f>IF(COUNTA(J348:M348)=0,"",MIN(10,SUMPRODUCT((COUNTIF(J348:M348,L_KOM)&gt;0)*S_KOM)))</f>
        <v/>
      </c>
      <c r="O348" s="11" t="n"/>
      <c r="P348" s="10">
        <f>IF(O348="","",IFERROR(VLOOKUP(O348,T_KHID,2,FALSE),0))</f>
        <v/>
      </c>
      <c r="Q348" s="11" t="n"/>
      <c r="R348" s="11" t="n"/>
      <c r="S348" s="10">
        <f>IF(AND(Q348="",R348=""),"",IFERROR(INDEX(T_LIBAT,MATCH(Q348,L_PER,0),MATCH(R348,L_JENIS,0)),0))</f>
        <v/>
      </c>
      <c r="T348" s="11" t="n"/>
      <c r="U348" s="11" t="n"/>
      <c r="V348" s="10">
        <f>IF(AND(T348="",U348=""),"",IFERROR(INDEX(T_CAPAI,MATCH(T348,L_PER,0),MATCH(U348,L_KED,0)),0))</f>
        <v/>
      </c>
      <c r="W348" s="17">
        <f>IF(OR(B348="",E348="",COUNTA(F348,H348,J348:M348,O348,Q348:R348,T348:U348)=0),"",SUM(G348,I348,N348,P348,S348,V348))</f>
        <v/>
      </c>
      <c r="X348" s="18">
        <f>IF(W348="","",IF(Murid!F348="TL","TL",ROUND(W348/110*100,2)))</f>
        <v/>
      </c>
    </row>
    <row r="349">
      <c r="A349" s="15">
        <f>Murid!A349</f>
        <v/>
      </c>
      <c r="B349" s="15">
        <f>IF(Murid!B349="","",Murid!B349)</f>
        <v/>
      </c>
      <c r="C349" s="16">
        <f>IF(Murid!C349="","",Murid!C349)</f>
        <v/>
      </c>
      <c r="D349" s="15">
        <f>IF(Murid!E349="","",Murid!E349)</f>
        <v/>
      </c>
      <c r="E349" s="11" t="n"/>
      <c r="F349" s="11" t="n"/>
      <c r="G349" s="10">
        <f>IF(F349="","",IFERROR(VLOOKUP(F349,T_JUB,2,FALSE),0))</f>
        <v/>
      </c>
      <c r="H349" s="11" t="n"/>
      <c r="I349" s="17">
        <f>IF(H349="","",IF(H349&gt;=12,40,ROUND(H349*3.33,2)))</f>
        <v/>
      </c>
      <c r="J349" s="11" t="n"/>
      <c r="K349" s="11" t="n"/>
      <c r="L349" s="11" t="n"/>
      <c r="M349" s="11" t="n"/>
      <c r="N349" s="10">
        <f>IF(COUNTA(J349:M349)=0,"",MIN(10,SUMPRODUCT((COUNTIF(J349:M349,L_KOM)&gt;0)*S_KOM)))</f>
        <v/>
      </c>
      <c r="O349" s="11" t="n"/>
      <c r="P349" s="10">
        <f>IF(O349="","",IFERROR(VLOOKUP(O349,T_KHID,2,FALSE),0))</f>
        <v/>
      </c>
      <c r="Q349" s="11" t="n"/>
      <c r="R349" s="11" t="n"/>
      <c r="S349" s="10">
        <f>IF(AND(Q349="",R349=""),"",IFERROR(INDEX(T_LIBAT,MATCH(Q349,L_PER,0),MATCH(R349,L_JENIS,0)),0))</f>
        <v/>
      </c>
      <c r="T349" s="11" t="n"/>
      <c r="U349" s="11" t="n"/>
      <c r="V349" s="10">
        <f>IF(AND(T349="",U349=""),"",IFERROR(INDEX(T_CAPAI,MATCH(T349,L_PER,0),MATCH(U349,L_KED,0)),0))</f>
        <v/>
      </c>
      <c r="W349" s="17">
        <f>IF(OR(B349="",E349="",COUNTA(F349,H349,J349:M349,O349,Q349:R349,T349:U349)=0),"",SUM(G349,I349,N349,P349,S349,V349))</f>
        <v/>
      </c>
      <c r="X349" s="18">
        <f>IF(W349="","",IF(Murid!F349="TL","TL",ROUND(W349/110*100,2)))</f>
        <v/>
      </c>
    </row>
    <row r="350">
      <c r="A350" s="15">
        <f>Murid!A350</f>
        <v/>
      </c>
      <c r="B350" s="15">
        <f>IF(Murid!B350="","",Murid!B350)</f>
        <v/>
      </c>
      <c r="C350" s="16">
        <f>IF(Murid!C350="","",Murid!C350)</f>
        <v/>
      </c>
      <c r="D350" s="15">
        <f>IF(Murid!E350="","",Murid!E350)</f>
        <v/>
      </c>
      <c r="E350" s="11" t="n"/>
      <c r="F350" s="11" t="n"/>
      <c r="G350" s="10">
        <f>IF(F350="","",IFERROR(VLOOKUP(F350,T_JUB,2,FALSE),0))</f>
        <v/>
      </c>
      <c r="H350" s="11" t="n"/>
      <c r="I350" s="17">
        <f>IF(H350="","",IF(H350&gt;=12,40,ROUND(H350*3.33,2)))</f>
        <v/>
      </c>
      <c r="J350" s="11" t="n"/>
      <c r="K350" s="11" t="n"/>
      <c r="L350" s="11" t="n"/>
      <c r="M350" s="11" t="n"/>
      <c r="N350" s="10">
        <f>IF(COUNTA(J350:M350)=0,"",MIN(10,SUMPRODUCT((COUNTIF(J350:M350,L_KOM)&gt;0)*S_KOM)))</f>
        <v/>
      </c>
      <c r="O350" s="11" t="n"/>
      <c r="P350" s="10">
        <f>IF(O350="","",IFERROR(VLOOKUP(O350,T_KHID,2,FALSE),0))</f>
        <v/>
      </c>
      <c r="Q350" s="11" t="n"/>
      <c r="R350" s="11" t="n"/>
      <c r="S350" s="10">
        <f>IF(AND(Q350="",R350=""),"",IFERROR(INDEX(T_LIBAT,MATCH(Q350,L_PER,0),MATCH(R350,L_JENIS,0)),0))</f>
        <v/>
      </c>
      <c r="T350" s="11" t="n"/>
      <c r="U350" s="11" t="n"/>
      <c r="V350" s="10">
        <f>IF(AND(T350="",U350=""),"",IFERROR(INDEX(T_CAPAI,MATCH(T350,L_PER,0),MATCH(U350,L_KED,0)),0))</f>
        <v/>
      </c>
      <c r="W350" s="17">
        <f>IF(OR(B350="",E350="",COUNTA(F350,H350,J350:M350,O350,Q350:R350,T350:U350)=0),"",SUM(G350,I350,N350,P350,S350,V350))</f>
        <v/>
      </c>
      <c r="X350" s="18">
        <f>IF(W350="","",IF(Murid!F350="TL","TL",ROUND(W350/110*100,2)))</f>
        <v/>
      </c>
    </row>
    <row r="351">
      <c r="A351" s="15">
        <f>Murid!A351</f>
        <v/>
      </c>
      <c r="B351" s="15">
        <f>IF(Murid!B351="","",Murid!B351)</f>
        <v/>
      </c>
      <c r="C351" s="16">
        <f>IF(Murid!C351="","",Murid!C351)</f>
        <v/>
      </c>
      <c r="D351" s="15">
        <f>IF(Murid!E351="","",Murid!E351)</f>
        <v/>
      </c>
      <c r="E351" s="11" t="n"/>
      <c r="F351" s="11" t="n"/>
      <c r="G351" s="10">
        <f>IF(F351="","",IFERROR(VLOOKUP(F351,T_JUB,2,FALSE),0))</f>
        <v/>
      </c>
      <c r="H351" s="11" t="n"/>
      <c r="I351" s="17">
        <f>IF(H351="","",IF(H351&gt;=12,40,ROUND(H351*3.33,2)))</f>
        <v/>
      </c>
      <c r="J351" s="11" t="n"/>
      <c r="K351" s="11" t="n"/>
      <c r="L351" s="11" t="n"/>
      <c r="M351" s="11" t="n"/>
      <c r="N351" s="10">
        <f>IF(COUNTA(J351:M351)=0,"",MIN(10,SUMPRODUCT((COUNTIF(J351:M351,L_KOM)&gt;0)*S_KOM)))</f>
        <v/>
      </c>
      <c r="O351" s="11" t="n"/>
      <c r="P351" s="10">
        <f>IF(O351="","",IFERROR(VLOOKUP(O351,T_KHID,2,FALSE),0))</f>
        <v/>
      </c>
      <c r="Q351" s="11" t="n"/>
      <c r="R351" s="11" t="n"/>
      <c r="S351" s="10">
        <f>IF(AND(Q351="",R351=""),"",IFERROR(INDEX(T_LIBAT,MATCH(Q351,L_PER,0),MATCH(R351,L_JENIS,0)),0))</f>
        <v/>
      </c>
      <c r="T351" s="11" t="n"/>
      <c r="U351" s="11" t="n"/>
      <c r="V351" s="10">
        <f>IF(AND(T351="",U351=""),"",IFERROR(INDEX(T_CAPAI,MATCH(T351,L_PER,0),MATCH(U351,L_KED,0)),0))</f>
        <v/>
      </c>
      <c r="W351" s="17">
        <f>IF(OR(B351="",E351="",COUNTA(F351,H351,J351:M351,O351,Q351:R351,T351:U351)=0),"",SUM(G351,I351,N351,P351,S351,V351))</f>
        <v/>
      </c>
      <c r="X351" s="18">
        <f>IF(W351="","",IF(Murid!F351="TL","TL",ROUND(W351/110*100,2)))</f>
        <v/>
      </c>
    </row>
    <row r="352">
      <c r="A352" s="15">
        <f>Murid!A352</f>
        <v/>
      </c>
      <c r="B352" s="15">
        <f>IF(Murid!B352="","",Murid!B352)</f>
        <v/>
      </c>
      <c r="C352" s="16">
        <f>IF(Murid!C352="","",Murid!C352)</f>
        <v/>
      </c>
      <c r="D352" s="15">
        <f>IF(Murid!E352="","",Murid!E352)</f>
        <v/>
      </c>
      <c r="E352" s="11" t="n"/>
      <c r="F352" s="11" t="n"/>
      <c r="G352" s="10">
        <f>IF(F352="","",IFERROR(VLOOKUP(F352,T_JUB,2,FALSE),0))</f>
        <v/>
      </c>
      <c r="H352" s="11" t="n"/>
      <c r="I352" s="17">
        <f>IF(H352="","",IF(H352&gt;=12,40,ROUND(H352*3.33,2)))</f>
        <v/>
      </c>
      <c r="J352" s="11" t="n"/>
      <c r="K352" s="11" t="n"/>
      <c r="L352" s="11" t="n"/>
      <c r="M352" s="11" t="n"/>
      <c r="N352" s="10">
        <f>IF(COUNTA(J352:M352)=0,"",MIN(10,SUMPRODUCT((COUNTIF(J352:M352,L_KOM)&gt;0)*S_KOM)))</f>
        <v/>
      </c>
      <c r="O352" s="11" t="n"/>
      <c r="P352" s="10">
        <f>IF(O352="","",IFERROR(VLOOKUP(O352,T_KHID,2,FALSE),0))</f>
        <v/>
      </c>
      <c r="Q352" s="11" t="n"/>
      <c r="R352" s="11" t="n"/>
      <c r="S352" s="10">
        <f>IF(AND(Q352="",R352=""),"",IFERROR(INDEX(T_LIBAT,MATCH(Q352,L_PER,0),MATCH(R352,L_JENIS,0)),0))</f>
        <v/>
      </c>
      <c r="T352" s="11" t="n"/>
      <c r="U352" s="11" t="n"/>
      <c r="V352" s="10">
        <f>IF(AND(T352="",U352=""),"",IFERROR(INDEX(T_CAPAI,MATCH(T352,L_PER,0),MATCH(U352,L_KED,0)),0))</f>
        <v/>
      </c>
      <c r="W352" s="17">
        <f>IF(OR(B352="",E352="",COUNTA(F352,H352,J352:M352,O352,Q352:R352,T352:U352)=0),"",SUM(G352,I352,N352,P352,S352,V352))</f>
        <v/>
      </c>
      <c r="X352" s="18">
        <f>IF(W352="","",IF(Murid!F352="TL","TL",ROUND(W352/110*100,2)))</f>
        <v/>
      </c>
    </row>
    <row r="353">
      <c r="A353" s="15">
        <f>Murid!A353</f>
        <v/>
      </c>
      <c r="B353" s="15">
        <f>IF(Murid!B353="","",Murid!B353)</f>
        <v/>
      </c>
      <c r="C353" s="16">
        <f>IF(Murid!C353="","",Murid!C353)</f>
        <v/>
      </c>
      <c r="D353" s="15">
        <f>IF(Murid!E353="","",Murid!E353)</f>
        <v/>
      </c>
      <c r="E353" s="11" t="n"/>
      <c r="F353" s="11" t="n"/>
      <c r="G353" s="10">
        <f>IF(F353="","",IFERROR(VLOOKUP(F353,T_JUB,2,FALSE),0))</f>
        <v/>
      </c>
      <c r="H353" s="11" t="n"/>
      <c r="I353" s="17">
        <f>IF(H353="","",IF(H353&gt;=12,40,ROUND(H353*3.33,2)))</f>
        <v/>
      </c>
      <c r="J353" s="11" t="n"/>
      <c r="K353" s="11" t="n"/>
      <c r="L353" s="11" t="n"/>
      <c r="M353" s="11" t="n"/>
      <c r="N353" s="10">
        <f>IF(COUNTA(J353:M353)=0,"",MIN(10,SUMPRODUCT((COUNTIF(J353:M353,L_KOM)&gt;0)*S_KOM)))</f>
        <v/>
      </c>
      <c r="O353" s="11" t="n"/>
      <c r="P353" s="10">
        <f>IF(O353="","",IFERROR(VLOOKUP(O353,T_KHID,2,FALSE),0))</f>
        <v/>
      </c>
      <c r="Q353" s="11" t="n"/>
      <c r="R353" s="11" t="n"/>
      <c r="S353" s="10">
        <f>IF(AND(Q353="",R353=""),"",IFERROR(INDEX(T_LIBAT,MATCH(Q353,L_PER,0),MATCH(R353,L_JENIS,0)),0))</f>
        <v/>
      </c>
      <c r="T353" s="11" t="n"/>
      <c r="U353" s="11" t="n"/>
      <c r="V353" s="10">
        <f>IF(AND(T353="",U353=""),"",IFERROR(INDEX(T_CAPAI,MATCH(T353,L_PER,0),MATCH(U353,L_KED,0)),0))</f>
        <v/>
      </c>
      <c r="W353" s="17">
        <f>IF(OR(B353="",E353="",COUNTA(F353,H353,J353:M353,O353,Q353:R353,T353:U353)=0),"",SUM(G353,I353,N353,P353,S353,V353))</f>
        <v/>
      </c>
      <c r="X353" s="18">
        <f>IF(W353="","",IF(Murid!F353="TL","TL",ROUND(W353/110*100,2)))</f>
        <v/>
      </c>
    </row>
    <row r="354">
      <c r="A354" s="15">
        <f>Murid!A354</f>
        <v/>
      </c>
      <c r="B354" s="15">
        <f>IF(Murid!B354="","",Murid!B354)</f>
        <v/>
      </c>
      <c r="C354" s="16">
        <f>IF(Murid!C354="","",Murid!C354)</f>
        <v/>
      </c>
      <c r="D354" s="15">
        <f>IF(Murid!E354="","",Murid!E354)</f>
        <v/>
      </c>
      <c r="E354" s="11" t="n"/>
      <c r="F354" s="11" t="n"/>
      <c r="G354" s="10">
        <f>IF(F354="","",IFERROR(VLOOKUP(F354,T_JUB,2,FALSE),0))</f>
        <v/>
      </c>
      <c r="H354" s="11" t="n"/>
      <c r="I354" s="17">
        <f>IF(H354="","",IF(H354&gt;=12,40,ROUND(H354*3.33,2)))</f>
        <v/>
      </c>
      <c r="J354" s="11" t="n"/>
      <c r="K354" s="11" t="n"/>
      <c r="L354" s="11" t="n"/>
      <c r="M354" s="11" t="n"/>
      <c r="N354" s="10">
        <f>IF(COUNTA(J354:M354)=0,"",MIN(10,SUMPRODUCT((COUNTIF(J354:M354,L_KOM)&gt;0)*S_KOM)))</f>
        <v/>
      </c>
      <c r="O354" s="11" t="n"/>
      <c r="P354" s="10">
        <f>IF(O354="","",IFERROR(VLOOKUP(O354,T_KHID,2,FALSE),0))</f>
        <v/>
      </c>
      <c r="Q354" s="11" t="n"/>
      <c r="R354" s="11" t="n"/>
      <c r="S354" s="10">
        <f>IF(AND(Q354="",R354=""),"",IFERROR(INDEX(T_LIBAT,MATCH(Q354,L_PER,0),MATCH(R354,L_JENIS,0)),0))</f>
        <v/>
      </c>
      <c r="T354" s="11" t="n"/>
      <c r="U354" s="11" t="n"/>
      <c r="V354" s="10">
        <f>IF(AND(T354="",U354=""),"",IFERROR(INDEX(T_CAPAI,MATCH(T354,L_PER,0),MATCH(U354,L_KED,0)),0))</f>
        <v/>
      </c>
      <c r="W354" s="17">
        <f>IF(OR(B354="",E354="",COUNTA(F354,H354,J354:M354,O354,Q354:R354,T354:U354)=0),"",SUM(G354,I354,N354,P354,S354,V354))</f>
        <v/>
      </c>
      <c r="X354" s="18">
        <f>IF(W354="","",IF(Murid!F354="TL","TL",ROUND(W354/110*100,2)))</f>
        <v/>
      </c>
    </row>
    <row r="355">
      <c r="A355" s="15">
        <f>Murid!A355</f>
        <v/>
      </c>
      <c r="B355" s="15">
        <f>IF(Murid!B355="","",Murid!B355)</f>
        <v/>
      </c>
      <c r="C355" s="16">
        <f>IF(Murid!C355="","",Murid!C355)</f>
        <v/>
      </c>
      <c r="D355" s="15">
        <f>IF(Murid!E355="","",Murid!E355)</f>
        <v/>
      </c>
      <c r="E355" s="11" t="n"/>
      <c r="F355" s="11" t="n"/>
      <c r="G355" s="10">
        <f>IF(F355="","",IFERROR(VLOOKUP(F355,T_JUB,2,FALSE),0))</f>
        <v/>
      </c>
      <c r="H355" s="11" t="n"/>
      <c r="I355" s="17">
        <f>IF(H355="","",IF(H355&gt;=12,40,ROUND(H355*3.33,2)))</f>
        <v/>
      </c>
      <c r="J355" s="11" t="n"/>
      <c r="K355" s="11" t="n"/>
      <c r="L355" s="11" t="n"/>
      <c r="M355" s="11" t="n"/>
      <c r="N355" s="10">
        <f>IF(COUNTA(J355:M355)=0,"",MIN(10,SUMPRODUCT((COUNTIF(J355:M355,L_KOM)&gt;0)*S_KOM)))</f>
        <v/>
      </c>
      <c r="O355" s="11" t="n"/>
      <c r="P355" s="10">
        <f>IF(O355="","",IFERROR(VLOOKUP(O355,T_KHID,2,FALSE),0))</f>
        <v/>
      </c>
      <c r="Q355" s="11" t="n"/>
      <c r="R355" s="11" t="n"/>
      <c r="S355" s="10">
        <f>IF(AND(Q355="",R355=""),"",IFERROR(INDEX(T_LIBAT,MATCH(Q355,L_PER,0),MATCH(R355,L_JENIS,0)),0))</f>
        <v/>
      </c>
      <c r="T355" s="11" t="n"/>
      <c r="U355" s="11" t="n"/>
      <c r="V355" s="10">
        <f>IF(AND(T355="",U355=""),"",IFERROR(INDEX(T_CAPAI,MATCH(T355,L_PER,0),MATCH(U355,L_KED,0)),0))</f>
        <v/>
      </c>
      <c r="W355" s="17">
        <f>IF(OR(B355="",E355="",COUNTA(F355,H355,J355:M355,O355,Q355:R355,T355:U355)=0),"",SUM(G355,I355,N355,P355,S355,V355))</f>
        <v/>
      </c>
      <c r="X355" s="18">
        <f>IF(W355="","",IF(Murid!F355="TL","TL",ROUND(W355/110*100,2)))</f>
        <v/>
      </c>
    </row>
    <row r="356">
      <c r="A356" s="15">
        <f>Murid!A356</f>
        <v/>
      </c>
      <c r="B356" s="15">
        <f>IF(Murid!B356="","",Murid!B356)</f>
        <v/>
      </c>
      <c r="C356" s="16">
        <f>IF(Murid!C356="","",Murid!C356)</f>
        <v/>
      </c>
      <c r="D356" s="15">
        <f>IF(Murid!E356="","",Murid!E356)</f>
        <v/>
      </c>
      <c r="E356" s="11" t="n"/>
      <c r="F356" s="11" t="n"/>
      <c r="G356" s="10">
        <f>IF(F356="","",IFERROR(VLOOKUP(F356,T_JUB,2,FALSE),0))</f>
        <v/>
      </c>
      <c r="H356" s="11" t="n"/>
      <c r="I356" s="17">
        <f>IF(H356="","",IF(H356&gt;=12,40,ROUND(H356*3.33,2)))</f>
        <v/>
      </c>
      <c r="J356" s="11" t="n"/>
      <c r="K356" s="11" t="n"/>
      <c r="L356" s="11" t="n"/>
      <c r="M356" s="11" t="n"/>
      <c r="N356" s="10">
        <f>IF(COUNTA(J356:M356)=0,"",MIN(10,SUMPRODUCT((COUNTIF(J356:M356,L_KOM)&gt;0)*S_KOM)))</f>
        <v/>
      </c>
      <c r="O356" s="11" t="n"/>
      <c r="P356" s="10">
        <f>IF(O356="","",IFERROR(VLOOKUP(O356,T_KHID,2,FALSE),0))</f>
        <v/>
      </c>
      <c r="Q356" s="11" t="n"/>
      <c r="R356" s="11" t="n"/>
      <c r="S356" s="10">
        <f>IF(AND(Q356="",R356=""),"",IFERROR(INDEX(T_LIBAT,MATCH(Q356,L_PER,0),MATCH(R356,L_JENIS,0)),0))</f>
        <v/>
      </c>
      <c r="T356" s="11" t="n"/>
      <c r="U356" s="11" t="n"/>
      <c r="V356" s="10">
        <f>IF(AND(T356="",U356=""),"",IFERROR(INDEX(T_CAPAI,MATCH(T356,L_PER,0),MATCH(U356,L_KED,0)),0))</f>
        <v/>
      </c>
      <c r="W356" s="17">
        <f>IF(OR(B356="",E356="",COUNTA(F356,H356,J356:M356,O356,Q356:R356,T356:U356)=0),"",SUM(G356,I356,N356,P356,S356,V356))</f>
        <v/>
      </c>
      <c r="X356" s="18">
        <f>IF(W356="","",IF(Murid!F356="TL","TL",ROUND(W356/110*100,2)))</f>
        <v/>
      </c>
    </row>
    <row r="357">
      <c r="A357" s="15">
        <f>Murid!A357</f>
        <v/>
      </c>
      <c r="B357" s="15">
        <f>IF(Murid!B357="","",Murid!B357)</f>
        <v/>
      </c>
      <c r="C357" s="16">
        <f>IF(Murid!C357="","",Murid!C357)</f>
        <v/>
      </c>
      <c r="D357" s="15">
        <f>IF(Murid!E357="","",Murid!E357)</f>
        <v/>
      </c>
      <c r="E357" s="11" t="n"/>
      <c r="F357" s="11" t="n"/>
      <c r="G357" s="10">
        <f>IF(F357="","",IFERROR(VLOOKUP(F357,T_JUB,2,FALSE),0))</f>
        <v/>
      </c>
      <c r="H357" s="11" t="n"/>
      <c r="I357" s="17">
        <f>IF(H357="","",IF(H357&gt;=12,40,ROUND(H357*3.33,2)))</f>
        <v/>
      </c>
      <c r="J357" s="11" t="n"/>
      <c r="K357" s="11" t="n"/>
      <c r="L357" s="11" t="n"/>
      <c r="M357" s="11" t="n"/>
      <c r="N357" s="10">
        <f>IF(COUNTA(J357:M357)=0,"",MIN(10,SUMPRODUCT((COUNTIF(J357:M357,L_KOM)&gt;0)*S_KOM)))</f>
        <v/>
      </c>
      <c r="O357" s="11" t="n"/>
      <c r="P357" s="10">
        <f>IF(O357="","",IFERROR(VLOOKUP(O357,T_KHID,2,FALSE),0))</f>
        <v/>
      </c>
      <c r="Q357" s="11" t="n"/>
      <c r="R357" s="11" t="n"/>
      <c r="S357" s="10">
        <f>IF(AND(Q357="",R357=""),"",IFERROR(INDEX(T_LIBAT,MATCH(Q357,L_PER,0),MATCH(R357,L_JENIS,0)),0))</f>
        <v/>
      </c>
      <c r="T357" s="11" t="n"/>
      <c r="U357" s="11" t="n"/>
      <c r="V357" s="10">
        <f>IF(AND(T357="",U357=""),"",IFERROR(INDEX(T_CAPAI,MATCH(T357,L_PER,0),MATCH(U357,L_KED,0)),0))</f>
        <v/>
      </c>
      <c r="W357" s="17">
        <f>IF(OR(B357="",E357="",COUNTA(F357,H357,J357:M357,O357,Q357:R357,T357:U357)=0),"",SUM(G357,I357,N357,P357,S357,V357))</f>
        <v/>
      </c>
      <c r="X357" s="18">
        <f>IF(W357="","",IF(Murid!F357="TL","TL",ROUND(W357/110*100,2)))</f>
        <v/>
      </c>
    </row>
    <row r="358">
      <c r="A358" s="15">
        <f>Murid!A358</f>
        <v/>
      </c>
      <c r="B358" s="15">
        <f>IF(Murid!B358="","",Murid!B358)</f>
        <v/>
      </c>
      <c r="C358" s="16">
        <f>IF(Murid!C358="","",Murid!C358)</f>
        <v/>
      </c>
      <c r="D358" s="15">
        <f>IF(Murid!E358="","",Murid!E358)</f>
        <v/>
      </c>
      <c r="E358" s="11" t="n"/>
      <c r="F358" s="11" t="n"/>
      <c r="G358" s="10">
        <f>IF(F358="","",IFERROR(VLOOKUP(F358,T_JUB,2,FALSE),0))</f>
        <v/>
      </c>
      <c r="H358" s="11" t="n"/>
      <c r="I358" s="17">
        <f>IF(H358="","",IF(H358&gt;=12,40,ROUND(H358*3.33,2)))</f>
        <v/>
      </c>
      <c r="J358" s="11" t="n"/>
      <c r="K358" s="11" t="n"/>
      <c r="L358" s="11" t="n"/>
      <c r="M358" s="11" t="n"/>
      <c r="N358" s="10">
        <f>IF(COUNTA(J358:M358)=0,"",MIN(10,SUMPRODUCT((COUNTIF(J358:M358,L_KOM)&gt;0)*S_KOM)))</f>
        <v/>
      </c>
      <c r="O358" s="11" t="n"/>
      <c r="P358" s="10">
        <f>IF(O358="","",IFERROR(VLOOKUP(O358,T_KHID,2,FALSE),0))</f>
        <v/>
      </c>
      <c r="Q358" s="11" t="n"/>
      <c r="R358" s="11" t="n"/>
      <c r="S358" s="10">
        <f>IF(AND(Q358="",R358=""),"",IFERROR(INDEX(T_LIBAT,MATCH(Q358,L_PER,0),MATCH(R358,L_JENIS,0)),0))</f>
        <v/>
      </c>
      <c r="T358" s="11" t="n"/>
      <c r="U358" s="11" t="n"/>
      <c r="V358" s="10">
        <f>IF(AND(T358="",U358=""),"",IFERROR(INDEX(T_CAPAI,MATCH(T358,L_PER,0),MATCH(U358,L_KED,0)),0))</f>
        <v/>
      </c>
      <c r="W358" s="17">
        <f>IF(OR(B358="",E358="",COUNTA(F358,H358,J358:M358,O358,Q358:R358,T358:U358)=0),"",SUM(G358,I358,N358,P358,S358,V358))</f>
        <v/>
      </c>
      <c r="X358" s="18">
        <f>IF(W358="","",IF(Murid!F358="TL","TL",ROUND(W358/110*100,2)))</f>
        <v/>
      </c>
    </row>
    <row r="359">
      <c r="A359" s="15">
        <f>Murid!A359</f>
        <v/>
      </c>
      <c r="B359" s="15">
        <f>IF(Murid!B359="","",Murid!B359)</f>
        <v/>
      </c>
      <c r="C359" s="16">
        <f>IF(Murid!C359="","",Murid!C359)</f>
        <v/>
      </c>
      <c r="D359" s="15">
        <f>IF(Murid!E359="","",Murid!E359)</f>
        <v/>
      </c>
      <c r="E359" s="11" t="n"/>
      <c r="F359" s="11" t="n"/>
      <c r="G359" s="10">
        <f>IF(F359="","",IFERROR(VLOOKUP(F359,T_JUB,2,FALSE),0))</f>
        <v/>
      </c>
      <c r="H359" s="11" t="n"/>
      <c r="I359" s="17">
        <f>IF(H359="","",IF(H359&gt;=12,40,ROUND(H359*3.33,2)))</f>
        <v/>
      </c>
      <c r="J359" s="11" t="n"/>
      <c r="K359" s="11" t="n"/>
      <c r="L359" s="11" t="n"/>
      <c r="M359" s="11" t="n"/>
      <c r="N359" s="10">
        <f>IF(COUNTA(J359:M359)=0,"",MIN(10,SUMPRODUCT((COUNTIF(J359:M359,L_KOM)&gt;0)*S_KOM)))</f>
        <v/>
      </c>
      <c r="O359" s="11" t="n"/>
      <c r="P359" s="10">
        <f>IF(O359="","",IFERROR(VLOOKUP(O359,T_KHID,2,FALSE),0))</f>
        <v/>
      </c>
      <c r="Q359" s="11" t="n"/>
      <c r="R359" s="11" t="n"/>
      <c r="S359" s="10">
        <f>IF(AND(Q359="",R359=""),"",IFERROR(INDEX(T_LIBAT,MATCH(Q359,L_PER,0),MATCH(R359,L_JENIS,0)),0))</f>
        <v/>
      </c>
      <c r="T359" s="11" t="n"/>
      <c r="U359" s="11" t="n"/>
      <c r="V359" s="10">
        <f>IF(AND(T359="",U359=""),"",IFERROR(INDEX(T_CAPAI,MATCH(T359,L_PER,0),MATCH(U359,L_KED,0)),0))</f>
        <v/>
      </c>
      <c r="W359" s="17">
        <f>IF(OR(B359="",E359="",COUNTA(F359,H359,J359:M359,O359,Q359:R359,T359:U359)=0),"",SUM(G359,I359,N359,P359,S359,V359))</f>
        <v/>
      </c>
      <c r="X359" s="18">
        <f>IF(W359="","",IF(Murid!F359="TL","TL",ROUND(W359/110*100,2)))</f>
        <v/>
      </c>
    </row>
    <row r="360">
      <c r="A360" s="15">
        <f>Murid!A360</f>
        <v/>
      </c>
      <c r="B360" s="15">
        <f>IF(Murid!B360="","",Murid!B360)</f>
        <v/>
      </c>
      <c r="C360" s="16">
        <f>IF(Murid!C360="","",Murid!C360)</f>
        <v/>
      </c>
      <c r="D360" s="15">
        <f>IF(Murid!E360="","",Murid!E360)</f>
        <v/>
      </c>
      <c r="E360" s="11" t="n"/>
      <c r="F360" s="11" t="n"/>
      <c r="G360" s="10">
        <f>IF(F360="","",IFERROR(VLOOKUP(F360,T_JUB,2,FALSE),0))</f>
        <v/>
      </c>
      <c r="H360" s="11" t="n"/>
      <c r="I360" s="17">
        <f>IF(H360="","",IF(H360&gt;=12,40,ROUND(H360*3.33,2)))</f>
        <v/>
      </c>
      <c r="J360" s="11" t="n"/>
      <c r="K360" s="11" t="n"/>
      <c r="L360" s="11" t="n"/>
      <c r="M360" s="11" t="n"/>
      <c r="N360" s="10">
        <f>IF(COUNTA(J360:M360)=0,"",MIN(10,SUMPRODUCT((COUNTIF(J360:M360,L_KOM)&gt;0)*S_KOM)))</f>
        <v/>
      </c>
      <c r="O360" s="11" t="n"/>
      <c r="P360" s="10">
        <f>IF(O360="","",IFERROR(VLOOKUP(O360,T_KHID,2,FALSE),0))</f>
        <v/>
      </c>
      <c r="Q360" s="11" t="n"/>
      <c r="R360" s="11" t="n"/>
      <c r="S360" s="10">
        <f>IF(AND(Q360="",R360=""),"",IFERROR(INDEX(T_LIBAT,MATCH(Q360,L_PER,0),MATCH(R360,L_JENIS,0)),0))</f>
        <v/>
      </c>
      <c r="T360" s="11" t="n"/>
      <c r="U360" s="11" t="n"/>
      <c r="V360" s="10">
        <f>IF(AND(T360="",U360=""),"",IFERROR(INDEX(T_CAPAI,MATCH(T360,L_PER,0),MATCH(U360,L_KED,0)),0))</f>
        <v/>
      </c>
      <c r="W360" s="17">
        <f>IF(OR(B360="",E360="",COUNTA(F360,H360,J360:M360,O360,Q360:R360,T360:U360)=0),"",SUM(G360,I360,N360,P360,S360,V360))</f>
        <v/>
      </c>
      <c r="X360" s="18">
        <f>IF(W360="","",IF(Murid!F360="TL","TL",ROUND(W360/110*100,2)))</f>
        <v/>
      </c>
    </row>
    <row r="361">
      <c r="A361" s="15">
        <f>Murid!A361</f>
        <v/>
      </c>
      <c r="B361" s="15">
        <f>IF(Murid!B361="","",Murid!B361)</f>
        <v/>
      </c>
      <c r="C361" s="16">
        <f>IF(Murid!C361="","",Murid!C361)</f>
        <v/>
      </c>
      <c r="D361" s="15">
        <f>IF(Murid!E361="","",Murid!E361)</f>
        <v/>
      </c>
      <c r="E361" s="11" t="n"/>
      <c r="F361" s="11" t="n"/>
      <c r="G361" s="10">
        <f>IF(F361="","",IFERROR(VLOOKUP(F361,T_JUB,2,FALSE),0))</f>
        <v/>
      </c>
      <c r="H361" s="11" t="n"/>
      <c r="I361" s="17">
        <f>IF(H361="","",IF(H361&gt;=12,40,ROUND(H361*3.33,2)))</f>
        <v/>
      </c>
      <c r="J361" s="11" t="n"/>
      <c r="K361" s="11" t="n"/>
      <c r="L361" s="11" t="n"/>
      <c r="M361" s="11" t="n"/>
      <c r="N361" s="10">
        <f>IF(COUNTA(J361:M361)=0,"",MIN(10,SUMPRODUCT((COUNTIF(J361:M361,L_KOM)&gt;0)*S_KOM)))</f>
        <v/>
      </c>
      <c r="O361" s="11" t="n"/>
      <c r="P361" s="10">
        <f>IF(O361="","",IFERROR(VLOOKUP(O361,T_KHID,2,FALSE),0))</f>
        <v/>
      </c>
      <c r="Q361" s="11" t="n"/>
      <c r="R361" s="11" t="n"/>
      <c r="S361" s="10">
        <f>IF(AND(Q361="",R361=""),"",IFERROR(INDEX(T_LIBAT,MATCH(Q361,L_PER,0),MATCH(R361,L_JENIS,0)),0))</f>
        <v/>
      </c>
      <c r="T361" s="11" t="n"/>
      <c r="U361" s="11" t="n"/>
      <c r="V361" s="10">
        <f>IF(AND(T361="",U361=""),"",IFERROR(INDEX(T_CAPAI,MATCH(T361,L_PER,0),MATCH(U361,L_KED,0)),0))</f>
        <v/>
      </c>
      <c r="W361" s="17">
        <f>IF(OR(B361="",E361="",COUNTA(F361,H361,J361:M361,O361,Q361:R361,T361:U361)=0),"",SUM(G361,I361,N361,P361,S361,V361))</f>
        <v/>
      </c>
      <c r="X361" s="18">
        <f>IF(W361="","",IF(Murid!F361="TL","TL",ROUND(W361/110*100,2)))</f>
        <v/>
      </c>
    </row>
    <row r="362">
      <c r="A362" s="15">
        <f>Murid!A362</f>
        <v/>
      </c>
      <c r="B362" s="15">
        <f>IF(Murid!B362="","",Murid!B362)</f>
        <v/>
      </c>
      <c r="C362" s="16">
        <f>IF(Murid!C362="","",Murid!C362)</f>
        <v/>
      </c>
      <c r="D362" s="15">
        <f>IF(Murid!E362="","",Murid!E362)</f>
        <v/>
      </c>
      <c r="E362" s="11" t="n"/>
      <c r="F362" s="11" t="n"/>
      <c r="G362" s="10">
        <f>IF(F362="","",IFERROR(VLOOKUP(F362,T_JUB,2,FALSE),0))</f>
        <v/>
      </c>
      <c r="H362" s="11" t="n"/>
      <c r="I362" s="17">
        <f>IF(H362="","",IF(H362&gt;=12,40,ROUND(H362*3.33,2)))</f>
        <v/>
      </c>
      <c r="J362" s="11" t="n"/>
      <c r="K362" s="11" t="n"/>
      <c r="L362" s="11" t="n"/>
      <c r="M362" s="11" t="n"/>
      <c r="N362" s="10">
        <f>IF(COUNTA(J362:M362)=0,"",MIN(10,SUMPRODUCT((COUNTIF(J362:M362,L_KOM)&gt;0)*S_KOM)))</f>
        <v/>
      </c>
      <c r="O362" s="11" t="n"/>
      <c r="P362" s="10">
        <f>IF(O362="","",IFERROR(VLOOKUP(O362,T_KHID,2,FALSE),0))</f>
        <v/>
      </c>
      <c r="Q362" s="11" t="n"/>
      <c r="R362" s="11" t="n"/>
      <c r="S362" s="10">
        <f>IF(AND(Q362="",R362=""),"",IFERROR(INDEX(T_LIBAT,MATCH(Q362,L_PER,0),MATCH(R362,L_JENIS,0)),0))</f>
        <v/>
      </c>
      <c r="T362" s="11" t="n"/>
      <c r="U362" s="11" t="n"/>
      <c r="V362" s="10">
        <f>IF(AND(T362="",U362=""),"",IFERROR(INDEX(T_CAPAI,MATCH(T362,L_PER,0),MATCH(U362,L_KED,0)),0))</f>
        <v/>
      </c>
      <c r="W362" s="17">
        <f>IF(OR(B362="",E362="",COUNTA(F362,H362,J362:M362,O362,Q362:R362,T362:U362)=0),"",SUM(G362,I362,N362,P362,S362,V362))</f>
        <v/>
      </c>
      <c r="X362" s="18">
        <f>IF(W362="","",IF(Murid!F362="TL","TL",ROUND(W362/110*100,2)))</f>
        <v/>
      </c>
    </row>
    <row r="363">
      <c r="A363" s="15">
        <f>Murid!A363</f>
        <v/>
      </c>
      <c r="B363" s="15">
        <f>IF(Murid!B363="","",Murid!B363)</f>
        <v/>
      </c>
      <c r="C363" s="16">
        <f>IF(Murid!C363="","",Murid!C363)</f>
        <v/>
      </c>
      <c r="D363" s="15">
        <f>IF(Murid!E363="","",Murid!E363)</f>
        <v/>
      </c>
      <c r="E363" s="11" t="n"/>
      <c r="F363" s="11" t="n"/>
      <c r="G363" s="10">
        <f>IF(F363="","",IFERROR(VLOOKUP(F363,T_JUB,2,FALSE),0))</f>
        <v/>
      </c>
      <c r="H363" s="11" t="n"/>
      <c r="I363" s="17">
        <f>IF(H363="","",IF(H363&gt;=12,40,ROUND(H363*3.33,2)))</f>
        <v/>
      </c>
      <c r="J363" s="11" t="n"/>
      <c r="K363" s="11" t="n"/>
      <c r="L363" s="11" t="n"/>
      <c r="M363" s="11" t="n"/>
      <c r="N363" s="10">
        <f>IF(COUNTA(J363:M363)=0,"",MIN(10,SUMPRODUCT((COUNTIF(J363:M363,L_KOM)&gt;0)*S_KOM)))</f>
        <v/>
      </c>
      <c r="O363" s="11" t="n"/>
      <c r="P363" s="10">
        <f>IF(O363="","",IFERROR(VLOOKUP(O363,T_KHID,2,FALSE),0))</f>
        <v/>
      </c>
      <c r="Q363" s="11" t="n"/>
      <c r="R363" s="11" t="n"/>
      <c r="S363" s="10">
        <f>IF(AND(Q363="",R363=""),"",IFERROR(INDEX(T_LIBAT,MATCH(Q363,L_PER,0),MATCH(R363,L_JENIS,0)),0))</f>
        <v/>
      </c>
      <c r="T363" s="11" t="n"/>
      <c r="U363" s="11" t="n"/>
      <c r="V363" s="10">
        <f>IF(AND(T363="",U363=""),"",IFERROR(INDEX(T_CAPAI,MATCH(T363,L_PER,0),MATCH(U363,L_KED,0)),0))</f>
        <v/>
      </c>
      <c r="W363" s="17">
        <f>IF(OR(B363="",E363="",COUNTA(F363,H363,J363:M363,O363,Q363:R363,T363:U363)=0),"",SUM(G363,I363,N363,P363,S363,V363))</f>
        <v/>
      </c>
      <c r="X363" s="18">
        <f>IF(W363="","",IF(Murid!F363="TL","TL",ROUND(W363/110*100,2)))</f>
        <v/>
      </c>
    </row>
    <row r="364">
      <c r="A364" s="15">
        <f>Murid!A364</f>
        <v/>
      </c>
      <c r="B364" s="15">
        <f>IF(Murid!B364="","",Murid!B364)</f>
        <v/>
      </c>
      <c r="C364" s="16">
        <f>IF(Murid!C364="","",Murid!C364)</f>
        <v/>
      </c>
      <c r="D364" s="15">
        <f>IF(Murid!E364="","",Murid!E364)</f>
        <v/>
      </c>
      <c r="E364" s="11" t="n"/>
      <c r="F364" s="11" t="n"/>
      <c r="G364" s="10">
        <f>IF(F364="","",IFERROR(VLOOKUP(F364,T_JUB,2,FALSE),0))</f>
        <v/>
      </c>
      <c r="H364" s="11" t="n"/>
      <c r="I364" s="17">
        <f>IF(H364="","",IF(H364&gt;=12,40,ROUND(H364*3.33,2)))</f>
        <v/>
      </c>
      <c r="J364" s="11" t="n"/>
      <c r="K364" s="11" t="n"/>
      <c r="L364" s="11" t="n"/>
      <c r="M364" s="11" t="n"/>
      <c r="N364" s="10">
        <f>IF(COUNTA(J364:M364)=0,"",MIN(10,SUMPRODUCT((COUNTIF(J364:M364,L_KOM)&gt;0)*S_KOM)))</f>
        <v/>
      </c>
      <c r="O364" s="11" t="n"/>
      <c r="P364" s="10">
        <f>IF(O364="","",IFERROR(VLOOKUP(O364,T_KHID,2,FALSE),0))</f>
        <v/>
      </c>
      <c r="Q364" s="11" t="n"/>
      <c r="R364" s="11" t="n"/>
      <c r="S364" s="10">
        <f>IF(AND(Q364="",R364=""),"",IFERROR(INDEX(T_LIBAT,MATCH(Q364,L_PER,0),MATCH(R364,L_JENIS,0)),0))</f>
        <v/>
      </c>
      <c r="T364" s="11" t="n"/>
      <c r="U364" s="11" t="n"/>
      <c r="V364" s="10">
        <f>IF(AND(T364="",U364=""),"",IFERROR(INDEX(T_CAPAI,MATCH(T364,L_PER,0),MATCH(U364,L_KED,0)),0))</f>
        <v/>
      </c>
      <c r="W364" s="17">
        <f>IF(OR(B364="",E364="",COUNTA(F364,H364,J364:M364,O364,Q364:R364,T364:U364)=0),"",SUM(G364,I364,N364,P364,S364,V364))</f>
        <v/>
      </c>
      <c r="X364" s="18">
        <f>IF(W364="","",IF(Murid!F364="TL","TL",ROUND(W364/110*100,2)))</f>
        <v/>
      </c>
    </row>
    <row r="365">
      <c r="A365" s="15">
        <f>Murid!A365</f>
        <v/>
      </c>
      <c r="B365" s="15">
        <f>IF(Murid!B365="","",Murid!B365)</f>
        <v/>
      </c>
      <c r="C365" s="16">
        <f>IF(Murid!C365="","",Murid!C365)</f>
        <v/>
      </c>
      <c r="D365" s="15">
        <f>IF(Murid!E365="","",Murid!E365)</f>
        <v/>
      </c>
      <c r="E365" s="11" t="n"/>
      <c r="F365" s="11" t="n"/>
      <c r="G365" s="10">
        <f>IF(F365="","",IFERROR(VLOOKUP(F365,T_JUB,2,FALSE),0))</f>
        <v/>
      </c>
      <c r="H365" s="11" t="n"/>
      <c r="I365" s="17">
        <f>IF(H365="","",IF(H365&gt;=12,40,ROUND(H365*3.33,2)))</f>
        <v/>
      </c>
      <c r="J365" s="11" t="n"/>
      <c r="K365" s="11" t="n"/>
      <c r="L365" s="11" t="n"/>
      <c r="M365" s="11" t="n"/>
      <c r="N365" s="10">
        <f>IF(COUNTA(J365:M365)=0,"",MIN(10,SUMPRODUCT((COUNTIF(J365:M365,L_KOM)&gt;0)*S_KOM)))</f>
        <v/>
      </c>
      <c r="O365" s="11" t="n"/>
      <c r="P365" s="10">
        <f>IF(O365="","",IFERROR(VLOOKUP(O365,T_KHID,2,FALSE),0))</f>
        <v/>
      </c>
      <c r="Q365" s="11" t="n"/>
      <c r="R365" s="11" t="n"/>
      <c r="S365" s="10">
        <f>IF(AND(Q365="",R365=""),"",IFERROR(INDEX(T_LIBAT,MATCH(Q365,L_PER,0),MATCH(R365,L_JENIS,0)),0))</f>
        <v/>
      </c>
      <c r="T365" s="11" t="n"/>
      <c r="U365" s="11" t="n"/>
      <c r="V365" s="10">
        <f>IF(AND(T365="",U365=""),"",IFERROR(INDEX(T_CAPAI,MATCH(T365,L_PER,0),MATCH(U365,L_KED,0)),0))</f>
        <v/>
      </c>
      <c r="W365" s="17">
        <f>IF(OR(B365="",E365="",COUNTA(F365,H365,J365:M365,O365,Q365:R365,T365:U365)=0),"",SUM(G365,I365,N365,P365,S365,V365))</f>
        <v/>
      </c>
      <c r="X365" s="18">
        <f>IF(W365="","",IF(Murid!F365="TL","TL",ROUND(W365/110*100,2)))</f>
        <v/>
      </c>
    </row>
    <row r="366">
      <c r="A366" s="15">
        <f>Murid!A366</f>
        <v/>
      </c>
      <c r="B366" s="15">
        <f>IF(Murid!B366="","",Murid!B366)</f>
        <v/>
      </c>
      <c r="C366" s="16">
        <f>IF(Murid!C366="","",Murid!C366)</f>
        <v/>
      </c>
      <c r="D366" s="15">
        <f>IF(Murid!E366="","",Murid!E366)</f>
        <v/>
      </c>
      <c r="E366" s="11" t="n"/>
      <c r="F366" s="11" t="n"/>
      <c r="G366" s="10">
        <f>IF(F366="","",IFERROR(VLOOKUP(F366,T_JUB,2,FALSE),0))</f>
        <v/>
      </c>
      <c r="H366" s="11" t="n"/>
      <c r="I366" s="17">
        <f>IF(H366="","",IF(H366&gt;=12,40,ROUND(H366*3.33,2)))</f>
        <v/>
      </c>
      <c r="J366" s="11" t="n"/>
      <c r="K366" s="11" t="n"/>
      <c r="L366" s="11" t="n"/>
      <c r="M366" s="11" t="n"/>
      <c r="N366" s="10">
        <f>IF(COUNTA(J366:M366)=0,"",MIN(10,SUMPRODUCT((COUNTIF(J366:M366,L_KOM)&gt;0)*S_KOM)))</f>
        <v/>
      </c>
      <c r="O366" s="11" t="n"/>
      <c r="P366" s="10">
        <f>IF(O366="","",IFERROR(VLOOKUP(O366,T_KHID,2,FALSE),0))</f>
        <v/>
      </c>
      <c r="Q366" s="11" t="n"/>
      <c r="R366" s="11" t="n"/>
      <c r="S366" s="10">
        <f>IF(AND(Q366="",R366=""),"",IFERROR(INDEX(T_LIBAT,MATCH(Q366,L_PER,0),MATCH(R366,L_JENIS,0)),0))</f>
        <v/>
      </c>
      <c r="T366" s="11" t="n"/>
      <c r="U366" s="11" t="n"/>
      <c r="V366" s="10">
        <f>IF(AND(T366="",U366=""),"",IFERROR(INDEX(T_CAPAI,MATCH(T366,L_PER,0),MATCH(U366,L_KED,0)),0))</f>
        <v/>
      </c>
      <c r="W366" s="17">
        <f>IF(OR(B366="",E366="",COUNTA(F366,H366,J366:M366,O366,Q366:R366,T366:U366)=0),"",SUM(G366,I366,N366,P366,S366,V366))</f>
        <v/>
      </c>
      <c r="X366" s="18">
        <f>IF(W366="","",IF(Murid!F366="TL","TL",ROUND(W366/110*100,2)))</f>
        <v/>
      </c>
    </row>
    <row r="367">
      <c r="A367" s="15">
        <f>Murid!A367</f>
        <v/>
      </c>
      <c r="B367" s="15">
        <f>IF(Murid!B367="","",Murid!B367)</f>
        <v/>
      </c>
      <c r="C367" s="16">
        <f>IF(Murid!C367="","",Murid!C367)</f>
        <v/>
      </c>
      <c r="D367" s="15">
        <f>IF(Murid!E367="","",Murid!E367)</f>
        <v/>
      </c>
      <c r="E367" s="11" t="n"/>
      <c r="F367" s="11" t="n"/>
      <c r="G367" s="10">
        <f>IF(F367="","",IFERROR(VLOOKUP(F367,T_JUB,2,FALSE),0))</f>
        <v/>
      </c>
      <c r="H367" s="11" t="n"/>
      <c r="I367" s="17">
        <f>IF(H367="","",IF(H367&gt;=12,40,ROUND(H367*3.33,2)))</f>
        <v/>
      </c>
      <c r="J367" s="11" t="n"/>
      <c r="K367" s="11" t="n"/>
      <c r="L367" s="11" t="n"/>
      <c r="M367" s="11" t="n"/>
      <c r="N367" s="10">
        <f>IF(COUNTA(J367:M367)=0,"",MIN(10,SUMPRODUCT((COUNTIF(J367:M367,L_KOM)&gt;0)*S_KOM)))</f>
        <v/>
      </c>
      <c r="O367" s="11" t="n"/>
      <c r="P367" s="10">
        <f>IF(O367="","",IFERROR(VLOOKUP(O367,T_KHID,2,FALSE),0))</f>
        <v/>
      </c>
      <c r="Q367" s="11" t="n"/>
      <c r="R367" s="11" t="n"/>
      <c r="S367" s="10">
        <f>IF(AND(Q367="",R367=""),"",IFERROR(INDEX(T_LIBAT,MATCH(Q367,L_PER,0),MATCH(R367,L_JENIS,0)),0))</f>
        <v/>
      </c>
      <c r="T367" s="11" t="n"/>
      <c r="U367" s="11" t="n"/>
      <c r="V367" s="10">
        <f>IF(AND(T367="",U367=""),"",IFERROR(INDEX(T_CAPAI,MATCH(T367,L_PER,0),MATCH(U367,L_KED,0)),0))</f>
        <v/>
      </c>
      <c r="W367" s="17">
        <f>IF(OR(B367="",E367="",COUNTA(F367,H367,J367:M367,O367,Q367:R367,T367:U367)=0),"",SUM(G367,I367,N367,P367,S367,V367))</f>
        <v/>
      </c>
      <c r="X367" s="18">
        <f>IF(W367="","",IF(Murid!F367="TL","TL",ROUND(W367/110*100,2)))</f>
        <v/>
      </c>
    </row>
    <row r="368">
      <c r="A368" s="15">
        <f>Murid!A368</f>
        <v/>
      </c>
      <c r="B368" s="15">
        <f>IF(Murid!B368="","",Murid!B368)</f>
        <v/>
      </c>
      <c r="C368" s="16">
        <f>IF(Murid!C368="","",Murid!C368)</f>
        <v/>
      </c>
      <c r="D368" s="15">
        <f>IF(Murid!E368="","",Murid!E368)</f>
        <v/>
      </c>
      <c r="E368" s="11" t="n"/>
      <c r="F368" s="11" t="n"/>
      <c r="G368" s="10">
        <f>IF(F368="","",IFERROR(VLOOKUP(F368,T_JUB,2,FALSE),0))</f>
        <v/>
      </c>
      <c r="H368" s="11" t="n"/>
      <c r="I368" s="17">
        <f>IF(H368="","",IF(H368&gt;=12,40,ROUND(H368*3.33,2)))</f>
        <v/>
      </c>
      <c r="J368" s="11" t="n"/>
      <c r="K368" s="11" t="n"/>
      <c r="L368" s="11" t="n"/>
      <c r="M368" s="11" t="n"/>
      <c r="N368" s="10">
        <f>IF(COUNTA(J368:M368)=0,"",MIN(10,SUMPRODUCT((COUNTIF(J368:M368,L_KOM)&gt;0)*S_KOM)))</f>
        <v/>
      </c>
      <c r="O368" s="11" t="n"/>
      <c r="P368" s="10">
        <f>IF(O368="","",IFERROR(VLOOKUP(O368,T_KHID,2,FALSE),0))</f>
        <v/>
      </c>
      <c r="Q368" s="11" t="n"/>
      <c r="R368" s="11" t="n"/>
      <c r="S368" s="10">
        <f>IF(AND(Q368="",R368=""),"",IFERROR(INDEX(T_LIBAT,MATCH(Q368,L_PER,0),MATCH(R368,L_JENIS,0)),0))</f>
        <v/>
      </c>
      <c r="T368" s="11" t="n"/>
      <c r="U368" s="11" t="n"/>
      <c r="V368" s="10">
        <f>IF(AND(T368="",U368=""),"",IFERROR(INDEX(T_CAPAI,MATCH(T368,L_PER,0),MATCH(U368,L_KED,0)),0))</f>
        <v/>
      </c>
      <c r="W368" s="17">
        <f>IF(OR(B368="",E368="",COUNTA(F368,H368,J368:M368,O368,Q368:R368,T368:U368)=0),"",SUM(G368,I368,N368,P368,S368,V368))</f>
        <v/>
      </c>
      <c r="X368" s="18">
        <f>IF(W368="","",IF(Murid!F368="TL","TL",ROUND(W368/110*100,2)))</f>
        <v/>
      </c>
    </row>
    <row r="369">
      <c r="A369" s="15">
        <f>Murid!A369</f>
        <v/>
      </c>
      <c r="B369" s="15">
        <f>IF(Murid!B369="","",Murid!B369)</f>
        <v/>
      </c>
      <c r="C369" s="16">
        <f>IF(Murid!C369="","",Murid!C369)</f>
        <v/>
      </c>
      <c r="D369" s="15">
        <f>IF(Murid!E369="","",Murid!E369)</f>
        <v/>
      </c>
      <c r="E369" s="11" t="n"/>
      <c r="F369" s="11" t="n"/>
      <c r="G369" s="10">
        <f>IF(F369="","",IFERROR(VLOOKUP(F369,T_JUB,2,FALSE),0))</f>
        <v/>
      </c>
      <c r="H369" s="11" t="n"/>
      <c r="I369" s="17">
        <f>IF(H369="","",IF(H369&gt;=12,40,ROUND(H369*3.33,2)))</f>
        <v/>
      </c>
      <c r="J369" s="11" t="n"/>
      <c r="K369" s="11" t="n"/>
      <c r="L369" s="11" t="n"/>
      <c r="M369" s="11" t="n"/>
      <c r="N369" s="10">
        <f>IF(COUNTA(J369:M369)=0,"",MIN(10,SUMPRODUCT((COUNTIF(J369:M369,L_KOM)&gt;0)*S_KOM)))</f>
        <v/>
      </c>
      <c r="O369" s="11" t="n"/>
      <c r="P369" s="10">
        <f>IF(O369="","",IFERROR(VLOOKUP(O369,T_KHID,2,FALSE),0))</f>
        <v/>
      </c>
      <c r="Q369" s="11" t="n"/>
      <c r="R369" s="11" t="n"/>
      <c r="S369" s="10">
        <f>IF(AND(Q369="",R369=""),"",IFERROR(INDEX(T_LIBAT,MATCH(Q369,L_PER,0),MATCH(R369,L_JENIS,0)),0))</f>
        <v/>
      </c>
      <c r="T369" s="11" t="n"/>
      <c r="U369" s="11" t="n"/>
      <c r="V369" s="10">
        <f>IF(AND(T369="",U369=""),"",IFERROR(INDEX(T_CAPAI,MATCH(T369,L_PER,0),MATCH(U369,L_KED,0)),0))</f>
        <v/>
      </c>
      <c r="W369" s="17">
        <f>IF(OR(B369="",E369="",COUNTA(F369,H369,J369:M369,O369,Q369:R369,T369:U369)=0),"",SUM(G369,I369,N369,P369,S369,V369))</f>
        <v/>
      </c>
      <c r="X369" s="18">
        <f>IF(W369="","",IF(Murid!F369="TL","TL",ROUND(W369/110*100,2)))</f>
        <v/>
      </c>
    </row>
    <row r="370">
      <c r="A370" s="15">
        <f>Murid!A370</f>
        <v/>
      </c>
      <c r="B370" s="15">
        <f>IF(Murid!B370="","",Murid!B370)</f>
        <v/>
      </c>
      <c r="C370" s="16">
        <f>IF(Murid!C370="","",Murid!C370)</f>
        <v/>
      </c>
      <c r="D370" s="15">
        <f>IF(Murid!E370="","",Murid!E370)</f>
        <v/>
      </c>
      <c r="E370" s="11" t="n"/>
      <c r="F370" s="11" t="n"/>
      <c r="G370" s="10">
        <f>IF(F370="","",IFERROR(VLOOKUP(F370,T_JUB,2,FALSE),0))</f>
        <v/>
      </c>
      <c r="H370" s="11" t="n"/>
      <c r="I370" s="17">
        <f>IF(H370="","",IF(H370&gt;=12,40,ROUND(H370*3.33,2)))</f>
        <v/>
      </c>
      <c r="J370" s="11" t="n"/>
      <c r="K370" s="11" t="n"/>
      <c r="L370" s="11" t="n"/>
      <c r="M370" s="11" t="n"/>
      <c r="N370" s="10">
        <f>IF(COUNTA(J370:M370)=0,"",MIN(10,SUMPRODUCT((COUNTIF(J370:M370,L_KOM)&gt;0)*S_KOM)))</f>
        <v/>
      </c>
      <c r="O370" s="11" t="n"/>
      <c r="P370" s="10">
        <f>IF(O370="","",IFERROR(VLOOKUP(O370,T_KHID,2,FALSE),0))</f>
        <v/>
      </c>
      <c r="Q370" s="11" t="n"/>
      <c r="R370" s="11" t="n"/>
      <c r="S370" s="10">
        <f>IF(AND(Q370="",R370=""),"",IFERROR(INDEX(T_LIBAT,MATCH(Q370,L_PER,0),MATCH(R370,L_JENIS,0)),0))</f>
        <v/>
      </c>
      <c r="T370" s="11" t="n"/>
      <c r="U370" s="11" t="n"/>
      <c r="V370" s="10">
        <f>IF(AND(T370="",U370=""),"",IFERROR(INDEX(T_CAPAI,MATCH(T370,L_PER,0),MATCH(U370,L_KED,0)),0))</f>
        <v/>
      </c>
      <c r="W370" s="17">
        <f>IF(OR(B370="",E370="",COUNTA(F370,H370,J370:M370,O370,Q370:R370,T370:U370)=0),"",SUM(G370,I370,N370,P370,S370,V370))</f>
        <v/>
      </c>
      <c r="X370" s="18">
        <f>IF(W370="","",IF(Murid!F370="TL","TL",ROUND(W370/110*100,2)))</f>
        <v/>
      </c>
    </row>
    <row r="371">
      <c r="A371" s="15">
        <f>Murid!A371</f>
        <v/>
      </c>
      <c r="B371" s="15">
        <f>IF(Murid!B371="","",Murid!B371)</f>
        <v/>
      </c>
      <c r="C371" s="16">
        <f>IF(Murid!C371="","",Murid!C371)</f>
        <v/>
      </c>
      <c r="D371" s="15">
        <f>IF(Murid!E371="","",Murid!E371)</f>
        <v/>
      </c>
      <c r="E371" s="11" t="n"/>
      <c r="F371" s="11" t="n"/>
      <c r="G371" s="10">
        <f>IF(F371="","",IFERROR(VLOOKUP(F371,T_JUB,2,FALSE),0))</f>
        <v/>
      </c>
      <c r="H371" s="11" t="n"/>
      <c r="I371" s="17">
        <f>IF(H371="","",IF(H371&gt;=12,40,ROUND(H371*3.33,2)))</f>
        <v/>
      </c>
      <c r="J371" s="11" t="n"/>
      <c r="K371" s="11" t="n"/>
      <c r="L371" s="11" t="n"/>
      <c r="M371" s="11" t="n"/>
      <c r="N371" s="10">
        <f>IF(COUNTA(J371:M371)=0,"",MIN(10,SUMPRODUCT((COUNTIF(J371:M371,L_KOM)&gt;0)*S_KOM)))</f>
        <v/>
      </c>
      <c r="O371" s="11" t="n"/>
      <c r="P371" s="10">
        <f>IF(O371="","",IFERROR(VLOOKUP(O371,T_KHID,2,FALSE),0))</f>
        <v/>
      </c>
      <c r="Q371" s="11" t="n"/>
      <c r="R371" s="11" t="n"/>
      <c r="S371" s="10">
        <f>IF(AND(Q371="",R371=""),"",IFERROR(INDEX(T_LIBAT,MATCH(Q371,L_PER,0),MATCH(R371,L_JENIS,0)),0))</f>
        <v/>
      </c>
      <c r="T371" s="11" t="n"/>
      <c r="U371" s="11" t="n"/>
      <c r="V371" s="10">
        <f>IF(AND(T371="",U371=""),"",IFERROR(INDEX(T_CAPAI,MATCH(T371,L_PER,0),MATCH(U371,L_KED,0)),0))</f>
        <v/>
      </c>
      <c r="W371" s="17">
        <f>IF(OR(B371="",E371="",COUNTA(F371,H371,J371:M371,O371,Q371:R371,T371:U371)=0),"",SUM(G371,I371,N371,P371,S371,V371))</f>
        <v/>
      </c>
      <c r="X371" s="18">
        <f>IF(W371="","",IF(Murid!F371="TL","TL",ROUND(W371/110*100,2)))</f>
        <v/>
      </c>
    </row>
    <row r="372">
      <c r="A372" s="15">
        <f>Murid!A372</f>
        <v/>
      </c>
      <c r="B372" s="15">
        <f>IF(Murid!B372="","",Murid!B372)</f>
        <v/>
      </c>
      <c r="C372" s="16">
        <f>IF(Murid!C372="","",Murid!C372)</f>
        <v/>
      </c>
      <c r="D372" s="15">
        <f>IF(Murid!E372="","",Murid!E372)</f>
        <v/>
      </c>
      <c r="E372" s="11" t="n"/>
      <c r="F372" s="11" t="n"/>
      <c r="G372" s="10">
        <f>IF(F372="","",IFERROR(VLOOKUP(F372,T_JUB,2,FALSE),0))</f>
        <v/>
      </c>
      <c r="H372" s="11" t="n"/>
      <c r="I372" s="17">
        <f>IF(H372="","",IF(H372&gt;=12,40,ROUND(H372*3.33,2)))</f>
        <v/>
      </c>
      <c r="J372" s="11" t="n"/>
      <c r="K372" s="11" t="n"/>
      <c r="L372" s="11" t="n"/>
      <c r="M372" s="11" t="n"/>
      <c r="N372" s="10">
        <f>IF(COUNTA(J372:M372)=0,"",MIN(10,SUMPRODUCT((COUNTIF(J372:M372,L_KOM)&gt;0)*S_KOM)))</f>
        <v/>
      </c>
      <c r="O372" s="11" t="n"/>
      <c r="P372" s="10">
        <f>IF(O372="","",IFERROR(VLOOKUP(O372,T_KHID,2,FALSE),0))</f>
        <v/>
      </c>
      <c r="Q372" s="11" t="n"/>
      <c r="R372" s="11" t="n"/>
      <c r="S372" s="10">
        <f>IF(AND(Q372="",R372=""),"",IFERROR(INDEX(T_LIBAT,MATCH(Q372,L_PER,0),MATCH(R372,L_JENIS,0)),0))</f>
        <v/>
      </c>
      <c r="T372" s="11" t="n"/>
      <c r="U372" s="11" t="n"/>
      <c r="V372" s="10">
        <f>IF(AND(T372="",U372=""),"",IFERROR(INDEX(T_CAPAI,MATCH(T372,L_PER,0),MATCH(U372,L_KED,0)),0))</f>
        <v/>
      </c>
      <c r="W372" s="17">
        <f>IF(OR(B372="",E372="",COUNTA(F372,H372,J372:M372,O372,Q372:R372,T372:U372)=0),"",SUM(G372,I372,N372,P372,S372,V372))</f>
        <v/>
      </c>
      <c r="X372" s="18">
        <f>IF(W372="","",IF(Murid!F372="TL","TL",ROUND(W372/110*100,2)))</f>
        <v/>
      </c>
    </row>
    <row r="373">
      <c r="A373" s="15">
        <f>Murid!A373</f>
        <v/>
      </c>
      <c r="B373" s="15">
        <f>IF(Murid!B373="","",Murid!B373)</f>
        <v/>
      </c>
      <c r="C373" s="16">
        <f>IF(Murid!C373="","",Murid!C373)</f>
        <v/>
      </c>
      <c r="D373" s="15">
        <f>IF(Murid!E373="","",Murid!E373)</f>
        <v/>
      </c>
      <c r="E373" s="11" t="n"/>
      <c r="F373" s="11" t="n"/>
      <c r="G373" s="10">
        <f>IF(F373="","",IFERROR(VLOOKUP(F373,T_JUB,2,FALSE),0))</f>
        <v/>
      </c>
      <c r="H373" s="11" t="n"/>
      <c r="I373" s="17">
        <f>IF(H373="","",IF(H373&gt;=12,40,ROUND(H373*3.33,2)))</f>
        <v/>
      </c>
      <c r="J373" s="11" t="n"/>
      <c r="K373" s="11" t="n"/>
      <c r="L373" s="11" t="n"/>
      <c r="M373" s="11" t="n"/>
      <c r="N373" s="10">
        <f>IF(COUNTA(J373:M373)=0,"",MIN(10,SUMPRODUCT((COUNTIF(J373:M373,L_KOM)&gt;0)*S_KOM)))</f>
        <v/>
      </c>
      <c r="O373" s="11" t="n"/>
      <c r="P373" s="10">
        <f>IF(O373="","",IFERROR(VLOOKUP(O373,T_KHID,2,FALSE),0))</f>
        <v/>
      </c>
      <c r="Q373" s="11" t="n"/>
      <c r="R373" s="11" t="n"/>
      <c r="S373" s="10">
        <f>IF(AND(Q373="",R373=""),"",IFERROR(INDEX(T_LIBAT,MATCH(Q373,L_PER,0),MATCH(R373,L_JENIS,0)),0))</f>
        <v/>
      </c>
      <c r="T373" s="11" t="n"/>
      <c r="U373" s="11" t="n"/>
      <c r="V373" s="10">
        <f>IF(AND(T373="",U373=""),"",IFERROR(INDEX(T_CAPAI,MATCH(T373,L_PER,0),MATCH(U373,L_KED,0)),0))</f>
        <v/>
      </c>
      <c r="W373" s="17">
        <f>IF(OR(B373="",E373="",COUNTA(F373,H373,J373:M373,O373,Q373:R373,T373:U373)=0),"",SUM(G373,I373,N373,P373,S373,V373))</f>
        <v/>
      </c>
      <c r="X373" s="18">
        <f>IF(W373="","",IF(Murid!F373="TL","TL",ROUND(W373/110*100,2)))</f>
        <v/>
      </c>
    </row>
    <row r="374">
      <c r="A374" s="15">
        <f>Murid!A374</f>
        <v/>
      </c>
      <c r="B374" s="15">
        <f>IF(Murid!B374="","",Murid!B374)</f>
        <v/>
      </c>
      <c r="C374" s="16">
        <f>IF(Murid!C374="","",Murid!C374)</f>
        <v/>
      </c>
      <c r="D374" s="15">
        <f>IF(Murid!E374="","",Murid!E374)</f>
        <v/>
      </c>
      <c r="E374" s="11" t="n"/>
      <c r="F374" s="11" t="n"/>
      <c r="G374" s="10">
        <f>IF(F374="","",IFERROR(VLOOKUP(F374,T_JUB,2,FALSE),0))</f>
        <v/>
      </c>
      <c r="H374" s="11" t="n"/>
      <c r="I374" s="17">
        <f>IF(H374="","",IF(H374&gt;=12,40,ROUND(H374*3.33,2)))</f>
        <v/>
      </c>
      <c r="J374" s="11" t="n"/>
      <c r="K374" s="11" t="n"/>
      <c r="L374" s="11" t="n"/>
      <c r="M374" s="11" t="n"/>
      <c r="N374" s="10">
        <f>IF(COUNTA(J374:M374)=0,"",MIN(10,SUMPRODUCT((COUNTIF(J374:M374,L_KOM)&gt;0)*S_KOM)))</f>
        <v/>
      </c>
      <c r="O374" s="11" t="n"/>
      <c r="P374" s="10">
        <f>IF(O374="","",IFERROR(VLOOKUP(O374,T_KHID,2,FALSE),0))</f>
        <v/>
      </c>
      <c r="Q374" s="11" t="n"/>
      <c r="R374" s="11" t="n"/>
      <c r="S374" s="10">
        <f>IF(AND(Q374="",R374=""),"",IFERROR(INDEX(T_LIBAT,MATCH(Q374,L_PER,0),MATCH(R374,L_JENIS,0)),0))</f>
        <v/>
      </c>
      <c r="T374" s="11" t="n"/>
      <c r="U374" s="11" t="n"/>
      <c r="V374" s="10">
        <f>IF(AND(T374="",U374=""),"",IFERROR(INDEX(T_CAPAI,MATCH(T374,L_PER,0),MATCH(U374,L_KED,0)),0))</f>
        <v/>
      </c>
      <c r="W374" s="17">
        <f>IF(OR(B374="",E374="",COUNTA(F374,H374,J374:M374,O374,Q374:R374,T374:U374)=0),"",SUM(G374,I374,N374,P374,S374,V374))</f>
        <v/>
      </c>
      <c r="X374" s="18">
        <f>IF(W374="","",IF(Murid!F374="TL","TL",ROUND(W374/110*100,2)))</f>
        <v/>
      </c>
    </row>
    <row r="375">
      <c r="A375" s="15">
        <f>Murid!A375</f>
        <v/>
      </c>
      <c r="B375" s="15">
        <f>IF(Murid!B375="","",Murid!B375)</f>
        <v/>
      </c>
      <c r="C375" s="16">
        <f>IF(Murid!C375="","",Murid!C375)</f>
        <v/>
      </c>
      <c r="D375" s="15">
        <f>IF(Murid!E375="","",Murid!E375)</f>
        <v/>
      </c>
      <c r="E375" s="11" t="n"/>
      <c r="F375" s="11" t="n"/>
      <c r="G375" s="10">
        <f>IF(F375="","",IFERROR(VLOOKUP(F375,T_JUB,2,FALSE),0))</f>
        <v/>
      </c>
      <c r="H375" s="11" t="n"/>
      <c r="I375" s="17">
        <f>IF(H375="","",IF(H375&gt;=12,40,ROUND(H375*3.33,2)))</f>
        <v/>
      </c>
      <c r="J375" s="11" t="n"/>
      <c r="K375" s="11" t="n"/>
      <c r="L375" s="11" t="n"/>
      <c r="M375" s="11" t="n"/>
      <c r="N375" s="10">
        <f>IF(COUNTA(J375:M375)=0,"",MIN(10,SUMPRODUCT((COUNTIF(J375:M375,L_KOM)&gt;0)*S_KOM)))</f>
        <v/>
      </c>
      <c r="O375" s="11" t="n"/>
      <c r="P375" s="10">
        <f>IF(O375="","",IFERROR(VLOOKUP(O375,T_KHID,2,FALSE),0))</f>
        <v/>
      </c>
      <c r="Q375" s="11" t="n"/>
      <c r="R375" s="11" t="n"/>
      <c r="S375" s="10">
        <f>IF(AND(Q375="",R375=""),"",IFERROR(INDEX(T_LIBAT,MATCH(Q375,L_PER,0),MATCH(R375,L_JENIS,0)),0))</f>
        <v/>
      </c>
      <c r="T375" s="11" t="n"/>
      <c r="U375" s="11" t="n"/>
      <c r="V375" s="10">
        <f>IF(AND(T375="",U375=""),"",IFERROR(INDEX(T_CAPAI,MATCH(T375,L_PER,0),MATCH(U375,L_KED,0)),0))</f>
        <v/>
      </c>
      <c r="W375" s="17">
        <f>IF(OR(B375="",E375="",COUNTA(F375,H375,J375:M375,O375,Q375:R375,T375:U375)=0),"",SUM(G375,I375,N375,P375,S375,V375))</f>
        <v/>
      </c>
      <c r="X375" s="18">
        <f>IF(W375="","",IF(Murid!F375="TL","TL",ROUND(W375/110*100,2)))</f>
        <v/>
      </c>
    </row>
    <row r="376">
      <c r="A376" s="15">
        <f>Murid!A376</f>
        <v/>
      </c>
      <c r="B376" s="15">
        <f>IF(Murid!B376="","",Murid!B376)</f>
        <v/>
      </c>
      <c r="C376" s="16">
        <f>IF(Murid!C376="","",Murid!C376)</f>
        <v/>
      </c>
      <c r="D376" s="15">
        <f>IF(Murid!E376="","",Murid!E376)</f>
        <v/>
      </c>
      <c r="E376" s="11" t="n"/>
      <c r="F376" s="11" t="n"/>
      <c r="G376" s="10">
        <f>IF(F376="","",IFERROR(VLOOKUP(F376,T_JUB,2,FALSE),0))</f>
        <v/>
      </c>
      <c r="H376" s="11" t="n"/>
      <c r="I376" s="17">
        <f>IF(H376="","",IF(H376&gt;=12,40,ROUND(H376*3.33,2)))</f>
        <v/>
      </c>
      <c r="J376" s="11" t="n"/>
      <c r="K376" s="11" t="n"/>
      <c r="L376" s="11" t="n"/>
      <c r="M376" s="11" t="n"/>
      <c r="N376" s="10">
        <f>IF(COUNTA(J376:M376)=0,"",MIN(10,SUMPRODUCT((COUNTIF(J376:M376,L_KOM)&gt;0)*S_KOM)))</f>
        <v/>
      </c>
      <c r="O376" s="11" t="n"/>
      <c r="P376" s="10">
        <f>IF(O376="","",IFERROR(VLOOKUP(O376,T_KHID,2,FALSE),0))</f>
        <v/>
      </c>
      <c r="Q376" s="11" t="n"/>
      <c r="R376" s="11" t="n"/>
      <c r="S376" s="10">
        <f>IF(AND(Q376="",R376=""),"",IFERROR(INDEX(T_LIBAT,MATCH(Q376,L_PER,0),MATCH(R376,L_JENIS,0)),0))</f>
        <v/>
      </c>
      <c r="T376" s="11" t="n"/>
      <c r="U376" s="11" t="n"/>
      <c r="V376" s="10">
        <f>IF(AND(T376="",U376=""),"",IFERROR(INDEX(T_CAPAI,MATCH(T376,L_PER,0),MATCH(U376,L_KED,0)),0))</f>
        <v/>
      </c>
      <c r="W376" s="17">
        <f>IF(OR(B376="",E376="",COUNTA(F376,H376,J376:M376,O376,Q376:R376,T376:U376)=0),"",SUM(G376,I376,N376,P376,S376,V376))</f>
        <v/>
      </c>
      <c r="X376" s="18">
        <f>IF(W376="","",IF(Murid!F376="TL","TL",ROUND(W376/110*100,2)))</f>
        <v/>
      </c>
    </row>
    <row r="377">
      <c r="A377" s="15">
        <f>Murid!A377</f>
        <v/>
      </c>
      <c r="B377" s="15">
        <f>IF(Murid!B377="","",Murid!B377)</f>
        <v/>
      </c>
      <c r="C377" s="16">
        <f>IF(Murid!C377="","",Murid!C377)</f>
        <v/>
      </c>
      <c r="D377" s="15">
        <f>IF(Murid!E377="","",Murid!E377)</f>
        <v/>
      </c>
      <c r="E377" s="11" t="n"/>
      <c r="F377" s="11" t="n"/>
      <c r="G377" s="10">
        <f>IF(F377="","",IFERROR(VLOOKUP(F377,T_JUB,2,FALSE),0))</f>
        <v/>
      </c>
      <c r="H377" s="11" t="n"/>
      <c r="I377" s="17">
        <f>IF(H377="","",IF(H377&gt;=12,40,ROUND(H377*3.33,2)))</f>
        <v/>
      </c>
      <c r="J377" s="11" t="n"/>
      <c r="K377" s="11" t="n"/>
      <c r="L377" s="11" t="n"/>
      <c r="M377" s="11" t="n"/>
      <c r="N377" s="10">
        <f>IF(COUNTA(J377:M377)=0,"",MIN(10,SUMPRODUCT((COUNTIF(J377:M377,L_KOM)&gt;0)*S_KOM)))</f>
        <v/>
      </c>
      <c r="O377" s="11" t="n"/>
      <c r="P377" s="10">
        <f>IF(O377="","",IFERROR(VLOOKUP(O377,T_KHID,2,FALSE),0))</f>
        <v/>
      </c>
      <c r="Q377" s="11" t="n"/>
      <c r="R377" s="11" t="n"/>
      <c r="S377" s="10">
        <f>IF(AND(Q377="",R377=""),"",IFERROR(INDEX(T_LIBAT,MATCH(Q377,L_PER,0),MATCH(R377,L_JENIS,0)),0))</f>
        <v/>
      </c>
      <c r="T377" s="11" t="n"/>
      <c r="U377" s="11" t="n"/>
      <c r="V377" s="10">
        <f>IF(AND(T377="",U377=""),"",IFERROR(INDEX(T_CAPAI,MATCH(T377,L_PER,0),MATCH(U377,L_KED,0)),0))</f>
        <v/>
      </c>
      <c r="W377" s="17">
        <f>IF(OR(B377="",E377="",COUNTA(F377,H377,J377:M377,O377,Q377:R377,T377:U377)=0),"",SUM(G377,I377,N377,P377,S377,V377))</f>
        <v/>
      </c>
      <c r="X377" s="18">
        <f>IF(W377="","",IF(Murid!F377="TL","TL",ROUND(W377/110*100,2)))</f>
        <v/>
      </c>
    </row>
    <row r="378">
      <c r="A378" s="15">
        <f>Murid!A378</f>
        <v/>
      </c>
      <c r="B378" s="15">
        <f>IF(Murid!B378="","",Murid!B378)</f>
        <v/>
      </c>
      <c r="C378" s="16">
        <f>IF(Murid!C378="","",Murid!C378)</f>
        <v/>
      </c>
      <c r="D378" s="15">
        <f>IF(Murid!E378="","",Murid!E378)</f>
        <v/>
      </c>
      <c r="E378" s="11" t="n"/>
      <c r="F378" s="11" t="n"/>
      <c r="G378" s="10">
        <f>IF(F378="","",IFERROR(VLOOKUP(F378,T_JUB,2,FALSE),0))</f>
        <v/>
      </c>
      <c r="H378" s="11" t="n"/>
      <c r="I378" s="17">
        <f>IF(H378="","",IF(H378&gt;=12,40,ROUND(H378*3.33,2)))</f>
        <v/>
      </c>
      <c r="J378" s="11" t="n"/>
      <c r="K378" s="11" t="n"/>
      <c r="L378" s="11" t="n"/>
      <c r="M378" s="11" t="n"/>
      <c r="N378" s="10">
        <f>IF(COUNTA(J378:M378)=0,"",MIN(10,SUMPRODUCT((COUNTIF(J378:M378,L_KOM)&gt;0)*S_KOM)))</f>
        <v/>
      </c>
      <c r="O378" s="11" t="n"/>
      <c r="P378" s="10">
        <f>IF(O378="","",IFERROR(VLOOKUP(O378,T_KHID,2,FALSE),0))</f>
        <v/>
      </c>
      <c r="Q378" s="11" t="n"/>
      <c r="R378" s="11" t="n"/>
      <c r="S378" s="10">
        <f>IF(AND(Q378="",R378=""),"",IFERROR(INDEX(T_LIBAT,MATCH(Q378,L_PER,0),MATCH(R378,L_JENIS,0)),0))</f>
        <v/>
      </c>
      <c r="T378" s="11" t="n"/>
      <c r="U378" s="11" t="n"/>
      <c r="V378" s="10">
        <f>IF(AND(T378="",U378=""),"",IFERROR(INDEX(T_CAPAI,MATCH(T378,L_PER,0),MATCH(U378,L_KED,0)),0))</f>
        <v/>
      </c>
      <c r="W378" s="17">
        <f>IF(OR(B378="",E378="",COUNTA(F378,H378,J378:M378,O378,Q378:R378,T378:U378)=0),"",SUM(G378,I378,N378,P378,S378,V378))</f>
        <v/>
      </c>
      <c r="X378" s="18">
        <f>IF(W378="","",IF(Murid!F378="TL","TL",ROUND(W378/110*100,2)))</f>
        <v/>
      </c>
    </row>
    <row r="379">
      <c r="A379" s="15">
        <f>Murid!A379</f>
        <v/>
      </c>
      <c r="B379" s="15">
        <f>IF(Murid!B379="","",Murid!B379)</f>
        <v/>
      </c>
      <c r="C379" s="16">
        <f>IF(Murid!C379="","",Murid!C379)</f>
        <v/>
      </c>
      <c r="D379" s="15">
        <f>IF(Murid!E379="","",Murid!E379)</f>
        <v/>
      </c>
      <c r="E379" s="11" t="n"/>
      <c r="F379" s="11" t="n"/>
      <c r="G379" s="10">
        <f>IF(F379="","",IFERROR(VLOOKUP(F379,T_JUB,2,FALSE),0))</f>
        <v/>
      </c>
      <c r="H379" s="11" t="n"/>
      <c r="I379" s="17">
        <f>IF(H379="","",IF(H379&gt;=12,40,ROUND(H379*3.33,2)))</f>
        <v/>
      </c>
      <c r="J379" s="11" t="n"/>
      <c r="K379" s="11" t="n"/>
      <c r="L379" s="11" t="n"/>
      <c r="M379" s="11" t="n"/>
      <c r="N379" s="10">
        <f>IF(COUNTA(J379:M379)=0,"",MIN(10,SUMPRODUCT((COUNTIF(J379:M379,L_KOM)&gt;0)*S_KOM)))</f>
        <v/>
      </c>
      <c r="O379" s="11" t="n"/>
      <c r="P379" s="10">
        <f>IF(O379="","",IFERROR(VLOOKUP(O379,T_KHID,2,FALSE),0))</f>
        <v/>
      </c>
      <c r="Q379" s="11" t="n"/>
      <c r="R379" s="11" t="n"/>
      <c r="S379" s="10">
        <f>IF(AND(Q379="",R379=""),"",IFERROR(INDEX(T_LIBAT,MATCH(Q379,L_PER,0),MATCH(R379,L_JENIS,0)),0))</f>
        <v/>
      </c>
      <c r="T379" s="11" t="n"/>
      <c r="U379" s="11" t="n"/>
      <c r="V379" s="10">
        <f>IF(AND(T379="",U379=""),"",IFERROR(INDEX(T_CAPAI,MATCH(T379,L_PER,0),MATCH(U379,L_KED,0)),0))</f>
        <v/>
      </c>
      <c r="W379" s="17">
        <f>IF(OR(B379="",E379="",COUNTA(F379,H379,J379:M379,O379,Q379:R379,T379:U379)=0),"",SUM(G379,I379,N379,P379,S379,V379))</f>
        <v/>
      </c>
      <c r="X379" s="18">
        <f>IF(W379="","",IF(Murid!F379="TL","TL",ROUND(W379/110*100,2)))</f>
        <v/>
      </c>
    </row>
    <row r="380">
      <c r="A380" s="15">
        <f>Murid!A380</f>
        <v/>
      </c>
      <c r="B380" s="15">
        <f>IF(Murid!B380="","",Murid!B380)</f>
        <v/>
      </c>
      <c r="C380" s="16">
        <f>IF(Murid!C380="","",Murid!C380)</f>
        <v/>
      </c>
      <c r="D380" s="15">
        <f>IF(Murid!E380="","",Murid!E380)</f>
        <v/>
      </c>
      <c r="E380" s="11" t="n"/>
      <c r="F380" s="11" t="n"/>
      <c r="G380" s="10">
        <f>IF(F380="","",IFERROR(VLOOKUP(F380,T_JUB,2,FALSE),0))</f>
        <v/>
      </c>
      <c r="H380" s="11" t="n"/>
      <c r="I380" s="17">
        <f>IF(H380="","",IF(H380&gt;=12,40,ROUND(H380*3.33,2)))</f>
        <v/>
      </c>
      <c r="J380" s="11" t="n"/>
      <c r="K380" s="11" t="n"/>
      <c r="L380" s="11" t="n"/>
      <c r="M380" s="11" t="n"/>
      <c r="N380" s="10">
        <f>IF(COUNTA(J380:M380)=0,"",MIN(10,SUMPRODUCT((COUNTIF(J380:M380,L_KOM)&gt;0)*S_KOM)))</f>
        <v/>
      </c>
      <c r="O380" s="11" t="n"/>
      <c r="P380" s="10">
        <f>IF(O380="","",IFERROR(VLOOKUP(O380,T_KHID,2,FALSE),0))</f>
        <v/>
      </c>
      <c r="Q380" s="11" t="n"/>
      <c r="R380" s="11" t="n"/>
      <c r="S380" s="10">
        <f>IF(AND(Q380="",R380=""),"",IFERROR(INDEX(T_LIBAT,MATCH(Q380,L_PER,0),MATCH(R380,L_JENIS,0)),0))</f>
        <v/>
      </c>
      <c r="T380" s="11" t="n"/>
      <c r="U380" s="11" t="n"/>
      <c r="V380" s="10">
        <f>IF(AND(T380="",U380=""),"",IFERROR(INDEX(T_CAPAI,MATCH(T380,L_PER,0),MATCH(U380,L_KED,0)),0))</f>
        <v/>
      </c>
      <c r="W380" s="17">
        <f>IF(OR(B380="",E380="",COUNTA(F380,H380,J380:M380,O380,Q380:R380,T380:U380)=0),"",SUM(G380,I380,N380,P380,S380,V380))</f>
        <v/>
      </c>
      <c r="X380" s="18">
        <f>IF(W380="","",IF(Murid!F380="TL","TL",ROUND(W380/110*100,2)))</f>
        <v/>
      </c>
    </row>
    <row r="381">
      <c r="A381" s="15">
        <f>Murid!A381</f>
        <v/>
      </c>
      <c r="B381" s="15">
        <f>IF(Murid!B381="","",Murid!B381)</f>
        <v/>
      </c>
      <c r="C381" s="16">
        <f>IF(Murid!C381="","",Murid!C381)</f>
        <v/>
      </c>
      <c r="D381" s="15">
        <f>IF(Murid!E381="","",Murid!E381)</f>
        <v/>
      </c>
      <c r="E381" s="11" t="n"/>
      <c r="F381" s="11" t="n"/>
      <c r="G381" s="10">
        <f>IF(F381="","",IFERROR(VLOOKUP(F381,T_JUB,2,FALSE),0))</f>
        <v/>
      </c>
      <c r="H381" s="11" t="n"/>
      <c r="I381" s="17">
        <f>IF(H381="","",IF(H381&gt;=12,40,ROUND(H381*3.33,2)))</f>
        <v/>
      </c>
      <c r="J381" s="11" t="n"/>
      <c r="K381" s="11" t="n"/>
      <c r="L381" s="11" t="n"/>
      <c r="M381" s="11" t="n"/>
      <c r="N381" s="10">
        <f>IF(COUNTA(J381:M381)=0,"",MIN(10,SUMPRODUCT((COUNTIF(J381:M381,L_KOM)&gt;0)*S_KOM)))</f>
        <v/>
      </c>
      <c r="O381" s="11" t="n"/>
      <c r="P381" s="10">
        <f>IF(O381="","",IFERROR(VLOOKUP(O381,T_KHID,2,FALSE),0))</f>
        <v/>
      </c>
      <c r="Q381" s="11" t="n"/>
      <c r="R381" s="11" t="n"/>
      <c r="S381" s="10">
        <f>IF(AND(Q381="",R381=""),"",IFERROR(INDEX(T_LIBAT,MATCH(Q381,L_PER,0),MATCH(R381,L_JENIS,0)),0))</f>
        <v/>
      </c>
      <c r="T381" s="11" t="n"/>
      <c r="U381" s="11" t="n"/>
      <c r="V381" s="10">
        <f>IF(AND(T381="",U381=""),"",IFERROR(INDEX(T_CAPAI,MATCH(T381,L_PER,0),MATCH(U381,L_KED,0)),0))</f>
        <v/>
      </c>
      <c r="W381" s="17">
        <f>IF(OR(B381="",E381="",COUNTA(F381,H381,J381:M381,O381,Q381:R381,T381:U381)=0),"",SUM(G381,I381,N381,P381,S381,V381))</f>
        <v/>
      </c>
      <c r="X381" s="18">
        <f>IF(W381="","",IF(Murid!F381="TL","TL",ROUND(W381/110*100,2)))</f>
        <v/>
      </c>
    </row>
    <row r="382">
      <c r="A382" s="15">
        <f>Murid!A382</f>
        <v/>
      </c>
      <c r="B382" s="15">
        <f>IF(Murid!B382="","",Murid!B382)</f>
        <v/>
      </c>
      <c r="C382" s="16">
        <f>IF(Murid!C382="","",Murid!C382)</f>
        <v/>
      </c>
      <c r="D382" s="15">
        <f>IF(Murid!E382="","",Murid!E382)</f>
        <v/>
      </c>
      <c r="E382" s="11" t="n"/>
      <c r="F382" s="11" t="n"/>
      <c r="G382" s="10">
        <f>IF(F382="","",IFERROR(VLOOKUP(F382,T_JUB,2,FALSE),0))</f>
        <v/>
      </c>
      <c r="H382" s="11" t="n"/>
      <c r="I382" s="17">
        <f>IF(H382="","",IF(H382&gt;=12,40,ROUND(H382*3.33,2)))</f>
        <v/>
      </c>
      <c r="J382" s="11" t="n"/>
      <c r="K382" s="11" t="n"/>
      <c r="L382" s="11" t="n"/>
      <c r="M382" s="11" t="n"/>
      <c r="N382" s="10">
        <f>IF(COUNTA(J382:M382)=0,"",MIN(10,SUMPRODUCT((COUNTIF(J382:M382,L_KOM)&gt;0)*S_KOM)))</f>
        <v/>
      </c>
      <c r="O382" s="11" t="n"/>
      <c r="P382" s="10">
        <f>IF(O382="","",IFERROR(VLOOKUP(O382,T_KHID,2,FALSE),0))</f>
        <v/>
      </c>
      <c r="Q382" s="11" t="n"/>
      <c r="R382" s="11" t="n"/>
      <c r="S382" s="10">
        <f>IF(AND(Q382="",R382=""),"",IFERROR(INDEX(T_LIBAT,MATCH(Q382,L_PER,0),MATCH(R382,L_JENIS,0)),0))</f>
        <v/>
      </c>
      <c r="T382" s="11" t="n"/>
      <c r="U382" s="11" t="n"/>
      <c r="V382" s="10">
        <f>IF(AND(T382="",U382=""),"",IFERROR(INDEX(T_CAPAI,MATCH(T382,L_PER,0),MATCH(U382,L_KED,0)),0))</f>
        <v/>
      </c>
      <c r="W382" s="17">
        <f>IF(OR(B382="",E382="",COUNTA(F382,H382,J382:M382,O382,Q382:R382,T382:U382)=0),"",SUM(G382,I382,N382,P382,S382,V382))</f>
        <v/>
      </c>
      <c r="X382" s="18">
        <f>IF(W382="","",IF(Murid!F382="TL","TL",ROUND(W382/110*100,2)))</f>
        <v/>
      </c>
    </row>
    <row r="383">
      <c r="A383" s="15">
        <f>Murid!A383</f>
        <v/>
      </c>
      <c r="B383" s="15">
        <f>IF(Murid!B383="","",Murid!B383)</f>
        <v/>
      </c>
      <c r="C383" s="16">
        <f>IF(Murid!C383="","",Murid!C383)</f>
        <v/>
      </c>
      <c r="D383" s="15">
        <f>IF(Murid!E383="","",Murid!E383)</f>
        <v/>
      </c>
      <c r="E383" s="11" t="n"/>
      <c r="F383" s="11" t="n"/>
      <c r="G383" s="10">
        <f>IF(F383="","",IFERROR(VLOOKUP(F383,T_JUB,2,FALSE),0))</f>
        <v/>
      </c>
      <c r="H383" s="11" t="n"/>
      <c r="I383" s="17">
        <f>IF(H383="","",IF(H383&gt;=12,40,ROUND(H383*3.33,2)))</f>
        <v/>
      </c>
      <c r="J383" s="11" t="n"/>
      <c r="K383" s="11" t="n"/>
      <c r="L383" s="11" t="n"/>
      <c r="M383" s="11" t="n"/>
      <c r="N383" s="10">
        <f>IF(COUNTA(J383:M383)=0,"",MIN(10,SUMPRODUCT((COUNTIF(J383:M383,L_KOM)&gt;0)*S_KOM)))</f>
        <v/>
      </c>
      <c r="O383" s="11" t="n"/>
      <c r="P383" s="10">
        <f>IF(O383="","",IFERROR(VLOOKUP(O383,T_KHID,2,FALSE),0))</f>
        <v/>
      </c>
      <c r="Q383" s="11" t="n"/>
      <c r="R383" s="11" t="n"/>
      <c r="S383" s="10">
        <f>IF(AND(Q383="",R383=""),"",IFERROR(INDEX(T_LIBAT,MATCH(Q383,L_PER,0),MATCH(R383,L_JENIS,0)),0))</f>
        <v/>
      </c>
      <c r="T383" s="11" t="n"/>
      <c r="U383" s="11" t="n"/>
      <c r="V383" s="10">
        <f>IF(AND(T383="",U383=""),"",IFERROR(INDEX(T_CAPAI,MATCH(T383,L_PER,0),MATCH(U383,L_KED,0)),0))</f>
        <v/>
      </c>
      <c r="W383" s="17">
        <f>IF(OR(B383="",E383="",COUNTA(F383,H383,J383:M383,O383,Q383:R383,T383:U383)=0),"",SUM(G383,I383,N383,P383,S383,V383))</f>
        <v/>
      </c>
      <c r="X383" s="18">
        <f>IF(W383="","",IF(Murid!F383="TL","TL",ROUND(W383/110*100,2)))</f>
        <v/>
      </c>
    </row>
    <row r="384">
      <c r="A384" s="15">
        <f>Murid!A384</f>
        <v/>
      </c>
      <c r="B384" s="15">
        <f>IF(Murid!B384="","",Murid!B384)</f>
        <v/>
      </c>
      <c r="C384" s="16">
        <f>IF(Murid!C384="","",Murid!C384)</f>
        <v/>
      </c>
      <c r="D384" s="15">
        <f>IF(Murid!E384="","",Murid!E384)</f>
        <v/>
      </c>
      <c r="E384" s="11" t="n"/>
      <c r="F384" s="11" t="n"/>
      <c r="G384" s="10">
        <f>IF(F384="","",IFERROR(VLOOKUP(F384,T_JUB,2,FALSE),0))</f>
        <v/>
      </c>
      <c r="H384" s="11" t="n"/>
      <c r="I384" s="17">
        <f>IF(H384="","",IF(H384&gt;=12,40,ROUND(H384*3.33,2)))</f>
        <v/>
      </c>
      <c r="J384" s="11" t="n"/>
      <c r="K384" s="11" t="n"/>
      <c r="L384" s="11" t="n"/>
      <c r="M384" s="11" t="n"/>
      <c r="N384" s="10">
        <f>IF(COUNTA(J384:M384)=0,"",MIN(10,SUMPRODUCT((COUNTIF(J384:M384,L_KOM)&gt;0)*S_KOM)))</f>
        <v/>
      </c>
      <c r="O384" s="11" t="n"/>
      <c r="P384" s="10">
        <f>IF(O384="","",IFERROR(VLOOKUP(O384,T_KHID,2,FALSE),0))</f>
        <v/>
      </c>
      <c r="Q384" s="11" t="n"/>
      <c r="R384" s="11" t="n"/>
      <c r="S384" s="10">
        <f>IF(AND(Q384="",R384=""),"",IFERROR(INDEX(T_LIBAT,MATCH(Q384,L_PER,0),MATCH(R384,L_JENIS,0)),0))</f>
        <v/>
      </c>
      <c r="T384" s="11" t="n"/>
      <c r="U384" s="11" t="n"/>
      <c r="V384" s="10">
        <f>IF(AND(T384="",U384=""),"",IFERROR(INDEX(T_CAPAI,MATCH(T384,L_PER,0),MATCH(U384,L_KED,0)),0))</f>
        <v/>
      </c>
      <c r="W384" s="17">
        <f>IF(OR(B384="",E384="",COUNTA(F384,H384,J384:M384,O384,Q384:R384,T384:U384)=0),"",SUM(G384,I384,N384,P384,S384,V384))</f>
        <v/>
      </c>
      <c r="X384" s="18">
        <f>IF(W384="","",IF(Murid!F384="TL","TL",ROUND(W384/110*100,2)))</f>
        <v/>
      </c>
    </row>
    <row r="385">
      <c r="A385" s="15">
        <f>Murid!A385</f>
        <v/>
      </c>
      <c r="B385" s="15">
        <f>IF(Murid!B385="","",Murid!B385)</f>
        <v/>
      </c>
      <c r="C385" s="16">
        <f>IF(Murid!C385="","",Murid!C385)</f>
        <v/>
      </c>
      <c r="D385" s="15">
        <f>IF(Murid!E385="","",Murid!E385)</f>
        <v/>
      </c>
      <c r="E385" s="11" t="n"/>
      <c r="F385" s="11" t="n"/>
      <c r="G385" s="10">
        <f>IF(F385="","",IFERROR(VLOOKUP(F385,T_JUB,2,FALSE),0))</f>
        <v/>
      </c>
      <c r="H385" s="11" t="n"/>
      <c r="I385" s="17">
        <f>IF(H385="","",IF(H385&gt;=12,40,ROUND(H385*3.33,2)))</f>
        <v/>
      </c>
      <c r="J385" s="11" t="n"/>
      <c r="K385" s="11" t="n"/>
      <c r="L385" s="11" t="n"/>
      <c r="M385" s="11" t="n"/>
      <c r="N385" s="10">
        <f>IF(COUNTA(J385:M385)=0,"",MIN(10,SUMPRODUCT((COUNTIF(J385:M385,L_KOM)&gt;0)*S_KOM)))</f>
        <v/>
      </c>
      <c r="O385" s="11" t="n"/>
      <c r="P385" s="10">
        <f>IF(O385="","",IFERROR(VLOOKUP(O385,T_KHID,2,FALSE),0))</f>
        <v/>
      </c>
      <c r="Q385" s="11" t="n"/>
      <c r="R385" s="11" t="n"/>
      <c r="S385" s="10">
        <f>IF(AND(Q385="",R385=""),"",IFERROR(INDEX(T_LIBAT,MATCH(Q385,L_PER,0),MATCH(R385,L_JENIS,0)),0))</f>
        <v/>
      </c>
      <c r="T385" s="11" t="n"/>
      <c r="U385" s="11" t="n"/>
      <c r="V385" s="10">
        <f>IF(AND(T385="",U385=""),"",IFERROR(INDEX(T_CAPAI,MATCH(T385,L_PER,0),MATCH(U385,L_KED,0)),0))</f>
        <v/>
      </c>
      <c r="W385" s="17">
        <f>IF(OR(B385="",E385="",COUNTA(F385,H385,J385:M385,O385,Q385:R385,T385:U385)=0),"",SUM(G385,I385,N385,P385,S385,V385))</f>
        <v/>
      </c>
      <c r="X385" s="18">
        <f>IF(W385="","",IF(Murid!F385="TL","TL",ROUND(W385/110*100,2)))</f>
        <v/>
      </c>
    </row>
    <row r="386">
      <c r="A386" s="15">
        <f>Murid!A386</f>
        <v/>
      </c>
      <c r="B386" s="15">
        <f>IF(Murid!B386="","",Murid!B386)</f>
        <v/>
      </c>
      <c r="C386" s="16">
        <f>IF(Murid!C386="","",Murid!C386)</f>
        <v/>
      </c>
      <c r="D386" s="15">
        <f>IF(Murid!E386="","",Murid!E386)</f>
        <v/>
      </c>
      <c r="E386" s="11" t="n"/>
      <c r="F386" s="11" t="n"/>
      <c r="G386" s="10">
        <f>IF(F386="","",IFERROR(VLOOKUP(F386,T_JUB,2,FALSE),0))</f>
        <v/>
      </c>
      <c r="H386" s="11" t="n"/>
      <c r="I386" s="17">
        <f>IF(H386="","",IF(H386&gt;=12,40,ROUND(H386*3.33,2)))</f>
        <v/>
      </c>
      <c r="J386" s="11" t="n"/>
      <c r="K386" s="11" t="n"/>
      <c r="L386" s="11" t="n"/>
      <c r="M386" s="11" t="n"/>
      <c r="N386" s="10">
        <f>IF(COUNTA(J386:M386)=0,"",MIN(10,SUMPRODUCT((COUNTIF(J386:M386,L_KOM)&gt;0)*S_KOM)))</f>
        <v/>
      </c>
      <c r="O386" s="11" t="n"/>
      <c r="P386" s="10">
        <f>IF(O386="","",IFERROR(VLOOKUP(O386,T_KHID,2,FALSE),0))</f>
        <v/>
      </c>
      <c r="Q386" s="11" t="n"/>
      <c r="R386" s="11" t="n"/>
      <c r="S386" s="10">
        <f>IF(AND(Q386="",R386=""),"",IFERROR(INDEX(T_LIBAT,MATCH(Q386,L_PER,0),MATCH(R386,L_JENIS,0)),0))</f>
        <v/>
      </c>
      <c r="T386" s="11" t="n"/>
      <c r="U386" s="11" t="n"/>
      <c r="V386" s="10">
        <f>IF(AND(T386="",U386=""),"",IFERROR(INDEX(T_CAPAI,MATCH(T386,L_PER,0),MATCH(U386,L_KED,0)),0))</f>
        <v/>
      </c>
      <c r="W386" s="17">
        <f>IF(OR(B386="",E386="",COUNTA(F386,H386,J386:M386,O386,Q386:R386,T386:U386)=0),"",SUM(G386,I386,N386,P386,S386,V386))</f>
        <v/>
      </c>
      <c r="X386" s="18">
        <f>IF(W386="","",IF(Murid!F386="TL","TL",ROUND(W386/110*100,2)))</f>
        <v/>
      </c>
    </row>
    <row r="387">
      <c r="A387" s="15">
        <f>Murid!A387</f>
        <v/>
      </c>
      <c r="B387" s="15">
        <f>IF(Murid!B387="","",Murid!B387)</f>
        <v/>
      </c>
      <c r="C387" s="16">
        <f>IF(Murid!C387="","",Murid!C387)</f>
        <v/>
      </c>
      <c r="D387" s="15">
        <f>IF(Murid!E387="","",Murid!E387)</f>
        <v/>
      </c>
      <c r="E387" s="11" t="n"/>
      <c r="F387" s="11" t="n"/>
      <c r="G387" s="10">
        <f>IF(F387="","",IFERROR(VLOOKUP(F387,T_JUB,2,FALSE),0))</f>
        <v/>
      </c>
      <c r="H387" s="11" t="n"/>
      <c r="I387" s="17">
        <f>IF(H387="","",IF(H387&gt;=12,40,ROUND(H387*3.33,2)))</f>
        <v/>
      </c>
      <c r="J387" s="11" t="n"/>
      <c r="K387" s="11" t="n"/>
      <c r="L387" s="11" t="n"/>
      <c r="M387" s="11" t="n"/>
      <c r="N387" s="10">
        <f>IF(COUNTA(J387:M387)=0,"",MIN(10,SUMPRODUCT((COUNTIF(J387:M387,L_KOM)&gt;0)*S_KOM)))</f>
        <v/>
      </c>
      <c r="O387" s="11" t="n"/>
      <c r="P387" s="10">
        <f>IF(O387="","",IFERROR(VLOOKUP(O387,T_KHID,2,FALSE),0))</f>
        <v/>
      </c>
      <c r="Q387" s="11" t="n"/>
      <c r="R387" s="11" t="n"/>
      <c r="S387" s="10">
        <f>IF(AND(Q387="",R387=""),"",IFERROR(INDEX(T_LIBAT,MATCH(Q387,L_PER,0),MATCH(R387,L_JENIS,0)),0))</f>
        <v/>
      </c>
      <c r="T387" s="11" t="n"/>
      <c r="U387" s="11" t="n"/>
      <c r="V387" s="10">
        <f>IF(AND(T387="",U387=""),"",IFERROR(INDEX(T_CAPAI,MATCH(T387,L_PER,0),MATCH(U387,L_KED,0)),0))</f>
        <v/>
      </c>
      <c r="W387" s="17">
        <f>IF(OR(B387="",E387="",COUNTA(F387,H387,J387:M387,O387,Q387:R387,T387:U387)=0),"",SUM(G387,I387,N387,P387,S387,V387))</f>
        <v/>
      </c>
      <c r="X387" s="18">
        <f>IF(W387="","",IF(Murid!F387="TL","TL",ROUND(W387/110*100,2)))</f>
        <v/>
      </c>
    </row>
    <row r="388">
      <c r="A388" s="15">
        <f>Murid!A388</f>
        <v/>
      </c>
      <c r="B388" s="15">
        <f>IF(Murid!B388="","",Murid!B388)</f>
        <v/>
      </c>
      <c r="C388" s="16">
        <f>IF(Murid!C388="","",Murid!C388)</f>
        <v/>
      </c>
      <c r="D388" s="15">
        <f>IF(Murid!E388="","",Murid!E388)</f>
        <v/>
      </c>
      <c r="E388" s="11" t="n"/>
      <c r="F388" s="11" t="n"/>
      <c r="G388" s="10">
        <f>IF(F388="","",IFERROR(VLOOKUP(F388,T_JUB,2,FALSE),0))</f>
        <v/>
      </c>
      <c r="H388" s="11" t="n"/>
      <c r="I388" s="17">
        <f>IF(H388="","",IF(H388&gt;=12,40,ROUND(H388*3.33,2)))</f>
        <v/>
      </c>
      <c r="J388" s="11" t="n"/>
      <c r="K388" s="11" t="n"/>
      <c r="L388" s="11" t="n"/>
      <c r="M388" s="11" t="n"/>
      <c r="N388" s="10">
        <f>IF(COUNTA(J388:M388)=0,"",MIN(10,SUMPRODUCT((COUNTIF(J388:M388,L_KOM)&gt;0)*S_KOM)))</f>
        <v/>
      </c>
      <c r="O388" s="11" t="n"/>
      <c r="P388" s="10">
        <f>IF(O388="","",IFERROR(VLOOKUP(O388,T_KHID,2,FALSE),0))</f>
        <v/>
      </c>
      <c r="Q388" s="11" t="n"/>
      <c r="R388" s="11" t="n"/>
      <c r="S388" s="10">
        <f>IF(AND(Q388="",R388=""),"",IFERROR(INDEX(T_LIBAT,MATCH(Q388,L_PER,0),MATCH(R388,L_JENIS,0)),0))</f>
        <v/>
      </c>
      <c r="T388" s="11" t="n"/>
      <c r="U388" s="11" t="n"/>
      <c r="V388" s="10">
        <f>IF(AND(T388="",U388=""),"",IFERROR(INDEX(T_CAPAI,MATCH(T388,L_PER,0),MATCH(U388,L_KED,0)),0))</f>
        <v/>
      </c>
      <c r="W388" s="17">
        <f>IF(OR(B388="",E388="",COUNTA(F388,H388,J388:M388,O388,Q388:R388,T388:U388)=0),"",SUM(G388,I388,N388,P388,S388,V388))</f>
        <v/>
      </c>
      <c r="X388" s="18">
        <f>IF(W388="","",IF(Murid!F388="TL","TL",ROUND(W388/110*100,2)))</f>
        <v/>
      </c>
    </row>
    <row r="389">
      <c r="A389" s="15">
        <f>Murid!A389</f>
        <v/>
      </c>
      <c r="B389" s="15">
        <f>IF(Murid!B389="","",Murid!B389)</f>
        <v/>
      </c>
      <c r="C389" s="16">
        <f>IF(Murid!C389="","",Murid!C389)</f>
        <v/>
      </c>
      <c r="D389" s="15">
        <f>IF(Murid!E389="","",Murid!E389)</f>
        <v/>
      </c>
      <c r="E389" s="11" t="n"/>
      <c r="F389" s="11" t="n"/>
      <c r="G389" s="10">
        <f>IF(F389="","",IFERROR(VLOOKUP(F389,T_JUB,2,FALSE),0))</f>
        <v/>
      </c>
      <c r="H389" s="11" t="n"/>
      <c r="I389" s="17">
        <f>IF(H389="","",IF(H389&gt;=12,40,ROUND(H389*3.33,2)))</f>
        <v/>
      </c>
      <c r="J389" s="11" t="n"/>
      <c r="K389" s="11" t="n"/>
      <c r="L389" s="11" t="n"/>
      <c r="M389" s="11" t="n"/>
      <c r="N389" s="10">
        <f>IF(COUNTA(J389:M389)=0,"",MIN(10,SUMPRODUCT((COUNTIF(J389:M389,L_KOM)&gt;0)*S_KOM)))</f>
        <v/>
      </c>
      <c r="O389" s="11" t="n"/>
      <c r="P389" s="10">
        <f>IF(O389="","",IFERROR(VLOOKUP(O389,T_KHID,2,FALSE),0))</f>
        <v/>
      </c>
      <c r="Q389" s="11" t="n"/>
      <c r="R389" s="11" t="n"/>
      <c r="S389" s="10">
        <f>IF(AND(Q389="",R389=""),"",IFERROR(INDEX(T_LIBAT,MATCH(Q389,L_PER,0),MATCH(R389,L_JENIS,0)),0))</f>
        <v/>
      </c>
      <c r="T389" s="11" t="n"/>
      <c r="U389" s="11" t="n"/>
      <c r="V389" s="10">
        <f>IF(AND(T389="",U389=""),"",IFERROR(INDEX(T_CAPAI,MATCH(T389,L_PER,0),MATCH(U389,L_KED,0)),0))</f>
        <v/>
      </c>
      <c r="W389" s="17">
        <f>IF(OR(B389="",E389="",COUNTA(F389,H389,J389:M389,O389,Q389:R389,T389:U389)=0),"",SUM(G389,I389,N389,P389,S389,V389))</f>
        <v/>
      </c>
      <c r="X389" s="18">
        <f>IF(W389="","",IF(Murid!F389="TL","TL",ROUND(W389/110*100,2)))</f>
        <v/>
      </c>
    </row>
    <row r="390">
      <c r="A390" s="15">
        <f>Murid!A390</f>
        <v/>
      </c>
      <c r="B390" s="15">
        <f>IF(Murid!B390="","",Murid!B390)</f>
        <v/>
      </c>
      <c r="C390" s="16">
        <f>IF(Murid!C390="","",Murid!C390)</f>
        <v/>
      </c>
      <c r="D390" s="15">
        <f>IF(Murid!E390="","",Murid!E390)</f>
        <v/>
      </c>
      <c r="E390" s="11" t="n"/>
      <c r="F390" s="11" t="n"/>
      <c r="G390" s="10">
        <f>IF(F390="","",IFERROR(VLOOKUP(F390,T_JUB,2,FALSE),0))</f>
        <v/>
      </c>
      <c r="H390" s="11" t="n"/>
      <c r="I390" s="17">
        <f>IF(H390="","",IF(H390&gt;=12,40,ROUND(H390*3.33,2)))</f>
        <v/>
      </c>
      <c r="J390" s="11" t="n"/>
      <c r="K390" s="11" t="n"/>
      <c r="L390" s="11" t="n"/>
      <c r="M390" s="11" t="n"/>
      <c r="N390" s="10">
        <f>IF(COUNTA(J390:M390)=0,"",MIN(10,SUMPRODUCT((COUNTIF(J390:M390,L_KOM)&gt;0)*S_KOM)))</f>
        <v/>
      </c>
      <c r="O390" s="11" t="n"/>
      <c r="P390" s="10">
        <f>IF(O390="","",IFERROR(VLOOKUP(O390,T_KHID,2,FALSE),0))</f>
        <v/>
      </c>
      <c r="Q390" s="11" t="n"/>
      <c r="R390" s="11" t="n"/>
      <c r="S390" s="10">
        <f>IF(AND(Q390="",R390=""),"",IFERROR(INDEX(T_LIBAT,MATCH(Q390,L_PER,0),MATCH(R390,L_JENIS,0)),0))</f>
        <v/>
      </c>
      <c r="T390" s="11" t="n"/>
      <c r="U390" s="11" t="n"/>
      <c r="V390" s="10">
        <f>IF(AND(T390="",U390=""),"",IFERROR(INDEX(T_CAPAI,MATCH(T390,L_PER,0),MATCH(U390,L_KED,0)),0))</f>
        <v/>
      </c>
      <c r="W390" s="17">
        <f>IF(OR(B390="",E390="",COUNTA(F390,H390,J390:M390,O390,Q390:R390,T390:U390)=0),"",SUM(G390,I390,N390,P390,S390,V390))</f>
        <v/>
      </c>
      <c r="X390" s="18">
        <f>IF(W390="","",IF(Murid!F390="TL","TL",ROUND(W390/110*100,2)))</f>
        <v/>
      </c>
    </row>
    <row r="391">
      <c r="A391" s="15">
        <f>Murid!A391</f>
        <v/>
      </c>
      <c r="B391" s="15">
        <f>IF(Murid!B391="","",Murid!B391)</f>
        <v/>
      </c>
      <c r="C391" s="16">
        <f>IF(Murid!C391="","",Murid!C391)</f>
        <v/>
      </c>
      <c r="D391" s="15">
        <f>IF(Murid!E391="","",Murid!E391)</f>
        <v/>
      </c>
      <c r="E391" s="11" t="n"/>
      <c r="F391" s="11" t="n"/>
      <c r="G391" s="10">
        <f>IF(F391="","",IFERROR(VLOOKUP(F391,T_JUB,2,FALSE),0))</f>
        <v/>
      </c>
      <c r="H391" s="11" t="n"/>
      <c r="I391" s="17">
        <f>IF(H391="","",IF(H391&gt;=12,40,ROUND(H391*3.33,2)))</f>
        <v/>
      </c>
      <c r="J391" s="11" t="n"/>
      <c r="K391" s="11" t="n"/>
      <c r="L391" s="11" t="n"/>
      <c r="M391" s="11" t="n"/>
      <c r="N391" s="10">
        <f>IF(COUNTA(J391:M391)=0,"",MIN(10,SUMPRODUCT((COUNTIF(J391:M391,L_KOM)&gt;0)*S_KOM)))</f>
        <v/>
      </c>
      <c r="O391" s="11" t="n"/>
      <c r="P391" s="10">
        <f>IF(O391="","",IFERROR(VLOOKUP(O391,T_KHID,2,FALSE),0))</f>
        <v/>
      </c>
      <c r="Q391" s="11" t="n"/>
      <c r="R391" s="11" t="n"/>
      <c r="S391" s="10">
        <f>IF(AND(Q391="",R391=""),"",IFERROR(INDEX(T_LIBAT,MATCH(Q391,L_PER,0),MATCH(R391,L_JENIS,0)),0))</f>
        <v/>
      </c>
      <c r="T391" s="11" t="n"/>
      <c r="U391" s="11" t="n"/>
      <c r="V391" s="10">
        <f>IF(AND(T391="",U391=""),"",IFERROR(INDEX(T_CAPAI,MATCH(T391,L_PER,0),MATCH(U391,L_KED,0)),0))</f>
        <v/>
      </c>
      <c r="W391" s="17">
        <f>IF(OR(B391="",E391="",COUNTA(F391,H391,J391:M391,O391,Q391:R391,T391:U391)=0),"",SUM(G391,I391,N391,P391,S391,V391))</f>
        <v/>
      </c>
      <c r="X391" s="18">
        <f>IF(W391="","",IF(Murid!F391="TL","TL",ROUND(W391/110*100,2)))</f>
        <v/>
      </c>
    </row>
    <row r="392">
      <c r="A392" s="15">
        <f>Murid!A392</f>
        <v/>
      </c>
      <c r="B392" s="15">
        <f>IF(Murid!B392="","",Murid!B392)</f>
        <v/>
      </c>
      <c r="C392" s="16">
        <f>IF(Murid!C392="","",Murid!C392)</f>
        <v/>
      </c>
      <c r="D392" s="15">
        <f>IF(Murid!E392="","",Murid!E392)</f>
        <v/>
      </c>
      <c r="E392" s="11" t="n"/>
      <c r="F392" s="11" t="n"/>
      <c r="G392" s="10">
        <f>IF(F392="","",IFERROR(VLOOKUP(F392,T_JUB,2,FALSE),0))</f>
        <v/>
      </c>
      <c r="H392" s="11" t="n"/>
      <c r="I392" s="17">
        <f>IF(H392="","",IF(H392&gt;=12,40,ROUND(H392*3.33,2)))</f>
        <v/>
      </c>
      <c r="J392" s="11" t="n"/>
      <c r="K392" s="11" t="n"/>
      <c r="L392" s="11" t="n"/>
      <c r="M392" s="11" t="n"/>
      <c r="N392" s="10">
        <f>IF(COUNTA(J392:M392)=0,"",MIN(10,SUMPRODUCT((COUNTIF(J392:M392,L_KOM)&gt;0)*S_KOM)))</f>
        <v/>
      </c>
      <c r="O392" s="11" t="n"/>
      <c r="P392" s="10">
        <f>IF(O392="","",IFERROR(VLOOKUP(O392,T_KHID,2,FALSE),0))</f>
        <v/>
      </c>
      <c r="Q392" s="11" t="n"/>
      <c r="R392" s="11" t="n"/>
      <c r="S392" s="10">
        <f>IF(AND(Q392="",R392=""),"",IFERROR(INDEX(T_LIBAT,MATCH(Q392,L_PER,0),MATCH(R392,L_JENIS,0)),0))</f>
        <v/>
      </c>
      <c r="T392" s="11" t="n"/>
      <c r="U392" s="11" t="n"/>
      <c r="V392" s="10">
        <f>IF(AND(T392="",U392=""),"",IFERROR(INDEX(T_CAPAI,MATCH(T392,L_PER,0),MATCH(U392,L_KED,0)),0))</f>
        <v/>
      </c>
      <c r="W392" s="17">
        <f>IF(OR(B392="",E392="",COUNTA(F392,H392,J392:M392,O392,Q392:R392,T392:U392)=0),"",SUM(G392,I392,N392,P392,S392,V392))</f>
        <v/>
      </c>
      <c r="X392" s="18">
        <f>IF(W392="","",IF(Murid!F392="TL","TL",ROUND(W392/110*100,2)))</f>
        <v/>
      </c>
    </row>
    <row r="393">
      <c r="A393" s="15">
        <f>Murid!A393</f>
        <v/>
      </c>
      <c r="B393" s="15">
        <f>IF(Murid!B393="","",Murid!B393)</f>
        <v/>
      </c>
      <c r="C393" s="16">
        <f>IF(Murid!C393="","",Murid!C393)</f>
        <v/>
      </c>
      <c r="D393" s="15">
        <f>IF(Murid!E393="","",Murid!E393)</f>
        <v/>
      </c>
      <c r="E393" s="11" t="n"/>
      <c r="F393" s="11" t="n"/>
      <c r="G393" s="10">
        <f>IF(F393="","",IFERROR(VLOOKUP(F393,T_JUB,2,FALSE),0))</f>
        <v/>
      </c>
      <c r="H393" s="11" t="n"/>
      <c r="I393" s="17">
        <f>IF(H393="","",IF(H393&gt;=12,40,ROUND(H393*3.33,2)))</f>
        <v/>
      </c>
      <c r="J393" s="11" t="n"/>
      <c r="K393" s="11" t="n"/>
      <c r="L393" s="11" t="n"/>
      <c r="M393" s="11" t="n"/>
      <c r="N393" s="10">
        <f>IF(COUNTA(J393:M393)=0,"",MIN(10,SUMPRODUCT((COUNTIF(J393:M393,L_KOM)&gt;0)*S_KOM)))</f>
        <v/>
      </c>
      <c r="O393" s="11" t="n"/>
      <c r="P393" s="10">
        <f>IF(O393="","",IFERROR(VLOOKUP(O393,T_KHID,2,FALSE),0))</f>
        <v/>
      </c>
      <c r="Q393" s="11" t="n"/>
      <c r="R393" s="11" t="n"/>
      <c r="S393" s="10">
        <f>IF(AND(Q393="",R393=""),"",IFERROR(INDEX(T_LIBAT,MATCH(Q393,L_PER,0),MATCH(R393,L_JENIS,0)),0))</f>
        <v/>
      </c>
      <c r="T393" s="11" t="n"/>
      <c r="U393" s="11" t="n"/>
      <c r="V393" s="10">
        <f>IF(AND(T393="",U393=""),"",IFERROR(INDEX(T_CAPAI,MATCH(T393,L_PER,0),MATCH(U393,L_KED,0)),0))</f>
        <v/>
      </c>
      <c r="W393" s="17">
        <f>IF(OR(B393="",E393="",COUNTA(F393,H393,J393:M393,O393,Q393:R393,T393:U393)=0),"",SUM(G393,I393,N393,P393,S393,V393))</f>
        <v/>
      </c>
      <c r="X393" s="18">
        <f>IF(W393="","",IF(Murid!F393="TL","TL",ROUND(W393/110*100,2)))</f>
        <v/>
      </c>
    </row>
    <row r="394">
      <c r="A394" s="15">
        <f>Murid!A394</f>
        <v/>
      </c>
      <c r="B394" s="15">
        <f>IF(Murid!B394="","",Murid!B394)</f>
        <v/>
      </c>
      <c r="C394" s="16">
        <f>IF(Murid!C394="","",Murid!C394)</f>
        <v/>
      </c>
      <c r="D394" s="15">
        <f>IF(Murid!E394="","",Murid!E394)</f>
        <v/>
      </c>
      <c r="E394" s="11" t="n"/>
      <c r="F394" s="11" t="n"/>
      <c r="G394" s="10">
        <f>IF(F394="","",IFERROR(VLOOKUP(F394,T_JUB,2,FALSE),0))</f>
        <v/>
      </c>
      <c r="H394" s="11" t="n"/>
      <c r="I394" s="17">
        <f>IF(H394="","",IF(H394&gt;=12,40,ROUND(H394*3.33,2)))</f>
        <v/>
      </c>
      <c r="J394" s="11" t="n"/>
      <c r="K394" s="11" t="n"/>
      <c r="L394" s="11" t="n"/>
      <c r="M394" s="11" t="n"/>
      <c r="N394" s="10">
        <f>IF(COUNTA(J394:M394)=0,"",MIN(10,SUMPRODUCT((COUNTIF(J394:M394,L_KOM)&gt;0)*S_KOM)))</f>
        <v/>
      </c>
      <c r="O394" s="11" t="n"/>
      <c r="P394" s="10">
        <f>IF(O394="","",IFERROR(VLOOKUP(O394,T_KHID,2,FALSE),0))</f>
        <v/>
      </c>
      <c r="Q394" s="11" t="n"/>
      <c r="R394" s="11" t="n"/>
      <c r="S394" s="10">
        <f>IF(AND(Q394="",R394=""),"",IFERROR(INDEX(T_LIBAT,MATCH(Q394,L_PER,0),MATCH(R394,L_JENIS,0)),0))</f>
        <v/>
      </c>
      <c r="T394" s="11" t="n"/>
      <c r="U394" s="11" t="n"/>
      <c r="V394" s="10">
        <f>IF(AND(T394="",U394=""),"",IFERROR(INDEX(T_CAPAI,MATCH(T394,L_PER,0),MATCH(U394,L_KED,0)),0))</f>
        <v/>
      </c>
      <c r="W394" s="17">
        <f>IF(OR(B394="",E394="",COUNTA(F394,H394,J394:M394,O394,Q394:R394,T394:U394)=0),"",SUM(G394,I394,N394,P394,S394,V394))</f>
        <v/>
      </c>
      <c r="X394" s="18">
        <f>IF(W394="","",IF(Murid!F394="TL","TL",ROUND(W394/110*100,2)))</f>
        <v/>
      </c>
    </row>
    <row r="395">
      <c r="A395" s="15">
        <f>Murid!A395</f>
        <v/>
      </c>
      <c r="B395" s="15">
        <f>IF(Murid!B395="","",Murid!B395)</f>
        <v/>
      </c>
      <c r="C395" s="16">
        <f>IF(Murid!C395="","",Murid!C395)</f>
        <v/>
      </c>
      <c r="D395" s="15">
        <f>IF(Murid!E395="","",Murid!E395)</f>
        <v/>
      </c>
      <c r="E395" s="11" t="n"/>
      <c r="F395" s="11" t="n"/>
      <c r="G395" s="10">
        <f>IF(F395="","",IFERROR(VLOOKUP(F395,T_JUB,2,FALSE),0))</f>
        <v/>
      </c>
      <c r="H395" s="11" t="n"/>
      <c r="I395" s="17">
        <f>IF(H395="","",IF(H395&gt;=12,40,ROUND(H395*3.33,2)))</f>
        <v/>
      </c>
      <c r="J395" s="11" t="n"/>
      <c r="K395" s="11" t="n"/>
      <c r="L395" s="11" t="n"/>
      <c r="M395" s="11" t="n"/>
      <c r="N395" s="10">
        <f>IF(COUNTA(J395:M395)=0,"",MIN(10,SUMPRODUCT((COUNTIF(J395:M395,L_KOM)&gt;0)*S_KOM)))</f>
        <v/>
      </c>
      <c r="O395" s="11" t="n"/>
      <c r="P395" s="10">
        <f>IF(O395="","",IFERROR(VLOOKUP(O395,T_KHID,2,FALSE),0))</f>
        <v/>
      </c>
      <c r="Q395" s="11" t="n"/>
      <c r="R395" s="11" t="n"/>
      <c r="S395" s="10">
        <f>IF(AND(Q395="",R395=""),"",IFERROR(INDEX(T_LIBAT,MATCH(Q395,L_PER,0),MATCH(R395,L_JENIS,0)),0))</f>
        <v/>
      </c>
      <c r="T395" s="11" t="n"/>
      <c r="U395" s="11" t="n"/>
      <c r="V395" s="10">
        <f>IF(AND(T395="",U395=""),"",IFERROR(INDEX(T_CAPAI,MATCH(T395,L_PER,0),MATCH(U395,L_KED,0)),0))</f>
        <v/>
      </c>
      <c r="W395" s="17">
        <f>IF(OR(B395="",E395="",COUNTA(F395,H395,J395:M395,O395,Q395:R395,T395:U395)=0),"",SUM(G395,I395,N395,P395,S395,V395))</f>
        <v/>
      </c>
      <c r="X395" s="18">
        <f>IF(W395="","",IF(Murid!F395="TL","TL",ROUND(W395/110*100,2)))</f>
        <v/>
      </c>
    </row>
    <row r="396">
      <c r="A396" s="15">
        <f>Murid!A396</f>
        <v/>
      </c>
      <c r="B396" s="15">
        <f>IF(Murid!B396="","",Murid!B396)</f>
        <v/>
      </c>
      <c r="C396" s="16">
        <f>IF(Murid!C396="","",Murid!C396)</f>
        <v/>
      </c>
      <c r="D396" s="15">
        <f>IF(Murid!E396="","",Murid!E396)</f>
        <v/>
      </c>
      <c r="E396" s="11" t="n"/>
      <c r="F396" s="11" t="n"/>
      <c r="G396" s="10">
        <f>IF(F396="","",IFERROR(VLOOKUP(F396,T_JUB,2,FALSE),0))</f>
        <v/>
      </c>
      <c r="H396" s="11" t="n"/>
      <c r="I396" s="17">
        <f>IF(H396="","",IF(H396&gt;=12,40,ROUND(H396*3.33,2)))</f>
        <v/>
      </c>
      <c r="J396" s="11" t="n"/>
      <c r="K396" s="11" t="n"/>
      <c r="L396" s="11" t="n"/>
      <c r="M396" s="11" t="n"/>
      <c r="N396" s="10">
        <f>IF(COUNTA(J396:M396)=0,"",MIN(10,SUMPRODUCT((COUNTIF(J396:M396,L_KOM)&gt;0)*S_KOM)))</f>
        <v/>
      </c>
      <c r="O396" s="11" t="n"/>
      <c r="P396" s="10">
        <f>IF(O396="","",IFERROR(VLOOKUP(O396,T_KHID,2,FALSE),0))</f>
        <v/>
      </c>
      <c r="Q396" s="11" t="n"/>
      <c r="R396" s="11" t="n"/>
      <c r="S396" s="10">
        <f>IF(AND(Q396="",R396=""),"",IFERROR(INDEX(T_LIBAT,MATCH(Q396,L_PER,0),MATCH(R396,L_JENIS,0)),0))</f>
        <v/>
      </c>
      <c r="T396" s="11" t="n"/>
      <c r="U396" s="11" t="n"/>
      <c r="V396" s="10">
        <f>IF(AND(T396="",U396=""),"",IFERROR(INDEX(T_CAPAI,MATCH(T396,L_PER,0),MATCH(U396,L_KED,0)),0))</f>
        <v/>
      </c>
      <c r="W396" s="17">
        <f>IF(OR(B396="",E396="",COUNTA(F396,H396,J396:M396,O396,Q396:R396,T396:U396)=0),"",SUM(G396,I396,N396,P396,S396,V396))</f>
        <v/>
      </c>
      <c r="X396" s="18">
        <f>IF(W396="","",IF(Murid!F396="TL","TL",ROUND(W396/110*100,2)))</f>
        <v/>
      </c>
    </row>
    <row r="397">
      <c r="A397" s="15">
        <f>Murid!A397</f>
        <v/>
      </c>
      <c r="B397" s="15">
        <f>IF(Murid!B397="","",Murid!B397)</f>
        <v/>
      </c>
      <c r="C397" s="16">
        <f>IF(Murid!C397="","",Murid!C397)</f>
        <v/>
      </c>
      <c r="D397" s="15">
        <f>IF(Murid!E397="","",Murid!E397)</f>
        <v/>
      </c>
      <c r="E397" s="11" t="n"/>
      <c r="F397" s="11" t="n"/>
      <c r="G397" s="10">
        <f>IF(F397="","",IFERROR(VLOOKUP(F397,T_JUB,2,FALSE),0))</f>
        <v/>
      </c>
      <c r="H397" s="11" t="n"/>
      <c r="I397" s="17">
        <f>IF(H397="","",IF(H397&gt;=12,40,ROUND(H397*3.33,2)))</f>
        <v/>
      </c>
      <c r="J397" s="11" t="n"/>
      <c r="K397" s="11" t="n"/>
      <c r="L397" s="11" t="n"/>
      <c r="M397" s="11" t="n"/>
      <c r="N397" s="10">
        <f>IF(COUNTA(J397:M397)=0,"",MIN(10,SUMPRODUCT((COUNTIF(J397:M397,L_KOM)&gt;0)*S_KOM)))</f>
        <v/>
      </c>
      <c r="O397" s="11" t="n"/>
      <c r="P397" s="10">
        <f>IF(O397="","",IFERROR(VLOOKUP(O397,T_KHID,2,FALSE),0))</f>
        <v/>
      </c>
      <c r="Q397" s="11" t="n"/>
      <c r="R397" s="11" t="n"/>
      <c r="S397" s="10">
        <f>IF(AND(Q397="",R397=""),"",IFERROR(INDEX(T_LIBAT,MATCH(Q397,L_PER,0),MATCH(R397,L_JENIS,0)),0))</f>
        <v/>
      </c>
      <c r="T397" s="11" t="n"/>
      <c r="U397" s="11" t="n"/>
      <c r="V397" s="10">
        <f>IF(AND(T397="",U397=""),"",IFERROR(INDEX(T_CAPAI,MATCH(T397,L_PER,0),MATCH(U397,L_KED,0)),0))</f>
        <v/>
      </c>
      <c r="W397" s="17">
        <f>IF(OR(B397="",E397="",COUNTA(F397,H397,J397:M397,O397,Q397:R397,T397:U397)=0),"",SUM(G397,I397,N397,P397,S397,V397))</f>
        <v/>
      </c>
      <c r="X397" s="18">
        <f>IF(W397="","",IF(Murid!F397="TL","TL",ROUND(W397/110*100,2)))</f>
        <v/>
      </c>
    </row>
    <row r="398">
      <c r="A398" s="15">
        <f>Murid!A398</f>
        <v/>
      </c>
      <c r="B398" s="15">
        <f>IF(Murid!B398="","",Murid!B398)</f>
        <v/>
      </c>
      <c r="C398" s="16">
        <f>IF(Murid!C398="","",Murid!C398)</f>
        <v/>
      </c>
      <c r="D398" s="15">
        <f>IF(Murid!E398="","",Murid!E398)</f>
        <v/>
      </c>
      <c r="E398" s="11" t="n"/>
      <c r="F398" s="11" t="n"/>
      <c r="G398" s="10">
        <f>IF(F398="","",IFERROR(VLOOKUP(F398,T_JUB,2,FALSE),0))</f>
        <v/>
      </c>
      <c r="H398" s="11" t="n"/>
      <c r="I398" s="17">
        <f>IF(H398="","",IF(H398&gt;=12,40,ROUND(H398*3.33,2)))</f>
        <v/>
      </c>
      <c r="J398" s="11" t="n"/>
      <c r="K398" s="11" t="n"/>
      <c r="L398" s="11" t="n"/>
      <c r="M398" s="11" t="n"/>
      <c r="N398" s="10">
        <f>IF(COUNTA(J398:M398)=0,"",MIN(10,SUMPRODUCT((COUNTIF(J398:M398,L_KOM)&gt;0)*S_KOM)))</f>
        <v/>
      </c>
      <c r="O398" s="11" t="n"/>
      <c r="P398" s="10">
        <f>IF(O398="","",IFERROR(VLOOKUP(O398,T_KHID,2,FALSE),0))</f>
        <v/>
      </c>
      <c r="Q398" s="11" t="n"/>
      <c r="R398" s="11" t="n"/>
      <c r="S398" s="10">
        <f>IF(AND(Q398="",R398=""),"",IFERROR(INDEX(T_LIBAT,MATCH(Q398,L_PER,0),MATCH(R398,L_JENIS,0)),0))</f>
        <v/>
      </c>
      <c r="T398" s="11" t="n"/>
      <c r="U398" s="11" t="n"/>
      <c r="V398" s="10">
        <f>IF(AND(T398="",U398=""),"",IFERROR(INDEX(T_CAPAI,MATCH(T398,L_PER,0),MATCH(U398,L_KED,0)),0))</f>
        <v/>
      </c>
      <c r="W398" s="17">
        <f>IF(OR(B398="",E398="",COUNTA(F398,H398,J398:M398,O398,Q398:R398,T398:U398)=0),"",SUM(G398,I398,N398,P398,S398,V398))</f>
        <v/>
      </c>
      <c r="X398" s="18">
        <f>IF(W398="","",IF(Murid!F398="TL","TL",ROUND(W398/110*100,2)))</f>
        <v/>
      </c>
    </row>
    <row r="399">
      <c r="A399" s="15">
        <f>Murid!A399</f>
        <v/>
      </c>
      <c r="B399" s="15">
        <f>IF(Murid!B399="","",Murid!B399)</f>
        <v/>
      </c>
      <c r="C399" s="16">
        <f>IF(Murid!C399="","",Murid!C399)</f>
        <v/>
      </c>
      <c r="D399" s="15">
        <f>IF(Murid!E399="","",Murid!E399)</f>
        <v/>
      </c>
      <c r="E399" s="11" t="n"/>
      <c r="F399" s="11" t="n"/>
      <c r="G399" s="10">
        <f>IF(F399="","",IFERROR(VLOOKUP(F399,T_JUB,2,FALSE),0))</f>
        <v/>
      </c>
      <c r="H399" s="11" t="n"/>
      <c r="I399" s="17">
        <f>IF(H399="","",IF(H399&gt;=12,40,ROUND(H399*3.33,2)))</f>
        <v/>
      </c>
      <c r="J399" s="11" t="n"/>
      <c r="K399" s="11" t="n"/>
      <c r="L399" s="11" t="n"/>
      <c r="M399" s="11" t="n"/>
      <c r="N399" s="10">
        <f>IF(COUNTA(J399:M399)=0,"",MIN(10,SUMPRODUCT((COUNTIF(J399:M399,L_KOM)&gt;0)*S_KOM)))</f>
        <v/>
      </c>
      <c r="O399" s="11" t="n"/>
      <c r="P399" s="10">
        <f>IF(O399="","",IFERROR(VLOOKUP(O399,T_KHID,2,FALSE),0))</f>
        <v/>
      </c>
      <c r="Q399" s="11" t="n"/>
      <c r="R399" s="11" t="n"/>
      <c r="S399" s="10">
        <f>IF(AND(Q399="",R399=""),"",IFERROR(INDEX(T_LIBAT,MATCH(Q399,L_PER,0),MATCH(R399,L_JENIS,0)),0))</f>
        <v/>
      </c>
      <c r="T399" s="11" t="n"/>
      <c r="U399" s="11" t="n"/>
      <c r="V399" s="10">
        <f>IF(AND(T399="",U399=""),"",IFERROR(INDEX(T_CAPAI,MATCH(T399,L_PER,0),MATCH(U399,L_KED,0)),0))</f>
        <v/>
      </c>
      <c r="W399" s="17">
        <f>IF(OR(B399="",E399="",COUNTA(F399,H399,J399:M399,O399,Q399:R399,T399:U399)=0),"",SUM(G399,I399,N399,P399,S399,V399))</f>
        <v/>
      </c>
      <c r="X399" s="18">
        <f>IF(W399="","",IF(Murid!F399="TL","TL",ROUND(W399/110*100,2)))</f>
        <v/>
      </c>
    </row>
    <row r="400">
      <c r="A400" s="15">
        <f>Murid!A400</f>
        <v/>
      </c>
      <c r="B400" s="15">
        <f>IF(Murid!B400="","",Murid!B400)</f>
        <v/>
      </c>
      <c r="C400" s="16">
        <f>IF(Murid!C400="","",Murid!C400)</f>
        <v/>
      </c>
      <c r="D400" s="15">
        <f>IF(Murid!E400="","",Murid!E400)</f>
        <v/>
      </c>
      <c r="E400" s="11" t="n"/>
      <c r="F400" s="11" t="n"/>
      <c r="G400" s="10">
        <f>IF(F400="","",IFERROR(VLOOKUP(F400,T_JUB,2,FALSE),0))</f>
        <v/>
      </c>
      <c r="H400" s="11" t="n"/>
      <c r="I400" s="17">
        <f>IF(H400="","",IF(H400&gt;=12,40,ROUND(H400*3.33,2)))</f>
        <v/>
      </c>
      <c r="J400" s="11" t="n"/>
      <c r="K400" s="11" t="n"/>
      <c r="L400" s="11" t="n"/>
      <c r="M400" s="11" t="n"/>
      <c r="N400" s="10">
        <f>IF(COUNTA(J400:M400)=0,"",MIN(10,SUMPRODUCT((COUNTIF(J400:M400,L_KOM)&gt;0)*S_KOM)))</f>
        <v/>
      </c>
      <c r="O400" s="11" t="n"/>
      <c r="P400" s="10">
        <f>IF(O400="","",IFERROR(VLOOKUP(O400,T_KHID,2,FALSE),0))</f>
        <v/>
      </c>
      <c r="Q400" s="11" t="n"/>
      <c r="R400" s="11" t="n"/>
      <c r="S400" s="10">
        <f>IF(AND(Q400="",R400=""),"",IFERROR(INDEX(T_LIBAT,MATCH(Q400,L_PER,0),MATCH(R400,L_JENIS,0)),0))</f>
        <v/>
      </c>
      <c r="T400" s="11" t="n"/>
      <c r="U400" s="11" t="n"/>
      <c r="V400" s="10">
        <f>IF(AND(T400="",U400=""),"",IFERROR(INDEX(T_CAPAI,MATCH(T400,L_PER,0),MATCH(U400,L_KED,0)),0))</f>
        <v/>
      </c>
      <c r="W400" s="17">
        <f>IF(OR(B400="",E400="",COUNTA(F400,H400,J400:M400,O400,Q400:R400,T400:U400)=0),"",SUM(G400,I400,N400,P400,S400,V400))</f>
        <v/>
      </c>
      <c r="X400" s="18">
        <f>IF(W400="","",IF(Murid!F400="TL","TL",ROUND(W400/110*100,2)))</f>
        <v/>
      </c>
    </row>
    <row r="401">
      <c r="A401" s="15">
        <f>Murid!A401</f>
        <v/>
      </c>
      <c r="B401" s="15">
        <f>IF(Murid!B401="","",Murid!B401)</f>
        <v/>
      </c>
      <c r="C401" s="16">
        <f>IF(Murid!C401="","",Murid!C401)</f>
        <v/>
      </c>
      <c r="D401" s="15">
        <f>IF(Murid!E401="","",Murid!E401)</f>
        <v/>
      </c>
      <c r="E401" s="11" t="n"/>
      <c r="F401" s="11" t="n"/>
      <c r="G401" s="10">
        <f>IF(F401="","",IFERROR(VLOOKUP(F401,T_JUB,2,FALSE),0))</f>
        <v/>
      </c>
      <c r="H401" s="11" t="n"/>
      <c r="I401" s="17">
        <f>IF(H401="","",IF(H401&gt;=12,40,ROUND(H401*3.33,2)))</f>
        <v/>
      </c>
      <c r="J401" s="11" t="n"/>
      <c r="K401" s="11" t="n"/>
      <c r="L401" s="11" t="n"/>
      <c r="M401" s="11" t="n"/>
      <c r="N401" s="10">
        <f>IF(COUNTA(J401:M401)=0,"",MIN(10,SUMPRODUCT((COUNTIF(J401:M401,L_KOM)&gt;0)*S_KOM)))</f>
        <v/>
      </c>
      <c r="O401" s="11" t="n"/>
      <c r="P401" s="10">
        <f>IF(O401="","",IFERROR(VLOOKUP(O401,T_KHID,2,FALSE),0))</f>
        <v/>
      </c>
      <c r="Q401" s="11" t="n"/>
      <c r="R401" s="11" t="n"/>
      <c r="S401" s="10">
        <f>IF(AND(Q401="",R401=""),"",IFERROR(INDEX(T_LIBAT,MATCH(Q401,L_PER,0),MATCH(R401,L_JENIS,0)),0))</f>
        <v/>
      </c>
      <c r="T401" s="11" t="n"/>
      <c r="U401" s="11" t="n"/>
      <c r="V401" s="10">
        <f>IF(AND(T401="",U401=""),"",IFERROR(INDEX(T_CAPAI,MATCH(T401,L_PER,0),MATCH(U401,L_KED,0)),0))</f>
        <v/>
      </c>
      <c r="W401" s="17">
        <f>IF(OR(B401="",E401="",COUNTA(F401,H401,J401:M401,O401,Q401:R401,T401:U401)=0),"",SUM(G401,I401,N401,P401,S401,V401))</f>
        <v/>
      </c>
      <c r="X401" s="18">
        <f>IF(W401="","",IF(Murid!F401="TL","TL",ROUND(W401/110*100,2)))</f>
        <v/>
      </c>
    </row>
    <row r="402">
      <c r="A402" s="15">
        <f>Murid!A402</f>
        <v/>
      </c>
      <c r="B402" s="15">
        <f>IF(Murid!B402="","",Murid!B402)</f>
        <v/>
      </c>
      <c r="C402" s="16">
        <f>IF(Murid!C402="","",Murid!C402)</f>
        <v/>
      </c>
      <c r="D402" s="15">
        <f>IF(Murid!E402="","",Murid!E402)</f>
        <v/>
      </c>
      <c r="E402" s="11" t="n"/>
      <c r="F402" s="11" t="n"/>
      <c r="G402" s="10">
        <f>IF(F402="","",IFERROR(VLOOKUP(F402,T_JUB,2,FALSE),0))</f>
        <v/>
      </c>
      <c r="H402" s="11" t="n"/>
      <c r="I402" s="17">
        <f>IF(H402="","",IF(H402&gt;=12,40,ROUND(H402*3.33,2)))</f>
        <v/>
      </c>
      <c r="J402" s="11" t="n"/>
      <c r="K402" s="11" t="n"/>
      <c r="L402" s="11" t="n"/>
      <c r="M402" s="11" t="n"/>
      <c r="N402" s="10">
        <f>IF(COUNTA(J402:M402)=0,"",MIN(10,SUMPRODUCT((COUNTIF(J402:M402,L_KOM)&gt;0)*S_KOM)))</f>
        <v/>
      </c>
      <c r="O402" s="11" t="n"/>
      <c r="P402" s="10">
        <f>IF(O402="","",IFERROR(VLOOKUP(O402,T_KHID,2,FALSE),0))</f>
        <v/>
      </c>
      <c r="Q402" s="11" t="n"/>
      <c r="R402" s="11" t="n"/>
      <c r="S402" s="10">
        <f>IF(AND(Q402="",R402=""),"",IFERROR(INDEX(T_LIBAT,MATCH(Q402,L_PER,0),MATCH(R402,L_JENIS,0)),0))</f>
        <v/>
      </c>
      <c r="T402" s="11" t="n"/>
      <c r="U402" s="11" t="n"/>
      <c r="V402" s="10">
        <f>IF(AND(T402="",U402=""),"",IFERROR(INDEX(T_CAPAI,MATCH(T402,L_PER,0),MATCH(U402,L_KED,0)),0))</f>
        <v/>
      </c>
      <c r="W402" s="17">
        <f>IF(OR(B402="",E402="",COUNTA(F402,H402,J402:M402,O402,Q402:R402,T402:U402)=0),"",SUM(G402,I402,N402,P402,S402,V402))</f>
        <v/>
      </c>
      <c r="X402" s="18">
        <f>IF(W402="","",IF(Murid!F402="TL","TL",ROUND(W402/110*100,2)))</f>
        <v/>
      </c>
    </row>
    <row r="403">
      <c r="A403" s="15">
        <f>Murid!A403</f>
        <v/>
      </c>
      <c r="B403" s="15">
        <f>IF(Murid!B403="","",Murid!B403)</f>
        <v/>
      </c>
      <c r="C403" s="16">
        <f>IF(Murid!C403="","",Murid!C403)</f>
        <v/>
      </c>
      <c r="D403" s="15">
        <f>IF(Murid!E403="","",Murid!E403)</f>
        <v/>
      </c>
      <c r="E403" s="11" t="n"/>
      <c r="F403" s="11" t="n"/>
      <c r="G403" s="10">
        <f>IF(F403="","",IFERROR(VLOOKUP(F403,T_JUB,2,FALSE),0))</f>
        <v/>
      </c>
      <c r="H403" s="11" t="n"/>
      <c r="I403" s="17">
        <f>IF(H403="","",IF(H403&gt;=12,40,ROUND(H403*3.33,2)))</f>
        <v/>
      </c>
      <c r="J403" s="11" t="n"/>
      <c r="K403" s="11" t="n"/>
      <c r="L403" s="11" t="n"/>
      <c r="M403" s="11" t="n"/>
      <c r="N403" s="10">
        <f>IF(COUNTA(J403:M403)=0,"",MIN(10,SUMPRODUCT((COUNTIF(J403:M403,L_KOM)&gt;0)*S_KOM)))</f>
        <v/>
      </c>
      <c r="O403" s="11" t="n"/>
      <c r="P403" s="10">
        <f>IF(O403="","",IFERROR(VLOOKUP(O403,T_KHID,2,FALSE),0))</f>
        <v/>
      </c>
      <c r="Q403" s="11" t="n"/>
      <c r="R403" s="11" t="n"/>
      <c r="S403" s="10">
        <f>IF(AND(Q403="",R403=""),"",IFERROR(INDEX(T_LIBAT,MATCH(Q403,L_PER,0),MATCH(R403,L_JENIS,0)),0))</f>
        <v/>
      </c>
      <c r="T403" s="11" t="n"/>
      <c r="U403" s="11" t="n"/>
      <c r="V403" s="10">
        <f>IF(AND(T403="",U403=""),"",IFERROR(INDEX(T_CAPAI,MATCH(T403,L_PER,0),MATCH(U403,L_KED,0)),0))</f>
        <v/>
      </c>
      <c r="W403" s="17">
        <f>IF(OR(B403="",E403="",COUNTA(F403,H403,J403:M403,O403,Q403:R403,T403:U403)=0),"",SUM(G403,I403,N403,P403,S403,V403))</f>
        <v/>
      </c>
      <c r="X403" s="18">
        <f>IF(W403="","",IF(Murid!F403="TL","TL",ROUND(W403/110*100,2)))</f>
        <v/>
      </c>
    </row>
    <row r="404">
      <c r="A404" s="15">
        <f>Murid!A404</f>
        <v/>
      </c>
      <c r="B404" s="15">
        <f>IF(Murid!B404="","",Murid!B404)</f>
        <v/>
      </c>
      <c r="C404" s="16">
        <f>IF(Murid!C404="","",Murid!C404)</f>
        <v/>
      </c>
      <c r="D404" s="15">
        <f>IF(Murid!E404="","",Murid!E404)</f>
        <v/>
      </c>
      <c r="E404" s="11" t="n"/>
      <c r="F404" s="11" t="n"/>
      <c r="G404" s="10">
        <f>IF(F404="","",IFERROR(VLOOKUP(F404,T_JUB,2,FALSE),0))</f>
        <v/>
      </c>
      <c r="H404" s="11" t="n"/>
      <c r="I404" s="17">
        <f>IF(H404="","",IF(H404&gt;=12,40,ROUND(H404*3.33,2)))</f>
        <v/>
      </c>
      <c r="J404" s="11" t="n"/>
      <c r="K404" s="11" t="n"/>
      <c r="L404" s="11" t="n"/>
      <c r="M404" s="11" t="n"/>
      <c r="N404" s="10">
        <f>IF(COUNTA(J404:M404)=0,"",MIN(10,SUMPRODUCT((COUNTIF(J404:M404,L_KOM)&gt;0)*S_KOM)))</f>
        <v/>
      </c>
      <c r="O404" s="11" t="n"/>
      <c r="P404" s="10">
        <f>IF(O404="","",IFERROR(VLOOKUP(O404,T_KHID,2,FALSE),0))</f>
        <v/>
      </c>
      <c r="Q404" s="11" t="n"/>
      <c r="R404" s="11" t="n"/>
      <c r="S404" s="10">
        <f>IF(AND(Q404="",R404=""),"",IFERROR(INDEX(T_LIBAT,MATCH(Q404,L_PER,0),MATCH(R404,L_JENIS,0)),0))</f>
        <v/>
      </c>
      <c r="T404" s="11" t="n"/>
      <c r="U404" s="11" t="n"/>
      <c r="V404" s="10">
        <f>IF(AND(T404="",U404=""),"",IFERROR(INDEX(T_CAPAI,MATCH(T404,L_PER,0),MATCH(U404,L_KED,0)),0))</f>
        <v/>
      </c>
      <c r="W404" s="17">
        <f>IF(OR(B404="",E404="",COUNTA(F404,H404,J404:M404,O404,Q404:R404,T404:U404)=0),"",SUM(G404,I404,N404,P404,S404,V404))</f>
        <v/>
      </c>
      <c r="X404" s="18">
        <f>IF(W404="","",IF(Murid!F404="TL","TL",ROUND(W404/110*100,2)))</f>
        <v/>
      </c>
    </row>
    <row r="405">
      <c r="A405" s="15">
        <f>Murid!A405</f>
        <v/>
      </c>
      <c r="B405" s="15">
        <f>IF(Murid!B405="","",Murid!B405)</f>
        <v/>
      </c>
      <c r="C405" s="16">
        <f>IF(Murid!C405="","",Murid!C405)</f>
        <v/>
      </c>
      <c r="D405" s="15">
        <f>IF(Murid!E405="","",Murid!E405)</f>
        <v/>
      </c>
      <c r="E405" s="11" t="n"/>
      <c r="F405" s="11" t="n"/>
      <c r="G405" s="10">
        <f>IF(F405="","",IFERROR(VLOOKUP(F405,T_JUB,2,FALSE),0))</f>
        <v/>
      </c>
      <c r="H405" s="11" t="n"/>
      <c r="I405" s="17">
        <f>IF(H405="","",IF(H405&gt;=12,40,ROUND(H405*3.33,2)))</f>
        <v/>
      </c>
      <c r="J405" s="11" t="n"/>
      <c r="K405" s="11" t="n"/>
      <c r="L405" s="11" t="n"/>
      <c r="M405" s="11" t="n"/>
      <c r="N405" s="10">
        <f>IF(COUNTA(J405:M405)=0,"",MIN(10,SUMPRODUCT((COUNTIF(J405:M405,L_KOM)&gt;0)*S_KOM)))</f>
        <v/>
      </c>
      <c r="O405" s="11" t="n"/>
      <c r="P405" s="10">
        <f>IF(O405="","",IFERROR(VLOOKUP(O405,T_KHID,2,FALSE),0))</f>
        <v/>
      </c>
      <c r="Q405" s="11" t="n"/>
      <c r="R405" s="11" t="n"/>
      <c r="S405" s="10">
        <f>IF(AND(Q405="",R405=""),"",IFERROR(INDEX(T_LIBAT,MATCH(Q405,L_PER,0),MATCH(R405,L_JENIS,0)),0))</f>
        <v/>
      </c>
      <c r="T405" s="11" t="n"/>
      <c r="U405" s="11" t="n"/>
      <c r="V405" s="10">
        <f>IF(AND(T405="",U405=""),"",IFERROR(INDEX(T_CAPAI,MATCH(T405,L_PER,0),MATCH(U405,L_KED,0)),0))</f>
        <v/>
      </c>
      <c r="W405" s="17">
        <f>IF(OR(B405="",E405="",COUNTA(F405,H405,J405:M405,O405,Q405:R405,T405:U405)=0),"",SUM(G405,I405,N405,P405,S405,V405))</f>
        <v/>
      </c>
      <c r="X405" s="18">
        <f>IF(W405="","",IF(Murid!F405="TL","TL",ROUND(W405/110*100,2)))</f>
        <v/>
      </c>
    </row>
    <row r="406">
      <c r="A406" s="15">
        <f>Murid!A406</f>
        <v/>
      </c>
      <c r="B406" s="15">
        <f>IF(Murid!B406="","",Murid!B406)</f>
        <v/>
      </c>
      <c r="C406" s="16">
        <f>IF(Murid!C406="","",Murid!C406)</f>
        <v/>
      </c>
      <c r="D406" s="15">
        <f>IF(Murid!E406="","",Murid!E406)</f>
        <v/>
      </c>
      <c r="E406" s="11" t="n"/>
      <c r="F406" s="11" t="n"/>
      <c r="G406" s="10">
        <f>IF(F406="","",IFERROR(VLOOKUP(F406,T_JUB,2,FALSE),0))</f>
        <v/>
      </c>
      <c r="H406" s="11" t="n"/>
      <c r="I406" s="17">
        <f>IF(H406="","",IF(H406&gt;=12,40,ROUND(H406*3.33,2)))</f>
        <v/>
      </c>
      <c r="J406" s="11" t="n"/>
      <c r="K406" s="11" t="n"/>
      <c r="L406" s="11" t="n"/>
      <c r="M406" s="11" t="n"/>
      <c r="N406" s="10">
        <f>IF(COUNTA(J406:M406)=0,"",MIN(10,SUMPRODUCT((COUNTIF(J406:M406,L_KOM)&gt;0)*S_KOM)))</f>
        <v/>
      </c>
      <c r="O406" s="11" t="n"/>
      <c r="P406" s="10">
        <f>IF(O406="","",IFERROR(VLOOKUP(O406,T_KHID,2,FALSE),0))</f>
        <v/>
      </c>
      <c r="Q406" s="11" t="n"/>
      <c r="R406" s="11" t="n"/>
      <c r="S406" s="10">
        <f>IF(AND(Q406="",R406=""),"",IFERROR(INDEX(T_LIBAT,MATCH(Q406,L_PER,0),MATCH(R406,L_JENIS,0)),0))</f>
        <v/>
      </c>
      <c r="T406" s="11" t="n"/>
      <c r="U406" s="11" t="n"/>
      <c r="V406" s="10">
        <f>IF(AND(T406="",U406=""),"",IFERROR(INDEX(T_CAPAI,MATCH(T406,L_PER,0),MATCH(U406,L_KED,0)),0))</f>
        <v/>
      </c>
      <c r="W406" s="17">
        <f>IF(OR(B406="",E406="",COUNTA(F406,H406,J406:M406,O406,Q406:R406,T406:U406)=0),"",SUM(G406,I406,N406,P406,S406,V406))</f>
        <v/>
      </c>
      <c r="X406" s="18">
        <f>IF(W406="","",IF(Murid!F406="TL","TL",ROUND(W406/110*100,2)))</f>
        <v/>
      </c>
    </row>
    <row r="407">
      <c r="A407" s="15">
        <f>Murid!A407</f>
        <v/>
      </c>
      <c r="B407" s="15">
        <f>IF(Murid!B407="","",Murid!B407)</f>
        <v/>
      </c>
      <c r="C407" s="16">
        <f>IF(Murid!C407="","",Murid!C407)</f>
        <v/>
      </c>
      <c r="D407" s="15">
        <f>IF(Murid!E407="","",Murid!E407)</f>
        <v/>
      </c>
      <c r="E407" s="11" t="n"/>
      <c r="F407" s="11" t="n"/>
      <c r="G407" s="10">
        <f>IF(F407="","",IFERROR(VLOOKUP(F407,T_JUB,2,FALSE),0))</f>
        <v/>
      </c>
      <c r="H407" s="11" t="n"/>
      <c r="I407" s="17">
        <f>IF(H407="","",IF(H407&gt;=12,40,ROUND(H407*3.33,2)))</f>
        <v/>
      </c>
      <c r="J407" s="11" t="n"/>
      <c r="K407" s="11" t="n"/>
      <c r="L407" s="11" t="n"/>
      <c r="M407" s="11" t="n"/>
      <c r="N407" s="10">
        <f>IF(COUNTA(J407:M407)=0,"",MIN(10,SUMPRODUCT((COUNTIF(J407:M407,L_KOM)&gt;0)*S_KOM)))</f>
        <v/>
      </c>
      <c r="O407" s="11" t="n"/>
      <c r="P407" s="10">
        <f>IF(O407="","",IFERROR(VLOOKUP(O407,T_KHID,2,FALSE),0))</f>
        <v/>
      </c>
      <c r="Q407" s="11" t="n"/>
      <c r="R407" s="11" t="n"/>
      <c r="S407" s="10">
        <f>IF(AND(Q407="",R407=""),"",IFERROR(INDEX(T_LIBAT,MATCH(Q407,L_PER,0),MATCH(R407,L_JENIS,0)),0))</f>
        <v/>
      </c>
      <c r="T407" s="11" t="n"/>
      <c r="U407" s="11" t="n"/>
      <c r="V407" s="10">
        <f>IF(AND(T407="",U407=""),"",IFERROR(INDEX(T_CAPAI,MATCH(T407,L_PER,0),MATCH(U407,L_KED,0)),0))</f>
        <v/>
      </c>
      <c r="W407" s="17">
        <f>IF(OR(B407="",E407="",COUNTA(F407,H407,J407:M407,O407,Q407:R407,T407:U407)=0),"",SUM(G407,I407,N407,P407,S407,V407))</f>
        <v/>
      </c>
      <c r="X407" s="18">
        <f>IF(W407="","",IF(Murid!F407="TL","TL",ROUND(W407/110*100,2)))</f>
        <v/>
      </c>
    </row>
    <row r="408">
      <c r="A408" s="15">
        <f>Murid!A408</f>
        <v/>
      </c>
      <c r="B408" s="15">
        <f>IF(Murid!B408="","",Murid!B408)</f>
        <v/>
      </c>
      <c r="C408" s="16">
        <f>IF(Murid!C408="","",Murid!C408)</f>
        <v/>
      </c>
      <c r="D408" s="15">
        <f>IF(Murid!E408="","",Murid!E408)</f>
        <v/>
      </c>
      <c r="E408" s="11" t="n"/>
      <c r="F408" s="11" t="n"/>
      <c r="G408" s="10">
        <f>IF(F408="","",IFERROR(VLOOKUP(F408,T_JUB,2,FALSE),0))</f>
        <v/>
      </c>
      <c r="H408" s="11" t="n"/>
      <c r="I408" s="17">
        <f>IF(H408="","",IF(H408&gt;=12,40,ROUND(H408*3.33,2)))</f>
        <v/>
      </c>
      <c r="J408" s="11" t="n"/>
      <c r="K408" s="11" t="n"/>
      <c r="L408" s="11" t="n"/>
      <c r="M408" s="11" t="n"/>
      <c r="N408" s="10">
        <f>IF(COUNTA(J408:M408)=0,"",MIN(10,SUMPRODUCT((COUNTIF(J408:M408,L_KOM)&gt;0)*S_KOM)))</f>
        <v/>
      </c>
      <c r="O408" s="11" t="n"/>
      <c r="P408" s="10">
        <f>IF(O408="","",IFERROR(VLOOKUP(O408,T_KHID,2,FALSE),0))</f>
        <v/>
      </c>
      <c r="Q408" s="11" t="n"/>
      <c r="R408" s="11" t="n"/>
      <c r="S408" s="10">
        <f>IF(AND(Q408="",R408=""),"",IFERROR(INDEX(T_LIBAT,MATCH(Q408,L_PER,0),MATCH(R408,L_JENIS,0)),0))</f>
        <v/>
      </c>
      <c r="T408" s="11" t="n"/>
      <c r="U408" s="11" t="n"/>
      <c r="V408" s="10">
        <f>IF(AND(T408="",U408=""),"",IFERROR(INDEX(T_CAPAI,MATCH(T408,L_PER,0),MATCH(U408,L_KED,0)),0))</f>
        <v/>
      </c>
      <c r="W408" s="17">
        <f>IF(OR(B408="",E408="",COUNTA(F408,H408,J408:M408,O408,Q408:R408,T408:U408)=0),"",SUM(G408,I408,N408,P408,S408,V408))</f>
        <v/>
      </c>
      <c r="X408" s="18">
        <f>IF(W408="","",IF(Murid!F408="TL","TL",ROUND(W408/110*100,2)))</f>
        <v/>
      </c>
    </row>
    <row r="409">
      <c r="A409" s="15">
        <f>Murid!A409</f>
        <v/>
      </c>
      <c r="B409" s="15">
        <f>IF(Murid!B409="","",Murid!B409)</f>
        <v/>
      </c>
      <c r="C409" s="16">
        <f>IF(Murid!C409="","",Murid!C409)</f>
        <v/>
      </c>
      <c r="D409" s="15">
        <f>IF(Murid!E409="","",Murid!E409)</f>
        <v/>
      </c>
      <c r="E409" s="11" t="n"/>
      <c r="F409" s="11" t="n"/>
      <c r="G409" s="10">
        <f>IF(F409="","",IFERROR(VLOOKUP(F409,T_JUB,2,FALSE),0))</f>
        <v/>
      </c>
      <c r="H409" s="11" t="n"/>
      <c r="I409" s="17">
        <f>IF(H409="","",IF(H409&gt;=12,40,ROUND(H409*3.33,2)))</f>
        <v/>
      </c>
      <c r="J409" s="11" t="n"/>
      <c r="K409" s="11" t="n"/>
      <c r="L409" s="11" t="n"/>
      <c r="M409" s="11" t="n"/>
      <c r="N409" s="10">
        <f>IF(COUNTA(J409:M409)=0,"",MIN(10,SUMPRODUCT((COUNTIF(J409:M409,L_KOM)&gt;0)*S_KOM)))</f>
        <v/>
      </c>
      <c r="O409" s="11" t="n"/>
      <c r="P409" s="10">
        <f>IF(O409="","",IFERROR(VLOOKUP(O409,T_KHID,2,FALSE),0))</f>
        <v/>
      </c>
      <c r="Q409" s="11" t="n"/>
      <c r="R409" s="11" t="n"/>
      <c r="S409" s="10">
        <f>IF(AND(Q409="",R409=""),"",IFERROR(INDEX(T_LIBAT,MATCH(Q409,L_PER,0),MATCH(R409,L_JENIS,0)),0))</f>
        <v/>
      </c>
      <c r="T409" s="11" t="n"/>
      <c r="U409" s="11" t="n"/>
      <c r="V409" s="10">
        <f>IF(AND(T409="",U409=""),"",IFERROR(INDEX(T_CAPAI,MATCH(T409,L_PER,0),MATCH(U409,L_KED,0)),0))</f>
        <v/>
      </c>
      <c r="W409" s="17">
        <f>IF(OR(B409="",E409="",COUNTA(F409,H409,J409:M409,O409,Q409:R409,T409:U409)=0),"",SUM(G409,I409,N409,P409,S409,V409))</f>
        <v/>
      </c>
      <c r="X409" s="18">
        <f>IF(W409="","",IF(Murid!F409="TL","TL",ROUND(W409/110*100,2)))</f>
        <v/>
      </c>
    </row>
    <row r="410">
      <c r="A410" s="15">
        <f>Murid!A410</f>
        <v/>
      </c>
      <c r="B410" s="15">
        <f>IF(Murid!B410="","",Murid!B410)</f>
        <v/>
      </c>
      <c r="C410" s="16">
        <f>IF(Murid!C410="","",Murid!C410)</f>
        <v/>
      </c>
      <c r="D410" s="15">
        <f>IF(Murid!E410="","",Murid!E410)</f>
        <v/>
      </c>
      <c r="E410" s="11" t="n"/>
      <c r="F410" s="11" t="n"/>
      <c r="G410" s="10">
        <f>IF(F410="","",IFERROR(VLOOKUP(F410,T_JUB,2,FALSE),0))</f>
        <v/>
      </c>
      <c r="H410" s="11" t="n"/>
      <c r="I410" s="17">
        <f>IF(H410="","",IF(H410&gt;=12,40,ROUND(H410*3.33,2)))</f>
        <v/>
      </c>
      <c r="J410" s="11" t="n"/>
      <c r="K410" s="11" t="n"/>
      <c r="L410" s="11" t="n"/>
      <c r="M410" s="11" t="n"/>
      <c r="N410" s="10">
        <f>IF(COUNTA(J410:M410)=0,"",MIN(10,SUMPRODUCT((COUNTIF(J410:M410,L_KOM)&gt;0)*S_KOM)))</f>
        <v/>
      </c>
      <c r="O410" s="11" t="n"/>
      <c r="P410" s="10">
        <f>IF(O410="","",IFERROR(VLOOKUP(O410,T_KHID,2,FALSE),0))</f>
        <v/>
      </c>
      <c r="Q410" s="11" t="n"/>
      <c r="R410" s="11" t="n"/>
      <c r="S410" s="10">
        <f>IF(AND(Q410="",R410=""),"",IFERROR(INDEX(T_LIBAT,MATCH(Q410,L_PER,0),MATCH(R410,L_JENIS,0)),0))</f>
        <v/>
      </c>
      <c r="T410" s="11" t="n"/>
      <c r="U410" s="11" t="n"/>
      <c r="V410" s="10">
        <f>IF(AND(T410="",U410=""),"",IFERROR(INDEX(T_CAPAI,MATCH(T410,L_PER,0),MATCH(U410,L_KED,0)),0))</f>
        <v/>
      </c>
      <c r="W410" s="17">
        <f>IF(OR(B410="",E410="",COUNTA(F410,H410,J410:M410,O410,Q410:R410,T410:U410)=0),"",SUM(G410,I410,N410,P410,S410,V410))</f>
        <v/>
      </c>
      <c r="X410" s="18">
        <f>IF(W410="","",IF(Murid!F410="TL","TL",ROUND(W410/110*100,2)))</f>
        <v/>
      </c>
    </row>
    <row r="411">
      <c r="A411" s="15">
        <f>Murid!A411</f>
        <v/>
      </c>
      <c r="B411" s="15">
        <f>IF(Murid!B411="","",Murid!B411)</f>
        <v/>
      </c>
      <c r="C411" s="16">
        <f>IF(Murid!C411="","",Murid!C411)</f>
        <v/>
      </c>
      <c r="D411" s="15">
        <f>IF(Murid!E411="","",Murid!E411)</f>
        <v/>
      </c>
      <c r="E411" s="11" t="n"/>
      <c r="F411" s="11" t="n"/>
      <c r="G411" s="10">
        <f>IF(F411="","",IFERROR(VLOOKUP(F411,T_JUB,2,FALSE),0))</f>
        <v/>
      </c>
      <c r="H411" s="11" t="n"/>
      <c r="I411" s="17">
        <f>IF(H411="","",IF(H411&gt;=12,40,ROUND(H411*3.33,2)))</f>
        <v/>
      </c>
      <c r="J411" s="11" t="n"/>
      <c r="K411" s="11" t="n"/>
      <c r="L411" s="11" t="n"/>
      <c r="M411" s="11" t="n"/>
      <c r="N411" s="10">
        <f>IF(COUNTA(J411:M411)=0,"",MIN(10,SUMPRODUCT((COUNTIF(J411:M411,L_KOM)&gt;0)*S_KOM)))</f>
        <v/>
      </c>
      <c r="O411" s="11" t="n"/>
      <c r="P411" s="10">
        <f>IF(O411="","",IFERROR(VLOOKUP(O411,T_KHID,2,FALSE),0))</f>
        <v/>
      </c>
      <c r="Q411" s="11" t="n"/>
      <c r="R411" s="11" t="n"/>
      <c r="S411" s="10">
        <f>IF(AND(Q411="",R411=""),"",IFERROR(INDEX(T_LIBAT,MATCH(Q411,L_PER,0),MATCH(R411,L_JENIS,0)),0))</f>
        <v/>
      </c>
      <c r="T411" s="11" t="n"/>
      <c r="U411" s="11" t="n"/>
      <c r="V411" s="10">
        <f>IF(AND(T411="",U411=""),"",IFERROR(INDEX(T_CAPAI,MATCH(T411,L_PER,0),MATCH(U411,L_KED,0)),0))</f>
        <v/>
      </c>
      <c r="W411" s="17">
        <f>IF(OR(B411="",E411="",COUNTA(F411,H411,J411:M411,O411,Q411:R411,T411:U411)=0),"",SUM(G411,I411,N411,P411,S411,V411))</f>
        <v/>
      </c>
      <c r="X411" s="18">
        <f>IF(W411="","",IF(Murid!F411="TL","TL",ROUND(W411/110*100,2)))</f>
        <v/>
      </c>
    </row>
    <row r="412">
      <c r="A412" s="15">
        <f>Murid!A412</f>
        <v/>
      </c>
      <c r="B412" s="15">
        <f>IF(Murid!B412="","",Murid!B412)</f>
        <v/>
      </c>
      <c r="C412" s="16">
        <f>IF(Murid!C412="","",Murid!C412)</f>
        <v/>
      </c>
      <c r="D412" s="15">
        <f>IF(Murid!E412="","",Murid!E412)</f>
        <v/>
      </c>
      <c r="E412" s="11" t="n"/>
      <c r="F412" s="11" t="n"/>
      <c r="G412" s="10">
        <f>IF(F412="","",IFERROR(VLOOKUP(F412,T_JUB,2,FALSE),0))</f>
        <v/>
      </c>
      <c r="H412" s="11" t="n"/>
      <c r="I412" s="17">
        <f>IF(H412="","",IF(H412&gt;=12,40,ROUND(H412*3.33,2)))</f>
        <v/>
      </c>
      <c r="J412" s="11" t="n"/>
      <c r="K412" s="11" t="n"/>
      <c r="L412" s="11" t="n"/>
      <c r="M412" s="11" t="n"/>
      <c r="N412" s="10">
        <f>IF(COUNTA(J412:M412)=0,"",MIN(10,SUMPRODUCT((COUNTIF(J412:M412,L_KOM)&gt;0)*S_KOM)))</f>
        <v/>
      </c>
      <c r="O412" s="11" t="n"/>
      <c r="P412" s="10">
        <f>IF(O412="","",IFERROR(VLOOKUP(O412,T_KHID,2,FALSE),0))</f>
        <v/>
      </c>
      <c r="Q412" s="11" t="n"/>
      <c r="R412" s="11" t="n"/>
      <c r="S412" s="10">
        <f>IF(AND(Q412="",R412=""),"",IFERROR(INDEX(T_LIBAT,MATCH(Q412,L_PER,0),MATCH(R412,L_JENIS,0)),0))</f>
        <v/>
      </c>
      <c r="T412" s="11" t="n"/>
      <c r="U412" s="11" t="n"/>
      <c r="V412" s="10">
        <f>IF(AND(T412="",U412=""),"",IFERROR(INDEX(T_CAPAI,MATCH(T412,L_PER,0),MATCH(U412,L_KED,0)),0))</f>
        <v/>
      </c>
      <c r="W412" s="17">
        <f>IF(OR(B412="",E412="",COUNTA(F412,H412,J412:M412,O412,Q412:R412,T412:U412)=0),"",SUM(G412,I412,N412,P412,S412,V412))</f>
        <v/>
      </c>
      <c r="X412" s="18">
        <f>IF(W412="","",IF(Murid!F412="TL","TL",ROUND(W412/110*100,2)))</f>
        <v/>
      </c>
    </row>
    <row r="413">
      <c r="A413" s="15">
        <f>Murid!A413</f>
        <v/>
      </c>
      <c r="B413" s="15">
        <f>IF(Murid!B413="","",Murid!B413)</f>
        <v/>
      </c>
      <c r="C413" s="16">
        <f>IF(Murid!C413="","",Murid!C413)</f>
        <v/>
      </c>
      <c r="D413" s="15">
        <f>IF(Murid!E413="","",Murid!E413)</f>
        <v/>
      </c>
      <c r="E413" s="11" t="n"/>
      <c r="F413" s="11" t="n"/>
      <c r="G413" s="10">
        <f>IF(F413="","",IFERROR(VLOOKUP(F413,T_JUB,2,FALSE),0))</f>
        <v/>
      </c>
      <c r="H413" s="11" t="n"/>
      <c r="I413" s="17">
        <f>IF(H413="","",IF(H413&gt;=12,40,ROUND(H413*3.33,2)))</f>
        <v/>
      </c>
      <c r="J413" s="11" t="n"/>
      <c r="K413" s="11" t="n"/>
      <c r="L413" s="11" t="n"/>
      <c r="M413" s="11" t="n"/>
      <c r="N413" s="10">
        <f>IF(COUNTA(J413:M413)=0,"",MIN(10,SUMPRODUCT((COUNTIF(J413:M413,L_KOM)&gt;0)*S_KOM)))</f>
        <v/>
      </c>
      <c r="O413" s="11" t="n"/>
      <c r="P413" s="10">
        <f>IF(O413="","",IFERROR(VLOOKUP(O413,T_KHID,2,FALSE),0))</f>
        <v/>
      </c>
      <c r="Q413" s="11" t="n"/>
      <c r="R413" s="11" t="n"/>
      <c r="S413" s="10">
        <f>IF(AND(Q413="",R413=""),"",IFERROR(INDEX(T_LIBAT,MATCH(Q413,L_PER,0),MATCH(R413,L_JENIS,0)),0))</f>
        <v/>
      </c>
      <c r="T413" s="11" t="n"/>
      <c r="U413" s="11" t="n"/>
      <c r="V413" s="10">
        <f>IF(AND(T413="",U413=""),"",IFERROR(INDEX(T_CAPAI,MATCH(T413,L_PER,0),MATCH(U413,L_KED,0)),0))</f>
        <v/>
      </c>
      <c r="W413" s="17">
        <f>IF(OR(B413="",E413="",COUNTA(F413,H413,J413:M413,O413,Q413:R413,T413:U413)=0),"",SUM(G413,I413,N413,P413,S413,V413))</f>
        <v/>
      </c>
      <c r="X413" s="18">
        <f>IF(W413="","",IF(Murid!F413="TL","TL",ROUND(W413/110*100,2)))</f>
        <v/>
      </c>
    </row>
    <row r="414">
      <c r="A414" s="15">
        <f>Murid!A414</f>
        <v/>
      </c>
      <c r="B414" s="15">
        <f>IF(Murid!B414="","",Murid!B414)</f>
        <v/>
      </c>
      <c r="C414" s="16">
        <f>IF(Murid!C414="","",Murid!C414)</f>
        <v/>
      </c>
      <c r="D414" s="15">
        <f>IF(Murid!E414="","",Murid!E414)</f>
        <v/>
      </c>
      <c r="E414" s="11" t="n"/>
      <c r="F414" s="11" t="n"/>
      <c r="G414" s="10">
        <f>IF(F414="","",IFERROR(VLOOKUP(F414,T_JUB,2,FALSE),0))</f>
        <v/>
      </c>
      <c r="H414" s="11" t="n"/>
      <c r="I414" s="17">
        <f>IF(H414="","",IF(H414&gt;=12,40,ROUND(H414*3.33,2)))</f>
        <v/>
      </c>
      <c r="J414" s="11" t="n"/>
      <c r="K414" s="11" t="n"/>
      <c r="L414" s="11" t="n"/>
      <c r="M414" s="11" t="n"/>
      <c r="N414" s="10">
        <f>IF(COUNTA(J414:M414)=0,"",MIN(10,SUMPRODUCT((COUNTIF(J414:M414,L_KOM)&gt;0)*S_KOM)))</f>
        <v/>
      </c>
      <c r="O414" s="11" t="n"/>
      <c r="P414" s="10">
        <f>IF(O414="","",IFERROR(VLOOKUP(O414,T_KHID,2,FALSE),0))</f>
        <v/>
      </c>
      <c r="Q414" s="11" t="n"/>
      <c r="R414" s="11" t="n"/>
      <c r="S414" s="10">
        <f>IF(AND(Q414="",R414=""),"",IFERROR(INDEX(T_LIBAT,MATCH(Q414,L_PER,0),MATCH(R414,L_JENIS,0)),0))</f>
        <v/>
      </c>
      <c r="T414" s="11" t="n"/>
      <c r="U414" s="11" t="n"/>
      <c r="V414" s="10">
        <f>IF(AND(T414="",U414=""),"",IFERROR(INDEX(T_CAPAI,MATCH(T414,L_PER,0),MATCH(U414,L_KED,0)),0))</f>
        <v/>
      </c>
      <c r="W414" s="17">
        <f>IF(OR(B414="",E414="",COUNTA(F414,H414,J414:M414,O414,Q414:R414,T414:U414)=0),"",SUM(G414,I414,N414,P414,S414,V414))</f>
        <v/>
      </c>
      <c r="X414" s="18">
        <f>IF(W414="","",IF(Murid!F414="TL","TL",ROUND(W414/110*100,2)))</f>
        <v/>
      </c>
    </row>
    <row r="415">
      <c r="A415" s="15">
        <f>Murid!A415</f>
        <v/>
      </c>
      <c r="B415" s="15">
        <f>IF(Murid!B415="","",Murid!B415)</f>
        <v/>
      </c>
      <c r="C415" s="16">
        <f>IF(Murid!C415="","",Murid!C415)</f>
        <v/>
      </c>
      <c r="D415" s="15">
        <f>IF(Murid!E415="","",Murid!E415)</f>
        <v/>
      </c>
      <c r="E415" s="11" t="n"/>
      <c r="F415" s="11" t="n"/>
      <c r="G415" s="10">
        <f>IF(F415="","",IFERROR(VLOOKUP(F415,T_JUB,2,FALSE),0))</f>
        <v/>
      </c>
      <c r="H415" s="11" t="n"/>
      <c r="I415" s="17">
        <f>IF(H415="","",IF(H415&gt;=12,40,ROUND(H415*3.33,2)))</f>
        <v/>
      </c>
      <c r="J415" s="11" t="n"/>
      <c r="K415" s="11" t="n"/>
      <c r="L415" s="11" t="n"/>
      <c r="M415" s="11" t="n"/>
      <c r="N415" s="10">
        <f>IF(COUNTA(J415:M415)=0,"",MIN(10,SUMPRODUCT((COUNTIF(J415:M415,L_KOM)&gt;0)*S_KOM)))</f>
        <v/>
      </c>
      <c r="O415" s="11" t="n"/>
      <c r="P415" s="10">
        <f>IF(O415="","",IFERROR(VLOOKUP(O415,T_KHID,2,FALSE),0))</f>
        <v/>
      </c>
      <c r="Q415" s="11" t="n"/>
      <c r="R415" s="11" t="n"/>
      <c r="S415" s="10">
        <f>IF(AND(Q415="",R415=""),"",IFERROR(INDEX(T_LIBAT,MATCH(Q415,L_PER,0),MATCH(R415,L_JENIS,0)),0))</f>
        <v/>
      </c>
      <c r="T415" s="11" t="n"/>
      <c r="U415" s="11" t="n"/>
      <c r="V415" s="10">
        <f>IF(AND(T415="",U415=""),"",IFERROR(INDEX(T_CAPAI,MATCH(T415,L_PER,0),MATCH(U415,L_KED,0)),0))</f>
        <v/>
      </c>
      <c r="W415" s="17">
        <f>IF(OR(B415="",E415="",COUNTA(F415,H415,J415:M415,O415,Q415:R415,T415:U415)=0),"",SUM(G415,I415,N415,P415,S415,V415))</f>
        <v/>
      </c>
      <c r="X415" s="18">
        <f>IF(W415="","",IF(Murid!F415="TL","TL",ROUND(W415/110*100,2)))</f>
        <v/>
      </c>
    </row>
    <row r="416">
      <c r="A416" s="15">
        <f>Murid!A416</f>
        <v/>
      </c>
      <c r="B416" s="15">
        <f>IF(Murid!B416="","",Murid!B416)</f>
        <v/>
      </c>
      <c r="C416" s="16">
        <f>IF(Murid!C416="","",Murid!C416)</f>
        <v/>
      </c>
      <c r="D416" s="15">
        <f>IF(Murid!E416="","",Murid!E416)</f>
        <v/>
      </c>
      <c r="E416" s="11" t="n"/>
      <c r="F416" s="11" t="n"/>
      <c r="G416" s="10">
        <f>IF(F416="","",IFERROR(VLOOKUP(F416,T_JUB,2,FALSE),0))</f>
        <v/>
      </c>
      <c r="H416" s="11" t="n"/>
      <c r="I416" s="17">
        <f>IF(H416="","",IF(H416&gt;=12,40,ROUND(H416*3.33,2)))</f>
        <v/>
      </c>
      <c r="J416" s="11" t="n"/>
      <c r="K416" s="11" t="n"/>
      <c r="L416" s="11" t="n"/>
      <c r="M416" s="11" t="n"/>
      <c r="N416" s="10">
        <f>IF(COUNTA(J416:M416)=0,"",MIN(10,SUMPRODUCT((COUNTIF(J416:M416,L_KOM)&gt;0)*S_KOM)))</f>
        <v/>
      </c>
      <c r="O416" s="11" t="n"/>
      <c r="P416" s="10">
        <f>IF(O416="","",IFERROR(VLOOKUP(O416,T_KHID,2,FALSE),0))</f>
        <v/>
      </c>
      <c r="Q416" s="11" t="n"/>
      <c r="R416" s="11" t="n"/>
      <c r="S416" s="10">
        <f>IF(AND(Q416="",R416=""),"",IFERROR(INDEX(T_LIBAT,MATCH(Q416,L_PER,0),MATCH(R416,L_JENIS,0)),0))</f>
        <v/>
      </c>
      <c r="T416" s="11" t="n"/>
      <c r="U416" s="11" t="n"/>
      <c r="V416" s="10">
        <f>IF(AND(T416="",U416=""),"",IFERROR(INDEX(T_CAPAI,MATCH(T416,L_PER,0),MATCH(U416,L_KED,0)),0))</f>
        <v/>
      </c>
      <c r="W416" s="17">
        <f>IF(OR(B416="",E416="",COUNTA(F416,H416,J416:M416,O416,Q416:R416,T416:U416)=0),"",SUM(G416,I416,N416,P416,S416,V416))</f>
        <v/>
      </c>
      <c r="X416" s="18">
        <f>IF(W416="","",IF(Murid!F416="TL","TL",ROUND(W416/110*100,2)))</f>
        <v/>
      </c>
    </row>
    <row r="417">
      <c r="A417" s="15">
        <f>Murid!A417</f>
        <v/>
      </c>
      <c r="B417" s="15">
        <f>IF(Murid!B417="","",Murid!B417)</f>
        <v/>
      </c>
      <c r="C417" s="16">
        <f>IF(Murid!C417="","",Murid!C417)</f>
        <v/>
      </c>
      <c r="D417" s="15">
        <f>IF(Murid!E417="","",Murid!E417)</f>
        <v/>
      </c>
      <c r="E417" s="11" t="n"/>
      <c r="F417" s="11" t="n"/>
      <c r="G417" s="10">
        <f>IF(F417="","",IFERROR(VLOOKUP(F417,T_JUB,2,FALSE),0))</f>
        <v/>
      </c>
      <c r="H417" s="11" t="n"/>
      <c r="I417" s="17">
        <f>IF(H417="","",IF(H417&gt;=12,40,ROUND(H417*3.33,2)))</f>
        <v/>
      </c>
      <c r="J417" s="11" t="n"/>
      <c r="K417" s="11" t="n"/>
      <c r="L417" s="11" t="n"/>
      <c r="M417" s="11" t="n"/>
      <c r="N417" s="10">
        <f>IF(COUNTA(J417:M417)=0,"",MIN(10,SUMPRODUCT((COUNTIF(J417:M417,L_KOM)&gt;0)*S_KOM)))</f>
        <v/>
      </c>
      <c r="O417" s="11" t="n"/>
      <c r="P417" s="10">
        <f>IF(O417="","",IFERROR(VLOOKUP(O417,T_KHID,2,FALSE),0))</f>
        <v/>
      </c>
      <c r="Q417" s="11" t="n"/>
      <c r="R417" s="11" t="n"/>
      <c r="S417" s="10">
        <f>IF(AND(Q417="",R417=""),"",IFERROR(INDEX(T_LIBAT,MATCH(Q417,L_PER,0),MATCH(R417,L_JENIS,0)),0))</f>
        <v/>
      </c>
      <c r="T417" s="11" t="n"/>
      <c r="U417" s="11" t="n"/>
      <c r="V417" s="10">
        <f>IF(AND(T417="",U417=""),"",IFERROR(INDEX(T_CAPAI,MATCH(T417,L_PER,0),MATCH(U417,L_KED,0)),0))</f>
        <v/>
      </c>
      <c r="W417" s="17">
        <f>IF(OR(B417="",E417="",COUNTA(F417,H417,J417:M417,O417,Q417:R417,T417:U417)=0),"",SUM(G417,I417,N417,P417,S417,V417))</f>
        <v/>
      </c>
      <c r="X417" s="18">
        <f>IF(W417="","",IF(Murid!F417="TL","TL",ROUND(W417/110*100,2)))</f>
        <v/>
      </c>
    </row>
    <row r="418">
      <c r="A418" s="15">
        <f>Murid!A418</f>
        <v/>
      </c>
      <c r="B418" s="15">
        <f>IF(Murid!B418="","",Murid!B418)</f>
        <v/>
      </c>
      <c r="C418" s="16">
        <f>IF(Murid!C418="","",Murid!C418)</f>
        <v/>
      </c>
      <c r="D418" s="15">
        <f>IF(Murid!E418="","",Murid!E418)</f>
        <v/>
      </c>
      <c r="E418" s="11" t="n"/>
      <c r="F418" s="11" t="n"/>
      <c r="G418" s="10">
        <f>IF(F418="","",IFERROR(VLOOKUP(F418,T_JUB,2,FALSE),0))</f>
        <v/>
      </c>
      <c r="H418" s="11" t="n"/>
      <c r="I418" s="17">
        <f>IF(H418="","",IF(H418&gt;=12,40,ROUND(H418*3.33,2)))</f>
        <v/>
      </c>
      <c r="J418" s="11" t="n"/>
      <c r="K418" s="11" t="n"/>
      <c r="L418" s="11" t="n"/>
      <c r="M418" s="11" t="n"/>
      <c r="N418" s="10">
        <f>IF(COUNTA(J418:M418)=0,"",MIN(10,SUMPRODUCT((COUNTIF(J418:M418,L_KOM)&gt;0)*S_KOM)))</f>
        <v/>
      </c>
      <c r="O418" s="11" t="n"/>
      <c r="P418" s="10">
        <f>IF(O418="","",IFERROR(VLOOKUP(O418,T_KHID,2,FALSE),0))</f>
        <v/>
      </c>
      <c r="Q418" s="11" t="n"/>
      <c r="R418" s="11" t="n"/>
      <c r="S418" s="10">
        <f>IF(AND(Q418="",R418=""),"",IFERROR(INDEX(T_LIBAT,MATCH(Q418,L_PER,0),MATCH(R418,L_JENIS,0)),0))</f>
        <v/>
      </c>
      <c r="T418" s="11" t="n"/>
      <c r="U418" s="11" t="n"/>
      <c r="V418" s="10">
        <f>IF(AND(T418="",U418=""),"",IFERROR(INDEX(T_CAPAI,MATCH(T418,L_PER,0),MATCH(U418,L_KED,0)),0))</f>
        <v/>
      </c>
      <c r="W418" s="17">
        <f>IF(OR(B418="",E418="",COUNTA(F418,H418,J418:M418,O418,Q418:R418,T418:U418)=0),"",SUM(G418,I418,N418,P418,S418,V418))</f>
        <v/>
      </c>
      <c r="X418" s="18">
        <f>IF(W418="","",IF(Murid!F418="TL","TL",ROUND(W418/110*100,2)))</f>
        <v/>
      </c>
    </row>
    <row r="419">
      <c r="A419" s="15">
        <f>Murid!A419</f>
        <v/>
      </c>
      <c r="B419" s="15">
        <f>IF(Murid!B419="","",Murid!B419)</f>
        <v/>
      </c>
      <c r="C419" s="16">
        <f>IF(Murid!C419="","",Murid!C419)</f>
        <v/>
      </c>
      <c r="D419" s="15">
        <f>IF(Murid!E419="","",Murid!E419)</f>
        <v/>
      </c>
      <c r="E419" s="11" t="n"/>
      <c r="F419" s="11" t="n"/>
      <c r="G419" s="10">
        <f>IF(F419="","",IFERROR(VLOOKUP(F419,T_JUB,2,FALSE),0))</f>
        <v/>
      </c>
      <c r="H419" s="11" t="n"/>
      <c r="I419" s="17">
        <f>IF(H419="","",IF(H419&gt;=12,40,ROUND(H419*3.33,2)))</f>
        <v/>
      </c>
      <c r="J419" s="11" t="n"/>
      <c r="K419" s="11" t="n"/>
      <c r="L419" s="11" t="n"/>
      <c r="M419" s="11" t="n"/>
      <c r="N419" s="10">
        <f>IF(COUNTA(J419:M419)=0,"",MIN(10,SUMPRODUCT((COUNTIF(J419:M419,L_KOM)&gt;0)*S_KOM)))</f>
        <v/>
      </c>
      <c r="O419" s="11" t="n"/>
      <c r="P419" s="10">
        <f>IF(O419="","",IFERROR(VLOOKUP(O419,T_KHID,2,FALSE),0))</f>
        <v/>
      </c>
      <c r="Q419" s="11" t="n"/>
      <c r="R419" s="11" t="n"/>
      <c r="S419" s="10">
        <f>IF(AND(Q419="",R419=""),"",IFERROR(INDEX(T_LIBAT,MATCH(Q419,L_PER,0),MATCH(R419,L_JENIS,0)),0))</f>
        <v/>
      </c>
      <c r="T419" s="11" t="n"/>
      <c r="U419" s="11" t="n"/>
      <c r="V419" s="10">
        <f>IF(AND(T419="",U419=""),"",IFERROR(INDEX(T_CAPAI,MATCH(T419,L_PER,0),MATCH(U419,L_KED,0)),0))</f>
        <v/>
      </c>
      <c r="W419" s="17">
        <f>IF(OR(B419="",E419="",COUNTA(F419,H419,J419:M419,O419,Q419:R419,T419:U419)=0),"",SUM(G419,I419,N419,P419,S419,V419))</f>
        <v/>
      </c>
      <c r="X419" s="18">
        <f>IF(W419="","",IF(Murid!F419="TL","TL",ROUND(W419/110*100,2)))</f>
        <v/>
      </c>
    </row>
    <row r="420">
      <c r="A420" s="15">
        <f>Murid!A420</f>
        <v/>
      </c>
      <c r="B420" s="15">
        <f>IF(Murid!B420="","",Murid!B420)</f>
        <v/>
      </c>
      <c r="C420" s="16">
        <f>IF(Murid!C420="","",Murid!C420)</f>
        <v/>
      </c>
      <c r="D420" s="15">
        <f>IF(Murid!E420="","",Murid!E420)</f>
        <v/>
      </c>
      <c r="E420" s="11" t="n"/>
      <c r="F420" s="11" t="n"/>
      <c r="G420" s="10">
        <f>IF(F420="","",IFERROR(VLOOKUP(F420,T_JUB,2,FALSE),0))</f>
        <v/>
      </c>
      <c r="H420" s="11" t="n"/>
      <c r="I420" s="17">
        <f>IF(H420="","",IF(H420&gt;=12,40,ROUND(H420*3.33,2)))</f>
        <v/>
      </c>
      <c r="J420" s="11" t="n"/>
      <c r="K420" s="11" t="n"/>
      <c r="L420" s="11" t="n"/>
      <c r="M420" s="11" t="n"/>
      <c r="N420" s="10">
        <f>IF(COUNTA(J420:M420)=0,"",MIN(10,SUMPRODUCT((COUNTIF(J420:M420,L_KOM)&gt;0)*S_KOM)))</f>
        <v/>
      </c>
      <c r="O420" s="11" t="n"/>
      <c r="P420" s="10">
        <f>IF(O420="","",IFERROR(VLOOKUP(O420,T_KHID,2,FALSE),0))</f>
        <v/>
      </c>
      <c r="Q420" s="11" t="n"/>
      <c r="R420" s="11" t="n"/>
      <c r="S420" s="10">
        <f>IF(AND(Q420="",R420=""),"",IFERROR(INDEX(T_LIBAT,MATCH(Q420,L_PER,0),MATCH(R420,L_JENIS,0)),0))</f>
        <v/>
      </c>
      <c r="T420" s="11" t="n"/>
      <c r="U420" s="11" t="n"/>
      <c r="V420" s="10">
        <f>IF(AND(T420="",U420=""),"",IFERROR(INDEX(T_CAPAI,MATCH(T420,L_PER,0),MATCH(U420,L_KED,0)),0))</f>
        <v/>
      </c>
      <c r="W420" s="17">
        <f>IF(OR(B420="",E420="",COUNTA(F420,H420,J420:M420,O420,Q420:R420,T420:U420)=0),"",SUM(G420,I420,N420,P420,S420,V420))</f>
        <v/>
      </c>
      <c r="X420" s="18">
        <f>IF(W420="","",IF(Murid!F420="TL","TL",ROUND(W420/110*100,2)))</f>
        <v/>
      </c>
    </row>
    <row r="421">
      <c r="A421" s="15">
        <f>Murid!A421</f>
        <v/>
      </c>
      <c r="B421" s="15">
        <f>IF(Murid!B421="","",Murid!B421)</f>
        <v/>
      </c>
      <c r="C421" s="16">
        <f>IF(Murid!C421="","",Murid!C421)</f>
        <v/>
      </c>
      <c r="D421" s="15">
        <f>IF(Murid!E421="","",Murid!E421)</f>
        <v/>
      </c>
      <c r="E421" s="11" t="n"/>
      <c r="F421" s="11" t="n"/>
      <c r="G421" s="10">
        <f>IF(F421="","",IFERROR(VLOOKUP(F421,T_JUB,2,FALSE),0))</f>
        <v/>
      </c>
      <c r="H421" s="11" t="n"/>
      <c r="I421" s="17">
        <f>IF(H421="","",IF(H421&gt;=12,40,ROUND(H421*3.33,2)))</f>
        <v/>
      </c>
      <c r="J421" s="11" t="n"/>
      <c r="K421" s="11" t="n"/>
      <c r="L421" s="11" t="n"/>
      <c r="M421" s="11" t="n"/>
      <c r="N421" s="10">
        <f>IF(COUNTA(J421:M421)=0,"",MIN(10,SUMPRODUCT((COUNTIF(J421:M421,L_KOM)&gt;0)*S_KOM)))</f>
        <v/>
      </c>
      <c r="O421" s="11" t="n"/>
      <c r="P421" s="10">
        <f>IF(O421="","",IFERROR(VLOOKUP(O421,T_KHID,2,FALSE),0))</f>
        <v/>
      </c>
      <c r="Q421" s="11" t="n"/>
      <c r="R421" s="11" t="n"/>
      <c r="S421" s="10">
        <f>IF(AND(Q421="",R421=""),"",IFERROR(INDEX(T_LIBAT,MATCH(Q421,L_PER,0),MATCH(R421,L_JENIS,0)),0))</f>
        <v/>
      </c>
      <c r="T421" s="11" t="n"/>
      <c r="U421" s="11" t="n"/>
      <c r="V421" s="10">
        <f>IF(AND(T421="",U421=""),"",IFERROR(INDEX(T_CAPAI,MATCH(T421,L_PER,0),MATCH(U421,L_KED,0)),0))</f>
        <v/>
      </c>
      <c r="W421" s="17">
        <f>IF(OR(B421="",E421="",COUNTA(F421,H421,J421:M421,O421,Q421:R421,T421:U421)=0),"",SUM(G421,I421,N421,P421,S421,V421))</f>
        <v/>
      </c>
      <c r="X421" s="18">
        <f>IF(W421="","",IF(Murid!F421="TL","TL",ROUND(W421/110*100,2)))</f>
        <v/>
      </c>
    </row>
    <row r="422">
      <c r="A422" s="15">
        <f>Murid!A422</f>
        <v/>
      </c>
      <c r="B422" s="15">
        <f>IF(Murid!B422="","",Murid!B422)</f>
        <v/>
      </c>
      <c r="C422" s="16">
        <f>IF(Murid!C422="","",Murid!C422)</f>
        <v/>
      </c>
      <c r="D422" s="15">
        <f>IF(Murid!E422="","",Murid!E422)</f>
        <v/>
      </c>
      <c r="E422" s="11" t="n"/>
      <c r="F422" s="11" t="n"/>
      <c r="G422" s="10">
        <f>IF(F422="","",IFERROR(VLOOKUP(F422,T_JUB,2,FALSE),0))</f>
        <v/>
      </c>
      <c r="H422" s="11" t="n"/>
      <c r="I422" s="17">
        <f>IF(H422="","",IF(H422&gt;=12,40,ROUND(H422*3.33,2)))</f>
        <v/>
      </c>
      <c r="J422" s="11" t="n"/>
      <c r="K422" s="11" t="n"/>
      <c r="L422" s="11" t="n"/>
      <c r="M422" s="11" t="n"/>
      <c r="N422" s="10">
        <f>IF(COUNTA(J422:M422)=0,"",MIN(10,SUMPRODUCT((COUNTIF(J422:M422,L_KOM)&gt;0)*S_KOM)))</f>
        <v/>
      </c>
      <c r="O422" s="11" t="n"/>
      <c r="P422" s="10">
        <f>IF(O422="","",IFERROR(VLOOKUP(O422,T_KHID,2,FALSE),0))</f>
        <v/>
      </c>
      <c r="Q422" s="11" t="n"/>
      <c r="R422" s="11" t="n"/>
      <c r="S422" s="10">
        <f>IF(AND(Q422="",R422=""),"",IFERROR(INDEX(T_LIBAT,MATCH(Q422,L_PER,0),MATCH(R422,L_JENIS,0)),0))</f>
        <v/>
      </c>
      <c r="T422" s="11" t="n"/>
      <c r="U422" s="11" t="n"/>
      <c r="V422" s="10">
        <f>IF(AND(T422="",U422=""),"",IFERROR(INDEX(T_CAPAI,MATCH(T422,L_PER,0),MATCH(U422,L_KED,0)),0))</f>
        <v/>
      </c>
      <c r="W422" s="17">
        <f>IF(OR(B422="",E422="",COUNTA(F422,H422,J422:M422,O422,Q422:R422,T422:U422)=0),"",SUM(G422,I422,N422,P422,S422,V422))</f>
        <v/>
      </c>
      <c r="X422" s="18">
        <f>IF(W422="","",IF(Murid!F422="TL","TL",ROUND(W422/110*100,2)))</f>
        <v/>
      </c>
    </row>
    <row r="423">
      <c r="A423" s="15">
        <f>Murid!A423</f>
        <v/>
      </c>
      <c r="B423" s="15">
        <f>IF(Murid!B423="","",Murid!B423)</f>
        <v/>
      </c>
      <c r="C423" s="16">
        <f>IF(Murid!C423="","",Murid!C423)</f>
        <v/>
      </c>
      <c r="D423" s="15">
        <f>IF(Murid!E423="","",Murid!E423)</f>
        <v/>
      </c>
      <c r="E423" s="11" t="n"/>
      <c r="F423" s="11" t="n"/>
      <c r="G423" s="10">
        <f>IF(F423="","",IFERROR(VLOOKUP(F423,T_JUB,2,FALSE),0))</f>
        <v/>
      </c>
      <c r="H423" s="11" t="n"/>
      <c r="I423" s="17">
        <f>IF(H423="","",IF(H423&gt;=12,40,ROUND(H423*3.33,2)))</f>
        <v/>
      </c>
      <c r="J423" s="11" t="n"/>
      <c r="K423" s="11" t="n"/>
      <c r="L423" s="11" t="n"/>
      <c r="M423" s="11" t="n"/>
      <c r="N423" s="10">
        <f>IF(COUNTA(J423:M423)=0,"",MIN(10,SUMPRODUCT((COUNTIF(J423:M423,L_KOM)&gt;0)*S_KOM)))</f>
        <v/>
      </c>
      <c r="O423" s="11" t="n"/>
      <c r="P423" s="10">
        <f>IF(O423="","",IFERROR(VLOOKUP(O423,T_KHID,2,FALSE),0))</f>
        <v/>
      </c>
      <c r="Q423" s="11" t="n"/>
      <c r="R423" s="11" t="n"/>
      <c r="S423" s="10">
        <f>IF(AND(Q423="",R423=""),"",IFERROR(INDEX(T_LIBAT,MATCH(Q423,L_PER,0),MATCH(R423,L_JENIS,0)),0))</f>
        <v/>
      </c>
      <c r="T423" s="11" t="n"/>
      <c r="U423" s="11" t="n"/>
      <c r="V423" s="10">
        <f>IF(AND(T423="",U423=""),"",IFERROR(INDEX(T_CAPAI,MATCH(T423,L_PER,0),MATCH(U423,L_KED,0)),0))</f>
        <v/>
      </c>
      <c r="W423" s="17">
        <f>IF(OR(B423="",E423="",COUNTA(F423,H423,J423:M423,O423,Q423:R423,T423:U423)=0),"",SUM(G423,I423,N423,P423,S423,V423))</f>
        <v/>
      </c>
      <c r="X423" s="18">
        <f>IF(W423="","",IF(Murid!F423="TL","TL",ROUND(W423/110*100,2)))</f>
        <v/>
      </c>
    </row>
    <row r="424">
      <c r="A424" s="15">
        <f>Murid!A424</f>
        <v/>
      </c>
      <c r="B424" s="15">
        <f>IF(Murid!B424="","",Murid!B424)</f>
        <v/>
      </c>
      <c r="C424" s="16">
        <f>IF(Murid!C424="","",Murid!C424)</f>
        <v/>
      </c>
      <c r="D424" s="15">
        <f>IF(Murid!E424="","",Murid!E424)</f>
        <v/>
      </c>
      <c r="E424" s="11" t="n"/>
      <c r="F424" s="11" t="n"/>
      <c r="G424" s="10">
        <f>IF(F424="","",IFERROR(VLOOKUP(F424,T_JUB,2,FALSE),0))</f>
        <v/>
      </c>
      <c r="H424" s="11" t="n"/>
      <c r="I424" s="17">
        <f>IF(H424="","",IF(H424&gt;=12,40,ROUND(H424*3.33,2)))</f>
        <v/>
      </c>
      <c r="J424" s="11" t="n"/>
      <c r="K424" s="11" t="n"/>
      <c r="L424" s="11" t="n"/>
      <c r="M424" s="11" t="n"/>
      <c r="N424" s="10">
        <f>IF(COUNTA(J424:M424)=0,"",MIN(10,SUMPRODUCT((COUNTIF(J424:M424,L_KOM)&gt;0)*S_KOM)))</f>
        <v/>
      </c>
      <c r="O424" s="11" t="n"/>
      <c r="P424" s="10">
        <f>IF(O424="","",IFERROR(VLOOKUP(O424,T_KHID,2,FALSE),0))</f>
        <v/>
      </c>
      <c r="Q424" s="11" t="n"/>
      <c r="R424" s="11" t="n"/>
      <c r="S424" s="10">
        <f>IF(AND(Q424="",R424=""),"",IFERROR(INDEX(T_LIBAT,MATCH(Q424,L_PER,0),MATCH(R424,L_JENIS,0)),0))</f>
        <v/>
      </c>
      <c r="T424" s="11" t="n"/>
      <c r="U424" s="11" t="n"/>
      <c r="V424" s="10">
        <f>IF(AND(T424="",U424=""),"",IFERROR(INDEX(T_CAPAI,MATCH(T424,L_PER,0),MATCH(U424,L_KED,0)),0))</f>
        <v/>
      </c>
      <c r="W424" s="17">
        <f>IF(OR(B424="",E424="",COUNTA(F424,H424,J424:M424,O424,Q424:R424,T424:U424)=0),"",SUM(G424,I424,N424,P424,S424,V424))</f>
        <v/>
      </c>
      <c r="X424" s="18">
        <f>IF(W424="","",IF(Murid!F424="TL","TL",ROUND(W424/110*100,2)))</f>
        <v/>
      </c>
    </row>
    <row r="425">
      <c r="A425" s="15">
        <f>Murid!A425</f>
        <v/>
      </c>
      <c r="B425" s="15">
        <f>IF(Murid!B425="","",Murid!B425)</f>
        <v/>
      </c>
      <c r="C425" s="16">
        <f>IF(Murid!C425="","",Murid!C425)</f>
        <v/>
      </c>
      <c r="D425" s="15">
        <f>IF(Murid!E425="","",Murid!E425)</f>
        <v/>
      </c>
      <c r="E425" s="11" t="n"/>
      <c r="F425" s="11" t="n"/>
      <c r="G425" s="10">
        <f>IF(F425="","",IFERROR(VLOOKUP(F425,T_JUB,2,FALSE),0))</f>
        <v/>
      </c>
      <c r="H425" s="11" t="n"/>
      <c r="I425" s="17">
        <f>IF(H425="","",IF(H425&gt;=12,40,ROUND(H425*3.33,2)))</f>
        <v/>
      </c>
      <c r="J425" s="11" t="n"/>
      <c r="K425" s="11" t="n"/>
      <c r="L425" s="11" t="n"/>
      <c r="M425" s="11" t="n"/>
      <c r="N425" s="10">
        <f>IF(COUNTA(J425:M425)=0,"",MIN(10,SUMPRODUCT((COUNTIF(J425:M425,L_KOM)&gt;0)*S_KOM)))</f>
        <v/>
      </c>
      <c r="O425" s="11" t="n"/>
      <c r="P425" s="10">
        <f>IF(O425="","",IFERROR(VLOOKUP(O425,T_KHID,2,FALSE),0))</f>
        <v/>
      </c>
      <c r="Q425" s="11" t="n"/>
      <c r="R425" s="11" t="n"/>
      <c r="S425" s="10">
        <f>IF(AND(Q425="",R425=""),"",IFERROR(INDEX(T_LIBAT,MATCH(Q425,L_PER,0),MATCH(R425,L_JENIS,0)),0))</f>
        <v/>
      </c>
      <c r="T425" s="11" t="n"/>
      <c r="U425" s="11" t="n"/>
      <c r="V425" s="10">
        <f>IF(AND(T425="",U425=""),"",IFERROR(INDEX(T_CAPAI,MATCH(T425,L_PER,0),MATCH(U425,L_KED,0)),0))</f>
        <v/>
      </c>
      <c r="W425" s="17">
        <f>IF(OR(B425="",E425="",COUNTA(F425,H425,J425:M425,O425,Q425:R425,T425:U425)=0),"",SUM(G425,I425,N425,P425,S425,V425))</f>
        <v/>
      </c>
      <c r="X425" s="18">
        <f>IF(W425="","",IF(Murid!F425="TL","TL",ROUND(W425/110*100,2)))</f>
        <v/>
      </c>
    </row>
    <row r="426">
      <c r="A426" s="15">
        <f>Murid!A426</f>
        <v/>
      </c>
      <c r="B426" s="15">
        <f>IF(Murid!B426="","",Murid!B426)</f>
        <v/>
      </c>
      <c r="C426" s="16">
        <f>IF(Murid!C426="","",Murid!C426)</f>
        <v/>
      </c>
      <c r="D426" s="15">
        <f>IF(Murid!E426="","",Murid!E426)</f>
        <v/>
      </c>
      <c r="E426" s="11" t="n"/>
      <c r="F426" s="11" t="n"/>
      <c r="G426" s="10">
        <f>IF(F426="","",IFERROR(VLOOKUP(F426,T_JUB,2,FALSE),0))</f>
        <v/>
      </c>
      <c r="H426" s="11" t="n"/>
      <c r="I426" s="17">
        <f>IF(H426="","",IF(H426&gt;=12,40,ROUND(H426*3.33,2)))</f>
        <v/>
      </c>
      <c r="J426" s="11" t="n"/>
      <c r="K426" s="11" t="n"/>
      <c r="L426" s="11" t="n"/>
      <c r="M426" s="11" t="n"/>
      <c r="N426" s="10">
        <f>IF(COUNTA(J426:M426)=0,"",MIN(10,SUMPRODUCT((COUNTIF(J426:M426,L_KOM)&gt;0)*S_KOM)))</f>
        <v/>
      </c>
      <c r="O426" s="11" t="n"/>
      <c r="P426" s="10">
        <f>IF(O426="","",IFERROR(VLOOKUP(O426,T_KHID,2,FALSE),0))</f>
        <v/>
      </c>
      <c r="Q426" s="11" t="n"/>
      <c r="R426" s="11" t="n"/>
      <c r="S426" s="10">
        <f>IF(AND(Q426="",R426=""),"",IFERROR(INDEX(T_LIBAT,MATCH(Q426,L_PER,0),MATCH(R426,L_JENIS,0)),0))</f>
        <v/>
      </c>
      <c r="T426" s="11" t="n"/>
      <c r="U426" s="11" t="n"/>
      <c r="V426" s="10">
        <f>IF(AND(T426="",U426=""),"",IFERROR(INDEX(T_CAPAI,MATCH(T426,L_PER,0),MATCH(U426,L_KED,0)),0))</f>
        <v/>
      </c>
      <c r="W426" s="17">
        <f>IF(OR(B426="",E426="",COUNTA(F426,H426,J426:M426,O426,Q426:R426,T426:U426)=0),"",SUM(G426,I426,N426,P426,S426,V426))</f>
        <v/>
      </c>
      <c r="X426" s="18">
        <f>IF(W426="","",IF(Murid!F426="TL","TL",ROUND(W426/110*100,2)))</f>
        <v/>
      </c>
    </row>
    <row r="427">
      <c r="A427" s="15">
        <f>Murid!A427</f>
        <v/>
      </c>
      <c r="B427" s="15">
        <f>IF(Murid!B427="","",Murid!B427)</f>
        <v/>
      </c>
      <c r="C427" s="16">
        <f>IF(Murid!C427="","",Murid!C427)</f>
        <v/>
      </c>
      <c r="D427" s="15">
        <f>IF(Murid!E427="","",Murid!E427)</f>
        <v/>
      </c>
      <c r="E427" s="11" t="n"/>
      <c r="F427" s="11" t="n"/>
      <c r="G427" s="10">
        <f>IF(F427="","",IFERROR(VLOOKUP(F427,T_JUB,2,FALSE),0))</f>
        <v/>
      </c>
      <c r="H427" s="11" t="n"/>
      <c r="I427" s="17">
        <f>IF(H427="","",IF(H427&gt;=12,40,ROUND(H427*3.33,2)))</f>
        <v/>
      </c>
      <c r="J427" s="11" t="n"/>
      <c r="K427" s="11" t="n"/>
      <c r="L427" s="11" t="n"/>
      <c r="M427" s="11" t="n"/>
      <c r="N427" s="10">
        <f>IF(COUNTA(J427:M427)=0,"",MIN(10,SUMPRODUCT((COUNTIF(J427:M427,L_KOM)&gt;0)*S_KOM)))</f>
        <v/>
      </c>
      <c r="O427" s="11" t="n"/>
      <c r="P427" s="10">
        <f>IF(O427="","",IFERROR(VLOOKUP(O427,T_KHID,2,FALSE),0))</f>
        <v/>
      </c>
      <c r="Q427" s="11" t="n"/>
      <c r="R427" s="11" t="n"/>
      <c r="S427" s="10">
        <f>IF(AND(Q427="",R427=""),"",IFERROR(INDEX(T_LIBAT,MATCH(Q427,L_PER,0),MATCH(R427,L_JENIS,0)),0))</f>
        <v/>
      </c>
      <c r="T427" s="11" t="n"/>
      <c r="U427" s="11" t="n"/>
      <c r="V427" s="10">
        <f>IF(AND(T427="",U427=""),"",IFERROR(INDEX(T_CAPAI,MATCH(T427,L_PER,0),MATCH(U427,L_KED,0)),0))</f>
        <v/>
      </c>
      <c r="W427" s="17">
        <f>IF(OR(B427="",E427="",COUNTA(F427,H427,J427:M427,O427,Q427:R427,T427:U427)=0),"",SUM(G427,I427,N427,P427,S427,V427))</f>
        <v/>
      </c>
      <c r="X427" s="18">
        <f>IF(W427="","",IF(Murid!F427="TL","TL",ROUND(W427/110*100,2)))</f>
        <v/>
      </c>
    </row>
    <row r="428">
      <c r="A428" s="15">
        <f>Murid!A428</f>
        <v/>
      </c>
      <c r="B428" s="15">
        <f>IF(Murid!B428="","",Murid!B428)</f>
        <v/>
      </c>
      <c r="C428" s="16">
        <f>IF(Murid!C428="","",Murid!C428)</f>
        <v/>
      </c>
      <c r="D428" s="15">
        <f>IF(Murid!E428="","",Murid!E428)</f>
        <v/>
      </c>
      <c r="E428" s="11" t="n"/>
      <c r="F428" s="11" t="n"/>
      <c r="G428" s="10">
        <f>IF(F428="","",IFERROR(VLOOKUP(F428,T_JUB,2,FALSE),0))</f>
        <v/>
      </c>
      <c r="H428" s="11" t="n"/>
      <c r="I428" s="17">
        <f>IF(H428="","",IF(H428&gt;=12,40,ROUND(H428*3.33,2)))</f>
        <v/>
      </c>
      <c r="J428" s="11" t="n"/>
      <c r="K428" s="11" t="n"/>
      <c r="L428" s="11" t="n"/>
      <c r="M428" s="11" t="n"/>
      <c r="N428" s="10">
        <f>IF(COUNTA(J428:M428)=0,"",MIN(10,SUMPRODUCT((COUNTIF(J428:M428,L_KOM)&gt;0)*S_KOM)))</f>
        <v/>
      </c>
      <c r="O428" s="11" t="n"/>
      <c r="P428" s="10">
        <f>IF(O428="","",IFERROR(VLOOKUP(O428,T_KHID,2,FALSE),0))</f>
        <v/>
      </c>
      <c r="Q428" s="11" t="n"/>
      <c r="R428" s="11" t="n"/>
      <c r="S428" s="10">
        <f>IF(AND(Q428="",R428=""),"",IFERROR(INDEX(T_LIBAT,MATCH(Q428,L_PER,0),MATCH(R428,L_JENIS,0)),0))</f>
        <v/>
      </c>
      <c r="T428" s="11" t="n"/>
      <c r="U428" s="11" t="n"/>
      <c r="V428" s="10">
        <f>IF(AND(T428="",U428=""),"",IFERROR(INDEX(T_CAPAI,MATCH(T428,L_PER,0),MATCH(U428,L_KED,0)),0))</f>
        <v/>
      </c>
      <c r="W428" s="17">
        <f>IF(OR(B428="",E428="",COUNTA(F428,H428,J428:M428,O428,Q428:R428,T428:U428)=0),"",SUM(G428,I428,N428,P428,S428,V428))</f>
        <v/>
      </c>
      <c r="X428" s="18">
        <f>IF(W428="","",IF(Murid!F428="TL","TL",ROUND(W428/110*100,2)))</f>
        <v/>
      </c>
    </row>
    <row r="429">
      <c r="A429" s="15">
        <f>Murid!A429</f>
        <v/>
      </c>
      <c r="B429" s="15">
        <f>IF(Murid!B429="","",Murid!B429)</f>
        <v/>
      </c>
      <c r="C429" s="16">
        <f>IF(Murid!C429="","",Murid!C429)</f>
        <v/>
      </c>
      <c r="D429" s="15">
        <f>IF(Murid!E429="","",Murid!E429)</f>
        <v/>
      </c>
      <c r="E429" s="11" t="n"/>
      <c r="F429" s="11" t="n"/>
      <c r="G429" s="10">
        <f>IF(F429="","",IFERROR(VLOOKUP(F429,T_JUB,2,FALSE),0))</f>
        <v/>
      </c>
      <c r="H429" s="11" t="n"/>
      <c r="I429" s="17">
        <f>IF(H429="","",IF(H429&gt;=12,40,ROUND(H429*3.33,2)))</f>
        <v/>
      </c>
      <c r="J429" s="11" t="n"/>
      <c r="K429" s="11" t="n"/>
      <c r="L429" s="11" t="n"/>
      <c r="M429" s="11" t="n"/>
      <c r="N429" s="10">
        <f>IF(COUNTA(J429:M429)=0,"",MIN(10,SUMPRODUCT((COUNTIF(J429:M429,L_KOM)&gt;0)*S_KOM)))</f>
        <v/>
      </c>
      <c r="O429" s="11" t="n"/>
      <c r="P429" s="10">
        <f>IF(O429="","",IFERROR(VLOOKUP(O429,T_KHID,2,FALSE),0))</f>
        <v/>
      </c>
      <c r="Q429" s="11" t="n"/>
      <c r="R429" s="11" t="n"/>
      <c r="S429" s="10">
        <f>IF(AND(Q429="",R429=""),"",IFERROR(INDEX(T_LIBAT,MATCH(Q429,L_PER,0),MATCH(R429,L_JENIS,0)),0))</f>
        <v/>
      </c>
      <c r="T429" s="11" t="n"/>
      <c r="U429" s="11" t="n"/>
      <c r="V429" s="10">
        <f>IF(AND(T429="",U429=""),"",IFERROR(INDEX(T_CAPAI,MATCH(T429,L_PER,0),MATCH(U429,L_KED,0)),0))</f>
        <v/>
      </c>
      <c r="W429" s="17">
        <f>IF(OR(B429="",E429="",COUNTA(F429,H429,J429:M429,O429,Q429:R429,T429:U429)=0),"",SUM(G429,I429,N429,P429,S429,V429))</f>
        <v/>
      </c>
      <c r="X429" s="18">
        <f>IF(W429="","",IF(Murid!F429="TL","TL",ROUND(W429/110*100,2)))</f>
        <v/>
      </c>
    </row>
    <row r="430">
      <c r="A430" s="15">
        <f>Murid!A430</f>
        <v/>
      </c>
      <c r="B430" s="15">
        <f>IF(Murid!B430="","",Murid!B430)</f>
        <v/>
      </c>
      <c r="C430" s="16">
        <f>IF(Murid!C430="","",Murid!C430)</f>
        <v/>
      </c>
      <c r="D430" s="15">
        <f>IF(Murid!E430="","",Murid!E430)</f>
        <v/>
      </c>
      <c r="E430" s="11" t="n"/>
      <c r="F430" s="11" t="n"/>
      <c r="G430" s="10">
        <f>IF(F430="","",IFERROR(VLOOKUP(F430,T_JUB,2,FALSE),0))</f>
        <v/>
      </c>
      <c r="H430" s="11" t="n"/>
      <c r="I430" s="17">
        <f>IF(H430="","",IF(H430&gt;=12,40,ROUND(H430*3.33,2)))</f>
        <v/>
      </c>
      <c r="J430" s="11" t="n"/>
      <c r="K430" s="11" t="n"/>
      <c r="L430" s="11" t="n"/>
      <c r="M430" s="11" t="n"/>
      <c r="N430" s="10">
        <f>IF(COUNTA(J430:M430)=0,"",MIN(10,SUMPRODUCT((COUNTIF(J430:M430,L_KOM)&gt;0)*S_KOM)))</f>
        <v/>
      </c>
      <c r="O430" s="11" t="n"/>
      <c r="P430" s="10">
        <f>IF(O430="","",IFERROR(VLOOKUP(O430,T_KHID,2,FALSE),0))</f>
        <v/>
      </c>
      <c r="Q430" s="11" t="n"/>
      <c r="R430" s="11" t="n"/>
      <c r="S430" s="10">
        <f>IF(AND(Q430="",R430=""),"",IFERROR(INDEX(T_LIBAT,MATCH(Q430,L_PER,0),MATCH(R430,L_JENIS,0)),0))</f>
        <v/>
      </c>
      <c r="T430" s="11" t="n"/>
      <c r="U430" s="11" t="n"/>
      <c r="V430" s="10">
        <f>IF(AND(T430="",U430=""),"",IFERROR(INDEX(T_CAPAI,MATCH(T430,L_PER,0),MATCH(U430,L_KED,0)),0))</f>
        <v/>
      </c>
      <c r="W430" s="17">
        <f>IF(OR(B430="",E430="",COUNTA(F430,H430,J430:M430,O430,Q430:R430,T430:U430)=0),"",SUM(G430,I430,N430,P430,S430,V430))</f>
        <v/>
      </c>
      <c r="X430" s="18">
        <f>IF(W430="","",IF(Murid!F430="TL","TL",ROUND(W430/110*100,2)))</f>
        <v/>
      </c>
    </row>
    <row r="431">
      <c r="A431" s="15">
        <f>Murid!A431</f>
        <v/>
      </c>
      <c r="B431" s="15">
        <f>IF(Murid!B431="","",Murid!B431)</f>
        <v/>
      </c>
      <c r="C431" s="16">
        <f>IF(Murid!C431="","",Murid!C431)</f>
        <v/>
      </c>
      <c r="D431" s="15">
        <f>IF(Murid!E431="","",Murid!E431)</f>
        <v/>
      </c>
      <c r="E431" s="11" t="n"/>
      <c r="F431" s="11" t="n"/>
      <c r="G431" s="10">
        <f>IF(F431="","",IFERROR(VLOOKUP(F431,T_JUB,2,FALSE),0))</f>
        <v/>
      </c>
      <c r="H431" s="11" t="n"/>
      <c r="I431" s="17">
        <f>IF(H431="","",IF(H431&gt;=12,40,ROUND(H431*3.33,2)))</f>
        <v/>
      </c>
      <c r="J431" s="11" t="n"/>
      <c r="K431" s="11" t="n"/>
      <c r="L431" s="11" t="n"/>
      <c r="M431" s="11" t="n"/>
      <c r="N431" s="10">
        <f>IF(COUNTA(J431:M431)=0,"",MIN(10,SUMPRODUCT((COUNTIF(J431:M431,L_KOM)&gt;0)*S_KOM)))</f>
        <v/>
      </c>
      <c r="O431" s="11" t="n"/>
      <c r="P431" s="10">
        <f>IF(O431="","",IFERROR(VLOOKUP(O431,T_KHID,2,FALSE),0))</f>
        <v/>
      </c>
      <c r="Q431" s="11" t="n"/>
      <c r="R431" s="11" t="n"/>
      <c r="S431" s="10">
        <f>IF(AND(Q431="",R431=""),"",IFERROR(INDEX(T_LIBAT,MATCH(Q431,L_PER,0),MATCH(R431,L_JENIS,0)),0))</f>
        <v/>
      </c>
      <c r="T431" s="11" t="n"/>
      <c r="U431" s="11" t="n"/>
      <c r="V431" s="10">
        <f>IF(AND(T431="",U431=""),"",IFERROR(INDEX(T_CAPAI,MATCH(T431,L_PER,0),MATCH(U431,L_KED,0)),0))</f>
        <v/>
      </c>
      <c r="W431" s="17">
        <f>IF(OR(B431="",E431="",COUNTA(F431,H431,J431:M431,O431,Q431:R431,T431:U431)=0),"",SUM(G431,I431,N431,P431,S431,V431))</f>
        <v/>
      </c>
      <c r="X431" s="18">
        <f>IF(W431="","",IF(Murid!F431="TL","TL",ROUND(W431/110*100,2)))</f>
        <v/>
      </c>
    </row>
    <row r="432">
      <c r="A432" s="15">
        <f>Murid!A432</f>
        <v/>
      </c>
      <c r="B432" s="15">
        <f>IF(Murid!B432="","",Murid!B432)</f>
        <v/>
      </c>
      <c r="C432" s="16">
        <f>IF(Murid!C432="","",Murid!C432)</f>
        <v/>
      </c>
      <c r="D432" s="15">
        <f>IF(Murid!E432="","",Murid!E432)</f>
        <v/>
      </c>
      <c r="E432" s="11" t="n"/>
      <c r="F432" s="11" t="n"/>
      <c r="G432" s="10">
        <f>IF(F432="","",IFERROR(VLOOKUP(F432,T_JUB,2,FALSE),0))</f>
        <v/>
      </c>
      <c r="H432" s="11" t="n"/>
      <c r="I432" s="17">
        <f>IF(H432="","",IF(H432&gt;=12,40,ROUND(H432*3.33,2)))</f>
        <v/>
      </c>
      <c r="J432" s="11" t="n"/>
      <c r="K432" s="11" t="n"/>
      <c r="L432" s="11" t="n"/>
      <c r="M432" s="11" t="n"/>
      <c r="N432" s="10">
        <f>IF(COUNTA(J432:M432)=0,"",MIN(10,SUMPRODUCT((COUNTIF(J432:M432,L_KOM)&gt;0)*S_KOM)))</f>
        <v/>
      </c>
      <c r="O432" s="11" t="n"/>
      <c r="P432" s="10">
        <f>IF(O432="","",IFERROR(VLOOKUP(O432,T_KHID,2,FALSE),0))</f>
        <v/>
      </c>
      <c r="Q432" s="11" t="n"/>
      <c r="R432" s="11" t="n"/>
      <c r="S432" s="10">
        <f>IF(AND(Q432="",R432=""),"",IFERROR(INDEX(T_LIBAT,MATCH(Q432,L_PER,0),MATCH(R432,L_JENIS,0)),0))</f>
        <v/>
      </c>
      <c r="T432" s="11" t="n"/>
      <c r="U432" s="11" t="n"/>
      <c r="V432" s="10">
        <f>IF(AND(T432="",U432=""),"",IFERROR(INDEX(T_CAPAI,MATCH(T432,L_PER,0),MATCH(U432,L_KED,0)),0))</f>
        <v/>
      </c>
      <c r="W432" s="17">
        <f>IF(OR(B432="",E432="",COUNTA(F432,H432,J432:M432,O432,Q432:R432,T432:U432)=0),"",SUM(G432,I432,N432,P432,S432,V432))</f>
        <v/>
      </c>
      <c r="X432" s="18">
        <f>IF(W432="","",IF(Murid!F432="TL","TL",ROUND(W432/110*100,2)))</f>
        <v/>
      </c>
    </row>
    <row r="433">
      <c r="A433" s="15">
        <f>Murid!A433</f>
        <v/>
      </c>
      <c r="B433" s="15">
        <f>IF(Murid!B433="","",Murid!B433)</f>
        <v/>
      </c>
      <c r="C433" s="16">
        <f>IF(Murid!C433="","",Murid!C433)</f>
        <v/>
      </c>
      <c r="D433" s="15">
        <f>IF(Murid!E433="","",Murid!E433)</f>
        <v/>
      </c>
      <c r="E433" s="11" t="n"/>
      <c r="F433" s="11" t="n"/>
      <c r="G433" s="10">
        <f>IF(F433="","",IFERROR(VLOOKUP(F433,T_JUB,2,FALSE),0))</f>
        <v/>
      </c>
      <c r="H433" s="11" t="n"/>
      <c r="I433" s="17">
        <f>IF(H433="","",IF(H433&gt;=12,40,ROUND(H433*3.33,2)))</f>
        <v/>
      </c>
      <c r="J433" s="11" t="n"/>
      <c r="K433" s="11" t="n"/>
      <c r="L433" s="11" t="n"/>
      <c r="M433" s="11" t="n"/>
      <c r="N433" s="10">
        <f>IF(COUNTA(J433:M433)=0,"",MIN(10,SUMPRODUCT((COUNTIF(J433:M433,L_KOM)&gt;0)*S_KOM)))</f>
        <v/>
      </c>
      <c r="O433" s="11" t="n"/>
      <c r="P433" s="10">
        <f>IF(O433="","",IFERROR(VLOOKUP(O433,T_KHID,2,FALSE),0))</f>
        <v/>
      </c>
      <c r="Q433" s="11" t="n"/>
      <c r="R433" s="11" t="n"/>
      <c r="S433" s="10">
        <f>IF(AND(Q433="",R433=""),"",IFERROR(INDEX(T_LIBAT,MATCH(Q433,L_PER,0),MATCH(R433,L_JENIS,0)),0))</f>
        <v/>
      </c>
      <c r="T433" s="11" t="n"/>
      <c r="U433" s="11" t="n"/>
      <c r="V433" s="10">
        <f>IF(AND(T433="",U433=""),"",IFERROR(INDEX(T_CAPAI,MATCH(T433,L_PER,0),MATCH(U433,L_KED,0)),0))</f>
        <v/>
      </c>
      <c r="W433" s="17">
        <f>IF(OR(B433="",E433="",COUNTA(F433,H433,J433:M433,O433,Q433:R433,T433:U433)=0),"",SUM(G433,I433,N433,P433,S433,V433))</f>
        <v/>
      </c>
      <c r="X433" s="18">
        <f>IF(W433="","",IF(Murid!F433="TL","TL",ROUND(W433/110*100,2)))</f>
        <v/>
      </c>
    </row>
    <row r="434">
      <c r="A434" s="15">
        <f>Murid!A434</f>
        <v/>
      </c>
      <c r="B434" s="15">
        <f>IF(Murid!B434="","",Murid!B434)</f>
        <v/>
      </c>
      <c r="C434" s="16">
        <f>IF(Murid!C434="","",Murid!C434)</f>
        <v/>
      </c>
      <c r="D434" s="15">
        <f>IF(Murid!E434="","",Murid!E434)</f>
        <v/>
      </c>
      <c r="E434" s="11" t="n"/>
      <c r="F434" s="11" t="n"/>
      <c r="G434" s="10">
        <f>IF(F434="","",IFERROR(VLOOKUP(F434,T_JUB,2,FALSE),0))</f>
        <v/>
      </c>
      <c r="H434" s="11" t="n"/>
      <c r="I434" s="17">
        <f>IF(H434="","",IF(H434&gt;=12,40,ROUND(H434*3.33,2)))</f>
        <v/>
      </c>
      <c r="J434" s="11" t="n"/>
      <c r="K434" s="11" t="n"/>
      <c r="L434" s="11" t="n"/>
      <c r="M434" s="11" t="n"/>
      <c r="N434" s="10">
        <f>IF(COUNTA(J434:M434)=0,"",MIN(10,SUMPRODUCT((COUNTIF(J434:M434,L_KOM)&gt;0)*S_KOM)))</f>
        <v/>
      </c>
      <c r="O434" s="11" t="n"/>
      <c r="P434" s="10">
        <f>IF(O434="","",IFERROR(VLOOKUP(O434,T_KHID,2,FALSE),0))</f>
        <v/>
      </c>
      <c r="Q434" s="11" t="n"/>
      <c r="R434" s="11" t="n"/>
      <c r="S434" s="10">
        <f>IF(AND(Q434="",R434=""),"",IFERROR(INDEX(T_LIBAT,MATCH(Q434,L_PER,0),MATCH(R434,L_JENIS,0)),0))</f>
        <v/>
      </c>
      <c r="T434" s="11" t="n"/>
      <c r="U434" s="11" t="n"/>
      <c r="V434" s="10">
        <f>IF(AND(T434="",U434=""),"",IFERROR(INDEX(T_CAPAI,MATCH(T434,L_PER,0),MATCH(U434,L_KED,0)),0))</f>
        <v/>
      </c>
      <c r="W434" s="17">
        <f>IF(OR(B434="",E434="",COUNTA(F434,H434,J434:M434,O434,Q434:R434,T434:U434)=0),"",SUM(G434,I434,N434,P434,S434,V434))</f>
        <v/>
      </c>
      <c r="X434" s="18">
        <f>IF(W434="","",IF(Murid!F434="TL","TL",ROUND(W434/110*100,2)))</f>
        <v/>
      </c>
    </row>
    <row r="435">
      <c r="A435" s="15">
        <f>Murid!A435</f>
        <v/>
      </c>
      <c r="B435" s="15">
        <f>IF(Murid!B435="","",Murid!B435)</f>
        <v/>
      </c>
      <c r="C435" s="16">
        <f>IF(Murid!C435="","",Murid!C435)</f>
        <v/>
      </c>
      <c r="D435" s="15">
        <f>IF(Murid!E435="","",Murid!E435)</f>
        <v/>
      </c>
      <c r="E435" s="11" t="n"/>
      <c r="F435" s="11" t="n"/>
      <c r="G435" s="10">
        <f>IF(F435="","",IFERROR(VLOOKUP(F435,T_JUB,2,FALSE),0))</f>
        <v/>
      </c>
      <c r="H435" s="11" t="n"/>
      <c r="I435" s="17">
        <f>IF(H435="","",IF(H435&gt;=12,40,ROUND(H435*3.33,2)))</f>
        <v/>
      </c>
      <c r="J435" s="11" t="n"/>
      <c r="K435" s="11" t="n"/>
      <c r="L435" s="11" t="n"/>
      <c r="M435" s="11" t="n"/>
      <c r="N435" s="10">
        <f>IF(COUNTA(J435:M435)=0,"",MIN(10,SUMPRODUCT((COUNTIF(J435:M435,L_KOM)&gt;0)*S_KOM)))</f>
        <v/>
      </c>
      <c r="O435" s="11" t="n"/>
      <c r="P435" s="10">
        <f>IF(O435="","",IFERROR(VLOOKUP(O435,T_KHID,2,FALSE),0))</f>
        <v/>
      </c>
      <c r="Q435" s="11" t="n"/>
      <c r="R435" s="11" t="n"/>
      <c r="S435" s="10">
        <f>IF(AND(Q435="",R435=""),"",IFERROR(INDEX(T_LIBAT,MATCH(Q435,L_PER,0),MATCH(R435,L_JENIS,0)),0))</f>
        <v/>
      </c>
      <c r="T435" s="11" t="n"/>
      <c r="U435" s="11" t="n"/>
      <c r="V435" s="10">
        <f>IF(AND(T435="",U435=""),"",IFERROR(INDEX(T_CAPAI,MATCH(T435,L_PER,0),MATCH(U435,L_KED,0)),0))</f>
        <v/>
      </c>
      <c r="W435" s="17">
        <f>IF(OR(B435="",E435="",COUNTA(F435,H435,J435:M435,O435,Q435:R435,T435:U435)=0),"",SUM(G435,I435,N435,P435,S435,V435))</f>
        <v/>
      </c>
      <c r="X435" s="18">
        <f>IF(W435="","",IF(Murid!F435="TL","TL",ROUND(W435/110*100,2)))</f>
        <v/>
      </c>
    </row>
    <row r="436">
      <c r="A436" s="15">
        <f>Murid!A436</f>
        <v/>
      </c>
      <c r="B436" s="15">
        <f>IF(Murid!B436="","",Murid!B436)</f>
        <v/>
      </c>
      <c r="C436" s="16">
        <f>IF(Murid!C436="","",Murid!C436)</f>
        <v/>
      </c>
      <c r="D436" s="15">
        <f>IF(Murid!E436="","",Murid!E436)</f>
        <v/>
      </c>
      <c r="E436" s="11" t="n"/>
      <c r="F436" s="11" t="n"/>
      <c r="G436" s="10">
        <f>IF(F436="","",IFERROR(VLOOKUP(F436,T_JUB,2,FALSE),0))</f>
        <v/>
      </c>
      <c r="H436" s="11" t="n"/>
      <c r="I436" s="17">
        <f>IF(H436="","",IF(H436&gt;=12,40,ROUND(H436*3.33,2)))</f>
        <v/>
      </c>
      <c r="J436" s="11" t="n"/>
      <c r="K436" s="11" t="n"/>
      <c r="L436" s="11" t="n"/>
      <c r="M436" s="11" t="n"/>
      <c r="N436" s="10">
        <f>IF(COUNTA(J436:M436)=0,"",MIN(10,SUMPRODUCT((COUNTIF(J436:M436,L_KOM)&gt;0)*S_KOM)))</f>
        <v/>
      </c>
      <c r="O436" s="11" t="n"/>
      <c r="P436" s="10">
        <f>IF(O436="","",IFERROR(VLOOKUP(O436,T_KHID,2,FALSE),0))</f>
        <v/>
      </c>
      <c r="Q436" s="11" t="n"/>
      <c r="R436" s="11" t="n"/>
      <c r="S436" s="10">
        <f>IF(AND(Q436="",R436=""),"",IFERROR(INDEX(T_LIBAT,MATCH(Q436,L_PER,0),MATCH(R436,L_JENIS,0)),0))</f>
        <v/>
      </c>
      <c r="T436" s="11" t="n"/>
      <c r="U436" s="11" t="n"/>
      <c r="V436" s="10">
        <f>IF(AND(T436="",U436=""),"",IFERROR(INDEX(T_CAPAI,MATCH(T436,L_PER,0),MATCH(U436,L_KED,0)),0))</f>
        <v/>
      </c>
      <c r="W436" s="17">
        <f>IF(OR(B436="",E436="",COUNTA(F436,H436,J436:M436,O436,Q436:R436,T436:U436)=0),"",SUM(G436,I436,N436,P436,S436,V436))</f>
        <v/>
      </c>
      <c r="X436" s="18">
        <f>IF(W436="","",IF(Murid!F436="TL","TL",ROUND(W436/110*100,2)))</f>
        <v/>
      </c>
    </row>
    <row r="437">
      <c r="A437" s="15">
        <f>Murid!A437</f>
        <v/>
      </c>
      <c r="B437" s="15">
        <f>IF(Murid!B437="","",Murid!B437)</f>
        <v/>
      </c>
      <c r="C437" s="16">
        <f>IF(Murid!C437="","",Murid!C437)</f>
        <v/>
      </c>
      <c r="D437" s="15">
        <f>IF(Murid!E437="","",Murid!E437)</f>
        <v/>
      </c>
      <c r="E437" s="11" t="n"/>
      <c r="F437" s="11" t="n"/>
      <c r="G437" s="10">
        <f>IF(F437="","",IFERROR(VLOOKUP(F437,T_JUB,2,FALSE),0))</f>
        <v/>
      </c>
      <c r="H437" s="11" t="n"/>
      <c r="I437" s="17">
        <f>IF(H437="","",IF(H437&gt;=12,40,ROUND(H437*3.33,2)))</f>
        <v/>
      </c>
      <c r="J437" s="11" t="n"/>
      <c r="K437" s="11" t="n"/>
      <c r="L437" s="11" t="n"/>
      <c r="M437" s="11" t="n"/>
      <c r="N437" s="10">
        <f>IF(COUNTA(J437:M437)=0,"",MIN(10,SUMPRODUCT((COUNTIF(J437:M437,L_KOM)&gt;0)*S_KOM)))</f>
        <v/>
      </c>
      <c r="O437" s="11" t="n"/>
      <c r="P437" s="10">
        <f>IF(O437="","",IFERROR(VLOOKUP(O437,T_KHID,2,FALSE),0))</f>
        <v/>
      </c>
      <c r="Q437" s="11" t="n"/>
      <c r="R437" s="11" t="n"/>
      <c r="S437" s="10">
        <f>IF(AND(Q437="",R437=""),"",IFERROR(INDEX(T_LIBAT,MATCH(Q437,L_PER,0),MATCH(R437,L_JENIS,0)),0))</f>
        <v/>
      </c>
      <c r="T437" s="11" t="n"/>
      <c r="U437" s="11" t="n"/>
      <c r="V437" s="10">
        <f>IF(AND(T437="",U437=""),"",IFERROR(INDEX(T_CAPAI,MATCH(T437,L_PER,0),MATCH(U437,L_KED,0)),0))</f>
        <v/>
      </c>
      <c r="W437" s="17">
        <f>IF(OR(B437="",E437="",COUNTA(F437,H437,J437:M437,O437,Q437:R437,T437:U437)=0),"",SUM(G437,I437,N437,P437,S437,V437))</f>
        <v/>
      </c>
      <c r="X437" s="18">
        <f>IF(W437="","",IF(Murid!F437="TL","TL",ROUND(W437/110*100,2)))</f>
        <v/>
      </c>
    </row>
    <row r="438">
      <c r="A438" s="15">
        <f>Murid!A438</f>
        <v/>
      </c>
      <c r="B438" s="15">
        <f>IF(Murid!B438="","",Murid!B438)</f>
        <v/>
      </c>
      <c r="C438" s="16">
        <f>IF(Murid!C438="","",Murid!C438)</f>
        <v/>
      </c>
      <c r="D438" s="15">
        <f>IF(Murid!E438="","",Murid!E438)</f>
        <v/>
      </c>
      <c r="E438" s="11" t="n"/>
      <c r="F438" s="11" t="n"/>
      <c r="G438" s="10">
        <f>IF(F438="","",IFERROR(VLOOKUP(F438,T_JUB,2,FALSE),0))</f>
        <v/>
      </c>
      <c r="H438" s="11" t="n"/>
      <c r="I438" s="17">
        <f>IF(H438="","",IF(H438&gt;=12,40,ROUND(H438*3.33,2)))</f>
        <v/>
      </c>
      <c r="J438" s="11" t="n"/>
      <c r="K438" s="11" t="n"/>
      <c r="L438" s="11" t="n"/>
      <c r="M438" s="11" t="n"/>
      <c r="N438" s="10">
        <f>IF(COUNTA(J438:M438)=0,"",MIN(10,SUMPRODUCT((COUNTIF(J438:M438,L_KOM)&gt;0)*S_KOM)))</f>
        <v/>
      </c>
      <c r="O438" s="11" t="n"/>
      <c r="P438" s="10">
        <f>IF(O438="","",IFERROR(VLOOKUP(O438,T_KHID,2,FALSE),0))</f>
        <v/>
      </c>
      <c r="Q438" s="11" t="n"/>
      <c r="R438" s="11" t="n"/>
      <c r="S438" s="10">
        <f>IF(AND(Q438="",R438=""),"",IFERROR(INDEX(T_LIBAT,MATCH(Q438,L_PER,0),MATCH(R438,L_JENIS,0)),0))</f>
        <v/>
      </c>
      <c r="T438" s="11" t="n"/>
      <c r="U438" s="11" t="n"/>
      <c r="V438" s="10">
        <f>IF(AND(T438="",U438=""),"",IFERROR(INDEX(T_CAPAI,MATCH(T438,L_PER,0),MATCH(U438,L_KED,0)),0))</f>
        <v/>
      </c>
      <c r="W438" s="17">
        <f>IF(OR(B438="",E438="",COUNTA(F438,H438,J438:M438,O438,Q438:R438,T438:U438)=0),"",SUM(G438,I438,N438,P438,S438,V438))</f>
        <v/>
      </c>
      <c r="X438" s="18">
        <f>IF(W438="","",IF(Murid!F438="TL","TL",ROUND(W438/110*100,2)))</f>
        <v/>
      </c>
    </row>
    <row r="439">
      <c r="A439" s="15">
        <f>Murid!A439</f>
        <v/>
      </c>
      <c r="B439" s="15">
        <f>IF(Murid!B439="","",Murid!B439)</f>
        <v/>
      </c>
      <c r="C439" s="16">
        <f>IF(Murid!C439="","",Murid!C439)</f>
        <v/>
      </c>
      <c r="D439" s="15">
        <f>IF(Murid!E439="","",Murid!E439)</f>
        <v/>
      </c>
      <c r="E439" s="11" t="n"/>
      <c r="F439" s="11" t="n"/>
      <c r="G439" s="10">
        <f>IF(F439="","",IFERROR(VLOOKUP(F439,T_JUB,2,FALSE),0))</f>
        <v/>
      </c>
      <c r="H439" s="11" t="n"/>
      <c r="I439" s="17">
        <f>IF(H439="","",IF(H439&gt;=12,40,ROUND(H439*3.33,2)))</f>
        <v/>
      </c>
      <c r="J439" s="11" t="n"/>
      <c r="K439" s="11" t="n"/>
      <c r="L439" s="11" t="n"/>
      <c r="M439" s="11" t="n"/>
      <c r="N439" s="10">
        <f>IF(COUNTA(J439:M439)=0,"",MIN(10,SUMPRODUCT((COUNTIF(J439:M439,L_KOM)&gt;0)*S_KOM)))</f>
        <v/>
      </c>
      <c r="O439" s="11" t="n"/>
      <c r="P439" s="10">
        <f>IF(O439="","",IFERROR(VLOOKUP(O439,T_KHID,2,FALSE),0))</f>
        <v/>
      </c>
      <c r="Q439" s="11" t="n"/>
      <c r="R439" s="11" t="n"/>
      <c r="S439" s="10">
        <f>IF(AND(Q439="",R439=""),"",IFERROR(INDEX(T_LIBAT,MATCH(Q439,L_PER,0),MATCH(R439,L_JENIS,0)),0))</f>
        <v/>
      </c>
      <c r="T439" s="11" t="n"/>
      <c r="U439" s="11" t="n"/>
      <c r="V439" s="10">
        <f>IF(AND(T439="",U439=""),"",IFERROR(INDEX(T_CAPAI,MATCH(T439,L_PER,0),MATCH(U439,L_KED,0)),0))</f>
        <v/>
      </c>
      <c r="W439" s="17">
        <f>IF(OR(B439="",E439="",COUNTA(F439,H439,J439:M439,O439,Q439:R439,T439:U439)=0),"",SUM(G439,I439,N439,P439,S439,V439))</f>
        <v/>
      </c>
      <c r="X439" s="18">
        <f>IF(W439="","",IF(Murid!F439="TL","TL",ROUND(W439/110*100,2)))</f>
        <v/>
      </c>
    </row>
    <row r="440">
      <c r="A440" s="15">
        <f>Murid!A440</f>
        <v/>
      </c>
      <c r="B440" s="15">
        <f>IF(Murid!B440="","",Murid!B440)</f>
        <v/>
      </c>
      <c r="C440" s="16">
        <f>IF(Murid!C440="","",Murid!C440)</f>
        <v/>
      </c>
      <c r="D440" s="15">
        <f>IF(Murid!E440="","",Murid!E440)</f>
        <v/>
      </c>
      <c r="E440" s="11" t="n"/>
      <c r="F440" s="11" t="n"/>
      <c r="G440" s="10">
        <f>IF(F440="","",IFERROR(VLOOKUP(F440,T_JUB,2,FALSE),0))</f>
        <v/>
      </c>
      <c r="H440" s="11" t="n"/>
      <c r="I440" s="17">
        <f>IF(H440="","",IF(H440&gt;=12,40,ROUND(H440*3.33,2)))</f>
        <v/>
      </c>
      <c r="J440" s="11" t="n"/>
      <c r="K440" s="11" t="n"/>
      <c r="L440" s="11" t="n"/>
      <c r="M440" s="11" t="n"/>
      <c r="N440" s="10">
        <f>IF(COUNTA(J440:M440)=0,"",MIN(10,SUMPRODUCT((COUNTIF(J440:M440,L_KOM)&gt;0)*S_KOM)))</f>
        <v/>
      </c>
      <c r="O440" s="11" t="n"/>
      <c r="P440" s="10">
        <f>IF(O440="","",IFERROR(VLOOKUP(O440,T_KHID,2,FALSE),0))</f>
        <v/>
      </c>
      <c r="Q440" s="11" t="n"/>
      <c r="R440" s="11" t="n"/>
      <c r="S440" s="10">
        <f>IF(AND(Q440="",R440=""),"",IFERROR(INDEX(T_LIBAT,MATCH(Q440,L_PER,0),MATCH(R440,L_JENIS,0)),0))</f>
        <v/>
      </c>
      <c r="T440" s="11" t="n"/>
      <c r="U440" s="11" t="n"/>
      <c r="V440" s="10">
        <f>IF(AND(T440="",U440=""),"",IFERROR(INDEX(T_CAPAI,MATCH(T440,L_PER,0),MATCH(U440,L_KED,0)),0))</f>
        <v/>
      </c>
      <c r="W440" s="17">
        <f>IF(OR(B440="",E440="",COUNTA(F440,H440,J440:M440,O440,Q440:R440,T440:U440)=0),"",SUM(G440,I440,N440,P440,S440,V440))</f>
        <v/>
      </c>
      <c r="X440" s="18">
        <f>IF(W440="","",IF(Murid!F440="TL","TL",ROUND(W440/110*100,2)))</f>
        <v/>
      </c>
    </row>
    <row r="441">
      <c r="A441" s="15">
        <f>Murid!A441</f>
        <v/>
      </c>
      <c r="B441" s="15">
        <f>IF(Murid!B441="","",Murid!B441)</f>
        <v/>
      </c>
      <c r="C441" s="16">
        <f>IF(Murid!C441="","",Murid!C441)</f>
        <v/>
      </c>
      <c r="D441" s="15">
        <f>IF(Murid!E441="","",Murid!E441)</f>
        <v/>
      </c>
      <c r="E441" s="11" t="n"/>
      <c r="F441" s="11" t="n"/>
      <c r="G441" s="10">
        <f>IF(F441="","",IFERROR(VLOOKUP(F441,T_JUB,2,FALSE),0))</f>
        <v/>
      </c>
      <c r="H441" s="11" t="n"/>
      <c r="I441" s="17">
        <f>IF(H441="","",IF(H441&gt;=12,40,ROUND(H441*3.33,2)))</f>
        <v/>
      </c>
      <c r="J441" s="11" t="n"/>
      <c r="K441" s="11" t="n"/>
      <c r="L441" s="11" t="n"/>
      <c r="M441" s="11" t="n"/>
      <c r="N441" s="10">
        <f>IF(COUNTA(J441:M441)=0,"",MIN(10,SUMPRODUCT((COUNTIF(J441:M441,L_KOM)&gt;0)*S_KOM)))</f>
        <v/>
      </c>
      <c r="O441" s="11" t="n"/>
      <c r="P441" s="10">
        <f>IF(O441="","",IFERROR(VLOOKUP(O441,T_KHID,2,FALSE),0))</f>
        <v/>
      </c>
      <c r="Q441" s="11" t="n"/>
      <c r="R441" s="11" t="n"/>
      <c r="S441" s="10">
        <f>IF(AND(Q441="",R441=""),"",IFERROR(INDEX(T_LIBAT,MATCH(Q441,L_PER,0),MATCH(R441,L_JENIS,0)),0))</f>
        <v/>
      </c>
      <c r="T441" s="11" t="n"/>
      <c r="U441" s="11" t="n"/>
      <c r="V441" s="10">
        <f>IF(AND(T441="",U441=""),"",IFERROR(INDEX(T_CAPAI,MATCH(T441,L_PER,0),MATCH(U441,L_KED,0)),0))</f>
        <v/>
      </c>
      <c r="W441" s="17">
        <f>IF(OR(B441="",E441="",COUNTA(F441,H441,J441:M441,O441,Q441:R441,T441:U441)=0),"",SUM(G441,I441,N441,P441,S441,V441))</f>
        <v/>
      </c>
      <c r="X441" s="18">
        <f>IF(W441="","",IF(Murid!F441="TL","TL",ROUND(W441/110*100,2)))</f>
        <v/>
      </c>
    </row>
    <row r="442">
      <c r="A442" s="15">
        <f>Murid!A442</f>
        <v/>
      </c>
      <c r="B442" s="15">
        <f>IF(Murid!B442="","",Murid!B442)</f>
        <v/>
      </c>
      <c r="C442" s="16">
        <f>IF(Murid!C442="","",Murid!C442)</f>
        <v/>
      </c>
      <c r="D442" s="15">
        <f>IF(Murid!E442="","",Murid!E442)</f>
        <v/>
      </c>
      <c r="E442" s="11" t="n"/>
      <c r="F442" s="11" t="n"/>
      <c r="G442" s="10">
        <f>IF(F442="","",IFERROR(VLOOKUP(F442,T_JUB,2,FALSE),0))</f>
        <v/>
      </c>
      <c r="H442" s="11" t="n"/>
      <c r="I442" s="17">
        <f>IF(H442="","",IF(H442&gt;=12,40,ROUND(H442*3.33,2)))</f>
        <v/>
      </c>
      <c r="J442" s="11" t="n"/>
      <c r="K442" s="11" t="n"/>
      <c r="L442" s="11" t="n"/>
      <c r="M442" s="11" t="n"/>
      <c r="N442" s="10">
        <f>IF(COUNTA(J442:M442)=0,"",MIN(10,SUMPRODUCT((COUNTIF(J442:M442,L_KOM)&gt;0)*S_KOM)))</f>
        <v/>
      </c>
      <c r="O442" s="11" t="n"/>
      <c r="P442" s="10">
        <f>IF(O442="","",IFERROR(VLOOKUP(O442,T_KHID,2,FALSE),0))</f>
        <v/>
      </c>
      <c r="Q442" s="11" t="n"/>
      <c r="R442" s="11" t="n"/>
      <c r="S442" s="10">
        <f>IF(AND(Q442="",R442=""),"",IFERROR(INDEX(T_LIBAT,MATCH(Q442,L_PER,0),MATCH(R442,L_JENIS,0)),0))</f>
        <v/>
      </c>
      <c r="T442" s="11" t="n"/>
      <c r="U442" s="11" t="n"/>
      <c r="V442" s="10">
        <f>IF(AND(T442="",U442=""),"",IFERROR(INDEX(T_CAPAI,MATCH(T442,L_PER,0),MATCH(U442,L_KED,0)),0))</f>
        <v/>
      </c>
      <c r="W442" s="17">
        <f>IF(OR(B442="",E442="",COUNTA(F442,H442,J442:M442,O442,Q442:R442,T442:U442)=0),"",SUM(G442,I442,N442,P442,S442,V442))</f>
        <v/>
      </c>
      <c r="X442" s="18">
        <f>IF(W442="","",IF(Murid!F442="TL","TL",ROUND(W442/110*100,2)))</f>
        <v/>
      </c>
    </row>
    <row r="443">
      <c r="A443" s="15">
        <f>Murid!A443</f>
        <v/>
      </c>
      <c r="B443" s="15">
        <f>IF(Murid!B443="","",Murid!B443)</f>
        <v/>
      </c>
      <c r="C443" s="16">
        <f>IF(Murid!C443="","",Murid!C443)</f>
        <v/>
      </c>
      <c r="D443" s="15">
        <f>IF(Murid!E443="","",Murid!E443)</f>
        <v/>
      </c>
      <c r="E443" s="11" t="n"/>
      <c r="F443" s="11" t="n"/>
      <c r="G443" s="10">
        <f>IF(F443="","",IFERROR(VLOOKUP(F443,T_JUB,2,FALSE),0))</f>
        <v/>
      </c>
      <c r="H443" s="11" t="n"/>
      <c r="I443" s="17">
        <f>IF(H443="","",IF(H443&gt;=12,40,ROUND(H443*3.33,2)))</f>
        <v/>
      </c>
      <c r="J443" s="11" t="n"/>
      <c r="K443" s="11" t="n"/>
      <c r="L443" s="11" t="n"/>
      <c r="M443" s="11" t="n"/>
      <c r="N443" s="10">
        <f>IF(COUNTA(J443:M443)=0,"",MIN(10,SUMPRODUCT((COUNTIF(J443:M443,L_KOM)&gt;0)*S_KOM)))</f>
        <v/>
      </c>
      <c r="O443" s="11" t="n"/>
      <c r="P443" s="10">
        <f>IF(O443="","",IFERROR(VLOOKUP(O443,T_KHID,2,FALSE),0))</f>
        <v/>
      </c>
      <c r="Q443" s="11" t="n"/>
      <c r="R443" s="11" t="n"/>
      <c r="S443" s="10">
        <f>IF(AND(Q443="",R443=""),"",IFERROR(INDEX(T_LIBAT,MATCH(Q443,L_PER,0),MATCH(R443,L_JENIS,0)),0))</f>
        <v/>
      </c>
      <c r="T443" s="11" t="n"/>
      <c r="U443" s="11" t="n"/>
      <c r="V443" s="10">
        <f>IF(AND(T443="",U443=""),"",IFERROR(INDEX(T_CAPAI,MATCH(T443,L_PER,0),MATCH(U443,L_KED,0)),0))</f>
        <v/>
      </c>
      <c r="W443" s="17">
        <f>IF(OR(B443="",E443="",COUNTA(F443,H443,J443:M443,O443,Q443:R443,T443:U443)=0),"",SUM(G443,I443,N443,P443,S443,V443))</f>
        <v/>
      </c>
      <c r="X443" s="18">
        <f>IF(W443="","",IF(Murid!F443="TL","TL",ROUND(W443/110*100,2)))</f>
        <v/>
      </c>
    </row>
    <row r="444">
      <c r="A444" s="15">
        <f>Murid!A444</f>
        <v/>
      </c>
      <c r="B444" s="15">
        <f>IF(Murid!B444="","",Murid!B444)</f>
        <v/>
      </c>
      <c r="C444" s="16">
        <f>IF(Murid!C444="","",Murid!C444)</f>
        <v/>
      </c>
      <c r="D444" s="15">
        <f>IF(Murid!E444="","",Murid!E444)</f>
        <v/>
      </c>
      <c r="E444" s="11" t="n"/>
      <c r="F444" s="11" t="n"/>
      <c r="G444" s="10">
        <f>IF(F444="","",IFERROR(VLOOKUP(F444,T_JUB,2,FALSE),0))</f>
        <v/>
      </c>
      <c r="H444" s="11" t="n"/>
      <c r="I444" s="17">
        <f>IF(H444="","",IF(H444&gt;=12,40,ROUND(H444*3.33,2)))</f>
        <v/>
      </c>
      <c r="J444" s="11" t="n"/>
      <c r="K444" s="11" t="n"/>
      <c r="L444" s="11" t="n"/>
      <c r="M444" s="11" t="n"/>
      <c r="N444" s="10">
        <f>IF(COUNTA(J444:M444)=0,"",MIN(10,SUMPRODUCT((COUNTIF(J444:M444,L_KOM)&gt;0)*S_KOM)))</f>
        <v/>
      </c>
      <c r="O444" s="11" t="n"/>
      <c r="P444" s="10">
        <f>IF(O444="","",IFERROR(VLOOKUP(O444,T_KHID,2,FALSE),0))</f>
        <v/>
      </c>
      <c r="Q444" s="11" t="n"/>
      <c r="R444" s="11" t="n"/>
      <c r="S444" s="10">
        <f>IF(AND(Q444="",R444=""),"",IFERROR(INDEX(T_LIBAT,MATCH(Q444,L_PER,0),MATCH(R444,L_JENIS,0)),0))</f>
        <v/>
      </c>
      <c r="T444" s="11" t="n"/>
      <c r="U444" s="11" t="n"/>
      <c r="V444" s="10">
        <f>IF(AND(T444="",U444=""),"",IFERROR(INDEX(T_CAPAI,MATCH(T444,L_PER,0),MATCH(U444,L_KED,0)),0))</f>
        <v/>
      </c>
      <c r="W444" s="17">
        <f>IF(OR(B444="",E444="",COUNTA(F444,H444,J444:M444,O444,Q444:R444,T444:U444)=0),"",SUM(G444,I444,N444,P444,S444,V444))</f>
        <v/>
      </c>
      <c r="X444" s="18">
        <f>IF(W444="","",IF(Murid!F444="TL","TL",ROUND(W444/110*100,2)))</f>
        <v/>
      </c>
    </row>
    <row r="445">
      <c r="A445" s="15">
        <f>Murid!A445</f>
        <v/>
      </c>
      <c r="B445" s="15">
        <f>IF(Murid!B445="","",Murid!B445)</f>
        <v/>
      </c>
      <c r="C445" s="16">
        <f>IF(Murid!C445="","",Murid!C445)</f>
        <v/>
      </c>
      <c r="D445" s="15">
        <f>IF(Murid!E445="","",Murid!E445)</f>
        <v/>
      </c>
      <c r="E445" s="11" t="n"/>
      <c r="F445" s="11" t="n"/>
      <c r="G445" s="10">
        <f>IF(F445="","",IFERROR(VLOOKUP(F445,T_JUB,2,FALSE),0))</f>
        <v/>
      </c>
      <c r="H445" s="11" t="n"/>
      <c r="I445" s="17">
        <f>IF(H445="","",IF(H445&gt;=12,40,ROUND(H445*3.33,2)))</f>
        <v/>
      </c>
      <c r="J445" s="11" t="n"/>
      <c r="K445" s="11" t="n"/>
      <c r="L445" s="11" t="n"/>
      <c r="M445" s="11" t="n"/>
      <c r="N445" s="10">
        <f>IF(COUNTA(J445:M445)=0,"",MIN(10,SUMPRODUCT((COUNTIF(J445:M445,L_KOM)&gt;0)*S_KOM)))</f>
        <v/>
      </c>
      <c r="O445" s="11" t="n"/>
      <c r="P445" s="10">
        <f>IF(O445="","",IFERROR(VLOOKUP(O445,T_KHID,2,FALSE),0))</f>
        <v/>
      </c>
      <c r="Q445" s="11" t="n"/>
      <c r="R445" s="11" t="n"/>
      <c r="S445" s="10">
        <f>IF(AND(Q445="",R445=""),"",IFERROR(INDEX(T_LIBAT,MATCH(Q445,L_PER,0),MATCH(R445,L_JENIS,0)),0))</f>
        <v/>
      </c>
      <c r="T445" s="11" t="n"/>
      <c r="U445" s="11" t="n"/>
      <c r="V445" s="10">
        <f>IF(AND(T445="",U445=""),"",IFERROR(INDEX(T_CAPAI,MATCH(T445,L_PER,0),MATCH(U445,L_KED,0)),0))</f>
        <v/>
      </c>
      <c r="W445" s="17">
        <f>IF(OR(B445="",E445="",COUNTA(F445,H445,J445:M445,O445,Q445:R445,T445:U445)=0),"",SUM(G445,I445,N445,P445,S445,V445))</f>
        <v/>
      </c>
      <c r="X445" s="18">
        <f>IF(W445="","",IF(Murid!F445="TL","TL",ROUND(W445/110*100,2)))</f>
        <v/>
      </c>
    </row>
    <row r="446">
      <c r="A446" s="15">
        <f>Murid!A446</f>
        <v/>
      </c>
      <c r="B446" s="15">
        <f>IF(Murid!B446="","",Murid!B446)</f>
        <v/>
      </c>
      <c r="C446" s="16">
        <f>IF(Murid!C446="","",Murid!C446)</f>
        <v/>
      </c>
      <c r="D446" s="15">
        <f>IF(Murid!E446="","",Murid!E446)</f>
        <v/>
      </c>
      <c r="E446" s="11" t="n"/>
      <c r="F446" s="11" t="n"/>
      <c r="G446" s="10">
        <f>IF(F446="","",IFERROR(VLOOKUP(F446,T_JUB,2,FALSE),0))</f>
        <v/>
      </c>
      <c r="H446" s="11" t="n"/>
      <c r="I446" s="17">
        <f>IF(H446="","",IF(H446&gt;=12,40,ROUND(H446*3.33,2)))</f>
        <v/>
      </c>
      <c r="J446" s="11" t="n"/>
      <c r="K446" s="11" t="n"/>
      <c r="L446" s="11" t="n"/>
      <c r="M446" s="11" t="n"/>
      <c r="N446" s="10">
        <f>IF(COUNTA(J446:M446)=0,"",MIN(10,SUMPRODUCT((COUNTIF(J446:M446,L_KOM)&gt;0)*S_KOM)))</f>
        <v/>
      </c>
      <c r="O446" s="11" t="n"/>
      <c r="P446" s="10">
        <f>IF(O446="","",IFERROR(VLOOKUP(O446,T_KHID,2,FALSE),0))</f>
        <v/>
      </c>
      <c r="Q446" s="11" t="n"/>
      <c r="R446" s="11" t="n"/>
      <c r="S446" s="10">
        <f>IF(AND(Q446="",R446=""),"",IFERROR(INDEX(T_LIBAT,MATCH(Q446,L_PER,0),MATCH(R446,L_JENIS,0)),0))</f>
        <v/>
      </c>
      <c r="T446" s="11" t="n"/>
      <c r="U446" s="11" t="n"/>
      <c r="V446" s="10">
        <f>IF(AND(T446="",U446=""),"",IFERROR(INDEX(T_CAPAI,MATCH(T446,L_PER,0),MATCH(U446,L_KED,0)),0))</f>
        <v/>
      </c>
      <c r="W446" s="17">
        <f>IF(OR(B446="",E446="",COUNTA(F446,H446,J446:M446,O446,Q446:R446,T446:U446)=0),"",SUM(G446,I446,N446,P446,S446,V446))</f>
        <v/>
      </c>
      <c r="X446" s="18">
        <f>IF(W446="","",IF(Murid!F446="TL","TL",ROUND(W446/110*100,2)))</f>
        <v/>
      </c>
    </row>
    <row r="447">
      <c r="A447" s="15">
        <f>Murid!A447</f>
        <v/>
      </c>
      <c r="B447" s="15">
        <f>IF(Murid!B447="","",Murid!B447)</f>
        <v/>
      </c>
      <c r="C447" s="16">
        <f>IF(Murid!C447="","",Murid!C447)</f>
        <v/>
      </c>
      <c r="D447" s="15">
        <f>IF(Murid!E447="","",Murid!E447)</f>
        <v/>
      </c>
      <c r="E447" s="11" t="n"/>
      <c r="F447" s="11" t="n"/>
      <c r="G447" s="10">
        <f>IF(F447="","",IFERROR(VLOOKUP(F447,T_JUB,2,FALSE),0))</f>
        <v/>
      </c>
      <c r="H447" s="11" t="n"/>
      <c r="I447" s="17">
        <f>IF(H447="","",IF(H447&gt;=12,40,ROUND(H447*3.33,2)))</f>
        <v/>
      </c>
      <c r="J447" s="11" t="n"/>
      <c r="K447" s="11" t="n"/>
      <c r="L447" s="11" t="n"/>
      <c r="M447" s="11" t="n"/>
      <c r="N447" s="10">
        <f>IF(COUNTA(J447:M447)=0,"",MIN(10,SUMPRODUCT((COUNTIF(J447:M447,L_KOM)&gt;0)*S_KOM)))</f>
        <v/>
      </c>
      <c r="O447" s="11" t="n"/>
      <c r="P447" s="10">
        <f>IF(O447="","",IFERROR(VLOOKUP(O447,T_KHID,2,FALSE),0))</f>
        <v/>
      </c>
      <c r="Q447" s="11" t="n"/>
      <c r="R447" s="11" t="n"/>
      <c r="S447" s="10">
        <f>IF(AND(Q447="",R447=""),"",IFERROR(INDEX(T_LIBAT,MATCH(Q447,L_PER,0),MATCH(R447,L_JENIS,0)),0))</f>
        <v/>
      </c>
      <c r="T447" s="11" t="n"/>
      <c r="U447" s="11" t="n"/>
      <c r="V447" s="10">
        <f>IF(AND(T447="",U447=""),"",IFERROR(INDEX(T_CAPAI,MATCH(T447,L_PER,0),MATCH(U447,L_KED,0)),0))</f>
        <v/>
      </c>
      <c r="W447" s="17">
        <f>IF(OR(B447="",E447="",COUNTA(F447,H447,J447:M447,O447,Q447:R447,T447:U447)=0),"",SUM(G447,I447,N447,P447,S447,V447))</f>
        <v/>
      </c>
      <c r="X447" s="18">
        <f>IF(W447="","",IF(Murid!F447="TL","TL",ROUND(W447/110*100,2)))</f>
        <v/>
      </c>
    </row>
    <row r="448">
      <c r="A448" s="15">
        <f>Murid!A448</f>
        <v/>
      </c>
      <c r="B448" s="15">
        <f>IF(Murid!B448="","",Murid!B448)</f>
        <v/>
      </c>
      <c r="C448" s="16">
        <f>IF(Murid!C448="","",Murid!C448)</f>
        <v/>
      </c>
      <c r="D448" s="15">
        <f>IF(Murid!E448="","",Murid!E448)</f>
        <v/>
      </c>
      <c r="E448" s="11" t="n"/>
      <c r="F448" s="11" t="n"/>
      <c r="G448" s="10">
        <f>IF(F448="","",IFERROR(VLOOKUP(F448,T_JUB,2,FALSE),0))</f>
        <v/>
      </c>
      <c r="H448" s="11" t="n"/>
      <c r="I448" s="17">
        <f>IF(H448="","",IF(H448&gt;=12,40,ROUND(H448*3.33,2)))</f>
        <v/>
      </c>
      <c r="J448" s="11" t="n"/>
      <c r="K448" s="11" t="n"/>
      <c r="L448" s="11" t="n"/>
      <c r="M448" s="11" t="n"/>
      <c r="N448" s="10">
        <f>IF(COUNTA(J448:M448)=0,"",MIN(10,SUMPRODUCT((COUNTIF(J448:M448,L_KOM)&gt;0)*S_KOM)))</f>
        <v/>
      </c>
      <c r="O448" s="11" t="n"/>
      <c r="P448" s="10">
        <f>IF(O448="","",IFERROR(VLOOKUP(O448,T_KHID,2,FALSE),0))</f>
        <v/>
      </c>
      <c r="Q448" s="11" t="n"/>
      <c r="R448" s="11" t="n"/>
      <c r="S448" s="10">
        <f>IF(AND(Q448="",R448=""),"",IFERROR(INDEX(T_LIBAT,MATCH(Q448,L_PER,0),MATCH(R448,L_JENIS,0)),0))</f>
        <v/>
      </c>
      <c r="T448" s="11" t="n"/>
      <c r="U448" s="11" t="n"/>
      <c r="V448" s="10">
        <f>IF(AND(T448="",U448=""),"",IFERROR(INDEX(T_CAPAI,MATCH(T448,L_PER,0),MATCH(U448,L_KED,0)),0))</f>
        <v/>
      </c>
      <c r="W448" s="17">
        <f>IF(OR(B448="",E448="",COUNTA(F448,H448,J448:M448,O448,Q448:R448,T448:U448)=0),"",SUM(G448,I448,N448,P448,S448,V448))</f>
        <v/>
      </c>
      <c r="X448" s="18">
        <f>IF(W448="","",IF(Murid!F448="TL","TL",ROUND(W448/110*100,2)))</f>
        <v/>
      </c>
    </row>
    <row r="449">
      <c r="A449" s="15">
        <f>Murid!A449</f>
        <v/>
      </c>
      <c r="B449" s="15">
        <f>IF(Murid!B449="","",Murid!B449)</f>
        <v/>
      </c>
      <c r="C449" s="16">
        <f>IF(Murid!C449="","",Murid!C449)</f>
        <v/>
      </c>
      <c r="D449" s="15">
        <f>IF(Murid!E449="","",Murid!E449)</f>
        <v/>
      </c>
      <c r="E449" s="11" t="n"/>
      <c r="F449" s="11" t="n"/>
      <c r="G449" s="10">
        <f>IF(F449="","",IFERROR(VLOOKUP(F449,T_JUB,2,FALSE),0))</f>
        <v/>
      </c>
      <c r="H449" s="11" t="n"/>
      <c r="I449" s="17">
        <f>IF(H449="","",IF(H449&gt;=12,40,ROUND(H449*3.33,2)))</f>
        <v/>
      </c>
      <c r="J449" s="11" t="n"/>
      <c r="K449" s="11" t="n"/>
      <c r="L449" s="11" t="n"/>
      <c r="M449" s="11" t="n"/>
      <c r="N449" s="10">
        <f>IF(COUNTA(J449:M449)=0,"",MIN(10,SUMPRODUCT((COUNTIF(J449:M449,L_KOM)&gt;0)*S_KOM)))</f>
        <v/>
      </c>
      <c r="O449" s="11" t="n"/>
      <c r="P449" s="10">
        <f>IF(O449="","",IFERROR(VLOOKUP(O449,T_KHID,2,FALSE),0))</f>
        <v/>
      </c>
      <c r="Q449" s="11" t="n"/>
      <c r="R449" s="11" t="n"/>
      <c r="S449" s="10">
        <f>IF(AND(Q449="",R449=""),"",IFERROR(INDEX(T_LIBAT,MATCH(Q449,L_PER,0),MATCH(R449,L_JENIS,0)),0))</f>
        <v/>
      </c>
      <c r="T449" s="11" t="n"/>
      <c r="U449" s="11" t="n"/>
      <c r="V449" s="10">
        <f>IF(AND(T449="",U449=""),"",IFERROR(INDEX(T_CAPAI,MATCH(T449,L_PER,0),MATCH(U449,L_KED,0)),0))</f>
        <v/>
      </c>
      <c r="W449" s="17">
        <f>IF(OR(B449="",E449="",COUNTA(F449,H449,J449:M449,O449,Q449:R449,T449:U449)=0),"",SUM(G449,I449,N449,P449,S449,V449))</f>
        <v/>
      </c>
      <c r="X449" s="18">
        <f>IF(W449="","",IF(Murid!F449="TL","TL",ROUND(W449/110*100,2)))</f>
        <v/>
      </c>
    </row>
    <row r="450">
      <c r="A450" s="15">
        <f>Murid!A450</f>
        <v/>
      </c>
      <c r="B450" s="15">
        <f>IF(Murid!B450="","",Murid!B450)</f>
        <v/>
      </c>
      <c r="C450" s="16">
        <f>IF(Murid!C450="","",Murid!C450)</f>
        <v/>
      </c>
      <c r="D450" s="15">
        <f>IF(Murid!E450="","",Murid!E450)</f>
        <v/>
      </c>
      <c r="E450" s="11" t="n"/>
      <c r="F450" s="11" t="n"/>
      <c r="G450" s="10">
        <f>IF(F450="","",IFERROR(VLOOKUP(F450,T_JUB,2,FALSE),0))</f>
        <v/>
      </c>
      <c r="H450" s="11" t="n"/>
      <c r="I450" s="17">
        <f>IF(H450="","",IF(H450&gt;=12,40,ROUND(H450*3.33,2)))</f>
        <v/>
      </c>
      <c r="J450" s="11" t="n"/>
      <c r="K450" s="11" t="n"/>
      <c r="L450" s="11" t="n"/>
      <c r="M450" s="11" t="n"/>
      <c r="N450" s="10">
        <f>IF(COUNTA(J450:M450)=0,"",MIN(10,SUMPRODUCT((COUNTIF(J450:M450,L_KOM)&gt;0)*S_KOM)))</f>
        <v/>
      </c>
      <c r="O450" s="11" t="n"/>
      <c r="P450" s="10">
        <f>IF(O450="","",IFERROR(VLOOKUP(O450,T_KHID,2,FALSE),0))</f>
        <v/>
      </c>
      <c r="Q450" s="11" t="n"/>
      <c r="R450" s="11" t="n"/>
      <c r="S450" s="10">
        <f>IF(AND(Q450="",R450=""),"",IFERROR(INDEX(T_LIBAT,MATCH(Q450,L_PER,0),MATCH(R450,L_JENIS,0)),0))</f>
        <v/>
      </c>
      <c r="T450" s="11" t="n"/>
      <c r="U450" s="11" t="n"/>
      <c r="V450" s="10">
        <f>IF(AND(T450="",U450=""),"",IFERROR(INDEX(T_CAPAI,MATCH(T450,L_PER,0),MATCH(U450,L_KED,0)),0))</f>
        <v/>
      </c>
      <c r="W450" s="17">
        <f>IF(OR(B450="",E450="",COUNTA(F450,H450,J450:M450,O450,Q450:R450,T450:U450)=0),"",SUM(G450,I450,N450,P450,S450,V450))</f>
        <v/>
      </c>
      <c r="X450" s="18">
        <f>IF(W450="","",IF(Murid!F450="TL","TL",ROUND(W450/110*100,2)))</f>
        <v/>
      </c>
    </row>
    <row r="451">
      <c r="A451" s="15">
        <f>Murid!A451</f>
        <v/>
      </c>
      <c r="B451" s="15">
        <f>IF(Murid!B451="","",Murid!B451)</f>
        <v/>
      </c>
      <c r="C451" s="16">
        <f>IF(Murid!C451="","",Murid!C451)</f>
        <v/>
      </c>
      <c r="D451" s="15">
        <f>IF(Murid!E451="","",Murid!E451)</f>
        <v/>
      </c>
      <c r="E451" s="11" t="n"/>
      <c r="F451" s="11" t="n"/>
      <c r="G451" s="10">
        <f>IF(F451="","",IFERROR(VLOOKUP(F451,T_JUB,2,FALSE),0))</f>
        <v/>
      </c>
      <c r="H451" s="11" t="n"/>
      <c r="I451" s="17">
        <f>IF(H451="","",IF(H451&gt;=12,40,ROUND(H451*3.33,2)))</f>
        <v/>
      </c>
      <c r="J451" s="11" t="n"/>
      <c r="K451" s="11" t="n"/>
      <c r="L451" s="11" t="n"/>
      <c r="M451" s="11" t="n"/>
      <c r="N451" s="10">
        <f>IF(COUNTA(J451:M451)=0,"",MIN(10,SUMPRODUCT((COUNTIF(J451:M451,L_KOM)&gt;0)*S_KOM)))</f>
        <v/>
      </c>
      <c r="O451" s="11" t="n"/>
      <c r="P451" s="10">
        <f>IF(O451="","",IFERROR(VLOOKUP(O451,T_KHID,2,FALSE),0))</f>
        <v/>
      </c>
      <c r="Q451" s="11" t="n"/>
      <c r="R451" s="11" t="n"/>
      <c r="S451" s="10">
        <f>IF(AND(Q451="",R451=""),"",IFERROR(INDEX(T_LIBAT,MATCH(Q451,L_PER,0),MATCH(R451,L_JENIS,0)),0))</f>
        <v/>
      </c>
      <c r="T451" s="11" t="n"/>
      <c r="U451" s="11" t="n"/>
      <c r="V451" s="10">
        <f>IF(AND(T451="",U451=""),"",IFERROR(INDEX(T_CAPAI,MATCH(T451,L_PER,0),MATCH(U451,L_KED,0)),0))</f>
        <v/>
      </c>
      <c r="W451" s="17">
        <f>IF(OR(B451="",E451="",COUNTA(F451,H451,J451:M451,O451,Q451:R451,T451:U451)=0),"",SUM(G451,I451,N451,P451,S451,V451))</f>
        <v/>
      </c>
      <c r="X451" s="18">
        <f>IF(W451="","",IF(Murid!F451="TL","TL",ROUND(W451/110*100,2)))</f>
        <v/>
      </c>
    </row>
    <row r="452">
      <c r="A452" s="15">
        <f>Murid!A452</f>
        <v/>
      </c>
      <c r="B452" s="15">
        <f>IF(Murid!B452="","",Murid!B452)</f>
        <v/>
      </c>
      <c r="C452" s="16">
        <f>IF(Murid!C452="","",Murid!C452)</f>
        <v/>
      </c>
      <c r="D452" s="15">
        <f>IF(Murid!E452="","",Murid!E452)</f>
        <v/>
      </c>
      <c r="E452" s="11" t="n"/>
      <c r="F452" s="11" t="n"/>
      <c r="G452" s="10">
        <f>IF(F452="","",IFERROR(VLOOKUP(F452,T_JUB,2,FALSE),0))</f>
        <v/>
      </c>
      <c r="H452" s="11" t="n"/>
      <c r="I452" s="17">
        <f>IF(H452="","",IF(H452&gt;=12,40,ROUND(H452*3.33,2)))</f>
        <v/>
      </c>
      <c r="J452" s="11" t="n"/>
      <c r="K452" s="11" t="n"/>
      <c r="L452" s="11" t="n"/>
      <c r="M452" s="11" t="n"/>
      <c r="N452" s="10">
        <f>IF(COUNTA(J452:M452)=0,"",MIN(10,SUMPRODUCT((COUNTIF(J452:M452,L_KOM)&gt;0)*S_KOM)))</f>
        <v/>
      </c>
      <c r="O452" s="11" t="n"/>
      <c r="P452" s="10">
        <f>IF(O452="","",IFERROR(VLOOKUP(O452,T_KHID,2,FALSE),0))</f>
        <v/>
      </c>
      <c r="Q452" s="11" t="n"/>
      <c r="R452" s="11" t="n"/>
      <c r="S452" s="10">
        <f>IF(AND(Q452="",R452=""),"",IFERROR(INDEX(T_LIBAT,MATCH(Q452,L_PER,0),MATCH(R452,L_JENIS,0)),0))</f>
        <v/>
      </c>
      <c r="T452" s="11" t="n"/>
      <c r="U452" s="11" t="n"/>
      <c r="V452" s="10">
        <f>IF(AND(T452="",U452=""),"",IFERROR(INDEX(T_CAPAI,MATCH(T452,L_PER,0),MATCH(U452,L_KED,0)),0))</f>
        <v/>
      </c>
      <c r="W452" s="17">
        <f>IF(OR(B452="",E452="",COUNTA(F452,H452,J452:M452,O452,Q452:R452,T452:U452)=0),"",SUM(G452,I452,N452,P452,S452,V452))</f>
        <v/>
      </c>
      <c r="X452" s="18">
        <f>IF(W452="","",IF(Murid!F452="TL","TL",ROUND(W452/110*100,2)))</f>
        <v/>
      </c>
    </row>
    <row r="453">
      <c r="A453" s="15">
        <f>Murid!A453</f>
        <v/>
      </c>
      <c r="B453" s="15">
        <f>IF(Murid!B453="","",Murid!B453)</f>
        <v/>
      </c>
      <c r="C453" s="16">
        <f>IF(Murid!C453="","",Murid!C453)</f>
        <v/>
      </c>
      <c r="D453" s="15">
        <f>IF(Murid!E453="","",Murid!E453)</f>
        <v/>
      </c>
      <c r="E453" s="11" t="n"/>
      <c r="F453" s="11" t="n"/>
      <c r="G453" s="10">
        <f>IF(F453="","",IFERROR(VLOOKUP(F453,T_JUB,2,FALSE),0))</f>
        <v/>
      </c>
      <c r="H453" s="11" t="n"/>
      <c r="I453" s="17">
        <f>IF(H453="","",IF(H453&gt;=12,40,ROUND(H453*3.33,2)))</f>
        <v/>
      </c>
      <c r="J453" s="11" t="n"/>
      <c r="K453" s="11" t="n"/>
      <c r="L453" s="11" t="n"/>
      <c r="M453" s="11" t="n"/>
      <c r="N453" s="10">
        <f>IF(COUNTA(J453:M453)=0,"",MIN(10,SUMPRODUCT((COUNTIF(J453:M453,L_KOM)&gt;0)*S_KOM)))</f>
        <v/>
      </c>
      <c r="O453" s="11" t="n"/>
      <c r="P453" s="10">
        <f>IF(O453="","",IFERROR(VLOOKUP(O453,T_KHID,2,FALSE),0))</f>
        <v/>
      </c>
      <c r="Q453" s="11" t="n"/>
      <c r="R453" s="11" t="n"/>
      <c r="S453" s="10">
        <f>IF(AND(Q453="",R453=""),"",IFERROR(INDEX(T_LIBAT,MATCH(Q453,L_PER,0),MATCH(R453,L_JENIS,0)),0))</f>
        <v/>
      </c>
      <c r="T453" s="11" t="n"/>
      <c r="U453" s="11" t="n"/>
      <c r="V453" s="10">
        <f>IF(AND(T453="",U453=""),"",IFERROR(INDEX(T_CAPAI,MATCH(T453,L_PER,0),MATCH(U453,L_KED,0)),0))</f>
        <v/>
      </c>
      <c r="W453" s="17">
        <f>IF(OR(B453="",E453="",COUNTA(F453,H453,J453:M453,O453,Q453:R453,T453:U453)=0),"",SUM(G453,I453,N453,P453,S453,V453))</f>
        <v/>
      </c>
      <c r="X453" s="18">
        <f>IF(W453="","",IF(Murid!F453="TL","TL",ROUND(W453/110*100,2)))</f>
        <v/>
      </c>
    </row>
    <row r="454">
      <c r="A454" s="15">
        <f>Murid!A454</f>
        <v/>
      </c>
      <c r="B454" s="15">
        <f>IF(Murid!B454="","",Murid!B454)</f>
        <v/>
      </c>
      <c r="C454" s="16">
        <f>IF(Murid!C454="","",Murid!C454)</f>
        <v/>
      </c>
      <c r="D454" s="15">
        <f>IF(Murid!E454="","",Murid!E454)</f>
        <v/>
      </c>
      <c r="E454" s="11" t="n"/>
      <c r="F454" s="11" t="n"/>
      <c r="G454" s="10">
        <f>IF(F454="","",IFERROR(VLOOKUP(F454,T_JUB,2,FALSE),0))</f>
        <v/>
      </c>
      <c r="H454" s="11" t="n"/>
      <c r="I454" s="17">
        <f>IF(H454="","",IF(H454&gt;=12,40,ROUND(H454*3.33,2)))</f>
        <v/>
      </c>
      <c r="J454" s="11" t="n"/>
      <c r="K454" s="11" t="n"/>
      <c r="L454" s="11" t="n"/>
      <c r="M454" s="11" t="n"/>
      <c r="N454" s="10">
        <f>IF(COUNTA(J454:M454)=0,"",MIN(10,SUMPRODUCT((COUNTIF(J454:M454,L_KOM)&gt;0)*S_KOM)))</f>
        <v/>
      </c>
      <c r="O454" s="11" t="n"/>
      <c r="P454" s="10">
        <f>IF(O454="","",IFERROR(VLOOKUP(O454,T_KHID,2,FALSE),0))</f>
        <v/>
      </c>
      <c r="Q454" s="11" t="n"/>
      <c r="R454" s="11" t="n"/>
      <c r="S454" s="10">
        <f>IF(AND(Q454="",R454=""),"",IFERROR(INDEX(T_LIBAT,MATCH(Q454,L_PER,0),MATCH(R454,L_JENIS,0)),0))</f>
        <v/>
      </c>
      <c r="T454" s="11" t="n"/>
      <c r="U454" s="11" t="n"/>
      <c r="V454" s="10">
        <f>IF(AND(T454="",U454=""),"",IFERROR(INDEX(T_CAPAI,MATCH(T454,L_PER,0),MATCH(U454,L_KED,0)),0))</f>
        <v/>
      </c>
      <c r="W454" s="17">
        <f>IF(OR(B454="",E454="",COUNTA(F454,H454,J454:M454,O454,Q454:R454,T454:U454)=0),"",SUM(G454,I454,N454,P454,S454,V454))</f>
        <v/>
      </c>
      <c r="X454" s="18">
        <f>IF(W454="","",IF(Murid!F454="TL","TL",ROUND(W454/110*100,2)))</f>
        <v/>
      </c>
    </row>
    <row r="455">
      <c r="A455" s="15">
        <f>Murid!A455</f>
        <v/>
      </c>
      <c r="B455" s="15">
        <f>IF(Murid!B455="","",Murid!B455)</f>
        <v/>
      </c>
      <c r="C455" s="16">
        <f>IF(Murid!C455="","",Murid!C455)</f>
        <v/>
      </c>
      <c r="D455" s="15">
        <f>IF(Murid!E455="","",Murid!E455)</f>
        <v/>
      </c>
      <c r="E455" s="11" t="n"/>
      <c r="F455" s="11" t="n"/>
      <c r="G455" s="10">
        <f>IF(F455="","",IFERROR(VLOOKUP(F455,T_JUB,2,FALSE),0))</f>
        <v/>
      </c>
      <c r="H455" s="11" t="n"/>
      <c r="I455" s="17">
        <f>IF(H455="","",IF(H455&gt;=12,40,ROUND(H455*3.33,2)))</f>
        <v/>
      </c>
      <c r="J455" s="11" t="n"/>
      <c r="K455" s="11" t="n"/>
      <c r="L455" s="11" t="n"/>
      <c r="M455" s="11" t="n"/>
      <c r="N455" s="10">
        <f>IF(COUNTA(J455:M455)=0,"",MIN(10,SUMPRODUCT((COUNTIF(J455:M455,L_KOM)&gt;0)*S_KOM)))</f>
        <v/>
      </c>
      <c r="O455" s="11" t="n"/>
      <c r="P455" s="10">
        <f>IF(O455="","",IFERROR(VLOOKUP(O455,T_KHID,2,FALSE),0))</f>
        <v/>
      </c>
      <c r="Q455" s="11" t="n"/>
      <c r="R455" s="11" t="n"/>
      <c r="S455" s="10">
        <f>IF(AND(Q455="",R455=""),"",IFERROR(INDEX(T_LIBAT,MATCH(Q455,L_PER,0),MATCH(R455,L_JENIS,0)),0))</f>
        <v/>
      </c>
      <c r="T455" s="11" t="n"/>
      <c r="U455" s="11" t="n"/>
      <c r="V455" s="10">
        <f>IF(AND(T455="",U455=""),"",IFERROR(INDEX(T_CAPAI,MATCH(T455,L_PER,0),MATCH(U455,L_KED,0)),0))</f>
        <v/>
      </c>
      <c r="W455" s="17">
        <f>IF(OR(B455="",E455="",COUNTA(F455,H455,J455:M455,O455,Q455:R455,T455:U455)=0),"",SUM(G455,I455,N455,P455,S455,V455))</f>
        <v/>
      </c>
      <c r="X455" s="18">
        <f>IF(W455="","",IF(Murid!F455="TL","TL",ROUND(W455/110*100,2)))</f>
        <v/>
      </c>
    </row>
    <row r="456">
      <c r="A456" s="15">
        <f>Murid!A456</f>
        <v/>
      </c>
      <c r="B456" s="15">
        <f>IF(Murid!B456="","",Murid!B456)</f>
        <v/>
      </c>
      <c r="C456" s="16">
        <f>IF(Murid!C456="","",Murid!C456)</f>
        <v/>
      </c>
      <c r="D456" s="15">
        <f>IF(Murid!E456="","",Murid!E456)</f>
        <v/>
      </c>
      <c r="E456" s="11" t="n"/>
      <c r="F456" s="11" t="n"/>
      <c r="G456" s="10">
        <f>IF(F456="","",IFERROR(VLOOKUP(F456,T_JUB,2,FALSE),0))</f>
        <v/>
      </c>
      <c r="H456" s="11" t="n"/>
      <c r="I456" s="17">
        <f>IF(H456="","",IF(H456&gt;=12,40,ROUND(H456*3.33,2)))</f>
        <v/>
      </c>
      <c r="J456" s="11" t="n"/>
      <c r="K456" s="11" t="n"/>
      <c r="L456" s="11" t="n"/>
      <c r="M456" s="11" t="n"/>
      <c r="N456" s="10">
        <f>IF(COUNTA(J456:M456)=0,"",MIN(10,SUMPRODUCT((COUNTIF(J456:M456,L_KOM)&gt;0)*S_KOM)))</f>
        <v/>
      </c>
      <c r="O456" s="11" t="n"/>
      <c r="P456" s="10">
        <f>IF(O456="","",IFERROR(VLOOKUP(O456,T_KHID,2,FALSE),0))</f>
        <v/>
      </c>
      <c r="Q456" s="11" t="n"/>
      <c r="R456" s="11" t="n"/>
      <c r="S456" s="10">
        <f>IF(AND(Q456="",R456=""),"",IFERROR(INDEX(T_LIBAT,MATCH(Q456,L_PER,0),MATCH(R456,L_JENIS,0)),0))</f>
        <v/>
      </c>
      <c r="T456" s="11" t="n"/>
      <c r="U456" s="11" t="n"/>
      <c r="V456" s="10">
        <f>IF(AND(T456="",U456=""),"",IFERROR(INDEX(T_CAPAI,MATCH(T456,L_PER,0),MATCH(U456,L_KED,0)),0))</f>
        <v/>
      </c>
      <c r="W456" s="17">
        <f>IF(OR(B456="",E456="",COUNTA(F456,H456,J456:M456,O456,Q456:R456,T456:U456)=0),"",SUM(G456,I456,N456,P456,S456,V456))</f>
        <v/>
      </c>
      <c r="X456" s="18">
        <f>IF(W456="","",IF(Murid!F456="TL","TL",ROUND(W456/110*100,2)))</f>
        <v/>
      </c>
    </row>
    <row r="457">
      <c r="A457" s="15">
        <f>Murid!A457</f>
        <v/>
      </c>
      <c r="B457" s="15">
        <f>IF(Murid!B457="","",Murid!B457)</f>
        <v/>
      </c>
      <c r="C457" s="16">
        <f>IF(Murid!C457="","",Murid!C457)</f>
        <v/>
      </c>
      <c r="D457" s="15">
        <f>IF(Murid!E457="","",Murid!E457)</f>
        <v/>
      </c>
      <c r="E457" s="11" t="n"/>
      <c r="F457" s="11" t="n"/>
      <c r="G457" s="10">
        <f>IF(F457="","",IFERROR(VLOOKUP(F457,T_JUB,2,FALSE),0))</f>
        <v/>
      </c>
      <c r="H457" s="11" t="n"/>
      <c r="I457" s="17">
        <f>IF(H457="","",IF(H457&gt;=12,40,ROUND(H457*3.33,2)))</f>
        <v/>
      </c>
      <c r="J457" s="11" t="n"/>
      <c r="K457" s="11" t="n"/>
      <c r="L457" s="11" t="n"/>
      <c r="M457" s="11" t="n"/>
      <c r="N457" s="10">
        <f>IF(COUNTA(J457:M457)=0,"",MIN(10,SUMPRODUCT((COUNTIF(J457:M457,L_KOM)&gt;0)*S_KOM)))</f>
        <v/>
      </c>
      <c r="O457" s="11" t="n"/>
      <c r="P457" s="10">
        <f>IF(O457="","",IFERROR(VLOOKUP(O457,T_KHID,2,FALSE),0))</f>
        <v/>
      </c>
      <c r="Q457" s="11" t="n"/>
      <c r="R457" s="11" t="n"/>
      <c r="S457" s="10">
        <f>IF(AND(Q457="",R457=""),"",IFERROR(INDEX(T_LIBAT,MATCH(Q457,L_PER,0),MATCH(R457,L_JENIS,0)),0))</f>
        <v/>
      </c>
      <c r="T457" s="11" t="n"/>
      <c r="U457" s="11" t="n"/>
      <c r="V457" s="10">
        <f>IF(AND(T457="",U457=""),"",IFERROR(INDEX(T_CAPAI,MATCH(T457,L_PER,0),MATCH(U457,L_KED,0)),0))</f>
        <v/>
      </c>
      <c r="W457" s="17">
        <f>IF(OR(B457="",E457="",COUNTA(F457,H457,J457:M457,O457,Q457:R457,T457:U457)=0),"",SUM(G457,I457,N457,P457,S457,V457))</f>
        <v/>
      </c>
      <c r="X457" s="18">
        <f>IF(W457="","",IF(Murid!F457="TL","TL",ROUND(W457/110*100,2)))</f>
        <v/>
      </c>
    </row>
    <row r="458">
      <c r="A458" s="15">
        <f>Murid!A458</f>
        <v/>
      </c>
      <c r="B458" s="15">
        <f>IF(Murid!B458="","",Murid!B458)</f>
        <v/>
      </c>
      <c r="C458" s="16">
        <f>IF(Murid!C458="","",Murid!C458)</f>
        <v/>
      </c>
      <c r="D458" s="15">
        <f>IF(Murid!E458="","",Murid!E458)</f>
        <v/>
      </c>
      <c r="E458" s="11" t="n"/>
      <c r="F458" s="11" t="n"/>
      <c r="G458" s="10">
        <f>IF(F458="","",IFERROR(VLOOKUP(F458,T_JUB,2,FALSE),0))</f>
        <v/>
      </c>
      <c r="H458" s="11" t="n"/>
      <c r="I458" s="17">
        <f>IF(H458="","",IF(H458&gt;=12,40,ROUND(H458*3.33,2)))</f>
        <v/>
      </c>
      <c r="J458" s="11" t="n"/>
      <c r="K458" s="11" t="n"/>
      <c r="L458" s="11" t="n"/>
      <c r="M458" s="11" t="n"/>
      <c r="N458" s="10">
        <f>IF(COUNTA(J458:M458)=0,"",MIN(10,SUMPRODUCT((COUNTIF(J458:M458,L_KOM)&gt;0)*S_KOM)))</f>
        <v/>
      </c>
      <c r="O458" s="11" t="n"/>
      <c r="P458" s="10">
        <f>IF(O458="","",IFERROR(VLOOKUP(O458,T_KHID,2,FALSE),0))</f>
        <v/>
      </c>
      <c r="Q458" s="11" t="n"/>
      <c r="R458" s="11" t="n"/>
      <c r="S458" s="10">
        <f>IF(AND(Q458="",R458=""),"",IFERROR(INDEX(T_LIBAT,MATCH(Q458,L_PER,0),MATCH(R458,L_JENIS,0)),0))</f>
        <v/>
      </c>
      <c r="T458" s="11" t="n"/>
      <c r="U458" s="11" t="n"/>
      <c r="V458" s="10">
        <f>IF(AND(T458="",U458=""),"",IFERROR(INDEX(T_CAPAI,MATCH(T458,L_PER,0),MATCH(U458,L_KED,0)),0))</f>
        <v/>
      </c>
      <c r="W458" s="17">
        <f>IF(OR(B458="",E458="",COUNTA(F458,H458,J458:M458,O458,Q458:R458,T458:U458)=0),"",SUM(G458,I458,N458,P458,S458,V458))</f>
        <v/>
      </c>
      <c r="X458" s="18">
        <f>IF(W458="","",IF(Murid!F458="TL","TL",ROUND(W458/110*100,2)))</f>
        <v/>
      </c>
    </row>
    <row r="459">
      <c r="A459" s="15">
        <f>Murid!A459</f>
        <v/>
      </c>
      <c r="B459" s="15">
        <f>IF(Murid!B459="","",Murid!B459)</f>
        <v/>
      </c>
      <c r="C459" s="16">
        <f>IF(Murid!C459="","",Murid!C459)</f>
        <v/>
      </c>
      <c r="D459" s="15">
        <f>IF(Murid!E459="","",Murid!E459)</f>
        <v/>
      </c>
      <c r="E459" s="11" t="n"/>
      <c r="F459" s="11" t="n"/>
      <c r="G459" s="10">
        <f>IF(F459="","",IFERROR(VLOOKUP(F459,T_JUB,2,FALSE),0))</f>
        <v/>
      </c>
      <c r="H459" s="11" t="n"/>
      <c r="I459" s="17">
        <f>IF(H459="","",IF(H459&gt;=12,40,ROUND(H459*3.33,2)))</f>
        <v/>
      </c>
      <c r="J459" s="11" t="n"/>
      <c r="K459" s="11" t="n"/>
      <c r="L459" s="11" t="n"/>
      <c r="M459" s="11" t="n"/>
      <c r="N459" s="10">
        <f>IF(COUNTA(J459:M459)=0,"",MIN(10,SUMPRODUCT((COUNTIF(J459:M459,L_KOM)&gt;0)*S_KOM)))</f>
        <v/>
      </c>
      <c r="O459" s="11" t="n"/>
      <c r="P459" s="10">
        <f>IF(O459="","",IFERROR(VLOOKUP(O459,T_KHID,2,FALSE),0))</f>
        <v/>
      </c>
      <c r="Q459" s="11" t="n"/>
      <c r="R459" s="11" t="n"/>
      <c r="S459" s="10">
        <f>IF(AND(Q459="",R459=""),"",IFERROR(INDEX(T_LIBAT,MATCH(Q459,L_PER,0),MATCH(R459,L_JENIS,0)),0))</f>
        <v/>
      </c>
      <c r="T459" s="11" t="n"/>
      <c r="U459" s="11" t="n"/>
      <c r="V459" s="10">
        <f>IF(AND(T459="",U459=""),"",IFERROR(INDEX(T_CAPAI,MATCH(T459,L_PER,0),MATCH(U459,L_KED,0)),0))</f>
        <v/>
      </c>
      <c r="W459" s="17">
        <f>IF(OR(B459="",E459="",COUNTA(F459,H459,J459:M459,O459,Q459:R459,T459:U459)=0),"",SUM(G459,I459,N459,P459,S459,V459))</f>
        <v/>
      </c>
      <c r="X459" s="18">
        <f>IF(W459="","",IF(Murid!F459="TL","TL",ROUND(W459/110*100,2)))</f>
        <v/>
      </c>
    </row>
    <row r="460">
      <c r="A460" s="15">
        <f>Murid!A460</f>
        <v/>
      </c>
      <c r="B460" s="15">
        <f>IF(Murid!B460="","",Murid!B460)</f>
        <v/>
      </c>
      <c r="C460" s="16">
        <f>IF(Murid!C460="","",Murid!C460)</f>
        <v/>
      </c>
      <c r="D460" s="15">
        <f>IF(Murid!E460="","",Murid!E460)</f>
        <v/>
      </c>
      <c r="E460" s="11" t="n"/>
      <c r="F460" s="11" t="n"/>
      <c r="G460" s="10">
        <f>IF(F460="","",IFERROR(VLOOKUP(F460,T_JUB,2,FALSE),0))</f>
        <v/>
      </c>
      <c r="H460" s="11" t="n"/>
      <c r="I460" s="17">
        <f>IF(H460="","",IF(H460&gt;=12,40,ROUND(H460*3.33,2)))</f>
        <v/>
      </c>
      <c r="J460" s="11" t="n"/>
      <c r="K460" s="11" t="n"/>
      <c r="L460" s="11" t="n"/>
      <c r="M460" s="11" t="n"/>
      <c r="N460" s="10">
        <f>IF(COUNTA(J460:M460)=0,"",MIN(10,SUMPRODUCT((COUNTIF(J460:M460,L_KOM)&gt;0)*S_KOM)))</f>
        <v/>
      </c>
      <c r="O460" s="11" t="n"/>
      <c r="P460" s="10">
        <f>IF(O460="","",IFERROR(VLOOKUP(O460,T_KHID,2,FALSE),0))</f>
        <v/>
      </c>
      <c r="Q460" s="11" t="n"/>
      <c r="R460" s="11" t="n"/>
      <c r="S460" s="10">
        <f>IF(AND(Q460="",R460=""),"",IFERROR(INDEX(T_LIBAT,MATCH(Q460,L_PER,0),MATCH(R460,L_JENIS,0)),0))</f>
        <v/>
      </c>
      <c r="T460" s="11" t="n"/>
      <c r="U460" s="11" t="n"/>
      <c r="V460" s="10">
        <f>IF(AND(T460="",U460=""),"",IFERROR(INDEX(T_CAPAI,MATCH(T460,L_PER,0),MATCH(U460,L_KED,0)),0))</f>
        <v/>
      </c>
      <c r="W460" s="17">
        <f>IF(OR(B460="",E460="",COUNTA(F460,H460,J460:M460,O460,Q460:R460,T460:U460)=0),"",SUM(G460,I460,N460,P460,S460,V460))</f>
        <v/>
      </c>
      <c r="X460" s="18">
        <f>IF(W460="","",IF(Murid!F460="TL","TL",ROUND(W460/110*100,2)))</f>
        <v/>
      </c>
    </row>
    <row r="461">
      <c r="A461" s="15">
        <f>Murid!A461</f>
        <v/>
      </c>
      <c r="B461" s="15">
        <f>IF(Murid!B461="","",Murid!B461)</f>
        <v/>
      </c>
      <c r="C461" s="16">
        <f>IF(Murid!C461="","",Murid!C461)</f>
        <v/>
      </c>
      <c r="D461" s="15">
        <f>IF(Murid!E461="","",Murid!E461)</f>
        <v/>
      </c>
      <c r="E461" s="11" t="n"/>
      <c r="F461" s="11" t="n"/>
      <c r="G461" s="10">
        <f>IF(F461="","",IFERROR(VLOOKUP(F461,T_JUB,2,FALSE),0))</f>
        <v/>
      </c>
      <c r="H461" s="11" t="n"/>
      <c r="I461" s="17">
        <f>IF(H461="","",IF(H461&gt;=12,40,ROUND(H461*3.33,2)))</f>
        <v/>
      </c>
      <c r="J461" s="11" t="n"/>
      <c r="K461" s="11" t="n"/>
      <c r="L461" s="11" t="n"/>
      <c r="M461" s="11" t="n"/>
      <c r="N461" s="10">
        <f>IF(COUNTA(J461:M461)=0,"",MIN(10,SUMPRODUCT((COUNTIF(J461:M461,L_KOM)&gt;0)*S_KOM)))</f>
        <v/>
      </c>
      <c r="O461" s="11" t="n"/>
      <c r="P461" s="10">
        <f>IF(O461="","",IFERROR(VLOOKUP(O461,T_KHID,2,FALSE),0))</f>
        <v/>
      </c>
      <c r="Q461" s="11" t="n"/>
      <c r="R461" s="11" t="n"/>
      <c r="S461" s="10">
        <f>IF(AND(Q461="",R461=""),"",IFERROR(INDEX(T_LIBAT,MATCH(Q461,L_PER,0),MATCH(R461,L_JENIS,0)),0))</f>
        <v/>
      </c>
      <c r="T461" s="11" t="n"/>
      <c r="U461" s="11" t="n"/>
      <c r="V461" s="10">
        <f>IF(AND(T461="",U461=""),"",IFERROR(INDEX(T_CAPAI,MATCH(T461,L_PER,0),MATCH(U461,L_KED,0)),0))</f>
        <v/>
      </c>
      <c r="W461" s="17">
        <f>IF(OR(B461="",E461="",COUNTA(F461,H461,J461:M461,O461,Q461:R461,T461:U461)=0),"",SUM(G461,I461,N461,P461,S461,V461))</f>
        <v/>
      </c>
      <c r="X461" s="18">
        <f>IF(W461="","",IF(Murid!F461="TL","TL",ROUND(W461/110*100,2)))</f>
        <v/>
      </c>
    </row>
    <row r="462">
      <c r="A462" s="15">
        <f>Murid!A462</f>
        <v/>
      </c>
      <c r="B462" s="15">
        <f>IF(Murid!B462="","",Murid!B462)</f>
        <v/>
      </c>
      <c r="C462" s="16">
        <f>IF(Murid!C462="","",Murid!C462)</f>
        <v/>
      </c>
      <c r="D462" s="15">
        <f>IF(Murid!E462="","",Murid!E462)</f>
        <v/>
      </c>
      <c r="E462" s="11" t="n"/>
      <c r="F462" s="11" t="n"/>
      <c r="G462" s="10">
        <f>IF(F462="","",IFERROR(VLOOKUP(F462,T_JUB,2,FALSE),0))</f>
        <v/>
      </c>
      <c r="H462" s="11" t="n"/>
      <c r="I462" s="17">
        <f>IF(H462="","",IF(H462&gt;=12,40,ROUND(H462*3.33,2)))</f>
        <v/>
      </c>
      <c r="J462" s="11" t="n"/>
      <c r="K462" s="11" t="n"/>
      <c r="L462" s="11" t="n"/>
      <c r="M462" s="11" t="n"/>
      <c r="N462" s="10">
        <f>IF(COUNTA(J462:M462)=0,"",MIN(10,SUMPRODUCT((COUNTIF(J462:M462,L_KOM)&gt;0)*S_KOM)))</f>
        <v/>
      </c>
      <c r="O462" s="11" t="n"/>
      <c r="P462" s="10">
        <f>IF(O462="","",IFERROR(VLOOKUP(O462,T_KHID,2,FALSE),0))</f>
        <v/>
      </c>
      <c r="Q462" s="11" t="n"/>
      <c r="R462" s="11" t="n"/>
      <c r="S462" s="10">
        <f>IF(AND(Q462="",R462=""),"",IFERROR(INDEX(T_LIBAT,MATCH(Q462,L_PER,0),MATCH(R462,L_JENIS,0)),0))</f>
        <v/>
      </c>
      <c r="T462" s="11" t="n"/>
      <c r="U462" s="11" t="n"/>
      <c r="V462" s="10">
        <f>IF(AND(T462="",U462=""),"",IFERROR(INDEX(T_CAPAI,MATCH(T462,L_PER,0),MATCH(U462,L_KED,0)),0))</f>
        <v/>
      </c>
      <c r="W462" s="17">
        <f>IF(OR(B462="",E462="",COUNTA(F462,H462,J462:M462,O462,Q462:R462,T462:U462)=0),"",SUM(G462,I462,N462,P462,S462,V462))</f>
        <v/>
      </c>
      <c r="X462" s="18">
        <f>IF(W462="","",IF(Murid!F462="TL","TL",ROUND(W462/110*100,2)))</f>
        <v/>
      </c>
    </row>
    <row r="463">
      <c r="A463" s="15">
        <f>Murid!A463</f>
        <v/>
      </c>
      <c r="B463" s="15">
        <f>IF(Murid!B463="","",Murid!B463)</f>
        <v/>
      </c>
      <c r="C463" s="16">
        <f>IF(Murid!C463="","",Murid!C463)</f>
        <v/>
      </c>
      <c r="D463" s="15">
        <f>IF(Murid!E463="","",Murid!E463)</f>
        <v/>
      </c>
      <c r="E463" s="11" t="n"/>
      <c r="F463" s="11" t="n"/>
      <c r="G463" s="10">
        <f>IF(F463="","",IFERROR(VLOOKUP(F463,T_JUB,2,FALSE),0))</f>
        <v/>
      </c>
      <c r="H463" s="11" t="n"/>
      <c r="I463" s="17">
        <f>IF(H463="","",IF(H463&gt;=12,40,ROUND(H463*3.33,2)))</f>
        <v/>
      </c>
      <c r="J463" s="11" t="n"/>
      <c r="K463" s="11" t="n"/>
      <c r="L463" s="11" t="n"/>
      <c r="M463" s="11" t="n"/>
      <c r="N463" s="10">
        <f>IF(COUNTA(J463:M463)=0,"",MIN(10,SUMPRODUCT((COUNTIF(J463:M463,L_KOM)&gt;0)*S_KOM)))</f>
        <v/>
      </c>
      <c r="O463" s="11" t="n"/>
      <c r="P463" s="10">
        <f>IF(O463="","",IFERROR(VLOOKUP(O463,T_KHID,2,FALSE),0))</f>
        <v/>
      </c>
      <c r="Q463" s="11" t="n"/>
      <c r="R463" s="11" t="n"/>
      <c r="S463" s="10">
        <f>IF(AND(Q463="",R463=""),"",IFERROR(INDEX(T_LIBAT,MATCH(Q463,L_PER,0),MATCH(R463,L_JENIS,0)),0))</f>
        <v/>
      </c>
      <c r="T463" s="11" t="n"/>
      <c r="U463" s="11" t="n"/>
      <c r="V463" s="10">
        <f>IF(AND(T463="",U463=""),"",IFERROR(INDEX(T_CAPAI,MATCH(T463,L_PER,0),MATCH(U463,L_KED,0)),0))</f>
        <v/>
      </c>
      <c r="W463" s="17">
        <f>IF(OR(B463="",E463="",COUNTA(F463,H463,J463:M463,O463,Q463:R463,T463:U463)=0),"",SUM(G463,I463,N463,P463,S463,V463))</f>
        <v/>
      </c>
      <c r="X463" s="18">
        <f>IF(W463="","",IF(Murid!F463="TL","TL",ROUND(W463/110*100,2)))</f>
        <v/>
      </c>
    </row>
    <row r="464">
      <c r="A464" s="15">
        <f>Murid!A464</f>
        <v/>
      </c>
      <c r="B464" s="15">
        <f>IF(Murid!B464="","",Murid!B464)</f>
        <v/>
      </c>
      <c r="C464" s="16">
        <f>IF(Murid!C464="","",Murid!C464)</f>
        <v/>
      </c>
      <c r="D464" s="15">
        <f>IF(Murid!E464="","",Murid!E464)</f>
        <v/>
      </c>
      <c r="E464" s="11" t="n"/>
      <c r="F464" s="11" t="n"/>
      <c r="G464" s="10">
        <f>IF(F464="","",IFERROR(VLOOKUP(F464,T_JUB,2,FALSE),0))</f>
        <v/>
      </c>
      <c r="H464" s="11" t="n"/>
      <c r="I464" s="17">
        <f>IF(H464="","",IF(H464&gt;=12,40,ROUND(H464*3.33,2)))</f>
        <v/>
      </c>
      <c r="J464" s="11" t="n"/>
      <c r="K464" s="11" t="n"/>
      <c r="L464" s="11" t="n"/>
      <c r="M464" s="11" t="n"/>
      <c r="N464" s="10">
        <f>IF(COUNTA(J464:M464)=0,"",MIN(10,SUMPRODUCT((COUNTIF(J464:M464,L_KOM)&gt;0)*S_KOM)))</f>
        <v/>
      </c>
      <c r="O464" s="11" t="n"/>
      <c r="P464" s="10">
        <f>IF(O464="","",IFERROR(VLOOKUP(O464,T_KHID,2,FALSE),0))</f>
        <v/>
      </c>
      <c r="Q464" s="11" t="n"/>
      <c r="R464" s="11" t="n"/>
      <c r="S464" s="10">
        <f>IF(AND(Q464="",R464=""),"",IFERROR(INDEX(T_LIBAT,MATCH(Q464,L_PER,0),MATCH(R464,L_JENIS,0)),0))</f>
        <v/>
      </c>
      <c r="T464" s="11" t="n"/>
      <c r="U464" s="11" t="n"/>
      <c r="V464" s="10">
        <f>IF(AND(T464="",U464=""),"",IFERROR(INDEX(T_CAPAI,MATCH(T464,L_PER,0),MATCH(U464,L_KED,0)),0))</f>
        <v/>
      </c>
      <c r="W464" s="17">
        <f>IF(OR(B464="",E464="",COUNTA(F464,H464,J464:M464,O464,Q464:R464,T464:U464)=0),"",SUM(G464,I464,N464,P464,S464,V464))</f>
        <v/>
      </c>
      <c r="X464" s="18">
        <f>IF(W464="","",IF(Murid!F464="TL","TL",ROUND(W464/110*100,2)))</f>
        <v/>
      </c>
    </row>
    <row r="465">
      <c r="A465" s="15">
        <f>Murid!A465</f>
        <v/>
      </c>
      <c r="B465" s="15">
        <f>IF(Murid!B465="","",Murid!B465)</f>
        <v/>
      </c>
      <c r="C465" s="16">
        <f>IF(Murid!C465="","",Murid!C465)</f>
        <v/>
      </c>
      <c r="D465" s="15">
        <f>IF(Murid!E465="","",Murid!E465)</f>
        <v/>
      </c>
      <c r="E465" s="11" t="n"/>
      <c r="F465" s="11" t="n"/>
      <c r="G465" s="10">
        <f>IF(F465="","",IFERROR(VLOOKUP(F465,T_JUB,2,FALSE),0))</f>
        <v/>
      </c>
      <c r="H465" s="11" t="n"/>
      <c r="I465" s="17">
        <f>IF(H465="","",IF(H465&gt;=12,40,ROUND(H465*3.33,2)))</f>
        <v/>
      </c>
      <c r="J465" s="11" t="n"/>
      <c r="K465" s="11" t="n"/>
      <c r="L465" s="11" t="n"/>
      <c r="M465" s="11" t="n"/>
      <c r="N465" s="10">
        <f>IF(COUNTA(J465:M465)=0,"",MIN(10,SUMPRODUCT((COUNTIF(J465:M465,L_KOM)&gt;0)*S_KOM)))</f>
        <v/>
      </c>
      <c r="O465" s="11" t="n"/>
      <c r="P465" s="10">
        <f>IF(O465="","",IFERROR(VLOOKUP(O465,T_KHID,2,FALSE),0))</f>
        <v/>
      </c>
      <c r="Q465" s="11" t="n"/>
      <c r="R465" s="11" t="n"/>
      <c r="S465" s="10">
        <f>IF(AND(Q465="",R465=""),"",IFERROR(INDEX(T_LIBAT,MATCH(Q465,L_PER,0),MATCH(R465,L_JENIS,0)),0))</f>
        <v/>
      </c>
      <c r="T465" s="11" t="n"/>
      <c r="U465" s="11" t="n"/>
      <c r="V465" s="10">
        <f>IF(AND(T465="",U465=""),"",IFERROR(INDEX(T_CAPAI,MATCH(T465,L_PER,0),MATCH(U465,L_KED,0)),0))</f>
        <v/>
      </c>
      <c r="W465" s="17">
        <f>IF(OR(B465="",E465="",COUNTA(F465,H465,J465:M465,O465,Q465:R465,T465:U465)=0),"",SUM(G465,I465,N465,P465,S465,V465))</f>
        <v/>
      </c>
      <c r="X465" s="18">
        <f>IF(W465="","",IF(Murid!F465="TL","TL",ROUND(W465/110*100,2)))</f>
        <v/>
      </c>
    </row>
    <row r="466">
      <c r="A466" s="15">
        <f>Murid!A466</f>
        <v/>
      </c>
      <c r="B466" s="15">
        <f>IF(Murid!B466="","",Murid!B466)</f>
        <v/>
      </c>
      <c r="C466" s="16">
        <f>IF(Murid!C466="","",Murid!C466)</f>
        <v/>
      </c>
      <c r="D466" s="15">
        <f>IF(Murid!E466="","",Murid!E466)</f>
        <v/>
      </c>
      <c r="E466" s="11" t="n"/>
      <c r="F466" s="11" t="n"/>
      <c r="G466" s="10">
        <f>IF(F466="","",IFERROR(VLOOKUP(F466,T_JUB,2,FALSE),0))</f>
        <v/>
      </c>
      <c r="H466" s="11" t="n"/>
      <c r="I466" s="17">
        <f>IF(H466="","",IF(H466&gt;=12,40,ROUND(H466*3.33,2)))</f>
        <v/>
      </c>
      <c r="J466" s="11" t="n"/>
      <c r="K466" s="11" t="n"/>
      <c r="L466" s="11" t="n"/>
      <c r="M466" s="11" t="n"/>
      <c r="N466" s="10">
        <f>IF(COUNTA(J466:M466)=0,"",MIN(10,SUMPRODUCT((COUNTIF(J466:M466,L_KOM)&gt;0)*S_KOM)))</f>
        <v/>
      </c>
      <c r="O466" s="11" t="n"/>
      <c r="P466" s="10">
        <f>IF(O466="","",IFERROR(VLOOKUP(O466,T_KHID,2,FALSE),0))</f>
        <v/>
      </c>
      <c r="Q466" s="11" t="n"/>
      <c r="R466" s="11" t="n"/>
      <c r="S466" s="10">
        <f>IF(AND(Q466="",R466=""),"",IFERROR(INDEX(T_LIBAT,MATCH(Q466,L_PER,0),MATCH(R466,L_JENIS,0)),0))</f>
        <v/>
      </c>
      <c r="T466" s="11" t="n"/>
      <c r="U466" s="11" t="n"/>
      <c r="V466" s="10">
        <f>IF(AND(T466="",U466=""),"",IFERROR(INDEX(T_CAPAI,MATCH(T466,L_PER,0),MATCH(U466,L_KED,0)),0))</f>
        <v/>
      </c>
      <c r="W466" s="17">
        <f>IF(OR(B466="",E466="",COUNTA(F466,H466,J466:M466,O466,Q466:R466,T466:U466)=0),"",SUM(G466,I466,N466,P466,S466,V466))</f>
        <v/>
      </c>
      <c r="X466" s="18">
        <f>IF(W466="","",IF(Murid!F466="TL","TL",ROUND(W466/110*100,2)))</f>
        <v/>
      </c>
    </row>
    <row r="467">
      <c r="A467" s="15">
        <f>Murid!A467</f>
        <v/>
      </c>
      <c r="B467" s="15">
        <f>IF(Murid!B467="","",Murid!B467)</f>
        <v/>
      </c>
      <c r="C467" s="16">
        <f>IF(Murid!C467="","",Murid!C467)</f>
        <v/>
      </c>
      <c r="D467" s="15">
        <f>IF(Murid!E467="","",Murid!E467)</f>
        <v/>
      </c>
      <c r="E467" s="11" t="n"/>
      <c r="F467" s="11" t="n"/>
      <c r="G467" s="10">
        <f>IF(F467="","",IFERROR(VLOOKUP(F467,T_JUB,2,FALSE),0))</f>
        <v/>
      </c>
      <c r="H467" s="11" t="n"/>
      <c r="I467" s="17">
        <f>IF(H467="","",IF(H467&gt;=12,40,ROUND(H467*3.33,2)))</f>
        <v/>
      </c>
      <c r="J467" s="11" t="n"/>
      <c r="K467" s="11" t="n"/>
      <c r="L467" s="11" t="n"/>
      <c r="M467" s="11" t="n"/>
      <c r="N467" s="10">
        <f>IF(COUNTA(J467:M467)=0,"",MIN(10,SUMPRODUCT((COUNTIF(J467:M467,L_KOM)&gt;0)*S_KOM)))</f>
        <v/>
      </c>
      <c r="O467" s="11" t="n"/>
      <c r="P467" s="10">
        <f>IF(O467="","",IFERROR(VLOOKUP(O467,T_KHID,2,FALSE),0))</f>
        <v/>
      </c>
      <c r="Q467" s="11" t="n"/>
      <c r="R467" s="11" t="n"/>
      <c r="S467" s="10">
        <f>IF(AND(Q467="",R467=""),"",IFERROR(INDEX(T_LIBAT,MATCH(Q467,L_PER,0),MATCH(R467,L_JENIS,0)),0))</f>
        <v/>
      </c>
      <c r="T467" s="11" t="n"/>
      <c r="U467" s="11" t="n"/>
      <c r="V467" s="10">
        <f>IF(AND(T467="",U467=""),"",IFERROR(INDEX(T_CAPAI,MATCH(T467,L_PER,0),MATCH(U467,L_KED,0)),0))</f>
        <v/>
      </c>
      <c r="W467" s="17">
        <f>IF(OR(B467="",E467="",COUNTA(F467,H467,J467:M467,O467,Q467:R467,T467:U467)=0),"",SUM(G467,I467,N467,P467,S467,V467))</f>
        <v/>
      </c>
      <c r="X467" s="18">
        <f>IF(W467="","",IF(Murid!F467="TL","TL",ROUND(W467/110*100,2)))</f>
        <v/>
      </c>
    </row>
    <row r="468">
      <c r="A468" s="15">
        <f>Murid!A468</f>
        <v/>
      </c>
      <c r="B468" s="15">
        <f>IF(Murid!B468="","",Murid!B468)</f>
        <v/>
      </c>
      <c r="C468" s="16">
        <f>IF(Murid!C468="","",Murid!C468)</f>
        <v/>
      </c>
      <c r="D468" s="15">
        <f>IF(Murid!E468="","",Murid!E468)</f>
        <v/>
      </c>
      <c r="E468" s="11" t="n"/>
      <c r="F468" s="11" t="n"/>
      <c r="G468" s="10">
        <f>IF(F468="","",IFERROR(VLOOKUP(F468,T_JUB,2,FALSE),0))</f>
        <v/>
      </c>
      <c r="H468" s="11" t="n"/>
      <c r="I468" s="17">
        <f>IF(H468="","",IF(H468&gt;=12,40,ROUND(H468*3.33,2)))</f>
        <v/>
      </c>
      <c r="J468" s="11" t="n"/>
      <c r="K468" s="11" t="n"/>
      <c r="L468" s="11" t="n"/>
      <c r="M468" s="11" t="n"/>
      <c r="N468" s="10">
        <f>IF(COUNTA(J468:M468)=0,"",MIN(10,SUMPRODUCT((COUNTIF(J468:M468,L_KOM)&gt;0)*S_KOM)))</f>
        <v/>
      </c>
      <c r="O468" s="11" t="n"/>
      <c r="P468" s="10">
        <f>IF(O468="","",IFERROR(VLOOKUP(O468,T_KHID,2,FALSE),0))</f>
        <v/>
      </c>
      <c r="Q468" s="11" t="n"/>
      <c r="R468" s="11" t="n"/>
      <c r="S468" s="10">
        <f>IF(AND(Q468="",R468=""),"",IFERROR(INDEX(T_LIBAT,MATCH(Q468,L_PER,0),MATCH(R468,L_JENIS,0)),0))</f>
        <v/>
      </c>
      <c r="T468" s="11" t="n"/>
      <c r="U468" s="11" t="n"/>
      <c r="V468" s="10">
        <f>IF(AND(T468="",U468=""),"",IFERROR(INDEX(T_CAPAI,MATCH(T468,L_PER,0),MATCH(U468,L_KED,0)),0))</f>
        <v/>
      </c>
      <c r="W468" s="17">
        <f>IF(OR(B468="",E468="",COUNTA(F468,H468,J468:M468,O468,Q468:R468,T468:U468)=0),"",SUM(G468,I468,N468,P468,S468,V468))</f>
        <v/>
      </c>
      <c r="X468" s="18">
        <f>IF(W468="","",IF(Murid!F468="TL","TL",ROUND(W468/110*100,2)))</f>
        <v/>
      </c>
    </row>
    <row r="469">
      <c r="A469" s="15">
        <f>Murid!A469</f>
        <v/>
      </c>
      <c r="B469" s="15">
        <f>IF(Murid!B469="","",Murid!B469)</f>
        <v/>
      </c>
      <c r="C469" s="16">
        <f>IF(Murid!C469="","",Murid!C469)</f>
        <v/>
      </c>
      <c r="D469" s="15">
        <f>IF(Murid!E469="","",Murid!E469)</f>
        <v/>
      </c>
      <c r="E469" s="11" t="n"/>
      <c r="F469" s="11" t="n"/>
      <c r="G469" s="10">
        <f>IF(F469="","",IFERROR(VLOOKUP(F469,T_JUB,2,FALSE),0))</f>
        <v/>
      </c>
      <c r="H469" s="11" t="n"/>
      <c r="I469" s="17">
        <f>IF(H469="","",IF(H469&gt;=12,40,ROUND(H469*3.33,2)))</f>
        <v/>
      </c>
      <c r="J469" s="11" t="n"/>
      <c r="K469" s="11" t="n"/>
      <c r="L469" s="11" t="n"/>
      <c r="M469" s="11" t="n"/>
      <c r="N469" s="10">
        <f>IF(COUNTA(J469:M469)=0,"",MIN(10,SUMPRODUCT((COUNTIF(J469:M469,L_KOM)&gt;0)*S_KOM)))</f>
        <v/>
      </c>
      <c r="O469" s="11" t="n"/>
      <c r="P469" s="10">
        <f>IF(O469="","",IFERROR(VLOOKUP(O469,T_KHID,2,FALSE),0))</f>
        <v/>
      </c>
      <c r="Q469" s="11" t="n"/>
      <c r="R469" s="11" t="n"/>
      <c r="S469" s="10">
        <f>IF(AND(Q469="",R469=""),"",IFERROR(INDEX(T_LIBAT,MATCH(Q469,L_PER,0),MATCH(R469,L_JENIS,0)),0))</f>
        <v/>
      </c>
      <c r="T469" s="11" t="n"/>
      <c r="U469" s="11" t="n"/>
      <c r="V469" s="10">
        <f>IF(AND(T469="",U469=""),"",IFERROR(INDEX(T_CAPAI,MATCH(T469,L_PER,0),MATCH(U469,L_KED,0)),0))</f>
        <v/>
      </c>
      <c r="W469" s="17">
        <f>IF(OR(B469="",E469="",COUNTA(F469,H469,J469:M469,O469,Q469:R469,T469:U469)=0),"",SUM(G469,I469,N469,P469,S469,V469))</f>
        <v/>
      </c>
      <c r="X469" s="18">
        <f>IF(W469="","",IF(Murid!F469="TL","TL",ROUND(W469/110*100,2)))</f>
        <v/>
      </c>
    </row>
    <row r="470">
      <c r="A470" s="15">
        <f>Murid!A470</f>
        <v/>
      </c>
      <c r="B470" s="15">
        <f>IF(Murid!B470="","",Murid!B470)</f>
        <v/>
      </c>
      <c r="C470" s="16">
        <f>IF(Murid!C470="","",Murid!C470)</f>
        <v/>
      </c>
      <c r="D470" s="15">
        <f>IF(Murid!E470="","",Murid!E470)</f>
        <v/>
      </c>
      <c r="E470" s="11" t="n"/>
      <c r="F470" s="11" t="n"/>
      <c r="G470" s="10">
        <f>IF(F470="","",IFERROR(VLOOKUP(F470,T_JUB,2,FALSE),0))</f>
        <v/>
      </c>
      <c r="H470" s="11" t="n"/>
      <c r="I470" s="17">
        <f>IF(H470="","",IF(H470&gt;=12,40,ROUND(H470*3.33,2)))</f>
        <v/>
      </c>
      <c r="J470" s="11" t="n"/>
      <c r="K470" s="11" t="n"/>
      <c r="L470" s="11" t="n"/>
      <c r="M470" s="11" t="n"/>
      <c r="N470" s="10">
        <f>IF(COUNTA(J470:M470)=0,"",MIN(10,SUMPRODUCT((COUNTIF(J470:M470,L_KOM)&gt;0)*S_KOM)))</f>
        <v/>
      </c>
      <c r="O470" s="11" t="n"/>
      <c r="P470" s="10">
        <f>IF(O470="","",IFERROR(VLOOKUP(O470,T_KHID,2,FALSE),0))</f>
        <v/>
      </c>
      <c r="Q470" s="11" t="n"/>
      <c r="R470" s="11" t="n"/>
      <c r="S470" s="10">
        <f>IF(AND(Q470="",R470=""),"",IFERROR(INDEX(T_LIBAT,MATCH(Q470,L_PER,0),MATCH(R470,L_JENIS,0)),0))</f>
        <v/>
      </c>
      <c r="T470" s="11" t="n"/>
      <c r="U470" s="11" t="n"/>
      <c r="V470" s="10">
        <f>IF(AND(T470="",U470=""),"",IFERROR(INDEX(T_CAPAI,MATCH(T470,L_PER,0),MATCH(U470,L_KED,0)),0))</f>
        <v/>
      </c>
      <c r="W470" s="17">
        <f>IF(OR(B470="",E470="",COUNTA(F470,H470,J470:M470,O470,Q470:R470,T470:U470)=0),"",SUM(G470,I470,N470,P470,S470,V470))</f>
        <v/>
      </c>
      <c r="X470" s="18">
        <f>IF(W470="","",IF(Murid!F470="TL","TL",ROUND(W470/110*100,2)))</f>
        <v/>
      </c>
    </row>
    <row r="471">
      <c r="A471" s="15">
        <f>Murid!A471</f>
        <v/>
      </c>
      <c r="B471" s="15">
        <f>IF(Murid!B471="","",Murid!B471)</f>
        <v/>
      </c>
      <c r="C471" s="16">
        <f>IF(Murid!C471="","",Murid!C471)</f>
        <v/>
      </c>
      <c r="D471" s="15">
        <f>IF(Murid!E471="","",Murid!E471)</f>
        <v/>
      </c>
      <c r="E471" s="11" t="n"/>
      <c r="F471" s="11" t="n"/>
      <c r="G471" s="10">
        <f>IF(F471="","",IFERROR(VLOOKUP(F471,T_JUB,2,FALSE),0))</f>
        <v/>
      </c>
      <c r="H471" s="11" t="n"/>
      <c r="I471" s="17">
        <f>IF(H471="","",IF(H471&gt;=12,40,ROUND(H471*3.33,2)))</f>
        <v/>
      </c>
      <c r="J471" s="11" t="n"/>
      <c r="K471" s="11" t="n"/>
      <c r="L471" s="11" t="n"/>
      <c r="M471" s="11" t="n"/>
      <c r="N471" s="10">
        <f>IF(COUNTA(J471:M471)=0,"",MIN(10,SUMPRODUCT((COUNTIF(J471:M471,L_KOM)&gt;0)*S_KOM)))</f>
        <v/>
      </c>
      <c r="O471" s="11" t="n"/>
      <c r="P471" s="10">
        <f>IF(O471="","",IFERROR(VLOOKUP(O471,T_KHID,2,FALSE),0))</f>
        <v/>
      </c>
      <c r="Q471" s="11" t="n"/>
      <c r="R471" s="11" t="n"/>
      <c r="S471" s="10">
        <f>IF(AND(Q471="",R471=""),"",IFERROR(INDEX(T_LIBAT,MATCH(Q471,L_PER,0),MATCH(R471,L_JENIS,0)),0))</f>
        <v/>
      </c>
      <c r="T471" s="11" t="n"/>
      <c r="U471" s="11" t="n"/>
      <c r="V471" s="10">
        <f>IF(AND(T471="",U471=""),"",IFERROR(INDEX(T_CAPAI,MATCH(T471,L_PER,0),MATCH(U471,L_KED,0)),0))</f>
        <v/>
      </c>
      <c r="W471" s="17">
        <f>IF(OR(B471="",E471="",COUNTA(F471,H471,J471:M471,O471,Q471:R471,T471:U471)=0),"",SUM(G471,I471,N471,P471,S471,V471))</f>
        <v/>
      </c>
      <c r="X471" s="18">
        <f>IF(W471="","",IF(Murid!F471="TL","TL",ROUND(W471/110*100,2)))</f>
        <v/>
      </c>
    </row>
    <row r="472">
      <c r="A472" s="15">
        <f>Murid!A472</f>
        <v/>
      </c>
      <c r="B472" s="15">
        <f>IF(Murid!B472="","",Murid!B472)</f>
        <v/>
      </c>
      <c r="C472" s="16">
        <f>IF(Murid!C472="","",Murid!C472)</f>
        <v/>
      </c>
      <c r="D472" s="15">
        <f>IF(Murid!E472="","",Murid!E472)</f>
        <v/>
      </c>
      <c r="E472" s="11" t="n"/>
      <c r="F472" s="11" t="n"/>
      <c r="G472" s="10">
        <f>IF(F472="","",IFERROR(VLOOKUP(F472,T_JUB,2,FALSE),0))</f>
        <v/>
      </c>
      <c r="H472" s="11" t="n"/>
      <c r="I472" s="17">
        <f>IF(H472="","",IF(H472&gt;=12,40,ROUND(H472*3.33,2)))</f>
        <v/>
      </c>
      <c r="J472" s="11" t="n"/>
      <c r="K472" s="11" t="n"/>
      <c r="L472" s="11" t="n"/>
      <c r="M472" s="11" t="n"/>
      <c r="N472" s="10">
        <f>IF(COUNTA(J472:M472)=0,"",MIN(10,SUMPRODUCT((COUNTIF(J472:M472,L_KOM)&gt;0)*S_KOM)))</f>
        <v/>
      </c>
      <c r="O472" s="11" t="n"/>
      <c r="P472" s="10">
        <f>IF(O472="","",IFERROR(VLOOKUP(O472,T_KHID,2,FALSE),0))</f>
        <v/>
      </c>
      <c r="Q472" s="11" t="n"/>
      <c r="R472" s="11" t="n"/>
      <c r="S472" s="10">
        <f>IF(AND(Q472="",R472=""),"",IFERROR(INDEX(T_LIBAT,MATCH(Q472,L_PER,0),MATCH(R472,L_JENIS,0)),0))</f>
        <v/>
      </c>
      <c r="T472" s="11" t="n"/>
      <c r="U472" s="11" t="n"/>
      <c r="V472" s="10">
        <f>IF(AND(T472="",U472=""),"",IFERROR(INDEX(T_CAPAI,MATCH(T472,L_PER,0),MATCH(U472,L_KED,0)),0))</f>
        <v/>
      </c>
      <c r="W472" s="17">
        <f>IF(OR(B472="",E472="",COUNTA(F472,H472,J472:M472,O472,Q472:R472,T472:U472)=0),"",SUM(G472,I472,N472,P472,S472,V472))</f>
        <v/>
      </c>
      <c r="X472" s="18">
        <f>IF(W472="","",IF(Murid!F472="TL","TL",ROUND(W472/110*100,2)))</f>
        <v/>
      </c>
    </row>
    <row r="473">
      <c r="A473" s="15">
        <f>Murid!A473</f>
        <v/>
      </c>
      <c r="B473" s="15">
        <f>IF(Murid!B473="","",Murid!B473)</f>
        <v/>
      </c>
      <c r="C473" s="16">
        <f>IF(Murid!C473="","",Murid!C473)</f>
        <v/>
      </c>
      <c r="D473" s="15">
        <f>IF(Murid!E473="","",Murid!E473)</f>
        <v/>
      </c>
      <c r="E473" s="11" t="n"/>
      <c r="F473" s="11" t="n"/>
      <c r="G473" s="10">
        <f>IF(F473="","",IFERROR(VLOOKUP(F473,T_JUB,2,FALSE),0))</f>
        <v/>
      </c>
      <c r="H473" s="11" t="n"/>
      <c r="I473" s="17">
        <f>IF(H473="","",IF(H473&gt;=12,40,ROUND(H473*3.33,2)))</f>
        <v/>
      </c>
      <c r="J473" s="11" t="n"/>
      <c r="K473" s="11" t="n"/>
      <c r="L473" s="11" t="n"/>
      <c r="M473" s="11" t="n"/>
      <c r="N473" s="10">
        <f>IF(COUNTA(J473:M473)=0,"",MIN(10,SUMPRODUCT((COUNTIF(J473:M473,L_KOM)&gt;0)*S_KOM)))</f>
        <v/>
      </c>
      <c r="O473" s="11" t="n"/>
      <c r="P473" s="10">
        <f>IF(O473="","",IFERROR(VLOOKUP(O473,T_KHID,2,FALSE),0))</f>
        <v/>
      </c>
      <c r="Q473" s="11" t="n"/>
      <c r="R473" s="11" t="n"/>
      <c r="S473" s="10">
        <f>IF(AND(Q473="",R473=""),"",IFERROR(INDEX(T_LIBAT,MATCH(Q473,L_PER,0),MATCH(R473,L_JENIS,0)),0))</f>
        <v/>
      </c>
      <c r="T473" s="11" t="n"/>
      <c r="U473" s="11" t="n"/>
      <c r="V473" s="10">
        <f>IF(AND(T473="",U473=""),"",IFERROR(INDEX(T_CAPAI,MATCH(T473,L_PER,0),MATCH(U473,L_KED,0)),0))</f>
        <v/>
      </c>
      <c r="W473" s="17">
        <f>IF(OR(B473="",E473="",COUNTA(F473,H473,J473:M473,O473,Q473:R473,T473:U473)=0),"",SUM(G473,I473,N473,P473,S473,V473))</f>
        <v/>
      </c>
      <c r="X473" s="18">
        <f>IF(W473="","",IF(Murid!F473="TL","TL",ROUND(W473/110*100,2)))</f>
        <v/>
      </c>
    </row>
    <row r="474">
      <c r="A474" s="15">
        <f>Murid!A474</f>
        <v/>
      </c>
      <c r="B474" s="15">
        <f>IF(Murid!B474="","",Murid!B474)</f>
        <v/>
      </c>
      <c r="C474" s="16">
        <f>IF(Murid!C474="","",Murid!C474)</f>
        <v/>
      </c>
      <c r="D474" s="15">
        <f>IF(Murid!E474="","",Murid!E474)</f>
        <v/>
      </c>
      <c r="E474" s="11" t="n"/>
      <c r="F474" s="11" t="n"/>
      <c r="G474" s="10">
        <f>IF(F474="","",IFERROR(VLOOKUP(F474,T_JUB,2,FALSE),0))</f>
        <v/>
      </c>
      <c r="H474" s="11" t="n"/>
      <c r="I474" s="17">
        <f>IF(H474="","",IF(H474&gt;=12,40,ROUND(H474*3.33,2)))</f>
        <v/>
      </c>
      <c r="J474" s="11" t="n"/>
      <c r="K474" s="11" t="n"/>
      <c r="L474" s="11" t="n"/>
      <c r="M474" s="11" t="n"/>
      <c r="N474" s="10">
        <f>IF(COUNTA(J474:M474)=0,"",MIN(10,SUMPRODUCT((COUNTIF(J474:M474,L_KOM)&gt;0)*S_KOM)))</f>
        <v/>
      </c>
      <c r="O474" s="11" t="n"/>
      <c r="P474" s="10">
        <f>IF(O474="","",IFERROR(VLOOKUP(O474,T_KHID,2,FALSE),0))</f>
        <v/>
      </c>
      <c r="Q474" s="11" t="n"/>
      <c r="R474" s="11" t="n"/>
      <c r="S474" s="10">
        <f>IF(AND(Q474="",R474=""),"",IFERROR(INDEX(T_LIBAT,MATCH(Q474,L_PER,0),MATCH(R474,L_JENIS,0)),0))</f>
        <v/>
      </c>
      <c r="T474" s="11" t="n"/>
      <c r="U474" s="11" t="n"/>
      <c r="V474" s="10">
        <f>IF(AND(T474="",U474=""),"",IFERROR(INDEX(T_CAPAI,MATCH(T474,L_PER,0),MATCH(U474,L_KED,0)),0))</f>
        <v/>
      </c>
      <c r="W474" s="17">
        <f>IF(OR(B474="",E474="",COUNTA(F474,H474,J474:M474,O474,Q474:R474,T474:U474)=0),"",SUM(G474,I474,N474,P474,S474,V474))</f>
        <v/>
      </c>
      <c r="X474" s="18">
        <f>IF(W474="","",IF(Murid!F474="TL","TL",ROUND(W474/110*100,2)))</f>
        <v/>
      </c>
    </row>
    <row r="475">
      <c r="A475" s="15">
        <f>Murid!A475</f>
        <v/>
      </c>
      <c r="B475" s="15">
        <f>IF(Murid!B475="","",Murid!B475)</f>
        <v/>
      </c>
      <c r="C475" s="16">
        <f>IF(Murid!C475="","",Murid!C475)</f>
        <v/>
      </c>
      <c r="D475" s="15">
        <f>IF(Murid!E475="","",Murid!E475)</f>
        <v/>
      </c>
      <c r="E475" s="11" t="n"/>
      <c r="F475" s="11" t="n"/>
      <c r="G475" s="10">
        <f>IF(F475="","",IFERROR(VLOOKUP(F475,T_JUB,2,FALSE),0))</f>
        <v/>
      </c>
      <c r="H475" s="11" t="n"/>
      <c r="I475" s="17">
        <f>IF(H475="","",IF(H475&gt;=12,40,ROUND(H475*3.33,2)))</f>
        <v/>
      </c>
      <c r="J475" s="11" t="n"/>
      <c r="K475" s="11" t="n"/>
      <c r="L475" s="11" t="n"/>
      <c r="M475" s="11" t="n"/>
      <c r="N475" s="10">
        <f>IF(COUNTA(J475:M475)=0,"",MIN(10,SUMPRODUCT((COUNTIF(J475:M475,L_KOM)&gt;0)*S_KOM)))</f>
        <v/>
      </c>
      <c r="O475" s="11" t="n"/>
      <c r="P475" s="10">
        <f>IF(O475="","",IFERROR(VLOOKUP(O475,T_KHID,2,FALSE),0))</f>
        <v/>
      </c>
      <c r="Q475" s="11" t="n"/>
      <c r="R475" s="11" t="n"/>
      <c r="S475" s="10">
        <f>IF(AND(Q475="",R475=""),"",IFERROR(INDEX(T_LIBAT,MATCH(Q475,L_PER,0),MATCH(R475,L_JENIS,0)),0))</f>
        <v/>
      </c>
      <c r="T475" s="11" t="n"/>
      <c r="U475" s="11" t="n"/>
      <c r="V475" s="10">
        <f>IF(AND(T475="",U475=""),"",IFERROR(INDEX(T_CAPAI,MATCH(T475,L_PER,0),MATCH(U475,L_KED,0)),0))</f>
        <v/>
      </c>
      <c r="W475" s="17">
        <f>IF(OR(B475="",E475="",COUNTA(F475,H475,J475:M475,O475,Q475:R475,T475:U475)=0),"",SUM(G475,I475,N475,P475,S475,V475))</f>
        <v/>
      </c>
      <c r="X475" s="18">
        <f>IF(W475="","",IF(Murid!F475="TL","TL",ROUND(W475/110*100,2)))</f>
        <v/>
      </c>
    </row>
    <row r="476">
      <c r="A476" s="15">
        <f>Murid!A476</f>
        <v/>
      </c>
      <c r="B476" s="15">
        <f>IF(Murid!B476="","",Murid!B476)</f>
        <v/>
      </c>
      <c r="C476" s="16">
        <f>IF(Murid!C476="","",Murid!C476)</f>
        <v/>
      </c>
      <c r="D476" s="15">
        <f>IF(Murid!E476="","",Murid!E476)</f>
        <v/>
      </c>
      <c r="E476" s="11" t="n"/>
      <c r="F476" s="11" t="n"/>
      <c r="G476" s="10">
        <f>IF(F476="","",IFERROR(VLOOKUP(F476,T_JUB,2,FALSE),0))</f>
        <v/>
      </c>
      <c r="H476" s="11" t="n"/>
      <c r="I476" s="17">
        <f>IF(H476="","",IF(H476&gt;=12,40,ROUND(H476*3.33,2)))</f>
        <v/>
      </c>
      <c r="J476" s="11" t="n"/>
      <c r="K476" s="11" t="n"/>
      <c r="L476" s="11" t="n"/>
      <c r="M476" s="11" t="n"/>
      <c r="N476" s="10">
        <f>IF(COUNTA(J476:M476)=0,"",MIN(10,SUMPRODUCT((COUNTIF(J476:M476,L_KOM)&gt;0)*S_KOM)))</f>
        <v/>
      </c>
      <c r="O476" s="11" t="n"/>
      <c r="P476" s="10">
        <f>IF(O476="","",IFERROR(VLOOKUP(O476,T_KHID,2,FALSE),0))</f>
        <v/>
      </c>
      <c r="Q476" s="11" t="n"/>
      <c r="R476" s="11" t="n"/>
      <c r="S476" s="10">
        <f>IF(AND(Q476="",R476=""),"",IFERROR(INDEX(T_LIBAT,MATCH(Q476,L_PER,0),MATCH(R476,L_JENIS,0)),0))</f>
        <v/>
      </c>
      <c r="T476" s="11" t="n"/>
      <c r="U476" s="11" t="n"/>
      <c r="V476" s="10">
        <f>IF(AND(T476="",U476=""),"",IFERROR(INDEX(T_CAPAI,MATCH(T476,L_PER,0),MATCH(U476,L_KED,0)),0))</f>
        <v/>
      </c>
      <c r="W476" s="17">
        <f>IF(OR(B476="",E476="",COUNTA(F476,H476,J476:M476,O476,Q476:R476,T476:U476)=0),"",SUM(G476,I476,N476,P476,S476,V476))</f>
        <v/>
      </c>
      <c r="X476" s="18">
        <f>IF(W476="","",IF(Murid!F476="TL","TL",ROUND(W476/110*100,2)))</f>
        <v/>
      </c>
    </row>
    <row r="477">
      <c r="A477" s="15">
        <f>Murid!A477</f>
        <v/>
      </c>
      <c r="B477" s="15">
        <f>IF(Murid!B477="","",Murid!B477)</f>
        <v/>
      </c>
      <c r="C477" s="16">
        <f>IF(Murid!C477="","",Murid!C477)</f>
        <v/>
      </c>
      <c r="D477" s="15">
        <f>IF(Murid!E477="","",Murid!E477)</f>
        <v/>
      </c>
      <c r="E477" s="11" t="n"/>
      <c r="F477" s="11" t="n"/>
      <c r="G477" s="10">
        <f>IF(F477="","",IFERROR(VLOOKUP(F477,T_JUB,2,FALSE),0))</f>
        <v/>
      </c>
      <c r="H477" s="11" t="n"/>
      <c r="I477" s="17">
        <f>IF(H477="","",IF(H477&gt;=12,40,ROUND(H477*3.33,2)))</f>
        <v/>
      </c>
      <c r="J477" s="11" t="n"/>
      <c r="K477" s="11" t="n"/>
      <c r="L477" s="11" t="n"/>
      <c r="M477" s="11" t="n"/>
      <c r="N477" s="10">
        <f>IF(COUNTA(J477:M477)=0,"",MIN(10,SUMPRODUCT((COUNTIF(J477:M477,L_KOM)&gt;0)*S_KOM)))</f>
        <v/>
      </c>
      <c r="O477" s="11" t="n"/>
      <c r="P477" s="10">
        <f>IF(O477="","",IFERROR(VLOOKUP(O477,T_KHID,2,FALSE),0))</f>
        <v/>
      </c>
      <c r="Q477" s="11" t="n"/>
      <c r="R477" s="11" t="n"/>
      <c r="S477" s="10">
        <f>IF(AND(Q477="",R477=""),"",IFERROR(INDEX(T_LIBAT,MATCH(Q477,L_PER,0),MATCH(R477,L_JENIS,0)),0))</f>
        <v/>
      </c>
      <c r="T477" s="11" t="n"/>
      <c r="U477" s="11" t="n"/>
      <c r="V477" s="10">
        <f>IF(AND(T477="",U477=""),"",IFERROR(INDEX(T_CAPAI,MATCH(T477,L_PER,0),MATCH(U477,L_KED,0)),0))</f>
        <v/>
      </c>
      <c r="W477" s="17">
        <f>IF(OR(B477="",E477="",COUNTA(F477,H477,J477:M477,O477,Q477:R477,T477:U477)=0),"",SUM(G477,I477,N477,P477,S477,V477))</f>
        <v/>
      </c>
      <c r="X477" s="18">
        <f>IF(W477="","",IF(Murid!F477="TL","TL",ROUND(W477/110*100,2)))</f>
        <v/>
      </c>
    </row>
    <row r="478">
      <c r="A478" s="15">
        <f>Murid!A478</f>
        <v/>
      </c>
      <c r="B478" s="15">
        <f>IF(Murid!B478="","",Murid!B478)</f>
        <v/>
      </c>
      <c r="C478" s="16">
        <f>IF(Murid!C478="","",Murid!C478)</f>
        <v/>
      </c>
      <c r="D478" s="15">
        <f>IF(Murid!E478="","",Murid!E478)</f>
        <v/>
      </c>
      <c r="E478" s="11" t="n"/>
      <c r="F478" s="11" t="n"/>
      <c r="G478" s="10">
        <f>IF(F478="","",IFERROR(VLOOKUP(F478,T_JUB,2,FALSE),0))</f>
        <v/>
      </c>
      <c r="H478" s="11" t="n"/>
      <c r="I478" s="17">
        <f>IF(H478="","",IF(H478&gt;=12,40,ROUND(H478*3.33,2)))</f>
        <v/>
      </c>
      <c r="J478" s="11" t="n"/>
      <c r="K478" s="11" t="n"/>
      <c r="L478" s="11" t="n"/>
      <c r="M478" s="11" t="n"/>
      <c r="N478" s="10">
        <f>IF(COUNTA(J478:M478)=0,"",MIN(10,SUMPRODUCT((COUNTIF(J478:M478,L_KOM)&gt;0)*S_KOM)))</f>
        <v/>
      </c>
      <c r="O478" s="11" t="n"/>
      <c r="P478" s="10">
        <f>IF(O478="","",IFERROR(VLOOKUP(O478,T_KHID,2,FALSE),0))</f>
        <v/>
      </c>
      <c r="Q478" s="11" t="n"/>
      <c r="R478" s="11" t="n"/>
      <c r="S478" s="10">
        <f>IF(AND(Q478="",R478=""),"",IFERROR(INDEX(T_LIBAT,MATCH(Q478,L_PER,0),MATCH(R478,L_JENIS,0)),0))</f>
        <v/>
      </c>
      <c r="T478" s="11" t="n"/>
      <c r="U478" s="11" t="n"/>
      <c r="V478" s="10">
        <f>IF(AND(T478="",U478=""),"",IFERROR(INDEX(T_CAPAI,MATCH(T478,L_PER,0),MATCH(U478,L_KED,0)),0))</f>
        <v/>
      </c>
      <c r="W478" s="17">
        <f>IF(OR(B478="",E478="",COUNTA(F478,H478,J478:M478,O478,Q478:R478,T478:U478)=0),"",SUM(G478,I478,N478,P478,S478,V478))</f>
        <v/>
      </c>
      <c r="X478" s="18">
        <f>IF(W478="","",IF(Murid!F478="TL","TL",ROUND(W478/110*100,2)))</f>
        <v/>
      </c>
    </row>
    <row r="479">
      <c r="A479" s="15">
        <f>Murid!A479</f>
        <v/>
      </c>
      <c r="B479" s="15">
        <f>IF(Murid!B479="","",Murid!B479)</f>
        <v/>
      </c>
      <c r="C479" s="16">
        <f>IF(Murid!C479="","",Murid!C479)</f>
        <v/>
      </c>
      <c r="D479" s="15">
        <f>IF(Murid!E479="","",Murid!E479)</f>
        <v/>
      </c>
      <c r="E479" s="11" t="n"/>
      <c r="F479" s="11" t="n"/>
      <c r="G479" s="10">
        <f>IF(F479="","",IFERROR(VLOOKUP(F479,T_JUB,2,FALSE),0))</f>
        <v/>
      </c>
      <c r="H479" s="11" t="n"/>
      <c r="I479" s="17">
        <f>IF(H479="","",IF(H479&gt;=12,40,ROUND(H479*3.33,2)))</f>
        <v/>
      </c>
      <c r="J479" s="11" t="n"/>
      <c r="K479" s="11" t="n"/>
      <c r="L479" s="11" t="n"/>
      <c r="M479" s="11" t="n"/>
      <c r="N479" s="10">
        <f>IF(COUNTA(J479:M479)=0,"",MIN(10,SUMPRODUCT((COUNTIF(J479:M479,L_KOM)&gt;0)*S_KOM)))</f>
        <v/>
      </c>
      <c r="O479" s="11" t="n"/>
      <c r="P479" s="10">
        <f>IF(O479="","",IFERROR(VLOOKUP(O479,T_KHID,2,FALSE),0))</f>
        <v/>
      </c>
      <c r="Q479" s="11" t="n"/>
      <c r="R479" s="11" t="n"/>
      <c r="S479" s="10">
        <f>IF(AND(Q479="",R479=""),"",IFERROR(INDEX(T_LIBAT,MATCH(Q479,L_PER,0),MATCH(R479,L_JENIS,0)),0))</f>
        <v/>
      </c>
      <c r="T479" s="11" t="n"/>
      <c r="U479" s="11" t="n"/>
      <c r="V479" s="10">
        <f>IF(AND(T479="",U479=""),"",IFERROR(INDEX(T_CAPAI,MATCH(T479,L_PER,0),MATCH(U479,L_KED,0)),0))</f>
        <v/>
      </c>
      <c r="W479" s="17">
        <f>IF(OR(B479="",E479="",COUNTA(F479,H479,J479:M479,O479,Q479:R479,T479:U479)=0),"",SUM(G479,I479,N479,P479,S479,V479))</f>
        <v/>
      </c>
      <c r="X479" s="18">
        <f>IF(W479="","",IF(Murid!F479="TL","TL",ROUND(W479/110*100,2)))</f>
        <v/>
      </c>
    </row>
    <row r="480">
      <c r="A480" s="15">
        <f>Murid!A480</f>
        <v/>
      </c>
      <c r="B480" s="15">
        <f>IF(Murid!B480="","",Murid!B480)</f>
        <v/>
      </c>
      <c r="C480" s="16">
        <f>IF(Murid!C480="","",Murid!C480)</f>
        <v/>
      </c>
      <c r="D480" s="15">
        <f>IF(Murid!E480="","",Murid!E480)</f>
        <v/>
      </c>
      <c r="E480" s="11" t="n"/>
      <c r="F480" s="11" t="n"/>
      <c r="G480" s="10">
        <f>IF(F480="","",IFERROR(VLOOKUP(F480,T_JUB,2,FALSE),0))</f>
        <v/>
      </c>
      <c r="H480" s="11" t="n"/>
      <c r="I480" s="17">
        <f>IF(H480="","",IF(H480&gt;=12,40,ROUND(H480*3.33,2)))</f>
        <v/>
      </c>
      <c r="J480" s="11" t="n"/>
      <c r="K480" s="11" t="n"/>
      <c r="L480" s="11" t="n"/>
      <c r="M480" s="11" t="n"/>
      <c r="N480" s="10">
        <f>IF(COUNTA(J480:M480)=0,"",MIN(10,SUMPRODUCT((COUNTIF(J480:M480,L_KOM)&gt;0)*S_KOM)))</f>
        <v/>
      </c>
      <c r="O480" s="11" t="n"/>
      <c r="P480" s="10">
        <f>IF(O480="","",IFERROR(VLOOKUP(O480,T_KHID,2,FALSE),0))</f>
        <v/>
      </c>
      <c r="Q480" s="11" t="n"/>
      <c r="R480" s="11" t="n"/>
      <c r="S480" s="10">
        <f>IF(AND(Q480="",R480=""),"",IFERROR(INDEX(T_LIBAT,MATCH(Q480,L_PER,0),MATCH(R480,L_JENIS,0)),0))</f>
        <v/>
      </c>
      <c r="T480" s="11" t="n"/>
      <c r="U480" s="11" t="n"/>
      <c r="V480" s="10">
        <f>IF(AND(T480="",U480=""),"",IFERROR(INDEX(T_CAPAI,MATCH(T480,L_PER,0),MATCH(U480,L_KED,0)),0))</f>
        <v/>
      </c>
      <c r="W480" s="17">
        <f>IF(OR(B480="",E480="",COUNTA(F480,H480,J480:M480,O480,Q480:R480,T480:U480)=0),"",SUM(G480,I480,N480,P480,S480,V480))</f>
        <v/>
      </c>
      <c r="X480" s="18">
        <f>IF(W480="","",IF(Murid!F480="TL","TL",ROUND(W480/110*100,2)))</f>
        <v/>
      </c>
    </row>
    <row r="481">
      <c r="A481" s="15">
        <f>Murid!A481</f>
        <v/>
      </c>
      <c r="B481" s="15">
        <f>IF(Murid!B481="","",Murid!B481)</f>
        <v/>
      </c>
      <c r="C481" s="16">
        <f>IF(Murid!C481="","",Murid!C481)</f>
        <v/>
      </c>
      <c r="D481" s="15">
        <f>IF(Murid!E481="","",Murid!E481)</f>
        <v/>
      </c>
      <c r="E481" s="11" t="n"/>
      <c r="F481" s="11" t="n"/>
      <c r="G481" s="10">
        <f>IF(F481="","",IFERROR(VLOOKUP(F481,T_JUB,2,FALSE),0))</f>
        <v/>
      </c>
      <c r="H481" s="11" t="n"/>
      <c r="I481" s="17">
        <f>IF(H481="","",IF(H481&gt;=12,40,ROUND(H481*3.33,2)))</f>
        <v/>
      </c>
      <c r="J481" s="11" t="n"/>
      <c r="K481" s="11" t="n"/>
      <c r="L481" s="11" t="n"/>
      <c r="M481" s="11" t="n"/>
      <c r="N481" s="10">
        <f>IF(COUNTA(J481:M481)=0,"",MIN(10,SUMPRODUCT((COUNTIF(J481:M481,L_KOM)&gt;0)*S_KOM)))</f>
        <v/>
      </c>
      <c r="O481" s="11" t="n"/>
      <c r="P481" s="10">
        <f>IF(O481="","",IFERROR(VLOOKUP(O481,T_KHID,2,FALSE),0))</f>
        <v/>
      </c>
      <c r="Q481" s="11" t="n"/>
      <c r="R481" s="11" t="n"/>
      <c r="S481" s="10">
        <f>IF(AND(Q481="",R481=""),"",IFERROR(INDEX(T_LIBAT,MATCH(Q481,L_PER,0),MATCH(R481,L_JENIS,0)),0))</f>
        <v/>
      </c>
      <c r="T481" s="11" t="n"/>
      <c r="U481" s="11" t="n"/>
      <c r="V481" s="10">
        <f>IF(AND(T481="",U481=""),"",IFERROR(INDEX(T_CAPAI,MATCH(T481,L_PER,0),MATCH(U481,L_KED,0)),0))</f>
        <v/>
      </c>
      <c r="W481" s="17">
        <f>IF(OR(B481="",E481="",COUNTA(F481,H481,J481:M481,O481,Q481:R481,T481:U481)=0),"",SUM(G481,I481,N481,P481,S481,V481))</f>
        <v/>
      </c>
      <c r="X481" s="18">
        <f>IF(W481="","",IF(Murid!F481="TL","TL",ROUND(W481/110*100,2)))</f>
        <v/>
      </c>
    </row>
    <row r="482">
      <c r="A482" s="15">
        <f>Murid!A482</f>
        <v/>
      </c>
      <c r="B482" s="15">
        <f>IF(Murid!B482="","",Murid!B482)</f>
        <v/>
      </c>
      <c r="C482" s="16">
        <f>IF(Murid!C482="","",Murid!C482)</f>
        <v/>
      </c>
      <c r="D482" s="15">
        <f>IF(Murid!E482="","",Murid!E482)</f>
        <v/>
      </c>
      <c r="E482" s="11" t="n"/>
      <c r="F482" s="11" t="n"/>
      <c r="G482" s="10">
        <f>IF(F482="","",IFERROR(VLOOKUP(F482,T_JUB,2,FALSE),0))</f>
        <v/>
      </c>
      <c r="H482" s="11" t="n"/>
      <c r="I482" s="17">
        <f>IF(H482="","",IF(H482&gt;=12,40,ROUND(H482*3.33,2)))</f>
        <v/>
      </c>
      <c r="J482" s="11" t="n"/>
      <c r="K482" s="11" t="n"/>
      <c r="L482" s="11" t="n"/>
      <c r="M482" s="11" t="n"/>
      <c r="N482" s="10">
        <f>IF(COUNTA(J482:M482)=0,"",MIN(10,SUMPRODUCT((COUNTIF(J482:M482,L_KOM)&gt;0)*S_KOM)))</f>
        <v/>
      </c>
      <c r="O482" s="11" t="n"/>
      <c r="P482" s="10">
        <f>IF(O482="","",IFERROR(VLOOKUP(O482,T_KHID,2,FALSE),0))</f>
        <v/>
      </c>
      <c r="Q482" s="11" t="n"/>
      <c r="R482" s="11" t="n"/>
      <c r="S482" s="10">
        <f>IF(AND(Q482="",R482=""),"",IFERROR(INDEX(T_LIBAT,MATCH(Q482,L_PER,0),MATCH(R482,L_JENIS,0)),0))</f>
        <v/>
      </c>
      <c r="T482" s="11" t="n"/>
      <c r="U482" s="11" t="n"/>
      <c r="V482" s="10">
        <f>IF(AND(T482="",U482=""),"",IFERROR(INDEX(T_CAPAI,MATCH(T482,L_PER,0),MATCH(U482,L_KED,0)),0))</f>
        <v/>
      </c>
      <c r="W482" s="17">
        <f>IF(OR(B482="",E482="",COUNTA(F482,H482,J482:M482,O482,Q482:R482,T482:U482)=0),"",SUM(G482,I482,N482,P482,S482,V482))</f>
        <v/>
      </c>
      <c r="X482" s="18">
        <f>IF(W482="","",IF(Murid!F482="TL","TL",ROUND(W482/110*100,2)))</f>
        <v/>
      </c>
    </row>
    <row r="483">
      <c r="A483" s="15">
        <f>Murid!A483</f>
        <v/>
      </c>
      <c r="B483" s="15">
        <f>IF(Murid!B483="","",Murid!B483)</f>
        <v/>
      </c>
      <c r="C483" s="16">
        <f>IF(Murid!C483="","",Murid!C483)</f>
        <v/>
      </c>
      <c r="D483" s="15">
        <f>IF(Murid!E483="","",Murid!E483)</f>
        <v/>
      </c>
      <c r="E483" s="11" t="n"/>
      <c r="F483" s="11" t="n"/>
      <c r="G483" s="10">
        <f>IF(F483="","",IFERROR(VLOOKUP(F483,T_JUB,2,FALSE),0))</f>
        <v/>
      </c>
      <c r="H483" s="11" t="n"/>
      <c r="I483" s="17">
        <f>IF(H483="","",IF(H483&gt;=12,40,ROUND(H483*3.33,2)))</f>
        <v/>
      </c>
      <c r="J483" s="11" t="n"/>
      <c r="K483" s="11" t="n"/>
      <c r="L483" s="11" t="n"/>
      <c r="M483" s="11" t="n"/>
      <c r="N483" s="10">
        <f>IF(COUNTA(J483:M483)=0,"",MIN(10,SUMPRODUCT((COUNTIF(J483:M483,L_KOM)&gt;0)*S_KOM)))</f>
        <v/>
      </c>
      <c r="O483" s="11" t="n"/>
      <c r="P483" s="10">
        <f>IF(O483="","",IFERROR(VLOOKUP(O483,T_KHID,2,FALSE),0))</f>
        <v/>
      </c>
      <c r="Q483" s="11" t="n"/>
      <c r="R483" s="11" t="n"/>
      <c r="S483" s="10">
        <f>IF(AND(Q483="",R483=""),"",IFERROR(INDEX(T_LIBAT,MATCH(Q483,L_PER,0),MATCH(R483,L_JENIS,0)),0))</f>
        <v/>
      </c>
      <c r="T483" s="11" t="n"/>
      <c r="U483" s="11" t="n"/>
      <c r="V483" s="10">
        <f>IF(AND(T483="",U483=""),"",IFERROR(INDEX(T_CAPAI,MATCH(T483,L_PER,0),MATCH(U483,L_KED,0)),0))</f>
        <v/>
      </c>
      <c r="W483" s="17">
        <f>IF(OR(B483="",E483="",COUNTA(F483,H483,J483:M483,O483,Q483:R483,T483:U483)=0),"",SUM(G483,I483,N483,P483,S483,V483))</f>
        <v/>
      </c>
      <c r="X483" s="18">
        <f>IF(W483="","",IF(Murid!F483="TL","TL",ROUND(W483/110*100,2)))</f>
        <v/>
      </c>
    </row>
    <row r="484">
      <c r="A484" s="15">
        <f>Murid!A484</f>
        <v/>
      </c>
      <c r="B484" s="15">
        <f>IF(Murid!B484="","",Murid!B484)</f>
        <v/>
      </c>
      <c r="C484" s="16">
        <f>IF(Murid!C484="","",Murid!C484)</f>
        <v/>
      </c>
      <c r="D484" s="15">
        <f>IF(Murid!E484="","",Murid!E484)</f>
        <v/>
      </c>
      <c r="E484" s="11" t="n"/>
      <c r="F484" s="11" t="n"/>
      <c r="G484" s="10">
        <f>IF(F484="","",IFERROR(VLOOKUP(F484,T_JUB,2,FALSE),0))</f>
        <v/>
      </c>
      <c r="H484" s="11" t="n"/>
      <c r="I484" s="17">
        <f>IF(H484="","",IF(H484&gt;=12,40,ROUND(H484*3.33,2)))</f>
        <v/>
      </c>
      <c r="J484" s="11" t="n"/>
      <c r="K484" s="11" t="n"/>
      <c r="L484" s="11" t="n"/>
      <c r="M484" s="11" t="n"/>
      <c r="N484" s="10">
        <f>IF(COUNTA(J484:M484)=0,"",MIN(10,SUMPRODUCT((COUNTIF(J484:M484,L_KOM)&gt;0)*S_KOM)))</f>
        <v/>
      </c>
      <c r="O484" s="11" t="n"/>
      <c r="P484" s="10">
        <f>IF(O484="","",IFERROR(VLOOKUP(O484,T_KHID,2,FALSE),0))</f>
        <v/>
      </c>
      <c r="Q484" s="11" t="n"/>
      <c r="R484" s="11" t="n"/>
      <c r="S484" s="10">
        <f>IF(AND(Q484="",R484=""),"",IFERROR(INDEX(T_LIBAT,MATCH(Q484,L_PER,0),MATCH(R484,L_JENIS,0)),0))</f>
        <v/>
      </c>
      <c r="T484" s="11" t="n"/>
      <c r="U484" s="11" t="n"/>
      <c r="V484" s="10">
        <f>IF(AND(T484="",U484=""),"",IFERROR(INDEX(T_CAPAI,MATCH(T484,L_PER,0),MATCH(U484,L_KED,0)),0))</f>
        <v/>
      </c>
      <c r="W484" s="17">
        <f>IF(OR(B484="",E484="",COUNTA(F484,H484,J484:M484,O484,Q484:R484,T484:U484)=0),"",SUM(G484,I484,N484,P484,S484,V484))</f>
        <v/>
      </c>
      <c r="X484" s="18">
        <f>IF(W484="","",IF(Murid!F484="TL","TL",ROUND(W484/110*100,2)))</f>
        <v/>
      </c>
    </row>
    <row r="485">
      <c r="A485" s="15">
        <f>Murid!A485</f>
        <v/>
      </c>
      <c r="B485" s="15">
        <f>IF(Murid!B485="","",Murid!B485)</f>
        <v/>
      </c>
      <c r="C485" s="16">
        <f>IF(Murid!C485="","",Murid!C485)</f>
        <v/>
      </c>
      <c r="D485" s="15">
        <f>IF(Murid!E485="","",Murid!E485)</f>
        <v/>
      </c>
      <c r="E485" s="11" t="n"/>
      <c r="F485" s="11" t="n"/>
      <c r="G485" s="10">
        <f>IF(F485="","",IFERROR(VLOOKUP(F485,T_JUB,2,FALSE),0))</f>
        <v/>
      </c>
      <c r="H485" s="11" t="n"/>
      <c r="I485" s="17">
        <f>IF(H485="","",IF(H485&gt;=12,40,ROUND(H485*3.33,2)))</f>
        <v/>
      </c>
      <c r="J485" s="11" t="n"/>
      <c r="K485" s="11" t="n"/>
      <c r="L485" s="11" t="n"/>
      <c r="M485" s="11" t="n"/>
      <c r="N485" s="10">
        <f>IF(COUNTA(J485:M485)=0,"",MIN(10,SUMPRODUCT((COUNTIF(J485:M485,L_KOM)&gt;0)*S_KOM)))</f>
        <v/>
      </c>
      <c r="O485" s="11" t="n"/>
      <c r="P485" s="10">
        <f>IF(O485="","",IFERROR(VLOOKUP(O485,T_KHID,2,FALSE),0))</f>
        <v/>
      </c>
      <c r="Q485" s="11" t="n"/>
      <c r="R485" s="11" t="n"/>
      <c r="S485" s="10">
        <f>IF(AND(Q485="",R485=""),"",IFERROR(INDEX(T_LIBAT,MATCH(Q485,L_PER,0),MATCH(R485,L_JENIS,0)),0))</f>
        <v/>
      </c>
      <c r="T485" s="11" t="n"/>
      <c r="U485" s="11" t="n"/>
      <c r="V485" s="10">
        <f>IF(AND(T485="",U485=""),"",IFERROR(INDEX(T_CAPAI,MATCH(T485,L_PER,0),MATCH(U485,L_KED,0)),0))</f>
        <v/>
      </c>
      <c r="W485" s="17">
        <f>IF(OR(B485="",E485="",COUNTA(F485,H485,J485:M485,O485,Q485:R485,T485:U485)=0),"",SUM(G485,I485,N485,P485,S485,V485))</f>
        <v/>
      </c>
      <c r="X485" s="18">
        <f>IF(W485="","",IF(Murid!F485="TL","TL",ROUND(W485/110*100,2)))</f>
        <v/>
      </c>
    </row>
    <row r="486">
      <c r="A486" s="15">
        <f>Murid!A486</f>
        <v/>
      </c>
      <c r="B486" s="15">
        <f>IF(Murid!B486="","",Murid!B486)</f>
        <v/>
      </c>
      <c r="C486" s="16">
        <f>IF(Murid!C486="","",Murid!C486)</f>
        <v/>
      </c>
      <c r="D486" s="15">
        <f>IF(Murid!E486="","",Murid!E486)</f>
        <v/>
      </c>
      <c r="E486" s="11" t="n"/>
      <c r="F486" s="11" t="n"/>
      <c r="G486" s="10">
        <f>IF(F486="","",IFERROR(VLOOKUP(F486,T_JUB,2,FALSE),0))</f>
        <v/>
      </c>
      <c r="H486" s="11" t="n"/>
      <c r="I486" s="17">
        <f>IF(H486="","",IF(H486&gt;=12,40,ROUND(H486*3.33,2)))</f>
        <v/>
      </c>
      <c r="J486" s="11" t="n"/>
      <c r="K486" s="11" t="n"/>
      <c r="L486" s="11" t="n"/>
      <c r="M486" s="11" t="n"/>
      <c r="N486" s="10">
        <f>IF(COUNTA(J486:M486)=0,"",MIN(10,SUMPRODUCT((COUNTIF(J486:M486,L_KOM)&gt;0)*S_KOM)))</f>
        <v/>
      </c>
      <c r="O486" s="11" t="n"/>
      <c r="P486" s="10">
        <f>IF(O486="","",IFERROR(VLOOKUP(O486,T_KHID,2,FALSE),0))</f>
        <v/>
      </c>
      <c r="Q486" s="11" t="n"/>
      <c r="R486" s="11" t="n"/>
      <c r="S486" s="10">
        <f>IF(AND(Q486="",R486=""),"",IFERROR(INDEX(T_LIBAT,MATCH(Q486,L_PER,0),MATCH(R486,L_JENIS,0)),0))</f>
        <v/>
      </c>
      <c r="T486" s="11" t="n"/>
      <c r="U486" s="11" t="n"/>
      <c r="V486" s="10">
        <f>IF(AND(T486="",U486=""),"",IFERROR(INDEX(T_CAPAI,MATCH(T486,L_PER,0),MATCH(U486,L_KED,0)),0))</f>
        <v/>
      </c>
      <c r="W486" s="17">
        <f>IF(OR(B486="",E486="",COUNTA(F486,H486,J486:M486,O486,Q486:R486,T486:U486)=0),"",SUM(G486,I486,N486,P486,S486,V486))</f>
        <v/>
      </c>
      <c r="X486" s="18">
        <f>IF(W486="","",IF(Murid!F486="TL","TL",ROUND(W486/110*100,2)))</f>
        <v/>
      </c>
    </row>
    <row r="487">
      <c r="A487" s="15">
        <f>Murid!A487</f>
        <v/>
      </c>
      <c r="B487" s="15">
        <f>IF(Murid!B487="","",Murid!B487)</f>
        <v/>
      </c>
      <c r="C487" s="16">
        <f>IF(Murid!C487="","",Murid!C487)</f>
        <v/>
      </c>
      <c r="D487" s="15">
        <f>IF(Murid!E487="","",Murid!E487)</f>
        <v/>
      </c>
      <c r="E487" s="11" t="n"/>
      <c r="F487" s="11" t="n"/>
      <c r="G487" s="10">
        <f>IF(F487="","",IFERROR(VLOOKUP(F487,T_JUB,2,FALSE),0))</f>
        <v/>
      </c>
      <c r="H487" s="11" t="n"/>
      <c r="I487" s="17">
        <f>IF(H487="","",IF(H487&gt;=12,40,ROUND(H487*3.33,2)))</f>
        <v/>
      </c>
      <c r="J487" s="11" t="n"/>
      <c r="K487" s="11" t="n"/>
      <c r="L487" s="11" t="n"/>
      <c r="M487" s="11" t="n"/>
      <c r="N487" s="10">
        <f>IF(COUNTA(J487:M487)=0,"",MIN(10,SUMPRODUCT((COUNTIF(J487:M487,L_KOM)&gt;0)*S_KOM)))</f>
        <v/>
      </c>
      <c r="O487" s="11" t="n"/>
      <c r="P487" s="10">
        <f>IF(O487="","",IFERROR(VLOOKUP(O487,T_KHID,2,FALSE),0))</f>
        <v/>
      </c>
      <c r="Q487" s="11" t="n"/>
      <c r="R487" s="11" t="n"/>
      <c r="S487" s="10">
        <f>IF(AND(Q487="",R487=""),"",IFERROR(INDEX(T_LIBAT,MATCH(Q487,L_PER,0),MATCH(R487,L_JENIS,0)),0))</f>
        <v/>
      </c>
      <c r="T487" s="11" t="n"/>
      <c r="U487" s="11" t="n"/>
      <c r="V487" s="10">
        <f>IF(AND(T487="",U487=""),"",IFERROR(INDEX(T_CAPAI,MATCH(T487,L_PER,0),MATCH(U487,L_KED,0)),0))</f>
        <v/>
      </c>
      <c r="W487" s="17">
        <f>IF(OR(B487="",E487="",COUNTA(F487,H487,J487:M487,O487,Q487:R487,T487:U487)=0),"",SUM(G487,I487,N487,P487,S487,V487))</f>
        <v/>
      </c>
      <c r="X487" s="18">
        <f>IF(W487="","",IF(Murid!F487="TL","TL",ROUND(W487/110*100,2)))</f>
        <v/>
      </c>
    </row>
    <row r="488">
      <c r="A488" s="15">
        <f>Murid!A488</f>
        <v/>
      </c>
      <c r="B488" s="15">
        <f>IF(Murid!B488="","",Murid!B488)</f>
        <v/>
      </c>
      <c r="C488" s="16">
        <f>IF(Murid!C488="","",Murid!C488)</f>
        <v/>
      </c>
      <c r="D488" s="15">
        <f>IF(Murid!E488="","",Murid!E488)</f>
        <v/>
      </c>
      <c r="E488" s="11" t="n"/>
      <c r="F488" s="11" t="n"/>
      <c r="G488" s="10">
        <f>IF(F488="","",IFERROR(VLOOKUP(F488,T_JUB,2,FALSE),0))</f>
        <v/>
      </c>
      <c r="H488" s="11" t="n"/>
      <c r="I488" s="17">
        <f>IF(H488="","",IF(H488&gt;=12,40,ROUND(H488*3.33,2)))</f>
        <v/>
      </c>
      <c r="J488" s="11" t="n"/>
      <c r="K488" s="11" t="n"/>
      <c r="L488" s="11" t="n"/>
      <c r="M488" s="11" t="n"/>
      <c r="N488" s="10">
        <f>IF(COUNTA(J488:M488)=0,"",MIN(10,SUMPRODUCT((COUNTIF(J488:M488,L_KOM)&gt;0)*S_KOM)))</f>
        <v/>
      </c>
      <c r="O488" s="11" t="n"/>
      <c r="P488" s="10">
        <f>IF(O488="","",IFERROR(VLOOKUP(O488,T_KHID,2,FALSE),0))</f>
        <v/>
      </c>
      <c r="Q488" s="11" t="n"/>
      <c r="R488" s="11" t="n"/>
      <c r="S488" s="10">
        <f>IF(AND(Q488="",R488=""),"",IFERROR(INDEX(T_LIBAT,MATCH(Q488,L_PER,0),MATCH(R488,L_JENIS,0)),0))</f>
        <v/>
      </c>
      <c r="T488" s="11" t="n"/>
      <c r="U488" s="11" t="n"/>
      <c r="V488" s="10">
        <f>IF(AND(T488="",U488=""),"",IFERROR(INDEX(T_CAPAI,MATCH(T488,L_PER,0),MATCH(U488,L_KED,0)),0))</f>
        <v/>
      </c>
      <c r="W488" s="17">
        <f>IF(OR(B488="",E488="",COUNTA(F488,H488,J488:M488,O488,Q488:R488,T488:U488)=0),"",SUM(G488,I488,N488,P488,S488,V488))</f>
        <v/>
      </c>
      <c r="X488" s="18">
        <f>IF(W488="","",IF(Murid!F488="TL","TL",ROUND(W488/110*100,2)))</f>
        <v/>
      </c>
    </row>
    <row r="489">
      <c r="A489" s="15">
        <f>Murid!A489</f>
        <v/>
      </c>
      <c r="B489" s="15">
        <f>IF(Murid!B489="","",Murid!B489)</f>
        <v/>
      </c>
      <c r="C489" s="16">
        <f>IF(Murid!C489="","",Murid!C489)</f>
        <v/>
      </c>
      <c r="D489" s="15">
        <f>IF(Murid!E489="","",Murid!E489)</f>
        <v/>
      </c>
      <c r="E489" s="11" t="n"/>
      <c r="F489" s="11" t="n"/>
      <c r="G489" s="10">
        <f>IF(F489="","",IFERROR(VLOOKUP(F489,T_JUB,2,FALSE),0))</f>
        <v/>
      </c>
      <c r="H489" s="11" t="n"/>
      <c r="I489" s="17">
        <f>IF(H489="","",IF(H489&gt;=12,40,ROUND(H489*3.33,2)))</f>
        <v/>
      </c>
      <c r="J489" s="11" t="n"/>
      <c r="K489" s="11" t="n"/>
      <c r="L489" s="11" t="n"/>
      <c r="M489" s="11" t="n"/>
      <c r="N489" s="10">
        <f>IF(COUNTA(J489:M489)=0,"",MIN(10,SUMPRODUCT((COUNTIF(J489:M489,L_KOM)&gt;0)*S_KOM)))</f>
        <v/>
      </c>
      <c r="O489" s="11" t="n"/>
      <c r="P489" s="10">
        <f>IF(O489="","",IFERROR(VLOOKUP(O489,T_KHID,2,FALSE),0))</f>
        <v/>
      </c>
      <c r="Q489" s="11" t="n"/>
      <c r="R489" s="11" t="n"/>
      <c r="S489" s="10">
        <f>IF(AND(Q489="",R489=""),"",IFERROR(INDEX(T_LIBAT,MATCH(Q489,L_PER,0),MATCH(R489,L_JENIS,0)),0))</f>
        <v/>
      </c>
      <c r="T489" s="11" t="n"/>
      <c r="U489" s="11" t="n"/>
      <c r="V489" s="10">
        <f>IF(AND(T489="",U489=""),"",IFERROR(INDEX(T_CAPAI,MATCH(T489,L_PER,0),MATCH(U489,L_KED,0)),0))</f>
        <v/>
      </c>
      <c r="W489" s="17">
        <f>IF(OR(B489="",E489="",COUNTA(F489,H489,J489:M489,O489,Q489:R489,T489:U489)=0),"",SUM(G489,I489,N489,P489,S489,V489))</f>
        <v/>
      </c>
      <c r="X489" s="18">
        <f>IF(W489="","",IF(Murid!F489="TL","TL",ROUND(W489/110*100,2)))</f>
        <v/>
      </c>
    </row>
    <row r="490">
      <c r="A490" s="15">
        <f>Murid!A490</f>
        <v/>
      </c>
      <c r="B490" s="15">
        <f>IF(Murid!B490="","",Murid!B490)</f>
        <v/>
      </c>
      <c r="C490" s="16">
        <f>IF(Murid!C490="","",Murid!C490)</f>
        <v/>
      </c>
      <c r="D490" s="15">
        <f>IF(Murid!E490="","",Murid!E490)</f>
        <v/>
      </c>
      <c r="E490" s="11" t="n"/>
      <c r="F490" s="11" t="n"/>
      <c r="G490" s="10">
        <f>IF(F490="","",IFERROR(VLOOKUP(F490,T_JUB,2,FALSE),0))</f>
        <v/>
      </c>
      <c r="H490" s="11" t="n"/>
      <c r="I490" s="17">
        <f>IF(H490="","",IF(H490&gt;=12,40,ROUND(H490*3.33,2)))</f>
        <v/>
      </c>
      <c r="J490" s="11" t="n"/>
      <c r="K490" s="11" t="n"/>
      <c r="L490" s="11" t="n"/>
      <c r="M490" s="11" t="n"/>
      <c r="N490" s="10">
        <f>IF(COUNTA(J490:M490)=0,"",MIN(10,SUMPRODUCT((COUNTIF(J490:M490,L_KOM)&gt;0)*S_KOM)))</f>
        <v/>
      </c>
      <c r="O490" s="11" t="n"/>
      <c r="P490" s="10">
        <f>IF(O490="","",IFERROR(VLOOKUP(O490,T_KHID,2,FALSE),0))</f>
        <v/>
      </c>
      <c r="Q490" s="11" t="n"/>
      <c r="R490" s="11" t="n"/>
      <c r="S490" s="10">
        <f>IF(AND(Q490="",R490=""),"",IFERROR(INDEX(T_LIBAT,MATCH(Q490,L_PER,0),MATCH(R490,L_JENIS,0)),0))</f>
        <v/>
      </c>
      <c r="T490" s="11" t="n"/>
      <c r="U490" s="11" t="n"/>
      <c r="V490" s="10">
        <f>IF(AND(T490="",U490=""),"",IFERROR(INDEX(T_CAPAI,MATCH(T490,L_PER,0),MATCH(U490,L_KED,0)),0))</f>
        <v/>
      </c>
      <c r="W490" s="17">
        <f>IF(OR(B490="",E490="",COUNTA(F490,H490,J490:M490,O490,Q490:R490,T490:U490)=0),"",SUM(G490,I490,N490,P490,S490,V490))</f>
        <v/>
      </c>
      <c r="X490" s="18">
        <f>IF(W490="","",IF(Murid!F490="TL","TL",ROUND(W490/110*100,2)))</f>
        <v/>
      </c>
    </row>
    <row r="491">
      <c r="A491" s="15">
        <f>Murid!A491</f>
        <v/>
      </c>
      <c r="B491" s="15">
        <f>IF(Murid!B491="","",Murid!B491)</f>
        <v/>
      </c>
      <c r="C491" s="16">
        <f>IF(Murid!C491="","",Murid!C491)</f>
        <v/>
      </c>
      <c r="D491" s="15">
        <f>IF(Murid!E491="","",Murid!E491)</f>
        <v/>
      </c>
      <c r="E491" s="11" t="n"/>
      <c r="F491" s="11" t="n"/>
      <c r="G491" s="10">
        <f>IF(F491="","",IFERROR(VLOOKUP(F491,T_JUB,2,FALSE),0))</f>
        <v/>
      </c>
      <c r="H491" s="11" t="n"/>
      <c r="I491" s="17">
        <f>IF(H491="","",IF(H491&gt;=12,40,ROUND(H491*3.33,2)))</f>
        <v/>
      </c>
      <c r="J491" s="11" t="n"/>
      <c r="K491" s="11" t="n"/>
      <c r="L491" s="11" t="n"/>
      <c r="M491" s="11" t="n"/>
      <c r="N491" s="10">
        <f>IF(COUNTA(J491:M491)=0,"",MIN(10,SUMPRODUCT((COUNTIF(J491:M491,L_KOM)&gt;0)*S_KOM)))</f>
        <v/>
      </c>
      <c r="O491" s="11" t="n"/>
      <c r="P491" s="10">
        <f>IF(O491="","",IFERROR(VLOOKUP(O491,T_KHID,2,FALSE),0))</f>
        <v/>
      </c>
      <c r="Q491" s="11" t="n"/>
      <c r="R491" s="11" t="n"/>
      <c r="S491" s="10">
        <f>IF(AND(Q491="",R491=""),"",IFERROR(INDEX(T_LIBAT,MATCH(Q491,L_PER,0),MATCH(R491,L_JENIS,0)),0))</f>
        <v/>
      </c>
      <c r="T491" s="11" t="n"/>
      <c r="U491" s="11" t="n"/>
      <c r="V491" s="10">
        <f>IF(AND(T491="",U491=""),"",IFERROR(INDEX(T_CAPAI,MATCH(T491,L_PER,0),MATCH(U491,L_KED,0)),0))</f>
        <v/>
      </c>
      <c r="W491" s="17">
        <f>IF(OR(B491="",E491="",COUNTA(F491,H491,J491:M491,O491,Q491:R491,T491:U491)=0),"",SUM(G491,I491,N491,P491,S491,V491))</f>
        <v/>
      </c>
      <c r="X491" s="18">
        <f>IF(W491="","",IF(Murid!F491="TL","TL",ROUND(W491/110*100,2)))</f>
        <v/>
      </c>
    </row>
    <row r="492">
      <c r="A492" s="15">
        <f>Murid!A492</f>
        <v/>
      </c>
      <c r="B492" s="15">
        <f>IF(Murid!B492="","",Murid!B492)</f>
        <v/>
      </c>
      <c r="C492" s="16">
        <f>IF(Murid!C492="","",Murid!C492)</f>
        <v/>
      </c>
      <c r="D492" s="15">
        <f>IF(Murid!E492="","",Murid!E492)</f>
        <v/>
      </c>
      <c r="E492" s="11" t="n"/>
      <c r="F492" s="11" t="n"/>
      <c r="G492" s="10">
        <f>IF(F492="","",IFERROR(VLOOKUP(F492,T_JUB,2,FALSE),0))</f>
        <v/>
      </c>
      <c r="H492" s="11" t="n"/>
      <c r="I492" s="17">
        <f>IF(H492="","",IF(H492&gt;=12,40,ROUND(H492*3.33,2)))</f>
        <v/>
      </c>
      <c r="J492" s="11" t="n"/>
      <c r="K492" s="11" t="n"/>
      <c r="L492" s="11" t="n"/>
      <c r="M492" s="11" t="n"/>
      <c r="N492" s="10">
        <f>IF(COUNTA(J492:M492)=0,"",MIN(10,SUMPRODUCT((COUNTIF(J492:M492,L_KOM)&gt;0)*S_KOM)))</f>
        <v/>
      </c>
      <c r="O492" s="11" t="n"/>
      <c r="P492" s="10">
        <f>IF(O492="","",IFERROR(VLOOKUP(O492,T_KHID,2,FALSE),0))</f>
        <v/>
      </c>
      <c r="Q492" s="11" t="n"/>
      <c r="R492" s="11" t="n"/>
      <c r="S492" s="10">
        <f>IF(AND(Q492="",R492=""),"",IFERROR(INDEX(T_LIBAT,MATCH(Q492,L_PER,0),MATCH(R492,L_JENIS,0)),0))</f>
        <v/>
      </c>
      <c r="T492" s="11" t="n"/>
      <c r="U492" s="11" t="n"/>
      <c r="V492" s="10">
        <f>IF(AND(T492="",U492=""),"",IFERROR(INDEX(T_CAPAI,MATCH(T492,L_PER,0),MATCH(U492,L_KED,0)),0))</f>
        <v/>
      </c>
      <c r="W492" s="17">
        <f>IF(OR(B492="",E492="",COUNTA(F492,H492,J492:M492,O492,Q492:R492,T492:U492)=0),"",SUM(G492,I492,N492,P492,S492,V492))</f>
        <v/>
      </c>
      <c r="X492" s="18">
        <f>IF(W492="","",IF(Murid!F492="TL","TL",ROUND(W492/110*100,2)))</f>
        <v/>
      </c>
    </row>
    <row r="493">
      <c r="A493" s="15">
        <f>Murid!A493</f>
        <v/>
      </c>
      <c r="B493" s="15">
        <f>IF(Murid!B493="","",Murid!B493)</f>
        <v/>
      </c>
      <c r="C493" s="16">
        <f>IF(Murid!C493="","",Murid!C493)</f>
        <v/>
      </c>
      <c r="D493" s="15">
        <f>IF(Murid!E493="","",Murid!E493)</f>
        <v/>
      </c>
      <c r="E493" s="11" t="n"/>
      <c r="F493" s="11" t="n"/>
      <c r="G493" s="10">
        <f>IF(F493="","",IFERROR(VLOOKUP(F493,T_JUB,2,FALSE),0))</f>
        <v/>
      </c>
      <c r="H493" s="11" t="n"/>
      <c r="I493" s="17">
        <f>IF(H493="","",IF(H493&gt;=12,40,ROUND(H493*3.33,2)))</f>
        <v/>
      </c>
      <c r="J493" s="11" t="n"/>
      <c r="K493" s="11" t="n"/>
      <c r="L493" s="11" t="n"/>
      <c r="M493" s="11" t="n"/>
      <c r="N493" s="10">
        <f>IF(COUNTA(J493:M493)=0,"",MIN(10,SUMPRODUCT((COUNTIF(J493:M493,L_KOM)&gt;0)*S_KOM)))</f>
        <v/>
      </c>
      <c r="O493" s="11" t="n"/>
      <c r="P493" s="10">
        <f>IF(O493="","",IFERROR(VLOOKUP(O493,T_KHID,2,FALSE),0))</f>
        <v/>
      </c>
      <c r="Q493" s="11" t="n"/>
      <c r="R493" s="11" t="n"/>
      <c r="S493" s="10">
        <f>IF(AND(Q493="",R493=""),"",IFERROR(INDEX(T_LIBAT,MATCH(Q493,L_PER,0),MATCH(R493,L_JENIS,0)),0))</f>
        <v/>
      </c>
      <c r="T493" s="11" t="n"/>
      <c r="U493" s="11" t="n"/>
      <c r="V493" s="10">
        <f>IF(AND(T493="",U493=""),"",IFERROR(INDEX(T_CAPAI,MATCH(T493,L_PER,0),MATCH(U493,L_KED,0)),0))</f>
        <v/>
      </c>
      <c r="W493" s="17">
        <f>IF(OR(B493="",E493="",COUNTA(F493,H493,J493:M493,O493,Q493:R493,T493:U493)=0),"",SUM(G493,I493,N493,P493,S493,V493))</f>
        <v/>
      </c>
      <c r="X493" s="18">
        <f>IF(W493="","",IF(Murid!F493="TL","TL",ROUND(W493/110*100,2)))</f>
        <v/>
      </c>
    </row>
    <row r="494">
      <c r="A494" s="15">
        <f>Murid!A494</f>
        <v/>
      </c>
      <c r="B494" s="15">
        <f>IF(Murid!B494="","",Murid!B494)</f>
        <v/>
      </c>
      <c r="C494" s="16">
        <f>IF(Murid!C494="","",Murid!C494)</f>
        <v/>
      </c>
      <c r="D494" s="15">
        <f>IF(Murid!E494="","",Murid!E494)</f>
        <v/>
      </c>
      <c r="E494" s="11" t="n"/>
      <c r="F494" s="11" t="n"/>
      <c r="G494" s="10">
        <f>IF(F494="","",IFERROR(VLOOKUP(F494,T_JUB,2,FALSE),0))</f>
        <v/>
      </c>
      <c r="H494" s="11" t="n"/>
      <c r="I494" s="17">
        <f>IF(H494="","",IF(H494&gt;=12,40,ROUND(H494*3.33,2)))</f>
        <v/>
      </c>
      <c r="J494" s="11" t="n"/>
      <c r="K494" s="11" t="n"/>
      <c r="L494" s="11" t="n"/>
      <c r="M494" s="11" t="n"/>
      <c r="N494" s="10">
        <f>IF(COUNTA(J494:M494)=0,"",MIN(10,SUMPRODUCT((COUNTIF(J494:M494,L_KOM)&gt;0)*S_KOM)))</f>
        <v/>
      </c>
      <c r="O494" s="11" t="n"/>
      <c r="P494" s="10">
        <f>IF(O494="","",IFERROR(VLOOKUP(O494,T_KHID,2,FALSE),0))</f>
        <v/>
      </c>
      <c r="Q494" s="11" t="n"/>
      <c r="R494" s="11" t="n"/>
      <c r="S494" s="10">
        <f>IF(AND(Q494="",R494=""),"",IFERROR(INDEX(T_LIBAT,MATCH(Q494,L_PER,0),MATCH(R494,L_JENIS,0)),0))</f>
        <v/>
      </c>
      <c r="T494" s="11" t="n"/>
      <c r="U494" s="11" t="n"/>
      <c r="V494" s="10">
        <f>IF(AND(T494="",U494=""),"",IFERROR(INDEX(T_CAPAI,MATCH(T494,L_PER,0),MATCH(U494,L_KED,0)),0))</f>
        <v/>
      </c>
      <c r="W494" s="17">
        <f>IF(OR(B494="",E494="",COUNTA(F494,H494,J494:M494,O494,Q494:R494,T494:U494)=0),"",SUM(G494,I494,N494,P494,S494,V494))</f>
        <v/>
      </c>
      <c r="X494" s="18">
        <f>IF(W494="","",IF(Murid!F494="TL","TL",ROUND(W494/110*100,2)))</f>
        <v/>
      </c>
    </row>
    <row r="495">
      <c r="A495" s="15">
        <f>Murid!A495</f>
        <v/>
      </c>
      <c r="B495" s="15">
        <f>IF(Murid!B495="","",Murid!B495)</f>
        <v/>
      </c>
      <c r="C495" s="16">
        <f>IF(Murid!C495="","",Murid!C495)</f>
        <v/>
      </c>
      <c r="D495" s="15">
        <f>IF(Murid!E495="","",Murid!E495)</f>
        <v/>
      </c>
      <c r="E495" s="11" t="n"/>
      <c r="F495" s="11" t="n"/>
      <c r="G495" s="10">
        <f>IF(F495="","",IFERROR(VLOOKUP(F495,T_JUB,2,FALSE),0))</f>
        <v/>
      </c>
      <c r="H495" s="11" t="n"/>
      <c r="I495" s="17">
        <f>IF(H495="","",IF(H495&gt;=12,40,ROUND(H495*3.33,2)))</f>
        <v/>
      </c>
      <c r="J495" s="11" t="n"/>
      <c r="K495" s="11" t="n"/>
      <c r="L495" s="11" t="n"/>
      <c r="M495" s="11" t="n"/>
      <c r="N495" s="10">
        <f>IF(COUNTA(J495:M495)=0,"",MIN(10,SUMPRODUCT((COUNTIF(J495:M495,L_KOM)&gt;0)*S_KOM)))</f>
        <v/>
      </c>
      <c r="O495" s="11" t="n"/>
      <c r="P495" s="10">
        <f>IF(O495="","",IFERROR(VLOOKUP(O495,T_KHID,2,FALSE),0))</f>
        <v/>
      </c>
      <c r="Q495" s="11" t="n"/>
      <c r="R495" s="11" t="n"/>
      <c r="S495" s="10">
        <f>IF(AND(Q495="",R495=""),"",IFERROR(INDEX(T_LIBAT,MATCH(Q495,L_PER,0),MATCH(R495,L_JENIS,0)),0))</f>
        <v/>
      </c>
      <c r="T495" s="11" t="n"/>
      <c r="U495" s="11" t="n"/>
      <c r="V495" s="10">
        <f>IF(AND(T495="",U495=""),"",IFERROR(INDEX(T_CAPAI,MATCH(T495,L_PER,0),MATCH(U495,L_KED,0)),0))</f>
        <v/>
      </c>
      <c r="W495" s="17">
        <f>IF(OR(B495="",E495="",COUNTA(F495,H495,J495:M495,O495,Q495:R495,T495:U495)=0),"",SUM(G495,I495,N495,P495,S495,V495))</f>
        <v/>
      </c>
      <c r="X495" s="18">
        <f>IF(W495="","",IF(Murid!F495="TL","TL",ROUND(W495/110*100,2)))</f>
        <v/>
      </c>
    </row>
    <row r="496">
      <c r="A496" s="15">
        <f>Murid!A496</f>
        <v/>
      </c>
      <c r="B496" s="15">
        <f>IF(Murid!B496="","",Murid!B496)</f>
        <v/>
      </c>
      <c r="C496" s="16">
        <f>IF(Murid!C496="","",Murid!C496)</f>
        <v/>
      </c>
      <c r="D496" s="15">
        <f>IF(Murid!E496="","",Murid!E496)</f>
        <v/>
      </c>
      <c r="E496" s="11" t="n"/>
      <c r="F496" s="11" t="n"/>
      <c r="G496" s="10">
        <f>IF(F496="","",IFERROR(VLOOKUP(F496,T_JUB,2,FALSE),0))</f>
        <v/>
      </c>
      <c r="H496" s="11" t="n"/>
      <c r="I496" s="17">
        <f>IF(H496="","",IF(H496&gt;=12,40,ROUND(H496*3.33,2)))</f>
        <v/>
      </c>
      <c r="J496" s="11" t="n"/>
      <c r="K496" s="11" t="n"/>
      <c r="L496" s="11" t="n"/>
      <c r="M496" s="11" t="n"/>
      <c r="N496" s="10">
        <f>IF(COUNTA(J496:M496)=0,"",MIN(10,SUMPRODUCT((COUNTIF(J496:M496,L_KOM)&gt;0)*S_KOM)))</f>
        <v/>
      </c>
      <c r="O496" s="11" t="n"/>
      <c r="P496" s="10">
        <f>IF(O496="","",IFERROR(VLOOKUP(O496,T_KHID,2,FALSE),0))</f>
        <v/>
      </c>
      <c r="Q496" s="11" t="n"/>
      <c r="R496" s="11" t="n"/>
      <c r="S496" s="10">
        <f>IF(AND(Q496="",R496=""),"",IFERROR(INDEX(T_LIBAT,MATCH(Q496,L_PER,0),MATCH(R496,L_JENIS,0)),0))</f>
        <v/>
      </c>
      <c r="T496" s="11" t="n"/>
      <c r="U496" s="11" t="n"/>
      <c r="V496" s="10">
        <f>IF(AND(T496="",U496=""),"",IFERROR(INDEX(T_CAPAI,MATCH(T496,L_PER,0),MATCH(U496,L_KED,0)),0))</f>
        <v/>
      </c>
      <c r="W496" s="17">
        <f>IF(OR(B496="",E496="",COUNTA(F496,H496,J496:M496,O496,Q496:R496,T496:U496)=0),"",SUM(G496,I496,N496,P496,S496,V496))</f>
        <v/>
      </c>
      <c r="X496" s="18">
        <f>IF(W496="","",IF(Murid!F496="TL","TL",ROUND(W496/110*100,2)))</f>
        <v/>
      </c>
    </row>
    <row r="497">
      <c r="A497" s="15">
        <f>Murid!A497</f>
        <v/>
      </c>
      <c r="B497" s="15">
        <f>IF(Murid!B497="","",Murid!B497)</f>
        <v/>
      </c>
      <c r="C497" s="16">
        <f>IF(Murid!C497="","",Murid!C497)</f>
        <v/>
      </c>
      <c r="D497" s="15">
        <f>IF(Murid!E497="","",Murid!E497)</f>
        <v/>
      </c>
      <c r="E497" s="11" t="n"/>
      <c r="F497" s="11" t="n"/>
      <c r="G497" s="10">
        <f>IF(F497="","",IFERROR(VLOOKUP(F497,T_JUB,2,FALSE),0))</f>
        <v/>
      </c>
      <c r="H497" s="11" t="n"/>
      <c r="I497" s="17">
        <f>IF(H497="","",IF(H497&gt;=12,40,ROUND(H497*3.33,2)))</f>
        <v/>
      </c>
      <c r="J497" s="11" t="n"/>
      <c r="K497" s="11" t="n"/>
      <c r="L497" s="11" t="n"/>
      <c r="M497" s="11" t="n"/>
      <c r="N497" s="10">
        <f>IF(COUNTA(J497:M497)=0,"",MIN(10,SUMPRODUCT((COUNTIF(J497:M497,L_KOM)&gt;0)*S_KOM)))</f>
        <v/>
      </c>
      <c r="O497" s="11" t="n"/>
      <c r="P497" s="10">
        <f>IF(O497="","",IFERROR(VLOOKUP(O497,T_KHID,2,FALSE),0))</f>
        <v/>
      </c>
      <c r="Q497" s="11" t="n"/>
      <c r="R497" s="11" t="n"/>
      <c r="S497" s="10">
        <f>IF(AND(Q497="",R497=""),"",IFERROR(INDEX(T_LIBAT,MATCH(Q497,L_PER,0),MATCH(R497,L_JENIS,0)),0))</f>
        <v/>
      </c>
      <c r="T497" s="11" t="n"/>
      <c r="U497" s="11" t="n"/>
      <c r="V497" s="10">
        <f>IF(AND(T497="",U497=""),"",IFERROR(INDEX(T_CAPAI,MATCH(T497,L_PER,0),MATCH(U497,L_KED,0)),0))</f>
        <v/>
      </c>
      <c r="W497" s="17">
        <f>IF(OR(B497="",E497="",COUNTA(F497,H497,J497:M497,O497,Q497:R497,T497:U497)=0),"",SUM(G497,I497,N497,P497,S497,V497))</f>
        <v/>
      </c>
      <c r="X497" s="18">
        <f>IF(W497="","",IF(Murid!F497="TL","TL",ROUND(W497/110*100,2)))</f>
        <v/>
      </c>
    </row>
    <row r="498">
      <c r="A498" s="15">
        <f>Murid!A498</f>
        <v/>
      </c>
      <c r="B498" s="15">
        <f>IF(Murid!B498="","",Murid!B498)</f>
        <v/>
      </c>
      <c r="C498" s="16">
        <f>IF(Murid!C498="","",Murid!C498)</f>
        <v/>
      </c>
      <c r="D498" s="15">
        <f>IF(Murid!E498="","",Murid!E498)</f>
        <v/>
      </c>
      <c r="E498" s="11" t="n"/>
      <c r="F498" s="11" t="n"/>
      <c r="G498" s="10">
        <f>IF(F498="","",IFERROR(VLOOKUP(F498,T_JUB,2,FALSE),0))</f>
        <v/>
      </c>
      <c r="H498" s="11" t="n"/>
      <c r="I498" s="17">
        <f>IF(H498="","",IF(H498&gt;=12,40,ROUND(H498*3.33,2)))</f>
        <v/>
      </c>
      <c r="J498" s="11" t="n"/>
      <c r="K498" s="11" t="n"/>
      <c r="L498" s="11" t="n"/>
      <c r="M498" s="11" t="n"/>
      <c r="N498" s="10">
        <f>IF(COUNTA(J498:M498)=0,"",MIN(10,SUMPRODUCT((COUNTIF(J498:M498,L_KOM)&gt;0)*S_KOM)))</f>
        <v/>
      </c>
      <c r="O498" s="11" t="n"/>
      <c r="P498" s="10">
        <f>IF(O498="","",IFERROR(VLOOKUP(O498,T_KHID,2,FALSE),0))</f>
        <v/>
      </c>
      <c r="Q498" s="11" t="n"/>
      <c r="R498" s="11" t="n"/>
      <c r="S498" s="10">
        <f>IF(AND(Q498="",R498=""),"",IFERROR(INDEX(T_LIBAT,MATCH(Q498,L_PER,0),MATCH(R498,L_JENIS,0)),0))</f>
        <v/>
      </c>
      <c r="T498" s="11" t="n"/>
      <c r="U498" s="11" t="n"/>
      <c r="V498" s="10">
        <f>IF(AND(T498="",U498=""),"",IFERROR(INDEX(T_CAPAI,MATCH(T498,L_PER,0),MATCH(U498,L_KED,0)),0))</f>
        <v/>
      </c>
      <c r="W498" s="17">
        <f>IF(OR(B498="",E498="",COUNTA(F498,H498,J498:M498,O498,Q498:R498,T498:U498)=0),"",SUM(G498,I498,N498,P498,S498,V498))</f>
        <v/>
      </c>
      <c r="X498" s="18">
        <f>IF(W498="","",IF(Murid!F498="TL","TL",ROUND(W498/110*100,2)))</f>
        <v/>
      </c>
    </row>
    <row r="499">
      <c r="A499" s="15">
        <f>Murid!A499</f>
        <v/>
      </c>
      <c r="B499" s="15">
        <f>IF(Murid!B499="","",Murid!B499)</f>
        <v/>
      </c>
      <c r="C499" s="16">
        <f>IF(Murid!C499="","",Murid!C499)</f>
        <v/>
      </c>
      <c r="D499" s="15">
        <f>IF(Murid!E499="","",Murid!E499)</f>
        <v/>
      </c>
      <c r="E499" s="11" t="n"/>
      <c r="F499" s="11" t="n"/>
      <c r="G499" s="10">
        <f>IF(F499="","",IFERROR(VLOOKUP(F499,T_JUB,2,FALSE),0))</f>
        <v/>
      </c>
      <c r="H499" s="11" t="n"/>
      <c r="I499" s="17">
        <f>IF(H499="","",IF(H499&gt;=12,40,ROUND(H499*3.33,2)))</f>
        <v/>
      </c>
      <c r="J499" s="11" t="n"/>
      <c r="K499" s="11" t="n"/>
      <c r="L499" s="11" t="n"/>
      <c r="M499" s="11" t="n"/>
      <c r="N499" s="10">
        <f>IF(COUNTA(J499:M499)=0,"",MIN(10,SUMPRODUCT((COUNTIF(J499:M499,L_KOM)&gt;0)*S_KOM)))</f>
        <v/>
      </c>
      <c r="O499" s="11" t="n"/>
      <c r="P499" s="10">
        <f>IF(O499="","",IFERROR(VLOOKUP(O499,T_KHID,2,FALSE),0))</f>
        <v/>
      </c>
      <c r="Q499" s="11" t="n"/>
      <c r="R499" s="11" t="n"/>
      <c r="S499" s="10">
        <f>IF(AND(Q499="",R499=""),"",IFERROR(INDEX(T_LIBAT,MATCH(Q499,L_PER,0),MATCH(R499,L_JENIS,0)),0))</f>
        <v/>
      </c>
      <c r="T499" s="11" t="n"/>
      <c r="U499" s="11" t="n"/>
      <c r="V499" s="10">
        <f>IF(AND(T499="",U499=""),"",IFERROR(INDEX(T_CAPAI,MATCH(T499,L_PER,0),MATCH(U499,L_KED,0)),0))</f>
        <v/>
      </c>
      <c r="W499" s="17">
        <f>IF(OR(B499="",E499="",COUNTA(F499,H499,J499:M499,O499,Q499:R499,T499:U499)=0),"",SUM(G499,I499,N499,P499,S499,V499))</f>
        <v/>
      </c>
      <c r="X499" s="18">
        <f>IF(W499="","",IF(Murid!F499="TL","TL",ROUND(W499/110*100,2)))</f>
        <v/>
      </c>
    </row>
    <row r="500">
      <c r="A500" s="15">
        <f>Murid!A500</f>
        <v/>
      </c>
      <c r="B500" s="15">
        <f>IF(Murid!B500="","",Murid!B500)</f>
        <v/>
      </c>
      <c r="C500" s="16">
        <f>IF(Murid!C500="","",Murid!C500)</f>
        <v/>
      </c>
      <c r="D500" s="15">
        <f>IF(Murid!E500="","",Murid!E500)</f>
        <v/>
      </c>
      <c r="E500" s="11" t="n"/>
      <c r="F500" s="11" t="n"/>
      <c r="G500" s="10">
        <f>IF(F500="","",IFERROR(VLOOKUP(F500,T_JUB,2,FALSE),0))</f>
        <v/>
      </c>
      <c r="H500" s="11" t="n"/>
      <c r="I500" s="17">
        <f>IF(H500="","",IF(H500&gt;=12,40,ROUND(H500*3.33,2)))</f>
        <v/>
      </c>
      <c r="J500" s="11" t="n"/>
      <c r="K500" s="11" t="n"/>
      <c r="L500" s="11" t="n"/>
      <c r="M500" s="11" t="n"/>
      <c r="N500" s="10">
        <f>IF(COUNTA(J500:M500)=0,"",MIN(10,SUMPRODUCT((COUNTIF(J500:M500,L_KOM)&gt;0)*S_KOM)))</f>
        <v/>
      </c>
      <c r="O500" s="11" t="n"/>
      <c r="P500" s="10">
        <f>IF(O500="","",IFERROR(VLOOKUP(O500,T_KHID,2,FALSE),0))</f>
        <v/>
      </c>
      <c r="Q500" s="11" t="n"/>
      <c r="R500" s="11" t="n"/>
      <c r="S500" s="10">
        <f>IF(AND(Q500="",R500=""),"",IFERROR(INDEX(T_LIBAT,MATCH(Q500,L_PER,0),MATCH(R500,L_JENIS,0)),0))</f>
        <v/>
      </c>
      <c r="T500" s="11" t="n"/>
      <c r="U500" s="11" t="n"/>
      <c r="V500" s="10">
        <f>IF(AND(T500="",U500=""),"",IFERROR(INDEX(T_CAPAI,MATCH(T500,L_PER,0),MATCH(U500,L_KED,0)),0))</f>
        <v/>
      </c>
      <c r="W500" s="17">
        <f>IF(OR(B500="",E500="",COUNTA(F500,H500,J500:M500,O500,Q500:R500,T500:U500)=0),"",SUM(G500,I500,N500,P500,S500,V500))</f>
        <v/>
      </c>
      <c r="X500" s="18">
        <f>IF(W500="","",IF(Murid!F500="TL","TL",ROUND(W500/110*100,2)))</f>
        <v/>
      </c>
    </row>
    <row r="501">
      <c r="A501" s="15">
        <f>Murid!A501</f>
        <v/>
      </c>
      <c r="B501" s="15">
        <f>IF(Murid!B501="","",Murid!B501)</f>
        <v/>
      </c>
      <c r="C501" s="16">
        <f>IF(Murid!C501="","",Murid!C501)</f>
        <v/>
      </c>
      <c r="D501" s="15">
        <f>IF(Murid!E501="","",Murid!E501)</f>
        <v/>
      </c>
      <c r="E501" s="11" t="n"/>
      <c r="F501" s="11" t="n"/>
      <c r="G501" s="10">
        <f>IF(F501="","",IFERROR(VLOOKUP(F501,T_JUB,2,FALSE),0))</f>
        <v/>
      </c>
      <c r="H501" s="11" t="n"/>
      <c r="I501" s="17">
        <f>IF(H501="","",IF(H501&gt;=12,40,ROUND(H501*3.33,2)))</f>
        <v/>
      </c>
      <c r="J501" s="11" t="n"/>
      <c r="K501" s="11" t="n"/>
      <c r="L501" s="11" t="n"/>
      <c r="M501" s="11" t="n"/>
      <c r="N501" s="10">
        <f>IF(COUNTA(J501:M501)=0,"",MIN(10,SUMPRODUCT((COUNTIF(J501:M501,L_KOM)&gt;0)*S_KOM)))</f>
        <v/>
      </c>
      <c r="O501" s="11" t="n"/>
      <c r="P501" s="10">
        <f>IF(O501="","",IFERROR(VLOOKUP(O501,T_KHID,2,FALSE),0))</f>
        <v/>
      </c>
      <c r="Q501" s="11" t="n"/>
      <c r="R501" s="11" t="n"/>
      <c r="S501" s="10">
        <f>IF(AND(Q501="",R501=""),"",IFERROR(INDEX(T_LIBAT,MATCH(Q501,L_PER,0),MATCH(R501,L_JENIS,0)),0))</f>
        <v/>
      </c>
      <c r="T501" s="11" t="n"/>
      <c r="U501" s="11" t="n"/>
      <c r="V501" s="10">
        <f>IF(AND(T501="",U501=""),"",IFERROR(INDEX(T_CAPAI,MATCH(T501,L_PER,0),MATCH(U501,L_KED,0)),0))</f>
        <v/>
      </c>
      <c r="W501" s="17">
        <f>IF(OR(B501="",E501="",COUNTA(F501,H501,J501:M501,O501,Q501:R501,T501:U501)=0),"",SUM(G501,I501,N501,P501,S501,V501))</f>
        <v/>
      </c>
      <c r="X501" s="18">
        <f>IF(W501="","",IF(Murid!F501="TL","TL",ROUND(W501/110*100,2)))</f>
        <v/>
      </c>
    </row>
    <row r="502">
      <c r="A502" s="15">
        <f>Murid!A502</f>
        <v/>
      </c>
      <c r="B502" s="15">
        <f>IF(Murid!B502="","",Murid!B502)</f>
        <v/>
      </c>
      <c r="C502" s="16">
        <f>IF(Murid!C502="","",Murid!C502)</f>
        <v/>
      </c>
      <c r="D502" s="15">
        <f>IF(Murid!E502="","",Murid!E502)</f>
        <v/>
      </c>
      <c r="E502" s="11" t="n"/>
      <c r="F502" s="11" t="n"/>
      <c r="G502" s="10">
        <f>IF(F502="","",IFERROR(VLOOKUP(F502,T_JUB,2,FALSE),0))</f>
        <v/>
      </c>
      <c r="H502" s="11" t="n"/>
      <c r="I502" s="17">
        <f>IF(H502="","",IF(H502&gt;=12,40,ROUND(H502*3.33,2)))</f>
        <v/>
      </c>
      <c r="J502" s="11" t="n"/>
      <c r="K502" s="11" t="n"/>
      <c r="L502" s="11" t="n"/>
      <c r="M502" s="11" t="n"/>
      <c r="N502" s="10">
        <f>IF(COUNTA(J502:M502)=0,"",MIN(10,SUMPRODUCT((COUNTIF(J502:M502,L_KOM)&gt;0)*S_KOM)))</f>
        <v/>
      </c>
      <c r="O502" s="11" t="n"/>
      <c r="P502" s="10">
        <f>IF(O502="","",IFERROR(VLOOKUP(O502,T_KHID,2,FALSE),0))</f>
        <v/>
      </c>
      <c r="Q502" s="11" t="n"/>
      <c r="R502" s="11" t="n"/>
      <c r="S502" s="10">
        <f>IF(AND(Q502="",R502=""),"",IFERROR(INDEX(T_LIBAT,MATCH(Q502,L_PER,0),MATCH(R502,L_JENIS,0)),0))</f>
        <v/>
      </c>
      <c r="T502" s="11" t="n"/>
      <c r="U502" s="11" t="n"/>
      <c r="V502" s="10">
        <f>IF(AND(T502="",U502=""),"",IFERROR(INDEX(T_CAPAI,MATCH(T502,L_PER,0),MATCH(U502,L_KED,0)),0))</f>
        <v/>
      </c>
      <c r="W502" s="17">
        <f>IF(OR(B502="",E502="",COUNTA(F502,H502,J502:M502,O502,Q502:R502,T502:U502)=0),"",SUM(G502,I502,N502,P502,S502,V502))</f>
        <v/>
      </c>
      <c r="X502" s="18">
        <f>IF(W502="","",IF(Murid!F502="TL","TL",ROUND(W502/110*100,2)))</f>
        <v/>
      </c>
    </row>
    <row r="503">
      <c r="A503" s="15">
        <f>Murid!A503</f>
        <v/>
      </c>
      <c r="B503" s="15">
        <f>IF(Murid!B503="","",Murid!B503)</f>
        <v/>
      </c>
      <c r="C503" s="16">
        <f>IF(Murid!C503="","",Murid!C503)</f>
        <v/>
      </c>
      <c r="D503" s="15">
        <f>IF(Murid!E503="","",Murid!E503)</f>
        <v/>
      </c>
      <c r="E503" s="11" t="n"/>
      <c r="F503" s="11" t="n"/>
      <c r="G503" s="10">
        <f>IF(F503="","",IFERROR(VLOOKUP(F503,T_JUB,2,FALSE),0))</f>
        <v/>
      </c>
      <c r="H503" s="11" t="n"/>
      <c r="I503" s="17">
        <f>IF(H503="","",IF(H503&gt;=12,40,ROUND(H503*3.33,2)))</f>
        <v/>
      </c>
      <c r="J503" s="11" t="n"/>
      <c r="K503" s="11" t="n"/>
      <c r="L503" s="11" t="n"/>
      <c r="M503" s="11" t="n"/>
      <c r="N503" s="10">
        <f>IF(COUNTA(J503:M503)=0,"",MIN(10,SUMPRODUCT((COUNTIF(J503:M503,L_KOM)&gt;0)*S_KOM)))</f>
        <v/>
      </c>
      <c r="O503" s="11" t="n"/>
      <c r="P503" s="10">
        <f>IF(O503="","",IFERROR(VLOOKUP(O503,T_KHID,2,FALSE),0))</f>
        <v/>
      </c>
      <c r="Q503" s="11" t="n"/>
      <c r="R503" s="11" t="n"/>
      <c r="S503" s="10">
        <f>IF(AND(Q503="",R503=""),"",IFERROR(INDEX(T_LIBAT,MATCH(Q503,L_PER,0),MATCH(R503,L_JENIS,0)),0))</f>
        <v/>
      </c>
      <c r="T503" s="11" t="n"/>
      <c r="U503" s="11" t="n"/>
      <c r="V503" s="10">
        <f>IF(AND(T503="",U503=""),"",IFERROR(INDEX(T_CAPAI,MATCH(T503,L_PER,0),MATCH(U503,L_KED,0)),0))</f>
        <v/>
      </c>
      <c r="W503" s="17">
        <f>IF(OR(B503="",E503="",COUNTA(F503,H503,J503:M503,O503,Q503:R503,T503:U503)=0),"",SUM(G503,I503,N503,P503,S503,V503))</f>
        <v/>
      </c>
      <c r="X503" s="18">
        <f>IF(W503="","",IF(Murid!F503="TL","TL",ROUND(W503/110*100,2)))</f>
        <v/>
      </c>
    </row>
    <row r="504">
      <c r="A504" s="15">
        <f>Murid!A504</f>
        <v/>
      </c>
      <c r="B504" s="15">
        <f>IF(Murid!B504="","",Murid!B504)</f>
        <v/>
      </c>
      <c r="C504" s="16">
        <f>IF(Murid!C504="","",Murid!C504)</f>
        <v/>
      </c>
      <c r="D504" s="15">
        <f>IF(Murid!E504="","",Murid!E504)</f>
        <v/>
      </c>
      <c r="E504" s="11" t="n"/>
      <c r="F504" s="11" t="n"/>
      <c r="G504" s="10">
        <f>IF(F504="","",IFERROR(VLOOKUP(F504,T_JUB,2,FALSE),0))</f>
        <v/>
      </c>
      <c r="H504" s="11" t="n"/>
      <c r="I504" s="17">
        <f>IF(H504="","",IF(H504&gt;=12,40,ROUND(H504*3.33,2)))</f>
        <v/>
      </c>
      <c r="J504" s="11" t="n"/>
      <c r="K504" s="11" t="n"/>
      <c r="L504" s="11" t="n"/>
      <c r="M504" s="11" t="n"/>
      <c r="N504" s="10">
        <f>IF(COUNTA(J504:M504)=0,"",MIN(10,SUMPRODUCT((COUNTIF(J504:M504,L_KOM)&gt;0)*S_KOM)))</f>
        <v/>
      </c>
      <c r="O504" s="11" t="n"/>
      <c r="P504" s="10">
        <f>IF(O504="","",IFERROR(VLOOKUP(O504,T_KHID,2,FALSE),0))</f>
        <v/>
      </c>
      <c r="Q504" s="11" t="n"/>
      <c r="R504" s="11" t="n"/>
      <c r="S504" s="10">
        <f>IF(AND(Q504="",R504=""),"",IFERROR(INDEX(T_LIBAT,MATCH(Q504,L_PER,0),MATCH(R504,L_JENIS,0)),0))</f>
        <v/>
      </c>
      <c r="T504" s="11" t="n"/>
      <c r="U504" s="11" t="n"/>
      <c r="V504" s="10">
        <f>IF(AND(T504="",U504=""),"",IFERROR(INDEX(T_CAPAI,MATCH(T504,L_PER,0),MATCH(U504,L_KED,0)),0))</f>
        <v/>
      </c>
      <c r="W504" s="17">
        <f>IF(OR(B504="",E504="",COUNTA(F504,H504,J504:M504,O504,Q504:R504,T504:U504)=0),"",SUM(G504,I504,N504,P504,S504,V504))</f>
        <v/>
      </c>
      <c r="X504" s="18">
        <f>IF(W504="","",IF(Murid!F504="TL","TL",ROUND(W504/110*100,2)))</f>
        <v/>
      </c>
    </row>
    <row r="505">
      <c r="A505" s="15">
        <f>Murid!A505</f>
        <v/>
      </c>
      <c r="B505" s="15">
        <f>IF(Murid!B505="","",Murid!B505)</f>
        <v/>
      </c>
      <c r="C505" s="16">
        <f>IF(Murid!C505="","",Murid!C505)</f>
        <v/>
      </c>
      <c r="D505" s="15">
        <f>IF(Murid!E505="","",Murid!E505)</f>
        <v/>
      </c>
      <c r="E505" s="11" t="n"/>
      <c r="F505" s="11" t="n"/>
      <c r="G505" s="10">
        <f>IF(F505="","",IFERROR(VLOOKUP(F505,T_JUB,2,FALSE),0))</f>
        <v/>
      </c>
      <c r="H505" s="11" t="n"/>
      <c r="I505" s="17">
        <f>IF(H505="","",IF(H505&gt;=12,40,ROUND(H505*3.33,2)))</f>
        <v/>
      </c>
      <c r="J505" s="11" t="n"/>
      <c r="K505" s="11" t="n"/>
      <c r="L505" s="11" t="n"/>
      <c r="M505" s="11" t="n"/>
      <c r="N505" s="10">
        <f>IF(COUNTA(J505:M505)=0,"",MIN(10,SUMPRODUCT((COUNTIF(J505:M505,L_KOM)&gt;0)*S_KOM)))</f>
        <v/>
      </c>
      <c r="O505" s="11" t="n"/>
      <c r="P505" s="10">
        <f>IF(O505="","",IFERROR(VLOOKUP(O505,T_KHID,2,FALSE),0))</f>
        <v/>
      </c>
      <c r="Q505" s="11" t="n"/>
      <c r="R505" s="11" t="n"/>
      <c r="S505" s="10">
        <f>IF(AND(Q505="",R505=""),"",IFERROR(INDEX(T_LIBAT,MATCH(Q505,L_PER,0),MATCH(R505,L_JENIS,0)),0))</f>
        <v/>
      </c>
      <c r="T505" s="11" t="n"/>
      <c r="U505" s="11" t="n"/>
      <c r="V505" s="10">
        <f>IF(AND(T505="",U505=""),"",IFERROR(INDEX(T_CAPAI,MATCH(T505,L_PER,0),MATCH(U505,L_KED,0)),0))</f>
        <v/>
      </c>
      <c r="W505" s="17">
        <f>IF(OR(B505="",E505="",COUNTA(F505,H505,J505:M505,O505,Q505:R505,T505:U505)=0),"",SUM(G505,I505,N505,P505,S505,V505))</f>
        <v/>
      </c>
      <c r="X505" s="18">
        <f>IF(W505="","",IF(Murid!F505="TL","TL",ROUND(W505/110*100,2)))</f>
        <v/>
      </c>
    </row>
    <row r="506">
      <c r="A506" s="15">
        <f>Murid!A506</f>
        <v/>
      </c>
      <c r="B506" s="15">
        <f>IF(Murid!B506="","",Murid!B506)</f>
        <v/>
      </c>
      <c r="C506" s="16">
        <f>IF(Murid!C506="","",Murid!C506)</f>
        <v/>
      </c>
      <c r="D506" s="15">
        <f>IF(Murid!E506="","",Murid!E506)</f>
        <v/>
      </c>
      <c r="E506" s="11" t="n"/>
      <c r="F506" s="11" t="n"/>
      <c r="G506" s="10">
        <f>IF(F506="","",IFERROR(VLOOKUP(F506,T_JUB,2,FALSE),0))</f>
        <v/>
      </c>
      <c r="H506" s="11" t="n"/>
      <c r="I506" s="17">
        <f>IF(H506="","",IF(H506&gt;=12,40,ROUND(H506*3.33,2)))</f>
        <v/>
      </c>
      <c r="J506" s="11" t="n"/>
      <c r="K506" s="11" t="n"/>
      <c r="L506" s="11" t="n"/>
      <c r="M506" s="11" t="n"/>
      <c r="N506" s="10">
        <f>IF(COUNTA(J506:M506)=0,"",MIN(10,SUMPRODUCT((COUNTIF(J506:M506,L_KOM)&gt;0)*S_KOM)))</f>
        <v/>
      </c>
      <c r="O506" s="11" t="n"/>
      <c r="P506" s="10">
        <f>IF(O506="","",IFERROR(VLOOKUP(O506,T_KHID,2,FALSE),0))</f>
        <v/>
      </c>
      <c r="Q506" s="11" t="n"/>
      <c r="R506" s="11" t="n"/>
      <c r="S506" s="10">
        <f>IF(AND(Q506="",R506=""),"",IFERROR(INDEX(T_LIBAT,MATCH(Q506,L_PER,0),MATCH(R506,L_JENIS,0)),0))</f>
        <v/>
      </c>
      <c r="T506" s="11" t="n"/>
      <c r="U506" s="11" t="n"/>
      <c r="V506" s="10">
        <f>IF(AND(T506="",U506=""),"",IFERROR(INDEX(T_CAPAI,MATCH(T506,L_PER,0),MATCH(U506,L_KED,0)),0))</f>
        <v/>
      </c>
      <c r="W506" s="17">
        <f>IF(OR(B506="",E506="",COUNTA(F506,H506,J506:M506,O506,Q506:R506,T506:U506)=0),"",SUM(G506,I506,N506,P506,S506,V506))</f>
        <v/>
      </c>
      <c r="X506" s="18">
        <f>IF(W506="","",IF(Murid!F506="TL","TL",ROUND(W506/110*100,2)))</f>
        <v/>
      </c>
    </row>
    <row r="507">
      <c r="A507" s="15">
        <f>Murid!A507</f>
        <v/>
      </c>
      <c r="B507" s="15">
        <f>IF(Murid!B507="","",Murid!B507)</f>
        <v/>
      </c>
      <c r="C507" s="16">
        <f>IF(Murid!C507="","",Murid!C507)</f>
        <v/>
      </c>
      <c r="D507" s="15">
        <f>IF(Murid!E507="","",Murid!E507)</f>
        <v/>
      </c>
      <c r="E507" s="11" t="n"/>
      <c r="F507" s="11" t="n"/>
      <c r="G507" s="10">
        <f>IF(F507="","",IFERROR(VLOOKUP(F507,T_JUB,2,FALSE),0))</f>
        <v/>
      </c>
      <c r="H507" s="11" t="n"/>
      <c r="I507" s="17">
        <f>IF(H507="","",IF(H507&gt;=12,40,ROUND(H507*3.33,2)))</f>
        <v/>
      </c>
      <c r="J507" s="11" t="n"/>
      <c r="K507" s="11" t="n"/>
      <c r="L507" s="11" t="n"/>
      <c r="M507" s="11" t="n"/>
      <c r="N507" s="10">
        <f>IF(COUNTA(J507:M507)=0,"",MIN(10,SUMPRODUCT((COUNTIF(J507:M507,L_KOM)&gt;0)*S_KOM)))</f>
        <v/>
      </c>
      <c r="O507" s="11" t="n"/>
      <c r="P507" s="10">
        <f>IF(O507="","",IFERROR(VLOOKUP(O507,T_KHID,2,FALSE),0))</f>
        <v/>
      </c>
      <c r="Q507" s="11" t="n"/>
      <c r="R507" s="11" t="n"/>
      <c r="S507" s="10">
        <f>IF(AND(Q507="",R507=""),"",IFERROR(INDEX(T_LIBAT,MATCH(Q507,L_PER,0),MATCH(R507,L_JENIS,0)),0))</f>
        <v/>
      </c>
      <c r="T507" s="11" t="n"/>
      <c r="U507" s="11" t="n"/>
      <c r="V507" s="10">
        <f>IF(AND(T507="",U507=""),"",IFERROR(INDEX(T_CAPAI,MATCH(T507,L_PER,0),MATCH(U507,L_KED,0)),0))</f>
        <v/>
      </c>
      <c r="W507" s="17">
        <f>IF(OR(B507="",E507="",COUNTA(F507,H507,J507:M507,O507,Q507:R507,T507:U507)=0),"",SUM(G507,I507,N507,P507,S507,V507))</f>
        <v/>
      </c>
      <c r="X507" s="18">
        <f>IF(W507="","",IF(Murid!F507="TL","TL",ROUND(W507/110*100,2)))</f>
        <v/>
      </c>
    </row>
    <row r="508">
      <c r="A508" s="15">
        <f>Murid!A508</f>
        <v/>
      </c>
      <c r="B508" s="15">
        <f>IF(Murid!B508="","",Murid!B508)</f>
        <v/>
      </c>
      <c r="C508" s="16">
        <f>IF(Murid!C508="","",Murid!C508)</f>
        <v/>
      </c>
      <c r="D508" s="15">
        <f>IF(Murid!E508="","",Murid!E508)</f>
        <v/>
      </c>
      <c r="E508" s="11" t="n"/>
      <c r="F508" s="11" t="n"/>
      <c r="G508" s="10">
        <f>IF(F508="","",IFERROR(VLOOKUP(F508,T_JUB,2,FALSE),0))</f>
        <v/>
      </c>
      <c r="H508" s="11" t="n"/>
      <c r="I508" s="17">
        <f>IF(H508="","",IF(H508&gt;=12,40,ROUND(H508*3.33,2)))</f>
        <v/>
      </c>
      <c r="J508" s="11" t="n"/>
      <c r="K508" s="11" t="n"/>
      <c r="L508" s="11" t="n"/>
      <c r="M508" s="11" t="n"/>
      <c r="N508" s="10">
        <f>IF(COUNTA(J508:M508)=0,"",MIN(10,SUMPRODUCT((COUNTIF(J508:M508,L_KOM)&gt;0)*S_KOM)))</f>
        <v/>
      </c>
      <c r="O508" s="11" t="n"/>
      <c r="P508" s="10">
        <f>IF(O508="","",IFERROR(VLOOKUP(O508,T_KHID,2,FALSE),0))</f>
        <v/>
      </c>
      <c r="Q508" s="11" t="n"/>
      <c r="R508" s="11" t="n"/>
      <c r="S508" s="10">
        <f>IF(AND(Q508="",R508=""),"",IFERROR(INDEX(T_LIBAT,MATCH(Q508,L_PER,0),MATCH(R508,L_JENIS,0)),0))</f>
        <v/>
      </c>
      <c r="T508" s="11" t="n"/>
      <c r="U508" s="11" t="n"/>
      <c r="V508" s="10">
        <f>IF(AND(T508="",U508=""),"",IFERROR(INDEX(T_CAPAI,MATCH(T508,L_PER,0),MATCH(U508,L_KED,0)),0))</f>
        <v/>
      </c>
      <c r="W508" s="17">
        <f>IF(OR(B508="",E508="",COUNTA(F508,H508,J508:M508,O508,Q508:R508,T508:U508)=0),"",SUM(G508,I508,N508,P508,S508,V508))</f>
        <v/>
      </c>
      <c r="X508" s="18">
        <f>IF(W508="","",IF(Murid!F508="TL","TL",ROUND(W508/110*100,2)))</f>
        <v/>
      </c>
    </row>
    <row r="509">
      <c r="A509" s="15">
        <f>Murid!A509</f>
        <v/>
      </c>
      <c r="B509" s="15">
        <f>IF(Murid!B509="","",Murid!B509)</f>
        <v/>
      </c>
      <c r="C509" s="16">
        <f>IF(Murid!C509="","",Murid!C509)</f>
        <v/>
      </c>
      <c r="D509" s="15">
        <f>IF(Murid!E509="","",Murid!E509)</f>
        <v/>
      </c>
      <c r="E509" s="11" t="n"/>
      <c r="F509" s="11" t="n"/>
      <c r="G509" s="10">
        <f>IF(F509="","",IFERROR(VLOOKUP(F509,T_JUB,2,FALSE),0))</f>
        <v/>
      </c>
      <c r="H509" s="11" t="n"/>
      <c r="I509" s="17">
        <f>IF(H509="","",IF(H509&gt;=12,40,ROUND(H509*3.33,2)))</f>
        <v/>
      </c>
      <c r="J509" s="11" t="n"/>
      <c r="K509" s="11" t="n"/>
      <c r="L509" s="11" t="n"/>
      <c r="M509" s="11" t="n"/>
      <c r="N509" s="10">
        <f>IF(COUNTA(J509:M509)=0,"",MIN(10,SUMPRODUCT((COUNTIF(J509:M509,L_KOM)&gt;0)*S_KOM)))</f>
        <v/>
      </c>
      <c r="O509" s="11" t="n"/>
      <c r="P509" s="10">
        <f>IF(O509="","",IFERROR(VLOOKUP(O509,T_KHID,2,FALSE),0))</f>
        <v/>
      </c>
      <c r="Q509" s="11" t="n"/>
      <c r="R509" s="11" t="n"/>
      <c r="S509" s="10">
        <f>IF(AND(Q509="",R509=""),"",IFERROR(INDEX(T_LIBAT,MATCH(Q509,L_PER,0),MATCH(R509,L_JENIS,0)),0))</f>
        <v/>
      </c>
      <c r="T509" s="11" t="n"/>
      <c r="U509" s="11" t="n"/>
      <c r="V509" s="10">
        <f>IF(AND(T509="",U509=""),"",IFERROR(INDEX(T_CAPAI,MATCH(T509,L_PER,0),MATCH(U509,L_KED,0)),0))</f>
        <v/>
      </c>
      <c r="W509" s="17">
        <f>IF(OR(B509="",E509="",COUNTA(F509,H509,J509:M509,O509,Q509:R509,T509:U509)=0),"",SUM(G509,I509,N509,P509,S509,V509))</f>
        <v/>
      </c>
      <c r="X509" s="18">
        <f>IF(W509="","",IF(Murid!F509="TL","TL",ROUND(W509/110*100,2)))</f>
        <v/>
      </c>
    </row>
    <row r="510">
      <c r="A510" s="15">
        <f>Murid!A510</f>
        <v/>
      </c>
      <c r="B510" s="15">
        <f>IF(Murid!B510="","",Murid!B510)</f>
        <v/>
      </c>
      <c r="C510" s="16">
        <f>IF(Murid!C510="","",Murid!C510)</f>
        <v/>
      </c>
      <c r="D510" s="15">
        <f>IF(Murid!E510="","",Murid!E510)</f>
        <v/>
      </c>
      <c r="E510" s="11" t="n"/>
      <c r="F510" s="11" t="n"/>
      <c r="G510" s="10">
        <f>IF(F510="","",IFERROR(VLOOKUP(F510,T_JUB,2,FALSE),0))</f>
        <v/>
      </c>
      <c r="H510" s="11" t="n"/>
      <c r="I510" s="17">
        <f>IF(H510="","",IF(H510&gt;=12,40,ROUND(H510*3.33,2)))</f>
        <v/>
      </c>
      <c r="J510" s="11" t="n"/>
      <c r="K510" s="11" t="n"/>
      <c r="L510" s="11" t="n"/>
      <c r="M510" s="11" t="n"/>
      <c r="N510" s="10">
        <f>IF(COUNTA(J510:M510)=0,"",MIN(10,SUMPRODUCT((COUNTIF(J510:M510,L_KOM)&gt;0)*S_KOM)))</f>
        <v/>
      </c>
      <c r="O510" s="11" t="n"/>
      <c r="P510" s="10">
        <f>IF(O510="","",IFERROR(VLOOKUP(O510,T_KHID,2,FALSE),0))</f>
        <v/>
      </c>
      <c r="Q510" s="11" t="n"/>
      <c r="R510" s="11" t="n"/>
      <c r="S510" s="10">
        <f>IF(AND(Q510="",R510=""),"",IFERROR(INDEX(T_LIBAT,MATCH(Q510,L_PER,0),MATCH(R510,L_JENIS,0)),0))</f>
        <v/>
      </c>
      <c r="T510" s="11" t="n"/>
      <c r="U510" s="11" t="n"/>
      <c r="V510" s="10">
        <f>IF(AND(T510="",U510=""),"",IFERROR(INDEX(T_CAPAI,MATCH(T510,L_PER,0),MATCH(U510,L_KED,0)),0))</f>
        <v/>
      </c>
      <c r="W510" s="17">
        <f>IF(OR(B510="",E510="",COUNTA(F510,H510,J510:M510,O510,Q510:R510,T510:U510)=0),"",SUM(G510,I510,N510,P510,S510,V510))</f>
        <v/>
      </c>
      <c r="X510" s="18">
        <f>IF(W510="","",IF(Murid!F510="TL","TL",ROUND(W510/110*100,2)))</f>
        <v/>
      </c>
    </row>
    <row r="511">
      <c r="A511" s="15">
        <f>Murid!A511</f>
        <v/>
      </c>
      <c r="B511" s="15">
        <f>IF(Murid!B511="","",Murid!B511)</f>
        <v/>
      </c>
      <c r="C511" s="16">
        <f>IF(Murid!C511="","",Murid!C511)</f>
        <v/>
      </c>
      <c r="D511" s="15">
        <f>IF(Murid!E511="","",Murid!E511)</f>
        <v/>
      </c>
      <c r="E511" s="11" t="n"/>
      <c r="F511" s="11" t="n"/>
      <c r="G511" s="10">
        <f>IF(F511="","",IFERROR(VLOOKUP(F511,T_JUB,2,FALSE),0))</f>
        <v/>
      </c>
      <c r="H511" s="11" t="n"/>
      <c r="I511" s="17">
        <f>IF(H511="","",IF(H511&gt;=12,40,ROUND(H511*3.33,2)))</f>
        <v/>
      </c>
      <c r="J511" s="11" t="n"/>
      <c r="K511" s="11" t="n"/>
      <c r="L511" s="11" t="n"/>
      <c r="M511" s="11" t="n"/>
      <c r="N511" s="10">
        <f>IF(COUNTA(J511:M511)=0,"",MIN(10,SUMPRODUCT((COUNTIF(J511:M511,L_KOM)&gt;0)*S_KOM)))</f>
        <v/>
      </c>
      <c r="O511" s="11" t="n"/>
      <c r="P511" s="10">
        <f>IF(O511="","",IFERROR(VLOOKUP(O511,T_KHID,2,FALSE),0))</f>
        <v/>
      </c>
      <c r="Q511" s="11" t="n"/>
      <c r="R511" s="11" t="n"/>
      <c r="S511" s="10">
        <f>IF(AND(Q511="",R511=""),"",IFERROR(INDEX(T_LIBAT,MATCH(Q511,L_PER,0),MATCH(R511,L_JENIS,0)),0))</f>
        <v/>
      </c>
      <c r="T511" s="11" t="n"/>
      <c r="U511" s="11" t="n"/>
      <c r="V511" s="10">
        <f>IF(AND(T511="",U511=""),"",IFERROR(INDEX(T_CAPAI,MATCH(T511,L_PER,0),MATCH(U511,L_KED,0)),0))</f>
        <v/>
      </c>
      <c r="W511" s="17">
        <f>IF(OR(B511="",E511="",COUNTA(F511,H511,J511:M511,O511,Q511:R511,T511:U511)=0),"",SUM(G511,I511,N511,P511,S511,V511))</f>
        <v/>
      </c>
      <c r="X511" s="18">
        <f>IF(W511="","",IF(Murid!F511="TL","TL",ROUND(W511/110*100,2)))</f>
        <v/>
      </c>
    </row>
    <row r="512">
      <c r="A512" s="15">
        <f>Murid!A512</f>
        <v/>
      </c>
      <c r="B512" s="15">
        <f>IF(Murid!B512="","",Murid!B512)</f>
        <v/>
      </c>
      <c r="C512" s="16">
        <f>IF(Murid!C512="","",Murid!C512)</f>
        <v/>
      </c>
      <c r="D512" s="15">
        <f>IF(Murid!E512="","",Murid!E512)</f>
        <v/>
      </c>
      <c r="E512" s="11" t="n"/>
      <c r="F512" s="11" t="n"/>
      <c r="G512" s="10">
        <f>IF(F512="","",IFERROR(VLOOKUP(F512,T_JUB,2,FALSE),0))</f>
        <v/>
      </c>
      <c r="H512" s="11" t="n"/>
      <c r="I512" s="17">
        <f>IF(H512="","",IF(H512&gt;=12,40,ROUND(H512*3.33,2)))</f>
        <v/>
      </c>
      <c r="J512" s="11" t="n"/>
      <c r="K512" s="11" t="n"/>
      <c r="L512" s="11" t="n"/>
      <c r="M512" s="11" t="n"/>
      <c r="N512" s="10">
        <f>IF(COUNTA(J512:M512)=0,"",MIN(10,SUMPRODUCT((COUNTIF(J512:M512,L_KOM)&gt;0)*S_KOM)))</f>
        <v/>
      </c>
      <c r="O512" s="11" t="n"/>
      <c r="P512" s="10">
        <f>IF(O512="","",IFERROR(VLOOKUP(O512,T_KHID,2,FALSE),0))</f>
        <v/>
      </c>
      <c r="Q512" s="11" t="n"/>
      <c r="R512" s="11" t="n"/>
      <c r="S512" s="10">
        <f>IF(AND(Q512="",R512=""),"",IFERROR(INDEX(T_LIBAT,MATCH(Q512,L_PER,0),MATCH(R512,L_JENIS,0)),0))</f>
        <v/>
      </c>
      <c r="T512" s="11" t="n"/>
      <c r="U512" s="11" t="n"/>
      <c r="V512" s="10">
        <f>IF(AND(T512="",U512=""),"",IFERROR(INDEX(T_CAPAI,MATCH(T512,L_PER,0),MATCH(U512,L_KED,0)),0))</f>
        <v/>
      </c>
      <c r="W512" s="17">
        <f>IF(OR(B512="",E512="",COUNTA(F512,H512,J512:M512,O512,Q512:R512,T512:U512)=0),"",SUM(G512,I512,N512,P512,S512,V512))</f>
        <v/>
      </c>
      <c r="X512" s="18">
        <f>IF(W512="","",IF(Murid!F512="TL","TL",ROUND(W512/110*100,2)))</f>
        <v/>
      </c>
    </row>
    <row r="513">
      <c r="A513" s="15">
        <f>Murid!A513</f>
        <v/>
      </c>
      <c r="B513" s="15">
        <f>IF(Murid!B513="","",Murid!B513)</f>
        <v/>
      </c>
      <c r="C513" s="16">
        <f>IF(Murid!C513="","",Murid!C513)</f>
        <v/>
      </c>
      <c r="D513" s="15">
        <f>IF(Murid!E513="","",Murid!E513)</f>
        <v/>
      </c>
      <c r="E513" s="11" t="n"/>
      <c r="F513" s="11" t="n"/>
      <c r="G513" s="10">
        <f>IF(F513="","",IFERROR(VLOOKUP(F513,T_JUB,2,FALSE),0))</f>
        <v/>
      </c>
      <c r="H513" s="11" t="n"/>
      <c r="I513" s="17">
        <f>IF(H513="","",IF(H513&gt;=12,40,ROUND(H513*3.33,2)))</f>
        <v/>
      </c>
      <c r="J513" s="11" t="n"/>
      <c r="K513" s="11" t="n"/>
      <c r="L513" s="11" t="n"/>
      <c r="M513" s="11" t="n"/>
      <c r="N513" s="10">
        <f>IF(COUNTA(J513:M513)=0,"",MIN(10,SUMPRODUCT((COUNTIF(J513:M513,L_KOM)&gt;0)*S_KOM)))</f>
        <v/>
      </c>
      <c r="O513" s="11" t="n"/>
      <c r="P513" s="10">
        <f>IF(O513="","",IFERROR(VLOOKUP(O513,T_KHID,2,FALSE),0))</f>
        <v/>
      </c>
      <c r="Q513" s="11" t="n"/>
      <c r="R513" s="11" t="n"/>
      <c r="S513" s="10">
        <f>IF(AND(Q513="",R513=""),"",IFERROR(INDEX(T_LIBAT,MATCH(Q513,L_PER,0),MATCH(R513,L_JENIS,0)),0))</f>
        <v/>
      </c>
      <c r="T513" s="11" t="n"/>
      <c r="U513" s="11" t="n"/>
      <c r="V513" s="10">
        <f>IF(AND(T513="",U513=""),"",IFERROR(INDEX(T_CAPAI,MATCH(T513,L_PER,0),MATCH(U513,L_KED,0)),0))</f>
        <v/>
      </c>
      <c r="W513" s="17">
        <f>IF(OR(B513="",E513="",COUNTA(F513,H513,J513:M513,O513,Q513:R513,T513:U513)=0),"",SUM(G513,I513,N513,P513,S513,V513))</f>
        <v/>
      </c>
      <c r="X513" s="18">
        <f>IF(W513="","",IF(Murid!F513="TL","TL",ROUND(W513/110*100,2)))</f>
        <v/>
      </c>
    </row>
    <row r="514">
      <c r="A514" s="15">
        <f>Murid!A514</f>
        <v/>
      </c>
      <c r="B514" s="15">
        <f>IF(Murid!B514="","",Murid!B514)</f>
        <v/>
      </c>
      <c r="C514" s="16">
        <f>IF(Murid!C514="","",Murid!C514)</f>
        <v/>
      </c>
      <c r="D514" s="15">
        <f>IF(Murid!E514="","",Murid!E514)</f>
        <v/>
      </c>
      <c r="E514" s="11" t="n"/>
      <c r="F514" s="11" t="n"/>
      <c r="G514" s="10">
        <f>IF(F514="","",IFERROR(VLOOKUP(F514,T_JUB,2,FALSE),0))</f>
        <v/>
      </c>
      <c r="H514" s="11" t="n"/>
      <c r="I514" s="17">
        <f>IF(H514="","",IF(H514&gt;=12,40,ROUND(H514*3.33,2)))</f>
        <v/>
      </c>
      <c r="J514" s="11" t="n"/>
      <c r="K514" s="11" t="n"/>
      <c r="L514" s="11" t="n"/>
      <c r="M514" s="11" t="n"/>
      <c r="N514" s="10">
        <f>IF(COUNTA(J514:M514)=0,"",MIN(10,SUMPRODUCT((COUNTIF(J514:M514,L_KOM)&gt;0)*S_KOM)))</f>
        <v/>
      </c>
      <c r="O514" s="11" t="n"/>
      <c r="P514" s="10">
        <f>IF(O514="","",IFERROR(VLOOKUP(O514,T_KHID,2,FALSE),0))</f>
        <v/>
      </c>
      <c r="Q514" s="11" t="n"/>
      <c r="R514" s="11" t="n"/>
      <c r="S514" s="10">
        <f>IF(AND(Q514="",R514=""),"",IFERROR(INDEX(T_LIBAT,MATCH(Q514,L_PER,0),MATCH(R514,L_JENIS,0)),0))</f>
        <v/>
      </c>
      <c r="T514" s="11" t="n"/>
      <c r="U514" s="11" t="n"/>
      <c r="V514" s="10">
        <f>IF(AND(T514="",U514=""),"",IFERROR(INDEX(T_CAPAI,MATCH(T514,L_PER,0),MATCH(U514,L_KED,0)),0))</f>
        <v/>
      </c>
      <c r="W514" s="17">
        <f>IF(OR(B514="",E514="",COUNTA(F514,H514,J514:M514,O514,Q514:R514,T514:U514)=0),"",SUM(G514,I514,N514,P514,S514,V514))</f>
        <v/>
      </c>
      <c r="X514" s="18">
        <f>IF(W514="","",IF(Murid!F514="TL","TL",ROUND(W514/110*100,2)))</f>
        <v/>
      </c>
    </row>
    <row r="515">
      <c r="A515" s="15">
        <f>Murid!A515</f>
        <v/>
      </c>
      <c r="B515" s="15">
        <f>IF(Murid!B515="","",Murid!B515)</f>
        <v/>
      </c>
      <c r="C515" s="16">
        <f>IF(Murid!C515="","",Murid!C515)</f>
        <v/>
      </c>
      <c r="D515" s="15">
        <f>IF(Murid!E515="","",Murid!E515)</f>
        <v/>
      </c>
      <c r="E515" s="11" t="n"/>
      <c r="F515" s="11" t="n"/>
      <c r="G515" s="10">
        <f>IF(F515="","",IFERROR(VLOOKUP(F515,T_JUB,2,FALSE),0))</f>
        <v/>
      </c>
      <c r="H515" s="11" t="n"/>
      <c r="I515" s="17">
        <f>IF(H515="","",IF(H515&gt;=12,40,ROUND(H515*3.33,2)))</f>
        <v/>
      </c>
      <c r="J515" s="11" t="n"/>
      <c r="K515" s="11" t="n"/>
      <c r="L515" s="11" t="n"/>
      <c r="M515" s="11" t="n"/>
      <c r="N515" s="10">
        <f>IF(COUNTA(J515:M515)=0,"",MIN(10,SUMPRODUCT((COUNTIF(J515:M515,L_KOM)&gt;0)*S_KOM)))</f>
        <v/>
      </c>
      <c r="O515" s="11" t="n"/>
      <c r="P515" s="10">
        <f>IF(O515="","",IFERROR(VLOOKUP(O515,T_KHID,2,FALSE),0))</f>
        <v/>
      </c>
      <c r="Q515" s="11" t="n"/>
      <c r="R515" s="11" t="n"/>
      <c r="S515" s="10">
        <f>IF(AND(Q515="",R515=""),"",IFERROR(INDEX(T_LIBAT,MATCH(Q515,L_PER,0),MATCH(R515,L_JENIS,0)),0))</f>
        <v/>
      </c>
      <c r="T515" s="11" t="n"/>
      <c r="U515" s="11" t="n"/>
      <c r="V515" s="10">
        <f>IF(AND(T515="",U515=""),"",IFERROR(INDEX(T_CAPAI,MATCH(T515,L_PER,0),MATCH(U515,L_KED,0)),0))</f>
        <v/>
      </c>
      <c r="W515" s="17">
        <f>IF(OR(B515="",E515="",COUNTA(F515,H515,J515:M515,O515,Q515:R515,T515:U515)=0),"",SUM(G515,I515,N515,P515,S515,V515))</f>
        <v/>
      </c>
      <c r="X515" s="18">
        <f>IF(W515="","",IF(Murid!F515="TL","TL",ROUND(W515/110*100,2)))</f>
        <v/>
      </c>
    </row>
    <row r="516">
      <c r="A516" s="15">
        <f>Murid!A516</f>
        <v/>
      </c>
      <c r="B516" s="15">
        <f>IF(Murid!B516="","",Murid!B516)</f>
        <v/>
      </c>
      <c r="C516" s="16">
        <f>IF(Murid!C516="","",Murid!C516)</f>
        <v/>
      </c>
      <c r="D516" s="15">
        <f>IF(Murid!E516="","",Murid!E516)</f>
        <v/>
      </c>
      <c r="E516" s="11" t="n"/>
      <c r="F516" s="11" t="n"/>
      <c r="G516" s="10">
        <f>IF(F516="","",IFERROR(VLOOKUP(F516,T_JUB,2,FALSE),0))</f>
        <v/>
      </c>
      <c r="H516" s="11" t="n"/>
      <c r="I516" s="17">
        <f>IF(H516="","",IF(H516&gt;=12,40,ROUND(H516*3.33,2)))</f>
        <v/>
      </c>
      <c r="J516" s="11" t="n"/>
      <c r="K516" s="11" t="n"/>
      <c r="L516" s="11" t="n"/>
      <c r="M516" s="11" t="n"/>
      <c r="N516" s="10">
        <f>IF(COUNTA(J516:M516)=0,"",MIN(10,SUMPRODUCT((COUNTIF(J516:M516,L_KOM)&gt;0)*S_KOM)))</f>
        <v/>
      </c>
      <c r="O516" s="11" t="n"/>
      <c r="P516" s="10">
        <f>IF(O516="","",IFERROR(VLOOKUP(O516,T_KHID,2,FALSE),0))</f>
        <v/>
      </c>
      <c r="Q516" s="11" t="n"/>
      <c r="R516" s="11" t="n"/>
      <c r="S516" s="10">
        <f>IF(AND(Q516="",R516=""),"",IFERROR(INDEX(T_LIBAT,MATCH(Q516,L_PER,0),MATCH(R516,L_JENIS,0)),0))</f>
        <v/>
      </c>
      <c r="T516" s="11" t="n"/>
      <c r="U516" s="11" t="n"/>
      <c r="V516" s="10">
        <f>IF(AND(T516="",U516=""),"",IFERROR(INDEX(T_CAPAI,MATCH(T516,L_PER,0),MATCH(U516,L_KED,0)),0))</f>
        <v/>
      </c>
      <c r="W516" s="17">
        <f>IF(OR(B516="",E516="",COUNTA(F516,H516,J516:M516,O516,Q516:R516,T516:U516)=0),"",SUM(G516,I516,N516,P516,S516,V516))</f>
        <v/>
      </c>
      <c r="X516" s="18">
        <f>IF(W516="","",IF(Murid!F516="TL","TL",ROUND(W516/110*100,2)))</f>
        <v/>
      </c>
    </row>
    <row r="517">
      <c r="A517" s="15">
        <f>Murid!A517</f>
        <v/>
      </c>
      <c r="B517" s="15">
        <f>IF(Murid!B517="","",Murid!B517)</f>
        <v/>
      </c>
      <c r="C517" s="16">
        <f>IF(Murid!C517="","",Murid!C517)</f>
        <v/>
      </c>
      <c r="D517" s="15">
        <f>IF(Murid!E517="","",Murid!E517)</f>
        <v/>
      </c>
      <c r="E517" s="11" t="n"/>
      <c r="F517" s="11" t="n"/>
      <c r="G517" s="10">
        <f>IF(F517="","",IFERROR(VLOOKUP(F517,T_JUB,2,FALSE),0))</f>
        <v/>
      </c>
      <c r="H517" s="11" t="n"/>
      <c r="I517" s="17">
        <f>IF(H517="","",IF(H517&gt;=12,40,ROUND(H517*3.33,2)))</f>
        <v/>
      </c>
      <c r="J517" s="11" t="n"/>
      <c r="K517" s="11" t="n"/>
      <c r="L517" s="11" t="n"/>
      <c r="M517" s="11" t="n"/>
      <c r="N517" s="10">
        <f>IF(COUNTA(J517:M517)=0,"",MIN(10,SUMPRODUCT((COUNTIF(J517:M517,L_KOM)&gt;0)*S_KOM)))</f>
        <v/>
      </c>
      <c r="O517" s="11" t="n"/>
      <c r="P517" s="10">
        <f>IF(O517="","",IFERROR(VLOOKUP(O517,T_KHID,2,FALSE),0))</f>
        <v/>
      </c>
      <c r="Q517" s="11" t="n"/>
      <c r="R517" s="11" t="n"/>
      <c r="S517" s="10">
        <f>IF(AND(Q517="",R517=""),"",IFERROR(INDEX(T_LIBAT,MATCH(Q517,L_PER,0),MATCH(R517,L_JENIS,0)),0))</f>
        <v/>
      </c>
      <c r="T517" s="11" t="n"/>
      <c r="U517" s="11" t="n"/>
      <c r="V517" s="10">
        <f>IF(AND(T517="",U517=""),"",IFERROR(INDEX(T_CAPAI,MATCH(T517,L_PER,0),MATCH(U517,L_KED,0)),0))</f>
        <v/>
      </c>
      <c r="W517" s="17">
        <f>IF(OR(B517="",E517="",COUNTA(F517,H517,J517:M517,O517,Q517:R517,T517:U517)=0),"",SUM(G517,I517,N517,P517,S517,V517))</f>
        <v/>
      </c>
      <c r="X517" s="18">
        <f>IF(W517="","",IF(Murid!F517="TL","TL",ROUND(W517/110*100,2)))</f>
        <v/>
      </c>
    </row>
    <row r="518">
      <c r="A518" s="15">
        <f>Murid!A518</f>
        <v/>
      </c>
      <c r="B518" s="15">
        <f>IF(Murid!B518="","",Murid!B518)</f>
        <v/>
      </c>
      <c r="C518" s="16">
        <f>IF(Murid!C518="","",Murid!C518)</f>
        <v/>
      </c>
      <c r="D518" s="15">
        <f>IF(Murid!E518="","",Murid!E518)</f>
        <v/>
      </c>
      <c r="E518" s="11" t="n"/>
      <c r="F518" s="11" t="n"/>
      <c r="G518" s="10">
        <f>IF(F518="","",IFERROR(VLOOKUP(F518,T_JUB,2,FALSE),0))</f>
        <v/>
      </c>
      <c r="H518" s="11" t="n"/>
      <c r="I518" s="17">
        <f>IF(H518="","",IF(H518&gt;=12,40,ROUND(H518*3.33,2)))</f>
        <v/>
      </c>
      <c r="J518" s="11" t="n"/>
      <c r="K518" s="11" t="n"/>
      <c r="L518" s="11" t="n"/>
      <c r="M518" s="11" t="n"/>
      <c r="N518" s="10">
        <f>IF(COUNTA(J518:M518)=0,"",MIN(10,SUMPRODUCT((COUNTIF(J518:M518,L_KOM)&gt;0)*S_KOM)))</f>
        <v/>
      </c>
      <c r="O518" s="11" t="n"/>
      <c r="P518" s="10">
        <f>IF(O518="","",IFERROR(VLOOKUP(O518,T_KHID,2,FALSE),0))</f>
        <v/>
      </c>
      <c r="Q518" s="11" t="n"/>
      <c r="R518" s="11" t="n"/>
      <c r="S518" s="10">
        <f>IF(AND(Q518="",R518=""),"",IFERROR(INDEX(T_LIBAT,MATCH(Q518,L_PER,0),MATCH(R518,L_JENIS,0)),0))</f>
        <v/>
      </c>
      <c r="T518" s="11" t="n"/>
      <c r="U518" s="11" t="n"/>
      <c r="V518" s="10">
        <f>IF(AND(T518="",U518=""),"",IFERROR(INDEX(T_CAPAI,MATCH(T518,L_PER,0),MATCH(U518,L_KED,0)),0))</f>
        <v/>
      </c>
      <c r="W518" s="17">
        <f>IF(OR(B518="",E518="",COUNTA(F518,H518,J518:M518,O518,Q518:R518,T518:U518)=0),"",SUM(G518,I518,N518,P518,S518,V518))</f>
        <v/>
      </c>
      <c r="X518" s="18">
        <f>IF(W518="","",IF(Murid!F518="TL","TL",ROUND(W518/110*100,2)))</f>
        <v/>
      </c>
    </row>
    <row r="519">
      <c r="A519" s="15">
        <f>Murid!A519</f>
        <v/>
      </c>
      <c r="B519" s="15">
        <f>IF(Murid!B519="","",Murid!B519)</f>
        <v/>
      </c>
      <c r="C519" s="16">
        <f>IF(Murid!C519="","",Murid!C519)</f>
        <v/>
      </c>
      <c r="D519" s="15">
        <f>IF(Murid!E519="","",Murid!E519)</f>
        <v/>
      </c>
      <c r="E519" s="11" t="n"/>
      <c r="F519" s="11" t="n"/>
      <c r="G519" s="10">
        <f>IF(F519="","",IFERROR(VLOOKUP(F519,T_JUB,2,FALSE),0))</f>
        <v/>
      </c>
      <c r="H519" s="11" t="n"/>
      <c r="I519" s="17">
        <f>IF(H519="","",IF(H519&gt;=12,40,ROUND(H519*3.33,2)))</f>
        <v/>
      </c>
      <c r="J519" s="11" t="n"/>
      <c r="K519" s="11" t="n"/>
      <c r="L519" s="11" t="n"/>
      <c r="M519" s="11" t="n"/>
      <c r="N519" s="10">
        <f>IF(COUNTA(J519:M519)=0,"",MIN(10,SUMPRODUCT((COUNTIF(J519:M519,L_KOM)&gt;0)*S_KOM)))</f>
        <v/>
      </c>
      <c r="O519" s="11" t="n"/>
      <c r="P519" s="10">
        <f>IF(O519="","",IFERROR(VLOOKUP(O519,T_KHID,2,FALSE),0))</f>
        <v/>
      </c>
      <c r="Q519" s="11" t="n"/>
      <c r="R519" s="11" t="n"/>
      <c r="S519" s="10">
        <f>IF(AND(Q519="",R519=""),"",IFERROR(INDEX(T_LIBAT,MATCH(Q519,L_PER,0),MATCH(R519,L_JENIS,0)),0))</f>
        <v/>
      </c>
      <c r="T519" s="11" t="n"/>
      <c r="U519" s="11" t="n"/>
      <c r="V519" s="10">
        <f>IF(AND(T519="",U519=""),"",IFERROR(INDEX(T_CAPAI,MATCH(T519,L_PER,0),MATCH(U519,L_KED,0)),0))</f>
        <v/>
      </c>
      <c r="W519" s="17">
        <f>IF(OR(B519="",E519="",COUNTA(F519,H519,J519:M519,O519,Q519:R519,T519:U519)=0),"",SUM(G519,I519,N519,P519,S519,V519))</f>
        <v/>
      </c>
      <c r="X519" s="18">
        <f>IF(W519="","",IF(Murid!F519="TL","TL",ROUND(W519/110*100,2)))</f>
        <v/>
      </c>
    </row>
    <row r="520">
      <c r="A520" s="15">
        <f>Murid!A520</f>
        <v/>
      </c>
      <c r="B520" s="15">
        <f>IF(Murid!B520="","",Murid!B520)</f>
        <v/>
      </c>
      <c r="C520" s="16">
        <f>IF(Murid!C520="","",Murid!C520)</f>
        <v/>
      </c>
      <c r="D520" s="15">
        <f>IF(Murid!E520="","",Murid!E520)</f>
        <v/>
      </c>
      <c r="E520" s="11" t="n"/>
      <c r="F520" s="11" t="n"/>
      <c r="G520" s="10">
        <f>IF(F520="","",IFERROR(VLOOKUP(F520,T_JUB,2,FALSE),0))</f>
        <v/>
      </c>
      <c r="H520" s="11" t="n"/>
      <c r="I520" s="17">
        <f>IF(H520="","",IF(H520&gt;=12,40,ROUND(H520*3.33,2)))</f>
        <v/>
      </c>
      <c r="J520" s="11" t="n"/>
      <c r="K520" s="11" t="n"/>
      <c r="L520" s="11" t="n"/>
      <c r="M520" s="11" t="n"/>
      <c r="N520" s="10">
        <f>IF(COUNTA(J520:M520)=0,"",MIN(10,SUMPRODUCT((COUNTIF(J520:M520,L_KOM)&gt;0)*S_KOM)))</f>
        <v/>
      </c>
      <c r="O520" s="11" t="n"/>
      <c r="P520" s="10">
        <f>IF(O520="","",IFERROR(VLOOKUP(O520,T_KHID,2,FALSE),0))</f>
        <v/>
      </c>
      <c r="Q520" s="11" t="n"/>
      <c r="R520" s="11" t="n"/>
      <c r="S520" s="10">
        <f>IF(AND(Q520="",R520=""),"",IFERROR(INDEX(T_LIBAT,MATCH(Q520,L_PER,0),MATCH(R520,L_JENIS,0)),0))</f>
        <v/>
      </c>
      <c r="T520" s="11" t="n"/>
      <c r="U520" s="11" t="n"/>
      <c r="V520" s="10">
        <f>IF(AND(T520="",U520=""),"",IFERROR(INDEX(T_CAPAI,MATCH(T520,L_PER,0),MATCH(U520,L_KED,0)),0))</f>
        <v/>
      </c>
      <c r="W520" s="17">
        <f>IF(OR(B520="",E520="",COUNTA(F520,H520,J520:M520,O520,Q520:R520,T520:U520)=0),"",SUM(G520,I520,N520,P520,S520,V520))</f>
        <v/>
      </c>
      <c r="X520" s="18">
        <f>IF(W520="","",IF(Murid!F520="TL","TL",ROUND(W520/110*100,2)))</f>
        <v/>
      </c>
    </row>
    <row r="521">
      <c r="A521" s="15">
        <f>Murid!A521</f>
        <v/>
      </c>
      <c r="B521" s="15">
        <f>IF(Murid!B521="","",Murid!B521)</f>
        <v/>
      </c>
      <c r="C521" s="16">
        <f>IF(Murid!C521="","",Murid!C521)</f>
        <v/>
      </c>
      <c r="D521" s="15">
        <f>IF(Murid!E521="","",Murid!E521)</f>
        <v/>
      </c>
      <c r="E521" s="11" t="n"/>
      <c r="F521" s="11" t="n"/>
      <c r="G521" s="10">
        <f>IF(F521="","",IFERROR(VLOOKUP(F521,T_JUB,2,FALSE),0))</f>
        <v/>
      </c>
      <c r="H521" s="11" t="n"/>
      <c r="I521" s="17">
        <f>IF(H521="","",IF(H521&gt;=12,40,ROUND(H521*3.33,2)))</f>
        <v/>
      </c>
      <c r="J521" s="11" t="n"/>
      <c r="K521" s="11" t="n"/>
      <c r="L521" s="11" t="n"/>
      <c r="M521" s="11" t="n"/>
      <c r="N521" s="10">
        <f>IF(COUNTA(J521:M521)=0,"",MIN(10,SUMPRODUCT((COUNTIF(J521:M521,L_KOM)&gt;0)*S_KOM)))</f>
        <v/>
      </c>
      <c r="O521" s="11" t="n"/>
      <c r="P521" s="10">
        <f>IF(O521="","",IFERROR(VLOOKUP(O521,T_KHID,2,FALSE),0))</f>
        <v/>
      </c>
      <c r="Q521" s="11" t="n"/>
      <c r="R521" s="11" t="n"/>
      <c r="S521" s="10">
        <f>IF(AND(Q521="",R521=""),"",IFERROR(INDEX(T_LIBAT,MATCH(Q521,L_PER,0),MATCH(R521,L_JENIS,0)),0))</f>
        <v/>
      </c>
      <c r="T521" s="11" t="n"/>
      <c r="U521" s="11" t="n"/>
      <c r="V521" s="10">
        <f>IF(AND(T521="",U521=""),"",IFERROR(INDEX(T_CAPAI,MATCH(T521,L_PER,0),MATCH(U521,L_KED,0)),0))</f>
        <v/>
      </c>
      <c r="W521" s="17">
        <f>IF(OR(B521="",E521="",COUNTA(F521,H521,J521:M521,O521,Q521:R521,T521:U521)=0),"",SUM(G521,I521,N521,P521,S521,V521))</f>
        <v/>
      </c>
      <c r="X521" s="18">
        <f>IF(W521="","",IF(Murid!F521="TL","TL",ROUND(W521/110*100,2)))</f>
        <v/>
      </c>
    </row>
    <row r="522">
      <c r="A522" s="15">
        <f>Murid!A522</f>
        <v/>
      </c>
      <c r="B522" s="15">
        <f>IF(Murid!B522="","",Murid!B522)</f>
        <v/>
      </c>
      <c r="C522" s="16">
        <f>IF(Murid!C522="","",Murid!C522)</f>
        <v/>
      </c>
      <c r="D522" s="15">
        <f>IF(Murid!E522="","",Murid!E522)</f>
        <v/>
      </c>
      <c r="E522" s="11" t="n"/>
      <c r="F522" s="11" t="n"/>
      <c r="G522" s="10">
        <f>IF(F522="","",IFERROR(VLOOKUP(F522,T_JUB,2,FALSE),0))</f>
        <v/>
      </c>
      <c r="H522" s="11" t="n"/>
      <c r="I522" s="17">
        <f>IF(H522="","",IF(H522&gt;=12,40,ROUND(H522*3.33,2)))</f>
        <v/>
      </c>
      <c r="J522" s="11" t="n"/>
      <c r="K522" s="11" t="n"/>
      <c r="L522" s="11" t="n"/>
      <c r="M522" s="11" t="n"/>
      <c r="N522" s="10">
        <f>IF(COUNTA(J522:M522)=0,"",MIN(10,SUMPRODUCT((COUNTIF(J522:M522,L_KOM)&gt;0)*S_KOM)))</f>
        <v/>
      </c>
      <c r="O522" s="11" t="n"/>
      <c r="P522" s="10">
        <f>IF(O522="","",IFERROR(VLOOKUP(O522,T_KHID,2,FALSE),0))</f>
        <v/>
      </c>
      <c r="Q522" s="11" t="n"/>
      <c r="R522" s="11" t="n"/>
      <c r="S522" s="10">
        <f>IF(AND(Q522="",R522=""),"",IFERROR(INDEX(T_LIBAT,MATCH(Q522,L_PER,0),MATCH(R522,L_JENIS,0)),0))</f>
        <v/>
      </c>
      <c r="T522" s="11" t="n"/>
      <c r="U522" s="11" t="n"/>
      <c r="V522" s="10">
        <f>IF(AND(T522="",U522=""),"",IFERROR(INDEX(T_CAPAI,MATCH(T522,L_PER,0),MATCH(U522,L_KED,0)),0))</f>
        <v/>
      </c>
      <c r="W522" s="17">
        <f>IF(OR(B522="",E522="",COUNTA(F522,H522,J522:M522,O522,Q522:R522,T522:U522)=0),"",SUM(G522,I522,N522,P522,S522,V522))</f>
        <v/>
      </c>
      <c r="X522" s="18">
        <f>IF(W522="","",IF(Murid!F522="TL","TL",ROUND(W522/110*100,2)))</f>
        <v/>
      </c>
    </row>
    <row r="523">
      <c r="A523" s="15">
        <f>Murid!A523</f>
        <v/>
      </c>
      <c r="B523" s="15">
        <f>IF(Murid!B523="","",Murid!B523)</f>
        <v/>
      </c>
      <c r="C523" s="16">
        <f>IF(Murid!C523="","",Murid!C523)</f>
        <v/>
      </c>
      <c r="D523" s="15">
        <f>IF(Murid!E523="","",Murid!E523)</f>
        <v/>
      </c>
      <c r="E523" s="11" t="n"/>
      <c r="F523" s="11" t="n"/>
      <c r="G523" s="10">
        <f>IF(F523="","",IFERROR(VLOOKUP(F523,T_JUB,2,FALSE),0))</f>
        <v/>
      </c>
      <c r="H523" s="11" t="n"/>
      <c r="I523" s="17">
        <f>IF(H523="","",IF(H523&gt;=12,40,ROUND(H523*3.33,2)))</f>
        <v/>
      </c>
      <c r="J523" s="11" t="n"/>
      <c r="K523" s="11" t="n"/>
      <c r="L523" s="11" t="n"/>
      <c r="M523" s="11" t="n"/>
      <c r="N523" s="10">
        <f>IF(COUNTA(J523:M523)=0,"",MIN(10,SUMPRODUCT((COUNTIF(J523:M523,L_KOM)&gt;0)*S_KOM)))</f>
        <v/>
      </c>
      <c r="O523" s="11" t="n"/>
      <c r="P523" s="10">
        <f>IF(O523="","",IFERROR(VLOOKUP(O523,T_KHID,2,FALSE),0))</f>
        <v/>
      </c>
      <c r="Q523" s="11" t="n"/>
      <c r="R523" s="11" t="n"/>
      <c r="S523" s="10">
        <f>IF(AND(Q523="",R523=""),"",IFERROR(INDEX(T_LIBAT,MATCH(Q523,L_PER,0),MATCH(R523,L_JENIS,0)),0))</f>
        <v/>
      </c>
      <c r="T523" s="11" t="n"/>
      <c r="U523" s="11" t="n"/>
      <c r="V523" s="10">
        <f>IF(AND(T523="",U523=""),"",IFERROR(INDEX(T_CAPAI,MATCH(T523,L_PER,0),MATCH(U523,L_KED,0)),0))</f>
        <v/>
      </c>
      <c r="W523" s="17">
        <f>IF(OR(B523="",E523="",COUNTA(F523,H523,J523:M523,O523,Q523:R523,T523:U523)=0),"",SUM(G523,I523,N523,P523,S523,V523))</f>
        <v/>
      </c>
      <c r="X523" s="18">
        <f>IF(W523="","",IF(Murid!F523="TL","TL",ROUND(W523/110*100,2)))</f>
        <v/>
      </c>
    </row>
    <row r="524">
      <c r="A524" s="15">
        <f>Murid!A524</f>
        <v/>
      </c>
      <c r="B524" s="15">
        <f>IF(Murid!B524="","",Murid!B524)</f>
        <v/>
      </c>
      <c r="C524" s="16">
        <f>IF(Murid!C524="","",Murid!C524)</f>
        <v/>
      </c>
      <c r="D524" s="15">
        <f>IF(Murid!E524="","",Murid!E524)</f>
        <v/>
      </c>
      <c r="E524" s="11" t="n"/>
      <c r="F524" s="11" t="n"/>
      <c r="G524" s="10">
        <f>IF(F524="","",IFERROR(VLOOKUP(F524,T_JUB,2,FALSE),0))</f>
        <v/>
      </c>
      <c r="H524" s="11" t="n"/>
      <c r="I524" s="17">
        <f>IF(H524="","",IF(H524&gt;=12,40,ROUND(H524*3.33,2)))</f>
        <v/>
      </c>
      <c r="J524" s="11" t="n"/>
      <c r="K524" s="11" t="n"/>
      <c r="L524" s="11" t="n"/>
      <c r="M524" s="11" t="n"/>
      <c r="N524" s="10">
        <f>IF(COUNTA(J524:M524)=0,"",MIN(10,SUMPRODUCT((COUNTIF(J524:M524,L_KOM)&gt;0)*S_KOM)))</f>
        <v/>
      </c>
      <c r="O524" s="11" t="n"/>
      <c r="P524" s="10">
        <f>IF(O524="","",IFERROR(VLOOKUP(O524,T_KHID,2,FALSE),0))</f>
        <v/>
      </c>
      <c r="Q524" s="11" t="n"/>
      <c r="R524" s="11" t="n"/>
      <c r="S524" s="10">
        <f>IF(AND(Q524="",R524=""),"",IFERROR(INDEX(T_LIBAT,MATCH(Q524,L_PER,0),MATCH(R524,L_JENIS,0)),0))</f>
        <v/>
      </c>
      <c r="T524" s="11" t="n"/>
      <c r="U524" s="11" t="n"/>
      <c r="V524" s="10">
        <f>IF(AND(T524="",U524=""),"",IFERROR(INDEX(T_CAPAI,MATCH(T524,L_PER,0),MATCH(U524,L_KED,0)),0))</f>
        <v/>
      </c>
      <c r="W524" s="17">
        <f>IF(OR(B524="",E524="",COUNTA(F524,H524,J524:M524,O524,Q524:R524,T524:U524)=0),"",SUM(G524,I524,N524,P524,S524,V524))</f>
        <v/>
      </c>
      <c r="X524" s="18">
        <f>IF(W524="","",IF(Murid!F524="TL","TL",ROUND(W524/110*100,2)))</f>
        <v/>
      </c>
    </row>
    <row r="525">
      <c r="A525" s="15">
        <f>Murid!A525</f>
        <v/>
      </c>
      <c r="B525" s="15">
        <f>IF(Murid!B525="","",Murid!B525)</f>
        <v/>
      </c>
      <c r="C525" s="16">
        <f>IF(Murid!C525="","",Murid!C525)</f>
        <v/>
      </c>
      <c r="D525" s="15">
        <f>IF(Murid!E525="","",Murid!E525)</f>
        <v/>
      </c>
      <c r="E525" s="11" t="n"/>
      <c r="F525" s="11" t="n"/>
      <c r="G525" s="10">
        <f>IF(F525="","",IFERROR(VLOOKUP(F525,T_JUB,2,FALSE),0))</f>
        <v/>
      </c>
      <c r="H525" s="11" t="n"/>
      <c r="I525" s="17">
        <f>IF(H525="","",IF(H525&gt;=12,40,ROUND(H525*3.33,2)))</f>
        <v/>
      </c>
      <c r="J525" s="11" t="n"/>
      <c r="K525" s="11" t="n"/>
      <c r="L525" s="11" t="n"/>
      <c r="M525" s="11" t="n"/>
      <c r="N525" s="10">
        <f>IF(COUNTA(J525:M525)=0,"",MIN(10,SUMPRODUCT((COUNTIF(J525:M525,L_KOM)&gt;0)*S_KOM)))</f>
        <v/>
      </c>
      <c r="O525" s="11" t="n"/>
      <c r="P525" s="10">
        <f>IF(O525="","",IFERROR(VLOOKUP(O525,T_KHID,2,FALSE),0))</f>
        <v/>
      </c>
      <c r="Q525" s="11" t="n"/>
      <c r="R525" s="11" t="n"/>
      <c r="S525" s="10">
        <f>IF(AND(Q525="",R525=""),"",IFERROR(INDEX(T_LIBAT,MATCH(Q525,L_PER,0),MATCH(R525,L_JENIS,0)),0))</f>
        <v/>
      </c>
      <c r="T525" s="11" t="n"/>
      <c r="U525" s="11" t="n"/>
      <c r="V525" s="10">
        <f>IF(AND(T525="",U525=""),"",IFERROR(INDEX(T_CAPAI,MATCH(T525,L_PER,0),MATCH(U525,L_KED,0)),0))</f>
        <v/>
      </c>
      <c r="W525" s="17">
        <f>IF(OR(B525="",E525="",COUNTA(F525,H525,J525:M525,O525,Q525:R525,T525:U525)=0),"",SUM(G525,I525,N525,P525,S525,V525))</f>
        <v/>
      </c>
      <c r="X525" s="18">
        <f>IF(W525="","",IF(Murid!F525="TL","TL",ROUND(W525/110*100,2)))</f>
        <v/>
      </c>
    </row>
    <row r="526">
      <c r="A526" s="15">
        <f>Murid!A526</f>
        <v/>
      </c>
      <c r="B526" s="15">
        <f>IF(Murid!B526="","",Murid!B526)</f>
        <v/>
      </c>
      <c r="C526" s="16">
        <f>IF(Murid!C526="","",Murid!C526)</f>
        <v/>
      </c>
      <c r="D526" s="15">
        <f>IF(Murid!E526="","",Murid!E526)</f>
        <v/>
      </c>
      <c r="E526" s="11" t="n"/>
      <c r="F526" s="11" t="n"/>
      <c r="G526" s="10">
        <f>IF(F526="","",IFERROR(VLOOKUP(F526,T_JUB,2,FALSE),0))</f>
        <v/>
      </c>
      <c r="H526" s="11" t="n"/>
      <c r="I526" s="17">
        <f>IF(H526="","",IF(H526&gt;=12,40,ROUND(H526*3.33,2)))</f>
        <v/>
      </c>
      <c r="J526" s="11" t="n"/>
      <c r="K526" s="11" t="n"/>
      <c r="L526" s="11" t="n"/>
      <c r="M526" s="11" t="n"/>
      <c r="N526" s="10">
        <f>IF(COUNTA(J526:M526)=0,"",MIN(10,SUMPRODUCT((COUNTIF(J526:M526,L_KOM)&gt;0)*S_KOM)))</f>
        <v/>
      </c>
      <c r="O526" s="11" t="n"/>
      <c r="P526" s="10">
        <f>IF(O526="","",IFERROR(VLOOKUP(O526,T_KHID,2,FALSE),0))</f>
        <v/>
      </c>
      <c r="Q526" s="11" t="n"/>
      <c r="R526" s="11" t="n"/>
      <c r="S526" s="10">
        <f>IF(AND(Q526="",R526=""),"",IFERROR(INDEX(T_LIBAT,MATCH(Q526,L_PER,0),MATCH(R526,L_JENIS,0)),0))</f>
        <v/>
      </c>
      <c r="T526" s="11" t="n"/>
      <c r="U526" s="11" t="n"/>
      <c r="V526" s="10">
        <f>IF(AND(T526="",U526=""),"",IFERROR(INDEX(T_CAPAI,MATCH(T526,L_PER,0),MATCH(U526,L_KED,0)),0))</f>
        <v/>
      </c>
      <c r="W526" s="17">
        <f>IF(OR(B526="",E526="",COUNTA(F526,H526,J526:M526,O526,Q526:R526,T526:U526)=0),"",SUM(G526,I526,N526,P526,S526,V526))</f>
        <v/>
      </c>
      <c r="X526" s="18">
        <f>IF(W526="","",IF(Murid!F526="TL","TL",ROUND(W526/110*100,2)))</f>
        <v/>
      </c>
    </row>
    <row r="527">
      <c r="A527" s="15">
        <f>Murid!A527</f>
        <v/>
      </c>
      <c r="B527" s="15">
        <f>IF(Murid!B527="","",Murid!B527)</f>
        <v/>
      </c>
      <c r="C527" s="16">
        <f>IF(Murid!C527="","",Murid!C527)</f>
        <v/>
      </c>
      <c r="D527" s="15">
        <f>IF(Murid!E527="","",Murid!E527)</f>
        <v/>
      </c>
      <c r="E527" s="11" t="n"/>
      <c r="F527" s="11" t="n"/>
      <c r="G527" s="10">
        <f>IF(F527="","",IFERROR(VLOOKUP(F527,T_JUB,2,FALSE),0))</f>
        <v/>
      </c>
      <c r="H527" s="11" t="n"/>
      <c r="I527" s="17">
        <f>IF(H527="","",IF(H527&gt;=12,40,ROUND(H527*3.33,2)))</f>
        <v/>
      </c>
      <c r="J527" s="11" t="n"/>
      <c r="K527" s="11" t="n"/>
      <c r="L527" s="11" t="n"/>
      <c r="M527" s="11" t="n"/>
      <c r="N527" s="10">
        <f>IF(COUNTA(J527:M527)=0,"",MIN(10,SUMPRODUCT((COUNTIF(J527:M527,L_KOM)&gt;0)*S_KOM)))</f>
        <v/>
      </c>
      <c r="O527" s="11" t="n"/>
      <c r="P527" s="10">
        <f>IF(O527="","",IFERROR(VLOOKUP(O527,T_KHID,2,FALSE),0))</f>
        <v/>
      </c>
      <c r="Q527" s="11" t="n"/>
      <c r="R527" s="11" t="n"/>
      <c r="S527" s="10">
        <f>IF(AND(Q527="",R527=""),"",IFERROR(INDEX(T_LIBAT,MATCH(Q527,L_PER,0),MATCH(R527,L_JENIS,0)),0))</f>
        <v/>
      </c>
      <c r="T527" s="11" t="n"/>
      <c r="U527" s="11" t="n"/>
      <c r="V527" s="10">
        <f>IF(AND(T527="",U527=""),"",IFERROR(INDEX(T_CAPAI,MATCH(T527,L_PER,0),MATCH(U527,L_KED,0)),0))</f>
        <v/>
      </c>
      <c r="W527" s="17">
        <f>IF(OR(B527="",E527="",COUNTA(F527,H527,J527:M527,O527,Q527:R527,T527:U527)=0),"",SUM(G527,I527,N527,P527,S527,V527))</f>
        <v/>
      </c>
      <c r="X527" s="18">
        <f>IF(W527="","",IF(Murid!F527="TL","TL",ROUND(W527/110*100,2)))</f>
        <v/>
      </c>
    </row>
    <row r="528">
      <c r="A528" s="15">
        <f>Murid!A528</f>
        <v/>
      </c>
      <c r="B528" s="15">
        <f>IF(Murid!B528="","",Murid!B528)</f>
        <v/>
      </c>
      <c r="C528" s="16">
        <f>IF(Murid!C528="","",Murid!C528)</f>
        <v/>
      </c>
      <c r="D528" s="15">
        <f>IF(Murid!E528="","",Murid!E528)</f>
        <v/>
      </c>
      <c r="E528" s="11" t="n"/>
      <c r="F528" s="11" t="n"/>
      <c r="G528" s="10">
        <f>IF(F528="","",IFERROR(VLOOKUP(F528,T_JUB,2,FALSE),0))</f>
        <v/>
      </c>
      <c r="H528" s="11" t="n"/>
      <c r="I528" s="17">
        <f>IF(H528="","",IF(H528&gt;=12,40,ROUND(H528*3.33,2)))</f>
        <v/>
      </c>
      <c r="J528" s="11" t="n"/>
      <c r="K528" s="11" t="n"/>
      <c r="L528" s="11" t="n"/>
      <c r="M528" s="11" t="n"/>
      <c r="N528" s="10">
        <f>IF(COUNTA(J528:M528)=0,"",MIN(10,SUMPRODUCT((COUNTIF(J528:M528,L_KOM)&gt;0)*S_KOM)))</f>
        <v/>
      </c>
      <c r="O528" s="11" t="n"/>
      <c r="P528" s="10">
        <f>IF(O528="","",IFERROR(VLOOKUP(O528,T_KHID,2,FALSE),0))</f>
        <v/>
      </c>
      <c r="Q528" s="11" t="n"/>
      <c r="R528" s="11" t="n"/>
      <c r="S528" s="10">
        <f>IF(AND(Q528="",R528=""),"",IFERROR(INDEX(T_LIBAT,MATCH(Q528,L_PER,0),MATCH(R528,L_JENIS,0)),0))</f>
        <v/>
      </c>
      <c r="T528" s="11" t="n"/>
      <c r="U528" s="11" t="n"/>
      <c r="V528" s="10">
        <f>IF(AND(T528="",U528=""),"",IFERROR(INDEX(T_CAPAI,MATCH(T528,L_PER,0),MATCH(U528,L_KED,0)),0))</f>
        <v/>
      </c>
      <c r="W528" s="17">
        <f>IF(OR(B528="",E528="",COUNTA(F528,H528,J528:M528,O528,Q528:R528,T528:U528)=0),"",SUM(G528,I528,N528,P528,S528,V528))</f>
        <v/>
      </c>
      <c r="X528" s="18">
        <f>IF(W528="","",IF(Murid!F528="TL","TL",ROUND(W528/110*100,2)))</f>
        <v/>
      </c>
    </row>
    <row r="529">
      <c r="A529" s="15">
        <f>Murid!A529</f>
        <v/>
      </c>
      <c r="B529" s="15">
        <f>IF(Murid!B529="","",Murid!B529)</f>
        <v/>
      </c>
      <c r="C529" s="16">
        <f>IF(Murid!C529="","",Murid!C529)</f>
        <v/>
      </c>
      <c r="D529" s="15">
        <f>IF(Murid!E529="","",Murid!E529)</f>
        <v/>
      </c>
      <c r="E529" s="11" t="n"/>
      <c r="F529" s="11" t="n"/>
      <c r="G529" s="10">
        <f>IF(F529="","",IFERROR(VLOOKUP(F529,T_JUB,2,FALSE),0))</f>
        <v/>
      </c>
      <c r="H529" s="11" t="n"/>
      <c r="I529" s="17">
        <f>IF(H529="","",IF(H529&gt;=12,40,ROUND(H529*3.33,2)))</f>
        <v/>
      </c>
      <c r="J529" s="11" t="n"/>
      <c r="K529" s="11" t="n"/>
      <c r="L529" s="11" t="n"/>
      <c r="M529" s="11" t="n"/>
      <c r="N529" s="10">
        <f>IF(COUNTA(J529:M529)=0,"",MIN(10,SUMPRODUCT((COUNTIF(J529:M529,L_KOM)&gt;0)*S_KOM)))</f>
        <v/>
      </c>
      <c r="O529" s="11" t="n"/>
      <c r="P529" s="10">
        <f>IF(O529="","",IFERROR(VLOOKUP(O529,T_KHID,2,FALSE),0))</f>
        <v/>
      </c>
      <c r="Q529" s="11" t="n"/>
      <c r="R529" s="11" t="n"/>
      <c r="S529" s="10">
        <f>IF(AND(Q529="",R529=""),"",IFERROR(INDEX(T_LIBAT,MATCH(Q529,L_PER,0),MATCH(R529,L_JENIS,0)),0))</f>
        <v/>
      </c>
      <c r="T529" s="11" t="n"/>
      <c r="U529" s="11" t="n"/>
      <c r="V529" s="10">
        <f>IF(AND(T529="",U529=""),"",IFERROR(INDEX(T_CAPAI,MATCH(T529,L_PER,0),MATCH(U529,L_KED,0)),0))</f>
        <v/>
      </c>
      <c r="W529" s="17">
        <f>IF(OR(B529="",E529="",COUNTA(F529,H529,J529:M529,O529,Q529:R529,T529:U529)=0),"",SUM(G529,I529,N529,P529,S529,V529))</f>
        <v/>
      </c>
      <c r="X529" s="18">
        <f>IF(W529="","",IF(Murid!F529="TL","TL",ROUND(W529/110*100,2)))</f>
        <v/>
      </c>
    </row>
    <row r="530">
      <c r="A530" s="15">
        <f>Murid!A530</f>
        <v/>
      </c>
      <c r="B530" s="15">
        <f>IF(Murid!B530="","",Murid!B530)</f>
        <v/>
      </c>
      <c r="C530" s="16">
        <f>IF(Murid!C530="","",Murid!C530)</f>
        <v/>
      </c>
      <c r="D530" s="15">
        <f>IF(Murid!E530="","",Murid!E530)</f>
        <v/>
      </c>
      <c r="E530" s="11" t="n"/>
      <c r="F530" s="11" t="n"/>
      <c r="G530" s="10">
        <f>IF(F530="","",IFERROR(VLOOKUP(F530,T_JUB,2,FALSE),0))</f>
        <v/>
      </c>
      <c r="H530" s="11" t="n"/>
      <c r="I530" s="17">
        <f>IF(H530="","",IF(H530&gt;=12,40,ROUND(H530*3.33,2)))</f>
        <v/>
      </c>
      <c r="J530" s="11" t="n"/>
      <c r="K530" s="11" t="n"/>
      <c r="L530" s="11" t="n"/>
      <c r="M530" s="11" t="n"/>
      <c r="N530" s="10">
        <f>IF(COUNTA(J530:M530)=0,"",MIN(10,SUMPRODUCT((COUNTIF(J530:M530,L_KOM)&gt;0)*S_KOM)))</f>
        <v/>
      </c>
      <c r="O530" s="11" t="n"/>
      <c r="P530" s="10">
        <f>IF(O530="","",IFERROR(VLOOKUP(O530,T_KHID,2,FALSE),0))</f>
        <v/>
      </c>
      <c r="Q530" s="11" t="n"/>
      <c r="R530" s="11" t="n"/>
      <c r="S530" s="10">
        <f>IF(AND(Q530="",R530=""),"",IFERROR(INDEX(T_LIBAT,MATCH(Q530,L_PER,0),MATCH(R530,L_JENIS,0)),0))</f>
        <v/>
      </c>
      <c r="T530" s="11" t="n"/>
      <c r="U530" s="11" t="n"/>
      <c r="V530" s="10">
        <f>IF(AND(T530="",U530=""),"",IFERROR(INDEX(T_CAPAI,MATCH(T530,L_PER,0),MATCH(U530,L_KED,0)),0))</f>
        <v/>
      </c>
      <c r="W530" s="17">
        <f>IF(OR(B530="",E530="",COUNTA(F530,H530,J530:M530,O530,Q530:R530,T530:U530)=0),"",SUM(G530,I530,N530,P530,S530,V530))</f>
        <v/>
      </c>
      <c r="X530" s="18">
        <f>IF(W530="","",IF(Murid!F530="TL","TL",ROUND(W530/110*100,2)))</f>
        <v/>
      </c>
    </row>
    <row r="531">
      <c r="A531" s="15">
        <f>Murid!A531</f>
        <v/>
      </c>
      <c r="B531" s="15">
        <f>IF(Murid!B531="","",Murid!B531)</f>
        <v/>
      </c>
      <c r="C531" s="16">
        <f>IF(Murid!C531="","",Murid!C531)</f>
        <v/>
      </c>
      <c r="D531" s="15">
        <f>IF(Murid!E531="","",Murid!E531)</f>
        <v/>
      </c>
      <c r="E531" s="11" t="n"/>
      <c r="F531" s="11" t="n"/>
      <c r="G531" s="10">
        <f>IF(F531="","",IFERROR(VLOOKUP(F531,T_JUB,2,FALSE),0))</f>
        <v/>
      </c>
      <c r="H531" s="11" t="n"/>
      <c r="I531" s="17">
        <f>IF(H531="","",IF(H531&gt;=12,40,ROUND(H531*3.33,2)))</f>
        <v/>
      </c>
      <c r="J531" s="11" t="n"/>
      <c r="K531" s="11" t="n"/>
      <c r="L531" s="11" t="n"/>
      <c r="M531" s="11" t="n"/>
      <c r="N531" s="10">
        <f>IF(COUNTA(J531:M531)=0,"",MIN(10,SUMPRODUCT((COUNTIF(J531:M531,L_KOM)&gt;0)*S_KOM)))</f>
        <v/>
      </c>
      <c r="O531" s="11" t="n"/>
      <c r="P531" s="10">
        <f>IF(O531="","",IFERROR(VLOOKUP(O531,T_KHID,2,FALSE),0))</f>
        <v/>
      </c>
      <c r="Q531" s="11" t="n"/>
      <c r="R531" s="11" t="n"/>
      <c r="S531" s="10">
        <f>IF(AND(Q531="",R531=""),"",IFERROR(INDEX(T_LIBAT,MATCH(Q531,L_PER,0),MATCH(R531,L_JENIS,0)),0))</f>
        <v/>
      </c>
      <c r="T531" s="11" t="n"/>
      <c r="U531" s="11" t="n"/>
      <c r="V531" s="10">
        <f>IF(AND(T531="",U531=""),"",IFERROR(INDEX(T_CAPAI,MATCH(T531,L_PER,0),MATCH(U531,L_KED,0)),0))</f>
        <v/>
      </c>
      <c r="W531" s="17">
        <f>IF(OR(B531="",E531="",COUNTA(F531,H531,J531:M531,O531,Q531:R531,T531:U531)=0),"",SUM(G531,I531,N531,P531,S531,V531))</f>
        <v/>
      </c>
      <c r="X531" s="18">
        <f>IF(W531="","",IF(Murid!F531="TL","TL",ROUND(W531/110*100,2)))</f>
        <v/>
      </c>
    </row>
    <row r="532">
      <c r="A532" s="15">
        <f>Murid!A532</f>
        <v/>
      </c>
      <c r="B532" s="15">
        <f>IF(Murid!B532="","",Murid!B532)</f>
        <v/>
      </c>
      <c r="C532" s="16">
        <f>IF(Murid!C532="","",Murid!C532)</f>
        <v/>
      </c>
      <c r="D532" s="15">
        <f>IF(Murid!E532="","",Murid!E532)</f>
        <v/>
      </c>
      <c r="E532" s="11" t="n"/>
      <c r="F532" s="11" t="n"/>
      <c r="G532" s="10">
        <f>IF(F532="","",IFERROR(VLOOKUP(F532,T_JUB,2,FALSE),0))</f>
        <v/>
      </c>
      <c r="H532" s="11" t="n"/>
      <c r="I532" s="17">
        <f>IF(H532="","",IF(H532&gt;=12,40,ROUND(H532*3.33,2)))</f>
        <v/>
      </c>
      <c r="J532" s="11" t="n"/>
      <c r="K532" s="11" t="n"/>
      <c r="L532" s="11" t="n"/>
      <c r="M532" s="11" t="n"/>
      <c r="N532" s="10">
        <f>IF(COUNTA(J532:M532)=0,"",MIN(10,SUMPRODUCT((COUNTIF(J532:M532,L_KOM)&gt;0)*S_KOM)))</f>
        <v/>
      </c>
      <c r="O532" s="11" t="n"/>
      <c r="P532" s="10">
        <f>IF(O532="","",IFERROR(VLOOKUP(O532,T_KHID,2,FALSE),0))</f>
        <v/>
      </c>
      <c r="Q532" s="11" t="n"/>
      <c r="R532" s="11" t="n"/>
      <c r="S532" s="10">
        <f>IF(AND(Q532="",R532=""),"",IFERROR(INDEX(T_LIBAT,MATCH(Q532,L_PER,0),MATCH(R532,L_JENIS,0)),0))</f>
        <v/>
      </c>
      <c r="T532" s="11" t="n"/>
      <c r="U532" s="11" t="n"/>
      <c r="V532" s="10">
        <f>IF(AND(T532="",U532=""),"",IFERROR(INDEX(T_CAPAI,MATCH(T532,L_PER,0),MATCH(U532,L_KED,0)),0))</f>
        <v/>
      </c>
      <c r="W532" s="17">
        <f>IF(OR(B532="",E532="",COUNTA(F532,H532,J532:M532,O532,Q532:R532,T532:U532)=0),"",SUM(G532,I532,N532,P532,S532,V532))</f>
        <v/>
      </c>
      <c r="X532" s="18">
        <f>IF(W532="","",IF(Murid!F532="TL","TL",ROUND(W532/110*100,2)))</f>
        <v/>
      </c>
    </row>
    <row r="533">
      <c r="A533" s="15">
        <f>Murid!A533</f>
        <v/>
      </c>
      <c r="B533" s="15">
        <f>IF(Murid!B533="","",Murid!B533)</f>
        <v/>
      </c>
      <c r="C533" s="16">
        <f>IF(Murid!C533="","",Murid!C533)</f>
        <v/>
      </c>
      <c r="D533" s="15">
        <f>IF(Murid!E533="","",Murid!E533)</f>
        <v/>
      </c>
      <c r="E533" s="11" t="n"/>
      <c r="F533" s="11" t="n"/>
      <c r="G533" s="10">
        <f>IF(F533="","",IFERROR(VLOOKUP(F533,T_JUB,2,FALSE),0))</f>
        <v/>
      </c>
      <c r="H533" s="11" t="n"/>
      <c r="I533" s="17">
        <f>IF(H533="","",IF(H533&gt;=12,40,ROUND(H533*3.33,2)))</f>
        <v/>
      </c>
      <c r="J533" s="11" t="n"/>
      <c r="K533" s="11" t="n"/>
      <c r="L533" s="11" t="n"/>
      <c r="M533" s="11" t="n"/>
      <c r="N533" s="10">
        <f>IF(COUNTA(J533:M533)=0,"",MIN(10,SUMPRODUCT((COUNTIF(J533:M533,L_KOM)&gt;0)*S_KOM)))</f>
        <v/>
      </c>
      <c r="O533" s="11" t="n"/>
      <c r="P533" s="10">
        <f>IF(O533="","",IFERROR(VLOOKUP(O533,T_KHID,2,FALSE),0))</f>
        <v/>
      </c>
      <c r="Q533" s="11" t="n"/>
      <c r="R533" s="11" t="n"/>
      <c r="S533" s="10">
        <f>IF(AND(Q533="",R533=""),"",IFERROR(INDEX(T_LIBAT,MATCH(Q533,L_PER,0),MATCH(R533,L_JENIS,0)),0))</f>
        <v/>
      </c>
      <c r="T533" s="11" t="n"/>
      <c r="U533" s="11" t="n"/>
      <c r="V533" s="10">
        <f>IF(AND(T533="",U533=""),"",IFERROR(INDEX(T_CAPAI,MATCH(T533,L_PER,0),MATCH(U533,L_KED,0)),0))</f>
        <v/>
      </c>
      <c r="W533" s="17">
        <f>IF(OR(B533="",E533="",COUNTA(F533,H533,J533:M533,O533,Q533:R533,T533:U533)=0),"",SUM(G533,I533,N533,P533,S533,V533))</f>
        <v/>
      </c>
      <c r="X533" s="18">
        <f>IF(W533="","",IF(Murid!F533="TL","TL",ROUND(W533/110*100,2)))</f>
        <v/>
      </c>
    </row>
    <row r="534">
      <c r="A534" s="15">
        <f>Murid!A534</f>
        <v/>
      </c>
      <c r="B534" s="15">
        <f>IF(Murid!B534="","",Murid!B534)</f>
        <v/>
      </c>
      <c r="C534" s="16">
        <f>IF(Murid!C534="","",Murid!C534)</f>
        <v/>
      </c>
      <c r="D534" s="15">
        <f>IF(Murid!E534="","",Murid!E534)</f>
        <v/>
      </c>
      <c r="E534" s="11" t="n"/>
      <c r="F534" s="11" t="n"/>
      <c r="G534" s="10">
        <f>IF(F534="","",IFERROR(VLOOKUP(F534,T_JUB,2,FALSE),0))</f>
        <v/>
      </c>
      <c r="H534" s="11" t="n"/>
      <c r="I534" s="17">
        <f>IF(H534="","",IF(H534&gt;=12,40,ROUND(H534*3.33,2)))</f>
        <v/>
      </c>
      <c r="J534" s="11" t="n"/>
      <c r="K534" s="11" t="n"/>
      <c r="L534" s="11" t="n"/>
      <c r="M534" s="11" t="n"/>
      <c r="N534" s="10">
        <f>IF(COUNTA(J534:M534)=0,"",MIN(10,SUMPRODUCT((COUNTIF(J534:M534,L_KOM)&gt;0)*S_KOM)))</f>
        <v/>
      </c>
      <c r="O534" s="11" t="n"/>
      <c r="P534" s="10">
        <f>IF(O534="","",IFERROR(VLOOKUP(O534,T_KHID,2,FALSE),0))</f>
        <v/>
      </c>
      <c r="Q534" s="11" t="n"/>
      <c r="R534" s="11" t="n"/>
      <c r="S534" s="10">
        <f>IF(AND(Q534="",R534=""),"",IFERROR(INDEX(T_LIBAT,MATCH(Q534,L_PER,0),MATCH(R534,L_JENIS,0)),0))</f>
        <v/>
      </c>
      <c r="T534" s="11" t="n"/>
      <c r="U534" s="11" t="n"/>
      <c r="V534" s="10">
        <f>IF(AND(T534="",U534=""),"",IFERROR(INDEX(T_CAPAI,MATCH(T534,L_PER,0),MATCH(U534,L_KED,0)),0))</f>
        <v/>
      </c>
      <c r="W534" s="17">
        <f>IF(OR(B534="",E534="",COUNTA(F534,H534,J534:M534,O534,Q534:R534,T534:U534)=0),"",SUM(G534,I534,N534,P534,S534,V534))</f>
        <v/>
      </c>
      <c r="X534" s="18">
        <f>IF(W534="","",IF(Murid!F534="TL","TL",ROUND(W534/110*100,2)))</f>
        <v/>
      </c>
    </row>
    <row r="535">
      <c r="A535" s="15">
        <f>Murid!A535</f>
        <v/>
      </c>
      <c r="B535" s="15">
        <f>IF(Murid!B535="","",Murid!B535)</f>
        <v/>
      </c>
      <c r="C535" s="16">
        <f>IF(Murid!C535="","",Murid!C535)</f>
        <v/>
      </c>
      <c r="D535" s="15">
        <f>IF(Murid!E535="","",Murid!E535)</f>
        <v/>
      </c>
      <c r="E535" s="11" t="n"/>
      <c r="F535" s="11" t="n"/>
      <c r="G535" s="10">
        <f>IF(F535="","",IFERROR(VLOOKUP(F535,T_JUB,2,FALSE),0))</f>
        <v/>
      </c>
      <c r="H535" s="11" t="n"/>
      <c r="I535" s="17">
        <f>IF(H535="","",IF(H535&gt;=12,40,ROUND(H535*3.33,2)))</f>
        <v/>
      </c>
      <c r="J535" s="11" t="n"/>
      <c r="K535" s="11" t="n"/>
      <c r="L535" s="11" t="n"/>
      <c r="M535" s="11" t="n"/>
      <c r="N535" s="10">
        <f>IF(COUNTA(J535:M535)=0,"",MIN(10,SUMPRODUCT((COUNTIF(J535:M535,L_KOM)&gt;0)*S_KOM)))</f>
        <v/>
      </c>
      <c r="O535" s="11" t="n"/>
      <c r="P535" s="10">
        <f>IF(O535="","",IFERROR(VLOOKUP(O535,T_KHID,2,FALSE),0))</f>
        <v/>
      </c>
      <c r="Q535" s="11" t="n"/>
      <c r="R535" s="11" t="n"/>
      <c r="S535" s="10">
        <f>IF(AND(Q535="",R535=""),"",IFERROR(INDEX(T_LIBAT,MATCH(Q535,L_PER,0),MATCH(R535,L_JENIS,0)),0))</f>
        <v/>
      </c>
      <c r="T535" s="11" t="n"/>
      <c r="U535" s="11" t="n"/>
      <c r="V535" s="10">
        <f>IF(AND(T535="",U535=""),"",IFERROR(INDEX(T_CAPAI,MATCH(T535,L_PER,0),MATCH(U535,L_KED,0)),0))</f>
        <v/>
      </c>
      <c r="W535" s="17">
        <f>IF(OR(B535="",E535="",COUNTA(F535,H535,J535:M535,O535,Q535:R535,T535:U535)=0),"",SUM(G535,I535,N535,P535,S535,V535))</f>
        <v/>
      </c>
      <c r="X535" s="18">
        <f>IF(W535="","",IF(Murid!F535="TL","TL",ROUND(W535/110*100,2)))</f>
        <v/>
      </c>
    </row>
    <row r="536">
      <c r="A536" s="15">
        <f>Murid!A536</f>
        <v/>
      </c>
      <c r="B536" s="15">
        <f>IF(Murid!B536="","",Murid!B536)</f>
        <v/>
      </c>
      <c r="C536" s="16">
        <f>IF(Murid!C536="","",Murid!C536)</f>
        <v/>
      </c>
      <c r="D536" s="15">
        <f>IF(Murid!E536="","",Murid!E536)</f>
        <v/>
      </c>
      <c r="E536" s="11" t="n"/>
      <c r="F536" s="11" t="n"/>
      <c r="G536" s="10">
        <f>IF(F536="","",IFERROR(VLOOKUP(F536,T_JUB,2,FALSE),0))</f>
        <v/>
      </c>
      <c r="H536" s="11" t="n"/>
      <c r="I536" s="17">
        <f>IF(H536="","",IF(H536&gt;=12,40,ROUND(H536*3.33,2)))</f>
        <v/>
      </c>
      <c r="J536" s="11" t="n"/>
      <c r="K536" s="11" t="n"/>
      <c r="L536" s="11" t="n"/>
      <c r="M536" s="11" t="n"/>
      <c r="N536" s="10">
        <f>IF(COUNTA(J536:M536)=0,"",MIN(10,SUMPRODUCT((COUNTIF(J536:M536,L_KOM)&gt;0)*S_KOM)))</f>
        <v/>
      </c>
      <c r="O536" s="11" t="n"/>
      <c r="P536" s="10">
        <f>IF(O536="","",IFERROR(VLOOKUP(O536,T_KHID,2,FALSE),0))</f>
        <v/>
      </c>
      <c r="Q536" s="11" t="n"/>
      <c r="R536" s="11" t="n"/>
      <c r="S536" s="10">
        <f>IF(AND(Q536="",R536=""),"",IFERROR(INDEX(T_LIBAT,MATCH(Q536,L_PER,0),MATCH(R536,L_JENIS,0)),0))</f>
        <v/>
      </c>
      <c r="T536" s="11" t="n"/>
      <c r="U536" s="11" t="n"/>
      <c r="V536" s="10">
        <f>IF(AND(T536="",U536=""),"",IFERROR(INDEX(T_CAPAI,MATCH(T536,L_PER,0),MATCH(U536,L_KED,0)),0))</f>
        <v/>
      </c>
      <c r="W536" s="17">
        <f>IF(OR(B536="",E536="",COUNTA(F536,H536,J536:M536,O536,Q536:R536,T536:U536)=0),"",SUM(G536,I536,N536,P536,S536,V536))</f>
        <v/>
      </c>
      <c r="X536" s="18">
        <f>IF(W536="","",IF(Murid!F536="TL","TL",ROUND(W536/110*100,2)))</f>
        <v/>
      </c>
    </row>
    <row r="537">
      <c r="A537" s="15">
        <f>Murid!A537</f>
        <v/>
      </c>
      <c r="B537" s="15">
        <f>IF(Murid!B537="","",Murid!B537)</f>
        <v/>
      </c>
      <c r="C537" s="16">
        <f>IF(Murid!C537="","",Murid!C537)</f>
        <v/>
      </c>
      <c r="D537" s="15">
        <f>IF(Murid!E537="","",Murid!E537)</f>
        <v/>
      </c>
      <c r="E537" s="11" t="n"/>
      <c r="F537" s="11" t="n"/>
      <c r="G537" s="10">
        <f>IF(F537="","",IFERROR(VLOOKUP(F537,T_JUB,2,FALSE),0))</f>
        <v/>
      </c>
      <c r="H537" s="11" t="n"/>
      <c r="I537" s="17">
        <f>IF(H537="","",IF(H537&gt;=12,40,ROUND(H537*3.33,2)))</f>
        <v/>
      </c>
      <c r="J537" s="11" t="n"/>
      <c r="K537" s="11" t="n"/>
      <c r="L537" s="11" t="n"/>
      <c r="M537" s="11" t="n"/>
      <c r="N537" s="10">
        <f>IF(COUNTA(J537:M537)=0,"",MIN(10,SUMPRODUCT((COUNTIF(J537:M537,L_KOM)&gt;0)*S_KOM)))</f>
        <v/>
      </c>
      <c r="O537" s="11" t="n"/>
      <c r="P537" s="10">
        <f>IF(O537="","",IFERROR(VLOOKUP(O537,T_KHID,2,FALSE),0))</f>
        <v/>
      </c>
      <c r="Q537" s="11" t="n"/>
      <c r="R537" s="11" t="n"/>
      <c r="S537" s="10">
        <f>IF(AND(Q537="",R537=""),"",IFERROR(INDEX(T_LIBAT,MATCH(Q537,L_PER,0),MATCH(R537,L_JENIS,0)),0))</f>
        <v/>
      </c>
      <c r="T537" s="11" t="n"/>
      <c r="U537" s="11" t="n"/>
      <c r="V537" s="10">
        <f>IF(AND(T537="",U537=""),"",IFERROR(INDEX(T_CAPAI,MATCH(T537,L_PER,0),MATCH(U537,L_KED,0)),0))</f>
        <v/>
      </c>
      <c r="W537" s="17">
        <f>IF(OR(B537="",E537="",COUNTA(F537,H537,J537:M537,O537,Q537:R537,T537:U537)=0),"",SUM(G537,I537,N537,P537,S537,V537))</f>
        <v/>
      </c>
      <c r="X537" s="18">
        <f>IF(W537="","",IF(Murid!F537="TL","TL",ROUND(W537/110*100,2)))</f>
        <v/>
      </c>
    </row>
    <row r="538">
      <c r="A538" s="15">
        <f>Murid!A538</f>
        <v/>
      </c>
      <c r="B538" s="15">
        <f>IF(Murid!B538="","",Murid!B538)</f>
        <v/>
      </c>
      <c r="C538" s="16">
        <f>IF(Murid!C538="","",Murid!C538)</f>
        <v/>
      </c>
      <c r="D538" s="15">
        <f>IF(Murid!E538="","",Murid!E538)</f>
        <v/>
      </c>
      <c r="E538" s="11" t="n"/>
      <c r="F538" s="11" t="n"/>
      <c r="G538" s="10">
        <f>IF(F538="","",IFERROR(VLOOKUP(F538,T_JUB,2,FALSE),0))</f>
        <v/>
      </c>
      <c r="H538" s="11" t="n"/>
      <c r="I538" s="17">
        <f>IF(H538="","",IF(H538&gt;=12,40,ROUND(H538*3.33,2)))</f>
        <v/>
      </c>
      <c r="J538" s="11" t="n"/>
      <c r="K538" s="11" t="n"/>
      <c r="L538" s="11" t="n"/>
      <c r="M538" s="11" t="n"/>
      <c r="N538" s="10">
        <f>IF(COUNTA(J538:M538)=0,"",MIN(10,SUMPRODUCT((COUNTIF(J538:M538,L_KOM)&gt;0)*S_KOM)))</f>
        <v/>
      </c>
      <c r="O538" s="11" t="n"/>
      <c r="P538" s="10">
        <f>IF(O538="","",IFERROR(VLOOKUP(O538,T_KHID,2,FALSE),0))</f>
        <v/>
      </c>
      <c r="Q538" s="11" t="n"/>
      <c r="R538" s="11" t="n"/>
      <c r="S538" s="10">
        <f>IF(AND(Q538="",R538=""),"",IFERROR(INDEX(T_LIBAT,MATCH(Q538,L_PER,0),MATCH(R538,L_JENIS,0)),0))</f>
        <v/>
      </c>
      <c r="T538" s="11" t="n"/>
      <c r="U538" s="11" t="n"/>
      <c r="V538" s="10">
        <f>IF(AND(T538="",U538=""),"",IFERROR(INDEX(T_CAPAI,MATCH(T538,L_PER,0),MATCH(U538,L_KED,0)),0))</f>
        <v/>
      </c>
      <c r="W538" s="17">
        <f>IF(OR(B538="",E538="",COUNTA(F538,H538,J538:M538,O538,Q538:R538,T538:U538)=0),"",SUM(G538,I538,N538,P538,S538,V538))</f>
        <v/>
      </c>
      <c r="X538" s="18">
        <f>IF(W538="","",IF(Murid!F538="TL","TL",ROUND(W538/110*100,2)))</f>
        <v/>
      </c>
    </row>
    <row r="539">
      <c r="A539" s="15">
        <f>Murid!A539</f>
        <v/>
      </c>
      <c r="B539" s="15">
        <f>IF(Murid!B539="","",Murid!B539)</f>
        <v/>
      </c>
      <c r="C539" s="16">
        <f>IF(Murid!C539="","",Murid!C539)</f>
        <v/>
      </c>
      <c r="D539" s="15">
        <f>IF(Murid!E539="","",Murid!E539)</f>
        <v/>
      </c>
      <c r="E539" s="11" t="n"/>
      <c r="F539" s="11" t="n"/>
      <c r="G539" s="10">
        <f>IF(F539="","",IFERROR(VLOOKUP(F539,T_JUB,2,FALSE),0))</f>
        <v/>
      </c>
      <c r="H539" s="11" t="n"/>
      <c r="I539" s="17">
        <f>IF(H539="","",IF(H539&gt;=12,40,ROUND(H539*3.33,2)))</f>
        <v/>
      </c>
      <c r="J539" s="11" t="n"/>
      <c r="K539" s="11" t="n"/>
      <c r="L539" s="11" t="n"/>
      <c r="M539" s="11" t="n"/>
      <c r="N539" s="10">
        <f>IF(COUNTA(J539:M539)=0,"",MIN(10,SUMPRODUCT((COUNTIF(J539:M539,L_KOM)&gt;0)*S_KOM)))</f>
        <v/>
      </c>
      <c r="O539" s="11" t="n"/>
      <c r="P539" s="10">
        <f>IF(O539="","",IFERROR(VLOOKUP(O539,T_KHID,2,FALSE),0))</f>
        <v/>
      </c>
      <c r="Q539" s="11" t="n"/>
      <c r="R539" s="11" t="n"/>
      <c r="S539" s="10">
        <f>IF(AND(Q539="",R539=""),"",IFERROR(INDEX(T_LIBAT,MATCH(Q539,L_PER,0),MATCH(R539,L_JENIS,0)),0))</f>
        <v/>
      </c>
      <c r="T539" s="11" t="n"/>
      <c r="U539" s="11" t="n"/>
      <c r="V539" s="10">
        <f>IF(AND(T539="",U539=""),"",IFERROR(INDEX(T_CAPAI,MATCH(T539,L_PER,0),MATCH(U539,L_KED,0)),0))</f>
        <v/>
      </c>
      <c r="W539" s="17">
        <f>IF(OR(B539="",E539="",COUNTA(F539,H539,J539:M539,O539,Q539:R539,T539:U539)=0),"",SUM(G539,I539,N539,P539,S539,V539))</f>
        <v/>
      </c>
      <c r="X539" s="18">
        <f>IF(W539="","",IF(Murid!F539="TL","TL",ROUND(W539/110*100,2)))</f>
        <v/>
      </c>
    </row>
    <row r="540">
      <c r="A540" s="15">
        <f>Murid!A540</f>
        <v/>
      </c>
      <c r="B540" s="15">
        <f>IF(Murid!B540="","",Murid!B540)</f>
        <v/>
      </c>
      <c r="C540" s="16">
        <f>IF(Murid!C540="","",Murid!C540)</f>
        <v/>
      </c>
      <c r="D540" s="15">
        <f>IF(Murid!E540="","",Murid!E540)</f>
        <v/>
      </c>
      <c r="E540" s="11" t="n"/>
      <c r="F540" s="11" t="n"/>
      <c r="G540" s="10">
        <f>IF(F540="","",IFERROR(VLOOKUP(F540,T_JUB,2,FALSE),0))</f>
        <v/>
      </c>
      <c r="H540" s="11" t="n"/>
      <c r="I540" s="17">
        <f>IF(H540="","",IF(H540&gt;=12,40,ROUND(H540*3.33,2)))</f>
        <v/>
      </c>
      <c r="J540" s="11" t="n"/>
      <c r="K540" s="11" t="n"/>
      <c r="L540" s="11" t="n"/>
      <c r="M540" s="11" t="n"/>
      <c r="N540" s="10">
        <f>IF(COUNTA(J540:M540)=0,"",MIN(10,SUMPRODUCT((COUNTIF(J540:M540,L_KOM)&gt;0)*S_KOM)))</f>
        <v/>
      </c>
      <c r="O540" s="11" t="n"/>
      <c r="P540" s="10">
        <f>IF(O540="","",IFERROR(VLOOKUP(O540,T_KHID,2,FALSE),0))</f>
        <v/>
      </c>
      <c r="Q540" s="11" t="n"/>
      <c r="R540" s="11" t="n"/>
      <c r="S540" s="10">
        <f>IF(AND(Q540="",R540=""),"",IFERROR(INDEX(T_LIBAT,MATCH(Q540,L_PER,0),MATCH(R540,L_JENIS,0)),0))</f>
        <v/>
      </c>
      <c r="T540" s="11" t="n"/>
      <c r="U540" s="11" t="n"/>
      <c r="V540" s="10">
        <f>IF(AND(T540="",U540=""),"",IFERROR(INDEX(T_CAPAI,MATCH(T540,L_PER,0),MATCH(U540,L_KED,0)),0))</f>
        <v/>
      </c>
      <c r="W540" s="17">
        <f>IF(OR(B540="",E540="",COUNTA(F540,H540,J540:M540,O540,Q540:R540,T540:U540)=0),"",SUM(G540,I540,N540,P540,S540,V540))</f>
        <v/>
      </c>
      <c r="X540" s="18">
        <f>IF(W540="","",IF(Murid!F540="TL","TL",ROUND(W540/110*100,2)))</f>
        <v/>
      </c>
    </row>
    <row r="541">
      <c r="A541" s="15">
        <f>Murid!A541</f>
        <v/>
      </c>
      <c r="B541" s="15">
        <f>IF(Murid!B541="","",Murid!B541)</f>
        <v/>
      </c>
      <c r="C541" s="16">
        <f>IF(Murid!C541="","",Murid!C541)</f>
        <v/>
      </c>
      <c r="D541" s="15">
        <f>IF(Murid!E541="","",Murid!E541)</f>
        <v/>
      </c>
      <c r="E541" s="11" t="n"/>
      <c r="F541" s="11" t="n"/>
      <c r="G541" s="10">
        <f>IF(F541="","",IFERROR(VLOOKUP(F541,T_JUB,2,FALSE),0))</f>
        <v/>
      </c>
      <c r="H541" s="11" t="n"/>
      <c r="I541" s="17">
        <f>IF(H541="","",IF(H541&gt;=12,40,ROUND(H541*3.33,2)))</f>
        <v/>
      </c>
      <c r="J541" s="11" t="n"/>
      <c r="K541" s="11" t="n"/>
      <c r="L541" s="11" t="n"/>
      <c r="M541" s="11" t="n"/>
      <c r="N541" s="10">
        <f>IF(COUNTA(J541:M541)=0,"",MIN(10,SUMPRODUCT((COUNTIF(J541:M541,L_KOM)&gt;0)*S_KOM)))</f>
        <v/>
      </c>
      <c r="O541" s="11" t="n"/>
      <c r="P541" s="10">
        <f>IF(O541="","",IFERROR(VLOOKUP(O541,T_KHID,2,FALSE),0))</f>
        <v/>
      </c>
      <c r="Q541" s="11" t="n"/>
      <c r="R541" s="11" t="n"/>
      <c r="S541" s="10">
        <f>IF(AND(Q541="",R541=""),"",IFERROR(INDEX(T_LIBAT,MATCH(Q541,L_PER,0),MATCH(R541,L_JENIS,0)),0))</f>
        <v/>
      </c>
      <c r="T541" s="11" t="n"/>
      <c r="U541" s="11" t="n"/>
      <c r="V541" s="10">
        <f>IF(AND(T541="",U541=""),"",IFERROR(INDEX(T_CAPAI,MATCH(T541,L_PER,0),MATCH(U541,L_KED,0)),0))</f>
        <v/>
      </c>
      <c r="W541" s="17">
        <f>IF(OR(B541="",E541="",COUNTA(F541,H541,J541:M541,O541,Q541:R541,T541:U541)=0),"",SUM(G541,I541,N541,P541,S541,V541))</f>
        <v/>
      </c>
      <c r="X541" s="18">
        <f>IF(W541="","",IF(Murid!F541="TL","TL",ROUND(W541/110*100,2)))</f>
        <v/>
      </c>
    </row>
    <row r="542">
      <c r="A542" s="15">
        <f>Murid!A542</f>
        <v/>
      </c>
      <c r="B542" s="15">
        <f>IF(Murid!B542="","",Murid!B542)</f>
        <v/>
      </c>
      <c r="C542" s="16">
        <f>IF(Murid!C542="","",Murid!C542)</f>
        <v/>
      </c>
      <c r="D542" s="15">
        <f>IF(Murid!E542="","",Murid!E542)</f>
        <v/>
      </c>
      <c r="E542" s="11" t="n"/>
      <c r="F542" s="11" t="n"/>
      <c r="G542" s="10">
        <f>IF(F542="","",IFERROR(VLOOKUP(F542,T_JUB,2,FALSE),0))</f>
        <v/>
      </c>
      <c r="H542" s="11" t="n"/>
      <c r="I542" s="17">
        <f>IF(H542="","",IF(H542&gt;=12,40,ROUND(H542*3.33,2)))</f>
        <v/>
      </c>
      <c r="J542" s="11" t="n"/>
      <c r="K542" s="11" t="n"/>
      <c r="L542" s="11" t="n"/>
      <c r="M542" s="11" t="n"/>
      <c r="N542" s="10">
        <f>IF(COUNTA(J542:M542)=0,"",MIN(10,SUMPRODUCT((COUNTIF(J542:M542,L_KOM)&gt;0)*S_KOM)))</f>
        <v/>
      </c>
      <c r="O542" s="11" t="n"/>
      <c r="P542" s="10">
        <f>IF(O542="","",IFERROR(VLOOKUP(O542,T_KHID,2,FALSE),0))</f>
        <v/>
      </c>
      <c r="Q542" s="11" t="n"/>
      <c r="R542" s="11" t="n"/>
      <c r="S542" s="10">
        <f>IF(AND(Q542="",R542=""),"",IFERROR(INDEX(T_LIBAT,MATCH(Q542,L_PER,0),MATCH(R542,L_JENIS,0)),0))</f>
        <v/>
      </c>
      <c r="T542" s="11" t="n"/>
      <c r="U542" s="11" t="n"/>
      <c r="V542" s="10">
        <f>IF(AND(T542="",U542=""),"",IFERROR(INDEX(T_CAPAI,MATCH(T542,L_PER,0),MATCH(U542,L_KED,0)),0))</f>
        <v/>
      </c>
      <c r="W542" s="17">
        <f>IF(OR(B542="",E542="",COUNTA(F542,H542,J542:M542,O542,Q542:R542,T542:U542)=0),"",SUM(G542,I542,N542,P542,S542,V542))</f>
        <v/>
      </c>
      <c r="X542" s="18">
        <f>IF(W542="","",IF(Murid!F542="TL","TL",ROUND(W542/110*100,2)))</f>
        <v/>
      </c>
    </row>
    <row r="543">
      <c r="A543" s="15">
        <f>Murid!A543</f>
        <v/>
      </c>
      <c r="B543" s="15">
        <f>IF(Murid!B543="","",Murid!B543)</f>
        <v/>
      </c>
      <c r="C543" s="16">
        <f>IF(Murid!C543="","",Murid!C543)</f>
        <v/>
      </c>
      <c r="D543" s="15">
        <f>IF(Murid!E543="","",Murid!E543)</f>
        <v/>
      </c>
      <c r="E543" s="11" t="n"/>
      <c r="F543" s="11" t="n"/>
      <c r="G543" s="10">
        <f>IF(F543="","",IFERROR(VLOOKUP(F543,T_JUB,2,FALSE),0))</f>
        <v/>
      </c>
      <c r="H543" s="11" t="n"/>
      <c r="I543" s="17">
        <f>IF(H543="","",IF(H543&gt;=12,40,ROUND(H543*3.33,2)))</f>
        <v/>
      </c>
      <c r="J543" s="11" t="n"/>
      <c r="K543" s="11" t="n"/>
      <c r="L543" s="11" t="n"/>
      <c r="M543" s="11" t="n"/>
      <c r="N543" s="10">
        <f>IF(COUNTA(J543:M543)=0,"",MIN(10,SUMPRODUCT((COUNTIF(J543:M543,L_KOM)&gt;0)*S_KOM)))</f>
        <v/>
      </c>
      <c r="O543" s="11" t="n"/>
      <c r="P543" s="10">
        <f>IF(O543="","",IFERROR(VLOOKUP(O543,T_KHID,2,FALSE),0))</f>
        <v/>
      </c>
      <c r="Q543" s="11" t="n"/>
      <c r="R543" s="11" t="n"/>
      <c r="S543" s="10">
        <f>IF(AND(Q543="",R543=""),"",IFERROR(INDEX(T_LIBAT,MATCH(Q543,L_PER,0),MATCH(R543,L_JENIS,0)),0))</f>
        <v/>
      </c>
      <c r="T543" s="11" t="n"/>
      <c r="U543" s="11" t="n"/>
      <c r="V543" s="10">
        <f>IF(AND(T543="",U543=""),"",IFERROR(INDEX(T_CAPAI,MATCH(T543,L_PER,0),MATCH(U543,L_KED,0)),0))</f>
        <v/>
      </c>
      <c r="W543" s="17">
        <f>IF(OR(B543="",E543="",COUNTA(F543,H543,J543:M543,O543,Q543:R543,T543:U543)=0),"",SUM(G543,I543,N543,P543,S543,V543))</f>
        <v/>
      </c>
      <c r="X543" s="18">
        <f>IF(W543="","",IF(Murid!F543="TL","TL",ROUND(W543/110*100,2)))</f>
        <v/>
      </c>
    </row>
    <row r="544">
      <c r="A544" s="15">
        <f>Murid!A544</f>
        <v/>
      </c>
      <c r="B544" s="15">
        <f>IF(Murid!B544="","",Murid!B544)</f>
        <v/>
      </c>
      <c r="C544" s="16">
        <f>IF(Murid!C544="","",Murid!C544)</f>
        <v/>
      </c>
      <c r="D544" s="15">
        <f>IF(Murid!E544="","",Murid!E544)</f>
        <v/>
      </c>
      <c r="E544" s="11" t="n"/>
      <c r="F544" s="11" t="n"/>
      <c r="G544" s="10">
        <f>IF(F544="","",IFERROR(VLOOKUP(F544,T_JUB,2,FALSE),0))</f>
        <v/>
      </c>
      <c r="H544" s="11" t="n"/>
      <c r="I544" s="17">
        <f>IF(H544="","",IF(H544&gt;=12,40,ROUND(H544*3.33,2)))</f>
        <v/>
      </c>
      <c r="J544" s="11" t="n"/>
      <c r="K544" s="11" t="n"/>
      <c r="L544" s="11" t="n"/>
      <c r="M544" s="11" t="n"/>
      <c r="N544" s="10">
        <f>IF(COUNTA(J544:M544)=0,"",MIN(10,SUMPRODUCT((COUNTIF(J544:M544,L_KOM)&gt;0)*S_KOM)))</f>
        <v/>
      </c>
      <c r="O544" s="11" t="n"/>
      <c r="P544" s="10">
        <f>IF(O544="","",IFERROR(VLOOKUP(O544,T_KHID,2,FALSE),0))</f>
        <v/>
      </c>
      <c r="Q544" s="11" t="n"/>
      <c r="R544" s="11" t="n"/>
      <c r="S544" s="10">
        <f>IF(AND(Q544="",R544=""),"",IFERROR(INDEX(T_LIBAT,MATCH(Q544,L_PER,0),MATCH(R544,L_JENIS,0)),0))</f>
        <v/>
      </c>
      <c r="T544" s="11" t="n"/>
      <c r="U544" s="11" t="n"/>
      <c r="V544" s="10">
        <f>IF(AND(T544="",U544=""),"",IFERROR(INDEX(T_CAPAI,MATCH(T544,L_PER,0),MATCH(U544,L_KED,0)),0))</f>
        <v/>
      </c>
      <c r="W544" s="17">
        <f>IF(OR(B544="",E544="",COUNTA(F544,H544,J544:M544,O544,Q544:R544,T544:U544)=0),"",SUM(G544,I544,N544,P544,S544,V544))</f>
        <v/>
      </c>
      <c r="X544" s="18">
        <f>IF(W544="","",IF(Murid!F544="TL","TL",ROUND(W544/110*100,2)))</f>
        <v/>
      </c>
    </row>
    <row r="545">
      <c r="A545" s="15">
        <f>Murid!A545</f>
        <v/>
      </c>
      <c r="B545" s="15">
        <f>IF(Murid!B545="","",Murid!B545)</f>
        <v/>
      </c>
      <c r="C545" s="16">
        <f>IF(Murid!C545="","",Murid!C545)</f>
        <v/>
      </c>
      <c r="D545" s="15">
        <f>IF(Murid!E545="","",Murid!E545)</f>
        <v/>
      </c>
      <c r="E545" s="11" t="n"/>
      <c r="F545" s="11" t="n"/>
      <c r="G545" s="10">
        <f>IF(F545="","",IFERROR(VLOOKUP(F545,T_JUB,2,FALSE),0))</f>
        <v/>
      </c>
      <c r="H545" s="11" t="n"/>
      <c r="I545" s="17">
        <f>IF(H545="","",IF(H545&gt;=12,40,ROUND(H545*3.33,2)))</f>
        <v/>
      </c>
      <c r="J545" s="11" t="n"/>
      <c r="K545" s="11" t="n"/>
      <c r="L545" s="11" t="n"/>
      <c r="M545" s="11" t="n"/>
      <c r="N545" s="10">
        <f>IF(COUNTA(J545:M545)=0,"",MIN(10,SUMPRODUCT((COUNTIF(J545:M545,L_KOM)&gt;0)*S_KOM)))</f>
        <v/>
      </c>
      <c r="O545" s="11" t="n"/>
      <c r="P545" s="10">
        <f>IF(O545="","",IFERROR(VLOOKUP(O545,T_KHID,2,FALSE),0))</f>
        <v/>
      </c>
      <c r="Q545" s="11" t="n"/>
      <c r="R545" s="11" t="n"/>
      <c r="S545" s="10">
        <f>IF(AND(Q545="",R545=""),"",IFERROR(INDEX(T_LIBAT,MATCH(Q545,L_PER,0),MATCH(R545,L_JENIS,0)),0))</f>
        <v/>
      </c>
      <c r="T545" s="11" t="n"/>
      <c r="U545" s="11" t="n"/>
      <c r="V545" s="10">
        <f>IF(AND(T545="",U545=""),"",IFERROR(INDEX(T_CAPAI,MATCH(T545,L_PER,0),MATCH(U545,L_KED,0)),0))</f>
        <v/>
      </c>
      <c r="W545" s="17">
        <f>IF(OR(B545="",E545="",COUNTA(F545,H545,J545:M545,O545,Q545:R545,T545:U545)=0),"",SUM(G545,I545,N545,P545,S545,V545))</f>
        <v/>
      </c>
      <c r="X545" s="18">
        <f>IF(W545="","",IF(Murid!F545="TL","TL",ROUND(W545/110*100,2)))</f>
        <v/>
      </c>
    </row>
    <row r="546">
      <c r="A546" s="15">
        <f>Murid!A546</f>
        <v/>
      </c>
      <c r="B546" s="15">
        <f>IF(Murid!B546="","",Murid!B546)</f>
        <v/>
      </c>
      <c r="C546" s="16">
        <f>IF(Murid!C546="","",Murid!C546)</f>
        <v/>
      </c>
      <c r="D546" s="15">
        <f>IF(Murid!E546="","",Murid!E546)</f>
        <v/>
      </c>
      <c r="E546" s="11" t="n"/>
      <c r="F546" s="11" t="n"/>
      <c r="G546" s="10">
        <f>IF(F546="","",IFERROR(VLOOKUP(F546,T_JUB,2,FALSE),0))</f>
        <v/>
      </c>
      <c r="H546" s="11" t="n"/>
      <c r="I546" s="17">
        <f>IF(H546="","",IF(H546&gt;=12,40,ROUND(H546*3.33,2)))</f>
        <v/>
      </c>
      <c r="J546" s="11" t="n"/>
      <c r="K546" s="11" t="n"/>
      <c r="L546" s="11" t="n"/>
      <c r="M546" s="11" t="n"/>
      <c r="N546" s="10">
        <f>IF(COUNTA(J546:M546)=0,"",MIN(10,SUMPRODUCT((COUNTIF(J546:M546,L_KOM)&gt;0)*S_KOM)))</f>
        <v/>
      </c>
      <c r="O546" s="11" t="n"/>
      <c r="P546" s="10">
        <f>IF(O546="","",IFERROR(VLOOKUP(O546,T_KHID,2,FALSE),0))</f>
        <v/>
      </c>
      <c r="Q546" s="11" t="n"/>
      <c r="R546" s="11" t="n"/>
      <c r="S546" s="10">
        <f>IF(AND(Q546="",R546=""),"",IFERROR(INDEX(T_LIBAT,MATCH(Q546,L_PER,0),MATCH(R546,L_JENIS,0)),0))</f>
        <v/>
      </c>
      <c r="T546" s="11" t="n"/>
      <c r="U546" s="11" t="n"/>
      <c r="V546" s="10">
        <f>IF(AND(T546="",U546=""),"",IFERROR(INDEX(T_CAPAI,MATCH(T546,L_PER,0),MATCH(U546,L_KED,0)),0))</f>
        <v/>
      </c>
      <c r="W546" s="17">
        <f>IF(OR(B546="",E546="",COUNTA(F546,H546,J546:M546,O546,Q546:R546,T546:U546)=0),"",SUM(G546,I546,N546,P546,S546,V546))</f>
        <v/>
      </c>
      <c r="X546" s="18">
        <f>IF(W546="","",IF(Murid!F546="TL","TL",ROUND(W546/110*100,2)))</f>
        <v/>
      </c>
    </row>
    <row r="547">
      <c r="A547" s="15">
        <f>Murid!A547</f>
        <v/>
      </c>
      <c r="B547" s="15">
        <f>IF(Murid!B547="","",Murid!B547)</f>
        <v/>
      </c>
      <c r="C547" s="16">
        <f>IF(Murid!C547="","",Murid!C547)</f>
        <v/>
      </c>
      <c r="D547" s="15">
        <f>IF(Murid!E547="","",Murid!E547)</f>
        <v/>
      </c>
      <c r="E547" s="11" t="n"/>
      <c r="F547" s="11" t="n"/>
      <c r="G547" s="10">
        <f>IF(F547="","",IFERROR(VLOOKUP(F547,T_JUB,2,FALSE),0))</f>
        <v/>
      </c>
      <c r="H547" s="11" t="n"/>
      <c r="I547" s="17">
        <f>IF(H547="","",IF(H547&gt;=12,40,ROUND(H547*3.33,2)))</f>
        <v/>
      </c>
      <c r="J547" s="11" t="n"/>
      <c r="K547" s="11" t="n"/>
      <c r="L547" s="11" t="n"/>
      <c r="M547" s="11" t="n"/>
      <c r="N547" s="10">
        <f>IF(COUNTA(J547:M547)=0,"",MIN(10,SUMPRODUCT((COUNTIF(J547:M547,L_KOM)&gt;0)*S_KOM)))</f>
        <v/>
      </c>
      <c r="O547" s="11" t="n"/>
      <c r="P547" s="10">
        <f>IF(O547="","",IFERROR(VLOOKUP(O547,T_KHID,2,FALSE),0))</f>
        <v/>
      </c>
      <c r="Q547" s="11" t="n"/>
      <c r="R547" s="11" t="n"/>
      <c r="S547" s="10">
        <f>IF(AND(Q547="",R547=""),"",IFERROR(INDEX(T_LIBAT,MATCH(Q547,L_PER,0),MATCH(R547,L_JENIS,0)),0))</f>
        <v/>
      </c>
      <c r="T547" s="11" t="n"/>
      <c r="U547" s="11" t="n"/>
      <c r="V547" s="10">
        <f>IF(AND(T547="",U547=""),"",IFERROR(INDEX(T_CAPAI,MATCH(T547,L_PER,0),MATCH(U547,L_KED,0)),0))</f>
        <v/>
      </c>
      <c r="W547" s="17">
        <f>IF(OR(B547="",E547="",COUNTA(F547,H547,J547:M547,O547,Q547:R547,T547:U547)=0),"",SUM(G547,I547,N547,P547,S547,V547))</f>
        <v/>
      </c>
      <c r="X547" s="18">
        <f>IF(W547="","",IF(Murid!F547="TL","TL",ROUND(W547/110*100,2)))</f>
        <v/>
      </c>
    </row>
    <row r="548">
      <c r="A548" s="15">
        <f>Murid!A548</f>
        <v/>
      </c>
      <c r="B548" s="15">
        <f>IF(Murid!B548="","",Murid!B548)</f>
        <v/>
      </c>
      <c r="C548" s="16">
        <f>IF(Murid!C548="","",Murid!C548)</f>
        <v/>
      </c>
      <c r="D548" s="15">
        <f>IF(Murid!E548="","",Murid!E548)</f>
        <v/>
      </c>
      <c r="E548" s="11" t="n"/>
      <c r="F548" s="11" t="n"/>
      <c r="G548" s="10">
        <f>IF(F548="","",IFERROR(VLOOKUP(F548,T_JUB,2,FALSE),0))</f>
        <v/>
      </c>
      <c r="H548" s="11" t="n"/>
      <c r="I548" s="17">
        <f>IF(H548="","",IF(H548&gt;=12,40,ROUND(H548*3.33,2)))</f>
        <v/>
      </c>
      <c r="J548" s="11" t="n"/>
      <c r="K548" s="11" t="n"/>
      <c r="L548" s="11" t="n"/>
      <c r="M548" s="11" t="n"/>
      <c r="N548" s="10">
        <f>IF(COUNTA(J548:M548)=0,"",MIN(10,SUMPRODUCT((COUNTIF(J548:M548,L_KOM)&gt;0)*S_KOM)))</f>
        <v/>
      </c>
      <c r="O548" s="11" t="n"/>
      <c r="P548" s="10">
        <f>IF(O548="","",IFERROR(VLOOKUP(O548,T_KHID,2,FALSE),0))</f>
        <v/>
      </c>
      <c r="Q548" s="11" t="n"/>
      <c r="R548" s="11" t="n"/>
      <c r="S548" s="10">
        <f>IF(AND(Q548="",R548=""),"",IFERROR(INDEX(T_LIBAT,MATCH(Q548,L_PER,0),MATCH(R548,L_JENIS,0)),0))</f>
        <v/>
      </c>
      <c r="T548" s="11" t="n"/>
      <c r="U548" s="11" t="n"/>
      <c r="V548" s="10">
        <f>IF(AND(T548="",U548=""),"",IFERROR(INDEX(T_CAPAI,MATCH(T548,L_PER,0),MATCH(U548,L_KED,0)),0))</f>
        <v/>
      </c>
      <c r="W548" s="17">
        <f>IF(OR(B548="",E548="",COUNTA(F548,H548,J548:M548,O548,Q548:R548,T548:U548)=0),"",SUM(G548,I548,N548,P548,S548,V548))</f>
        <v/>
      </c>
      <c r="X548" s="18">
        <f>IF(W548="","",IF(Murid!F548="TL","TL",ROUND(W548/110*100,2)))</f>
        <v/>
      </c>
    </row>
    <row r="549">
      <c r="A549" s="15">
        <f>Murid!A549</f>
        <v/>
      </c>
      <c r="B549" s="15">
        <f>IF(Murid!B549="","",Murid!B549)</f>
        <v/>
      </c>
      <c r="C549" s="16">
        <f>IF(Murid!C549="","",Murid!C549)</f>
        <v/>
      </c>
      <c r="D549" s="15">
        <f>IF(Murid!E549="","",Murid!E549)</f>
        <v/>
      </c>
      <c r="E549" s="11" t="n"/>
      <c r="F549" s="11" t="n"/>
      <c r="G549" s="10">
        <f>IF(F549="","",IFERROR(VLOOKUP(F549,T_JUB,2,FALSE),0))</f>
        <v/>
      </c>
      <c r="H549" s="11" t="n"/>
      <c r="I549" s="17">
        <f>IF(H549="","",IF(H549&gt;=12,40,ROUND(H549*3.33,2)))</f>
        <v/>
      </c>
      <c r="J549" s="11" t="n"/>
      <c r="K549" s="11" t="n"/>
      <c r="L549" s="11" t="n"/>
      <c r="M549" s="11" t="n"/>
      <c r="N549" s="10">
        <f>IF(COUNTA(J549:M549)=0,"",MIN(10,SUMPRODUCT((COUNTIF(J549:M549,L_KOM)&gt;0)*S_KOM)))</f>
        <v/>
      </c>
      <c r="O549" s="11" t="n"/>
      <c r="P549" s="10">
        <f>IF(O549="","",IFERROR(VLOOKUP(O549,T_KHID,2,FALSE),0))</f>
        <v/>
      </c>
      <c r="Q549" s="11" t="n"/>
      <c r="R549" s="11" t="n"/>
      <c r="S549" s="10">
        <f>IF(AND(Q549="",R549=""),"",IFERROR(INDEX(T_LIBAT,MATCH(Q549,L_PER,0),MATCH(R549,L_JENIS,0)),0))</f>
        <v/>
      </c>
      <c r="T549" s="11" t="n"/>
      <c r="U549" s="11" t="n"/>
      <c r="V549" s="10">
        <f>IF(AND(T549="",U549=""),"",IFERROR(INDEX(T_CAPAI,MATCH(T549,L_PER,0),MATCH(U549,L_KED,0)),0))</f>
        <v/>
      </c>
      <c r="W549" s="17">
        <f>IF(OR(B549="",E549="",COUNTA(F549,H549,J549:M549,O549,Q549:R549,T549:U549)=0),"",SUM(G549,I549,N549,P549,S549,V549))</f>
        <v/>
      </c>
      <c r="X549" s="18">
        <f>IF(W549="","",IF(Murid!F549="TL","TL",ROUND(W549/110*100,2)))</f>
        <v/>
      </c>
    </row>
    <row r="550">
      <c r="A550" s="15">
        <f>Murid!A550</f>
        <v/>
      </c>
      <c r="B550" s="15">
        <f>IF(Murid!B550="","",Murid!B550)</f>
        <v/>
      </c>
      <c r="C550" s="16">
        <f>IF(Murid!C550="","",Murid!C550)</f>
        <v/>
      </c>
      <c r="D550" s="15">
        <f>IF(Murid!E550="","",Murid!E550)</f>
        <v/>
      </c>
      <c r="E550" s="11" t="n"/>
      <c r="F550" s="11" t="n"/>
      <c r="G550" s="10">
        <f>IF(F550="","",IFERROR(VLOOKUP(F550,T_JUB,2,FALSE),0))</f>
        <v/>
      </c>
      <c r="H550" s="11" t="n"/>
      <c r="I550" s="17">
        <f>IF(H550="","",IF(H550&gt;=12,40,ROUND(H550*3.33,2)))</f>
        <v/>
      </c>
      <c r="J550" s="11" t="n"/>
      <c r="K550" s="11" t="n"/>
      <c r="L550" s="11" t="n"/>
      <c r="M550" s="11" t="n"/>
      <c r="N550" s="10">
        <f>IF(COUNTA(J550:M550)=0,"",MIN(10,SUMPRODUCT((COUNTIF(J550:M550,L_KOM)&gt;0)*S_KOM)))</f>
        <v/>
      </c>
      <c r="O550" s="11" t="n"/>
      <c r="P550" s="10">
        <f>IF(O550="","",IFERROR(VLOOKUP(O550,T_KHID,2,FALSE),0))</f>
        <v/>
      </c>
      <c r="Q550" s="11" t="n"/>
      <c r="R550" s="11" t="n"/>
      <c r="S550" s="10">
        <f>IF(AND(Q550="",R550=""),"",IFERROR(INDEX(T_LIBAT,MATCH(Q550,L_PER,0),MATCH(R550,L_JENIS,0)),0))</f>
        <v/>
      </c>
      <c r="T550" s="11" t="n"/>
      <c r="U550" s="11" t="n"/>
      <c r="V550" s="10">
        <f>IF(AND(T550="",U550=""),"",IFERROR(INDEX(T_CAPAI,MATCH(T550,L_PER,0),MATCH(U550,L_KED,0)),0))</f>
        <v/>
      </c>
      <c r="W550" s="17">
        <f>IF(OR(B550="",E550="",COUNTA(F550,H550,J550:M550,O550,Q550:R550,T550:U550)=0),"",SUM(G550,I550,N550,P550,S550,V550))</f>
        <v/>
      </c>
      <c r="X550" s="18">
        <f>IF(W550="","",IF(Murid!F550="TL","TL",ROUND(W550/110*100,2)))</f>
        <v/>
      </c>
    </row>
    <row r="551">
      <c r="A551" s="15">
        <f>Murid!A551</f>
        <v/>
      </c>
      <c r="B551" s="15">
        <f>IF(Murid!B551="","",Murid!B551)</f>
        <v/>
      </c>
      <c r="C551" s="16">
        <f>IF(Murid!C551="","",Murid!C551)</f>
        <v/>
      </c>
      <c r="D551" s="15">
        <f>IF(Murid!E551="","",Murid!E551)</f>
        <v/>
      </c>
      <c r="E551" s="11" t="n"/>
      <c r="F551" s="11" t="n"/>
      <c r="G551" s="10">
        <f>IF(F551="","",IFERROR(VLOOKUP(F551,T_JUB,2,FALSE),0))</f>
        <v/>
      </c>
      <c r="H551" s="11" t="n"/>
      <c r="I551" s="17">
        <f>IF(H551="","",IF(H551&gt;=12,40,ROUND(H551*3.33,2)))</f>
        <v/>
      </c>
      <c r="J551" s="11" t="n"/>
      <c r="K551" s="11" t="n"/>
      <c r="L551" s="11" t="n"/>
      <c r="M551" s="11" t="n"/>
      <c r="N551" s="10">
        <f>IF(COUNTA(J551:M551)=0,"",MIN(10,SUMPRODUCT((COUNTIF(J551:M551,L_KOM)&gt;0)*S_KOM)))</f>
        <v/>
      </c>
      <c r="O551" s="11" t="n"/>
      <c r="P551" s="10">
        <f>IF(O551="","",IFERROR(VLOOKUP(O551,T_KHID,2,FALSE),0))</f>
        <v/>
      </c>
      <c r="Q551" s="11" t="n"/>
      <c r="R551" s="11" t="n"/>
      <c r="S551" s="10">
        <f>IF(AND(Q551="",R551=""),"",IFERROR(INDEX(T_LIBAT,MATCH(Q551,L_PER,0),MATCH(R551,L_JENIS,0)),0))</f>
        <v/>
      </c>
      <c r="T551" s="11" t="n"/>
      <c r="U551" s="11" t="n"/>
      <c r="V551" s="10">
        <f>IF(AND(T551="",U551=""),"",IFERROR(INDEX(T_CAPAI,MATCH(T551,L_PER,0),MATCH(U551,L_KED,0)),0))</f>
        <v/>
      </c>
      <c r="W551" s="17">
        <f>IF(OR(B551="",E551="",COUNTA(F551,H551,J551:M551,O551,Q551:R551,T551:U551)=0),"",SUM(G551,I551,N551,P551,S551,V551))</f>
        <v/>
      </c>
      <c r="X551" s="18">
        <f>IF(W551="","",IF(Murid!F551="TL","TL",ROUND(W551/110*100,2)))</f>
        <v/>
      </c>
    </row>
    <row r="552">
      <c r="A552" s="15">
        <f>Murid!A552</f>
        <v/>
      </c>
      <c r="B552" s="15">
        <f>IF(Murid!B552="","",Murid!B552)</f>
        <v/>
      </c>
      <c r="C552" s="16">
        <f>IF(Murid!C552="","",Murid!C552)</f>
        <v/>
      </c>
      <c r="D552" s="15">
        <f>IF(Murid!E552="","",Murid!E552)</f>
        <v/>
      </c>
      <c r="E552" s="11" t="n"/>
      <c r="F552" s="11" t="n"/>
      <c r="G552" s="10">
        <f>IF(F552="","",IFERROR(VLOOKUP(F552,T_JUB,2,FALSE),0))</f>
        <v/>
      </c>
      <c r="H552" s="11" t="n"/>
      <c r="I552" s="17">
        <f>IF(H552="","",IF(H552&gt;=12,40,ROUND(H552*3.33,2)))</f>
        <v/>
      </c>
      <c r="J552" s="11" t="n"/>
      <c r="K552" s="11" t="n"/>
      <c r="L552" s="11" t="n"/>
      <c r="M552" s="11" t="n"/>
      <c r="N552" s="10">
        <f>IF(COUNTA(J552:M552)=0,"",MIN(10,SUMPRODUCT((COUNTIF(J552:M552,L_KOM)&gt;0)*S_KOM)))</f>
        <v/>
      </c>
      <c r="O552" s="11" t="n"/>
      <c r="P552" s="10">
        <f>IF(O552="","",IFERROR(VLOOKUP(O552,T_KHID,2,FALSE),0))</f>
        <v/>
      </c>
      <c r="Q552" s="11" t="n"/>
      <c r="R552" s="11" t="n"/>
      <c r="S552" s="10">
        <f>IF(AND(Q552="",R552=""),"",IFERROR(INDEX(T_LIBAT,MATCH(Q552,L_PER,0),MATCH(R552,L_JENIS,0)),0))</f>
        <v/>
      </c>
      <c r="T552" s="11" t="n"/>
      <c r="U552" s="11" t="n"/>
      <c r="V552" s="10">
        <f>IF(AND(T552="",U552=""),"",IFERROR(INDEX(T_CAPAI,MATCH(T552,L_PER,0),MATCH(U552,L_KED,0)),0))</f>
        <v/>
      </c>
      <c r="W552" s="17">
        <f>IF(OR(B552="",E552="",COUNTA(F552,H552,J552:M552,O552,Q552:R552,T552:U552)=0),"",SUM(G552,I552,N552,P552,S552,V552))</f>
        <v/>
      </c>
      <c r="X552" s="18">
        <f>IF(W552="","",IF(Murid!F552="TL","TL",ROUND(W552/110*100,2)))</f>
        <v/>
      </c>
    </row>
    <row r="553">
      <c r="A553" s="15">
        <f>Murid!A553</f>
        <v/>
      </c>
      <c r="B553" s="15">
        <f>IF(Murid!B553="","",Murid!B553)</f>
        <v/>
      </c>
      <c r="C553" s="16">
        <f>IF(Murid!C553="","",Murid!C553)</f>
        <v/>
      </c>
      <c r="D553" s="15">
        <f>IF(Murid!E553="","",Murid!E553)</f>
        <v/>
      </c>
      <c r="E553" s="11" t="n"/>
      <c r="F553" s="11" t="n"/>
      <c r="G553" s="10">
        <f>IF(F553="","",IFERROR(VLOOKUP(F553,T_JUB,2,FALSE),0))</f>
        <v/>
      </c>
      <c r="H553" s="11" t="n"/>
      <c r="I553" s="17">
        <f>IF(H553="","",IF(H553&gt;=12,40,ROUND(H553*3.33,2)))</f>
        <v/>
      </c>
      <c r="J553" s="11" t="n"/>
      <c r="K553" s="11" t="n"/>
      <c r="L553" s="11" t="n"/>
      <c r="M553" s="11" t="n"/>
      <c r="N553" s="10">
        <f>IF(COUNTA(J553:M553)=0,"",MIN(10,SUMPRODUCT((COUNTIF(J553:M553,L_KOM)&gt;0)*S_KOM)))</f>
        <v/>
      </c>
      <c r="O553" s="11" t="n"/>
      <c r="P553" s="10">
        <f>IF(O553="","",IFERROR(VLOOKUP(O553,T_KHID,2,FALSE),0))</f>
        <v/>
      </c>
      <c r="Q553" s="11" t="n"/>
      <c r="R553" s="11" t="n"/>
      <c r="S553" s="10">
        <f>IF(AND(Q553="",R553=""),"",IFERROR(INDEX(T_LIBAT,MATCH(Q553,L_PER,0),MATCH(R553,L_JENIS,0)),0))</f>
        <v/>
      </c>
      <c r="T553" s="11" t="n"/>
      <c r="U553" s="11" t="n"/>
      <c r="V553" s="10">
        <f>IF(AND(T553="",U553=""),"",IFERROR(INDEX(T_CAPAI,MATCH(T553,L_PER,0),MATCH(U553,L_KED,0)),0))</f>
        <v/>
      </c>
      <c r="W553" s="17">
        <f>IF(OR(B553="",E553="",COUNTA(F553,H553,J553:M553,O553,Q553:R553,T553:U553)=0),"",SUM(G553,I553,N553,P553,S553,V553))</f>
        <v/>
      </c>
      <c r="X553" s="18">
        <f>IF(W553="","",IF(Murid!F553="TL","TL",ROUND(W553/110*100,2)))</f>
        <v/>
      </c>
    </row>
    <row r="554">
      <c r="A554" s="15">
        <f>Murid!A554</f>
        <v/>
      </c>
      <c r="B554" s="15">
        <f>IF(Murid!B554="","",Murid!B554)</f>
        <v/>
      </c>
      <c r="C554" s="16">
        <f>IF(Murid!C554="","",Murid!C554)</f>
        <v/>
      </c>
      <c r="D554" s="15">
        <f>IF(Murid!E554="","",Murid!E554)</f>
        <v/>
      </c>
      <c r="E554" s="11" t="n"/>
      <c r="F554" s="11" t="n"/>
      <c r="G554" s="10">
        <f>IF(F554="","",IFERROR(VLOOKUP(F554,T_JUB,2,FALSE),0))</f>
        <v/>
      </c>
      <c r="H554" s="11" t="n"/>
      <c r="I554" s="17">
        <f>IF(H554="","",IF(H554&gt;=12,40,ROUND(H554*3.33,2)))</f>
        <v/>
      </c>
      <c r="J554" s="11" t="n"/>
      <c r="K554" s="11" t="n"/>
      <c r="L554" s="11" t="n"/>
      <c r="M554" s="11" t="n"/>
      <c r="N554" s="10">
        <f>IF(COUNTA(J554:M554)=0,"",MIN(10,SUMPRODUCT((COUNTIF(J554:M554,L_KOM)&gt;0)*S_KOM)))</f>
        <v/>
      </c>
      <c r="O554" s="11" t="n"/>
      <c r="P554" s="10">
        <f>IF(O554="","",IFERROR(VLOOKUP(O554,T_KHID,2,FALSE),0))</f>
        <v/>
      </c>
      <c r="Q554" s="11" t="n"/>
      <c r="R554" s="11" t="n"/>
      <c r="S554" s="10">
        <f>IF(AND(Q554="",R554=""),"",IFERROR(INDEX(T_LIBAT,MATCH(Q554,L_PER,0),MATCH(R554,L_JENIS,0)),0))</f>
        <v/>
      </c>
      <c r="T554" s="11" t="n"/>
      <c r="U554" s="11" t="n"/>
      <c r="V554" s="10">
        <f>IF(AND(T554="",U554=""),"",IFERROR(INDEX(T_CAPAI,MATCH(T554,L_PER,0),MATCH(U554,L_KED,0)),0))</f>
        <v/>
      </c>
      <c r="W554" s="17">
        <f>IF(OR(B554="",E554="",COUNTA(F554,H554,J554:M554,O554,Q554:R554,T554:U554)=0),"",SUM(G554,I554,N554,P554,S554,V554))</f>
        <v/>
      </c>
      <c r="X554" s="18">
        <f>IF(W554="","",IF(Murid!F554="TL","TL",ROUND(W554/110*100,2)))</f>
        <v/>
      </c>
    </row>
    <row r="555">
      <c r="A555" s="15">
        <f>Murid!A555</f>
        <v/>
      </c>
      <c r="B555" s="15">
        <f>IF(Murid!B555="","",Murid!B555)</f>
        <v/>
      </c>
      <c r="C555" s="16">
        <f>IF(Murid!C555="","",Murid!C555)</f>
        <v/>
      </c>
      <c r="D555" s="15">
        <f>IF(Murid!E555="","",Murid!E555)</f>
        <v/>
      </c>
      <c r="E555" s="11" t="n"/>
      <c r="F555" s="11" t="n"/>
      <c r="G555" s="10">
        <f>IF(F555="","",IFERROR(VLOOKUP(F555,T_JUB,2,FALSE),0))</f>
        <v/>
      </c>
      <c r="H555" s="11" t="n"/>
      <c r="I555" s="17">
        <f>IF(H555="","",IF(H555&gt;=12,40,ROUND(H555*3.33,2)))</f>
        <v/>
      </c>
      <c r="J555" s="11" t="n"/>
      <c r="K555" s="11" t="n"/>
      <c r="L555" s="11" t="n"/>
      <c r="M555" s="11" t="n"/>
      <c r="N555" s="10">
        <f>IF(COUNTA(J555:M555)=0,"",MIN(10,SUMPRODUCT((COUNTIF(J555:M555,L_KOM)&gt;0)*S_KOM)))</f>
        <v/>
      </c>
      <c r="O555" s="11" t="n"/>
      <c r="P555" s="10">
        <f>IF(O555="","",IFERROR(VLOOKUP(O555,T_KHID,2,FALSE),0))</f>
        <v/>
      </c>
      <c r="Q555" s="11" t="n"/>
      <c r="R555" s="11" t="n"/>
      <c r="S555" s="10">
        <f>IF(AND(Q555="",R555=""),"",IFERROR(INDEX(T_LIBAT,MATCH(Q555,L_PER,0),MATCH(R555,L_JENIS,0)),0))</f>
        <v/>
      </c>
      <c r="T555" s="11" t="n"/>
      <c r="U555" s="11" t="n"/>
      <c r="V555" s="10">
        <f>IF(AND(T555="",U555=""),"",IFERROR(INDEX(T_CAPAI,MATCH(T555,L_PER,0),MATCH(U555,L_KED,0)),0))</f>
        <v/>
      </c>
      <c r="W555" s="17">
        <f>IF(OR(B555="",E555="",COUNTA(F555,H555,J555:M555,O555,Q555:R555,T555:U555)=0),"",SUM(G555,I555,N555,P555,S555,V555))</f>
        <v/>
      </c>
      <c r="X555" s="18">
        <f>IF(W555="","",IF(Murid!F555="TL","TL",ROUND(W555/110*100,2)))</f>
        <v/>
      </c>
    </row>
    <row r="556">
      <c r="A556" s="15">
        <f>Murid!A556</f>
        <v/>
      </c>
      <c r="B556" s="15">
        <f>IF(Murid!B556="","",Murid!B556)</f>
        <v/>
      </c>
      <c r="C556" s="16">
        <f>IF(Murid!C556="","",Murid!C556)</f>
        <v/>
      </c>
      <c r="D556" s="15">
        <f>IF(Murid!E556="","",Murid!E556)</f>
        <v/>
      </c>
      <c r="E556" s="11" t="n"/>
      <c r="F556" s="11" t="n"/>
      <c r="G556" s="10">
        <f>IF(F556="","",IFERROR(VLOOKUP(F556,T_JUB,2,FALSE),0))</f>
        <v/>
      </c>
      <c r="H556" s="11" t="n"/>
      <c r="I556" s="17">
        <f>IF(H556="","",IF(H556&gt;=12,40,ROUND(H556*3.33,2)))</f>
        <v/>
      </c>
      <c r="J556" s="11" t="n"/>
      <c r="K556" s="11" t="n"/>
      <c r="L556" s="11" t="n"/>
      <c r="M556" s="11" t="n"/>
      <c r="N556" s="10">
        <f>IF(COUNTA(J556:M556)=0,"",MIN(10,SUMPRODUCT((COUNTIF(J556:M556,L_KOM)&gt;0)*S_KOM)))</f>
        <v/>
      </c>
      <c r="O556" s="11" t="n"/>
      <c r="P556" s="10">
        <f>IF(O556="","",IFERROR(VLOOKUP(O556,T_KHID,2,FALSE),0))</f>
        <v/>
      </c>
      <c r="Q556" s="11" t="n"/>
      <c r="R556" s="11" t="n"/>
      <c r="S556" s="10">
        <f>IF(AND(Q556="",R556=""),"",IFERROR(INDEX(T_LIBAT,MATCH(Q556,L_PER,0),MATCH(R556,L_JENIS,0)),0))</f>
        <v/>
      </c>
      <c r="T556" s="11" t="n"/>
      <c r="U556" s="11" t="n"/>
      <c r="V556" s="10">
        <f>IF(AND(T556="",U556=""),"",IFERROR(INDEX(T_CAPAI,MATCH(T556,L_PER,0),MATCH(U556,L_KED,0)),0))</f>
        <v/>
      </c>
      <c r="W556" s="17">
        <f>IF(OR(B556="",E556="",COUNTA(F556,H556,J556:M556,O556,Q556:R556,T556:U556)=0),"",SUM(G556,I556,N556,P556,S556,V556))</f>
        <v/>
      </c>
      <c r="X556" s="18">
        <f>IF(W556="","",IF(Murid!F556="TL","TL",ROUND(W556/110*100,2)))</f>
        <v/>
      </c>
    </row>
    <row r="557">
      <c r="A557" s="15">
        <f>Murid!A557</f>
        <v/>
      </c>
      <c r="B557" s="15">
        <f>IF(Murid!B557="","",Murid!B557)</f>
        <v/>
      </c>
      <c r="C557" s="16">
        <f>IF(Murid!C557="","",Murid!C557)</f>
        <v/>
      </c>
      <c r="D557" s="15">
        <f>IF(Murid!E557="","",Murid!E557)</f>
        <v/>
      </c>
      <c r="E557" s="11" t="n"/>
      <c r="F557" s="11" t="n"/>
      <c r="G557" s="10">
        <f>IF(F557="","",IFERROR(VLOOKUP(F557,T_JUB,2,FALSE),0))</f>
        <v/>
      </c>
      <c r="H557" s="11" t="n"/>
      <c r="I557" s="17">
        <f>IF(H557="","",IF(H557&gt;=12,40,ROUND(H557*3.33,2)))</f>
        <v/>
      </c>
      <c r="J557" s="11" t="n"/>
      <c r="K557" s="11" t="n"/>
      <c r="L557" s="11" t="n"/>
      <c r="M557" s="11" t="n"/>
      <c r="N557" s="10">
        <f>IF(COUNTA(J557:M557)=0,"",MIN(10,SUMPRODUCT((COUNTIF(J557:M557,L_KOM)&gt;0)*S_KOM)))</f>
        <v/>
      </c>
      <c r="O557" s="11" t="n"/>
      <c r="P557" s="10">
        <f>IF(O557="","",IFERROR(VLOOKUP(O557,T_KHID,2,FALSE),0))</f>
        <v/>
      </c>
      <c r="Q557" s="11" t="n"/>
      <c r="R557" s="11" t="n"/>
      <c r="S557" s="10">
        <f>IF(AND(Q557="",R557=""),"",IFERROR(INDEX(T_LIBAT,MATCH(Q557,L_PER,0),MATCH(R557,L_JENIS,0)),0))</f>
        <v/>
      </c>
      <c r="T557" s="11" t="n"/>
      <c r="U557" s="11" t="n"/>
      <c r="V557" s="10">
        <f>IF(AND(T557="",U557=""),"",IFERROR(INDEX(T_CAPAI,MATCH(T557,L_PER,0),MATCH(U557,L_KED,0)),0))</f>
        <v/>
      </c>
      <c r="W557" s="17">
        <f>IF(OR(B557="",E557="",COUNTA(F557,H557,J557:M557,O557,Q557:R557,T557:U557)=0),"",SUM(G557,I557,N557,P557,S557,V557))</f>
        <v/>
      </c>
      <c r="X557" s="18">
        <f>IF(W557="","",IF(Murid!F557="TL","TL",ROUND(W557/110*100,2)))</f>
        <v/>
      </c>
    </row>
    <row r="558">
      <c r="A558" s="15">
        <f>Murid!A558</f>
        <v/>
      </c>
      <c r="B558" s="15">
        <f>IF(Murid!B558="","",Murid!B558)</f>
        <v/>
      </c>
      <c r="C558" s="16">
        <f>IF(Murid!C558="","",Murid!C558)</f>
        <v/>
      </c>
      <c r="D558" s="15">
        <f>IF(Murid!E558="","",Murid!E558)</f>
        <v/>
      </c>
      <c r="E558" s="11" t="n"/>
      <c r="F558" s="11" t="n"/>
      <c r="G558" s="10">
        <f>IF(F558="","",IFERROR(VLOOKUP(F558,T_JUB,2,FALSE),0))</f>
        <v/>
      </c>
      <c r="H558" s="11" t="n"/>
      <c r="I558" s="17">
        <f>IF(H558="","",IF(H558&gt;=12,40,ROUND(H558*3.33,2)))</f>
        <v/>
      </c>
      <c r="J558" s="11" t="n"/>
      <c r="K558" s="11" t="n"/>
      <c r="L558" s="11" t="n"/>
      <c r="M558" s="11" t="n"/>
      <c r="N558" s="10">
        <f>IF(COUNTA(J558:M558)=0,"",MIN(10,SUMPRODUCT((COUNTIF(J558:M558,L_KOM)&gt;0)*S_KOM)))</f>
        <v/>
      </c>
      <c r="O558" s="11" t="n"/>
      <c r="P558" s="10">
        <f>IF(O558="","",IFERROR(VLOOKUP(O558,T_KHID,2,FALSE),0))</f>
        <v/>
      </c>
      <c r="Q558" s="11" t="n"/>
      <c r="R558" s="11" t="n"/>
      <c r="S558" s="10">
        <f>IF(AND(Q558="",R558=""),"",IFERROR(INDEX(T_LIBAT,MATCH(Q558,L_PER,0),MATCH(R558,L_JENIS,0)),0))</f>
        <v/>
      </c>
      <c r="T558" s="11" t="n"/>
      <c r="U558" s="11" t="n"/>
      <c r="V558" s="10">
        <f>IF(AND(T558="",U558=""),"",IFERROR(INDEX(T_CAPAI,MATCH(T558,L_PER,0),MATCH(U558,L_KED,0)),0))</f>
        <v/>
      </c>
      <c r="W558" s="17">
        <f>IF(OR(B558="",E558="",COUNTA(F558,H558,J558:M558,O558,Q558:R558,T558:U558)=0),"",SUM(G558,I558,N558,P558,S558,V558))</f>
        <v/>
      </c>
      <c r="X558" s="18">
        <f>IF(W558="","",IF(Murid!F558="TL","TL",ROUND(W558/110*100,2)))</f>
        <v/>
      </c>
    </row>
    <row r="559">
      <c r="A559" s="15">
        <f>Murid!A559</f>
        <v/>
      </c>
      <c r="B559" s="15">
        <f>IF(Murid!B559="","",Murid!B559)</f>
        <v/>
      </c>
      <c r="C559" s="16">
        <f>IF(Murid!C559="","",Murid!C559)</f>
        <v/>
      </c>
      <c r="D559" s="15">
        <f>IF(Murid!E559="","",Murid!E559)</f>
        <v/>
      </c>
      <c r="E559" s="11" t="n"/>
      <c r="F559" s="11" t="n"/>
      <c r="G559" s="10">
        <f>IF(F559="","",IFERROR(VLOOKUP(F559,T_JUB,2,FALSE),0))</f>
        <v/>
      </c>
      <c r="H559" s="11" t="n"/>
      <c r="I559" s="17">
        <f>IF(H559="","",IF(H559&gt;=12,40,ROUND(H559*3.33,2)))</f>
        <v/>
      </c>
      <c r="J559" s="11" t="n"/>
      <c r="K559" s="11" t="n"/>
      <c r="L559" s="11" t="n"/>
      <c r="M559" s="11" t="n"/>
      <c r="N559" s="10">
        <f>IF(COUNTA(J559:M559)=0,"",MIN(10,SUMPRODUCT((COUNTIF(J559:M559,L_KOM)&gt;0)*S_KOM)))</f>
        <v/>
      </c>
      <c r="O559" s="11" t="n"/>
      <c r="P559" s="10">
        <f>IF(O559="","",IFERROR(VLOOKUP(O559,T_KHID,2,FALSE),0))</f>
        <v/>
      </c>
      <c r="Q559" s="11" t="n"/>
      <c r="R559" s="11" t="n"/>
      <c r="S559" s="10">
        <f>IF(AND(Q559="",R559=""),"",IFERROR(INDEX(T_LIBAT,MATCH(Q559,L_PER,0),MATCH(R559,L_JENIS,0)),0))</f>
        <v/>
      </c>
      <c r="T559" s="11" t="n"/>
      <c r="U559" s="11" t="n"/>
      <c r="V559" s="10">
        <f>IF(AND(T559="",U559=""),"",IFERROR(INDEX(T_CAPAI,MATCH(T559,L_PER,0),MATCH(U559,L_KED,0)),0))</f>
        <v/>
      </c>
      <c r="W559" s="17">
        <f>IF(OR(B559="",E559="",COUNTA(F559,H559,J559:M559,O559,Q559:R559,T559:U559)=0),"",SUM(G559,I559,N559,P559,S559,V559))</f>
        <v/>
      </c>
      <c r="X559" s="18">
        <f>IF(W559="","",IF(Murid!F559="TL","TL",ROUND(W559/110*100,2)))</f>
        <v/>
      </c>
    </row>
    <row r="560">
      <c r="A560" s="15">
        <f>Murid!A560</f>
        <v/>
      </c>
      <c r="B560" s="15">
        <f>IF(Murid!B560="","",Murid!B560)</f>
        <v/>
      </c>
      <c r="C560" s="16">
        <f>IF(Murid!C560="","",Murid!C560)</f>
        <v/>
      </c>
      <c r="D560" s="15">
        <f>IF(Murid!E560="","",Murid!E560)</f>
        <v/>
      </c>
      <c r="E560" s="11" t="n"/>
      <c r="F560" s="11" t="n"/>
      <c r="G560" s="10">
        <f>IF(F560="","",IFERROR(VLOOKUP(F560,T_JUB,2,FALSE),0))</f>
        <v/>
      </c>
      <c r="H560" s="11" t="n"/>
      <c r="I560" s="17">
        <f>IF(H560="","",IF(H560&gt;=12,40,ROUND(H560*3.33,2)))</f>
        <v/>
      </c>
      <c r="J560" s="11" t="n"/>
      <c r="K560" s="11" t="n"/>
      <c r="L560" s="11" t="n"/>
      <c r="M560" s="11" t="n"/>
      <c r="N560" s="10">
        <f>IF(COUNTA(J560:M560)=0,"",MIN(10,SUMPRODUCT((COUNTIF(J560:M560,L_KOM)&gt;0)*S_KOM)))</f>
        <v/>
      </c>
      <c r="O560" s="11" t="n"/>
      <c r="P560" s="10">
        <f>IF(O560="","",IFERROR(VLOOKUP(O560,T_KHID,2,FALSE),0))</f>
        <v/>
      </c>
      <c r="Q560" s="11" t="n"/>
      <c r="R560" s="11" t="n"/>
      <c r="S560" s="10">
        <f>IF(AND(Q560="",R560=""),"",IFERROR(INDEX(T_LIBAT,MATCH(Q560,L_PER,0),MATCH(R560,L_JENIS,0)),0))</f>
        <v/>
      </c>
      <c r="T560" s="11" t="n"/>
      <c r="U560" s="11" t="n"/>
      <c r="V560" s="10">
        <f>IF(AND(T560="",U560=""),"",IFERROR(INDEX(T_CAPAI,MATCH(T560,L_PER,0),MATCH(U560,L_KED,0)),0))</f>
        <v/>
      </c>
      <c r="W560" s="17">
        <f>IF(OR(B560="",E560="",COUNTA(F560,H560,J560:M560,O560,Q560:R560,T560:U560)=0),"",SUM(G560,I560,N560,P560,S560,V560))</f>
        <v/>
      </c>
      <c r="X560" s="18">
        <f>IF(W560="","",IF(Murid!F560="TL","TL",ROUND(W560/110*100,2)))</f>
        <v/>
      </c>
    </row>
    <row r="561">
      <c r="A561" s="15">
        <f>Murid!A561</f>
        <v/>
      </c>
      <c r="B561" s="15">
        <f>IF(Murid!B561="","",Murid!B561)</f>
        <v/>
      </c>
      <c r="C561" s="16">
        <f>IF(Murid!C561="","",Murid!C561)</f>
        <v/>
      </c>
      <c r="D561" s="15">
        <f>IF(Murid!E561="","",Murid!E561)</f>
        <v/>
      </c>
      <c r="E561" s="11" t="n"/>
      <c r="F561" s="11" t="n"/>
      <c r="G561" s="10">
        <f>IF(F561="","",IFERROR(VLOOKUP(F561,T_JUB,2,FALSE),0))</f>
        <v/>
      </c>
      <c r="H561" s="11" t="n"/>
      <c r="I561" s="17">
        <f>IF(H561="","",IF(H561&gt;=12,40,ROUND(H561*3.33,2)))</f>
        <v/>
      </c>
      <c r="J561" s="11" t="n"/>
      <c r="K561" s="11" t="n"/>
      <c r="L561" s="11" t="n"/>
      <c r="M561" s="11" t="n"/>
      <c r="N561" s="10">
        <f>IF(COUNTA(J561:M561)=0,"",MIN(10,SUMPRODUCT((COUNTIF(J561:M561,L_KOM)&gt;0)*S_KOM)))</f>
        <v/>
      </c>
      <c r="O561" s="11" t="n"/>
      <c r="P561" s="10">
        <f>IF(O561="","",IFERROR(VLOOKUP(O561,T_KHID,2,FALSE),0))</f>
        <v/>
      </c>
      <c r="Q561" s="11" t="n"/>
      <c r="R561" s="11" t="n"/>
      <c r="S561" s="10">
        <f>IF(AND(Q561="",R561=""),"",IFERROR(INDEX(T_LIBAT,MATCH(Q561,L_PER,0),MATCH(R561,L_JENIS,0)),0))</f>
        <v/>
      </c>
      <c r="T561" s="11" t="n"/>
      <c r="U561" s="11" t="n"/>
      <c r="V561" s="10">
        <f>IF(AND(T561="",U561=""),"",IFERROR(INDEX(T_CAPAI,MATCH(T561,L_PER,0),MATCH(U561,L_KED,0)),0))</f>
        <v/>
      </c>
      <c r="W561" s="17">
        <f>IF(OR(B561="",E561="",COUNTA(F561,H561,J561:M561,O561,Q561:R561,T561:U561)=0),"",SUM(G561,I561,N561,P561,S561,V561))</f>
        <v/>
      </c>
      <c r="X561" s="18">
        <f>IF(W561="","",IF(Murid!F561="TL","TL",ROUND(W561/110*100,2)))</f>
        <v/>
      </c>
    </row>
    <row r="562">
      <c r="A562" s="15">
        <f>Murid!A562</f>
        <v/>
      </c>
      <c r="B562" s="15">
        <f>IF(Murid!B562="","",Murid!B562)</f>
        <v/>
      </c>
      <c r="C562" s="16">
        <f>IF(Murid!C562="","",Murid!C562)</f>
        <v/>
      </c>
      <c r="D562" s="15">
        <f>IF(Murid!E562="","",Murid!E562)</f>
        <v/>
      </c>
      <c r="E562" s="11" t="n"/>
      <c r="F562" s="11" t="n"/>
      <c r="G562" s="10">
        <f>IF(F562="","",IFERROR(VLOOKUP(F562,T_JUB,2,FALSE),0))</f>
        <v/>
      </c>
      <c r="H562" s="11" t="n"/>
      <c r="I562" s="17">
        <f>IF(H562="","",IF(H562&gt;=12,40,ROUND(H562*3.33,2)))</f>
        <v/>
      </c>
      <c r="J562" s="11" t="n"/>
      <c r="K562" s="11" t="n"/>
      <c r="L562" s="11" t="n"/>
      <c r="M562" s="11" t="n"/>
      <c r="N562" s="10">
        <f>IF(COUNTA(J562:M562)=0,"",MIN(10,SUMPRODUCT((COUNTIF(J562:M562,L_KOM)&gt;0)*S_KOM)))</f>
        <v/>
      </c>
      <c r="O562" s="11" t="n"/>
      <c r="P562" s="10">
        <f>IF(O562="","",IFERROR(VLOOKUP(O562,T_KHID,2,FALSE),0))</f>
        <v/>
      </c>
      <c r="Q562" s="11" t="n"/>
      <c r="R562" s="11" t="n"/>
      <c r="S562" s="10">
        <f>IF(AND(Q562="",R562=""),"",IFERROR(INDEX(T_LIBAT,MATCH(Q562,L_PER,0),MATCH(R562,L_JENIS,0)),0))</f>
        <v/>
      </c>
      <c r="T562" s="11" t="n"/>
      <c r="U562" s="11" t="n"/>
      <c r="V562" s="10">
        <f>IF(AND(T562="",U562=""),"",IFERROR(INDEX(T_CAPAI,MATCH(T562,L_PER,0),MATCH(U562,L_KED,0)),0))</f>
        <v/>
      </c>
      <c r="W562" s="17">
        <f>IF(OR(B562="",E562="",COUNTA(F562,H562,J562:M562,O562,Q562:R562,T562:U562)=0),"",SUM(G562,I562,N562,P562,S562,V562))</f>
        <v/>
      </c>
      <c r="X562" s="18">
        <f>IF(W562="","",IF(Murid!F562="TL","TL",ROUND(W562/110*100,2)))</f>
        <v/>
      </c>
    </row>
    <row r="563">
      <c r="A563" s="15">
        <f>Murid!A563</f>
        <v/>
      </c>
      <c r="B563" s="15">
        <f>IF(Murid!B563="","",Murid!B563)</f>
        <v/>
      </c>
      <c r="C563" s="16">
        <f>IF(Murid!C563="","",Murid!C563)</f>
        <v/>
      </c>
      <c r="D563" s="15">
        <f>IF(Murid!E563="","",Murid!E563)</f>
        <v/>
      </c>
      <c r="E563" s="11" t="n"/>
      <c r="F563" s="11" t="n"/>
      <c r="G563" s="10">
        <f>IF(F563="","",IFERROR(VLOOKUP(F563,T_JUB,2,FALSE),0))</f>
        <v/>
      </c>
      <c r="H563" s="11" t="n"/>
      <c r="I563" s="17">
        <f>IF(H563="","",IF(H563&gt;=12,40,ROUND(H563*3.33,2)))</f>
        <v/>
      </c>
      <c r="J563" s="11" t="n"/>
      <c r="K563" s="11" t="n"/>
      <c r="L563" s="11" t="n"/>
      <c r="M563" s="11" t="n"/>
      <c r="N563" s="10">
        <f>IF(COUNTA(J563:M563)=0,"",MIN(10,SUMPRODUCT((COUNTIF(J563:M563,L_KOM)&gt;0)*S_KOM)))</f>
        <v/>
      </c>
      <c r="O563" s="11" t="n"/>
      <c r="P563" s="10">
        <f>IF(O563="","",IFERROR(VLOOKUP(O563,T_KHID,2,FALSE),0))</f>
        <v/>
      </c>
      <c r="Q563" s="11" t="n"/>
      <c r="R563" s="11" t="n"/>
      <c r="S563" s="10">
        <f>IF(AND(Q563="",R563=""),"",IFERROR(INDEX(T_LIBAT,MATCH(Q563,L_PER,0),MATCH(R563,L_JENIS,0)),0))</f>
        <v/>
      </c>
      <c r="T563" s="11" t="n"/>
      <c r="U563" s="11" t="n"/>
      <c r="V563" s="10">
        <f>IF(AND(T563="",U563=""),"",IFERROR(INDEX(T_CAPAI,MATCH(T563,L_PER,0),MATCH(U563,L_KED,0)),0))</f>
        <v/>
      </c>
      <c r="W563" s="17">
        <f>IF(OR(B563="",E563="",COUNTA(F563,H563,J563:M563,O563,Q563:R563,T563:U563)=0),"",SUM(G563,I563,N563,P563,S563,V563))</f>
        <v/>
      </c>
      <c r="X563" s="18">
        <f>IF(W563="","",IF(Murid!F563="TL","TL",ROUND(W563/110*100,2)))</f>
        <v/>
      </c>
    </row>
    <row r="564">
      <c r="A564" s="15">
        <f>Murid!A564</f>
        <v/>
      </c>
      <c r="B564" s="15">
        <f>IF(Murid!B564="","",Murid!B564)</f>
        <v/>
      </c>
      <c r="C564" s="16">
        <f>IF(Murid!C564="","",Murid!C564)</f>
        <v/>
      </c>
      <c r="D564" s="15">
        <f>IF(Murid!E564="","",Murid!E564)</f>
        <v/>
      </c>
      <c r="E564" s="11" t="n"/>
      <c r="F564" s="11" t="n"/>
      <c r="G564" s="10">
        <f>IF(F564="","",IFERROR(VLOOKUP(F564,T_JUB,2,FALSE),0))</f>
        <v/>
      </c>
      <c r="H564" s="11" t="n"/>
      <c r="I564" s="17">
        <f>IF(H564="","",IF(H564&gt;=12,40,ROUND(H564*3.33,2)))</f>
        <v/>
      </c>
      <c r="J564" s="11" t="n"/>
      <c r="K564" s="11" t="n"/>
      <c r="L564" s="11" t="n"/>
      <c r="M564" s="11" t="n"/>
      <c r="N564" s="10">
        <f>IF(COUNTA(J564:M564)=0,"",MIN(10,SUMPRODUCT((COUNTIF(J564:M564,L_KOM)&gt;0)*S_KOM)))</f>
        <v/>
      </c>
      <c r="O564" s="11" t="n"/>
      <c r="P564" s="10">
        <f>IF(O564="","",IFERROR(VLOOKUP(O564,T_KHID,2,FALSE),0))</f>
        <v/>
      </c>
      <c r="Q564" s="11" t="n"/>
      <c r="R564" s="11" t="n"/>
      <c r="S564" s="10">
        <f>IF(AND(Q564="",R564=""),"",IFERROR(INDEX(T_LIBAT,MATCH(Q564,L_PER,0),MATCH(R564,L_JENIS,0)),0))</f>
        <v/>
      </c>
      <c r="T564" s="11" t="n"/>
      <c r="U564" s="11" t="n"/>
      <c r="V564" s="10">
        <f>IF(AND(T564="",U564=""),"",IFERROR(INDEX(T_CAPAI,MATCH(T564,L_PER,0),MATCH(U564,L_KED,0)),0))</f>
        <v/>
      </c>
      <c r="W564" s="17">
        <f>IF(OR(B564="",E564="",COUNTA(F564,H564,J564:M564,O564,Q564:R564,T564:U564)=0),"",SUM(G564,I564,N564,P564,S564,V564))</f>
        <v/>
      </c>
      <c r="X564" s="18">
        <f>IF(W564="","",IF(Murid!F564="TL","TL",ROUND(W564/110*100,2)))</f>
        <v/>
      </c>
    </row>
    <row r="565">
      <c r="A565" s="15">
        <f>Murid!A565</f>
        <v/>
      </c>
      <c r="B565" s="15">
        <f>IF(Murid!B565="","",Murid!B565)</f>
        <v/>
      </c>
      <c r="C565" s="16">
        <f>IF(Murid!C565="","",Murid!C565)</f>
        <v/>
      </c>
      <c r="D565" s="15">
        <f>IF(Murid!E565="","",Murid!E565)</f>
        <v/>
      </c>
      <c r="E565" s="11" t="n"/>
      <c r="F565" s="11" t="n"/>
      <c r="G565" s="10">
        <f>IF(F565="","",IFERROR(VLOOKUP(F565,T_JUB,2,FALSE),0))</f>
        <v/>
      </c>
      <c r="H565" s="11" t="n"/>
      <c r="I565" s="17">
        <f>IF(H565="","",IF(H565&gt;=12,40,ROUND(H565*3.33,2)))</f>
        <v/>
      </c>
      <c r="J565" s="11" t="n"/>
      <c r="K565" s="11" t="n"/>
      <c r="L565" s="11" t="n"/>
      <c r="M565" s="11" t="n"/>
      <c r="N565" s="10">
        <f>IF(COUNTA(J565:M565)=0,"",MIN(10,SUMPRODUCT((COUNTIF(J565:M565,L_KOM)&gt;0)*S_KOM)))</f>
        <v/>
      </c>
      <c r="O565" s="11" t="n"/>
      <c r="P565" s="10">
        <f>IF(O565="","",IFERROR(VLOOKUP(O565,T_KHID,2,FALSE),0))</f>
        <v/>
      </c>
      <c r="Q565" s="11" t="n"/>
      <c r="R565" s="11" t="n"/>
      <c r="S565" s="10">
        <f>IF(AND(Q565="",R565=""),"",IFERROR(INDEX(T_LIBAT,MATCH(Q565,L_PER,0),MATCH(R565,L_JENIS,0)),0))</f>
        <v/>
      </c>
      <c r="T565" s="11" t="n"/>
      <c r="U565" s="11" t="n"/>
      <c r="V565" s="10">
        <f>IF(AND(T565="",U565=""),"",IFERROR(INDEX(T_CAPAI,MATCH(T565,L_PER,0),MATCH(U565,L_KED,0)),0))</f>
        <v/>
      </c>
      <c r="W565" s="17">
        <f>IF(OR(B565="",E565="",COUNTA(F565,H565,J565:M565,O565,Q565:R565,T565:U565)=0),"",SUM(G565,I565,N565,P565,S565,V565))</f>
        <v/>
      </c>
      <c r="X565" s="18">
        <f>IF(W565="","",IF(Murid!F565="TL","TL",ROUND(W565/110*100,2)))</f>
        <v/>
      </c>
    </row>
    <row r="566">
      <c r="A566" s="15">
        <f>Murid!A566</f>
        <v/>
      </c>
      <c r="B566" s="15">
        <f>IF(Murid!B566="","",Murid!B566)</f>
        <v/>
      </c>
      <c r="C566" s="16">
        <f>IF(Murid!C566="","",Murid!C566)</f>
        <v/>
      </c>
      <c r="D566" s="15">
        <f>IF(Murid!E566="","",Murid!E566)</f>
        <v/>
      </c>
      <c r="E566" s="11" t="n"/>
      <c r="F566" s="11" t="n"/>
      <c r="G566" s="10">
        <f>IF(F566="","",IFERROR(VLOOKUP(F566,T_JUB,2,FALSE),0))</f>
        <v/>
      </c>
      <c r="H566" s="11" t="n"/>
      <c r="I566" s="17">
        <f>IF(H566="","",IF(H566&gt;=12,40,ROUND(H566*3.33,2)))</f>
        <v/>
      </c>
      <c r="J566" s="11" t="n"/>
      <c r="K566" s="11" t="n"/>
      <c r="L566" s="11" t="n"/>
      <c r="M566" s="11" t="n"/>
      <c r="N566" s="10">
        <f>IF(COUNTA(J566:M566)=0,"",MIN(10,SUMPRODUCT((COUNTIF(J566:M566,L_KOM)&gt;0)*S_KOM)))</f>
        <v/>
      </c>
      <c r="O566" s="11" t="n"/>
      <c r="P566" s="10">
        <f>IF(O566="","",IFERROR(VLOOKUP(O566,T_KHID,2,FALSE),0))</f>
        <v/>
      </c>
      <c r="Q566" s="11" t="n"/>
      <c r="R566" s="11" t="n"/>
      <c r="S566" s="10">
        <f>IF(AND(Q566="",R566=""),"",IFERROR(INDEX(T_LIBAT,MATCH(Q566,L_PER,0),MATCH(R566,L_JENIS,0)),0))</f>
        <v/>
      </c>
      <c r="T566" s="11" t="n"/>
      <c r="U566" s="11" t="n"/>
      <c r="V566" s="10">
        <f>IF(AND(T566="",U566=""),"",IFERROR(INDEX(T_CAPAI,MATCH(T566,L_PER,0),MATCH(U566,L_KED,0)),0))</f>
        <v/>
      </c>
      <c r="W566" s="17">
        <f>IF(OR(B566="",E566="",COUNTA(F566,H566,J566:M566,O566,Q566:R566,T566:U566)=0),"",SUM(G566,I566,N566,P566,S566,V566))</f>
        <v/>
      </c>
      <c r="X566" s="18">
        <f>IF(W566="","",IF(Murid!F566="TL","TL",ROUND(W566/110*100,2)))</f>
        <v/>
      </c>
    </row>
    <row r="567">
      <c r="A567" s="15">
        <f>Murid!A567</f>
        <v/>
      </c>
      <c r="B567" s="15">
        <f>IF(Murid!B567="","",Murid!B567)</f>
        <v/>
      </c>
      <c r="C567" s="16">
        <f>IF(Murid!C567="","",Murid!C567)</f>
        <v/>
      </c>
      <c r="D567" s="15">
        <f>IF(Murid!E567="","",Murid!E567)</f>
        <v/>
      </c>
      <c r="E567" s="11" t="n"/>
      <c r="F567" s="11" t="n"/>
      <c r="G567" s="10">
        <f>IF(F567="","",IFERROR(VLOOKUP(F567,T_JUB,2,FALSE),0))</f>
        <v/>
      </c>
      <c r="H567" s="11" t="n"/>
      <c r="I567" s="17">
        <f>IF(H567="","",IF(H567&gt;=12,40,ROUND(H567*3.33,2)))</f>
        <v/>
      </c>
      <c r="J567" s="11" t="n"/>
      <c r="K567" s="11" t="n"/>
      <c r="L567" s="11" t="n"/>
      <c r="M567" s="11" t="n"/>
      <c r="N567" s="10">
        <f>IF(COUNTA(J567:M567)=0,"",MIN(10,SUMPRODUCT((COUNTIF(J567:M567,L_KOM)&gt;0)*S_KOM)))</f>
        <v/>
      </c>
      <c r="O567" s="11" t="n"/>
      <c r="P567" s="10">
        <f>IF(O567="","",IFERROR(VLOOKUP(O567,T_KHID,2,FALSE),0))</f>
        <v/>
      </c>
      <c r="Q567" s="11" t="n"/>
      <c r="R567" s="11" t="n"/>
      <c r="S567" s="10">
        <f>IF(AND(Q567="",R567=""),"",IFERROR(INDEX(T_LIBAT,MATCH(Q567,L_PER,0),MATCH(R567,L_JENIS,0)),0))</f>
        <v/>
      </c>
      <c r="T567" s="11" t="n"/>
      <c r="U567" s="11" t="n"/>
      <c r="V567" s="10">
        <f>IF(AND(T567="",U567=""),"",IFERROR(INDEX(T_CAPAI,MATCH(T567,L_PER,0),MATCH(U567,L_KED,0)),0))</f>
        <v/>
      </c>
      <c r="W567" s="17">
        <f>IF(OR(B567="",E567="",COUNTA(F567,H567,J567:M567,O567,Q567:R567,T567:U567)=0),"",SUM(G567,I567,N567,P567,S567,V567))</f>
        <v/>
      </c>
      <c r="X567" s="18">
        <f>IF(W567="","",IF(Murid!F567="TL","TL",ROUND(W567/110*100,2)))</f>
        <v/>
      </c>
    </row>
    <row r="568">
      <c r="A568" s="15">
        <f>Murid!A568</f>
        <v/>
      </c>
      <c r="B568" s="15">
        <f>IF(Murid!B568="","",Murid!B568)</f>
        <v/>
      </c>
      <c r="C568" s="16">
        <f>IF(Murid!C568="","",Murid!C568)</f>
        <v/>
      </c>
      <c r="D568" s="15">
        <f>IF(Murid!E568="","",Murid!E568)</f>
        <v/>
      </c>
      <c r="E568" s="11" t="n"/>
      <c r="F568" s="11" t="n"/>
      <c r="G568" s="10">
        <f>IF(F568="","",IFERROR(VLOOKUP(F568,T_JUB,2,FALSE),0))</f>
        <v/>
      </c>
      <c r="H568" s="11" t="n"/>
      <c r="I568" s="17">
        <f>IF(H568="","",IF(H568&gt;=12,40,ROUND(H568*3.33,2)))</f>
        <v/>
      </c>
      <c r="J568" s="11" t="n"/>
      <c r="K568" s="11" t="n"/>
      <c r="L568" s="11" t="n"/>
      <c r="M568" s="11" t="n"/>
      <c r="N568" s="10">
        <f>IF(COUNTA(J568:M568)=0,"",MIN(10,SUMPRODUCT((COUNTIF(J568:M568,L_KOM)&gt;0)*S_KOM)))</f>
        <v/>
      </c>
      <c r="O568" s="11" t="n"/>
      <c r="P568" s="10">
        <f>IF(O568="","",IFERROR(VLOOKUP(O568,T_KHID,2,FALSE),0))</f>
        <v/>
      </c>
      <c r="Q568" s="11" t="n"/>
      <c r="R568" s="11" t="n"/>
      <c r="S568" s="10">
        <f>IF(AND(Q568="",R568=""),"",IFERROR(INDEX(T_LIBAT,MATCH(Q568,L_PER,0),MATCH(R568,L_JENIS,0)),0))</f>
        <v/>
      </c>
      <c r="T568" s="11" t="n"/>
      <c r="U568" s="11" t="n"/>
      <c r="V568" s="10">
        <f>IF(AND(T568="",U568=""),"",IFERROR(INDEX(T_CAPAI,MATCH(T568,L_PER,0),MATCH(U568,L_KED,0)),0))</f>
        <v/>
      </c>
      <c r="W568" s="17">
        <f>IF(OR(B568="",E568="",COUNTA(F568,H568,J568:M568,O568,Q568:R568,T568:U568)=0),"",SUM(G568,I568,N568,P568,S568,V568))</f>
        <v/>
      </c>
      <c r="X568" s="18">
        <f>IF(W568="","",IF(Murid!F568="TL","TL",ROUND(W568/110*100,2)))</f>
        <v/>
      </c>
    </row>
    <row r="569">
      <c r="A569" s="15">
        <f>Murid!A569</f>
        <v/>
      </c>
      <c r="B569" s="15">
        <f>IF(Murid!B569="","",Murid!B569)</f>
        <v/>
      </c>
      <c r="C569" s="16">
        <f>IF(Murid!C569="","",Murid!C569)</f>
        <v/>
      </c>
      <c r="D569" s="15">
        <f>IF(Murid!E569="","",Murid!E569)</f>
        <v/>
      </c>
      <c r="E569" s="11" t="n"/>
      <c r="F569" s="11" t="n"/>
      <c r="G569" s="10">
        <f>IF(F569="","",IFERROR(VLOOKUP(F569,T_JUB,2,FALSE),0))</f>
        <v/>
      </c>
      <c r="H569" s="11" t="n"/>
      <c r="I569" s="17">
        <f>IF(H569="","",IF(H569&gt;=12,40,ROUND(H569*3.33,2)))</f>
        <v/>
      </c>
      <c r="J569" s="11" t="n"/>
      <c r="K569" s="11" t="n"/>
      <c r="L569" s="11" t="n"/>
      <c r="M569" s="11" t="n"/>
      <c r="N569" s="10">
        <f>IF(COUNTA(J569:M569)=0,"",MIN(10,SUMPRODUCT((COUNTIF(J569:M569,L_KOM)&gt;0)*S_KOM)))</f>
        <v/>
      </c>
      <c r="O569" s="11" t="n"/>
      <c r="P569" s="10">
        <f>IF(O569="","",IFERROR(VLOOKUP(O569,T_KHID,2,FALSE),0))</f>
        <v/>
      </c>
      <c r="Q569" s="11" t="n"/>
      <c r="R569" s="11" t="n"/>
      <c r="S569" s="10">
        <f>IF(AND(Q569="",R569=""),"",IFERROR(INDEX(T_LIBAT,MATCH(Q569,L_PER,0),MATCH(R569,L_JENIS,0)),0))</f>
        <v/>
      </c>
      <c r="T569" s="11" t="n"/>
      <c r="U569" s="11" t="n"/>
      <c r="V569" s="10">
        <f>IF(AND(T569="",U569=""),"",IFERROR(INDEX(T_CAPAI,MATCH(T569,L_PER,0),MATCH(U569,L_KED,0)),0))</f>
        <v/>
      </c>
      <c r="W569" s="17">
        <f>IF(OR(B569="",E569="",COUNTA(F569,H569,J569:M569,O569,Q569:R569,T569:U569)=0),"",SUM(G569,I569,N569,P569,S569,V569))</f>
        <v/>
      </c>
      <c r="X569" s="18">
        <f>IF(W569="","",IF(Murid!F569="TL","TL",ROUND(W569/110*100,2)))</f>
        <v/>
      </c>
    </row>
    <row r="570">
      <c r="A570" s="15">
        <f>Murid!A570</f>
        <v/>
      </c>
      <c r="B570" s="15">
        <f>IF(Murid!B570="","",Murid!B570)</f>
        <v/>
      </c>
      <c r="C570" s="16">
        <f>IF(Murid!C570="","",Murid!C570)</f>
        <v/>
      </c>
      <c r="D570" s="15">
        <f>IF(Murid!E570="","",Murid!E570)</f>
        <v/>
      </c>
      <c r="E570" s="11" t="n"/>
      <c r="F570" s="11" t="n"/>
      <c r="G570" s="10">
        <f>IF(F570="","",IFERROR(VLOOKUP(F570,T_JUB,2,FALSE),0))</f>
        <v/>
      </c>
      <c r="H570" s="11" t="n"/>
      <c r="I570" s="17">
        <f>IF(H570="","",IF(H570&gt;=12,40,ROUND(H570*3.33,2)))</f>
        <v/>
      </c>
      <c r="J570" s="11" t="n"/>
      <c r="K570" s="11" t="n"/>
      <c r="L570" s="11" t="n"/>
      <c r="M570" s="11" t="n"/>
      <c r="N570" s="10">
        <f>IF(COUNTA(J570:M570)=0,"",MIN(10,SUMPRODUCT((COUNTIF(J570:M570,L_KOM)&gt;0)*S_KOM)))</f>
        <v/>
      </c>
      <c r="O570" s="11" t="n"/>
      <c r="P570" s="10">
        <f>IF(O570="","",IFERROR(VLOOKUP(O570,T_KHID,2,FALSE),0))</f>
        <v/>
      </c>
      <c r="Q570" s="11" t="n"/>
      <c r="R570" s="11" t="n"/>
      <c r="S570" s="10">
        <f>IF(AND(Q570="",R570=""),"",IFERROR(INDEX(T_LIBAT,MATCH(Q570,L_PER,0),MATCH(R570,L_JENIS,0)),0))</f>
        <v/>
      </c>
      <c r="T570" s="11" t="n"/>
      <c r="U570" s="11" t="n"/>
      <c r="V570" s="10">
        <f>IF(AND(T570="",U570=""),"",IFERROR(INDEX(T_CAPAI,MATCH(T570,L_PER,0),MATCH(U570,L_KED,0)),0))</f>
        <v/>
      </c>
      <c r="W570" s="17">
        <f>IF(OR(B570="",E570="",COUNTA(F570,H570,J570:M570,O570,Q570:R570,T570:U570)=0),"",SUM(G570,I570,N570,P570,S570,V570))</f>
        <v/>
      </c>
      <c r="X570" s="18">
        <f>IF(W570="","",IF(Murid!F570="TL","TL",ROUND(W570/110*100,2)))</f>
        <v/>
      </c>
    </row>
    <row r="571">
      <c r="A571" s="15">
        <f>Murid!A571</f>
        <v/>
      </c>
      <c r="B571" s="15">
        <f>IF(Murid!B571="","",Murid!B571)</f>
        <v/>
      </c>
      <c r="C571" s="16">
        <f>IF(Murid!C571="","",Murid!C571)</f>
        <v/>
      </c>
      <c r="D571" s="15">
        <f>IF(Murid!E571="","",Murid!E571)</f>
        <v/>
      </c>
      <c r="E571" s="11" t="n"/>
      <c r="F571" s="11" t="n"/>
      <c r="G571" s="10">
        <f>IF(F571="","",IFERROR(VLOOKUP(F571,T_JUB,2,FALSE),0))</f>
        <v/>
      </c>
      <c r="H571" s="11" t="n"/>
      <c r="I571" s="17">
        <f>IF(H571="","",IF(H571&gt;=12,40,ROUND(H571*3.33,2)))</f>
        <v/>
      </c>
      <c r="J571" s="11" t="n"/>
      <c r="K571" s="11" t="n"/>
      <c r="L571" s="11" t="n"/>
      <c r="M571" s="11" t="n"/>
      <c r="N571" s="10">
        <f>IF(COUNTA(J571:M571)=0,"",MIN(10,SUMPRODUCT((COUNTIF(J571:M571,L_KOM)&gt;0)*S_KOM)))</f>
        <v/>
      </c>
      <c r="O571" s="11" t="n"/>
      <c r="P571" s="10">
        <f>IF(O571="","",IFERROR(VLOOKUP(O571,T_KHID,2,FALSE),0))</f>
        <v/>
      </c>
      <c r="Q571" s="11" t="n"/>
      <c r="R571" s="11" t="n"/>
      <c r="S571" s="10">
        <f>IF(AND(Q571="",R571=""),"",IFERROR(INDEX(T_LIBAT,MATCH(Q571,L_PER,0),MATCH(R571,L_JENIS,0)),0))</f>
        <v/>
      </c>
      <c r="T571" s="11" t="n"/>
      <c r="U571" s="11" t="n"/>
      <c r="V571" s="10">
        <f>IF(AND(T571="",U571=""),"",IFERROR(INDEX(T_CAPAI,MATCH(T571,L_PER,0),MATCH(U571,L_KED,0)),0))</f>
        <v/>
      </c>
      <c r="W571" s="17">
        <f>IF(OR(B571="",E571="",COUNTA(F571,H571,J571:M571,O571,Q571:R571,T571:U571)=0),"",SUM(G571,I571,N571,P571,S571,V571))</f>
        <v/>
      </c>
      <c r="X571" s="18">
        <f>IF(W571="","",IF(Murid!F571="TL","TL",ROUND(W571/110*100,2)))</f>
        <v/>
      </c>
    </row>
    <row r="572">
      <c r="A572" s="15">
        <f>Murid!A572</f>
        <v/>
      </c>
      <c r="B572" s="15">
        <f>IF(Murid!B572="","",Murid!B572)</f>
        <v/>
      </c>
      <c r="C572" s="16">
        <f>IF(Murid!C572="","",Murid!C572)</f>
        <v/>
      </c>
      <c r="D572" s="15">
        <f>IF(Murid!E572="","",Murid!E572)</f>
        <v/>
      </c>
      <c r="E572" s="11" t="n"/>
      <c r="F572" s="11" t="n"/>
      <c r="G572" s="10">
        <f>IF(F572="","",IFERROR(VLOOKUP(F572,T_JUB,2,FALSE),0))</f>
        <v/>
      </c>
      <c r="H572" s="11" t="n"/>
      <c r="I572" s="17">
        <f>IF(H572="","",IF(H572&gt;=12,40,ROUND(H572*3.33,2)))</f>
        <v/>
      </c>
      <c r="J572" s="11" t="n"/>
      <c r="K572" s="11" t="n"/>
      <c r="L572" s="11" t="n"/>
      <c r="M572" s="11" t="n"/>
      <c r="N572" s="10">
        <f>IF(COUNTA(J572:M572)=0,"",MIN(10,SUMPRODUCT((COUNTIF(J572:M572,L_KOM)&gt;0)*S_KOM)))</f>
        <v/>
      </c>
      <c r="O572" s="11" t="n"/>
      <c r="P572" s="10">
        <f>IF(O572="","",IFERROR(VLOOKUP(O572,T_KHID,2,FALSE),0))</f>
        <v/>
      </c>
      <c r="Q572" s="11" t="n"/>
      <c r="R572" s="11" t="n"/>
      <c r="S572" s="10">
        <f>IF(AND(Q572="",R572=""),"",IFERROR(INDEX(T_LIBAT,MATCH(Q572,L_PER,0),MATCH(R572,L_JENIS,0)),0))</f>
        <v/>
      </c>
      <c r="T572" s="11" t="n"/>
      <c r="U572" s="11" t="n"/>
      <c r="V572" s="10">
        <f>IF(AND(T572="",U572=""),"",IFERROR(INDEX(T_CAPAI,MATCH(T572,L_PER,0),MATCH(U572,L_KED,0)),0))</f>
        <v/>
      </c>
      <c r="W572" s="17">
        <f>IF(OR(B572="",E572="",COUNTA(F572,H572,J572:M572,O572,Q572:R572,T572:U572)=0),"",SUM(G572,I572,N572,P572,S572,V572))</f>
        <v/>
      </c>
      <c r="X572" s="18">
        <f>IF(W572="","",IF(Murid!F572="TL","TL",ROUND(W572/110*100,2)))</f>
        <v/>
      </c>
    </row>
    <row r="573">
      <c r="A573" s="15">
        <f>Murid!A573</f>
        <v/>
      </c>
      <c r="B573" s="15">
        <f>IF(Murid!B573="","",Murid!B573)</f>
        <v/>
      </c>
      <c r="C573" s="16">
        <f>IF(Murid!C573="","",Murid!C573)</f>
        <v/>
      </c>
      <c r="D573" s="15">
        <f>IF(Murid!E573="","",Murid!E573)</f>
        <v/>
      </c>
      <c r="E573" s="11" t="n"/>
      <c r="F573" s="11" t="n"/>
      <c r="G573" s="10">
        <f>IF(F573="","",IFERROR(VLOOKUP(F573,T_JUB,2,FALSE),0))</f>
        <v/>
      </c>
      <c r="H573" s="11" t="n"/>
      <c r="I573" s="17">
        <f>IF(H573="","",IF(H573&gt;=12,40,ROUND(H573*3.33,2)))</f>
        <v/>
      </c>
      <c r="J573" s="11" t="n"/>
      <c r="K573" s="11" t="n"/>
      <c r="L573" s="11" t="n"/>
      <c r="M573" s="11" t="n"/>
      <c r="N573" s="10">
        <f>IF(COUNTA(J573:M573)=0,"",MIN(10,SUMPRODUCT((COUNTIF(J573:M573,L_KOM)&gt;0)*S_KOM)))</f>
        <v/>
      </c>
      <c r="O573" s="11" t="n"/>
      <c r="P573" s="10">
        <f>IF(O573="","",IFERROR(VLOOKUP(O573,T_KHID,2,FALSE),0))</f>
        <v/>
      </c>
      <c r="Q573" s="11" t="n"/>
      <c r="R573" s="11" t="n"/>
      <c r="S573" s="10">
        <f>IF(AND(Q573="",R573=""),"",IFERROR(INDEX(T_LIBAT,MATCH(Q573,L_PER,0),MATCH(R573,L_JENIS,0)),0))</f>
        <v/>
      </c>
      <c r="T573" s="11" t="n"/>
      <c r="U573" s="11" t="n"/>
      <c r="V573" s="10">
        <f>IF(AND(T573="",U573=""),"",IFERROR(INDEX(T_CAPAI,MATCH(T573,L_PER,0),MATCH(U573,L_KED,0)),0))</f>
        <v/>
      </c>
      <c r="W573" s="17">
        <f>IF(OR(B573="",E573="",COUNTA(F573,H573,J573:M573,O573,Q573:R573,T573:U573)=0),"",SUM(G573,I573,N573,P573,S573,V573))</f>
        <v/>
      </c>
      <c r="X573" s="18">
        <f>IF(W573="","",IF(Murid!F573="TL","TL",ROUND(W573/110*100,2)))</f>
        <v/>
      </c>
    </row>
    <row r="574">
      <c r="A574" s="15">
        <f>Murid!A574</f>
        <v/>
      </c>
      <c r="B574" s="15">
        <f>IF(Murid!B574="","",Murid!B574)</f>
        <v/>
      </c>
      <c r="C574" s="16">
        <f>IF(Murid!C574="","",Murid!C574)</f>
        <v/>
      </c>
      <c r="D574" s="15">
        <f>IF(Murid!E574="","",Murid!E574)</f>
        <v/>
      </c>
      <c r="E574" s="11" t="n"/>
      <c r="F574" s="11" t="n"/>
      <c r="G574" s="10">
        <f>IF(F574="","",IFERROR(VLOOKUP(F574,T_JUB,2,FALSE),0))</f>
        <v/>
      </c>
      <c r="H574" s="11" t="n"/>
      <c r="I574" s="17">
        <f>IF(H574="","",IF(H574&gt;=12,40,ROUND(H574*3.33,2)))</f>
        <v/>
      </c>
      <c r="J574" s="11" t="n"/>
      <c r="K574" s="11" t="n"/>
      <c r="L574" s="11" t="n"/>
      <c r="M574" s="11" t="n"/>
      <c r="N574" s="10">
        <f>IF(COUNTA(J574:M574)=0,"",MIN(10,SUMPRODUCT((COUNTIF(J574:M574,L_KOM)&gt;0)*S_KOM)))</f>
        <v/>
      </c>
      <c r="O574" s="11" t="n"/>
      <c r="P574" s="10">
        <f>IF(O574="","",IFERROR(VLOOKUP(O574,T_KHID,2,FALSE),0))</f>
        <v/>
      </c>
      <c r="Q574" s="11" t="n"/>
      <c r="R574" s="11" t="n"/>
      <c r="S574" s="10">
        <f>IF(AND(Q574="",R574=""),"",IFERROR(INDEX(T_LIBAT,MATCH(Q574,L_PER,0),MATCH(R574,L_JENIS,0)),0))</f>
        <v/>
      </c>
      <c r="T574" s="11" t="n"/>
      <c r="U574" s="11" t="n"/>
      <c r="V574" s="10">
        <f>IF(AND(T574="",U574=""),"",IFERROR(INDEX(T_CAPAI,MATCH(T574,L_PER,0),MATCH(U574,L_KED,0)),0))</f>
        <v/>
      </c>
      <c r="W574" s="17">
        <f>IF(OR(B574="",E574="",COUNTA(F574,H574,J574:M574,O574,Q574:R574,T574:U574)=0),"",SUM(G574,I574,N574,P574,S574,V574))</f>
        <v/>
      </c>
      <c r="X574" s="18">
        <f>IF(W574="","",IF(Murid!F574="TL","TL",ROUND(W574/110*100,2)))</f>
        <v/>
      </c>
    </row>
    <row r="575">
      <c r="A575" s="15">
        <f>Murid!A575</f>
        <v/>
      </c>
      <c r="B575" s="15">
        <f>IF(Murid!B575="","",Murid!B575)</f>
        <v/>
      </c>
      <c r="C575" s="16">
        <f>IF(Murid!C575="","",Murid!C575)</f>
        <v/>
      </c>
      <c r="D575" s="15">
        <f>IF(Murid!E575="","",Murid!E575)</f>
        <v/>
      </c>
      <c r="E575" s="11" t="n"/>
      <c r="F575" s="11" t="n"/>
      <c r="G575" s="10">
        <f>IF(F575="","",IFERROR(VLOOKUP(F575,T_JUB,2,FALSE),0))</f>
        <v/>
      </c>
      <c r="H575" s="11" t="n"/>
      <c r="I575" s="17">
        <f>IF(H575="","",IF(H575&gt;=12,40,ROUND(H575*3.33,2)))</f>
        <v/>
      </c>
      <c r="J575" s="11" t="n"/>
      <c r="K575" s="11" t="n"/>
      <c r="L575" s="11" t="n"/>
      <c r="M575" s="11" t="n"/>
      <c r="N575" s="10">
        <f>IF(COUNTA(J575:M575)=0,"",MIN(10,SUMPRODUCT((COUNTIF(J575:M575,L_KOM)&gt;0)*S_KOM)))</f>
        <v/>
      </c>
      <c r="O575" s="11" t="n"/>
      <c r="P575" s="10">
        <f>IF(O575="","",IFERROR(VLOOKUP(O575,T_KHID,2,FALSE),0))</f>
        <v/>
      </c>
      <c r="Q575" s="11" t="n"/>
      <c r="R575" s="11" t="n"/>
      <c r="S575" s="10">
        <f>IF(AND(Q575="",R575=""),"",IFERROR(INDEX(T_LIBAT,MATCH(Q575,L_PER,0),MATCH(R575,L_JENIS,0)),0))</f>
        <v/>
      </c>
      <c r="T575" s="11" t="n"/>
      <c r="U575" s="11" t="n"/>
      <c r="V575" s="10">
        <f>IF(AND(T575="",U575=""),"",IFERROR(INDEX(T_CAPAI,MATCH(T575,L_PER,0),MATCH(U575,L_KED,0)),0))</f>
        <v/>
      </c>
      <c r="W575" s="17">
        <f>IF(OR(B575="",E575="",COUNTA(F575,H575,J575:M575,O575,Q575:R575,T575:U575)=0),"",SUM(G575,I575,N575,P575,S575,V575))</f>
        <v/>
      </c>
      <c r="X575" s="18">
        <f>IF(W575="","",IF(Murid!F575="TL","TL",ROUND(W575/110*100,2)))</f>
        <v/>
      </c>
    </row>
    <row r="576">
      <c r="A576" s="15">
        <f>Murid!A576</f>
        <v/>
      </c>
      <c r="B576" s="15">
        <f>IF(Murid!B576="","",Murid!B576)</f>
        <v/>
      </c>
      <c r="C576" s="16">
        <f>IF(Murid!C576="","",Murid!C576)</f>
        <v/>
      </c>
      <c r="D576" s="15">
        <f>IF(Murid!E576="","",Murid!E576)</f>
        <v/>
      </c>
      <c r="E576" s="11" t="n"/>
      <c r="F576" s="11" t="n"/>
      <c r="G576" s="10">
        <f>IF(F576="","",IFERROR(VLOOKUP(F576,T_JUB,2,FALSE),0))</f>
        <v/>
      </c>
      <c r="H576" s="11" t="n"/>
      <c r="I576" s="17">
        <f>IF(H576="","",IF(H576&gt;=12,40,ROUND(H576*3.33,2)))</f>
        <v/>
      </c>
      <c r="J576" s="11" t="n"/>
      <c r="K576" s="11" t="n"/>
      <c r="L576" s="11" t="n"/>
      <c r="M576" s="11" t="n"/>
      <c r="N576" s="10">
        <f>IF(COUNTA(J576:M576)=0,"",MIN(10,SUMPRODUCT((COUNTIF(J576:M576,L_KOM)&gt;0)*S_KOM)))</f>
        <v/>
      </c>
      <c r="O576" s="11" t="n"/>
      <c r="P576" s="10">
        <f>IF(O576="","",IFERROR(VLOOKUP(O576,T_KHID,2,FALSE),0))</f>
        <v/>
      </c>
      <c r="Q576" s="11" t="n"/>
      <c r="R576" s="11" t="n"/>
      <c r="S576" s="10">
        <f>IF(AND(Q576="",R576=""),"",IFERROR(INDEX(T_LIBAT,MATCH(Q576,L_PER,0),MATCH(R576,L_JENIS,0)),0))</f>
        <v/>
      </c>
      <c r="T576" s="11" t="n"/>
      <c r="U576" s="11" t="n"/>
      <c r="V576" s="10">
        <f>IF(AND(T576="",U576=""),"",IFERROR(INDEX(T_CAPAI,MATCH(T576,L_PER,0),MATCH(U576,L_KED,0)),0))</f>
        <v/>
      </c>
      <c r="W576" s="17">
        <f>IF(OR(B576="",E576="",COUNTA(F576,H576,J576:M576,O576,Q576:R576,T576:U576)=0),"",SUM(G576,I576,N576,P576,S576,V576))</f>
        <v/>
      </c>
      <c r="X576" s="18">
        <f>IF(W576="","",IF(Murid!F576="TL","TL",ROUND(W576/110*100,2)))</f>
        <v/>
      </c>
    </row>
    <row r="577">
      <c r="A577" s="15">
        <f>Murid!A577</f>
        <v/>
      </c>
      <c r="B577" s="15">
        <f>IF(Murid!B577="","",Murid!B577)</f>
        <v/>
      </c>
      <c r="C577" s="16">
        <f>IF(Murid!C577="","",Murid!C577)</f>
        <v/>
      </c>
      <c r="D577" s="15">
        <f>IF(Murid!E577="","",Murid!E577)</f>
        <v/>
      </c>
      <c r="E577" s="11" t="n"/>
      <c r="F577" s="11" t="n"/>
      <c r="G577" s="10">
        <f>IF(F577="","",IFERROR(VLOOKUP(F577,T_JUB,2,FALSE),0))</f>
        <v/>
      </c>
      <c r="H577" s="11" t="n"/>
      <c r="I577" s="17">
        <f>IF(H577="","",IF(H577&gt;=12,40,ROUND(H577*3.33,2)))</f>
        <v/>
      </c>
      <c r="J577" s="11" t="n"/>
      <c r="K577" s="11" t="n"/>
      <c r="L577" s="11" t="n"/>
      <c r="M577" s="11" t="n"/>
      <c r="N577" s="10">
        <f>IF(COUNTA(J577:M577)=0,"",MIN(10,SUMPRODUCT((COUNTIF(J577:M577,L_KOM)&gt;0)*S_KOM)))</f>
        <v/>
      </c>
      <c r="O577" s="11" t="n"/>
      <c r="P577" s="10">
        <f>IF(O577="","",IFERROR(VLOOKUP(O577,T_KHID,2,FALSE),0))</f>
        <v/>
      </c>
      <c r="Q577" s="11" t="n"/>
      <c r="R577" s="11" t="n"/>
      <c r="S577" s="10">
        <f>IF(AND(Q577="",R577=""),"",IFERROR(INDEX(T_LIBAT,MATCH(Q577,L_PER,0),MATCH(R577,L_JENIS,0)),0))</f>
        <v/>
      </c>
      <c r="T577" s="11" t="n"/>
      <c r="U577" s="11" t="n"/>
      <c r="V577" s="10">
        <f>IF(AND(T577="",U577=""),"",IFERROR(INDEX(T_CAPAI,MATCH(T577,L_PER,0),MATCH(U577,L_KED,0)),0))</f>
        <v/>
      </c>
      <c r="W577" s="17">
        <f>IF(OR(B577="",E577="",COUNTA(F577,H577,J577:M577,O577,Q577:R577,T577:U577)=0),"",SUM(G577,I577,N577,P577,S577,V577))</f>
        <v/>
      </c>
      <c r="X577" s="18">
        <f>IF(W577="","",IF(Murid!F577="TL","TL",ROUND(W577/110*100,2)))</f>
        <v/>
      </c>
    </row>
    <row r="578">
      <c r="A578" s="15">
        <f>Murid!A578</f>
        <v/>
      </c>
      <c r="B578" s="15">
        <f>IF(Murid!B578="","",Murid!B578)</f>
        <v/>
      </c>
      <c r="C578" s="16">
        <f>IF(Murid!C578="","",Murid!C578)</f>
        <v/>
      </c>
      <c r="D578" s="15">
        <f>IF(Murid!E578="","",Murid!E578)</f>
        <v/>
      </c>
      <c r="E578" s="11" t="n"/>
      <c r="F578" s="11" t="n"/>
      <c r="G578" s="10">
        <f>IF(F578="","",IFERROR(VLOOKUP(F578,T_JUB,2,FALSE),0))</f>
        <v/>
      </c>
      <c r="H578" s="11" t="n"/>
      <c r="I578" s="17">
        <f>IF(H578="","",IF(H578&gt;=12,40,ROUND(H578*3.33,2)))</f>
        <v/>
      </c>
      <c r="J578" s="11" t="n"/>
      <c r="K578" s="11" t="n"/>
      <c r="L578" s="11" t="n"/>
      <c r="M578" s="11" t="n"/>
      <c r="N578" s="10">
        <f>IF(COUNTA(J578:M578)=0,"",MIN(10,SUMPRODUCT((COUNTIF(J578:M578,L_KOM)&gt;0)*S_KOM)))</f>
        <v/>
      </c>
      <c r="O578" s="11" t="n"/>
      <c r="P578" s="10">
        <f>IF(O578="","",IFERROR(VLOOKUP(O578,T_KHID,2,FALSE),0))</f>
        <v/>
      </c>
      <c r="Q578" s="11" t="n"/>
      <c r="R578" s="11" t="n"/>
      <c r="S578" s="10">
        <f>IF(AND(Q578="",R578=""),"",IFERROR(INDEX(T_LIBAT,MATCH(Q578,L_PER,0),MATCH(R578,L_JENIS,0)),0))</f>
        <v/>
      </c>
      <c r="T578" s="11" t="n"/>
      <c r="U578" s="11" t="n"/>
      <c r="V578" s="10">
        <f>IF(AND(T578="",U578=""),"",IFERROR(INDEX(T_CAPAI,MATCH(T578,L_PER,0),MATCH(U578,L_KED,0)),0))</f>
        <v/>
      </c>
      <c r="W578" s="17">
        <f>IF(OR(B578="",E578="",COUNTA(F578,H578,J578:M578,O578,Q578:R578,T578:U578)=0),"",SUM(G578,I578,N578,P578,S578,V578))</f>
        <v/>
      </c>
      <c r="X578" s="18">
        <f>IF(W578="","",IF(Murid!F578="TL","TL",ROUND(W578/110*100,2)))</f>
        <v/>
      </c>
    </row>
    <row r="579">
      <c r="A579" s="15">
        <f>Murid!A579</f>
        <v/>
      </c>
      <c r="B579" s="15">
        <f>IF(Murid!B579="","",Murid!B579)</f>
        <v/>
      </c>
      <c r="C579" s="16">
        <f>IF(Murid!C579="","",Murid!C579)</f>
        <v/>
      </c>
      <c r="D579" s="15">
        <f>IF(Murid!E579="","",Murid!E579)</f>
        <v/>
      </c>
      <c r="E579" s="11" t="n"/>
      <c r="F579" s="11" t="n"/>
      <c r="G579" s="10">
        <f>IF(F579="","",IFERROR(VLOOKUP(F579,T_JUB,2,FALSE),0))</f>
        <v/>
      </c>
      <c r="H579" s="11" t="n"/>
      <c r="I579" s="17">
        <f>IF(H579="","",IF(H579&gt;=12,40,ROUND(H579*3.33,2)))</f>
        <v/>
      </c>
      <c r="J579" s="11" t="n"/>
      <c r="K579" s="11" t="n"/>
      <c r="L579" s="11" t="n"/>
      <c r="M579" s="11" t="n"/>
      <c r="N579" s="10">
        <f>IF(COUNTA(J579:M579)=0,"",MIN(10,SUMPRODUCT((COUNTIF(J579:M579,L_KOM)&gt;0)*S_KOM)))</f>
        <v/>
      </c>
      <c r="O579" s="11" t="n"/>
      <c r="P579" s="10">
        <f>IF(O579="","",IFERROR(VLOOKUP(O579,T_KHID,2,FALSE),0))</f>
        <v/>
      </c>
      <c r="Q579" s="11" t="n"/>
      <c r="R579" s="11" t="n"/>
      <c r="S579" s="10">
        <f>IF(AND(Q579="",R579=""),"",IFERROR(INDEX(T_LIBAT,MATCH(Q579,L_PER,0),MATCH(R579,L_JENIS,0)),0))</f>
        <v/>
      </c>
      <c r="T579" s="11" t="n"/>
      <c r="U579" s="11" t="n"/>
      <c r="V579" s="10">
        <f>IF(AND(T579="",U579=""),"",IFERROR(INDEX(T_CAPAI,MATCH(T579,L_PER,0),MATCH(U579,L_KED,0)),0))</f>
        <v/>
      </c>
      <c r="W579" s="17">
        <f>IF(OR(B579="",E579="",COUNTA(F579,H579,J579:M579,O579,Q579:R579,T579:U579)=0),"",SUM(G579,I579,N579,P579,S579,V579))</f>
        <v/>
      </c>
      <c r="X579" s="18">
        <f>IF(W579="","",IF(Murid!F579="TL","TL",ROUND(W579/110*100,2)))</f>
        <v/>
      </c>
    </row>
    <row r="580">
      <c r="A580" s="15">
        <f>Murid!A580</f>
        <v/>
      </c>
      <c r="B580" s="15">
        <f>IF(Murid!B580="","",Murid!B580)</f>
        <v/>
      </c>
      <c r="C580" s="16">
        <f>IF(Murid!C580="","",Murid!C580)</f>
        <v/>
      </c>
      <c r="D580" s="15">
        <f>IF(Murid!E580="","",Murid!E580)</f>
        <v/>
      </c>
      <c r="E580" s="11" t="n"/>
      <c r="F580" s="11" t="n"/>
      <c r="G580" s="10">
        <f>IF(F580="","",IFERROR(VLOOKUP(F580,T_JUB,2,FALSE),0))</f>
        <v/>
      </c>
      <c r="H580" s="11" t="n"/>
      <c r="I580" s="17">
        <f>IF(H580="","",IF(H580&gt;=12,40,ROUND(H580*3.33,2)))</f>
        <v/>
      </c>
      <c r="J580" s="11" t="n"/>
      <c r="K580" s="11" t="n"/>
      <c r="L580" s="11" t="n"/>
      <c r="M580" s="11" t="n"/>
      <c r="N580" s="10">
        <f>IF(COUNTA(J580:M580)=0,"",MIN(10,SUMPRODUCT((COUNTIF(J580:M580,L_KOM)&gt;0)*S_KOM)))</f>
        <v/>
      </c>
      <c r="O580" s="11" t="n"/>
      <c r="P580" s="10">
        <f>IF(O580="","",IFERROR(VLOOKUP(O580,T_KHID,2,FALSE),0))</f>
        <v/>
      </c>
      <c r="Q580" s="11" t="n"/>
      <c r="R580" s="11" t="n"/>
      <c r="S580" s="10">
        <f>IF(AND(Q580="",R580=""),"",IFERROR(INDEX(T_LIBAT,MATCH(Q580,L_PER,0),MATCH(R580,L_JENIS,0)),0))</f>
        <v/>
      </c>
      <c r="T580" s="11" t="n"/>
      <c r="U580" s="11" t="n"/>
      <c r="V580" s="10">
        <f>IF(AND(T580="",U580=""),"",IFERROR(INDEX(T_CAPAI,MATCH(T580,L_PER,0),MATCH(U580,L_KED,0)),0))</f>
        <v/>
      </c>
      <c r="W580" s="17">
        <f>IF(OR(B580="",E580="",COUNTA(F580,H580,J580:M580,O580,Q580:R580,T580:U580)=0),"",SUM(G580,I580,N580,P580,S580,V580))</f>
        <v/>
      </c>
      <c r="X580" s="18">
        <f>IF(W580="","",IF(Murid!F580="TL","TL",ROUND(W580/110*100,2)))</f>
        <v/>
      </c>
    </row>
    <row r="581">
      <c r="A581" s="15">
        <f>Murid!A581</f>
        <v/>
      </c>
      <c r="B581" s="15">
        <f>IF(Murid!B581="","",Murid!B581)</f>
        <v/>
      </c>
      <c r="C581" s="16">
        <f>IF(Murid!C581="","",Murid!C581)</f>
        <v/>
      </c>
      <c r="D581" s="15">
        <f>IF(Murid!E581="","",Murid!E581)</f>
        <v/>
      </c>
      <c r="E581" s="11" t="n"/>
      <c r="F581" s="11" t="n"/>
      <c r="G581" s="10">
        <f>IF(F581="","",IFERROR(VLOOKUP(F581,T_JUB,2,FALSE),0))</f>
        <v/>
      </c>
      <c r="H581" s="11" t="n"/>
      <c r="I581" s="17">
        <f>IF(H581="","",IF(H581&gt;=12,40,ROUND(H581*3.33,2)))</f>
        <v/>
      </c>
      <c r="J581" s="11" t="n"/>
      <c r="K581" s="11" t="n"/>
      <c r="L581" s="11" t="n"/>
      <c r="M581" s="11" t="n"/>
      <c r="N581" s="10">
        <f>IF(COUNTA(J581:M581)=0,"",MIN(10,SUMPRODUCT((COUNTIF(J581:M581,L_KOM)&gt;0)*S_KOM)))</f>
        <v/>
      </c>
      <c r="O581" s="11" t="n"/>
      <c r="P581" s="10">
        <f>IF(O581="","",IFERROR(VLOOKUP(O581,T_KHID,2,FALSE),0))</f>
        <v/>
      </c>
      <c r="Q581" s="11" t="n"/>
      <c r="R581" s="11" t="n"/>
      <c r="S581" s="10">
        <f>IF(AND(Q581="",R581=""),"",IFERROR(INDEX(T_LIBAT,MATCH(Q581,L_PER,0),MATCH(R581,L_JENIS,0)),0))</f>
        <v/>
      </c>
      <c r="T581" s="11" t="n"/>
      <c r="U581" s="11" t="n"/>
      <c r="V581" s="10">
        <f>IF(AND(T581="",U581=""),"",IFERROR(INDEX(T_CAPAI,MATCH(T581,L_PER,0),MATCH(U581,L_KED,0)),0))</f>
        <v/>
      </c>
      <c r="W581" s="17">
        <f>IF(OR(B581="",E581="",COUNTA(F581,H581,J581:M581,O581,Q581:R581,T581:U581)=0),"",SUM(G581,I581,N581,P581,S581,V581))</f>
        <v/>
      </c>
      <c r="X581" s="18">
        <f>IF(W581="","",IF(Murid!F581="TL","TL",ROUND(W581/110*100,2)))</f>
        <v/>
      </c>
    </row>
    <row r="582">
      <c r="A582" s="15">
        <f>Murid!A582</f>
        <v/>
      </c>
      <c r="B582" s="15">
        <f>IF(Murid!B582="","",Murid!B582)</f>
        <v/>
      </c>
      <c r="C582" s="16">
        <f>IF(Murid!C582="","",Murid!C582)</f>
        <v/>
      </c>
      <c r="D582" s="15">
        <f>IF(Murid!E582="","",Murid!E582)</f>
        <v/>
      </c>
      <c r="E582" s="11" t="n"/>
      <c r="F582" s="11" t="n"/>
      <c r="G582" s="10">
        <f>IF(F582="","",IFERROR(VLOOKUP(F582,T_JUB,2,FALSE),0))</f>
        <v/>
      </c>
      <c r="H582" s="11" t="n"/>
      <c r="I582" s="17">
        <f>IF(H582="","",IF(H582&gt;=12,40,ROUND(H582*3.33,2)))</f>
        <v/>
      </c>
      <c r="J582" s="11" t="n"/>
      <c r="K582" s="11" t="n"/>
      <c r="L582" s="11" t="n"/>
      <c r="M582" s="11" t="n"/>
      <c r="N582" s="10">
        <f>IF(COUNTA(J582:M582)=0,"",MIN(10,SUMPRODUCT((COUNTIF(J582:M582,L_KOM)&gt;0)*S_KOM)))</f>
        <v/>
      </c>
      <c r="O582" s="11" t="n"/>
      <c r="P582" s="10">
        <f>IF(O582="","",IFERROR(VLOOKUP(O582,T_KHID,2,FALSE),0))</f>
        <v/>
      </c>
      <c r="Q582" s="11" t="n"/>
      <c r="R582" s="11" t="n"/>
      <c r="S582" s="10">
        <f>IF(AND(Q582="",R582=""),"",IFERROR(INDEX(T_LIBAT,MATCH(Q582,L_PER,0),MATCH(R582,L_JENIS,0)),0))</f>
        <v/>
      </c>
      <c r="T582" s="11" t="n"/>
      <c r="U582" s="11" t="n"/>
      <c r="V582" s="10">
        <f>IF(AND(T582="",U582=""),"",IFERROR(INDEX(T_CAPAI,MATCH(T582,L_PER,0),MATCH(U582,L_KED,0)),0))</f>
        <v/>
      </c>
      <c r="W582" s="17">
        <f>IF(OR(B582="",E582="",COUNTA(F582,H582,J582:M582,O582,Q582:R582,T582:U582)=0),"",SUM(G582,I582,N582,P582,S582,V582))</f>
        <v/>
      </c>
      <c r="X582" s="18">
        <f>IF(W582="","",IF(Murid!F582="TL","TL",ROUND(W582/110*100,2)))</f>
        <v/>
      </c>
    </row>
    <row r="583">
      <c r="A583" s="15">
        <f>Murid!A583</f>
        <v/>
      </c>
      <c r="B583" s="15">
        <f>IF(Murid!B583="","",Murid!B583)</f>
        <v/>
      </c>
      <c r="C583" s="16">
        <f>IF(Murid!C583="","",Murid!C583)</f>
        <v/>
      </c>
      <c r="D583" s="15">
        <f>IF(Murid!E583="","",Murid!E583)</f>
        <v/>
      </c>
      <c r="E583" s="11" t="n"/>
      <c r="F583" s="11" t="n"/>
      <c r="G583" s="10">
        <f>IF(F583="","",IFERROR(VLOOKUP(F583,T_JUB,2,FALSE),0))</f>
        <v/>
      </c>
      <c r="H583" s="11" t="n"/>
      <c r="I583" s="17">
        <f>IF(H583="","",IF(H583&gt;=12,40,ROUND(H583*3.33,2)))</f>
        <v/>
      </c>
      <c r="J583" s="11" t="n"/>
      <c r="K583" s="11" t="n"/>
      <c r="L583" s="11" t="n"/>
      <c r="M583" s="11" t="n"/>
      <c r="N583" s="10">
        <f>IF(COUNTA(J583:M583)=0,"",MIN(10,SUMPRODUCT((COUNTIF(J583:M583,L_KOM)&gt;0)*S_KOM)))</f>
        <v/>
      </c>
      <c r="O583" s="11" t="n"/>
      <c r="P583" s="10">
        <f>IF(O583="","",IFERROR(VLOOKUP(O583,T_KHID,2,FALSE),0))</f>
        <v/>
      </c>
      <c r="Q583" s="11" t="n"/>
      <c r="R583" s="11" t="n"/>
      <c r="S583" s="10">
        <f>IF(AND(Q583="",R583=""),"",IFERROR(INDEX(T_LIBAT,MATCH(Q583,L_PER,0),MATCH(R583,L_JENIS,0)),0))</f>
        <v/>
      </c>
      <c r="T583" s="11" t="n"/>
      <c r="U583" s="11" t="n"/>
      <c r="V583" s="10">
        <f>IF(AND(T583="",U583=""),"",IFERROR(INDEX(T_CAPAI,MATCH(T583,L_PER,0),MATCH(U583,L_KED,0)),0))</f>
        <v/>
      </c>
      <c r="W583" s="17">
        <f>IF(OR(B583="",E583="",COUNTA(F583,H583,J583:M583,O583,Q583:R583,T583:U583)=0),"",SUM(G583,I583,N583,P583,S583,V583))</f>
        <v/>
      </c>
      <c r="X583" s="18">
        <f>IF(W583="","",IF(Murid!F583="TL","TL",ROUND(W583/110*100,2)))</f>
        <v/>
      </c>
    </row>
    <row r="584">
      <c r="A584" s="15">
        <f>Murid!A584</f>
        <v/>
      </c>
      <c r="B584" s="15">
        <f>IF(Murid!B584="","",Murid!B584)</f>
        <v/>
      </c>
      <c r="C584" s="16">
        <f>IF(Murid!C584="","",Murid!C584)</f>
        <v/>
      </c>
      <c r="D584" s="15">
        <f>IF(Murid!E584="","",Murid!E584)</f>
        <v/>
      </c>
      <c r="E584" s="11" t="n"/>
      <c r="F584" s="11" t="n"/>
      <c r="G584" s="10">
        <f>IF(F584="","",IFERROR(VLOOKUP(F584,T_JUB,2,FALSE),0))</f>
        <v/>
      </c>
      <c r="H584" s="11" t="n"/>
      <c r="I584" s="17">
        <f>IF(H584="","",IF(H584&gt;=12,40,ROUND(H584*3.33,2)))</f>
        <v/>
      </c>
      <c r="J584" s="11" t="n"/>
      <c r="K584" s="11" t="n"/>
      <c r="L584" s="11" t="n"/>
      <c r="M584" s="11" t="n"/>
      <c r="N584" s="10">
        <f>IF(COUNTA(J584:M584)=0,"",MIN(10,SUMPRODUCT((COUNTIF(J584:M584,L_KOM)&gt;0)*S_KOM)))</f>
        <v/>
      </c>
      <c r="O584" s="11" t="n"/>
      <c r="P584" s="10">
        <f>IF(O584="","",IFERROR(VLOOKUP(O584,T_KHID,2,FALSE),0))</f>
        <v/>
      </c>
      <c r="Q584" s="11" t="n"/>
      <c r="R584" s="11" t="n"/>
      <c r="S584" s="10">
        <f>IF(AND(Q584="",R584=""),"",IFERROR(INDEX(T_LIBAT,MATCH(Q584,L_PER,0),MATCH(R584,L_JENIS,0)),0))</f>
        <v/>
      </c>
      <c r="T584" s="11" t="n"/>
      <c r="U584" s="11" t="n"/>
      <c r="V584" s="10">
        <f>IF(AND(T584="",U584=""),"",IFERROR(INDEX(T_CAPAI,MATCH(T584,L_PER,0),MATCH(U584,L_KED,0)),0))</f>
        <v/>
      </c>
      <c r="W584" s="17">
        <f>IF(OR(B584="",E584="",COUNTA(F584,H584,J584:M584,O584,Q584:R584,T584:U584)=0),"",SUM(G584,I584,N584,P584,S584,V584))</f>
        <v/>
      </c>
      <c r="X584" s="18">
        <f>IF(W584="","",IF(Murid!F584="TL","TL",ROUND(W584/110*100,2)))</f>
        <v/>
      </c>
    </row>
    <row r="585">
      <c r="A585" s="15">
        <f>Murid!A585</f>
        <v/>
      </c>
      <c r="B585" s="15">
        <f>IF(Murid!B585="","",Murid!B585)</f>
        <v/>
      </c>
      <c r="C585" s="16">
        <f>IF(Murid!C585="","",Murid!C585)</f>
        <v/>
      </c>
      <c r="D585" s="15">
        <f>IF(Murid!E585="","",Murid!E585)</f>
        <v/>
      </c>
      <c r="E585" s="11" t="n"/>
      <c r="F585" s="11" t="n"/>
      <c r="G585" s="10">
        <f>IF(F585="","",IFERROR(VLOOKUP(F585,T_JUB,2,FALSE),0))</f>
        <v/>
      </c>
      <c r="H585" s="11" t="n"/>
      <c r="I585" s="17">
        <f>IF(H585="","",IF(H585&gt;=12,40,ROUND(H585*3.33,2)))</f>
        <v/>
      </c>
      <c r="J585" s="11" t="n"/>
      <c r="K585" s="11" t="n"/>
      <c r="L585" s="11" t="n"/>
      <c r="M585" s="11" t="n"/>
      <c r="N585" s="10">
        <f>IF(COUNTA(J585:M585)=0,"",MIN(10,SUMPRODUCT((COUNTIF(J585:M585,L_KOM)&gt;0)*S_KOM)))</f>
        <v/>
      </c>
      <c r="O585" s="11" t="n"/>
      <c r="P585" s="10">
        <f>IF(O585="","",IFERROR(VLOOKUP(O585,T_KHID,2,FALSE),0))</f>
        <v/>
      </c>
      <c r="Q585" s="11" t="n"/>
      <c r="R585" s="11" t="n"/>
      <c r="S585" s="10">
        <f>IF(AND(Q585="",R585=""),"",IFERROR(INDEX(T_LIBAT,MATCH(Q585,L_PER,0),MATCH(R585,L_JENIS,0)),0))</f>
        <v/>
      </c>
      <c r="T585" s="11" t="n"/>
      <c r="U585" s="11" t="n"/>
      <c r="V585" s="10">
        <f>IF(AND(T585="",U585=""),"",IFERROR(INDEX(T_CAPAI,MATCH(T585,L_PER,0),MATCH(U585,L_KED,0)),0))</f>
        <v/>
      </c>
      <c r="W585" s="17">
        <f>IF(OR(B585="",E585="",COUNTA(F585,H585,J585:M585,O585,Q585:R585,T585:U585)=0),"",SUM(G585,I585,N585,P585,S585,V585))</f>
        <v/>
      </c>
      <c r="X585" s="18">
        <f>IF(W585="","",IF(Murid!F585="TL","TL",ROUND(W585/110*100,2)))</f>
        <v/>
      </c>
    </row>
    <row r="586">
      <c r="A586" s="15">
        <f>Murid!A586</f>
        <v/>
      </c>
      <c r="B586" s="15">
        <f>IF(Murid!B586="","",Murid!B586)</f>
        <v/>
      </c>
      <c r="C586" s="16">
        <f>IF(Murid!C586="","",Murid!C586)</f>
        <v/>
      </c>
      <c r="D586" s="15">
        <f>IF(Murid!E586="","",Murid!E586)</f>
        <v/>
      </c>
      <c r="E586" s="11" t="n"/>
      <c r="F586" s="11" t="n"/>
      <c r="G586" s="10">
        <f>IF(F586="","",IFERROR(VLOOKUP(F586,T_JUB,2,FALSE),0))</f>
        <v/>
      </c>
      <c r="H586" s="11" t="n"/>
      <c r="I586" s="17">
        <f>IF(H586="","",IF(H586&gt;=12,40,ROUND(H586*3.33,2)))</f>
        <v/>
      </c>
      <c r="J586" s="11" t="n"/>
      <c r="K586" s="11" t="n"/>
      <c r="L586" s="11" t="n"/>
      <c r="M586" s="11" t="n"/>
      <c r="N586" s="10">
        <f>IF(COUNTA(J586:M586)=0,"",MIN(10,SUMPRODUCT((COUNTIF(J586:M586,L_KOM)&gt;0)*S_KOM)))</f>
        <v/>
      </c>
      <c r="O586" s="11" t="n"/>
      <c r="P586" s="10">
        <f>IF(O586="","",IFERROR(VLOOKUP(O586,T_KHID,2,FALSE),0))</f>
        <v/>
      </c>
      <c r="Q586" s="11" t="n"/>
      <c r="R586" s="11" t="n"/>
      <c r="S586" s="10">
        <f>IF(AND(Q586="",R586=""),"",IFERROR(INDEX(T_LIBAT,MATCH(Q586,L_PER,0),MATCH(R586,L_JENIS,0)),0))</f>
        <v/>
      </c>
      <c r="T586" s="11" t="n"/>
      <c r="U586" s="11" t="n"/>
      <c r="V586" s="10">
        <f>IF(AND(T586="",U586=""),"",IFERROR(INDEX(T_CAPAI,MATCH(T586,L_PER,0),MATCH(U586,L_KED,0)),0))</f>
        <v/>
      </c>
      <c r="W586" s="17">
        <f>IF(OR(B586="",E586="",COUNTA(F586,H586,J586:M586,O586,Q586:R586,T586:U586)=0),"",SUM(G586,I586,N586,P586,S586,V586))</f>
        <v/>
      </c>
      <c r="X586" s="18">
        <f>IF(W586="","",IF(Murid!F586="TL","TL",ROUND(W586/110*100,2)))</f>
        <v/>
      </c>
    </row>
    <row r="587">
      <c r="A587" s="15">
        <f>Murid!A587</f>
        <v/>
      </c>
      <c r="B587" s="15">
        <f>IF(Murid!B587="","",Murid!B587)</f>
        <v/>
      </c>
      <c r="C587" s="16">
        <f>IF(Murid!C587="","",Murid!C587)</f>
        <v/>
      </c>
      <c r="D587" s="15">
        <f>IF(Murid!E587="","",Murid!E587)</f>
        <v/>
      </c>
      <c r="E587" s="11" t="n"/>
      <c r="F587" s="11" t="n"/>
      <c r="G587" s="10">
        <f>IF(F587="","",IFERROR(VLOOKUP(F587,T_JUB,2,FALSE),0))</f>
        <v/>
      </c>
      <c r="H587" s="11" t="n"/>
      <c r="I587" s="17">
        <f>IF(H587="","",IF(H587&gt;=12,40,ROUND(H587*3.33,2)))</f>
        <v/>
      </c>
      <c r="J587" s="11" t="n"/>
      <c r="K587" s="11" t="n"/>
      <c r="L587" s="11" t="n"/>
      <c r="M587" s="11" t="n"/>
      <c r="N587" s="10">
        <f>IF(COUNTA(J587:M587)=0,"",MIN(10,SUMPRODUCT((COUNTIF(J587:M587,L_KOM)&gt;0)*S_KOM)))</f>
        <v/>
      </c>
      <c r="O587" s="11" t="n"/>
      <c r="P587" s="10">
        <f>IF(O587="","",IFERROR(VLOOKUP(O587,T_KHID,2,FALSE),0))</f>
        <v/>
      </c>
      <c r="Q587" s="11" t="n"/>
      <c r="R587" s="11" t="n"/>
      <c r="S587" s="10">
        <f>IF(AND(Q587="",R587=""),"",IFERROR(INDEX(T_LIBAT,MATCH(Q587,L_PER,0),MATCH(R587,L_JENIS,0)),0))</f>
        <v/>
      </c>
      <c r="T587" s="11" t="n"/>
      <c r="U587" s="11" t="n"/>
      <c r="V587" s="10">
        <f>IF(AND(T587="",U587=""),"",IFERROR(INDEX(T_CAPAI,MATCH(T587,L_PER,0),MATCH(U587,L_KED,0)),0))</f>
        <v/>
      </c>
      <c r="W587" s="17">
        <f>IF(OR(B587="",E587="",COUNTA(F587,H587,J587:M587,O587,Q587:R587,T587:U587)=0),"",SUM(G587,I587,N587,P587,S587,V587))</f>
        <v/>
      </c>
      <c r="X587" s="18">
        <f>IF(W587="","",IF(Murid!F587="TL","TL",ROUND(W587/110*100,2)))</f>
        <v/>
      </c>
    </row>
    <row r="588">
      <c r="A588" s="15">
        <f>Murid!A588</f>
        <v/>
      </c>
      <c r="B588" s="15">
        <f>IF(Murid!B588="","",Murid!B588)</f>
        <v/>
      </c>
      <c r="C588" s="16">
        <f>IF(Murid!C588="","",Murid!C588)</f>
        <v/>
      </c>
      <c r="D588" s="15">
        <f>IF(Murid!E588="","",Murid!E588)</f>
        <v/>
      </c>
      <c r="E588" s="11" t="n"/>
      <c r="F588" s="11" t="n"/>
      <c r="G588" s="10">
        <f>IF(F588="","",IFERROR(VLOOKUP(F588,T_JUB,2,FALSE),0))</f>
        <v/>
      </c>
      <c r="H588" s="11" t="n"/>
      <c r="I588" s="17">
        <f>IF(H588="","",IF(H588&gt;=12,40,ROUND(H588*3.33,2)))</f>
        <v/>
      </c>
      <c r="J588" s="11" t="n"/>
      <c r="K588" s="11" t="n"/>
      <c r="L588" s="11" t="n"/>
      <c r="M588" s="11" t="n"/>
      <c r="N588" s="10">
        <f>IF(COUNTA(J588:M588)=0,"",MIN(10,SUMPRODUCT((COUNTIF(J588:M588,L_KOM)&gt;0)*S_KOM)))</f>
        <v/>
      </c>
      <c r="O588" s="11" t="n"/>
      <c r="P588" s="10">
        <f>IF(O588="","",IFERROR(VLOOKUP(O588,T_KHID,2,FALSE),0))</f>
        <v/>
      </c>
      <c r="Q588" s="11" t="n"/>
      <c r="R588" s="11" t="n"/>
      <c r="S588" s="10">
        <f>IF(AND(Q588="",R588=""),"",IFERROR(INDEX(T_LIBAT,MATCH(Q588,L_PER,0),MATCH(R588,L_JENIS,0)),0))</f>
        <v/>
      </c>
      <c r="T588" s="11" t="n"/>
      <c r="U588" s="11" t="n"/>
      <c r="V588" s="10">
        <f>IF(AND(T588="",U588=""),"",IFERROR(INDEX(T_CAPAI,MATCH(T588,L_PER,0),MATCH(U588,L_KED,0)),0))</f>
        <v/>
      </c>
      <c r="W588" s="17">
        <f>IF(OR(B588="",E588="",COUNTA(F588,H588,J588:M588,O588,Q588:R588,T588:U588)=0),"",SUM(G588,I588,N588,P588,S588,V588))</f>
        <v/>
      </c>
      <c r="X588" s="18">
        <f>IF(W588="","",IF(Murid!F588="TL","TL",ROUND(W588/110*100,2)))</f>
        <v/>
      </c>
    </row>
    <row r="589">
      <c r="A589" s="15">
        <f>Murid!A589</f>
        <v/>
      </c>
      <c r="B589" s="15">
        <f>IF(Murid!B589="","",Murid!B589)</f>
        <v/>
      </c>
      <c r="C589" s="16">
        <f>IF(Murid!C589="","",Murid!C589)</f>
        <v/>
      </c>
      <c r="D589" s="15">
        <f>IF(Murid!E589="","",Murid!E589)</f>
        <v/>
      </c>
      <c r="E589" s="11" t="n"/>
      <c r="F589" s="11" t="n"/>
      <c r="G589" s="10">
        <f>IF(F589="","",IFERROR(VLOOKUP(F589,T_JUB,2,FALSE),0))</f>
        <v/>
      </c>
      <c r="H589" s="11" t="n"/>
      <c r="I589" s="17">
        <f>IF(H589="","",IF(H589&gt;=12,40,ROUND(H589*3.33,2)))</f>
        <v/>
      </c>
      <c r="J589" s="11" t="n"/>
      <c r="K589" s="11" t="n"/>
      <c r="L589" s="11" t="n"/>
      <c r="M589" s="11" t="n"/>
      <c r="N589" s="10">
        <f>IF(COUNTA(J589:M589)=0,"",MIN(10,SUMPRODUCT((COUNTIF(J589:M589,L_KOM)&gt;0)*S_KOM)))</f>
        <v/>
      </c>
      <c r="O589" s="11" t="n"/>
      <c r="P589" s="10">
        <f>IF(O589="","",IFERROR(VLOOKUP(O589,T_KHID,2,FALSE),0))</f>
        <v/>
      </c>
      <c r="Q589" s="11" t="n"/>
      <c r="R589" s="11" t="n"/>
      <c r="S589" s="10">
        <f>IF(AND(Q589="",R589=""),"",IFERROR(INDEX(T_LIBAT,MATCH(Q589,L_PER,0),MATCH(R589,L_JENIS,0)),0))</f>
        <v/>
      </c>
      <c r="T589" s="11" t="n"/>
      <c r="U589" s="11" t="n"/>
      <c r="V589" s="10">
        <f>IF(AND(T589="",U589=""),"",IFERROR(INDEX(T_CAPAI,MATCH(T589,L_PER,0),MATCH(U589,L_KED,0)),0))</f>
        <v/>
      </c>
      <c r="W589" s="17">
        <f>IF(OR(B589="",E589="",COUNTA(F589,H589,J589:M589,O589,Q589:R589,T589:U589)=0),"",SUM(G589,I589,N589,P589,S589,V589))</f>
        <v/>
      </c>
      <c r="X589" s="18">
        <f>IF(W589="","",IF(Murid!F589="TL","TL",ROUND(W589/110*100,2)))</f>
        <v/>
      </c>
    </row>
    <row r="590">
      <c r="A590" s="15">
        <f>Murid!A590</f>
        <v/>
      </c>
      <c r="B590" s="15">
        <f>IF(Murid!B590="","",Murid!B590)</f>
        <v/>
      </c>
      <c r="C590" s="16">
        <f>IF(Murid!C590="","",Murid!C590)</f>
        <v/>
      </c>
      <c r="D590" s="15">
        <f>IF(Murid!E590="","",Murid!E590)</f>
        <v/>
      </c>
      <c r="E590" s="11" t="n"/>
      <c r="F590" s="11" t="n"/>
      <c r="G590" s="10">
        <f>IF(F590="","",IFERROR(VLOOKUP(F590,T_JUB,2,FALSE),0))</f>
        <v/>
      </c>
      <c r="H590" s="11" t="n"/>
      <c r="I590" s="17">
        <f>IF(H590="","",IF(H590&gt;=12,40,ROUND(H590*3.33,2)))</f>
        <v/>
      </c>
      <c r="J590" s="11" t="n"/>
      <c r="K590" s="11" t="n"/>
      <c r="L590" s="11" t="n"/>
      <c r="M590" s="11" t="n"/>
      <c r="N590" s="10">
        <f>IF(COUNTA(J590:M590)=0,"",MIN(10,SUMPRODUCT((COUNTIF(J590:M590,L_KOM)&gt;0)*S_KOM)))</f>
        <v/>
      </c>
      <c r="O590" s="11" t="n"/>
      <c r="P590" s="10">
        <f>IF(O590="","",IFERROR(VLOOKUP(O590,T_KHID,2,FALSE),0))</f>
        <v/>
      </c>
      <c r="Q590" s="11" t="n"/>
      <c r="R590" s="11" t="n"/>
      <c r="S590" s="10">
        <f>IF(AND(Q590="",R590=""),"",IFERROR(INDEX(T_LIBAT,MATCH(Q590,L_PER,0),MATCH(R590,L_JENIS,0)),0))</f>
        <v/>
      </c>
      <c r="T590" s="11" t="n"/>
      <c r="U590" s="11" t="n"/>
      <c r="V590" s="10">
        <f>IF(AND(T590="",U590=""),"",IFERROR(INDEX(T_CAPAI,MATCH(T590,L_PER,0),MATCH(U590,L_KED,0)),0))</f>
        <v/>
      </c>
      <c r="W590" s="17">
        <f>IF(OR(B590="",E590="",COUNTA(F590,H590,J590:M590,O590,Q590:R590,T590:U590)=0),"",SUM(G590,I590,N590,P590,S590,V590))</f>
        <v/>
      </c>
      <c r="X590" s="18">
        <f>IF(W590="","",IF(Murid!F590="TL","TL",ROUND(W590/110*100,2)))</f>
        <v/>
      </c>
    </row>
    <row r="591">
      <c r="A591" s="15">
        <f>Murid!A591</f>
        <v/>
      </c>
      <c r="B591" s="15">
        <f>IF(Murid!B591="","",Murid!B591)</f>
        <v/>
      </c>
      <c r="C591" s="16">
        <f>IF(Murid!C591="","",Murid!C591)</f>
        <v/>
      </c>
      <c r="D591" s="15">
        <f>IF(Murid!E591="","",Murid!E591)</f>
        <v/>
      </c>
      <c r="E591" s="11" t="n"/>
      <c r="F591" s="11" t="n"/>
      <c r="G591" s="10">
        <f>IF(F591="","",IFERROR(VLOOKUP(F591,T_JUB,2,FALSE),0))</f>
        <v/>
      </c>
      <c r="H591" s="11" t="n"/>
      <c r="I591" s="17">
        <f>IF(H591="","",IF(H591&gt;=12,40,ROUND(H591*3.33,2)))</f>
        <v/>
      </c>
      <c r="J591" s="11" t="n"/>
      <c r="K591" s="11" t="n"/>
      <c r="L591" s="11" t="n"/>
      <c r="M591" s="11" t="n"/>
      <c r="N591" s="10">
        <f>IF(COUNTA(J591:M591)=0,"",MIN(10,SUMPRODUCT((COUNTIF(J591:M591,L_KOM)&gt;0)*S_KOM)))</f>
        <v/>
      </c>
      <c r="O591" s="11" t="n"/>
      <c r="P591" s="10">
        <f>IF(O591="","",IFERROR(VLOOKUP(O591,T_KHID,2,FALSE),0))</f>
        <v/>
      </c>
      <c r="Q591" s="11" t="n"/>
      <c r="R591" s="11" t="n"/>
      <c r="S591" s="10">
        <f>IF(AND(Q591="",R591=""),"",IFERROR(INDEX(T_LIBAT,MATCH(Q591,L_PER,0),MATCH(R591,L_JENIS,0)),0))</f>
        <v/>
      </c>
      <c r="T591" s="11" t="n"/>
      <c r="U591" s="11" t="n"/>
      <c r="V591" s="10">
        <f>IF(AND(T591="",U591=""),"",IFERROR(INDEX(T_CAPAI,MATCH(T591,L_PER,0),MATCH(U591,L_KED,0)),0))</f>
        <v/>
      </c>
      <c r="W591" s="17">
        <f>IF(OR(B591="",E591="",COUNTA(F591,H591,J591:M591,O591,Q591:R591,T591:U591)=0),"",SUM(G591,I591,N591,P591,S591,V591))</f>
        <v/>
      </c>
      <c r="X591" s="18">
        <f>IF(W591="","",IF(Murid!F591="TL","TL",ROUND(W591/110*100,2)))</f>
        <v/>
      </c>
    </row>
    <row r="592">
      <c r="A592" s="15">
        <f>Murid!A592</f>
        <v/>
      </c>
      <c r="B592" s="15">
        <f>IF(Murid!B592="","",Murid!B592)</f>
        <v/>
      </c>
      <c r="C592" s="16">
        <f>IF(Murid!C592="","",Murid!C592)</f>
        <v/>
      </c>
      <c r="D592" s="15">
        <f>IF(Murid!E592="","",Murid!E592)</f>
        <v/>
      </c>
      <c r="E592" s="11" t="n"/>
      <c r="F592" s="11" t="n"/>
      <c r="G592" s="10">
        <f>IF(F592="","",IFERROR(VLOOKUP(F592,T_JUB,2,FALSE),0))</f>
        <v/>
      </c>
      <c r="H592" s="11" t="n"/>
      <c r="I592" s="17">
        <f>IF(H592="","",IF(H592&gt;=12,40,ROUND(H592*3.33,2)))</f>
        <v/>
      </c>
      <c r="J592" s="11" t="n"/>
      <c r="K592" s="11" t="n"/>
      <c r="L592" s="11" t="n"/>
      <c r="M592" s="11" t="n"/>
      <c r="N592" s="10">
        <f>IF(COUNTA(J592:M592)=0,"",MIN(10,SUMPRODUCT((COUNTIF(J592:M592,L_KOM)&gt;0)*S_KOM)))</f>
        <v/>
      </c>
      <c r="O592" s="11" t="n"/>
      <c r="P592" s="10">
        <f>IF(O592="","",IFERROR(VLOOKUP(O592,T_KHID,2,FALSE),0))</f>
        <v/>
      </c>
      <c r="Q592" s="11" t="n"/>
      <c r="R592" s="11" t="n"/>
      <c r="S592" s="10">
        <f>IF(AND(Q592="",R592=""),"",IFERROR(INDEX(T_LIBAT,MATCH(Q592,L_PER,0),MATCH(R592,L_JENIS,0)),0))</f>
        <v/>
      </c>
      <c r="T592" s="11" t="n"/>
      <c r="U592" s="11" t="n"/>
      <c r="V592" s="10">
        <f>IF(AND(T592="",U592=""),"",IFERROR(INDEX(T_CAPAI,MATCH(T592,L_PER,0),MATCH(U592,L_KED,0)),0))</f>
        <v/>
      </c>
      <c r="W592" s="17">
        <f>IF(OR(B592="",E592="",COUNTA(F592,H592,J592:M592,O592,Q592:R592,T592:U592)=0),"",SUM(G592,I592,N592,P592,S592,V592))</f>
        <v/>
      </c>
      <c r="X592" s="18">
        <f>IF(W592="","",IF(Murid!F592="TL","TL",ROUND(W592/110*100,2)))</f>
        <v/>
      </c>
    </row>
    <row r="593">
      <c r="A593" s="15">
        <f>Murid!A593</f>
        <v/>
      </c>
      <c r="B593" s="15">
        <f>IF(Murid!B593="","",Murid!B593)</f>
        <v/>
      </c>
      <c r="C593" s="16">
        <f>IF(Murid!C593="","",Murid!C593)</f>
        <v/>
      </c>
      <c r="D593" s="15">
        <f>IF(Murid!E593="","",Murid!E593)</f>
        <v/>
      </c>
      <c r="E593" s="11" t="n"/>
      <c r="F593" s="11" t="n"/>
      <c r="G593" s="10">
        <f>IF(F593="","",IFERROR(VLOOKUP(F593,T_JUB,2,FALSE),0))</f>
        <v/>
      </c>
      <c r="H593" s="11" t="n"/>
      <c r="I593" s="17">
        <f>IF(H593="","",IF(H593&gt;=12,40,ROUND(H593*3.33,2)))</f>
        <v/>
      </c>
      <c r="J593" s="11" t="n"/>
      <c r="K593" s="11" t="n"/>
      <c r="L593" s="11" t="n"/>
      <c r="M593" s="11" t="n"/>
      <c r="N593" s="10">
        <f>IF(COUNTA(J593:M593)=0,"",MIN(10,SUMPRODUCT((COUNTIF(J593:M593,L_KOM)&gt;0)*S_KOM)))</f>
        <v/>
      </c>
      <c r="O593" s="11" t="n"/>
      <c r="P593" s="10">
        <f>IF(O593="","",IFERROR(VLOOKUP(O593,T_KHID,2,FALSE),0))</f>
        <v/>
      </c>
      <c r="Q593" s="11" t="n"/>
      <c r="R593" s="11" t="n"/>
      <c r="S593" s="10">
        <f>IF(AND(Q593="",R593=""),"",IFERROR(INDEX(T_LIBAT,MATCH(Q593,L_PER,0),MATCH(R593,L_JENIS,0)),0))</f>
        <v/>
      </c>
      <c r="T593" s="11" t="n"/>
      <c r="U593" s="11" t="n"/>
      <c r="V593" s="10">
        <f>IF(AND(T593="",U593=""),"",IFERROR(INDEX(T_CAPAI,MATCH(T593,L_PER,0),MATCH(U593,L_KED,0)),0))</f>
        <v/>
      </c>
      <c r="W593" s="17">
        <f>IF(OR(B593="",E593="",COUNTA(F593,H593,J593:M593,O593,Q593:R593,T593:U593)=0),"",SUM(G593,I593,N593,P593,S593,V593))</f>
        <v/>
      </c>
      <c r="X593" s="18">
        <f>IF(W593="","",IF(Murid!F593="TL","TL",ROUND(W593/110*100,2)))</f>
        <v/>
      </c>
    </row>
    <row r="594">
      <c r="A594" s="15">
        <f>Murid!A594</f>
        <v/>
      </c>
      <c r="B594" s="15">
        <f>IF(Murid!B594="","",Murid!B594)</f>
        <v/>
      </c>
      <c r="C594" s="16">
        <f>IF(Murid!C594="","",Murid!C594)</f>
        <v/>
      </c>
      <c r="D594" s="15">
        <f>IF(Murid!E594="","",Murid!E594)</f>
        <v/>
      </c>
      <c r="E594" s="11" t="n"/>
      <c r="F594" s="11" t="n"/>
      <c r="G594" s="10">
        <f>IF(F594="","",IFERROR(VLOOKUP(F594,T_JUB,2,FALSE),0))</f>
        <v/>
      </c>
      <c r="H594" s="11" t="n"/>
      <c r="I594" s="17">
        <f>IF(H594="","",IF(H594&gt;=12,40,ROUND(H594*3.33,2)))</f>
        <v/>
      </c>
      <c r="J594" s="11" t="n"/>
      <c r="K594" s="11" t="n"/>
      <c r="L594" s="11" t="n"/>
      <c r="M594" s="11" t="n"/>
      <c r="N594" s="10">
        <f>IF(COUNTA(J594:M594)=0,"",MIN(10,SUMPRODUCT((COUNTIF(J594:M594,L_KOM)&gt;0)*S_KOM)))</f>
        <v/>
      </c>
      <c r="O594" s="11" t="n"/>
      <c r="P594" s="10">
        <f>IF(O594="","",IFERROR(VLOOKUP(O594,T_KHID,2,FALSE),0))</f>
        <v/>
      </c>
      <c r="Q594" s="11" t="n"/>
      <c r="R594" s="11" t="n"/>
      <c r="S594" s="10">
        <f>IF(AND(Q594="",R594=""),"",IFERROR(INDEX(T_LIBAT,MATCH(Q594,L_PER,0),MATCH(R594,L_JENIS,0)),0))</f>
        <v/>
      </c>
      <c r="T594" s="11" t="n"/>
      <c r="U594" s="11" t="n"/>
      <c r="V594" s="10">
        <f>IF(AND(T594="",U594=""),"",IFERROR(INDEX(T_CAPAI,MATCH(T594,L_PER,0),MATCH(U594,L_KED,0)),0))</f>
        <v/>
      </c>
      <c r="W594" s="17">
        <f>IF(OR(B594="",E594="",COUNTA(F594,H594,J594:M594,O594,Q594:R594,T594:U594)=0),"",SUM(G594,I594,N594,P594,S594,V594))</f>
        <v/>
      </c>
      <c r="X594" s="18">
        <f>IF(W594="","",IF(Murid!F594="TL","TL",ROUND(W594/110*100,2)))</f>
        <v/>
      </c>
    </row>
    <row r="595">
      <c r="A595" s="15">
        <f>Murid!A595</f>
        <v/>
      </c>
      <c r="B595" s="15">
        <f>IF(Murid!B595="","",Murid!B595)</f>
        <v/>
      </c>
      <c r="C595" s="16">
        <f>IF(Murid!C595="","",Murid!C595)</f>
        <v/>
      </c>
      <c r="D595" s="15">
        <f>IF(Murid!E595="","",Murid!E595)</f>
        <v/>
      </c>
      <c r="E595" s="11" t="n"/>
      <c r="F595" s="11" t="n"/>
      <c r="G595" s="10">
        <f>IF(F595="","",IFERROR(VLOOKUP(F595,T_JUB,2,FALSE),0))</f>
        <v/>
      </c>
      <c r="H595" s="11" t="n"/>
      <c r="I595" s="17">
        <f>IF(H595="","",IF(H595&gt;=12,40,ROUND(H595*3.33,2)))</f>
        <v/>
      </c>
      <c r="J595" s="11" t="n"/>
      <c r="K595" s="11" t="n"/>
      <c r="L595" s="11" t="n"/>
      <c r="M595" s="11" t="n"/>
      <c r="N595" s="10">
        <f>IF(COUNTA(J595:M595)=0,"",MIN(10,SUMPRODUCT((COUNTIF(J595:M595,L_KOM)&gt;0)*S_KOM)))</f>
        <v/>
      </c>
      <c r="O595" s="11" t="n"/>
      <c r="P595" s="10">
        <f>IF(O595="","",IFERROR(VLOOKUP(O595,T_KHID,2,FALSE),0))</f>
        <v/>
      </c>
      <c r="Q595" s="11" t="n"/>
      <c r="R595" s="11" t="n"/>
      <c r="S595" s="10">
        <f>IF(AND(Q595="",R595=""),"",IFERROR(INDEX(T_LIBAT,MATCH(Q595,L_PER,0),MATCH(R595,L_JENIS,0)),0))</f>
        <v/>
      </c>
      <c r="T595" s="11" t="n"/>
      <c r="U595" s="11" t="n"/>
      <c r="V595" s="10">
        <f>IF(AND(T595="",U595=""),"",IFERROR(INDEX(T_CAPAI,MATCH(T595,L_PER,0),MATCH(U595,L_KED,0)),0))</f>
        <v/>
      </c>
      <c r="W595" s="17">
        <f>IF(OR(B595="",E595="",COUNTA(F595,H595,J595:M595,O595,Q595:R595,T595:U595)=0),"",SUM(G595,I595,N595,P595,S595,V595))</f>
        <v/>
      </c>
      <c r="X595" s="18">
        <f>IF(W595="","",IF(Murid!F595="TL","TL",ROUND(W595/110*100,2)))</f>
        <v/>
      </c>
    </row>
    <row r="596">
      <c r="A596" s="15">
        <f>Murid!A596</f>
        <v/>
      </c>
      <c r="B596" s="15">
        <f>IF(Murid!B596="","",Murid!B596)</f>
        <v/>
      </c>
      <c r="C596" s="16">
        <f>IF(Murid!C596="","",Murid!C596)</f>
        <v/>
      </c>
      <c r="D596" s="15">
        <f>IF(Murid!E596="","",Murid!E596)</f>
        <v/>
      </c>
      <c r="E596" s="11" t="n"/>
      <c r="F596" s="11" t="n"/>
      <c r="G596" s="10">
        <f>IF(F596="","",IFERROR(VLOOKUP(F596,T_JUB,2,FALSE),0))</f>
        <v/>
      </c>
      <c r="H596" s="11" t="n"/>
      <c r="I596" s="17">
        <f>IF(H596="","",IF(H596&gt;=12,40,ROUND(H596*3.33,2)))</f>
        <v/>
      </c>
      <c r="J596" s="11" t="n"/>
      <c r="K596" s="11" t="n"/>
      <c r="L596" s="11" t="n"/>
      <c r="M596" s="11" t="n"/>
      <c r="N596" s="10">
        <f>IF(COUNTA(J596:M596)=0,"",MIN(10,SUMPRODUCT((COUNTIF(J596:M596,L_KOM)&gt;0)*S_KOM)))</f>
        <v/>
      </c>
      <c r="O596" s="11" t="n"/>
      <c r="P596" s="10">
        <f>IF(O596="","",IFERROR(VLOOKUP(O596,T_KHID,2,FALSE),0))</f>
        <v/>
      </c>
      <c r="Q596" s="11" t="n"/>
      <c r="R596" s="11" t="n"/>
      <c r="S596" s="10">
        <f>IF(AND(Q596="",R596=""),"",IFERROR(INDEX(T_LIBAT,MATCH(Q596,L_PER,0),MATCH(R596,L_JENIS,0)),0))</f>
        <v/>
      </c>
      <c r="T596" s="11" t="n"/>
      <c r="U596" s="11" t="n"/>
      <c r="V596" s="10">
        <f>IF(AND(T596="",U596=""),"",IFERROR(INDEX(T_CAPAI,MATCH(T596,L_PER,0),MATCH(U596,L_KED,0)),0))</f>
        <v/>
      </c>
      <c r="W596" s="17">
        <f>IF(OR(B596="",E596="",COUNTA(F596,H596,J596:M596,O596,Q596:R596,T596:U596)=0),"",SUM(G596,I596,N596,P596,S596,V596))</f>
        <v/>
      </c>
      <c r="X596" s="18">
        <f>IF(W596="","",IF(Murid!F596="TL","TL",ROUND(W596/110*100,2)))</f>
        <v/>
      </c>
    </row>
    <row r="597">
      <c r="A597" s="15">
        <f>Murid!A597</f>
        <v/>
      </c>
      <c r="B597" s="15">
        <f>IF(Murid!B597="","",Murid!B597)</f>
        <v/>
      </c>
      <c r="C597" s="16">
        <f>IF(Murid!C597="","",Murid!C597)</f>
        <v/>
      </c>
      <c r="D597" s="15">
        <f>IF(Murid!E597="","",Murid!E597)</f>
        <v/>
      </c>
      <c r="E597" s="11" t="n"/>
      <c r="F597" s="11" t="n"/>
      <c r="G597" s="10">
        <f>IF(F597="","",IFERROR(VLOOKUP(F597,T_JUB,2,FALSE),0))</f>
        <v/>
      </c>
      <c r="H597" s="11" t="n"/>
      <c r="I597" s="17">
        <f>IF(H597="","",IF(H597&gt;=12,40,ROUND(H597*3.33,2)))</f>
        <v/>
      </c>
      <c r="J597" s="11" t="n"/>
      <c r="K597" s="11" t="n"/>
      <c r="L597" s="11" t="n"/>
      <c r="M597" s="11" t="n"/>
      <c r="N597" s="10">
        <f>IF(COUNTA(J597:M597)=0,"",MIN(10,SUMPRODUCT((COUNTIF(J597:M597,L_KOM)&gt;0)*S_KOM)))</f>
        <v/>
      </c>
      <c r="O597" s="11" t="n"/>
      <c r="P597" s="10">
        <f>IF(O597="","",IFERROR(VLOOKUP(O597,T_KHID,2,FALSE),0))</f>
        <v/>
      </c>
      <c r="Q597" s="11" t="n"/>
      <c r="R597" s="11" t="n"/>
      <c r="S597" s="10">
        <f>IF(AND(Q597="",R597=""),"",IFERROR(INDEX(T_LIBAT,MATCH(Q597,L_PER,0),MATCH(R597,L_JENIS,0)),0))</f>
        <v/>
      </c>
      <c r="T597" s="11" t="n"/>
      <c r="U597" s="11" t="n"/>
      <c r="V597" s="10">
        <f>IF(AND(T597="",U597=""),"",IFERROR(INDEX(T_CAPAI,MATCH(T597,L_PER,0),MATCH(U597,L_KED,0)),0))</f>
        <v/>
      </c>
      <c r="W597" s="17">
        <f>IF(OR(B597="",E597="",COUNTA(F597,H597,J597:M597,O597,Q597:R597,T597:U597)=0),"",SUM(G597,I597,N597,P597,S597,V597))</f>
        <v/>
      </c>
      <c r="X597" s="18">
        <f>IF(W597="","",IF(Murid!F597="TL","TL",ROUND(W597/110*100,2)))</f>
        <v/>
      </c>
    </row>
    <row r="598">
      <c r="A598" s="15">
        <f>Murid!A598</f>
        <v/>
      </c>
      <c r="B598" s="15">
        <f>IF(Murid!B598="","",Murid!B598)</f>
        <v/>
      </c>
      <c r="C598" s="16">
        <f>IF(Murid!C598="","",Murid!C598)</f>
        <v/>
      </c>
      <c r="D598" s="15">
        <f>IF(Murid!E598="","",Murid!E598)</f>
        <v/>
      </c>
      <c r="E598" s="11" t="n"/>
      <c r="F598" s="11" t="n"/>
      <c r="G598" s="10">
        <f>IF(F598="","",IFERROR(VLOOKUP(F598,T_JUB,2,FALSE),0))</f>
        <v/>
      </c>
      <c r="H598" s="11" t="n"/>
      <c r="I598" s="17">
        <f>IF(H598="","",IF(H598&gt;=12,40,ROUND(H598*3.33,2)))</f>
        <v/>
      </c>
      <c r="J598" s="11" t="n"/>
      <c r="K598" s="11" t="n"/>
      <c r="L598" s="11" t="n"/>
      <c r="M598" s="11" t="n"/>
      <c r="N598" s="10">
        <f>IF(COUNTA(J598:M598)=0,"",MIN(10,SUMPRODUCT((COUNTIF(J598:M598,L_KOM)&gt;0)*S_KOM)))</f>
        <v/>
      </c>
      <c r="O598" s="11" t="n"/>
      <c r="P598" s="10">
        <f>IF(O598="","",IFERROR(VLOOKUP(O598,T_KHID,2,FALSE),0))</f>
        <v/>
      </c>
      <c r="Q598" s="11" t="n"/>
      <c r="R598" s="11" t="n"/>
      <c r="S598" s="10">
        <f>IF(AND(Q598="",R598=""),"",IFERROR(INDEX(T_LIBAT,MATCH(Q598,L_PER,0),MATCH(R598,L_JENIS,0)),0))</f>
        <v/>
      </c>
      <c r="T598" s="11" t="n"/>
      <c r="U598" s="11" t="n"/>
      <c r="V598" s="10">
        <f>IF(AND(T598="",U598=""),"",IFERROR(INDEX(T_CAPAI,MATCH(T598,L_PER,0),MATCH(U598,L_KED,0)),0))</f>
        <v/>
      </c>
      <c r="W598" s="17">
        <f>IF(OR(B598="",E598="",COUNTA(F598,H598,J598:M598,O598,Q598:R598,T598:U598)=0),"",SUM(G598,I598,N598,P598,S598,V598))</f>
        <v/>
      </c>
      <c r="X598" s="18">
        <f>IF(W598="","",IF(Murid!F598="TL","TL",ROUND(W598/110*100,2)))</f>
        <v/>
      </c>
    </row>
    <row r="599">
      <c r="A599" s="15">
        <f>Murid!A599</f>
        <v/>
      </c>
      <c r="B599" s="15">
        <f>IF(Murid!B599="","",Murid!B599)</f>
        <v/>
      </c>
      <c r="C599" s="16">
        <f>IF(Murid!C599="","",Murid!C599)</f>
        <v/>
      </c>
      <c r="D599" s="15">
        <f>IF(Murid!E599="","",Murid!E599)</f>
        <v/>
      </c>
      <c r="E599" s="11" t="n"/>
      <c r="F599" s="11" t="n"/>
      <c r="G599" s="10">
        <f>IF(F599="","",IFERROR(VLOOKUP(F599,T_JUB,2,FALSE),0))</f>
        <v/>
      </c>
      <c r="H599" s="11" t="n"/>
      <c r="I599" s="17">
        <f>IF(H599="","",IF(H599&gt;=12,40,ROUND(H599*3.33,2)))</f>
        <v/>
      </c>
      <c r="J599" s="11" t="n"/>
      <c r="K599" s="11" t="n"/>
      <c r="L599" s="11" t="n"/>
      <c r="M599" s="11" t="n"/>
      <c r="N599" s="10">
        <f>IF(COUNTA(J599:M599)=0,"",MIN(10,SUMPRODUCT((COUNTIF(J599:M599,L_KOM)&gt;0)*S_KOM)))</f>
        <v/>
      </c>
      <c r="O599" s="11" t="n"/>
      <c r="P599" s="10">
        <f>IF(O599="","",IFERROR(VLOOKUP(O599,T_KHID,2,FALSE),0))</f>
        <v/>
      </c>
      <c r="Q599" s="11" t="n"/>
      <c r="R599" s="11" t="n"/>
      <c r="S599" s="10">
        <f>IF(AND(Q599="",R599=""),"",IFERROR(INDEX(T_LIBAT,MATCH(Q599,L_PER,0),MATCH(R599,L_JENIS,0)),0))</f>
        <v/>
      </c>
      <c r="T599" s="11" t="n"/>
      <c r="U599" s="11" t="n"/>
      <c r="V599" s="10">
        <f>IF(AND(T599="",U599=""),"",IFERROR(INDEX(T_CAPAI,MATCH(T599,L_PER,0),MATCH(U599,L_KED,0)),0))</f>
        <v/>
      </c>
      <c r="W599" s="17">
        <f>IF(OR(B599="",E599="",COUNTA(F599,H599,J599:M599,O599,Q599:R599,T599:U599)=0),"",SUM(G599,I599,N599,P599,S599,V599))</f>
        <v/>
      </c>
      <c r="X599" s="18">
        <f>IF(W599="","",IF(Murid!F599="TL","TL",ROUND(W599/110*100,2)))</f>
        <v/>
      </c>
    </row>
    <row r="600">
      <c r="A600" s="15">
        <f>Murid!A600</f>
        <v/>
      </c>
      <c r="B600" s="15">
        <f>IF(Murid!B600="","",Murid!B600)</f>
        <v/>
      </c>
      <c r="C600" s="16">
        <f>IF(Murid!C600="","",Murid!C600)</f>
        <v/>
      </c>
      <c r="D600" s="15">
        <f>IF(Murid!E600="","",Murid!E600)</f>
        <v/>
      </c>
      <c r="E600" s="11" t="n"/>
      <c r="F600" s="11" t="n"/>
      <c r="G600" s="10">
        <f>IF(F600="","",IFERROR(VLOOKUP(F600,T_JUB,2,FALSE),0))</f>
        <v/>
      </c>
      <c r="H600" s="11" t="n"/>
      <c r="I600" s="17">
        <f>IF(H600="","",IF(H600&gt;=12,40,ROUND(H600*3.33,2)))</f>
        <v/>
      </c>
      <c r="J600" s="11" t="n"/>
      <c r="K600" s="11" t="n"/>
      <c r="L600" s="11" t="n"/>
      <c r="M600" s="11" t="n"/>
      <c r="N600" s="10">
        <f>IF(COUNTA(J600:M600)=0,"",MIN(10,SUMPRODUCT((COUNTIF(J600:M600,L_KOM)&gt;0)*S_KOM)))</f>
        <v/>
      </c>
      <c r="O600" s="11" t="n"/>
      <c r="P600" s="10">
        <f>IF(O600="","",IFERROR(VLOOKUP(O600,T_KHID,2,FALSE),0))</f>
        <v/>
      </c>
      <c r="Q600" s="11" t="n"/>
      <c r="R600" s="11" t="n"/>
      <c r="S600" s="10">
        <f>IF(AND(Q600="",R600=""),"",IFERROR(INDEX(T_LIBAT,MATCH(Q600,L_PER,0),MATCH(R600,L_JENIS,0)),0))</f>
        <v/>
      </c>
      <c r="T600" s="11" t="n"/>
      <c r="U600" s="11" t="n"/>
      <c r="V600" s="10">
        <f>IF(AND(T600="",U600=""),"",IFERROR(INDEX(T_CAPAI,MATCH(T600,L_PER,0),MATCH(U600,L_KED,0)),0))</f>
        <v/>
      </c>
      <c r="W600" s="17">
        <f>IF(OR(B600="",E600="",COUNTA(F600,H600,J600:M600,O600,Q600:R600,T600:U600)=0),"",SUM(G600,I600,N600,P600,S600,V600))</f>
        <v/>
      </c>
      <c r="X600" s="18">
        <f>IF(W600="","",IF(Murid!F600="TL","TL",ROUND(W600/110*100,2)))</f>
        <v/>
      </c>
    </row>
    <row r="601">
      <c r="A601" s="15">
        <f>Murid!A601</f>
        <v/>
      </c>
      <c r="B601" s="15">
        <f>IF(Murid!B601="","",Murid!B601)</f>
        <v/>
      </c>
      <c r="C601" s="16">
        <f>IF(Murid!C601="","",Murid!C601)</f>
        <v/>
      </c>
      <c r="D601" s="15">
        <f>IF(Murid!E601="","",Murid!E601)</f>
        <v/>
      </c>
      <c r="E601" s="11" t="n"/>
      <c r="F601" s="11" t="n"/>
      <c r="G601" s="10">
        <f>IF(F601="","",IFERROR(VLOOKUP(F601,T_JUB,2,FALSE),0))</f>
        <v/>
      </c>
      <c r="H601" s="11" t="n"/>
      <c r="I601" s="17">
        <f>IF(H601="","",IF(H601&gt;=12,40,ROUND(H601*3.33,2)))</f>
        <v/>
      </c>
      <c r="J601" s="11" t="n"/>
      <c r="K601" s="11" t="n"/>
      <c r="L601" s="11" t="n"/>
      <c r="M601" s="11" t="n"/>
      <c r="N601" s="10">
        <f>IF(COUNTA(J601:M601)=0,"",MIN(10,SUMPRODUCT((COUNTIF(J601:M601,L_KOM)&gt;0)*S_KOM)))</f>
        <v/>
      </c>
      <c r="O601" s="11" t="n"/>
      <c r="P601" s="10">
        <f>IF(O601="","",IFERROR(VLOOKUP(O601,T_KHID,2,FALSE),0))</f>
        <v/>
      </c>
      <c r="Q601" s="11" t="n"/>
      <c r="R601" s="11" t="n"/>
      <c r="S601" s="10">
        <f>IF(AND(Q601="",R601=""),"",IFERROR(INDEX(T_LIBAT,MATCH(Q601,L_PER,0),MATCH(R601,L_JENIS,0)),0))</f>
        <v/>
      </c>
      <c r="T601" s="11" t="n"/>
      <c r="U601" s="11" t="n"/>
      <c r="V601" s="10">
        <f>IF(AND(T601="",U601=""),"",IFERROR(INDEX(T_CAPAI,MATCH(T601,L_PER,0),MATCH(U601,L_KED,0)),0))</f>
        <v/>
      </c>
      <c r="W601" s="17">
        <f>IF(OR(B601="",E601="",COUNTA(F601,H601,J601:M601,O601,Q601:R601,T601:U601)=0),"",SUM(G601,I601,N601,P601,S601,V601))</f>
        <v/>
      </c>
      <c r="X601" s="18">
        <f>IF(W601="","",IF(Murid!F601="TL","TL",ROUND(W601/110*100,2)))</f>
        <v/>
      </c>
    </row>
    <row r="602">
      <c r="A602" s="15">
        <f>Murid!A602</f>
        <v/>
      </c>
      <c r="B602" s="15">
        <f>IF(Murid!B602="","",Murid!B602)</f>
        <v/>
      </c>
      <c r="C602" s="16">
        <f>IF(Murid!C602="","",Murid!C602)</f>
        <v/>
      </c>
      <c r="D602" s="15">
        <f>IF(Murid!E602="","",Murid!E602)</f>
        <v/>
      </c>
      <c r="E602" s="11" t="n"/>
      <c r="F602" s="11" t="n"/>
      <c r="G602" s="10">
        <f>IF(F602="","",IFERROR(VLOOKUP(F602,T_JUB,2,FALSE),0))</f>
        <v/>
      </c>
      <c r="H602" s="11" t="n"/>
      <c r="I602" s="17">
        <f>IF(H602="","",IF(H602&gt;=12,40,ROUND(H602*3.33,2)))</f>
        <v/>
      </c>
      <c r="J602" s="11" t="n"/>
      <c r="K602" s="11" t="n"/>
      <c r="L602" s="11" t="n"/>
      <c r="M602" s="11" t="n"/>
      <c r="N602" s="10">
        <f>IF(COUNTA(J602:M602)=0,"",MIN(10,SUMPRODUCT((COUNTIF(J602:M602,L_KOM)&gt;0)*S_KOM)))</f>
        <v/>
      </c>
      <c r="O602" s="11" t="n"/>
      <c r="P602" s="10">
        <f>IF(O602="","",IFERROR(VLOOKUP(O602,T_KHID,2,FALSE),0))</f>
        <v/>
      </c>
      <c r="Q602" s="11" t="n"/>
      <c r="R602" s="11" t="n"/>
      <c r="S602" s="10">
        <f>IF(AND(Q602="",R602=""),"",IFERROR(INDEX(T_LIBAT,MATCH(Q602,L_PER,0),MATCH(R602,L_JENIS,0)),0))</f>
        <v/>
      </c>
      <c r="T602" s="11" t="n"/>
      <c r="U602" s="11" t="n"/>
      <c r="V602" s="10">
        <f>IF(AND(T602="",U602=""),"",IFERROR(INDEX(T_CAPAI,MATCH(T602,L_PER,0),MATCH(U602,L_KED,0)),0))</f>
        <v/>
      </c>
      <c r="W602" s="17">
        <f>IF(OR(B602="",E602="",COUNTA(F602,H602,J602:M602,O602,Q602:R602,T602:U602)=0),"",SUM(G602,I602,N602,P602,S602,V602))</f>
        <v/>
      </c>
      <c r="X602" s="18">
        <f>IF(W602="","",IF(Murid!F602="TL","TL",ROUND(W602/110*100,2)))</f>
        <v/>
      </c>
    </row>
    <row r="603">
      <c r="A603" s="15">
        <f>Murid!A603</f>
        <v/>
      </c>
      <c r="B603" s="15">
        <f>IF(Murid!B603="","",Murid!B603)</f>
        <v/>
      </c>
      <c r="C603" s="16">
        <f>IF(Murid!C603="","",Murid!C603)</f>
        <v/>
      </c>
      <c r="D603" s="15">
        <f>IF(Murid!E603="","",Murid!E603)</f>
        <v/>
      </c>
      <c r="E603" s="11" t="n"/>
      <c r="F603" s="11" t="n"/>
      <c r="G603" s="10">
        <f>IF(F603="","",IFERROR(VLOOKUP(F603,T_JUB,2,FALSE),0))</f>
        <v/>
      </c>
      <c r="H603" s="11" t="n"/>
      <c r="I603" s="17">
        <f>IF(H603="","",IF(H603&gt;=12,40,ROUND(H603*3.33,2)))</f>
        <v/>
      </c>
      <c r="J603" s="11" t="n"/>
      <c r="K603" s="11" t="n"/>
      <c r="L603" s="11" t="n"/>
      <c r="M603" s="11" t="n"/>
      <c r="N603" s="10">
        <f>IF(COUNTA(J603:M603)=0,"",MIN(10,SUMPRODUCT((COUNTIF(J603:M603,L_KOM)&gt;0)*S_KOM)))</f>
        <v/>
      </c>
      <c r="O603" s="11" t="n"/>
      <c r="P603" s="10">
        <f>IF(O603="","",IFERROR(VLOOKUP(O603,T_KHID,2,FALSE),0))</f>
        <v/>
      </c>
      <c r="Q603" s="11" t="n"/>
      <c r="R603" s="11" t="n"/>
      <c r="S603" s="10">
        <f>IF(AND(Q603="",R603=""),"",IFERROR(INDEX(T_LIBAT,MATCH(Q603,L_PER,0),MATCH(R603,L_JENIS,0)),0))</f>
        <v/>
      </c>
      <c r="T603" s="11" t="n"/>
      <c r="U603" s="11" t="n"/>
      <c r="V603" s="10">
        <f>IF(AND(T603="",U603=""),"",IFERROR(INDEX(T_CAPAI,MATCH(T603,L_PER,0),MATCH(U603,L_KED,0)),0))</f>
        <v/>
      </c>
      <c r="W603" s="17">
        <f>IF(OR(B603="",E603="",COUNTA(F603,H603,J603:M603,O603,Q603:R603,T603:U603)=0),"",SUM(G603,I603,N603,P603,S603,V603))</f>
        <v/>
      </c>
      <c r="X603" s="18">
        <f>IF(W603="","",IF(Murid!F603="TL","TL",ROUND(W603/110*100,2)))</f>
        <v/>
      </c>
    </row>
    <row r="604">
      <c r="A604" s="15">
        <f>Murid!A604</f>
        <v/>
      </c>
      <c r="B604" s="15">
        <f>IF(Murid!B604="","",Murid!B604)</f>
        <v/>
      </c>
      <c r="C604" s="16">
        <f>IF(Murid!C604="","",Murid!C604)</f>
        <v/>
      </c>
      <c r="D604" s="15">
        <f>IF(Murid!E604="","",Murid!E604)</f>
        <v/>
      </c>
      <c r="E604" s="11" t="n"/>
      <c r="F604" s="11" t="n"/>
      <c r="G604" s="10">
        <f>IF(F604="","",IFERROR(VLOOKUP(F604,T_JUB,2,FALSE),0))</f>
        <v/>
      </c>
      <c r="H604" s="11" t="n"/>
      <c r="I604" s="17">
        <f>IF(H604="","",IF(H604&gt;=12,40,ROUND(H604*3.33,2)))</f>
        <v/>
      </c>
      <c r="J604" s="11" t="n"/>
      <c r="K604" s="11" t="n"/>
      <c r="L604" s="11" t="n"/>
      <c r="M604" s="11" t="n"/>
      <c r="N604" s="10">
        <f>IF(COUNTA(J604:M604)=0,"",MIN(10,SUMPRODUCT((COUNTIF(J604:M604,L_KOM)&gt;0)*S_KOM)))</f>
        <v/>
      </c>
      <c r="O604" s="11" t="n"/>
      <c r="P604" s="10">
        <f>IF(O604="","",IFERROR(VLOOKUP(O604,T_KHID,2,FALSE),0))</f>
        <v/>
      </c>
      <c r="Q604" s="11" t="n"/>
      <c r="R604" s="11" t="n"/>
      <c r="S604" s="10">
        <f>IF(AND(Q604="",R604=""),"",IFERROR(INDEX(T_LIBAT,MATCH(Q604,L_PER,0),MATCH(R604,L_JENIS,0)),0))</f>
        <v/>
      </c>
      <c r="T604" s="11" t="n"/>
      <c r="U604" s="11" t="n"/>
      <c r="V604" s="10">
        <f>IF(AND(T604="",U604=""),"",IFERROR(INDEX(T_CAPAI,MATCH(T604,L_PER,0),MATCH(U604,L_KED,0)),0))</f>
        <v/>
      </c>
      <c r="W604" s="17">
        <f>IF(OR(B604="",E604="",COUNTA(F604,H604,J604:M604,O604,Q604:R604,T604:U604)=0),"",SUM(G604,I604,N604,P604,S604,V604))</f>
        <v/>
      </c>
      <c r="X604" s="18">
        <f>IF(W604="","",IF(Murid!F604="TL","TL",ROUND(W604/110*100,2)))</f>
        <v/>
      </c>
    </row>
    <row r="605">
      <c r="A605" s="15">
        <f>Murid!A605</f>
        <v/>
      </c>
      <c r="B605" s="15">
        <f>IF(Murid!B605="","",Murid!B605)</f>
        <v/>
      </c>
      <c r="C605" s="16">
        <f>IF(Murid!C605="","",Murid!C605)</f>
        <v/>
      </c>
      <c r="D605" s="15">
        <f>IF(Murid!E605="","",Murid!E605)</f>
        <v/>
      </c>
      <c r="E605" s="11" t="n"/>
      <c r="F605" s="11" t="n"/>
      <c r="G605" s="10">
        <f>IF(F605="","",IFERROR(VLOOKUP(F605,T_JUB,2,FALSE),0))</f>
        <v/>
      </c>
      <c r="H605" s="11" t="n"/>
      <c r="I605" s="17">
        <f>IF(H605="","",IF(H605&gt;=12,40,ROUND(H605*3.33,2)))</f>
        <v/>
      </c>
      <c r="J605" s="11" t="n"/>
      <c r="K605" s="11" t="n"/>
      <c r="L605" s="11" t="n"/>
      <c r="M605" s="11" t="n"/>
      <c r="N605" s="10">
        <f>IF(COUNTA(J605:M605)=0,"",MIN(10,SUMPRODUCT((COUNTIF(J605:M605,L_KOM)&gt;0)*S_KOM)))</f>
        <v/>
      </c>
      <c r="O605" s="11" t="n"/>
      <c r="P605" s="10">
        <f>IF(O605="","",IFERROR(VLOOKUP(O605,T_KHID,2,FALSE),0))</f>
        <v/>
      </c>
      <c r="Q605" s="11" t="n"/>
      <c r="R605" s="11" t="n"/>
      <c r="S605" s="10">
        <f>IF(AND(Q605="",R605=""),"",IFERROR(INDEX(T_LIBAT,MATCH(Q605,L_PER,0),MATCH(R605,L_JENIS,0)),0))</f>
        <v/>
      </c>
      <c r="T605" s="11" t="n"/>
      <c r="U605" s="11" t="n"/>
      <c r="V605" s="10">
        <f>IF(AND(T605="",U605=""),"",IFERROR(INDEX(T_CAPAI,MATCH(T605,L_PER,0),MATCH(U605,L_KED,0)),0))</f>
        <v/>
      </c>
      <c r="W605" s="17">
        <f>IF(OR(B605="",E605="",COUNTA(F605,H605,J605:M605,O605,Q605:R605,T605:U605)=0),"",SUM(G605,I605,N605,P605,S605,V605))</f>
        <v/>
      </c>
      <c r="X605" s="18">
        <f>IF(W605="","",IF(Murid!F605="TL","TL",ROUND(W605/110*100,2)))</f>
        <v/>
      </c>
    </row>
    <row r="606">
      <c r="A606" s="15">
        <f>Murid!A606</f>
        <v/>
      </c>
      <c r="B606" s="15">
        <f>IF(Murid!B606="","",Murid!B606)</f>
        <v/>
      </c>
      <c r="C606" s="16">
        <f>IF(Murid!C606="","",Murid!C606)</f>
        <v/>
      </c>
      <c r="D606" s="15">
        <f>IF(Murid!E606="","",Murid!E606)</f>
        <v/>
      </c>
      <c r="E606" s="11" t="n"/>
      <c r="F606" s="11" t="n"/>
      <c r="G606" s="10">
        <f>IF(F606="","",IFERROR(VLOOKUP(F606,T_JUB,2,FALSE),0))</f>
        <v/>
      </c>
      <c r="H606" s="11" t="n"/>
      <c r="I606" s="17">
        <f>IF(H606="","",IF(H606&gt;=12,40,ROUND(H606*3.33,2)))</f>
        <v/>
      </c>
      <c r="J606" s="11" t="n"/>
      <c r="K606" s="11" t="n"/>
      <c r="L606" s="11" t="n"/>
      <c r="M606" s="11" t="n"/>
      <c r="N606" s="10">
        <f>IF(COUNTA(J606:M606)=0,"",MIN(10,SUMPRODUCT((COUNTIF(J606:M606,L_KOM)&gt;0)*S_KOM)))</f>
        <v/>
      </c>
      <c r="O606" s="11" t="n"/>
      <c r="P606" s="10">
        <f>IF(O606="","",IFERROR(VLOOKUP(O606,T_KHID,2,FALSE),0))</f>
        <v/>
      </c>
      <c r="Q606" s="11" t="n"/>
      <c r="R606" s="11" t="n"/>
      <c r="S606" s="10">
        <f>IF(AND(Q606="",R606=""),"",IFERROR(INDEX(T_LIBAT,MATCH(Q606,L_PER,0),MATCH(R606,L_JENIS,0)),0))</f>
        <v/>
      </c>
      <c r="T606" s="11" t="n"/>
      <c r="U606" s="11" t="n"/>
      <c r="V606" s="10">
        <f>IF(AND(T606="",U606=""),"",IFERROR(INDEX(T_CAPAI,MATCH(T606,L_PER,0),MATCH(U606,L_KED,0)),0))</f>
        <v/>
      </c>
      <c r="W606" s="17">
        <f>IF(OR(B606="",E606="",COUNTA(F606,H606,J606:M606,O606,Q606:R606,T606:U606)=0),"",SUM(G606,I606,N606,P606,S606,V606))</f>
        <v/>
      </c>
      <c r="X606" s="18">
        <f>IF(W606="","",IF(Murid!F606="TL","TL",ROUND(W606/110*100,2)))</f>
        <v/>
      </c>
    </row>
    <row r="607">
      <c r="A607" s="15">
        <f>Murid!A607</f>
        <v/>
      </c>
      <c r="B607" s="15">
        <f>IF(Murid!B607="","",Murid!B607)</f>
        <v/>
      </c>
      <c r="C607" s="16">
        <f>IF(Murid!C607="","",Murid!C607)</f>
        <v/>
      </c>
      <c r="D607" s="15">
        <f>IF(Murid!E607="","",Murid!E607)</f>
        <v/>
      </c>
      <c r="E607" s="11" t="n"/>
      <c r="F607" s="11" t="n"/>
      <c r="G607" s="10">
        <f>IF(F607="","",IFERROR(VLOOKUP(F607,T_JUB,2,FALSE),0))</f>
        <v/>
      </c>
      <c r="H607" s="11" t="n"/>
      <c r="I607" s="17">
        <f>IF(H607="","",IF(H607&gt;=12,40,ROUND(H607*3.33,2)))</f>
        <v/>
      </c>
      <c r="J607" s="11" t="n"/>
      <c r="K607" s="11" t="n"/>
      <c r="L607" s="11" t="n"/>
      <c r="M607" s="11" t="n"/>
      <c r="N607" s="10">
        <f>IF(COUNTA(J607:M607)=0,"",MIN(10,SUMPRODUCT((COUNTIF(J607:M607,L_KOM)&gt;0)*S_KOM)))</f>
        <v/>
      </c>
      <c r="O607" s="11" t="n"/>
      <c r="P607" s="10">
        <f>IF(O607="","",IFERROR(VLOOKUP(O607,T_KHID,2,FALSE),0))</f>
        <v/>
      </c>
      <c r="Q607" s="11" t="n"/>
      <c r="R607" s="11" t="n"/>
      <c r="S607" s="10">
        <f>IF(AND(Q607="",R607=""),"",IFERROR(INDEX(T_LIBAT,MATCH(Q607,L_PER,0),MATCH(R607,L_JENIS,0)),0))</f>
        <v/>
      </c>
      <c r="T607" s="11" t="n"/>
      <c r="U607" s="11" t="n"/>
      <c r="V607" s="10">
        <f>IF(AND(T607="",U607=""),"",IFERROR(INDEX(T_CAPAI,MATCH(T607,L_PER,0),MATCH(U607,L_KED,0)),0))</f>
        <v/>
      </c>
      <c r="W607" s="17">
        <f>IF(OR(B607="",E607="",COUNTA(F607,H607,J607:M607,O607,Q607:R607,T607:U607)=0),"",SUM(G607,I607,N607,P607,S607,V607))</f>
        <v/>
      </c>
      <c r="X607" s="18">
        <f>IF(W607="","",IF(Murid!F607="TL","TL",ROUND(W607/110*100,2)))</f>
        <v/>
      </c>
    </row>
    <row r="608">
      <c r="A608" s="15">
        <f>Murid!A608</f>
        <v/>
      </c>
      <c r="B608" s="15">
        <f>IF(Murid!B608="","",Murid!B608)</f>
        <v/>
      </c>
      <c r="C608" s="16">
        <f>IF(Murid!C608="","",Murid!C608)</f>
        <v/>
      </c>
      <c r="D608" s="15">
        <f>IF(Murid!E608="","",Murid!E608)</f>
        <v/>
      </c>
      <c r="E608" s="11" t="n"/>
      <c r="F608" s="11" t="n"/>
      <c r="G608" s="10">
        <f>IF(F608="","",IFERROR(VLOOKUP(F608,T_JUB,2,FALSE),0))</f>
        <v/>
      </c>
      <c r="H608" s="11" t="n"/>
      <c r="I608" s="17">
        <f>IF(H608="","",IF(H608&gt;=12,40,ROUND(H608*3.33,2)))</f>
        <v/>
      </c>
      <c r="J608" s="11" t="n"/>
      <c r="K608" s="11" t="n"/>
      <c r="L608" s="11" t="n"/>
      <c r="M608" s="11" t="n"/>
      <c r="N608" s="10">
        <f>IF(COUNTA(J608:M608)=0,"",MIN(10,SUMPRODUCT((COUNTIF(J608:M608,L_KOM)&gt;0)*S_KOM)))</f>
        <v/>
      </c>
      <c r="O608" s="11" t="n"/>
      <c r="P608" s="10">
        <f>IF(O608="","",IFERROR(VLOOKUP(O608,T_KHID,2,FALSE),0))</f>
        <v/>
      </c>
      <c r="Q608" s="11" t="n"/>
      <c r="R608" s="11" t="n"/>
      <c r="S608" s="10">
        <f>IF(AND(Q608="",R608=""),"",IFERROR(INDEX(T_LIBAT,MATCH(Q608,L_PER,0),MATCH(R608,L_JENIS,0)),0))</f>
        <v/>
      </c>
      <c r="T608" s="11" t="n"/>
      <c r="U608" s="11" t="n"/>
      <c r="V608" s="10">
        <f>IF(AND(T608="",U608=""),"",IFERROR(INDEX(T_CAPAI,MATCH(T608,L_PER,0),MATCH(U608,L_KED,0)),0))</f>
        <v/>
      </c>
      <c r="W608" s="17">
        <f>IF(OR(B608="",E608="",COUNTA(F608,H608,J608:M608,O608,Q608:R608,T608:U608)=0),"",SUM(G608,I608,N608,P608,S608,V608))</f>
        <v/>
      </c>
      <c r="X608" s="18">
        <f>IF(W608="","",IF(Murid!F608="TL","TL",ROUND(W608/110*100,2)))</f>
        <v/>
      </c>
    </row>
    <row r="609">
      <c r="A609" s="15">
        <f>Murid!A609</f>
        <v/>
      </c>
      <c r="B609" s="15">
        <f>IF(Murid!B609="","",Murid!B609)</f>
        <v/>
      </c>
      <c r="C609" s="16">
        <f>IF(Murid!C609="","",Murid!C609)</f>
        <v/>
      </c>
      <c r="D609" s="15">
        <f>IF(Murid!E609="","",Murid!E609)</f>
        <v/>
      </c>
      <c r="E609" s="11" t="n"/>
      <c r="F609" s="11" t="n"/>
      <c r="G609" s="10">
        <f>IF(F609="","",IFERROR(VLOOKUP(F609,T_JUB,2,FALSE),0))</f>
        <v/>
      </c>
      <c r="H609" s="11" t="n"/>
      <c r="I609" s="17">
        <f>IF(H609="","",IF(H609&gt;=12,40,ROUND(H609*3.33,2)))</f>
        <v/>
      </c>
      <c r="J609" s="11" t="n"/>
      <c r="K609" s="11" t="n"/>
      <c r="L609" s="11" t="n"/>
      <c r="M609" s="11" t="n"/>
      <c r="N609" s="10">
        <f>IF(COUNTA(J609:M609)=0,"",MIN(10,SUMPRODUCT((COUNTIF(J609:M609,L_KOM)&gt;0)*S_KOM)))</f>
        <v/>
      </c>
      <c r="O609" s="11" t="n"/>
      <c r="P609" s="10">
        <f>IF(O609="","",IFERROR(VLOOKUP(O609,T_KHID,2,FALSE),0))</f>
        <v/>
      </c>
      <c r="Q609" s="11" t="n"/>
      <c r="R609" s="11" t="n"/>
      <c r="S609" s="10">
        <f>IF(AND(Q609="",R609=""),"",IFERROR(INDEX(T_LIBAT,MATCH(Q609,L_PER,0),MATCH(R609,L_JENIS,0)),0))</f>
        <v/>
      </c>
      <c r="T609" s="11" t="n"/>
      <c r="U609" s="11" t="n"/>
      <c r="V609" s="10">
        <f>IF(AND(T609="",U609=""),"",IFERROR(INDEX(T_CAPAI,MATCH(T609,L_PER,0),MATCH(U609,L_KED,0)),0))</f>
        <v/>
      </c>
      <c r="W609" s="17">
        <f>IF(OR(B609="",E609="",COUNTA(F609,H609,J609:M609,O609,Q609:R609,T609:U609)=0),"",SUM(G609,I609,N609,P609,S609,V609))</f>
        <v/>
      </c>
      <c r="X609" s="18">
        <f>IF(W609="","",IF(Murid!F609="TL","TL",ROUND(W609/110*100,2)))</f>
        <v/>
      </c>
    </row>
    <row r="610">
      <c r="A610" s="15">
        <f>Murid!A610</f>
        <v/>
      </c>
      <c r="B610" s="15">
        <f>IF(Murid!B610="","",Murid!B610)</f>
        <v/>
      </c>
      <c r="C610" s="16">
        <f>IF(Murid!C610="","",Murid!C610)</f>
        <v/>
      </c>
      <c r="D610" s="15">
        <f>IF(Murid!E610="","",Murid!E610)</f>
        <v/>
      </c>
      <c r="E610" s="11" t="n"/>
      <c r="F610" s="11" t="n"/>
      <c r="G610" s="10">
        <f>IF(F610="","",IFERROR(VLOOKUP(F610,T_JUB,2,FALSE),0))</f>
        <v/>
      </c>
      <c r="H610" s="11" t="n"/>
      <c r="I610" s="17">
        <f>IF(H610="","",IF(H610&gt;=12,40,ROUND(H610*3.33,2)))</f>
        <v/>
      </c>
      <c r="J610" s="11" t="n"/>
      <c r="K610" s="11" t="n"/>
      <c r="L610" s="11" t="n"/>
      <c r="M610" s="11" t="n"/>
      <c r="N610" s="10">
        <f>IF(COUNTA(J610:M610)=0,"",MIN(10,SUMPRODUCT((COUNTIF(J610:M610,L_KOM)&gt;0)*S_KOM)))</f>
        <v/>
      </c>
      <c r="O610" s="11" t="n"/>
      <c r="P610" s="10">
        <f>IF(O610="","",IFERROR(VLOOKUP(O610,T_KHID,2,FALSE),0))</f>
        <v/>
      </c>
      <c r="Q610" s="11" t="n"/>
      <c r="R610" s="11" t="n"/>
      <c r="S610" s="10">
        <f>IF(AND(Q610="",R610=""),"",IFERROR(INDEX(T_LIBAT,MATCH(Q610,L_PER,0),MATCH(R610,L_JENIS,0)),0))</f>
        <v/>
      </c>
      <c r="T610" s="11" t="n"/>
      <c r="U610" s="11" t="n"/>
      <c r="V610" s="10">
        <f>IF(AND(T610="",U610=""),"",IFERROR(INDEX(T_CAPAI,MATCH(T610,L_PER,0),MATCH(U610,L_KED,0)),0))</f>
        <v/>
      </c>
      <c r="W610" s="17">
        <f>IF(OR(B610="",E610="",COUNTA(F610,H610,J610:M610,O610,Q610:R610,T610:U610)=0),"",SUM(G610,I610,N610,P610,S610,V610))</f>
        <v/>
      </c>
      <c r="X610" s="18">
        <f>IF(W610="","",IF(Murid!F610="TL","TL",ROUND(W610/110*100,2)))</f>
        <v/>
      </c>
    </row>
    <row r="611">
      <c r="A611" s="15">
        <f>Murid!A611</f>
        <v/>
      </c>
      <c r="B611" s="15">
        <f>IF(Murid!B611="","",Murid!B611)</f>
        <v/>
      </c>
      <c r="C611" s="16">
        <f>IF(Murid!C611="","",Murid!C611)</f>
        <v/>
      </c>
      <c r="D611" s="15">
        <f>IF(Murid!E611="","",Murid!E611)</f>
        <v/>
      </c>
      <c r="E611" s="11" t="n"/>
      <c r="F611" s="11" t="n"/>
      <c r="G611" s="10">
        <f>IF(F611="","",IFERROR(VLOOKUP(F611,T_JUB,2,FALSE),0))</f>
        <v/>
      </c>
      <c r="H611" s="11" t="n"/>
      <c r="I611" s="17">
        <f>IF(H611="","",IF(H611&gt;=12,40,ROUND(H611*3.33,2)))</f>
        <v/>
      </c>
      <c r="J611" s="11" t="n"/>
      <c r="K611" s="11" t="n"/>
      <c r="L611" s="11" t="n"/>
      <c r="M611" s="11" t="n"/>
      <c r="N611" s="10">
        <f>IF(COUNTA(J611:M611)=0,"",MIN(10,SUMPRODUCT((COUNTIF(J611:M611,L_KOM)&gt;0)*S_KOM)))</f>
        <v/>
      </c>
      <c r="O611" s="11" t="n"/>
      <c r="P611" s="10">
        <f>IF(O611="","",IFERROR(VLOOKUP(O611,T_KHID,2,FALSE),0))</f>
        <v/>
      </c>
      <c r="Q611" s="11" t="n"/>
      <c r="R611" s="11" t="n"/>
      <c r="S611" s="10">
        <f>IF(AND(Q611="",R611=""),"",IFERROR(INDEX(T_LIBAT,MATCH(Q611,L_PER,0),MATCH(R611,L_JENIS,0)),0))</f>
        <v/>
      </c>
      <c r="T611" s="11" t="n"/>
      <c r="U611" s="11" t="n"/>
      <c r="V611" s="10">
        <f>IF(AND(T611="",U611=""),"",IFERROR(INDEX(T_CAPAI,MATCH(T611,L_PER,0),MATCH(U611,L_KED,0)),0))</f>
        <v/>
      </c>
      <c r="W611" s="17">
        <f>IF(OR(B611="",E611="",COUNTA(F611,H611,J611:M611,O611,Q611:R611,T611:U611)=0),"",SUM(G611,I611,N611,P611,S611,V611))</f>
        <v/>
      </c>
      <c r="X611" s="18">
        <f>IF(W611="","",IF(Murid!F611="TL","TL",ROUND(W611/110*100,2)))</f>
        <v/>
      </c>
    </row>
    <row r="612">
      <c r="A612" s="15">
        <f>Murid!A612</f>
        <v/>
      </c>
      <c r="B612" s="15">
        <f>IF(Murid!B612="","",Murid!B612)</f>
        <v/>
      </c>
      <c r="C612" s="16">
        <f>IF(Murid!C612="","",Murid!C612)</f>
        <v/>
      </c>
      <c r="D612" s="15">
        <f>IF(Murid!E612="","",Murid!E612)</f>
        <v/>
      </c>
      <c r="E612" s="11" t="n"/>
      <c r="F612" s="11" t="n"/>
      <c r="G612" s="10">
        <f>IF(F612="","",IFERROR(VLOOKUP(F612,T_JUB,2,FALSE),0))</f>
        <v/>
      </c>
      <c r="H612" s="11" t="n"/>
      <c r="I612" s="17">
        <f>IF(H612="","",IF(H612&gt;=12,40,ROUND(H612*3.33,2)))</f>
        <v/>
      </c>
      <c r="J612" s="11" t="n"/>
      <c r="K612" s="11" t="n"/>
      <c r="L612" s="11" t="n"/>
      <c r="M612" s="11" t="n"/>
      <c r="N612" s="10">
        <f>IF(COUNTA(J612:M612)=0,"",MIN(10,SUMPRODUCT((COUNTIF(J612:M612,L_KOM)&gt;0)*S_KOM)))</f>
        <v/>
      </c>
      <c r="O612" s="11" t="n"/>
      <c r="P612" s="10">
        <f>IF(O612="","",IFERROR(VLOOKUP(O612,T_KHID,2,FALSE),0))</f>
        <v/>
      </c>
      <c r="Q612" s="11" t="n"/>
      <c r="R612" s="11" t="n"/>
      <c r="S612" s="10">
        <f>IF(AND(Q612="",R612=""),"",IFERROR(INDEX(T_LIBAT,MATCH(Q612,L_PER,0),MATCH(R612,L_JENIS,0)),0))</f>
        <v/>
      </c>
      <c r="T612" s="11" t="n"/>
      <c r="U612" s="11" t="n"/>
      <c r="V612" s="10">
        <f>IF(AND(T612="",U612=""),"",IFERROR(INDEX(T_CAPAI,MATCH(T612,L_PER,0),MATCH(U612,L_KED,0)),0))</f>
        <v/>
      </c>
      <c r="W612" s="17">
        <f>IF(OR(B612="",E612="",COUNTA(F612,H612,J612:M612,O612,Q612:R612,T612:U612)=0),"",SUM(G612,I612,N612,P612,S612,V612))</f>
        <v/>
      </c>
      <c r="X612" s="18">
        <f>IF(W612="","",IF(Murid!F612="TL","TL",ROUND(W612/110*100,2)))</f>
        <v/>
      </c>
    </row>
    <row r="613">
      <c r="A613" s="15">
        <f>Murid!A613</f>
        <v/>
      </c>
      <c r="B613" s="15">
        <f>IF(Murid!B613="","",Murid!B613)</f>
        <v/>
      </c>
      <c r="C613" s="16">
        <f>IF(Murid!C613="","",Murid!C613)</f>
        <v/>
      </c>
      <c r="D613" s="15">
        <f>IF(Murid!E613="","",Murid!E613)</f>
        <v/>
      </c>
      <c r="E613" s="11" t="n"/>
      <c r="F613" s="11" t="n"/>
      <c r="G613" s="10">
        <f>IF(F613="","",IFERROR(VLOOKUP(F613,T_JUB,2,FALSE),0))</f>
        <v/>
      </c>
      <c r="H613" s="11" t="n"/>
      <c r="I613" s="17">
        <f>IF(H613="","",IF(H613&gt;=12,40,ROUND(H613*3.33,2)))</f>
        <v/>
      </c>
      <c r="J613" s="11" t="n"/>
      <c r="K613" s="11" t="n"/>
      <c r="L613" s="11" t="n"/>
      <c r="M613" s="11" t="n"/>
      <c r="N613" s="10">
        <f>IF(COUNTA(J613:M613)=0,"",MIN(10,SUMPRODUCT((COUNTIF(J613:M613,L_KOM)&gt;0)*S_KOM)))</f>
        <v/>
      </c>
      <c r="O613" s="11" t="n"/>
      <c r="P613" s="10">
        <f>IF(O613="","",IFERROR(VLOOKUP(O613,T_KHID,2,FALSE),0))</f>
        <v/>
      </c>
      <c r="Q613" s="11" t="n"/>
      <c r="R613" s="11" t="n"/>
      <c r="S613" s="10">
        <f>IF(AND(Q613="",R613=""),"",IFERROR(INDEX(T_LIBAT,MATCH(Q613,L_PER,0),MATCH(R613,L_JENIS,0)),0))</f>
        <v/>
      </c>
      <c r="T613" s="11" t="n"/>
      <c r="U613" s="11" t="n"/>
      <c r="V613" s="10">
        <f>IF(AND(T613="",U613=""),"",IFERROR(INDEX(T_CAPAI,MATCH(T613,L_PER,0),MATCH(U613,L_KED,0)),0))</f>
        <v/>
      </c>
      <c r="W613" s="17">
        <f>IF(OR(B613="",E613="",COUNTA(F613,H613,J613:M613,O613,Q613:R613,T613:U613)=0),"",SUM(G613,I613,N613,P613,S613,V613))</f>
        <v/>
      </c>
      <c r="X613" s="18">
        <f>IF(W613="","",IF(Murid!F613="TL","TL",ROUND(W613/110*100,2)))</f>
        <v/>
      </c>
    </row>
    <row r="614">
      <c r="A614" s="15">
        <f>Murid!A614</f>
        <v/>
      </c>
      <c r="B614" s="15">
        <f>IF(Murid!B614="","",Murid!B614)</f>
        <v/>
      </c>
      <c r="C614" s="16">
        <f>IF(Murid!C614="","",Murid!C614)</f>
        <v/>
      </c>
      <c r="D614" s="15">
        <f>IF(Murid!E614="","",Murid!E614)</f>
        <v/>
      </c>
      <c r="E614" s="11" t="n"/>
      <c r="F614" s="11" t="n"/>
      <c r="G614" s="10">
        <f>IF(F614="","",IFERROR(VLOOKUP(F614,T_JUB,2,FALSE),0))</f>
        <v/>
      </c>
      <c r="H614" s="11" t="n"/>
      <c r="I614" s="17">
        <f>IF(H614="","",IF(H614&gt;=12,40,ROUND(H614*3.33,2)))</f>
        <v/>
      </c>
      <c r="J614" s="11" t="n"/>
      <c r="K614" s="11" t="n"/>
      <c r="L614" s="11" t="n"/>
      <c r="M614" s="11" t="n"/>
      <c r="N614" s="10">
        <f>IF(COUNTA(J614:M614)=0,"",MIN(10,SUMPRODUCT((COUNTIF(J614:M614,L_KOM)&gt;0)*S_KOM)))</f>
        <v/>
      </c>
      <c r="O614" s="11" t="n"/>
      <c r="P614" s="10">
        <f>IF(O614="","",IFERROR(VLOOKUP(O614,T_KHID,2,FALSE),0))</f>
        <v/>
      </c>
      <c r="Q614" s="11" t="n"/>
      <c r="R614" s="11" t="n"/>
      <c r="S614" s="10">
        <f>IF(AND(Q614="",R614=""),"",IFERROR(INDEX(T_LIBAT,MATCH(Q614,L_PER,0),MATCH(R614,L_JENIS,0)),0))</f>
        <v/>
      </c>
      <c r="T614" s="11" t="n"/>
      <c r="U614" s="11" t="n"/>
      <c r="V614" s="10">
        <f>IF(AND(T614="",U614=""),"",IFERROR(INDEX(T_CAPAI,MATCH(T614,L_PER,0),MATCH(U614,L_KED,0)),0))</f>
        <v/>
      </c>
      <c r="W614" s="17">
        <f>IF(OR(B614="",E614="",COUNTA(F614,H614,J614:M614,O614,Q614:R614,T614:U614)=0),"",SUM(G614,I614,N614,P614,S614,V614))</f>
        <v/>
      </c>
      <c r="X614" s="18">
        <f>IF(W614="","",IF(Murid!F614="TL","TL",ROUND(W614/110*100,2)))</f>
        <v/>
      </c>
    </row>
    <row r="615">
      <c r="A615" s="15">
        <f>Murid!A615</f>
        <v/>
      </c>
      <c r="B615" s="15">
        <f>IF(Murid!B615="","",Murid!B615)</f>
        <v/>
      </c>
      <c r="C615" s="16">
        <f>IF(Murid!C615="","",Murid!C615)</f>
        <v/>
      </c>
      <c r="D615" s="15">
        <f>IF(Murid!E615="","",Murid!E615)</f>
        <v/>
      </c>
      <c r="E615" s="11" t="n"/>
      <c r="F615" s="11" t="n"/>
      <c r="G615" s="10">
        <f>IF(F615="","",IFERROR(VLOOKUP(F615,T_JUB,2,FALSE),0))</f>
        <v/>
      </c>
      <c r="H615" s="11" t="n"/>
      <c r="I615" s="17">
        <f>IF(H615="","",IF(H615&gt;=12,40,ROUND(H615*3.33,2)))</f>
        <v/>
      </c>
      <c r="J615" s="11" t="n"/>
      <c r="K615" s="11" t="n"/>
      <c r="L615" s="11" t="n"/>
      <c r="M615" s="11" t="n"/>
      <c r="N615" s="10">
        <f>IF(COUNTA(J615:M615)=0,"",MIN(10,SUMPRODUCT((COUNTIF(J615:M615,L_KOM)&gt;0)*S_KOM)))</f>
        <v/>
      </c>
      <c r="O615" s="11" t="n"/>
      <c r="P615" s="10">
        <f>IF(O615="","",IFERROR(VLOOKUP(O615,T_KHID,2,FALSE),0))</f>
        <v/>
      </c>
      <c r="Q615" s="11" t="n"/>
      <c r="R615" s="11" t="n"/>
      <c r="S615" s="10">
        <f>IF(AND(Q615="",R615=""),"",IFERROR(INDEX(T_LIBAT,MATCH(Q615,L_PER,0),MATCH(R615,L_JENIS,0)),0))</f>
        <v/>
      </c>
      <c r="T615" s="11" t="n"/>
      <c r="U615" s="11" t="n"/>
      <c r="V615" s="10">
        <f>IF(AND(T615="",U615=""),"",IFERROR(INDEX(T_CAPAI,MATCH(T615,L_PER,0),MATCH(U615,L_KED,0)),0))</f>
        <v/>
      </c>
      <c r="W615" s="17">
        <f>IF(OR(B615="",E615="",COUNTA(F615,H615,J615:M615,O615,Q615:R615,T615:U615)=0),"",SUM(G615,I615,N615,P615,S615,V615))</f>
        <v/>
      </c>
      <c r="X615" s="18">
        <f>IF(W615="","",IF(Murid!F615="TL","TL",ROUND(W615/110*100,2)))</f>
        <v/>
      </c>
    </row>
    <row r="616">
      <c r="A616" s="15">
        <f>Murid!A616</f>
        <v/>
      </c>
      <c r="B616" s="15">
        <f>IF(Murid!B616="","",Murid!B616)</f>
        <v/>
      </c>
      <c r="C616" s="16">
        <f>IF(Murid!C616="","",Murid!C616)</f>
        <v/>
      </c>
      <c r="D616" s="15">
        <f>IF(Murid!E616="","",Murid!E616)</f>
        <v/>
      </c>
      <c r="E616" s="11" t="n"/>
      <c r="F616" s="11" t="n"/>
      <c r="G616" s="10">
        <f>IF(F616="","",IFERROR(VLOOKUP(F616,T_JUB,2,FALSE),0))</f>
        <v/>
      </c>
      <c r="H616" s="11" t="n"/>
      <c r="I616" s="17">
        <f>IF(H616="","",IF(H616&gt;=12,40,ROUND(H616*3.33,2)))</f>
        <v/>
      </c>
      <c r="J616" s="11" t="n"/>
      <c r="K616" s="11" t="n"/>
      <c r="L616" s="11" t="n"/>
      <c r="M616" s="11" t="n"/>
      <c r="N616" s="10">
        <f>IF(COUNTA(J616:M616)=0,"",MIN(10,SUMPRODUCT((COUNTIF(J616:M616,L_KOM)&gt;0)*S_KOM)))</f>
        <v/>
      </c>
      <c r="O616" s="11" t="n"/>
      <c r="P616" s="10">
        <f>IF(O616="","",IFERROR(VLOOKUP(O616,T_KHID,2,FALSE),0))</f>
        <v/>
      </c>
      <c r="Q616" s="11" t="n"/>
      <c r="R616" s="11" t="n"/>
      <c r="S616" s="10">
        <f>IF(AND(Q616="",R616=""),"",IFERROR(INDEX(T_LIBAT,MATCH(Q616,L_PER,0),MATCH(R616,L_JENIS,0)),0))</f>
        <v/>
      </c>
      <c r="T616" s="11" t="n"/>
      <c r="U616" s="11" t="n"/>
      <c r="V616" s="10">
        <f>IF(AND(T616="",U616=""),"",IFERROR(INDEX(T_CAPAI,MATCH(T616,L_PER,0),MATCH(U616,L_KED,0)),0))</f>
        <v/>
      </c>
      <c r="W616" s="17">
        <f>IF(OR(B616="",E616="",COUNTA(F616,H616,J616:M616,O616,Q616:R616,T616:U616)=0),"",SUM(G616,I616,N616,P616,S616,V616))</f>
        <v/>
      </c>
      <c r="X616" s="18">
        <f>IF(W616="","",IF(Murid!F616="TL","TL",ROUND(W616/110*100,2)))</f>
        <v/>
      </c>
    </row>
    <row r="617">
      <c r="A617" s="15">
        <f>Murid!A617</f>
        <v/>
      </c>
      <c r="B617" s="15">
        <f>IF(Murid!B617="","",Murid!B617)</f>
        <v/>
      </c>
      <c r="C617" s="16">
        <f>IF(Murid!C617="","",Murid!C617)</f>
        <v/>
      </c>
      <c r="D617" s="15">
        <f>IF(Murid!E617="","",Murid!E617)</f>
        <v/>
      </c>
      <c r="E617" s="11" t="n"/>
      <c r="F617" s="11" t="n"/>
      <c r="G617" s="10">
        <f>IF(F617="","",IFERROR(VLOOKUP(F617,T_JUB,2,FALSE),0))</f>
        <v/>
      </c>
      <c r="H617" s="11" t="n"/>
      <c r="I617" s="17">
        <f>IF(H617="","",IF(H617&gt;=12,40,ROUND(H617*3.33,2)))</f>
        <v/>
      </c>
      <c r="J617" s="11" t="n"/>
      <c r="K617" s="11" t="n"/>
      <c r="L617" s="11" t="n"/>
      <c r="M617" s="11" t="n"/>
      <c r="N617" s="10">
        <f>IF(COUNTA(J617:M617)=0,"",MIN(10,SUMPRODUCT((COUNTIF(J617:M617,L_KOM)&gt;0)*S_KOM)))</f>
        <v/>
      </c>
      <c r="O617" s="11" t="n"/>
      <c r="P617" s="10">
        <f>IF(O617="","",IFERROR(VLOOKUP(O617,T_KHID,2,FALSE),0))</f>
        <v/>
      </c>
      <c r="Q617" s="11" t="n"/>
      <c r="R617" s="11" t="n"/>
      <c r="S617" s="10">
        <f>IF(AND(Q617="",R617=""),"",IFERROR(INDEX(T_LIBAT,MATCH(Q617,L_PER,0),MATCH(R617,L_JENIS,0)),0))</f>
        <v/>
      </c>
      <c r="T617" s="11" t="n"/>
      <c r="U617" s="11" t="n"/>
      <c r="V617" s="10">
        <f>IF(AND(T617="",U617=""),"",IFERROR(INDEX(T_CAPAI,MATCH(T617,L_PER,0),MATCH(U617,L_KED,0)),0))</f>
        <v/>
      </c>
      <c r="W617" s="17">
        <f>IF(OR(B617="",E617="",COUNTA(F617,H617,J617:M617,O617,Q617:R617,T617:U617)=0),"",SUM(G617,I617,N617,P617,S617,V617))</f>
        <v/>
      </c>
      <c r="X617" s="18">
        <f>IF(W617="","",IF(Murid!F617="TL","TL",ROUND(W617/110*100,2)))</f>
        <v/>
      </c>
    </row>
    <row r="618">
      <c r="A618" s="15">
        <f>Murid!A618</f>
        <v/>
      </c>
      <c r="B618" s="15">
        <f>IF(Murid!B618="","",Murid!B618)</f>
        <v/>
      </c>
      <c r="C618" s="16">
        <f>IF(Murid!C618="","",Murid!C618)</f>
        <v/>
      </c>
      <c r="D618" s="15">
        <f>IF(Murid!E618="","",Murid!E618)</f>
        <v/>
      </c>
      <c r="E618" s="11" t="n"/>
      <c r="F618" s="11" t="n"/>
      <c r="G618" s="10">
        <f>IF(F618="","",IFERROR(VLOOKUP(F618,T_JUB,2,FALSE),0))</f>
        <v/>
      </c>
      <c r="H618" s="11" t="n"/>
      <c r="I618" s="17">
        <f>IF(H618="","",IF(H618&gt;=12,40,ROUND(H618*3.33,2)))</f>
        <v/>
      </c>
      <c r="J618" s="11" t="n"/>
      <c r="K618" s="11" t="n"/>
      <c r="L618" s="11" t="n"/>
      <c r="M618" s="11" t="n"/>
      <c r="N618" s="10">
        <f>IF(COUNTA(J618:M618)=0,"",MIN(10,SUMPRODUCT((COUNTIF(J618:M618,L_KOM)&gt;0)*S_KOM)))</f>
        <v/>
      </c>
      <c r="O618" s="11" t="n"/>
      <c r="P618" s="10">
        <f>IF(O618="","",IFERROR(VLOOKUP(O618,T_KHID,2,FALSE),0))</f>
        <v/>
      </c>
      <c r="Q618" s="11" t="n"/>
      <c r="R618" s="11" t="n"/>
      <c r="S618" s="10">
        <f>IF(AND(Q618="",R618=""),"",IFERROR(INDEX(T_LIBAT,MATCH(Q618,L_PER,0),MATCH(R618,L_JENIS,0)),0))</f>
        <v/>
      </c>
      <c r="T618" s="11" t="n"/>
      <c r="U618" s="11" t="n"/>
      <c r="V618" s="10">
        <f>IF(AND(T618="",U618=""),"",IFERROR(INDEX(T_CAPAI,MATCH(T618,L_PER,0),MATCH(U618,L_KED,0)),0))</f>
        <v/>
      </c>
      <c r="W618" s="17">
        <f>IF(OR(B618="",E618="",COUNTA(F618,H618,J618:M618,O618,Q618:R618,T618:U618)=0),"",SUM(G618,I618,N618,P618,S618,V618))</f>
        <v/>
      </c>
      <c r="X618" s="18">
        <f>IF(W618="","",IF(Murid!F618="TL","TL",ROUND(W618/110*100,2)))</f>
        <v/>
      </c>
    </row>
    <row r="619">
      <c r="A619" s="15">
        <f>Murid!A619</f>
        <v/>
      </c>
      <c r="B619" s="15">
        <f>IF(Murid!B619="","",Murid!B619)</f>
        <v/>
      </c>
      <c r="C619" s="16">
        <f>IF(Murid!C619="","",Murid!C619)</f>
        <v/>
      </c>
      <c r="D619" s="15">
        <f>IF(Murid!E619="","",Murid!E619)</f>
        <v/>
      </c>
      <c r="E619" s="11" t="n"/>
      <c r="F619" s="11" t="n"/>
      <c r="G619" s="10">
        <f>IF(F619="","",IFERROR(VLOOKUP(F619,T_JUB,2,FALSE),0))</f>
        <v/>
      </c>
      <c r="H619" s="11" t="n"/>
      <c r="I619" s="17">
        <f>IF(H619="","",IF(H619&gt;=12,40,ROUND(H619*3.33,2)))</f>
        <v/>
      </c>
      <c r="J619" s="11" t="n"/>
      <c r="K619" s="11" t="n"/>
      <c r="L619" s="11" t="n"/>
      <c r="M619" s="11" t="n"/>
      <c r="N619" s="10">
        <f>IF(COUNTA(J619:M619)=0,"",MIN(10,SUMPRODUCT((COUNTIF(J619:M619,L_KOM)&gt;0)*S_KOM)))</f>
        <v/>
      </c>
      <c r="O619" s="11" t="n"/>
      <c r="P619" s="10">
        <f>IF(O619="","",IFERROR(VLOOKUP(O619,T_KHID,2,FALSE),0))</f>
        <v/>
      </c>
      <c r="Q619" s="11" t="n"/>
      <c r="R619" s="11" t="n"/>
      <c r="S619" s="10">
        <f>IF(AND(Q619="",R619=""),"",IFERROR(INDEX(T_LIBAT,MATCH(Q619,L_PER,0),MATCH(R619,L_JENIS,0)),0))</f>
        <v/>
      </c>
      <c r="T619" s="11" t="n"/>
      <c r="U619" s="11" t="n"/>
      <c r="V619" s="10">
        <f>IF(AND(T619="",U619=""),"",IFERROR(INDEX(T_CAPAI,MATCH(T619,L_PER,0),MATCH(U619,L_KED,0)),0))</f>
        <v/>
      </c>
      <c r="W619" s="17">
        <f>IF(OR(B619="",E619="",COUNTA(F619,H619,J619:M619,O619,Q619:R619,T619:U619)=0),"",SUM(G619,I619,N619,P619,S619,V619))</f>
        <v/>
      </c>
      <c r="X619" s="18">
        <f>IF(W619="","",IF(Murid!F619="TL","TL",ROUND(W619/110*100,2)))</f>
        <v/>
      </c>
    </row>
    <row r="620">
      <c r="A620" s="15">
        <f>Murid!A620</f>
        <v/>
      </c>
      <c r="B620" s="15">
        <f>IF(Murid!B620="","",Murid!B620)</f>
        <v/>
      </c>
      <c r="C620" s="16">
        <f>IF(Murid!C620="","",Murid!C620)</f>
        <v/>
      </c>
      <c r="D620" s="15">
        <f>IF(Murid!E620="","",Murid!E620)</f>
        <v/>
      </c>
      <c r="E620" s="11" t="n"/>
      <c r="F620" s="11" t="n"/>
      <c r="G620" s="10">
        <f>IF(F620="","",IFERROR(VLOOKUP(F620,T_JUB,2,FALSE),0))</f>
        <v/>
      </c>
      <c r="H620" s="11" t="n"/>
      <c r="I620" s="17">
        <f>IF(H620="","",IF(H620&gt;=12,40,ROUND(H620*3.33,2)))</f>
        <v/>
      </c>
      <c r="J620" s="11" t="n"/>
      <c r="K620" s="11" t="n"/>
      <c r="L620" s="11" t="n"/>
      <c r="M620" s="11" t="n"/>
      <c r="N620" s="10">
        <f>IF(COUNTA(J620:M620)=0,"",MIN(10,SUMPRODUCT((COUNTIF(J620:M620,L_KOM)&gt;0)*S_KOM)))</f>
        <v/>
      </c>
      <c r="O620" s="11" t="n"/>
      <c r="P620" s="10">
        <f>IF(O620="","",IFERROR(VLOOKUP(O620,T_KHID,2,FALSE),0))</f>
        <v/>
      </c>
      <c r="Q620" s="11" t="n"/>
      <c r="R620" s="11" t="n"/>
      <c r="S620" s="10">
        <f>IF(AND(Q620="",R620=""),"",IFERROR(INDEX(T_LIBAT,MATCH(Q620,L_PER,0),MATCH(R620,L_JENIS,0)),0))</f>
        <v/>
      </c>
      <c r="T620" s="11" t="n"/>
      <c r="U620" s="11" t="n"/>
      <c r="V620" s="10">
        <f>IF(AND(T620="",U620=""),"",IFERROR(INDEX(T_CAPAI,MATCH(T620,L_PER,0),MATCH(U620,L_KED,0)),0))</f>
        <v/>
      </c>
      <c r="W620" s="17">
        <f>IF(OR(B620="",E620="",COUNTA(F620,H620,J620:M620,O620,Q620:R620,T620:U620)=0),"",SUM(G620,I620,N620,P620,S620,V620))</f>
        <v/>
      </c>
      <c r="X620" s="18">
        <f>IF(W620="","",IF(Murid!F620="TL","TL",ROUND(W620/110*100,2)))</f>
        <v/>
      </c>
    </row>
    <row r="621">
      <c r="A621" s="15">
        <f>Murid!A621</f>
        <v/>
      </c>
      <c r="B621" s="15">
        <f>IF(Murid!B621="","",Murid!B621)</f>
        <v/>
      </c>
      <c r="C621" s="16">
        <f>IF(Murid!C621="","",Murid!C621)</f>
        <v/>
      </c>
      <c r="D621" s="15">
        <f>IF(Murid!E621="","",Murid!E621)</f>
        <v/>
      </c>
      <c r="E621" s="11" t="n"/>
      <c r="F621" s="11" t="n"/>
      <c r="G621" s="10">
        <f>IF(F621="","",IFERROR(VLOOKUP(F621,T_JUB,2,FALSE),0))</f>
        <v/>
      </c>
      <c r="H621" s="11" t="n"/>
      <c r="I621" s="17">
        <f>IF(H621="","",IF(H621&gt;=12,40,ROUND(H621*3.33,2)))</f>
        <v/>
      </c>
      <c r="J621" s="11" t="n"/>
      <c r="K621" s="11" t="n"/>
      <c r="L621" s="11" t="n"/>
      <c r="M621" s="11" t="n"/>
      <c r="N621" s="10">
        <f>IF(COUNTA(J621:M621)=0,"",MIN(10,SUMPRODUCT((COUNTIF(J621:M621,L_KOM)&gt;0)*S_KOM)))</f>
        <v/>
      </c>
      <c r="O621" s="11" t="n"/>
      <c r="P621" s="10">
        <f>IF(O621="","",IFERROR(VLOOKUP(O621,T_KHID,2,FALSE),0))</f>
        <v/>
      </c>
      <c r="Q621" s="11" t="n"/>
      <c r="R621" s="11" t="n"/>
      <c r="S621" s="10">
        <f>IF(AND(Q621="",R621=""),"",IFERROR(INDEX(T_LIBAT,MATCH(Q621,L_PER,0),MATCH(R621,L_JENIS,0)),0))</f>
        <v/>
      </c>
      <c r="T621" s="11" t="n"/>
      <c r="U621" s="11" t="n"/>
      <c r="V621" s="10">
        <f>IF(AND(T621="",U621=""),"",IFERROR(INDEX(T_CAPAI,MATCH(T621,L_PER,0),MATCH(U621,L_KED,0)),0))</f>
        <v/>
      </c>
      <c r="W621" s="17">
        <f>IF(OR(B621="",E621="",COUNTA(F621,H621,J621:M621,O621,Q621:R621,T621:U621)=0),"",SUM(G621,I621,N621,P621,S621,V621))</f>
        <v/>
      </c>
      <c r="X621" s="18">
        <f>IF(W621="","",IF(Murid!F621="TL","TL",ROUND(W621/110*100,2)))</f>
        <v/>
      </c>
    </row>
    <row r="622">
      <c r="A622" s="15">
        <f>Murid!A622</f>
        <v/>
      </c>
      <c r="B622" s="15">
        <f>IF(Murid!B622="","",Murid!B622)</f>
        <v/>
      </c>
      <c r="C622" s="16">
        <f>IF(Murid!C622="","",Murid!C622)</f>
        <v/>
      </c>
      <c r="D622" s="15">
        <f>IF(Murid!E622="","",Murid!E622)</f>
        <v/>
      </c>
      <c r="E622" s="11" t="n"/>
      <c r="F622" s="11" t="n"/>
      <c r="G622" s="10">
        <f>IF(F622="","",IFERROR(VLOOKUP(F622,T_JUB,2,FALSE),0))</f>
        <v/>
      </c>
      <c r="H622" s="11" t="n"/>
      <c r="I622" s="17">
        <f>IF(H622="","",IF(H622&gt;=12,40,ROUND(H622*3.33,2)))</f>
        <v/>
      </c>
      <c r="J622" s="11" t="n"/>
      <c r="K622" s="11" t="n"/>
      <c r="L622" s="11" t="n"/>
      <c r="M622" s="11" t="n"/>
      <c r="N622" s="10">
        <f>IF(COUNTA(J622:M622)=0,"",MIN(10,SUMPRODUCT((COUNTIF(J622:M622,L_KOM)&gt;0)*S_KOM)))</f>
        <v/>
      </c>
      <c r="O622" s="11" t="n"/>
      <c r="P622" s="10">
        <f>IF(O622="","",IFERROR(VLOOKUP(O622,T_KHID,2,FALSE),0))</f>
        <v/>
      </c>
      <c r="Q622" s="11" t="n"/>
      <c r="R622" s="11" t="n"/>
      <c r="S622" s="10">
        <f>IF(AND(Q622="",R622=""),"",IFERROR(INDEX(T_LIBAT,MATCH(Q622,L_PER,0),MATCH(R622,L_JENIS,0)),0))</f>
        <v/>
      </c>
      <c r="T622" s="11" t="n"/>
      <c r="U622" s="11" t="n"/>
      <c r="V622" s="10">
        <f>IF(AND(T622="",U622=""),"",IFERROR(INDEX(T_CAPAI,MATCH(T622,L_PER,0),MATCH(U622,L_KED,0)),0))</f>
        <v/>
      </c>
      <c r="W622" s="17">
        <f>IF(OR(B622="",E622="",COUNTA(F622,H622,J622:M622,O622,Q622:R622,T622:U622)=0),"",SUM(G622,I622,N622,P622,S622,V622))</f>
        <v/>
      </c>
      <c r="X622" s="18">
        <f>IF(W622="","",IF(Murid!F622="TL","TL",ROUND(W622/110*100,2)))</f>
        <v/>
      </c>
    </row>
    <row r="623">
      <c r="A623" s="15">
        <f>Murid!A623</f>
        <v/>
      </c>
      <c r="B623" s="15">
        <f>IF(Murid!B623="","",Murid!B623)</f>
        <v/>
      </c>
      <c r="C623" s="16">
        <f>IF(Murid!C623="","",Murid!C623)</f>
        <v/>
      </c>
      <c r="D623" s="15">
        <f>IF(Murid!E623="","",Murid!E623)</f>
        <v/>
      </c>
      <c r="E623" s="11" t="n"/>
      <c r="F623" s="11" t="n"/>
      <c r="G623" s="10">
        <f>IF(F623="","",IFERROR(VLOOKUP(F623,T_JUB,2,FALSE),0))</f>
        <v/>
      </c>
      <c r="H623" s="11" t="n"/>
      <c r="I623" s="17">
        <f>IF(H623="","",IF(H623&gt;=12,40,ROUND(H623*3.33,2)))</f>
        <v/>
      </c>
      <c r="J623" s="11" t="n"/>
      <c r="K623" s="11" t="n"/>
      <c r="L623" s="11" t="n"/>
      <c r="M623" s="11" t="n"/>
      <c r="N623" s="10">
        <f>IF(COUNTA(J623:M623)=0,"",MIN(10,SUMPRODUCT((COUNTIF(J623:M623,L_KOM)&gt;0)*S_KOM)))</f>
        <v/>
      </c>
      <c r="O623" s="11" t="n"/>
      <c r="P623" s="10">
        <f>IF(O623="","",IFERROR(VLOOKUP(O623,T_KHID,2,FALSE),0))</f>
        <v/>
      </c>
      <c r="Q623" s="11" t="n"/>
      <c r="R623" s="11" t="n"/>
      <c r="S623" s="10">
        <f>IF(AND(Q623="",R623=""),"",IFERROR(INDEX(T_LIBAT,MATCH(Q623,L_PER,0),MATCH(R623,L_JENIS,0)),0))</f>
        <v/>
      </c>
      <c r="T623" s="11" t="n"/>
      <c r="U623" s="11" t="n"/>
      <c r="V623" s="10">
        <f>IF(AND(T623="",U623=""),"",IFERROR(INDEX(T_CAPAI,MATCH(T623,L_PER,0),MATCH(U623,L_KED,0)),0))</f>
        <v/>
      </c>
      <c r="W623" s="17">
        <f>IF(OR(B623="",E623="",COUNTA(F623,H623,J623:M623,O623,Q623:R623,T623:U623)=0),"",SUM(G623,I623,N623,P623,S623,V623))</f>
        <v/>
      </c>
      <c r="X623" s="18">
        <f>IF(W623="","",IF(Murid!F623="TL","TL",ROUND(W623/110*100,2)))</f>
        <v/>
      </c>
    </row>
    <row r="624">
      <c r="A624" s="15">
        <f>Murid!A624</f>
        <v/>
      </c>
      <c r="B624" s="15">
        <f>IF(Murid!B624="","",Murid!B624)</f>
        <v/>
      </c>
      <c r="C624" s="16">
        <f>IF(Murid!C624="","",Murid!C624)</f>
        <v/>
      </c>
      <c r="D624" s="15">
        <f>IF(Murid!E624="","",Murid!E624)</f>
        <v/>
      </c>
      <c r="E624" s="11" t="n"/>
      <c r="F624" s="11" t="n"/>
      <c r="G624" s="10">
        <f>IF(F624="","",IFERROR(VLOOKUP(F624,T_JUB,2,FALSE),0))</f>
        <v/>
      </c>
      <c r="H624" s="11" t="n"/>
      <c r="I624" s="17">
        <f>IF(H624="","",IF(H624&gt;=12,40,ROUND(H624*3.33,2)))</f>
        <v/>
      </c>
      <c r="J624" s="11" t="n"/>
      <c r="K624" s="11" t="n"/>
      <c r="L624" s="11" t="n"/>
      <c r="M624" s="11" t="n"/>
      <c r="N624" s="10">
        <f>IF(COUNTA(J624:M624)=0,"",MIN(10,SUMPRODUCT((COUNTIF(J624:M624,L_KOM)&gt;0)*S_KOM)))</f>
        <v/>
      </c>
      <c r="O624" s="11" t="n"/>
      <c r="P624" s="10">
        <f>IF(O624="","",IFERROR(VLOOKUP(O624,T_KHID,2,FALSE),0))</f>
        <v/>
      </c>
      <c r="Q624" s="11" t="n"/>
      <c r="R624" s="11" t="n"/>
      <c r="S624" s="10">
        <f>IF(AND(Q624="",R624=""),"",IFERROR(INDEX(T_LIBAT,MATCH(Q624,L_PER,0),MATCH(R624,L_JENIS,0)),0))</f>
        <v/>
      </c>
      <c r="T624" s="11" t="n"/>
      <c r="U624" s="11" t="n"/>
      <c r="V624" s="10">
        <f>IF(AND(T624="",U624=""),"",IFERROR(INDEX(T_CAPAI,MATCH(T624,L_PER,0),MATCH(U624,L_KED,0)),0))</f>
        <v/>
      </c>
      <c r="W624" s="17">
        <f>IF(OR(B624="",E624="",COUNTA(F624,H624,J624:M624,O624,Q624:R624,T624:U624)=0),"",SUM(G624,I624,N624,P624,S624,V624))</f>
        <v/>
      </c>
      <c r="X624" s="18">
        <f>IF(W624="","",IF(Murid!F624="TL","TL",ROUND(W624/110*100,2)))</f>
        <v/>
      </c>
    </row>
    <row r="625">
      <c r="A625" s="15">
        <f>Murid!A625</f>
        <v/>
      </c>
      <c r="B625" s="15">
        <f>IF(Murid!B625="","",Murid!B625)</f>
        <v/>
      </c>
      <c r="C625" s="16">
        <f>IF(Murid!C625="","",Murid!C625)</f>
        <v/>
      </c>
      <c r="D625" s="15">
        <f>IF(Murid!E625="","",Murid!E625)</f>
        <v/>
      </c>
      <c r="E625" s="11" t="n"/>
      <c r="F625" s="11" t="n"/>
      <c r="G625" s="10">
        <f>IF(F625="","",IFERROR(VLOOKUP(F625,T_JUB,2,FALSE),0))</f>
        <v/>
      </c>
      <c r="H625" s="11" t="n"/>
      <c r="I625" s="17">
        <f>IF(H625="","",IF(H625&gt;=12,40,ROUND(H625*3.33,2)))</f>
        <v/>
      </c>
      <c r="J625" s="11" t="n"/>
      <c r="K625" s="11" t="n"/>
      <c r="L625" s="11" t="n"/>
      <c r="M625" s="11" t="n"/>
      <c r="N625" s="10">
        <f>IF(COUNTA(J625:M625)=0,"",MIN(10,SUMPRODUCT((COUNTIF(J625:M625,L_KOM)&gt;0)*S_KOM)))</f>
        <v/>
      </c>
      <c r="O625" s="11" t="n"/>
      <c r="P625" s="10">
        <f>IF(O625="","",IFERROR(VLOOKUP(O625,T_KHID,2,FALSE),0))</f>
        <v/>
      </c>
      <c r="Q625" s="11" t="n"/>
      <c r="R625" s="11" t="n"/>
      <c r="S625" s="10">
        <f>IF(AND(Q625="",R625=""),"",IFERROR(INDEX(T_LIBAT,MATCH(Q625,L_PER,0),MATCH(R625,L_JENIS,0)),0))</f>
        <v/>
      </c>
      <c r="T625" s="11" t="n"/>
      <c r="U625" s="11" t="n"/>
      <c r="V625" s="10">
        <f>IF(AND(T625="",U625=""),"",IFERROR(INDEX(T_CAPAI,MATCH(T625,L_PER,0),MATCH(U625,L_KED,0)),0))</f>
        <v/>
      </c>
      <c r="W625" s="17">
        <f>IF(OR(B625="",E625="",COUNTA(F625,H625,J625:M625,O625,Q625:R625,T625:U625)=0),"",SUM(G625,I625,N625,P625,S625,V625))</f>
        <v/>
      </c>
      <c r="X625" s="18">
        <f>IF(W625="","",IF(Murid!F625="TL","TL",ROUND(W625/110*100,2)))</f>
        <v/>
      </c>
    </row>
    <row r="626">
      <c r="A626" s="15">
        <f>Murid!A626</f>
        <v/>
      </c>
      <c r="B626" s="15">
        <f>IF(Murid!B626="","",Murid!B626)</f>
        <v/>
      </c>
      <c r="C626" s="16">
        <f>IF(Murid!C626="","",Murid!C626)</f>
        <v/>
      </c>
      <c r="D626" s="15">
        <f>IF(Murid!E626="","",Murid!E626)</f>
        <v/>
      </c>
      <c r="E626" s="11" t="n"/>
      <c r="F626" s="11" t="n"/>
      <c r="G626" s="10">
        <f>IF(F626="","",IFERROR(VLOOKUP(F626,T_JUB,2,FALSE),0))</f>
        <v/>
      </c>
      <c r="H626" s="11" t="n"/>
      <c r="I626" s="17">
        <f>IF(H626="","",IF(H626&gt;=12,40,ROUND(H626*3.33,2)))</f>
        <v/>
      </c>
      <c r="J626" s="11" t="n"/>
      <c r="K626" s="11" t="n"/>
      <c r="L626" s="11" t="n"/>
      <c r="M626" s="11" t="n"/>
      <c r="N626" s="10">
        <f>IF(COUNTA(J626:M626)=0,"",MIN(10,SUMPRODUCT((COUNTIF(J626:M626,L_KOM)&gt;0)*S_KOM)))</f>
        <v/>
      </c>
      <c r="O626" s="11" t="n"/>
      <c r="P626" s="10">
        <f>IF(O626="","",IFERROR(VLOOKUP(O626,T_KHID,2,FALSE),0))</f>
        <v/>
      </c>
      <c r="Q626" s="11" t="n"/>
      <c r="R626" s="11" t="n"/>
      <c r="S626" s="10">
        <f>IF(AND(Q626="",R626=""),"",IFERROR(INDEX(T_LIBAT,MATCH(Q626,L_PER,0),MATCH(R626,L_JENIS,0)),0))</f>
        <v/>
      </c>
      <c r="T626" s="11" t="n"/>
      <c r="U626" s="11" t="n"/>
      <c r="V626" s="10">
        <f>IF(AND(T626="",U626=""),"",IFERROR(INDEX(T_CAPAI,MATCH(T626,L_PER,0),MATCH(U626,L_KED,0)),0))</f>
        <v/>
      </c>
      <c r="W626" s="17">
        <f>IF(OR(B626="",E626="",COUNTA(F626,H626,J626:M626,O626,Q626:R626,T626:U626)=0),"",SUM(G626,I626,N626,P626,S626,V626))</f>
        <v/>
      </c>
      <c r="X626" s="18">
        <f>IF(W626="","",IF(Murid!F626="TL","TL",ROUND(W626/110*100,2)))</f>
        <v/>
      </c>
    </row>
    <row r="627">
      <c r="A627" s="15">
        <f>Murid!A627</f>
        <v/>
      </c>
      <c r="B627" s="15">
        <f>IF(Murid!B627="","",Murid!B627)</f>
        <v/>
      </c>
      <c r="C627" s="16">
        <f>IF(Murid!C627="","",Murid!C627)</f>
        <v/>
      </c>
      <c r="D627" s="15">
        <f>IF(Murid!E627="","",Murid!E627)</f>
        <v/>
      </c>
      <c r="E627" s="11" t="n"/>
      <c r="F627" s="11" t="n"/>
      <c r="G627" s="10">
        <f>IF(F627="","",IFERROR(VLOOKUP(F627,T_JUB,2,FALSE),0))</f>
        <v/>
      </c>
      <c r="H627" s="11" t="n"/>
      <c r="I627" s="17">
        <f>IF(H627="","",IF(H627&gt;=12,40,ROUND(H627*3.33,2)))</f>
        <v/>
      </c>
      <c r="J627" s="11" t="n"/>
      <c r="K627" s="11" t="n"/>
      <c r="L627" s="11" t="n"/>
      <c r="M627" s="11" t="n"/>
      <c r="N627" s="10">
        <f>IF(COUNTA(J627:M627)=0,"",MIN(10,SUMPRODUCT((COUNTIF(J627:M627,L_KOM)&gt;0)*S_KOM)))</f>
        <v/>
      </c>
      <c r="O627" s="11" t="n"/>
      <c r="P627" s="10">
        <f>IF(O627="","",IFERROR(VLOOKUP(O627,T_KHID,2,FALSE),0))</f>
        <v/>
      </c>
      <c r="Q627" s="11" t="n"/>
      <c r="R627" s="11" t="n"/>
      <c r="S627" s="10">
        <f>IF(AND(Q627="",R627=""),"",IFERROR(INDEX(T_LIBAT,MATCH(Q627,L_PER,0),MATCH(R627,L_JENIS,0)),0))</f>
        <v/>
      </c>
      <c r="T627" s="11" t="n"/>
      <c r="U627" s="11" t="n"/>
      <c r="V627" s="10">
        <f>IF(AND(T627="",U627=""),"",IFERROR(INDEX(T_CAPAI,MATCH(T627,L_PER,0),MATCH(U627,L_KED,0)),0))</f>
        <v/>
      </c>
      <c r="W627" s="17">
        <f>IF(OR(B627="",E627="",COUNTA(F627,H627,J627:M627,O627,Q627:R627,T627:U627)=0),"",SUM(G627,I627,N627,P627,S627,V627))</f>
        <v/>
      </c>
      <c r="X627" s="18">
        <f>IF(W627="","",IF(Murid!F627="TL","TL",ROUND(W627/110*100,2)))</f>
        <v/>
      </c>
    </row>
    <row r="628">
      <c r="A628" s="15">
        <f>Murid!A628</f>
        <v/>
      </c>
      <c r="B628" s="15">
        <f>IF(Murid!B628="","",Murid!B628)</f>
        <v/>
      </c>
      <c r="C628" s="16">
        <f>IF(Murid!C628="","",Murid!C628)</f>
        <v/>
      </c>
      <c r="D628" s="15">
        <f>IF(Murid!E628="","",Murid!E628)</f>
        <v/>
      </c>
      <c r="E628" s="11" t="n"/>
      <c r="F628" s="11" t="n"/>
      <c r="G628" s="10">
        <f>IF(F628="","",IFERROR(VLOOKUP(F628,T_JUB,2,FALSE),0))</f>
        <v/>
      </c>
      <c r="H628" s="11" t="n"/>
      <c r="I628" s="17">
        <f>IF(H628="","",IF(H628&gt;=12,40,ROUND(H628*3.33,2)))</f>
        <v/>
      </c>
      <c r="J628" s="11" t="n"/>
      <c r="K628" s="11" t="n"/>
      <c r="L628" s="11" t="n"/>
      <c r="M628" s="11" t="n"/>
      <c r="N628" s="10">
        <f>IF(COUNTA(J628:M628)=0,"",MIN(10,SUMPRODUCT((COUNTIF(J628:M628,L_KOM)&gt;0)*S_KOM)))</f>
        <v/>
      </c>
      <c r="O628" s="11" t="n"/>
      <c r="P628" s="10">
        <f>IF(O628="","",IFERROR(VLOOKUP(O628,T_KHID,2,FALSE),0))</f>
        <v/>
      </c>
      <c r="Q628" s="11" t="n"/>
      <c r="R628" s="11" t="n"/>
      <c r="S628" s="10">
        <f>IF(AND(Q628="",R628=""),"",IFERROR(INDEX(T_LIBAT,MATCH(Q628,L_PER,0),MATCH(R628,L_JENIS,0)),0))</f>
        <v/>
      </c>
      <c r="T628" s="11" t="n"/>
      <c r="U628" s="11" t="n"/>
      <c r="V628" s="10">
        <f>IF(AND(T628="",U628=""),"",IFERROR(INDEX(T_CAPAI,MATCH(T628,L_PER,0),MATCH(U628,L_KED,0)),0))</f>
        <v/>
      </c>
      <c r="W628" s="17">
        <f>IF(OR(B628="",E628="",COUNTA(F628,H628,J628:M628,O628,Q628:R628,T628:U628)=0),"",SUM(G628,I628,N628,P628,S628,V628))</f>
        <v/>
      </c>
      <c r="X628" s="18">
        <f>IF(W628="","",IF(Murid!F628="TL","TL",ROUND(W628/110*100,2)))</f>
        <v/>
      </c>
    </row>
    <row r="629">
      <c r="A629" s="15">
        <f>Murid!A629</f>
        <v/>
      </c>
      <c r="B629" s="15">
        <f>IF(Murid!B629="","",Murid!B629)</f>
        <v/>
      </c>
      <c r="C629" s="16">
        <f>IF(Murid!C629="","",Murid!C629)</f>
        <v/>
      </c>
      <c r="D629" s="15">
        <f>IF(Murid!E629="","",Murid!E629)</f>
        <v/>
      </c>
      <c r="E629" s="11" t="n"/>
      <c r="F629" s="11" t="n"/>
      <c r="G629" s="10">
        <f>IF(F629="","",IFERROR(VLOOKUP(F629,T_JUB,2,FALSE),0))</f>
        <v/>
      </c>
      <c r="H629" s="11" t="n"/>
      <c r="I629" s="17">
        <f>IF(H629="","",IF(H629&gt;=12,40,ROUND(H629*3.33,2)))</f>
        <v/>
      </c>
      <c r="J629" s="11" t="n"/>
      <c r="K629" s="11" t="n"/>
      <c r="L629" s="11" t="n"/>
      <c r="M629" s="11" t="n"/>
      <c r="N629" s="10">
        <f>IF(COUNTA(J629:M629)=0,"",MIN(10,SUMPRODUCT((COUNTIF(J629:M629,L_KOM)&gt;0)*S_KOM)))</f>
        <v/>
      </c>
      <c r="O629" s="11" t="n"/>
      <c r="P629" s="10">
        <f>IF(O629="","",IFERROR(VLOOKUP(O629,T_KHID,2,FALSE),0))</f>
        <v/>
      </c>
      <c r="Q629" s="11" t="n"/>
      <c r="R629" s="11" t="n"/>
      <c r="S629" s="10">
        <f>IF(AND(Q629="",R629=""),"",IFERROR(INDEX(T_LIBAT,MATCH(Q629,L_PER,0),MATCH(R629,L_JENIS,0)),0))</f>
        <v/>
      </c>
      <c r="T629" s="11" t="n"/>
      <c r="U629" s="11" t="n"/>
      <c r="V629" s="10">
        <f>IF(AND(T629="",U629=""),"",IFERROR(INDEX(T_CAPAI,MATCH(T629,L_PER,0),MATCH(U629,L_KED,0)),0))</f>
        <v/>
      </c>
      <c r="W629" s="17">
        <f>IF(OR(B629="",E629="",COUNTA(F629,H629,J629:M629,O629,Q629:R629,T629:U629)=0),"",SUM(G629,I629,N629,P629,S629,V629))</f>
        <v/>
      </c>
      <c r="X629" s="18">
        <f>IF(W629="","",IF(Murid!F629="TL","TL",ROUND(W629/110*100,2)))</f>
        <v/>
      </c>
    </row>
    <row r="630">
      <c r="A630" s="15">
        <f>Murid!A630</f>
        <v/>
      </c>
      <c r="B630" s="15">
        <f>IF(Murid!B630="","",Murid!B630)</f>
        <v/>
      </c>
      <c r="C630" s="16">
        <f>IF(Murid!C630="","",Murid!C630)</f>
        <v/>
      </c>
      <c r="D630" s="15">
        <f>IF(Murid!E630="","",Murid!E630)</f>
        <v/>
      </c>
      <c r="E630" s="11" t="n"/>
      <c r="F630" s="11" t="n"/>
      <c r="G630" s="10">
        <f>IF(F630="","",IFERROR(VLOOKUP(F630,T_JUB,2,FALSE),0))</f>
        <v/>
      </c>
      <c r="H630" s="11" t="n"/>
      <c r="I630" s="17">
        <f>IF(H630="","",IF(H630&gt;=12,40,ROUND(H630*3.33,2)))</f>
        <v/>
      </c>
      <c r="J630" s="11" t="n"/>
      <c r="K630" s="11" t="n"/>
      <c r="L630" s="11" t="n"/>
      <c r="M630" s="11" t="n"/>
      <c r="N630" s="10">
        <f>IF(COUNTA(J630:M630)=0,"",MIN(10,SUMPRODUCT((COUNTIF(J630:M630,L_KOM)&gt;0)*S_KOM)))</f>
        <v/>
      </c>
      <c r="O630" s="11" t="n"/>
      <c r="P630" s="10">
        <f>IF(O630="","",IFERROR(VLOOKUP(O630,T_KHID,2,FALSE),0))</f>
        <v/>
      </c>
      <c r="Q630" s="11" t="n"/>
      <c r="R630" s="11" t="n"/>
      <c r="S630" s="10">
        <f>IF(AND(Q630="",R630=""),"",IFERROR(INDEX(T_LIBAT,MATCH(Q630,L_PER,0),MATCH(R630,L_JENIS,0)),0))</f>
        <v/>
      </c>
      <c r="T630" s="11" t="n"/>
      <c r="U630" s="11" t="n"/>
      <c r="V630" s="10">
        <f>IF(AND(T630="",U630=""),"",IFERROR(INDEX(T_CAPAI,MATCH(T630,L_PER,0),MATCH(U630,L_KED,0)),0))</f>
        <v/>
      </c>
      <c r="W630" s="17">
        <f>IF(OR(B630="",E630="",COUNTA(F630,H630,J630:M630,O630,Q630:R630,T630:U630)=0),"",SUM(G630,I630,N630,P630,S630,V630))</f>
        <v/>
      </c>
      <c r="X630" s="18">
        <f>IF(W630="","",IF(Murid!F630="TL","TL",ROUND(W630/110*100,2)))</f>
        <v/>
      </c>
    </row>
    <row r="631">
      <c r="A631" s="15">
        <f>Murid!A631</f>
        <v/>
      </c>
      <c r="B631" s="15">
        <f>IF(Murid!B631="","",Murid!B631)</f>
        <v/>
      </c>
      <c r="C631" s="16">
        <f>IF(Murid!C631="","",Murid!C631)</f>
        <v/>
      </c>
      <c r="D631" s="15">
        <f>IF(Murid!E631="","",Murid!E631)</f>
        <v/>
      </c>
      <c r="E631" s="11" t="n"/>
      <c r="F631" s="11" t="n"/>
      <c r="G631" s="10">
        <f>IF(F631="","",IFERROR(VLOOKUP(F631,T_JUB,2,FALSE),0))</f>
        <v/>
      </c>
      <c r="H631" s="11" t="n"/>
      <c r="I631" s="17">
        <f>IF(H631="","",IF(H631&gt;=12,40,ROUND(H631*3.33,2)))</f>
        <v/>
      </c>
      <c r="J631" s="11" t="n"/>
      <c r="K631" s="11" t="n"/>
      <c r="L631" s="11" t="n"/>
      <c r="M631" s="11" t="n"/>
      <c r="N631" s="10">
        <f>IF(COUNTA(J631:M631)=0,"",MIN(10,SUMPRODUCT((COUNTIF(J631:M631,L_KOM)&gt;0)*S_KOM)))</f>
        <v/>
      </c>
      <c r="O631" s="11" t="n"/>
      <c r="P631" s="10">
        <f>IF(O631="","",IFERROR(VLOOKUP(O631,T_KHID,2,FALSE),0))</f>
        <v/>
      </c>
      <c r="Q631" s="11" t="n"/>
      <c r="R631" s="11" t="n"/>
      <c r="S631" s="10">
        <f>IF(AND(Q631="",R631=""),"",IFERROR(INDEX(T_LIBAT,MATCH(Q631,L_PER,0),MATCH(R631,L_JENIS,0)),0))</f>
        <v/>
      </c>
      <c r="T631" s="11" t="n"/>
      <c r="U631" s="11" t="n"/>
      <c r="V631" s="10">
        <f>IF(AND(T631="",U631=""),"",IFERROR(INDEX(T_CAPAI,MATCH(T631,L_PER,0),MATCH(U631,L_KED,0)),0))</f>
        <v/>
      </c>
      <c r="W631" s="17">
        <f>IF(OR(B631="",E631="",COUNTA(F631,H631,J631:M631,O631,Q631:R631,T631:U631)=0),"",SUM(G631,I631,N631,P631,S631,V631))</f>
        <v/>
      </c>
      <c r="X631" s="18">
        <f>IF(W631="","",IF(Murid!F631="TL","TL",ROUND(W631/110*100,2)))</f>
        <v/>
      </c>
    </row>
    <row r="632">
      <c r="A632" s="15">
        <f>Murid!A632</f>
        <v/>
      </c>
      <c r="B632" s="15">
        <f>IF(Murid!B632="","",Murid!B632)</f>
        <v/>
      </c>
      <c r="C632" s="16">
        <f>IF(Murid!C632="","",Murid!C632)</f>
        <v/>
      </c>
      <c r="D632" s="15">
        <f>IF(Murid!E632="","",Murid!E632)</f>
        <v/>
      </c>
      <c r="E632" s="11" t="n"/>
      <c r="F632" s="11" t="n"/>
      <c r="G632" s="10">
        <f>IF(F632="","",IFERROR(VLOOKUP(F632,T_JUB,2,FALSE),0))</f>
        <v/>
      </c>
      <c r="H632" s="11" t="n"/>
      <c r="I632" s="17">
        <f>IF(H632="","",IF(H632&gt;=12,40,ROUND(H632*3.33,2)))</f>
        <v/>
      </c>
      <c r="J632" s="11" t="n"/>
      <c r="K632" s="11" t="n"/>
      <c r="L632" s="11" t="n"/>
      <c r="M632" s="11" t="n"/>
      <c r="N632" s="10">
        <f>IF(COUNTA(J632:M632)=0,"",MIN(10,SUMPRODUCT((COUNTIF(J632:M632,L_KOM)&gt;0)*S_KOM)))</f>
        <v/>
      </c>
      <c r="O632" s="11" t="n"/>
      <c r="P632" s="10">
        <f>IF(O632="","",IFERROR(VLOOKUP(O632,T_KHID,2,FALSE),0))</f>
        <v/>
      </c>
      <c r="Q632" s="11" t="n"/>
      <c r="R632" s="11" t="n"/>
      <c r="S632" s="10">
        <f>IF(AND(Q632="",R632=""),"",IFERROR(INDEX(T_LIBAT,MATCH(Q632,L_PER,0),MATCH(R632,L_JENIS,0)),0))</f>
        <v/>
      </c>
      <c r="T632" s="11" t="n"/>
      <c r="U632" s="11" t="n"/>
      <c r="V632" s="10">
        <f>IF(AND(T632="",U632=""),"",IFERROR(INDEX(T_CAPAI,MATCH(T632,L_PER,0),MATCH(U632,L_KED,0)),0))</f>
        <v/>
      </c>
      <c r="W632" s="17">
        <f>IF(OR(B632="",E632="",COUNTA(F632,H632,J632:M632,O632,Q632:R632,T632:U632)=0),"",SUM(G632,I632,N632,P632,S632,V632))</f>
        <v/>
      </c>
      <c r="X632" s="18">
        <f>IF(W632="","",IF(Murid!F632="TL","TL",ROUND(W632/110*100,2)))</f>
        <v/>
      </c>
    </row>
    <row r="633">
      <c r="A633" s="15">
        <f>Murid!A633</f>
        <v/>
      </c>
      <c r="B633" s="15">
        <f>IF(Murid!B633="","",Murid!B633)</f>
        <v/>
      </c>
      <c r="C633" s="16">
        <f>IF(Murid!C633="","",Murid!C633)</f>
        <v/>
      </c>
      <c r="D633" s="15">
        <f>IF(Murid!E633="","",Murid!E633)</f>
        <v/>
      </c>
      <c r="E633" s="11" t="n"/>
      <c r="F633" s="11" t="n"/>
      <c r="G633" s="10">
        <f>IF(F633="","",IFERROR(VLOOKUP(F633,T_JUB,2,FALSE),0))</f>
        <v/>
      </c>
      <c r="H633" s="11" t="n"/>
      <c r="I633" s="17">
        <f>IF(H633="","",IF(H633&gt;=12,40,ROUND(H633*3.33,2)))</f>
        <v/>
      </c>
      <c r="J633" s="11" t="n"/>
      <c r="K633" s="11" t="n"/>
      <c r="L633" s="11" t="n"/>
      <c r="M633" s="11" t="n"/>
      <c r="N633" s="10">
        <f>IF(COUNTA(J633:M633)=0,"",MIN(10,SUMPRODUCT((COUNTIF(J633:M633,L_KOM)&gt;0)*S_KOM)))</f>
        <v/>
      </c>
      <c r="O633" s="11" t="n"/>
      <c r="P633" s="10">
        <f>IF(O633="","",IFERROR(VLOOKUP(O633,T_KHID,2,FALSE),0))</f>
        <v/>
      </c>
      <c r="Q633" s="11" t="n"/>
      <c r="R633" s="11" t="n"/>
      <c r="S633" s="10">
        <f>IF(AND(Q633="",R633=""),"",IFERROR(INDEX(T_LIBAT,MATCH(Q633,L_PER,0),MATCH(R633,L_JENIS,0)),0))</f>
        <v/>
      </c>
      <c r="T633" s="11" t="n"/>
      <c r="U633" s="11" t="n"/>
      <c r="V633" s="10">
        <f>IF(AND(T633="",U633=""),"",IFERROR(INDEX(T_CAPAI,MATCH(T633,L_PER,0),MATCH(U633,L_KED,0)),0))</f>
        <v/>
      </c>
      <c r="W633" s="17">
        <f>IF(OR(B633="",E633="",COUNTA(F633,H633,J633:M633,O633,Q633:R633,T633:U633)=0),"",SUM(G633,I633,N633,P633,S633,V633))</f>
        <v/>
      </c>
      <c r="X633" s="18">
        <f>IF(W633="","",IF(Murid!F633="TL","TL",ROUND(W633/110*100,2)))</f>
        <v/>
      </c>
    </row>
    <row r="634">
      <c r="A634" s="15">
        <f>Murid!A634</f>
        <v/>
      </c>
      <c r="B634" s="15">
        <f>IF(Murid!B634="","",Murid!B634)</f>
        <v/>
      </c>
      <c r="C634" s="16">
        <f>IF(Murid!C634="","",Murid!C634)</f>
        <v/>
      </c>
      <c r="D634" s="15">
        <f>IF(Murid!E634="","",Murid!E634)</f>
        <v/>
      </c>
      <c r="E634" s="11" t="n"/>
      <c r="F634" s="11" t="n"/>
      <c r="G634" s="10">
        <f>IF(F634="","",IFERROR(VLOOKUP(F634,T_JUB,2,FALSE),0))</f>
        <v/>
      </c>
      <c r="H634" s="11" t="n"/>
      <c r="I634" s="17">
        <f>IF(H634="","",IF(H634&gt;=12,40,ROUND(H634*3.33,2)))</f>
        <v/>
      </c>
      <c r="J634" s="11" t="n"/>
      <c r="K634" s="11" t="n"/>
      <c r="L634" s="11" t="n"/>
      <c r="M634" s="11" t="n"/>
      <c r="N634" s="10">
        <f>IF(COUNTA(J634:M634)=0,"",MIN(10,SUMPRODUCT((COUNTIF(J634:M634,L_KOM)&gt;0)*S_KOM)))</f>
        <v/>
      </c>
      <c r="O634" s="11" t="n"/>
      <c r="P634" s="10">
        <f>IF(O634="","",IFERROR(VLOOKUP(O634,T_KHID,2,FALSE),0))</f>
        <v/>
      </c>
      <c r="Q634" s="11" t="n"/>
      <c r="R634" s="11" t="n"/>
      <c r="S634" s="10">
        <f>IF(AND(Q634="",R634=""),"",IFERROR(INDEX(T_LIBAT,MATCH(Q634,L_PER,0),MATCH(R634,L_JENIS,0)),0))</f>
        <v/>
      </c>
      <c r="T634" s="11" t="n"/>
      <c r="U634" s="11" t="n"/>
      <c r="V634" s="10">
        <f>IF(AND(T634="",U634=""),"",IFERROR(INDEX(T_CAPAI,MATCH(T634,L_PER,0),MATCH(U634,L_KED,0)),0))</f>
        <v/>
      </c>
      <c r="W634" s="17">
        <f>IF(OR(B634="",E634="",COUNTA(F634,H634,J634:M634,O634,Q634:R634,T634:U634)=0),"",SUM(G634,I634,N634,P634,S634,V634))</f>
        <v/>
      </c>
      <c r="X634" s="18">
        <f>IF(W634="","",IF(Murid!F634="TL","TL",ROUND(W634/110*100,2)))</f>
        <v/>
      </c>
    </row>
    <row r="635">
      <c r="A635" s="15">
        <f>Murid!A635</f>
        <v/>
      </c>
      <c r="B635" s="15">
        <f>IF(Murid!B635="","",Murid!B635)</f>
        <v/>
      </c>
      <c r="C635" s="16">
        <f>IF(Murid!C635="","",Murid!C635)</f>
        <v/>
      </c>
      <c r="D635" s="15">
        <f>IF(Murid!E635="","",Murid!E635)</f>
        <v/>
      </c>
      <c r="E635" s="11" t="n"/>
      <c r="F635" s="11" t="n"/>
      <c r="G635" s="10">
        <f>IF(F635="","",IFERROR(VLOOKUP(F635,T_JUB,2,FALSE),0))</f>
        <v/>
      </c>
      <c r="H635" s="11" t="n"/>
      <c r="I635" s="17">
        <f>IF(H635="","",IF(H635&gt;=12,40,ROUND(H635*3.33,2)))</f>
        <v/>
      </c>
      <c r="J635" s="11" t="n"/>
      <c r="K635" s="11" t="n"/>
      <c r="L635" s="11" t="n"/>
      <c r="M635" s="11" t="n"/>
      <c r="N635" s="10">
        <f>IF(COUNTA(J635:M635)=0,"",MIN(10,SUMPRODUCT((COUNTIF(J635:M635,L_KOM)&gt;0)*S_KOM)))</f>
        <v/>
      </c>
      <c r="O635" s="11" t="n"/>
      <c r="P635" s="10">
        <f>IF(O635="","",IFERROR(VLOOKUP(O635,T_KHID,2,FALSE),0))</f>
        <v/>
      </c>
      <c r="Q635" s="11" t="n"/>
      <c r="R635" s="11" t="n"/>
      <c r="S635" s="10">
        <f>IF(AND(Q635="",R635=""),"",IFERROR(INDEX(T_LIBAT,MATCH(Q635,L_PER,0),MATCH(R635,L_JENIS,0)),0))</f>
        <v/>
      </c>
      <c r="T635" s="11" t="n"/>
      <c r="U635" s="11" t="n"/>
      <c r="V635" s="10">
        <f>IF(AND(T635="",U635=""),"",IFERROR(INDEX(T_CAPAI,MATCH(T635,L_PER,0),MATCH(U635,L_KED,0)),0))</f>
        <v/>
      </c>
      <c r="W635" s="17">
        <f>IF(OR(B635="",E635="",COUNTA(F635,H635,J635:M635,O635,Q635:R635,T635:U635)=0),"",SUM(G635,I635,N635,P635,S635,V635))</f>
        <v/>
      </c>
      <c r="X635" s="18">
        <f>IF(W635="","",IF(Murid!F635="TL","TL",ROUND(W635/110*100,2)))</f>
        <v/>
      </c>
    </row>
    <row r="636">
      <c r="A636" s="15">
        <f>Murid!A636</f>
        <v/>
      </c>
      <c r="B636" s="15">
        <f>IF(Murid!B636="","",Murid!B636)</f>
        <v/>
      </c>
      <c r="C636" s="16">
        <f>IF(Murid!C636="","",Murid!C636)</f>
        <v/>
      </c>
      <c r="D636" s="15">
        <f>IF(Murid!E636="","",Murid!E636)</f>
        <v/>
      </c>
      <c r="E636" s="11" t="n"/>
      <c r="F636" s="11" t="n"/>
      <c r="G636" s="10">
        <f>IF(F636="","",IFERROR(VLOOKUP(F636,T_JUB,2,FALSE),0))</f>
        <v/>
      </c>
      <c r="H636" s="11" t="n"/>
      <c r="I636" s="17">
        <f>IF(H636="","",IF(H636&gt;=12,40,ROUND(H636*3.33,2)))</f>
        <v/>
      </c>
      <c r="J636" s="11" t="n"/>
      <c r="K636" s="11" t="n"/>
      <c r="L636" s="11" t="n"/>
      <c r="M636" s="11" t="n"/>
      <c r="N636" s="10">
        <f>IF(COUNTA(J636:M636)=0,"",MIN(10,SUMPRODUCT((COUNTIF(J636:M636,L_KOM)&gt;0)*S_KOM)))</f>
        <v/>
      </c>
      <c r="O636" s="11" t="n"/>
      <c r="P636" s="10">
        <f>IF(O636="","",IFERROR(VLOOKUP(O636,T_KHID,2,FALSE),0))</f>
        <v/>
      </c>
      <c r="Q636" s="11" t="n"/>
      <c r="R636" s="11" t="n"/>
      <c r="S636" s="10">
        <f>IF(AND(Q636="",R636=""),"",IFERROR(INDEX(T_LIBAT,MATCH(Q636,L_PER,0),MATCH(R636,L_JENIS,0)),0))</f>
        <v/>
      </c>
      <c r="T636" s="11" t="n"/>
      <c r="U636" s="11" t="n"/>
      <c r="V636" s="10">
        <f>IF(AND(T636="",U636=""),"",IFERROR(INDEX(T_CAPAI,MATCH(T636,L_PER,0),MATCH(U636,L_KED,0)),0))</f>
        <v/>
      </c>
      <c r="W636" s="17">
        <f>IF(OR(B636="",E636="",COUNTA(F636,H636,J636:M636,O636,Q636:R636,T636:U636)=0),"",SUM(G636,I636,N636,P636,S636,V636))</f>
        <v/>
      </c>
      <c r="X636" s="18">
        <f>IF(W636="","",IF(Murid!F636="TL","TL",ROUND(W636/110*100,2)))</f>
        <v/>
      </c>
    </row>
    <row r="637">
      <c r="A637" s="15">
        <f>Murid!A637</f>
        <v/>
      </c>
      <c r="B637" s="15">
        <f>IF(Murid!B637="","",Murid!B637)</f>
        <v/>
      </c>
      <c r="C637" s="16">
        <f>IF(Murid!C637="","",Murid!C637)</f>
        <v/>
      </c>
      <c r="D637" s="15">
        <f>IF(Murid!E637="","",Murid!E637)</f>
        <v/>
      </c>
      <c r="E637" s="11" t="n"/>
      <c r="F637" s="11" t="n"/>
      <c r="G637" s="10">
        <f>IF(F637="","",IFERROR(VLOOKUP(F637,T_JUB,2,FALSE),0))</f>
        <v/>
      </c>
      <c r="H637" s="11" t="n"/>
      <c r="I637" s="17">
        <f>IF(H637="","",IF(H637&gt;=12,40,ROUND(H637*3.33,2)))</f>
        <v/>
      </c>
      <c r="J637" s="11" t="n"/>
      <c r="K637" s="11" t="n"/>
      <c r="L637" s="11" t="n"/>
      <c r="M637" s="11" t="n"/>
      <c r="N637" s="10">
        <f>IF(COUNTA(J637:M637)=0,"",MIN(10,SUMPRODUCT((COUNTIF(J637:M637,L_KOM)&gt;0)*S_KOM)))</f>
        <v/>
      </c>
      <c r="O637" s="11" t="n"/>
      <c r="P637" s="10">
        <f>IF(O637="","",IFERROR(VLOOKUP(O637,T_KHID,2,FALSE),0))</f>
        <v/>
      </c>
      <c r="Q637" s="11" t="n"/>
      <c r="R637" s="11" t="n"/>
      <c r="S637" s="10">
        <f>IF(AND(Q637="",R637=""),"",IFERROR(INDEX(T_LIBAT,MATCH(Q637,L_PER,0),MATCH(R637,L_JENIS,0)),0))</f>
        <v/>
      </c>
      <c r="T637" s="11" t="n"/>
      <c r="U637" s="11" t="n"/>
      <c r="V637" s="10">
        <f>IF(AND(T637="",U637=""),"",IFERROR(INDEX(T_CAPAI,MATCH(T637,L_PER,0),MATCH(U637,L_KED,0)),0))</f>
        <v/>
      </c>
      <c r="W637" s="17">
        <f>IF(OR(B637="",E637="",COUNTA(F637,H637,J637:M637,O637,Q637:R637,T637:U637)=0),"",SUM(G637,I637,N637,P637,S637,V637))</f>
        <v/>
      </c>
      <c r="X637" s="18">
        <f>IF(W637="","",IF(Murid!F637="TL","TL",ROUND(W637/110*100,2)))</f>
        <v/>
      </c>
    </row>
    <row r="638">
      <c r="A638" s="15">
        <f>Murid!A638</f>
        <v/>
      </c>
      <c r="B638" s="15">
        <f>IF(Murid!B638="","",Murid!B638)</f>
        <v/>
      </c>
      <c r="C638" s="16">
        <f>IF(Murid!C638="","",Murid!C638)</f>
        <v/>
      </c>
      <c r="D638" s="15">
        <f>IF(Murid!E638="","",Murid!E638)</f>
        <v/>
      </c>
      <c r="E638" s="11" t="n"/>
      <c r="F638" s="11" t="n"/>
      <c r="G638" s="10">
        <f>IF(F638="","",IFERROR(VLOOKUP(F638,T_JUB,2,FALSE),0))</f>
        <v/>
      </c>
      <c r="H638" s="11" t="n"/>
      <c r="I638" s="17">
        <f>IF(H638="","",IF(H638&gt;=12,40,ROUND(H638*3.33,2)))</f>
        <v/>
      </c>
      <c r="J638" s="11" t="n"/>
      <c r="K638" s="11" t="n"/>
      <c r="L638" s="11" t="n"/>
      <c r="M638" s="11" t="n"/>
      <c r="N638" s="10">
        <f>IF(COUNTA(J638:M638)=0,"",MIN(10,SUMPRODUCT((COUNTIF(J638:M638,L_KOM)&gt;0)*S_KOM)))</f>
        <v/>
      </c>
      <c r="O638" s="11" t="n"/>
      <c r="P638" s="10">
        <f>IF(O638="","",IFERROR(VLOOKUP(O638,T_KHID,2,FALSE),0))</f>
        <v/>
      </c>
      <c r="Q638" s="11" t="n"/>
      <c r="R638" s="11" t="n"/>
      <c r="S638" s="10">
        <f>IF(AND(Q638="",R638=""),"",IFERROR(INDEX(T_LIBAT,MATCH(Q638,L_PER,0),MATCH(R638,L_JENIS,0)),0))</f>
        <v/>
      </c>
      <c r="T638" s="11" t="n"/>
      <c r="U638" s="11" t="n"/>
      <c r="V638" s="10">
        <f>IF(AND(T638="",U638=""),"",IFERROR(INDEX(T_CAPAI,MATCH(T638,L_PER,0),MATCH(U638,L_KED,0)),0))</f>
        <v/>
      </c>
      <c r="W638" s="17">
        <f>IF(OR(B638="",E638="",COUNTA(F638,H638,J638:M638,O638,Q638:R638,T638:U638)=0),"",SUM(G638,I638,N638,P638,S638,V638))</f>
        <v/>
      </c>
      <c r="X638" s="18">
        <f>IF(W638="","",IF(Murid!F638="TL","TL",ROUND(W638/110*100,2)))</f>
        <v/>
      </c>
    </row>
    <row r="639">
      <c r="A639" s="15">
        <f>Murid!A639</f>
        <v/>
      </c>
      <c r="B639" s="15">
        <f>IF(Murid!B639="","",Murid!B639)</f>
        <v/>
      </c>
      <c r="C639" s="16">
        <f>IF(Murid!C639="","",Murid!C639)</f>
        <v/>
      </c>
      <c r="D639" s="15">
        <f>IF(Murid!E639="","",Murid!E639)</f>
        <v/>
      </c>
      <c r="E639" s="11" t="n"/>
      <c r="F639" s="11" t="n"/>
      <c r="G639" s="10">
        <f>IF(F639="","",IFERROR(VLOOKUP(F639,T_JUB,2,FALSE),0))</f>
        <v/>
      </c>
      <c r="H639" s="11" t="n"/>
      <c r="I639" s="17">
        <f>IF(H639="","",IF(H639&gt;=12,40,ROUND(H639*3.33,2)))</f>
        <v/>
      </c>
      <c r="J639" s="11" t="n"/>
      <c r="K639" s="11" t="n"/>
      <c r="L639" s="11" t="n"/>
      <c r="M639" s="11" t="n"/>
      <c r="N639" s="10">
        <f>IF(COUNTA(J639:M639)=0,"",MIN(10,SUMPRODUCT((COUNTIF(J639:M639,L_KOM)&gt;0)*S_KOM)))</f>
        <v/>
      </c>
      <c r="O639" s="11" t="n"/>
      <c r="P639" s="10">
        <f>IF(O639="","",IFERROR(VLOOKUP(O639,T_KHID,2,FALSE),0))</f>
        <v/>
      </c>
      <c r="Q639" s="11" t="n"/>
      <c r="R639" s="11" t="n"/>
      <c r="S639" s="10">
        <f>IF(AND(Q639="",R639=""),"",IFERROR(INDEX(T_LIBAT,MATCH(Q639,L_PER,0),MATCH(R639,L_JENIS,0)),0))</f>
        <v/>
      </c>
      <c r="T639" s="11" t="n"/>
      <c r="U639" s="11" t="n"/>
      <c r="V639" s="10">
        <f>IF(AND(T639="",U639=""),"",IFERROR(INDEX(T_CAPAI,MATCH(T639,L_PER,0),MATCH(U639,L_KED,0)),0))</f>
        <v/>
      </c>
      <c r="W639" s="17">
        <f>IF(OR(B639="",E639="",COUNTA(F639,H639,J639:M639,O639,Q639:R639,T639:U639)=0),"",SUM(G639,I639,N639,P639,S639,V639))</f>
        <v/>
      </c>
      <c r="X639" s="18">
        <f>IF(W639="","",IF(Murid!F639="TL","TL",ROUND(W639/110*100,2)))</f>
        <v/>
      </c>
    </row>
    <row r="640">
      <c r="A640" s="15">
        <f>Murid!A640</f>
        <v/>
      </c>
      <c r="B640" s="15">
        <f>IF(Murid!B640="","",Murid!B640)</f>
        <v/>
      </c>
      <c r="C640" s="16">
        <f>IF(Murid!C640="","",Murid!C640)</f>
        <v/>
      </c>
      <c r="D640" s="15">
        <f>IF(Murid!E640="","",Murid!E640)</f>
        <v/>
      </c>
      <c r="E640" s="11" t="n"/>
      <c r="F640" s="11" t="n"/>
      <c r="G640" s="10">
        <f>IF(F640="","",IFERROR(VLOOKUP(F640,T_JUB,2,FALSE),0))</f>
        <v/>
      </c>
      <c r="H640" s="11" t="n"/>
      <c r="I640" s="17">
        <f>IF(H640="","",IF(H640&gt;=12,40,ROUND(H640*3.33,2)))</f>
        <v/>
      </c>
      <c r="J640" s="11" t="n"/>
      <c r="K640" s="11" t="n"/>
      <c r="L640" s="11" t="n"/>
      <c r="M640" s="11" t="n"/>
      <c r="N640" s="10">
        <f>IF(COUNTA(J640:M640)=0,"",MIN(10,SUMPRODUCT((COUNTIF(J640:M640,L_KOM)&gt;0)*S_KOM)))</f>
        <v/>
      </c>
      <c r="O640" s="11" t="n"/>
      <c r="P640" s="10">
        <f>IF(O640="","",IFERROR(VLOOKUP(O640,T_KHID,2,FALSE),0))</f>
        <v/>
      </c>
      <c r="Q640" s="11" t="n"/>
      <c r="R640" s="11" t="n"/>
      <c r="S640" s="10">
        <f>IF(AND(Q640="",R640=""),"",IFERROR(INDEX(T_LIBAT,MATCH(Q640,L_PER,0),MATCH(R640,L_JENIS,0)),0))</f>
        <v/>
      </c>
      <c r="T640" s="11" t="n"/>
      <c r="U640" s="11" t="n"/>
      <c r="V640" s="10">
        <f>IF(AND(T640="",U640=""),"",IFERROR(INDEX(T_CAPAI,MATCH(T640,L_PER,0),MATCH(U640,L_KED,0)),0))</f>
        <v/>
      </c>
      <c r="W640" s="17">
        <f>IF(OR(B640="",E640="",COUNTA(F640,H640,J640:M640,O640,Q640:R640,T640:U640)=0),"",SUM(G640,I640,N640,P640,S640,V640))</f>
        <v/>
      </c>
      <c r="X640" s="18">
        <f>IF(W640="","",IF(Murid!F640="TL","TL",ROUND(W640/110*100,2)))</f>
        <v/>
      </c>
    </row>
    <row r="641">
      <c r="A641" s="15">
        <f>Murid!A641</f>
        <v/>
      </c>
      <c r="B641" s="15">
        <f>IF(Murid!B641="","",Murid!B641)</f>
        <v/>
      </c>
      <c r="C641" s="16">
        <f>IF(Murid!C641="","",Murid!C641)</f>
        <v/>
      </c>
      <c r="D641" s="15">
        <f>IF(Murid!E641="","",Murid!E641)</f>
        <v/>
      </c>
      <c r="E641" s="11" t="n"/>
      <c r="F641" s="11" t="n"/>
      <c r="G641" s="10">
        <f>IF(F641="","",IFERROR(VLOOKUP(F641,T_JUB,2,FALSE),0))</f>
        <v/>
      </c>
      <c r="H641" s="11" t="n"/>
      <c r="I641" s="17">
        <f>IF(H641="","",IF(H641&gt;=12,40,ROUND(H641*3.33,2)))</f>
        <v/>
      </c>
      <c r="J641" s="11" t="n"/>
      <c r="K641" s="11" t="n"/>
      <c r="L641" s="11" t="n"/>
      <c r="M641" s="11" t="n"/>
      <c r="N641" s="10">
        <f>IF(COUNTA(J641:M641)=0,"",MIN(10,SUMPRODUCT((COUNTIF(J641:M641,L_KOM)&gt;0)*S_KOM)))</f>
        <v/>
      </c>
      <c r="O641" s="11" t="n"/>
      <c r="P641" s="10">
        <f>IF(O641="","",IFERROR(VLOOKUP(O641,T_KHID,2,FALSE),0))</f>
        <v/>
      </c>
      <c r="Q641" s="11" t="n"/>
      <c r="R641" s="11" t="n"/>
      <c r="S641" s="10">
        <f>IF(AND(Q641="",R641=""),"",IFERROR(INDEX(T_LIBAT,MATCH(Q641,L_PER,0),MATCH(R641,L_JENIS,0)),0))</f>
        <v/>
      </c>
      <c r="T641" s="11" t="n"/>
      <c r="U641" s="11" t="n"/>
      <c r="V641" s="10">
        <f>IF(AND(T641="",U641=""),"",IFERROR(INDEX(T_CAPAI,MATCH(T641,L_PER,0),MATCH(U641,L_KED,0)),0))</f>
        <v/>
      </c>
      <c r="W641" s="17">
        <f>IF(OR(B641="",E641="",COUNTA(F641,H641,J641:M641,O641,Q641:R641,T641:U641)=0),"",SUM(G641,I641,N641,P641,S641,V641))</f>
        <v/>
      </c>
      <c r="X641" s="18">
        <f>IF(W641="","",IF(Murid!F641="TL","TL",ROUND(W641/110*100,2)))</f>
        <v/>
      </c>
    </row>
    <row r="642">
      <c r="A642" s="15">
        <f>Murid!A642</f>
        <v/>
      </c>
      <c r="B642" s="15">
        <f>IF(Murid!B642="","",Murid!B642)</f>
        <v/>
      </c>
      <c r="C642" s="16">
        <f>IF(Murid!C642="","",Murid!C642)</f>
        <v/>
      </c>
      <c r="D642" s="15">
        <f>IF(Murid!E642="","",Murid!E642)</f>
        <v/>
      </c>
      <c r="E642" s="11" t="n"/>
      <c r="F642" s="11" t="n"/>
      <c r="G642" s="10">
        <f>IF(F642="","",IFERROR(VLOOKUP(F642,T_JUB,2,FALSE),0))</f>
        <v/>
      </c>
      <c r="H642" s="11" t="n"/>
      <c r="I642" s="17">
        <f>IF(H642="","",IF(H642&gt;=12,40,ROUND(H642*3.33,2)))</f>
        <v/>
      </c>
      <c r="J642" s="11" t="n"/>
      <c r="K642" s="11" t="n"/>
      <c r="L642" s="11" t="n"/>
      <c r="M642" s="11" t="n"/>
      <c r="N642" s="10">
        <f>IF(COUNTA(J642:M642)=0,"",MIN(10,SUMPRODUCT((COUNTIF(J642:M642,L_KOM)&gt;0)*S_KOM)))</f>
        <v/>
      </c>
      <c r="O642" s="11" t="n"/>
      <c r="P642" s="10">
        <f>IF(O642="","",IFERROR(VLOOKUP(O642,T_KHID,2,FALSE),0))</f>
        <v/>
      </c>
      <c r="Q642" s="11" t="n"/>
      <c r="R642" s="11" t="n"/>
      <c r="S642" s="10">
        <f>IF(AND(Q642="",R642=""),"",IFERROR(INDEX(T_LIBAT,MATCH(Q642,L_PER,0),MATCH(R642,L_JENIS,0)),0))</f>
        <v/>
      </c>
      <c r="T642" s="11" t="n"/>
      <c r="U642" s="11" t="n"/>
      <c r="V642" s="10">
        <f>IF(AND(T642="",U642=""),"",IFERROR(INDEX(T_CAPAI,MATCH(T642,L_PER,0),MATCH(U642,L_KED,0)),0))</f>
        <v/>
      </c>
      <c r="W642" s="17">
        <f>IF(OR(B642="",E642="",COUNTA(F642,H642,J642:M642,O642,Q642:R642,T642:U642)=0),"",SUM(G642,I642,N642,P642,S642,V642))</f>
        <v/>
      </c>
      <c r="X642" s="18">
        <f>IF(W642="","",IF(Murid!F642="TL","TL",ROUND(W642/110*100,2)))</f>
        <v/>
      </c>
    </row>
    <row r="643">
      <c r="A643" s="15">
        <f>Murid!A643</f>
        <v/>
      </c>
      <c r="B643" s="15">
        <f>IF(Murid!B643="","",Murid!B643)</f>
        <v/>
      </c>
      <c r="C643" s="16">
        <f>IF(Murid!C643="","",Murid!C643)</f>
        <v/>
      </c>
      <c r="D643" s="15">
        <f>IF(Murid!E643="","",Murid!E643)</f>
        <v/>
      </c>
      <c r="E643" s="11" t="n"/>
      <c r="F643" s="11" t="n"/>
      <c r="G643" s="10">
        <f>IF(F643="","",IFERROR(VLOOKUP(F643,T_JUB,2,FALSE),0))</f>
        <v/>
      </c>
      <c r="H643" s="11" t="n"/>
      <c r="I643" s="17">
        <f>IF(H643="","",IF(H643&gt;=12,40,ROUND(H643*3.33,2)))</f>
        <v/>
      </c>
      <c r="J643" s="11" t="n"/>
      <c r="K643" s="11" t="n"/>
      <c r="L643" s="11" t="n"/>
      <c r="M643" s="11" t="n"/>
      <c r="N643" s="10">
        <f>IF(COUNTA(J643:M643)=0,"",MIN(10,SUMPRODUCT((COUNTIF(J643:M643,L_KOM)&gt;0)*S_KOM)))</f>
        <v/>
      </c>
      <c r="O643" s="11" t="n"/>
      <c r="P643" s="10">
        <f>IF(O643="","",IFERROR(VLOOKUP(O643,T_KHID,2,FALSE),0))</f>
        <v/>
      </c>
      <c r="Q643" s="11" t="n"/>
      <c r="R643" s="11" t="n"/>
      <c r="S643" s="10">
        <f>IF(AND(Q643="",R643=""),"",IFERROR(INDEX(T_LIBAT,MATCH(Q643,L_PER,0),MATCH(R643,L_JENIS,0)),0))</f>
        <v/>
      </c>
      <c r="T643" s="11" t="n"/>
      <c r="U643" s="11" t="n"/>
      <c r="V643" s="10">
        <f>IF(AND(T643="",U643=""),"",IFERROR(INDEX(T_CAPAI,MATCH(T643,L_PER,0),MATCH(U643,L_KED,0)),0))</f>
        <v/>
      </c>
      <c r="W643" s="17">
        <f>IF(OR(B643="",E643="",COUNTA(F643,H643,J643:M643,O643,Q643:R643,T643:U643)=0),"",SUM(G643,I643,N643,P643,S643,V643))</f>
        <v/>
      </c>
      <c r="X643" s="18">
        <f>IF(W643="","",IF(Murid!F643="TL","TL",ROUND(W643/110*100,2)))</f>
        <v/>
      </c>
    </row>
    <row r="644">
      <c r="A644" s="15">
        <f>Murid!A644</f>
        <v/>
      </c>
      <c r="B644" s="15">
        <f>IF(Murid!B644="","",Murid!B644)</f>
        <v/>
      </c>
      <c r="C644" s="16">
        <f>IF(Murid!C644="","",Murid!C644)</f>
        <v/>
      </c>
      <c r="D644" s="15">
        <f>IF(Murid!E644="","",Murid!E644)</f>
        <v/>
      </c>
      <c r="E644" s="11" t="n"/>
      <c r="F644" s="11" t="n"/>
      <c r="G644" s="10">
        <f>IF(F644="","",IFERROR(VLOOKUP(F644,T_JUB,2,FALSE),0))</f>
        <v/>
      </c>
      <c r="H644" s="11" t="n"/>
      <c r="I644" s="17">
        <f>IF(H644="","",IF(H644&gt;=12,40,ROUND(H644*3.33,2)))</f>
        <v/>
      </c>
      <c r="J644" s="11" t="n"/>
      <c r="K644" s="11" t="n"/>
      <c r="L644" s="11" t="n"/>
      <c r="M644" s="11" t="n"/>
      <c r="N644" s="10">
        <f>IF(COUNTA(J644:M644)=0,"",MIN(10,SUMPRODUCT((COUNTIF(J644:M644,L_KOM)&gt;0)*S_KOM)))</f>
        <v/>
      </c>
      <c r="O644" s="11" t="n"/>
      <c r="P644" s="10">
        <f>IF(O644="","",IFERROR(VLOOKUP(O644,T_KHID,2,FALSE),0))</f>
        <v/>
      </c>
      <c r="Q644" s="11" t="n"/>
      <c r="R644" s="11" t="n"/>
      <c r="S644" s="10">
        <f>IF(AND(Q644="",R644=""),"",IFERROR(INDEX(T_LIBAT,MATCH(Q644,L_PER,0),MATCH(R644,L_JENIS,0)),0))</f>
        <v/>
      </c>
      <c r="T644" s="11" t="n"/>
      <c r="U644" s="11" t="n"/>
      <c r="V644" s="10">
        <f>IF(AND(T644="",U644=""),"",IFERROR(INDEX(T_CAPAI,MATCH(T644,L_PER,0),MATCH(U644,L_KED,0)),0))</f>
        <v/>
      </c>
      <c r="W644" s="17">
        <f>IF(OR(B644="",E644="",COUNTA(F644,H644,J644:M644,O644,Q644:R644,T644:U644)=0),"",SUM(G644,I644,N644,P644,S644,V644))</f>
        <v/>
      </c>
      <c r="X644" s="18">
        <f>IF(W644="","",IF(Murid!F644="TL","TL",ROUND(W644/110*100,2)))</f>
        <v/>
      </c>
    </row>
    <row r="645">
      <c r="A645" s="15">
        <f>Murid!A645</f>
        <v/>
      </c>
      <c r="B645" s="15">
        <f>IF(Murid!B645="","",Murid!B645)</f>
        <v/>
      </c>
      <c r="C645" s="16">
        <f>IF(Murid!C645="","",Murid!C645)</f>
        <v/>
      </c>
      <c r="D645" s="15">
        <f>IF(Murid!E645="","",Murid!E645)</f>
        <v/>
      </c>
      <c r="E645" s="11" t="n"/>
      <c r="F645" s="11" t="n"/>
      <c r="G645" s="10">
        <f>IF(F645="","",IFERROR(VLOOKUP(F645,T_JUB,2,FALSE),0))</f>
        <v/>
      </c>
      <c r="H645" s="11" t="n"/>
      <c r="I645" s="17">
        <f>IF(H645="","",IF(H645&gt;=12,40,ROUND(H645*3.33,2)))</f>
        <v/>
      </c>
      <c r="J645" s="11" t="n"/>
      <c r="K645" s="11" t="n"/>
      <c r="L645" s="11" t="n"/>
      <c r="M645" s="11" t="n"/>
      <c r="N645" s="10">
        <f>IF(COUNTA(J645:M645)=0,"",MIN(10,SUMPRODUCT((COUNTIF(J645:M645,L_KOM)&gt;0)*S_KOM)))</f>
        <v/>
      </c>
      <c r="O645" s="11" t="n"/>
      <c r="P645" s="10">
        <f>IF(O645="","",IFERROR(VLOOKUP(O645,T_KHID,2,FALSE),0))</f>
        <v/>
      </c>
      <c r="Q645" s="11" t="n"/>
      <c r="R645" s="11" t="n"/>
      <c r="S645" s="10">
        <f>IF(AND(Q645="",R645=""),"",IFERROR(INDEX(T_LIBAT,MATCH(Q645,L_PER,0),MATCH(R645,L_JENIS,0)),0))</f>
        <v/>
      </c>
      <c r="T645" s="11" t="n"/>
      <c r="U645" s="11" t="n"/>
      <c r="V645" s="10">
        <f>IF(AND(T645="",U645=""),"",IFERROR(INDEX(T_CAPAI,MATCH(T645,L_PER,0),MATCH(U645,L_KED,0)),0))</f>
        <v/>
      </c>
      <c r="W645" s="17">
        <f>IF(OR(B645="",E645="",COUNTA(F645,H645,J645:M645,O645,Q645:R645,T645:U645)=0),"",SUM(G645,I645,N645,P645,S645,V645))</f>
        <v/>
      </c>
      <c r="X645" s="18">
        <f>IF(W645="","",IF(Murid!F645="TL","TL",ROUND(W645/110*100,2)))</f>
        <v/>
      </c>
    </row>
    <row r="646">
      <c r="A646" s="15">
        <f>Murid!A646</f>
        <v/>
      </c>
      <c r="B646" s="15">
        <f>IF(Murid!B646="","",Murid!B646)</f>
        <v/>
      </c>
      <c r="C646" s="16">
        <f>IF(Murid!C646="","",Murid!C646)</f>
        <v/>
      </c>
      <c r="D646" s="15">
        <f>IF(Murid!E646="","",Murid!E646)</f>
        <v/>
      </c>
      <c r="E646" s="11" t="n"/>
      <c r="F646" s="11" t="n"/>
      <c r="G646" s="10">
        <f>IF(F646="","",IFERROR(VLOOKUP(F646,T_JUB,2,FALSE),0))</f>
        <v/>
      </c>
      <c r="H646" s="11" t="n"/>
      <c r="I646" s="17">
        <f>IF(H646="","",IF(H646&gt;=12,40,ROUND(H646*3.33,2)))</f>
        <v/>
      </c>
      <c r="J646" s="11" t="n"/>
      <c r="K646" s="11" t="n"/>
      <c r="L646" s="11" t="n"/>
      <c r="M646" s="11" t="n"/>
      <c r="N646" s="10">
        <f>IF(COUNTA(J646:M646)=0,"",MIN(10,SUMPRODUCT((COUNTIF(J646:M646,L_KOM)&gt;0)*S_KOM)))</f>
        <v/>
      </c>
      <c r="O646" s="11" t="n"/>
      <c r="P646" s="10">
        <f>IF(O646="","",IFERROR(VLOOKUP(O646,T_KHID,2,FALSE),0))</f>
        <v/>
      </c>
      <c r="Q646" s="11" t="n"/>
      <c r="R646" s="11" t="n"/>
      <c r="S646" s="10">
        <f>IF(AND(Q646="",R646=""),"",IFERROR(INDEX(T_LIBAT,MATCH(Q646,L_PER,0),MATCH(R646,L_JENIS,0)),0))</f>
        <v/>
      </c>
      <c r="T646" s="11" t="n"/>
      <c r="U646" s="11" t="n"/>
      <c r="V646" s="10">
        <f>IF(AND(T646="",U646=""),"",IFERROR(INDEX(T_CAPAI,MATCH(T646,L_PER,0),MATCH(U646,L_KED,0)),0))</f>
        <v/>
      </c>
      <c r="W646" s="17">
        <f>IF(OR(B646="",E646="",COUNTA(F646,H646,J646:M646,O646,Q646:R646,T646:U646)=0),"",SUM(G646,I646,N646,P646,S646,V646))</f>
        <v/>
      </c>
      <c r="X646" s="18">
        <f>IF(W646="","",IF(Murid!F646="TL","TL",ROUND(W646/110*100,2)))</f>
        <v/>
      </c>
    </row>
    <row r="647">
      <c r="A647" s="15">
        <f>Murid!A647</f>
        <v/>
      </c>
      <c r="B647" s="15">
        <f>IF(Murid!B647="","",Murid!B647)</f>
        <v/>
      </c>
      <c r="C647" s="16">
        <f>IF(Murid!C647="","",Murid!C647)</f>
        <v/>
      </c>
      <c r="D647" s="15">
        <f>IF(Murid!E647="","",Murid!E647)</f>
        <v/>
      </c>
      <c r="E647" s="11" t="n"/>
      <c r="F647" s="11" t="n"/>
      <c r="G647" s="10">
        <f>IF(F647="","",IFERROR(VLOOKUP(F647,T_JUB,2,FALSE),0))</f>
        <v/>
      </c>
      <c r="H647" s="11" t="n"/>
      <c r="I647" s="17">
        <f>IF(H647="","",IF(H647&gt;=12,40,ROUND(H647*3.33,2)))</f>
        <v/>
      </c>
      <c r="J647" s="11" t="n"/>
      <c r="K647" s="11" t="n"/>
      <c r="L647" s="11" t="n"/>
      <c r="M647" s="11" t="n"/>
      <c r="N647" s="10">
        <f>IF(COUNTA(J647:M647)=0,"",MIN(10,SUMPRODUCT((COUNTIF(J647:M647,L_KOM)&gt;0)*S_KOM)))</f>
        <v/>
      </c>
      <c r="O647" s="11" t="n"/>
      <c r="P647" s="10">
        <f>IF(O647="","",IFERROR(VLOOKUP(O647,T_KHID,2,FALSE),0))</f>
        <v/>
      </c>
      <c r="Q647" s="11" t="n"/>
      <c r="R647" s="11" t="n"/>
      <c r="S647" s="10">
        <f>IF(AND(Q647="",R647=""),"",IFERROR(INDEX(T_LIBAT,MATCH(Q647,L_PER,0),MATCH(R647,L_JENIS,0)),0))</f>
        <v/>
      </c>
      <c r="T647" s="11" t="n"/>
      <c r="U647" s="11" t="n"/>
      <c r="V647" s="10">
        <f>IF(AND(T647="",U647=""),"",IFERROR(INDEX(T_CAPAI,MATCH(T647,L_PER,0),MATCH(U647,L_KED,0)),0))</f>
        <v/>
      </c>
      <c r="W647" s="17">
        <f>IF(OR(B647="",E647="",COUNTA(F647,H647,J647:M647,O647,Q647:R647,T647:U647)=0),"",SUM(G647,I647,N647,P647,S647,V647))</f>
        <v/>
      </c>
      <c r="X647" s="18">
        <f>IF(W647="","",IF(Murid!F647="TL","TL",ROUND(W647/110*100,2)))</f>
        <v/>
      </c>
    </row>
    <row r="648">
      <c r="A648" s="15">
        <f>Murid!A648</f>
        <v/>
      </c>
      <c r="B648" s="15">
        <f>IF(Murid!B648="","",Murid!B648)</f>
        <v/>
      </c>
      <c r="C648" s="16">
        <f>IF(Murid!C648="","",Murid!C648)</f>
        <v/>
      </c>
      <c r="D648" s="15">
        <f>IF(Murid!E648="","",Murid!E648)</f>
        <v/>
      </c>
      <c r="E648" s="11" t="n"/>
      <c r="F648" s="11" t="n"/>
      <c r="G648" s="10">
        <f>IF(F648="","",IFERROR(VLOOKUP(F648,T_JUB,2,FALSE),0))</f>
        <v/>
      </c>
      <c r="H648" s="11" t="n"/>
      <c r="I648" s="17">
        <f>IF(H648="","",IF(H648&gt;=12,40,ROUND(H648*3.33,2)))</f>
        <v/>
      </c>
      <c r="J648" s="11" t="n"/>
      <c r="K648" s="11" t="n"/>
      <c r="L648" s="11" t="n"/>
      <c r="M648" s="11" t="n"/>
      <c r="N648" s="10">
        <f>IF(COUNTA(J648:M648)=0,"",MIN(10,SUMPRODUCT((COUNTIF(J648:M648,L_KOM)&gt;0)*S_KOM)))</f>
        <v/>
      </c>
      <c r="O648" s="11" t="n"/>
      <c r="P648" s="10">
        <f>IF(O648="","",IFERROR(VLOOKUP(O648,T_KHID,2,FALSE),0))</f>
        <v/>
      </c>
      <c r="Q648" s="11" t="n"/>
      <c r="R648" s="11" t="n"/>
      <c r="S648" s="10">
        <f>IF(AND(Q648="",R648=""),"",IFERROR(INDEX(T_LIBAT,MATCH(Q648,L_PER,0),MATCH(R648,L_JENIS,0)),0))</f>
        <v/>
      </c>
      <c r="T648" s="11" t="n"/>
      <c r="U648" s="11" t="n"/>
      <c r="V648" s="10">
        <f>IF(AND(T648="",U648=""),"",IFERROR(INDEX(T_CAPAI,MATCH(T648,L_PER,0),MATCH(U648,L_KED,0)),0))</f>
        <v/>
      </c>
      <c r="W648" s="17">
        <f>IF(OR(B648="",E648="",COUNTA(F648,H648,J648:M648,O648,Q648:R648,T648:U648)=0),"",SUM(G648,I648,N648,P648,S648,V648))</f>
        <v/>
      </c>
      <c r="X648" s="18">
        <f>IF(W648="","",IF(Murid!F648="TL","TL",ROUND(W648/110*100,2)))</f>
        <v/>
      </c>
    </row>
    <row r="649">
      <c r="A649" s="15">
        <f>Murid!A649</f>
        <v/>
      </c>
      <c r="B649" s="15">
        <f>IF(Murid!B649="","",Murid!B649)</f>
        <v/>
      </c>
      <c r="C649" s="16">
        <f>IF(Murid!C649="","",Murid!C649)</f>
        <v/>
      </c>
      <c r="D649" s="15">
        <f>IF(Murid!E649="","",Murid!E649)</f>
        <v/>
      </c>
      <c r="E649" s="11" t="n"/>
      <c r="F649" s="11" t="n"/>
      <c r="G649" s="10">
        <f>IF(F649="","",IFERROR(VLOOKUP(F649,T_JUB,2,FALSE),0))</f>
        <v/>
      </c>
      <c r="H649" s="11" t="n"/>
      <c r="I649" s="17">
        <f>IF(H649="","",IF(H649&gt;=12,40,ROUND(H649*3.33,2)))</f>
        <v/>
      </c>
      <c r="J649" s="11" t="n"/>
      <c r="K649" s="11" t="n"/>
      <c r="L649" s="11" t="n"/>
      <c r="M649" s="11" t="n"/>
      <c r="N649" s="10">
        <f>IF(COUNTA(J649:M649)=0,"",MIN(10,SUMPRODUCT((COUNTIF(J649:M649,L_KOM)&gt;0)*S_KOM)))</f>
        <v/>
      </c>
      <c r="O649" s="11" t="n"/>
      <c r="P649" s="10">
        <f>IF(O649="","",IFERROR(VLOOKUP(O649,T_KHID,2,FALSE),0))</f>
        <v/>
      </c>
      <c r="Q649" s="11" t="n"/>
      <c r="R649" s="11" t="n"/>
      <c r="S649" s="10">
        <f>IF(AND(Q649="",R649=""),"",IFERROR(INDEX(T_LIBAT,MATCH(Q649,L_PER,0),MATCH(R649,L_JENIS,0)),0))</f>
        <v/>
      </c>
      <c r="T649" s="11" t="n"/>
      <c r="U649" s="11" t="n"/>
      <c r="V649" s="10">
        <f>IF(AND(T649="",U649=""),"",IFERROR(INDEX(T_CAPAI,MATCH(T649,L_PER,0),MATCH(U649,L_KED,0)),0))</f>
        <v/>
      </c>
      <c r="W649" s="17">
        <f>IF(OR(B649="",E649="",COUNTA(F649,H649,J649:M649,O649,Q649:R649,T649:U649)=0),"",SUM(G649,I649,N649,P649,S649,V649))</f>
        <v/>
      </c>
      <c r="X649" s="18">
        <f>IF(W649="","",IF(Murid!F649="TL","TL",ROUND(W649/110*100,2)))</f>
        <v/>
      </c>
    </row>
    <row r="650">
      <c r="A650" s="15">
        <f>Murid!A650</f>
        <v/>
      </c>
      <c r="B650" s="15">
        <f>IF(Murid!B650="","",Murid!B650)</f>
        <v/>
      </c>
      <c r="C650" s="16">
        <f>IF(Murid!C650="","",Murid!C650)</f>
        <v/>
      </c>
      <c r="D650" s="15">
        <f>IF(Murid!E650="","",Murid!E650)</f>
        <v/>
      </c>
      <c r="E650" s="11" t="n"/>
      <c r="F650" s="11" t="n"/>
      <c r="G650" s="10">
        <f>IF(F650="","",IFERROR(VLOOKUP(F650,T_JUB,2,FALSE),0))</f>
        <v/>
      </c>
      <c r="H650" s="11" t="n"/>
      <c r="I650" s="17">
        <f>IF(H650="","",IF(H650&gt;=12,40,ROUND(H650*3.33,2)))</f>
        <v/>
      </c>
      <c r="J650" s="11" t="n"/>
      <c r="K650" s="11" t="n"/>
      <c r="L650" s="11" t="n"/>
      <c r="M650" s="11" t="n"/>
      <c r="N650" s="10">
        <f>IF(COUNTA(J650:M650)=0,"",MIN(10,SUMPRODUCT((COUNTIF(J650:M650,L_KOM)&gt;0)*S_KOM)))</f>
        <v/>
      </c>
      <c r="O650" s="11" t="n"/>
      <c r="P650" s="10">
        <f>IF(O650="","",IFERROR(VLOOKUP(O650,T_KHID,2,FALSE),0))</f>
        <v/>
      </c>
      <c r="Q650" s="11" t="n"/>
      <c r="R650" s="11" t="n"/>
      <c r="S650" s="10">
        <f>IF(AND(Q650="",R650=""),"",IFERROR(INDEX(T_LIBAT,MATCH(Q650,L_PER,0),MATCH(R650,L_JENIS,0)),0))</f>
        <v/>
      </c>
      <c r="T650" s="11" t="n"/>
      <c r="U650" s="11" t="n"/>
      <c r="V650" s="10">
        <f>IF(AND(T650="",U650=""),"",IFERROR(INDEX(T_CAPAI,MATCH(T650,L_PER,0),MATCH(U650,L_KED,0)),0))</f>
        <v/>
      </c>
      <c r="W650" s="17">
        <f>IF(OR(B650="",E650="",COUNTA(F650,H650,J650:M650,O650,Q650:R650,T650:U650)=0),"",SUM(G650,I650,N650,P650,S650,V650))</f>
        <v/>
      </c>
      <c r="X650" s="18">
        <f>IF(W650="","",IF(Murid!F650="TL","TL",ROUND(W650/110*100,2)))</f>
        <v/>
      </c>
    </row>
    <row r="651">
      <c r="A651" s="15">
        <f>Murid!A651</f>
        <v/>
      </c>
      <c r="B651" s="15">
        <f>IF(Murid!B651="","",Murid!B651)</f>
        <v/>
      </c>
      <c r="C651" s="16">
        <f>IF(Murid!C651="","",Murid!C651)</f>
        <v/>
      </c>
      <c r="D651" s="15">
        <f>IF(Murid!E651="","",Murid!E651)</f>
        <v/>
      </c>
      <c r="E651" s="11" t="n"/>
      <c r="F651" s="11" t="n"/>
      <c r="G651" s="10">
        <f>IF(F651="","",IFERROR(VLOOKUP(F651,T_JUB,2,FALSE),0))</f>
        <v/>
      </c>
      <c r="H651" s="11" t="n"/>
      <c r="I651" s="17">
        <f>IF(H651="","",IF(H651&gt;=12,40,ROUND(H651*3.33,2)))</f>
        <v/>
      </c>
      <c r="J651" s="11" t="n"/>
      <c r="K651" s="11" t="n"/>
      <c r="L651" s="11" t="n"/>
      <c r="M651" s="11" t="n"/>
      <c r="N651" s="10">
        <f>IF(COUNTA(J651:M651)=0,"",MIN(10,SUMPRODUCT((COUNTIF(J651:M651,L_KOM)&gt;0)*S_KOM)))</f>
        <v/>
      </c>
      <c r="O651" s="11" t="n"/>
      <c r="P651" s="10">
        <f>IF(O651="","",IFERROR(VLOOKUP(O651,T_KHID,2,FALSE),0))</f>
        <v/>
      </c>
      <c r="Q651" s="11" t="n"/>
      <c r="R651" s="11" t="n"/>
      <c r="S651" s="10">
        <f>IF(AND(Q651="",R651=""),"",IFERROR(INDEX(T_LIBAT,MATCH(Q651,L_PER,0),MATCH(R651,L_JENIS,0)),0))</f>
        <v/>
      </c>
      <c r="T651" s="11" t="n"/>
      <c r="U651" s="11" t="n"/>
      <c r="V651" s="10">
        <f>IF(AND(T651="",U651=""),"",IFERROR(INDEX(T_CAPAI,MATCH(T651,L_PER,0),MATCH(U651,L_KED,0)),0))</f>
        <v/>
      </c>
      <c r="W651" s="17">
        <f>IF(OR(B651="",E651="",COUNTA(F651,H651,J651:M651,O651,Q651:R651,T651:U651)=0),"",SUM(G651,I651,N651,P651,S651,V651))</f>
        <v/>
      </c>
      <c r="X651" s="18">
        <f>IF(W651="","",IF(Murid!F651="TL","TL",ROUND(W651/110*100,2)))</f>
        <v/>
      </c>
    </row>
    <row r="652">
      <c r="A652" s="15">
        <f>Murid!A652</f>
        <v/>
      </c>
      <c r="B652" s="15">
        <f>IF(Murid!B652="","",Murid!B652)</f>
        <v/>
      </c>
      <c r="C652" s="16">
        <f>IF(Murid!C652="","",Murid!C652)</f>
        <v/>
      </c>
      <c r="D652" s="15">
        <f>IF(Murid!E652="","",Murid!E652)</f>
        <v/>
      </c>
      <c r="E652" s="11" t="n"/>
      <c r="F652" s="11" t="n"/>
      <c r="G652" s="10">
        <f>IF(F652="","",IFERROR(VLOOKUP(F652,T_JUB,2,FALSE),0))</f>
        <v/>
      </c>
      <c r="H652" s="11" t="n"/>
      <c r="I652" s="17">
        <f>IF(H652="","",IF(H652&gt;=12,40,ROUND(H652*3.33,2)))</f>
        <v/>
      </c>
      <c r="J652" s="11" t="n"/>
      <c r="K652" s="11" t="n"/>
      <c r="L652" s="11" t="n"/>
      <c r="M652" s="11" t="n"/>
      <c r="N652" s="10">
        <f>IF(COUNTA(J652:M652)=0,"",MIN(10,SUMPRODUCT((COUNTIF(J652:M652,L_KOM)&gt;0)*S_KOM)))</f>
        <v/>
      </c>
      <c r="O652" s="11" t="n"/>
      <c r="P652" s="10">
        <f>IF(O652="","",IFERROR(VLOOKUP(O652,T_KHID,2,FALSE),0))</f>
        <v/>
      </c>
      <c r="Q652" s="11" t="n"/>
      <c r="R652" s="11" t="n"/>
      <c r="S652" s="10">
        <f>IF(AND(Q652="",R652=""),"",IFERROR(INDEX(T_LIBAT,MATCH(Q652,L_PER,0),MATCH(R652,L_JENIS,0)),0))</f>
        <v/>
      </c>
      <c r="T652" s="11" t="n"/>
      <c r="U652" s="11" t="n"/>
      <c r="V652" s="10">
        <f>IF(AND(T652="",U652=""),"",IFERROR(INDEX(T_CAPAI,MATCH(T652,L_PER,0),MATCH(U652,L_KED,0)),0))</f>
        <v/>
      </c>
      <c r="W652" s="17">
        <f>IF(OR(B652="",E652="",COUNTA(F652,H652,J652:M652,O652,Q652:R652,T652:U652)=0),"",SUM(G652,I652,N652,P652,S652,V652))</f>
        <v/>
      </c>
      <c r="X652" s="18">
        <f>IF(W652="","",IF(Murid!F652="TL","TL",ROUND(W652/110*100,2)))</f>
        <v/>
      </c>
    </row>
    <row r="653">
      <c r="A653" s="15">
        <f>Murid!A653</f>
        <v/>
      </c>
      <c r="B653" s="15">
        <f>IF(Murid!B653="","",Murid!B653)</f>
        <v/>
      </c>
      <c r="C653" s="16">
        <f>IF(Murid!C653="","",Murid!C653)</f>
        <v/>
      </c>
      <c r="D653" s="15">
        <f>IF(Murid!E653="","",Murid!E653)</f>
        <v/>
      </c>
      <c r="E653" s="11" t="n"/>
      <c r="F653" s="11" t="n"/>
      <c r="G653" s="10">
        <f>IF(F653="","",IFERROR(VLOOKUP(F653,T_JUB,2,FALSE),0))</f>
        <v/>
      </c>
      <c r="H653" s="11" t="n"/>
      <c r="I653" s="17">
        <f>IF(H653="","",IF(H653&gt;=12,40,ROUND(H653*3.33,2)))</f>
        <v/>
      </c>
      <c r="J653" s="11" t="n"/>
      <c r="K653" s="11" t="n"/>
      <c r="L653" s="11" t="n"/>
      <c r="M653" s="11" t="n"/>
      <c r="N653" s="10">
        <f>IF(COUNTA(J653:M653)=0,"",MIN(10,SUMPRODUCT((COUNTIF(J653:M653,L_KOM)&gt;0)*S_KOM)))</f>
        <v/>
      </c>
      <c r="O653" s="11" t="n"/>
      <c r="P653" s="10">
        <f>IF(O653="","",IFERROR(VLOOKUP(O653,T_KHID,2,FALSE),0))</f>
        <v/>
      </c>
      <c r="Q653" s="11" t="n"/>
      <c r="R653" s="11" t="n"/>
      <c r="S653" s="10">
        <f>IF(AND(Q653="",R653=""),"",IFERROR(INDEX(T_LIBAT,MATCH(Q653,L_PER,0),MATCH(R653,L_JENIS,0)),0))</f>
        <v/>
      </c>
      <c r="T653" s="11" t="n"/>
      <c r="U653" s="11" t="n"/>
      <c r="V653" s="10">
        <f>IF(AND(T653="",U653=""),"",IFERROR(INDEX(T_CAPAI,MATCH(T653,L_PER,0),MATCH(U653,L_KED,0)),0))</f>
        <v/>
      </c>
      <c r="W653" s="17">
        <f>IF(OR(B653="",E653="",COUNTA(F653,H653,J653:M653,O653,Q653:R653,T653:U653)=0),"",SUM(G653,I653,N653,P653,S653,V653))</f>
        <v/>
      </c>
      <c r="X653" s="18">
        <f>IF(W653="","",IF(Murid!F653="TL","TL",ROUND(W653/110*100,2)))</f>
        <v/>
      </c>
    </row>
    <row r="654">
      <c r="A654" s="15">
        <f>Murid!A654</f>
        <v/>
      </c>
      <c r="B654" s="15">
        <f>IF(Murid!B654="","",Murid!B654)</f>
        <v/>
      </c>
      <c r="C654" s="16">
        <f>IF(Murid!C654="","",Murid!C654)</f>
        <v/>
      </c>
      <c r="D654" s="15">
        <f>IF(Murid!E654="","",Murid!E654)</f>
        <v/>
      </c>
      <c r="E654" s="11" t="n"/>
      <c r="F654" s="11" t="n"/>
      <c r="G654" s="10">
        <f>IF(F654="","",IFERROR(VLOOKUP(F654,T_JUB,2,FALSE),0))</f>
        <v/>
      </c>
      <c r="H654" s="11" t="n"/>
      <c r="I654" s="17">
        <f>IF(H654="","",IF(H654&gt;=12,40,ROUND(H654*3.33,2)))</f>
        <v/>
      </c>
      <c r="J654" s="11" t="n"/>
      <c r="K654" s="11" t="n"/>
      <c r="L654" s="11" t="n"/>
      <c r="M654" s="11" t="n"/>
      <c r="N654" s="10">
        <f>IF(COUNTA(J654:M654)=0,"",MIN(10,SUMPRODUCT((COUNTIF(J654:M654,L_KOM)&gt;0)*S_KOM)))</f>
        <v/>
      </c>
      <c r="O654" s="11" t="n"/>
      <c r="P654" s="10">
        <f>IF(O654="","",IFERROR(VLOOKUP(O654,T_KHID,2,FALSE),0))</f>
        <v/>
      </c>
      <c r="Q654" s="11" t="n"/>
      <c r="R654" s="11" t="n"/>
      <c r="S654" s="10">
        <f>IF(AND(Q654="",R654=""),"",IFERROR(INDEX(T_LIBAT,MATCH(Q654,L_PER,0),MATCH(R654,L_JENIS,0)),0))</f>
        <v/>
      </c>
      <c r="T654" s="11" t="n"/>
      <c r="U654" s="11" t="n"/>
      <c r="V654" s="10">
        <f>IF(AND(T654="",U654=""),"",IFERROR(INDEX(T_CAPAI,MATCH(T654,L_PER,0),MATCH(U654,L_KED,0)),0))</f>
        <v/>
      </c>
      <c r="W654" s="17">
        <f>IF(OR(B654="",E654="",COUNTA(F654,H654,J654:M654,O654,Q654:R654,T654:U654)=0),"",SUM(G654,I654,N654,P654,S654,V654))</f>
        <v/>
      </c>
      <c r="X654" s="18">
        <f>IF(W654="","",IF(Murid!F654="TL","TL",ROUND(W654/110*100,2)))</f>
        <v/>
      </c>
    </row>
    <row r="655">
      <c r="A655" s="15">
        <f>Murid!A655</f>
        <v/>
      </c>
      <c r="B655" s="15">
        <f>IF(Murid!B655="","",Murid!B655)</f>
        <v/>
      </c>
      <c r="C655" s="16">
        <f>IF(Murid!C655="","",Murid!C655)</f>
        <v/>
      </c>
      <c r="D655" s="15">
        <f>IF(Murid!E655="","",Murid!E655)</f>
        <v/>
      </c>
      <c r="E655" s="11" t="n"/>
      <c r="F655" s="11" t="n"/>
      <c r="G655" s="10">
        <f>IF(F655="","",IFERROR(VLOOKUP(F655,T_JUB,2,FALSE),0))</f>
        <v/>
      </c>
      <c r="H655" s="11" t="n"/>
      <c r="I655" s="17">
        <f>IF(H655="","",IF(H655&gt;=12,40,ROUND(H655*3.33,2)))</f>
        <v/>
      </c>
      <c r="J655" s="11" t="n"/>
      <c r="K655" s="11" t="n"/>
      <c r="L655" s="11" t="n"/>
      <c r="M655" s="11" t="n"/>
      <c r="N655" s="10">
        <f>IF(COUNTA(J655:M655)=0,"",MIN(10,SUMPRODUCT((COUNTIF(J655:M655,L_KOM)&gt;0)*S_KOM)))</f>
        <v/>
      </c>
      <c r="O655" s="11" t="n"/>
      <c r="P655" s="10">
        <f>IF(O655="","",IFERROR(VLOOKUP(O655,T_KHID,2,FALSE),0))</f>
        <v/>
      </c>
      <c r="Q655" s="11" t="n"/>
      <c r="R655" s="11" t="n"/>
      <c r="S655" s="10">
        <f>IF(AND(Q655="",R655=""),"",IFERROR(INDEX(T_LIBAT,MATCH(Q655,L_PER,0),MATCH(R655,L_JENIS,0)),0))</f>
        <v/>
      </c>
      <c r="T655" s="11" t="n"/>
      <c r="U655" s="11" t="n"/>
      <c r="V655" s="10">
        <f>IF(AND(T655="",U655=""),"",IFERROR(INDEX(T_CAPAI,MATCH(T655,L_PER,0),MATCH(U655,L_KED,0)),0))</f>
        <v/>
      </c>
      <c r="W655" s="17">
        <f>IF(OR(B655="",E655="",COUNTA(F655,H655,J655:M655,O655,Q655:R655,T655:U655)=0),"",SUM(G655,I655,N655,P655,S655,V655))</f>
        <v/>
      </c>
      <c r="X655" s="18">
        <f>IF(W655="","",IF(Murid!F655="TL","TL",ROUND(W655/110*100,2)))</f>
        <v/>
      </c>
    </row>
    <row r="656">
      <c r="A656" s="15">
        <f>Murid!A656</f>
        <v/>
      </c>
      <c r="B656" s="15">
        <f>IF(Murid!B656="","",Murid!B656)</f>
        <v/>
      </c>
      <c r="C656" s="16">
        <f>IF(Murid!C656="","",Murid!C656)</f>
        <v/>
      </c>
      <c r="D656" s="15">
        <f>IF(Murid!E656="","",Murid!E656)</f>
        <v/>
      </c>
      <c r="E656" s="11" t="n"/>
      <c r="F656" s="11" t="n"/>
      <c r="G656" s="10">
        <f>IF(F656="","",IFERROR(VLOOKUP(F656,T_JUB,2,FALSE),0))</f>
        <v/>
      </c>
      <c r="H656" s="11" t="n"/>
      <c r="I656" s="17">
        <f>IF(H656="","",IF(H656&gt;=12,40,ROUND(H656*3.33,2)))</f>
        <v/>
      </c>
      <c r="J656" s="11" t="n"/>
      <c r="K656" s="11" t="n"/>
      <c r="L656" s="11" t="n"/>
      <c r="M656" s="11" t="n"/>
      <c r="N656" s="10">
        <f>IF(COUNTA(J656:M656)=0,"",MIN(10,SUMPRODUCT((COUNTIF(J656:M656,L_KOM)&gt;0)*S_KOM)))</f>
        <v/>
      </c>
      <c r="O656" s="11" t="n"/>
      <c r="P656" s="10">
        <f>IF(O656="","",IFERROR(VLOOKUP(O656,T_KHID,2,FALSE),0))</f>
        <v/>
      </c>
      <c r="Q656" s="11" t="n"/>
      <c r="R656" s="11" t="n"/>
      <c r="S656" s="10">
        <f>IF(AND(Q656="",R656=""),"",IFERROR(INDEX(T_LIBAT,MATCH(Q656,L_PER,0),MATCH(R656,L_JENIS,0)),0))</f>
        <v/>
      </c>
      <c r="T656" s="11" t="n"/>
      <c r="U656" s="11" t="n"/>
      <c r="V656" s="10">
        <f>IF(AND(T656="",U656=""),"",IFERROR(INDEX(T_CAPAI,MATCH(T656,L_PER,0),MATCH(U656,L_KED,0)),0))</f>
        <v/>
      </c>
      <c r="W656" s="17">
        <f>IF(OR(B656="",E656="",COUNTA(F656,H656,J656:M656,O656,Q656:R656,T656:U656)=0),"",SUM(G656,I656,N656,P656,S656,V656))</f>
        <v/>
      </c>
      <c r="X656" s="18">
        <f>IF(W656="","",IF(Murid!F656="TL","TL",ROUND(W656/110*100,2)))</f>
        <v/>
      </c>
    </row>
    <row r="657">
      <c r="A657" s="15">
        <f>Murid!A657</f>
        <v/>
      </c>
      <c r="B657" s="15">
        <f>IF(Murid!B657="","",Murid!B657)</f>
        <v/>
      </c>
      <c r="C657" s="16">
        <f>IF(Murid!C657="","",Murid!C657)</f>
        <v/>
      </c>
      <c r="D657" s="15">
        <f>IF(Murid!E657="","",Murid!E657)</f>
        <v/>
      </c>
      <c r="E657" s="11" t="n"/>
      <c r="F657" s="11" t="n"/>
      <c r="G657" s="10">
        <f>IF(F657="","",IFERROR(VLOOKUP(F657,T_JUB,2,FALSE),0))</f>
        <v/>
      </c>
      <c r="H657" s="11" t="n"/>
      <c r="I657" s="17">
        <f>IF(H657="","",IF(H657&gt;=12,40,ROUND(H657*3.33,2)))</f>
        <v/>
      </c>
      <c r="J657" s="11" t="n"/>
      <c r="K657" s="11" t="n"/>
      <c r="L657" s="11" t="n"/>
      <c r="M657" s="11" t="n"/>
      <c r="N657" s="10">
        <f>IF(COUNTA(J657:M657)=0,"",MIN(10,SUMPRODUCT((COUNTIF(J657:M657,L_KOM)&gt;0)*S_KOM)))</f>
        <v/>
      </c>
      <c r="O657" s="11" t="n"/>
      <c r="P657" s="10">
        <f>IF(O657="","",IFERROR(VLOOKUP(O657,T_KHID,2,FALSE),0))</f>
        <v/>
      </c>
      <c r="Q657" s="11" t="n"/>
      <c r="R657" s="11" t="n"/>
      <c r="S657" s="10">
        <f>IF(AND(Q657="",R657=""),"",IFERROR(INDEX(T_LIBAT,MATCH(Q657,L_PER,0),MATCH(R657,L_JENIS,0)),0))</f>
        <v/>
      </c>
      <c r="T657" s="11" t="n"/>
      <c r="U657" s="11" t="n"/>
      <c r="V657" s="10">
        <f>IF(AND(T657="",U657=""),"",IFERROR(INDEX(T_CAPAI,MATCH(T657,L_PER,0),MATCH(U657,L_KED,0)),0))</f>
        <v/>
      </c>
      <c r="W657" s="17">
        <f>IF(OR(B657="",E657="",COUNTA(F657,H657,J657:M657,O657,Q657:R657,T657:U657)=0),"",SUM(G657,I657,N657,P657,S657,V657))</f>
        <v/>
      </c>
      <c r="X657" s="18">
        <f>IF(W657="","",IF(Murid!F657="TL","TL",ROUND(W657/110*100,2)))</f>
        <v/>
      </c>
    </row>
    <row r="658">
      <c r="A658" s="15">
        <f>Murid!A658</f>
        <v/>
      </c>
      <c r="B658" s="15">
        <f>IF(Murid!B658="","",Murid!B658)</f>
        <v/>
      </c>
      <c r="C658" s="16">
        <f>IF(Murid!C658="","",Murid!C658)</f>
        <v/>
      </c>
      <c r="D658" s="15">
        <f>IF(Murid!E658="","",Murid!E658)</f>
        <v/>
      </c>
      <c r="E658" s="11" t="n"/>
      <c r="F658" s="11" t="n"/>
      <c r="G658" s="10">
        <f>IF(F658="","",IFERROR(VLOOKUP(F658,T_JUB,2,FALSE),0))</f>
        <v/>
      </c>
      <c r="H658" s="11" t="n"/>
      <c r="I658" s="17">
        <f>IF(H658="","",IF(H658&gt;=12,40,ROUND(H658*3.33,2)))</f>
        <v/>
      </c>
      <c r="J658" s="11" t="n"/>
      <c r="K658" s="11" t="n"/>
      <c r="L658" s="11" t="n"/>
      <c r="M658" s="11" t="n"/>
      <c r="N658" s="10">
        <f>IF(COUNTA(J658:M658)=0,"",MIN(10,SUMPRODUCT((COUNTIF(J658:M658,L_KOM)&gt;0)*S_KOM)))</f>
        <v/>
      </c>
      <c r="O658" s="11" t="n"/>
      <c r="P658" s="10">
        <f>IF(O658="","",IFERROR(VLOOKUP(O658,T_KHID,2,FALSE),0))</f>
        <v/>
      </c>
      <c r="Q658" s="11" t="n"/>
      <c r="R658" s="11" t="n"/>
      <c r="S658" s="10">
        <f>IF(AND(Q658="",R658=""),"",IFERROR(INDEX(T_LIBAT,MATCH(Q658,L_PER,0),MATCH(R658,L_JENIS,0)),0))</f>
        <v/>
      </c>
      <c r="T658" s="11" t="n"/>
      <c r="U658" s="11" t="n"/>
      <c r="V658" s="10">
        <f>IF(AND(T658="",U658=""),"",IFERROR(INDEX(T_CAPAI,MATCH(T658,L_PER,0),MATCH(U658,L_KED,0)),0))</f>
        <v/>
      </c>
      <c r="W658" s="17">
        <f>IF(OR(B658="",E658="",COUNTA(F658,H658,J658:M658,O658,Q658:R658,T658:U658)=0),"",SUM(G658,I658,N658,P658,S658,V658))</f>
        <v/>
      </c>
      <c r="X658" s="18">
        <f>IF(W658="","",IF(Murid!F658="TL","TL",ROUND(W658/110*100,2)))</f>
        <v/>
      </c>
    </row>
    <row r="659">
      <c r="A659" s="15">
        <f>Murid!A659</f>
        <v/>
      </c>
      <c r="B659" s="15">
        <f>IF(Murid!B659="","",Murid!B659)</f>
        <v/>
      </c>
      <c r="C659" s="16">
        <f>IF(Murid!C659="","",Murid!C659)</f>
        <v/>
      </c>
      <c r="D659" s="15">
        <f>IF(Murid!E659="","",Murid!E659)</f>
        <v/>
      </c>
      <c r="E659" s="11" t="n"/>
      <c r="F659" s="11" t="n"/>
      <c r="G659" s="10">
        <f>IF(F659="","",IFERROR(VLOOKUP(F659,T_JUB,2,FALSE),0))</f>
        <v/>
      </c>
      <c r="H659" s="11" t="n"/>
      <c r="I659" s="17">
        <f>IF(H659="","",IF(H659&gt;=12,40,ROUND(H659*3.33,2)))</f>
        <v/>
      </c>
      <c r="J659" s="11" t="n"/>
      <c r="K659" s="11" t="n"/>
      <c r="L659" s="11" t="n"/>
      <c r="M659" s="11" t="n"/>
      <c r="N659" s="10">
        <f>IF(COUNTA(J659:M659)=0,"",MIN(10,SUMPRODUCT((COUNTIF(J659:M659,L_KOM)&gt;0)*S_KOM)))</f>
        <v/>
      </c>
      <c r="O659" s="11" t="n"/>
      <c r="P659" s="10">
        <f>IF(O659="","",IFERROR(VLOOKUP(O659,T_KHID,2,FALSE),0))</f>
        <v/>
      </c>
      <c r="Q659" s="11" t="n"/>
      <c r="R659" s="11" t="n"/>
      <c r="S659" s="10">
        <f>IF(AND(Q659="",R659=""),"",IFERROR(INDEX(T_LIBAT,MATCH(Q659,L_PER,0),MATCH(R659,L_JENIS,0)),0))</f>
        <v/>
      </c>
      <c r="T659" s="11" t="n"/>
      <c r="U659" s="11" t="n"/>
      <c r="V659" s="10">
        <f>IF(AND(T659="",U659=""),"",IFERROR(INDEX(T_CAPAI,MATCH(T659,L_PER,0),MATCH(U659,L_KED,0)),0))</f>
        <v/>
      </c>
      <c r="W659" s="17">
        <f>IF(OR(B659="",E659="",COUNTA(F659,H659,J659:M659,O659,Q659:R659,T659:U659)=0),"",SUM(G659,I659,N659,P659,S659,V659))</f>
        <v/>
      </c>
      <c r="X659" s="18">
        <f>IF(W659="","",IF(Murid!F659="TL","TL",ROUND(W659/110*100,2)))</f>
        <v/>
      </c>
    </row>
    <row r="660">
      <c r="A660" s="15">
        <f>Murid!A660</f>
        <v/>
      </c>
      <c r="B660" s="15">
        <f>IF(Murid!B660="","",Murid!B660)</f>
        <v/>
      </c>
      <c r="C660" s="16">
        <f>IF(Murid!C660="","",Murid!C660)</f>
        <v/>
      </c>
      <c r="D660" s="15">
        <f>IF(Murid!E660="","",Murid!E660)</f>
        <v/>
      </c>
      <c r="E660" s="11" t="n"/>
      <c r="F660" s="11" t="n"/>
      <c r="G660" s="10">
        <f>IF(F660="","",IFERROR(VLOOKUP(F660,T_JUB,2,FALSE),0))</f>
        <v/>
      </c>
      <c r="H660" s="11" t="n"/>
      <c r="I660" s="17">
        <f>IF(H660="","",IF(H660&gt;=12,40,ROUND(H660*3.33,2)))</f>
        <v/>
      </c>
      <c r="J660" s="11" t="n"/>
      <c r="K660" s="11" t="n"/>
      <c r="L660" s="11" t="n"/>
      <c r="M660" s="11" t="n"/>
      <c r="N660" s="10">
        <f>IF(COUNTA(J660:M660)=0,"",MIN(10,SUMPRODUCT((COUNTIF(J660:M660,L_KOM)&gt;0)*S_KOM)))</f>
        <v/>
      </c>
      <c r="O660" s="11" t="n"/>
      <c r="P660" s="10">
        <f>IF(O660="","",IFERROR(VLOOKUP(O660,T_KHID,2,FALSE),0))</f>
        <v/>
      </c>
      <c r="Q660" s="11" t="n"/>
      <c r="R660" s="11" t="n"/>
      <c r="S660" s="10">
        <f>IF(AND(Q660="",R660=""),"",IFERROR(INDEX(T_LIBAT,MATCH(Q660,L_PER,0),MATCH(R660,L_JENIS,0)),0))</f>
        <v/>
      </c>
      <c r="T660" s="11" t="n"/>
      <c r="U660" s="11" t="n"/>
      <c r="V660" s="10">
        <f>IF(AND(T660="",U660=""),"",IFERROR(INDEX(T_CAPAI,MATCH(T660,L_PER,0),MATCH(U660,L_KED,0)),0))</f>
        <v/>
      </c>
      <c r="W660" s="17">
        <f>IF(OR(B660="",E660="",COUNTA(F660,H660,J660:M660,O660,Q660:R660,T660:U660)=0),"",SUM(G660,I660,N660,P660,S660,V660))</f>
        <v/>
      </c>
      <c r="X660" s="18">
        <f>IF(W660="","",IF(Murid!F660="TL","TL",ROUND(W660/110*100,2)))</f>
        <v/>
      </c>
    </row>
    <row r="661">
      <c r="A661" s="15">
        <f>Murid!A661</f>
        <v/>
      </c>
      <c r="B661" s="15">
        <f>IF(Murid!B661="","",Murid!B661)</f>
        <v/>
      </c>
      <c r="C661" s="16">
        <f>IF(Murid!C661="","",Murid!C661)</f>
        <v/>
      </c>
      <c r="D661" s="15">
        <f>IF(Murid!E661="","",Murid!E661)</f>
        <v/>
      </c>
      <c r="E661" s="11" t="n"/>
      <c r="F661" s="11" t="n"/>
      <c r="G661" s="10">
        <f>IF(F661="","",IFERROR(VLOOKUP(F661,T_JUB,2,FALSE),0))</f>
        <v/>
      </c>
      <c r="H661" s="11" t="n"/>
      <c r="I661" s="17">
        <f>IF(H661="","",IF(H661&gt;=12,40,ROUND(H661*3.33,2)))</f>
        <v/>
      </c>
      <c r="J661" s="11" t="n"/>
      <c r="K661" s="11" t="n"/>
      <c r="L661" s="11" t="n"/>
      <c r="M661" s="11" t="n"/>
      <c r="N661" s="10">
        <f>IF(COUNTA(J661:M661)=0,"",MIN(10,SUMPRODUCT((COUNTIF(J661:M661,L_KOM)&gt;0)*S_KOM)))</f>
        <v/>
      </c>
      <c r="O661" s="11" t="n"/>
      <c r="P661" s="10">
        <f>IF(O661="","",IFERROR(VLOOKUP(O661,T_KHID,2,FALSE),0))</f>
        <v/>
      </c>
      <c r="Q661" s="11" t="n"/>
      <c r="R661" s="11" t="n"/>
      <c r="S661" s="10">
        <f>IF(AND(Q661="",R661=""),"",IFERROR(INDEX(T_LIBAT,MATCH(Q661,L_PER,0),MATCH(R661,L_JENIS,0)),0))</f>
        <v/>
      </c>
      <c r="T661" s="11" t="n"/>
      <c r="U661" s="11" t="n"/>
      <c r="V661" s="10">
        <f>IF(AND(T661="",U661=""),"",IFERROR(INDEX(T_CAPAI,MATCH(T661,L_PER,0),MATCH(U661,L_KED,0)),0))</f>
        <v/>
      </c>
      <c r="W661" s="17">
        <f>IF(OR(B661="",E661="",COUNTA(F661,H661,J661:M661,O661,Q661:R661,T661:U661)=0),"",SUM(G661,I661,N661,P661,S661,V661))</f>
        <v/>
      </c>
      <c r="X661" s="18">
        <f>IF(W661="","",IF(Murid!F661="TL","TL",ROUND(W661/110*100,2)))</f>
        <v/>
      </c>
    </row>
    <row r="662">
      <c r="A662" s="15">
        <f>Murid!A662</f>
        <v/>
      </c>
      <c r="B662" s="15">
        <f>IF(Murid!B662="","",Murid!B662)</f>
        <v/>
      </c>
      <c r="C662" s="16">
        <f>IF(Murid!C662="","",Murid!C662)</f>
        <v/>
      </c>
      <c r="D662" s="15">
        <f>IF(Murid!E662="","",Murid!E662)</f>
        <v/>
      </c>
      <c r="E662" s="11" t="n"/>
      <c r="F662" s="11" t="n"/>
      <c r="G662" s="10">
        <f>IF(F662="","",IFERROR(VLOOKUP(F662,T_JUB,2,FALSE),0))</f>
        <v/>
      </c>
      <c r="H662" s="11" t="n"/>
      <c r="I662" s="17">
        <f>IF(H662="","",IF(H662&gt;=12,40,ROUND(H662*3.33,2)))</f>
        <v/>
      </c>
      <c r="J662" s="11" t="n"/>
      <c r="K662" s="11" t="n"/>
      <c r="L662" s="11" t="n"/>
      <c r="M662" s="11" t="n"/>
      <c r="N662" s="10">
        <f>IF(COUNTA(J662:M662)=0,"",MIN(10,SUMPRODUCT((COUNTIF(J662:M662,L_KOM)&gt;0)*S_KOM)))</f>
        <v/>
      </c>
      <c r="O662" s="11" t="n"/>
      <c r="P662" s="10">
        <f>IF(O662="","",IFERROR(VLOOKUP(O662,T_KHID,2,FALSE),0))</f>
        <v/>
      </c>
      <c r="Q662" s="11" t="n"/>
      <c r="R662" s="11" t="n"/>
      <c r="S662" s="10">
        <f>IF(AND(Q662="",R662=""),"",IFERROR(INDEX(T_LIBAT,MATCH(Q662,L_PER,0),MATCH(R662,L_JENIS,0)),0))</f>
        <v/>
      </c>
      <c r="T662" s="11" t="n"/>
      <c r="U662" s="11" t="n"/>
      <c r="V662" s="10">
        <f>IF(AND(T662="",U662=""),"",IFERROR(INDEX(T_CAPAI,MATCH(T662,L_PER,0),MATCH(U662,L_KED,0)),0))</f>
        <v/>
      </c>
      <c r="W662" s="17">
        <f>IF(OR(B662="",E662="",COUNTA(F662,H662,J662:M662,O662,Q662:R662,T662:U662)=0),"",SUM(G662,I662,N662,P662,S662,V662))</f>
        <v/>
      </c>
      <c r="X662" s="18">
        <f>IF(W662="","",IF(Murid!F662="TL","TL",ROUND(W662/110*100,2)))</f>
        <v/>
      </c>
    </row>
    <row r="663">
      <c r="A663" s="15">
        <f>Murid!A663</f>
        <v/>
      </c>
      <c r="B663" s="15">
        <f>IF(Murid!B663="","",Murid!B663)</f>
        <v/>
      </c>
      <c r="C663" s="16">
        <f>IF(Murid!C663="","",Murid!C663)</f>
        <v/>
      </c>
      <c r="D663" s="15">
        <f>IF(Murid!E663="","",Murid!E663)</f>
        <v/>
      </c>
      <c r="E663" s="11" t="n"/>
      <c r="F663" s="11" t="n"/>
      <c r="G663" s="10">
        <f>IF(F663="","",IFERROR(VLOOKUP(F663,T_JUB,2,FALSE),0))</f>
        <v/>
      </c>
      <c r="H663" s="11" t="n"/>
      <c r="I663" s="17">
        <f>IF(H663="","",IF(H663&gt;=12,40,ROUND(H663*3.33,2)))</f>
        <v/>
      </c>
      <c r="J663" s="11" t="n"/>
      <c r="K663" s="11" t="n"/>
      <c r="L663" s="11" t="n"/>
      <c r="M663" s="11" t="n"/>
      <c r="N663" s="10">
        <f>IF(COUNTA(J663:M663)=0,"",MIN(10,SUMPRODUCT((COUNTIF(J663:M663,L_KOM)&gt;0)*S_KOM)))</f>
        <v/>
      </c>
      <c r="O663" s="11" t="n"/>
      <c r="P663" s="10">
        <f>IF(O663="","",IFERROR(VLOOKUP(O663,T_KHID,2,FALSE),0))</f>
        <v/>
      </c>
      <c r="Q663" s="11" t="n"/>
      <c r="R663" s="11" t="n"/>
      <c r="S663" s="10">
        <f>IF(AND(Q663="",R663=""),"",IFERROR(INDEX(T_LIBAT,MATCH(Q663,L_PER,0),MATCH(R663,L_JENIS,0)),0))</f>
        <v/>
      </c>
      <c r="T663" s="11" t="n"/>
      <c r="U663" s="11" t="n"/>
      <c r="V663" s="10">
        <f>IF(AND(T663="",U663=""),"",IFERROR(INDEX(T_CAPAI,MATCH(T663,L_PER,0),MATCH(U663,L_KED,0)),0))</f>
        <v/>
      </c>
      <c r="W663" s="17">
        <f>IF(OR(B663="",E663="",COUNTA(F663,H663,J663:M663,O663,Q663:R663,T663:U663)=0),"",SUM(G663,I663,N663,P663,S663,V663))</f>
        <v/>
      </c>
      <c r="X663" s="18">
        <f>IF(W663="","",IF(Murid!F663="TL","TL",ROUND(W663/110*100,2)))</f>
        <v/>
      </c>
    </row>
    <row r="664">
      <c r="A664" s="15">
        <f>Murid!A664</f>
        <v/>
      </c>
      <c r="B664" s="15">
        <f>IF(Murid!B664="","",Murid!B664)</f>
        <v/>
      </c>
      <c r="C664" s="16">
        <f>IF(Murid!C664="","",Murid!C664)</f>
        <v/>
      </c>
      <c r="D664" s="15">
        <f>IF(Murid!E664="","",Murid!E664)</f>
        <v/>
      </c>
      <c r="E664" s="11" t="n"/>
      <c r="F664" s="11" t="n"/>
      <c r="G664" s="10">
        <f>IF(F664="","",IFERROR(VLOOKUP(F664,T_JUB,2,FALSE),0))</f>
        <v/>
      </c>
      <c r="H664" s="11" t="n"/>
      <c r="I664" s="17">
        <f>IF(H664="","",IF(H664&gt;=12,40,ROUND(H664*3.33,2)))</f>
        <v/>
      </c>
      <c r="J664" s="11" t="n"/>
      <c r="K664" s="11" t="n"/>
      <c r="L664" s="11" t="n"/>
      <c r="M664" s="11" t="n"/>
      <c r="N664" s="10">
        <f>IF(COUNTA(J664:M664)=0,"",MIN(10,SUMPRODUCT((COUNTIF(J664:M664,L_KOM)&gt;0)*S_KOM)))</f>
        <v/>
      </c>
      <c r="O664" s="11" t="n"/>
      <c r="P664" s="10">
        <f>IF(O664="","",IFERROR(VLOOKUP(O664,T_KHID,2,FALSE),0))</f>
        <v/>
      </c>
      <c r="Q664" s="11" t="n"/>
      <c r="R664" s="11" t="n"/>
      <c r="S664" s="10">
        <f>IF(AND(Q664="",R664=""),"",IFERROR(INDEX(T_LIBAT,MATCH(Q664,L_PER,0),MATCH(R664,L_JENIS,0)),0))</f>
        <v/>
      </c>
      <c r="T664" s="11" t="n"/>
      <c r="U664" s="11" t="n"/>
      <c r="V664" s="10">
        <f>IF(AND(T664="",U664=""),"",IFERROR(INDEX(T_CAPAI,MATCH(T664,L_PER,0),MATCH(U664,L_KED,0)),0))</f>
        <v/>
      </c>
      <c r="W664" s="17">
        <f>IF(OR(B664="",E664="",COUNTA(F664,H664,J664:M664,O664,Q664:R664,T664:U664)=0),"",SUM(G664,I664,N664,P664,S664,V664))</f>
        <v/>
      </c>
      <c r="X664" s="18">
        <f>IF(W664="","",IF(Murid!F664="TL","TL",ROUND(W664/110*100,2)))</f>
        <v/>
      </c>
    </row>
    <row r="665">
      <c r="A665" s="15">
        <f>Murid!A665</f>
        <v/>
      </c>
      <c r="B665" s="15">
        <f>IF(Murid!B665="","",Murid!B665)</f>
        <v/>
      </c>
      <c r="C665" s="16">
        <f>IF(Murid!C665="","",Murid!C665)</f>
        <v/>
      </c>
      <c r="D665" s="15">
        <f>IF(Murid!E665="","",Murid!E665)</f>
        <v/>
      </c>
      <c r="E665" s="11" t="n"/>
      <c r="F665" s="11" t="n"/>
      <c r="G665" s="10">
        <f>IF(F665="","",IFERROR(VLOOKUP(F665,T_JUB,2,FALSE),0))</f>
        <v/>
      </c>
      <c r="H665" s="11" t="n"/>
      <c r="I665" s="17">
        <f>IF(H665="","",IF(H665&gt;=12,40,ROUND(H665*3.33,2)))</f>
        <v/>
      </c>
      <c r="J665" s="11" t="n"/>
      <c r="K665" s="11" t="n"/>
      <c r="L665" s="11" t="n"/>
      <c r="M665" s="11" t="n"/>
      <c r="N665" s="10">
        <f>IF(COUNTA(J665:M665)=0,"",MIN(10,SUMPRODUCT((COUNTIF(J665:M665,L_KOM)&gt;0)*S_KOM)))</f>
        <v/>
      </c>
      <c r="O665" s="11" t="n"/>
      <c r="P665" s="10">
        <f>IF(O665="","",IFERROR(VLOOKUP(O665,T_KHID,2,FALSE),0))</f>
        <v/>
      </c>
      <c r="Q665" s="11" t="n"/>
      <c r="R665" s="11" t="n"/>
      <c r="S665" s="10">
        <f>IF(AND(Q665="",R665=""),"",IFERROR(INDEX(T_LIBAT,MATCH(Q665,L_PER,0),MATCH(R665,L_JENIS,0)),0))</f>
        <v/>
      </c>
      <c r="T665" s="11" t="n"/>
      <c r="U665" s="11" t="n"/>
      <c r="V665" s="10">
        <f>IF(AND(T665="",U665=""),"",IFERROR(INDEX(T_CAPAI,MATCH(T665,L_PER,0),MATCH(U665,L_KED,0)),0))</f>
        <v/>
      </c>
      <c r="W665" s="17">
        <f>IF(OR(B665="",E665="",COUNTA(F665,H665,J665:M665,O665,Q665:R665,T665:U665)=0),"",SUM(G665,I665,N665,P665,S665,V665))</f>
        <v/>
      </c>
      <c r="X665" s="18">
        <f>IF(W665="","",IF(Murid!F665="TL","TL",ROUND(W665/110*100,2)))</f>
        <v/>
      </c>
    </row>
    <row r="666">
      <c r="A666" s="15">
        <f>Murid!A666</f>
        <v/>
      </c>
      <c r="B666" s="15">
        <f>IF(Murid!B666="","",Murid!B666)</f>
        <v/>
      </c>
      <c r="C666" s="16">
        <f>IF(Murid!C666="","",Murid!C666)</f>
        <v/>
      </c>
      <c r="D666" s="15">
        <f>IF(Murid!E666="","",Murid!E666)</f>
        <v/>
      </c>
      <c r="E666" s="11" t="n"/>
      <c r="F666" s="11" t="n"/>
      <c r="G666" s="10">
        <f>IF(F666="","",IFERROR(VLOOKUP(F666,T_JUB,2,FALSE),0))</f>
        <v/>
      </c>
      <c r="H666" s="11" t="n"/>
      <c r="I666" s="17">
        <f>IF(H666="","",IF(H666&gt;=12,40,ROUND(H666*3.33,2)))</f>
        <v/>
      </c>
      <c r="J666" s="11" t="n"/>
      <c r="K666" s="11" t="n"/>
      <c r="L666" s="11" t="n"/>
      <c r="M666" s="11" t="n"/>
      <c r="N666" s="10">
        <f>IF(COUNTA(J666:M666)=0,"",MIN(10,SUMPRODUCT((COUNTIF(J666:M666,L_KOM)&gt;0)*S_KOM)))</f>
        <v/>
      </c>
      <c r="O666" s="11" t="n"/>
      <c r="P666" s="10">
        <f>IF(O666="","",IFERROR(VLOOKUP(O666,T_KHID,2,FALSE),0))</f>
        <v/>
      </c>
      <c r="Q666" s="11" t="n"/>
      <c r="R666" s="11" t="n"/>
      <c r="S666" s="10">
        <f>IF(AND(Q666="",R666=""),"",IFERROR(INDEX(T_LIBAT,MATCH(Q666,L_PER,0),MATCH(R666,L_JENIS,0)),0))</f>
        <v/>
      </c>
      <c r="T666" s="11" t="n"/>
      <c r="U666" s="11" t="n"/>
      <c r="V666" s="10">
        <f>IF(AND(T666="",U666=""),"",IFERROR(INDEX(T_CAPAI,MATCH(T666,L_PER,0),MATCH(U666,L_KED,0)),0))</f>
        <v/>
      </c>
      <c r="W666" s="17">
        <f>IF(OR(B666="",E666="",COUNTA(F666,H666,J666:M666,O666,Q666:R666,T666:U666)=0),"",SUM(G666,I666,N666,P666,S666,V666))</f>
        <v/>
      </c>
      <c r="X666" s="18">
        <f>IF(W666="","",IF(Murid!F666="TL","TL",ROUND(W666/110*100,2)))</f>
        <v/>
      </c>
    </row>
    <row r="667">
      <c r="A667" s="15">
        <f>Murid!A667</f>
        <v/>
      </c>
      <c r="B667" s="15">
        <f>IF(Murid!B667="","",Murid!B667)</f>
        <v/>
      </c>
      <c r="C667" s="16">
        <f>IF(Murid!C667="","",Murid!C667)</f>
        <v/>
      </c>
      <c r="D667" s="15">
        <f>IF(Murid!E667="","",Murid!E667)</f>
        <v/>
      </c>
      <c r="E667" s="11" t="n"/>
      <c r="F667" s="11" t="n"/>
      <c r="G667" s="10">
        <f>IF(F667="","",IFERROR(VLOOKUP(F667,T_JUB,2,FALSE),0))</f>
        <v/>
      </c>
      <c r="H667" s="11" t="n"/>
      <c r="I667" s="17">
        <f>IF(H667="","",IF(H667&gt;=12,40,ROUND(H667*3.33,2)))</f>
        <v/>
      </c>
      <c r="J667" s="11" t="n"/>
      <c r="K667" s="11" t="n"/>
      <c r="L667" s="11" t="n"/>
      <c r="M667" s="11" t="n"/>
      <c r="N667" s="10">
        <f>IF(COUNTA(J667:M667)=0,"",MIN(10,SUMPRODUCT((COUNTIF(J667:M667,L_KOM)&gt;0)*S_KOM)))</f>
        <v/>
      </c>
      <c r="O667" s="11" t="n"/>
      <c r="P667" s="10">
        <f>IF(O667="","",IFERROR(VLOOKUP(O667,T_KHID,2,FALSE),0))</f>
        <v/>
      </c>
      <c r="Q667" s="11" t="n"/>
      <c r="R667" s="11" t="n"/>
      <c r="S667" s="10">
        <f>IF(AND(Q667="",R667=""),"",IFERROR(INDEX(T_LIBAT,MATCH(Q667,L_PER,0),MATCH(R667,L_JENIS,0)),0))</f>
        <v/>
      </c>
      <c r="T667" s="11" t="n"/>
      <c r="U667" s="11" t="n"/>
      <c r="V667" s="10">
        <f>IF(AND(T667="",U667=""),"",IFERROR(INDEX(T_CAPAI,MATCH(T667,L_PER,0),MATCH(U667,L_KED,0)),0))</f>
        <v/>
      </c>
      <c r="W667" s="17">
        <f>IF(OR(B667="",E667="",COUNTA(F667,H667,J667:M667,O667,Q667:R667,T667:U667)=0),"",SUM(G667,I667,N667,P667,S667,V667))</f>
        <v/>
      </c>
      <c r="X667" s="18">
        <f>IF(W667="","",IF(Murid!F667="TL","TL",ROUND(W667/110*100,2)))</f>
        <v/>
      </c>
    </row>
    <row r="668">
      <c r="A668" s="15">
        <f>Murid!A668</f>
        <v/>
      </c>
      <c r="B668" s="15">
        <f>IF(Murid!B668="","",Murid!B668)</f>
        <v/>
      </c>
      <c r="C668" s="16">
        <f>IF(Murid!C668="","",Murid!C668)</f>
        <v/>
      </c>
      <c r="D668" s="15">
        <f>IF(Murid!E668="","",Murid!E668)</f>
        <v/>
      </c>
      <c r="E668" s="11" t="n"/>
      <c r="F668" s="11" t="n"/>
      <c r="G668" s="10">
        <f>IF(F668="","",IFERROR(VLOOKUP(F668,T_JUB,2,FALSE),0))</f>
        <v/>
      </c>
      <c r="H668" s="11" t="n"/>
      <c r="I668" s="17">
        <f>IF(H668="","",IF(H668&gt;=12,40,ROUND(H668*3.33,2)))</f>
        <v/>
      </c>
      <c r="J668" s="11" t="n"/>
      <c r="K668" s="11" t="n"/>
      <c r="L668" s="11" t="n"/>
      <c r="M668" s="11" t="n"/>
      <c r="N668" s="10">
        <f>IF(COUNTA(J668:M668)=0,"",MIN(10,SUMPRODUCT((COUNTIF(J668:M668,L_KOM)&gt;0)*S_KOM)))</f>
        <v/>
      </c>
      <c r="O668" s="11" t="n"/>
      <c r="P668" s="10">
        <f>IF(O668="","",IFERROR(VLOOKUP(O668,T_KHID,2,FALSE),0))</f>
        <v/>
      </c>
      <c r="Q668" s="11" t="n"/>
      <c r="R668" s="11" t="n"/>
      <c r="S668" s="10">
        <f>IF(AND(Q668="",R668=""),"",IFERROR(INDEX(T_LIBAT,MATCH(Q668,L_PER,0),MATCH(R668,L_JENIS,0)),0))</f>
        <v/>
      </c>
      <c r="T668" s="11" t="n"/>
      <c r="U668" s="11" t="n"/>
      <c r="V668" s="10">
        <f>IF(AND(T668="",U668=""),"",IFERROR(INDEX(T_CAPAI,MATCH(T668,L_PER,0),MATCH(U668,L_KED,0)),0))</f>
        <v/>
      </c>
      <c r="W668" s="17">
        <f>IF(OR(B668="",E668="",COUNTA(F668,H668,J668:M668,O668,Q668:R668,T668:U668)=0),"",SUM(G668,I668,N668,P668,S668,V668))</f>
        <v/>
      </c>
      <c r="X668" s="18">
        <f>IF(W668="","",IF(Murid!F668="TL","TL",ROUND(W668/110*100,2)))</f>
        <v/>
      </c>
    </row>
    <row r="669">
      <c r="A669" s="15">
        <f>Murid!A669</f>
        <v/>
      </c>
      <c r="B669" s="15">
        <f>IF(Murid!B669="","",Murid!B669)</f>
        <v/>
      </c>
      <c r="C669" s="16">
        <f>IF(Murid!C669="","",Murid!C669)</f>
        <v/>
      </c>
      <c r="D669" s="15">
        <f>IF(Murid!E669="","",Murid!E669)</f>
        <v/>
      </c>
      <c r="E669" s="11" t="n"/>
      <c r="F669" s="11" t="n"/>
      <c r="G669" s="10">
        <f>IF(F669="","",IFERROR(VLOOKUP(F669,T_JUB,2,FALSE),0))</f>
        <v/>
      </c>
      <c r="H669" s="11" t="n"/>
      <c r="I669" s="17">
        <f>IF(H669="","",IF(H669&gt;=12,40,ROUND(H669*3.33,2)))</f>
        <v/>
      </c>
      <c r="J669" s="11" t="n"/>
      <c r="K669" s="11" t="n"/>
      <c r="L669" s="11" t="n"/>
      <c r="M669" s="11" t="n"/>
      <c r="N669" s="10">
        <f>IF(COUNTA(J669:M669)=0,"",MIN(10,SUMPRODUCT((COUNTIF(J669:M669,L_KOM)&gt;0)*S_KOM)))</f>
        <v/>
      </c>
      <c r="O669" s="11" t="n"/>
      <c r="P669" s="10">
        <f>IF(O669="","",IFERROR(VLOOKUP(O669,T_KHID,2,FALSE),0))</f>
        <v/>
      </c>
      <c r="Q669" s="11" t="n"/>
      <c r="R669" s="11" t="n"/>
      <c r="S669" s="10">
        <f>IF(AND(Q669="",R669=""),"",IFERROR(INDEX(T_LIBAT,MATCH(Q669,L_PER,0),MATCH(R669,L_JENIS,0)),0))</f>
        <v/>
      </c>
      <c r="T669" s="11" t="n"/>
      <c r="U669" s="11" t="n"/>
      <c r="V669" s="10">
        <f>IF(AND(T669="",U669=""),"",IFERROR(INDEX(T_CAPAI,MATCH(T669,L_PER,0),MATCH(U669,L_KED,0)),0))</f>
        <v/>
      </c>
      <c r="W669" s="17">
        <f>IF(OR(B669="",E669="",COUNTA(F669,H669,J669:M669,O669,Q669:R669,T669:U669)=0),"",SUM(G669,I669,N669,P669,S669,V669))</f>
        <v/>
      </c>
      <c r="X669" s="18">
        <f>IF(W669="","",IF(Murid!F669="TL","TL",ROUND(W669/110*100,2)))</f>
        <v/>
      </c>
    </row>
    <row r="670">
      <c r="A670" s="15">
        <f>Murid!A670</f>
        <v/>
      </c>
      <c r="B670" s="15">
        <f>IF(Murid!B670="","",Murid!B670)</f>
        <v/>
      </c>
      <c r="C670" s="16">
        <f>IF(Murid!C670="","",Murid!C670)</f>
        <v/>
      </c>
      <c r="D670" s="15">
        <f>IF(Murid!E670="","",Murid!E670)</f>
        <v/>
      </c>
      <c r="E670" s="11" t="n"/>
      <c r="F670" s="11" t="n"/>
      <c r="G670" s="10">
        <f>IF(F670="","",IFERROR(VLOOKUP(F670,T_JUB,2,FALSE),0))</f>
        <v/>
      </c>
      <c r="H670" s="11" t="n"/>
      <c r="I670" s="17">
        <f>IF(H670="","",IF(H670&gt;=12,40,ROUND(H670*3.33,2)))</f>
        <v/>
      </c>
      <c r="J670" s="11" t="n"/>
      <c r="K670" s="11" t="n"/>
      <c r="L670" s="11" t="n"/>
      <c r="M670" s="11" t="n"/>
      <c r="N670" s="10">
        <f>IF(COUNTA(J670:M670)=0,"",MIN(10,SUMPRODUCT((COUNTIF(J670:M670,L_KOM)&gt;0)*S_KOM)))</f>
        <v/>
      </c>
      <c r="O670" s="11" t="n"/>
      <c r="P670" s="10">
        <f>IF(O670="","",IFERROR(VLOOKUP(O670,T_KHID,2,FALSE),0))</f>
        <v/>
      </c>
      <c r="Q670" s="11" t="n"/>
      <c r="R670" s="11" t="n"/>
      <c r="S670" s="10">
        <f>IF(AND(Q670="",R670=""),"",IFERROR(INDEX(T_LIBAT,MATCH(Q670,L_PER,0),MATCH(R670,L_JENIS,0)),0))</f>
        <v/>
      </c>
      <c r="T670" s="11" t="n"/>
      <c r="U670" s="11" t="n"/>
      <c r="V670" s="10">
        <f>IF(AND(T670="",U670=""),"",IFERROR(INDEX(T_CAPAI,MATCH(T670,L_PER,0),MATCH(U670,L_KED,0)),0))</f>
        <v/>
      </c>
      <c r="W670" s="17">
        <f>IF(OR(B670="",E670="",COUNTA(F670,H670,J670:M670,O670,Q670:R670,T670:U670)=0),"",SUM(G670,I670,N670,P670,S670,V670))</f>
        <v/>
      </c>
      <c r="X670" s="18">
        <f>IF(W670="","",IF(Murid!F670="TL","TL",ROUND(W670/110*100,2)))</f>
        <v/>
      </c>
    </row>
    <row r="671">
      <c r="A671" s="15">
        <f>Murid!A671</f>
        <v/>
      </c>
      <c r="B671" s="15">
        <f>IF(Murid!B671="","",Murid!B671)</f>
        <v/>
      </c>
      <c r="C671" s="16">
        <f>IF(Murid!C671="","",Murid!C671)</f>
        <v/>
      </c>
      <c r="D671" s="15">
        <f>IF(Murid!E671="","",Murid!E671)</f>
        <v/>
      </c>
      <c r="E671" s="11" t="n"/>
      <c r="F671" s="11" t="n"/>
      <c r="G671" s="10">
        <f>IF(F671="","",IFERROR(VLOOKUP(F671,T_JUB,2,FALSE),0))</f>
        <v/>
      </c>
      <c r="H671" s="11" t="n"/>
      <c r="I671" s="17">
        <f>IF(H671="","",IF(H671&gt;=12,40,ROUND(H671*3.33,2)))</f>
        <v/>
      </c>
      <c r="J671" s="11" t="n"/>
      <c r="K671" s="11" t="n"/>
      <c r="L671" s="11" t="n"/>
      <c r="M671" s="11" t="n"/>
      <c r="N671" s="10">
        <f>IF(COUNTA(J671:M671)=0,"",MIN(10,SUMPRODUCT((COUNTIF(J671:M671,L_KOM)&gt;0)*S_KOM)))</f>
        <v/>
      </c>
      <c r="O671" s="11" t="n"/>
      <c r="P671" s="10">
        <f>IF(O671="","",IFERROR(VLOOKUP(O671,T_KHID,2,FALSE),0))</f>
        <v/>
      </c>
      <c r="Q671" s="11" t="n"/>
      <c r="R671" s="11" t="n"/>
      <c r="S671" s="10">
        <f>IF(AND(Q671="",R671=""),"",IFERROR(INDEX(T_LIBAT,MATCH(Q671,L_PER,0),MATCH(R671,L_JENIS,0)),0))</f>
        <v/>
      </c>
      <c r="T671" s="11" t="n"/>
      <c r="U671" s="11" t="n"/>
      <c r="V671" s="10">
        <f>IF(AND(T671="",U671=""),"",IFERROR(INDEX(T_CAPAI,MATCH(T671,L_PER,0),MATCH(U671,L_KED,0)),0))</f>
        <v/>
      </c>
      <c r="W671" s="17">
        <f>IF(OR(B671="",E671="",COUNTA(F671,H671,J671:M671,O671,Q671:R671,T671:U671)=0),"",SUM(G671,I671,N671,P671,S671,V671))</f>
        <v/>
      </c>
      <c r="X671" s="18">
        <f>IF(W671="","",IF(Murid!F671="TL","TL",ROUND(W671/110*100,2)))</f>
        <v/>
      </c>
    </row>
    <row r="672">
      <c r="A672" s="15">
        <f>Murid!A672</f>
        <v/>
      </c>
      <c r="B672" s="15">
        <f>IF(Murid!B672="","",Murid!B672)</f>
        <v/>
      </c>
      <c r="C672" s="16">
        <f>IF(Murid!C672="","",Murid!C672)</f>
        <v/>
      </c>
      <c r="D672" s="15">
        <f>IF(Murid!E672="","",Murid!E672)</f>
        <v/>
      </c>
      <c r="E672" s="11" t="n"/>
      <c r="F672" s="11" t="n"/>
      <c r="G672" s="10">
        <f>IF(F672="","",IFERROR(VLOOKUP(F672,T_JUB,2,FALSE),0))</f>
        <v/>
      </c>
      <c r="H672" s="11" t="n"/>
      <c r="I672" s="17">
        <f>IF(H672="","",IF(H672&gt;=12,40,ROUND(H672*3.33,2)))</f>
        <v/>
      </c>
      <c r="J672" s="11" t="n"/>
      <c r="K672" s="11" t="n"/>
      <c r="L672" s="11" t="n"/>
      <c r="M672" s="11" t="n"/>
      <c r="N672" s="10">
        <f>IF(COUNTA(J672:M672)=0,"",MIN(10,SUMPRODUCT((COUNTIF(J672:M672,L_KOM)&gt;0)*S_KOM)))</f>
        <v/>
      </c>
      <c r="O672" s="11" t="n"/>
      <c r="P672" s="10">
        <f>IF(O672="","",IFERROR(VLOOKUP(O672,T_KHID,2,FALSE),0))</f>
        <v/>
      </c>
      <c r="Q672" s="11" t="n"/>
      <c r="R672" s="11" t="n"/>
      <c r="S672" s="10">
        <f>IF(AND(Q672="",R672=""),"",IFERROR(INDEX(T_LIBAT,MATCH(Q672,L_PER,0),MATCH(R672,L_JENIS,0)),0))</f>
        <v/>
      </c>
      <c r="T672" s="11" t="n"/>
      <c r="U672" s="11" t="n"/>
      <c r="V672" s="10">
        <f>IF(AND(T672="",U672=""),"",IFERROR(INDEX(T_CAPAI,MATCH(T672,L_PER,0),MATCH(U672,L_KED,0)),0))</f>
        <v/>
      </c>
      <c r="W672" s="17">
        <f>IF(OR(B672="",E672="",COUNTA(F672,H672,J672:M672,O672,Q672:R672,T672:U672)=0),"",SUM(G672,I672,N672,P672,S672,V672))</f>
        <v/>
      </c>
      <c r="X672" s="18">
        <f>IF(W672="","",IF(Murid!F672="TL","TL",ROUND(W672/110*100,2)))</f>
        <v/>
      </c>
    </row>
    <row r="673">
      <c r="A673" s="15">
        <f>Murid!A673</f>
        <v/>
      </c>
      <c r="B673" s="15">
        <f>IF(Murid!B673="","",Murid!B673)</f>
        <v/>
      </c>
      <c r="C673" s="16">
        <f>IF(Murid!C673="","",Murid!C673)</f>
        <v/>
      </c>
      <c r="D673" s="15">
        <f>IF(Murid!E673="","",Murid!E673)</f>
        <v/>
      </c>
      <c r="E673" s="11" t="n"/>
      <c r="F673" s="11" t="n"/>
      <c r="G673" s="10">
        <f>IF(F673="","",IFERROR(VLOOKUP(F673,T_JUB,2,FALSE),0))</f>
        <v/>
      </c>
      <c r="H673" s="11" t="n"/>
      <c r="I673" s="17">
        <f>IF(H673="","",IF(H673&gt;=12,40,ROUND(H673*3.33,2)))</f>
        <v/>
      </c>
      <c r="J673" s="11" t="n"/>
      <c r="K673" s="11" t="n"/>
      <c r="L673" s="11" t="n"/>
      <c r="M673" s="11" t="n"/>
      <c r="N673" s="10">
        <f>IF(COUNTA(J673:M673)=0,"",MIN(10,SUMPRODUCT((COUNTIF(J673:M673,L_KOM)&gt;0)*S_KOM)))</f>
        <v/>
      </c>
      <c r="O673" s="11" t="n"/>
      <c r="P673" s="10">
        <f>IF(O673="","",IFERROR(VLOOKUP(O673,T_KHID,2,FALSE),0))</f>
        <v/>
      </c>
      <c r="Q673" s="11" t="n"/>
      <c r="R673" s="11" t="n"/>
      <c r="S673" s="10">
        <f>IF(AND(Q673="",R673=""),"",IFERROR(INDEX(T_LIBAT,MATCH(Q673,L_PER,0),MATCH(R673,L_JENIS,0)),0))</f>
        <v/>
      </c>
      <c r="T673" s="11" t="n"/>
      <c r="U673" s="11" t="n"/>
      <c r="V673" s="10">
        <f>IF(AND(T673="",U673=""),"",IFERROR(INDEX(T_CAPAI,MATCH(T673,L_PER,0),MATCH(U673,L_KED,0)),0))</f>
        <v/>
      </c>
      <c r="W673" s="17">
        <f>IF(OR(B673="",E673="",COUNTA(F673,H673,J673:M673,O673,Q673:R673,T673:U673)=0),"",SUM(G673,I673,N673,P673,S673,V673))</f>
        <v/>
      </c>
      <c r="X673" s="18">
        <f>IF(W673="","",IF(Murid!F673="TL","TL",ROUND(W673/110*100,2)))</f>
        <v/>
      </c>
    </row>
    <row r="674">
      <c r="A674" s="15">
        <f>Murid!A674</f>
        <v/>
      </c>
      <c r="B674" s="15">
        <f>IF(Murid!B674="","",Murid!B674)</f>
        <v/>
      </c>
      <c r="C674" s="16">
        <f>IF(Murid!C674="","",Murid!C674)</f>
        <v/>
      </c>
      <c r="D674" s="15">
        <f>IF(Murid!E674="","",Murid!E674)</f>
        <v/>
      </c>
      <c r="E674" s="11" t="n"/>
      <c r="F674" s="11" t="n"/>
      <c r="G674" s="10">
        <f>IF(F674="","",IFERROR(VLOOKUP(F674,T_JUB,2,FALSE),0))</f>
        <v/>
      </c>
      <c r="H674" s="11" t="n"/>
      <c r="I674" s="17">
        <f>IF(H674="","",IF(H674&gt;=12,40,ROUND(H674*3.33,2)))</f>
        <v/>
      </c>
      <c r="J674" s="11" t="n"/>
      <c r="K674" s="11" t="n"/>
      <c r="L674" s="11" t="n"/>
      <c r="M674" s="11" t="n"/>
      <c r="N674" s="10">
        <f>IF(COUNTA(J674:M674)=0,"",MIN(10,SUMPRODUCT((COUNTIF(J674:M674,L_KOM)&gt;0)*S_KOM)))</f>
        <v/>
      </c>
      <c r="O674" s="11" t="n"/>
      <c r="P674" s="10">
        <f>IF(O674="","",IFERROR(VLOOKUP(O674,T_KHID,2,FALSE),0))</f>
        <v/>
      </c>
      <c r="Q674" s="11" t="n"/>
      <c r="R674" s="11" t="n"/>
      <c r="S674" s="10">
        <f>IF(AND(Q674="",R674=""),"",IFERROR(INDEX(T_LIBAT,MATCH(Q674,L_PER,0),MATCH(R674,L_JENIS,0)),0))</f>
        <v/>
      </c>
      <c r="T674" s="11" t="n"/>
      <c r="U674" s="11" t="n"/>
      <c r="V674" s="10">
        <f>IF(AND(T674="",U674=""),"",IFERROR(INDEX(T_CAPAI,MATCH(T674,L_PER,0),MATCH(U674,L_KED,0)),0))</f>
        <v/>
      </c>
      <c r="W674" s="17">
        <f>IF(OR(B674="",E674="",COUNTA(F674,H674,J674:M674,O674,Q674:R674,T674:U674)=0),"",SUM(G674,I674,N674,P674,S674,V674))</f>
        <v/>
      </c>
      <c r="X674" s="18">
        <f>IF(W674="","",IF(Murid!F674="TL","TL",ROUND(W674/110*100,2)))</f>
        <v/>
      </c>
    </row>
    <row r="675">
      <c r="A675" s="15">
        <f>Murid!A675</f>
        <v/>
      </c>
      <c r="B675" s="15">
        <f>IF(Murid!B675="","",Murid!B675)</f>
        <v/>
      </c>
      <c r="C675" s="16">
        <f>IF(Murid!C675="","",Murid!C675)</f>
        <v/>
      </c>
      <c r="D675" s="15">
        <f>IF(Murid!E675="","",Murid!E675)</f>
        <v/>
      </c>
      <c r="E675" s="11" t="n"/>
      <c r="F675" s="11" t="n"/>
      <c r="G675" s="10">
        <f>IF(F675="","",IFERROR(VLOOKUP(F675,T_JUB,2,FALSE),0))</f>
        <v/>
      </c>
      <c r="H675" s="11" t="n"/>
      <c r="I675" s="17">
        <f>IF(H675="","",IF(H675&gt;=12,40,ROUND(H675*3.33,2)))</f>
        <v/>
      </c>
      <c r="J675" s="11" t="n"/>
      <c r="K675" s="11" t="n"/>
      <c r="L675" s="11" t="n"/>
      <c r="M675" s="11" t="n"/>
      <c r="N675" s="10">
        <f>IF(COUNTA(J675:M675)=0,"",MIN(10,SUMPRODUCT((COUNTIF(J675:M675,L_KOM)&gt;0)*S_KOM)))</f>
        <v/>
      </c>
      <c r="O675" s="11" t="n"/>
      <c r="P675" s="10">
        <f>IF(O675="","",IFERROR(VLOOKUP(O675,T_KHID,2,FALSE),0))</f>
        <v/>
      </c>
      <c r="Q675" s="11" t="n"/>
      <c r="R675" s="11" t="n"/>
      <c r="S675" s="10">
        <f>IF(AND(Q675="",R675=""),"",IFERROR(INDEX(T_LIBAT,MATCH(Q675,L_PER,0),MATCH(R675,L_JENIS,0)),0))</f>
        <v/>
      </c>
      <c r="T675" s="11" t="n"/>
      <c r="U675" s="11" t="n"/>
      <c r="V675" s="10">
        <f>IF(AND(T675="",U675=""),"",IFERROR(INDEX(T_CAPAI,MATCH(T675,L_PER,0),MATCH(U675,L_KED,0)),0))</f>
        <v/>
      </c>
      <c r="W675" s="17">
        <f>IF(OR(B675="",E675="",COUNTA(F675,H675,J675:M675,O675,Q675:R675,T675:U675)=0),"",SUM(G675,I675,N675,P675,S675,V675))</f>
        <v/>
      </c>
      <c r="X675" s="18">
        <f>IF(W675="","",IF(Murid!F675="TL","TL",ROUND(W675/110*100,2)))</f>
        <v/>
      </c>
    </row>
    <row r="676">
      <c r="A676" s="15">
        <f>Murid!A676</f>
        <v/>
      </c>
      <c r="B676" s="15">
        <f>IF(Murid!B676="","",Murid!B676)</f>
        <v/>
      </c>
      <c r="C676" s="16">
        <f>IF(Murid!C676="","",Murid!C676)</f>
        <v/>
      </c>
      <c r="D676" s="15">
        <f>IF(Murid!E676="","",Murid!E676)</f>
        <v/>
      </c>
      <c r="E676" s="11" t="n"/>
      <c r="F676" s="11" t="n"/>
      <c r="G676" s="10">
        <f>IF(F676="","",IFERROR(VLOOKUP(F676,T_JUB,2,FALSE),0))</f>
        <v/>
      </c>
      <c r="H676" s="11" t="n"/>
      <c r="I676" s="17">
        <f>IF(H676="","",IF(H676&gt;=12,40,ROUND(H676*3.33,2)))</f>
        <v/>
      </c>
      <c r="J676" s="11" t="n"/>
      <c r="K676" s="11" t="n"/>
      <c r="L676" s="11" t="n"/>
      <c r="M676" s="11" t="n"/>
      <c r="N676" s="10">
        <f>IF(COUNTA(J676:M676)=0,"",MIN(10,SUMPRODUCT((COUNTIF(J676:M676,L_KOM)&gt;0)*S_KOM)))</f>
        <v/>
      </c>
      <c r="O676" s="11" t="n"/>
      <c r="P676" s="10">
        <f>IF(O676="","",IFERROR(VLOOKUP(O676,T_KHID,2,FALSE),0))</f>
        <v/>
      </c>
      <c r="Q676" s="11" t="n"/>
      <c r="R676" s="11" t="n"/>
      <c r="S676" s="10">
        <f>IF(AND(Q676="",R676=""),"",IFERROR(INDEX(T_LIBAT,MATCH(Q676,L_PER,0),MATCH(R676,L_JENIS,0)),0))</f>
        <v/>
      </c>
      <c r="T676" s="11" t="n"/>
      <c r="U676" s="11" t="n"/>
      <c r="V676" s="10">
        <f>IF(AND(T676="",U676=""),"",IFERROR(INDEX(T_CAPAI,MATCH(T676,L_PER,0),MATCH(U676,L_KED,0)),0))</f>
        <v/>
      </c>
      <c r="W676" s="17">
        <f>IF(OR(B676="",E676="",COUNTA(F676,H676,J676:M676,O676,Q676:R676,T676:U676)=0),"",SUM(G676,I676,N676,P676,S676,V676))</f>
        <v/>
      </c>
      <c r="X676" s="18">
        <f>IF(W676="","",IF(Murid!F676="TL","TL",ROUND(W676/110*100,2)))</f>
        <v/>
      </c>
    </row>
    <row r="677">
      <c r="A677" s="15">
        <f>Murid!A677</f>
        <v/>
      </c>
      <c r="B677" s="15">
        <f>IF(Murid!B677="","",Murid!B677)</f>
        <v/>
      </c>
      <c r="C677" s="16">
        <f>IF(Murid!C677="","",Murid!C677)</f>
        <v/>
      </c>
      <c r="D677" s="15">
        <f>IF(Murid!E677="","",Murid!E677)</f>
        <v/>
      </c>
      <c r="E677" s="11" t="n"/>
      <c r="F677" s="11" t="n"/>
      <c r="G677" s="10">
        <f>IF(F677="","",IFERROR(VLOOKUP(F677,T_JUB,2,FALSE),0))</f>
        <v/>
      </c>
      <c r="H677" s="11" t="n"/>
      <c r="I677" s="17">
        <f>IF(H677="","",IF(H677&gt;=12,40,ROUND(H677*3.33,2)))</f>
        <v/>
      </c>
      <c r="J677" s="11" t="n"/>
      <c r="K677" s="11" t="n"/>
      <c r="L677" s="11" t="n"/>
      <c r="M677" s="11" t="n"/>
      <c r="N677" s="10">
        <f>IF(COUNTA(J677:M677)=0,"",MIN(10,SUMPRODUCT((COUNTIF(J677:M677,L_KOM)&gt;0)*S_KOM)))</f>
        <v/>
      </c>
      <c r="O677" s="11" t="n"/>
      <c r="P677" s="10">
        <f>IF(O677="","",IFERROR(VLOOKUP(O677,T_KHID,2,FALSE),0))</f>
        <v/>
      </c>
      <c r="Q677" s="11" t="n"/>
      <c r="R677" s="11" t="n"/>
      <c r="S677" s="10">
        <f>IF(AND(Q677="",R677=""),"",IFERROR(INDEX(T_LIBAT,MATCH(Q677,L_PER,0),MATCH(R677,L_JENIS,0)),0))</f>
        <v/>
      </c>
      <c r="T677" s="11" t="n"/>
      <c r="U677" s="11" t="n"/>
      <c r="V677" s="10">
        <f>IF(AND(T677="",U677=""),"",IFERROR(INDEX(T_CAPAI,MATCH(T677,L_PER,0),MATCH(U677,L_KED,0)),0))</f>
        <v/>
      </c>
      <c r="W677" s="17">
        <f>IF(OR(B677="",E677="",COUNTA(F677,H677,J677:M677,O677,Q677:R677,T677:U677)=0),"",SUM(G677,I677,N677,P677,S677,V677))</f>
        <v/>
      </c>
      <c r="X677" s="18">
        <f>IF(W677="","",IF(Murid!F677="TL","TL",ROUND(W677/110*100,2)))</f>
        <v/>
      </c>
    </row>
    <row r="678">
      <c r="A678" s="15">
        <f>Murid!A678</f>
        <v/>
      </c>
      <c r="B678" s="15">
        <f>IF(Murid!B678="","",Murid!B678)</f>
        <v/>
      </c>
      <c r="C678" s="16">
        <f>IF(Murid!C678="","",Murid!C678)</f>
        <v/>
      </c>
      <c r="D678" s="15">
        <f>IF(Murid!E678="","",Murid!E678)</f>
        <v/>
      </c>
      <c r="E678" s="11" t="n"/>
      <c r="F678" s="11" t="n"/>
      <c r="G678" s="10">
        <f>IF(F678="","",IFERROR(VLOOKUP(F678,T_JUB,2,FALSE),0))</f>
        <v/>
      </c>
      <c r="H678" s="11" t="n"/>
      <c r="I678" s="17">
        <f>IF(H678="","",IF(H678&gt;=12,40,ROUND(H678*3.33,2)))</f>
        <v/>
      </c>
      <c r="J678" s="11" t="n"/>
      <c r="K678" s="11" t="n"/>
      <c r="L678" s="11" t="n"/>
      <c r="M678" s="11" t="n"/>
      <c r="N678" s="10">
        <f>IF(COUNTA(J678:M678)=0,"",MIN(10,SUMPRODUCT((COUNTIF(J678:M678,L_KOM)&gt;0)*S_KOM)))</f>
        <v/>
      </c>
      <c r="O678" s="11" t="n"/>
      <c r="P678" s="10">
        <f>IF(O678="","",IFERROR(VLOOKUP(O678,T_KHID,2,FALSE),0))</f>
        <v/>
      </c>
      <c r="Q678" s="11" t="n"/>
      <c r="R678" s="11" t="n"/>
      <c r="S678" s="10">
        <f>IF(AND(Q678="",R678=""),"",IFERROR(INDEX(T_LIBAT,MATCH(Q678,L_PER,0),MATCH(R678,L_JENIS,0)),0))</f>
        <v/>
      </c>
      <c r="T678" s="11" t="n"/>
      <c r="U678" s="11" t="n"/>
      <c r="V678" s="10">
        <f>IF(AND(T678="",U678=""),"",IFERROR(INDEX(T_CAPAI,MATCH(T678,L_PER,0),MATCH(U678,L_KED,0)),0))</f>
        <v/>
      </c>
      <c r="W678" s="17">
        <f>IF(OR(B678="",E678="",COUNTA(F678,H678,J678:M678,O678,Q678:R678,T678:U678)=0),"",SUM(G678,I678,N678,P678,S678,V678))</f>
        <v/>
      </c>
      <c r="X678" s="18">
        <f>IF(W678="","",IF(Murid!F678="TL","TL",ROUND(W678/110*100,2)))</f>
        <v/>
      </c>
    </row>
    <row r="679">
      <c r="A679" s="15">
        <f>Murid!A679</f>
        <v/>
      </c>
      <c r="B679" s="15">
        <f>IF(Murid!B679="","",Murid!B679)</f>
        <v/>
      </c>
      <c r="C679" s="16">
        <f>IF(Murid!C679="","",Murid!C679)</f>
        <v/>
      </c>
      <c r="D679" s="15">
        <f>IF(Murid!E679="","",Murid!E679)</f>
        <v/>
      </c>
      <c r="E679" s="11" t="n"/>
      <c r="F679" s="11" t="n"/>
      <c r="G679" s="10">
        <f>IF(F679="","",IFERROR(VLOOKUP(F679,T_JUB,2,FALSE),0))</f>
        <v/>
      </c>
      <c r="H679" s="11" t="n"/>
      <c r="I679" s="17">
        <f>IF(H679="","",IF(H679&gt;=12,40,ROUND(H679*3.33,2)))</f>
        <v/>
      </c>
      <c r="J679" s="11" t="n"/>
      <c r="K679" s="11" t="n"/>
      <c r="L679" s="11" t="n"/>
      <c r="M679" s="11" t="n"/>
      <c r="N679" s="10">
        <f>IF(COUNTA(J679:M679)=0,"",MIN(10,SUMPRODUCT((COUNTIF(J679:M679,L_KOM)&gt;0)*S_KOM)))</f>
        <v/>
      </c>
      <c r="O679" s="11" t="n"/>
      <c r="P679" s="10">
        <f>IF(O679="","",IFERROR(VLOOKUP(O679,T_KHID,2,FALSE),0))</f>
        <v/>
      </c>
      <c r="Q679" s="11" t="n"/>
      <c r="R679" s="11" t="n"/>
      <c r="S679" s="10">
        <f>IF(AND(Q679="",R679=""),"",IFERROR(INDEX(T_LIBAT,MATCH(Q679,L_PER,0),MATCH(R679,L_JENIS,0)),0))</f>
        <v/>
      </c>
      <c r="T679" s="11" t="n"/>
      <c r="U679" s="11" t="n"/>
      <c r="V679" s="10">
        <f>IF(AND(T679="",U679=""),"",IFERROR(INDEX(T_CAPAI,MATCH(T679,L_PER,0),MATCH(U679,L_KED,0)),0))</f>
        <v/>
      </c>
      <c r="W679" s="17">
        <f>IF(OR(B679="",E679="",COUNTA(F679,H679,J679:M679,O679,Q679:R679,T679:U679)=0),"",SUM(G679,I679,N679,P679,S679,V679))</f>
        <v/>
      </c>
      <c r="X679" s="18">
        <f>IF(W679="","",IF(Murid!F679="TL","TL",ROUND(W679/110*100,2)))</f>
        <v/>
      </c>
    </row>
    <row r="680">
      <c r="A680" s="15">
        <f>Murid!A680</f>
        <v/>
      </c>
      <c r="B680" s="15">
        <f>IF(Murid!B680="","",Murid!B680)</f>
        <v/>
      </c>
      <c r="C680" s="16">
        <f>IF(Murid!C680="","",Murid!C680)</f>
        <v/>
      </c>
      <c r="D680" s="15">
        <f>IF(Murid!E680="","",Murid!E680)</f>
        <v/>
      </c>
      <c r="E680" s="11" t="n"/>
      <c r="F680" s="11" t="n"/>
      <c r="G680" s="10">
        <f>IF(F680="","",IFERROR(VLOOKUP(F680,T_JUB,2,FALSE),0))</f>
        <v/>
      </c>
      <c r="H680" s="11" t="n"/>
      <c r="I680" s="17">
        <f>IF(H680="","",IF(H680&gt;=12,40,ROUND(H680*3.33,2)))</f>
        <v/>
      </c>
      <c r="J680" s="11" t="n"/>
      <c r="K680" s="11" t="n"/>
      <c r="L680" s="11" t="n"/>
      <c r="M680" s="11" t="n"/>
      <c r="N680" s="10">
        <f>IF(COUNTA(J680:M680)=0,"",MIN(10,SUMPRODUCT((COUNTIF(J680:M680,L_KOM)&gt;0)*S_KOM)))</f>
        <v/>
      </c>
      <c r="O680" s="11" t="n"/>
      <c r="P680" s="10">
        <f>IF(O680="","",IFERROR(VLOOKUP(O680,T_KHID,2,FALSE),0))</f>
        <v/>
      </c>
      <c r="Q680" s="11" t="n"/>
      <c r="R680" s="11" t="n"/>
      <c r="S680" s="10">
        <f>IF(AND(Q680="",R680=""),"",IFERROR(INDEX(T_LIBAT,MATCH(Q680,L_PER,0),MATCH(R680,L_JENIS,0)),0))</f>
        <v/>
      </c>
      <c r="T680" s="11" t="n"/>
      <c r="U680" s="11" t="n"/>
      <c r="V680" s="10">
        <f>IF(AND(T680="",U680=""),"",IFERROR(INDEX(T_CAPAI,MATCH(T680,L_PER,0),MATCH(U680,L_KED,0)),0))</f>
        <v/>
      </c>
      <c r="W680" s="17">
        <f>IF(OR(B680="",E680="",COUNTA(F680,H680,J680:M680,O680,Q680:R680,T680:U680)=0),"",SUM(G680,I680,N680,P680,S680,V680))</f>
        <v/>
      </c>
      <c r="X680" s="18">
        <f>IF(W680="","",IF(Murid!F680="TL","TL",ROUND(W680/110*100,2)))</f>
        <v/>
      </c>
    </row>
    <row r="681">
      <c r="A681" s="15">
        <f>Murid!A681</f>
        <v/>
      </c>
      <c r="B681" s="15">
        <f>IF(Murid!B681="","",Murid!B681)</f>
        <v/>
      </c>
      <c r="C681" s="16">
        <f>IF(Murid!C681="","",Murid!C681)</f>
        <v/>
      </c>
      <c r="D681" s="15">
        <f>IF(Murid!E681="","",Murid!E681)</f>
        <v/>
      </c>
      <c r="E681" s="11" t="n"/>
      <c r="F681" s="11" t="n"/>
      <c r="G681" s="10">
        <f>IF(F681="","",IFERROR(VLOOKUP(F681,T_JUB,2,FALSE),0))</f>
        <v/>
      </c>
      <c r="H681" s="11" t="n"/>
      <c r="I681" s="17">
        <f>IF(H681="","",IF(H681&gt;=12,40,ROUND(H681*3.33,2)))</f>
        <v/>
      </c>
      <c r="J681" s="11" t="n"/>
      <c r="K681" s="11" t="n"/>
      <c r="L681" s="11" t="n"/>
      <c r="M681" s="11" t="n"/>
      <c r="N681" s="10">
        <f>IF(COUNTA(J681:M681)=0,"",MIN(10,SUMPRODUCT((COUNTIF(J681:M681,L_KOM)&gt;0)*S_KOM)))</f>
        <v/>
      </c>
      <c r="O681" s="11" t="n"/>
      <c r="P681" s="10">
        <f>IF(O681="","",IFERROR(VLOOKUP(O681,T_KHID,2,FALSE),0))</f>
        <v/>
      </c>
      <c r="Q681" s="11" t="n"/>
      <c r="R681" s="11" t="n"/>
      <c r="S681" s="10">
        <f>IF(AND(Q681="",R681=""),"",IFERROR(INDEX(T_LIBAT,MATCH(Q681,L_PER,0),MATCH(R681,L_JENIS,0)),0))</f>
        <v/>
      </c>
      <c r="T681" s="11" t="n"/>
      <c r="U681" s="11" t="n"/>
      <c r="V681" s="10">
        <f>IF(AND(T681="",U681=""),"",IFERROR(INDEX(T_CAPAI,MATCH(T681,L_PER,0),MATCH(U681,L_KED,0)),0))</f>
        <v/>
      </c>
      <c r="W681" s="17">
        <f>IF(OR(B681="",E681="",COUNTA(F681,H681,J681:M681,O681,Q681:R681,T681:U681)=0),"",SUM(G681,I681,N681,P681,S681,V681))</f>
        <v/>
      </c>
      <c r="X681" s="18">
        <f>IF(W681="","",IF(Murid!F681="TL","TL",ROUND(W681/110*100,2)))</f>
        <v/>
      </c>
    </row>
    <row r="682">
      <c r="A682" s="15">
        <f>Murid!A682</f>
        <v/>
      </c>
      <c r="B682" s="15">
        <f>IF(Murid!B682="","",Murid!B682)</f>
        <v/>
      </c>
      <c r="C682" s="16">
        <f>IF(Murid!C682="","",Murid!C682)</f>
        <v/>
      </c>
      <c r="D682" s="15">
        <f>IF(Murid!E682="","",Murid!E682)</f>
        <v/>
      </c>
      <c r="E682" s="11" t="n"/>
      <c r="F682" s="11" t="n"/>
      <c r="G682" s="10">
        <f>IF(F682="","",IFERROR(VLOOKUP(F682,T_JUB,2,FALSE),0))</f>
        <v/>
      </c>
      <c r="H682" s="11" t="n"/>
      <c r="I682" s="17">
        <f>IF(H682="","",IF(H682&gt;=12,40,ROUND(H682*3.33,2)))</f>
        <v/>
      </c>
      <c r="J682" s="11" t="n"/>
      <c r="K682" s="11" t="n"/>
      <c r="L682" s="11" t="n"/>
      <c r="M682" s="11" t="n"/>
      <c r="N682" s="10">
        <f>IF(COUNTA(J682:M682)=0,"",MIN(10,SUMPRODUCT((COUNTIF(J682:M682,L_KOM)&gt;0)*S_KOM)))</f>
        <v/>
      </c>
      <c r="O682" s="11" t="n"/>
      <c r="P682" s="10">
        <f>IF(O682="","",IFERROR(VLOOKUP(O682,T_KHID,2,FALSE),0))</f>
        <v/>
      </c>
      <c r="Q682" s="11" t="n"/>
      <c r="R682" s="11" t="n"/>
      <c r="S682" s="10">
        <f>IF(AND(Q682="",R682=""),"",IFERROR(INDEX(T_LIBAT,MATCH(Q682,L_PER,0),MATCH(R682,L_JENIS,0)),0))</f>
        <v/>
      </c>
      <c r="T682" s="11" t="n"/>
      <c r="U682" s="11" t="n"/>
      <c r="V682" s="10">
        <f>IF(AND(T682="",U682=""),"",IFERROR(INDEX(T_CAPAI,MATCH(T682,L_PER,0),MATCH(U682,L_KED,0)),0))</f>
        <v/>
      </c>
      <c r="W682" s="17">
        <f>IF(OR(B682="",E682="",COUNTA(F682,H682,J682:M682,O682,Q682:R682,T682:U682)=0),"",SUM(G682,I682,N682,P682,S682,V682))</f>
        <v/>
      </c>
      <c r="X682" s="18">
        <f>IF(W682="","",IF(Murid!F682="TL","TL",ROUND(W682/110*100,2)))</f>
        <v/>
      </c>
    </row>
    <row r="683">
      <c r="A683" s="15">
        <f>Murid!A683</f>
        <v/>
      </c>
      <c r="B683" s="15">
        <f>IF(Murid!B683="","",Murid!B683)</f>
        <v/>
      </c>
      <c r="C683" s="16">
        <f>IF(Murid!C683="","",Murid!C683)</f>
        <v/>
      </c>
      <c r="D683" s="15">
        <f>IF(Murid!E683="","",Murid!E683)</f>
        <v/>
      </c>
      <c r="E683" s="11" t="n"/>
      <c r="F683" s="11" t="n"/>
      <c r="G683" s="10">
        <f>IF(F683="","",IFERROR(VLOOKUP(F683,T_JUB,2,FALSE),0))</f>
        <v/>
      </c>
      <c r="H683" s="11" t="n"/>
      <c r="I683" s="17">
        <f>IF(H683="","",IF(H683&gt;=12,40,ROUND(H683*3.33,2)))</f>
        <v/>
      </c>
      <c r="J683" s="11" t="n"/>
      <c r="K683" s="11" t="n"/>
      <c r="L683" s="11" t="n"/>
      <c r="M683" s="11" t="n"/>
      <c r="N683" s="10">
        <f>IF(COUNTA(J683:M683)=0,"",MIN(10,SUMPRODUCT((COUNTIF(J683:M683,L_KOM)&gt;0)*S_KOM)))</f>
        <v/>
      </c>
      <c r="O683" s="11" t="n"/>
      <c r="P683" s="10">
        <f>IF(O683="","",IFERROR(VLOOKUP(O683,T_KHID,2,FALSE),0))</f>
        <v/>
      </c>
      <c r="Q683" s="11" t="n"/>
      <c r="R683" s="11" t="n"/>
      <c r="S683" s="10">
        <f>IF(AND(Q683="",R683=""),"",IFERROR(INDEX(T_LIBAT,MATCH(Q683,L_PER,0),MATCH(R683,L_JENIS,0)),0))</f>
        <v/>
      </c>
      <c r="T683" s="11" t="n"/>
      <c r="U683" s="11" t="n"/>
      <c r="V683" s="10">
        <f>IF(AND(T683="",U683=""),"",IFERROR(INDEX(T_CAPAI,MATCH(T683,L_PER,0),MATCH(U683,L_KED,0)),0))</f>
        <v/>
      </c>
      <c r="W683" s="17">
        <f>IF(OR(B683="",E683="",COUNTA(F683,H683,J683:M683,O683,Q683:R683,T683:U683)=0),"",SUM(G683,I683,N683,P683,S683,V683))</f>
        <v/>
      </c>
      <c r="X683" s="18">
        <f>IF(W683="","",IF(Murid!F683="TL","TL",ROUND(W683/110*100,2)))</f>
        <v/>
      </c>
    </row>
    <row r="684">
      <c r="A684" s="15">
        <f>Murid!A684</f>
        <v/>
      </c>
      <c r="B684" s="15">
        <f>IF(Murid!B684="","",Murid!B684)</f>
        <v/>
      </c>
      <c r="C684" s="16">
        <f>IF(Murid!C684="","",Murid!C684)</f>
        <v/>
      </c>
      <c r="D684" s="15">
        <f>IF(Murid!E684="","",Murid!E684)</f>
        <v/>
      </c>
      <c r="E684" s="11" t="n"/>
      <c r="F684" s="11" t="n"/>
      <c r="G684" s="10">
        <f>IF(F684="","",IFERROR(VLOOKUP(F684,T_JUB,2,FALSE),0))</f>
        <v/>
      </c>
      <c r="H684" s="11" t="n"/>
      <c r="I684" s="17">
        <f>IF(H684="","",IF(H684&gt;=12,40,ROUND(H684*3.33,2)))</f>
        <v/>
      </c>
      <c r="J684" s="11" t="n"/>
      <c r="K684" s="11" t="n"/>
      <c r="L684" s="11" t="n"/>
      <c r="M684" s="11" t="n"/>
      <c r="N684" s="10">
        <f>IF(COUNTA(J684:M684)=0,"",MIN(10,SUMPRODUCT((COUNTIF(J684:M684,L_KOM)&gt;0)*S_KOM)))</f>
        <v/>
      </c>
      <c r="O684" s="11" t="n"/>
      <c r="P684" s="10">
        <f>IF(O684="","",IFERROR(VLOOKUP(O684,T_KHID,2,FALSE),0))</f>
        <v/>
      </c>
      <c r="Q684" s="11" t="n"/>
      <c r="R684" s="11" t="n"/>
      <c r="S684" s="10">
        <f>IF(AND(Q684="",R684=""),"",IFERROR(INDEX(T_LIBAT,MATCH(Q684,L_PER,0),MATCH(R684,L_JENIS,0)),0))</f>
        <v/>
      </c>
      <c r="T684" s="11" t="n"/>
      <c r="U684" s="11" t="n"/>
      <c r="V684" s="10">
        <f>IF(AND(T684="",U684=""),"",IFERROR(INDEX(T_CAPAI,MATCH(T684,L_PER,0),MATCH(U684,L_KED,0)),0))</f>
        <v/>
      </c>
      <c r="W684" s="17">
        <f>IF(OR(B684="",E684="",COUNTA(F684,H684,J684:M684,O684,Q684:R684,T684:U684)=0),"",SUM(G684,I684,N684,P684,S684,V684))</f>
        <v/>
      </c>
      <c r="X684" s="18">
        <f>IF(W684="","",IF(Murid!F684="TL","TL",ROUND(W684/110*100,2)))</f>
        <v/>
      </c>
    </row>
    <row r="685">
      <c r="A685" s="15">
        <f>Murid!A685</f>
        <v/>
      </c>
      <c r="B685" s="15">
        <f>IF(Murid!B685="","",Murid!B685)</f>
        <v/>
      </c>
      <c r="C685" s="16">
        <f>IF(Murid!C685="","",Murid!C685)</f>
        <v/>
      </c>
      <c r="D685" s="15">
        <f>IF(Murid!E685="","",Murid!E685)</f>
        <v/>
      </c>
      <c r="E685" s="11" t="n"/>
      <c r="F685" s="11" t="n"/>
      <c r="G685" s="10">
        <f>IF(F685="","",IFERROR(VLOOKUP(F685,T_JUB,2,FALSE),0))</f>
        <v/>
      </c>
      <c r="H685" s="11" t="n"/>
      <c r="I685" s="17">
        <f>IF(H685="","",IF(H685&gt;=12,40,ROUND(H685*3.33,2)))</f>
        <v/>
      </c>
      <c r="J685" s="11" t="n"/>
      <c r="K685" s="11" t="n"/>
      <c r="L685" s="11" t="n"/>
      <c r="M685" s="11" t="n"/>
      <c r="N685" s="10">
        <f>IF(COUNTA(J685:M685)=0,"",MIN(10,SUMPRODUCT((COUNTIF(J685:M685,L_KOM)&gt;0)*S_KOM)))</f>
        <v/>
      </c>
      <c r="O685" s="11" t="n"/>
      <c r="P685" s="10">
        <f>IF(O685="","",IFERROR(VLOOKUP(O685,T_KHID,2,FALSE),0))</f>
        <v/>
      </c>
      <c r="Q685" s="11" t="n"/>
      <c r="R685" s="11" t="n"/>
      <c r="S685" s="10">
        <f>IF(AND(Q685="",R685=""),"",IFERROR(INDEX(T_LIBAT,MATCH(Q685,L_PER,0),MATCH(R685,L_JENIS,0)),0))</f>
        <v/>
      </c>
      <c r="T685" s="11" t="n"/>
      <c r="U685" s="11" t="n"/>
      <c r="V685" s="10">
        <f>IF(AND(T685="",U685=""),"",IFERROR(INDEX(T_CAPAI,MATCH(T685,L_PER,0),MATCH(U685,L_KED,0)),0))</f>
        <v/>
      </c>
      <c r="W685" s="17">
        <f>IF(OR(B685="",E685="",COUNTA(F685,H685,J685:M685,O685,Q685:R685,T685:U685)=0),"",SUM(G685,I685,N685,P685,S685,V685))</f>
        <v/>
      </c>
      <c r="X685" s="18">
        <f>IF(W685="","",IF(Murid!F685="TL","TL",ROUND(W685/110*100,2)))</f>
        <v/>
      </c>
    </row>
    <row r="686">
      <c r="A686" s="15">
        <f>Murid!A686</f>
        <v/>
      </c>
      <c r="B686" s="15">
        <f>IF(Murid!B686="","",Murid!B686)</f>
        <v/>
      </c>
      <c r="C686" s="16">
        <f>IF(Murid!C686="","",Murid!C686)</f>
        <v/>
      </c>
      <c r="D686" s="15">
        <f>IF(Murid!E686="","",Murid!E686)</f>
        <v/>
      </c>
      <c r="E686" s="11" t="n"/>
      <c r="F686" s="11" t="n"/>
      <c r="G686" s="10">
        <f>IF(F686="","",IFERROR(VLOOKUP(F686,T_JUB,2,FALSE),0))</f>
        <v/>
      </c>
      <c r="H686" s="11" t="n"/>
      <c r="I686" s="17">
        <f>IF(H686="","",IF(H686&gt;=12,40,ROUND(H686*3.33,2)))</f>
        <v/>
      </c>
      <c r="J686" s="11" t="n"/>
      <c r="K686" s="11" t="n"/>
      <c r="L686" s="11" t="n"/>
      <c r="M686" s="11" t="n"/>
      <c r="N686" s="10">
        <f>IF(COUNTA(J686:M686)=0,"",MIN(10,SUMPRODUCT((COUNTIF(J686:M686,L_KOM)&gt;0)*S_KOM)))</f>
        <v/>
      </c>
      <c r="O686" s="11" t="n"/>
      <c r="P686" s="10">
        <f>IF(O686="","",IFERROR(VLOOKUP(O686,T_KHID,2,FALSE),0))</f>
        <v/>
      </c>
      <c r="Q686" s="11" t="n"/>
      <c r="R686" s="11" t="n"/>
      <c r="S686" s="10">
        <f>IF(AND(Q686="",R686=""),"",IFERROR(INDEX(T_LIBAT,MATCH(Q686,L_PER,0),MATCH(R686,L_JENIS,0)),0))</f>
        <v/>
      </c>
      <c r="T686" s="11" t="n"/>
      <c r="U686" s="11" t="n"/>
      <c r="V686" s="10">
        <f>IF(AND(T686="",U686=""),"",IFERROR(INDEX(T_CAPAI,MATCH(T686,L_PER,0),MATCH(U686,L_KED,0)),0))</f>
        <v/>
      </c>
      <c r="W686" s="17">
        <f>IF(OR(B686="",E686="",COUNTA(F686,H686,J686:M686,O686,Q686:R686,T686:U686)=0),"",SUM(G686,I686,N686,P686,S686,V686))</f>
        <v/>
      </c>
      <c r="X686" s="18">
        <f>IF(W686="","",IF(Murid!F686="TL","TL",ROUND(W686/110*100,2)))</f>
        <v/>
      </c>
    </row>
    <row r="687">
      <c r="A687" s="15">
        <f>Murid!A687</f>
        <v/>
      </c>
      <c r="B687" s="15">
        <f>IF(Murid!B687="","",Murid!B687)</f>
        <v/>
      </c>
      <c r="C687" s="16">
        <f>IF(Murid!C687="","",Murid!C687)</f>
        <v/>
      </c>
      <c r="D687" s="15">
        <f>IF(Murid!E687="","",Murid!E687)</f>
        <v/>
      </c>
      <c r="E687" s="11" t="n"/>
      <c r="F687" s="11" t="n"/>
      <c r="G687" s="10">
        <f>IF(F687="","",IFERROR(VLOOKUP(F687,T_JUB,2,FALSE),0))</f>
        <v/>
      </c>
      <c r="H687" s="11" t="n"/>
      <c r="I687" s="17">
        <f>IF(H687="","",IF(H687&gt;=12,40,ROUND(H687*3.33,2)))</f>
        <v/>
      </c>
      <c r="J687" s="11" t="n"/>
      <c r="K687" s="11" t="n"/>
      <c r="L687" s="11" t="n"/>
      <c r="M687" s="11" t="n"/>
      <c r="N687" s="10">
        <f>IF(COUNTA(J687:M687)=0,"",MIN(10,SUMPRODUCT((COUNTIF(J687:M687,L_KOM)&gt;0)*S_KOM)))</f>
        <v/>
      </c>
      <c r="O687" s="11" t="n"/>
      <c r="P687" s="10">
        <f>IF(O687="","",IFERROR(VLOOKUP(O687,T_KHID,2,FALSE),0))</f>
        <v/>
      </c>
      <c r="Q687" s="11" t="n"/>
      <c r="R687" s="11" t="n"/>
      <c r="S687" s="10">
        <f>IF(AND(Q687="",R687=""),"",IFERROR(INDEX(T_LIBAT,MATCH(Q687,L_PER,0),MATCH(R687,L_JENIS,0)),0))</f>
        <v/>
      </c>
      <c r="T687" s="11" t="n"/>
      <c r="U687" s="11" t="n"/>
      <c r="V687" s="10">
        <f>IF(AND(T687="",U687=""),"",IFERROR(INDEX(T_CAPAI,MATCH(T687,L_PER,0),MATCH(U687,L_KED,0)),0))</f>
        <v/>
      </c>
      <c r="W687" s="17">
        <f>IF(OR(B687="",E687="",COUNTA(F687,H687,J687:M687,O687,Q687:R687,T687:U687)=0),"",SUM(G687,I687,N687,P687,S687,V687))</f>
        <v/>
      </c>
      <c r="X687" s="18">
        <f>IF(W687="","",IF(Murid!F687="TL","TL",ROUND(W687/110*100,2)))</f>
        <v/>
      </c>
    </row>
    <row r="688">
      <c r="A688" s="15">
        <f>Murid!A688</f>
        <v/>
      </c>
      <c r="B688" s="15">
        <f>IF(Murid!B688="","",Murid!B688)</f>
        <v/>
      </c>
      <c r="C688" s="16">
        <f>IF(Murid!C688="","",Murid!C688)</f>
        <v/>
      </c>
      <c r="D688" s="15">
        <f>IF(Murid!E688="","",Murid!E688)</f>
        <v/>
      </c>
      <c r="E688" s="11" t="n"/>
      <c r="F688" s="11" t="n"/>
      <c r="G688" s="10">
        <f>IF(F688="","",IFERROR(VLOOKUP(F688,T_JUB,2,FALSE),0))</f>
        <v/>
      </c>
      <c r="H688" s="11" t="n"/>
      <c r="I688" s="17">
        <f>IF(H688="","",IF(H688&gt;=12,40,ROUND(H688*3.33,2)))</f>
        <v/>
      </c>
      <c r="J688" s="11" t="n"/>
      <c r="K688" s="11" t="n"/>
      <c r="L688" s="11" t="n"/>
      <c r="M688" s="11" t="n"/>
      <c r="N688" s="10">
        <f>IF(COUNTA(J688:M688)=0,"",MIN(10,SUMPRODUCT((COUNTIF(J688:M688,L_KOM)&gt;0)*S_KOM)))</f>
        <v/>
      </c>
      <c r="O688" s="11" t="n"/>
      <c r="P688" s="10">
        <f>IF(O688="","",IFERROR(VLOOKUP(O688,T_KHID,2,FALSE),0))</f>
        <v/>
      </c>
      <c r="Q688" s="11" t="n"/>
      <c r="R688" s="11" t="n"/>
      <c r="S688" s="10">
        <f>IF(AND(Q688="",R688=""),"",IFERROR(INDEX(T_LIBAT,MATCH(Q688,L_PER,0),MATCH(R688,L_JENIS,0)),0))</f>
        <v/>
      </c>
      <c r="T688" s="11" t="n"/>
      <c r="U688" s="11" t="n"/>
      <c r="V688" s="10">
        <f>IF(AND(T688="",U688=""),"",IFERROR(INDEX(T_CAPAI,MATCH(T688,L_PER,0),MATCH(U688,L_KED,0)),0))</f>
        <v/>
      </c>
      <c r="W688" s="17">
        <f>IF(OR(B688="",E688="",COUNTA(F688,H688,J688:M688,O688,Q688:R688,T688:U688)=0),"",SUM(G688,I688,N688,P688,S688,V688))</f>
        <v/>
      </c>
      <c r="X688" s="18">
        <f>IF(W688="","",IF(Murid!F688="TL","TL",ROUND(W688/110*100,2)))</f>
        <v/>
      </c>
    </row>
    <row r="689">
      <c r="A689" s="15">
        <f>Murid!A689</f>
        <v/>
      </c>
      <c r="B689" s="15">
        <f>IF(Murid!B689="","",Murid!B689)</f>
        <v/>
      </c>
      <c r="C689" s="16">
        <f>IF(Murid!C689="","",Murid!C689)</f>
        <v/>
      </c>
      <c r="D689" s="15">
        <f>IF(Murid!E689="","",Murid!E689)</f>
        <v/>
      </c>
      <c r="E689" s="11" t="n"/>
      <c r="F689" s="11" t="n"/>
      <c r="G689" s="10">
        <f>IF(F689="","",IFERROR(VLOOKUP(F689,T_JUB,2,FALSE),0))</f>
        <v/>
      </c>
      <c r="H689" s="11" t="n"/>
      <c r="I689" s="17">
        <f>IF(H689="","",IF(H689&gt;=12,40,ROUND(H689*3.33,2)))</f>
        <v/>
      </c>
      <c r="J689" s="11" t="n"/>
      <c r="K689" s="11" t="n"/>
      <c r="L689" s="11" t="n"/>
      <c r="M689" s="11" t="n"/>
      <c r="N689" s="10">
        <f>IF(COUNTA(J689:M689)=0,"",MIN(10,SUMPRODUCT((COUNTIF(J689:M689,L_KOM)&gt;0)*S_KOM)))</f>
        <v/>
      </c>
      <c r="O689" s="11" t="n"/>
      <c r="P689" s="10">
        <f>IF(O689="","",IFERROR(VLOOKUP(O689,T_KHID,2,FALSE),0))</f>
        <v/>
      </c>
      <c r="Q689" s="11" t="n"/>
      <c r="R689" s="11" t="n"/>
      <c r="S689" s="10">
        <f>IF(AND(Q689="",R689=""),"",IFERROR(INDEX(T_LIBAT,MATCH(Q689,L_PER,0),MATCH(R689,L_JENIS,0)),0))</f>
        <v/>
      </c>
      <c r="T689" s="11" t="n"/>
      <c r="U689" s="11" t="n"/>
      <c r="V689" s="10">
        <f>IF(AND(T689="",U689=""),"",IFERROR(INDEX(T_CAPAI,MATCH(T689,L_PER,0),MATCH(U689,L_KED,0)),0))</f>
        <v/>
      </c>
      <c r="W689" s="17">
        <f>IF(OR(B689="",E689="",COUNTA(F689,H689,J689:M689,O689,Q689:R689,T689:U689)=0),"",SUM(G689,I689,N689,P689,S689,V689))</f>
        <v/>
      </c>
      <c r="X689" s="18">
        <f>IF(W689="","",IF(Murid!F689="TL","TL",ROUND(W689/110*100,2)))</f>
        <v/>
      </c>
    </row>
    <row r="690">
      <c r="A690" s="15">
        <f>Murid!A690</f>
        <v/>
      </c>
      <c r="B690" s="15">
        <f>IF(Murid!B690="","",Murid!B690)</f>
        <v/>
      </c>
      <c r="C690" s="16">
        <f>IF(Murid!C690="","",Murid!C690)</f>
        <v/>
      </c>
      <c r="D690" s="15">
        <f>IF(Murid!E690="","",Murid!E690)</f>
        <v/>
      </c>
      <c r="E690" s="11" t="n"/>
      <c r="F690" s="11" t="n"/>
      <c r="G690" s="10">
        <f>IF(F690="","",IFERROR(VLOOKUP(F690,T_JUB,2,FALSE),0))</f>
        <v/>
      </c>
      <c r="H690" s="11" t="n"/>
      <c r="I690" s="17">
        <f>IF(H690="","",IF(H690&gt;=12,40,ROUND(H690*3.33,2)))</f>
        <v/>
      </c>
      <c r="J690" s="11" t="n"/>
      <c r="K690" s="11" t="n"/>
      <c r="L690" s="11" t="n"/>
      <c r="M690" s="11" t="n"/>
      <c r="N690" s="10">
        <f>IF(COUNTA(J690:M690)=0,"",MIN(10,SUMPRODUCT((COUNTIF(J690:M690,L_KOM)&gt;0)*S_KOM)))</f>
        <v/>
      </c>
      <c r="O690" s="11" t="n"/>
      <c r="P690" s="10">
        <f>IF(O690="","",IFERROR(VLOOKUP(O690,T_KHID,2,FALSE),0))</f>
        <v/>
      </c>
      <c r="Q690" s="11" t="n"/>
      <c r="R690" s="11" t="n"/>
      <c r="S690" s="10">
        <f>IF(AND(Q690="",R690=""),"",IFERROR(INDEX(T_LIBAT,MATCH(Q690,L_PER,0),MATCH(R690,L_JENIS,0)),0))</f>
        <v/>
      </c>
      <c r="T690" s="11" t="n"/>
      <c r="U690" s="11" t="n"/>
      <c r="V690" s="10">
        <f>IF(AND(T690="",U690=""),"",IFERROR(INDEX(T_CAPAI,MATCH(T690,L_PER,0),MATCH(U690,L_KED,0)),0))</f>
        <v/>
      </c>
      <c r="W690" s="17">
        <f>IF(OR(B690="",E690="",COUNTA(F690,H690,J690:M690,O690,Q690:R690,T690:U690)=0),"",SUM(G690,I690,N690,P690,S690,V690))</f>
        <v/>
      </c>
      <c r="X690" s="18">
        <f>IF(W690="","",IF(Murid!F690="TL","TL",ROUND(W690/110*100,2)))</f>
        <v/>
      </c>
    </row>
    <row r="691">
      <c r="A691" s="15">
        <f>Murid!A691</f>
        <v/>
      </c>
      <c r="B691" s="15">
        <f>IF(Murid!B691="","",Murid!B691)</f>
        <v/>
      </c>
      <c r="C691" s="16">
        <f>IF(Murid!C691="","",Murid!C691)</f>
        <v/>
      </c>
      <c r="D691" s="15">
        <f>IF(Murid!E691="","",Murid!E691)</f>
        <v/>
      </c>
      <c r="E691" s="11" t="n"/>
      <c r="F691" s="11" t="n"/>
      <c r="G691" s="10">
        <f>IF(F691="","",IFERROR(VLOOKUP(F691,T_JUB,2,FALSE),0))</f>
        <v/>
      </c>
      <c r="H691" s="11" t="n"/>
      <c r="I691" s="17">
        <f>IF(H691="","",IF(H691&gt;=12,40,ROUND(H691*3.33,2)))</f>
        <v/>
      </c>
      <c r="J691" s="11" t="n"/>
      <c r="K691" s="11" t="n"/>
      <c r="L691" s="11" t="n"/>
      <c r="M691" s="11" t="n"/>
      <c r="N691" s="10">
        <f>IF(COUNTA(J691:M691)=0,"",MIN(10,SUMPRODUCT((COUNTIF(J691:M691,L_KOM)&gt;0)*S_KOM)))</f>
        <v/>
      </c>
      <c r="O691" s="11" t="n"/>
      <c r="P691" s="10">
        <f>IF(O691="","",IFERROR(VLOOKUP(O691,T_KHID,2,FALSE),0))</f>
        <v/>
      </c>
      <c r="Q691" s="11" t="n"/>
      <c r="R691" s="11" t="n"/>
      <c r="S691" s="10">
        <f>IF(AND(Q691="",R691=""),"",IFERROR(INDEX(T_LIBAT,MATCH(Q691,L_PER,0),MATCH(R691,L_JENIS,0)),0))</f>
        <v/>
      </c>
      <c r="T691" s="11" t="n"/>
      <c r="U691" s="11" t="n"/>
      <c r="V691" s="10">
        <f>IF(AND(T691="",U691=""),"",IFERROR(INDEX(T_CAPAI,MATCH(T691,L_PER,0),MATCH(U691,L_KED,0)),0))</f>
        <v/>
      </c>
      <c r="W691" s="17">
        <f>IF(OR(B691="",E691="",COUNTA(F691,H691,J691:M691,O691,Q691:R691,T691:U691)=0),"",SUM(G691,I691,N691,P691,S691,V691))</f>
        <v/>
      </c>
      <c r="X691" s="18">
        <f>IF(W691="","",IF(Murid!F691="TL","TL",ROUND(W691/110*100,2)))</f>
        <v/>
      </c>
    </row>
    <row r="692">
      <c r="A692" s="15">
        <f>Murid!A692</f>
        <v/>
      </c>
      <c r="B692" s="15">
        <f>IF(Murid!B692="","",Murid!B692)</f>
        <v/>
      </c>
      <c r="C692" s="16">
        <f>IF(Murid!C692="","",Murid!C692)</f>
        <v/>
      </c>
      <c r="D692" s="15">
        <f>IF(Murid!E692="","",Murid!E692)</f>
        <v/>
      </c>
      <c r="E692" s="11" t="n"/>
      <c r="F692" s="11" t="n"/>
      <c r="G692" s="10">
        <f>IF(F692="","",IFERROR(VLOOKUP(F692,T_JUB,2,FALSE),0))</f>
        <v/>
      </c>
      <c r="H692" s="11" t="n"/>
      <c r="I692" s="17">
        <f>IF(H692="","",IF(H692&gt;=12,40,ROUND(H692*3.33,2)))</f>
        <v/>
      </c>
      <c r="J692" s="11" t="n"/>
      <c r="K692" s="11" t="n"/>
      <c r="L692" s="11" t="n"/>
      <c r="M692" s="11" t="n"/>
      <c r="N692" s="10">
        <f>IF(COUNTA(J692:M692)=0,"",MIN(10,SUMPRODUCT((COUNTIF(J692:M692,L_KOM)&gt;0)*S_KOM)))</f>
        <v/>
      </c>
      <c r="O692" s="11" t="n"/>
      <c r="P692" s="10">
        <f>IF(O692="","",IFERROR(VLOOKUP(O692,T_KHID,2,FALSE),0))</f>
        <v/>
      </c>
      <c r="Q692" s="11" t="n"/>
      <c r="R692" s="11" t="n"/>
      <c r="S692" s="10">
        <f>IF(AND(Q692="",R692=""),"",IFERROR(INDEX(T_LIBAT,MATCH(Q692,L_PER,0),MATCH(R692,L_JENIS,0)),0))</f>
        <v/>
      </c>
      <c r="T692" s="11" t="n"/>
      <c r="U692" s="11" t="n"/>
      <c r="V692" s="10">
        <f>IF(AND(T692="",U692=""),"",IFERROR(INDEX(T_CAPAI,MATCH(T692,L_PER,0),MATCH(U692,L_KED,0)),0))</f>
        <v/>
      </c>
      <c r="W692" s="17">
        <f>IF(OR(B692="",E692="",COUNTA(F692,H692,J692:M692,O692,Q692:R692,T692:U692)=0),"",SUM(G692,I692,N692,P692,S692,V692))</f>
        <v/>
      </c>
      <c r="X692" s="18">
        <f>IF(W692="","",IF(Murid!F692="TL","TL",ROUND(W692/110*100,2)))</f>
        <v/>
      </c>
    </row>
    <row r="693">
      <c r="A693" s="15">
        <f>Murid!A693</f>
        <v/>
      </c>
      <c r="B693" s="15">
        <f>IF(Murid!B693="","",Murid!B693)</f>
        <v/>
      </c>
      <c r="C693" s="16">
        <f>IF(Murid!C693="","",Murid!C693)</f>
        <v/>
      </c>
      <c r="D693" s="15">
        <f>IF(Murid!E693="","",Murid!E693)</f>
        <v/>
      </c>
      <c r="E693" s="11" t="n"/>
      <c r="F693" s="11" t="n"/>
      <c r="G693" s="10">
        <f>IF(F693="","",IFERROR(VLOOKUP(F693,T_JUB,2,FALSE),0))</f>
        <v/>
      </c>
      <c r="H693" s="11" t="n"/>
      <c r="I693" s="17">
        <f>IF(H693="","",IF(H693&gt;=12,40,ROUND(H693*3.33,2)))</f>
        <v/>
      </c>
      <c r="J693" s="11" t="n"/>
      <c r="K693" s="11" t="n"/>
      <c r="L693" s="11" t="n"/>
      <c r="M693" s="11" t="n"/>
      <c r="N693" s="10">
        <f>IF(COUNTA(J693:M693)=0,"",MIN(10,SUMPRODUCT((COUNTIF(J693:M693,L_KOM)&gt;0)*S_KOM)))</f>
        <v/>
      </c>
      <c r="O693" s="11" t="n"/>
      <c r="P693" s="10">
        <f>IF(O693="","",IFERROR(VLOOKUP(O693,T_KHID,2,FALSE),0))</f>
        <v/>
      </c>
      <c r="Q693" s="11" t="n"/>
      <c r="R693" s="11" t="n"/>
      <c r="S693" s="10">
        <f>IF(AND(Q693="",R693=""),"",IFERROR(INDEX(T_LIBAT,MATCH(Q693,L_PER,0),MATCH(R693,L_JENIS,0)),0))</f>
        <v/>
      </c>
      <c r="T693" s="11" t="n"/>
      <c r="U693" s="11" t="n"/>
      <c r="V693" s="10">
        <f>IF(AND(T693="",U693=""),"",IFERROR(INDEX(T_CAPAI,MATCH(T693,L_PER,0),MATCH(U693,L_KED,0)),0))</f>
        <v/>
      </c>
      <c r="W693" s="17">
        <f>IF(OR(B693="",E693="",COUNTA(F693,H693,J693:M693,O693,Q693:R693,T693:U693)=0),"",SUM(G693,I693,N693,P693,S693,V693))</f>
        <v/>
      </c>
      <c r="X693" s="18">
        <f>IF(W693="","",IF(Murid!F693="TL","TL",ROUND(W693/110*100,2)))</f>
        <v/>
      </c>
    </row>
    <row r="694">
      <c r="A694" s="15">
        <f>Murid!A694</f>
        <v/>
      </c>
      <c r="B694" s="15">
        <f>IF(Murid!B694="","",Murid!B694)</f>
        <v/>
      </c>
      <c r="C694" s="16">
        <f>IF(Murid!C694="","",Murid!C694)</f>
        <v/>
      </c>
      <c r="D694" s="15">
        <f>IF(Murid!E694="","",Murid!E694)</f>
        <v/>
      </c>
      <c r="E694" s="11" t="n"/>
      <c r="F694" s="11" t="n"/>
      <c r="G694" s="10">
        <f>IF(F694="","",IFERROR(VLOOKUP(F694,T_JUB,2,FALSE),0))</f>
        <v/>
      </c>
      <c r="H694" s="11" t="n"/>
      <c r="I694" s="17">
        <f>IF(H694="","",IF(H694&gt;=12,40,ROUND(H694*3.33,2)))</f>
        <v/>
      </c>
      <c r="J694" s="11" t="n"/>
      <c r="K694" s="11" t="n"/>
      <c r="L694" s="11" t="n"/>
      <c r="M694" s="11" t="n"/>
      <c r="N694" s="10">
        <f>IF(COUNTA(J694:M694)=0,"",MIN(10,SUMPRODUCT((COUNTIF(J694:M694,L_KOM)&gt;0)*S_KOM)))</f>
        <v/>
      </c>
      <c r="O694" s="11" t="n"/>
      <c r="P694" s="10">
        <f>IF(O694="","",IFERROR(VLOOKUP(O694,T_KHID,2,FALSE),0))</f>
        <v/>
      </c>
      <c r="Q694" s="11" t="n"/>
      <c r="R694" s="11" t="n"/>
      <c r="S694" s="10">
        <f>IF(AND(Q694="",R694=""),"",IFERROR(INDEX(T_LIBAT,MATCH(Q694,L_PER,0),MATCH(R694,L_JENIS,0)),0))</f>
        <v/>
      </c>
      <c r="T694" s="11" t="n"/>
      <c r="U694" s="11" t="n"/>
      <c r="V694" s="10">
        <f>IF(AND(T694="",U694=""),"",IFERROR(INDEX(T_CAPAI,MATCH(T694,L_PER,0),MATCH(U694,L_KED,0)),0))</f>
        <v/>
      </c>
      <c r="W694" s="17">
        <f>IF(OR(B694="",E694="",COUNTA(F694,H694,J694:M694,O694,Q694:R694,T694:U694)=0),"",SUM(G694,I694,N694,P694,S694,V694))</f>
        <v/>
      </c>
      <c r="X694" s="18">
        <f>IF(W694="","",IF(Murid!F694="TL","TL",ROUND(W694/110*100,2)))</f>
        <v/>
      </c>
    </row>
    <row r="695">
      <c r="A695" s="15">
        <f>Murid!A695</f>
        <v/>
      </c>
      <c r="B695" s="15">
        <f>IF(Murid!B695="","",Murid!B695)</f>
        <v/>
      </c>
      <c r="C695" s="16">
        <f>IF(Murid!C695="","",Murid!C695)</f>
        <v/>
      </c>
      <c r="D695" s="15">
        <f>IF(Murid!E695="","",Murid!E695)</f>
        <v/>
      </c>
      <c r="E695" s="11" t="n"/>
      <c r="F695" s="11" t="n"/>
      <c r="G695" s="10">
        <f>IF(F695="","",IFERROR(VLOOKUP(F695,T_JUB,2,FALSE),0))</f>
        <v/>
      </c>
      <c r="H695" s="11" t="n"/>
      <c r="I695" s="17">
        <f>IF(H695="","",IF(H695&gt;=12,40,ROUND(H695*3.33,2)))</f>
        <v/>
      </c>
      <c r="J695" s="11" t="n"/>
      <c r="K695" s="11" t="n"/>
      <c r="L695" s="11" t="n"/>
      <c r="M695" s="11" t="n"/>
      <c r="N695" s="10">
        <f>IF(COUNTA(J695:M695)=0,"",MIN(10,SUMPRODUCT((COUNTIF(J695:M695,L_KOM)&gt;0)*S_KOM)))</f>
        <v/>
      </c>
      <c r="O695" s="11" t="n"/>
      <c r="P695" s="10">
        <f>IF(O695="","",IFERROR(VLOOKUP(O695,T_KHID,2,FALSE),0))</f>
        <v/>
      </c>
      <c r="Q695" s="11" t="n"/>
      <c r="R695" s="11" t="n"/>
      <c r="S695" s="10">
        <f>IF(AND(Q695="",R695=""),"",IFERROR(INDEX(T_LIBAT,MATCH(Q695,L_PER,0),MATCH(R695,L_JENIS,0)),0))</f>
        <v/>
      </c>
      <c r="T695" s="11" t="n"/>
      <c r="U695" s="11" t="n"/>
      <c r="V695" s="10">
        <f>IF(AND(T695="",U695=""),"",IFERROR(INDEX(T_CAPAI,MATCH(T695,L_PER,0),MATCH(U695,L_KED,0)),0))</f>
        <v/>
      </c>
      <c r="W695" s="17">
        <f>IF(OR(B695="",E695="",COUNTA(F695,H695,J695:M695,O695,Q695:R695,T695:U695)=0),"",SUM(G695,I695,N695,P695,S695,V695))</f>
        <v/>
      </c>
      <c r="X695" s="18">
        <f>IF(W695="","",IF(Murid!F695="TL","TL",ROUND(W695/110*100,2)))</f>
        <v/>
      </c>
    </row>
    <row r="696">
      <c r="A696" s="15">
        <f>Murid!A696</f>
        <v/>
      </c>
      <c r="B696" s="15">
        <f>IF(Murid!B696="","",Murid!B696)</f>
        <v/>
      </c>
      <c r="C696" s="16">
        <f>IF(Murid!C696="","",Murid!C696)</f>
        <v/>
      </c>
      <c r="D696" s="15">
        <f>IF(Murid!E696="","",Murid!E696)</f>
        <v/>
      </c>
      <c r="E696" s="11" t="n"/>
      <c r="F696" s="11" t="n"/>
      <c r="G696" s="10">
        <f>IF(F696="","",IFERROR(VLOOKUP(F696,T_JUB,2,FALSE),0))</f>
        <v/>
      </c>
      <c r="H696" s="11" t="n"/>
      <c r="I696" s="17">
        <f>IF(H696="","",IF(H696&gt;=12,40,ROUND(H696*3.33,2)))</f>
        <v/>
      </c>
      <c r="J696" s="11" t="n"/>
      <c r="K696" s="11" t="n"/>
      <c r="L696" s="11" t="n"/>
      <c r="M696" s="11" t="n"/>
      <c r="N696" s="10">
        <f>IF(COUNTA(J696:M696)=0,"",MIN(10,SUMPRODUCT((COUNTIF(J696:M696,L_KOM)&gt;0)*S_KOM)))</f>
        <v/>
      </c>
      <c r="O696" s="11" t="n"/>
      <c r="P696" s="10">
        <f>IF(O696="","",IFERROR(VLOOKUP(O696,T_KHID,2,FALSE),0))</f>
        <v/>
      </c>
      <c r="Q696" s="11" t="n"/>
      <c r="R696" s="11" t="n"/>
      <c r="S696" s="10">
        <f>IF(AND(Q696="",R696=""),"",IFERROR(INDEX(T_LIBAT,MATCH(Q696,L_PER,0),MATCH(R696,L_JENIS,0)),0))</f>
        <v/>
      </c>
      <c r="T696" s="11" t="n"/>
      <c r="U696" s="11" t="n"/>
      <c r="V696" s="10">
        <f>IF(AND(T696="",U696=""),"",IFERROR(INDEX(T_CAPAI,MATCH(T696,L_PER,0),MATCH(U696,L_KED,0)),0))</f>
        <v/>
      </c>
      <c r="W696" s="17">
        <f>IF(OR(B696="",E696="",COUNTA(F696,H696,J696:M696,O696,Q696:R696,T696:U696)=0),"",SUM(G696,I696,N696,P696,S696,V696))</f>
        <v/>
      </c>
      <c r="X696" s="18">
        <f>IF(W696="","",IF(Murid!F696="TL","TL",ROUND(W696/110*100,2)))</f>
        <v/>
      </c>
    </row>
    <row r="697">
      <c r="A697" s="15">
        <f>Murid!A697</f>
        <v/>
      </c>
      <c r="B697" s="15">
        <f>IF(Murid!B697="","",Murid!B697)</f>
        <v/>
      </c>
      <c r="C697" s="16">
        <f>IF(Murid!C697="","",Murid!C697)</f>
        <v/>
      </c>
      <c r="D697" s="15">
        <f>IF(Murid!E697="","",Murid!E697)</f>
        <v/>
      </c>
      <c r="E697" s="11" t="n"/>
      <c r="F697" s="11" t="n"/>
      <c r="G697" s="10">
        <f>IF(F697="","",IFERROR(VLOOKUP(F697,T_JUB,2,FALSE),0))</f>
        <v/>
      </c>
      <c r="H697" s="11" t="n"/>
      <c r="I697" s="17">
        <f>IF(H697="","",IF(H697&gt;=12,40,ROUND(H697*3.33,2)))</f>
        <v/>
      </c>
      <c r="J697" s="11" t="n"/>
      <c r="K697" s="11" t="n"/>
      <c r="L697" s="11" t="n"/>
      <c r="M697" s="11" t="n"/>
      <c r="N697" s="10">
        <f>IF(COUNTA(J697:M697)=0,"",MIN(10,SUMPRODUCT((COUNTIF(J697:M697,L_KOM)&gt;0)*S_KOM)))</f>
        <v/>
      </c>
      <c r="O697" s="11" t="n"/>
      <c r="P697" s="10">
        <f>IF(O697="","",IFERROR(VLOOKUP(O697,T_KHID,2,FALSE),0))</f>
        <v/>
      </c>
      <c r="Q697" s="11" t="n"/>
      <c r="R697" s="11" t="n"/>
      <c r="S697" s="10">
        <f>IF(AND(Q697="",R697=""),"",IFERROR(INDEX(T_LIBAT,MATCH(Q697,L_PER,0),MATCH(R697,L_JENIS,0)),0))</f>
        <v/>
      </c>
      <c r="T697" s="11" t="n"/>
      <c r="U697" s="11" t="n"/>
      <c r="V697" s="10">
        <f>IF(AND(T697="",U697=""),"",IFERROR(INDEX(T_CAPAI,MATCH(T697,L_PER,0),MATCH(U697,L_KED,0)),0))</f>
        <v/>
      </c>
      <c r="W697" s="17">
        <f>IF(OR(B697="",E697="",COUNTA(F697,H697,J697:M697,O697,Q697:R697,T697:U697)=0),"",SUM(G697,I697,N697,P697,S697,V697))</f>
        <v/>
      </c>
      <c r="X697" s="18">
        <f>IF(W697="","",IF(Murid!F697="TL","TL",ROUND(W697/110*100,2)))</f>
        <v/>
      </c>
    </row>
    <row r="698">
      <c r="A698" s="15">
        <f>Murid!A698</f>
        <v/>
      </c>
      <c r="B698" s="15">
        <f>IF(Murid!B698="","",Murid!B698)</f>
        <v/>
      </c>
      <c r="C698" s="16">
        <f>IF(Murid!C698="","",Murid!C698)</f>
        <v/>
      </c>
      <c r="D698" s="15">
        <f>IF(Murid!E698="","",Murid!E698)</f>
        <v/>
      </c>
      <c r="E698" s="11" t="n"/>
      <c r="F698" s="11" t="n"/>
      <c r="G698" s="10">
        <f>IF(F698="","",IFERROR(VLOOKUP(F698,T_JUB,2,FALSE),0))</f>
        <v/>
      </c>
      <c r="H698" s="11" t="n"/>
      <c r="I698" s="17">
        <f>IF(H698="","",IF(H698&gt;=12,40,ROUND(H698*3.33,2)))</f>
        <v/>
      </c>
      <c r="J698" s="11" t="n"/>
      <c r="K698" s="11" t="n"/>
      <c r="L698" s="11" t="n"/>
      <c r="M698" s="11" t="n"/>
      <c r="N698" s="10">
        <f>IF(COUNTA(J698:M698)=0,"",MIN(10,SUMPRODUCT((COUNTIF(J698:M698,L_KOM)&gt;0)*S_KOM)))</f>
        <v/>
      </c>
      <c r="O698" s="11" t="n"/>
      <c r="P698" s="10">
        <f>IF(O698="","",IFERROR(VLOOKUP(O698,T_KHID,2,FALSE),0))</f>
        <v/>
      </c>
      <c r="Q698" s="11" t="n"/>
      <c r="R698" s="11" t="n"/>
      <c r="S698" s="10">
        <f>IF(AND(Q698="",R698=""),"",IFERROR(INDEX(T_LIBAT,MATCH(Q698,L_PER,0),MATCH(R698,L_JENIS,0)),0))</f>
        <v/>
      </c>
      <c r="T698" s="11" t="n"/>
      <c r="U698" s="11" t="n"/>
      <c r="V698" s="10">
        <f>IF(AND(T698="",U698=""),"",IFERROR(INDEX(T_CAPAI,MATCH(T698,L_PER,0),MATCH(U698,L_KED,0)),0))</f>
        <v/>
      </c>
      <c r="W698" s="17">
        <f>IF(OR(B698="",E698="",COUNTA(F698,H698,J698:M698,O698,Q698:R698,T698:U698)=0),"",SUM(G698,I698,N698,P698,S698,V698))</f>
        <v/>
      </c>
      <c r="X698" s="18">
        <f>IF(W698="","",IF(Murid!F698="TL","TL",ROUND(W698/110*100,2)))</f>
        <v/>
      </c>
    </row>
    <row r="699">
      <c r="A699" s="15">
        <f>Murid!A699</f>
        <v/>
      </c>
      <c r="B699" s="15">
        <f>IF(Murid!B699="","",Murid!B699)</f>
        <v/>
      </c>
      <c r="C699" s="16">
        <f>IF(Murid!C699="","",Murid!C699)</f>
        <v/>
      </c>
      <c r="D699" s="15">
        <f>IF(Murid!E699="","",Murid!E699)</f>
        <v/>
      </c>
      <c r="E699" s="11" t="n"/>
      <c r="F699" s="11" t="n"/>
      <c r="G699" s="10">
        <f>IF(F699="","",IFERROR(VLOOKUP(F699,T_JUB,2,FALSE),0))</f>
        <v/>
      </c>
      <c r="H699" s="11" t="n"/>
      <c r="I699" s="17">
        <f>IF(H699="","",IF(H699&gt;=12,40,ROUND(H699*3.33,2)))</f>
        <v/>
      </c>
      <c r="J699" s="11" t="n"/>
      <c r="K699" s="11" t="n"/>
      <c r="L699" s="11" t="n"/>
      <c r="M699" s="11" t="n"/>
      <c r="N699" s="10">
        <f>IF(COUNTA(J699:M699)=0,"",MIN(10,SUMPRODUCT((COUNTIF(J699:M699,L_KOM)&gt;0)*S_KOM)))</f>
        <v/>
      </c>
      <c r="O699" s="11" t="n"/>
      <c r="P699" s="10">
        <f>IF(O699="","",IFERROR(VLOOKUP(O699,T_KHID,2,FALSE),0))</f>
        <v/>
      </c>
      <c r="Q699" s="11" t="n"/>
      <c r="R699" s="11" t="n"/>
      <c r="S699" s="10">
        <f>IF(AND(Q699="",R699=""),"",IFERROR(INDEX(T_LIBAT,MATCH(Q699,L_PER,0),MATCH(R699,L_JENIS,0)),0))</f>
        <v/>
      </c>
      <c r="T699" s="11" t="n"/>
      <c r="U699" s="11" t="n"/>
      <c r="V699" s="10">
        <f>IF(AND(T699="",U699=""),"",IFERROR(INDEX(T_CAPAI,MATCH(T699,L_PER,0),MATCH(U699,L_KED,0)),0))</f>
        <v/>
      </c>
      <c r="W699" s="17">
        <f>IF(OR(B699="",E699="",COUNTA(F699,H699,J699:M699,O699,Q699:R699,T699:U699)=0),"",SUM(G699,I699,N699,P699,S699,V699))</f>
        <v/>
      </c>
      <c r="X699" s="18">
        <f>IF(W699="","",IF(Murid!F699="TL","TL",ROUND(W699/110*100,2)))</f>
        <v/>
      </c>
    </row>
    <row r="700">
      <c r="A700" s="15">
        <f>Murid!A700</f>
        <v/>
      </c>
      <c r="B700" s="15">
        <f>IF(Murid!B700="","",Murid!B700)</f>
        <v/>
      </c>
      <c r="C700" s="16">
        <f>IF(Murid!C700="","",Murid!C700)</f>
        <v/>
      </c>
      <c r="D700" s="15">
        <f>IF(Murid!E700="","",Murid!E700)</f>
        <v/>
      </c>
      <c r="E700" s="11" t="n"/>
      <c r="F700" s="11" t="n"/>
      <c r="G700" s="10">
        <f>IF(F700="","",IFERROR(VLOOKUP(F700,T_JUB,2,FALSE),0))</f>
        <v/>
      </c>
      <c r="H700" s="11" t="n"/>
      <c r="I700" s="17">
        <f>IF(H700="","",IF(H700&gt;=12,40,ROUND(H700*3.33,2)))</f>
        <v/>
      </c>
      <c r="J700" s="11" t="n"/>
      <c r="K700" s="11" t="n"/>
      <c r="L700" s="11" t="n"/>
      <c r="M700" s="11" t="n"/>
      <c r="N700" s="10">
        <f>IF(COUNTA(J700:M700)=0,"",MIN(10,SUMPRODUCT((COUNTIF(J700:M700,L_KOM)&gt;0)*S_KOM)))</f>
        <v/>
      </c>
      <c r="O700" s="11" t="n"/>
      <c r="P700" s="10">
        <f>IF(O700="","",IFERROR(VLOOKUP(O700,T_KHID,2,FALSE),0))</f>
        <v/>
      </c>
      <c r="Q700" s="11" t="n"/>
      <c r="R700" s="11" t="n"/>
      <c r="S700" s="10">
        <f>IF(AND(Q700="",R700=""),"",IFERROR(INDEX(T_LIBAT,MATCH(Q700,L_PER,0),MATCH(R700,L_JENIS,0)),0))</f>
        <v/>
      </c>
      <c r="T700" s="11" t="n"/>
      <c r="U700" s="11" t="n"/>
      <c r="V700" s="10">
        <f>IF(AND(T700="",U700=""),"",IFERROR(INDEX(T_CAPAI,MATCH(T700,L_PER,0),MATCH(U700,L_KED,0)),0))</f>
        <v/>
      </c>
      <c r="W700" s="17">
        <f>IF(OR(B700="",E700="",COUNTA(F700,H700,J700:M700,O700,Q700:R700,T700:U700)=0),"",SUM(G700,I700,N700,P700,S700,V700))</f>
        <v/>
      </c>
      <c r="X700" s="18">
        <f>IF(W700="","",IF(Murid!F700="TL","TL",ROUND(W700/110*100,2)))</f>
        <v/>
      </c>
    </row>
    <row r="701">
      <c r="A701" s="15">
        <f>Murid!A701</f>
        <v/>
      </c>
      <c r="B701" s="15">
        <f>IF(Murid!B701="","",Murid!B701)</f>
        <v/>
      </c>
      <c r="C701" s="16">
        <f>IF(Murid!C701="","",Murid!C701)</f>
        <v/>
      </c>
      <c r="D701" s="15">
        <f>IF(Murid!E701="","",Murid!E701)</f>
        <v/>
      </c>
      <c r="E701" s="11" t="n"/>
      <c r="F701" s="11" t="n"/>
      <c r="G701" s="10">
        <f>IF(F701="","",IFERROR(VLOOKUP(F701,T_JUB,2,FALSE),0))</f>
        <v/>
      </c>
      <c r="H701" s="11" t="n"/>
      <c r="I701" s="17">
        <f>IF(H701="","",IF(H701&gt;=12,40,ROUND(H701*3.33,2)))</f>
        <v/>
      </c>
      <c r="J701" s="11" t="n"/>
      <c r="K701" s="11" t="n"/>
      <c r="L701" s="11" t="n"/>
      <c r="M701" s="11" t="n"/>
      <c r="N701" s="10">
        <f>IF(COUNTA(J701:M701)=0,"",MIN(10,SUMPRODUCT((COUNTIF(J701:M701,L_KOM)&gt;0)*S_KOM)))</f>
        <v/>
      </c>
      <c r="O701" s="11" t="n"/>
      <c r="P701" s="10">
        <f>IF(O701="","",IFERROR(VLOOKUP(O701,T_KHID,2,FALSE),0))</f>
        <v/>
      </c>
      <c r="Q701" s="11" t="n"/>
      <c r="R701" s="11" t="n"/>
      <c r="S701" s="10">
        <f>IF(AND(Q701="",R701=""),"",IFERROR(INDEX(T_LIBAT,MATCH(Q701,L_PER,0),MATCH(R701,L_JENIS,0)),0))</f>
        <v/>
      </c>
      <c r="T701" s="11" t="n"/>
      <c r="U701" s="11" t="n"/>
      <c r="V701" s="10">
        <f>IF(AND(T701="",U701=""),"",IFERROR(INDEX(T_CAPAI,MATCH(T701,L_PER,0),MATCH(U701,L_KED,0)),0))</f>
        <v/>
      </c>
      <c r="W701" s="17">
        <f>IF(OR(B701="",E701="",COUNTA(F701,H701,J701:M701,O701,Q701:R701,T701:U701)=0),"",SUM(G701,I701,N701,P701,S701,V701))</f>
        <v/>
      </c>
      <c r="X701" s="18">
        <f>IF(W701="","",IF(Murid!F701="TL","TL",ROUND(W701/110*100,2)))</f>
        <v/>
      </c>
    </row>
    <row r="702">
      <c r="A702" s="15">
        <f>Murid!A702</f>
        <v/>
      </c>
      <c r="B702" s="15">
        <f>IF(Murid!B702="","",Murid!B702)</f>
        <v/>
      </c>
      <c r="C702" s="16">
        <f>IF(Murid!C702="","",Murid!C702)</f>
        <v/>
      </c>
      <c r="D702" s="15">
        <f>IF(Murid!E702="","",Murid!E702)</f>
        <v/>
      </c>
      <c r="E702" s="11" t="n"/>
      <c r="F702" s="11" t="n"/>
      <c r="G702" s="10">
        <f>IF(F702="","",IFERROR(VLOOKUP(F702,T_JUB,2,FALSE),0))</f>
        <v/>
      </c>
      <c r="H702" s="11" t="n"/>
      <c r="I702" s="17">
        <f>IF(H702="","",IF(H702&gt;=12,40,ROUND(H702*3.33,2)))</f>
        <v/>
      </c>
      <c r="J702" s="11" t="n"/>
      <c r="K702" s="11" t="n"/>
      <c r="L702" s="11" t="n"/>
      <c r="M702" s="11" t="n"/>
      <c r="N702" s="10">
        <f>IF(COUNTA(J702:M702)=0,"",MIN(10,SUMPRODUCT((COUNTIF(J702:M702,L_KOM)&gt;0)*S_KOM)))</f>
        <v/>
      </c>
      <c r="O702" s="11" t="n"/>
      <c r="P702" s="10">
        <f>IF(O702="","",IFERROR(VLOOKUP(O702,T_KHID,2,FALSE),0))</f>
        <v/>
      </c>
      <c r="Q702" s="11" t="n"/>
      <c r="R702" s="11" t="n"/>
      <c r="S702" s="10">
        <f>IF(AND(Q702="",R702=""),"",IFERROR(INDEX(T_LIBAT,MATCH(Q702,L_PER,0),MATCH(R702,L_JENIS,0)),0))</f>
        <v/>
      </c>
      <c r="T702" s="11" t="n"/>
      <c r="U702" s="11" t="n"/>
      <c r="V702" s="10">
        <f>IF(AND(T702="",U702=""),"",IFERROR(INDEX(T_CAPAI,MATCH(T702,L_PER,0),MATCH(U702,L_KED,0)),0))</f>
        <v/>
      </c>
      <c r="W702" s="17">
        <f>IF(OR(B702="",E702="",COUNTA(F702,H702,J702:M702,O702,Q702:R702,T702:U702)=0),"",SUM(G702,I702,N702,P702,S702,V702))</f>
        <v/>
      </c>
      <c r="X702" s="18">
        <f>IF(W702="","",IF(Murid!F702="TL","TL",ROUND(W702/110*100,2)))</f>
        <v/>
      </c>
    </row>
    <row r="703">
      <c r="A703" s="15">
        <f>Murid!A703</f>
        <v/>
      </c>
      <c r="B703" s="15">
        <f>IF(Murid!B703="","",Murid!B703)</f>
        <v/>
      </c>
      <c r="C703" s="16">
        <f>IF(Murid!C703="","",Murid!C703)</f>
        <v/>
      </c>
      <c r="D703" s="15">
        <f>IF(Murid!E703="","",Murid!E703)</f>
        <v/>
      </c>
      <c r="E703" s="11" t="n"/>
      <c r="F703" s="11" t="n"/>
      <c r="G703" s="10">
        <f>IF(F703="","",IFERROR(VLOOKUP(F703,T_JUB,2,FALSE),0))</f>
        <v/>
      </c>
      <c r="H703" s="11" t="n"/>
      <c r="I703" s="17">
        <f>IF(H703="","",IF(H703&gt;=12,40,ROUND(H703*3.33,2)))</f>
        <v/>
      </c>
      <c r="J703" s="11" t="n"/>
      <c r="K703" s="11" t="n"/>
      <c r="L703" s="11" t="n"/>
      <c r="M703" s="11" t="n"/>
      <c r="N703" s="10">
        <f>IF(COUNTA(J703:M703)=0,"",MIN(10,SUMPRODUCT((COUNTIF(J703:M703,L_KOM)&gt;0)*S_KOM)))</f>
        <v/>
      </c>
      <c r="O703" s="11" t="n"/>
      <c r="P703" s="10">
        <f>IF(O703="","",IFERROR(VLOOKUP(O703,T_KHID,2,FALSE),0))</f>
        <v/>
      </c>
      <c r="Q703" s="11" t="n"/>
      <c r="R703" s="11" t="n"/>
      <c r="S703" s="10">
        <f>IF(AND(Q703="",R703=""),"",IFERROR(INDEX(T_LIBAT,MATCH(Q703,L_PER,0),MATCH(R703,L_JENIS,0)),0))</f>
        <v/>
      </c>
      <c r="T703" s="11" t="n"/>
      <c r="U703" s="11" t="n"/>
      <c r="V703" s="10">
        <f>IF(AND(T703="",U703=""),"",IFERROR(INDEX(T_CAPAI,MATCH(T703,L_PER,0),MATCH(U703,L_KED,0)),0))</f>
        <v/>
      </c>
      <c r="W703" s="17">
        <f>IF(OR(B703="",E703="",COUNTA(F703,H703,J703:M703,O703,Q703:R703,T703:U703)=0),"",SUM(G703,I703,N703,P703,S703,V703))</f>
        <v/>
      </c>
      <c r="X703" s="18">
        <f>IF(W703="","",IF(Murid!F703="TL","TL",ROUND(W703/110*100,2)))</f>
        <v/>
      </c>
    </row>
    <row r="704">
      <c r="A704" s="15">
        <f>Murid!A704</f>
        <v/>
      </c>
      <c r="B704" s="15">
        <f>IF(Murid!B704="","",Murid!B704)</f>
        <v/>
      </c>
      <c r="C704" s="16">
        <f>IF(Murid!C704="","",Murid!C704)</f>
        <v/>
      </c>
      <c r="D704" s="15">
        <f>IF(Murid!E704="","",Murid!E704)</f>
        <v/>
      </c>
      <c r="E704" s="11" t="n"/>
      <c r="F704" s="11" t="n"/>
      <c r="G704" s="10">
        <f>IF(F704="","",IFERROR(VLOOKUP(F704,T_JUB,2,FALSE),0))</f>
        <v/>
      </c>
      <c r="H704" s="11" t="n"/>
      <c r="I704" s="17">
        <f>IF(H704="","",IF(H704&gt;=12,40,ROUND(H704*3.33,2)))</f>
        <v/>
      </c>
      <c r="J704" s="11" t="n"/>
      <c r="K704" s="11" t="n"/>
      <c r="L704" s="11" t="n"/>
      <c r="M704" s="11" t="n"/>
      <c r="N704" s="10">
        <f>IF(COUNTA(J704:M704)=0,"",MIN(10,SUMPRODUCT((COUNTIF(J704:M704,L_KOM)&gt;0)*S_KOM)))</f>
        <v/>
      </c>
      <c r="O704" s="11" t="n"/>
      <c r="P704" s="10">
        <f>IF(O704="","",IFERROR(VLOOKUP(O704,T_KHID,2,FALSE),0))</f>
        <v/>
      </c>
      <c r="Q704" s="11" t="n"/>
      <c r="R704" s="11" t="n"/>
      <c r="S704" s="10">
        <f>IF(AND(Q704="",R704=""),"",IFERROR(INDEX(T_LIBAT,MATCH(Q704,L_PER,0),MATCH(R704,L_JENIS,0)),0))</f>
        <v/>
      </c>
      <c r="T704" s="11" t="n"/>
      <c r="U704" s="11" t="n"/>
      <c r="V704" s="10">
        <f>IF(AND(T704="",U704=""),"",IFERROR(INDEX(T_CAPAI,MATCH(T704,L_PER,0),MATCH(U704,L_KED,0)),0))</f>
        <v/>
      </c>
      <c r="W704" s="17">
        <f>IF(OR(B704="",E704="",COUNTA(F704,H704,J704:M704,O704,Q704:R704,T704:U704)=0),"",SUM(G704,I704,N704,P704,S704,V704))</f>
        <v/>
      </c>
      <c r="X704" s="18">
        <f>IF(W704="","",IF(Murid!F704="TL","TL",ROUND(W704/110*100,2)))</f>
        <v/>
      </c>
    </row>
    <row r="705">
      <c r="A705" s="15">
        <f>Murid!A705</f>
        <v/>
      </c>
      <c r="B705" s="15">
        <f>IF(Murid!B705="","",Murid!B705)</f>
        <v/>
      </c>
      <c r="C705" s="16">
        <f>IF(Murid!C705="","",Murid!C705)</f>
        <v/>
      </c>
      <c r="D705" s="15">
        <f>IF(Murid!E705="","",Murid!E705)</f>
        <v/>
      </c>
      <c r="E705" s="11" t="n"/>
      <c r="F705" s="11" t="n"/>
      <c r="G705" s="10">
        <f>IF(F705="","",IFERROR(VLOOKUP(F705,T_JUB,2,FALSE),0))</f>
        <v/>
      </c>
      <c r="H705" s="11" t="n"/>
      <c r="I705" s="17">
        <f>IF(H705="","",IF(H705&gt;=12,40,ROUND(H705*3.33,2)))</f>
        <v/>
      </c>
      <c r="J705" s="11" t="n"/>
      <c r="K705" s="11" t="n"/>
      <c r="L705" s="11" t="n"/>
      <c r="M705" s="11" t="n"/>
      <c r="N705" s="10">
        <f>IF(COUNTA(J705:M705)=0,"",MIN(10,SUMPRODUCT((COUNTIF(J705:M705,L_KOM)&gt;0)*S_KOM)))</f>
        <v/>
      </c>
      <c r="O705" s="11" t="n"/>
      <c r="P705" s="10">
        <f>IF(O705="","",IFERROR(VLOOKUP(O705,T_KHID,2,FALSE),0))</f>
        <v/>
      </c>
      <c r="Q705" s="11" t="n"/>
      <c r="R705" s="11" t="n"/>
      <c r="S705" s="10">
        <f>IF(AND(Q705="",R705=""),"",IFERROR(INDEX(T_LIBAT,MATCH(Q705,L_PER,0),MATCH(R705,L_JENIS,0)),0))</f>
        <v/>
      </c>
      <c r="T705" s="11" t="n"/>
      <c r="U705" s="11" t="n"/>
      <c r="V705" s="10">
        <f>IF(AND(T705="",U705=""),"",IFERROR(INDEX(T_CAPAI,MATCH(T705,L_PER,0),MATCH(U705,L_KED,0)),0))</f>
        <v/>
      </c>
      <c r="W705" s="17">
        <f>IF(OR(B705="",E705="",COUNTA(F705,H705,J705:M705,O705,Q705:R705,T705:U705)=0),"",SUM(G705,I705,N705,P705,S705,V705))</f>
        <v/>
      </c>
      <c r="X705" s="18">
        <f>IF(W705="","",IF(Murid!F705="TL","TL",ROUND(W705/110*100,2)))</f>
        <v/>
      </c>
    </row>
    <row r="706">
      <c r="A706" s="15">
        <f>Murid!A706</f>
        <v/>
      </c>
      <c r="B706" s="15">
        <f>IF(Murid!B706="","",Murid!B706)</f>
        <v/>
      </c>
      <c r="C706" s="16">
        <f>IF(Murid!C706="","",Murid!C706)</f>
        <v/>
      </c>
      <c r="D706" s="15">
        <f>IF(Murid!E706="","",Murid!E706)</f>
        <v/>
      </c>
      <c r="E706" s="11" t="n"/>
      <c r="F706" s="11" t="n"/>
      <c r="G706" s="10">
        <f>IF(F706="","",IFERROR(VLOOKUP(F706,T_JUB,2,FALSE),0))</f>
        <v/>
      </c>
      <c r="H706" s="11" t="n"/>
      <c r="I706" s="17">
        <f>IF(H706="","",IF(H706&gt;=12,40,ROUND(H706*3.33,2)))</f>
        <v/>
      </c>
      <c r="J706" s="11" t="n"/>
      <c r="K706" s="11" t="n"/>
      <c r="L706" s="11" t="n"/>
      <c r="M706" s="11" t="n"/>
      <c r="N706" s="10">
        <f>IF(COUNTA(J706:M706)=0,"",MIN(10,SUMPRODUCT((COUNTIF(J706:M706,L_KOM)&gt;0)*S_KOM)))</f>
        <v/>
      </c>
      <c r="O706" s="11" t="n"/>
      <c r="P706" s="10">
        <f>IF(O706="","",IFERROR(VLOOKUP(O706,T_KHID,2,FALSE),0))</f>
        <v/>
      </c>
      <c r="Q706" s="11" t="n"/>
      <c r="R706" s="11" t="n"/>
      <c r="S706" s="10">
        <f>IF(AND(Q706="",R706=""),"",IFERROR(INDEX(T_LIBAT,MATCH(Q706,L_PER,0),MATCH(R706,L_JENIS,0)),0))</f>
        <v/>
      </c>
      <c r="T706" s="11" t="n"/>
      <c r="U706" s="11" t="n"/>
      <c r="V706" s="10">
        <f>IF(AND(T706="",U706=""),"",IFERROR(INDEX(T_CAPAI,MATCH(T706,L_PER,0),MATCH(U706,L_KED,0)),0))</f>
        <v/>
      </c>
      <c r="W706" s="17">
        <f>IF(OR(B706="",E706="",COUNTA(F706,H706,J706:M706,O706,Q706:R706,T706:U706)=0),"",SUM(G706,I706,N706,P706,S706,V706))</f>
        <v/>
      </c>
      <c r="X706" s="18">
        <f>IF(W706="","",IF(Murid!F706="TL","TL",ROUND(W706/110*100,2)))</f>
        <v/>
      </c>
    </row>
    <row r="707">
      <c r="A707" s="15">
        <f>Murid!A707</f>
        <v/>
      </c>
      <c r="B707" s="15">
        <f>IF(Murid!B707="","",Murid!B707)</f>
        <v/>
      </c>
      <c r="C707" s="16">
        <f>IF(Murid!C707="","",Murid!C707)</f>
        <v/>
      </c>
      <c r="D707" s="15">
        <f>IF(Murid!E707="","",Murid!E707)</f>
        <v/>
      </c>
      <c r="E707" s="11" t="n"/>
      <c r="F707" s="11" t="n"/>
      <c r="G707" s="10">
        <f>IF(F707="","",IFERROR(VLOOKUP(F707,T_JUB,2,FALSE),0))</f>
        <v/>
      </c>
      <c r="H707" s="11" t="n"/>
      <c r="I707" s="17">
        <f>IF(H707="","",IF(H707&gt;=12,40,ROUND(H707*3.33,2)))</f>
        <v/>
      </c>
      <c r="J707" s="11" t="n"/>
      <c r="K707" s="11" t="n"/>
      <c r="L707" s="11" t="n"/>
      <c r="M707" s="11" t="n"/>
      <c r="N707" s="10">
        <f>IF(COUNTA(J707:M707)=0,"",MIN(10,SUMPRODUCT((COUNTIF(J707:M707,L_KOM)&gt;0)*S_KOM)))</f>
        <v/>
      </c>
      <c r="O707" s="11" t="n"/>
      <c r="P707" s="10">
        <f>IF(O707="","",IFERROR(VLOOKUP(O707,T_KHID,2,FALSE),0))</f>
        <v/>
      </c>
      <c r="Q707" s="11" t="n"/>
      <c r="R707" s="11" t="n"/>
      <c r="S707" s="10">
        <f>IF(AND(Q707="",R707=""),"",IFERROR(INDEX(T_LIBAT,MATCH(Q707,L_PER,0),MATCH(R707,L_JENIS,0)),0))</f>
        <v/>
      </c>
      <c r="T707" s="11" t="n"/>
      <c r="U707" s="11" t="n"/>
      <c r="V707" s="10">
        <f>IF(AND(T707="",U707=""),"",IFERROR(INDEX(T_CAPAI,MATCH(T707,L_PER,0),MATCH(U707,L_KED,0)),0))</f>
        <v/>
      </c>
      <c r="W707" s="17">
        <f>IF(OR(B707="",E707="",COUNTA(F707,H707,J707:M707,O707,Q707:R707,T707:U707)=0),"",SUM(G707,I707,N707,P707,S707,V707))</f>
        <v/>
      </c>
      <c r="X707" s="18">
        <f>IF(W707="","",IF(Murid!F707="TL","TL",ROUND(W707/110*100,2)))</f>
        <v/>
      </c>
    </row>
    <row r="708">
      <c r="A708" s="15">
        <f>Murid!A708</f>
        <v/>
      </c>
      <c r="B708" s="15">
        <f>IF(Murid!B708="","",Murid!B708)</f>
        <v/>
      </c>
      <c r="C708" s="16">
        <f>IF(Murid!C708="","",Murid!C708)</f>
        <v/>
      </c>
      <c r="D708" s="15">
        <f>IF(Murid!E708="","",Murid!E708)</f>
        <v/>
      </c>
      <c r="E708" s="11" t="n"/>
      <c r="F708" s="11" t="n"/>
      <c r="G708" s="10">
        <f>IF(F708="","",IFERROR(VLOOKUP(F708,T_JUB,2,FALSE),0))</f>
        <v/>
      </c>
      <c r="H708" s="11" t="n"/>
      <c r="I708" s="17">
        <f>IF(H708="","",IF(H708&gt;=12,40,ROUND(H708*3.33,2)))</f>
        <v/>
      </c>
      <c r="J708" s="11" t="n"/>
      <c r="K708" s="11" t="n"/>
      <c r="L708" s="11" t="n"/>
      <c r="M708" s="11" t="n"/>
      <c r="N708" s="10">
        <f>IF(COUNTA(J708:M708)=0,"",MIN(10,SUMPRODUCT((COUNTIF(J708:M708,L_KOM)&gt;0)*S_KOM)))</f>
        <v/>
      </c>
      <c r="O708" s="11" t="n"/>
      <c r="P708" s="10">
        <f>IF(O708="","",IFERROR(VLOOKUP(O708,T_KHID,2,FALSE),0))</f>
        <v/>
      </c>
      <c r="Q708" s="11" t="n"/>
      <c r="R708" s="11" t="n"/>
      <c r="S708" s="10">
        <f>IF(AND(Q708="",R708=""),"",IFERROR(INDEX(T_LIBAT,MATCH(Q708,L_PER,0),MATCH(R708,L_JENIS,0)),0))</f>
        <v/>
      </c>
      <c r="T708" s="11" t="n"/>
      <c r="U708" s="11" t="n"/>
      <c r="V708" s="10">
        <f>IF(AND(T708="",U708=""),"",IFERROR(INDEX(T_CAPAI,MATCH(T708,L_PER,0),MATCH(U708,L_KED,0)),0))</f>
        <v/>
      </c>
      <c r="W708" s="17">
        <f>IF(OR(B708="",E708="",COUNTA(F708,H708,J708:M708,O708,Q708:R708,T708:U708)=0),"",SUM(G708,I708,N708,P708,S708,V708))</f>
        <v/>
      </c>
      <c r="X708" s="18">
        <f>IF(W708="","",IF(Murid!F708="TL","TL",ROUND(W708/110*100,2)))</f>
        <v/>
      </c>
    </row>
    <row r="709">
      <c r="A709" s="15">
        <f>Murid!A709</f>
        <v/>
      </c>
      <c r="B709" s="15">
        <f>IF(Murid!B709="","",Murid!B709)</f>
        <v/>
      </c>
      <c r="C709" s="16">
        <f>IF(Murid!C709="","",Murid!C709)</f>
        <v/>
      </c>
      <c r="D709" s="15">
        <f>IF(Murid!E709="","",Murid!E709)</f>
        <v/>
      </c>
      <c r="E709" s="11" t="n"/>
      <c r="F709" s="11" t="n"/>
      <c r="G709" s="10">
        <f>IF(F709="","",IFERROR(VLOOKUP(F709,T_JUB,2,FALSE),0))</f>
        <v/>
      </c>
      <c r="H709" s="11" t="n"/>
      <c r="I709" s="17">
        <f>IF(H709="","",IF(H709&gt;=12,40,ROUND(H709*3.33,2)))</f>
        <v/>
      </c>
      <c r="J709" s="11" t="n"/>
      <c r="K709" s="11" t="n"/>
      <c r="L709" s="11" t="n"/>
      <c r="M709" s="11" t="n"/>
      <c r="N709" s="10">
        <f>IF(COUNTA(J709:M709)=0,"",MIN(10,SUMPRODUCT((COUNTIF(J709:M709,L_KOM)&gt;0)*S_KOM)))</f>
        <v/>
      </c>
      <c r="O709" s="11" t="n"/>
      <c r="P709" s="10">
        <f>IF(O709="","",IFERROR(VLOOKUP(O709,T_KHID,2,FALSE),0))</f>
        <v/>
      </c>
      <c r="Q709" s="11" t="n"/>
      <c r="R709" s="11" t="n"/>
      <c r="S709" s="10">
        <f>IF(AND(Q709="",R709=""),"",IFERROR(INDEX(T_LIBAT,MATCH(Q709,L_PER,0),MATCH(R709,L_JENIS,0)),0))</f>
        <v/>
      </c>
      <c r="T709" s="11" t="n"/>
      <c r="U709" s="11" t="n"/>
      <c r="V709" s="10">
        <f>IF(AND(T709="",U709=""),"",IFERROR(INDEX(T_CAPAI,MATCH(T709,L_PER,0),MATCH(U709,L_KED,0)),0))</f>
        <v/>
      </c>
      <c r="W709" s="17">
        <f>IF(OR(B709="",E709="",COUNTA(F709,H709,J709:M709,O709,Q709:R709,T709:U709)=0),"",SUM(G709,I709,N709,P709,S709,V709))</f>
        <v/>
      </c>
      <c r="X709" s="18">
        <f>IF(W709="","",IF(Murid!F709="TL","TL",ROUND(W709/110*100,2)))</f>
        <v/>
      </c>
    </row>
    <row r="710">
      <c r="A710" s="15">
        <f>Murid!A710</f>
        <v/>
      </c>
      <c r="B710" s="15">
        <f>IF(Murid!B710="","",Murid!B710)</f>
        <v/>
      </c>
      <c r="C710" s="16">
        <f>IF(Murid!C710="","",Murid!C710)</f>
        <v/>
      </c>
      <c r="D710" s="15">
        <f>IF(Murid!E710="","",Murid!E710)</f>
        <v/>
      </c>
      <c r="E710" s="11" t="n"/>
      <c r="F710" s="11" t="n"/>
      <c r="G710" s="10">
        <f>IF(F710="","",IFERROR(VLOOKUP(F710,T_JUB,2,FALSE),0))</f>
        <v/>
      </c>
      <c r="H710" s="11" t="n"/>
      <c r="I710" s="17">
        <f>IF(H710="","",IF(H710&gt;=12,40,ROUND(H710*3.33,2)))</f>
        <v/>
      </c>
      <c r="J710" s="11" t="n"/>
      <c r="K710" s="11" t="n"/>
      <c r="L710" s="11" t="n"/>
      <c r="M710" s="11" t="n"/>
      <c r="N710" s="10">
        <f>IF(COUNTA(J710:M710)=0,"",MIN(10,SUMPRODUCT((COUNTIF(J710:M710,L_KOM)&gt;0)*S_KOM)))</f>
        <v/>
      </c>
      <c r="O710" s="11" t="n"/>
      <c r="P710" s="10">
        <f>IF(O710="","",IFERROR(VLOOKUP(O710,T_KHID,2,FALSE),0))</f>
        <v/>
      </c>
      <c r="Q710" s="11" t="n"/>
      <c r="R710" s="11" t="n"/>
      <c r="S710" s="10">
        <f>IF(AND(Q710="",R710=""),"",IFERROR(INDEX(T_LIBAT,MATCH(Q710,L_PER,0),MATCH(R710,L_JENIS,0)),0))</f>
        <v/>
      </c>
      <c r="T710" s="11" t="n"/>
      <c r="U710" s="11" t="n"/>
      <c r="V710" s="10">
        <f>IF(AND(T710="",U710=""),"",IFERROR(INDEX(T_CAPAI,MATCH(T710,L_PER,0),MATCH(U710,L_KED,0)),0))</f>
        <v/>
      </c>
      <c r="W710" s="17">
        <f>IF(OR(B710="",E710="",COUNTA(F710,H710,J710:M710,O710,Q710:R710,T710:U710)=0),"",SUM(G710,I710,N710,P710,S710,V710))</f>
        <v/>
      </c>
      <c r="X710" s="18">
        <f>IF(W710="","",IF(Murid!F710="TL","TL",ROUND(W710/110*100,2)))</f>
        <v/>
      </c>
    </row>
    <row r="711">
      <c r="A711" s="15">
        <f>Murid!A711</f>
        <v/>
      </c>
      <c r="B711" s="15">
        <f>IF(Murid!B711="","",Murid!B711)</f>
        <v/>
      </c>
      <c r="C711" s="16">
        <f>IF(Murid!C711="","",Murid!C711)</f>
        <v/>
      </c>
      <c r="D711" s="15">
        <f>IF(Murid!E711="","",Murid!E711)</f>
        <v/>
      </c>
      <c r="E711" s="11" t="n"/>
      <c r="F711" s="11" t="n"/>
      <c r="G711" s="10">
        <f>IF(F711="","",IFERROR(VLOOKUP(F711,T_JUB,2,FALSE),0))</f>
        <v/>
      </c>
      <c r="H711" s="11" t="n"/>
      <c r="I711" s="17">
        <f>IF(H711="","",IF(H711&gt;=12,40,ROUND(H711*3.33,2)))</f>
        <v/>
      </c>
      <c r="J711" s="11" t="n"/>
      <c r="K711" s="11" t="n"/>
      <c r="L711" s="11" t="n"/>
      <c r="M711" s="11" t="n"/>
      <c r="N711" s="10">
        <f>IF(COUNTA(J711:M711)=0,"",MIN(10,SUMPRODUCT((COUNTIF(J711:M711,L_KOM)&gt;0)*S_KOM)))</f>
        <v/>
      </c>
      <c r="O711" s="11" t="n"/>
      <c r="P711" s="10">
        <f>IF(O711="","",IFERROR(VLOOKUP(O711,T_KHID,2,FALSE),0))</f>
        <v/>
      </c>
      <c r="Q711" s="11" t="n"/>
      <c r="R711" s="11" t="n"/>
      <c r="S711" s="10">
        <f>IF(AND(Q711="",R711=""),"",IFERROR(INDEX(T_LIBAT,MATCH(Q711,L_PER,0),MATCH(R711,L_JENIS,0)),0))</f>
        <v/>
      </c>
      <c r="T711" s="11" t="n"/>
      <c r="U711" s="11" t="n"/>
      <c r="V711" s="10">
        <f>IF(AND(T711="",U711=""),"",IFERROR(INDEX(T_CAPAI,MATCH(T711,L_PER,0),MATCH(U711,L_KED,0)),0))</f>
        <v/>
      </c>
      <c r="W711" s="17">
        <f>IF(OR(B711="",E711="",COUNTA(F711,H711,J711:M711,O711,Q711:R711,T711:U711)=0),"",SUM(G711,I711,N711,P711,S711,V711))</f>
        <v/>
      </c>
      <c r="X711" s="18">
        <f>IF(W711="","",IF(Murid!F711="TL","TL",ROUND(W711/110*100,2)))</f>
        <v/>
      </c>
    </row>
    <row r="712">
      <c r="A712" s="15">
        <f>Murid!A712</f>
        <v/>
      </c>
      <c r="B712" s="15">
        <f>IF(Murid!B712="","",Murid!B712)</f>
        <v/>
      </c>
      <c r="C712" s="16">
        <f>IF(Murid!C712="","",Murid!C712)</f>
        <v/>
      </c>
      <c r="D712" s="15">
        <f>IF(Murid!E712="","",Murid!E712)</f>
        <v/>
      </c>
      <c r="E712" s="11" t="n"/>
      <c r="F712" s="11" t="n"/>
      <c r="G712" s="10">
        <f>IF(F712="","",IFERROR(VLOOKUP(F712,T_JUB,2,FALSE),0))</f>
        <v/>
      </c>
      <c r="H712" s="11" t="n"/>
      <c r="I712" s="17">
        <f>IF(H712="","",IF(H712&gt;=12,40,ROUND(H712*3.33,2)))</f>
        <v/>
      </c>
      <c r="J712" s="11" t="n"/>
      <c r="K712" s="11" t="n"/>
      <c r="L712" s="11" t="n"/>
      <c r="M712" s="11" t="n"/>
      <c r="N712" s="10">
        <f>IF(COUNTA(J712:M712)=0,"",MIN(10,SUMPRODUCT((COUNTIF(J712:M712,L_KOM)&gt;0)*S_KOM)))</f>
        <v/>
      </c>
      <c r="O712" s="11" t="n"/>
      <c r="P712" s="10">
        <f>IF(O712="","",IFERROR(VLOOKUP(O712,T_KHID,2,FALSE),0))</f>
        <v/>
      </c>
      <c r="Q712" s="11" t="n"/>
      <c r="R712" s="11" t="n"/>
      <c r="S712" s="10">
        <f>IF(AND(Q712="",R712=""),"",IFERROR(INDEX(T_LIBAT,MATCH(Q712,L_PER,0),MATCH(R712,L_JENIS,0)),0))</f>
        <v/>
      </c>
      <c r="T712" s="11" t="n"/>
      <c r="U712" s="11" t="n"/>
      <c r="V712" s="10">
        <f>IF(AND(T712="",U712=""),"",IFERROR(INDEX(T_CAPAI,MATCH(T712,L_PER,0),MATCH(U712,L_KED,0)),0))</f>
        <v/>
      </c>
      <c r="W712" s="17">
        <f>IF(OR(B712="",E712="",COUNTA(F712,H712,J712:M712,O712,Q712:R712,T712:U712)=0),"",SUM(G712,I712,N712,P712,S712,V712))</f>
        <v/>
      </c>
      <c r="X712" s="18">
        <f>IF(W712="","",IF(Murid!F712="TL","TL",ROUND(W712/110*100,2)))</f>
        <v/>
      </c>
    </row>
    <row r="713">
      <c r="A713" s="15">
        <f>Murid!A713</f>
        <v/>
      </c>
      <c r="B713" s="15">
        <f>IF(Murid!B713="","",Murid!B713)</f>
        <v/>
      </c>
      <c r="C713" s="16">
        <f>IF(Murid!C713="","",Murid!C713)</f>
        <v/>
      </c>
      <c r="D713" s="15">
        <f>IF(Murid!E713="","",Murid!E713)</f>
        <v/>
      </c>
      <c r="E713" s="11" t="n"/>
      <c r="F713" s="11" t="n"/>
      <c r="G713" s="10">
        <f>IF(F713="","",IFERROR(VLOOKUP(F713,T_JUB,2,FALSE),0))</f>
        <v/>
      </c>
      <c r="H713" s="11" t="n"/>
      <c r="I713" s="17">
        <f>IF(H713="","",IF(H713&gt;=12,40,ROUND(H713*3.33,2)))</f>
        <v/>
      </c>
      <c r="J713" s="11" t="n"/>
      <c r="K713" s="11" t="n"/>
      <c r="L713" s="11" t="n"/>
      <c r="M713" s="11" t="n"/>
      <c r="N713" s="10">
        <f>IF(COUNTA(J713:M713)=0,"",MIN(10,SUMPRODUCT((COUNTIF(J713:M713,L_KOM)&gt;0)*S_KOM)))</f>
        <v/>
      </c>
      <c r="O713" s="11" t="n"/>
      <c r="P713" s="10">
        <f>IF(O713="","",IFERROR(VLOOKUP(O713,T_KHID,2,FALSE),0))</f>
        <v/>
      </c>
      <c r="Q713" s="11" t="n"/>
      <c r="R713" s="11" t="n"/>
      <c r="S713" s="10">
        <f>IF(AND(Q713="",R713=""),"",IFERROR(INDEX(T_LIBAT,MATCH(Q713,L_PER,0),MATCH(R713,L_JENIS,0)),0))</f>
        <v/>
      </c>
      <c r="T713" s="11" t="n"/>
      <c r="U713" s="11" t="n"/>
      <c r="V713" s="10">
        <f>IF(AND(T713="",U713=""),"",IFERROR(INDEX(T_CAPAI,MATCH(T713,L_PER,0),MATCH(U713,L_KED,0)),0))</f>
        <v/>
      </c>
      <c r="W713" s="17">
        <f>IF(OR(B713="",E713="",COUNTA(F713,H713,J713:M713,O713,Q713:R713,T713:U713)=0),"",SUM(G713,I713,N713,P713,S713,V713))</f>
        <v/>
      </c>
      <c r="X713" s="18">
        <f>IF(W713="","",IF(Murid!F713="TL","TL",ROUND(W713/110*100,2)))</f>
        <v/>
      </c>
    </row>
    <row r="714">
      <c r="A714" s="15">
        <f>Murid!A714</f>
        <v/>
      </c>
      <c r="B714" s="15">
        <f>IF(Murid!B714="","",Murid!B714)</f>
        <v/>
      </c>
      <c r="C714" s="16">
        <f>IF(Murid!C714="","",Murid!C714)</f>
        <v/>
      </c>
      <c r="D714" s="15">
        <f>IF(Murid!E714="","",Murid!E714)</f>
        <v/>
      </c>
      <c r="E714" s="11" t="n"/>
      <c r="F714" s="11" t="n"/>
      <c r="G714" s="10">
        <f>IF(F714="","",IFERROR(VLOOKUP(F714,T_JUB,2,FALSE),0))</f>
        <v/>
      </c>
      <c r="H714" s="11" t="n"/>
      <c r="I714" s="17">
        <f>IF(H714="","",IF(H714&gt;=12,40,ROUND(H714*3.33,2)))</f>
        <v/>
      </c>
      <c r="J714" s="11" t="n"/>
      <c r="K714" s="11" t="n"/>
      <c r="L714" s="11" t="n"/>
      <c r="M714" s="11" t="n"/>
      <c r="N714" s="10">
        <f>IF(COUNTA(J714:M714)=0,"",MIN(10,SUMPRODUCT((COUNTIF(J714:M714,L_KOM)&gt;0)*S_KOM)))</f>
        <v/>
      </c>
      <c r="O714" s="11" t="n"/>
      <c r="P714" s="10">
        <f>IF(O714="","",IFERROR(VLOOKUP(O714,T_KHID,2,FALSE),0))</f>
        <v/>
      </c>
      <c r="Q714" s="11" t="n"/>
      <c r="R714" s="11" t="n"/>
      <c r="S714" s="10">
        <f>IF(AND(Q714="",R714=""),"",IFERROR(INDEX(T_LIBAT,MATCH(Q714,L_PER,0),MATCH(R714,L_JENIS,0)),0))</f>
        <v/>
      </c>
      <c r="T714" s="11" t="n"/>
      <c r="U714" s="11" t="n"/>
      <c r="V714" s="10">
        <f>IF(AND(T714="",U714=""),"",IFERROR(INDEX(T_CAPAI,MATCH(T714,L_PER,0),MATCH(U714,L_KED,0)),0))</f>
        <v/>
      </c>
      <c r="W714" s="17">
        <f>IF(OR(B714="",E714="",COUNTA(F714,H714,J714:M714,O714,Q714:R714,T714:U714)=0),"",SUM(G714,I714,N714,P714,S714,V714))</f>
        <v/>
      </c>
      <c r="X714" s="18">
        <f>IF(W714="","",IF(Murid!F714="TL","TL",ROUND(W714/110*100,2)))</f>
        <v/>
      </c>
    </row>
    <row r="715">
      <c r="A715" s="15">
        <f>Murid!A715</f>
        <v/>
      </c>
      <c r="B715" s="15">
        <f>IF(Murid!B715="","",Murid!B715)</f>
        <v/>
      </c>
      <c r="C715" s="16">
        <f>IF(Murid!C715="","",Murid!C715)</f>
        <v/>
      </c>
      <c r="D715" s="15">
        <f>IF(Murid!E715="","",Murid!E715)</f>
        <v/>
      </c>
      <c r="E715" s="11" t="n"/>
      <c r="F715" s="11" t="n"/>
      <c r="G715" s="10">
        <f>IF(F715="","",IFERROR(VLOOKUP(F715,T_JUB,2,FALSE),0))</f>
        <v/>
      </c>
      <c r="H715" s="11" t="n"/>
      <c r="I715" s="17">
        <f>IF(H715="","",IF(H715&gt;=12,40,ROUND(H715*3.33,2)))</f>
        <v/>
      </c>
      <c r="J715" s="11" t="n"/>
      <c r="K715" s="11" t="n"/>
      <c r="L715" s="11" t="n"/>
      <c r="M715" s="11" t="n"/>
      <c r="N715" s="10">
        <f>IF(COUNTA(J715:M715)=0,"",MIN(10,SUMPRODUCT((COUNTIF(J715:M715,L_KOM)&gt;0)*S_KOM)))</f>
        <v/>
      </c>
      <c r="O715" s="11" t="n"/>
      <c r="P715" s="10">
        <f>IF(O715="","",IFERROR(VLOOKUP(O715,T_KHID,2,FALSE),0))</f>
        <v/>
      </c>
      <c r="Q715" s="11" t="n"/>
      <c r="R715" s="11" t="n"/>
      <c r="S715" s="10">
        <f>IF(AND(Q715="",R715=""),"",IFERROR(INDEX(T_LIBAT,MATCH(Q715,L_PER,0),MATCH(R715,L_JENIS,0)),0))</f>
        <v/>
      </c>
      <c r="T715" s="11" t="n"/>
      <c r="U715" s="11" t="n"/>
      <c r="V715" s="10">
        <f>IF(AND(T715="",U715=""),"",IFERROR(INDEX(T_CAPAI,MATCH(T715,L_PER,0),MATCH(U715,L_KED,0)),0))</f>
        <v/>
      </c>
      <c r="W715" s="17">
        <f>IF(OR(B715="",E715="",COUNTA(F715,H715,J715:M715,O715,Q715:R715,T715:U715)=0),"",SUM(G715,I715,N715,P715,S715,V715))</f>
        <v/>
      </c>
      <c r="X715" s="18">
        <f>IF(W715="","",IF(Murid!F715="TL","TL",ROUND(W715/110*100,2)))</f>
        <v/>
      </c>
    </row>
    <row r="716">
      <c r="A716" s="15">
        <f>Murid!A716</f>
        <v/>
      </c>
      <c r="B716" s="15">
        <f>IF(Murid!B716="","",Murid!B716)</f>
        <v/>
      </c>
      <c r="C716" s="16">
        <f>IF(Murid!C716="","",Murid!C716)</f>
        <v/>
      </c>
      <c r="D716" s="15">
        <f>IF(Murid!E716="","",Murid!E716)</f>
        <v/>
      </c>
      <c r="E716" s="11" t="n"/>
      <c r="F716" s="11" t="n"/>
      <c r="G716" s="10">
        <f>IF(F716="","",IFERROR(VLOOKUP(F716,T_JUB,2,FALSE),0))</f>
        <v/>
      </c>
      <c r="H716" s="11" t="n"/>
      <c r="I716" s="17">
        <f>IF(H716="","",IF(H716&gt;=12,40,ROUND(H716*3.33,2)))</f>
        <v/>
      </c>
      <c r="J716" s="11" t="n"/>
      <c r="K716" s="11" t="n"/>
      <c r="L716" s="11" t="n"/>
      <c r="M716" s="11" t="n"/>
      <c r="N716" s="10">
        <f>IF(COUNTA(J716:M716)=0,"",MIN(10,SUMPRODUCT((COUNTIF(J716:M716,L_KOM)&gt;0)*S_KOM)))</f>
        <v/>
      </c>
      <c r="O716" s="11" t="n"/>
      <c r="P716" s="10">
        <f>IF(O716="","",IFERROR(VLOOKUP(O716,T_KHID,2,FALSE),0))</f>
        <v/>
      </c>
      <c r="Q716" s="11" t="n"/>
      <c r="R716" s="11" t="n"/>
      <c r="S716" s="10">
        <f>IF(AND(Q716="",R716=""),"",IFERROR(INDEX(T_LIBAT,MATCH(Q716,L_PER,0),MATCH(R716,L_JENIS,0)),0))</f>
        <v/>
      </c>
      <c r="T716" s="11" t="n"/>
      <c r="U716" s="11" t="n"/>
      <c r="V716" s="10">
        <f>IF(AND(T716="",U716=""),"",IFERROR(INDEX(T_CAPAI,MATCH(T716,L_PER,0),MATCH(U716,L_KED,0)),0))</f>
        <v/>
      </c>
      <c r="W716" s="17">
        <f>IF(OR(B716="",E716="",COUNTA(F716,H716,J716:M716,O716,Q716:R716,T716:U716)=0),"",SUM(G716,I716,N716,P716,S716,V716))</f>
        <v/>
      </c>
      <c r="X716" s="18">
        <f>IF(W716="","",IF(Murid!F716="TL","TL",ROUND(W716/110*100,2)))</f>
        <v/>
      </c>
    </row>
    <row r="717">
      <c r="A717" s="15">
        <f>Murid!A717</f>
        <v/>
      </c>
      <c r="B717" s="15">
        <f>IF(Murid!B717="","",Murid!B717)</f>
        <v/>
      </c>
      <c r="C717" s="16">
        <f>IF(Murid!C717="","",Murid!C717)</f>
        <v/>
      </c>
      <c r="D717" s="15">
        <f>IF(Murid!E717="","",Murid!E717)</f>
        <v/>
      </c>
      <c r="E717" s="11" t="n"/>
      <c r="F717" s="11" t="n"/>
      <c r="G717" s="10">
        <f>IF(F717="","",IFERROR(VLOOKUP(F717,T_JUB,2,FALSE),0))</f>
        <v/>
      </c>
      <c r="H717" s="11" t="n"/>
      <c r="I717" s="17">
        <f>IF(H717="","",IF(H717&gt;=12,40,ROUND(H717*3.33,2)))</f>
        <v/>
      </c>
      <c r="J717" s="11" t="n"/>
      <c r="K717" s="11" t="n"/>
      <c r="L717" s="11" t="n"/>
      <c r="M717" s="11" t="n"/>
      <c r="N717" s="10">
        <f>IF(COUNTA(J717:M717)=0,"",MIN(10,SUMPRODUCT((COUNTIF(J717:M717,L_KOM)&gt;0)*S_KOM)))</f>
        <v/>
      </c>
      <c r="O717" s="11" t="n"/>
      <c r="P717" s="10">
        <f>IF(O717="","",IFERROR(VLOOKUP(O717,T_KHID,2,FALSE),0))</f>
        <v/>
      </c>
      <c r="Q717" s="11" t="n"/>
      <c r="R717" s="11" t="n"/>
      <c r="S717" s="10">
        <f>IF(AND(Q717="",R717=""),"",IFERROR(INDEX(T_LIBAT,MATCH(Q717,L_PER,0),MATCH(R717,L_JENIS,0)),0))</f>
        <v/>
      </c>
      <c r="T717" s="11" t="n"/>
      <c r="U717" s="11" t="n"/>
      <c r="V717" s="10">
        <f>IF(AND(T717="",U717=""),"",IFERROR(INDEX(T_CAPAI,MATCH(T717,L_PER,0),MATCH(U717,L_KED,0)),0))</f>
        <v/>
      </c>
      <c r="W717" s="17">
        <f>IF(OR(B717="",E717="",COUNTA(F717,H717,J717:M717,O717,Q717:R717,T717:U717)=0),"",SUM(G717,I717,N717,P717,S717,V717))</f>
        <v/>
      </c>
      <c r="X717" s="18">
        <f>IF(W717="","",IF(Murid!F717="TL","TL",ROUND(W717/110*100,2)))</f>
        <v/>
      </c>
    </row>
    <row r="718">
      <c r="A718" s="15">
        <f>Murid!A718</f>
        <v/>
      </c>
      <c r="B718" s="15">
        <f>IF(Murid!B718="","",Murid!B718)</f>
        <v/>
      </c>
      <c r="C718" s="16">
        <f>IF(Murid!C718="","",Murid!C718)</f>
        <v/>
      </c>
      <c r="D718" s="15">
        <f>IF(Murid!E718="","",Murid!E718)</f>
        <v/>
      </c>
      <c r="E718" s="11" t="n"/>
      <c r="F718" s="11" t="n"/>
      <c r="G718" s="10">
        <f>IF(F718="","",IFERROR(VLOOKUP(F718,T_JUB,2,FALSE),0))</f>
        <v/>
      </c>
      <c r="H718" s="11" t="n"/>
      <c r="I718" s="17">
        <f>IF(H718="","",IF(H718&gt;=12,40,ROUND(H718*3.33,2)))</f>
        <v/>
      </c>
      <c r="J718" s="11" t="n"/>
      <c r="K718" s="11" t="n"/>
      <c r="L718" s="11" t="n"/>
      <c r="M718" s="11" t="n"/>
      <c r="N718" s="10">
        <f>IF(COUNTA(J718:M718)=0,"",MIN(10,SUMPRODUCT((COUNTIF(J718:M718,L_KOM)&gt;0)*S_KOM)))</f>
        <v/>
      </c>
      <c r="O718" s="11" t="n"/>
      <c r="P718" s="10">
        <f>IF(O718="","",IFERROR(VLOOKUP(O718,T_KHID,2,FALSE),0))</f>
        <v/>
      </c>
      <c r="Q718" s="11" t="n"/>
      <c r="R718" s="11" t="n"/>
      <c r="S718" s="10">
        <f>IF(AND(Q718="",R718=""),"",IFERROR(INDEX(T_LIBAT,MATCH(Q718,L_PER,0),MATCH(R718,L_JENIS,0)),0))</f>
        <v/>
      </c>
      <c r="T718" s="11" t="n"/>
      <c r="U718" s="11" t="n"/>
      <c r="V718" s="10">
        <f>IF(AND(T718="",U718=""),"",IFERROR(INDEX(T_CAPAI,MATCH(T718,L_PER,0),MATCH(U718,L_KED,0)),0))</f>
        <v/>
      </c>
      <c r="W718" s="17">
        <f>IF(OR(B718="",E718="",COUNTA(F718,H718,J718:M718,O718,Q718:R718,T718:U718)=0),"",SUM(G718,I718,N718,P718,S718,V718))</f>
        <v/>
      </c>
      <c r="X718" s="18">
        <f>IF(W718="","",IF(Murid!F718="TL","TL",ROUND(W718/110*100,2)))</f>
        <v/>
      </c>
    </row>
    <row r="719">
      <c r="A719" s="15">
        <f>Murid!A719</f>
        <v/>
      </c>
      <c r="B719" s="15">
        <f>IF(Murid!B719="","",Murid!B719)</f>
        <v/>
      </c>
      <c r="C719" s="16">
        <f>IF(Murid!C719="","",Murid!C719)</f>
        <v/>
      </c>
      <c r="D719" s="15">
        <f>IF(Murid!E719="","",Murid!E719)</f>
        <v/>
      </c>
      <c r="E719" s="11" t="n"/>
      <c r="F719" s="11" t="n"/>
      <c r="G719" s="10">
        <f>IF(F719="","",IFERROR(VLOOKUP(F719,T_JUB,2,FALSE),0))</f>
        <v/>
      </c>
      <c r="H719" s="11" t="n"/>
      <c r="I719" s="17">
        <f>IF(H719="","",IF(H719&gt;=12,40,ROUND(H719*3.33,2)))</f>
        <v/>
      </c>
      <c r="J719" s="11" t="n"/>
      <c r="K719" s="11" t="n"/>
      <c r="L719" s="11" t="n"/>
      <c r="M719" s="11" t="n"/>
      <c r="N719" s="10">
        <f>IF(COUNTA(J719:M719)=0,"",MIN(10,SUMPRODUCT((COUNTIF(J719:M719,L_KOM)&gt;0)*S_KOM)))</f>
        <v/>
      </c>
      <c r="O719" s="11" t="n"/>
      <c r="P719" s="10">
        <f>IF(O719="","",IFERROR(VLOOKUP(O719,T_KHID,2,FALSE),0))</f>
        <v/>
      </c>
      <c r="Q719" s="11" t="n"/>
      <c r="R719" s="11" t="n"/>
      <c r="S719" s="10">
        <f>IF(AND(Q719="",R719=""),"",IFERROR(INDEX(T_LIBAT,MATCH(Q719,L_PER,0),MATCH(R719,L_JENIS,0)),0))</f>
        <v/>
      </c>
      <c r="T719" s="11" t="n"/>
      <c r="U719" s="11" t="n"/>
      <c r="V719" s="10">
        <f>IF(AND(T719="",U719=""),"",IFERROR(INDEX(T_CAPAI,MATCH(T719,L_PER,0),MATCH(U719,L_KED,0)),0))</f>
        <v/>
      </c>
      <c r="W719" s="17">
        <f>IF(OR(B719="",E719="",COUNTA(F719,H719,J719:M719,O719,Q719:R719,T719:U719)=0),"",SUM(G719,I719,N719,P719,S719,V719))</f>
        <v/>
      </c>
      <c r="X719" s="18">
        <f>IF(W719="","",IF(Murid!F719="TL","TL",ROUND(W719/110*100,2)))</f>
        <v/>
      </c>
    </row>
    <row r="720">
      <c r="A720" s="15">
        <f>Murid!A720</f>
        <v/>
      </c>
      <c r="B720" s="15">
        <f>IF(Murid!B720="","",Murid!B720)</f>
        <v/>
      </c>
      <c r="C720" s="16">
        <f>IF(Murid!C720="","",Murid!C720)</f>
        <v/>
      </c>
      <c r="D720" s="15">
        <f>IF(Murid!E720="","",Murid!E720)</f>
        <v/>
      </c>
      <c r="E720" s="11" t="n"/>
      <c r="F720" s="11" t="n"/>
      <c r="G720" s="10">
        <f>IF(F720="","",IFERROR(VLOOKUP(F720,T_JUB,2,FALSE),0))</f>
        <v/>
      </c>
      <c r="H720" s="11" t="n"/>
      <c r="I720" s="17">
        <f>IF(H720="","",IF(H720&gt;=12,40,ROUND(H720*3.33,2)))</f>
        <v/>
      </c>
      <c r="J720" s="11" t="n"/>
      <c r="K720" s="11" t="n"/>
      <c r="L720" s="11" t="n"/>
      <c r="M720" s="11" t="n"/>
      <c r="N720" s="10">
        <f>IF(COUNTA(J720:M720)=0,"",MIN(10,SUMPRODUCT((COUNTIF(J720:M720,L_KOM)&gt;0)*S_KOM)))</f>
        <v/>
      </c>
      <c r="O720" s="11" t="n"/>
      <c r="P720" s="10">
        <f>IF(O720="","",IFERROR(VLOOKUP(O720,T_KHID,2,FALSE),0))</f>
        <v/>
      </c>
      <c r="Q720" s="11" t="n"/>
      <c r="R720" s="11" t="n"/>
      <c r="S720" s="10">
        <f>IF(AND(Q720="",R720=""),"",IFERROR(INDEX(T_LIBAT,MATCH(Q720,L_PER,0),MATCH(R720,L_JENIS,0)),0))</f>
        <v/>
      </c>
      <c r="T720" s="11" t="n"/>
      <c r="U720" s="11" t="n"/>
      <c r="V720" s="10">
        <f>IF(AND(T720="",U720=""),"",IFERROR(INDEX(T_CAPAI,MATCH(T720,L_PER,0),MATCH(U720,L_KED,0)),0))</f>
        <v/>
      </c>
      <c r="W720" s="17">
        <f>IF(OR(B720="",E720="",COUNTA(F720,H720,J720:M720,O720,Q720:R720,T720:U720)=0),"",SUM(G720,I720,N720,P720,S720,V720))</f>
        <v/>
      </c>
      <c r="X720" s="18">
        <f>IF(W720="","",IF(Murid!F720="TL","TL",ROUND(W720/110*100,2)))</f>
        <v/>
      </c>
    </row>
    <row r="721">
      <c r="A721" s="15">
        <f>Murid!A721</f>
        <v/>
      </c>
      <c r="B721" s="15">
        <f>IF(Murid!B721="","",Murid!B721)</f>
        <v/>
      </c>
      <c r="C721" s="16">
        <f>IF(Murid!C721="","",Murid!C721)</f>
        <v/>
      </c>
      <c r="D721" s="15">
        <f>IF(Murid!E721="","",Murid!E721)</f>
        <v/>
      </c>
      <c r="E721" s="11" t="n"/>
      <c r="F721" s="11" t="n"/>
      <c r="G721" s="10">
        <f>IF(F721="","",IFERROR(VLOOKUP(F721,T_JUB,2,FALSE),0))</f>
        <v/>
      </c>
      <c r="H721" s="11" t="n"/>
      <c r="I721" s="17">
        <f>IF(H721="","",IF(H721&gt;=12,40,ROUND(H721*3.33,2)))</f>
        <v/>
      </c>
      <c r="J721" s="11" t="n"/>
      <c r="K721" s="11" t="n"/>
      <c r="L721" s="11" t="n"/>
      <c r="M721" s="11" t="n"/>
      <c r="N721" s="10">
        <f>IF(COUNTA(J721:M721)=0,"",MIN(10,SUMPRODUCT((COUNTIF(J721:M721,L_KOM)&gt;0)*S_KOM)))</f>
        <v/>
      </c>
      <c r="O721" s="11" t="n"/>
      <c r="P721" s="10">
        <f>IF(O721="","",IFERROR(VLOOKUP(O721,T_KHID,2,FALSE),0))</f>
        <v/>
      </c>
      <c r="Q721" s="11" t="n"/>
      <c r="R721" s="11" t="n"/>
      <c r="S721" s="10">
        <f>IF(AND(Q721="",R721=""),"",IFERROR(INDEX(T_LIBAT,MATCH(Q721,L_PER,0),MATCH(R721,L_JENIS,0)),0))</f>
        <v/>
      </c>
      <c r="T721" s="11" t="n"/>
      <c r="U721" s="11" t="n"/>
      <c r="V721" s="10">
        <f>IF(AND(T721="",U721=""),"",IFERROR(INDEX(T_CAPAI,MATCH(T721,L_PER,0),MATCH(U721,L_KED,0)),0))</f>
        <v/>
      </c>
      <c r="W721" s="17">
        <f>IF(OR(B721="",E721="",COUNTA(F721,H721,J721:M721,O721,Q721:R721,T721:U721)=0),"",SUM(G721,I721,N721,P721,S721,V721))</f>
        <v/>
      </c>
      <c r="X721" s="18">
        <f>IF(W721="","",IF(Murid!F721="TL","TL",ROUND(W721/110*100,2)))</f>
        <v/>
      </c>
    </row>
    <row r="722">
      <c r="A722" s="15">
        <f>Murid!A722</f>
        <v/>
      </c>
      <c r="B722" s="15">
        <f>IF(Murid!B722="","",Murid!B722)</f>
        <v/>
      </c>
      <c r="C722" s="16">
        <f>IF(Murid!C722="","",Murid!C722)</f>
        <v/>
      </c>
      <c r="D722" s="15">
        <f>IF(Murid!E722="","",Murid!E722)</f>
        <v/>
      </c>
      <c r="E722" s="11" t="n"/>
      <c r="F722" s="11" t="n"/>
      <c r="G722" s="10">
        <f>IF(F722="","",IFERROR(VLOOKUP(F722,T_JUB,2,FALSE),0))</f>
        <v/>
      </c>
      <c r="H722" s="11" t="n"/>
      <c r="I722" s="17">
        <f>IF(H722="","",IF(H722&gt;=12,40,ROUND(H722*3.33,2)))</f>
        <v/>
      </c>
      <c r="J722" s="11" t="n"/>
      <c r="K722" s="11" t="n"/>
      <c r="L722" s="11" t="n"/>
      <c r="M722" s="11" t="n"/>
      <c r="N722" s="10">
        <f>IF(COUNTA(J722:M722)=0,"",MIN(10,SUMPRODUCT((COUNTIF(J722:M722,L_KOM)&gt;0)*S_KOM)))</f>
        <v/>
      </c>
      <c r="O722" s="11" t="n"/>
      <c r="P722" s="10">
        <f>IF(O722="","",IFERROR(VLOOKUP(O722,T_KHID,2,FALSE),0))</f>
        <v/>
      </c>
      <c r="Q722" s="11" t="n"/>
      <c r="R722" s="11" t="n"/>
      <c r="S722" s="10">
        <f>IF(AND(Q722="",R722=""),"",IFERROR(INDEX(T_LIBAT,MATCH(Q722,L_PER,0),MATCH(R722,L_JENIS,0)),0))</f>
        <v/>
      </c>
      <c r="T722" s="11" t="n"/>
      <c r="U722" s="11" t="n"/>
      <c r="V722" s="10">
        <f>IF(AND(T722="",U722=""),"",IFERROR(INDEX(T_CAPAI,MATCH(T722,L_PER,0),MATCH(U722,L_KED,0)),0))</f>
        <v/>
      </c>
      <c r="W722" s="17">
        <f>IF(OR(B722="",E722="",COUNTA(F722,H722,J722:M722,O722,Q722:R722,T722:U722)=0),"",SUM(G722,I722,N722,P722,S722,V722))</f>
        <v/>
      </c>
      <c r="X722" s="18">
        <f>IF(W722="","",IF(Murid!F722="TL","TL",ROUND(W722/110*100,2)))</f>
        <v/>
      </c>
    </row>
    <row r="723">
      <c r="A723" s="15">
        <f>Murid!A723</f>
        <v/>
      </c>
      <c r="B723" s="15">
        <f>IF(Murid!B723="","",Murid!B723)</f>
        <v/>
      </c>
      <c r="C723" s="16">
        <f>IF(Murid!C723="","",Murid!C723)</f>
        <v/>
      </c>
      <c r="D723" s="15">
        <f>IF(Murid!E723="","",Murid!E723)</f>
        <v/>
      </c>
      <c r="E723" s="11" t="n"/>
      <c r="F723" s="11" t="n"/>
      <c r="G723" s="10">
        <f>IF(F723="","",IFERROR(VLOOKUP(F723,T_JUB,2,FALSE),0))</f>
        <v/>
      </c>
      <c r="H723" s="11" t="n"/>
      <c r="I723" s="17">
        <f>IF(H723="","",IF(H723&gt;=12,40,ROUND(H723*3.33,2)))</f>
        <v/>
      </c>
      <c r="J723" s="11" t="n"/>
      <c r="K723" s="11" t="n"/>
      <c r="L723" s="11" t="n"/>
      <c r="M723" s="11" t="n"/>
      <c r="N723" s="10">
        <f>IF(COUNTA(J723:M723)=0,"",MIN(10,SUMPRODUCT((COUNTIF(J723:M723,L_KOM)&gt;0)*S_KOM)))</f>
        <v/>
      </c>
      <c r="O723" s="11" t="n"/>
      <c r="P723" s="10">
        <f>IF(O723="","",IFERROR(VLOOKUP(O723,T_KHID,2,FALSE),0))</f>
        <v/>
      </c>
      <c r="Q723" s="11" t="n"/>
      <c r="R723" s="11" t="n"/>
      <c r="S723" s="10">
        <f>IF(AND(Q723="",R723=""),"",IFERROR(INDEX(T_LIBAT,MATCH(Q723,L_PER,0),MATCH(R723,L_JENIS,0)),0))</f>
        <v/>
      </c>
      <c r="T723" s="11" t="n"/>
      <c r="U723" s="11" t="n"/>
      <c r="V723" s="10">
        <f>IF(AND(T723="",U723=""),"",IFERROR(INDEX(T_CAPAI,MATCH(T723,L_PER,0),MATCH(U723,L_KED,0)),0))</f>
        <v/>
      </c>
      <c r="W723" s="17">
        <f>IF(OR(B723="",E723="",COUNTA(F723,H723,J723:M723,O723,Q723:R723,T723:U723)=0),"",SUM(G723,I723,N723,P723,S723,V723))</f>
        <v/>
      </c>
      <c r="X723" s="18">
        <f>IF(W723="","",IF(Murid!F723="TL","TL",ROUND(W723/110*100,2)))</f>
        <v/>
      </c>
    </row>
    <row r="724">
      <c r="A724" s="15">
        <f>Murid!A724</f>
        <v/>
      </c>
      <c r="B724" s="15">
        <f>IF(Murid!B724="","",Murid!B724)</f>
        <v/>
      </c>
      <c r="C724" s="16">
        <f>IF(Murid!C724="","",Murid!C724)</f>
        <v/>
      </c>
      <c r="D724" s="15">
        <f>IF(Murid!E724="","",Murid!E724)</f>
        <v/>
      </c>
      <c r="E724" s="11" t="n"/>
      <c r="F724" s="11" t="n"/>
      <c r="G724" s="10">
        <f>IF(F724="","",IFERROR(VLOOKUP(F724,T_JUB,2,FALSE),0))</f>
        <v/>
      </c>
      <c r="H724" s="11" t="n"/>
      <c r="I724" s="17">
        <f>IF(H724="","",IF(H724&gt;=12,40,ROUND(H724*3.33,2)))</f>
        <v/>
      </c>
      <c r="J724" s="11" t="n"/>
      <c r="K724" s="11" t="n"/>
      <c r="L724" s="11" t="n"/>
      <c r="M724" s="11" t="n"/>
      <c r="N724" s="10">
        <f>IF(COUNTA(J724:M724)=0,"",MIN(10,SUMPRODUCT((COUNTIF(J724:M724,L_KOM)&gt;0)*S_KOM)))</f>
        <v/>
      </c>
      <c r="O724" s="11" t="n"/>
      <c r="P724" s="10">
        <f>IF(O724="","",IFERROR(VLOOKUP(O724,T_KHID,2,FALSE),0))</f>
        <v/>
      </c>
      <c r="Q724" s="11" t="n"/>
      <c r="R724" s="11" t="n"/>
      <c r="S724" s="10">
        <f>IF(AND(Q724="",R724=""),"",IFERROR(INDEX(T_LIBAT,MATCH(Q724,L_PER,0),MATCH(R724,L_JENIS,0)),0))</f>
        <v/>
      </c>
      <c r="T724" s="11" t="n"/>
      <c r="U724" s="11" t="n"/>
      <c r="V724" s="10">
        <f>IF(AND(T724="",U724=""),"",IFERROR(INDEX(T_CAPAI,MATCH(T724,L_PER,0),MATCH(U724,L_KED,0)),0))</f>
        <v/>
      </c>
      <c r="W724" s="17">
        <f>IF(OR(B724="",E724="",COUNTA(F724,H724,J724:M724,O724,Q724:R724,T724:U724)=0),"",SUM(G724,I724,N724,P724,S724,V724))</f>
        <v/>
      </c>
      <c r="X724" s="18">
        <f>IF(W724="","",IF(Murid!F724="TL","TL",ROUND(W724/110*100,2)))</f>
        <v/>
      </c>
    </row>
    <row r="725">
      <c r="A725" s="15">
        <f>Murid!A725</f>
        <v/>
      </c>
      <c r="B725" s="15">
        <f>IF(Murid!B725="","",Murid!B725)</f>
        <v/>
      </c>
      <c r="C725" s="16">
        <f>IF(Murid!C725="","",Murid!C725)</f>
        <v/>
      </c>
      <c r="D725" s="15">
        <f>IF(Murid!E725="","",Murid!E725)</f>
        <v/>
      </c>
      <c r="E725" s="11" t="n"/>
      <c r="F725" s="11" t="n"/>
      <c r="G725" s="10">
        <f>IF(F725="","",IFERROR(VLOOKUP(F725,T_JUB,2,FALSE),0))</f>
        <v/>
      </c>
      <c r="H725" s="11" t="n"/>
      <c r="I725" s="17">
        <f>IF(H725="","",IF(H725&gt;=12,40,ROUND(H725*3.33,2)))</f>
        <v/>
      </c>
      <c r="J725" s="11" t="n"/>
      <c r="K725" s="11" t="n"/>
      <c r="L725" s="11" t="n"/>
      <c r="M725" s="11" t="n"/>
      <c r="N725" s="10">
        <f>IF(COUNTA(J725:M725)=0,"",MIN(10,SUMPRODUCT((COUNTIF(J725:M725,L_KOM)&gt;0)*S_KOM)))</f>
        <v/>
      </c>
      <c r="O725" s="11" t="n"/>
      <c r="P725" s="10">
        <f>IF(O725="","",IFERROR(VLOOKUP(O725,T_KHID,2,FALSE),0))</f>
        <v/>
      </c>
      <c r="Q725" s="11" t="n"/>
      <c r="R725" s="11" t="n"/>
      <c r="S725" s="10">
        <f>IF(AND(Q725="",R725=""),"",IFERROR(INDEX(T_LIBAT,MATCH(Q725,L_PER,0),MATCH(R725,L_JENIS,0)),0))</f>
        <v/>
      </c>
      <c r="T725" s="11" t="n"/>
      <c r="U725" s="11" t="n"/>
      <c r="V725" s="10">
        <f>IF(AND(T725="",U725=""),"",IFERROR(INDEX(T_CAPAI,MATCH(T725,L_PER,0),MATCH(U725,L_KED,0)),0))</f>
        <v/>
      </c>
      <c r="W725" s="17">
        <f>IF(OR(B725="",E725="",COUNTA(F725,H725,J725:M725,O725,Q725:R725,T725:U725)=0),"",SUM(G725,I725,N725,P725,S725,V725))</f>
        <v/>
      </c>
      <c r="X725" s="18">
        <f>IF(W725="","",IF(Murid!F725="TL","TL",ROUND(W725/110*100,2)))</f>
        <v/>
      </c>
    </row>
    <row r="726">
      <c r="A726" s="15">
        <f>Murid!A726</f>
        <v/>
      </c>
      <c r="B726" s="15">
        <f>IF(Murid!B726="","",Murid!B726)</f>
        <v/>
      </c>
      <c r="C726" s="16">
        <f>IF(Murid!C726="","",Murid!C726)</f>
        <v/>
      </c>
      <c r="D726" s="15">
        <f>IF(Murid!E726="","",Murid!E726)</f>
        <v/>
      </c>
      <c r="E726" s="11" t="n"/>
      <c r="F726" s="11" t="n"/>
      <c r="G726" s="10">
        <f>IF(F726="","",IFERROR(VLOOKUP(F726,T_JUB,2,FALSE),0))</f>
        <v/>
      </c>
      <c r="H726" s="11" t="n"/>
      <c r="I726" s="17">
        <f>IF(H726="","",IF(H726&gt;=12,40,ROUND(H726*3.33,2)))</f>
        <v/>
      </c>
      <c r="J726" s="11" t="n"/>
      <c r="K726" s="11" t="n"/>
      <c r="L726" s="11" t="n"/>
      <c r="M726" s="11" t="n"/>
      <c r="N726" s="10">
        <f>IF(COUNTA(J726:M726)=0,"",MIN(10,SUMPRODUCT((COUNTIF(J726:M726,L_KOM)&gt;0)*S_KOM)))</f>
        <v/>
      </c>
      <c r="O726" s="11" t="n"/>
      <c r="P726" s="10">
        <f>IF(O726="","",IFERROR(VLOOKUP(O726,T_KHID,2,FALSE),0))</f>
        <v/>
      </c>
      <c r="Q726" s="11" t="n"/>
      <c r="R726" s="11" t="n"/>
      <c r="S726" s="10">
        <f>IF(AND(Q726="",R726=""),"",IFERROR(INDEX(T_LIBAT,MATCH(Q726,L_PER,0),MATCH(R726,L_JENIS,0)),0))</f>
        <v/>
      </c>
      <c r="T726" s="11" t="n"/>
      <c r="U726" s="11" t="n"/>
      <c r="V726" s="10">
        <f>IF(AND(T726="",U726=""),"",IFERROR(INDEX(T_CAPAI,MATCH(T726,L_PER,0),MATCH(U726,L_KED,0)),0))</f>
        <v/>
      </c>
      <c r="W726" s="17">
        <f>IF(OR(B726="",E726="",COUNTA(F726,H726,J726:M726,O726,Q726:R726,T726:U726)=0),"",SUM(G726,I726,N726,P726,S726,V726))</f>
        <v/>
      </c>
      <c r="X726" s="18">
        <f>IF(W726="","",IF(Murid!F726="TL","TL",ROUND(W726/110*100,2)))</f>
        <v/>
      </c>
    </row>
    <row r="727">
      <c r="A727" s="15">
        <f>Murid!A727</f>
        <v/>
      </c>
      <c r="B727" s="15">
        <f>IF(Murid!B727="","",Murid!B727)</f>
        <v/>
      </c>
      <c r="C727" s="16">
        <f>IF(Murid!C727="","",Murid!C727)</f>
        <v/>
      </c>
      <c r="D727" s="15">
        <f>IF(Murid!E727="","",Murid!E727)</f>
        <v/>
      </c>
      <c r="E727" s="11" t="n"/>
      <c r="F727" s="11" t="n"/>
      <c r="G727" s="10">
        <f>IF(F727="","",IFERROR(VLOOKUP(F727,T_JUB,2,FALSE),0))</f>
        <v/>
      </c>
      <c r="H727" s="11" t="n"/>
      <c r="I727" s="17">
        <f>IF(H727="","",IF(H727&gt;=12,40,ROUND(H727*3.33,2)))</f>
        <v/>
      </c>
      <c r="J727" s="11" t="n"/>
      <c r="K727" s="11" t="n"/>
      <c r="L727" s="11" t="n"/>
      <c r="M727" s="11" t="n"/>
      <c r="N727" s="10">
        <f>IF(COUNTA(J727:M727)=0,"",MIN(10,SUMPRODUCT((COUNTIF(J727:M727,L_KOM)&gt;0)*S_KOM)))</f>
        <v/>
      </c>
      <c r="O727" s="11" t="n"/>
      <c r="P727" s="10">
        <f>IF(O727="","",IFERROR(VLOOKUP(O727,T_KHID,2,FALSE),0))</f>
        <v/>
      </c>
      <c r="Q727" s="11" t="n"/>
      <c r="R727" s="11" t="n"/>
      <c r="S727" s="10">
        <f>IF(AND(Q727="",R727=""),"",IFERROR(INDEX(T_LIBAT,MATCH(Q727,L_PER,0),MATCH(R727,L_JENIS,0)),0))</f>
        <v/>
      </c>
      <c r="T727" s="11" t="n"/>
      <c r="U727" s="11" t="n"/>
      <c r="V727" s="10">
        <f>IF(AND(T727="",U727=""),"",IFERROR(INDEX(T_CAPAI,MATCH(T727,L_PER,0),MATCH(U727,L_KED,0)),0))</f>
        <v/>
      </c>
      <c r="W727" s="17">
        <f>IF(OR(B727="",E727="",COUNTA(F727,H727,J727:M727,O727,Q727:R727,T727:U727)=0),"",SUM(G727,I727,N727,P727,S727,V727))</f>
        <v/>
      </c>
      <c r="X727" s="18">
        <f>IF(W727="","",IF(Murid!F727="TL","TL",ROUND(W727/110*100,2)))</f>
        <v/>
      </c>
    </row>
    <row r="728">
      <c r="A728" s="15">
        <f>Murid!A728</f>
        <v/>
      </c>
      <c r="B728" s="15">
        <f>IF(Murid!B728="","",Murid!B728)</f>
        <v/>
      </c>
      <c r="C728" s="16">
        <f>IF(Murid!C728="","",Murid!C728)</f>
        <v/>
      </c>
      <c r="D728" s="15">
        <f>IF(Murid!E728="","",Murid!E728)</f>
        <v/>
      </c>
      <c r="E728" s="11" t="n"/>
      <c r="F728" s="11" t="n"/>
      <c r="G728" s="10">
        <f>IF(F728="","",IFERROR(VLOOKUP(F728,T_JUB,2,FALSE),0))</f>
        <v/>
      </c>
      <c r="H728" s="11" t="n"/>
      <c r="I728" s="17">
        <f>IF(H728="","",IF(H728&gt;=12,40,ROUND(H728*3.33,2)))</f>
        <v/>
      </c>
      <c r="J728" s="11" t="n"/>
      <c r="K728" s="11" t="n"/>
      <c r="L728" s="11" t="n"/>
      <c r="M728" s="11" t="n"/>
      <c r="N728" s="10">
        <f>IF(COUNTA(J728:M728)=0,"",MIN(10,SUMPRODUCT((COUNTIF(J728:M728,L_KOM)&gt;0)*S_KOM)))</f>
        <v/>
      </c>
      <c r="O728" s="11" t="n"/>
      <c r="P728" s="10">
        <f>IF(O728="","",IFERROR(VLOOKUP(O728,T_KHID,2,FALSE),0))</f>
        <v/>
      </c>
      <c r="Q728" s="11" t="n"/>
      <c r="R728" s="11" t="n"/>
      <c r="S728" s="10">
        <f>IF(AND(Q728="",R728=""),"",IFERROR(INDEX(T_LIBAT,MATCH(Q728,L_PER,0),MATCH(R728,L_JENIS,0)),0))</f>
        <v/>
      </c>
      <c r="T728" s="11" t="n"/>
      <c r="U728" s="11" t="n"/>
      <c r="V728" s="10">
        <f>IF(AND(T728="",U728=""),"",IFERROR(INDEX(T_CAPAI,MATCH(T728,L_PER,0),MATCH(U728,L_KED,0)),0))</f>
        <v/>
      </c>
      <c r="W728" s="17">
        <f>IF(OR(B728="",E728="",COUNTA(F728,H728,J728:M728,O728,Q728:R728,T728:U728)=0),"",SUM(G728,I728,N728,P728,S728,V728))</f>
        <v/>
      </c>
      <c r="X728" s="18">
        <f>IF(W728="","",IF(Murid!F728="TL","TL",ROUND(W728/110*100,2)))</f>
        <v/>
      </c>
    </row>
    <row r="729">
      <c r="A729" s="15">
        <f>Murid!A729</f>
        <v/>
      </c>
      <c r="B729" s="15">
        <f>IF(Murid!B729="","",Murid!B729)</f>
        <v/>
      </c>
      <c r="C729" s="16">
        <f>IF(Murid!C729="","",Murid!C729)</f>
        <v/>
      </c>
      <c r="D729" s="15">
        <f>IF(Murid!E729="","",Murid!E729)</f>
        <v/>
      </c>
      <c r="E729" s="11" t="n"/>
      <c r="F729" s="11" t="n"/>
      <c r="G729" s="10">
        <f>IF(F729="","",IFERROR(VLOOKUP(F729,T_JUB,2,FALSE),0))</f>
        <v/>
      </c>
      <c r="H729" s="11" t="n"/>
      <c r="I729" s="17">
        <f>IF(H729="","",IF(H729&gt;=12,40,ROUND(H729*3.33,2)))</f>
        <v/>
      </c>
      <c r="J729" s="11" t="n"/>
      <c r="K729" s="11" t="n"/>
      <c r="L729" s="11" t="n"/>
      <c r="M729" s="11" t="n"/>
      <c r="N729" s="10">
        <f>IF(COUNTA(J729:M729)=0,"",MIN(10,SUMPRODUCT((COUNTIF(J729:M729,L_KOM)&gt;0)*S_KOM)))</f>
        <v/>
      </c>
      <c r="O729" s="11" t="n"/>
      <c r="P729" s="10">
        <f>IF(O729="","",IFERROR(VLOOKUP(O729,T_KHID,2,FALSE),0))</f>
        <v/>
      </c>
      <c r="Q729" s="11" t="n"/>
      <c r="R729" s="11" t="n"/>
      <c r="S729" s="10">
        <f>IF(AND(Q729="",R729=""),"",IFERROR(INDEX(T_LIBAT,MATCH(Q729,L_PER,0),MATCH(R729,L_JENIS,0)),0))</f>
        <v/>
      </c>
      <c r="T729" s="11" t="n"/>
      <c r="U729" s="11" t="n"/>
      <c r="V729" s="10">
        <f>IF(AND(T729="",U729=""),"",IFERROR(INDEX(T_CAPAI,MATCH(T729,L_PER,0),MATCH(U729,L_KED,0)),0))</f>
        <v/>
      </c>
      <c r="W729" s="17">
        <f>IF(OR(B729="",E729="",COUNTA(F729,H729,J729:M729,O729,Q729:R729,T729:U729)=0),"",SUM(G729,I729,N729,P729,S729,V729))</f>
        <v/>
      </c>
      <c r="X729" s="18">
        <f>IF(W729="","",IF(Murid!F729="TL","TL",ROUND(W729/110*100,2)))</f>
        <v/>
      </c>
    </row>
    <row r="730">
      <c r="A730" s="15">
        <f>Murid!A730</f>
        <v/>
      </c>
      <c r="B730" s="15">
        <f>IF(Murid!B730="","",Murid!B730)</f>
        <v/>
      </c>
      <c r="C730" s="16">
        <f>IF(Murid!C730="","",Murid!C730)</f>
        <v/>
      </c>
      <c r="D730" s="15">
        <f>IF(Murid!E730="","",Murid!E730)</f>
        <v/>
      </c>
      <c r="E730" s="11" t="n"/>
      <c r="F730" s="11" t="n"/>
      <c r="G730" s="10">
        <f>IF(F730="","",IFERROR(VLOOKUP(F730,T_JUB,2,FALSE),0))</f>
        <v/>
      </c>
      <c r="H730" s="11" t="n"/>
      <c r="I730" s="17">
        <f>IF(H730="","",IF(H730&gt;=12,40,ROUND(H730*3.33,2)))</f>
        <v/>
      </c>
      <c r="J730" s="11" t="n"/>
      <c r="K730" s="11" t="n"/>
      <c r="L730" s="11" t="n"/>
      <c r="M730" s="11" t="n"/>
      <c r="N730" s="10">
        <f>IF(COUNTA(J730:M730)=0,"",MIN(10,SUMPRODUCT((COUNTIF(J730:M730,L_KOM)&gt;0)*S_KOM)))</f>
        <v/>
      </c>
      <c r="O730" s="11" t="n"/>
      <c r="P730" s="10">
        <f>IF(O730="","",IFERROR(VLOOKUP(O730,T_KHID,2,FALSE),0))</f>
        <v/>
      </c>
      <c r="Q730" s="11" t="n"/>
      <c r="R730" s="11" t="n"/>
      <c r="S730" s="10">
        <f>IF(AND(Q730="",R730=""),"",IFERROR(INDEX(T_LIBAT,MATCH(Q730,L_PER,0),MATCH(R730,L_JENIS,0)),0))</f>
        <v/>
      </c>
      <c r="T730" s="11" t="n"/>
      <c r="U730" s="11" t="n"/>
      <c r="V730" s="10">
        <f>IF(AND(T730="",U730=""),"",IFERROR(INDEX(T_CAPAI,MATCH(T730,L_PER,0),MATCH(U730,L_KED,0)),0))</f>
        <v/>
      </c>
      <c r="W730" s="17">
        <f>IF(OR(B730="",E730="",COUNTA(F730,H730,J730:M730,O730,Q730:R730,T730:U730)=0),"",SUM(G730,I730,N730,P730,S730,V730))</f>
        <v/>
      </c>
      <c r="X730" s="18">
        <f>IF(W730="","",IF(Murid!F730="TL","TL",ROUND(W730/110*100,2)))</f>
        <v/>
      </c>
    </row>
    <row r="731">
      <c r="A731" s="15">
        <f>Murid!A731</f>
        <v/>
      </c>
      <c r="B731" s="15">
        <f>IF(Murid!B731="","",Murid!B731)</f>
        <v/>
      </c>
      <c r="C731" s="16">
        <f>IF(Murid!C731="","",Murid!C731)</f>
        <v/>
      </c>
      <c r="D731" s="15">
        <f>IF(Murid!E731="","",Murid!E731)</f>
        <v/>
      </c>
      <c r="E731" s="11" t="n"/>
      <c r="F731" s="11" t="n"/>
      <c r="G731" s="10">
        <f>IF(F731="","",IFERROR(VLOOKUP(F731,T_JUB,2,FALSE),0))</f>
        <v/>
      </c>
      <c r="H731" s="11" t="n"/>
      <c r="I731" s="17">
        <f>IF(H731="","",IF(H731&gt;=12,40,ROUND(H731*3.33,2)))</f>
        <v/>
      </c>
      <c r="J731" s="11" t="n"/>
      <c r="K731" s="11" t="n"/>
      <c r="L731" s="11" t="n"/>
      <c r="M731" s="11" t="n"/>
      <c r="N731" s="10">
        <f>IF(COUNTA(J731:M731)=0,"",MIN(10,SUMPRODUCT((COUNTIF(J731:M731,L_KOM)&gt;0)*S_KOM)))</f>
        <v/>
      </c>
      <c r="O731" s="11" t="n"/>
      <c r="P731" s="10">
        <f>IF(O731="","",IFERROR(VLOOKUP(O731,T_KHID,2,FALSE),0))</f>
        <v/>
      </c>
      <c r="Q731" s="11" t="n"/>
      <c r="R731" s="11" t="n"/>
      <c r="S731" s="10">
        <f>IF(AND(Q731="",R731=""),"",IFERROR(INDEX(T_LIBAT,MATCH(Q731,L_PER,0),MATCH(R731,L_JENIS,0)),0))</f>
        <v/>
      </c>
      <c r="T731" s="11" t="n"/>
      <c r="U731" s="11" t="n"/>
      <c r="V731" s="10">
        <f>IF(AND(T731="",U731=""),"",IFERROR(INDEX(T_CAPAI,MATCH(T731,L_PER,0),MATCH(U731,L_KED,0)),0))</f>
        <v/>
      </c>
      <c r="W731" s="17">
        <f>IF(OR(B731="",E731="",COUNTA(F731,H731,J731:M731,O731,Q731:R731,T731:U731)=0),"",SUM(G731,I731,N731,P731,S731,V731))</f>
        <v/>
      </c>
      <c r="X731" s="18">
        <f>IF(W731="","",IF(Murid!F731="TL","TL",ROUND(W731/110*100,2)))</f>
        <v/>
      </c>
    </row>
    <row r="732">
      <c r="A732" s="15">
        <f>Murid!A732</f>
        <v/>
      </c>
      <c r="B732" s="15">
        <f>IF(Murid!B732="","",Murid!B732)</f>
        <v/>
      </c>
      <c r="C732" s="16">
        <f>IF(Murid!C732="","",Murid!C732)</f>
        <v/>
      </c>
      <c r="D732" s="15">
        <f>IF(Murid!E732="","",Murid!E732)</f>
        <v/>
      </c>
      <c r="E732" s="11" t="n"/>
      <c r="F732" s="11" t="n"/>
      <c r="G732" s="10">
        <f>IF(F732="","",IFERROR(VLOOKUP(F732,T_JUB,2,FALSE),0))</f>
        <v/>
      </c>
      <c r="H732" s="11" t="n"/>
      <c r="I732" s="17">
        <f>IF(H732="","",IF(H732&gt;=12,40,ROUND(H732*3.33,2)))</f>
        <v/>
      </c>
      <c r="J732" s="11" t="n"/>
      <c r="K732" s="11" t="n"/>
      <c r="L732" s="11" t="n"/>
      <c r="M732" s="11" t="n"/>
      <c r="N732" s="10">
        <f>IF(COUNTA(J732:M732)=0,"",MIN(10,SUMPRODUCT((COUNTIF(J732:M732,L_KOM)&gt;0)*S_KOM)))</f>
        <v/>
      </c>
      <c r="O732" s="11" t="n"/>
      <c r="P732" s="10">
        <f>IF(O732="","",IFERROR(VLOOKUP(O732,T_KHID,2,FALSE),0))</f>
        <v/>
      </c>
      <c r="Q732" s="11" t="n"/>
      <c r="R732" s="11" t="n"/>
      <c r="S732" s="10">
        <f>IF(AND(Q732="",R732=""),"",IFERROR(INDEX(T_LIBAT,MATCH(Q732,L_PER,0),MATCH(R732,L_JENIS,0)),0))</f>
        <v/>
      </c>
      <c r="T732" s="11" t="n"/>
      <c r="U732" s="11" t="n"/>
      <c r="V732" s="10">
        <f>IF(AND(T732="",U732=""),"",IFERROR(INDEX(T_CAPAI,MATCH(T732,L_PER,0),MATCH(U732,L_KED,0)),0))</f>
        <v/>
      </c>
      <c r="W732" s="17">
        <f>IF(OR(B732="",E732="",COUNTA(F732,H732,J732:M732,O732,Q732:R732,T732:U732)=0),"",SUM(G732,I732,N732,P732,S732,V732))</f>
        <v/>
      </c>
      <c r="X732" s="18">
        <f>IF(W732="","",IF(Murid!F732="TL","TL",ROUND(W732/110*100,2)))</f>
        <v/>
      </c>
    </row>
    <row r="733">
      <c r="A733" s="15">
        <f>Murid!A733</f>
        <v/>
      </c>
      <c r="B733" s="15">
        <f>IF(Murid!B733="","",Murid!B733)</f>
        <v/>
      </c>
      <c r="C733" s="16">
        <f>IF(Murid!C733="","",Murid!C733)</f>
        <v/>
      </c>
      <c r="D733" s="15">
        <f>IF(Murid!E733="","",Murid!E733)</f>
        <v/>
      </c>
      <c r="E733" s="11" t="n"/>
      <c r="F733" s="11" t="n"/>
      <c r="G733" s="10">
        <f>IF(F733="","",IFERROR(VLOOKUP(F733,T_JUB,2,FALSE),0))</f>
        <v/>
      </c>
      <c r="H733" s="11" t="n"/>
      <c r="I733" s="17">
        <f>IF(H733="","",IF(H733&gt;=12,40,ROUND(H733*3.33,2)))</f>
        <v/>
      </c>
      <c r="J733" s="11" t="n"/>
      <c r="K733" s="11" t="n"/>
      <c r="L733" s="11" t="n"/>
      <c r="M733" s="11" t="n"/>
      <c r="N733" s="10">
        <f>IF(COUNTA(J733:M733)=0,"",MIN(10,SUMPRODUCT((COUNTIF(J733:M733,L_KOM)&gt;0)*S_KOM)))</f>
        <v/>
      </c>
      <c r="O733" s="11" t="n"/>
      <c r="P733" s="10">
        <f>IF(O733="","",IFERROR(VLOOKUP(O733,T_KHID,2,FALSE),0))</f>
        <v/>
      </c>
      <c r="Q733" s="11" t="n"/>
      <c r="R733" s="11" t="n"/>
      <c r="S733" s="10">
        <f>IF(AND(Q733="",R733=""),"",IFERROR(INDEX(T_LIBAT,MATCH(Q733,L_PER,0),MATCH(R733,L_JENIS,0)),0))</f>
        <v/>
      </c>
      <c r="T733" s="11" t="n"/>
      <c r="U733" s="11" t="n"/>
      <c r="V733" s="10">
        <f>IF(AND(T733="",U733=""),"",IFERROR(INDEX(T_CAPAI,MATCH(T733,L_PER,0),MATCH(U733,L_KED,0)),0))</f>
        <v/>
      </c>
      <c r="W733" s="17">
        <f>IF(OR(B733="",E733="",COUNTA(F733,H733,J733:M733,O733,Q733:R733,T733:U733)=0),"",SUM(G733,I733,N733,P733,S733,V733))</f>
        <v/>
      </c>
      <c r="X733" s="18">
        <f>IF(W733="","",IF(Murid!F733="TL","TL",ROUND(W733/110*100,2)))</f>
        <v/>
      </c>
    </row>
    <row r="734">
      <c r="A734" s="15">
        <f>Murid!A734</f>
        <v/>
      </c>
      <c r="B734" s="15">
        <f>IF(Murid!B734="","",Murid!B734)</f>
        <v/>
      </c>
      <c r="C734" s="16">
        <f>IF(Murid!C734="","",Murid!C734)</f>
        <v/>
      </c>
      <c r="D734" s="15">
        <f>IF(Murid!E734="","",Murid!E734)</f>
        <v/>
      </c>
      <c r="E734" s="11" t="n"/>
      <c r="F734" s="11" t="n"/>
      <c r="G734" s="10">
        <f>IF(F734="","",IFERROR(VLOOKUP(F734,T_JUB,2,FALSE),0))</f>
        <v/>
      </c>
      <c r="H734" s="11" t="n"/>
      <c r="I734" s="17">
        <f>IF(H734="","",IF(H734&gt;=12,40,ROUND(H734*3.33,2)))</f>
        <v/>
      </c>
      <c r="J734" s="11" t="n"/>
      <c r="K734" s="11" t="n"/>
      <c r="L734" s="11" t="n"/>
      <c r="M734" s="11" t="n"/>
      <c r="N734" s="10">
        <f>IF(COUNTA(J734:M734)=0,"",MIN(10,SUMPRODUCT((COUNTIF(J734:M734,L_KOM)&gt;0)*S_KOM)))</f>
        <v/>
      </c>
      <c r="O734" s="11" t="n"/>
      <c r="P734" s="10">
        <f>IF(O734="","",IFERROR(VLOOKUP(O734,T_KHID,2,FALSE),0))</f>
        <v/>
      </c>
      <c r="Q734" s="11" t="n"/>
      <c r="R734" s="11" t="n"/>
      <c r="S734" s="10">
        <f>IF(AND(Q734="",R734=""),"",IFERROR(INDEX(T_LIBAT,MATCH(Q734,L_PER,0),MATCH(R734,L_JENIS,0)),0))</f>
        <v/>
      </c>
      <c r="T734" s="11" t="n"/>
      <c r="U734" s="11" t="n"/>
      <c r="V734" s="10">
        <f>IF(AND(T734="",U734=""),"",IFERROR(INDEX(T_CAPAI,MATCH(T734,L_PER,0),MATCH(U734,L_KED,0)),0))</f>
        <v/>
      </c>
      <c r="W734" s="17">
        <f>IF(OR(B734="",E734="",COUNTA(F734,H734,J734:M734,O734,Q734:R734,T734:U734)=0),"",SUM(G734,I734,N734,P734,S734,V734))</f>
        <v/>
      </c>
      <c r="X734" s="18">
        <f>IF(W734="","",IF(Murid!F734="TL","TL",ROUND(W734/110*100,2)))</f>
        <v/>
      </c>
    </row>
    <row r="735">
      <c r="A735" s="15">
        <f>Murid!A735</f>
        <v/>
      </c>
      <c r="B735" s="15">
        <f>IF(Murid!B735="","",Murid!B735)</f>
        <v/>
      </c>
      <c r="C735" s="16">
        <f>IF(Murid!C735="","",Murid!C735)</f>
        <v/>
      </c>
      <c r="D735" s="15">
        <f>IF(Murid!E735="","",Murid!E735)</f>
        <v/>
      </c>
      <c r="E735" s="11" t="n"/>
      <c r="F735" s="11" t="n"/>
      <c r="G735" s="10">
        <f>IF(F735="","",IFERROR(VLOOKUP(F735,T_JUB,2,FALSE),0))</f>
        <v/>
      </c>
      <c r="H735" s="11" t="n"/>
      <c r="I735" s="17">
        <f>IF(H735="","",IF(H735&gt;=12,40,ROUND(H735*3.33,2)))</f>
        <v/>
      </c>
      <c r="J735" s="11" t="n"/>
      <c r="K735" s="11" t="n"/>
      <c r="L735" s="11" t="n"/>
      <c r="M735" s="11" t="n"/>
      <c r="N735" s="10">
        <f>IF(COUNTA(J735:M735)=0,"",MIN(10,SUMPRODUCT((COUNTIF(J735:M735,L_KOM)&gt;0)*S_KOM)))</f>
        <v/>
      </c>
      <c r="O735" s="11" t="n"/>
      <c r="P735" s="10">
        <f>IF(O735="","",IFERROR(VLOOKUP(O735,T_KHID,2,FALSE),0))</f>
        <v/>
      </c>
      <c r="Q735" s="11" t="n"/>
      <c r="R735" s="11" t="n"/>
      <c r="S735" s="10">
        <f>IF(AND(Q735="",R735=""),"",IFERROR(INDEX(T_LIBAT,MATCH(Q735,L_PER,0),MATCH(R735,L_JENIS,0)),0))</f>
        <v/>
      </c>
      <c r="T735" s="11" t="n"/>
      <c r="U735" s="11" t="n"/>
      <c r="V735" s="10">
        <f>IF(AND(T735="",U735=""),"",IFERROR(INDEX(T_CAPAI,MATCH(T735,L_PER,0),MATCH(U735,L_KED,0)),0))</f>
        <v/>
      </c>
      <c r="W735" s="17">
        <f>IF(OR(B735="",E735="",COUNTA(F735,H735,J735:M735,O735,Q735:R735,T735:U735)=0),"",SUM(G735,I735,N735,P735,S735,V735))</f>
        <v/>
      </c>
      <c r="X735" s="18">
        <f>IF(W735="","",IF(Murid!F735="TL","TL",ROUND(W735/110*100,2)))</f>
        <v/>
      </c>
    </row>
    <row r="736">
      <c r="A736" s="15">
        <f>Murid!A736</f>
        <v/>
      </c>
      <c r="B736" s="15">
        <f>IF(Murid!B736="","",Murid!B736)</f>
        <v/>
      </c>
      <c r="C736" s="16">
        <f>IF(Murid!C736="","",Murid!C736)</f>
        <v/>
      </c>
      <c r="D736" s="15">
        <f>IF(Murid!E736="","",Murid!E736)</f>
        <v/>
      </c>
      <c r="E736" s="11" t="n"/>
      <c r="F736" s="11" t="n"/>
      <c r="G736" s="10">
        <f>IF(F736="","",IFERROR(VLOOKUP(F736,T_JUB,2,FALSE),0))</f>
        <v/>
      </c>
      <c r="H736" s="11" t="n"/>
      <c r="I736" s="17">
        <f>IF(H736="","",IF(H736&gt;=12,40,ROUND(H736*3.33,2)))</f>
        <v/>
      </c>
      <c r="J736" s="11" t="n"/>
      <c r="K736" s="11" t="n"/>
      <c r="L736" s="11" t="n"/>
      <c r="M736" s="11" t="n"/>
      <c r="N736" s="10">
        <f>IF(COUNTA(J736:M736)=0,"",MIN(10,SUMPRODUCT((COUNTIF(J736:M736,L_KOM)&gt;0)*S_KOM)))</f>
        <v/>
      </c>
      <c r="O736" s="11" t="n"/>
      <c r="P736" s="10">
        <f>IF(O736="","",IFERROR(VLOOKUP(O736,T_KHID,2,FALSE),0))</f>
        <v/>
      </c>
      <c r="Q736" s="11" t="n"/>
      <c r="R736" s="11" t="n"/>
      <c r="S736" s="10">
        <f>IF(AND(Q736="",R736=""),"",IFERROR(INDEX(T_LIBAT,MATCH(Q736,L_PER,0),MATCH(R736,L_JENIS,0)),0))</f>
        <v/>
      </c>
      <c r="T736" s="11" t="n"/>
      <c r="U736" s="11" t="n"/>
      <c r="V736" s="10">
        <f>IF(AND(T736="",U736=""),"",IFERROR(INDEX(T_CAPAI,MATCH(T736,L_PER,0),MATCH(U736,L_KED,0)),0))</f>
        <v/>
      </c>
      <c r="W736" s="17">
        <f>IF(OR(B736="",E736="",COUNTA(F736,H736,J736:M736,O736,Q736:R736,T736:U736)=0),"",SUM(G736,I736,N736,P736,S736,V736))</f>
        <v/>
      </c>
      <c r="X736" s="18">
        <f>IF(W736="","",IF(Murid!F736="TL","TL",ROUND(W736/110*100,2)))</f>
        <v/>
      </c>
    </row>
    <row r="737">
      <c r="A737" s="15">
        <f>Murid!A737</f>
        <v/>
      </c>
      <c r="B737" s="15">
        <f>IF(Murid!B737="","",Murid!B737)</f>
        <v/>
      </c>
      <c r="C737" s="16">
        <f>IF(Murid!C737="","",Murid!C737)</f>
        <v/>
      </c>
      <c r="D737" s="15">
        <f>IF(Murid!E737="","",Murid!E737)</f>
        <v/>
      </c>
      <c r="E737" s="11" t="n"/>
      <c r="F737" s="11" t="n"/>
      <c r="G737" s="10">
        <f>IF(F737="","",IFERROR(VLOOKUP(F737,T_JUB,2,FALSE),0))</f>
        <v/>
      </c>
      <c r="H737" s="11" t="n"/>
      <c r="I737" s="17">
        <f>IF(H737="","",IF(H737&gt;=12,40,ROUND(H737*3.33,2)))</f>
        <v/>
      </c>
      <c r="J737" s="11" t="n"/>
      <c r="K737" s="11" t="n"/>
      <c r="L737" s="11" t="n"/>
      <c r="M737" s="11" t="n"/>
      <c r="N737" s="10">
        <f>IF(COUNTA(J737:M737)=0,"",MIN(10,SUMPRODUCT((COUNTIF(J737:M737,L_KOM)&gt;0)*S_KOM)))</f>
        <v/>
      </c>
      <c r="O737" s="11" t="n"/>
      <c r="P737" s="10">
        <f>IF(O737="","",IFERROR(VLOOKUP(O737,T_KHID,2,FALSE),0))</f>
        <v/>
      </c>
      <c r="Q737" s="11" t="n"/>
      <c r="R737" s="11" t="n"/>
      <c r="S737" s="10">
        <f>IF(AND(Q737="",R737=""),"",IFERROR(INDEX(T_LIBAT,MATCH(Q737,L_PER,0),MATCH(R737,L_JENIS,0)),0))</f>
        <v/>
      </c>
      <c r="T737" s="11" t="n"/>
      <c r="U737" s="11" t="n"/>
      <c r="V737" s="10">
        <f>IF(AND(T737="",U737=""),"",IFERROR(INDEX(T_CAPAI,MATCH(T737,L_PER,0),MATCH(U737,L_KED,0)),0))</f>
        <v/>
      </c>
      <c r="W737" s="17">
        <f>IF(OR(B737="",E737="",COUNTA(F737,H737,J737:M737,O737,Q737:R737,T737:U737)=0),"",SUM(G737,I737,N737,P737,S737,V737))</f>
        <v/>
      </c>
      <c r="X737" s="18">
        <f>IF(W737="","",IF(Murid!F737="TL","TL",ROUND(W737/110*100,2)))</f>
        <v/>
      </c>
    </row>
    <row r="738">
      <c r="A738" s="15">
        <f>Murid!A738</f>
        <v/>
      </c>
      <c r="B738" s="15">
        <f>IF(Murid!B738="","",Murid!B738)</f>
        <v/>
      </c>
      <c r="C738" s="16">
        <f>IF(Murid!C738="","",Murid!C738)</f>
        <v/>
      </c>
      <c r="D738" s="15">
        <f>IF(Murid!E738="","",Murid!E738)</f>
        <v/>
      </c>
      <c r="E738" s="11" t="n"/>
      <c r="F738" s="11" t="n"/>
      <c r="G738" s="10">
        <f>IF(F738="","",IFERROR(VLOOKUP(F738,T_JUB,2,FALSE),0))</f>
        <v/>
      </c>
      <c r="H738" s="11" t="n"/>
      <c r="I738" s="17">
        <f>IF(H738="","",IF(H738&gt;=12,40,ROUND(H738*3.33,2)))</f>
        <v/>
      </c>
      <c r="J738" s="11" t="n"/>
      <c r="K738" s="11" t="n"/>
      <c r="L738" s="11" t="n"/>
      <c r="M738" s="11" t="n"/>
      <c r="N738" s="10">
        <f>IF(COUNTA(J738:M738)=0,"",MIN(10,SUMPRODUCT((COUNTIF(J738:M738,L_KOM)&gt;0)*S_KOM)))</f>
        <v/>
      </c>
      <c r="O738" s="11" t="n"/>
      <c r="P738" s="10">
        <f>IF(O738="","",IFERROR(VLOOKUP(O738,T_KHID,2,FALSE),0))</f>
        <v/>
      </c>
      <c r="Q738" s="11" t="n"/>
      <c r="R738" s="11" t="n"/>
      <c r="S738" s="10">
        <f>IF(AND(Q738="",R738=""),"",IFERROR(INDEX(T_LIBAT,MATCH(Q738,L_PER,0),MATCH(R738,L_JENIS,0)),0))</f>
        <v/>
      </c>
      <c r="T738" s="11" t="n"/>
      <c r="U738" s="11" t="n"/>
      <c r="V738" s="10">
        <f>IF(AND(T738="",U738=""),"",IFERROR(INDEX(T_CAPAI,MATCH(T738,L_PER,0),MATCH(U738,L_KED,0)),0))</f>
        <v/>
      </c>
      <c r="W738" s="17">
        <f>IF(OR(B738="",E738="",COUNTA(F738,H738,J738:M738,O738,Q738:R738,T738:U738)=0),"",SUM(G738,I738,N738,P738,S738,V738))</f>
        <v/>
      </c>
      <c r="X738" s="18">
        <f>IF(W738="","",IF(Murid!F738="TL","TL",ROUND(W738/110*100,2)))</f>
        <v/>
      </c>
    </row>
    <row r="739">
      <c r="A739" s="15">
        <f>Murid!A739</f>
        <v/>
      </c>
      <c r="B739" s="15">
        <f>IF(Murid!B739="","",Murid!B739)</f>
        <v/>
      </c>
      <c r="C739" s="16">
        <f>IF(Murid!C739="","",Murid!C739)</f>
        <v/>
      </c>
      <c r="D739" s="15">
        <f>IF(Murid!E739="","",Murid!E739)</f>
        <v/>
      </c>
      <c r="E739" s="11" t="n"/>
      <c r="F739" s="11" t="n"/>
      <c r="G739" s="10">
        <f>IF(F739="","",IFERROR(VLOOKUP(F739,T_JUB,2,FALSE),0))</f>
        <v/>
      </c>
      <c r="H739" s="11" t="n"/>
      <c r="I739" s="17">
        <f>IF(H739="","",IF(H739&gt;=12,40,ROUND(H739*3.33,2)))</f>
        <v/>
      </c>
      <c r="J739" s="11" t="n"/>
      <c r="K739" s="11" t="n"/>
      <c r="L739" s="11" t="n"/>
      <c r="M739" s="11" t="n"/>
      <c r="N739" s="10">
        <f>IF(COUNTA(J739:M739)=0,"",MIN(10,SUMPRODUCT((COUNTIF(J739:M739,L_KOM)&gt;0)*S_KOM)))</f>
        <v/>
      </c>
      <c r="O739" s="11" t="n"/>
      <c r="P739" s="10">
        <f>IF(O739="","",IFERROR(VLOOKUP(O739,T_KHID,2,FALSE),0))</f>
        <v/>
      </c>
      <c r="Q739" s="11" t="n"/>
      <c r="R739" s="11" t="n"/>
      <c r="S739" s="10">
        <f>IF(AND(Q739="",R739=""),"",IFERROR(INDEX(T_LIBAT,MATCH(Q739,L_PER,0),MATCH(R739,L_JENIS,0)),0))</f>
        <v/>
      </c>
      <c r="T739" s="11" t="n"/>
      <c r="U739" s="11" t="n"/>
      <c r="V739" s="10">
        <f>IF(AND(T739="",U739=""),"",IFERROR(INDEX(T_CAPAI,MATCH(T739,L_PER,0),MATCH(U739,L_KED,0)),0))</f>
        <v/>
      </c>
      <c r="W739" s="17">
        <f>IF(OR(B739="",E739="",COUNTA(F739,H739,J739:M739,O739,Q739:R739,T739:U739)=0),"",SUM(G739,I739,N739,P739,S739,V739))</f>
        <v/>
      </c>
      <c r="X739" s="18">
        <f>IF(W739="","",IF(Murid!F739="TL","TL",ROUND(W739/110*100,2)))</f>
        <v/>
      </c>
    </row>
    <row r="740">
      <c r="A740" s="15">
        <f>Murid!A740</f>
        <v/>
      </c>
      <c r="B740" s="15">
        <f>IF(Murid!B740="","",Murid!B740)</f>
        <v/>
      </c>
      <c r="C740" s="16">
        <f>IF(Murid!C740="","",Murid!C740)</f>
        <v/>
      </c>
      <c r="D740" s="15">
        <f>IF(Murid!E740="","",Murid!E740)</f>
        <v/>
      </c>
      <c r="E740" s="11" t="n"/>
      <c r="F740" s="11" t="n"/>
      <c r="G740" s="10">
        <f>IF(F740="","",IFERROR(VLOOKUP(F740,T_JUB,2,FALSE),0))</f>
        <v/>
      </c>
      <c r="H740" s="11" t="n"/>
      <c r="I740" s="17">
        <f>IF(H740="","",IF(H740&gt;=12,40,ROUND(H740*3.33,2)))</f>
        <v/>
      </c>
      <c r="J740" s="11" t="n"/>
      <c r="K740" s="11" t="n"/>
      <c r="L740" s="11" t="n"/>
      <c r="M740" s="11" t="n"/>
      <c r="N740" s="10">
        <f>IF(COUNTA(J740:M740)=0,"",MIN(10,SUMPRODUCT((COUNTIF(J740:M740,L_KOM)&gt;0)*S_KOM)))</f>
        <v/>
      </c>
      <c r="O740" s="11" t="n"/>
      <c r="P740" s="10">
        <f>IF(O740="","",IFERROR(VLOOKUP(O740,T_KHID,2,FALSE),0))</f>
        <v/>
      </c>
      <c r="Q740" s="11" t="n"/>
      <c r="R740" s="11" t="n"/>
      <c r="S740" s="10">
        <f>IF(AND(Q740="",R740=""),"",IFERROR(INDEX(T_LIBAT,MATCH(Q740,L_PER,0),MATCH(R740,L_JENIS,0)),0))</f>
        <v/>
      </c>
      <c r="T740" s="11" t="n"/>
      <c r="U740" s="11" t="n"/>
      <c r="V740" s="10">
        <f>IF(AND(T740="",U740=""),"",IFERROR(INDEX(T_CAPAI,MATCH(T740,L_PER,0),MATCH(U740,L_KED,0)),0))</f>
        <v/>
      </c>
      <c r="W740" s="17">
        <f>IF(OR(B740="",E740="",COUNTA(F740,H740,J740:M740,O740,Q740:R740,T740:U740)=0),"",SUM(G740,I740,N740,P740,S740,V740))</f>
        <v/>
      </c>
      <c r="X740" s="18">
        <f>IF(W740="","",IF(Murid!F740="TL","TL",ROUND(W740/110*100,2)))</f>
        <v/>
      </c>
    </row>
    <row r="741">
      <c r="A741" s="15">
        <f>Murid!A741</f>
        <v/>
      </c>
      <c r="B741" s="15">
        <f>IF(Murid!B741="","",Murid!B741)</f>
        <v/>
      </c>
      <c r="C741" s="16">
        <f>IF(Murid!C741="","",Murid!C741)</f>
        <v/>
      </c>
      <c r="D741" s="15">
        <f>IF(Murid!E741="","",Murid!E741)</f>
        <v/>
      </c>
      <c r="E741" s="11" t="n"/>
      <c r="F741" s="11" t="n"/>
      <c r="G741" s="10">
        <f>IF(F741="","",IFERROR(VLOOKUP(F741,T_JUB,2,FALSE),0))</f>
        <v/>
      </c>
      <c r="H741" s="11" t="n"/>
      <c r="I741" s="17">
        <f>IF(H741="","",IF(H741&gt;=12,40,ROUND(H741*3.33,2)))</f>
        <v/>
      </c>
      <c r="J741" s="11" t="n"/>
      <c r="K741" s="11" t="n"/>
      <c r="L741" s="11" t="n"/>
      <c r="M741" s="11" t="n"/>
      <c r="N741" s="10">
        <f>IF(COUNTA(J741:M741)=0,"",MIN(10,SUMPRODUCT((COUNTIF(J741:M741,L_KOM)&gt;0)*S_KOM)))</f>
        <v/>
      </c>
      <c r="O741" s="11" t="n"/>
      <c r="P741" s="10">
        <f>IF(O741="","",IFERROR(VLOOKUP(O741,T_KHID,2,FALSE),0))</f>
        <v/>
      </c>
      <c r="Q741" s="11" t="n"/>
      <c r="R741" s="11" t="n"/>
      <c r="S741" s="10">
        <f>IF(AND(Q741="",R741=""),"",IFERROR(INDEX(T_LIBAT,MATCH(Q741,L_PER,0),MATCH(R741,L_JENIS,0)),0))</f>
        <v/>
      </c>
      <c r="T741" s="11" t="n"/>
      <c r="U741" s="11" t="n"/>
      <c r="V741" s="10">
        <f>IF(AND(T741="",U741=""),"",IFERROR(INDEX(T_CAPAI,MATCH(T741,L_PER,0),MATCH(U741,L_KED,0)),0))</f>
        <v/>
      </c>
      <c r="W741" s="17">
        <f>IF(OR(B741="",E741="",COUNTA(F741,H741,J741:M741,O741,Q741:R741,T741:U741)=0),"",SUM(G741,I741,N741,P741,S741,V741))</f>
        <v/>
      </c>
      <c r="X741" s="18">
        <f>IF(W741="","",IF(Murid!F741="TL","TL",ROUND(W741/110*100,2)))</f>
        <v/>
      </c>
    </row>
    <row r="742">
      <c r="A742" s="15">
        <f>Murid!A742</f>
        <v/>
      </c>
      <c r="B742" s="15">
        <f>IF(Murid!B742="","",Murid!B742)</f>
        <v/>
      </c>
      <c r="C742" s="16">
        <f>IF(Murid!C742="","",Murid!C742)</f>
        <v/>
      </c>
      <c r="D742" s="15">
        <f>IF(Murid!E742="","",Murid!E742)</f>
        <v/>
      </c>
      <c r="E742" s="11" t="n"/>
      <c r="F742" s="11" t="n"/>
      <c r="G742" s="10">
        <f>IF(F742="","",IFERROR(VLOOKUP(F742,T_JUB,2,FALSE),0))</f>
        <v/>
      </c>
      <c r="H742" s="11" t="n"/>
      <c r="I742" s="17">
        <f>IF(H742="","",IF(H742&gt;=12,40,ROUND(H742*3.33,2)))</f>
        <v/>
      </c>
      <c r="J742" s="11" t="n"/>
      <c r="K742" s="11" t="n"/>
      <c r="L742" s="11" t="n"/>
      <c r="M742" s="11" t="n"/>
      <c r="N742" s="10">
        <f>IF(COUNTA(J742:M742)=0,"",MIN(10,SUMPRODUCT((COUNTIF(J742:M742,L_KOM)&gt;0)*S_KOM)))</f>
        <v/>
      </c>
      <c r="O742" s="11" t="n"/>
      <c r="P742" s="10">
        <f>IF(O742="","",IFERROR(VLOOKUP(O742,T_KHID,2,FALSE),0))</f>
        <v/>
      </c>
      <c r="Q742" s="11" t="n"/>
      <c r="R742" s="11" t="n"/>
      <c r="S742" s="10">
        <f>IF(AND(Q742="",R742=""),"",IFERROR(INDEX(T_LIBAT,MATCH(Q742,L_PER,0),MATCH(R742,L_JENIS,0)),0))</f>
        <v/>
      </c>
      <c r="T742" s="11" t="n"/>
      <c r="U742" s="11" t="n"/>
      <c r="V742" s="10">
        <f>IF(AND(T742="",U742=""),"",IFERROR(INDEX(T_CAPAI,MATCH(T742,L_PER,0),MATCH(U742,L_KED,0)),0))</f>
        <v/>
      </c>
      <c r="W742" s="17">
        <f>IF(OR(B742="",E742="",COUNTA(F742,H742,J742:M742,O742,Q742:R742,T742:U742)=0),"",SUM(G742,I742,N742,P742,S742,V742))</f>
        <v/>
      </c>
      <c r="X742" s="18">
        <f>IF(W742="","",IF(Murid!F742="TL","TL",ROUND(W742/110*100,2)))</f>
        <v/>
      </c>
    </row>
    <row r="743">
      <c r="A743" s="15">
        <f>Murid!A743</f>
        <v/>
      </c>
      <c r="B743" s="15">
        <f>IF(Murid!B743="","",Murid!B743)</f>
        <v/>
      </c>
      <c r="C743" s="16">
        <f>IF(Murid!C743="","",Murid!C743)</f>
        <v/>
      </c>
      <c r="D743" s="15">
        <f>IF(Murid!E743="","",Murid!E743)</f>
        <v/>
      </c>
      <c r="E743" s="11" t="n"/>
      <c r="F743" s="11" t="n"/>
      <c r="G743" s="10">
        <f>IF(F743="","",IFERROR(VLOOKUP(F743,T_JUB,2,FALSE),0))</f>
        <v/>
      </c>
      <c r="H743" s="11" t="n"/>
      <c r="I743" s="17">
        <f>IF(H743="","",IF(H743&gt;=12,40,ROUND(H743*3.33,2)))</f>
        <v/>
      </c>
      <c r="J743" s="11" t="n"/>
      <c r="K743" s="11" t="n"/>
      <c r="L743" s="11" t="n"/>
      <c r="M743" s="11" t="n"/>
      <c r="N743" s="10">
        <f>IF(COUNTA(J743:M743)=0,"",MIN(10,SUMPRODUCT((COUNTIF(J743:M743,L_KOM)&gt;0)*S_KOM)))</f>
        <v/>
      </c>
      <c r="O743" s="11" t="n"/>
      <c r="P743" s="10">
        <f>IF(O743="","",IFERROR(VLOOKUP(O743,T_KHID,2,FALSE),0))</f>
        <v/>
      </c>
      <c r="Q743" s="11" t="n"/>
      <c r="R743" s="11" t="n"/>
      <c r="S743" s="10">
        <f>IF(AND(Q743="",R743=""),"",IFERROR(INDEX(T_LIBAT,MATCH(Q743,L_PER,0),MATCH(R743,L_JENIS,0)),0))</f>
        <v/>
      </c>
      <c r="T743" s="11" t="n"/>
      <c r="U743" s="11" t="n"/>
      <c r="V743" s="10">
        <f>IF(AND(T743="",U743=""),"",IFERROR(INDEX(T_CAPAI,MATCH(T743,L_PER,0),MATCH(U743,L_KED,0)),0))</f>
        <v/>
      </c>
      <c r="W743" s="17">
        <f>IF(OR(B743="",E743="",COUNTA(F743,H743,J743:M743,O743,Q743:R743,T743:U743)=0),"",SUM(G743,I743,N743,P743,S743,V743))</f>
        <v/>
      </c>
      <c r="X743" s="18">
        <f>IF(W743="","",IF(Murid!F743="TL","TL",ROUND(W743/110*100,2)))</f>
        <v/>
      </c>
    </row>
    <row r="744">
      <c r="A744" s="15">
        <f>Murid!A744</f>
        <v/>
      </c>
      <c r="B744" s="15">
        <f>IF(Murid!B744="","",Murid!B744)</f>
        <v/>
      </c>
      <c r="C744" s="16">
        <f>IF(Murid!C744="","",Murid!C744)</f>
        <v/>
      </c>
      <c r="D744" s="15">
        <f>IF(Murid!E744="","",Murid!E744)</f>
        <v/>
      </c>
      <c r="E744" s="11" t="n"/>
      <c r="F744" s="11" t="n"/>
      <c r="G744" s="10">
        <f>IF(F744="","",IFERROR(VLOOKUP(F744,T_JUB,2,FALSE),0))</f>
        <v/>
      </c>
      <c r="H744" s="11" t="n"/>
      <c r="I744" s="17">
        <f>IF(H744="","",IF(H744&gt;=12,40,ROUND(H744*3.33,2)))</f>
        <v/>
      </c>
      <c r="J744" s="11" t="n"/>
      <c r="K744" s="11" t="n"/>
      <c r="L744" s="11" t="n"/>
      <c r="M744" s="11" t="n"/>
      <c r="N744" s="10">
        <f>IF(COUNTA(J744:M744)=0,"",MIN(10,SUMPRODUCT((COUNTIF(J744:M744,L_KOM)&gt;0)*S_KOM)))</f>
        <v/>
      </c>
      <c r="O744" s="11" t="n"/>
      <c r="P744" s="10">
        <f>IF(O744="","",IFERROR(VLOOKUP(O744,T_KHID,2,FALSE),0))</f>
        <v/>
      </c>
      <c r="Q744" s="11" t="n"/>
      <c r="R744" s="11" t="n"/>
      <c r="S744" s="10">
        <f>IF(AND(Q744="",R744=""),"",IFERROR(INDEX(T_LIBAT,MATCH(Q744,L_PER,0),MATCH(R744,L_JENIS,0)),0))</f>
        <v/>
      </c>
      <c r="T744" s="11" t="n"/>
      <c r="U744" s="11" t="n"/>
      <c r="V744" s="10">
        <f>IF(AND(T744="",U744=""),"",IFERROR(INDEX(T_CAPAI,MATCH(T744,L_PER,0),MATCH(U744,L_KED,0)),0))</f>
        <v/>
      </c>
      <c r="W744" s="17">
        <f>IF(OR(B744="",E744="",COUNTA(F744,H744,J744:M744,O744,Q744:R744,T744:U744)=0),"",SUM(G744,I744,N744,P744,S744,V744))</f>
        <v/>
      </c>
      <c r="X744" s="18">
        <f>IF(W744="","",IF(Murid!F744="TL","TL",ROUND(W744/110*100,2)))</f>
        <v/>
      </c>
    </row>
    <row r="745">
      <c r="A745" s="15">
        <f>Murid!A745</f>
        <v/>
      </c>
      <c r="B745" s="15">
        <f>IF(Murid!B745="","",Murid!B745)</f>
        <v/>
      </c>
      <c r="C745" s="16">
        <f>IF(Murid!C745="","",Murid!C745)</f>
        <v/>
      </c>
      <c r="D745" s="15">
        <f>IF(Murid!E745="","",Murid!E745)</f>
        <v/>
      </c>
      <c r="E745" s="11" t="n"/>
      <c r="F745" s="11" t="n"/>
      <c r="G745" s="10">
        <f>IF(F745="","",IFERROR(VLOOKUP(F745,T_JUB,2,FALSE),0))</f>
        <v/>
      </c>
      <c r="H745" s="11" t="n"/>
      <c r="I745" s="17">
        <f>IF(H745="","",IF(H745&gt;=12,40,ROUND(H745*3.33,2)))</f>
        <v/>
      </c>
      <c r="J745" s="11" t="n"/>
      <c r="K745" s="11" t="n"/>
      <c r="L745" s="11" t="n"/>
      <c r="M745" s="11" t="n"/>
      <c r="N745" s="10">
        <f>IF(COUNTA(J745:M745)=0,"",MIN(10,SUMPRODUCT((COUNTIF(J745:M745,L_KOM)&gt;0)*S_KOM)))</f>
        <v/>
      </c>
      <c r="O745" s="11" t="n"/>
      <c r="P745" s="10">
        <f>IF(O745="","",IFERROR(VLOOKUP(O745,T_KHID,2,FALSE),0))</f>
        <v/>
      </c>
      <c r="Q745" s="11" t="n"/>
      <c r="R745" s="11" t="n"/>
      <c r="S745" s="10">
        <f>IF(AND(Q745="",R745=""),"",IFERROR(INDEX(T_LIBAT,MATCH(Q745,L_PER,0),MATCH(R745,L_JENIS,0)),0))</f>
        <v/>
      </c>
      <c r="T745" s="11" t="n"/>
      <c r="U745" s="11" t="n"/>
      <c r="V745" s="10">
        <f>IF(AND(T745="",U745=""),"",IFERROR(INDEX(T_CAPAI,MATCH(T745,L_PER,0),MATCH(U745,L_KED,0)),0))</f>
        <v/>
      </c>
      <c r="W745" s="17">
        <f>IF(OR(B745="",E745="",COUNTA(F745,H745,J745:M745,O745,Q745:R745,T745:U745)=0),"",SUM(G745,I745,N745,P745,S745,V745))</f>
        <v/>
      </c>
      <c r="X745" s="18">
        <f>IF(W745="","",IF(Murid!F745="TL","TL",ROUND(W745/110*100,2)))</f>
        <v/>
      </c>
    </row>
    <row r="746">
      <c r="A746" s="15">
        <f>Murid!A746</f>
        <v/>
      </c>
      <c r="B746" s="15">
        <f>IF(Murid!B746="","",Murid!B746)</f>
        <v/>
      </c>
      <c r="C746" s="16">
        <f>IF(Murid!C746="","",Murid!C746)</f>
        <v/>
      </c>
      <c r="D746" s="15">
        <f>IF(Murid!E746="","",Murid!E746)</f>
        <v/>
      </c>
      <c r="E746" s="11" t="n"/>
      <c r="F746" s="11" t="n"/>
      <c r="G746" s="10">
        <f>IF(F746="","",IFERROR(VLOOKUP(F746,T_JUB,2,FALSE),0))</f>
        <v/>
      </c>
      <c r="H746" s="11" t="n"/>
      <c r="I746" s="17">
        <f>IF(H746="","",IF(H746&gt;=12,40,ROUND(H746*3.33,2)))</f>
        <v/>
      </c>
      <c r="J746" s="11" t="n"/>
      <c r="K746" s="11" t="n"/>
      <c r="L746" s="11" t="n"/>
      <c r="M746" s="11" t="n"/>
      <c r="N746" s="10">
        <f>IF(COUNTA(J746:M746)=0,"",MIN(10,SUMPRODUCT((COUNTIF(J746:M746,L_KOM)&gt;0)*S_KOM)))</f>
        <v/>
      </c>
      <c r="O746" s="11" t="n"/>
      <c r="P746" s="10">
        <f>IF(O746="","",IFERROR(VLOOKUP(O746,T_KHID,2,FALSE),0))</f>
        <v/>
      </c>
      <c r="Q746" s="11" t="n"/>
      <c r="R746" s="11" t="n"/>
      <c r="S746" s="10">
        <f>IF(AND(Q746="",R746=""),"",IFERROR(INDEX(T_LIBAT,MATCH(Q746,L_PER,0),MATCH(R746,L_JENIS,0)),0))</f>
        <v/>
      </c>
      <c r="T746" s="11" t="n"/>
      <c r="U746" s="11" t="n"/>
      <c r="V746" s="10">
        <f>IF(AND(T746="",U746=""),"",IFERROR(INDEX(T_CAPAI,MATCH(T746,L_PER,0),MATCH(U746,L_KED,0)),0))</f>
        <v/>
      </c>
      <c r="W746" s="17">
        <f>IF(OR(B746="",E746="",COUNTA(F746,H746,J746:M746,O746,Q746:R746,T746:U746)=0),"",SUM(G746,I746,N746,P746,S746,V746))</f>
        <v/>
      </c>
      <c r="X746" s="18">
        <f>IF(W746="","",IF(Murid!F746="TL","TL",ROUND(W746/110*100,2)))</f>
        <v/>
      </c>
    </row>
    <row r="747">
      <c r="A747" s="15">
        <f>Murid!A747</f>
        <v/>
      </c>
      <c r="B747" s="15">
        <f>IF(Murid!B747="","",Murid!B747)</f>
        <v/>
      </c>
      <c r="C747" s="16">
        <f>IF(Murid!C747="","",Murid!C747)</f>
        <v/>
      </c>
      <c r="D747" s="15">
        <f>IF(Murid!E747="","",Murid!E747)</f>
        <v/>
      </c>
      <c r="E747" s="11" t="n"/>
      <c r="F747" s="11" t="n"/>
      <c r="G747" s="10">
        <f>IF(F747="","",IFERROR(VLOOKUP(F747,T_JUB,2,FALSE),0))</f>
        <v/>
      </c>
      <c r="H747" s="11" t="n"/>
      <c r="I747" s="17">
        <f>IF(H747="","",IF(H747&gt;=12,40,ROUND(H747*3.33,2)))</f>
        <v/>
      </c>
      <c r="J747" s="11" t="n"/>
      <c r="K747" s="11" t="n"/>
      <c r="L747" s="11" t="n"/>
      <c r="M747" s="11" t="n"/>
      <c r="N747" s="10">
        <f>IF(COUNTA(J747:M747)=0,"",MIN(10,SUMPRODUCT((COUNTIF(J747:M747,L_KOM)&gt;0)*S_KOM)))</f>
        <v/>
      </c>
      <c r="O747" s="11" t="n"/>
      <c r="P747" s="10">
        <f>IF(O747="","",IFERROR(VLOOKUP(O747,T_KHID,2,FALSE),0))</f>
        <v/>
      </c>
      <c r="Q747" s="11" t="n"/>
      <c r="R747" s="11" t="n"/>
      <c r="S747" s="10">
        <f>IF(AND(Q747="",R747=""),"",IFERROR(INDEX(T_LIBAT,MATCH(Q747,L_PER,0),MATCH(R747,L_JENIS,0)),0))</f>
        <v/>
      </c>
      <c r="T747" s="11" t="n"/>
      <c r="U747" s="11" t="n"/>
      <c r="V747" s="10">
        <f>IF(AND(T747="",U747=""),"",IFERROR(INDEX(T_CAPAI,MATCH(T747,L_PER,0),MATCH(U747,L_KED,0)),0))</f>
        <v/>
      </c>
      <c r="W747" s="17">
        <f>IF(OR(B747="",E747="",COUNTA(F747,H747,J747:M747,O747,Q747:R747,T747:U747)=0),"",SUM(G747,I747,N747,P747,S747,V747))</f>
        <v/>
      </c>
      <c r="X747" s="18">
        <f>IF(W747="","",IF(Murid!F747="TL","TL",ROUND(W747/110*100,2)))</f>
        <v/>
      </c>
    </row>
    <row r="748">
      <c r="A748" s="15">
        <f>Murid!A748</f>
        <v/>
      </c>
      <c r="B748" s="15">
        <f>IF(Murid!B748="","",Murid!B748)</f>
        <v/>
      </c>
      <c r="C748" s="16">
        <f>IF(Murid!C748="","",Murid!C748)</f>
        <v/>
      </c>
      <c r="D748" s="15">
        <f>IF(Murid!E748="","",Murid!E748)</f>
        <v/>
      </c>
      <c r="E748" s="11" t="n"/>
      <c r="F748" s="11" t="n"/>
      <c r="G748" s="10">
        <f>IF(F748="","",IFERROR(VLOOKUP(F748,T_JUB,2,FALSE),0))</f>
        <v/>
      </c>
      <c r="H748" s="11" t="n"/>
      <c r="I748" s="17">
        <f>IF(H748="","",IF(H748&gt;=12,40,ROUND(H748*3.33,2)))</f>
        <v/>
      </c>
      <c r="J748" s="11" t="n"/>
      <c r="K748" s="11" t="n"/>
      <c r="L748" s="11" t="n"/>
      <c r="M748" s="11" t="n"/>
      <c r="N748" s="10">
        <f>IF(COUNTA(J748:M748)=0,"",MIN(10,SUMPRODUCT((COUNTIF(J748:M748,L_KOM)&gt;0)*S_KOM)))</f>
        <v/>
      </c>
      <c r="O748" s="11" t="n"/>
      <c r="P748" s="10">
        <f>IF(O748="","",IFERROR(VLOOKUP(O748,T_KHID,2,FALSE),0))</f>
        <v/>
      </c>
      <c r="Q748" s="11" t="n"/>
      <c r="R748" s="11" t="n"/>
      <c r="S748" s="10">
        <f>IF(AND(Q748="",R748=""),"",IFERROR(INDEX(T_LIBAT,MATCH(Q748,L_PER,0),MATCH(R748,L_JENIS,0)),0))</f>
        <v/>
      </c>
      <c r="T748" s="11" t="n"/>
      <c r="U748" s="11" t="n"/>
      <c r="V748" s="10">
        <f>IF(AND(T748="",U748=""),"",IFERROR(INDEX(T_CAPAI,MATCH(T748,L_PER,0),MATCH(U748,L_KED,0)),0))</f>
        <v/>
      </c>
      <c r="W748" s="17">
        <f>IF(OR(B748="",E748="",COUNTA(F748,H748,J748:M748,O748,Q748:R748,T748:U748)=0),"",SUM(G748,I748,N748,P748,S748,V748))</f>
        <v/>
      </c>
      <c r="X748" s="18">
        <f>IF(W748="","",IF(Murid!F748="TL","TL",ROUND(W748/110*100,2)))</f>
        <v/>
      </c>
    </row>
    <row r="749">
      <c r="A749" s="15">
        <f>Murid!A749</f>
        <v/>
      </c>
      <c r="B749" s="15">
        <f>IF(Murid!B749="","",Murid!B749)</f>
        <v/>
      </c>
      <c r="C749" s="16">
        <f>IF(Murid!C749="","",Murid!C749)</f>
        <v/>
      </c>
      <c r="D749" s="15">
        <f>IF(Murid!E749="","",Murid!E749)</f>
        <v/>
      </c>
      <c r="E749" s="11" t="n"/>
      <c r="F749" s="11" t="n"/>
      <c r="G749" s="10">
        <f>IF(F749="","",IFERROR(VLOOKUP(F749,T_JUB,2,FALSE),0))</f>
        <v/>
      </c>
      <c r="H749" s="11" t="n"/>
      <c r="I749" s="17">
        <f>IF(H749="","",IF(H749&gt;=12,40,ROUND(H749*3.33,2)))</f>
        <v/>
      </c>
      <c r="J749" s="11" t="n"/>
      <c r="K749" s="11" t="n"/>
      <c r="L749" s="11" t="n"/>
      <c r="M749" s="11" t="n"/>
      <c r="N749" s="10">
        <f>IF(COUNTA(J749:M749)=0,"",MIN(10,SUMPRODUCT((COUNTIF(J749:M749,L_KOM)&gt;0)*S_KOM)))</f>
        <v/>
      </c>
      <c r="O749" s="11" t="n"/>
      <c r="P749" s="10">
        <f>IF(O749="","",IFERROR(VLOOKUP(O749,T_KHID,2,FALSE),0))</f>
        <v/>
      </c>
      <c r="Q749" s="11" t="n"/>
      <c r="R749" s="11" t="n"/>
      <c r="S749" s="10">
        <f>IF(AND(Q749="",R749=""),"",IFERROR(INDEX(T_LIBAT,MATCH(Q749,L_PER,0),MATCH(R749,L_JENIS,0)),0))</f>
        <v/>
      </c>
      <c r="T749" s="11" t="n"/>
      <c r="U749" s="11" t="n"/>
      <c r="V749" s="10">
        <f>IF(AND(T749="",U749=""),"",IFERROR(INDEX(T_CAPAI,MATCH(T749,L_PER,0),MATCH(U749,L_KED,0)),0))</f>
        <v/>
      </c>
      <c r="W749" s="17">
        <f>IF(OR(B749="",E749="",COUNTA(F749,H749,J749:M749,O749,Q749:R749,T749:U749)=0),"",SUM(G749,I749,N749,P749,S749,V749))</f>
        <v/>
      </c>
      <c r="X749" s="18">
        <f>IF(W749="","",IF(Murid!F749="TL","TL",ROUND(W749/110*100,2)))</f>
        <v/>
      </c>
    </row>
    <row r="750">
      <c r="A750" s="15">
        <f>Murid!A750</f>
        <v/>
      </c>
      <c r="B750" s="15">
        <f>IF(Murid!B750="","",Murid!B750)</f>
        <v/>
      </c>
      <c r="C750" s="16">
        <f>IF(Murid!C750="","",Murid!C750)</f>
        <v/>
      </c>
      <c r="D750" s="15">
        <f>IF(Murid!E750="","",Murid!E750)</f>
        <v/>
      </c>
      <c r="E750" s="11" t="n"/>
      <c r="F750" s="11" t="n"/>
      <c r="G750" s="10">
        <f>IF(F750="","",IFERROR(VLOOKUP(F750,T_JUB,2,FALSE),0))</f>
        <v/>
      </c>
      <c r="H750" s="11" t="n"/>
      <c r="I750" s="17">
        <f>IF(H750="","",IF(H750&gt;=12,40,ROUND(H750*3.33,2)))</f>
        <v/>
      </c>
      <c r="J750" s="11" t="n"/>
      <c r="K750" s="11" t="n"/>
      <c r="L750" s="11" t="n"/>
      <c r="M750" s="11" t="n"/>
      <c r="N750" s="10">
        <f>IF(COUNTA(J750:M750)=0,"",MIN(10,SUMPRODUCT((COUNTIF(J750:M750,L_KOM)&gt;0)*S_KOM)))</f>
        <v/>
      </c>
      <c r="O750" s="11" t="n"/>
      <c r="P750" s="10">
        <f>IF(O750="","",IFERROR(VLOOKUP(O750,T_KHID,2,FALSE),0))</f>
        <v/>
      </c>
      <c r="Q750" s="11" t="n"/>
      <c r="R750" s="11" t="n"/>
      <c r="S750" s="10">
        <f>IF(AND(Q750="",R750=""),"",IFERROR(INDEX(T_LIBAT,MATCH(Q750,L_PER,0),MATCH(R750,L_JENIS,0)),0))</f>
        <v/>
      </c>
      <c r="T750" s="11" t="n"/>
      <c r="U750" s="11" t="n"/>
      <c r="V750" s="10">
        <f>IF(AND(T750="",U750=""),"",IFERROR(INDEX(T_CAPAI,MATCH(T750,L_PER,0),MATCH(U750,L_KED,0)),0))</f>
        <v/>
      </c>
      <c r="W750" s="17">
        <f>IF(OR(B750="",E750="",COUNTA(F750,H750,J750:M750,O750,Q750:R750,T750:U750)=0),"",SUM(G750,I750,N750,P750,S750,V750))</f>
        <v/>
      </c>
      <c r="X750" s="18">
        <f>IF(W750="","",IF(Murid!F750="TL","TL",ROUND(W750/110*100,2)))</f>
        <v/>
      </c>
    </row>
    <row r="751">
      <c r="A751" s="15">
        <f>Murid!A751</f>
        <v/>
      </c>
      <c r="B751" s="15">
        <f>IF(Murid!B751="","",Murid!B751)</f>
        <v/>
      </c>
      <c r="C751" s="16">
        <f>IF(Murid!C751="","",Murid!C751)</f>
        <v/>
      </c>
      <c r="D751" s="15">
        <f>IF(Murid!E751="","",Murid!E751)</f>
        <v/>
      </c>
      <c r="E751" s="11" t="n"/>
      <c r="F751" s="11" t="n"/>
      <c r="G751" s="10">
        <f>IF(F751="","",IFERROR(VLOOKUP(F751,T_JUB,2,FALSE),0))</f>
        <v/>
      </c>
      <c r="H751" s="11" t="n"/>
      <c r="I751" s="17">
        <f>IF(H751="","",IF(H751&gt;=12,40,ROUND(H751*3.33,2)))</f>
        <v/>
      </c>
      <c r="J751" s="11" t="n"/>
      <c r="K751" s="11" t="n"/>
      <c r="L751" s="11" t="n"/>
      <c r="M751" s="11" t="n"/>
      <c r="N751" s="10">
        <f>IF(COUNTA(J751:M751)=0,"",MIN(10,SUMPRODUCT((COUNTIF(J751:M751,L_KOM)&gt;0)*S_KOM)))</f>
        <v/>
      </c>
      <c r="O751" s="11" t="n"/>
      <c r="P751" s="10">
        <f>IF(O751="","",IFERROR(VLOOKUP(O751,T_KHID,2,FALSE),0))</f>
        <v/>
      </c>
      <c r="Q751" s="11" t="n"/>
      <c r="R751" s="11" t="n"/>
      <c r="S751" s="10">
        <f>IF(AND(Q751="",R751=""),"",IFERROR(INDEX(T_LIBAT,MATCH(Q751,L_PER,0),MATCH(R751,L_JENIS,0)),0))</f>
        <v/>
      </c>
      <c r="T751" s="11" t="n"/>
      <c r="U751" s="11" t="n"/>
      <c r="V751" s="10">
        <f>IF(AND(T751="",U751=""),"",IFERROR(INDEX(T_CAPAI,MATCH(T751,L_PER,0),MATCH(U751,L_KED,0)),0))</f>
        <v/>
      </c>
      <c r="W751" s="17">
        <f>IF(OR(B751="",E751="",COUNTA(F751,H751,J751:M751,O751,Q751:R751,T751:U751)=0),"",SUM(G751,I751,N751,P751,S751,V751))</f>
        <v/>
      </c>
      <c r="X751" s="18">
        <f>IF(W751="","",IF(Murid!F751="TL","TL",ROUND(W751/110*100,2)))</f>
        <v/>
      </c>
    </row>
    <row r="752">
      <c r="A752" s="15">
        <f>Murid!A752</f>
        <v/>
      </c>
      <c r="B752" s="15">
        <f>IF(Murid!B752="","",Murid!B752)</f>
        <v/>
      </c>
      <c r="C752" s="16">
        <f>IF(Murid!C752="","",Murid!C752)</f>
        <v/>
      </c>
      <c r="D752" s="15">
        <f>IF(Murid!E752="","",Murid!E752)</f>
        <v/>
      </c>
      <c r="E752" s="11" t="n"/>
      <c r="F752" s="11" t="n"/>
      <c r="G752" s="10">
        <f>IF(F752="","",IFERROR(VLOOKUP(F752,T_JUB,2,FALSE),0))</f>
        <v/>
      </c>
      <c r="H752" s="11" t="n"/>
      <c r="I752" s="17">
        <f>IF(H752="","",IF(H752&gt;=12,40,ROUND(H752*3.33,2)))</f>
        <v/>
      </c>
      <c r="J752" s="11" t="n"/>
      <c r="K752" s="11" t="n"/>
      <c r="L752" s="11" t="n"/>
      <c r="M752" s="11" t="n"/>
      <c r="N752" s="10">
        <f>IF(COUNTA(J752:M752)=0,"",MIN(10,SUMPRODUCT((COUNTIF(J752:M752,L_KOM)&gt;0)*S_KOM)))</f>
        <v/>
      </c>
      <c r="O752" s="11" t="n"/>
      <c r="P752" s="10">
        <f>IF(O752="","",IFERROR(VLOOKUP(O752,T_KHID,2,FALSE),0))</f>
        <v/>
      </c>
      <c r="Q752" s="11" t="n"/>
      <c r="R752" s="11" t="n"/>
      <c r="S752" s="10">
        <f>IF(AND(Q752="",R752=""),"",IFERROR(INDEX(T_LIBAT,MATCH(Q752,L_PER,0),MATCH(R752,L_JENIS,0)),0))</f>
        <v/>
      </c>
      <c r="T752" s="11" t="n"/>
      <c r="U752" s="11" t="n"/>
      <c r="V752" s="10">
        <f>IF(AND(T752="",U752=""),"",IFERROR(INDEX(T_CAPAI,MATCH(T752,L_PER,0),MATCH(U752,L_KED,0)),0))</f>
        <v/>
      </c>
      <c r="W752" s="17">
        <f>IF(OR(B752="",E752="",COUNTA(F752,H752,J752:M752,O752,Q752:R752,T752:U752)=0),"",SUM(G752,I752,N752,P752,S752,V752))</f>
        <v/>
      </c>
      <c r="X752" s="18">
        <f>IF(W752="","",IF(Murid!F752="TL","TL",ROUND(W752/110*100,2)))</f>
        <v/>
      </c>
    </row>
    <row r="753">
      <c r="A753" s="15">
        <f>Murid!A753</f>
        <v/>
      </c>
      <c r="B753" s="15">
        <f>IF(Murid!B753="","",Murid!B753)</f>
        <v/>
      </c>
      <c r="C753" s="16">
        <f>IF(Murid!C753="","",Murid!C753)</f>
        <v/>
      </c>
      <c r="D753" s="15">
        <f>IF(Murid!E753="","",Murid!E753)</f>
        <v/>
      </c>
      <c r="E753" s="11" t="n"/>
      <c r="F753" s="11" t="n"/>
      <c r="G753" s="10">
        <f>IF(F753="","",IFERROR(VLOOKUP(F753,T_JUB,2,FALSE),0))</f>
        <v/>
      </c>
      <c r="H753" s="11" t="n"/>
      <c r="I753" s="17">
        <f>IF(H753="","",IF(H753&gt;=12,40,ROUND(H753*3.33,2)))</f>
        <v/>
      </c>
      <c r="J753" s="11" t="n"/>
      <c r="K753" s="11" t="n"/>
      <c r="L753" s="11" t="n"/>
      <c r="M753" s="11" t="n"/>
      <c r="N753" s="10">
        <f>IF(COUNTA(J753:M753)=0,"",MIN(10,SUMPRODUCT((COUNTIF(J753:M753,L_KOM)&gt;0)*S_KOM)))</f>
        <v/>
      </c>
      <c r="O753" s="11" t="n"/>
      <c r="P753" s="10">
        <f>IF(O753="","",IFERROR(VLOOKUP(O753,T_KHID,2,FALSE),0))</f>
        <v/>
      </c>
      <c r="Q753" s="11" t="n"/>
      <c r="R753" s="11" t="n"/>
      <c r="S753" s="10">
        <f>IF(AND(Q753="",R753=""),"",IFERROR(INDEX(T_LIBAT,MATCH(Q753,L_PER,0),MATCH(R753,L_JENIS,0)),0))</f>
        <v/>
      </c>
      <c r="T753" s="11" t="n"/>
      <c r="U753" s="11" t="n"/>
      <c r="V753" s="10">
        <f>IF(AND(T753="",U753=""),"",IFERROR(INDEX(T_CAPAI,MATCH(T753,L_PER,0),MATCH(U753,L_KED,0)),0))</f>
        <v/>
      </c>
      <c r="W753" s="17">
        <f>IF(OR(B753="",E753="",COUNTA(F753,H753,J753:M753,O753,Q753:R753,T753:U753)=0),"",SUM(G753,I753,N753,P753,S753,V753))</f>
        <v/>
      </c>
      <c r="X753" s="18">
        <f>IF(W753="","",IF(Murid!F753="TL","TL",ROUND(W753/110*100,2)))</f>
        <v/>
      </c>
    </row>
    <row r="754">
      <c r="A754" s="15">
        <f>Murid!A754</f>
        <v/>
      </c>
      <c r="B754" s="15">
        <f>IF(Murid!B754="","",Murid!B754)</f>
        <v/>
      </c>
      <c r="C754" s="16">
        <f>IF(Murid!C754="","",Murid!C754)</f>
        <v/>
      </c>
      <c r="D754" s="15">
        <f>IF(Murid!E754="","",Murid!E754)</f>
        <v/>
      </c>
      <c r="E754" s="11" t="n"/>
      <c r="F754" s="11" t="n"/>
      <c r="G754" s="10">
        <f>IF(F754="","",IFERROR(VLOOKUP(F754,T_JUB,2,FALSE),0))</f>
        <v/>
      </c>
      <c r="H754" s="11" t="n"/>
      <c r="I754" s="17">
        <f>IF(H754="","",IF(H754&gt;=12,40,ROUND(H754*3.33,2)))</f>
        <v/>
      </c>
      <c r="J754" s="11" t="n"/>
      <c r="K754" s="11" t="n"/>
      <c r="L754" s="11" t="n"/>
      <c r="M754" s="11" t="n"/>
      <c r="N754" s="10">
        <f>IF(COUNTA(J754:M754)=0,"",MIN(10,SUMPRODUCT((COUNTIF(J754:M754,L_KOM)&gt;0)*S_KOM)))</f>
        <v/>
      </c>
      <c r="O754" s="11" t="n"/>
      <c r="P754" s="10">
        <f>IF(O754="","",IFERROR(VLOOKUP(O754,T_KHID,2,FALSE),0))</f>
        <v/>
      </c>
      <c r="Q754" s="11" t="n"/>
      <c r="R754" s="11" t="n"/>
      <c r="S754" s="10">
        <f>IF(AND(Q754="",R754=""),"",IFERROR(INDEX(T_LIBAT,MATCH(Q754,L_PER,0),MATCH(R754,L_JENIS,0)),0))</f>
        <v/>
      </c>
      <c r="T754" s="11" t="n"/>
      <c r="U754" s="11" t="n"/>
      <c r="V754" s="10">
        <f>IF(AND(T754="",U754=""),"",IFERROR(INDEX(T_CAPAI,MATCH(T754,L_PER,0),MATCH(U754,L_KED,0)),0))</f>
        <v/>
      </c>
      <c r="W754" s="17">
        <f>IF(OR(B754="",E754="",COUNTA(F754,H754,J754:M754,O754,Q754:R754,T754:U754)=0),"",SUM(G754,I754,N754,P754,S754,V754))</f>
        <v/>
      </c>
      <c r="X754" s="18">
        <f>IF(W754="","",IF(Murid!F754="TL","TL",ROUND(W754/110*100,2)))</f>
        <v/>
      </c>
    </row>
    <row r="755">
      <c r="A755" s="15">
        <f>Murid!A755</f>
        <v/>
      </c>
      <c r="B755" s="15">
        <f>IF(Murid!B755="","",Murid!B755)</f>
        <v/>
      </c>
      <c r="C755" s="16">
        <f>IF(Murid!C755="","",Murid!C755)</f>
        <v/>
      </c>
      <c r="D755" s="15">
        <f>IF(Murid!E755="","",Murid!E755)</f>
        <v/>
      </c>
      <c r="E755" s="11" t="n"/>
      <c r="F755" s="11" t="n"/>
      <c r="G755" s="10">
        <f>IF(F755="","",IFERROR(VLOOKUP(F755,T_JUB,2,FALSE),0))</f>
        <v/>
      </c>
      <c r="H755" s="11" t="n"/>
      <c r="I755" s="17">
        <f>IF(H755="","",IF(H755&gt;=12,40,ROUND(H755*3.33,2)))</f>
        <v/>
      </c>
      <c r="J755" s="11" t="n"/>
      <c r="K755" s="11" t="n"/>
      <c r="L755" s="11" t="n"/>
      <c r="M755" s="11" t="n"/>
      <c r="N755" s="10">
        <f>IF(COUNTA(J755:M755)=0,"",MIN(10,SUMPRODUCT((COUNTIF(J755:M755,L_KOM)&gt;0)*S_KOM)))</f>
        <v/>
      </c>
      <c r="O755" s="11" t="n"/>
      <c r="P755" s="10">
        <f>IF(O755="","",IFERROR(VLOOKUP(O755,T_KHID,2,FALSE),0))</f>
        <v/>
      </c>
      <c r="Q755" s="11" t="n"/>
      <c r="R755" s="11" t="n"/>
      <c r="S755" s="10">
        <f>IF(AND(Q755="",R755=""),"",IFERROR(INDEX(T_LIBAT,MATCH(Q755,L_PER,0),MATCH(R755,L_JENIS,0)),0))</f>
        <v/>
      </c>
      <c r="T755" s="11" t="n"/>
      <c r="U755" s="11" t="n"/>
      <c r="V755" s="10">
        <f>IF(AND(T755="",U755=""),"",IFERROR(INDEX(T_CAPAI,MATCH(T755,L_PER,0),MATCH(U755,L_KED,0)),0))</f>
        <v/>
      </c>
      <c r="W755" s="17">
        <f>IF(OR(B755="",E755="",COUNTA(F755,H755,J755:M755,O755,Q755:R755,T755:U755)=0),"",SUM(G755,I755,N755,P755,S755,V755))</f>
        <v/>
      </c>
      <c r="X755" s="18">
        <f>IF(W755="","",IF(Murid!F755="TL","TL",ROUND(W755/110*100,2)))</f>
        <v/>
      </c>
    </row>
    <row r="756">
      <c r="A756" s="15">
        <f>Murid!A756</f>
        <v/>
      </c>
      <c r="B756" s="15">
        <f>IF(Murid!B756="","",Murid!B756)</f>
        <v/>
      </c>
      <c r="C756" s="16">
        <f>IF(Murid!C756="","",Murid!C756)</f>
        <v/>
      </c>
      <c r="D756" s="15">
        <f>IF(Murid!E756="","",Murid!E756)</f>
        <v/>
      </c>
      <c r="E756" s="11" t="n"/>
      <c r="F756" s="11" t="n"/>
      <c r="G756" s="10">
        <f>IF(F756="","",IFERROR(VLOOKUP(F756,T_JUB,2,FALSE),0))</f>
        <v/>
      </c>
      <c r="H756" s="11" t="n"/>
      <c r="I756" s="17">
        <f>IF(H756="","",IF(H756&gt;=12,40,ROUND(H756*3.33,2)))</f>
        <v/>
      </c>
      <c r="J756" s="11" t="n"/>
      <c r="K756" s="11" t="n"/>
      <c r="L756" s="11" t="n"/>
      <c r="M756" s="11" t="n"/>
      <c r="N756" s="10">
        <f>IF(COUNTA(J756:M756)=0,"",MIN(10,SUMPRODUCT((COUNTIF(J756:M756,L_KOM)&gt;0)*S_KOM)))</f>
        <v/>
      </c>
      <c r="O756" s="11" t="n"/>
      <c r="P756" s="10">
        <f>IF(O756="","",IFERROR(VLOOKUP(O756,T_KHID,2,FALSE),0))</f>
        <v/>
      </c>
      <c r="Q756" s="11" t="n"/>
      <c r="R756" s="11" t="n"/>
      <c r="S756" s="10">
        <f>IF(AND(Q756="",R756=""),"",IFERROR(INDEX(T_LIBAT,MATCH(Q756,L_PER,0),MATCH(R756,L_JENIS,0)),0))</f>
        <v/>
      </c>
      <c r="T756" s="11" t="n"/>
      <c r="U756" s="11" t="n"/>
      <c r="V756" s="10">
        <f>IF(AND(T756="",U756=""),"",IFERROR(INDEX(T_CAPAI,MATCH(T756,L_PER,0),MATCH(U756,L_KED,0)),0))</f>
        <v/>
      </c>
      <c r="W756" s="17">
        <f>IF(OR(B756="",E756="",COUNTA(F756,H756,J756:M756,O756,Q756:R756,T756:U756)=0),"",SUM(G756,I756,N756,P756,S756,V756))</f>
        <v/>
      </c>
      <c r="X756" s="18">
        <f>IF(W756="","",IF(Murid!F756="TL","TL",ROUND(W756/110*100,2)))</f>
        <v/>
      </c>
    </row>
    <row r="757">
      <c r="A757" s="15">
        <f>Murid!A757</f>
        <v/>
      </c>
      <c r="B757" s="15">
        <f>IF(Murid!B757="","",Murid!B757)</f>
        <v/>
      </c>
      <c r="C757" s="16">
        <f>IF(Murid!C757="","",Murid!C757)</f>
        <v/>
      </c>
      <c r="D757" s="15">
        <f>IF(Murid!E757="","",Murid!E757)</f>
        <v/>
      </c>
      <c r="E757" s="11" t="n"/>
      <c r="F757" s="11" t="n"/>
      <c r="G757" s="10">
        <f>IF(F757="","",IFERROR(VLOOKUP(F757,T_JUB,2,FALSE),0))</f>
        <v/>
      </c>
      <c r="H757" s="11" t="n"/>
      <c r="I757" s="17">
        <f>IF(H757="","",IF(H757&gt;=12,40,ROUND(H757*3.33,2)))</f>
        <v/>
      </c>
      <c r="J757" s="11" t="n"/>
      <c r="K757" s="11" t="n"/>
      <c r="L757" s="11" t="n"/>
      <c r="M757" s="11" t="n"/>
      <c r="N757" s="10">
        <f>IF(COUNTA(J757:M757)=0,"",MIN(10,SUMPRODUCT((COUNTIF(J757:M757,L_KOM)&gt;0)*S_KOM)))</f>
        <v/>
      </c>
      <c r="O757" s="11" t="n"/>
      <c r="P757" s="10">
        <f>IF(O757="","",IFERROR(VLOOKUP(O757,T_KHID,2,FALSE),0))</f>
        <v/>
      </c>
      <c r="Q757" s="11" t="n"/>
      <c r="R757" s="11" t="n"/>
      <c r="S757" s="10">
        <f>IF(AND(Q757="",R757=""),"",IFERROR(INDEX(T_LIBAT,MATCH(Q757,L_PER,0),MATCH(R757,L_JENIS,0)),0))</f>
        <v/>
      </c>
      <c r="T757" s="11" t="n"/>
      <c r="U757" s="11" t="n"/>
      <c r="V757" s="10">
        <f>IF(AND(T757="",U757=""),"",IFERROR(INDEX(T_CAPAI,MATCH(T757,L_PER,0),MATCH(U757,L_KED,0)),0))</f>
        <v/>
      </c>
      <c r="W757" s="17">
        <f>IF(OR(B757="",E757="",COUNTA(F757,H757,J757:M757,O757,Q757:R757,T757:U757)=0),"",SUM(G757,I757,N757,P757,S757,V757))</f>
        <v/>
      </c>
      <c r="X757" s="18">
        <f>IF(W757="","",IF(Murid!F757="TL","TL",ROUND(W757/110*100,2)))</f>
        <v/>
      </c>
    </row>
    <row r="758">
      <c r="A758" s="15">
        <f>Murid!A758</f>
        <v/>
      </c>
      <c r="B758" s="15">
        <f>IF(Murid!B758="","",Murid!B758)</f>
        <v/>
      </c>
      <c r="C758" s="16">
        <f>IF(Murid!C758="","",Murid!C758)</f>
        <v/>
      </c>
      <c r="D758" s="15">
        <f>IF(Murid!E758="","",Murid!E758)</f>
        <v/>
      </c>
      <c r="E758" s="11" t="n"/>
      <c r="F758" s="11" t="n"/>
      <c r="G758" s="10">
        <f>IF(F758="","",IFERROR(VLOOKUP(F758,T_JUB,2,FALSE),0))</f>
        <v/>
      </c>
      <c r="H758" s="11" t="n"/>
      <c r="I758" s="17">
        <f>IF(H758="","",IF(H758&gt;=12,40,ROUND(H758*3.33,2)))</f>
        <v/>
      </c>
      <c r="J758" s="11" t="n"/>
      <c r="K758" s="11" t="n"/>
      <c r="L758" s="11" t="n"/>
      <c r="M758" s="11" t="n"/>
      <c r="N758" s="10">
        <f>IF(COUNTA(J758:M758)=0,"",MIN(10,SUMPRODUCT((COUNTIF(J758:M758,L_KOM)&gt;0)*S_KOM)))</f>
        <v/>
      </c>
      <c r="O758" s="11" t="n"/>
      <c r="P758" s="10">
        <f>IF(O758="","",IFERROR(VLOOKUP(O758,T_KHID,2,FALSE),0))</f>
        <v/>
      </c>
      <c r="Q758" s="11" t="n"/>
      <c r="R758" s="11" t="n"/>
      <c r="S758" s="10">
        <f>IF(AND(Q758="",R758=""),"",IFERROR(INDEX(T_LIBAT,MATCH(Q758,L_PER,0),MATCH(R758,L_JENIS,0)),0))</f>
        <v/>
      </c>
      <c r="T758" s="11" t="n"/>
      <c r="U758" s="11" t="n"/>
      <c r="V758" s="10">
        <f>IF(AND(T758="",U758=""),"",IFERROR(INDEX(T_CAPAI,MATCH(T758,L_PER,0),MATCH(U758,L_KED,0)),0))</f>
        <v/>
      </c>
      <c r="W758" s="17">
        <f>IF(OR(B758="",E758="",COUNTA(F758,H758,J758:M758,O758,Q758:R758,T758:U758)=0),"",SUM(G758,I758,N758,P758,S758,V758))</f>
        <v/>
      </c>
      <c r="X758" s="18">
        <f>IF(W758="","",IF(Murid!F758="TL","TL",ROUND(W758/110*100,2)))</f>
        <v/>
      </c>
    </row>
    <row r="759">
      <c r="A759" s="15">
        <f>Murid!A759</f>
        <v/>
      </c>
      <c r="B759" s="15">
        <f>IF(Murid!B759="","",Murid!B759)</f>
        <v/>
      </c>
      <c r="C759" s="16">
        <f>IF(Murid!C759="","",Murid!C759)</f>
        <v/>
      </c>
      <c r="D759" s="15">
        <f>IF(Murid!E759="","",Murid!E759)</f>
        <v/>
      </c>
      <c r="E759" s="11" t="n"/>
      <c r="F759" s="11" t="n"/>
      <c r="G759" s="10">
        <f>IF(F759="","",IFERROR(VLOOKUP(F759,T_JUB,2,FALSE),0))</f>
        <v/>
      </c>
      <c r="H759" s="11" t="n"/>
      <c r="I759" s="17">
        <f>IF(H759="","",IF(H759&gt;=12,40,ROUND(H759*3.33,2)))</f>
        <v/>
      </c>
      <c r="J759" s="11" t="n"/>
      <c r="K759" s="11" t="n"/>
      <c r="L759" s="11" t="n"/>
      <c r="M759" s="11" t="n"/>
      <c r="N759" s="10">
        <f>IF(COUNTA(J759:M759)=0,"",MIN(10,SUMPRODUCT((COUNTIF(J759:M759,L_KOM)&gt;0)*S_KOM)))</f>
        <v/>
      </c>
      <c r="O759" s="11" t="n"/>
      <c r="P759" s="10">
        <f>IF(O759="","",IFERROR(VLOOKUP(O759,T_KHID,2,FALSE),0))</f>
        <v/>
      </c>
      <c r="Q759" s="11" t="n"/>
      <c r="R759" s="11" t="n"/>
      <c r="S759" s="10">
        <f>IF(AND(Q759="",R759=""),"",IFERROR(INDEX(T_LIBAT,MATCH(Q759,L_PER,0),MATCH(R759,L_JENIS,0)),0))</f>
        <v/>
      </c>
      <c r="T759" s="11" t="n"/>
      <c r="U759" s="11" t="n"/>
      <c r="V759" s="10">
        <f>IF(AND(T759="",U759=""),"",IFERROR(INDEX(T_CAPAI,MATCH(T759,L_PER,0),MATCH(U759,L_KED,0)),0))</f>
        <v/>
      </c>
      <c r="W759" s="17">
        <f>IF(OR(B759="",E759="",COUNTA(F759,H759,J759:M759,O759,Q759:R759,T759:U759)=0),"",SUM(G759,I759,N759,P759,S759,V759))</f>
        <v/>
      </c>
      <c r="X759" s="18">
        <f>IF(W759="","",IF(Murid!F759="TL","TL",ROUND(W759/110*100,2)))</f>
        <v/>
      </c>
    </row>
    <row r="760">
      <c r="A760" s="15">
        <f>Murid!A760</f>
        <v/>
      </c>
      <c r="B760" s="15">
        <f>IF(Murid!B760="","",Murid!B760)</f>
        <v/>
      </c>
      <c r="C760" s="16">
        <f>IF(Murid!C760="","",Murid!C760)</f>
        <v/>
      </c>
      <c r="D760" s="15">
        <f>IF(Murid!E760="","",Murid!E760)</f>
        <v/>
      </c>
      <c r="E760" s="11" t="n"/>
      <c r="F760" s="11" t="n"/>
      <c r="G760" s="10">
        <f>IF(F760="","",IFERROR(VLOOKUP(F760,T_JUB,2,FALSE),0))</f>
        <v/>
      </c>
      <c r="H760" s="11" t="n"/>
      <c r="I760" s="17">
        <f>IF(H760="","",IF(H760&gt;=12,40,ROUND(H760*3.33,2)))</f>
        <v/>
      </c>
      <c r="J760" s="11" t="n"/>
      <c r="K760" s="11" t="n"/>
      <c r="L760" s="11" t="n"/>
      <c r="M760" s="11" t="n"/>
      <c r="N760" s="10">
        <f>IF(COUNTA(J760:M760)=0,"",MIN(10,SUMPRODUCT((COUNTIF(J760:M760,L_KOM)&gt;0)*S_KOM)))</f>
        <v/>
      </c>
      <c r="O760" s="11" t="n"/>
      <c r="P760" s="10">
        <f>IF(O760="","",IFERROR(VLOOKUP(O760,T_KHID,2,FALSE),0))</f>
        <v/>
      </c>
      <c r="Q760" s="11" t="n"/>
      <c r="R760" s="11" t="n"/>
      <c r="S760" s="10">
        <f>IF(AND(Q760="",R760=""),"",IFERROR(INDEX(T_LIBAT,MATCH(Q760,L_PER,0),MATCH(R760,L_JENIS,0)),0))</f>
        <v/>
      </c>
      <c r="T760" s="11" t="n"/>
      <c r="U760" s="11" t="n"/>
      <c r="V760" s="10">
        <f>IF(AND(T760="",U760=""),"",IFERROR(INDEX(T_CAPAI,MATCH(T760,L_PER,0),MATCH(U760,L_KED,0)),0))</f>
        <v/>
      </c>
      <c r="W760" s="17">
        <f>IF(OR(B760="",E760="",COUNTA(F760,H760,J760:M760,O760,Q760:R760,T760:U760)=0),"",SUM(G760,I760,N760,P760,S760,V760))</f>
        <v/>
      </c>
      <c r="X760" s="18">
        <f>IF(W760="","",IF(Murid!F760="TL","TL",ROUND(W760/110*100,2)))</f>
        <v/>
      </c>
    </row>
    <row r="761">
      <c r="A761" s="15">
        <f>Murid!A761</f>
        <v/>
      </c>
      <c r="B761" s="15">
        <f>IF(Murid!B761="","",Murid!B761)</f>
        <v/>
      </c>
      <c r="C761" s="16">
        <f>IF(Murid!C761="","",Murid!C761)</f>
        <v/>
      </c>
      <c r="D761" s="15">
        <f>IF(Murid!E761="","",Murid!E761)</f>
        <v/>
      </c>
      <c r="E761" s="11" t="n"/>
      <c r="F761" s="11" t="n"/>
      <c r="G761" s="10">
        <f>IF(F761="","",IFERROR(VLOOKUP(F761,T_JUB,2,FALSE),0))</f>
        <v/>
      </c>
      <c r="H761" s="11" t="n"/>
      <c r="I761" s="17">
        <f>IF(H761="","",IF(H761&gt;=12,40,ROUND(H761*3.33,2)))</f>
        <v/>
      </c>
      <c r="J761" s="11" t="n"/>
      <c r="K761" s="11" t="n"/>
      <c r="L761" s="11" t="n"/>
      <c r="M761" s="11" t="n"/>
      <c r="N761" s="10">
        <f>IF(COUNTA(J761:M761)=0,"",MIN(10,SUMPRODUCT((COUNTIF(J761:M761,L_KOM)&gt;0)*S_KOM)))</f>
        <v/>
      </c>
      <c r="O761" s="11" t="n"/>
      <c r="P761" s="10">
        <f>IF(O761="","",IFERROR(VLOOKUP(O761,T_KHID,2,FALSE),0))</f>
        <v/>
      </c>
      <c r="Q761" s="11" t="n"/>
      <c r="R761" s="11" t="n"/>
      <c r="S761" s="10">
        <f>IF(AND(Q761="",R761=""),"",IFERROR(INDEX(T_LIBAT,MATCH(Q761,L_PER,0),MATCH(R761,L_JENIS,0)),0))</f>
        <v/>
      </c>
      <c r="T761" s="11" t="n"/>
      <c r="U761" s="11" t="n"/>
      <c r="V761" s="10">
        <f>IF(AND(T761="",U761=""),"",IFERROR(INDEX(T_CAPAI,MATCH(T761,L_PER,0),MATCH(U761,L_KED,0)),0))</f>
        <v/>
      </c>
      <c r="W761" s="17">
        <f>IF(OR(B761="",E761="",COUNTA(F761,H761,J761:M761,O761,Q761:R761,T761:U761)=0),"",SUM(G761,I761,N761,P761,S761,V761))</f>
        <v/>
      </c>
      <c r="X761" s="18">
        <f>IF(W761="","",IF(Murid!F761="TL","TL",ROUND(W761/110*100,2)))</f>
        <v/>
      </c>
    </row>
    <row r="762">
      <c r="A762" s="15">
        <f>Murid!A762</f>
        <v/>
      </c>
      <c r="B762" s="15">
        <f>IF(Murid!B762="","",Murid!B762)</f>
        <v/>
      </c>
      <c r="C762" s="16">
        <f>IF(Murid!C762="","",Murid!C762)</f>
        <v/>
      </c>
      <c r="D762" s="15">
        <f>IF(Murid!E762="","",Murid!E762)</f>
        <v/>
      </c>
      <c r="E762" s="11" t="n"/>
      <c r="F762" s="11" t="n"/>
      <c r="G762" s="10">
        <f>IF(F762="","",IFERROR(VLOOKUP(F762,T_JUB,2,FALSE),0))</f>
        <v/>
      </c>
      <c r="H762" s="11" t="n"/>
      <c r="I762" s="17">
        <f>IF(H762="","",IF(H762&gt;=12,40,ROUND(H762*3.33,2)))</f>
        <v/>
      </c>
      <c r="J762" s="11" t="n"/>
      <c r="K762" s="11" t="n"/>
      <c r="L762" s="11" t="n"/>
      <c r="M762" s="11" t="n"/>
      <c r="N762" s="10">
        <f>IF(COUNTA(J762:M762)=0,"",MIN(10,SUMPRODUCT((COUNTIF(J762:M762,L_KOM)&gt;0)*S_KOM)))</f>
        <v/>
      </c>
      <c r="O762" s="11" t="n"/>
      <c r="P762" s="10">
        <f>IF(O762="","",IFERROR(VLOOKUP(O762,T_KHID,2,FALSE),0))</f>
        <v/>
      </c>
      <c r="Q762" s="11" t="n"/>
      <c r="R762" s="11" t="n"/>
      <c r="S762" s="10">
        <f>IF(AND(Q762="",R762=""),"",IFERROR(INDEX(T_LIBAT,MATCH(Q762,L_PER,0),MATCH(R762,L_JENIS,0)),0))</f>
        <v/>
      </c>
      <c r="T762" s="11" t="n"/>
      <c r="U762" s="11" t="n"/>
      <c r="V762" s="10">
        <f>IF(AND(T762="",U762=""),"",IFERROR(INDEX(T_CAPAI,MATCH(T762,L_PER,0),MATCH(U762,L_KED,0)),0))</f>
        <v/>
      </c>
      <c r="W762" s="17">
        <f>IF(OR(B762="",E762="",COUNTA(F762,H762,J762:M762,O762,Q762:R762,T762:U762)=0),"",SUM(G762,I762,N762,P762,S762,V762))</f>
        <v/>
      </c>
      <c r="X762" s="18">
        <f>IF(W762="","",IF(Murid!F762="TL","TL",ROUND(W762/110*100,2)))</f>
        <v/>
      </c>
    </row>
    <row r="763">
      <c r="A763" s="15">
        <f>Murid!A763</f>
        <v/>
      </c>
      <c r="B763" s="15">
        <f>IF(Murid!B763="","",Murid!B763)</f>
        <v/>
      </c>
      <c r="C763" s="16">
        <f>IF(Murid!C763="","",Murid!C763)</f>
        <v/>
      </c>
      <c r="D763" s="15">
        <f>IF(Murid!E763="","",Murid!E763)</f>
        <v/>
      </c>
      <c r="E763" s="11" t="n"/>
      <c r="F763" s="11" t="n"/>
      <c r="G763" s="10">
        <f>IF(F763="","",IFERROR(VLOOKUP(F763,T_JUB,2,FALSE),0))</f>
        <v/>
      </c>
      <c r="H763" s="11" t="n"/>
      <c r="I763" s="17">
        <f>IF(H763="","",IF(H763&gt;=12,40,ROUND(H763*3.33,2)))</f>
        <v/>
      </c>
      <c r="J763" s="11" t="n"/>
      <c r="K763" s="11" t="n"/>
      <c r="L763" s="11" t="n"/>
      <c r="M763" s="11" t="n"/>
      <c r="N763" s="10">
        <f>IF(COUNTA(J763:M763)=0,"",MIN(10,SUMPRODUCT((COUNTIF(J763:M763,L_KOM)&gt;0)*S_KOM)))</f>
        <v/>
      </c>
      <c r="O763" s="11" t="n"/>
      <c r="P763" s="10">
        <f>IF(O763="","",IFERROR(VLOOKUP(O763,T_KHID,2,FALSE),0))</f>
        <v/>
      </c>
      <c r="Q763" s="11" t="n"/>
      <c r="R763" s="11" t="n"/>
      <c r="S763" s="10">
        <f>IF(AND(Q763="",R763=""),"",IFERROR(INDEX(T_LIBAT,MATCH(Q763,L_PER,0),MATCH(R763,L_JENIS,0)),0))</f>
        <v/>
      </c>
      <c r="T763" s="11" t="n"/>
      <c r="U763" s="11" t="n"/>
      <c r="V763" s="10">
        <f>IF(AND(T763="",U763=""),"",IFERROR(INDEX(T_CAPAI,MATCH(T763,L_PER,0),MATCH(U763,L_KED,0)),0))</f>
        <v/>
      </c>
      <c r="W763" s="17">
        <f>IF(OR(B763="",E763="",COUNTA(F763,H763,J763:M763,O763,Q763:R763,T763:U763)=0),"",SUM(G763,I763,N763,P763,S763,V763))</f>
        <v/>
      </c>
      <c r="X763" s="18">
        <f>IF(W763="","",IF(Murid!F763="TL","TL",ROUND(W763/110*100,2)))</f>
        <v/>
      </c>
    </row>
    <row r="764">
      <c r="A764" s="15">
        <f>Murid!A764</f>
        <v/>
      </c>
      <c r="B764" s="15">
        <f>IF(Murid!B764="","",Murid!B764)</f>
        <v/>
      </c>
      <c r="C764" s="16">
        <f>IF(Murid!C764="","",Murid!C764)</f>
        <v/>
      </c>
      <c r="D764" s="15">
        <f>IF(Murid!E764="","",Murid!E764)</f>
        <v/>
      </c>
      <c r="E764" s="11" t="n"/>
      <c r="F764" s="11" t="n"/>
      <c r="G764" s="10">
        <f>IF(F764="","",IFERROR(VLOOKUP(F764,T_JUB,2,FALSE),0))</f>
        <v/>
      </c>
      <c r="H764" s="11" t="n"/>
      <c r="I764" s="17">
        <f>IF(H764="","",IF(H764&gt;=12,40,ROUND(H764*3.33,2)))</f>
        <v/>
      </c>
      <c r="J764" s="11" t="n"/>
      <c r="K764" s="11" t="n"/>
      <c r="L764" s="11" t="n"/>
      <c r="M764" s="11" t="n"/>
      <c r="N764" s="10">
        <f>IF(COUNTA(J764:M764)=0,"",MIN(10,SUMPRODUCT((COUNTIF(J764:M764,L_KOM)&gt;0)*S_KOM)))</f>
        <v/>
      </c>
      <c r="O764" s="11" t="n"/>
      <c r="P764" s="10">
        <f>IF(O764="","",IFERROR(VLOOKUP(O764,T_KHID,2,FALSE),0))</f>
        <v/>
      </c>
      <c r="Q764" s="11" t="n"/>
      <c r="R764" s="11" t="n"/>
      <c r="S764" s="10">
        <f>IF(AND(Q764="",R764=""),"",IFERROR(INDEX(T_LIBAT,MATCH(Q764,L_PER,0),MATCH(R764,L_JENIS,0)),0))</f>
        <v/>
      </c>
      <c r="T764" s="11" t="n"/>
      <c r="U764" s="11" t="n"/>
      <c r="V764" s="10">
        <f>IF(AND(T764="",U764=""),"",IFERROR(INDEX(T_CAPAI,MATCH(T764,L_PER,0),MATCH(U764,L_KED,0)),0))</f>
        <v/>
      </c>
      <c r="W764" s="17">
        <f>IF(OR(B764="",E764="",COUNTA(F764,H764,J764:M764,O764,Q764:R764,T764:U764)=0),"",SUM(G764,I764,N764,P764,S764,V764))</f>
        <v/>
      </c>
      <c r="X764" s="18">
        <f>IF(W764="","",IF(Murid!F764="TL","TL",ROUND(W764/110*100,2)))</f>
        <v/>
      </c>
    </row>
    <row r="765">
      <c r="A765" s="15">
        <f>Murid!A765</f>
        <v/>
      </c>
      <c r="B765" s="15">
        <f>IF(Murid!B765="","",Murid!B765)</f>
        <v/>
      </c>
      <c r="C765" s="16">
        <f>IF(Murid!C765="","",Murid!C765)</f>
        <v/>
      </c>
      <c r="D765" s="15">
        <f>IF(Murid!E765="","",Murid!E765)</f>
        <v/>
      </c>
      <c r="E765" s="11" t="n"/>
      <c r="F765" s="11" t="n"/>
      <c r="G765" s="10">
        <f>IF(F765="","",IFERROR(VLOOKUP(F765,T_JUB,2,FALSE),0))</f>
        <v/>
      </c>
      <c r="H765" s="11" t="n"/>
      <c r="I765" s="17">
        <f>IF(H765="","",IF(H765&gt;=12,40,ROUND(H765*3.33,2)))</f>
        <v/>
      </c>
      <c r="J765" s="11" t="n"/>
      <c r="K765" s="11" t="n"/>
      <c r="L765" s="11" t="n"/>
      <c r="M765" s="11" t="n"/>
      <c r="N765" s="10">
        <f>IF(COUNTA(J765:M765)=0,"",MIN(10,SUMPRODUCT((COUNTIF(J765:M765,L_KOM)&gt;0)*S_KOM)))</f>
        <v/>
      </c>
      <c r="O765" s="11" t="n"/>
      <c r="P765" s="10">
        <f>IF(O765="","",IFERROR(VLOOKUP(O765,T_KHID,2,FALSE),0))</f>
        <v/>
      </c>
      <c r="Q765" s="11" t="n"/>
      <c r="R765" s="11" t="n"/>
      <c r="S765" s="10">
        <f>IF(AND(Q765="",R765=""),"",IFERROR(INDEX(T_LIBAT,MATCH(Q765,L_PER,0),MATCH(R765,L_JENIS,0)),0))</f>
        <v/>
      </c>
      <c r="T765" s="11" t="n"/>
      <c r="U765" s="11" t="n"/>
      <c r="V765" s="10">
        <f>IF(AND(T765="",U765=""),"",IFERROR(INDEX(T_CAPAI,MATCH(T765,L_PER,0),MATCH(U765,L_KED,0)),0))</f>
        <v/>
      </c>
      <c r="W765" s="17">
        <f>IF(OR(B765="",E765="",COUNTA(F765,H765,J765:M765,O765,Q765:R765,T765:U765)=0),"",SUM(G765,I765,N765,P765,S765,V765))</f>
        <v/>
      </c>
      <c r="X765" s="18">
        <f>IF(W765="","",IF(Murid!F765="TL","TL",ROUND(W765/110*100,2)))</f>
        <v/>
      </c>
    </row>
    <row r="766">
      <c r="A766" s="15">
        <f>Murid!A766</f>
        <v/>
      </c>
      <c r="B766" s="15">
        <f>IF(Murid!B766="","",Murid!B766)</f>
        <v/>
      </c>
      <c r="C766" s="16">
        <f>IF(Murid!C766="","",Murid!C766)</f>
        <v/>
      </c>
      <c r="D766" s="15">
        <f>IF(Murid!E766="","",Murid!E766)</f>
        <v/>
      </c>
      <c r="E766" s="11" t="n"/>
      <c r="F766" s="11" t="n"/>
      <c r="G766" s="10">
        <f>IF(F766="","",IFERROR(VLOOKUP(F766,T_JUB,2,FALSE),0))</f>
        <v/>
      </c>
      <c r="H766" s="11" t="n"/>
      <c r="I766" s="17">
        <f>IF(H766="","",IF(H766&gt;=12,40,ROUND(H766*3.33,2)))</f>
        <v/>
      </c>
      <c r="J766" s="11" t="n"/>
      <c r="K766" s="11" t="n"/>
      <c r="L766" s="11" t="n"/>
      <c r="M766" s="11" t="n"/>
      <c r="N766" s="10">
        <f>IF(COUNTA(J766:M766)=0,"",MIN(10,SUMPRODUCT((COUNTIF(J766:M766,L_KOM)&gt;0)*S_KOM)))</f>
        <v/>
      </c>
      <c r="O766" s="11" t="n"/>
      <c r="P766" s="10">
        <f>IF(O766="","",IFERROR(VLOOKUP(O766,T_KHID,2,FALSE),0))</f>
        <v/>
      </c>
      <c r="Q766" s="11" t="n"/>
      <c r="R766" s="11" t="n"/>
      <c r="S766" s="10">
        <f>IF(AND(Q766="",R766=""),"",IFERROR(INDEX(T_LIBAT,MATCH(Q766,L_PER,0),MATCH(R766,L_JENIS,0)),0))</f>
        <v/>
      </c>
      <c r="T766" s="11" t="n"/>
      <c r="U766" s="11" t="n"/>
      <c r="V766" s="10">
        <f>IF(AND(T766="",U766=""),"",IFERROR(INDEX(T_CAPAI,MATCH(T766,L_PER,0),MATCH(U766,L_KED,0)),0))</f>
        <v/>
      </c>
      <c r="W766" s="17">
        <f>IF(OR(B766="",E766="",COUNTA(F766,H766,J766:M766,O766,Q766:R766,T766:U766)=0),"",SUM(G766,I766,N766,P766,S766,V766))</f>
        <v/>
      </c>
      <c r="X766" s="18">
        <f>IF(W766="","",IF(Murid!F766="TL","TL",ROUND(W766/110*100,2)))</f>
        <v/>
      </c>
    </row>
    <row r="767">
      <c r="A767" s="15">
        <f>Murid!A767</f>
        <v/>
      </c>
      <c r="B767" s="15">
        <f>IF(Murid!B767="","",Murid!B767)</f>
        <v/>
      </c>
      <c r="C767" s="16">
        <f>IF(Murid!C767="","",Murid!C767)</f>
        <v/>
      </c>
      <c r="D767" s="15">
        <f>IF(Murid!E767="","",Murid!E767)</f>
        <v/>
      </c>
      <c r="E767" s="11" t="n"/>
      <c r="F767" s="11" t="n"/>
      <c r="G767" s="10">
        <f>IF(F767="","",IFERROR(VLOOKUP(F767,T_JUB,2,FALSE),0))</f>
        <v/>
      </c>
      <c r="H767" s="11" t="n"/>
      <c r="I767" s="17">
        <f>IF(H767="","",IF(H767&gt;=12,40,ROUND(H767*3.33,2)))</f>
        <v/>
      </c>
      <c r="J767" s="11" t="n"/>
      <c r="K767" s="11" t="n"/>
      <c r="L767" s="11" t="n"/>
      <c r="M767" s="11" t="n"/>
      <c r="N767" s="10">
        <f>IF(COUNTA(J767:M767)=0,"",MIN(10,SUMPRODUCT((COUNTIF(J767:M767,L_KOM)&gt;0)*S_KOM)))</f>
        <v/>
      </c>
      <c r="O767" s="11" t="n"/>
      <c r="P767" s="10">
        <f>IF(O767="","",IFERROR(VLOOKUP(O767,T_KHID,2,FALSE),0))</f>
        <v/>
      </c>
      <c r="Q767" s="11" t="n"/>
      <c r="R767" s="11" t="n"/>
      <c r="S767" s="10">
        <f>IF(AND(Q767="",R767=""),"",IFERROR(INDEX(T_LIBAT,MATCH(Q767,L_PER,0),MATCH(R767,L_JENIS,0)),0))</f>
        <v/>
      </c>
      <c r="T767" s="11" t="n"/>
      <c r="U767" s="11" t="n"/>
      <c r="V767" s="10">
        <f>IF(AND(T767="",U767=""),"",IFERROR(INDEX(T_CAPAI,MATCH(T767,L_PER,0),MATCH(U767,L_KED,0)),0))</f>
        <v/>
      </c>
      <c r="W767" s="17">
        <f>IF(OR(B767="",E767="",COUNTA(F767,H767,J767:M767,O767,Q767:R767,T767:U767)=0),"",SUM(G767,I767,N767,P767,S767,V767))</f>
        <v/>
      </c>
      <c r="X767" s="18">
        <f>IF(W767="","",IF(Murid!F767="TL","TL",ROUND(W767/110*100,2)))</f>
        <v/>
      </c>
    </row>
    <row r="768">
      <c r="A768" s="15">
        <f>Murid!A768</f>
        <v/>
      </c>
      <c r="B768" s="15">
        <f>IF(Murid!B768="","",Murid!B768)</f>
        <v/>
      </c>
      <c r="C768" s="16">
        <f>IF(Murid!C768="","",Murid!C768)</f>
        <v/>
      </c>
      <c r="D768" s="15">
        <f>IF(Murid!E768="","",Murid!E768)</f>
        <v/>
      </c>
      <c r="E768" s="11" t="n"/>
      <c r="F768" s="11" t="n"/>
      <c r="G768" s="10">
        <f>IF(F768="","",IFERROR(VLOOKUP(F768,T_JUB,2,FALSE),0))</f>
        <v/>
      </c>
      <c r="H768" s="11" t="n"/>
      <c r="I768" s="17">
        <f>IF(H768="","",IF(H768&gt;=12,40,ROUND(H768*3.33,2)))</f>
        <v/>
      </c>
      <c r="J768" s="11" t="n"/>
      <c r="K768" s="11" t="n"/>
      <c r="L768" s="11" t="n"/>
      <c r="M768" s="11" t="n"/>
      <c r="N768" s="10">
        <f>IF(COUNTA(J768:M768)=0,"",MIN(10,SUMPRODUCT((COUNTIF(J768:M768,L_KOM)&gt;0)*S_KOM)))</f>
        <v/>
      </c>
      <c r="O768" s="11" t="n"/>
      <c r="P768" s="10">
        <f>IF(O768="","",IFERROR(VLOOKUP(O768,T_KHID,2,FALSE),0))</f>
        <v/>
      </c>
      <c r="Q768" s="11" t="n"/>
      <c r="R768" s="11" t="n"/>
      <c r="S768" s="10">
        <f>IF(AND(Q768="",R768=""),"",IFERROR(INDEX(T_LIBAT,MATCH(Q768,L_PER,0),MATCH(R768,L_JENIS,0)),0))</f>
        <v/>
      </c>
      <c r="T768" s="11" t="n"/>
      <c r="U768" s="11" t="n"/>
      <c r="V768" s="10">
        <f>IF(AND(T768="",U768=""),"",IFERROR(INDEX(T_CAPAI,MATCH(T768,L_PER,0),MATCH(U768,L_KED,0)),0))</f>
        <v/>
      </c>
      <c r="W768" s="17">
        <f>IF(OR(B768="",E768="",COUNTA(F768,H768,J768:M768,O768,Q768:R768,T768:U768)=0),"",SUM(G768,I768,N768,P768,S768,V768))</f>
        <v/>
      </c>
      <c r="X768" s="18">
        <f>IF(W768="","",IF(Murid!F768="TL","TL",ROUND(W768/110*100,2)))</f>
        <v/>
      </c>
    </row>
    <row r="769">
      <c r="A769" s="15">
        <f>Murid!A769</f>
        <v/>
      </c>
      <c r="B769" s="15">
        <f>IF(Murid!B769="","",Murid!B769)</f>
        <v/>
      </c>
      <c r="C769" s="16">
        <f>IF(Murid!C769="","",Murid!C769)</f>
        <v/>
      </c>
      <c r="D769" s="15">
        <f>IF(Murid!E769="","",Murid!E769)</f>
        <v/>
      </c>
      <c r="E769" s="11" t="n"/>
      <c r="F769" s="11" t="n"/>
      <c r="G769" s="10">
        <f>IF(F769="","",IFERROR(VLOOKUP(F769,T_JUB,2,FALSE),0))</f>
        <v/>
      </c>
      <c r="H769" s="11" t="n"/>
      <c r="I769" s="17">
        <f>IF(H769="","",IF(H769&gt;=12,40,ROUND(H769*3.33,2)))</f>
        <v/>
      </c>
      <c r="J769" s="11" t="n"/>
      <c r="K769" s="11" t="n"/>
      <c r="L769" s="11" t="n"/>
      <c r="M769" s="11" t="n"/>
      <c r="N769" s="10">
        <f>IF(COUNTA(J769:M769)=0,"",MIN(10,SUMPRODUCT((COUNTIF(J769:M769,L_KOM)&gt;0)*S_KOM)))</f>
        <v/>
      </c>
      <c r="O769" s="11" t="n"/>
      <c r="P769" s="10">
        <f>IF(O769="","",IFERROR(VLOOKUP(O769,T_KHID,2,FALSE),0))</f>
        <v/>
      </c>
      <c r="Q769" s="11" t="n"/>
      <c r="R769" s="11" t="n"/>
      <c r="S769" s="10">
        <f>IF(AND(Q769="",R769=""),"",IFERROR(INDEX(T_LIBAT,MATCH(Q769,L_PER,0),MATCH(R769,L_JENIS,0)),0))</f>
        <v/>
      </c>
      <c r="T769" s="11" t="n"/>
      <c r="U769" s="11" t="n"/>
      <c r="V769" s="10">
        <f>IF(AND(T769="",U769=""),"",IFERROR(INDEX(T_CAPAI,MATCH(T769,L_PER,0),MATCH(U769,L_KED,0)),0))</f>
        <v/>
      </c>
      <c r="W769" s="17">
        <f>IF(OR(B769="",E769="",COUNTA(F769,H769,J769:M769,O769,Q769:R769,T769:U769)=0),"",SUM(G769,I769,N769,P769,S769,V769))</f>
        <v/>
      </c>
      <c r="X769" s="18">
        <f>IF(W769="","",IF(Murid!F769="TL","TL",ROUND(W769/110*100,2)))</f>
        <v/>
      </c>
    </row>
    <row r="770">
      <c r="A770" s="15">
        <f>Murid!A770</f>
        <v/>
      </c>
      <c r="B770" s="15">
        <f>IF(Murid!B770="","",Murid!B770)</f>
        <v/>
      </c>
      <c r="C770" s="16">
        <f>IF(Murid!C770="","",Murid!C770)</f>
        <v/>
      </c>
      <c r="D770" s="15">
        <f>IF(Murid!E770="","",Murid!E770)</f>
        <v/>
      </c>
      <c r="E770" s="11" t="n"/>
      <c r="F770" s="11" t="n"/>
      <c r="G770" s="10">
        <f>IF(F770="","",IFERROR(VLOOKUP(F770,T_JUB,2,FALSE),0))</f>
        <v/>
      </c>
      <c r="H770" s="11" t="n"/>
      <c r="I770" s="17">
        <f>IF(H770="","",IF(H770&gt;=12,40,ROUND(H770*3.33,2)))</f>
        <v/>
      </c>
      <c r="J770" s="11" t="n"/>
      <c r="K770" s="11" t="n"/>
      <c r="L770" s="11" t="n"/>
      <c r="M770" s="11" t="n"/>
      <c r="N770" s="10">
        <f>IF(COUNTA(J770:M770)=0,"",MIN(10,SUMPRODUCT((COUNTIF(J770:M770,L_KOM)&gt;0)*S_KOM)))</f>
        <v/>
      </c>
      <c r="O770" s="11" t="n"/>
      <c r="P770" s="10">
        <f>IF(O770="","",IFERROR(VLOOKUP(O770,T_KHID,2,FALSE),0))</f>
        <v/>
      </c>
      <c r="Q770" s="11" t="n"/>
      <c r="R770" s="11" t="n"/>
      <c r="S770" s="10">
        <f>IF(AND(Q770="",R770=""),"",IFERROR(INDEX(T_LIBAT,MATCH(Q770,L_PER,0),MATCH(R770,L_JENIS,0)),0))</f>
        <v/>
      </c>
      <c r="T770" s="11" t="n"/>
      <c r="U770" s="11" t="n"/>
      <c r="V770" s="10">
        <f>IF(AND(T770="",U770=""),"",IFERROR(INDEX(T_CAPAI,MATCH(T770,L_PER,0),MATCH(U770,L_KED,0)),0))</f>
        <v/>
      </c>
      <c r="W770" s="17">
        <f>IF(OR(B770="",E770="",COUNTA(F770,H770,J770:M770,O770,Q770:R770,T770:U770)=0),"",SUM(G770,I770,N770,P770,S770,V770))</f>
        <v/>
      </c>
      <c r="X770" s="18">
        <f>IF(W770="","",IF(Murid!F770="TL","TL",ROUND(W770/110*100,2)))</f>
        <v/>
      </c>
    </row>
    <row r="771">
      <c r="A771" s="15">
        <f>Murid!A771</f>
        <v/>
      </c>
      <c r="B771" s="15">
        <f>IF(Murid!B771="","",Murid!B771)</f>
        <v/>
      </c>
      <c r="C771" s="16">
        <f>IF(Murid!C771="","",Murid!C771)</f>
        <v/>
      </c>
      <c r="D771" s="15">
        <f>IF(Murid!E771="","",Murid!E771)</f>
        <v/>
      </c>
      <c r="E771" s="11" t="n"/>
      <c r="F771" s="11" t="n"/>
      <c r="G771" s="10">
        <f>IF(F771="","",IFERROR(VLOOKUP(F771,T_JUB,2,FALSE),0))</f>
        <v/>
      </c>
      <c r="H771" s="11" t="n"/>
      <c r="I771" s="17">
        <f>IF(H771="","",IF(H771&gt;=12,40,ROUND(H771*3.33,2)))</f>
        <v/>
      </c>
      <c r="J771" s="11" t="n"/>
      <c r="K771" s="11" t="n"/>
      <c r="L771" s="11" t="n"/>
      <c r="M771" s="11" t="n"/>
      <c r="N771" s="10">
        <f>IF(COUNTA(J771:M771)=0,"",MIN(10,SUMPRODUCT((COUNTIF(J771:M771,L_KOM)&gt;0)*S_KOM)))</f>
        <v/>
      </c>
      <c r="O771" s="11" t="n"/>
      <c r="P771" s="10">
        <f>IF(O771="","",IFERROR(VLOOKUP(O771,T_KHID,2,FALSE),0))</f>
        <v/>
      </c>
      <c r="Q771" s="11" t="n"/>
      <c r="R771" s="11" t="n"/>
      <c r="S771" s="10">
        <f>IF(AND(Q771="",R771=""),"",IFERROR(INDEX(T_LIBAT,MATCH(Q771,L_PER,0),MATCH(R771,L_JENIS,0)),0))</f>
        <v/>
      </c>
      <c r="T771" s="11" t="n"/>
      <c r="U771" s="11" t="n"/>
      <c r="V771" s="10">
        <f>IF(AND(T771="",U771=""),"",IFERROR(INDEX(T_CAPAI,MATCH(T771,L_PER,0),MATCH(U771,L_KED,0)),0))</f>
        <v/>
      </c>
      <c r="W771" s="17">
        <f>IF(OR(B771="",E771="",COUNTA(F771,H771,J771:M771,O771,Q771:R771,T771:U771)=0),"",SUM(G771,I771,N771,P771,S771,V771))</f>
        <v/>
      </c>
      <c r="X771" s="18">
        <f>IF(W771="","",IF(Murid!F771="TL","TL",ROUND(W771/110*100,2)))</f>
        <v/>
      </c>
    </row>
    <row r="772">
      <c r="A772" s="15">
        <f>Murid!A772</f>
        <v/>
      </c>
      <c r="B772" s="15">
        <f>IF(Murid!B772="","",Murid!B772)</f>
        <v/>
      </c>
      <c r="C772" s="16">
        <f>IF(Murid!C772="","",Murid!C772)</f>
        <v/>
      </c>
      <c r="D772" s="15">
        <f>IF(Murid!E772="","",Murid!E772)</f>
        <v/>
      </c>
      <c r="E772" s="11" t="n"/>
      <c r="F772" s="11" t="n"/>
      <c r="G772" s="10">
        <f>IF(F772="","",IFERROR(VLOOKUP(F772,T_JUB,2,FALSE),0))</f>
        <v/>
      </c>
      <c r="H772" s="11" t="n"/>
      <c r="I772" s="17">
        <f>IF(H772="","",IF(H772&gt;=12,40,ROUND(H772*3.33,2)))</f>
        <v/>
      </c>
      <c r="J772" s="11" t="n"/>
      <c r="K772" s="11" t="n"/>
      <c r="L772" s="11" t="n"/>
      <c r="M772" s="11" t="n"/>
      <c r="N772" s="10">
        <f>IF(COUNTA(J772:M772)=0,"",MIN(10,SUMPRODUCT((COUNTIF(J772:M772,L_KOM)&gt;0)*S_KOM)))</f>
        <v/>
      </c>
      <c r="O772" s="11" t="n"/>
      <c r="P772" s="10">
        <f>IF(O772="","",IFERROR(VLOOKUP(O772,T_KHID,2,FALSE),0))</f>
        <v/>
      </c>
      <c r="Q772" s="11" t="n"/>
      <c r="R772" s="11" t="n"/>
      <c r="S772" s="10">
        <f>IF(AND(Q772="",R772=""),"",IFERROR(INDEX(T_LIBAT,MATCH(Q772,L_PER,0),MATCH(R772,L_JENIS,0)),0))</f>
        <v/>
      </c>
      <c r="T772" s="11" t="n"/>
      <c r="U772" s="11" t="n"/>
      <c r="V772" s="10">
        <f>IF(AND(T772="",U772=""),"",IFERROR(INDEX(T_CAPAI,MATCH(T772,L_PER,0),MATCH(U772,L_KED,0)),0))</f>
        <v/>
      </c>
      <c r="W772" s="17">
        <f>IF(OR(B772="",E772="",COUNTA(F772,H772,J772:M772,O772,Q772:R772,T772:U772)=0),"",SUM(G772,I772,N772,P772,S772,V772))</f>
        <v/>
      </c>
      <c r="X772" s="18">
        <f>IF(W772="","",IF(Murid!F772="TL","TL",ROUND(W772/110*100,2)))</f>
        <v/>
      </c>
    </row>
    <row r="773">
      <c r="A773" s="15">
        <f>Murid!A773</f>
        <v/>
      </c>
      <c r="B773" s="15">
        <f>IF(Murid!B773="","",Murid!B773)</f>
        <v/>
      </c>
      <c r="C773" s="16">
        <f>IF(Murid!C773="","",Murid!C773)</f>
        <v/>
      </c>
      <c r="D773" s="15">
        <f>IF(Murid!E773="","",Murid!E773)</f>
        <v/>
      </c>
      <c r="E773" s="11" t="n"/>
      <c r="F773" s="11" t="n"/>
      <c r="G773" s="10">
        <f>IF(F773="","",IFERROR(VLOOKUP(F773,T_JUB,2,FALSE),0))</f>
        <v/>
      </c>
      <c r="H773" s="11" t="n"/>
      <c r="I773" s="17">
        <f>IF(H773="","",IF(H773&gt;=12,40,ROUND(H773*3.33,2)))</f>
        <v/>
      </c>
      <c r="J773" s="11" t="n"/>
      <c r="K773" s="11" t="n"/>
      <c r="L773" s="11" t="n"/>
      <c r="M773" s="11" t="n"/>
      <c r="N773" s="10">
        <f>IF(COUNTA(J773:M773)=0,"",MIN(10,SUMPRODUCT((COUNTIF(J773:M773,L_KOM)&gt;0)*S_KOM)))</f>
        <v/>
      </c>
      <c r="O773" s="11" t="n"/>
      <c r="P773" s="10">
        <f>IF(O773="","",IFERROR(VLOOKUP(O773,T_KHID,2,FALSE),0))</f>
        <v/>
      </c>
      <c r="Q773" s="11" t="n"/>
      <c r="R773" s="11" t="n"/>
      <c r="S773" s="10">
        <f>IF(AND(Q773="",R773=""),"",IFERROR(INDEX(T_LIBAT,MATCH(Q773,L_PER,0),MATCH(R773,L_JENIS,0)),0))</f>
        <v/>
      </c>
      <c r="T773" s="11" t="n"/>
      <c r="U773" s="11" t="n"/>
      <c r="V773" s="10">
        <f>IF(AND(T773="",U773=""),"",IFERROR(INDEX(T_CAPAI,MATCH(T773,L_PER,0),MATCH(U773,L_KED,0)),0))</f>
        <v/>
      </c>
      <c r="W773" s="17">
        <f>IF(OR(B773="",E773="",COUNTA(F773,H773,J773:M773,O773,Q773:R773,T773:U773)=0),"",SUM(G773,I773,N773,P773,S773,V773))</f>
        <v/>
      </c>
      <c r="X773" s="18">
        <f>IF(W773="","",IF(Murid!F773="TL","TL",ROUND(W773/110*100,2)))</f>
        <v/>
      </c>
    </row>
    <row r="774">
      <c r="A774" s="15">
        <f>Murid!A774</f>
        <v/>
      </c>
      <c r="B774" s="15">
        <f>IF(Murid!B774="","",Murid!B774)</f>
        <v/>
      </c>
      <c r="C774" s="16">
        <f>IF(Murid!C774="","",Murid!C774)</f>
        <v/>
      </c>
      <c r="D774" s="15">
        <f>IF(Murid!E774="","",Murid!E774)</f>
        <v/>
      </c>
      <c r="E774" s="11" t="n"/>
      <c r="F774" s="11" t="n"/>
      <c r="G774" s="10">
        <f>IF(F774="","",IFERROR(VLOOKUP(F774,T_JUB,2,FALSE),0))</f>
        <v/>
      </c>
      <c r="H774" s="11" t="n"/>
      <c r="I774" s="17">
        <f>IF(H774="","",IF(H774&gt;=12,40,ROUND(H774*3.33,2)))</f>
        <v/>
      </c>
      <c r="J774" s="11" t="n"/>
      <c r="K774" s="11" t="n"/>
      <c r="L774" s="11" t="n"/>
      <c r="M774" s="11" t="n"/>
      <c r="N774" s="10">
        <f>IF(COUNTA(J774:M774)=0,"",MIN(10,SUMPRODUCT((COUNTIF(J774:M774,L_KOM)&gt;0)*S_KOM)))</f>
        <v/>
      </c>
      <c r="O774" s="11" t="n"/>
      <c r="P774" s="10">
        <f>IF(O774="","",IFERROR(VLOOKUP(O774,T_KHID,2,FALSE),0))</f>
        <v/>
      </c>
      <c r="Q774" s="11" t="n"/>
      <c r="R774" s="11" t="n"/>
      <c r="S774" s="10">
        <f>IF(AND(Q774="",R774=""),"",IFERROR(INDEX(T_LIBAT,MATCH(Q774,L_PER,0),MATCH(R774,L_JENIS,0)),0))</f>
        <v/>
      </c>
      <c r="T774" s="11" t="n"/>
      <c r="U774" s="11" t="n"/>
      <c r="V774" s="10">
        <f>IF(AND(T774="",U774=""),"",IFERROR(INDEX(T_CAPAI,MATCH(T774,L_PER,0),MATCH(U774,L_KED,0)),0))</f>
        <v/>
      </c>
      <c r="W774" s="17">
        <f>IF(OR(B774="",E774="",COUNTA(F774,H774,J774:M774,O774,Q774:R774,T774:U774)=0),"",SUM(G774,I774,N774,P774,S774,V774))</f>
        <v/>
      </c>
      <c r="X774" s="18">
        <f>IF(W774="","",IF(Murid!F774="TL","TL",ROUND(W774/110*100,2)))</f>
        <v/>
      </c>
    </row>
    <row r="775">
      <c r="A775" s="15">
        <f>Murid!A775</f>
        <v/>
      </c>
      <c r="B775" s="15">
        <f>IF(Murid!B775="","",Murid!B775)</f>
        <v/>
      </c>
      <c r="C775" s="16">
        <f>IF(Murid!C775="","",Murid!C775)</f>
        <v/>
      </c>
      <c r="D775" s="15">
        <f>IF(Murid!E775="","",Murid!E775)</f>
        <v/>
      </c>
      <c r="E775" s="11" t="n"/>
      <c r="F775" s="11" t="n"/>
      <c r="G775" s="10">
        <f>IF(F775="","",IFERROR(VLOOKUP(F775,T_JUB,2,FALSE),0))</f>
        <v/>
      </c>
      <c r="H775" s="11" t="n"/>
      <c r="I775" s="17">
        <f>IF(H775="","",IF(H775&gt;=12,40,ROUND(H775*3.33,2)))</f>
        <v/>
      </c>
      <c r="J775" s="11" t="n"/>
      <c r="K775" s="11" t="n"/>
      <c r="L775" s="11" t="n"/>
      <c r="M775" s="11" t="n"/>
      <c r="N775" s="10">
        <f>IF(COUNTA(J775:M775)=0,"",MIN(10,SUMPRODUCT((COUNTIF(J775:M775,L_KOM)&gt;0)*S_KOM)))</f>
        <v/>
      </c>
      <c r="O775" s="11" t="n"/>
      <c r="P775" s="10">
        <f>IF(O775="","",IFERROR(VLOOKUP(O775,T_KHID,2,FALSE),0))</f>
        <v/>
      </c>
      <c r="Q775" s="11" t="n"/>
      <c r="R775" s="11" t="n"/>
      <c r="S775" s="10">
        <f>IF(AND(Q775="",R775=""),"",IFERROR(INDEX(T_LIBAT,MATCH(Q775,L_PER,0),MATCH(R775,L_JENIS,0)),0))</f>
        <v/>
      </c>
      <c r="T775" s="11" t="n"/>
      <c r="U775" s="11" t="n"/>
      <c r="V775" s="10">
        <f>IF(AND(T775="",U775=""),"",IFERROR(INDEX(T_CAPAI,MATCH(T775,L_PER,0),MATCH(U775,L_KED,0)),0))</f>
        <v/>
      </c>
      <c r="W775" s="17">
        <f>IF(OR(B775="",E775="",COUNTA(F775,H775,J775:M775,O775,Q775:R775,T775:U775)=0),"",SUM(G775,I775,N775,P775,S775,V775))</f>
        <v/>
      </c>
      <c r="X775" s="18">
        <f>IF(W775="","",IF(Murid!F775="TL","TL",ROUND(W775/110*100,2)))</f>
        <v/>
      </c>
    </row>
    <row r="776">
      <c r="A776" s="15">
        <f>Murid!A776</f>
        <v/>
      </c>
      <c r="B776" s="15">
        <f>IF(Murid!B776="","",Murid!B776)</f>
        <v/>
      </c>
      <c r="C776" s="16">
        <f>IF(Murid!C776="","",Murid!C776)</f>
        <v/>
      </c>
      <c r="D776" s="15">
        <f>IF(Murid!E776="","",Murid!E776)</f>
        <v/>
      </c>
      <c r="E776" s="11" t="n"/>
      <c r="F776" s="11" t="n"/>
      <c r="G776" s="10">
        <f>IF(F776="","",IFERROR(VLOOKUP(F776,T_JUB,2,FALSE),0))</f>
        <v/>
      </c>
      <c r="H776" s="11" t="n"/>
      <c r="I776" s="17">
        <f>IF(H776="","",IF(H776&gt;=12,40,ROUND(H776*3.33,2)))</f>
        <v/>
      </c>
      <c r="J776" s="11" t="n"/>
      <c r="K776" s="11" t="n"/>
      <c r="L776" s="11" t="n"/>
      <c r="M776" s="11" t="n"/>
      <c r="N776" s="10">
        <f>IF(COUNTA(J776:M776)=0,"",MIN(10,SUMPRODUCT((COUNTIF(J776:M776,L_KOM)&gt;0)*S_KOM)))</f>
        <v/>
      </c>
      <c r="O776" s="11" t="n"/>
      <c r="P776" s="10">
        <f>IF(O776="","",IFERROR(VLOOKUP(O776,T_KHID,2,FALSE),0))</f>
        <v/>
      </c>
      <c r="Q776" s="11" t="n"/>
      <c r="R776" s="11" t="n"/>
      <c r="S776" s="10">
        <f>IF(AND(Q776="",R776=""),"",IFERROR(INDEX(T_LIBAT,MATCH(Q776,L_PER,0),MATCH(R776,L_JENIS,0)),0))</f>
        <v/>
      </c>
      <c r="T776" s="11" t="n"/>
      <c r="U776" s="11" t="n"/>
      <c r="V776" s="10">
        <f>IF(AND(T776="",U776=""),"",IFERROR(INDEX(T_CAPAI,MATCH(T776,L_PER,0),MATCH(U776,L_KED,0)),0))</f>
        <v/>
      </c>
      <c r="W776" s="17">
        <f>IF(OR(B776="",E776="",COUNTA(F776,H776,J776:M776,O776,Q776:R776,T776:U776)=0),"",SUM(G776,I776,N776,P776,S776,V776))</f>
        <v/>
      </c>
      <c r="X776" s="18">
        <f>IF(W776="","",IF(Murid!F776="TL","TL",ROUND(W776/110*100,2)))</f>
        <v/>
      </c>
    </row>
    <row r="777">
      <c r="A777" s="15">
        <f>Murid!A777</f>
        <v/>
      </c>
      <c r="B777" s="15">
        <f>IF(Murid!B777="","",Murid!B777)</f>
        <v/>
      </c>
      <c r="C777" s="16">
        <f>IF(Murid!C777="","",Murid!C777)</f>
        <v/>
      </c>
      <c r="D777" s="15">
        <f>IF(Murid!E777="","",Murid!E777)</f>
        <v/>
      </c>
      <c r="E777" s="11" t="n"/>
      <c r="F777" s="11" t="n"/>
      <c r="G777" s="10">
        <f>IF(F777="","",IFERROR(VLOOKUP(F777,T_JUB,2,FALSE),0))</f>
        <v/>
      </c>
      <c r="H777" s="11" t="n"/>
      <c r="I777" s="17">
        <f>IF(H777="","",IF(H777&gt;=12,40,ROUND(H777*3.33,2)))</f>
        <v/>
      </c>
      <c r="J777" s="11" t="n"/>
      <c r="K777" s="11" t="n"/>
      <c r="L777" s="11" t="n"/>
      <c r="M777" s="11" t="n"/>
      <c r="N777" s="10">
        <f>IF(COUNTA(J777:M777)=0,"",MIN(10,SUMPRODUCT((COUNTIF(J777:M777,L_KOM)&gt;0)*S_KOM)))</f>
        <v/>
      </c>
      <c r="O777" s="11" t="n"/>
      <c r="P777" s="10">
        <f>IF(O777="","",IFERROR(VLOOKUP(O777,T_KHID,2,FALSE),0))</f>
        <v/>
      </c>
      <c r="Q777" s="11" t="n"/>
      <c r="R777" s="11" t="n"/>
      <c r="S777" s="10">
        <f>IF(AND(Q777="",R777=""),"",IFERROR(INDEX(T_LIBAT,MATCH(Q777,L_PER,0),MATCH(R777,L_JENIS,0)),0))</f>
        <v/>
      </c>
      <c r="T777" s="11" t="n"/>
      <c r="U777" s="11" t="n"/>
      <c r="V777" s="10">
        <f>IF(AND(T777="",U777=""),"",IFERROR(INDEX(T_CAPAI,MATCH(T777,L_PER,0),MATCH(U777,L_KED,0)),0))</f>
        <v/>
      </c>
      <c r="W777" s="17">
        <f>IF(OR(B777="",E777="",COUNTA(F777,H777,J777:M777,O777,Q777:R777,T777:U777)=0),"",SUM(G777,I777,N777,P777,S777,V777))</f>
        <v/>
      </c>
      <c r="X777" s="18">
        <f>IF(W777="","",IF(Murid!F777="TL","TL",ROUND(W777/110*100,2)))</f>
        <v/>
      </c>
    </row>
    <row r="778">
      <c r="A778" s="15">
        <f>Murid!A778</f>
        <v/>
      </c>
      <c r="B778" s="15">
        <f>IF(Murid!B778="","",Murid!B778)</f>
        <v/>
      </c>
      <c r="C778" s="16">
        <f>IF(Murid!C778="","",Murid!C778)</f>
        <v/>
      </c>
      <c r="D778" s="15">
        <f>IF(Murid!E778="","",Murid!E778)</f>
        <v/>
      </c>
      <c r="E778" s="11" t="n"/>
      <c r="F778" s="11" t="n"/>
      <c r="G778" s="10">
        <f>IF(F778="","",IFERROR(VLOOKUP(F778,T_JUB,2,FALSE),0))</f>
        <v/>
      </c>
      <c r="H778" s="11" t="n"/>
      <c r="I778" s="17">
        <f>IF(H778="","",IF(H778&gt;=12,40,ROUND(H778*3.33,2)))</f>
        <v/>
      </c>
      <c r="J778" s="11" t="n"/>
      <c r="K778" s="11" t="n"/>
      <c r="L778" s="11" t="n"/>
      <c r="M778" s="11" t="n"/>
      <c r="N778" s="10">
        <f>IF(COUNTA(J778:M778)=0,"",MIN(10,SUMPRODUCT((COUNTIF(J778:M778,L_KOM)&gt;0)*S_KOM)))</f>
        <v/>
      </c>
      <c r="O778" s="11" t="n"/>
      <c r="P778" s="10">
        <f>IF(O778="","",IFERROR(VLOOKUP(O778,T_KHID,2,FALSE),0))</f>
        <v/>
      </c>
      <c r="Q778" s="11" t="n"/>
      <c r="R778" s="11" t="n"/>
      <c r="S778" s="10">
        <f>IF(AND(Q778="",R778=""),"",IFERROR(INDEX(T_LIBAT,MATCH(Q778,L_PER,0),MATCH(R778,L_JENIS,0)),0))</f>
        <v/>
      </c>
      <c r="T778" s="11" t="n"/>
      <c r="U778" s="11" t="n"/>
      <c r="V778" s="10">
        <f>IF(AND(T778="",U778=""),"",IFERROR(INDEX(T_CAPAI,MATCH(T778,L_PER,0),MATCH(U778,L_KED,0)),0))</f>
        <v/>
      </c>
      <c r="W778" s="17">
        <f>IF(OR(B778="",E778="",COUNTA(F778,H778,J778:M778,O778,Q778:R778,T778:U778)=0),"",SUM(G778,I778,N778,P778,S778,V778))</f>
        <v/>
      </c>
      <c r="X778" s="18">
        <f>IF(W778="","",IF(Murid!F778="TL","TL",ROUND(W778/110*100,2)))</f>
        <v/>
      </c>
    </row>
    <row r="779">
      <c r="A779" s="15">
        <f>Murid!A779</f>
        <v/>
      </c>
      <c r="B779" s="15">
        <f>IF(Murid!B779="","",Murid!B779)</f>
        <v/>
      </c>
      <c r="C779" s="16">
        <f>IF(Murid!C779="","",Murid!C779)</f>
        <v/>
      </c>
      <c r="D779" s="15">
        <f>IF(Murid!E779="","",Murid!E779)</f>
        <v/>
      </c>
      <c r="E779" s="11" t="n"/>
      <c r="F779" s="11" t="n"/>
      <c r="G779" s="10">
        <f>IF(F779="","",IFERROR(VLOOKUP(F779,T_JUB,2,FALSE),0))</f>
        <v/>
      </c>
      <c r="H779" s="11" t="n"/>
      <c r="I779" s="17">
        <f>IF(H779="","",IF(H779&gt;=12,40,ROUND(H779*3.33,2)))</f>
        <v/>
      </c>
      <c r="J779" s="11" t="n"/>
      <c r="K779" s="11" t="n"/>
      <c r="L779" s="11" t="n"/>
      <c r="M779" s="11" t="n"/>
      <c r="N779" s="10">
        <f>IF(COUNTA(J779:M779)=0,"",MIN(10,SUMPRODUCT((COUNTIF(J779:M779,L_KOM)&gt;0)*S_KOM)))</f>
        <v/>
      </c>
      <c r="O779" s="11" t="n"/>
      <c r="P779" s="10">
        <f>IF(O779="","",IFERROR(VLOOKUP(O779,T_KHID,2,FALSE),0))</f>
        <v/>
      </c>
      <c r="Q779" s="11" t="n"/>
      <c r="R779" s="11" t="n"/>
      <c r="S779" s="10">
        <f>IF(AND(Q779="",R779=""),"",IFERROR(INDEX(T_LIBAT,MATCH(Q779,L_PER,0),MATCH(R779,L_JENIS,0)),0))</f>
        <v/>
      </c>
      <c r="T779" s="11" t="n"/>
      <c r="U779" s="11" t="n"/>
      <c r="V779" s="10">
        <f>IF(AND(T779="",U779=""),"",IFERROR(INDEX(T_CAPAI,MATCH(T779,L_PER,0),MATCH(U779,L_KED,0)),0))</f>
        <v/>
      </c>
      <c r="W779" s="17">
        <f>IF(OR(B779="",E779="",COUNTA(F779,H779,J779:M779,O779,Q779:R779,T779:U779)=0),"",SUM(G779,I779,N779,P779,S779,V779))</f>
        <v/>
      </c>
      <c r="X779" s="18">
        <f>IF(W779="","",IF(Murid!F779="TL","TL",ROUND(W779/110*100,2)))</f>
        <v/>
      </c>
    </row>
    <row r="780">
      <c r="A780" s="15">
        <f>Murid!A780</f>
        <v/>
      </c>
      <c r="B780" s="15">
        <f>IF(Murid!B780="","",Murid!B780)</f>
        <v/>
      </c>
      <c r="C780" s="16">
        <f>IF(Murid!C780="","",Murid!C780)</f>
        <v/>
      </c>
      <c r="D780" s="15">
        <f>IF(Murid!E780="","",Murid!E780)</f>
        <v/>
      </c>
      <c r="E780" s="11" t="n"/>
      <c r="F780" s="11" t="n"/>
      <c r="G780" s="10">
        <f>IF(F780="","",IFERROR(VLOOKUP(F780,T_JUB,2,FALSE),0))</f>
        <v/>
      </c>
      <c r="H780" s="11" t="n"/>
      <c r="I780" s="17">
        <f>IF(H780="","",IF(H780&gt;=12,40,ROUND(H780*3.33,2)))</f>
        <v/>
      </c>
      <c r="J780" s="11" t="n"/>
      <c r="K780" s="11" t="n"/>
      <c r="L780" s="11" t="n"/>
      <c r="M780" s="11" t="n"/>
      <c r="N780" s="10">
        <f>IF(COUNTA(J780:M780)=0,"",MIN(10,SUMPRODUCT((COUNTIF(J780:M780,L_KOM)&gt;0)*S_KOM)))</f>
        <v/>
      </c>
      <c r="O780" s="11" t="n"/>
      <c r="P780" s="10">
        <f>IF(O780="","",IFERROR(VLOOKUP(O780,T_KHID,2,FALSE),0))</f>
        <v/>
      </c>
      <c r="Q780" s="11" t="n"/>
      <c r="R780" s="11" t="n"/>
      <c r="S780" s="10">
        <f>IF(AND(Q780="",R780=""),"",IFERROR(INDEX(T_LIBAT,MATCH(Q780,L_PER,0),MATCH(R780,L_JENIS,0)),0))</f>
        <v/>
      </c>
      <c r="T780" s="11" t="n"/>
      <c r="U780" s="11" t="n"/>
      <c r="V780" s="10">
        <f>IF(AND(T780="",U780=""),"",IFERROR(INDEX(T_CAPAI,MATCH(T780,L_PER,0),MATCH(U780,L_KED,0)),0))</f>
        <v/>
      </c>
      <c r="W780" s="17">
        <f>IF(OR(B780="",E780="",COUNTA(F780,H780,J780:M780,O780,Q780:R780,T780:U780)=0),"",SUM(G780,I780,N780,P780,S780,V780))</f>
        <v/>
      </c>
      <c r="X780" s="18">
        <f>IF(W780="","",IF(Murid!F780="TL","TL",ROUND(W780/110*100,2)))</f>
        <v/>
      </c>
    </row>
    <row r="781">
      <c r="A781" s="15">
        <f>Murid!A781</f>
        <v/>
      </c>
      <c r="B781" s="15">
        <f>IF(Murid!B781="","",Murid!B781)</f>
        <v/>
      </c>
      <c r="C781" s="16">
        <f>IF(Murid!C781="","",Murid!C781)</f>
        <v/>
      </c>
      <c r="D781" s="15">
        <f>IF(Murid!E781="","",Murid!E781)</f>
        <v/>
      </c>
      <c r="E781" s="11" t="n"/>
      <c r="F781" s="11" t="n"/>
      <c r="G781" s="10">
        <f>IF(F781="","",IFERROR(VLOOKUP(F781,T_JUB,2,FALSE),0))</f>
        <v/>
      </c>
      <c r="H781" s="11" t="n"/>
      <c r="I781" s="17">
        <f>IF(H781="","",IF(H781&gt;=12,40,ROUND(H781*3.33,2)))</f>
        <v/>
      </c>
      <c r="J781" s="11" t="n"/>
      <c r="K781" s="11" t="n"/>
      <c r="L781" s="11" t="n"/>
      <c r="M781" s="11" t="n"/>
      <c r="N781" s="10">
        <f>IF(COUNTA(J781:M781)=0,"",MIN(10,SUMPRODUCT((COUNTIF(J781:M781,L_KOM)&gt;0)*S_KOM)))</f>
        <v/>
      </c>
      <c r="O781" s="11" t="n"/>
      <c r="P781" s="10">
        <f>IF(O781="","",IFERROR(VLOOKUP(O781,T_KHID,2,FALSE),0))</f>
        <v/>
      </c>
      <c r="Q781" s="11" t="n"/>
      <c r="R781" s="11" t="n"/>
      <c r="S781" s="10">
        <f>IF(AND(Q781="",R781=""),"",IFERROR(INDEX(T_LIBAT,MATCH(Q781,L_PER,0),MATCH(R781,L_JENIS,0)),0))</f>
        <v/>
      </c>
      <c r="T781" s="11" t="n"/>
      <c r="U781" s="11" t="n"/>
      <c r="V781" s="10">
        <f>IF(AND(T781="",U781=""),"",IFERROR(INDEX(T_CAPAI,MATCH(T781,L_PER,0),MATCH(U781,L_KED,0)),0))</f>
        <v/>
      </c>
      <c r="W781" s="17">
        <f>IF(OR(B781="",E781="",COUNTA(F781,H781,J781:M781,O781,Q781:R781,T781:U781)=0),"",SUM(G781,I781,N781,P781,S781,V781))</f>
        <v/>
      </c>
      <c r="X781" s="18">
        <f>IF(W781="","",IF(Murid!F781="TL","TL",ROUND(W781/110*100,2)))</f>
        <v/>
      </c>
    </row>
    <row r="782">
      <c r="A782" s="15">
        <f>Murid!A782</f>
        <v/>
      </c>
      <c r="B782" s="15">
        <f>IF(Murid!B782="","",Murid!B782)</f>
        <v/>
      </c>
      <c r="C782" s="16">
        <f>IF(Murid!C782="","",Murid!C782)</f>
        <v/>
      </c>
      <c r="D782" s="15">
        <f>IF(Murid!E782="","",Murid!E782)</f>
        <v/>
      </c>
      <c r="E782" s="11" t="n"/>
      <c r="F782" s="11" t="n"/>
      <c r="G782" s="10">
        <f>IF(F782="","",IFERROR(VLOOKUP(F782,T_JUB,2,FALSE),0))</f>
        <v/>
      </c>
      <c r="H782" s="11" t="n"/>
      <c r="I782" s="17">
        <f>IF(H782="","",IF(H782&gt;=12,40,ROUND(H782*3.33,2)))</f>
        <v/>
      </c>
      <c r="J782" s="11" t="n"/>
      <c r="K782" s="11" t="n"/>
      <c r="L782" s="11" t="n"/>
      <c r="M782" s="11" t="n"/>
      <c r="N782" s="10">
        <f>IF(COUNTA(J782:M782)=0,"",MIN(10,SUMPRODUCT((COUNTIF(J782:M782,L_KOM)&gt;0)*S_KOM)))</f>
        <v/>
      </c>
      <c r="O782" s="11" t="n"/>
      <c r="P782" s="10">
        <f>IF(O782="","",IFERROR(VLOOKUP(O782,T_KHID,2,FALSE),0))</f>
        <v/>
      </c>
      <c r="Q782" s="11" t="n"/>
      <c r="R782" s="11" t="n"/>
      <c r="S782" s="10">
        <f>IF(AND(Q782="",R782=""),"",IFERROR(INDEX(T_LIBAT,MATCH(Q782,L_PER,0),MATCH(R782,L_JENIS,0)),0))</f>
        <v/>
      </c>
      <c r="T782" s="11" t="n"/>
      <c r="U782" s="11" t="n"/>
      <c r="V782" s="10">
        <f>IF(AND(T782="",U782=""),"",IFERROR(INDEX(T_CAPAI,MATCH(T782,L_PER,0),MATCH(U782,L_KED,0)),0))</f>
        <v/>
      </c>
      <c r="W782" s="17">
        <f>IF(OR(B782="",E782="",COUNTA(F782,H782,J782:M782,O782,Q782:R782,T782:U782)=0),"",SUM(G782,I782,N782,P782,S782,V782))</f>
        <v/>
      </c>
      <c r="X782" s="18">
        <f>IF(W782="","",IF(Murid!F782="TL","TL",ROUND(W782/110*100,2)))</f>
        <v/>
      </c>
    </row>
    <row r="783">
      <c r="A783" s="15">
        <f>Murid!A783</f>
        <v/>
      </c>
      <c r="B783" s="15">
        <f>IF(Murid!B783="","",Murid!B783)</f>
        <v/>
      </c>
      <c r="C783" s="16">
        <f>IF(Murid!C783="","",Murid!C783)</f>
        <v/>
      </c>
      <c r="D783" s="15">
        <f>IF(Murid!E783="","",Murid!E783)</f>
        <v/>
      </c>
      <c r="E783" s="11" t="n"/>
      <c r="F783" s="11" t="n"/>
      <c r="G783" s="10">
        <f>IF(F783="","",IFERROR(VLOOKUP(F783,T_JUB,2,FALSE),0))</f>
        <v/>
      </c>
      <c r="H783" s="11" t="n"/>
      <c r="I783" s="17">
        <f>IF(H783="","",IF(H783&gt;=12,40,ROUND(H783*3.33,2)))</f>
        <v/>
      </c>
      <c r="J783" s="11" t="n"/>
      <c r="K783" s="11" t="n"/>
      <c r="L783" s="11" t="n"/>
      <c r="M783" s="11" t="n"/>
      <c r="N783" s="10">
        <f>IF(COUNTA(J783:M783)=0,"",MIN(10,SUMPRODUCT((COUNTIF(J783:M783,L_KOM)&gt;0)*S_KOM)))</f>
        <v/>
      </c>
      <c r="O783" s="11" t="n"/>
      <c r="P783" s="10">
        <f>IF(O783="","",IFERROR(VLOOKUP(O783,T_KHID,2,FALSE),0))</f>
        <v/>
      </c>
      <c r="Q783" s="11" t="n"/>
      <c r="R783" s="11" t="n"/>
      <c r="S783" s="10">
        <f>IF(AND(Q783="",R783=""),"",IFERROR(INDEX(T_LIBAT,MATCH(Q783,L_PER,0),MATCH(R783,L_JENIS,0)),0))</f>
        <v/>
      </c>
      <c r="T783" s="11" t="n"/>
      <c r="U783" s="11" t="n"/>
      <c r="V783" s="10">
        <f>IF(AND(T783="",U783=""),"",IFERROR(INDEX(T_CAPAI,MATCH(T783,L_PER,0),MATCH(U783,L_KED,0)),0))</f>
        <v/>
      </c>
      <c r="W783" s="17">
        <f>IF(OR(B783="",E783="",COUNTA(F783,H783,J783:M783,O783,Q783:R783,T783:U783)=0),"",SUM(G783,I783,N783,P783,S783,V783))</f>
        <v/>
      </c>
      <c r="X783" s="18">
        <f>IF(W783="","",IF(Murid!F783="TL","TL",ROUND(W783/110*100,2)))</f>
        <v/>
      </c>
    </row>
    <row r="784">
      <c r="A784" s="15">
        <f>Murid!A784</f>
        <v/>
      </c>
      <c r="B784" s="15">
        <f>IF(Murid!B784="","",Murid!B784)</f>
        <v/>
      </c>
      <c r="C784" s="16">
        <f>IF(Murid!C784="","",Murid!C784)</f>
        <v/>
      </c>
      <c r="D784" s="15">
        <f>IF(Murid!E784="","",Murid!E784)</f>
        <v/>
      </c>
      <c r="E784" s="11" t="n"/>
      <c r="F784" s="11" t="n"/>
      <c r="G784" s="10">
        <f>IF(F784="","",IFERROR(VLOOKUP(F784,T_JUB,2,FALSE),0))</f>
        <v/>
      </c>
      <c r="H784" s="11" t="n"/>
      <c r="I784" s="17">
        <f>IF(H784="","",IF(H784&gt;=12,40,ROUND(H784*3.33,2)))</f>
        <v/>
      </c>
      <c r="J784" s="11" t="n"/>
      <c r="K784" s="11" t="n"/>
      <c r="L784" s="11" t="n"/>
      <c r="M784" s="11" t="n"/>
      <c r="N784" s="10">
        <f>IF(COUNTA(J784:M784)=0,"",MIN(10,SUMPRODUCT((COUNTIF(J784:M784,L_KOM)&gt;0)*S_KOM)))</f>
        <v/>
      </c>
      <c r="O784" s="11" t="n"/>
      <c r="P784" s="10">
        <f>IF(O784="","",IFERROR(VLOOKUP(O784,T_KHID,2,FALSE),0))</f>
        <v/>
      </c>
      <c r="Q784" s="11" t="n"/>
      <c r="R784" s="11" t="n"/>
      <c r="S784" s="10">
        <f>IF(AND(Q784="",R784=""),"",IFERROR(INDEX(T_LIBAT,MATCH(Q784,L_PER,0),MATCH(R784,L_JENIS,0)),0))</f>
        <v/>
      </c>
      <c r="T784" s="11" t="n"/>
      <c r="U784" s="11" t="n"/>
      <c r="V784" s="10">
        <f>IF(AND(T784="",U784=""),"",IFERROR(INDEX(T_CAPAI,MATCH(T784,L_PER,0),MATCH(U784,L_KED,0)),0))</f>
        <v/>
      </c>
      <c r="W784" s="17">
        <f>IF(OR(B784="",E784="",COUNTA(F784,H784,J784:M784,O784,Q784:R784,T784:U784)=0),"",SUM(G784,I784,N784,P784,S784,V784))</f>
        <v/>
      </c>
      <c r="X784" s="18">
        <f>IF(W784="","",IF(Murid!F784="TL","TL",ROUND(W784/110*100,2)))</f>
        <v/>
      </c>
    </row>
    <row r="785">
      <c r="A785" s="15">
        <f>Murid!A785</f>
        <v/>
      </c>
      <c r="B785" s="15">
        <f>IF(Murid!B785="","",Murid!B785)</f>
        <v/>
      </c>
      <c r="C785" s="16">
        <f>IF(Murid!C785="","",Murid!C785)</f>
        <v/>
      </c>
      <c r="D785" s="15">
        <f>IF(Murid!E785="","",Murid!E785)</f>
        <v/>
      </c>
      <c r="E785" s="11" t="n"/>
      <c r="F785" s="11" t="n"/>
      <c r="G785" s="10">
        <f>IF(F785="","",IFERROR(VLOOKUP(F785,T_JUB,2,FALSE),0))</f>
        <v/>
      </c>
      <c r="H785" s="11" t="n"/>
      <c r="I785" s="17">
        <f>IF(H785="","",IF(H785&gt;=12,40,ROUND(H785*3.33,2)))</f>
        <v/>
      </c>
      <c r="J785" s="11" t="n"/>
      <c r="K785" s="11" t="n"/>
      <c r="L785" s="11" t="n"/>
      <c r="M785" s="11" t="n"/>
      <c r="N785" s="10">
        <f>IF(COUNTA(J785:M785)=0,"",MIN(10,SUMPRODUCT((COUNTIF(J785:M785,L_KOM)&gt;0)*S_KOM)))</f>
        <v/>
      </c>
      <c r="O785" s="11" t="n"/>
      <c r="P785" s="10">
        <f>IF(O785="","",IFERROR(VLOOKUP(O785,T_KHID,2,FALSE),0))</f>
        <v/>
      </c>
      <c r="Q785" s="11" t="n"/>
      <c r="R785" s="11" t="n"/>
      <c r="S785" s="10">
        <f>IF(AND(Q785="",R785=""),"",IFERROR(INDEX(T_LIBAT,MATCH(Q785,L_PER,0),MATCH(R785,L_JENIS,0)),0))</f>
        <v/>
      </c>
      <c r="T785" s="11" t="n"/>
      <c r="U785" s="11" t="n"/>
      <c r="V785" s="10">
        <f>IF(AND(T785="",U785=""),"",IFERROR(INDEX(T_CAPAI,MATCH(T785,L_PER,0),MATCH(U785,L_KED,0)),0))</f>
        <v/>
      </c>
      <c r="W785" s="17">
        <f>IF(OR(B785="",E785="",COUNTA(F785,H785,J785:M785,O785,Q785:R785,T785:U785)=0),"",SUM(G785,I785,N785,P785,S785,V785))</f>
        <v/>
      </c>
      <c r="X785" s="18">
        <f>IF(W785="","",IF(Murid!F785="TL","TL",ROUND(W785/110*100,2)))</f>
        <v/>
      </c>
    </row>
    <row r="786">
      <c r="A786" s="15">
        <f>Murid!A786</f>
        <v/>
      </c>
      <c r="B786" s="15">
        <f>IF(Murid!B786="","",Murid!B786)</f>
        <v/>
      </c>
      <c r="C786" s="16">
        <f>IF(Murid!C786="","",Murid!C786)</f>
        <v/>
      </c>
      <c r="D786" s="15">
        <f>IF(Murid!E786="","",Murid!E786)</f>
        <v/>
      </c>
      <c r="E786" s="11" t="n"/>
      <c r="F786" s="11" t="n"/>
      <c r="G786" s="10">
        <f>IF(F786="","",IFERROR(VLOOKUP(F786,T_JUB,2,FALSE),0))</f>
        <v/>
      </c>
      <c r="H786" s="11" t="n"/>
      <c r="I786" s="17">
        <f>IF(H786="","",IF(H786&gt;=12,40,ROUND(H786*3.33,2)))</f>
        <v/>
      </c>
      <c r="J786" s="11" t="n"/>
      <c r="K786" s="11" t="n"/>
      <c r="L786" s="11" t="n"/>
      <c r="M786" s="11" t="n"/>
      <c r="N786" s="10">
        <f>IF(COUNTA(J786:M786)=0,"",MIN(10,SUMPRODUCT((COUNTIF(J786:M786,L_KOM)&gt;0)*S_KOM)))</f>
        <v/>
      </c>
      <c r="O786" s="11" t="n"/>
      <c r="P786" s="10">
        <f>IF(O786="","",IFERROR(VLOOKUP(O786,T_KHID,2,FALSE),0))</f>
        <v/>
      </c>
      <c r="Q786" s="11" t="n"/>
      <c r="R786" s="11" t="n"/>
      <c r="S786" s="10">
        <f>IF(AND(Q786="",R786=""),"",IFERROR(INDEX(T_LIBAT,MATCH(Q786,L_PER,0),MATCH(R786,L_JENIS,0)),0))</f>
        <v/>
      </c>
      <c r="T786" s="11" t="n"/>
      <c r="U786" s="11" t="n"/>
      <c r="V786" s="10">
        <f>IF(AND(T786="",U786=""),"",IFERROR(INDEX(T_CAPAI,MATCH(T786,L_PER,0),MATCH(U786,L_KED,0)),0))</f>
        <v/>
      </c>
      <c r="W786" s="17">
        <f>IF(OR(B786="",E786="",COUNTA(F786,H786,J786:M786,O786,Q786:R786,T786:U786)=0),"",SUM(G786,I786,N786,P786,S786,V786))</f>
        <v/>
      </c>
      <c r="X786" s="18">
        <f>IF(W786="","",IF(Murid!F786="TL","TL",ROUND(W786/110*100,2)))</f>
        <v/>
      </c>
    </row>
    <row r="787">
      <c r="A787" s="15">
        <f>Murid!A787</f>
        <v/>
      </c>
      <c r="B787" s="15">
        <f>IF(Murid!B787="","",Murid!B787)</f>
        <v/>
      </c>
      <c r="C787" s="16">
        <f>IF(Murid!C787="","",Murid!C787)</f>
        <v/>
      </c>
      <c r="D787" s="15">
        <f>IF(Murid!E787="","",Murid!E787)</f>
        <v/>
      </c>
      <c r="E787" s="11" t="n"/>
      <c r="F787" s="11" t="n"/>
      <c r="G787" s="10">
        <f>IF(F787="","",IFERROR(VLOOKUP(F787,T_JUB,2,FALSE),0))</f>
        <v/>
      </c>
      <c r="H787" s="11" t="n"/>
      <c r="I787" s="17">
        <f>IF(H787="","",IF(H787&gt;=12,40,ROUND(H787*3.33,2)))</f>
        <v/>
      </c>
      <c r="J787" s="11" t="n"/>
      <c r="K787" s="11" t="n"/>
      <c r="L787" s="11" t="n"/>
      <c r="M787" s="11" t="n"/>
      <c r="N787" s="10">
        <f>IF(COUNTA(J787:M787)=0,"",MIN(10,SUMPRODUCT((COUNTIF(J787:M787,L_KOM)&gt;0)*S_KOM)))</f>
        <v/>
      </c>
      <c r="O787" s="11" t="n"/>
      <c r="P787" s="10">
        <f>IF(O787="","",IFERROR(VLOOKUP(O787,T_KHID,2,FALSE),0))</f>
        <v/>
      </c>
      <c r="Q787" s="11" t="n"/>
      <c r="R787" s="11" t="n"/>
      <c r="S787" s="10">
        <f>IF(AND(Q787="",R787=""),"",IFERROR(INDEX(T_LIBAT,MATCH(Q787,L_PER,0),MATCH(R787,L_JENIS,0)),0))</f>
        <v/>
      </c>
      <c r="T787" s="11" t="n"/>
      <c r="U787" s="11" t="n"/>
      <c r="V787" s="10">
        <f>IF(AND(T787="",U787=""),"",IFERROR(INDEX(T_CAPAI,MATCH(T787,L_PER,0),MATCH(U787,L_KED,0)),0))</f>
        <v/>
      </c>
      <c r="W787" s="17">
        <f>IF(OR(B787="",E787="",COUNTA(F787,H787,J787:M787,O787,Q787:R787,T787:U787)=0),"",SUM(G787,I787,N787,P787,S787,V787))</f>
        <v/>
      </c>
      <c r="X787" s="18">
        <f>IF(W787="","",IF(Murid!F787="TL","TL",ROUND(W787/110*100,2)))</f>
        <v/>
      </c>
    </row>
    <row r="788">
      <c r="A788" s="15">
        <f>Murid!A788</f>
        <v/>
      </c>
      <c r="B788" s="15">
        <f>IF(Murid!B788="","",Murid!B788)</f>
        <v/>
      </c>
      <c r="C788" s="16">
        <f>IF(Murid!C788="","",Murid!C788)</f>
        <v/>
      </c>
      <c r="D788" s="15">
        <f>IF(Murid!E788="","",Murid!E788)</f>
        <v/>
      </c>
      <c r="E788" s="11" t="n"/>
      <c r="F788" s="11" t="n"/>
      <c r="G788" s="10">
        <f>IF(F788="","",IFERROR(VLOOKUP(F788,T_JUB,2,FALSE),0))</f>
        <v/>
      </c>
      <c r="H788" s="11" t="n"/>
      <c r="I788" s="17">
        <f>IF(H788="","",IF(H788&gt;=12,40,ROUND(H788*3.33,2)))</f>
        <v/>
      </c>
      <c r="J788" s="11" t="n"/>
      <c r="K788" s="11" t="n"/>
      <c r="L788" s="11" t="n"/>
      <c r="M788" s="11" t="n"/>
      <c r="N788" s="10">
        <f>IF(COUNTA(J788:M788)=0,"",MIN(10,SUMPRODUCT((COUNTIF(J788:M788,L_KOM)&gt;0)*S_KOM)))</f>
        <v/>
      </c>
      <c r="O788" s="11" t="n"/>
      <c r="P788" s="10">
        <f>IF(O788="","",IFERROR(VLOOKUP(O788,T_KHID,2,FALSE),0))</f>
        <v/>
      </c>
      <c r="Q788" s="11" t="n"/>
      <c r="R788" s="11" t="n"/>
      <c r="S788" s="10">
        <f>IF(AND(Q788="",R788=""),"",IFERROR(INDEX(T_LIBAT,MATCH(Q788,L_PER,0),MATCH(R788,L_JENIS,0)),0))</f>
        <v/>
      </c>
      <c r="T788" s="11" t="n"/>
      <c r="U788" s="11" t="n"/>
      <c r="V788" s="10">
        <f>IF(AND(T788="",U788=""),"",IFERROR(INDEX(T_CAPAI,MATCH(T788,L_PER,0),MATCH(U788,L_KED,0)),0))</f>
        <v/>
      </c>
      <c r="W788" s="17">
        <f>IF(OR(B788="",E788="",COUNTA(F788,H788,J788:M788,O788,Q788:R788,T788:U788)=0),"",SUM(G788,I788,N788,P788,S788,V788))</f>
        <v/>
      </c>
      <c r="X788" s="18">
        <f>IF(W788="","",IF(Murid!F788="TL","TL",ROUND(W788/110*100,2)))</f>
        <v/>
      </c>
    </row>
    <row r="789">
      <c r="A789" s="15">
        <f>Murid!A789</f>
        <v/>
      </c>
      <c r="B789" s="15">
        <f>IF(Murid!B789="","",Murid!B789)</f>
        <v/>
      </c>
      <c r="C789" s="16">
        <f>IF(Murid!C789="","",Murid!C789)</f>
        <v/>
      </c>
      <c r="D789" s="15">
        <f>IF(Murid!E789="","",Murid!E789)</f>
        <v/>
      </c>
      <c r="E789" s="11" t="n"/>
      <c r="F789" s="11" t="n"/>
      <c r="G789" s="10">
        <f>IF(F789="","",IFERROR(VLOOKUP(F789,T_JUB,2,FALSE),0))</f>
        <v/>
      </c>
      <c r="H789" s="11" t="n"/>
      <c r="I789" s="17">
        <f>IF(H789="","",IF(H789&gt;=12,40,ROUND(H789*3.33,2)))</f>
        <v/>
      </c>
      <c r="J789" s="11" t="n"/>
      <c r="K789" s="11" t="n"/>
      <c r="L789" s="11" t="n"/>
      <c r="M789" s="11" t="n"/>
      <c r="N789" s="10">
        <f>IF(COUNTA(J789:M789)=0,"",MIN(10,SUMPRODUCT((COUNTIF(J789:M789,L_KOM)&gt;0)*S_KOM)))</f>
        <v/>
      </c>
      <c r="O789" s="11" t="n"/>
      <c r="P789" s="10">
        <f>IF(O789="","",IFERROR(VLOOKUP(O789,T_KHID,2,FALSE),0))</f>
        <v/>
      </c>
      <c r="Q789" s="11" t="n"/>
      <c r="R789" s="11" t="n"/>
      <c r="S789" s="10">
        <f>IF(AND(Q789="",R789=""),"",IFERROR(INDEX(T_LIBAT,MATCH(Q789,L_PER,0),MATCH(R789,L_JENIS,0)),0))</f>
        <v/>
      </c>
      <c r="T789" s="11" t="n"/>
      <c r="U789" s="11" t="n"/>
      <c r="V789" s="10">
        <f>IF(AND(T789="",U789=""),"",IFERROR(INDEX(T_CAPAI,MATCH(T789,L_PER,0),MATCH(U789,L_KED,0)),0))</f>
        <v/>
      </c>
      <c r="W789" s="17">
        <f>IF(OR(B789="",E789="",COUNTA(F789,H789,J789:M789,O789,Q789:R789,T789:U789)=0),"",SUM(G789,I789,N789,P789,S789,V789))</f>
        <v/>
      </c>
      <c r="X789" s="18">
        <f>IF(W789="","",IF(Murid!F789="TL","TL",ROUND(W789/110*100,2)))</f>
        <v/>
      </c>
    </row>
    <row r="790">
      <c r="A790" s="15">
        <f>Murid!A790</f>
        <v/>
      </c>
      <c r="B790" s="15">
        <f>IF(Murid!B790="","",Murid!B790)</f>
        <v/>
      </c>
      <c r="C790" s="16">
        <f>IF(Murid!C790="","",Murid!C790)</f>
        <v/>
      </c>
      <c r="D790" s="15">
        <f>IF(Murid!E790="","",Murid!E790)</f>
        <v/>
      </c>
      <c r="E790" s="11" t="n"/>
      <c r="F790" s="11" t="n"/>
      <c r="G790" s="10">
        <f>IF(F790="","",IFERROR(VLOOKUP(F790,T_JUB,2,FALSE),0))</f>
        <v/>
      </c>
      <c r="H790" s="11" t="n"/>
      <c r="I790" s="17">
        <f>IF(H790="","",IF(H790&gt;=12,40,ROUND(H790*3.33,2)))</f>
        <v/>
      </c>
      <c r="J790" s="11" t="n"/>
      <c r="K790" s="11" t="n"/>
      <c r="L790" s="11" t="n"/>
      <c r="M790" s="11" t="n"/>
      <c r="N790" s="10">
        <f>IF(COUNTA(J790:M790)=0,"",MIN(10,SUMPRODUCT((COUNTIF(J790:M790,L_KOM)&gt;0)*S_KOM)))</f>
        <v/>
      </c>
      <c r="O790" s="11" t="n"/>
      <c r="P790" s="10">
        <f>IF(O790="","",IFERROR(VLOOKUP(O790,T_KHID,2,FALSE),0))</f>
        <v/>
      </c>
      <c r="Q790" s="11" t="n"/>
      <c r="R790" s="11" t="n"/>
      <c r="S790" s="10">
        <f>IF(AND(Q790="",R790=""),"",IFERROR(INDEX(T_LIBAT,MATCH(Q790,L_PER,0),MATCH(R790,L_JENIS,0)),0))</f>
        <v/>
      </c>
      <c r="T790" s="11" t="n"/>
      <c r="U790" s="11" t="n"/>
      <c r="V790" s="10">
        <f>IF(AND(T790="",U790=""),"",IFERROR(INDEX(T_CAPAI,MATCH(T790,L_PER,0),MATCH(U790,L_KED,0)),0))</f>
        <v/>
      </c>
      <c r="W790" s="17">
        <f>IF(OR(B790="",E790="",COUNTA(F790,H790,J790:M790,O790,Q790:R790,T790:U790)=0),"",SUM(G790,I790,N790,P790,S790,V790))</f>
        <v/>
      </c>
      <c r="X790" s="18">
        <f>IF(W790="","",IF(Murid!F790="TL","TL",ROUND(W790/110*100,2)))</f>
        <v/>
      </c>
    </row>
    <row r="791">
      <c r="A791" s="15">
        <f>Murid!A791</f>
        <v/>
      </c>
      <c r="B791" s="15">
        <f>IF(Murid!B791="","",Murid!B791)</f>
        <v/>
      </c>
      <c r="C791" s="16">
        <f>IF(Murid!C791="","",Murid!C791)</f>
        <v/>
      </c>
      <c r="D791" s="15">
        <f>IF(Murid!E791="","",Murid!E791)</f>
        <v/>
      </c>
      <c r="E791" s="11" t="n"/>
      <c r="F791" s="11" t="n"/>
      <c r="G791" s="10">
        <f>IF(F791="","",IFERROR(VLOOKUP(F791,T_JUB,2,FALSE),0))</f>
        <v/>
      </c>
      <c r="H791" s="11" t="n"/>
      <c r="I791" s="17">
        <f>IF(H791="","",IF(H791&gt;=12,40,ROUND(H791*3.33,2)))</f>
        <v/>
      </c>
      <c r="J791" s="11" t="n"/>
      <c r="K791" s="11" t="n"/>
      <c r="L791" s="11" t="n"/>
      <c r="M791" s="11" t="n"/>
      <c r="N791" s="10">
        <f>IF(COUNTA(J791:M791)=0,"",MIN(10,SUMPRODUCT((COUNTIF(J791:M791,L_KOM)&gt;0)*S_KOM)))</f>
        <v/>
      </c>
      <c r="O791" s="11" t="n"/>
      <c r="P791" s="10">
        <f>IF(O791="","",IFERROR(VLOOKUP(O791,T_KHID,2,FALSE),0))</f>
        <v/>
      </c>
      <c r="Q791" s="11" t="n"/>
      <c r="R791" s="11" t="n"/>
      <c r="S791" s="10">
        <f>IF(AND(Q791="",R791=""),"",IFERROR(INDEX(T_LIBAT,MATCH(Q791,L_PER,0),MATCH(R791,L_JENIS,0)),0))</f>
        <v/>
      </c>
      <c r="T791" s="11" t="n"/>
      <c r="U791" s="11" t="n"/>
      <c r="V791" s="10">
        <f>IF(AND(T791="",U791=""),"",IFERROR(INDEX(T_CAPAI,MATCH(T791,L_PER,0),MATCH(U791,L_KED,0)),0))</f>
        <v/>
      </c>
      <c r="W791" s="17">
        <f>IF(OR(B791="",E791="",COUNTA(F791,H791,J791:M791,O791,Q791:R791,T791:U791)=0),"",SUM(G791,I791,N791,P791,S791,V791))</f>
        <v/>
      </c>
      <c r="X791" s="18">
        <f>IF(W791="","",IF(Murid!F791="TL","TL",ROUND(W791/110*100,2)))</f>
        <v/>
      </c>
    </row>
    <row r="792">
      <c r="A792" s="15">
        <f>Murid!A792</f>
        <v/>
      </c>
      <c r="B792" s="15">
        <f>IF(Murid!B792="","",Murid!B792)</f>
        <v/>
      </c>
      <c r="C792" s="16">
        <f>IF(Murid!C792="","",Murid!C792)</f>
        <v/>
      </c>
      <c r="D792" s="15">
        <f>IF(Murid!E792="","",Murid!E792)</f>
        <v/>
      </c>
      <c r="E792" s="11" t="n"/>
      <c r="F792" s="11" t="n"/>
      <c r="G792" s="10">
        <f>IF(F792="","",IFERROR(VLOOKUP(F792,T_JUB,2,FALSE),0))</f>
        <v/>
      </c>
      <c r="H792" s="11" t="n"/>
      <c r="I792" s="17">
        <f>IF(H792="","",IF(H792&gt;=12,40,ROUND(H792*3.33,2)))</f>
        <v/>
      </c>
      <c r="J792" s="11" t="n"/>
      <c r="K792" s="11" t="n"/>
      <c r="L792" s="11" t="n"/>
      <c r="M792" s="11" t="n"/>
      <c r="N792" s="10">
        <f>IF(COUNTA(J792:M792)=0,"",MIN(10,SUMPRODUCT((COUNTIF(J792:M792,L_KOM)&gt;0)*S_KOM)))</f>
        <v/>
      </c>
      <c r="O792" s="11" t="n"/>
      <c r="P792" s="10">
        <f>IF(O792="","",IFERROR(VLOOKUP(O792,T_KHID,2,FALSE),0))</f>
        <v/>
      </c>
      <c r="Q792" s="11" t="n"/>
      <c r="R792" s="11" t="n"/>
      <c r="S792" s="10">
        <f>IF(AND(Q792="",R792=""),"",IFERROR(INDEX(T_LIBAT,MATCH(Q792,L_PER,0),MATCH(R792,L_JENIS,0)),0))</f>
        <v/>
      </c>
      <c r="T792" s="11" t="n"/>
      <c r="U792" s="11" t="n"/>
      <c r="V792" s="10">
        <f>IF(AND(T792="",U792=""),"",IFERROR(INDEX(T_CAPAI,MATCH(T792,L_PER,0),MATCH(U792,L_KED,0)),0))</f>
        <v/>
      </c>
      <c r="W792" s="17">
        <f>IF(OR(B792="",E792="",COUNTA(F792,H792,J792:M792,O792,Q792:R792,T792:U792)=0),"",SUM(G792,I792,N792,P792,S792,V792))</f>
        <v/>
      </c>
      <c r="X792" s="18">
        <f>IF(W792="","",IF(Murid!F792="TL","TL",ROUND(W792/110*100,2)))</f>
        <v/>
      </c>
    </row>
    <row r="793">
      <c r="A793" s="15">
        <f>Murid!A793</f>
        <v/>
      </c>
      <c r="B793" s="15">
        <f>IF(Murid!B793="","",Murid!B793)</f>
        <v/>
      </c>
      <c r="C793" s="16">
        <f>IF(Murid!C793="","",Murid!C793)</f>
        <v/>
      </c>
      <c r="D793" s="15">
        <f>IF(Murid!E793="","",Murid!E793)</f>
        <v/>
      </c>
      <c r="E793" s="11" t="n"/>
      <c r="F793" s="11" t="n"/>
      <c r="G793" s="10">
        <f>IF(F793="","",IFERROR(VLOOKUP(F793,T_JUB,2,FALSE),0))</f>
        <v/>
      </c>
      <c r="H793" s="11" t="n"/>
      <c r="I793" s="17">
        <f>IF(H793="","",IF(H793&gt;=12,40,ROUND(H793*3.33,2)))</f>
        <v/>
      </c>
      <c r="J793" s="11" t="n"/>
      <c r="K793" s="11" t="n"/>
      <c r="L793" s="11" t="n"/>
      <c r="M793" s="11" t="n"/>
      <c r="N793" s="10">
        <f>IF(COUNTA(J793:M793)=0,"",MIN(10,SUMPRODUCT((COUNTIF(J793:M793,L_KOM)&gt;0)*S_KOM)))</f>
        <v/>
      </c>
      <c r="O793" s="11" t="n"/>
      <c r="P793" s="10">
        <f>IF(O793="","",IFERROR(VLOOKUP(O793,T_KHID,2,FALSE),0))</f>
        <v/>
      </c>
      <c r="Q793" s="11" t="n"/>
      <c r="R793" s="11" t="n"/>
      <c r="S793" s="10">
        <f>IF(AND(Q793="",R793=""),"",IFERROR(INDEX(T_LIBAT,MATCH(Q793,L_PER,0),MATCH(R793,L_JENIS,0)),0))</f>
        <v/>
      </c>
      <c r="T793" s="11" t="n"/>
      <c r="U793" s="11" t="n"/>
      <c r="V793" s="10">
        <f>IF(AND(T793="",U793=""),"",IFERROR(INDEX(T_CAPAI,MATCH(T793,L_PER,0),MATCH(U793,L_KED,0)),0))</f>
        <v/>
      </c>
      <c r="W793" s="17">
        <f>IF(OR(B793="",E793="",COUNTA(F793,H793,J793:M793,O793,Q793:R793,T793:U793)=0),"",SUM(G793,I793,N793,P793,S793,V793))</f>
        <v/>
      </c>
      <c r="X793" s="18">
        <f>IF(W793="","",IF(Murid!F793="TL","TL",ROUND(W793/110*100,2)))</f>
        <v/>
      </c>
    </row>
    <row r="794">
      <c r="A794" s="15">
        <f>Murid!A794</f>
        <v/>
      </c>
      <c r="B794" s="15">
        <f>IF(Murid!B794="","",Murid!B794)</f>
        <v/>
      </c>
      <c r="C794" s="16">
        <f>IF(Murid!C794="","",Murid!C794)</f>
        <v/>
      </c>
      <c r="D794" s="15">
        <f>IF(Murid!E794="","",Murid!E794)</f>
        <v/>
      </c>
      <c r="E794" s="11" t="n"/>
      <c r="F794" s="11" t="n"/>
      <c r="G794" s="10">
        <f>IF(F794="","",IFERROR(VLOOKUP(F794,T_JUB,2,FALSE),0))</f>
        <v/>
      </c>
      <c r="H794" s="11" t="n"/>
      <c r="I794" s="17">
        <f>IF(H794="","",IF(H794&gt;=12,40,ROUND(H794*3.33,2)))</f>
        <v/>
      </c>
      <c r="J794" s="11" t="n"/>
      <c r="K794" s="11" t="n"/>
      <c r="L794" s="11" t="n"/>
      <c r="M794" s="11" t="n"/>
      <c r="N794" s="10">
        <f>IF(COUNTA(J794:M794)=0,"",MIN(10,SUMPRODUCT((COUNTIF(J794:M794,L_KOM)&gt;0)*S_KOM)))</f>
        <v/>
      </c>
      <c r="O794" s="11" t="n"/>
      <c r="P794" s="10">
        <f>IF(O794="","",IFERROR(VLOOKUP(O794,T_KHID,2,FALSE),0))</f>
        <v/>
      </c>
      <c r="Q794" s="11" t="n"/>
      <c r="R794" s="11" t="n"/>
      <c r="S794" s="10">
        <f>IF(AND(Q794="",R794=""),"",IFERROR(INDEX(T_LIBAT,MATCH(Q794,L_PER,0),MATCH(R794,L_JENIS,0)),0))</f>
        <v/>
      </c>
      <c r="T794" s="11" t="n"/>
      <c r="U794" s="11" t="n"/>
      <c r="V794" s="10">
        <f>IF(AND(T794="",U794=""),"",IFERROR(INDEX(T_CAPAI,MATCH(T794,L_PER,0),MATCH(U794,L_KED,0)),0))</f>
        <v/>
      </c>
      <c r="W794" s="17">
        <f>IF(OR(B794="",E794="",COUNTA(F794,H794,J794:M794,O794,Q794:R794,T794:U794)=0),"",SUM(G794,I794,N794,P794,S794,V794))</f>
        <v/>
      </c>
      <c r="X794" s="18">
        <f>IF(W794="","",IF(Murid!F794="TL","TL",ROUND(W794/110*100,2)))</f>
        <v/>
      </c>
    </row>
    <row r="795">
      <c r="A795" s="15">
        <f>Murid!A795</f>
        <v/>
      </c>
      <c r="B795" s="15">
        <f>IF(Murid!B795="","",Murid!B795)</f>
        <v/>
      </c>
      <c r="C795" s="16">
        <f>IF(Murid!C795="","",Murid!C795)</f>
        <v/>
      </c>
      <c r="D795" s="15">
        <f>IF(Murid!E795="","",Murid!E795)</f>
        <v/>
      </c>
      <c r="E795" s="11" t="n"/>
      <c r="F795" s="11" t="n"/>
      <c r="G795" s="10">
        <f>IF(F795="","",IFERROR(VLOOKUP(F795,T_JUB,2,FALSE),0))</f>
        <v/>
      </c>
      <c r="H795" s="11" t="n"/>
      <c r="I795" s="17">
        <f>IF(H795="","",IF(H795&gt;=12,40,ROUND(H795*3.33,2)))</f>
        <v/>
      </c>
      <c r="J795" s="11" t="n"/>
      <c r="K795" s="11" t="n"/>
      <c r="L795" s="11" t="n"/>
      <c r="M795" s="11" t="n"/>
      <c r="N795" s="10">
        <f>IF(COUNTA(J795:M795)=0,"",MIN(10,SUMPRODUCT((COUNTIF(J795:M795,L_KOM)&gt;0)*S_KOM)))</f>
        <v/>
      </c>
      <c r="O795" s="11" t="n"/>
      <c r="P795" s="10">
        <f>IF(O795="","",IFERROR(VLOOKUP(O795,T_KHID,2,FALSE),0))</f>
        <v/>
      </c>
      <c r="Q795" s="11" t="n"/>
      <c r="R795" s="11" t="n"/>
      <c r="S795" s="10">
        <f>IF(AND(Q795="",R795=""),"",IFERROR(INDEX(T_LIBAT,MATCH(Q795,L_PER,0),MATCH(R795,L_JENIS,0)),0))</f>
        <v/>
      </c>
      <c r="T795" s="11" t="n"/>
      <c r="U795" s="11" t="n"/>
      <c r="V795" s="10">
        <f>IF(AND(T795="",U795=""),"",IFERROR(INDEX(T_CAPAI,MATCH(T795,L_PER,0),MATCH(U795,L_KED,0)),0))</f>
        <v/>
      </c>
      <c r="W795" s="17">
        <f>IF(OR(B795="",E795="",COUNTA(F795,H795,J795:M795,O795,Q795:R795,T795:U795)=0),"",SUM(G795,I795,N795,P795,S795,V795))</f>
        <v/>
      </c>
      <c r="X795" s="18">
        <f>IF(W795="","",IF(Murid!F795="TL","TL",ROUND(W795/110*100,2)))</f>
        <v/>
      </c>
    </row>
    <row r="796">
      <c r="A796" s="15">
        <f>Murid!A796</f>
        <v/>
      </c>
      <c r="B796" s="15">
        <f>IF(Murid!B796="","",Murid!B796)</f>
        <v/>
      </c>
      <c r="C796" s="16">
        <f>IF(Murid!C796="","",Murid!C796)</f>
        <v/>
      </c>
      <c r="D796" s="15">
        <f>IF(Murid!E796="","",Murid!E796)</f>
        <v/>
      </c>
      <c r="E796" s="11" t="n"/>
      <c r="F796" s="11" t="n"/>
      <c r="G796" s="10">
        <f>IF(F796="","",IFERROR(VLOOKUP(F796,T_JUB,2,FALSE),0))</f>
        <v/>
      </c>
      <c r="H796" s="11" t="n"/>
      <c r="I796" s="17">
        <f>IF(H796="","",IF(H796&gt;=12,40,ROUND(H796*3.33,2)))</f>
        <v/>
      </c>
      <c r="J796" s="11" t="n"/>
      <c r="K796" s="11" t="n"/>
      <c r="L796" s="11" t="n"/>
      <c r="M796" s="11" t="n"/>
      <c r="N796" s="10">
        <f>IF(COUNTA(J796:M796)=0,"",MIN(10,SUMPRODUCT((COUNTIF(J796:M796,L_KOM)&gt;0)*S_KOM)))</f>
        <v/>
      </c>
      <c r="O796" s="11" t="n"/>
      <c r="P796" s="10">
        <f>IF(O796="","",IFERROR(VLOOKUP(O796,T_KHID,2,FALSE),0))</f>
        <v/>
      </c>
      <c r="Q796" s="11" t="n"/>
      <c r="R796" s="11" t="n"/>
      <c r="S796" s="10">
        <f>IF(AND(Q796="",R796=""),"",IFERROR(INDEX(T_LIBAT,MATCH(Q796,L_PER,0),MATCH(R796,L_JENIS,0)),0))</f>
        <v/>
      </c>
      <c r="T796" s="11" t="n"/>
      <c r="U796" s="11" t="n"/>
      <c r="V796" s="10">
        <f>IF(AND(T796="",U796=""),"",IFERROR(INDEX(T_CAPAI,MATCH(T796,L_PER,0),MATCH(U796,L_KED,0)),0))</f>
        <v/>
      </c>
      <c r="W796" s="17">
        <f>IF(OR(B796="",E796="",COUNTA(F796,H796,J796:M796,O796,Q796:R796,T796:U796)=0),"",SUM(G796,I796,N796,P796,S796,V796))</f>
        <v/>
      </c>
      <c r="X796" s="18">
        <f>IF(W796="","",IF(Murid!F796="TL","TL",ROUND(W796/110*100,2)))</f>
        <v/>
      </c>
    </row>
    <row r="797">
      <c r="A797" s="15">
        <f>Murid!A797</f>
        <v/>
      </c>
      <c r="B797" s="15">
        <f>IF(Murid!B797="","",Murid!B797)</f>
        <v/>
      </c>
      <c r="C797" s="16">
        <f>IF(Murid!C797="","",Murid!C797)</f>
        <v/>
      </c>
      <c r="D797" s="15">
        <f>IF(Murid!E797="","",Murid!E797)</f>
        <v/>
      </c>
      <c r="E797" s="11" t="n"/>
      <c r="F797" s="11" t="n"/>
      <c r="G797" s="10">
        <f>IF(F797="","",IFERROR(VLOOKUP(F797,T_JUB,2,FALSE),0))</f>
        <v/>
      </c>
      <c r="H797" s="11" t="n"/>
      <c r="I797" s="17">
        <f>IF(H797="","",IF(H797&gt;=12,40,ROUND(H797*3.33,2)))</f>
        <v/>
      </c>
      <c r="J797" s="11" t="n"/>
      <c r="K797" s="11" t="n"/>
      <c r="L797" s="11" t="n"/>
      <c r="M797" s="11" t="n"/>
      <c r="N797" s="10">
        <f>IF(COUNTA(J797:M797)=0,"",MIN(10,SUMPRODUCT((COUNTIF(J797:M797,L_KOM)&gt;0)*S_KOM)))</f>
        <v/>
      </c>
      <c r="O797" s="11" t="n"/>
      <c r="P797" s="10">
        <f>IF(O797="","",IFERROR(VLOOKUP(O797,T_KHID,2,FALSE),0))</f>
        <v/>
      </c>
      <c r="Q797" s="11" t="n"/>
      <c r="R797" s="11" t="n"/>
      <c r="S797" s="10">
        <f>IF(AND(Q797="",R797=""),"",IFERROR(INDEX(T_LIBAT,MATCH(Q797,L_PER,0),MATCH(R797,L_JENIS,0)),0))</f>
        <v/>
      </c>
      <c r="T797" s="11" t="n"/>
      <c r="U797" s="11" t="n"/>
      <c r="V797" s="10">
        <f>IF(AND(T797="",U797=""),"",IFERROR(INDEX(T_CAPAI,MATCH(T797,L_PER,0),MATCH(U797,L_KED,0)),0))</f>
        <v/>
      </c>
      <c r="W797" s="17">
        <f>IF(OR(B797="",E797="",COUNTA(F797,H797,J797:M797,O797,Q797:R797,T797:U797)=0),"",SUM(G797,I797,N797,P797,S797,V797))</f>
        <v/>
      </c>
      <c r="X797" s="18">
        <f>IF(W797="","",IF(Murid!F797="TL","TL",ROUND(W797/110*100,2)))</f>
        <v/>
      </c>
    </row>
    <row r="798">
      <c r="A798" s="15">
        <f>Murid!A798</f>
        <v/>
      </c>
      <c r="B798" s="15">
        <f>IF(Murid!B798="","",Murid!B798)</f>
        <v/>
      </c>
      <c r="C798" s="16">
        <f>IF(Murid!C798="","",Murid!C798)</f>
        <v/>
      </c>
      <c r="D798" s="15">
        <f>IF(Murid!E798="","",Murid!E798)</f>
        <v/>
      </c>
      <c r="E798" s="11" t="n"/>
      <c r="F798" s="11" t="n"/>
      <c r="G798" s="10">
        <f>IF(F798="","",IFERROR(VLOOKUP(F798,T_JUB,2,FALSE),0))</f>
        <v/>
      </c>
      <c r="H798" s="11" t="n"/>
      <c r="I798" s="17">
        <f>IF(H798="","",IF(H798&gt;=12,40,ROUND(H798*3.33,2)))</f>
        <v/>
      </c>
      <c r="J798" s="11" t="n"/>
      <c r="K798" s="11" t="n"/>
      <c r="L798" s="11" t="n"/>
      <c r="M798" s="11" t="n"/>
      <c r="N798" s="10">
        <f>IF(COUNTA(J798:M798)=0,"",MIN(10,SUMPRODUCT((COUNTIF(J798:M798,L_KOM)&gt;0)*S_KOM)))</f>
        <v/>
      </c>
      <c r="O798" s="11" t="n"/>
      <c r="P798" s="10">
        <f>IF(O798="","",IFERROR(VLOOKUP(O798,T_KHID,2,FALSE),0))</f>
        <v/>
      </c>
      <c r="Q798" s="11" t="n"/>
      <c r="R798" s="11" t="n"/>
      <c r="S798" s="10">
        <f>IF(AND(Q798="",R798=""),"",IFERROR(INDEX(T_LIBAT,MATCH(Q798,L_PER,0),MATCH(R798,L_JENIS,0)),0))</f>
        <v/>
      </c>
      <c r="T798" s="11" t="n"/>
      <c r="U798" s="11" t="n"/>
      <c r="V798" s="10">
        <f>IF(AND(T798="",U798=""),"",IFERROR(INDEX(T_CAPAI,MATCH(T798,L_PER,0),MATCH(U798,L_KED,0)),0))</f>
        <v/>
      </c>
      <c r="W798" s="17">
        <f>IF(OR(B798="",E798="",COUNTA(F798,H798,J798:M798,O798,Q798:R798,T798:U798)=0),"",SUM(G798,I798,N798,P798,S798,V798))</f>
        <v/>
      </c>
      <c r="X798" s="18">
        <f>IF(W798="","",IF(Murid!F798="TL","TL",ROUND(W798/110*100,2)))</f>
        <v/>
      </c>
    </row>
    <row r="799">
      <c r="A799" s="15">
        <f>Murid!A799</f>
        <v/>
      </c>
      <c r="B799" s="15">
        <f>IF(Murid!B799="","",Murid!B799)</f>
        <v/>
      </c>
      <c r="C799" s="16">
        <f>IF(Murid!C799="","",Murid!C799)</f>
        <v/>
      </c>
      <c r="D799" s="15">
        <f>IF(Murid!E799="","",Murid!E799)</f>
        <v/>
      </c>
      <c r="E799" s="11" t="n"/>
      <c r="F799" s="11" t="n"/>
      <c r="G799" s="10">
        <f>IF(F799="","",IFERROR(VLOOKUP(F799,T_JUB,2,FALSE),0))</f>
        <v/>
      </c>
      <c r="H799" s="11" t="n"/>
      <c r="I799" s="17">
        <f>IF(H799="","",IF(H799&gt;=12,40,ROUND(H799*3.33,2)))</f>
        <v/>
      </c>
      <c r="J799" s="11" t="n"/>
      <c r="K799" s="11" t="n"/>
      <c r="L799" s="11" t="n"/>
      <c r="M799" s="11" t="n"/>
      <c r="N799" s="10">
        <f>IF(COUNTA(J799:M799)=0,"",MIN(10,SUMPRODUCT((COUNTIF(J799:M799,L_KOM)&gt;0)*S_KOM)))</f>
        <v/>
      </c>
      <c r="O799" s="11" t="n"/>
      <c r="P799" s="10">
        <f>IF(O799="","",IFERROR(VLOOKUP(O799,T_KHID,2,FALSE),0))</f>
        <v/>
      </c>
      <c r="Q799" s="11" t="n"/>
      <c r="R799" s="11" t="n"/>
      <c r="S799" s="10">
        <f>IF(AND(Q799="",R799=""),"",IFERROR(INDEX(T_LIBAT,MATCH(Q799,L_PER,0),MATCH(R799,L_JENIS,0)),0))</f>
        <v/>
      </c>
      <c r="T799" s="11" t="n"/>
      <c r="U799" s="11" t="n"/>
      <c r="V799" s="10">
        <f>IF(AND(T799="",U799=""),"",IFERROR(INDEX(T_CAPAI,MATCH(T799,L_PER,0),MATCH(U799,L_KED,0)),0))</f>
        <v/>
      </c>
      <c r="W799" s="17">
        <f>IF(OR(B799="",E799="",COUNTA(F799,H799,J799:M799,O799,Q799:R799,T799:U799)=0),"",SUM(G799,I799,N799,P799,S799,V799))</f>
        <v/>
      </c>
      <c r="X799" s="18">
        <f>IF(W799="","",IF(Murid!F799="TL","TL",ROUND(W799/110*100,2)))</f>
        <v/>
      </c>
    </row>
    <row r="800">
      <c r="A800" s="15">
        <f>Murid!A800</f>
        <v/>
      </c>
      <c r="B800" s="15">
        <f>IF(Murid!B800="","",Murid!B800)</f>
        <v/>
      </c>
      <c r="C800" s="16">
        <f>IF(Murid!C800="","",Murid!C800)</f>
        <v/>
      </c>
      <c r="D800" s="15">
        <f>IF(Murid!E800="","",Murid!E800)</f>
        <v/>
      </c>
      <c r="E800" s="11" t="n"/>
      <c r="F800" s="11" t="n"/>
      <c r="G800" s="10">
        <f>IF(F800="","",IFERROR(VLOOKUP(F800,T_JUB,2,FALSE),0))</f>
        <v/>
      </c>
      <c r="H800" s="11" t="n"/>
      <c r="I800" s="17">
        <f>IF(H800="","",IF(H800&gt;=12,40,ROUND(H800*3.33,2)))</f>
        <v/>
      </c>
      <c r="J800" s="11" t="n"/>
      <c r="K800" s="11" t="n"/>
      <c r="L800" s="11" t="n"/>
      <c r="M800" s="11" t="n"/>
      <c r="N800" s="10">
        <f>IF(COUNTA(J800:M800)=0,"",MIN(10,SUMPRODUCT((COUNTIF(J800:M800,L_KOM)&gt;0)*S_KOM)))</f>
        <v/>
      </c>
      <c r="O800" s="11" t="n"/>
      <c r="P800" s="10">
        <f>IF(O800="","",IFERROR(VLOOKUP(O800,T_KHID,2,FALSE),0))</f>
        <v/>
      </c>
      <c r="Q800" s="11" t="n"/>
      <c r="R800" s="11" t="n"/>
      <c r="S800" s="10">
        <f>IF(AND(Q800="",R800=""),"",IFERROR(INDEX(T_LIBAT,MATCH(Q800,L_PER,0),MATCH(R800,L_JENIS,0)),0))</f>
        <v/>
      </c>
      <c r="T800" s="11" t="n"/>
      <c r="U800" s="11" t="n"/>
      <c r="V800" s="10">
        <f>IF(AND(T800="",U800=""),"",IFERROR(INDEX(T_CAPAI,MATCH(T800,L_PER,0),MATCH(U800,L_KED,0)),0))</f>
        <v/>
      </c>
      <c r="W800" s="17">
        <f>IF(OR(B800="",E800="",COUNTA(F800,H800,J800:M800,O800,Q800:R800,T800:U800)=0),"",SUM(G800,I800,N800,P800,S800,V800))</f>
        <v/>
      </c>
      <c r="X800" s="18">
        <f>IF(W800="","",IF(Murid!F800="TL","TL",ROUND(W800/110*100,2)))</f>
        <v/>
      </c>
    </row>
    <row r="801">
      <c r="A801" s="15">
        <f>Murid!A801</f>
        <v/>
      </c>
      <c r="B801" s="15">
        <f>IF(Murid!B801="","",Murid!B801)</f>
        <v/>
      </c>
      <c r="C801" s="16">
        <f>IF(Murid!C801="","",Murid!C801)</f>
        <v/>
      </c>
      <c r="D801" s="15">
        <f>IF(Murid!E801="","",Murid!E801)</f>
        <v/>
      </c>
      <c r="E801" s="11" t="n"/>
      <c r="F801" s="11" t="n"/>
      <c r="G801" s="10">
        <f>IF(F801="","",IFERROR(VLOOKUP(F801,T_JUB,2,FALSE),0))</f>
        <v/>
      </c>
      <c r="H801" s="11" t="n"/>
      <c r="I801" s="17">
        <f>IF(H801="","",IF(H801&gt;=12,40,ROUND(H801*3.33,2)))</f>
        <v/>
      </c>
      <c r="J801" s="11" t="n"/>
      <c r="K801" s="11" t="n"/>
      <c r="L801" s="11" t="n"/>
      <c r="M801" s="11" t="n"/>
      <c r="N801" s="10">
        <f>IF(COUNTA(J801:M801)=0,"",MIN(10,SUMPRODUCT((COUNTIF(J801:M801,L_KOM)&gt;0)*S_KOM)))</f>
        <v/>
      </c>
      <c r="O801" s="11" t="n"/>
      <c r="P801" s="10">
        <f>IF(O801="","",IFERROR(VLOOKUP(O801,T_KHID,2,FALSE),0))</f>
        <v/>
      </c>
      <c r="Q801" s="11" t="n"/>
      <c r="R801" s="11" t="n"/>
      <c r="S801" s="10">
        <f>IF(AND(Q801="",R801=""),"",IFERROR(INDEX(T_LIBAT,MATCH(Q801,L_PER,0),MATCH(R801,L_JENIS,0)),0))</f>
        <v/>
      </c>
      <c r="T801" s="11" t="n"/>
      <c r="U801" s="11" t="n"/>
      <c r="V801" s="10">
        <f>IF(AND(T801="",U801=""),"",IFERROR(INDEX(T_CAPAI,MATCH(T801,L_PER,0),MATCH(U801,L_KED,0)),0))</f>
        <v/>
      </c>
      <c r="W801" s="17">
        <f>IF(OR(B801="",E801="",COUNTA(F801,H801,J801:M801,O801,Q801:R801,T801:U801)=0),"",SUM(G801,I801,N801,P801,S801,V801))</f>
        <v/>
      </c>
      <c r="X801" s="18">
        <f>IF(W801="","",IF(Murid!F801="TL","TL",ROUND(W801/110*100,2)))</f>
        <v/>
      </c>
    </row>
    <row r="802">
      <c r="A802" s="15">
        <f>Murid!A802</f>
        <v/>
      </c>
      <c r="B802" s="15">
        <f>IF(Murid!B802="","",Murid!B802)</f>
        <v/>
      </c>
      <c r="C802" s="16">
        <f>IF(Murid!C802="","",Murid!C802)</f>
        <v/>
      </c>
      <c r="D802" s="15">
        <f>IF(Murid!E802="","",Murid!E802)</f>
        <v/>
      </c>
      <c r="E802" s="11" t="n"/>
      <c r="F802" s="11" t="n"/>
      <c r="G802" s="10">
        <f>IF(F802="","",IFERROR(VLOOKUP(F802,T_JUB,2,FALSE),0))</f>
        <v/>
      </c>
      <c r="H802" s="11" t="n"/>
      <c r="I802" s="17">
        <f>IF(H802="","",IF(H802&gt;=12,40,ROUND(H802*3.33,2)))</f>
        <v/>
      </c>
      <c r="J802" s="11" t="n"/>
      <c r="K802" s="11" t="n"/>
      <c r="L802" s="11" t="n"/>
      <c r="M802" s="11" t="n"/>
      <c r="N802" s="10">
        <f>IF(COUNTA(J802:M802)=0,"",MIN(10,SUMPRODUCT((COUNTIF(J802:M802,L_KOM)&gt;0)*S_KOM)))</f>
        <v/>
      </c>
      <c r="O802" s="11" t="n"/>
      <c r="P802" s="10">
        <f>IF(O802="","",IFERROR(VLOOKUP(O802,T_KHID,2,FALSE),0))</f>
        <v/>
      </c>
      <c r="Q802" s="11" t="n"/>
      <c r="R802" s="11" t="n"/>
      <c r="S802" s="10">
        <f>IF(AND(Q802="",R802=""),"",IFERROR(INDEX(T_LIBAT,MATCH(Q802,L_PER,0),MATCH(R802,L_JENIS,0)),0))</f>
        <v/>
      </c>
      <c r="T802" s="11" t="n"/>
      <c r="U802" s="11" t="n"/>
      <c r="V802" s="10">
        <f>IF(AND(T802="",U802=""),"",IFERROR(INDEX(T_CAPAI,MATCH(T802,L_PER,0),MATCH(U802,L_KED,0)),0))</f>
        <v/>
      </c>
      <c r="W802" s="17">
        <f>IF(OR(B802="",E802="",COUNTA(F802,H802,J802:M802,O802,Q802:R802,T802:U802)=0),"",SUM(G802,I802,N802,P802,S802,V802))</f>
        <v/>
      </c>
      <c r="X802" s="18">
        <f>IF(W802="","",IF(Murid!F802="TL","TL",ROUND(W802/110*100,2)))</f>
        <v/>
      </c>
    </row>
    <row r="803">
      <c r="A803" s="15">
        <f>Murid!A803</f>
        <v/>
      </c>
      <c r="B803" s="15">
        <f>IF(Murid!B803="","",Murid!B803)</f>
        <v/>
      </c>
      <c r="C803" s="16">
        <f>IF(Murid!C803="","",Murid!C803)</f>
        <v/>
      </c>
      <c r="D803" s="15">
        <f>IF(Murid!E803="","",Murid!E803)</f>
        <v/>
      </c>
      <c r="E803" s="11" t="n"/>
      <c r="F803" s="11" t="n"/>
      <c r="G803" s="10">
        <f>IF(F803="","",IFERROR(VLOOKUP(F803,T_JUB,2,FALSE),0))</f>
        <v/>
      </c>
      <c r="H803" s="11" t="n"/>
      <c r="I803" s="17">
        <f>IF(H803="","",IF(H803&gt;=12,40,ROUND(H803*3.33,2)))</f>
        <v/>
      </c>
      <c r="J803" s="11" t="n"/>
      <c r="K803" s="11" t="n"/>
      <c r="L803" s="11" t="n"/>
      <c r="M803" s="11" t="n"/>
      <c r="N803" s="10">
        <f>IF(COUNTA(J803:M803)=0,"",MIN(10,SUMPRODUCT((COUNTIF(J803:M803,L_KOM)&gt;0)*S_KOM)))</f>
        <v/>
      </c>
      <c r="O803" s="11" t="n"/>
      <c r="P803" s="10">
        <f>IF(O803="","",IFERROR(VLOOKUP(O803,T_KHID,2,FALSE),0))</f>
        <v/>
      </c>
      <c r="Q803" s="11" t="n"/>
      <c r="R803" s="11" t="n"/>
      <c r="S803" s="10">
        <f>IF(AND(Q803="",R803=""),"",IFERROR(INDEX(T_LIBAT,MATCH(Q803,L_PER,0),MATCH(R803,L_JENIS,0)),0))</f>
        <v/>
      </c>
      <c r="T803" s="11" t="n"/>
      <c r="U803" s="11" t="n"/>
      <c r="V803" s="10">
        <f>IF(AND(T803="",U803=""),"",IFERROR(INDEX(T_CAPAI,MATCH(T803,L_PER,0),MATCH(U803,L_KED,0)),0))</f>
        <v/>
      </c>
      <c r="W803" s="17">
        <f>IF(OR(B803="",E803="",COUNTA(F803,H803,J803:M803,O803,Q803:R803,T803:U803)=0),"",SUM(G803,I803,N803,P803,S803,V803))</f>
        <v/>
      </c>
      <c r="X803" s="18">
        <f>IF(W803="","",IF(Murid!F803="TL","TL",ROUND(W803/110*100,2)))</f>
        <v/>
      </c>
    </row>
    <row r="804">
      <c r="A804" s="15">
        <f>Murid!A804</f>
        <v/>
      </c>
      <c r="B804" s="15">
        <f>IF(Murid!B804="","",Murid!B804)</f>
        <v/>
      </c>
      <c r="C804" s="16">
        <f>IF(Murid!C804="","",Murid!C804)</f>
        <v/>
      </c>
      <c r="D804" s="15">
        <f>IF(Murid!E804="","",Murid!E804)</f>
        <v/>
      </c>
      <c r="E804" s="11" t="n"/>
      <c r="F804" s="11" t="n"/>
      <c r="G804" s="10">
        <f>IF(F804="","",IFERROR(VLOOKUP(F804,T_JUB,2,FALSE),0))</f>
        <v/>
      </c>
      <c r="H804" s="11" t="n"/>
      <c r="I804" s="17">
        <f>IF(H804="","",IF(H804&gt;=12,40,ROUND(H804*3.33,2)))</f>
        <v/>
      </c>
      <c r="J804" s="11" t="n"/>
      <c r="K804" s="11" t="n"/>
      <c r="L804" s="11" t="n"/>
      <c r="M804" s="11" t="n"/>
      <c r="N804" s="10">
        <f>IF(COUNTA(J804:M804)=0,"",MIN(10,SUMPRODUCT((COUNTIF(J804:M804,L_KOM)&gt;0)*S_KOM)))</f>
        <v/>
      </c>
      <c r="O804" s="11" t="n"/>
      <c r="P804" s="10">
        <f>IF(O804="","",IFERROR(VLOOKUP(O804,T_KHID,2,FALSE),0))</f>
        <v/>
      </c>
      <c r="Q804" s="11" t="n"/>
      <c r="R804" s="11" t="n"/>
      <c r="S804" s="10">
        <f>IF(AND(Q804="",R804=""),"",IFERROR(INDEX(T_LIBAT,MATCH(Q804,L_PER,0),MATCH(R804,L_JENIS,0)),0))</f>
        <v/>
      </c>
      <c r="T804" s="11" t="n"/>
      <c r="U804" s="11" t="n"/>
      <c r="V804" s="10">
        <f>IF(AND(T804="",U804=""),"",IFERROR(INDEX(T_CAPAI,MATCH(T804,L_PER,0),MATCH(U804,L_KED,0)),0))</f>
        <v/>
      </c>
      <c r="W804" s="17">
        <f>IF(OR(B804="",E804="",COUNTA(F804,H804,J804:M804,O804,Q804:R804,T804:U804)=0),"",SUM(G804,I804,N804,P804,S804,V804))</f>
        <v/>
      </c>
      <c r="X804" s="18">
        <f>IF(W804="","",IF(Murid!F804="TL","TL",ROUND(W804/110*100,2)))</f>
        <v/>
      </c>
    </row>
    <row r="805">
      <c r="A805" s="15">
        <f>Murid!A805</f>
        <v/>
      </c>
      <c r="B805" s="15">
        <f>IF(Murid!B805="","",Murid!B805)</f>
        <v/>
      </c>
      <c r="C805" s="16">
        <f>IF(Murid!C805="","",Murid!C805)</f>
        <v/>
      </c>
      <c r="D805" s="15">
        <f>IF(Murid!E805="","",Murid!E805)</f>
        <v/>
      </c>
      <c r="E805" s="11" t="n"/>
      <c r="F805" s="11" t="n"/>
      <c r="G805" s="10">
        <f>IF(F805="","",IFERROR(VLOOKUP(F805,T_JUB,2,FALSE),0))</f>
        <v/>
      </c>
      <c r="H805" s="11" t="n"/>
      <c r="I805" s="17">
        <f>IF(H805="","",IF(H805&gt;=12,40,ROUND(H805*3.33,2)))</f>
        <v/>
      </c>
      <c r="J805" s="11" t="n"/>
      <c r="K805" s="11" t="n"/>
      <c r="L805" s="11" t="n"/>
      <c r="M805" s="11" t="n"/>
      <c r="N805" s="10">
        <f>IF(COUNTA(J805:M805)=0,"",MIN(10,SUMPRODUCT((COUNTIF(J805:M805,L_KOM)&gt;0)*S_KOM)))</f>
        <v/>
      </c>
      <c r="O805" s="11" t="n"/>
      <c r="P805" s="10">
        <f>IF(O805="","",IFERROR(VLOOKUP(O805,T_KHID,2,FALSE),0))</f>
        <v/>
      </c>
      <c r="Q805" s="11" t="n"/>
      <c r="R805" s="11" t="n"/>
      <c r="S805" s="10">
        <f>IF(AND(Q805="",R805=""),"",IFERROR(INDEX(T_LIBAT,MATCH(Q805,L_PER,0),MATCH(R805,L_JENIS,0)),0))</f>
        <v/>
      </c>
      <c r="T805" s="11" t="n"/>
      <c r="U805" s="11" t="n"/>
      <c r="V805" s="10">
        <f>IF(AND(T805="",U805=""),"",IFERROR(INDEX(T_CAPAI,MATCH(T805,L_PER,0),MATCH(U805,L_KED,0)),0))</f>
        <v/>
      </c>
      <c r="W805" s="17">
        <f>IF(OR(B805="",E805="",COUNTA(F805,H805,J805:M805,O805,Q805:R805,T805:U805)=0),"",SUM(G805,I805,N805,P805,S805,V805))</f>
        <v/>
      </c>
      <c r="X805" s="18">
        <f>IF(W805="","",IF(Murid!F805="TL","TL",ROUND(W805/110*100,2)))</f>
        <v/>
      </c>
    </row>
    <row r="806">
      <c r="A806" s="15">
        <f>Murid!A806</f>
        <v/>
      </c>
      <c r="B806" s="15">
        <f>IF(Murid!B806="","",Murid!B806)</f>
        <v/>
      </c>
      <c r="C806" s="16">
        <f>IF(Murid!C806="","",Murid!C806)</f>
        <v/>
      </c>
      <c r="D806" s="15">
        <f>IF(Murid!E806="","",Murid!E806)</f>
        <v/>
      </c>
      <c r="E806" s="11" t="n"/>
      <c r="F806" s="11" t="n"/>
      <c r="G806" s="10">
        <f>IF(F806="","",IFERROR(VLOOKUP(F806,T_JUB,2,FALSE),0))</f>
        <v/>
      </c>
      <c r="H806" s="11" t="n"/>
      <c r="I806" s="17">
        <f>IF(H806="","",IF(H806&gt;=12,40,ROUND(H806*3.33,2)))</f>
        <v/>
      </c>
      <c r="J806" s="11" t="n"/>
      <c r="K806" s="11" t="n"/>
      <c r="L806" s="11" t="n"/>
      <c r="M806" s="11" t="n"/>
      <c r="N806" s="10">
        <f>IF(COUNTA(J806:M806)=0,"",MIN(10,SUMPRODUCT((COUNTIF(J806:M806,L_KOM)&gt;0)*S_KOM)))</f>
        <v/>
      </c>
      <c r="O806" s="11" t="n"/>
      <c r="P806" s="10">
        <f>IF(O806="","",IFERROR(VLOOKUP(O806,T_KHID,2,FALSE),0))</f>
        <v/>
      </c>
      <c r="Q806" s="11" t="n"/>
      <c r="R806" s="11" t="n"/>
      <c r="S806" s="10">
        <f>IF(AND(Q806="",R806=""),"",IFERROR(INDEX(T_LIBAT,MATCH(Q806,L_PER,0),MATCH(R806,L_JENIS,0)),0))</f>
        <v/>
      </c>
      <c r="T806" s="11" t="n"/>
      <c r="U806" s="11" t="n"/>
      <c r="V806" s="10">
        <f>IF(AND(T806="",U806=""),"",IFERROR(INDEX(T_CAPAI,MATCH(T806,L_PER,0),MATCH(U806,L_KED,0)),0))</f>
        <v/>
      </c>
      <c r="W806" s="17">
        <f>IF(OR(B806="",E806="",COUNTA(F806,H806,J806:M806,O806,Q806:R806,T806:U806)=0),"",SUM(G806,I806,N806,P806,S806,V806))</f>
        <v/>
      </c>
      <c r="X806" s="18">
        <f>IF(W806="","",IF(Murid!F806="TL","TL",ROUND(W806/110*100,2)))</f>
        <v/>
      </c>
    </row>
    <row r="807">
      <c r="A807" s="15">
        <f>Murid!A807</f>
        <v/>
      </c>
      <c r="B807" s="15">
        <f>IF(Murid!B807="","",Murid!B807)</f>
        <v/>
      </c>
      <c r="C807" s="16">
        <f>IF(Murid!C807="","",Murid!C807)</f>
        <v/>
      </c>
      <c r="D807" s="15">
        <f>IF(Murid!E807="","",Murid!E807)</f>
        <v/>
      </c>
      <c r="E807" s="11" t="n"/>
      <c r="F807" s="11" t="n"/>
      <c r="G807" s="10">
        <f>IF(F807="","",IFERROR(VLOOKUP(F807,T_JUB,2,FALSE),0))</f>
        <v/>
      </c>
      <c r="H807" s="11" t="n"/>
      <c r="I807" s="17">
        <f>IF(H807="","",IF(H807&gt;=12,40,ROUND(H807*3.33,2)))</f>
        <v/>
      </c>
      <c r="J807" s="11" t="n"/>
      <c r="K807" s="11" t="n"/>
      <c r="L807" s="11" t="n"/>
      <c r="M807" s="11" t="n"/>
      <c r="N807" s="10">
        <f>IF(COUNTA(J807:M807)=0,"",MIN(10,SUMPRODUCT((COUNTIF(J807:M807,L_KOM)&gt;0)*S_KOM)))</f>
        <v/>
      </c>
      <c r="O807" s="11" t="n"/>
      <c r="P807" s="10">
        <f>IF(O807="","",IFERROR(VLOOKUP(O807,T_KHID,2,FALSE),0))</f>
        <v/>
      </c>
      <c r="Q807" s="11" t="n"/>
      <c r="R807" s="11" t="n"/>
      <c r="S807" s="10">
        <f>IF(AND(Q807="",R807=""),"",IFERROR(INDEX(T_LIBAT,MATCH(Q807,L_PER,0),MATCH(R807,L_JENIS,0)),0))</f>
        <v/>
      </c>
      <c r="T807" s="11" t="n"/>
      <c r="U807" s="11" t="n"/>
      <c r="V807" s="10">
        <f>IF(AND(T807="",U807=""),"",IFERROR(INDEX(T_CAPAI,MATCH(T807,L_PER,0),MATCH(U807,L_KED,0)),0))</f>
        <v/>
      </c>
      <c r="W807" s="17">
        <f>IF(OR(B807="",E807="",COUNTA(F807,H807,J807:M807,O807,Q807:R807,T807:U807)=0),"",SUM(G807,I807,N807,P807,S807,V807))</f>
        <v/>
      </c>
      <c r="X807" s="18">
        <f>IF(W807="","",IF(Murid!F807="TL","TL",ROUND(W807/110*100,2)))</f>
        <v/>
      </c>
    </row>
    <row r="808">
      <c r="A808" s="15">
        <f>Murid!A808</f>
        <v/>
      </c>
      <c r="B808" s="15">
        <f>IF(Murid!B808="","",Murid!B808)</f>
        <v/>
      </c>
      <c r="C808" s="16">
        <f>IF(Murid!C808="","",Murid!C808)</f>
        <v/>
      </c>
      <c r="D808" s="15">
        <f>IF(Murid!E808="","",Murid!E808)</f>
        <v/>
      </c>
      <c r="E808" s="11" t="n"/>
      <c r="F808" s="11" t="n"/>
      <c r="G808" s="10">
        <f>IF(F808="","",IFERROR(VLOOKUP(F808,T_JUB,2,FALSE),0))</f>
        <v/>
      </c>
      <c r="H808" s="11" t="n"/>
      <c r="I808" s="17">
        <f>IF(H808="","",IF(H808&gt;=12,40,ROUND(H808*3.33,2)))</f>
        <v/>
      </c>
      <c r="J808" s="11" t="n"/>
      <c r="K808" s="11" t="n"/>
      <c r="L808" s="11" t="n"/>
      <c r="M808" s="11" t="n"/>
      <c r="N808" s="10">
        <f>IF(COUNTA(J808:M808)=0,"",MIN(10,SUMPRODUCT((COUNTIF(J808:M808,L_KOM)&gt;0)*S_KOM)))</f>
        <v/>
      </c>
      <c r="O808" s="11" t="n"/>
      <c r="P808" s="10">
        <f>IF(O808="","",IFERROR(VLOOKUP(O808,T_KHID,2,FALSE),0))</f>
        <v/>
      </c>
      <c r="Q808" s="11" t="n"/>
      <c r="R808" s="11" t="n"/>
      <c r="S808" s="10">
        <f>IF(AND(Q808="",R808=""),"",IFERROR(INDEX(T_LIBAT,MATCH(Q808,L_PER,0),MATCH(R808,L_JENIS,0)),0))</f>
        <v/>
      </c>
      <c r="T808" s="11" t="n"/>
      <c r="U808" s="11" t="n"/>
      <c r="V808" s="10">
        <f>IF(AND(T808="",U808=""),"",IFERROR(INDEX(T_CAPAI,MATCH(T808,L_PER,0),MATCH(U808,L_KED,0)),0))</f>
        <v/>
      </c>
      <c r="W808" s="17">
        <f>IF(OR(B808="",E808="",COUNTA(F808,H808,J808:M808,O808,Q808:R808,T808:U808)=0),"",SUM(G808,I808,N808,P808,S808,V808))</f>
        <v/>
      </c>
      <c r="X808" s="18">
        <f>IF(W808="","",IF(Murid!F808="TL","TL",ROUND(W808/110*100,2)))</f>
        <v/>
      </c>
    </row>
    <row r="809">
      <c r="A809" s="15">
        <f>Murid!A809</f>
        <v/>
      </c>
      <c r="B809" s="15">
        <f>IF(Murid!B809="","",Murid!B809)</f>
        <v/>
      </c>
      <c r="C809" s="16">
        <f>IF(Murid!C809="","",Murid!C809)</f>
        <v/>
      </c>
      <c r="D809" s="15">
        <f>IF(Murid!E809="","",Murid!E809)</f>
        <v/>
      </c>
      <c r="E809" s="11" t="n"/>
      <c r="F809" s="11" t="n"/>
      <c r="G809" s="10">
        <f>IF(F809="","",IFERROR(VLOOKUP(F809,T_JUB,2,FALSE),0))</f>
        <v/>
      </c>
      <c r="H809" s="11" t="n"/>
      <c r="I809" s="17">
        <f>IF(H809="","",IF(H809&gt;=12,40,ROUND(H809*3.33,2)))</f>
        <v/>
      </c>
      <c r="J809" s="11" t="n"/>
      <c r="K809" s="11" t="n"/>
      <c r="L809" s="11" t="n"/>
      <c r="M809" s="11" t="n"/>
      <c r="N809" s="10">
        <f>IF(COUNTA(J809:M809)=0,"",MIN(10,SUMPRODUCT((COUNTIF(J809:M809,L_KOM)&gt;0)*S_KOM)))</f>
        <v/>
      </c>
      <c r="O809" s="11" t="n"/>
      <c r="P809" s="10">
        <f>IF(O809="","",IFERROR(VLOOKUP(O809,T_KHID,2,FALSE),0))</f>
        <v/>
      </c>
      <c r="Q809" s="11" t="n"/>
      <c r="R809" s="11" t="n"/>
      <c r="S809" s="10">
        <f>IF(AND(Q809="",R809=""),"",IFERROR(INDEX(T_LIBAT,MATCH(Q809,L_PER,0),MATCH(R809,L_JENIS,0)),0))</f>
        <v/>
      </c>
      <c r="T809" s="11" t="n"/>
      <c r="U809" s="11" t="n"/>
      <c r="V809" s="10">
        <f>IF(AND(T809="",U809=""),"",IFERROR(INDEX(T_CAPAI,MATCH(T809,L_PER,0),MATCH(U809,L_KED,0)),0))</f>
        <v/>
      </c>
      <c r="W809" s="17">
        <f>IF(OR(B809="",E809="",COUNTA(F809,H809,J809:M809,O809,Q809:R809,T809:U809)=0),"",SUM(G809,I809,N809,P809,S809,V809))</f>
        <v/>
      </c>
      <c r="X809" s="18">
        <f>IF(W809="","",IF(Murid!F809="TL","TL",ROUND(W809/110*100,2)))</f>
        <v/>
      </c>
    </row>
    <row r="810">
      <c r="A810" s="15">
        <f>Murid!A810</f>
        <v/>
      </c>
      <c r="B810" s="15">
        <f>IF(Murid!B810="","",Murid!B810)</f>
        <v/>
      </c>
      <c r="C810" s="16">
        <f>IF(Murid!C810="","",Murid!C810)</f>
        <v/>
      </c>
      <c r="D810" s="15">
        <f>IF(Murid!E810="","",Murid!E810)</f>
        <v/>
      </c>
      <c r="E810" s="11" t="n"/>
      <c r="F810" s="11" t="n"/>
      <c r="G810" s="10">
        <f>IF(F810="","",IFERROR(VLOOKUP(F810,T_JUB,2,FALSE),0))</f>
        <v/>
      </c>
      <c r="H810" s="11" t="n"/>
      <c r="I810" s="17">
        <f>IF(H810="","",IF(H810&gt;=12,40,ROUND(H810*3.33,2)))</f>
        <v/>
      </c>
      <c r="J810" s="11" t="n"/>
      <c r="K810" s="11" t="n"/>
      <c r="L810" s="11" t="n"/>
      <c r="M810" s="11" t="n"/>
      <c r="N810" s="10">
        <f>IF(COUNTA(J810:M810)=0,"",MIN(10,SUMPRODUCT((COUNTIF(J810:M810,L_KOM)&gt;0)*S_KOM)))</f>
        <v/>
      </c>
      <c r="O810" s="11" t="n"/>
      <c r="P810" s="10">
        <f>IF(O810="","",IFERROR(VLOOKUP(O810,T_KHID,2,FALSE),0))</f>
        <v/>
      </c>
      <c r="Q810" s="11" t="n"/>
      <c r="R810" s="11" t="n"/>
      <c r="S810" s="10">
        <f>IF(AND(Q810="",R810=""),"",IFERROR(INDEX(T_LIBAT,MATCH(Q810,L_PER,0),MATCH(R810,L_JENIS,0)),0))</f>
        <v/>
      </c>
      <c r="T810" s="11" t="n"/>
      <c r="U810" s="11" t="n"/>
      <c r="V810" s="10">
        <f>IF(AND(T810="",U810=""),"",IFERROR(INDEX(T_CAPAI,MATCH(T810,L_PER,0),MATCH(U810,L_KED,0)),0))</f>
        <v/>
      </c>
      <c r="W810" s="17">
        <f>IF(OR(B810="",E810="",COUNTA(F810,H810,J810:M810,O810,Q810:R810,T810:U810)=0),"",SUM(G810,I810,N810,P810,S810,V810))</f>
        <v/>
      </c>
      <c r="X810" s="18">
        <f>IF(W810="","",IF(Murid!F810="TL","TL",ROUND(W810/110*100,2)))</f>
        <v/>
      </c>
    </row>
    <row r="811">
      <c r="A811" s="15">
        <f>Murid!A811</f>
        <v/>
      </c>
      <c r="B811" s="15">
        <f>IF(Murid!B811="","",Murid!B811)</f>
        <v/>
      </c>
      <c r="C811" s="16">
        <f>IF(Murid!C811="","",Murid!C811)</f>
        <v/>
      </c>
      <c r="D811" s="15">
        <f>IF(Murid!E811="","",Murid!E811)</f>
        <v/>
      </c>
      <c r="E811" s="11" t="n"/>
      <c r="F811" s="11" t="n"/>
      <c r="G811" s="10">
        <f>IF(F811="","",IFERROR(VLOOKUP(F811,T_JUB,2,FALSE),0))</f>
        <v/>
      </c>
      <c r="H811" s="11" t="n"/>
      <c r="I811" s="17">
        <f>IF(H811="","",IF(H811&gt;=12,40,ROUND(H811*3.33,2)))</f>
        <v/>
      </c>
      <c r="J811" s="11" t="n"/>
      <c r="K811" s="11" t="n"/>
      <c r="L811" s="11" t="n"/>
      <c r="M811" s="11" t="n"/>
      <c r="N811" s="10">
        <f>IF(COUNTA(J811:M811)=0,"",MIN(10,SUMPRODUCT((COUNTIF(J811:M811,L_KOM)&gt;0)*S_KOM)))</f>
        <v/>
      </c>
      <c r="O811" s="11" t="n"/>
      <c r="P811" s="10">
        <f>IF(O811="","",IFERROR(VLOOKUP(O811,T_KHID,2,FALSE),0))</f>
        <v/>
      </c>
      <c r="Q811" s="11" t="n"/>
      <c r="R811" s="11" t="n"/>
      <c r="S811" s="10">
        <f>IF(AND(Q811="",R811=""),"",IFERROR(INDEX(T_LIBAT,MATCH(Q811,L_PER,0),MATCH(R811,L_JENIS,0)),0))</f>
        <v/>
      </c>
      <c r="T811" s="11" t="n"/>
      <c r="U811" s="11" t="n"/>
      <c r="V811" s="10">
        <f>IF(AND(T811="",U811=""),"",IFERROR(INDEX(T_CAPAI,MATCH(T811,L_PER,0),MATCH(U811,L_KED,0)),0))</f>
        <v/>
      </c>
      <c r="W811" s="17">
        <f>IF(OR(B811="",E811="",COUNTA(F811,H811,J811:M811,O811,Q811:R811,T811:U811)=0),"",SUM(G811,I811,N811,P811,S811,V811))</f>
        <v/>
      </c>
      <c r="X811" s="18">
        <f>IF(W811="","",IF(Murid!F811="TL","TL",ROUND(W811/110*100,2)))</f>
        <v/>
      </c>
    </row>
    <row r="812">
      <c r="A812" s="15">
        <f>Murid!A812</f>
        <v/>
      </c>
      <c r="B812" s="15">
        <f>IF(Murid!B812="","",Murid!B812)</f>
        <v/>
      </c>
      <c r="C812" s="16">
        <f>IF(Murid!C812="","",Murid!C812)</f>
        <v/>
      </c>
      <c r="D812" s="15">
        <f>IF(Murid!E812="","",Murid!E812)</f>
        <v/>
      </c>
      <c r="E812" s="11" t="n"/>
      <c r="F812" s="11" t="n"/>
      <c r="G812" s="10">
        <f>IF(F812="","",IFERROR(VLOOKUP(F812,T_JUB,2,FALSE),0))</f>
        <v/>
      </c>
      <c r="H812" s="11" t="n"/>
      <c r="I812" s="17">
        <f>IF(H812="","",IF(H812&gt;=12,40,ROUND(H812*3.33,2)))</f>
        <v/>
      </c>
      <c r="J812" s="11" t="n"/>
      <c r="K812" s="11" t="n"/>
      <c r="L812" s="11" t="n"/>
      <c r="M812" s="11" t="n"/>
      <c r="N812" s="10">
        <f>IF(COUNTA(J812:M812)=0,"",MIN(10,SUMPRODUCT((COUNTIF(J812:M812,L_KOM)&gt;0)*S_KOM)))</f>
        <v/>
      </c>
      <c r="O812" s="11" t="n"/>
      <c r="P812" s="10">
        <f>IF(O812="","",IFERROR(VLOOKUP(O812,T_KHID,2,FALSE),0))</f>
        <v/>
      </c>
      <c r="Q812" s="11" t="n"/>
      <c r="R812" s="11" t="n"/>
      <c r="S812" s="10">
        <f>IF(AND(Q812="",R812=""),"",IFERROR(INDEX(T_LIBAT,MATCH(Q812,L_PER,0),MATCH(R812,L_JENIS,0)),0))</f>
        <v/>
      </c>
      <c r="T812" s="11" t="n"/>
      <c r="U812" s="11" t="n"/>
      <c r="V812" s="10">
        <f>IF(AND(T812="",U812=""),"",IFERROR(INDEX(T_CAPAI,MATCH(T812,L_PER,0),MATCH(U812,L_KED,0)),0))</f>
        <v/>
      </c>
      <c r="W812" s="17">
        <f>IF(OR(B812="",E812="",COUNTA(F812,H812,J812:M812,O812,Q812:R812,T812:U812)=0),"",SUM(G812,I812,N812,P812,S812,V812))</f>
        <v/>
      </c>
      <c r="X812" s="18">
        <f>IF(W812="","",IF(Murid!F812="TL","TL",ROUND(W812/110*100,2)))</f>
        <v/>
      </c>
    </row>
    <row r="813">
      <c r="A813" s="15">
        <f>Murid!A813</f>
        <v/>
      </c>
      <c r="B813" s="15">
        <f>IF(Murid!B813="","",Murid!B813)</f>
        <v/>
      </c>
      <c r="C813" s="16">
        <f>IF(Murid!C813="","",Murid!C813)</f>
        <v/>
      </c>
      <c r="D813" s="15">
        <f>IF(Murid!E813="","",Murid!E813)</f>
        <v/>
      </c>
      <c r="E813" s="11" t="n"/>
      <c r="F813" s="11" t="n"/>
      <c r="G813" s="10">
        <f>IF(F813="","",IFERROR(VLOOKUP(F813,T_JUB,2,FALSE),0))</f>
        <v/>
      </c>
      <c r="H813" s="11" t="n"/>
      <c r="I813" s="17">
        <f>IF(H813="","",IF(H813&gt;=12,40,ROUND(H813*3.33,2)))</f>
        <v/>
      </c>
      <c r="J813" s="11" t="n"/>
      <c r="K813" s="11" t="n"/>
      <c r="L813" s="11" t="n"/>
      <c r="M813" s="11" t="n"/>
      <c r="N813" s="10">
        <f>IF(COUNTA(J813:M813)=0,"",MIN(10,SUMPRODUCT((COUNTIF(J813:M813,L_KOM)&gt;0)*S_KOM)))</f>
        <v/>
      </c>
      <c r="O813" s="11" t="n"/>
      <c r="P813" s="10">
        <f>IF(O813="","",IFERROR(VLOOKUP(O813,T_KHID,2,FALSE),0))</f>
        <v/>
      </c>
      <c r="Q813" s="11" t="n"/>
      <c r="R813" s="11" t="n"/>
      <c r="S813" s="10">
        <f>IF(AND(Q813="",R813=""),"",IFERROR(INDEX(T_LIBAT,MATCH(Q813,L_PER,0),MATCH(R813,L_JENIS,0)),0))</f>
        <v/>
      </c>
      <c r="T813" s="11" t="n"/>
      <c r="U813" s="11" t="n"/>
      <c r="V813" s="10">
        <f>IF(AND(T813="",U813=""),"",IFERROR(INDEX(T_CAPAI,MATCH(T813,L_PER,0),MATCH(U813,L_KED,0)),0))</f>
        <v/>
      </c>
      <c r="W813" s="17">
        <f>IF(OR(B813="",E813="",COUNTA(F813,H813,J813:M813,O813,Q813:R813,T813:U813)=0),"",SUM(G813,I813,N813,P813,S813,V813))</f>
        <v/>
      </c>
      <c r="X813" s="18">
        <f>IF(W813="","",IF(Murid!F813="TL","TL",ROUND(W813/110*100,2)))</f>
        <v/>
      </c>
    </row>
    <row r="814">
      <c r="A814" s="15">
        <f>Murid!A814</f>
        <v/>
      </c>
      <c r="B814" s="15">
        <f>IF(Murid!B814="","",Murid!B814)</f>
        <v/>
      </c>
      <c r="C814" s="16">
        <f>IF(Murid!C814="","",Murid!C814)</f>
        <v/>
      </c>
      <c r="D814" s="15">
        <f>IF(Murid!E814="","",Murid!E814)</f>
        <v/>
      </c>
      <c r="E814" s="11" t="n"/>
      <c r="F814" s="11" t="n"/>
      <c r="G814" s="10">
        <f>IF(F814="","",IFERROR(VLOOKUP(F814,T_JUB,2,FALSE),0))</f>
        <v/>
      </c>
      <c r="H814" s="11" t="n"/>
      <c r="I814" s="17">
        <f>IF(H814="","",IF(H814&gt;=12,40,ROUND(H814*3.33,2)))</f>
        <v/>
      </c>
      <c r="J814" s="11" t="n"/>
      <c r="K814" s="11" t="n"/>
      <c r="L814" s="11" t="n"/>
      <c r="M814" s="11" t="n"/>
      <c r="N814" s="10">
        <f>IF(COUNTA(J814:M814)=0,"",MIN(10,SUMPRODUCT((COUNTIF(J814:M814,L_KOM)&gt;0)*S_KOM)))</f>
        <v/>
      </c>
      <c r="O814" s="11" t="n"/>
      <c r="P814" s="10">
        <f>IF(O814="","",IFERROR(VLOOKUP(O814,T_KHID,2,FALSE),0))</f>
        <v/>
      </c>
      <c r="Q814" s="11" t="n"/>
      <c r="R814" s="11" t="n"/>
      <c r="S814" s="10">
        <f>IF(AND(Q814="",R814=""),"",IFERROR(INDEX(T_LIBAT,MATCH(Q814,L_PER,0),MATCH(R814,L_JENIS,0)),0))</f>
        <v/>
      </c>
      <c r="T814" s="11" t="n"/>
      <c r="U814" s="11" t="n"/>
      <c r="V814" s="10">
        <f>IF(AND(T814="",U814=""),"",IFERROR(INDEX(T_CAPAI,MATCH(T814,L_PER,0),MATCH(U814,L_KED,0)),0))</f>
        <v/>
      </c>
      <c r="W814" s="17">
        <f>IF(OR(B814="",E814="",COUNTA(F814,H814,J814:M814,O814,Q814:R814,T814:U814)=0),"",SUM(G814,I814,N814,P814,S814,V814))</f>
        <v/>
      </c>
      <c r="X814" s="18">
        <f>IF(W814="","",IF(Murid!F814="TL","TL",ROUND(W814/110*100,2)))</f>
        <v/>
      </c>
    </row>
    <row r="815">
      <c r="A815" s="15">
        <f>Murid!A815</f>
        <v/>
      </c>
      <c r="B815" s="15">
        <f>IF(Murid!B815="","",Murid!B815)</f>
        <v/>
      </c>
      <c r="C815" s="16">
        <f>IF(Murid!C815="","",Murid!C815)</f>
        <v/>
      </c>
      <c r="D815" s="15">
        <f>IF(Murid!E815="","",Murid!E815)</f>
        <v/>
      </c>
      <c r="E815" s="11" t="n"/>
      <c r="F815" s="11" t="n"/>
      <c r="G815" s="10">
        <f>IF(F815="","",IFERROR(VLOOKUP(F815,T_JUB,2,FALSE),0))</f>
        <v/>
      </c>
      <c r="H815" s="11" t="n"/>
      <c r="I815" s="17">
        <f>IF(H815="","",IF(H815&gt;=12,40,ROUND(H815*3.33,2)))</f>
        <v/>
      </c>
      <c r="J815" s="11" t="n"/>
      <c r="K815" s="11" t="n"/>
      <c r="L815" s="11" t="n"/>
      <c r="M815" s="11" t="n"/>
      <c r="N815" s="10">
        <f>IF(COUNTA(J815:M815)=0,"",MIN(10,SUMPRODUCT((COUNTIF(J815:M815,L_KOM)&gt;0)*S_KOM)))</f>
        <v/>
      </c>
      <c r="O815" s="11" t="n"/>
      <c r="P815" s="10">
        <f>IF(O815="","",IFERROR(VLOOKUP(O815,T_KHID,2,FALSE),0))</f>
        <v/>
      </c>
      <c r="Q815" s="11" t="n"/>
      <c r="R815" s="11" t="n"/>
      <c r="S815" s="10">
        <f>IF(AND(Q815="",R815=""),"",IFERROR(INDEX(T_LIBAT,MATCH(Q815,L_PER,0),MATCH(R815,L_JENIS,0)),0))</f>
        <v/>
      </c>
      <c r="T815" s="11" t="n"/>
      <c r="U815" s="11" t="n"/>
      <c r="V815" s="10">
        <f>IF(AND(T815="",U815=""),"",IFERROR(INDEX(T_CAPAI,MATCH(T815,L_PER,0),MATCH(U815,L_KED,0)),0))</f>
        <v/>
      </c>
      <c r="W815" s="17">
        <f>IF(OR(B815="",E815="",COUNTA(F815,H815,J815:M815,O815,Q815:R815,T815:U815)=0),"",SUM(G815,I815,N815,P815,S815,V815))</f>
        <v/>
      </c>
      <c r="X815" s="18">
        <f>IF(W815="","",IF(Murid!F815="TL","TL",ROUND(W815/110*100,2)))</f>
        <v/>
      </c>
    </row>
    <row r="816">
      <c r="A816" s="15">
        <f>Murid!A816</f>
        <v/>
      </c>
      <c r="B816" s="15">
        <f>IF(Murid!B816="","",Murid!B816)</f>
        <v/>
      </c>
      <c r="C816" s="16">
        <f>IF(Murid!C816="","",Murid!C816)</f>
        <v/>
      </c>
      <c r="D816" s="15">
        <f>IF(Murid!E816="","",Murid!E816)</f>
        <v/>
      </c>
      <c r="E816" s="11" t="n"/>
      <c r="F816" s="11" t="n"/>
      <c r="G816" s="10">
        <f>IF(F816="","",IFERROR(VLOOKUP(F816,T_JUB,2,FALSE),0))</f>
        <v/>
      </c>
      <c r="H816" s="11" t="n"/>
      <c r="I816" s="17">
        <f>IF(H816="","",IF(H816&gt;=12,40,ROUND(H816*3.33,2)))</f>
        <v/>
      </c>
      <c r="J816" s="11" t="n"/>
      <c r="K816" s="11" t="n"/>
      <c r="L816" s="11" t="n"/>
      <c r="M816" s="11" t="n"/>
      <c r="N816" s="10">
        <f>IF(COUNTA(J816:M816)=0,"",MIN(10,SUMPRODUCT((COUNTIF(J816:M816,L_KOM)&gt;0)*S_KOM)))</f>
        <v/>
      </c>
      <c r="O816" s="11" t="n"/>
      <c r="P816" s="10">
        <f>IF(O816="","",IFERROR(VLOOKUP(O816,T_KHID,2,FALSE),0))</f>
        <v/>
      </c>
      <c r="Q816" s="11" t="n"/>
      <c r="R816" s="11" t="n"/>
      <c r="S816" s="10">
        <f>IF(AND(Q816="",R816=""),"",IFERROR(INDEX(T_LIBAT,MATCH(Q816,L_PER,0),MATCH(R816,L_JENIS,0)),0))</f>
        <v/>
      </c>
      <c r="T816" s="11" t="n"/>
      <c r="U816" s="11" t="n"/>
      <c r="V816" s="10">
        <f>IF(AND(T816="",U816=""),"",IFERROR(INDEX(T_CAPAI,MATCH(T816,L_PER,0),MATCH(U816,L_KED,0)),0))</f>
        <v/>
      </c>
      <c r="W816" s="17">
        <f>IF(OR(B816="",E816="",COUNTA(F816,H816,J816:M816,O816,Q816:R816,T816:U816)=0),"",SUM(G816,I816,N816,P816,S816,V816))</f>
        <v/>
      </c>
      <c r="X816" s="18">
        <f>IF(W816="","",IF(Murid!F816="TL","TL",ROUND(W816/110*100,2)))</f>
        <v/>
      </c>
    </row>
    <row r="817">
      <c r="A817" s="15">
        <f>Murid!A817</f>
        <v/>
      </c>
      <c r="B817" s="15">
        <f>IF(Murid!B817="","",Murid!B817)</f>
        <v/>
      </c>
      <c r="C817" s="16">
        <f>IF(Murid!C817="","",Murid!C817)</f>
        <v/>
      </c>
      <c r="D817" s="15">
        <f>IF(Murid!E817="","",Murid!E817)</f>
        <v/>
      </c>
      <c r="E817" s="11" t="n"/>
      <c r="F817" s="11" t="n"/>
      <c r="G817" s="10">
        <f>IF(F817="","",IFERROR(VLOOKUP(F817,T_JUB,2,FALSE),0))</f>
        <v/>
      </c>
      <c r="H817" s="11" t="n"/>
      <c r="I817" s="17">
        <f>IF(H817="","",IF(H817&gt;=12,40,ROUND(H817*3.33,2)))</f>
        <v/>
      </c>
      <c r="J817" s="11" t="n"/>
      <c r="K817" s="11" t="n"/>
      <c r="L817" s="11" t="n"/>
      <c r="M817" s="11" t="n"/>
      <c r="N817" s="10">
        <f>IF(COUNTA(J817:M817)=0,"",MIN(10,SUMPRODUCT((COUNTIF(J817:M817,L_KOM)&gt;0)*S_KOM)))</f>
        <v/>
      </c>
      <c r="O817" s="11" t="n"/>
      <c r="P817" s="10">
        <f>IF(O817="","",IFERROR(VLOOKUP(O817,T_KHID,2,FALSE),0))</f>
        <v/>
      </c>
      <c r="Q817" s="11" t="n"/>
      <c r="R817" s="11" t="n"/>
      <c r="S817" s="10">
        <f>IF(AND(Q817="",R817=""),"",IFERROR(INDEX(T_LIBAT,MATCH(Q817,L_PER,0),MATCH(R817,L_JENIS,0)),0))</f>
        <v/>
      </c>
      <c r="T817" s="11" t="n"/>
      <c r="U817" s="11" t="n"/>
      <c r="V817" s="10">
        <f>IF(AND(T817="",U817=""),"",IFERROR(INDEX(T_CAPAI,MATCH(T817,L_PER,0),MATCH(U817,L_KED,0)),0))</f>
        <v/>
      </c>
      <c r="W817" s="17">
        <f>IF(OR(B817="",E817="",COUNTA(F817,H817,J817:M817,O817,Q817:R817,T817:U817)=0),"",SUM(G817,I817,N817,P817,S817,V817))</f>
        <v/>
      </c>
      <c r="X817" s="18">
        <f>IF(W817="","",IF(Murid!F817="TL","TL",ROUND(W817/110*100,2)))</f>
        <v/>
      </c>
    </row>
    <row r="818">
      <c r="A818" s="15">
        <f>Murid!A818</f>
        <v/>
      </c>
      <c r="B818" s="15">
        <f>IF(Murid!B818="","",Murid!B818)</f>
        <v/>
      </c>
      <c r="C818" s="16">
        <f>IF(Murid!C818="","",Murid!C818)</f>
        <v/>
      </c>
      <c r="D818" s="15">
        <f>IF(Murid!E818="","",Murid!E818)</f>
        <v/>
      </c>
      <c r="E818" s="11" t="n"/>
      <c r="F818" s="11" t="n"/>
      <c r="G818" s="10">
        <f>IF(F818="","",IFERROR(VLOOKUP(F818,T_JUB,2,FALSE),0))</f>
        <v/>
      </c>
      <c r="H818" s="11" t="n"/>
      <c r="I818" s="17">
        <f>IF(H818="","",IF(H818&gt;=12,40,ROUND(H818*3.33,2)))</f>
        <v/>
      </c>
      <c r="J818" s="11" t="n"/>
      <c r="K818" s="11" t="n"/>
      <c r="L818" s="11" t="n"/>
      <c r="M818" s="11" t="n"/>
      <c r="N818" s="10">
        <f>IF(COUNTA(J818:M818)=0,"",MIN(10,SUMPRODUCT((COUNTIF(J818:M818,L_KOM)&gt;0)*S_KOM)))</f>
        <v/>
      </c>
      <c r="O818" s="11" t="n"/>
      <c r="P818" s="10">
        <f>IF(O818="","",IFERROR(VLOOKUP(O818,T_KHID,2,FALSE),0))</f>
        <v/>
      </c>
      <c r="Q818" s="11" t="n"/>
      <c r="R818" s="11" t="n"/>
      <c r="S818" s="10">
        <f>IF(AND(Q818="",R818=""),"",IFERROR(INDEX(T_LIBAT,MATCH(Q818,L_PER,0),MATCH(R818,L_JENIS,0)),0))</f>
        <v/>
      </c>
      <c r="T818" s="11" t="n"/>
      <c r="U818" s="11" t="n"/>
      <c r="V818" s="10">
        <f>IF(AND(T818="",U818=""),"",IFERROR(INDEX(T_CAPAI,MATCH(T818,L_PER,0),MATCH(U818,L_KED,0)),0))</f>
        <v/>
      </c>
      <c r="W818" s="17">
        <f>IF(OR(B818="",E818="",COUNTA(F818,H818,J818:M818,O818,Q818:R818,T818:U818)=0),"",SUM(G818,I818,N818,P818,S818,V818))</f>
        <v/>
      </c>
      <c r="X818" s="18">
        <f>IF(W818="","",IF(Murid!F818="TL","TL",ROUND(W818/110*100,2)))</f>
        <v/>
      </c>
    </row>
    <row r="819">
      <c r="A819" s="15">
        <f>Murid!A819</f>
        <v/>
      </c>
      <c r="B819" s="15">
        <f>IF(Murid!B819="","",Murid!B819)</f>
        <v/>
      </c>
      <c r="C819" s="16">
        <f>IF(Murid!C819="","",Murid!C819)</f>
        <v/>
      </c>
      <c r="D819" s="15">
        <f>IF(Murid!E819="","",Murid!E819)</f>
        <v/>
      </c>
      <c r="E819" s="11" t="n"/>
      <c r="F819" s="11" t="n"/>
      <c r="G819" s="10">
        <f>IF(F819="","",IFERROR(VLOOKUP(F819,T_JUB,2,FALSE),0))</f>
        <v/>
      </c>
      <c r="H819" s="11" t="n"/>
      <c r="I819" s="17">
        <f>IF(H819="","",IF(H819&gt;=12,40,ROUND(H819*3.33,2)))</f>
        <v/>
      </c>
      <c r="J819" s="11" t="n"/>
      <c r="K819" s="11" t="n"/>
      <c r="L819" s="11" t="n"/>
      <c r="M819" s="11" t="n"/>
      <c r="N819" s="10">
        <f>IF(COUNTA(J819:M819)=0,"",MIN(10,SUMPRODUCT((COUNTIF(J819:M819,L_KOM)&gt;0)*S_KOM)))</f>
        <v/>
      </c>
      <c r="O819" s="11" t="n"/>
      <c r="P819" s="10">
        <f>IF(O819="","",IFERROR(VLOOKUP(O819,T_KHID,2,FALSE),0))</f>
        <v/>
      </c>
      <c r="Q819" s="11" t="n"/>
      <c r="R819" s="11" t="n"/>
      <c r="S819" s="10">
        <f>IF(AND(Q819="",R819=""),"",IFERROR(INDEX(T_LIBAT,MATCH(Q819,L_PER,0),MATCH(R819,L_JENIS,0)),0))</f>
        <v/>
      </c>
      <c r="T819" s="11" t="n"/>
      <c r="U819" s="11" t="n"/>
      <c r="V819" s="10">
        <f>IF(AND(T819="",U819=""),"",IFERROR(INDEX(T_CAPAI,MATCH(T819,L_PER,0),MATCH(U819,L_KED,0)),0))</f>
        <v/>
      </c>
      <c r="W819" s="17">
        <f>IF(OR(B819="",E819="",COUNTA(F819,H819,J819:M819,O819,Q819:R819,T819:U819)=0),"",SUM(G819,I819,N819,P819,S819,V819))</f>
        <v/>
      </c>
      <c r="X819" s="18">
        <f>IF(W819="","",IF(Murid!F819="TL","TL",ROUND(W819/110*100,2)))</f>
        <v/>
      </c>
    </row>
    <row r="820">
      <c r="A820" s="15">
        <f>Murid!A820</f>
        <v/>
      </c>
      <c r="B820" s="15">
        <f>IF(Murid!B820="","",Murid!B820)</f>
        <v/>
      </c>
      <c r="C820" s="16">
        <f>IF(Murid!C820="","",Murid!C820)</f>
        <v/>
      </c>
      <c r="D820" s="15">
        <f>IF(Murid!E820="","",Murid!E820)</f>
        <v/>
      </c>
      <c r="E820" s="11" t="n"/>
      <c r="F820" s="11" t="n"/>
      <c r="G820" s="10">
        <f>IF(F820="","",IFERROR(VLOOKUP(F820,T_JUB,2,FALSE),0))</f>
        <v/>
      </c>
      <c r="H820" s="11" t="n"/>
      <c r="I820" s="17">
        <f>IF(H820="","",IF(H820&gt;=12,40,ROUND(H820*3.33,2)))</f>
        <v/>
      </c>
      <c r="J820" s="11" t="n"/>
      <c r="K820" s="11" t="n"/>
      <c r="L820" s="11" t="n"/>
      <c r="M820" s="11" t="n"/>
      <c r="N820" s="10">
        <f>IF(COUNTA(J820:M820)=0,"",MIN(10,SUMPRODUCT((COUNTIF(J820:M820,L_KOM)&gt;0)*S_KOM)))</f>
        <v/>
      </c>
      <c r="O820" s="11" t="n"/>
      <c r="P820" s="10">
        <f>IF(O820="","",IFERROR(VLOOKUP(O820,T_KHID,2,FALSE),0))</f>
        <v/>
      </c>
      <c r="Q820" s="11" t="n"/>
      <c r="R820" s="11" t="n"/>
      <c r="S820" s="10">
        <f>IF(AND(Q820="",R820=""),"",IFERROR(INDEX(T_LIBAT,MATCH(Q820,L_PER,0),MATCH(R820,L_JENIS,0)),0))</f>
        <v/>
      </c>
      <c r="T820" s="11" t="n"/>
      <c r="U820" s="11" t="n"/>
      <c r="V820" s="10">
        <f>IF(AND(T820="",U820=""),"",IFERROR(INDEX(T_CAPAI,MATCH(T820,L_PER,0),MATCH(U820,L_KED,0)),0))</f>
        <v/>
      </c>
      <c r="W820" s="17">
        <f>IF(OR(B820="",E820="",COUNTA(F820,H820,J820:M820,O820,Q820:R820,T820:U820)=0),"",SUM(G820,I820,N820,P820,S820,V820))</f>
        <v/>
      </c>
      <c r="X820" s="18">
        <f>IF(W820="","",IF(Murid!F820="TL","TL",ROUND(W820/110*100,2)))</f>
        <v/>
      </c>
    </row>
    <row r="821">
      <c r="A821" s="15">
        <f>Murid!A821</f>
        <v/>
      </c>
      <c r="B821" s="15">
        <f>IF(Murid!B821="","",Murid!B821)</f>
        <v/>
      </c>
      <c r="C821" s="16">
        <f>IF(Murid!C821="","",Murid!C821)</f>
        <v/>
      </c>
      <c r="D821" s="15">
        <f>IF(Murid!E821="","",Murid!E821)</f>
        <v/>
      </c>
      <c r="E821" s="11" t="n"/>
      <c r="F821" s="11" t="n"/>
      <c r="G821" s="10">
        <f>IF(F821="","",IFERROR(VLOOKUP(F821,T_JUB,2,FALSE),0))</f>
        <v/>
      </c>
      <c r="H821" s="11" t="n"/>
      <c r="I821" s="17">
        <f>IF(H821="","",IF(H821&gt;=12,40,ROUND(H821*3.33,2)))</f>
        <v/>
      </c>
      <c r="J821" s="11" t="n"/>
      <c r="K821" s="11" t="n"/>
      <c r="L821" s="11" t="n"/>
      <c r="M821" s="11" t="n"/>
      <c r="N821" s="10">
        <f>IF(COUNTA(J821:M821)=0,"",MIN(10,SUMPRODUCT((COUNTIF(J821:M821,L_KOM)&gt;0)*S_KOM)))</f>
        <v/>
      </c>
      <c r="O821" s="11" t="n"/>
      <c r="P821" s="10">
        <f>IF(O821="","",IFERROR(VLOOKUP(O821,T_KHID,2,FALSE),0))</f>
        <v/>
      </c>
      <c r="Q821" s="11" t="n"/>
      <c r="R821" s="11" t="n"/>
      <c r="S821" s="10">
        <f>IF(AND(Q821="",R821=""),"",IFERROR(INDEX(T_LIBAT,MATCH(Q821,L_PER,0),MATCH(R821,L_JENIS,0)),0))</f>
        <v/>
      </c>
      <c r="T821" s="11" t="n"/>
      <c r="U821" s="11" t="n"/>
      <c r="V821" s="10">
        <f>IF(AND(T821="",U821=""),"",IFERROR(INDEX(T_CAPAI,MATCH(T821,L_PER,0),MATCH(U821,L_KED,0)),0))</f>
        <v/>
      </c>
      <c r="W821" s="17">
        <f>IF(OR(B821="",E821="",COUNTA(F821,H821,J821:M821,O821,Q821:R821,T821:U821)=0),"",SUM(G821,I821,N821,P821,S821,V821))</f>
        <v/>
      </c>
      <c r="X821" s="18">
        <f>IF(W821="","",IF(Murid!F821="TL","TL",ROUND(W821/110*100,2)))</f>
        <v/>
      </c>
    </row>
    <row r="822">
      <c r="A822" s="15">
        <f>Murid!A822</f>
        <v/>
      </c>
      <c r="B822" s="15">
        <f>IF(Murid!B822="","",Murid!B822)</f>
        <v/>
      </c>
      <c r="C822" s="16">
        <f>IF(Murid!C822="","",Murid!C822)</f>
        <v/>
      </c>
      <c r="D822" s="15">
        <f>IF(Murid!E822="","",Murid!E822)</f>
        <v/>
      </c>
      <c r="E822" s="11" t="n"/>
      <c r="F822" s="11" t="n"/>
      <c r="G822" s="10">
        <f>IF(F822="","",IFERROR(VLOOKUP(F822,T_JUB,2,FALSE),0))</f>
        <v/>
      </c>
      <c r="H822" s="11" t="n"/>
      <c r="I822" s="17">
        <f>IF(H822="","",IF(H822&gt;=12,40,ROUND(H822*3.33,2)))</f>
        <v/>
      </c>
      <c r="J822" s="11" t="n"/>
      <c r="K822" s="11" t="n"/>
      <c r="L822" s="11" t="n"/>
      <c r="M822" s="11" t="n"/>
      <c r="N822" s="10">
        <f>IF(COUNTA(J822:M822)=0,"",MIN(10,SUMPRODUCT((COUNTIF(J822:M822,L_KOM)&gt;0)*S_KOM)))</f>
        <v/>
      </c>
      <c r="O822" s="11" t="n"/>
      <c r="P822" s="10">
        <f>IF(O822="","",IFERROR(VLOOKUP(O822,T_KHID,2,FALSE),0))</f>
        <v/>
      </c>
      <c r="Q822" s="11" t="n"/>
      <c r="R822" s="11" t="n"/>
      <c r="S822" s="10">
        <f>IF(AND(Q822="",R822=""),"",IFERROR(INDEX(T_LIBAT,MATCH(Q822,L_PER,0),MATCH(R822,L_JENIS,0)),0))</f>
        <v/>
      </c>
      <c r="T822" s="11" t="n"/>
      <c r="U822" s="11" t="n"/>
      <c r="V822" s="10">
        <f>IF(AND(T822="",U822=""),"",IFERROR(INDEX(T_CAPAI,MATCH(T822,L_PER,0),MATCH(U822,L_KED,0)),0))</f>
        <v/>
      </c>
      <c r="W822" s="17">
        <f>IF(OR(B822="",E822="",COUNTA(F822,H822,J822:M822,O822,Q822:R822,T822:U822)=0),"",SUM(G822,I822,N822,P822,S822,V822))</f>
        <v/>
      </c>
      <c r="X822" s="18">
        <f>IF(W822="","",IF(Murid!F822="TL","TL",ROUND(W822/110*100,2)))</f>
        <v/>
      </c>
    </row>
    <row r="823">
      <c r="A823" s="15">
        <f>Murid!A823</f>
        <v/>
      </c>
      <c r="B823" s="15">
        <f>IF(Murid!B823="","",Murid!B823)</f>
        <v/>
      </c>
      <c r="C823" s="16">
        <f>IF(Murid!C823="","",Murid!C823)</f>
        <v/>
      </c>
      <c r="D823" s="15">
        <f>IF(Murid!E823="","",Murid!E823)</f>
        <v/>
      </c>
      <c r="E823" s="11" t="n"/>
      <c r="F823" s="11" t="n"/>
      <c r="G823" s="10">
        <f>IF(F823="","",IFERROR(VLOOKUP(F823,T_JUB,2,FALSE),0))</f>
        <v/>
      </c>
      <c r="H823" s="11" t="n"/>
      <c r="I823" s="17">
        <f>IF(H823="","",IF(H823&gt;=12,40,ROUND(H823*3.33,2)))</f>
        <v/>
      </c>
      <c r="J823" s="11" t="n"/>
      <c r="K823" s="11" t="n"/>
      <c r="L823" s="11" t="n"/>
      <c r="M823" s="11" t="n"/>
      <c r="N823" s="10">
        <f>IF(COUNTA(J823:M823)=0,"",MIN(10,SUMPRODUCT((COUNTIF(J823:M823,L_KOM)&gt;0)*S_KOM)))</f>
        <v/>
      </c>
      <c r="O823" s="11" t="n"/>
      <c r="P823" s="10">
        <f>IF(O823="","",IFERROR(VLOOKUP(O823,T_KHID,2,FALSE),0))</f>
        <v/>
      </c>
      <c r="Q823" s="11" t="n"/>
      <c r="R823" s="11" t="n"/>
      <c r="S823" s="10">
        <f>IF(AND(Q823="",R823=""),"",IFERROR(INDEX(T_LIBAT,MATCH(Q823,L_PER,0),MATCH(R823,L_JENIS,0)),0))</f>
        <v/>
      </c>
      <c r="T823" s="11" t="n"/>
      <c r="U823" s="11" t="n"/>
      <c r="V823" s="10">
        <f>IF(AND(T823="",U823=""),"",IFERROR(INDEX(T_CAPAI,MATCH(T823,L_PER,0),MATCH(U823,L_KED,0)),0))</f>
        <v/>
      </c>
      <c r="W823" s="17">
        <f>IF(OR(B823="",E823="",COUNTA(F823,H823,J823:M823,O823,Q823:R823,T823:U823)=0),"",SUM(G823,I823,N823,P823,S823,V823))</f>
        <v/>
      </c>
      <c r="X823" s="18">
        <f>IF(W823="","",IF(Murid!F823="TL","TL",ROUND(W823/110*100,2)))</f>
        <v/>
      </c>
    </row>
    <row r="824">
      <c r="A824" s="15">
        <f>Murid!A824</f>
        <v/>
      </c>
      <c r="B824" s="15">
        <f>IF(Murid!B824="","",Murid!B824)</f>
        <v/>
      </c>
      <c r="C824" s="16">
        <f>IF(Murid!C824="","",Murid!C824)</f>
        <v/>
      </c>
      <c r="D824" s="15">
        <f>IF(Murid!E824="","",Murid!E824)</f>
        <v/>
      </c>
      <c r="E824" s="11" t="n"/>
      <c r="F824" s="11" t="n"/>
      <c r="G824" s="10">
        <f>IF(F824="","",IFERROR(VLOOKUP(F824,T_JUB,2,FALSE),0))</f>
        <v/>
      </c>
      <c r="H824" s="11" t="n"/>
      <c r="I824" s="17">
        <f>IF(H824="","",IF(H824&gt;=12,40,ROUND(H824*3.33,2)))</f>
        <v/>
      </c>
      <c r="J824" s="11" t="n"/>
      <c r="K824" s="11" t="n"/>
      <c r="L824" s="11" t="n"/>
      <c r="M824" s="11" t="n"/>
      <c r="N824" s="10">
        <f>IF(COUNTA(J824:M824)=0,"",MIN(10,SUMPRODUCT((COUNTIF(J824:M824,L_KOM)&gt;0)*S_KOM)))</f>
        <v/>
      </c>
      <c r="O824" s="11" t="n"/>
      <c r="P824" s="10">
        <f>IF(O824="","",IFERROR(VLOOKUP(O824,T_KHID,2,FALSE),0))</f>
        <v/>
      </c>
      <c r="Q824" s="11" t="n"/>
      <c r="R824" s="11" t="n"/>
      <c r="S824" s="10">
        <f>IF(AND(Q824="",R824=""),"",IFERROR(INDEX(T_LIBAT,MATCH(Q824,L_PER,0),MATCH(R824,L_JENIS,0)),0))</f>
        <v/>
      </c>
      <c r="T824" s="11" t="n"/>
      <c r="U824" s="11" t="n"/>
      <c r="V824" s="10">
        <f>IF(AND(T824="",U824=""),"",IFERROR(INDEX(T_CAPAI,MATCH(T824,L_PER,0),MATCH(U824,L_KED,0)),0))</f>
        <v/>
      </c>
      <c r="W824" s="17">
        <f>IF(OR(B824="",E824="",COUNTA(F824,H824,J824:M824,O824,Q824:R824,T824:U824)=0),"",SUM(G824,I824,N824,P824,S824,V824))</f>
        <v/>
      </c>
      <c r="X824" s="18">
        <f>IF(W824="","",IF(Murid!F824="TL","TL",ROUND(W824/110*100,2)))</f>
        <v/>
      </c>
    </row>
    <row r="825">
      <c r="A825" s="15">
        <f>Murid!A825</f>
        <v/>
      </c>
      <c r="B825" s="15">
        <f>IF(Murid!B825="","",Murid!B825)</f>
        <v/>
      </c>
      <c r="C825" s="16">
        <f>IF(Murid!C825="","",Murid!C825)</f>
        <v/>
      </c>
      <c r="D825" s="15">
        <f>IF(Murid!E825="","",Murid!E825)</f>
        <v/>
      </c>
      <c r="E825" s="11" t="n"/>
      <c r="F825" s="11" t="n"/>
      <c r="G825" s="10">
        <f>IF(F825="","",IFERROR(VLOOKUP(F825,T_JUB,2,FALSE),0))</f>
        <v/>
      </c>
      <c r="H825" s="11" t="n"/>
      <c r="I825" s="17">
        <f>IF(H825="","",IF(H825&gt;=12,40,ROUND(H825*3.33,2)))</f>
        <v/>
      </c>
      <c r="J825" s="11" t="n"/>
      <c r="K825" s="11" t="n"/>
      <c r="L825" s="11" t="n"/>
      <c r="M825" s="11" t="n"/>
      <c r="N825" s="10">
        <f>IF(COUNTA(J825:M825)=0,"",MIN(10,SUMPRODUCT((COUNTIF(J825:M825,L_KOM)&gt;0)*S_KOM)))</f>
        <v/>
      </c>
      <c r="O825" s="11" t="n"/>
      <c r="P825" s="10">
        <f>IF(O825="","",IFERROR(VLOOKUP(O825,T_KHID,2,FALSE),0))</f>
        <v/>
      </c>
      <c r="Q825" s="11" t="n"/>
      <c r="R825" s="11" t="n"/>
      <c r="S825" s="10">
        <f>IF(AND(Q825="",R825=""),"",IFERROR(INDEX(T_LIBAT,MATCH(Q825,L_PER,0),MATCH(R825,L_JENIS,0)),0))</f>
        <v/>
      </c>
      <c r="T825" s="11" t="n"/>
      <c r="U825" s="11" t="n"/>
      <c r="V825" s="10">
        <f>IF(AND(T825="",U825=""),"",IFERROR(INDEX(T_CAPAI,MATCH(T825,L_PER,0),MATCH(U825,L_KED,0)),0))</f>
        <v/>
      </c>
      <c r="W825" s="17">
        <f>IF(OR(B825="",E825="",COUNTA(F825,H825,J825:M825,O825,Q825:R825,T825:U825)=0),"",SUM(G825,I825,N825,P825,S825,V825))</f>
        <v/>
      </c>
      <c r="X825" s="18">
        <f>IF(W825="","",IF(Murid!F825="TL","TL",ROUND(W825/110*100,2)))</f>
        <v/>
      </c>
    </row>
    <row r="826">
      <c r="A826" s="15">
        <f>Murid!A826</f>
        <v/>
      </c>
      <c r="B826" s="15">
        <f>IF(Murid!B826="","",Murid!B826)</f>
        <v/>
      </c>
      <c r="C826" s="16">
        <f>IF(Murid!C826="","",Murid!C826)</f>
        <v/>
      </c>
      <c r="D826" s="15">
        <f>IF(Murid!E826="","",Murid!E826)</f>
        <v/>
      </c>
      <c r="E826" s="11" t="n"/>
      <c r="F826" s="11" t="n"/>
      <c r="G826" s="10">
        <f>IF(F826="","",IFERROR(VLOOKUP(F826,T_JUB,2,FALSE),0))</f>
        <v/>
      </c>
      <c r="H826" s="11" t="n"/>
      <c r="I826" s="17">
        <f>IF(H826="","",IF(H826&gt;=12,40,ROUND(H826*3.33,2)))</f>
        <v/>
      </c>
      <c r="J826" s="11" t="n"/>
      <c r="K826" s="11" t="n"/>
      <c r="L826" s="11" t="n"/>
      <c r="M826" s="11" t="n"/>
      <c r="N826" s="10">
        <f>IF(COUNTA(J826:M826)=0,"",MIN(10,SUMPRODUCT((COUNTIF(J826:M826,L_KOM)&gt;0)*S_KOM)))</f>
        <v/>
      </c>
      <c r="O826" s="11" t="n"/>
      <c r="P826" s="10">
        <f>IF(O826="","",IFERROR(VLOOKUP(O826,T_KHID,2,FALSE),0))</f>
        <v/>
      </c>
      <c r="Q826" s="11" t="n"/>
      <c r="R826" s="11" t="n"/>
      <c r="S826" s="10">
        <f>IF(AND(Q826="",R826=""),"",IFERROR(INDEX(T_LIBAT,MATCH(Q826,L_PER,0),MATCH(R826,L_JENIS,0)),0))</f>
        <v/>
      </c>
      <c r="T826" s="11" t="n"/>
      <c r="U826" s="11" t="n"/>
      <c r="V826" s="10">
        <f>IF(AND(T826="",U826=""),"",IFERROR(INDEX(T_CAPAI,MATCH(T826,L_PER,0),MATCH(U826,L_KED,0)),0))</f>
        <v/>
      </c>
      <c r="W826" s="17">
        <f>IF(OR(B826="",E826="",COUNTA(F826,H826,J826:M826,O826,Q826:R826,T826:U826)=0),"",SUM(G826,I826,N826,P826,S826,V826))</f>
        <v/>
      </c>
      <c r="X826" s="18">
        <f>IF(W826="","",IF(Murid!F826="TL","TL",ROUND(W826/110*100,2)))</f>
        <v/>
      </c>
    </row>
    <row r="827">
      <c r="A827" s="15">
        <f>Murid!A827</f>
        <v/>
      </c>
      <c r="B827" s="15">
        <f>IF(Murid!B827="","",Murid!B827)</f>
        <v/>
      </c>
      <c r="C827" s="16">
        <f>IF(Murid!C827="","",Murid!C827)</f>
        <v/>
      </c>
      <c r="D827" s="15">
        <f>IF(Murid!E827="","",Murid!E827)</f>
        <v/>
      </c>
      <c r="E827" s="11" t="n"/>
      <c r="F827" s="11" t="n"/>
      <c r="G827" s="10">
        <f>IF(F827="","",IFERROR(VLOOKUP(F827,T_JUB,2,FALSE),0))</f>
        <v/>
      </c>
      <c r="H827" s="11" t="n"/>
      <c r="I827" s="17">
        <f>IF(H827="","",IF(H827&gt;=12,40,ROUND(H827*3.33,2)))</f>
        <v/>
      </c>
      <c r="J827" s="11" t="n"/>
      <c r="K827" s="11" t="n"/>
      <c r="L827" s="11" t="n"/>
      <c r="M827" s="11" t="n"/>
      <c r="N827" s="10">
        <f>IF(COUNTA(J827:M827)=0,"",MIN(10,SUMPRODUCT((COUNTIF(J827:M827,L_KOM)&gt;0)*S_KOM)))</f>
        <v/>
      </c>
      <c r="O827" s="11" t="n"/>
      <c r="P827" s="10">
        <f>IF(O827="","",IFERROR(VLOOKUP(O827,T_KHID,2,FALSE),0))</f>
        <v/>
      </c>
      <c r="Q827" s="11" t="n"/>
      <c r="R827" s="11" t="n"/>
      <c r="S827" s="10">
        <f>IF(AND(Q827="",R827=""),"",IFERROR(INDEX(T_LIBAT,MATCH(Q827,L_PER,0),MATCH(R827,L_JENIS,0)),0))</f>
        <v/>
      </c>
      <c r="T827" s="11" t="n"/>
      <c r="U827" s="11" t="n"/>
      <c r="V827" s="10">
        <f>IF(AND(T827="",U827=""),"",IFERROR(INDEX(T_CAPAI,MATCH(T827,L_PER,0),MATCH(U827,L_KED,0)),0))</f>
        <v/>
      </c>
      <c r="W827" s="17">
        <f>IF(OR(B827="",E827="",COUNTA(F827,H827,J827:M827,O827,Q827:R827,T827:U827)=0),"",SUM(G827,I827,N827,P827,S827,V827))</f>
        <v/>
      </c>
      <c r="X827" s="18">
        <f>IF(W827="","",IF(Murid!F827="TL","TL",ROUND(W827/110*100,2)))</f>
        <v/>
      </c>
    </row>
    <row r="828">
      <c r="A828" s="15">
        <f>Murid!A828</f>
        <v/>
      </c>
      <c r="B828" s="15">
        <f>IF(Murid!B828="","",Murid!B828)</f>
        <v/>
      </c>
      <c r="C828" s="16">
        <f>IF(Murid!C828="","",Murid!C828)</f>
        <v/>
      </c>
      <c r="D828" s="15">
        <f>IF(Murid!E828="","",Murid!E828)</f>
        <v/>
      </c>
      <c r="E828" s="11" t="n"/>
      <c r="F828" s="11" t="n"/>
      <c r="G828" s="10">
        <f>IF(F828="","",IFERROR(VLOOKUP(F828,T_JUB,2,FALSE),0))</f>
        <v/>
      </c>
      <c r="H828" s="11" t="n"/>
      <c r="I828" s="17">
        <f>IF(H828="","",IF(H828&gt;=12,40,ROUND(H828*3.33,2)))</f>
        <v/>
      </c>
      <c r="J828" s="11" t="n"/>
      <c r="K828" s="11" t="n"/>
      <c r="L828" s="11" t="n"/>
      <c r="M828" s="11" t="n"/>
      <c r="N828" s="10">
        <f>IF(COUNTA(J828:M828)=0,"",MIN(10,SUMPRODUCT((COUNTIF(J828:M828,L_KOM)&gt;0)*S_KOM)))</f>
        <v/>
      </c>
      <c r="O828" s="11" t="n"/>
      <c r="P828" s="10">
        <f>IF(O828="","",IFERROR(VLOOKUP(O828,T_KHID,2,FALSE),0))</f>
        <v/>
      </c>
      <c r="Q828" s="11" t="n"/>
      <c r="R828" s="11" t="n"/>
      <c r="S828" s="10">
        <f>IF(AND(Q828="",R828=""),"",IFERROR(INDEX(T_LIBAT,MATCH(Q828,L_PER,0),MATCH(R828,L_JENIS,0)),0))</f>
        <v/>
      </c>
      <c r="T828" s="11" t="n"/>
      <c r="U828" s="11" t="n"/>
      <c r="V828" s="10">
        <f>IF(AND(T828="",U828=""),"",IFERROR(INDEX(T_CAPAI,MATCH(T828,L_PER,0),MATCH(U828,L_KED,0)),0))</f>
        <v/>
      </c>
      <c r="W828" s="17">
        <f>IF(OR(B828="",E828="",COUNTA(F828,H828,J828:M828,O828,Q828:R828,T828:U828)=0),"",SUM(G828,I828,N828,P828,S828,V828))</f>
        <v/>
      </c>
      <c r="X828" s="18">
        <f>IF(W828="","",IF(Murid!F828="TL","TL",ROUND(W828/110*100,2)))</f>
        <v/>
      </c>
    </row>
    <row r="829">
      <c r="A829" s="15">
        <f>Murid!A829</f>
        <v/>
      </c>
      <c r="B829" s="15">
        <f>IF(Murid!B829="","",Murid!B829)</f>
        <v/>
      </c>
      <c r="C829" s="16">
        <f>IF(Murid!C829="","",Murid!C829)</f>
        <v/>
      </c>
      <c r="D829" s="15">
        <f>IF(Murid!E829="","",Murid!E829)</f>
        <v/>
      </c>
      <c r="E829" s="11" t="n"/>
      <c r="F829" s="11" t="n"/>
      <c r="G829" s="10">
        <f>IF(F829="","",IFERROR(VLOOKUP(F829,T_JUB,2,FALSE),0))</f>
        <v/>
      </c>
      <c r="H829" s="11" t="n"/>
      <c r="I829" s="17">
        <f>IF(H829="","",IF(H829&gt;=12,40,ROUND(H829*3.33,2)))</f>
        <v/>
      </c>
      <c r="J829" s="11" t="n"/>
      <c r="K829" s="11" t="n"/>
      <c r="L829" s="11" t="n"/>
      <c r="M829" s="11" t="n"/>
      <c r="N829" s="10">
        <f>IF(COUNTA(J829:M829)=0,"",MIN(10,SUMPRODUCT((COUNTIF(J829:M829,L_KOM)&gt;0)*S_KOM)))</f>
        <v/>
      </c>
      <c r="O829" s="11" t="n"/>
      <c r="P829" s="10">
        <f>IF(O829="","",IFERROR(VLOOKUP(O829,T_KHID,2,FALSE),0))</f>
        <v/>
      </c>
      <c r="Q829" s="11" t="n"/>
      <c r="R829" s="11" t="n"/>
      <c r="S829" s="10">
        <f>IF(AND(Q829="",R829=""),"",IFERROR(INDEX(T_LIBAT,MATCH(Q829,L_PER,0),MATCH(R829,L_JENIS,0)),0))</f>
        <v/>
      </c>
      <c r="T829" s="11" t="n"/>
      <c r="U829" s="11" t="n"/>
      <c r="V829" s="10">
        <f>IF(AND(T829="",U829=""),"",IFERROR(INDEX(T_CAPAI,MATCH(T829,L_PER,0),MATCH(U829,L_KED,0)),0))</f>
        <v/>
      </c>
      <c r="W829" s="17">
        <f>IF(OR(B829="",E829="",COUNTA(F829,H829,J829:M829,O829,Q829:R829,T829:U829)=0),"",SUM(G829,I829,N829,P829,S829,V829))</f>
        <v/>
      </c>
      <c r="X829" s="18">
        <f>IF(W829="","",IF(Murid!F829="TL","TL",ROUND(W829/110*100,2)))</f>
        <v/>
      </c>
    </row>
    <row r="830">
      <c r="A830" s="15">
        <f>Murid!A830</f>
        <v/>
      </c>
      <c r="B830" s="15">
        <f>IF(Murid!B830="","",Murid!B830)</f>
        <v/>
      </c>
      <c r="C830" s="16">
        <f>IF(Murid!C830="","",Murid!C830)</f>
        <v/>
      </c>
      <c r="D830" s="15">
        <f>IF(Murid!E830="","",Murid!E830)</f>
        <v/>
      </c>
      <c r="E830" s="11" t="n"/>
      <c r="F830" s="11" t="n"/>
      <c r="G830" s="10">
        <f>IF(F830="","",IFERROR(VLOOKUP(F830,T_JUB,2,FALSE),0))</f>
        <v/>
      </c>
      <c r="H830" s="11" t="n"/>
      <c r="I830" s="17">
        <f>IF(H830="","",IF(H830&gt;=12,40,ROUND(H830*3.33,2)))</f>
        <v/>
      </c>
      <c r="J830" s="11" t="n"/>
      <c r="K830" s="11" t="n"/>
      <c r="L830" s="11" t="n"/>
      <c r="M830" s="11" t="n"/>
      <c r="N830" s="10">
        <f>IF(COUNTA(J830:M830)=0,"",MIN(10,SUMPRODUCT((COUNTIF(J830:M830,L_KOM)&gt;0)*S_KOM)))</f>
        <v/>
      </c>
      <c r="O830" s="11" t="n"/>
      <c r="P830" s="10">
        <f>IF(O830="","",IFERROR(VLOOKUP(O830,T_KHID,2,FALSE),0))</f>
        <v/>
      </c>
      <c r="Q830" s="11" t="n"/>
      <c r="R830" s="11" t="n"/>
      <c r="S830" s="10">
        <f>IF(AND(Q830="",R830=""),"",IFERROR(INDEX(T_LIBAT,MATCH(Q830,L_PER,0),MATCH(R830,L_JENIS,0)),0))</f>
        <v/>
      </c>
      <c r="T830" s="11" t="n"/>
      <c r="U830" s="11" t="n"/>
      <c r="V830" s="10">
        <f>IF(AND(T830="",U830=""),"",IFERROR(INDEX(T_CAPAI,MATCH(T830,L_PER,0),MATCH(U830,L_KED,0)),0))</f>
        <v/>
      </c>
      <c r="W830" s="17">
        <f>IF(OR(B830="",E830="",COUNTA(F830,H830,J830:M830,O830,Q830:R830,T830:U830)=0),"",SUM(G830,I830,N830,P830,S830,V830))</f>
        <v/>
      </c>
      <c r="X830" s="18">
        <f>IF(W830="","",IF(Murid!F830="TL","TL",ROUND(W830/110*100,2)))</f>
        <v/>
      </c>
    </row>
    <row r="831">
      <c r="A831" s="15">
        <f>Murid!A831</f>
        <v/>
      </c>
      <c r="B831" s="15">
        <f>IF(Murid!B831="","",Murid!B831)</f>
        <v/>
      </c>
      <c r="C831" s="16">
        <f>IF(Murid!C831="","",Murid!C831)</f>
        <v/>
      </c>
      <c r="D831" s="15">
        <f>IF(Murid!E831="","",Murid!E831)</f>
        <v/>
      </c>
      <c r="E831" s="11" t="n"/>
      <c r="F831" s="11" t="n"/>
      <c r="G831" s="10">
        <f>IF(F831="","",IFERROR(VLOOKUP(F831,T_JUB,2,FALSE),0))</f>
        <v/>
      </c>
      <c r="H831" s="11" t="n"/>
      <c r="I831" s="17">
        <f>IF(H831="","",IF(H831&gt;=12,40,ROUND(H831*3.33,2)))</f>
        <v/>
      </c>
      <c r="J831" s="11" t="n"/>
      <c r="K831" s="11" t="n"/>
      <c r="L831" s="11" t="n"/>
      <c r="M831" s="11" t="n"/>
      <c r="N831" s="10">
        <f>IF(COUNTA(J831:M831)=0,"",MIN(10,SUMPRODUCT((COUNTIF(J831:M831,L_KOM)&gt;0)*S_KOM)))</f>
        <v/>
      </c>
      <c r="O831" s="11" t="n"/>
      <c r="P831" s="10">
        <f>IF(O831="","",IFERROR(VLOOKUP(O831,T_KHID,2,FALSE),0))</f>
        <v/>
      </c>
      <c r="Q831" s="11" t="n"/>
      <c r="R831" s="11" t="n"/>
      <c r="S831" s="10">
        <f>IF(AND(Q831="",R831=""),"",IFERROR(INDEX(T_LIBAT,MATCH(Q831,L_PER,0),MATCH(R831,L_JENIS,0)),0))</f>
        <v/>
      </c>
      <c r="T831" s="11" t="n"/>
      <c r="U831" s="11" t="n"/>
      <c r="V831" s="10">
        <f>IF(AND(T831="",U831=""),"",IFERROR(INDEX(T_CAPAI,MATCH(T831,L_PER,0),MATCH(U831,L_KED,0)),0))</f>
        <v/>
      </c>
      <c r="W831" s="17">
        <f>IF(OR(B831="",E831="",COUNTA(F831,H831,J831:M831,O831,Q831:R831,T831:U831)=0),"",SUM(G831,I831,N831,P831,S831,V831))</f>
        <v/>
      </c>
      <c r="X831" s="18">
        <f>IF(W831="","",IF(Murid!F831="TL","TL",ROUND(W831/110*100,2)))</f>
        <v/>
      </c>
    </row>
    <row r="832">
      <c r="A832" s="15">
        <f>Murid!A832</f>
        <v/>
      </c>
      <c r="B832" s="15">
        <f>IF(Murid!B832="","",Murid!B832)</f>
        <v/>
      </c>
      <c r="C832" s="16">
        <f>IF(Murid!C832="","",Murid!C832)</f>
        <v/>
      </c>
      <c r="D832" s="15">
        <f>IF(Murid!E832="","",Murid!E832)</f>
        <v/>
      </c>
      <c r="E832" s="11" t="n"/>
      <c r="F832" s="11" t="n"/>
      <c r="G832" s="10">
        <f>IF(F832="","",IFERROR(VLOOKUP(F832,T_JUB,2,FALSE),0))</f>
        <v/>
      </c>
      <c r="H832" s="11" t="n"/>
      <c r="I832" s="17">
        <f>IF(H832="","",IF(H832&gt;=12,40,ROUND(H832*3.33,2)))</f>
        <v/>
      </c>
      <c r="J832" s="11" t="n"/>
      <c r="K832" s="11" t="n"/>
      <c r="L832" s="11" t="n"/>
      <c r="M832" s="11" t="n"/>
      <c r="N832" s="10">
        <f>IF(COUNTA(J832:M832)=0,"",MIN(10,SUMPRODUCT((COUNTIF(J832:M832,L_KOM)&gt;0)*S_KOM)))</f>
        <v/>
      </c>
      <c r="O832" s="11" t="n"/>
      <c r="P832" s="10">
        <f>IF(O832="","",IFERROR(VLOOKUP(O832,T_KHID,2,FALSE),0))</f>
        <v/>
      </c>
      <c r="Q832" s="11" t="n"/>
      <c r="R832" s="11" t="n"/>
      <c r="S832" s="10">
        <f>IF(AND(Q832="",R832=""),"",IFERROR(INDEX(T_LIBAT,MATCH(Q832,L_PER,0),MATCH(R832,L_JENIS,0)),0))</f>
        <v/>
      </c>
      <c r="T832" s="11" t="n"/>
      <c r="U832" s="11" t="n"/>
      <c r="V832" s="10">
        <f>IF(AND(T832="",U832=""),"",IFERROR(INDEX(T_CAPAI,MATCH(T832,L_PER,0),MATCH(U832,L_KED,0)),0))</f>
        <v/>
      </c>
      <c r="W832" s="17">
        <f>IF(OR(B832="",E832="",COUNTA(F832,H832,J832:M832,O832,Q832:R832,T832:U832)=0),"",SUM(G832,I832,N832,P832,S832,V832))</f>
        <v/>
      </c>
      <c r="X832" s="18">
        <f>IF(W832="","",IF(Murid!F832="TL","TL",ROUND(W832/110*100,2)))</f>
        <v/>
      </c>
    </row>
    <row r="833">
      <c r="A833" s="15">
        <f>Murid!A833</f>
        <v/>
      </c>
      <c r="B833" s="15">
        <f>IF(Murid!B833="","",Murid!B833)</f>
        <v/>
      </c>
      <c r="C833" s="16">
        <f>IF(Murid!C833="","",Murid!C833)</f>
        <v/>
      </c>
      <c r="D833" s="15">
        <f>IF(Murid!E833="","",Murid!E833)</f>
        <v/>
      </c>
      <c r="E833" s="11" t="n"/>
      <c r="F833" s="11" t="n"/>
      <c r="G833" s="10">
        <f>IF(F833="","",IFERROR(VLOOKUP(F833,T_JUB,2,FALSE),0))</f>
        <v/>
      </c>
      <c r="H833" s="11" t="n"/>
      <c r="I833" s="17">
        <f>IF(H833="","",IF(H833&gt;=12,40,ROUND(H833*3.33,2)))</f>
        <v/>
      </c>
      <c r="J833" s="11" t="n"/>
      <c r="K833" s="11" t="n"/>
      <c r="L833" s="11" t="n"/>
      <c r="M833" s="11" t="n"/>
      <c r="N833" s="10">
        <f>IF(COUNTA(J833:M833)=0,"",MIN(10,SUMPRODUCT((COUNTIF(J833:M833,L_KOM)&gt;0)*S_KOM)))</f>
        <v/>
      </c>
      <c r="O833" s="11" t="n"/>
      <c r="P833" s="10">
        <f>IF(O833="","",IFERROR(VLOOKUP(O833,T_KHID,2,FALSE),0))</f>
        <v/>
      </c>
      <c r="Q833" s="11" t="n"/>
      <c r="R833" s="11" t="n"/>
      <c r="S833" s="10">
        <f>IF(AND(Q833="",R833=""),"",IFERROR(INDEX(T_LIBAT,MATCH(Q833,L_PER,0),MATCH(R833,L_JENIS,0)),0))</f>
        <v/>
      </c>
      <c r="T833" s="11" t="n"/>
      <c r="U833" s="11" t="n"/>
      <c r="V833" s="10">
        <f>IF(AND(T833="",U833=""),"",IFERROR(INDEX(T_CAPAI,MATCH(T833,L_PER,0),MATCH(U833,L_KED,0)),0))</f>
        <v/>
      </c>
      <c r="W833" s="17">
        <f>IF(OR(B833="",E833="",COUNTA(F833,H833,J833:M833,O833,Q833:R833,T833:U833)=0),"",SUM(G833,I833,N833,P833,S833,V833))</f>
        <v/>
      </c>
      <c r="X833" s="18">
        <f>IF(W833="","",IF(Murid!F833="TL","TL",ROUND(W833/110*100,2)))</f>
        <v/>
      </c>
    </row>
    <row r="834">
      <c r="A834" s="15">
        <f>Murid!A834</f>
        <v/>
      </c>
      <c r="B834" s="15">
        <f>IF(Murid!B834="","",Murid!B834)</f>
        <v/>
      </c>
      <c r="C834" s="16">
        <f>IF(Murid!C834="","",Murid!C834)</f>
        <v/>
      </c>
      <c r="D834" s="15">
        <f>IF(Murid!E834="","",Murid!E834)</f>
        <v/>
      </c>
      <c r="E834" s="11" t="n"/>
      <c r="F834" s="11" t="n"/>
      <c r="G834" s="10">
        <f>IF(F834="","",IFERROR(VLOOKUP(F834,T_JUB,2,FALSE),0))</f>
        <v/>
      </c>
      <c r="H834" s="11" t="n"/>
      <c r="I834" s="17">
        <f>IF(H834="","",IF(H834&gt;=12,40,ROUND(H834*3.33,2)))</f>
        <v/>
      </c>
      <c r="J834" s="11" t="n"/>
      <c r="K834" s="11" t="n"/>
      <c r="L834" s="11" t="n"/>
      <c r="M834" s="11" t="n"/>
      <c r="N834" s="10">
        <f>IF(COUNTA(J834:M834)=0,"",MIN(10,SUMPRODUCT((COUNTIF(J834:M834,L_KOM)&gt;0)*S_KOM)))</f>
        <v/>
      </c>
      <c r="O834" s="11" t="n"/>
      <c r="P834" s="10">
        <f>IF(O834="","",IFERROR(VLOOKUP(O834,T_KHID,2,FALSE),0))</f>
        <v/>
      </c>
      <c r="Q834" s="11" t="n"/>
      <c r="R834" s="11" t="n"/>
      <c r="S834" s="10">
        <f>IF(AND(Q834="",R834=""),"",IFERROR(INDEX(T_LIBAT,MATCH(Q834,L_PER,0),MATCH(R834,L_JENIS,0)),0))</f>
        <v/>
      </c>
      <c r="T834" s="11" t="n"/>
      <c r="U834" s="11" t="n"/>
      <c r="V834" s="10">
        <f>IF(AND(T834="",U834=""),"",IFERROR(INDEX(T_CAPAI,MATCH(T834,L_PER,0),MATCH(U834,L_KED,0)),0))</f>
        <v/>
      </c>
      <c r="W834" s="17">
        <f>IF(OR(B834="",E834="",COUNTA(F834,H834,J834:M834,O834,Q834:R834,T834:U834)=0),"",SUM(G834,I834,N834,P834,S834,V834))</f>
        <v/>
      </c>
      <c r="X834" s="18">
        <f>IF(W834="","",IF(Murid!F834="TL","TL",ROUND(W834/110*100,2)))</f>
        <v/>
      </c>
    </row>
    <row r="835">
      <c r="A835" s="15">
        <f>Murid!A835</f>
        <v/>
      </c>
      <c r="B835" s="15">
        <f>IF(Murid!B835="","",Murid!B835)</f>
        <v/>
      </c>
      <c r="C835" s="16">
        <f>IF(Murid!C835="","",Murid!C835)</f>
        <v/>
      </c>
      <c r="D835" s="15">
        <f>IF(Murid!E835="","",Murid!E835)</f>
        <v/>
      </c>
      <c r="E835" s="11" t="n"/>
      <c r="F835" s="11" t="n"/>
      <c r="G835" s="10">
        <f>IF(F835="","",IFERROR(VLOOKUP(F835,T_JUB,2,FALSE),0))</f>
        <v/>
      </c>
      <c r="H835" s="11" t="n"/>
      <c r="I835" s="17">
        <f>IF(H835="","",IF(H835&gt;=12,40,ROUND(H835*3.33,2)))</f>
        <v/>
      </c>
      <c r="J835" s="11" t="n"/>
      <c r="K835" s="11" t="n"/>
      <c r="L835" s="11" t="n"/>
      <c r="M835" s="11" t="n"/>
      <c r="N835" s="10">
        <f>IF(COUNTA(J835:M835)=0,"",MIN(10,SUMPRODUCT((COUNTIF(J835:M835,L_KOM)&gt;0)*S_KOM)))</f>
        <v/>
      </c>
      <c r="O835" s="11" t="n"/>
      <c r="P835" s="10">
        <f>IF(O835="","",IFERROR(VLOOKUP(O835,T_KHID,2,FALSE),0))</f>
        <v/>
      </c>
      <c r="Q835" s="11" t="n"/>
      <c r="R835" s="11" t="n"/>
      <c r="S835" s="10">
        <f>IF(AND(Q835="",R835=""),"",IFERROR(INDEX(T_LIBAT,MATCH(Q835,L_PER,0),MATCH(R835,L_JENIS,0)),0))</f>
        <v/>
      </c>
      <c r="T835" s="11" t="n"/>
      <c r="U835" s="11" t="n"/>
      <c r="V835" s="10">
        <f>IF(AND(T835="",U835=""),"",IFERROR(INDEX(T_CAPAI,MATCH(T835,L_PER,0),MATCH(U835,L_KED,0)),0))</f>
        <v/>
      </c>
      <c r="W835" s="17">
        <f>IF(OR(B835="",E835="",COUNTA(F835,H835,J835:M835,O835,Q835:R835,T835:U835)=0),"",SUM(G835,I835,N835,P835,S835,V835))</f>
        <v/>
      </c>
      <c r="X835" s="18">
        <f>IF(W835="","",IF(Murid!F835="TL","TL",ROUND(W835/110*100,2)))</f>
        <v/>
      </c>
    </row>
    <row r="836">
      <c r="A836" s="15">
        <f>Murid!A836</f>
        <v/>
      </c>
      <c r="B836" s="15">
        <f>IF(Murid!B836="","",Murid!B836)</f>
        <v/>
      </c>
      <c r="C836" s="16">
        <f>IF(Murid!C836="","",Murid!C836)</f>
        <v/>
      </c>
      <c r="D836" s="15">
        <f>IF(Murid!E836="","",Murid!E836)</f>
        <v/>
      </c>
      <c r="E836" s="11" t="n"/>
      <c r="F836" s="11" t="n"/>
      <c r="G836" s="10">
        <f>IF(F836="","",IFERROR(VLOOKUP(F836,T_JUB,2,FALSE),0))</f>
        <v/>
      </c>
      <c r="H836" s="11" t="n"/>
      <c r="I836" s="17">
        <f>IF(H836="","",IF(H836&gt;=12,40,ROUND(H836*3.33,2)))</f>
        <v/>
      </c>
      <c r="J836" s="11" t="n"/>
      <c r="K836" s="11" t="n"/>
      <c r="L836" s="11" t="n"/>
      <c r="M836" s="11" t="n"/>
      <c r="N836" s="10">
        <f>IF(COUNTA(J836:M836)=0,"",MIN(10,SUMPRODUCT((COUNTIF(J836:M836,L_KOM)&gt;0)*S_KOM)))</f>
        <v/>
      </c>
      <c r="O836" s="11" t="n"/>
      <c r="P836" s="10">
        <f>IF(O836="","",IFERROR(VLOOKUP(O836,T_KHID,2,FALSE),0))</f>
        <v/>
      </c>
      <c r="Q836" s="11" t="n"/>
      <c r="R836" s="11" t="n"/>
      <c r="S836" s="10">
        <f>IF(AND(Q836="",R836=""),"",IFERROR(INDEX(T_LIBAT,MATCH(Q836,L_PER,0),MATCH(R836,L_JENIS,0)),0))</f>
        <v/>
      </c>
      <c r="T836" s="11" t="n"/>
      <c r="U836" s="11" t="n"/>
      <c r="V836" s="10">
        <f>IF(AND(T836="",U836=""),"",IFERROR(INDEX(T_CAPAI,MATCH(T836,L_PER,0),MATCH(U836,L_KED,0)),0))</f>
        <v/>
      </c>
      <c r="W836" s="17">
        <f>IF(OR(B836="",E836="",COUNTA(F836,H836,J836:M836,O836,Q836:R836,T836:U836)=0),"",SUM(G836,I836,N836,P836,S836,V836))</f>
        <v/>
      </c>
      <c r="X836" s="18">
        <f>IF(W836="","",IF(Murid!F836="TL","TL",ROUND(W836/110*100,2)))</f>
        <v/>
      </c>
    </row>
    <row r="837">
      <c r="A837" s="15">
        <f>Murid!A837</f>
        <v/>
      </c>
      <c r="B837" s="15">
        <f>IF(Murid!B837="","",Murid!B837)</f>
        <v/>
      </c>
      <c r="C837" s="16">
        <f>IF(Murid!C837="","",Murid!C837)</f>
        <v/>
      </c>
      <c r="D837" s="15">
        <f>IF(Murid!E837="","",Murid!E837)</f>
        <v/>
      </c>
      <c r="E837" s="11" t="n"/>
      <c r="F837" s="11" t="n"/>
      <c r="G837" s="10">
        <f>IF(F837="","",IFERROR(VLOOKUP(F837,T_JUB,2,FALSE),0))</f>
        <v/>
      </c>
      <c r="H837" s="11" t="n"/>
      <c r="I837" s="17">
        <f>IF(H837="","",IF(H837&gt;=12,40,ROUND(H837*3.33,2)))</f>
        <v/>
      </c>
      <c r="J837" s="11" t="n"/>
      <c r="K837" s="11" t="n"/>
      <c r="L837" s="11" t="n"/>
      <c r="M837" s="11" t="n"/>
      <c r="N837" s="10">
        <f>IF(COUNTA(J837:M837)=0,"",MIN(10,SUMPRODUCT((COUNTIF(J837:M837,L_KOM)&gt;0)*S_KOM)))</f>
        <v/>
      </c>
      <c r="O837" s="11" t="n"/>
      <c r="P837" s="10">
        <f>IF(O837="","",IFERROR(VLOOKUP(O837,T_KHID,2,FALSE),0))</f>
        <v/>
      </c>
      <c r="Q837" s="11" t="n"/>
      <c r="R837" s="11" t="n"/>
      <c r="S837" s="10">
        <f>IF(AND(Q837="",R837=""),"",IFERROR(INDEX(T_LIBAT,MATCH(Q837,L_PER,0),MATCH(R837,L_JENIS,0)),0))</f>
        <v/>
      </c>
      <c r="T837" s="11" t="n"/>
      <c r="U837" s="11" t="n"/>
      <c r="V837" s="10">
        <f>IF(AND(T837="",U837=""),"",IFERROR(INDEX(T_CAPAI,MATCH(T837,L_PER,0),MATCH(U837,L_KED,0)),0))</f>
        <v/>
      </c>
      <c r="W837" s="17">
        <f>IF(OR(B837="",E837="",COUNTA(F837,H837,J837:M837,O837,Q837:R837,T837:U837)=0),"",SUM(G837,I837,N837,P837,S837,V837))</f>
        <v/>
      </c>
      <c r="X837" s="18">
        <f>IF(W837="","",IF(Murid!F837="TL","TL",ROUND(W837/110*100,2)))</f>
        <v/>
      </c>
    </row>
    <row r="838">
      <c r="A838" s="15">
        <f>Murid!A838</f>
        <v/>
      </c>
      <c r="B838" s="15">
        <f>IF(Murid!B838="","",Murid!B838)</f>
        <v/>
      </c>
      <c r="C838" s="16">
        <f>IF(Murid!C838="","",Murid!C838)</f>
        <v/>
      </c>
      <c r="D838" s="15">
        <f>IF(Murid!E838="","",Murid!E838)</f>
        <v/>
      </c>
      <c r="E838" s="11" t="n"/>
      <c r="F838" s="11" t="n"/>
      <c r="G838" s="10">
        <f>IF(F838="","",IFERROR(VLOOKUP(F838,T_JUB,2,FALSE),0))</f>
        <v/>
      </c>
      <c r="H838" s="11" t="n"/>
      <c r="I838" s="17">
        <f>IF(H838="","",IF(H838&gt;=12,40,ROUND(H838*3.33,2)))</f>
        <v/>
      </c>
      <c r="J838" s="11" t="n"/>
      <c r="K838" s="11" t="n"/>
      <c r="L838" s="11" t="n"/>
      <c r="M838" s="11" t="n"/>
      <c r="N838" s="10">
        <f>IF(COUNTA(J838:M838)=0,"",MIN(10,SUMPRODUCT((COUNTIF(J838:M838,L_KOM)&gt;0)*S_KOM)))</f>
        <v/>
      </c>
      <c r="O838" s="11" t="n"/>
      <c r="P838" s="10">
        <f>IF(O838="","",IFERROR(VLOOKUP(O838,T_KHID,2,FALSE),0))</f>
        <v/>
      </c>
      <c r="Q838" s="11" t="n"/>
      <c r="R838" s="11" t="n"/>
      <c r="S838" s="10">
        <f>IF(AND(Q838="",R838=""),"",IFERROR(INDEX(T_LIBAT,MATCH(Q838,L_PER,0),MATCH(R838,L_JENIS,0)),0))</f>
        <v/>
      </c>
      <c r="T838" s="11" t="n"/>
      <c r="U838" s="11" t="n"/>
      <c r="V838" s="10">
        <f>IF(AND(T838="",U838=""),"",IFERROR(INDEX(T_CAPAI,MATCH(T838,L_PER,0),MATCH(U838,L_KED,0)),0))</f>
        <v/>
      </c>
      <c r="W838" s="17">
        <f>IF(OR(B838="",E838="",COUNTA(F838,H838,J838:M838,O838,Q838:R838,T838:U838)=0),"",SUM(G838,I838,N838,P838,S838,V838))</f>
        <v/>
      </c>
      <c r="X838" s="18">
        <f>IF(W838="","",IF(Murid!F838="TL","TL",ROUND(W838/110*100,2)))</f>
        <v/>
      </c>
    </row>
    <row r="839">
      <c r="A839" s="15">
        <f>Murid!A839</f>
        <v/>
      </c>
      <c r="B839" s="15">
        <f>IF(Murid!B839="","",Murid!B839)</f>
        <v/>
      </c>
      <c r="C839" s="16">
        <f>IF(Murid!C839="","",Murid!C839)</f>
        <v/>
      </c>
      <c r="D839" s="15">
        <f>IF(Murid!E839="","",Murid!E839)</f>
        <v/>
      </c>
      <c r="E839" s="11" t="n"/>
      <c r="F839" s="11" t="n"/>
      <c r="G839" s="10">
        <f>IF(F839="","",IFERROR(VLOOKUP(F839,T_JUB,2,FALSE),0))</f>
        <v/>
      </c>
      <c r="H839" s="11" t="n"/>
      <c r="I839" s="17">
        <f>IF(H839="","",IF(H839&gt;=12,40,ROUND(H839*3.33,2)))</f>
        <v/>
      </c>
      <c r="J839" s="11" t="n"/>
      <c r="K839" s="11" t="n"/>
      <c r="L839" s="11" t="n"/>
      <c r="M839" s="11" t="n"/>
      <c r="N839" s="10">
        <f>IF(COUNTA(J839:M839)=0,"",MIN(10,SUMPRODUCT((COUNTIF(J839:M839,L_KOM)&gt;0)*S_KOM)))</f>
        <v/>
      </c>
      <c r="O839" s="11" t="n"/>
      <c r="P839" s="10">
        <f>IF(O839="","",IFERROR(VLOOKUP(O839,T_KHID,2,FALSE),0))</f>
        <v/>
      </c>
      <c r="Q839" s="11" t="n"/>
      <c r="R839" s="11" t="n"/>
      <c r="S839" s="10">
        <f>IF(AND(Q839="",R839=""),"",IFERROR(INDEX(T_LIBAT,MATCH(Q839,L_PER,0),MATCH(R839,L_JENIS,0)),0))</f>
        <v/>
      </c>
      <c r="T839" s="11" t="n"/>
      <c r="U839" s="11" t="n"/>
      <c r="V839" s="10">
        <f>IF(AND(T839="",U839=""),"",IFERROR(INDEX(T_CAPAI,MATCH(T839,L_PER,0),MATCH(U839,L_KED,0)),0))</f>
        <v/>
      </c>
      <c r="W839" s="17">
        <f>IF(OR(B839="",E839="",COUNTA(F839,H839,J839:M839,O839,Q839:R839,T839:U839)=0),"",SUM(G839,I839,N839,P839,S839,V839))</f>
        <v/>
      </c>
      <c r="X839" s="18">
        <f>IF(W839="","",IF(Murid!F839="TL","TL",ROUND(W839/110*100,2)))</f>
        <v/>
      </c>
    </row>
    <row r="840">
      <c r="A840" s="15">
        <f>Murid!A840</f>
        <v/>
      </c>
      <c r="B840" s="15">
        <f>IF(Murid!B840="","",Murid!B840)</f>
        <v/>
      </c>
      <c r="C840" s="16">
        <f>IF(Murid!C840="","",Murid!C840)</f>
        <v/>
      </c>
      <c r="D840" s="15">
        <f>IF(Murid!E840="","",Murid!E840)</f>
        <v/>
      </c>
      <c r="E840" s="11" t="n"/>
      <c r="F840" s="11" t="n"/>
      <c r="G840" s="10">
        <f>IF(F840="","",IFERROR(VLOOKUP(F840,T_JUB,2,FALSE),0))</f>
        <v/>
      </c>
      <c r="H840" s="11" t="n"/>
      <c r="I840" s="17">
        <f>IF(H840="","",IF(H840&gt;=12,40,ROUND(H840*3.33,2)))</f>
        <v/>
      </c>
      <c r="J840" s="11" t="n"/>
      <c r="K840" s="11" t="n"/>
      <c r="L840" s="11" t="n"/>
      <c r="M840" s="11" t="n"/>
      <c r="N840" s="10">
        <f>IF(COUNTA(J840:M840)=0,"",MIN(10,SUMPRODUCT((COUNTIF(J840:M840,L_KOM)&gt;0)*S_KOM)))</f>
        <v/>
      </c>
      <c r="O840" s="11" t="n"/>
      <c r="P840" s="10">
        <f>IF(O840="","",IFERROR(VLOOKUP(O840,T_KHID,2,FALSE),0))</f>
        <v/>
      </c>
      <c r="Q840" s="11" t="n"/>
      <c r="R840" s="11" t="n"/>
      <c r="S840" s="10">
        <f>IF(AND(Q840="",R840=""),"",IFERROR(INDEX(T_LIBAT,MATCH(Q840,L_PER,0),MATCH(R840,L_JENIS,0)),0))</f>
        <v/>
      </c>
      <c r="T840" s="11" t="n"/>
      <c r="U840" s="11" t="n"/>
      <c r="V840" s="10">
        <f>IF(AND(T840="",U840=""),"",IFERROR(INDEX(T_CAPAI,MATCH(T840,L_PER,0),MATCH(U840,L_KED,0)),0))</f>
        <v/>
      </c>
      <c r="W840" s="17">
        <f>IF(OR(B840="",E840="",COUNTA(F840,H840,J840:M840,O840,Q840:R840,T840:U840)=0),"",SUM(G840,I840,N840,P840,S840,V840))</f>
        <v/>
      </c>
      <c r="X840" s="18">
        <f>IF(W840="","",IF(Murid!F840="TL","TL",ROUND(W840/110*100,2)))</f>
        <v/>
      </c>
    </row>
    <row r="841">
      <c r="A841" s="15">
        <f>Murid!A841</f>
        <v/>
      </c>
      <c r="B841" s="15">
        <f>IF(Murid!B841="","",Murid!B841)</f>
        <v/>
      </c>
      <c r="C841" s="16">
        <f>IF(Murid!C841="","",Murid!C841)</f>
        <v/>
      </c>
      <c r="D841" s="15">
        <f>IF(Murid!E841="","",Murid!E841)</f>
        <v/>
      </c>
      <c r="E841" s="11" t="n"/>
      <c r="F841" s="11" t="n"/>
      <c r="G841" s="10">
        <f>IF(F841="","",IFERROR(VLOOKUP(F841,T_JUB,2,FALSE),0))</f>
        <v/>
      </c>
      <c r="H841" s="11" t="n"/>
      <c r="I841" s="17">
        <f>IF(H841="","",IF(H841&gt;=12,40,ROUND(H841*3.33,2)))</f>
        <v/>
      </c>
      <c r="J841" s="11" t="n"/>
      <c r="K841" s="11" t="n"/>
      <c r="L841" s="11" t="n"/>
      <c r="M841" s="11" t="n"/>
      <c r="N841" s="10">
        <f>IF(COUNTA(J841:M841)=0,"",MIN(10,SUMPRODUCT((COUNTIF(J841:M841,L_KOM)&gt;0)*S_KOM)))</f>
        <v/>
      </c>
      <c r="O841" s="11" t="n"/>
      <c r="P841" s="10">
        <f>IF(O841="","",IFERROR(VLOOKUP(O841,T_KHID,2,FALSE),0))</f>
        <v/>
      </c>
      <c r="Q841" s="11" t="n"/>
      <c r="R841" s="11" t="n"/>
      <c r="S841" s="10">
        <f>IF(AND(Q841="",R841=""),"",IFERROR(INDEX(T_LIBAT,MATCH(Q841,L_PER,0),MATCH(R841,L_JENIS,0)),0))</f>
        <v/>
      </c>
      <c r="T841" s="11" t="n"/>
      <c r="U841" s="11" t="n"/>
      <c r="V841" s="10">
        <f>IF(AND(T841="",U841=""),"",IFERROR(INDEX(T_CAPAI,MATCH(T841,L_PER,0),MATCH(U841,L_KED,0)),0))</f>
        <v/>
      </c>
      <c r="W841" s="17">
        <f>IF(OR(B841="",E841="",COUNTA(F841,H841,J841:M841,O841,Q841:R841,T841:U841)=0),"",SUM(G841,I841,N841,P841,S841,V841))</f>
        <v/>
      </c>
      <c r="X841" s="18">
        <f>IF(W841="","",IF(Murid!F841="TL","TL",ROUND(W841/110*100,2)))</f>
        <v/>
      </c>
    </row>
    <row r="842">
      <c r="A842" s="15">
        <f>Murid!A842</f>
        <v/>
      </c>
      <c r="B842" s="15">
        <f>IF(Murid!B842="","",Murid!B842)</f>
        <v/>
      </c>
      <c r="C842" s="16">
        <f>IF(Murid!C842="","",Murid!C842)</f>
        <v/>
      </c>
      <c r="D842" s="15">
        <f>IF(Murid!E842="","",Murid!E842)</f>
        <v/>
      </c>
      <c r="E842" s="11" t="n"/>
      <c r="F842" s="11" t="n"/>
      <c r="G842" s="10">
        <f>IF(F842="","",IFERROR(VLOOKUP(F842,T_JUB,2,FALSE),0))</f>
        <v/>
      </c>
      <c r="H842" s="11" t="n"/>
      <c r="I842" s="17">
        <f>IF(H842="","",IF(H842&gt;=12,40,ROUND(H842*3.33,2)))</f>
        <v/>
      </c>
      <c r="J842" s="11" t="n"/>
      <c r="K842" s="11" t="n"/>
      <c r="L842" s="11" t="n"/>
      <c r="M842" s="11" t="n"/>
      <c r="N842" s="10">
        <f>IF(COUNTA(J842:M842)=0,"",MIN(10,SUMPRODUCT((COUNTIF(J842:M842,L_KOM)&gt;0)*S_KOM)))</f>
        <v/>
      </c>
      <c r="O842" s="11" t="n"/>
      <c r="P842" s="10">
        <f>IF(O842="","",IFERROR(VLOOKUP(O842,T_KHID,2,FALSE),0))</f>
        <v/>
      </c>
      <c r="Q842" s="11" t="n"/>
      <c r="R842" s="11" t="n"/>
      <c r="S842" s="10">
        <f>IF(AND(Q842="",R842=""),"",IFERROR(INDEX(T_LIBAT,MATCH(Q842,L_PER,0),MATCH(R842,L_JENIS,0)),0))</f>
        <v/>
      </c>
      <c r="T842" s="11" t="n"/>
      <c r="U842" s="11" t="n"/>
      <c r="V842" s="10">
        <f>IF(AND(T842="",U842=""),"",IFERROR(INDEX(T_CAPAI,MATCH(T842,L_PER,0),MATCH(U842,L_KED,0)),0))</f>
        <v/>
      </c>
      <c r="W842" s="17">
        <f>IF(OR(B842="",E842="",COUNTA(F842,H842,J842:M842,O842,Q842:R842,T842:U842)=0),"",SUM(G842,I842,N842,P842,S842,V842))</f>
        <v/>
      </c>
      <c r="X842" s="18">
        <f>IF(W842="","",IF(Murid!F842="TL","TL",ROUND(W842/110*100,2)))</f>
        <v/>
      </c>
    </row>
    <row r="843">
      <c r="A843" s="15">
        <f>Murid!A843</f>
        <v/>
      </c>
      <c r="B843" s="15">
        <f>IF(Murid!B843="","",Murid!B843)</f>
        <v/>
      </c>
      <c r="C843" s="16">
        <f>IF(Murid!C843="","",Murid!C843)</f>
        <v/>
      </c>
      <c r="D843" s="15">
        <f>IF(Murid!E843="","",Murid!E843)</f>
        <v/>
      </c>
      <c r="E843" s="11" t="n"/>
      <c r="F843" s="11" t="n"/>
      <c r="G843" s="10">
        <f>IF(F843="","",IFERROR(VLOOKUP(F843,T_JUB,2,FALSE),0))</f>
        <v/>
      </c>
      <c r="H843" s="11" t="n"/>
      <c r="I843" s="17">
        <f>IF(H843="","",IF(H843&gt;=12,40,ROUND(H843*3.33,2)))</f>
        <v/>
      </c>
      <c r="J843" s="11" t="n"/>
      <c r="K843" s="11" t="n"/>
      <c r="L843" s="11" t="n"/>
      <c r="M843" s="11" t="n"/>
      <c r="N843" s="10">
        <f>IF(COUNTA(J843:M843)=0,"",MIN(10,SUMPRODUCT((COUNTIF(J843:M843,L_KOM)&gt;0)*S_KOM)))</f>
        <v/>
      </c>
      <c r="O843" s="11" t="n"/>
      <c r="P843" s="10">
        <f>IF(O843="","",IFERROR(VLOOKUP(O843,T_KHID,2,FALSE),0))</f>
        <v/>
      </c>
      <c r="Q843" s="11" t="n"/>
      <c r="R843" s="11" t="n"/>
      <c r="S843" s="10">
        <f>IF(AND(Q843="",R843=""),"",IFERROR(INDEX(T_LIBAT,MATCH(Q843,L_PER,0),MATCH(R843,L_JENIS,0)),0))</f>
        <v/>
      </c>
      <c r="T843" s="11" t="n"/>
      <c r="U843" s="11" t="n"/>
      <c r="V843" s="10">
        <f>IF(AND(T843="",U843=""),"",IFERROR(INDEX(T_CAPAI,MATCH(T843,L_PER,0),MATCH(U843,L_KED,0)),0))</f>
        <v/>
      </c>
      <c r="W843" s="17">
        <f>IF(OR(B843="",E843="",COUNTA(F843,H843,J843:M843,O843,Q843:R843,T843:U843)=0),"",SUM(G843,I843,N843,P843,S843,V843))</f>
        <v/>
      </c>
      <c r="X843" s="18">
        <f>IF(W843="","",IF(Murid!F843="TL","TL",ROUND(W843/110*100,2)))</f>
        <v/>
      </c>
    </row>
    <row r="844">
      <c r="A844" s="15">
        <f>Murid!A844</f>
        <v/>
      </c>
      <c r="B844" s="15">
        <f>IF(Murid!B844="","",Murid!B844)</f>
        <v/>
      </c>
      <c r="C844" s="16">
        <f>IF(Murid!C844="","",Murid!C844)</f>
        <v/>
      </c>
      <c r="D844" s="15">
        <f>IF(Murid!E844="","",Murid!E844)</f>
        <v/>
      </c>
      <c r="E844" s="11" t="n"/>
      <c r="F844" s="11" t="n"/>
      <c r="G844" s="10">
        <f>IF(F844="","",IFERROR(VLOOKUP(F844,T_JUB,2,FALSE),0))</f>
        <v/>
      </c>
      <c r="H844" s="11" t="n"/>
      <c r="I844" s="17">
        <f>IF(H844="","",IF(H844&gt;=12,40,ROUND(H844*3.33,2)))</f>
        <v/>
      </c>
      <c r="J844" s="11" t="n"/>
      <c r="K844" s="11" t="n"/>
      <c r="L844" s="11" t="n"/>
      <c r="M844" s="11" t="n"/>
      <c r="N844" s="10">
        <f>IF(COUNTA(J844:M844)=0,"",MIN(10,SUMPRODUCT((COUNTIF(J844:M844,L_KOM)&gt;0)*S_KOM)))</f>
        <v/>
      </c>
      <c r="O844" s="11" t="n"/>
      <c r="P844" s="10">
        <f>IF(O844="","",IFERROR(VLOOKUP(O844,T_KHID,2,FALSE),0))</f>
        <v/>
      </c>
      <c r="Q844" s="11" t="n"/>
      <c r="R844" s="11" t="n"/>
      <c r="S844" s="10">
        <f>IF(AND(Q844="",R844=""),"",IFERROR(INDEX(T_LIBAT,MATCH(Q844,L_PER,0),MATCH(R844,L_JENIS,0)),0))</f>
        <v/>
      </c>
      <c r="T844" s="11" t="n"/>
      <c r="U844" s="11" t="n"/>
      <c r="V844" s="10">
        <f>IF(AND(T844="",U844=""),"",IFERROR(INDEX(T_CAPAI,MATCH(T844,L_PER,0),MATCH(U844,L_KED,0)),0))</f>
        <v/>
      </c>
      <c r="W844" s="17">
        <f>IF(OR(B844="",E844="",COUNTA(F844,H844,J844:M844,O844,Q844:R844,T844:U844)=0),"",SUM(G844,I844,N844,P844,S844,V844))</f>
        <v/>
      </c>
      <c r="X844" s="18">
        <f>IF(W844="","",IF(Murid!F844="TL","TL",ROUND(W844/110*100,2)))</f>
        <v/>
      </c>
    </row>
    <row r="845">
      <c r="A845" s="15">
        <f>Murid!A845</f>
        <v/>
      </c>
      <c r="B845" s="15">
        <f>IF(Murid!B845="","",Murid!B845)</f>
        <v/>
      </c>
      <c r="C845" s="16">
        <f>IF(Murid!C845="","",Murid!C845)</f>
        <v/>
      </c>
      <c r="D845" s="15">
        <f>IF(Murid!E845="","",Murid!E845)</f>
        <v/>
      </c>
      <c r="E845" s="11" t="n"/>
      <c r="F845" s="11" t="n"/>
      <c r="G845" s="10">
        <f>IF(F845="","",IFERROR(VLOOKUP(F845,T_JUB,2,FALSE),0))</f>
        <v/>
      </c>
      <c r="H845" s="11" t="n"/>
      <c r="I845" s="17">
        <f>IF(H845="","",IF(H845&gt;=12,40,ROUND(H845*3.33,2)))</f>
        <v/>
      </c>
      <c r="J845" s="11" t="n"/>
      <c r="K845" s="11" t="n"/>
      <c r="L845" s="11" t="n"/>
      <c r="M845" s="11" t="n"/>
      <c r="N845" s="10">
        <f>IF(COUNTA(J845:M845)=0,"",MIN(10,SUMPRODUCT((COUNTIF(J845:M845,L_KOM)&gt;0)*S_KOM)))</f>
        <v/>
      </c>
      <c r="O845" s="11" t="n"/>
      <c r="P845" s="10">
        <f>IF(O845="","",IFERROR(VLOOKUP(O845,T_KHID,2,FALSE),0))</f>
        <v/>
      </c>
      <c r="Q845" s="11" t="n"/>
      <c r="R845" s="11" t="n"/>
      <c r="S845" s="10">
        <f>IF(AND(Q845="",R845=""),"",IFERROR(INDEX(T_LIBAT,MATCH(Q845,L_PER,0),MATCH(R845,L_JENIS,0)),0))</f>
        <v/>
      </c>
      <c r="T845" s="11" t="n"/>
      <c r="U845" s="11" t="n"/>
      <c r="V845" s="10">
        <f>IF(AND(T845="",U845=""),"",IFERROR(INDEX(T_CAPAI,MATCH(T845,L_PER,0),MATCH(U845,L_KED,0)),0))</f>
        <v/>
      </c>
      <c r="W845" s="17">
        <f>IF(OR(B845="",E845="",COUNTA(F845,H845,J845:M845,O845,Q845:R845,T845:U845)=0),"",SUM(G845,I845,N845,P845,S845,V845))</f>
        <v/>
      </c>
      <c r="X845" s="18">
        <f>IF(W845="","",IF(Murid!F845="TL","TL",ROUND(W845/110*100,2)))</f>
        <v/>
      </c>
    </row>
    <row r="846">
      <c r="A846" s="15">
        <f>Murid!A846</f>
        <v/>
      </c>
      <c r="B846" s="15">
        <f>IF(Murid!B846="","",Murid!B846)</f>
        <v/>
      </c>
      <c r="C846" s="16">
        <f>IF(Murid!C846="","",Murid!C846)</f>
        <v/>
      </c>
      <c r="D846" s="15">
        <f>IF(Murid!E846="","",Murid!E846)</f>
        <v/>
      </c>
      <c r="E846" s="11" t="n"/>
      <c r="F846" s="11" t="n"/>
      <c r="G846" s="10">
        <f>IF(F846="","",IFERROR(VLOOKUP(F846,T_JUB,2,FALSE),0))</f>
        <v/>
      </c>
      <c r="H846" s="11" t="n"/>
      <c r="I846" s="17">
        <f>IF(H846="","",IF(H846&gt;=12,40,ROUND(H846*3.33,2)))</f>
        <v/>
      </c>
      <c r="J846" s="11" t="n"/>
      <c r="K846" s="11" t="n"/>
      <c r="L846" s="11" t="n"/>
      <c r="M846" s="11" t="n"/>
      <c r="N846" s="10">
        <f>IF(COUNTA(J846:M846)=0,"",MIN(10,SUMPRODUCT((COUNTIF(J846:M846,L_KOM)&gt;0)*S_KOM)))</f>
        <v/>
      </c>
      <c r="O846" s="11" t="n"/>
      <c r="P846" s="10">
        <f>IF(O846="","",IFERROR(VLOOKUP(O846,T_KHID,2,FALSE),0))</f>
        <v/>
      </c>
      <c r="Q846" s="11" t="n"/>
      <c r="R846" s="11" t="n"/>
      <c r="S846" s="10">
        <f>IF(AND(Q846="",R846=""),"",IFERROR(INDEX(T_LIBAT,MATCH(Q846,L_PER,0),MATCH(R846,L_JENIS,0)),0))</f>
        <v/>
      </c>
      <c r="T846" s="11" t="n"/>
      <c r="U846" s="11" t="n"/>
      <c r="V846" s="10">
        <f>IF(AND(T846="",U846=""),"",IFERROR(INDEX(T_CAPAI,MATCH(T846,L_PER,0),MATCH(U846,L_KED,0)),0))</f>
        <v/>
      </c>
      <c r="W846" s="17">
        <f>IF(OR(B846="",E846="",COUNTA(F846,H846,J846:M846,O846,Q846:R846,T846:U846)=0),"",SUM(G846,I846,N846,P846,S846,V846))</f>
        <v/>
      </c>
      <c r="X846" s="18">
        <f>IF(W846="","",IF(Murid!F846="TL","TL",ROUND(W846/110*100,2)))</f>
        <v/>
      </c>
    </row>
    <row r="847">
      <c r="A847" s="15">
        <f>Murid!A847</f>
        <v/>
      </c>
      <c r="B847" s="15">
        <f>IF(Murid!B847="","",Murid!B847)</f>
        <v/>
      </c>
      <c r="C847" s="16">
        <f>IF(Murid!C847="","",Murid!C847)</f>
        <v/>
      </c>
      <c r="D847" s="15">
        <f>IF(Murid!E847="","",Murid!E847)</f>
        <v/>
      </c>
      <c r="E847" s="11" t="n"/>
      <c r="F847" s="11" t="n"/>
      <c r="G847" s="10">
        <f>IF(F847="","",IFERROR(VLOOKUP(F847,T_JUB,2,FALSE),0))</f>
        <v/>
      </c>
      <c r="H847" s="11" t="n"/>
      <c r="I847" s="17">
        <f>IF(H847="","",IF(H847&gt;=12,40,ROUND(H847*3.33,2)))</f>
        <v/>
      </c>
      <c r="J847" s="11" t="n"/>
      <c r="K847" s="11" t="n"/>
      <c r="L847" s="11" t="n"/>
      <c r="M847" s="11" t="n"/>
      <c r="N847" s="10">
        <f>IF(COUNTA(J847:M847)=0,"",MIN(10,SUMPRODUCT((COUNTIF(J847:M847,L_KOM)&gt;0)*S_KOM)))</f>
        <v/>
      </c>
      <c r="O847" s="11" t="n"/>
      <c r="P847" s="10">
        <f>IF(O847="","",IFERROR(VLOOKUP(O847,T_KHID,2,FALSE),0))</f>
        <v/>
      </c>
      <c r="Q847" s="11" t="n"/>
      <c r="R847" s="11" t="n"/>
      <c r="S847" s="10">
        <f>IF(AND(Q847="",R847=""),"",IFERROR(INDEX(T_LIBAT,MATCH(Q847,L_PER,0),MATCH(R847,L_JENIS,0)),0))</f>
        <v/>
      </c>
      <c r="T847" s="11" t="n"/>
      <c r="U847" s="11" t="n"/>
      <c r="V847" s="10">
        <f>IF(AND(T847="",U847=""),"",IFERROR(INDEX(T_CAPAI,MATCH(T847,L_PER,0),MATCH(U847,L_KED,0)),0))</f>
        <v/>
      </c>
      <c r="W847" s="17">
        <f>IF(OR(B847="",E847="",COUNTA(F847,H847,J847:M847,O847,Q847:R847,T847:U847)=0),"",SUM(G847,I847,N847,P847,S847,V847))</f>
        <v/>
      </c>
      <c r="X847" s="18">
        <f>IF(W847="","",IF(Murid!F847="TL","TL",ROUND(W847/110*100,2)))</f>
        <v/>
      </c>
    </row>
    <row r="848">
      <c r="A848" s="15">
        <f>Murid!A848</f>
        <v/>
      </c>
      <c r="B848" s="15">
        <f>IF(Murid!B848="","",Murid!B848)</f>
        <v/>
      </c>
      <c r="C848" s="16">
        <f>IF(Murid!C848="","",Murid!C848)</f>
        <v/>
      </c>
      <c r="D848" s="15">
        <f>IF(Murid!E848="","",Murid!E848)</f>
        <v/>
      </c>
      <c r="E848" s="11" t="n"/>
      <c r="F848" s="11" t="n"/>
      <c r="G848" s="10">
        <f>IF(F848="","",IFERROR(VLOOKUP(F848,T_JUB,2,FALSE),0))</f>
        <v/>
      </c>
      <c r="H848" s="11" t="n"/>
      <c r="I848" s="17">
        <f>IF(H848="","",IF(H848&gt;=12,40,ROUND(H848*3.33,2)))</f>
        <v/>
      </c>
      <c r="J848" s="11" t="n"/>
      <c r="K848" s="11" t="n"/>
      <c r="L848" s="11" t="n"/>
      <c r="M848" s="11" t="n"/>
      <c r="N848" s="10">
        <f>IF(COUNTA(J848:M848)=0,"",MIN(10,SUMPRODUCT((COUNTIF(J848:M848,L_KOM)&gt;0)*S_KOM)))</f>
        <v/>
      </c>
      <c r="O848" s="11" t="n"/>
      <c r="P848" s="10">
        <f>IF(O848="","",IFERROR(VLOOKUP(O848,T_KHID,2,FALSE),0))</f>
        <v/>
      </c>
      <c r="Q848" s="11" t="n"/>
      <c r="R848" s="11" t="n"/>
      <c r="S848" s="10">
        <f>IF(AND(Q848="",R848=""),"",IFERROR(INDEX(T_LIBAT,MATCH(Q848,L_PER,0),MATCH(R848,L_JENIS,0)),0))</f>
        <v/>
      </c>
      <c r="T848" s="11" t="n"/>
      <c r="U848" s="11" t="n"/>
      <c r="V848" s="10">
        <f>IF(AND(T848="",U848=""),"",IFERROR(INDEX(T_CAPAI,MATCH(T848,L_PER,0),MATCH(U848,L_KED,0)),0))</f>
        <v/>
      </c>
      <c r="W848" s="17">
        <f>IF(OR(B848="",E848="",COUNTA(F848,H848,J848:M848,O848,Q848:R848,T848:U848)=0),"",SUM(G848,I848,N848,P848,S848,V848))</f>
        <v/>
      </c>
      <c r="X848" s="18">
        <f>IF(W848="","",IF(Murid!F848="TL","TL",ROUND(W848/110*100,2)))</f>
        <v/>
      </c>
    </row>
    <row r="849">
      <c r="A849" s="15">
        <f>Murid!A849</f>
        <v/>
      </c>
      <c r="B849" s="15">
        <f>IF(Murid!B849="","",Murid!B849)</f>
        <v/>
      </c>
      <c r="C849" s="16">
        <f>IF(Murid!C849="","",Murid!C849)</f>
        <v/>
      </c>
      <c r="D849" s="15">
        <f>IF(Murid!E849="","",Murid!E849)</f>
        <v/>
      </c>
      <c r="E849" s="11" t="n"/>
      <c r="F849" s="11" t="n"/>
      <c r="G849" s="10">
        <f>IF(F849="","",IFERROR(VLOOKUP(F849,T_JUB,2,FALSE),0))</f>
        <v/>
      </c>
      <c r="H849" s="11" t="n"/>
      <c r="I849" s="17">
        <f>IF(H849="","",IF(H849&gt;=12,40,ROUND(H849*3.33,2)))</f>
        <v/>
      </c>
      <c r="J849" s="11" t="n"/>
      <c r="K849" s="11" t="n"/>
      <c r="L849" s="11" t="n"/>
      <c r="M849" s="11" t="n"/>
      <c r="N849" s="10">
        <f>IF(COUNTA(J849:M849)=0,"",MIN(10,SUMPRODUCT((COUNTIF(J849:M849,L_KOM)&gt;0)*S_KOM)))</f>
        <v/>
      </c>
      <c r="O849" s="11" t="n"/>
      <c r="P849" s="10">
        <f>IF(O849="","",IFERROR(VLOOKUP(O849,T_KHID,2,FALSE),0))</f>
        <v/>
      </c>
      <c r="Q849" s="11" t="n"/>
      <c r="R849" s="11" t="n"/>
      <c r="S849" s="10">
        <f>IF(AND(Q849="",R849=""),"",IFERROR(INDEX(T_LIBAT,MATCH(Q849,L_PER,0),MATCH(R849,L_JENIS,0)),0))</f>
        <v/>
      </c>
      <c r="T849" s="11" t="n"/>
      <c r="U849" s="11" t="n"/>
      <c r="V849" s="10">
        <f>IF(AND(T849="",U849=""),"",IFERROR(INDEX(T_CAPAI,MATCH(T849,L_PER,0),MATCH(U849,L_KED,0)),0))</f>
        <v/>
      </c>
      <c r="W849" s="17">
        <f>IF(OR(B849="",E849="",COUNTA(F849,H849,J849:M849,O849,Q849:R849,T849:U849)=0),"",SUM(G849,I849,N849,P849,S849,V849))</f>
        <v/>
      </c>
      <c r="X849" s="18">
        <f>IF(W849="","",IF(Murid!F849="TL","TL",ROUND(W849/110*100,2)))</f>
        <v/>
      </c>
    </row>
    <row r="850">
      <c r="A850" s="15">
        <f>Murid!A850</f>
        <v/>
      </c>
      <c r="B850" s="15">
        <f>IF(Murid!B850="","",Murid!B850)</f>
        <v/>
      </c>
      <c r="C850" s="16">
        <f>IF(Murid!C850="","",Murid!C850)</f>
        <v/>
      </c>
      <c r="D850" s="15">
        <f>IF(Murid!E850="","",Murid!E850)</f>
        <v/>
      </c>
      <c r="E850" s="11" t="n"/>
      <c r="F850" s="11" t="n"/>
      <c r="G850" s="10">
        <f>IF(F850="","",IFERROR(VLOOKUP(F850,T_JUB,2,FALSE),0))</f>
        <v/>
      </c>
      <c r="H850" s="11" t="n"/>
      <c r="I850" s="17">
        <f>IF(H850="","",IF(H850&gt;=12,40,ROUND(H850*3.33,2)))</f>
        <v/>
      </c>
      <c r="J850" s="11" t="n"/>
      <c r="K850" s="11" t="n"/>
      <c r="L850" s="11" t="n"/>
      <c r="M850" s="11" t="n"/>
      <c r="N850" s="10">
        <f>IF(COUNTA(J850:M850)=0,"",MIN(10,SUMPRODUCT((COUNTIF(J850:M850,L_KOM)&gt;0)*S_KOM)))</f>
        <v/>
      </c>
      <c r="O850" s="11" t="n"/>
      <c r="P850" s="10">
        <f>IF(O850="","",IFERROR(VLOOKUP(O850,T_KHID,2,FALSE),0))</f>
        <v/>
      </c>
      <c r="Q850" s="11" t="n"/>
      <c r="R850" s="11" t="n"/>
      <c r="S850" s="10">
        <f>IF(AND(Q850="",R850=""),"",IFERROR(INDEX(T_LIBAT,MATCH(Q850,L_PER,0),MATCH(R850,L_JENIS,0)),0))</f>
        <v/>
      </c>
      <c r="T850" s="11" t="n"/>
      <c r="U850" s="11" t="n"/>
      <c r="V850" s="10">
        <f>IF(AND(T850="",U850=""),"",IFERROR(INDEX(T_CAPAI,MATCH(T850,L_PER,0),MATCH(U850,L_KED,0)),0))</f>
        <v/>
      </c>
      <c r="W850" s="17">
        <f>IF(OR(B850="",E850="",COUNTA(F850,H850,J850:M850,O850,Q850:R850,T850:U850)=0),"",SUM(G850,I850,N850,P850,S850,V850))</f>
        <v/>
      </c>
      <c r="X850" s="18">
        <f>IF(W850="","",IF(Murid!F850="TL","TL",ROUND(W850/110*100,2)))</f>
        <v/>
      </c>
    </row>
    <row r="851">
      <c r="A851" s="15">
        <f>Murid!A851</f>
        <v/>
      </c>
      <c r="B851" s="15">
        <f>IF(Murid!B851="","",Murid!B851)</f>
        <v/>
      </c>
      <c r="C851" s="16">
        <f>IF(Murid!C851="","",Murid!C851)</f>
        <v/>
      </c>
      <c r="D851" s="15">
        <f>IF(Murid!E851="","",Murid!E851)</f>
        <v/>
      </c>
      <c r="E851" s="11" t="n"/>
      <c r="F851" s="11" t="n"/>
      <c r="G851" s="10">
        <f>IF(F851="","",IFERROR(VLOOKUP(F851,T_JUB,2,FALSE),0))</f>
        <v/>
      </c>
      <c r="H851" s="11" t="n"/>
      <c r="I851" s="17">
        <f>IF(H851="","",IF(H851&gt;=12,40,ROUND(H851*3.33,2)))</f>
        <v/>
      </c>
      <c r="J851" s="11" t="n"/>
      <c r="K851" s="11" t="n"/>
      <c r="L851" s="11" t="n"/>
      <c r="M851" s="11" t="n"/>
      <c r="N851" s="10">
        <f>IF(COUNTA(J851:M851)=0,"",MIN(10,SUMPRODUCT((COUNTIF(J851:M851,L_KOM)&gt;0)*S_KOM)))</f>
        <v/>
      </c>
      <c r="O851" s="11" t="n"/>
      <c r="P851" s="10">
        <f>IF(O851="","",IFERROR(VLOOKUP(O851,T_KHID,2,FALSE),0))</f>
        <v/>
      </c>
      <c r="Q851" s="11" t="n"/>
      <c r="R851" s="11" t="n"/>
      <c r="S851" s="10">
        <f>IF(AND(Q851="",R851=""),"",IFERROR(INDEX(T_LIBAT,MATCH(Q851,L_PER,0),MATCH(R851,L_JENIS,0)),0))</f>
        <v/>
      </c>
      <c r="T851" s="11" t="n"/>
      <c r="U851" s="11" t="n"/>
      <c r="V851" s="10">
        <f>IF(AND(T851="",U851=""),"",IFERROR(INDEX(T_CAPAI,MATCH(T851,L_PER,0),MATCH(U851,L_KED,0)),0))</f>
        <v/>
      </c>
      <c r="W851" s="17">
        <f>IF(OR(B851="",E851="",COUNTA(F851,H851,J851:M851,O851,Q851:R851,T851:U851)=0),"",SUM(G851,I851,N851,P851,S851,V851))</f>
        <v/>
      </c>
      <c r="X851" s="18">
        <f>IF(W851="","",IF(Murid!F851="TL","TL",ROUND(W851/110*100,2)))</f>
        <v/>
      </c>
    </row>
    <row r="852">
      <c r="A852" s="15">
        <f>Murid!A852</f>
        <v/>
      </c>
      <c r="B852" s="15">
        <f>IF(Murid!B852="","",Murid!B852)</f>
        <v/>
      </c>
      <c r="C852" s="16">
        <f>IF(Murid!C852="","",Murid!C852)</f>
        <v/>
      </c>
      <c r="D852" s="15">
        <f>IF(Murid!E852="","",Murid!E852)</f>
        <v/>
      </c>
      <c r="E852" s="11" t="n"/>
      <c r="F852" s="11" t="n"/>
      <c r="G852" s="10">
        <f>IF(F852="","",IFERROR(VLOOKUP(F852,T_JUB,2,FALSE),0))</f>
        <v/>
      </c>
      <c r="H852" s="11" t="n"/>
      <c r="I852" s="17">
        <f>IF(H852="","",IF(H852&gt;=12,40,ROUND(H852*3.33,2)))</f>
        <v/>
      </c>
      <c r="J852" s="11" t="n"/>
      <c r="K852" s="11" t="n"/>
      <c r="L852" s="11" t="n"/>
      <c r="M852" s="11" t="n"/>
      <c r="N852" s="10">
        <f>IF(COUNTA(J852:M852)=0,"",MIN(10,SUMPRODUCT((COUNTIF(J852:M852,L_KOM)&gt;0)*S_KOM)))</f>
        <v/>
      </c>
      <c r="O852" s="11" t="n"/>
      <c r="P852" s="10">
        <f>IF(O852="","",IFERROR(VLOOKUP(O852,T_KHID,2,FALSE),0))</f>
        <v/>
      </c>
      <c r="Q852" s="11" t="n"/>
      <c r="R852" s="11" t="n"/>
      <c r="S852" s="10">
        <f>IF(AND(Q852="",R852=""),"",IFERROR(INDEX(T_LIBAT,MATCH(Q852,L_PER,0),MATCH(R852,L_JENIS,0)),0))</f>
        <v/>
      </c>
      <c r="T852" s="11" t="n"/>
      <c r="U852" s="11" t="n"/>
      <c r="V852" s="10">
        <f>IF(AND(T852="",U852=""),"",IFERROR(INDEX(T_CAPAI,MATCH(T852,L_PER,0),MATCH(U852,L_KED,0)),0))</f>
        <v/>
      </c>
      <c r="W852" s="17">
        <f>IF(OR(B852="",E852="",COUNTA(F852,H852,J852:M852,O852,Q852:R852,T852:U852)=0),"",SUM(G852,I852,N852,P852,S852,V852))</f>
        <v/>
      </c>
      <c r="X852" s="18">
        <f>IF(W852="","",IF(Murid!F852="TL","TL",ROUND(W852/110*100,2)))</f>
        <v/>
      </c>
    </row>
    <row r="853">
      <c r="A853" s="15">
        <f>Murid!A853</f>
        <v/>
      </c>
      <c r="B853" s="15">
        <f>IF(Murid!B853="","",Murid!B853)</f>
        <v/>
      </c>
      <c r="C853" s="16">
        <f>IF(Murid!C853="","",Murid!C853)</f>
        <v/>
      </c>
      <c r="D853" s="15">
        <f>IF(Murid!E853="","",Murid!E853)</f>
        <v/>
      </c>
      <c r="E853" s="11" t="n"/>
      <c r="F853" s="11" t="n"/>
      <c r="G853" s="10">
        <f>IF(F853="","",IFERROR(VLOOKUP(F853,T_JUB,2,FALSE),0))</f>
        <v/>
      </c>
      <c r="H853" s="11" t="n"/>
      <c r="I853" s="17">
        <f>IF(H853="","",IF(H853&gt;=12,40,ROUND(H853*3.33,2)))</f>
        <v/>
      </c>
      <c r="J853" s="11" t="n"/>
      <c r="K853" s="11" t="n"/>
      <c r="L853" s="11" t="n"/>
      <c r="M853" s="11" t="n"/>
      <c r="N853" s="10">
        <f>IF(COUNTA(J853:M853)=0,"",MIN(10,SUMPRODUCT((COUNTIF(J853:M853,L_KOM)&gt;0)*S_KOM)))</f>
        <v/>
      </c>
      <c r="O853" s="11" t="n"/>
      <c r="P853" s="10">
        <f>IF(O853="","",IFERROR(VLOOKUP(O853,T_KHID,2,FALSE),0))</f>
        <v/>
      </c>
      <c r="Q853" s="11" t="n"/>
      <c r="R853" s="11" t="n"/>
      <c r="S853" s="10">
        <f>IF(AND(Q853="",R853=""),"",IFERROR(INDEX(T_LIBAT,MATCH(Q853,L_PER,0),MATCH(R853,L_JENIS,0)),0))</f>
        <v/>
      </c>
      <c r="T853" s="11" t="n"/>
      <c r="U853" s="11" t="n"/>
      <c r="V853" s="10">
        <f>IF(AND(T853="",U853=""),"",IFERROR(INDEX(T_CAPAI,MATCH(T853,L_PER,0),MATCH(U853,L_KED,0)),0))</f>
        <v/>
      </c>
      <c r="W853" s="17">
        <f>IF(OR(B853="",E853="",COUNTA(F853,H853,J853:M853,O853,Q853:R853,T853:U853)=0),"",SUM(G853,I853,N853,P853,S853,V853))</f>
        <v/>
      </c>
      <c r="X853" s="18">
        <f>IF(W853="","",IF(Murid!F853="TL","TL",ROUND(W853/110*100,2)))</f>
        <v/>
      </c>
    </row>
    <row r="854">
      <c r="A854" s="15">
        <f>Murid!A854</f>
        <v/>
      </c>
      <c r="B854" s="15">
        <f>IF(Murid!B854="","",Murid!B854)</f>
        <v/>
      </c>
      <c r="C854" s="16">
        <f>IF(Murid!C854="","",Murid!C854)</f>
        <v/>
      </c>
      <c r="D854" s="15">
        <f>IF(Murid!E854="","",Murid!E854)</f>
        <v/>
      </c>
      <c r="E854" s="11" t="n"/>
      <c r="F854" s="11" t="n"/>
      <c r="G854" s="10">
        <f>IF(F854="","",IFERROR(VLOOKUP(F854,T_JUB,2,FALSE),0))</f>
        <v/>
      </c>
      <c r="H854" s="11" t="n"/>
      <c r="I854" s="17">
        <f>IF(H854="","",IF(H854&gt;=12,40,ROUND(H854*3.33,2)))</f>
        <v/>
      </c>
      <c r="J854" s="11" t="n"/>
      <c r="K854" s="11" t="n"/>
      <c r="L854" s="11" t="n"/>
      <c r="M854" s="11" t="n"/>
      <c r="N854" s="10">
        <f>IF(COUNTA(J854:M854)=0,"",MIN(10,SUMPRODUCT((COUNTIF(J854:M854,L_KOM)&gt;0)*S_KOM)))</f>
        <v/>
      </c>
      <c r="O854" s="11" t="n"/>
      <c r="P854" s="10">
        <f>IF(O854="","",IFERROR(VLOOKUP(O854,T_KHID,2,FALSE),0))</f>
        <v/>
      </c>
      <c r="Q854" s="11" t="n"/>
      <c r="R854" s="11" t="n"/>
      <c r="S854" s="10">
        <f>IF(AND(Q854="",R854=""),"",IFERROR(INDEX(T_LIBAT,MATCH(Q854,L_PER,0),MATCH(R854,L_JENIS,0)),0))</f>
        <v/>
      </c>
      <c r="T854" s="11" t="n"/>
      <c r="U854" s="11" t="n"/>
      <c r="V854" s="10">
        <f>IF(AND(T854="",U854=""),"",IFERROR(INDEX(T_CAPAI,MATCH(T854,L_PER,0),MATCH(U854,L_KED,0)),0))</f>
        <v/>
      </c>
      <c r="W854" s="17">
        <f>IF(OR(B854="",E854="",COUNTA(F854,H854,J854:M854,O854,Q854:R854,T854:U854)=0),"",SUM(G854,I854,N854,P854,S854,V854))</f>
        <v/>
      </c>
      <c r="X854" s="18">
        <f>IF(W854="","",IF(Murid!F854="TL","TL",ROUND(W854/110*100,2)))</f>
        <v/>
      </c>
    </row>
    <row r="855">
      <c r="A855" s="15">
        <f>Murid!A855</f>
        <v/>
      </c>
      <c r="B855" s="15">
        <f>IF(Murid!B855="","",Murid!B855)</f>
        <v/>
      </c>
      <c r="C855" s="16">
        <f>IF(Murid!C855="","",Murid!C855)</f>
        <v/>
      </c>
      <c r="D855" s="15">
        <f>IF(Murid!E855="","",Murid!E855)</f>
        <v/>
      </c>
      <c r="E855" s="11" t="n"/>
      <c r="F855" s="11" t="n"/>
      <c r="G855" s="10">
        <f>IF(F855="","",IFERROR(VLOOKUP(F855,T_JUB,2,FALSE),0))</f>
        <v/>
      </c>
      <c r="H855" s="11" t="n"/>
      <c r="I855" s="17">
        <f>IF(H855="","",IF(H855&gt;=12,40,ROUND(H855*3.33,2)))</f>
        <v/>
      </c>
      <c r="J855" s="11" t="n"/>
      <c r="K855" s="11" t="n"/>
      <c r="L855" s="11" t="n"/>
      <c r="M855" s="11" t="n"/>
      <c r="N855" s="10">
        <f>IF(COUNTA(J855:M855)=0,"",MIN(10,SUMPRODUCT((COUNTIF(J855:M855,L_KOM)&gt;0)*S_KOM)))</f>
        <v/>
      </c>
      <c r="O855" s="11" t="n"/>
      <c r="P855" s="10">
        <f>IF(O855="","",IFERROR(VLOOKUP(O855,T_KHID,2,FALSE),0))</f>
        <v/>
      </c>
      <c r="Q855" s="11" t="n"/>
      <c r="R855" s="11" t="n"/>
      <c r="S855" s="10">
        <f>IF(AND(Q855="",R855=""),"",IFERROR(INDEX(T_LIBAT,MATCH(Q855,L_PER,0),MATCH(R855,L_JENIS,0)),0))</f>
        <v/>
      </c>
      <c r="T855" s="11" t="n"/>
      <c r="U855" s="11" t="n"/>
      <c r="V855" s="10">
        <f>IF(AND(T855="",U855=""),"",IFERROR(INDEX(T_CAPAI,MATCH(T855,L_PER,0),MATCH(U855,L_KED,0)),0))</f>
        <v/>
      </c>
      <c r="W855" s="17">
        <f>IF(OR(B855="",E855="",COUNTA(F855,H855,J855:M855,O855,Q855:R855,T855:U855)=0),"",SUM(G855,I855,N855,P855,S855,V855))</f>
        <v/>
      </c>
      <c r="X855" s="18">
        <f>IF(W855="","",IF(Murid!F855="TL","TL",ROUND(W855/110*100,2)))</f>
        <v/>
      </c>
    </row>
    <row r="856">
      <c r="A856" s="15">
        <f>Murid!A856</f>
        <v/>
      </c>
      <c r="B856" s="15">
        <f>IF(Murid!B856="","",Murid!B856)</f>
        <v/>
      </c>
      <c r="C856" s="16">
        <f>IF(Murid!C856="","",Murid!C856)</f>
        <v/>
      </c>
      <c r="D856" s="15">
        <f>IF(Murid!E856="","",Murid!E856)</f>
        <v/>
      </c>
      <c r="E856" s="11" t="n"/>
      <c r="F856" s="11" t="n"/>
      <c r="G856" s="10">
        <f>IF(F856="","",IFERROR(VLOOKUP(F856,T_JUB,2,FALSE),0))</f>
        <v/>
      </c>
      <c r="H856" s="11" t="n"/>
      <c r="I856" s="17">
        <f>IF(H856="","",IF(H856&gt;=12,40,ROUND(H856*3.33,2)))</f>
        <v/>
      </c>
      <c r="J856" s="11" t="n"/>
      <c r="K856" s="11" t="n"/>
      <c r="L856" s="11" t="n"/>
      <c r="M856" s="11" t="n"/>
      <c r="N856" s="10">
        <f>IF(COUNTA(J856:M856)=0,"",MIN(10,SUMPRODUCT((COUNTIF(J856:M856,L_KOM)&gt;0)*S_KOM)))</f>
        <v/>
      </c>
      <c r="O856" s="11" t="n"/>
      <c r="P856" s="10">
        <f>IF(O856="","",IFERROR(VLOOKUP(O856,T_KHID,2,FALSE),0))</f>
        <v/>
      </c>
      <c r="Q856" s="11" t="n"/>
      <c r="R856" s="11" t="n"/>
      <c r="S856" s="10">
        <f>IF(AND(Q856="",R856=""),"",IFERROR(INDEX(T_LIBAT,MATCH(Q856,L_PER,0),MATCH(R856,L_JENIS,0)),0))</f>
        <v/>
      </c>
      <c r="T856" s="11" t="n"/>
      <c r="U856" s="11" t="n"/>
      <c r="V856" s="10">
        <f>IF(AND(T856="",U856=""),"",IFERROR(INDEX(T_CAPAI,MATCH(T856,L_PER,0),MATCH(U856,L_KED,0)),0))</f>
        <v/>
      </c>
      <c r="W856" s="17">
        <f>IF(OR(B856="",E856="",COUNTA(F856,H856,J856:M856,O856,Q856:R856,T856:U856)=0),"",SUM(G856,I856,N856,P856,S856,V856))</f>
        <v/>
      </c>
      <c r="X856" s="18">
        <f>IF(W856="","",IF(Murid!F856="TL","TL",ROUND(W856/110*100,2)))</f>
        <v/>
      </c>
    </row>
    <row r="857">
      <c r="A857" s="15">
        <f>Murid!A857</f>
        <v/>
      </c>
      <c r="B857" s="15">
        <f>IF(Murid!B857="","",Murid!B857)</f>
        <v/>
      </c>
      <c r="C857" s="16">
        <f>IF(Murid!C857="","",Murid!C857)</f>
        <v/>
      </c>
      <c r="D857" s="15">
        <f>IF(Murid!E857="","",Murid!E857)</f>
        <v/>
      </c>
      <c r="E857" s="11" t="n"/>
      <c r="F857" s="11" t="n"/>
      <c r="G857" s="10">
        <f>IF(F857="","",IFERROR(VLOOKUP(F857,T_JUB,2,FALSE),0))</f>
        <v/>
      </c>
      <c r="H857" s="11" t="n"/>
      <c r="I857" s="17">
        <f>IF(H857="","",IF(H857&gt;=12,40,ROUND(H857*3.33,2)))</f>
        <v/>
      </c>
      <c r="J857" s="11" t="n"/>
      <c r="K857" s="11" t="n"/>
      <c r="L857" s="11" t="n"/>
      <c r="M857" s="11" t="n"/>
      <c r="N857" s="10">
        <f>IF(COUNTA(J857:M857)=0,"",MIN(10,SUMPRODUCT((COUNTIF(J857:M857,L_KOM)&gt;0)*S_KOM)))</f>
        <v/>
      </c>
      <c r="O857" s="11" t="n"/>
      <c r="P857" s="10">
        <f>IF(O857="","",IFERROR(VLOOKUP(O857,T_KHID,2,FALSE),0))</f>
        <v/>
      </c>
      <c r="Q857" s="11" t="n"/>
      <c r="R857" s="11" t="n"/>
      <c r="S857" s="10">
        <f>IF(AND(Q857="",R857=""),"",IFERROR(INDEX(T_LIBAT,MATCH(Q857,L_PER,0),MATCH(R857,L_JENIS,0)),0))</f>
        <v/>
      </c>
      <c r="T857" s="11" t="n"/>
      <c r="U857" s="11" t="n"/>
      <c r="V857" s="10">
        <f>IF(AND(T857="",U857=""),"",IFERROR(INDEX(T_CAPAI,MATCH(T857,L_PER,0),MATCH(U857,L_KED,0)),0))</f>
        <v/>
      </c>
      <c r="W857" s="17">
        <f>IF(OR(B857="",E857="",COUNTA(F857,H857,J857:M857,O857,Q857:R857,T857:U857)=0),"",SUM(G857,I857,N857,P857,S857,V857))</f>
        <v/>
      </c>
      <c r="X857" s="18">
        <f>IF(W857="","",IF(Murid!F857="TL","TL",ROUND(W857/110*100,2)))</f>
        <v/>
      </c>
    </row>
    <row r="858">
      <c r="A858" s="15">
        <f>Murid!A858</f>
        <v/>
      </c>
      <c r="B858" s="15">
        <f>IF(Murid!B858="","",Murid!B858)</f>
        <v/>
      </c>
      <c r="C858" s="16">
        <f>IF(Murid!C858="","",Murid!C858)</f>
        <v/>
      </c>
      <c r="D858" s="15">
        <f>IF(Murid!E858="","",Murid!E858)</f>
        <v/>
      </c>
      <c r="E858" s="11" t="n"/>
      <c r="F858" s="11" t="n"/>
      <c r="G858" s="10">
        <f>IF(F858="","",IFERROR(VLOOKUP(F858,T_JUB,2,FALSE),0))</f>
        <v/>
      </c>
      <c r="H858" s="11" t="n"/>
      <c r="I858" s="17">
        <f>IF(H858="","",IF(H858&gt;=12,40,ROUND(H858*3.33,2)))</f>
        <v/>
      </c>
      <c r="J858" s="11" t="n"/>
      <c r="K858" s="11" t="n"/>
      <c r="L858" s="11" t="n"/>
      <c r="M858" s="11" t="n"/>
      <c r="N858" s="10">
        <f>IF(COUNTA(J858:M858)=0,"",MIN(10,SUMPRODUCT((COUNTIF(J858:M858,L_KOM)&gt;0)*S_KOM)))</f>
        <v/>
      </c>
      <c r="O858" s="11" t="n"/>
      <c r="P858" s="10">
        <f>IF(O858="","",IFERROR(VLOOKUP(O858,T_KHID,2,FALSE),0))</f>
        <v/>
      </c>
      <c r="Q858" s="11" t="n"/>
      <c r="R858" s="11" t="n"/>
      <c r="S858" s="10">
        <f>IF(AND(Q858="",R858=""),"",IFERROR(INDEX(T_LIBAT,MATCH(Q858,L_PER,0),MATCH(R858,L_JENIS,0)),0))</f>
        <v/>
      </c>
      <c r="T858" s="11" t="n"/>
      <c r="U858" s="11" t="n"/>
      <c r="V858" s="10">
        <f>IF(AND(T858="",U858=""),"",IFERROR(INDEX(T_CAPAI,MATCH(T858,L_PER,0),MATCH(U858,L_KED,0)),0))</f>
        <v/>
      </c>
      <c r="W858" s="17">
        <f>IF(OR(B858="",E858="",COUNTA(F858,H858,J858:M858,O858,Q858:R858,T858:U858)=0),"",SUM(G858,I858,N858,P858,S858,V858))</f>
        <v/>
      </c>
      <c r="X858" s="18">
        <f>IF(W858="","",IF(Murid!F858="TL","TL",ROUND(W858/110*100,2)))</f>
        <v/>
      </c>
    </row>
    <row r="859">
      <c r="A859" s="15">
        <f>Murid!A859</f>
        <v/>
      </c>
      <c r="B859" s="15">
        <f>IF(Murid!B859="","",Murid!B859)</f>
        <v/>
      </c>
      <c r="C859" s="16">
        <f>IF(Murid!C859="","",Murid!C859)</f>
        <v/>
      </c>
      <c r="D859" s="15">
        <f>IF(Murid!E859="","",Murid!E859)</f>
        <v/>
      </c>
      <c r="E859" s="11" t="n"/>
      <c r="F859" s="11" t="n"/>
      <c r="G859" s="10">
        <f>IF(F859="","",IFERROR(VLOOKUP(F859,T_JUB,2,FALSE),0))</f>
        <v/>
      </c>
      <c r="H859" s="11" t="n"/>
      <c r="I859" s="17">
        <f>IF(H859="","",IF(H859&gt;=12,40,ROUND(H859*3.33,2)))</f>
        <v/>
      </c>
      <c r="J859" s="11" t="n"/>
      <c r="K859" s="11" t="n"/>
      <c r="L859" s="11" t="n"/>
      <c r="M859" s="11" t="n"/>
      <c r="N859" s="10">
        <f>IF(COUNTA(J859:M859)=0,"",MIN(10,SUMPRODUCT((COUNTIF(J859:M859,L_KOM)&gt;0)*S_KOM)))</f>
        <v/>
      </c>
      <c r="O859" s="11" t="n"/>
      <c r="P859" s="10">
        <f>IF(O859="","",IFERROR(VLOOKUP(O859,T_KHID,2,FALSE),0))</f>
        <v/>
      </c>
      <c r="Q859" s="11" t="n"/>
      <c r="R859" s="11" t="n"/>
      <c r="S859" s="10">
        <f>IF(AND(Q859="",R859=""),"",IFERROR(INDEX(T_LIBAT,MATCH(Q859,L_PER,0),MATCH(R859,L_JENIS,0)),0))</f>
        <v/>
      </c>
      <c r="T859" s="11" t="n"/>
      <c r="U859" s="11" t="n"/>
      <c r="V859" s="10">
        <f>IF(AND(T859="",U859=""),"",IFERROR(INDEX(T_CAPAI,MATCH(T859,L_PER,0),MATCH(U859,L_KED,0)),0))</f>
        <v/>
      </c>
      <c r="W859" s="17">
        <f>IF(OR(B859="",E859="",COUNTA(F859,H859,J859:M859,O859,Q859:R859,T859:U859)=0),"",SUM(G859,I859,N859,P859,S859,V859))</f>
        <v/>
      </c>
      <c r="X859" s="18">
        <f>IF(W859="","",IF(Murid!F859="TL","TL",ROUND(W859/110*100,2)))</f>
        <v/>
      </c>
    </row>
    <row r="860">
      <c r="A860" s="15">
        <f>Murid!A860</f>
        <v/>
      </c>
      <c r="B860" s="15">
        <f>IF(Murid!B860="","",Murid!B860)</f>
        <v/>
      </c>
      <c r="C860" s="16">
        <f>IF(Murid!C860="","",Murid!C860)</f>
        <v/>
      </c>
      <c r="D860" s="15">
        <f>IF(Murid!E860="","",Murid!E860)</f>
        <v/>
      </c>
      <c r="E860" s="11" t="n"/>
      <c r="F860" s="11" t="n"/>
      <c r="G860" s="10">
        <f>IF(F860="","",IFERROR(VLOOKUP(F860,T_JUB,2,FALSE),0))</f>
        <v/>
      </c>
      <c r="H860" s="11" t="n"/>
      <c r="I860" s="17">
        <f>IF(H860="","",IF(H860&gt;=12,40,ROUND(H860*3.33,2)))</f>
        <v/>
      </c>
      <c r="J860" s="11" t="n"/>
      <c r="K860" s="11" t="n"/>
      <c r="L860" s="11" t="n"/>
      <c r="M860" s="11" t="n"/>
      <c r="N860" s="10">
        <f>IF(COUNTA(J860:M860)=0,"",MIN(10,SUMPRODUCT((COUNTIF(J860:M860,L_KOM)&gt;0)*S_KOM)))</f>
        <v/>
      </c>
      <c r="O860" s="11" t="n"/>
      <c r="P860" s="10">
        <f>IF(O860="","",IFERROR(VLOOKUP(O860,T_KHID,2,FALSE),0))</f>
        <v/>
      </c>
      <c r="Q860" s="11" t="n"/>
      <c r="R860" s="11" t="n"/>
      <c r="S860" s="10">
        <f>IF(AND(Q860="",R860=""),"",IFERROR(INDEX(T_LIBAT,MATCH(Q860,L_PER,0),MATCH(R860,L_JENIS,0)),0))</f>
        <v/>
      </c>
      <c r="T860" s="11" t="n"/>
      <c r="U860" s="11" t="n"/>
      <c r="V860" s="10">
        <f>IF(AND(T860="",U860=""),"",IFERROR(INDEX(T_CAPAI,MATCH(T860,L_PER,0),MATCH(U860,L_KED,0)),0))</f>
        <v/>
      </c>
      <c r="W860" s="17">
        <f>IF(OR(B860="",E860="",COUNTA(F860,H860,J860:M860,O860,Q860:R860,T860:U860)=0),"",SUM(G860,I860,N860,P860,S860,V860))</f>
        <v/>
      </c>
      <c r="X860" s="18">
        <f>IF(W860="","",IF(Murid!F860="TL","TL",ROUND(W860/110*100,2)))</f>
        <v/>
      </c>
    </row>
    <row r="861">
      <c r="A861" s="15">
        <f>Murid!A861</f>
        <v/>
      </c>
      <c r="B861" s="15">
        <f>IF(Murid!B861="","",Murid!B861)</f>
        <v/>
      </c>
      <c r="C861" s="16">
        <f>IF(Murid!C861="","",Murid!C861)</f>
        <v/>
      </c>
      <c r="D861" s="15">
        <f>IF(Murid!E861="","",Murid!E861)</f>
        <v/>
      </c>
      <c r="E861" s="11" t="n"/>
      <c r="F861" s="11" t="n"/>
      <c r="G861" s="10">
        <f>IF(F861="","",IFERROR(VLOOKUP(F861,T_JUB,2,FALSE),0))</f>
        <v/>
      </c>
      <c r="H861" s="11" t="n"/>
      <c r="I861" s="17">
        <f>IF(H861="","",IF(H861&gt;=12,40,ROUND(H861*3.33,2)))</f>
        <v/>
      </c>
      <c r="J861" s="11" t="n"/>
      <c r="K861" s="11" t="n"/>
      <c r="L861" s="11" t="n"/>
      <c r="M861" s="11" t="n"/>
      <c r="N861" s="10">
        <f>IF(COUNTA(J861:M861)=0,"",MIN(10,SUMPRODUCT((COUNTIF(J861:M861,L_KOM)&gt;0)*S_KOM)))</f>
        <v/>
      </c>
      <c r="O861" s="11" t="n"/>
      <c r="P861" s="10">
        <f>IF(O861="","",IFERROR(VLOOKUP(O861,T_KHID,2,FALSE),0))</f>
        <v/>
      </c>
      <c r="Q861" s="11" t="n"/>
      <c r="R861" s="11" t="n"/>
      <c r="S861" s="10">
        <f>IF(AND(Q861="",R861=""),"",IFERROR(INDEX(T_LIBAT,MATCH(Q861,L_PER,0),MATCH(R861,L_JENIS,0)),0))</f>
        <v/>
      </c>
      <c r="T861" s="11" t="n"/>
      <c r="U861" s="11" t="n"/>
      <c r="V861" s="10">
        <f>IF(AND(T861="",U861=""),"",IFERROR(INDEX(T_CAPAI,MATCH(T861,L_PER,0),MATCH(U861,L_KED,0)),0))</f>
        <v/>
      </c>
      <c r="W861" s="17">
        <f>IF(OR(B861="",E861="",COUNTA(F861,H861,J861:M861,O861,Q861:R861,T861:U861)=0),"",SUM(G861,I861,N861,P861,S861,V861))</f>
        <v/>
      </c>
      <c r="X861" s="18">
        <f>IF(W861="","",IF(Murid!F861="TL","TL",ROUND(W861/110*100,2)))</f>
        <v/>
      </c>
    </row>
    <row r="862">
      <c r="A862" s="15">
        <f>Murid!A862</f>
        <v/>
      </c>
      <c r="B862" s="15">
        <f>IF(Murid!B862="","",Murid!B862)</f>
        <v/>
      </c>
      <c r="C862" s="16">
        <f>IF(Murid!C862="","",Murid!C862)</f>
        <v/>
      </c>
      <c r="D862" s="15">
        <f>IF(Murid!E862="","",Murid!E862)</f>
        <v/>
      </c>
      <c r="E862" s="11" t="n"/>
      <c r="F862" s="11" t="n"/>
      <c r="G862" s="10">
        <f>IF(F862="","",IFERROR(VLOOKUP(F862,T_JUB,2,FALSE),0))</f>
        <v/>
      </c>
      <c r="H862" s="11" t="n"/>
      <c r="I862" s="17">
        <f>IF(H862="","",IF(H862&gt;=12,40,ROUND(H862*3.33,2)))</f>
        <v/>
      </c>
      <c r="J862" s="11" t="n"/>
      <c r="K862" s="11" t="n"/>
      <c r="L862" s="11" t="n"/>
      <c r="M862" s="11" t="n"/>
      <c r="N862" s="10">
        <f>IF(COUNTA(J862:M862)=0,"",MIN(10,SUMPRODUCT((COUNTIF(J862:M862,L_KOM)&gt;0)*S_KOM)))</f>
        <v/>
      </c>
      <c r="O862" s="11" t="n"/>
      <c r="P862" s="10">
        <f>IF(O862="","",IFERROR(VLOOKUP(O862,T_KHID,2,FALSE),0))</f>
        <v/>
      </c>
      <c r="Q862" s="11" t="n"/>
      <c r="R862" s="11" t="n"/>
      <c r="S862" s="10">
        <f>IF(AND(Q862="",R862=""),"",IFERROR(INDEX(T_LIBAT,MATCH(Q862,L_PER,0),MATCH(R862,L_JENIS,0)),0))</f>
        <v/>
      </c>
      <c r="T862" s="11" t="n"/>
      <c r="U862" s="11" t="n"/>
      <c r="V862" s="10">
        <f>IF(AND(T862="",U862=""),"",IFERROR(INDEX(T_CAPAI,MATCH(T862,L_PER,0),MATCH(U862,L_KED,0)),0))</f>
        <v/>
      </c>
      <c r="W862" s="17">
        <f>IF(OR(B862="",E862="",COUNTA(F862,H862,J862:M862,O862,Q862:R862,T862:U862)=0),"",SUM(G862,I862,N862,P862,S862,V862))</f>
        <v/>
      </c>
      <c r="X862" s="18">
        <f>IF(W862="","",IF(Murid!F862="TL","TL",ROUND(W862/110*100,2)))</f>
        <v/>
      </c>
    </row>
    <row r="863">
      <c r="A863" s="15">
        <f>Murid!A863</f>
        <v/>
      </c>
      <c r="B863" s="15">
        <f>IF(Murid!B863="","",Murid!B863)</f>
        <v/>
      </c>
      <c r="C863" s="16">
        <f>IF(Murid!C863="","",Murid!C863)</f>
        <v/>
      </c>
      <c r="D863" s="15">
        <f>IF(Murid!E863="","",Murid!E863)</f>
        <v/>
      </c>
      <c r="E863" s="11" t="n"/>
      <c r="F863" s="11" t="n"/>
      <c r="G863" s="10">
        <f>IF(F863="","",IFERROR(VLOOKUP(F863,T_JUB,2,FALSE),0))</f>
        <v/>
      </c>
      <c r="H863" s="11" t="n"/>
      <c r="I863" s="17">
        <f>IF(H863="","",IF(H863&gt;=12,40,ROUND(H863*3.33,2)))</f>
        <v/>
      </c>
      <c r="J863" s="11" t="n"/>
      <c r="K863" s="11" t="n"/>
      <c r="L863" s="11" t="n"/>
      <c r="M863" s="11" t="n"/>
      <c r="N863" s="10">
        <f>IF(COUNTA(J863:M863)=0,"",MIN(10,SUMPRODUCT((COUNTIF(J863:M863,L_KOM)&gt;0)*S_KOM)))</f>
        <v/>
      </c>
      <c r="O863" s="11" t="n"/>
      <c r="P863" s="10">
        <f>IF(O863="","",IFERROR(VLOOKUP(O863,T_KHID,2,FALSE),0))</f>
        <v/>
      </c>
      <c r="Q863" s="11" t="n"/>
      <c r="R863" s="11" t="n"/>
      <c r="S863" s="10">
        <f>IF(AND(Q863="",R863=""),"",IFERROR(INDEX(T_LIBAT,MATCH(Q863,L_PER,0),MATCH(R863,L_JENIS,0)),0))</f>
        <v/>
      </c>
      <c r="T863" s="11" t="n"/>
      <c r="U863" s="11" t="n"/>
      <c r="V863" s="10">
        <f>IF(AND(T863="",U863=""),"",IFERROR(INDEX(T_CAPAI,MATCH(T863,L_PER,0),MATCH(U863,L_KED,0)),0))</f>
        <v/>
      </c>
      <c r="W863" s="17">
        <f>IF(OR(B863="",E863="",COUNTA(F863,H863,J863:M863,O863,Q863:R863,T863:U863)=0),"",SUM(G863,I863,N863,P863,S863,V863))</f>
        <v/>
      </c>
      <c r="X863" s="18">
        <f>IF(W863="","",IF(Murid!F863="TL","TL",ROUND(W863/110*100,2)))</f>
        <v/>
      </c>
    </row>
    <row r="864">
      <c r="A864" s="15">
        <f>Murid!A864</f>
        <v/>
      </c>
      <c r="B864" s="15">
        <f>IF(Murid!B864="","",Murid!B864)</f>
        <v/>
      </c>
      <c r="C864" s="16">
        <f>IF(Murid!C864="","",Murid!C864)</f>
        <v/>
      </c>
      <c r="D864" s="15">
        <f>IF(Murid!E864="","",Murid!E864)</f>
        <v/>
      </c>
      <c r="E864" s="11" t="n"/>
      <c r="F864" s="11" t="n"/>
      <c r="G864" s="10">
        <f>IF(F864="","",IFERROR(VLOOKUP(F864,T_JUB,2,FALSE),0))</f>
        <v/>
      </c>
      <c r="H864" s="11" t="n"/>
      <c r="I864" s="17">
        <f>IF(H864="","",IF(H864&gt;=12,40,ROUND(H864*3.33,2)))</f>
        <v/>
      </c>
      <c r="J864" s="11" t="n"/>
      <c r="K864" s="11" t="n"/>
      <c r="L864" s="11" t="n"/>
      <c r="M864" s="11" t="n"/>
      <c r="N864" s="10">
        <f>IF(COUNTA(J864:M864)=0,"",MIN(10,SUMPRODUCT((COUNTIF(J864:M864,L_KOM)&gt;0)*S_KOM)))</f>
        <v/>
      </c>
      <c r="O864" s="11" t="n"/>
      <c r="P864" s="10">
        <f>IF(O864="","",IFERROR(VLOOKUP(O864,T_KHID,2,FALSE),0))</f>
        <v/>
      </c>
      <c r="Q864" s="11" t="n"/>
      <c r="R864" s="11" t="n"/>
      <c r="S864" s="10">
        <f>IF(AND(Q864="",R864=""),"",IFERROR(INDEX(T_LIBAT,MATCH(Q864,L_PER,0),MATCH(R864,L_JENIS,0)),0))</f>
        <v/>
      </c>
      <c r="T864" s="11" t="n"/>
      <c r="U864" s="11" t="n"/>
      <c r="V864" s="10">
        <f>IF(AND(T864="",U864=""),"",IFERROR(INDEX(T_CAPAI,MATCH(T864,L_PER,0),MATCH(U864,L_KED,0)),0))</f>
        <v/>
      </c>
      <c r="W864" s="17">
        <f>IF(OR(B864="",E864="",COUNTA(F864,H864,J864:M864,O864,Q864:R864,T864:U864)=0),"",SUM(G864,I864,N864,P864,S864,V864))</f>
        <v/>
      </c>
      <c r="X864" s="18">
        <f>IF(W864="","",IF(Murid!F864="TL","TL",ROUND(W864/110*100,2)))</f>
        <v/>
      </c>
    </row>
    <row r="865">
      <c r="A865" s="15">
        <f>Murid!A865</f>
        <v/>
      </c>
      <c r="B865" s="15">
        <f>IF(Murid!B865="","",Murid!B865)</f>
        <v/>
      </c>
      <c r="C865" s="16">
        <f>IF(Murid!C865="","",Murid!C865)</f>
        <v/>
      </c>
      <c r="D865" s="15">
        <f>IF(Murid!E865="","",Murid!E865)</f>
        <v/>
      </c>
      <c r="E865" s="11" t="n"/>
      <c r="F865" s="11" t="n"/>
      <c r="G865" s="10">
        <f>IF(F865="","",IFERROR(VLOOKUP(F865,T_JUB,2,FALSE),0))</f>
        <v/>
      </c>
      <c r="H865" s="11" t="n"/>
      <c r="I865" s="17">
        <f>IF(H865="","",IF(H865&gt;=12,40,ROUND(H865*3.33,2)))</f>
        <v/>
      </c>
      <c r="J865" s="11" t="n"/>
      <c r="K865" s="11" t="n"/>
      <c r="L865" s="11" t="n"/>
      <c r="M865" s="11" t="n"/>
      <c r="N865" s="10">
        <f>IF(COUNTA(J865:M865)=0,"",MIN(10,SUMPRODUCT((COUNTIF(J865:M865,L_KOM)&gt;0)*S_KOM)))</f>
        <v/>
      </c>
      <c r="O865" s="11" t="n"/>
      <c r="P865" s="10">
        <f>IF(O865="","",IFERROR(VLOOKUP(O865,T_KHID,2,FALSE),0))</f>
        <v/>
      </c>
      <c r="Q865" s="11" t="n"/>
      <c r="R865" s="11" t="n"/>
      <c r="S865" s="10">
        <f>IF(AND(Q865="",R865=""),"",IFERROR(INDEX(T_LIBAT,MATCH(Q865,L_PER,0),MATCH(R865,L_JENIS,0)),0))</f>
        <v/>
      </c>
      <c r="T865" s="11" t="n"/>
      <c r="U865" s="11" t="n"/>
      <c r="V865" s="10">
        <f>IF(AND(T865="",U865=""),"",IFERROR(INDEX(T_CAPAI,MATCH(T865,L_PER,0),MATCH(U865,L_KED,0)),0))</f>
        <v/>
      </c>
      <c r="W865" s="17">
        <f>IF(OR(B865="",E865="",COUNTA(F865,H865,J865:M865,O865,Q865:R865,T865:U865)=0),"",SUM(G865,I865,N865,P865,S865,V865))</f>
        <v/>
      </c>
      <c r="X865" s="18">
        <f>IF(W865="","",IF(Murid!F865="TL","TL",ROUND(W865/110*100,2)))</f>
        <v/>
      </c>
    </row>
    <row r="866">
      <c r="A866" s="15">
        <f>Murid!A866</f>
        <v/>
      </c>
      <c r="B866" s="15">
        <f>IF(Murid!B866="","",Murid!B866)</f>
        <v/>
      </c>
      <c r="C866" s="16">
        <f>IF(Murid!C866="","",Murid!C866)</f>
        <v/>
      </c>
      <c r="D866" s="15">
        <f>IF(Murid!E866="","",Murid!E866)</f>
        <v/>
      </c>
      <c r="E866" s="11" t="n"/>
      <c r="F866" s="11" t="n"/>
      <c r="G866" s="10">
        <f>IF(F866="","",IFERROR(VLOOKUP(F866,T_JUB,2,FALSE),0))</f>
        <v/>
      </c>
      <c r="H866" s="11" t="n"/>
      <c r="I866" s="17">
        <f>IF(H866="","",IF(H866&gt;=12,40,ROUND(H866*3.33,2)))</f>
        <v/>
      </c>
      <c r="J866" s="11" t="n"/>
      <c r="K866" s="11" t="n"/>
      <c r="L866" s="11" t="n"/>
      <c r="M866" s="11" t="n"/>
      <c r="N866" s="10">
        <f>IF(COUNTA(J866:M866)=0,"",MIN(10,SUMPRODUCT((COUNTIF(J866:M866,L_KOM)&gt;0)*S_KOM)))</f>
        <v/>
      </c>
      <c r="O866" s="11" t="n"/>
      <c r="P866" s="10">
        <f>IF(O866="","",IFERROR(VLOOKUP(O866,T_KHID,2,FALSE),0))</f>
        <v/>
      </c>
      <c r="Q866" s="11" t="n"/>
      <c r="R866" s="11" t="n"/>
      <c r="S866" s="10">
        <f>IF(AND(Q866="",R866=""),"",IFERROR(INDEX(T_LIBAT,MATCH(Q866,L_PER,0),MATCH(R866,L_JENIS,0)),0))</f>
        <v/>
      </c>
      <c r="T866" s="11" t="n"/>
      <c r="U866" s="11" t="n"/>
      <c r="V866" s="10">
        <f>IF(AND(T866="",U866=""),"",IFERROR(INDEX(T_CAPAI,MATCH(T866,L_PER,0),MATCH(U866,L_KED,0)),0))</f>
        <v/>
      </c>
      <c r="W866" s="17">
        <f>IF(OR(B866="",E866="",COUNTA(F866,H866,J866:M866,O866,Q866:R866,T866:U866)=0),"",SUM(G866,I866,N866,P866,S866,V866))</f>
        <v/>
      </c>
      <c r="X866" s="18">
        <f>IF(W866="","",IF(Murid!F866="TL","TL",ROUND(W866/110*100,2)))</f>
        <v/>
      </c>
    </row>
    <row r="867">
      <c r="A867" s="15">
        <f>Murid!A867</f>
        <v/>
      </c>
      <c r="B867" s="15">
        <f>IF(Murid!B867="","",Murid!B867)</f>
        <v/>
      </c>
      <c r="C867" s="16">
        <f>IF(Murid!C867="","",Murid!C867)</f>
        <v/>
      </c>
      <c r="D867" s="15">
        <f>IF(Murid!E867="","",Murid!E867)</f>
        <v/>
      </c>
      <c r="E867" s="11" t="n"/>
      <c r="F867" s="11" t="n"/>
      <c r="G867" s="10">
        <f>IF(F867="","",IFERROR(VLOOKUP(F867,T_JUB,2,FALSE),0))</f>
        <v/>
      </c>
      <c r="H867" s="11" t="n"/>
      <c r="I867" s="17">
        <f>IF(H867="","",IF(H867&gt;=12,40,ROUND(H867*3.33,2)))</f>
        <v/>
      </c>
      <c r="J867" s="11" t="n"/>
      <c r="K867" s="11" t="n"/>
      <c r="L867" s="11" t="n"/>
      <c r="M867" s="11" t="n"/>
      <c r="N867" s="10">
        <f>IF(COUNTA(J867:M867)=0,"",MIN(10,SUMPRODUCT((COUNTIF(J867:M867,L_KOM)&gt;0)*S_KOM)))</f>
        <v/>
      </c>
      <c r="O867" s="11" t="n"/>
      <c r="P867" s="10">
        <f>IF(O867="","",IFERROR(VLOOKUP(O867,T_KHID,2,FALSE),0))</f>
        <v/>
      </c>
      <c r="Q867" s="11" t="n"/>
      <c r="R867" s="11" t="n"/>
      <c r="S867" s="10">
        <f>IF(AND(Q867="",R867=""),"",IFERROR(INDEX(T_LIBAT,MATCH(Q867,L_PER,0),MATCH(R867,L_JENIS,0)),0))</f>
        <v/>
      </c>
      <c r="T867" s="11" t="n"/>
      <c r="U867" s="11" t="n"/>
      <c r="V867" s="10">
        <f>IF(AND(T867="",U867=""),"",IFERROR(INDEX(T_CAPAI,MATCH(T867,L_PER,0),MATCH(U867,L_KED,0)),0))</f>
        <v/>
      </c>
      <c r="W867" s="17">
        <f>IF(OR(B867="",E867="",COUNTA(F867,H867,J867:M867,O867,Q867:R867,T867:U867)=0),"",SUM(G867,I867,N867,P867,S867,V867))</f>
        <v/>
      </c>
      <c r="X867" s="18">
        <f>IF(W867="","",IF(Murid!F867="TL","TL",ROUND(W867/110*100,2)))</f>
        <v/>
      </c>
    </row>
    <row r="868">
      <c r="A868" s="15">
        <f>Murid!A868</f>
        <v/>
      </c>
      <c r="B868" s="15">
        <f>IF(Murid!B868="","",Murid!B868)</f>
        <v/>
      </c>
      <c r="C868" s="16">
        <f>IF(Murid!C868="","",Murid!C868)</f>
        <v/>
      </c>
      <c r="D868" s="15">
        <f>IF(Murid!E868="","",Murid!E868)</f>
        <v/>
      </c>
      <c r="E868" s="11" t="n"/>
      <c r="F868" s="11" t="n"/>
      <c r="G868" s="10">
        <f>IF(F868="","",IFERROR(VLOOKUP(F868,T_JUB,2,FALSE),0))</f>
        <v/>
      </c>
      <c r="H868" s="11" t="n"/>
      <c r="I868" s="17">
        <f>IF(H868="","",IF(H868&gt;=12,40,ROUND(H868*3.33,2)))</f>
        <v/>
      </c>
      <c r="J868" s="11" t="n"/>
      <c r="K868" s="11" t="n"/>
      <c r="L868" s="11" t="n"/>
      <c r="M868" s="11" t="n"/>
      <c r="N868" s="10">
        <f>IF(COUNTA(J868:M868)=0,"",MIN(10,SUMPRODUCT((COUNTIF(J868:M868,L_KOM)&gt;0)*S_KOM)))</f>
        <v/>
      </c>
      <c r="O868" s="11" t="n"/>
      <c r="P868" s="10">
        <f>IF(O868="","",IFERROR(VLOOKUP(O868,T_KHID,2,FALSE),0))</f>
        <v/>
      </c>
      <c r="Q868" s="11" t="n"/>
      <c r="R868" s="11" t="n"/>
      <c r="S868" s="10">
        <f>IF(AND(Q868="",R868=""),"",IFERROR(INDEX(T_LIBAT,MATCH(Q868,L_PER,0),MATCH(R868,L_JENIS,0)),0))</f>
        <v/>
      </c>
      <c r="T868" s="11" t="n"/>
      <c r="U868" s="11" t="n"/>
      <c r="V868" s="10">
        <f>IF(AND(T868="",U868=""),"",IFERROR(INDEX(T_CAPAI,MATCH(T868,L_PER,0),MATCH(U868,L_KED,0)),0))</f>
        <v/>
      </c>
      <c r="W868" s="17">
        <f>IF(OR(B868="",E868="",COUNTA(F868,H868,J868:M868,O868,Q868:R868,T868:U868)=0),"",SUM(G868,I868,N868,P868,S868,V868))</f>
        <v/>
      </c>
      <c r="X868" s="18">
        <f>IF(W868="","",IF(Murid!F868="TL","TL",ROUND(W868/110*100,2)))</f>
        <v/>
      </c>
    </row>
    <row r="869">
      <c r="A869" s="15">
        <f>Murid!A869</f>
        <v/>
      </c>
      <c r="B869" s="15">
        <f>IF(Murid!B869="","",Murid!B869)</f>
        <v/>
      </c>
      <c r="C869" s="16">
        <f>IF(Murid!C869="","",Murid!C869)</f>
        <v/>
      </c>
      <c r="D869" s="15">
        <f>IF(Murid!E869="","",Murid!E869)</f>
        <v/>
      </c>
      <c r="E869" s="11" t="n"/>
      <c r="F869" s="11" t="n"/>
      <c r="G869" s="10">
        <f>IF(F869="","",IFERROR(VLOOKUP(F869,T_JUB,2,FALSE),0))</f>
        <v/>
      </c>
      <c r="H869" s="11" t="n"/>
      <c r="I869" s="17">
        <f>IF(H869="","",IF(H869&gt;=12,40,ROUND(H869*3.33,2)))</f>
        <v/>
      </c>
      <c r="J869" s="11" t="n"/>
      <c r="K869" s="11" t="n"/>
      <c r="L869" s="11" t="n"/>
      <c r="M869" s="11" t="n"/>
      <c r="N869" s="10">
        <f>IF(COUNTA(J869:M869)=0,"",MIN(10,SUMPRODUCT((COUNTIF(J869:M869,L_KOM)&gt;0)*S_KOM)))</f>
        <v/>
      </c>
      <c r="O869" s="11" t="n"/>
      <c r="P869" s="10">
        <f>IF(O869="","",IFERROR(VLOOKUP(O869,T_KHID,2,FALSE),0))</f>
        <v/>
      </c>
      <c r="Q869" s="11" t="n"/>
      <c r="R869" s="11" t="n"/>
      <c r="S869" s="10">
        <f>IF(AND(Q869="",R869=""),"",IFERROR(INDEX(T_LIBAT,MATCH(Q869,L_PER,0),MATCH(R869,L_JENIS,0)),0))</f>
        <v/>
      </c>
      <c r="T869" s="11" t="n"/>
      <c r="U869" s="11" t="n"/>
      <c r="V869" s="10">
        <f>IF(AND(T869="",U869=""),"",IFERROR(INDEX(T_CAPAI,MATCH(T869,L_PER,0),MATCH(U869,L_KED,0)),0))</f>
        <v/>
      </c>
      <c r="W869" s="17">
        <f>IF(OR(B869="",E869="",COUNTA(F869,H869,J869:M869,O869,Q869:R869,T869:U869)=0),"",SUM(G869,I869,N869,P869,S869,V869))</f>
        <v/>
      </c>
      <c r="X869" s="18">
        <f>IF(W869="","",IF(Murid!F869="TL","TL",ROUND(W869/110*100,2)))</f>
        <v/>
      </c>
    </row>
    <row r="870">
      <c r="A870" s="15">
        <f>Murid!A870</f>
        <v/>
      </c>
      <c r="B870" s="15">
        <f>IF(Murid!B870="","",Murid!B870)</f>
        <v/>
      </c>
      <c r="C870" s="16">
        <f>IF(Murid!C870="","",Murid!C870)</f>
        <v/>
      </c>
      <c r="D870" s="15">
        <f>IF(Murid!E870="","",Murid!E870)</f>
        <v/>
      </c>
      <c r="E870" s="11" t="n"/>
      <c r="F870" s="11" t="n"/>
      <c r="G870" s="10">
        <f>IF(F870="","",IFERROR(VLOOKUP(F870,T_JUB,2,FALSE),0))</f>
        <v/>
      </c>
      <c r="H870" s="11" t="n"/>
      <c r="I870" s="17">
        <f>IF(H870="","",IF(H870&gt;=12,40,ROUND(H870*3.33,2)))</f>
        <v/>
      </c>
      <c r="J870" s="11" t="n"/>
      <c r="K870" s="11" t="n"/>
      <c r="L870" s="11" t="n"/>
      <c r="M870" s="11" t="n"/>
      <c r="N870" s="10">
        <f>IF(COUNTA(J870:M870)=0,"",MIN(10,SUMPRODUCT((COUNTIF(J870:M870,L_KOM)&gt;0)*S_KOM)))</f>
        <v/>
      </c>
      <c r="O870" s="11" t="n"/>
      <c r="P870" s="10">
        <f>IF(O870="","",IFERROR(VLOOKUP(O870,T_KHID,2,FALSE),0))</f>
        <v/>
      </c>
      <c r="Q870" s="11" t="n"/>
      <c r="R870" s="11" t="n"/>
      <c r="S870" s="10">
        <f>IF(AND(Q870="",R870=""),"",IFERROR(INDEX(T_LIBAT,MATCH(Q870,L_PER,0),MATCH(R870,L_JENIS,0)),0))</f>
        <v/>
      </c>
      <c r="T870" s="11" t="n"/>
      <c r="U870" s="11" t="n"/>
      <c r="V870" s="10">
        <f>IF(AND(T870="",U870=""),"",IFERROR(INDEX(T_CAPAI,MATCH(T870,L_PER,0),MATCH(U870,L_KED,0)),0))</f>
        <v/>
      </c>
      <c r="W870" s="17">
        <f>IF(OR(B870="",E870="",COUNTA(F870,H870,J870:M870,O870,Q870:R870,T870:U870)=0),"",SUM(G870,I870,N870,P870,S870,V870))</f>
        <v/>
      </c>
      <c r="X870" s="18">
        <f>IF(W870="","",IF(Murid!F870="TL","TL",ROUND(W870/110*100,2)))</f>
        <v/>
      </c>
    </row>
    <row r="871">
      <c r="A871" s="15">
        <f>Murid!A871</f>
        <v/>
      </c>
      <c r="B871" s="15">
        <f>IF(Murid!B871="","",Murid!B871)</f>
        <v/>
      </c>
      <c r="C871" s="16">
        <f>IF(Murid!C871="","",Murid!C871)</f>
        <v/>
      </c>
      <c r="D871" s="15">
        <f>IF(Murid!E871="","",Murid!E871)</f>
        <v/>
      </c>
      <c r="E871" s="11" t="n"/>
      <c r="F871" s="11" t="n"/>
      <c r="G871" s="10">
        <f>IF(F871="","",IFERROR(VLOOKUP(F871,T_JUB,2,FALSE),0))</f>
        <v/>
      </c>
      <c r="H871" s="11" t="n"/>
      <c r="I871" s="17">
        <f>IF(H871="","",IF(H871&gt;=12,40,ROUND(H871*3.33,2)))</f>
        <v/>
      </c>
      <c r="J871" s="11" t="n"/>
      <c r="K871" s="11" t="n"/>
      <c r="L871" s="11" t="n"/>
      <c r="M871" s="11" t="n"/>
      <c r="N871" s="10">
        <f>IF(COUNTA(J871:M871)=0,"",MIN(10,SUMPRODUCT((COUNTIF(J871:M871,L_KOM)&gt;0)*S_KOM)))</f>
        <v/>
      </c>
      <c r="O871" s="11" t="n"/>
      <c r="P871" s="10">
        <f>IF(O871="","",IFERROR(VLOOKUP(O871,T_KHID,2,FALSE),0))</f>
        <v/>
      </c>
      <c r="Q871" s="11" t="n"/>
      <c r="R871" s="11" t="n"/>
      <c r="S871" s="10">
        <f>IF(AND(Q871="",R871=""),"",IFERROR(INDEX(T_LIBAT,MATCH(Q871,L_PER,0),MATCH(R871,L_JENIS,0)),0))</f>
        <v/>
      </c>
      <c r="T871" s="11" t="n"/>
      <c r="U871" s="11" t="n"/>
      <c r="V871" s="10">
        <f>IF(AND(T871="",U871=""),"",IFERROR(INDEX(T_CAPAI,MATCH(T871,L_PER,0),MATCH(U871,L_KED,0)),0))</f>
        <v/>
      </c>
      <c r="W871" s="17">
        <f>IF(OR(B871="",E871="",COUNTA(F871,H871,J871:M871,O871,Q871:R871,T871:U871)=0),"",SUM(G871,I871,N871,P871,S871,V871))</f>
        <v/>
      </c>
      <c r="X871" s="18">
        <f>IF(W871="","",IF(Murid!F871="TL","TL",ROUND(W871/110*100,2)))</f>
        <v/>
      </c>
    </row>
    <row r="872">
      <c r="A872" s="15">
        <f>Murid!A872</f>
        <v/>
      </c>
      <c r="B872" s="15">
        <f>IF(Murid!B872="","",Murid!B872)</f>
        <v/>
      </c>
      <c r="C872" s="16">
        <f>IF(Murid!C872="","",Murid!C872)</f>
        <v/>
      </c>
      <c r="D872" s="15">
        <f>IF(Murid!E872="","",Murid!E872)</f>
        <v/>
      </c>
      <c r="E872" s="11" t="n"/>
      <c r="F872" s="11" t="n"/>
      <c r="G872" s="10">
        <f>IF(F872="","",IFERROR(VLOOKUP(F872,T_JUB,2,FALSE),0))</f>
        <v/>
      </c>
      <c r="H872" s="11" t="n"/>
      <c r="I872" s="17">
        <f>IF(H872="","",IF(H872&gt;=12,40,ROUND(H872*3.33,2)))</f>
        <v/>
      </c>
      <c r="J872" s="11" t="n"/>
      <c r="K872" s="11" t="n"/>
      <c r="L872" s="11" t="n"/>
      <c r="M872" s="11" t="n"/>
      <c r="N872" s="10">
        <f>IF(COUNTA(J872:M872)=0,"",MIN(10,SUMPRODUCT((COUNTIF(J872:M872,L_KOM)&gt;0)*S_KOM)))</f>
        <v/>
      </c>
      <c r="O872" s="11" t="n"/>
      <c r="P872" s="10">
        <f>IF(O872="","",IFERROR(VLOOKUP(O872,T_KHID,2,FALSE),0))</f>
        <v/>
      </c>
      <c r="Q872" s="11" t="n"/>
      <c r="R872" s="11" t="n"/>
      <c r="S872" s="10">
        <f>IF(AND(Q872="",R872=""),"",IFERROR(INDEX(T_LIBAT,MATCH(Q872,L_PER,0),MATCH(R872,L_JENIS,0)),0))</f>
        <v/>
      </c>
      <c r="T872" s="11" t="n"/>
      <c r="U872" s="11" t="n"/>
      <c r="V872" s="10">
        <f>IF(AND(T872="",U872=""),"",IFERROR(INDEX(T_CAPAI,MATCH(T872,L_PER,0),MATCH(U872,L_KED,0)),0))</f>
        <v/>
      </c>
      <c r="W872" s="17">
        <f>IF(OR(B872="",E872="",COUNTA(F872,H872,J872:M872,O872,Q872:R872,T872:U872)=0),"",SUM(G872,I872,N872,P872,S872,V872))</f>
        <v/>
      </c>
      <c r="X872" s="18">
        <f>IF(W872="","",IF(Murid!F872="TL","TL",ROUND(W872/110*100,2)))</f>
        <v/>
      </c>
    </row>
    <row r="873">
      <c r="A873" s="15">
        <f>Murid!A873</f>
        <v/>
      </c>
      <c r="B873" s="15">
        <f>IF(Murid!B873="","",Murid!B873)</f>
        <v/>
      </c>
      <c r="C873" s="16">
        <f>IF(Murid!C873="","",Murid!C873)</f>
        <v/>
      </c>
      <c r="D873" s="15">
        <f>IF(Murid!E873="","",Murid!E873)</f>
        <v/>
      </c>
      <c r="E873" s="11" t="n"/>
      <c r="F873" s="11" t="n"/>
      <c r="G873" s="10">
        <f>IF(F873="","",IFERROR(VLOOKUP(F873,T_JUB,2,FALSE),0))</f>
        <v/>
      </c>
      <c r="H873" s="11" t="n"/>
      <c r="I873" s="17">
        <f>IF(H873="","",IF(H873&gt;=12,40,ROUND(H873*3.33,2)))</f>
        <v/>
      </c>
      <c r="J873" s="11" t="n"/>
      <c r="K873" s="11" t="n"/>
      <c r="L873" s="11" t="n"/>
      <c r="M873" s="11" t="n"/>
      <c r="N873" s="10">
        <f>IF(COUNTA(J873:M873)=0,"",MIN(10,SUMPRODUCT((COUNTIF(J873:M873,L_KOM)&gt;0)*S_KOM)))</f>
        <v/>
      </c>
      <c r="O873" s="11" t="n"/>
      <c r="P873" s="10">
        <f>IF(O873="","",IFERROR(VLOOKUP(O873,T_KHID,2,FALSE),0))</f>
        <v/>
      </c>
      <c r="Q873" s="11" t="n"/>
      <c r="R873" s="11" t="n"/>
      <c r="S873" s="10">
        <f>IF(AND(Q873="",R873=""),"",IFERROR(INDEX(T_LIBAT,MATCH(Q873,L_PER,0),MATCH(R873,L_JENIS,0)),0))</f>
        <v/>
      </c>
      <c r="T873" s="11" t="n"/>
      <c r="U873" s="11" t="n"/>
      <c r="V873" s="10">
        <f>IF(AND(T873="",U873=""),"",IFERROR(INDEX(T_CAPAI,MATCH(T873,L_PER,0),MATCH(U873,L_KED,0)),0))</f>
        <v/>
      </c>
      <c r="W873" s="17">
        <f>IF(OR(B873="",E873="",COUNTA(F873,H873,J873:M873,O873,Q873:R873,T873:U873)=0),"",SUM(G873,I873,N873,P873,S873,V873))</f>
        <v/>
      </c>
      <c r="X873" s="18">
        <f>IF(W873="","",IF(Murid!F873="TL","TL",ROUND(W873/110*100,2)))</f>
        <v/>
      </c>
    </row>
    <row r="874">
      <c r="A874" s="15">
        <f>Murid!A874</f>
        <v/>
      </c>
      <c r="B874" s="15">
        <f>IF(Murid!B874="","",Murid!B874)</f>
        <v/>
      </c>
      <c r="C874" s="16">
        <f>IF(Murid!C874="","",Murid!C874)</f>
        <v/>
      </c>
      <c r="D874" s="15">
        <f>IF(Murid!E874="","",Murid!E874)</f>
        <v/>
      </c>
      <c r="E874" s="11" t="n"/>
      <c r="F874" s="11" t="n"/>
      <c r="G874" s="10">
        <f>IF(F874="","",IFERROR(VLOOKUP(F874,T_JUB,2,FALSE),0))</f>
        <v/>
      </c>
      <c r="H874" s="11" t="n"/>
      <c r="I874" s="17">
        <f>IF(H874="","",IF(H874&gt;=12,40,ROUND(H874*3.33,2)))</f>
        <v/>
      </c>
      <c r="J874" s="11" t="n"/>
      <c r="K874" s="11" t="n"/>
      <c r="L874" s="11" t="n"/>
      <c r="M874" s="11" t="n"/>
      <c r="N874" s="10">
        <f>IF(COUNTA(J874:M874)=0,"",MIN(10,SUMPRODUCT((COUNTIF(J874:M874,L_KOM)&gt;0)*S_KOM)))</f>
        <v/>
      </c>
      <c r="O874" s="11" t="n"/>
      <c r="P874" s="10">
        <f>IF(O874="","",IFERROR(VLOOKUP(O874,T_KHID,2,FALSE),0))</f>
        <v/>
      </c>
      <c r="Q874" s="11" t="n"/>
      <c r="R874" s="11" t="n"/>
      <c r="S874" s="10">
        <f>IF(AND(Q874="",R874=""),"",IFERROR(INDEX(T_LIBAT,MATCH(Q874,L_PER,0),MATCH(R874,L_JENIS,0)),0))</f>
        <v/>
      </c>
      <c r="T874" s="11" t="n"/>
      <c r="U874" s="11" t="n"/>
      <c r="V874" s="10">
        <f>IF(AND(T874="",U874=""),"",IFERROR(INDEX(T_CAPAI,MATCH(T874,L_PER,0),MATCH(U874,L_KED,0)),0))</f>
        <v/>
      </c>
      <c r="W874" s="17">
        <f>IF(OR(B874="",E874="",COUNTA(F874,H874,J874:M874,O874,Q874:R874,T874:U874)=0),"",SUM(G874,I874,N874,P874,S874,V874))</f>
        <v/>
      </c>
      <c r="X874" s="18">
        <f>IF(W874="","",IF(Murid!F874="TL","TL",ROUND(W874/110*100,2)))</f>
        <v/>
      </c>
    </row>
    <row r="875">
      <c r="A875" s="15">
        <f>Murid!A875</f>
        <v/>
      </c>
      <c r="B875" s="15">
        <f>IF(Murid!B875="","",Murid!B875)</f>
        <v/>
      </c>
      <c r="C875" s="16">
        <f>IF(Murid!C875="","",Murid!C875)</f>
        <v/>
      </c>
      <c r="D875" s="15">
        <f>IF(Murid!E875="","",Murid!E875)</f>
        <v/>
      </c>
      <c r="E875" s="11" t="n"/>
      <c r="F875" s="11" t="n"/>
      <c r="G875" s="10">
        <f>IF(F875="","",IFERROR(VLOOKUP(F875,T_JUB,2,FALSE),0))</f>
        <v/>
      </c>
      <c r="H875" s="11" t="n"/>
      <c r="I875" s="17">
        <f>IF(H875="","",IF(H875&gt;=12,40,ROUND(H875*3.33,2)))</f>
        <v/>
      </c>
      <c r="J875" s="11" t="n"/>
      <c r="K875" s="11" t="n"/>
      <c r="L875" s="11" t="n"/>
      <c r="M875" s="11" t="n"/>
      <c r="N875" s="10">
        <f>IF(COUNTA(J875:M875)=0,"",MIN(10,SUMPRODUCT((COUNTIF(J875:M875,L_KOM)&gt;0)*S_KOM)))</f>
        <v/>
      </c>
      <c r="O875" s="11" t="n"/>
      <c r="P875" s="10">
        <f>IF(O875="","",IFERROR(VLOOKUP(O875,T_KHID,2,FALSE),0))</f>
        <v/>
      </c>
      <c r="Q875" s="11" t="n"/>
      <c r="R875" s="11" t="n"/>
      <c r="S875" s="10">
        <f>IF(AND(Q875="",R875=""),"",IFERROR(INDEX(T_LIBAT,MATCH(Q875,L_PER,0),MATCH(R875,L_JENIS,0)),0))</f>
        <v/>
      </c>
      <c r="T875" s="11" t="n"/>
      <c r="U875" s="11" t="n"/>
      <c r="V875" s="10">
        <f>IF(AND(T875="",U875=""),"",IFERROR(INDEX(T_CAPAI,MATCH(T875,L_PER,0),MATCH(U875,L_KED,0)),0))</f>
        <v/>
      </c>
      <c r="W875" s="17">
        <f>IF(OR(B875="",E875="",COUNTA(F875,H875,J875:M875,O875,Q875:R875,T875:U875)=0),"",SUM(G875,I875,N875,P875,S875,V875))</f>
        <v/>
      </c>
      <c r="X875" s="18">
        <f>IF(W875="","",IF(Murid!F875="TL","TL",ROUND(W875/110*100,2)))</f>
        <v/>
      </c>
    </row>
    <row r="876">
      <c r="A876" s="15">
        <f>Murid!A876</f>
        <v/>
      </c>
      <c r="B876" s="15">
        <f>IF(Murid!B876="","",Murid!B876)</f>
        <v/>
      </c>
      <c r="C876" s="16">
        <f>IF(Murid!C876="","",Murid!C876)</f>
        <v/>
      </c>
      <c r="D876" s="15">
        <f>IF(Murid!E876="","",Murid!E876)</f>
        <v/>
      </c>
      <c r="E876" s="11" t="n"/>
      <c r="F876" s="11" t="n"/>
      <c r="G876" s="10">
        <f>IF(F876="","",IFERROR(VLOOKUP(F876,T_JUB,2,FALSE),0))</f>
        <v/>
      </c>
      <c r="H876" s="11" t="n"/>
      <c r="I876" s="17">
        <f>IF(H876="","",IF(H876&gt;=12,40,ROUND(H876*3.33,2)))</f>
        <v/>
      </c>
      <c r="J876" s="11" t="n"/>
      <c r="K876" s="11" t="n"/>
      <c r="L876" s="11" t="n"/>
      <c r="M876" s="11" t="n"/>
      <c r="N876" s="10">
        <f>IF(COUNTA(J876:M876)=0,"",MIN(10,SUMPRODUCT((COUNTIF(J876:M876,L_KOM)&gt;0)*S_KOM)))</f>
        <v/>
      </c>
      <c r="O876" s="11" t="n"/>
      <c r="P876" s="10">
        <f>IF(O876="","",IFERROR(VLOOKUP(O876,T_KHID,2,FALSE),0))</f>
        <v/>
      </c>
      <c r="Q876" s="11" t="n"/>
      <c r="R876" s="11" t="n"/>
      <c r="S876" s="10">
        <f>IF(AND(Q876="",R876=""),"",IFERROR(INDEX(T_LIBAT,MATCH(Q876,L_PER,0),MATCH(R876,L_JENIS,0)),0))</f>
        <v/>
      </c>
      <c r="T876" s="11" t="n"/>
      <c r="U876" s="11" t="n"/>
      <c r="V876" s="10">
        <f>IF(AND(T876="",U876=""),"",IFERROR(INDEX(T_CAPAI,MATCH(T876,L_PER,0),MATCH(U876,L_KED,0)),0))</f>
        <v/>
      </c>
      <c r="W876" s="17">
        <f>IF(OR(B876="",E876="",COUNTA(F876,H876,J876:M876,O876,Q876:R876,T876:U876)=0),"",SUM(G876,I876,N876,P876,S876,V876))</f>
        <v/>
      </c>
      <c r="X876" s="18">
        <f>IF(W876="","",IF(Murid!F876="TL","TL",ROUND(W876/110*100,2)))</f>
        <v/>
      </c>
    </row>
    <row r="877">
      <c r="A877" s="15">
        <f>Murid!A877</f>
        <v/>
      </c>
      <c r="B877" s="15">
        <f>IF(Murid!B877="","",Murid!B877)</f>
        <v/>
      </c>
      <c r="C877" s="16">
        <f>IF(Murid!C877="","",Murid!C877)</f>
        <v/>
      </c>
      <c r="D877" s="15">
        <f>IF(Murid!E877="","",Murid!E877)</f>
        <v/>
      </c>
      <c r="E877" s="11" t="n"/>
      <c r="F877" s="11" t="n"/>
      <c r="G877" s="10">
        <f>IF(F877="","",IFERROR(VLOOKUP(F877,T_JUB,2,FALSE),0))</f>
        <v/>
      </c>
      <c r="H877" s="11" t="n"/>
      <c r="I877" s="17">
        <f>IF(H877="","",IF(H877&gt;=12,40,ROUND(H877*3.33,2)))</f>
        <v/>
      </c>
      <c r="J877" s="11" t="n"/>
      <c r="K877" s="11" t="n"/>
      <c r="L877" s="11" t="n"/>
      <c r="M877" s="11" t="n"/>
      <c r="N877" s="10">
        <f>IF(COUNTA(J877:M877)=0,"",MIN(10,SUMPRODUCT((COUNTIF(J877:M877,L_KOM)&gt;0)*S_KOM)))</f>
        <v/>
      </c>
      <c r="O877" s="11" t="n"/>
      <c r="P877" s="10">
        <f>IF(O877="","",IFERROR(VLOOKUP(O877,T_KHID,2,FALSE),0))</f>
        <v/>
      </c>
      <c r="Q877" s="11" t="n"/>
      <c r="R877" s="11" t="n"/>
      <c r="S877" s="10">
        <f>IF(AND(Q877="",R877=""),"",IFERROR(INDEX(T_LIBAT,MATCH(Q877,L_PER,0),MATCH(R877,L_JENIS,0)),0))</f>
        <v/>
      </c>
      <c r="T877" s="11" t="n"/>
      <c r="U877" s="11" t="n"/>
      <c r="V877" s="10">
        <f>IF(AND(T877="",U877=""),"",IFERROR(INDEX(T_CAPAI,MATCH(T877,L_PER,0),MATCH(U877,L_KED,0)),0))</f>
        <v/>
      </c>
      <c r="W877" s="17">
        <f>IF(OR(B877="",E877="",COUNTA(F877,H877,J877:M877,O877,Q877:R877,T877:U877)=0),"",SUM(G877,I877,N877,P877,S877,V877))</f>
        <v/>
      </c>
      <c r="X877" s="18">
        <f>IF(W877="","",IF(Murid!F877="TL","TL",ROUND(W877/110*100,2)))</f>
        <v/>
      </c>
    </row>
    <row r="878">
      <c r="A878" s="15">
        <f>Murid!A878</f>
        <v/>
      </c>
      <c r="B878" s="15">
        <f>IF(Murid!B878="","",Murid!B878)</f>
        <v/>
      </c>
      <c r="C878" s="16">
        <f>IF(Murid!C878="","",Murid!C878)</f>
        <v/>
      </c>
      <c r="D878" s="15">
        <f>IF(Murid!E878="","",Murid!E878)</f>
        <v/>
      </c>
      <c r="E878" s="11" t="n"/>
      <c r="F878" s="11" t="n"/>
      <c r="G878" s="10">
        <f>IF(F878="","",IFERROR(VLOOKUP(F878,T_JUB,2,FALSE),0))</f>
        <v/>
      </c>
      <c r="H878" s="11" t="n"/>
      <c r="I878" s="17">
        <f>IF(H878="","",IF(H878&gt;=12,40,ROUND(H878*3.33,2)))</f>
        <v/>
      </c>
      <c r="J878" s="11" t="n"/>
      <c r="K878" s="11" t="n"/>
      <c r="L878" s="11" t="n"/>
      <c r="M878" s="11" t="n"/>
      <c r="N878" s="10">
        <f>IF(COUNTA(J878:M878)=0,"",MIN(10,SUMPRODUCT((COUNTIF(J878:M878,L_KOM)&gt;0)*S_KOM)))</f>
        <v/>
      </c>
      <c r="O878" s="11" t="n"/>
      <c r="P878" s="10">
        <f>IF(O878="","",IFERROR(VLOOKUP(O878,T_KHID,2,FALSE),0))</f>
        <v/>
      </c>
      <c r="Q878" s="11" t="n"/>
      <c r="R878" s="11" t="n"/>
      <c r="S878" s="10">
        <f>IF(AND(Q878="",R878=""),"",IFERROR(INDEX(T_LIBAT,MATCH(Q878,L_PER,0),MATCH(R878,L_JENIS,0)),0))</f>
        <v/>
      </c>
      <c r="T878" s="11" t="n"/>
      <c r="U878" s="11" t="n"/>
      <c r="V878" s="10">
        <f>IF(AND(T878="",U878=""),"",IFERROR(INDEX(T_CAPAI,MATCH(T878,L_PER,0),MATCH(U878,L_KED,0)),0))</f>
        <v/>
      </c>
      <c r="W878" s="17">
        <f>IF(OR(B878="",E878="",COUNTA(F878,H878,J878:M878,O878,Q878:R878,T878:U878)=0),"",SUM(G878,I878,N878,P878,S878,V878))</f>
        <v/>
      </c>
      <c r="X878" s="18">
        <f>IF(W878="","",IF(Murid!F878="TL","TL",ROUND(W878/110*100,2)))</f>
        <v/>
      </c>
    </row>
    <row r="879">
      <c r="A879" s="15">
        <f>Murid!A879</f>
        <v/>
      </c>
      <c r="B879" s="15">
        <f>IF(Murid!B879="","",Murid!B879)</f>
        <v/>
      </c>
      <c r="C879" s="16">
        <f>IF(Murid!C879="","",Murid!C879)</f>
        <v/>
      </c>
      <c r="D879" s="15">
        <f>IF(Murid!E879="","",Murid!E879)</f>
        <v/>
      </c>
      <c r="E879" s="11" t="n"/>
      <c r="F879" s="11" t="n"/>
      <c r="G879" s="10">
        <f>IF(F879="","",IFERROR(VLOOKUP(F879,T_JUB,2,FALSE),0))</f>
        <v/>
      </c>
      <c r="H879" s="11" t="n"/>
      <c r="I879" s="17">
        <f>IF(H879="","",IF(H879&gt;=12,40,ROUND(H879*3.33,2)))</f>
        <v/>
      </c>
      <c r="J879" s="11" t="n"/>
      <c r="K879" s="11" t="n"/>
      <c r="L879" s="11" t="n"/>
      <c r="M879" s="11" t="n"/>
      <c r="N879" s="10">
        <f>IF(COUNTA(J879:M879)=0,"",MIN(10,SUMPRODUCT((COUNTIF(J879:M879,L_KOM)&gt;0)*S_KOM)))</f>
        <v/>
      </c>
      <c r="O879" s="11" t="n"/>
      <c r="P879" s="10">
        <f>IF(O879="","",IFERROR(VLOOKUP(O879,T_KHID,2,FALSE),0))</f>
        <v/>
      </c>
      <c r="Q879" s="11" t="n"/>
      <c r="R879" s="11" t="n"/>
      <c r="S879" s="10">
        <f>IF(AND(Q879="",R879=""),"",IFERROR(INDEX(T_LIBAT,MATCH(Q879,L_PER,0),MATCH(R879,L_JENIS,0)),0))</f>
        <v/>
      </c>
      <c r="T879" s="11" t="n"/>
      <c r="U879" s="11" t="n"/>
      <c r="V879" s="10">
        <f>IF(AND(T879="",U879=""),"",IFERROR(INDEX(T_CAPAI,MATCH(T879,L_PER,0),MATCH(U879,L_KED,0)),0))</f>
        <v/>
      </c>
      <c r="W879" s="17">
        <f>IF(OR(B879="",E879="",COUNTA(F879,H879,J879:M879,O879,Q879:R879,T879:U879)=0),"",SUM(G879,I879,N879,P879,S879,V879))</f>
        <v/>
      </c>
      <c r="X879" s="18">
        <f>IF(W879="","",IF(Murid!F879="TL","TL",ROUND(W879/110*100,2)))</f>
        <v/>
      </c>
    </row>
    <row r="880">
      <c r="A880" s="15">
        <f>Murid!A880</f>
        <v/>
      </c>
      <c r="B880" s="15">
        <f>IF(Murid!B880="","",Murid!B880)</f>
        <v/>
      </c>
      <c r="C880" s="16">
        <f>IF(Murid!C880="","",Murid!C880)</f>
        <v/>
      </c>
      <c r="D880" s="15">
        <f>IF(Murid!E880="","",Murid!E880)</f>
        <v/>
      </c>
      <c r="E880" s="11" t="n"/>
      <c r="F880" s="11" t="n"/>
      <c r="G880" s="10">
        <f>IF(F880="","",IFERROR(VLOOKUP(F880,T_JUB,2,FALSE),0))</f>
        <v/>
      </c>
      <c r="H880" s="11" t="n"/>
      <c r="I880" s="17">
        <f>IF(H880="","",IF(H880&gt;=12,40,ROUND(H880*3.33,2)))</f>
        <v/>
      </c>
      <c r="J880" s="11" t="n"/>
      <c r="K880" s="11" t="n"/>
      <c r="L880" s="11" t="n"/>
      <c r="M880" s="11" t="n"/>
      <c r="N880" s="10">
        <f>IF(COUNTA(J880:M880)=0,"",MIN(10,SUMPRODUCT((COUNTIF(J880:M880,L_KOM)&gt;0)*S_KOM)))</f>
        <v/>
      </c>
      <c r="O880" s="11" t="n"/>
      <c r="P880" s="10">
        <f>IF(O880="","",IFERROR(VLOOKUP(O880,T_KHID,2,FALSE),0))</f>
        <v/>
      </c>
      <c r="Q880" s="11" t="n"/>
      <c r="R880" s="11" t="n"/>
      <c r="S880" s="10">
        <f>IF(AND(Q880="",R880=""),"",IFERROR(INDEX(T_LIBAT,MATCH(Q880,L_PER,0),MATCH(R880,L_JENIS,0)),0))</f>
        <v/>
      </c>
      <c r="T880" s="11" t="n"/>
      <c r="U880" s="11" t="n"/>
      <c r="V880" s="10">
        <f>IF(AND(T880="",U880=""),"",IFERROR(INDEX(T_CAPAI,MATCH(T880,L_PER,0),MATCH(U880,L_KED,0)),0))</f>
        <v/>
      </c>
      <c r="W880" s="17">
        <f>IF(OR(B880="",E880="",COUNTA(F880,H880,J880:M880,O880,Q880:R880,T880:U880)=0),"",SUM(G880,I880,N880,P880,S880,V880))</f>
        <v/>
      </c>
      <c r="X880" s="18">
        <f>IF(W880="","",IF(Murid!F880="TL","TL",ROUND(W880/110*100,2)))</f>
        <v/>
      </c>
    </row>
    <row r="881">
      <c r="A881" s="15">
        <f>Murid!A881</f>
        <v/>
      </c>
      <c r="B881" s="15">
        <f>IF(Murid!B881="","",Murid!B881)</f>
        <v/>
      </c>
      <c r="C881" s="16">
        <f>IF(Murid!C881="","",Murid!C881)</f>
        <v/>
      </c>
      <c r="D881" s="15">
        <f>IF(Murid!E881="","",Murid!E881)</f>
        <v/>
      </c>
      <c r="E881" s="11" t="n"/>
      <c r="F881" s="11" t="n"/>
      <c r="G881" s="10">
        <f>IF(F881="","",IFERROR(VLOOKUP(F881,T_JUB,2,FALSE),0))</f>
        <v/>
      </c>
      <c r="H881" s="11" t="n"/>
      <c r="I881" s="17">
        <f>IF(H881="","",IF(H881&gt;=12,40,ROUND(H881*3.33,2)))</f>
        <v/>
      </c>
      <c r="J881" s="11" t="n"/>
      <c r="K881" s="11" t="n"/>
      <c r="L881" s="11" t="n"/>
      <c r="M881" s="11" t="n"/>
      <c r="N881" s="10">
        <f>IF(COUNTA(J881:M881)=0,"",MIN(10,SUMPRODUCT((COUNTIF(J881:M881,L_KOM)&gt;0)*S_KOM)))</f>
        <v/>
      </c>
      <c r="O881" s="11" t="n"/>
      <c r="P881" s="10">
        <f>IF(O881="","",IFERROR(VLOOKUP(O881,T_KHID,2,FALSE),0))</f>
        <v/>
      </c>
      <c r="Q881" s="11" t="n"/>
      <c r="R881" s="11" t="n"/>
      <c r="S881" s="10">
        <f>IF(AND(Q881="",R881=""),"",IFERROR(INDEX(T_LIBAT,MATCH(Q881,L_PER,0),MATCH(R881,L_JENIS,0)),0))</f>
        <v/>
      </c>
      <c r="T881" s="11" t="n"/>
      <c r="U881" s="11" t="n"/>
      <c r="V881" s="10">
        <f>IF(AND(T881="",U881=""),"",IFERROR(INDEX(T_CAPAI,MATCH(T881,L_PER,0),MATCH(U881,L_KED,0)),0))</f>
        <v/>
      </c>
      <c r="W881" s="17">
        <f>IF(OR(B881="",E881="",COUNTA(F881,H881,J881:M881,O881,Q881:R881,T881:U881)=0),"",SUM(G881,I881,N881,P881,S881,V881))</f>
        <v/>
      </c>
      <c r="X881" s="18">
        <f>IF(W881="","",IF(Murid!F881="TL","TL",ROUND(W881/110*100,2)))</f>
        <v/>
      </c>
    </row>
    <row r="882">
      <c r="A882" s="15">
        <f>Murid!A882</f>
        <v/>
      </c>
      <c r="B882" s="15">
        <f>IF(Murid!B882="","",Murid!B882)</f>
        <v/>
      </c>
      <c r="C882" s="16">
        <f>IF(Murid!C882="","",Murid!C882)</f>
        <v/>
      </c>
      <c r="D882" s="15">
        <f>IF(Murid!E882="","",Murid!E882)</f>
        <v/>
      </c>
      <c r="E882" s="11" t="n"/>
      <c r="F882" s="11" t="n"/>
      <c r="G882" s="10">
        <f>IF(F882="","",IFERROR(VLOOKUP(F882,T_JUB,2,FALSE),0))</f>
        <v/>
      </c>
      <c r="H882" s="11" t="n"/>
      <c r="I882" s="17">
        <f>IF(H882="","",IF(H882&gt;=12,40,ROUND(H882*3.33,2)))</f>
        <v/>
      </c>
      <c r="J882" s="11" t="n"/>
      <c r="K882" s="11" t="n"/>
      <c r="L882" s="11" t="n"/>
      <c r="M882" s="11" t="n"/>
      <c r="N882" s="10">
        <f>IF(COUNTA(J882:M882)=0,"",MIN(10,SUMPRODUCT((COUNTIF(J882:M882,L_KOM)&gt;0)*S_KOM)))</f>
        <v/>
      </c>
      <c r="O882" s="11" t="n"/>
      <c r="P882" s="10">
        <f>IF(O882="","",IFERROR(VLOOKUP(O882,T_KHID,2,FALSE),0))</f>
        <v/>
      </c>
      <c r="Q882" s="11" t="n"/>
      <c r="R882" s="11" t="n"/>
      <c r="S882" s="10">
        <f>IF(AND(Q882="",R882=""),"",IFERROR(INDEX(T_LIBAT,MATCH(Q882,L_PER,0),MATCH(R882,L_JENIS,0)),0))</f>
        <v/>
      </c>
      <c r="T882" s="11" t="n"/>
      <c r="U882" s="11" t="n"/>
      <c r="V882" s="10">
        <f>IF(AND(T882="",U882=""),"",IFERROR(INDEX(T_CAPAI,MATCH(T882,L_PER,0),MATCH(U882,L_KED,0)),0))</f>
        <v/>
      </c>
      <c r="W882" s="17">
        <f>IF(OR(B882="",E882="",COUNTA(F882,H882,J882:M882,O882,Q882:R882,T882:U882)=0),"",SUM(G882,I882,N882,P882,S882,V882))</f>
        <v/>
      </c>
      <c r="X882" s="18">
        <f>IF(W882="","",IF(Murid!F882="TL","TL",ROUND(W882/110*100,2)))</f>
        <v/>
      </c>
    </row>
    <row r="883">
      <c r="A883" s="15">
        <f>Murid!A883</f>
        <v/>
      </c>
      <c r="B883" s="15">
        <f>IF(Murid!B883="","",Murid!B883)</f>
        <v/>
      </c>
      <c r="C883" s="16">
        <f>IF(Murid!C883="","",Murid!C883)</f>
        <v/>
      </c>
      <c r="D883" s="15">
        <f>IF(Murid!E883="","",Murid!E883)</f>
        <v/>
      </c>
      <c r="E883" s="11" t="n"/>
      <c r="F883" s="11" t="n"/>
      <c r="G883" s="10">
        <f>IF(F883="","",IFERROR(VLOOKUP(F883,T_JUB,2,FALSE),0))</f>
        <v/>
      </c>
      <c r="H883" s="11" t="n"/>
      <c r="I883" s="17">
        <f>IF(H883="","",IF(H883&gt;=12,40,ROUND(H883*3.33,2)))</f>
        <v/>
      </c>
      <c r="J883" s="11" t="n"/>
      <c r="K883" s="11" t="n"/>
      <c r="L883" s="11" t="n"/>
      <c r="M883" s="11" t="n"/>
      <c r="N883" s="10">
        <f>IF(COUNTA(J883:M883)=0,"",MIN(10,SUMPRODUCT((COUNTIF(J883:M883,L_KOM)&gt;0)*S_KOM)))</f>
        <v/>
      </c>
      <c r="O883" s="11" t="n"/>
      <c r="P883" s="10">
        <f>IF(O883="","",IFERROR(VLOOKUP(O883,T_KHID,2,FALSE),0))</f>
        <v/>
      </c>
      <c r="Q883" s="11" t="n"/>
      <c r="R883" s="11" t="n"/>
      <c r="S883" s="10">
        <f>IF(AND(Q883="",R883=""),"",IFERROR(INDEX(T_LIBAT,MATCH(Q883,L_PER,0),MATCH(R883,L_JENIS,0)),0))</f>
        <v/>
      </c>
      <c r="T883" s="11" t="n"/>
      <c r="U883" s="11" t="n"/>
      <c r="V883" s="10">
        <f>IF(AND(T883="",U883=""),"",IFERROR(INDEX(T_CAPAI,MATCH(T883,L_PER,0),MATCH(U883,L_KED,0)),0))</f>
        <v/>
      </c>
      <c r="W883" s="17">
        <f>IF(OR(B883="",E883="",COUNTA(F883,H883,J883:M883,O883,Q883:R883,T883:U883)=0),"",SUM(G883,I883,N883,P883,S883,V883))</f>
        <v/>
      </c>
      <c r="X883" s="18">
        <f>IF(W883="","",IF(Murid!F883="TL","TL",ROUND(W883/110*100,2)))</f>
        <v/>
      </c>
    </row>
    <row r="884">
      <c r="A884" s="15">
        <f>Murid!A884</f>
        <v/>
      </c>
      <c r="B884" s="15">
        <f>IF(Murid!B884="","",Murid!B884)</f>
        <v/>
      </c>
      <c r="C884" s="16">
        <f>IF(Murid!C884="","",Murid!C884)</f>
        <v/>
      </c>
      <c r="D884" s="15">
        <f>IF(Murid!E884="","",Murid!E884)</f>
        <v/>
      </c>
      <c r="E884" s="11" t="n"/>
      <c r="F884" s="11" t="n"/>
      <c r="G884" s="10">
        <f>IF(F884="","",IFERROR(VLOOKUP(F884,T_JUB,2,FALSE),0))</f>
        <v/>
      </c>
      <c r="H884" s="11" t="n"/>
      <c r="I884" s="17">
        <f>IF(H884="","",IF(H884&gt;=12,40,ROUND(H884*3.33,2)))</f>
        <v/>
      </c>
      <c r="J884" s="11" t="n"/>
      <c r="K884" s="11" t="n"/>
      <c r="L884" s="11" t="n"/>
      <c r="M884" s="11" t="n"/>
      <c r="N884" s="10">
        <f>IF(COUNTA(J884:M884)=0,"",MIN(10,SUMPRODUCT((COUNTIF(J884:M884,L_KOM)&gt;0)*S_KOM)))</f>
        <v/>
      </c>
      <c r="O884" s="11" t="n"/>
      <c r="P884" s="10">
        <f>IF(O884="","",IFERROR(VLOOKUP(O884,T_KHID,2,FALSE),0))</f>
        <v/>
      </c>
      <c r="Q884" s="11" t="n"/>
      <c r="R884" s="11" t="n"/>
      <c r="S884" s="10">
        <f>IF(AND(Q884="",R884=""),"",IFERROR(INDEX(T_LIBAT,MATCH(Q884,L_PER,0),MATCH(R884,L_JENIS,0)),0))</f>
        <v/>
      </c>
      <c r="T884" s="11" t="n"/>
      <c r="U884" s="11" t="n"/>
      <c r="V884" s="10">
        <f>IF(AND(T884="",U884=""),"",IFERROR(INDEX(T_CAPAI,MATCH(T884,L_PER,0),MATCH(U884,L_KED,0)),0))</f>
        <v/>
      </c>
      <c r="W884" s="17">
        <f>IF(OR(B884="",E884="",COUNTA(F884,H884,J884:M884,O884,Q884:R884,T884:U884)=0),"",SUM(G884,I884,N884,P884,S884,V884))</f>
        <v/>
      </c>
      <c r="X884" s="18">
        <f>IF(W884="","",IF(Murid!F884="TL","TL",ROUND(W884/110*100,2)))</f>
        <v/>
      </c>
    </row>
    <row r="885">
      <c r="A885" s="15">
        <f>Murid!A885</f>
        <v/>
      </c>
      <c r="B885" s="15">
        <f>IF(Murid!B885="","",Murid!B885)</f>
        <v/>
      </c>
      <c r="C885" s="16">
        <f>IF(Murid!C885="","",Murid!C885)</f>
        <v/>
      </c>
      <c r="D885" s="15">
        <f>IF(Murid!E885="","",Murid!E885)</f>
        <v/>
      </c>
      <c r="E885" s="11" t="n"/>
      <c r="F885" s="11" t="n"/>
      <c r="G885" s="10">
        <f>IF(F885="","",IFERROR(VLOOKUP(F885,T_JUB,2,FALSE),0))</f>
        <v/>
      </c>
      <c r="H885" s="11" t="n"/>
      <c r="I885" s="17">
        <f>IF(H885="","",IF(H885&gt;=12,40,ROUND(H885*3.33,2)))</f>
        <v/>
      </c>
      <c r="J885" s="11" t="n"/>
      <c r="K885" s="11" t="n"/>
      <c r="L885" s="11" t="n"/>
      <c r="M885" s="11" t="n"/>
      <c r="N885" s="10">
        <f>IF(COUNTA(J885:M885)=0,"",MIN(10,SUMPRODUCT((COUNTIF(J885:M885,L_KOM)&gt;0)*S_KOM)))</f>
        <v/>
      </c>
      <c r="O885" s="11" t="n"/>
      <c r="P885" s="10">
        <f>IF(O885="","",IFERROR(VLOOKUP(O885,T_KHID,2,FALSE),0))</f>
        <v/>
      </c>
      <c r="Q885" s="11" t="n"/>
      <c r="R885" s="11" t="n"/>
      <c r="S885" s="10">
        <f>IF(AND(Q885="",R885=""),"",IFERROR(INDEX(T_LIBAT,MATCH(Q885,L_PER,0),MATCH(R885,L_JENIS,0)),0))</f>
        <v/>
      </c>
      <c r="T885" s="11" t="n"/>
      <c r="U885" s="11" t="n"/>
      <c r="V885" s="10">
        <f>IF(AND(T885="",U885=""),"",IFERROR(INDEX(T_CAPAI,MATCH(T885,L_PER,0),MATCH(U885,L_KED,0)),0))</f>
        <v/>
      </c>
      <c r="W885" s="17">
        <f>IF(OR(B885="",E885="",COUNTA(F885,H885,J885:M885,O885,Q885:R885,T885:U885)=0),"",SUM(G885,I885,N885,P885,S885,V885))</f>
        <v/>
      </c>
      <c r="X885" s="18">
        <f>IF(W885="","",IF(Murid!F885="TL","TL",ROUND(W885/110*100,2)))</f>
        <v/>
      </c>
    </row>
    <row r="886">
      <c r="A886" s="15">
        <f>Murid!A886</f>
        <v/>
      </c>
      <c r="B886" s="15">
        <f>IF(Murid!B886="","",Murid!B886)</f>
        <v/>
      </c>
      <c r="C886" s="16">
        <f>IF(Murid!C886="","",Murid!C886)</f>
        <v/>
      </c>
      <c r="D886" s="15">
        <f>IF(Murid!E886="","",Murid!E886)</f>
        <v/>
      </c>
      <c r="E886" s="11" t="n"/>
      <c r="F886" s="11" t="n"/>
      <c r="G886" s="10">
        <f>IF(F886="","",IFERROR(VLOOKUP(F886,T_JUB,2,FALSE),0))</f>
        <v/>
      </c>
      <c r="H886" s="11" t="n"/>
      <c r="I886" s="17">
        <f>IF(H886="","",IF(H886&gt;=12,40,ROUND(H886*3.33,2)))</f>
        <v/>
      </c>
      <c r="J886" s="11" t="n"/>
      <c r="K886" s="11" t="n"/>
      <c r="L886" s="11" t="n"/>
      <c r="M886" s="11" t="n"/>
      <c r="N886" s="10">
        <f>IF(COUNTA(J886:M886)=0,"",MIN(10,SUMPRODUCT((COUNTIF(J886:M886,L_KOM)&gt;0)*S_KOM)))</f>
        <v/>
      </c>
      <c r="O886" s="11" t="n"/>
      <c r="P886" s="10">
        <f>IF(O886="","",IFERROR(VLOOKUP(O886,T_KHID,2,FALSE),0))</f>
        <v/>
      </c>
      <c r="Q886" s="11" t="n"/>
      <c r="R886" s="11" t="n"/>
      <c r="S886" s="10">
        <f>IF(AND(Q886="",R886=""),"",IFERROR(INDEX(T_LIBAT,MATCH(Q886,L_PER,0),MATCH(R886,L_JENIS,0)),0))</f>
        <v/>
      </c>
      <c r="T886" s="11" t="n"/>
      <c r="U886" s="11" t="n"/>
      <c r="V886" s="10">
        <f>IF(AND(T886="",U886=""),"",IFERROR(INDEX(T_CAPAI,MATCH(T886,L_PER,0),MATCH(U886,L_KED,0)),0))</f>
        <v/>
      </c>
      <c r="W886" s="17">
        <f>IF(OR(B886="",E886="",COUNTA(F886,H886,J886:M886,O886,Q886:R886,T886:U886)=0),"",SUM(G886,I886,N886,P886,S886,V886))</f>
        <v/>
      </c>
      <c r="X886" s="18">
        <f>IF(W886="","",IF(Murid!F886="TL","TL",ROUND(W886/110*100,2)))</f>
        <v/>
      </c>
    </row>
    <row r="887">
      <c r="A887" s="15">
        <f>Murid!A887</f>
        <v/>
      </c>
      <c r="B887" s="15">
        <f>IF(Murid!B887="","",Murid!B887)</f>
        <v/>
      </c>
      <c r="C887" s="16">
        <f>IF(Murid!C887="","",Murid!C887)</f>
        <v/>
      </c>
      <c r="D887" s="15">
        <f>IF(Murid!E887="","",Murid!E887)</f>
        <v/>
      </c>
      <c r="E887" s="11" t="n"/>
      <c r="F887" s="11" t="n"/>
      <c r="G887" s="10">
        <f>IF(F887="","",IFERROR(VLOOKUP(F887,T_JUB,2,FALSE),0))</f>
        <v/>
      </c>
      <c r="H887" s="11" t="n"/>
      <c r="I887" s="17">
        <f>IF(H887="","",IF(H887&gt;=12,40,ROUND(H887*3.33,2)))</f>
        <v/>
      </c>
      <c r="J887" s="11" t="n"/>
      <c r="K887" s="11" t="n"/>
      <c r="L887" s="11" t="n"/>
      <c r="M887" s="11" t="n"/>
      <c r="N887" s="10">
        <f>IF(COUNTA(J887:M887)=0,"",MIN(10,SUMPRODUCT((COUNTIF(J887:M887,L_KOM)&gt;0)*S_KOM)))</f>
        <v/>
      </c>
      <c r="O887" s="11" t="n"/>
      <c r="P887" s="10">
        <f>IF(O887="","",IFERROR(VLOOKUP(O887,T_KHID,2,FALSE),0))</f>
        <v/>
      </c>
      <c r="Q887" s="11" t="n"/>
      <c r="R887" s="11" t="n"/>
      <c r="S887" s="10">
        <f>IF(AND(Q887="",R887=""),"",IFERROR(INDEX(T_LIBAT,MATCH(Q887,L_PER,0),MATCH(R887,L_JENIS,0)),0))</f>
        <v/>
      </c>
      <c r="T887" s="11" t="n"/>
      <c r="U887" s="11" t="n"/>
      <c r="V887" s="10">
        <f>IF(AND(T887="",U887=""),"",IFERROR(INDEX(T_CAPAI,MATCH(T887,L_PER,0),MATCH(U887,L_KED,0)),0))</f>
        <v/>
      </c>
      <c r="W887" s="17">
        <f>IF(OR(B887="",E887="",COUNTA(F887,H887,J887:M887,O887,Q887:R887,T887:U887)=0),"",SUM(G887,I887,N887,P887,S887,V887))</f>
        <v/>
      </c>
      <c r="X887" s="18">
        <f>IF(W887="","",IF(Murid!F887="TL","TL",ROUND(W887/110*100,2)))</f>
        <v/>
      </c>
    </row>
    <row r="888">
      <c r="A888" s="15">
        <f>Murid!A888</f>
        <v/>
      </c>
      <c r="B888" s="15">
        <f>IF(Murid!B888="","",Murid!B888)</f>
        <v/>
      </c>
      <c r="C888" s="16">
        <f>IF(Murid!C888="","",Murid!C888)</f>
        <v/>
      </c>
      <c r="D888" s="15">
        <f>IF(Murid!E888="","",Murid!E888)</f>
        <v/>
      </c>
      <c r="E888" s="11" t="n"/>
      <c r="F888" s="11" t="n"/>
      <c r="G888" s="10">
        <f>IF(F888="","",IFERROR(VLOOKUP(F888,T_JUB,2,FALSE),0))</f>
        <v/>
      </c>
      <c r="H888" s="11" t="n"/>
      <c r="I888" s="17">
        <f>IF(H888="","",IF(H888&gt;=12,40,ROUND(H888*3.33,2)))</f>
        <v/>
      </c>
      <c r="J888" s="11" t="n"/>
      <c r="K888" s="11" t="n"/>
      <c r="L888" s="11" t="n"/>
      <c r="M888" s="11" t="n"/>
      <c r="N888" s="10">
        <f>IF(COUNTA(J888:M888)=0,"",MIN(10,SUMPRODUCT((COUNTIF(J888:M888,L_KOM)&gt;0)*S_KOM)))</f>
        <v/>
      </c>
      <c r="O888" s="11" t="n"/>
      <c r="P888" s="10">
        <f>IF(O888="","",IFERROR(VLOOKUP(O888,T_KHID,2,FALSE),0))</f>
        <v/>
      </c>
      <c r="Q888" s="11" t="n"/>
      <c r="R888" s="11" t="n"/>
      <c r="S888" s="10">
        <f>IF(AND(Q888="",R888=""),"",IFERROR(INDEX(T_LIBAT,MATCH(Q888,L_PER,0),MATCH(R888,L_JENIS,0)),0))</f>
        <v/>
      </c>
      <c r="T888" s="11" t="n"/>
      <c r="U888" s="11" t="n"/>
      <c r="V888" s="10">
        <f>IF(AND(T888="",U888=""),"",IFERROR(INDEX(T_CAPAI,MATCH(T888,L_PER,0),MATCH(U888,L_KED,0)),0))</f>
        <v/>
      </c>
      <c r="W888" s="17">
        <f>IF(OR(B888="",E888="",COUNTA(F888,H888,J888:M888,O888,Q888:R888,T888:U888)=0),"",SUM(G888,I888,N888,P888,S888,V888))</f>
        <v/>
      </c>
      <c r="X888" s="18">
        <f>IF(W888="","",IF(Murid!F888="TL","TL",ROUND(W888/110*100,2)))</f>
        <v/>
      </c>
    </row>
    <row r="889">
      <c r="A889" s="15">
        <f>Murid!A889</f>
        <v/>
      </c>
      <c r="B889" s="15">
        <f>IF(Murid!B889="","",Murid!B889)</f>
        <v/>
      </c>
      <c r="C889" s="16">
        <f>IF(Murid!C889="","",Murid!C889)</f>
        <v/>
      </c>
      <c r="D889" s="15">
        <f>IF(Murid!E889="","",Murid!E889)</f>
        <v/>
      </c>
      <c r="E889" s="11" t="n"/>
      <c r="F889" s="11" t="n"/>
      <c r="G889" s="10">
        <f>IF(F889="","",IFERROR(VLOOKUP(F889,T_JUB,2,FALSE),0))</f>
        <v/>
      </c>
      <c r="H889" s="11" t="n"/>
      <c r="I889" s="17">
        <f>IF(H889="","",IF(H889&gt;=12,40,ROUND(H889*3.33,2)))</f>
        <v/>
      </c>
      <c r="J889" s="11" t="n"/>
      <c r="K889" s="11" t="n"/>
      <c r="L889" s="11" t="n"/>
      <c r="M889" s="11" t="n"/>
      <c r="N889" s="10">
        <f>IF(COUNTA(J889:M889)=0,"",MIN(10,SUMPRODUCT((COUNTIF(J889:M889,L_KOM)&gt;0)*S_KOM)))</f>
        <v/>
      </c>
      <c r="O889" s="11" t="n"/>
      <c r="P889" s="10">
        <f>IF(O889="","",IFERROR(VLOOKUP(O889,T_KHID,2,FALSE),0))</f>
        <v/>
      </c>
      <c r="Q889" s="11" t="n"/>
      <c r="R889" s="11" t="n"/>
      <c r="S889" s="10">
        <f>IF(AND(Q889="",R889=""),"",IFERROR(INDEX(T_LIBAT,MATCH(Q889,L_PER,0),MATCH(R889,L_JENIS,0)),0))</f>
        <v/>
      </c>
      <c r="T889" s="11" t="n"/>
      <c r="U889" s="11" t="n"/>
      <c r="V889" s="10">
        <f>IF(AND(T889="",U889=""),"",IFERROR(INDEX(T_CAPAI,MATCH(T889,L_PER,0),MATCH(U889,L_KED,0)),0))</f>
        <v/>
      </c>
      <c r="W889" s="17">
        <f>IF(OR(B889="",E889="",COUNTA(F889,H889,J889:M889,O889,Q889:R889,T889:U889)=0),"",SUM(G889,I889,N889,P889,S889,V889))</f>
        <v/>
      </c>
      <c r="X889" s="18">
        <f>IF(W889="","",IF(Murid!F889="TL","TL",ROUND(W889/110*100,2)))</f>
        <v/>
      </c>
    </row>
    <row r="890">
      <c r="A890" s="15">
        <f>Murid!A890</f>
        <v/>
      </c>
      <c r="B890" s="15">
        <f>IF(Murid!B890="","",Murid!B890)</f>
        <v/>
      </c>
      <c r="C890" s="16">
        <f>IF(Murid!C890="","",Murid!C890)</f>
        <v/>
      </c>
      <c r="D890" s="15">
        <f>IF(Murid!E890="","",Murid!E890)</f>
        <v/>
      </c>
      <c r="E890" s="11" t="n"/>
      <c r="F890" s="11" t="n"/>
      <c r="G890" s="10">
        <f>IF(F890="","",IFERROR(VLOOKUP(F890,T_JUB,2,FALSE),0))</f>
        <v/>
      </c>
      <c r="H890" s="11" t="n"/>
      <c r="I890" s="17">
        <f>IF(H890="","",IF(H890&gt;=12,40,ROUND(H890*3.33,2)))</f>
        <v/>
      </c>
      <c r="J890" s="11" t="n"/>
      <c r="K890" s="11" t="n"/>
      <c r="L890" s="11" t="n"/>
      <c r="M890" s="11" t="n"/>
      <c r="N890" s="10">
        <f>IF(COUNTA(J890:M890)=0,"",MIN(10,SUMPRODUCT((COUNTIF(J890:M890,L_KOM)&gt;0)*S_KOM)))</f>
        <v/>
      </c>
      <c r="O890" s="11" t="n"/>
      <c r="P890" s="10">
        <f>IF(O890="","",IFERROR(VLOOKUP(O890,T_KHID,2,FALSE),0))</f>
        <v/>
      </c>
      <c r="Q890" s="11" t="n"/>
      <c r="R890" s="11" t="n"/>
      <c r="S890" s="10">
        <f>IF(AND(Q890="",R890=""),"",IFERROR(INDEX(T_LIBAT,MATCH(Q890,L_PER,0),MATCH(R890,L_JENIS,0)),0))</f>
        <v/>
      </c>
      <c r="T890" s="11" t="n"/>
      <c r="U890" s="11" t="n"/>
      <c r="V890" s="10">
        <f>IF(AND(T890="",U890=""),"",IFERROR(INDEX(T_CAPAI,MATCH(T890,L_PER,0),MATCH(U890,L_KED,0)),0))</f>
        <v/>
      </c>
      <c r="W890" s="17">
        <f>IF(OR(B890="",E890="",COUNTA(F890,H890,J890:M890,O890,Q890:R890,T890:U890)=0),"",SUM(G890,I890,N890,P890,S890,V890))</f>
        <v/>
      </c>
      <c r="X890" s="18">
        <f>IF(W890="","",IF(Murid!F890="TL","TL",ROUND(W890/110*100,2)))</f>
        <v/>
      </c>
    </row>
    <row r="891">
      <c r="A891" s="15">
        <f>Murid!A891</f>
        <v/>
      </c>
      <c r="B891" s="15">
        <f>IF(Murid!B891="","",Murid!B891)</f>
        <v/>
      </c>
      <c r="C891" s="16">
        <f>IF(Murid!C891="","",Murid!C891)</f>
        <v/>
      </c>
      <c r="D891" s="15">
        <f>IF(Murid!E891="","",Murid!E891)</f>
        <v/>
      </c>
      <c r="E891" s="11" t="n"/>
      <c r="F891" s="11" t="n"/>
      <c r="G891" s="10">
        <f>IF(F891="","",IFERROR(VLOOKUP(F891,T_JUB,2,FALSE),0))</f>
        <v/>
      </c>
      <c r="H891" s="11" t="n"/>
      <c r="I891" s="17">
        <f>IF(H891="","",IF(H891&gt;=12,40,ROUND(H891*3.33,2)))</f>
        <v/>
      </c>
      <c r="J891" s="11" t="n"/>
      <c r="K891" s="11" t="n"/>
      <c r="L891" s="11" t="n"/>
      <c r="M891" s="11" t="n"/>
      <c r="N891" s="10">
        <f>IF(COUNTA(J891:M891)=0,"",MIN(10,SUMPRODUCT((COUNTIF(J891:M891,L_KOM)&gt;0)*S_KOM)))</f>
        <v/>
      </c>
      <c r="O891" s="11" t="n"/>
      <c r="P891" s="10">
        <f>IF(O891="","",IFERROR(VLOOKUP(O891,T_KHID,2,FALSE),0))</f>
        <v/>
      </c>
      <c r="Q891" s="11" t="n"/>
      <c r="R891" s="11" t="n"/>
      <c r="S891" s="10">
        <f>IF(AND(Q891="",R891=""),"",IFERROR(INDEX(T_LIBAT,MATCH(Q891,L_PER,0),MATCH(R891,L_JENIS,0)),0))</f>
        <v/>
      </c>
      <c r="T891" s="11" t="n"/>
      <c r="U891" s="11" t="n"/>
      <c r="V891" s="10">
        <f>IF(AND(T891="",U891=""),"",IFERROR(INDEX(T_CAPAI,MATCH(T891,L_PER,0),MATCH(U891,L_KED,0)),0))</f>
        <v/>
      </c>
      <c r="W891" s="17">
        <f>IF(OR(B891="",E891="",COUNTA(F891,H891,J891:M891,O891,Q891:R891,T891:U891)=0),"",SUM(G891,I891,N891,P891,S891,V891))</f>
        <v/>
      </c>
      <c r="X891" s="18">
        <f>IF(W891="","",IF(Murid!F891="TL","TL",ROUND(W891/110*100,2)))</f>
        <v/>
      </c>
    </row>
    <row r="892">
      <c r="A892" s="15">
        <f>Murid!A892</f>
        <v/>
      </c>
      <c r="B892" s="15">
        <f>IF(Murid!B892="","",Murid!B892)</f>
        <v/>
      </c>
      <c r="C892" s="16">
        <f>IF(Murid!C892="","",Murid!C892)</f>
        <v/>
      </c>
      <c r="D892" s="15">
        <f>IF(Murid!E892="","",Murid!E892)</f>
        <v/>
      </c>
      <c r="E892" s="11" t="n"/>
      <c r="F892" s="11" t="n"/>
      <c r="G892" s="10">
        <f>IF(F892="","",IFERROR(VLOOKUP(F892,T_JUB,2,FALSE),0))</f>
        <v/>
      </c>
      <c r="H892" s="11" t="n"/>
      <c r="I892" s="17">
        <f>IF(H892="","",IF(H892&gt;=12,40,ROUND(H892*3.33,2)))</f>
        <v/>
      </c>
      <c r="J892" s="11" t="n"/>
      <c r="K892" s="11" t="n"/>
      <c r="L892" s="11" t="n"/>
      <c r="M892" s="11" t="n"/>
      <c r="N892" s="10">
        <f>IF(COUNTA(J892:M892)=0,"",MIN(10,SUMPRODUCT((COUNTIF(J892:M892,L_KOM)&gt;0)*S_KOM)))</f>
        <v/>
      </c>
      <c r="O892" s="11" t="n"/>
      <c r="P892" s="10">
        <f>IF(O892="","",IFERROR(VLOOKUP(O892,T_KHID,2,FALSE),0))</f>
        <v/>
      </c>
      <c r="Q892" s="11" t="n"/>
      <c r="R892" s="11" t="n"/>
      <c r="S892" s="10">
        <f>IF(AND(Q892="",R892=""),"",IFERROR(INDEX(T_LIBAT,MATCH(Q892,L_PER,0),MATCH(R892,L_JENIS,0)),0))</f>
        <v/>
      </c>
      <c r="T892" s="11" t="n"/>
      <c r="U892" s="11" t="n"/>
      <c r="V892" s="10">
        <f>IF(AND(T892="",U892=""),"",IFERROR(INDEX(T_CAPAI,MATCH(T892,L_PER,0),MATCH(U892,L_KED,0)),0))</f>
        <v/>
      </c>
      <c r="W892" s="17">
        <f>IF(OR(B892="",E892="",COUNTA(F892,H892,J892:M892,O892,Q892:R892,T892:U892)=0),"",SUM(G892,I892,N892,P892,S892,V892))</f>
        <v/>
      </c>
      <c r="X892" s="18">
        <f>IF(W892="","",IF(Murid!F892="TL","TL",ROUND(W892/110*100,2)))</f>
        <v/>
      </c>
    </row>
    <row r="893">
      <c r="A893" s="15">
        <f>Murid!A893</f>
        <v/>
      </c>
      <c r="B893" s="15">
        <f>IF(Murid!B893="","",Murid!B893)</f>
        <v/>
      </c>
      <c r="C893" s="16">
        <f>IF(Murid!C893="","",Murid!C893)</f>
        <v/>
      </c>
      <c r="D893" s="15">
        <f>IF(Murid!E893="","",Murid!E893)</f>
        <v/>
      </c>
      <c r="E893" s="11" t="n"/>
      <c r="F893" s="11" t="n"/>
      <c r="G893" s="10">
        <f>IF(F893="","",IFERROR(VLOOKUP(F893,T_JUB,2,FALSE),0))</f>
        <v/>
      </c>
      <c r="H893" s="11" t="n"/>
      <c r="I893" s="17">
        <f>IF(H893="","",IF(H893&gt;=12,40,ROUND(H893*3.33,2)))</f>
        <v/>
      </c>
      <c r="J893" s="11" t="n"/>
      <c r="K893" s="11" t="n"/>
      <c r="L893" s="11" t="n"/>
      <c r="M893" s="11" t="n"/>
      <c r="N893" s="10">
        <f>IF(COUNTA(J893:M893)=0,"",MIN(10,SUMPRODUCT((COUNTIF(J893:M893,L_KOM)&gt;0)*S_KOM)))</f>
        <v/>
      </c>
      <c r="O893" s="11" t="n"/>
      <c r="P893" s="10">
        <f>IF(O893="","",IFERROR(VLOOKUP(O893,T_KHID,2,FALSE),0))</f>
        <v/>
      </c>
      <c r="Q893" s="11" t="n"/>
      <c r="R893" s="11" t="n"/>
      <c r="S893" s="10">
        <f>IF(AND(Q893="",R893=""),"",IFERROR(INDEX(T_LIBAT,MATCH(Q893,L_PER,0),MATCH(R893,L_JENIS,0)),0))</f>
        <v/>
      </c>
      <c r="T893" s="11" t="n"/>
      <c r="U893" s="11" t="n"/>
      <c r="V893" s="10">
        <f>IF(AND(T893="",U893=""),"",IFERROR(INDEX(T_CAPAI,MATCH(T893,L_PER,0),MATCH(U893,L_KED,0)),0))</f>
        <v/>
      </c>
      <c r="W893" s="17">
        <f>IF(OR(B893="",E893="",COUNTA(F893,H893,J893:M893,O893,Q893:R893,T893:U893)=0),"",SUM(G893,I893,N893,P893,S893,V893))</f>
        <v/>
      </c>
      <c r="X893" s="18">
        <f>IF(W893="","",IF(Murid!F893="TL","TL",ROUND(W893/110*100,2)))</f>
        <v/>
      </c>
    </row>
    <row r="894">
      <c r="A894" s="15">
        <f>Murid!A894</f>
        <v/>
      </c>
      <c r="B894" s="15">
        <f>IF(Murid!B894="","",Murid!B894)</f>
        <v/>
      </c>
      <c r="C894" s="16">
        <f>IF(Murid!C894="","",Murid!C894)</f>
        <v/>
      </c>
      <c r="D894" s="15">
        <f>IF(Murid!E894="","",Murid!E894)</f>
        <v/>
      </c>
      <c r="E894" s="11" t="n"/>
      <c r="F894" s="11" t="n"/>
      <c r="G894" s="10">
        <f>IF(F894="","",IFERROR(VLOOKUP(F894,T_JUB,2,FALSE),0))</f>
        <v/>
      </c>
      <c r="H894" s="11" t="n"/>
      <c r="I894" s="17">
        <f>IF(H894="","",IF(H894&gt;=12,40,ROUND(H894*3.33,2)))</f>
        <v/>
      </c>
      <c r="J894" s="11" t="n"/>
      <c r="K894" s="11" t="n"/>
      <c r="L894" s="11" t="n"/>
      <c r="M894" s="11" t="n"/>
      <c r="N894" s="10">
        <f>IF(COUNTA(J894:M894)=0,"",MIN(10,SUMPRODUCT((COUNTIF(J894:M894,L_KOM)&gt;0)*S_KOM)))</f>
        <v/>
      </c>
      <c r="O894" s="11" t="n"/>
      <c r="P894" s="10">
        <f>IF(O894="","",IFERROR(VLOOKUP(O894,T_KHID,2,FALSE),0))</f>
        <v/>
      </c>
      <c r="Q894" s="11" t="n"/>
      <c r="R894" s="11" t="n"/>
      <c r="S894" s="10">
        <f>IF(AND(Q894="",R894=""),"",IFERROR(INDEX(T_LIBAT,MATCH(Q894,L_PER,0),MATCH(R894,L_JENIS,0)),0))</f>
        <v/>
      </c>
      <c r="T894" s="11" t="n"/>
      <c r="U894" s="11" t="n"/>
      <c r="V894" s="10">
        <f>IF(AND(T894="",U894=""),"",IFERROR(INDEX(T_CAPAI,MATCH(T894,L_PER,0),MATCH(U894,L_KED,0)),0))</f>
        <v/>
      </c>
      <c r="W894" s="17">
        <f>IF(OR(B894="",E894="",COUNTA(F894,H894,J894:M894,O894,Q894:R894,T894:U894)=0),"",SUM(G894,I894,N894,P894,S894,V894))</f>
        <v/>
      </c>
      <c r="X894" s="18">
        <f>IF(W894="","",IF(Murid!F894="TL","TL",ROUND(W894/110*100,2)))</f>
        <v/>
      </c>
    </row>
    <row r="895">
      <c r="A895" s="15">
        <f>Murid!A895</f>
        <v/>
      </c>
      <c r="B895" s="15">
        <f>IF(Murid!B895="","",Murid!B895)</f>
        <v/>
      </c>
      <c r="C895" s="16">
        <f>IF(Murid!C895="","",Murid!C895)</f>
        <v/>
      </c>
      <c r="D895" s="15">
        <f>IF(Murid!E895="","",Murid!E895)</f>
        <v/>
      </c>
      <c r="E895" s="11" t="n"/>
      <c r="F895" s="11" t="n"/>
      <c r="G895" s="10">
        <f>IF(F895="","",IFERROR(VLOOKUP(F895,T_JUB,2,FALSE),0))</f>
        <v/>
      </c>
      <c r="H895" s="11" t="n"/>
      <c r="I895" s="17">
        <f>IF(H895="","",IF(H895&gt;=12,40,ROUND(H895*3.33,2)))</f>
        <v/>
      </c>
      <c r="J895" s="11" t="n"/>
      <c r="K895" s="11" t="n"/>
      <c r="L895" s="11" t="n"/>
      <c r="M895" s="11" t="n"/>
      <c r="N895" s="10">
        <f>IF(COUNTA(J895:M895)=0,"",MIN(10,SUMPRODUCT((COUNTIF(J895:M895,L_KOM)&gt;0)*S_KOM)))</f>
        <v/>
      </c>
      <c r="O895" s="11" t="n"/>
      <c r="P895" s="10">
        <f>IF(O895="","",IFERROR(VLOOKUP(O895,T_KHID,2,FALSE),0))</f>
        <v/>
      </c>
      <c r="Q895" s="11" t="n"/>
      <c r="R895" s="11" t="n"/>
      <c r="S895" s="10">
        <f>IF(AND(Q895="",R895=""),"",IFERROR(INDEX(T_LIBAT,MATCH(Q895,L_PER,0),MATCH(R895,L_JENIS,0)),0))</f>
        <v/>
      </c>
      <c r="T895" s="11" t="n"/>
      <c r="U895" s="11" t="n"/>
      <c r="V895" s="10">
        <f>IF(AND(T895="",U895=""),"",IFERROR(INDEX(T_CAPAI,MATCH(T895,L_PER,0),MATCH(U895,L_KED,0)),0))</f>
        <v/>
      </c>
      <c r="W895" s="17">
        <f>IF(OR(B895="",E895="",COUNTA(F895,H895,J895:M895,O895,Q895:R895,T895:U895)=0),"",SUM(G895,I895,N895,P895,S895,V895))</f>
        <v/>
      </c>
      <c r="X895" s="18">
        <f>IF(W895="","",IF(Murid!F895="TL","TL",ROUND(W895/110*100,2)))</f>
        <v/>
      </c>
    </row>
    <row r="896">
      <c r="A896" s="15">
        <f>Murid!A896</f>
        <v/>
      </c>
      <c r="B896" s="15">
        <f>IF(Murid!B896="","",Murid!B896)</f>
        <v/>
      </c>
      <c r="C896" s="16">
        <f>IF(Murid!C896="","",Murid!C896)</f>
        <v/>
      </c>
      <c r="D896" s="15">
        <f>IF(Murid!E896="","",Murid!E896)</f>
        <v/>
      </c>
      <c r="E896" s="11" t="n"/>
      <c r="F896" s="11" t="n"/>
      <c r="G896" s="10">
        <f>IF(F896="","",IFERROR(VLOOKUP(F896,T_JUB,2,FALSE),0))</f>
        <v/>
      </c>
      <c r="H896" s="11" t="n"/>
      <c r="I896" s="17">
        <f>IF(H896="","",IF(H896&gt;=12,40,ROUND(H896*3.33,2)))</f>
        <v/>
      </c>
      <c r="J896" s="11" t="n"/>
      <c r="K896" s="11" t="n"/>
      <c r="L896" s="11" t="n"/>
      <c r="M896" s="11" t="n"/>
      <c r="N896" s="10">
        <f>IF(COUNTA(J896:M896)=0,"",MIN(10,SUMPRODUCT((COUNTIF(J896:M896,L_KOM)&gt;0)*S_KOM)))</f>
        <v/>
      </c>
      <c r="O896" s="11" t="n"/>
      <c r="P896" s="10">
        <f>IF(O896="","",IFERROR(VLOOKUP(O896,T_KHID,2,FALSE),0))</f>
        <v/>
      </c>
      <c r="Q896" s="11" t="n"/>
      <c r="R896" s="11" t="n"/>
      <c r="S896" s="10">
        <f>IF(AND(Q896="",R896=""),"",IFERROR(INDEX(T_LIBAT,MATCH(Q896,L_PER,0),MATCH(R896,L_JENIS,0)),0))</f>
        <v/>
      </c>
      <c r="T896" s="11" t="n"/>
      <c r="U896" s="11" t="n"/>
      <c r="V896" s="10">
        <f>IF(AND(T896="",U896=""),"",IFERROR(INDEX(T_CAPAI,MATCH(T896,L_PER,0),MATCH(U896,L_KED,0)),0))</f>
        <v/>
      </c>
      <c r="W896" s="17">
        <f>IF(OR(B896="",E896="",COUNTA(F896,H896,J896:M896,O896,Q896:R896,T896:U896)=0),"",SUM(G896,I896,N896,P896,S896,V896))</f>
        <v/>
      </c>
      <c r="X896" s="18">
        <f>IF(W896="","",IF(Murid!F896="TL","TL",ROUND(W896/110*100,2)))</f>
        <v/>
      </c>
    </row>
    <row r="897">
      <c r="A897" s="15">
        <f>Murid!A897</f>
        <v/>
      </c>
      <c r="B897" s="15">
        <f>IF(Murid!B897="","",Murid!B897)</f>
        <v/>
      </c>
      <c r="C897" s="16">
        <f>IF(Murid!C897="","",Murid!C897)</f>
        <v/>
      </c>
      <c r="D897" s="15">
        <f>IF(Murid!E897="","",Murid!E897)</f>
        <v/>
      </c>
      <c r="E897" s="11" t="n"/>
      <c r="F897" s="11" t="n"/>
      <c r="G897" s="10">
        <f>IF(F897="","",IFERROR(VLOOKUP(F897,T_JUB,2,FALSE),0))</f>
        <v/>
      </c>
      <c r="H897" s="11" t="n"/>
      <c r="I897" s="17">
        <f>IF(H897="","",IF(H897&gt;=12,40,ROUND(H897*3.33,2)))</f>
        <v/>
      </c>
      <c r="J897" s="11" t="n"/>
      <c r="K897" s="11" t="n"/>
      <c r="L897" s="11" t="n"/>
      <c r="M897" s="11" t="n"/>
      <c r="N897" s="10">
        <f>IF(COUNTA(J897:M897)=0,"",MIN(10,SUMPRODUCT((COUNTIF(J897:M897,L_KOM)&gt;0)*S_KOM)))</f>
        <v/>
      </c>
      <c r="O897" s="11" t="n"/>
      <c r="P897" s="10">
        <f>IF(O897="","",IFERROR(VLOOKUP(O897,T_KHID,2,FALSE),0))</f>
        <v/>
      </c>
      <c r="Q897" s="11" t="n"/>
      <c r="R897" s="11" t="n"/>
      <c r="S897" s="10">
        <f>IF(AND(Q897="",R897=""),"",IFERROR(INDEX(T_LIBAT,MATCH(Q897,L_PER,0),MATCH(R897,L_JENIS,0)),0))</f>
        <v/>
      </c>
      <c r="T897" s="11" t="n"/>
      <c r="U897" s="11" t="n"/>
      <c r="V897" s="10">
        <f>IF(AND(T897="",U897=""),"",IFERROR(INDEX(T_CAPAI,MATCH(T897,L_PER,0),MATCH(U897,L_KED,0)),0))</f>
        <v/>
      </c>
      <c r="W897" s="17">
        <f>IF(OR(B897="",E897="",COUNTA(F897,H897,J897:M897,O897,Q897:R897,T897:U897)=0),"",SUM(G897,I897,N897,P897,S897,V897))</f>
        <v/>
      </c>
      <c r="X897" s="18">
        <f>IF(W897="","",IF(Murid!F897="TL","TL",ROUND(W897/110*100,2)))</f>
        <v/>
      </c>
    </row>
    <row r="898">
      <c r="A898" s="15">
        <f>Murid!A898</f>
        <v/>
      </c>
      <c r="B898" s="15">
        <f>IF(Murid!B898="","",Murid!B898)</f>
        <v/>
      </c>
      <c r="C898" s="16">
        <f>IF(Murid!C898="","",Murid!C898)</f>
        <v/>
      </c>
      <c r="D898" s="15">
        <f>IF(Murid!E898="","",Murid!E898)</f>
        <v/>
      </c>
      <c r="E898" s="11" t="n"/>
      <c r="F898" s="11" t="n"/>
      <c r="G898" s="10">
        <f>IF(F898="","",IFERROR(VLOOKUP(F898,T_JUB,2,FALSE),0))</f>
        <v/>
      </c>
      <c r="H898" s="11" t="n"/>
      <c r="I898" s="17">
        <f>IF(H898="","",IF(H898&gt;=12,40,ROUND(H898*3.33,2)))</f>
        <v/>
      </c>
      <c r="J898" s="11" t="n"/>
      <c r="K898" s="11" t="n"/>
      <c r="L898" s="11" t="n"/>
      <c r="M898" s="11" t="n"/>
      <c r="N898" s="10">
        <f>IF(COUNTA(J898:M898)=0,"",MIN(10,SUMPRODUCT((COUNTIF(J898:M898,L_KOM)&gt;0)*S_KOM)))</f>
        <v/>
      </c>
      <c r="O898" s="11" t="n"/>
      <c r="P898" s="10">
        <f>IF(O898="","",IFERROR(VLOOKUP(O898,T_KHID,2,FALSE),0))</f>
        <v/>
      </c>
      <c r="Q898" s="11" t="n"/>
      <c r="R898" s="11" t="n"/>
      <c r="S898" s="10">
        <f>IF(AND(Q898="",R898=""),"",IFERROR(INDEX(T_LIBAT,MATCH(Q898,L_PER,0),MATCH(R898,L_JENIS,0)),0))</f>
        <v/>
      </c>
      <c r="T898" s="11" t="n"/>
      <c r="U898" s="11" t="n"/>
      <c r="V898" s="10">
        <f>IF(AND(T898="",U898=""),"",IFERROR(INDEX(T_CAPAI,MATCH(T898,L_PER,0),MATCH(U898,L_KED,0)),0))</f>
        <v/>
      </c>
      <c r="W898" s="17">
        <f>IF(OR(B898="",E898="",COUNTA(F898,H898,J898:M898,O898,Q898:R898,T898:U898)=0),"",SUM(G898,I898,N898,P898,S898,V898))</f>
        <v/>
      </c>
      <c r="X898" s="18">
        <f>IF(W898="","",IF(Murid!F898="TL","TL",ROUND(W898/110*100,2)))</f>
        <v/>
      </c>
    </row>
    <row r="899">
      <c r="A899" s="15">
        <f>Murid!A899</f>
        <v/>
      </c>
      <c r="B899" s="15">
        <f>IF(Murid!B899="","",Murid!B899)</f>
        <v/>
      </c>
      <c r="C899" s="16">
        <f>IF(Murid!C899="","",Murid!C899)</f>
        <v/>
      </c>
      <c r="D899" s="15">
        <f>IF(Murid!E899="","",Murid!E899)</f>
        <v/>
      </c>
      <c r="E899" s="11" t="n"/>
      <c r="F899" s="11" t="n"/>
      <c r="G899" s="10">
        <f>IF(F899="","",IFERROR(VLOOKUP(F899,T_JUB,2,FALSE),0))</f>
        <v/>
      </c>
      <c r="H899" s="11" t="n"/>
      <c r="I899" s="17">
        <f>IF(H899="","",IF(H899&gt;=12,40,ROUND(H899*3.33,2)))</f>
        <v/>
      </c>
      <c r="J899" s="11" t="n"/>
      <c r="K899" s="11" t="n"/>
      <c r="L899" s="11" t="n"/>
      <c r="M899" s="11" t="n"/>
      <c r="N899" s="10">
        <f>IF(COUNTA(J899:M899)=0,"",MIN(10,SUMPRODUCT((COUNTIF(J899:M899,L_KOM)&gt;0)*S_KOM)))</f>
        <v/>
      </c>
      <c r="O899" s="11" t="n"/>
      <c r="P899" s="10">
        <f>IF(O899="","",IFERROR(VLOOKUP(O899,T_KHID,2,FALSE),0))</f>
        <v/>
      </c>
      <c r="Q899" s="11" t="n"/>
      <c r="R899" s="11" t="n"/>
      <c r="S899" s="10">
        <f>IF(AND(Q899="",R899=""),"",IFERROR(INDEX(T_LIBAT,MATCH(Q899,L_PER,0),MATCH(R899,L_JENIS,0)),0))</f>
        <v/>
      </c>
      <c r="T899" s="11" t="n"/>
      <c r="U899" s="11" t="n"/>
      <c r="V899" s="10">
        <f>IF(AND(T899="",U899=""),"",IFERROR(INDEX(T_CAPAI,MATCH(T899,L_PER,0),MATCH(U899,L_KED,0)),0))</f>
        <v/>
      </c>
      <c r="W899" s="17">
        <f>IF(OR(B899="",E899="",COUNTA(F899,H899,J899:M899,O899,Q899:R899,T899:U899)=0),"",SUM(G899,I899,N899,P899,S899,V899))</f>
        <v/>
      </c>
      <c r="X899" s="18">
        <f>IF(W899="","",IF(Murid!F899="TL","TL",ROUND(W899/110*100,2)))</f>
        <v/>
      </c>
    </row>
    <row r="900">
      <c r="A900" s="15">
        <f>Murid!A900</f>
        <v/>
      </c>
      <c r="B900" s="15">
        <f>IF(Murid!B900="","",Murid!B900)</f>
        <v/>
      </c>
      <c r="C900" s="16">
        <f>IF(Murid!C900="","",Murid!C900)</f>
        <v/>
      </c>
      <c r="D900" s="15">
        <f>IF(Murid!E900="","",Murid!E900)</f>
        <v/>
      </c>
      <c r="E900" s="11" t="n"/>
      <c r="F900" s="11" t="n"/>
      <c r="G900" s="10">
        <f>IF(F900="","",IFERROR(VLOOKUP(F900,T_JUB,2,FALSE),0))</f>
        <v/>
      </c>
      <c r="H900" s="11" t="n"/>
      <c r="I900" s="17">
        <f>IF(H900="","",IF(H900&gt;=12,40,ROUND(H900*3.33,2)))</f>
        <v/>
      </c>
      <c r="J900" s="11" t="n"/>
      <c r="K900" s="11" t="n"/>
      <c r="L900" s="11" t="n"/>
      <c r="M900" s="11" t="n"/>
      <c r="N900" s="10">
        <f>IF(COUNTA(J900:M900)=0,"",MIN(10,SUMPRODUCT((COUNTIF(J900:M900,L_KOM)&gt;0)*S_KOM)))</f>
        <v/>
      </c>
      <c r="O900" s="11" t="n"/>
      <c r="P900" s="10">
        <f>IF(O900="","",IFERROR(VLOOKUP(O900,T_KHID,2,FALSE),0))</f>
        <v/>
      </c>
      <c r="Q900" s="11" t="n"/>
      <c r="R900" s="11" t="n"/>
      <c r="S900" s="10">
        <f>IF(AND(Q900="",R900=""),"",IFERROR(INDEX(T_LIBAT,MATCH(Q900,L_PER,0),MATCH(R900,L_JENIS,0)),0))</f>
        <v/>
      </c>
      <c r="T900" s="11" t="n"/>
      <c r="U900" s="11" t="n"/>
      <c r="V900" s="10">
        <f>IF(AND(T900="",U900=""),"",IFERROR(INDEX(T_CAPAI,MATCH(T900,L_PER,0),MATCH(U900,L_KED,0)),0))</f>
        <v/>
      </c>
      <c r="W900" s="17">
        <f>IF(OR(B900="",E900="",COUNTA(F900,H900,J900:M900,O900,Q900:R900,T900:U900)=0),"",SUM(G900,I900,N900,P900,S900,V900))</f>
        <v/>
      </c>
      <c r="X900" s="18">
        <f>IF(W900="","",IF(Murid!F900="TL","TL",ROUND(W900/110*100,2)))</f>
        <v/>
      </c>
    </row>
    <row r="901">
      <c r="A901" s="15">
        <f>Murid!A901</f>
        <v/>
      </c>
      <c r="B901" s="15">
        <f>IF(Murid!B901="","",Murid!B901)</f>
        <v/>
      </c>
      <c r="C901" s="16">
        <f>IF(Murid!C901="","",Murid!C901)</f>
        <v/>
      </c>
      <c r="D901" s="15">
        <f>IF(Murid!E901="","",Murid!E901)</f>
        <v/>
      </c>
      <c r="E901" s="11" t="n"/>
      <c r="F901" s="11" t="n"/>
      <c r="G901" s="10">
        <f>IF(F901="","",IFERROR(VLOOKUP(F901,T_JUB,2,FALSE),0))</f>
        <v/>
      </c>
      <c r="H901" s="11" t="n"/>
      <c r="I901" s="17">
        <f>IF(H901="","",IF(H901&gt;=12,40,ROUND(H901*3.33,2)))</f>
        <v/>
      </c>
      <c r="J901" s="11" t="n"/>
      <c r="K901" s="11" t="n"/>
      <c r="L901" s="11" t="n"/>
      <c r="M901" s="11" t="n"/>
      <c r="N901" s="10">
        <f>IF(COUNTA(J901:M901)=0,"",MIN(10,SUMPRODUCT((COUNTIF(J901:M901,L_KOM)&gt;0)*S_KOM)))</f>
        <v/>
      </c>
      <c r="O901" s="11" t="n"/>
      <c r="P901" s="10">
        <f>IF(O901="","",IFERROR(VLOOKUP(O901,T_KHID,2,FALSE),0))</f>
        <v/>
      </c>
      <c r="Q901" s="11" t="n"/>
      <c r="R901" s="11" t="n"/>
      <c r="S901" s="10">
        <f>IF(AND(Q901="",R901=""),"",IFERROR(INDEX(T_LIBAT,MATCH(Q901,L_PER,0),MATCH(R901,L_JENIS,0)),0))</f>
        <v/>
      </c>
      <c r="T901" s="11" t="n"/>
      <c r="U901" s="11" t="n"/>
      <c r="V901" s="10">
        <f>IF(AND(T901="",U901=""),"",IFERROR(INDEX(T_CAPAI,MATCH(T901,L_PER,0),MATCH(U901,L_KED,0)),0))</f>
        <v/>
      </c>
      <c r="W901" s="17">
        <f>IF(OR(B901="",E901="",COUNTA(F901,H901,J901:M901,O901,Q901:R901,T901:U901)=0),"",SUM(G901,I901,N901,P901,S901,V901))</f>
        <v/>
      </c>
      <c r="X901" s="18">
        <f>IF(W901="","",IF(Murid!F901="TL","TL",ROUND(W901/110*100,2)))</f>
        <v/>
      </c>
    </row>
    <row r="902">
      <c r="A902" s="15">
        <f>Murid!A902</f>
        <v/>
      </c>
      <c r="B902" s="15">
        <f>IF(Murid!B902="","",Murid!B902)</f>
        <v/>
      </c>
      <c r="C902" s="16">
        <f>IF(Murid!C902="","",Murid!C902)</f>
        <v/>
      </c>
      <c r="D902" s="15">
        <f>IF(Murid!E902="","",Murid!E902)</f>
        <v/>
      </c>
      <c r="E902" s="11" t="n"/>
      <c r="F902" s="11" t="n"/>
      <c r="G902" s="10">
        <f>IF(F902="","",IFERROR(VLOOKUP(F902,T_JUB,2,FALSE),0))</f>
        <v/>
      </c>
      <c r="H902" s="11" t="n"/>
      <c r="I902" s="17">
        <f>IF(H902="","",IF(H902&gt;=12,40,ROUND(H902*3.33,2)))</f>
        <v/>
      </c>
      <c r="J902" s="11" t="n"/>
      <c r="K902" s="11" t="n"/>
      <c r="L902" s="11" t="n"/>
      <c r="M902" s="11" t="n"/>
      <c r="N902" s="10">
        <f>IF(COUNTA(J902:M902)=0,"",MIN(10,SUMPRODUCT((COUNTIF(J902:M902,L_KOM)&gt;0)*S_KOM)))</f>
        <v/>
      </c>
      <c r="O902" s="11" t="n"/>
      <c r="P902" s="10">
        <f>IF(O902="","",IFERROR(VLOOKUP(O902,T_KHID,2,FALSE),0))</f>
        <v/>
      </c>
      <c r="Q902" s="11" t="n"/>
      <c r="R902" s="11" t="n"/>
      <c r="S902" s="10">
        <f>IF(AND(Q902="",R902=""),"",IFERROR(INDEX(T_LIBAT,MATCH(Q902,L_PER,0),MATCH(R902,L_JENIS,0)),0))</f>
        <v/>
      </c>
      <c r="T902" s="11" t="n"/>
      <c r="U902" s="11" t="n"/>
      <c r="V902" s="10">
        <f>IF(AND(T902="",U902=""),"",IFERROR(INDEX(T_CAPAI,MATCH(T902,L_PER,0),MATCH(U902,L_KED,0)),0))</f>
        <v/>
      </c>
      <c r="W902" s="17">
        <f>IF(OR(B902="",E902="",COUNTA(F902,H902,J902:M902,O902,Q902:R902,T902:U902)=0),"",SUM(G902,I902,N902,P902,S902,V902))</f>
        <v/>
      </c>
      <c r="X902" s="18">
        <f>IF(W902="","",IF(Murid!F902="TL","TL",ROUND(W902/110*100,2)))</f>
        <v/>
      </c>
    </row>
    <row r="903">
      <c r="A903" s="15">
        <f>Murid!A903</f>
        <v/>
      </c>
      <c r="B903" s="15">
        <f>IF(Murid!B903="","",Murid!B903)</f>
        <v/>
      </c>
      <c r="C903" s="16">
        <f>IF(Murid!C903="","",Murid!C903)</f>
        <v/>
      </c>
      <c r="D903" s="15">
        <f>IF(Murid!E903="","",Murid!E903)</f>
        <v/>
      </c>
      <c r="E903" s="11" t="n"/>
      <c r="F903" s="11" t="n"/>
      <c r="G903" s="10">
        <f>IF(F903="","",IFERROR(VLOOKUP(F903,T_JUB,2,FALSE),0))</f>
        <v/>
      </c>
      <c r="H903" s="11" t="n"/>
      <c r="I903" s="17">
        <f>IF(H903="","",IF(H903&gt;=12,40,ROUND(H903*3.33,2)))</f>
        <v/>
      </c>
      <c r="J903" s="11" t="n"/>
      <c r="K903" s="11" t="n"/>
      <c r="L903" s="11" t="n"/>
      <c r="M903" s="11" t="n"/>
      <c r="N903" s="10">
        <f>IF(COUNTA(J903:M903)=0,"",MIN(10,SUMPRODUCT((COUNTIF(J903:M903,L_KOM)&gt;0)*S_KOM)))</f>
        <v/>
      </c>
      <c r="O903" s="11" t="n"/>
      <c r="P903" s="10">
        <f>IF(O903="","",IFERROR(VLOOKUP(O903,T_KHID,2,FALSE),0))</f>
        <v/>
      </c>
      <c r="Q903" s="11" t="n"/>
      <c r="R903" s="11" t="n"/>
      <c r="S903" s="10">
        <f>IF(AND(Q903="",R903=""),"",IFERROR(INDEX(T_LIBAT,MATCH(Q903,L_PER,0),MATCH(R903,L_JENIS,0)),0))</f>
        <v/>
      </c>
      <c r="T903" s="11" t="n"/>
      <c r="U903" s="11" t="n"/>
      <c r="V903" s="10">
        <f>IF(AND(T903="",U903=""),"",IFERROR(INDEX(T_CAPAI,MATCH(T903,L_PER,0),MATCH(U903,L_KED,0)),0))</f>
        <v/>
      </c>
      <c r="W903" s="17">
        <f>IF(OR(B903="",E903="",COUNTA(F903,H903,J903:M903,O903,Q903:R903,T903:U903)=0),"",SUM(G903,I903,N903,P903,S903,V903))</f>
        <v/>
      </c>
      <c r="X903" s="18">
        <f>IF(W903="","",IF(Murid!F903="TL","TL",ROUND(W903/110*100,2)))</f>
        <v/>
      </c>
    </row>
    <row r="904">
      <c r="A904" s="15">
        <f>Murid!A904</f>
        <v/>
      </c>
      <c r="B904" s="15">
        <f>IF(Murid!B904="","",Murid!B904)</f>
        <v/>
      </c>
      <c r="C904" s="16">
        <f>IF(Murid!C904="","",Murid!C904)</f>
        <v/>
      </c>
      <c r="D904" s="15">
        <f>IF(Murid!E904="","",Murid!E904)</f>
        <v/>
      </c>
      <c r="E904" s="11" t="n"/>
      <c r="F904" s="11" t="n"/>
      <c r="G904" s="10">
        <f>IF(F904="","",IFERROR(VLOOKUP(F904,T_JUB,2,FALSE),0))</f>
        <v/>
      </c>
      <c r="H904" s="11" t="n"/>
      <c r="I904" s="17">
        <f>IF(H904="","",IF(H904&gt;=12,40,ROUND(H904*3.33,2)))</f>
        <v/>
      </c>
      <c r="J904" s="11" t="n"/>
      <c r="K904" s="11" t="n"/>
      <c r="L904" s="11" t="n"/>
      <c r="M904" s="11" t="n"/>
      <c r="N904" s="10">
        <f>IF(COUNTA(J904:M904)=0,"",MIN(10,SUMPRODUCT((COUNTIF(J904:M904,L_KOM)&gt;0)*S_KOM)))</f>
        <v/>
      </c>
      <c r="O904" s="11" t="n"/>
      <c r="P904" s="10">
        <f>IF(O904="","",IFERROR(VLOOKUP(O904,T_KHID,2,FALSE),0))</f>
        <v/>
      </c>
      <c r="Q904" s="11" t="n"/>
      <c r="R904" s="11" t="n"/>
      <c r="S904" s="10">
        <f>IF(AND(Q904="",R904=""),"",IFERROR(INDEX(T_LIBAT,MATCH(Q904,L_PER,0),MATCH(R904,L_JENIS,0)),0))</f>
        <v/>
      </c>
      <c r="T904" s="11" t="n"/>
      <c r="U904" s="11" t="n"/>
      <c r="V904" s="10">
        <f>IF(AND(T904="",U904=""),"",IFERROR(INDEX(T_CAPAI,MATCH(T904,L_PER,0),MATCH(U904,L_KED,0)),0))</f>
        <v/>
      </c>
      <c r="W904" s="17">
        <f>IF(OR(B904="",E904="",COUNTA(F904,H904,J904:M904,O904,Q904:R904,T904:U904)=0),"",SUM(G904,I904,N904,P904,S904,V904))</f>
        <v/>
      </c>
      <c r="X904" s="18">
        <f>IF(W904="","",IF(Murid!F904="TL","TL",ROUND(W904/110*100,2)))</f>
        <v/>
      </c>
    </row>
    <row r="905">
      <c r="A905" s="15">
        <f>Murid!A905</f>
        <v/>
      </c>
      <c r="B905" s="15">
        <f>IF(Murid!B905="","",Murid!B905)</f>
        <v/>
      </c>
      <c r="C905" s="16">
        <f>IF(Murid!C905="","",Murid!C905)</f>
        <v/>
      </c>
      <c r="D905" s="15">
        <f>IF(Murid!E905="","",Murid!E905)</f>
        <v/>
      </c>
      <c r="E905" s="11" t="n"/>
      <c r="F905" s="11" t="n"/>
      <c r="G905" s="10">
        <f>IF(F905="","",IFERROR(VLOOKUP(F905,T_JUB,2,FALSE),0))</f>
        <v/>
      </c>
      <c r="H905" s="11" t="n"/>
      <c r="I905" s="17">
        <f>IF(H905="","",IF(H905&gt;=12,40,ROUND(H905*3.33,2)))</f>
        <v/>
      </c>
      <c r="J905" s="11" t="n"/>
      <c r="K905" s="11" t="n"/>
      <c r="L905" s="11" t="n"/>
      <c r="M905" s="11" t="n"/>
      <c r="N905" s="10">
        <f>IF(COUNTA(J905:M905)=0,"",MIN(10,SUMPRODUCT((COUNTIF(J905:M905,L_KOM)&gt;0)*S_KOM)))</f>
        <v/>
      </c>
      <c r="O905" s="11" t="n"/>
      <c r="P905" s="10">
        <f>IF(O905="","",IFERROR(VLOOKUP(O905,T_KHID,2,FALSE),0))</f>
        <v/>
      </c>
      <c r="Q905" s="11" t="n"/>
      <c r="R905" s="11" t="n"/>
      <c r="S905" s="10">
        <f>IF(AND(Q905="",R905=""),"",IFERROR(INDEX(T_LIBAT,MATCH(Q905,L_PER,0),MATCH(R905,L_JENIS,0)),0))</f>
        <v/>
      </c>
      <c r="T905" s="11" t="n"/>
      <c r="U905" s="11" t="n"/>
      <c r="V905" s="10">
        <f>IF(AND(T905="",U905=""),"",IFERROR(INDEX(T_CAPAI,MATCH(T905,L_PER,0),MATCH(U905,L_KED,0)),0))</f>
        <v/>
      </c>
      <c r="W905" s="17">
        <f>IF(OR(B905="",E905="",COUNTA(F905,H905,J905:M905,O905,Q905:R905,T905:U905)=0),"",SUM(G905,I905,N905,P905,S905,V905))</f>
        <v/>
      </c>
      <c r="X905" s="18">
        <f>IF(W905="","",IF(Murid!F905="TL","TL",ROUND(W905/110*100,2)))</f>
        <v/>
      </c>
    </row>
    <row r="906">
      <c r="A906" s="15">
        <f>Murid!A906</f>
        <v/>
      </c>
      <c r="B906" s="15">
        <f>IF(Murid!B906="","",Murid!B906)</f>
        <v/>
      </c>
      <c r="C906" s="16">
        <f>IF(Murid!C906="","",Murid!C906)</f>
        <v/>
      </c>
      <c r="D906" s="15">
        <f>IF(Murid!E906="","",Murid!E906)</f>
        <v/>
      </c>
      <c r="E906" s="11" t="n"/>
      <c r="F906" s="11" t="n"/>
      <c r="G906" s="10">
        <f>IF(F906="","",IFERROR(VLOOKUP(F906,T_JUB,2,FALSE),0))</f>
        <v/>
      </c>
      <c r="H906" s="11" t="n"/>
      <c r="I906" s="17">
        <f>IF(H906="","",IF(H906&gt;=12,40,ROUND(H906*3.33,2)))</f>
        <v/>
      </c>
      <c r="J906" s="11" t="n"/>
      <c r="K906" s="11" t="n"/>
      <c r="L906" s="11" t="n"/>
      <c r="M906" s="11" t="n"/>
      <c r="N906" s="10">
        <f>IF(COUNTA(J906:M906)=0,"",MIN(10,SUMPRODUCT((COUNTIF(J906:M906,L_KOM)&gt;0)*S_KOM)))</f>
        <v/>
      </c>
      <c r="O906" s="11" t="n"/>
      <c r="P906" s="10">
        <f>IF(O906="","",IFERROR(VLOOKUP(O906,T_KHID,2,FALSE),0))</f>
        <v/>
      </c>
      <c r="Q906" s="11" t="n"/>
      <c r="R906" s="11" t="n"/>
      <c r="S906" s="10">
        <f>IF(AND(Q906="",R906=""),"",IFERROR(INDEX(T_LIBAT,MATCH(Q906,L_PER,0),MATCH(R906,L_JENIS,0)),0))</f>
        <v/>
      </c>
      <c r="T906" s="11" t="n"/>
      <c r="U906" s="11" t="n"/>
      <c r="V906" s="10">
        <f>IF(AND(T906="",U906=""),"",IFERROR(INDEX(T_CAPAI,MATCH(T906,L_PER,0),MATCH(U906,L_KED,0)),0))</f>
        <v/>
      </c>
      <c r="W906" s="17">
        <f>IF(OR(B906="",E906="",COUNTA(F906,H906,J906:M906,O906,Q906:R906,T906:U906)=0),"",SUM(G906,I906,N906,P906,S906,V906))</f>
        <v/>
      </c>
      <c r="X906" s="18">
        <f>IF(W906="","",IF(Murid!F906="TL","TL",ROUND(W906/110*100,2)))</f>
        <v/>
      </c>
    </row>
    <row r="907">
      <c r="A907" s="15">
        <f>Murid!A907</f>
        <v/>
      </c>
      <c r="B907" s="15">
        <f>IF(Murid!B907="","",Murid!B907)</f>
        <v/>
      </c>
      <c r="C907" s="16">
        <f>IF(Murid!C907="","",Murid!C907)</f>
        <v/>
      </c>
      <c r="D907" s="15">
        <f>IF(Murid!E907="","",Murid!E907)</f>
        <v/>
      </c>
      <c r="E907" s="11" t="n"/>
      <c r="F907" s="11" t="n"/>
      <c r="G907" s="10">
        <f>IF(F907="","",IFERROR(VLOOKUP(F907,T_JUB,2,FALSE),0))</f>
        <v/>
      </c>
      <c r="H907" s="11" t="n"/>
      <c r="I907" s="17">
        <f>IF(H907="","",IF(H907&gt;=12,40,ROUND(H907*3.33,2)))</f>
        <v/>
      </c>
      <c r="J907" s="11" t="n"/>
      <c r="K907" s="11" t="n"/>
      <c r="L907" s="11" t="n"/>
      <c r="M907" s="11" t="n"/>
      <c r="N907" s="10">
        <f>IF(COUNTA(J907:M907)=0,"",MIN(10,SUMPRODUCT((COUNTIF(J907:M907,L_KOM)&gt;0)*S_KOM)))</f>
        <v/>
      </c>
      <c r="O907" s="11" t="n"/>
      <c r="P907" s="10">
        <f>IF(O907="","",IFERROR(VLOOKUP(O907,T_KHID,2,FALSE),0))</f>
        <v/>
      </c>
      <c r="Q907" s="11" t="n"/>
      <c r="R907" s="11" t="n"/>
      <c r="S907" s="10">
        <f>IF(AND(Q907="",R907=""),"",IFERROR(INDEX(T_LIBAT,MATCH(Q907,L_PER,0),MATCH(R907,L_JENIS,0)),0))</f>
        <v/>
      </c>
      <c r="T907" s="11" t="n"/>
      <c r="U907" s="11" t="n"/>
      <c r="V907" s="10">
        <f>IF(AND(T907="",U907=""),"",IFERROR(INDEX(T_CAPAI,MATCH(T907,L_PER,0),MATCH(U907,L_KED,0)),0))</f>
        <v/>
      </c>
      <c r="W907" s="17">
        <f>IF(OR(B907="",E907="",COUNTA(F907,H907,J907:M907,O907,Q907:R907,T907:U907)=0),"",SUM(G907,I907,N907,P907,S907,V907))</f>
        <v/>
      </c>
      <c r="X907" s="18">
        <f>IF(W907="","",IF(Murid!F907="TL","TL",ROUND(W907/110*100,2)))</f>
        <v/>
      </c>
    </row>
    <row r="908">
      <c r="A908" s="15">
        <f>Murid!A908</f>
        <v/>
      </c>
      <c r="B908" s="15">
        <f>IF(Murid!B908="","",Murid!B908)</f>
        <v/>
      </c>
      <c r="C908" s="16">
        <f>IF(Murid!C908="","",Murid!C908)</f>
        <v/>
      </c>
      <c r="D908" s="15">
        <f>IF(Murid!E908="","",Murid!E908)</f>
        <v/>
      </c>
      <c r="E908" s="11" t="n"/>
      <c r="F908" s="11" t="n"/>
      <c r="G908" s="10">
        <f>IF(F908="","",IFERROR(VLOOKUP(F908,T_JUB,2,FALSE),0))</f>
        <v/>
      </c>
      <c r="H908" s="11" t="n"/>
      <c r="I908" s="17">
        <f>IF(H908="","",IF(H908&gt;=12,40,ROUND(H908*3.33,2)))</f>
        <v/>
      </c>
      <c r="J908" s="11" t="n"/>
      <c r="K908" s="11" t="n"/>
      <c r="L908" s="11" t="n"/>
      <c r="M908" s="11" t="n"/>
      <c r="N908" s="10">
        <f>IF(COUNTA(J908:M908)=0,"",MIN(10,SUMPRODUCT((COUNTIF(J908:M908,L_KOM)&gt;0)*S_KOM)))</f>
        <v/>
      </c>
      <c r="O908" s="11" t="n"/>
      <c r="P908" s="10">
        <f>IF(O908="","",IFERROR(VLOOKUP(O908,T_KHID,2,FALSE),0))</f>
        <v/>
      </c>
      <c r="Q908" s="11" t="n"/>
      <c r="R908" s="11" t="n"/>
      <c r="S908" s="10">
        <f>IF(AND(Q908="",R908=""),"",IFERROR(INDEX(T_LIBAT,MATCH(Q908,L_PER,0),MATCH(R908,L_JENIS,0)),0))</f>
        <v/>
      </c>
      <c r="T908" s="11" t="n"/>
      <c r="U908" s="11" t="n"/>
      <c r="V908" s="10">
        <f>IF(AND(T908="",U908=""),"",IFERROR(INDEX(T_CAPAI,MATCH(T908,L_PER,0),MATCH(U908,L_KED,0)),0))</f>
        <v/>
      </c>
      <c r="W908" s="17">
        <f>IF(OR(B908="",E908="",COUNTA(F908,H908,J908:M908,O908,Q908:R908,T908:U908)=0),"",SUM(G908,I908,N908,P908,S908,V908))</f>
        <v/>
      </c>
      <c r="X908" s="18">
        <f>IF(W908="","",IF(Murid!F908="TL","TL",ROUND(W908/110*100,2)))</f>
        <v/>
      </c>
    </row>
    <row r="909">
      <c r="A909" s="15">
        <f>Murid!A909</f>
        <v/>
      </c>
      <c r="B909" s="15">
        <f>IF(Murid!B909="","",Murid!B909)</f>
        <v/>
      </c>
      <c r="C909" s="16">
        <f>IF(Murid!C909="","",Murid!C909)</f>
        <v/>
      </c>
      <c r="D909" s="15">
        <f>IF(Murid!E909="","",Murid!E909)</f>
        <v/>
      </c>
      <c r="E909" s="11" t="n"/>
      <c r="F909" s="11" t="n"/>
      <c r="G909" s="10">
        <f>IF(F909="","",IFERROR(VLOOKUP(F909,T_JUB,2,FALSE),0))</f>
        <v/>
      </c>
      <c r="H909" s="11" t="n"/>
      <c r="I909" s="17">
        <f>IF(H909="","",IF(H909&gt;=12,40,ROUND(H909*3.33,2)))</f>
        <v/>
      </c>
      <c r="J909" s="11" t="n"/>
      <c r="K909" s="11" t="n"/>
      <c r="L909" s="11" t="n"/>
      <c r="M909" s="11" t="n"/>
      <c r="N909" s="10">
        <f>IF(COUNTA(J909:M909)=0,"",MIN(10,SUMPRODUCT((COUNTIF(J909:M909,L_KOM)&gt;0)*S_KOM)))</f>
        <v/>
      </c>
      <c r="O909" s="11" t="n"/>
      <c r="P909" s="10">
        <f>IF(O909="","",IFERROR(VLOOKUP(O909,T_KHID,2,FALSE),0))</f>
        <v/>
      </c>
      <c r="Q909" s="11" t="n"/>
      <c r="R909" s="11" t="n"/>
      <c r="S909" s="10">
        <f>IF(AND(Q909="",R909=""),"",IFERROR(INDEX(T_LIBAT,MATCH(Q909,L_PER,0),MATCH(R909,L_JENIS,0)),0))</f>
        <v/>
      </c>
      <c r="T909" s="11" t="n"/>
      <c r="U909" s="11" t="n"/>
      <c r="V909" s="10">
        <f>IF(AND(T909="",U909=""),"",IFERROR(INDEX(T_CAPAI,MATCH(T909,L_PER,0),MATCH(U909,L_KED,0)),0))</f>
        <v/>
      </c>
      <c r="W909" s="17">
        <f>IF(OR(B909="",E909="",COUNTA(F909,H909,J909:M909,O909,Q909:R909,T909:U909)=0),"",SUM(G909,I909,N909,P909,S909,V909))</f>
        <v/>
      </c>
      <c r="X909" s="18">
        <f>IF(W909="","",IF(Murid!F909="TL","TL",ROUND(W909/110*100,2)))</f>
        <v/>
      </c>
    </row>
    <row r="910">
      <c r="A910" s="15">
        <f>Murid!A910</f>
        <v/>
      </c>
      <c r="B910" s="15">
        <f>IF(Murid!B910="","",Murid!B910)</f>
        <v/>
      </c>
      <c r="C910" s="16">
        <f>IF(Murid!C910="","",Murid!C910)</f>
        <v/>
      </c>
      <c r="D910" s="15">
        <f>IF(Murid!E910="","",Murid!E910)</f>
        <v/>
      </c>
      <c r="E910" s="11" t="n"/>
      <c r="F910" s="11" t="n"/>
      <c r="G910" s="10">
        <f>IF(F910="","",IFERROR(VLOOKUP(F910,T_JUB,2,FALSE),0))</f>
        <v/>
      </c>
      <c r="H910" s="11" t="n"/>
      <c r="I910" s="17">
        <f>IF(H910="","",IF(H910&gt;=12,40,ROUND(H910*3.33,2)))</f>
        <v/>
      </c>
      <c r="J910" s="11" t="n"/>
      <c r="K910" s="11" t="n"/>
      <c r="L910" s="11" t="n"/>
      <c r="M910" s="11" t="n"/>
      <c r="N910" s="10">
        <f>IF(COUNTA(J910:M910)=0,"",MIN(10,SUMPRODUCT((COUNTIF(J910:M910,L_KOM)&gt;0)*S_KOM)))</f>
        <v/>
      </c>
      <c r="O910" s="11" t="n"/>
      <c r="P910" s="10">
        <f>IF(O910="","",IFERROR(VLOOKUP(O910,T_KHID,2,FALSE),0))</f>
        <v/>
      </c>
      <c r="Q910" s="11" t="n"/>
      <c r="R910" s="11" t="n"/>
      <c r="S910" s="10">
        <f>IF(AND(Q910="",R910=""),"",IFERROR(INDEX(T_LIBAT,MATCH(Q910,L_PER,0),MATCH(R910,L_JENIS,0)),0))</f>
        <v/>
      </c>
      <c r="T910" s="11" t="n"/>
      <c r="U910" s="11" t="n"/>
      <c r="V910" s="10">
        <f>IF(AND(T910="",U910=""),"",IFERROR(INDEX(T_CAPAI,MATCH(T910,L_PER,0),MATCH(U910,L_KED,0)),0))</f>
        <v/>
      </c>
      <c r="W910" s="17">
        <f>IF(OR(B910="",E910="",COUNTA(F910,H910,J910:M910,O910,Q910:R910,T910:U910)=0),"",SUM(G910,I910,N910,P910,S910,V910))</f>
        <v/>
      </c>
      <c r="X910" s="18">
        <f>IF(W910="","",IF(Murid!F910="TL","TL",ROUND(W910/110*100,2)))</f>
        <v/>
      </c>
    </row>
    <row r="911">
      <c r="A911" s="15">
        <f>Murid!A911</f>
        <v/>
      </c>
      <c r="B911" s="15">
        <f>IF(Murid!B911="","",Murid!B911)</f>
        <v/>
      </c>
      <c r="C911" s="16">
        <f>IF(Murid!C911="","",Murid!C911)</f>
        <v/>
      </c>
      <c r="D911" s="15">
        <f>IF(Murid!E911="","",Murid!E911)</f>
        <v/>
      </c>
      <c r="E911" s="11" t="n"/>
      <c r="F911" s="11" t="n"/>
      <c r="G911" s="10">
        <f>IF(F911="","",IFERROR(VLOOKUP(F911,T_JUB,2,FALSE),0))</f>
        <v/>
      </c>
      <c r="H911" s="11" t="n"/>
      <c r="I911" s="17">
        <f>IF(H911="","",IF(H911&gt;=12,40,ROUND(H911*3.33,2)))</f>
        <v/>
      </c>
      <c r="J911" s="11" t="n"/>
      <c r="K911" s="11" t="n"/>
      <c r="L911" s="11" t="n"/>
      <c r="M911" s="11" t="n"/>
      <c r="N911" s="10">
        <f>IF(COUNTA(J911:M911)=0,"",MIN(10,SUMPRODUCT((COUNTIF(J911:M911,L_KOM)&gt;0)*S_KOM)))</f>
        <v/>
      </c>
      <c r="O911" s="11" t="n"/>
      <c r="P911" s="10">
        <f>IF(O911="","",IFERROR(VLOOKUP(O911,T_KHID,2,FALSE),0))</f>
        <v/>
      </c>
      <c r="Q911" s="11" t="n"/>
      <c r="R911" s="11" t="n"/>
      <c r="S911" s="10">
        <f>IF(AND(Q911="",R911=""),"",IFERROR(INDEX(T_LIBAT,MATCH(Q911,L_PER,0),MATCH(R911,L_JENIS,0)),0))</f>
        <v/>
      </c>
      <c r="T911" s="11" t="n"/>
      <c r="U911" s="11" t="n"/>
      <c r="V911" s="10">
        <f>IF(AND(T911="",U911=""),"",IFERROR(INDEX(T_CAPAI,MATCH(T911,L_PER,0),MATCH(U911,L_KED,0)),0))</f>
        <v/>
      </c>
      <c r="W911" s="17">
        <f>IF(OR(B911="",E911="",COUNTA(F911,H911,J911:M911,O911,Q911:R911,T911:U911)=0),"",SUM(G911,I911,N911,P911,S911,V911))</f>
        <v/>
      </c>
      <c r="X911" s="18">
        <f>IF(W911="","",IF(Murid!F911="TL","TL",ROUND(W911/110*100,2)))</f>
        <v/>
      </c>
    </row>
    <row r="912">
      <c r="A912" s="15">
        <f>Murid!A912</f>
        <v/>
      </c>
      <c r="B912" s="15">
        <f>IF(Murid!B912="","",Murid!B912)</f>
        <v/>
      </c>
      <c r="C912" s="16">
        <f>IF(Murid!C912="","",Murid!C912)</f>
        <v/>
      </c>
      <c r="D912" s="15">
        <f>IF(Murid!E912="","",Murid!E912)</f>
        <v/>
      </c>
      <c r="E912" s="11" t="n"/>
      <c r="F912" s="11" t="n"/>
      <c r="G912" s="10">
        <f>IF(F912="","",IFERROR(VLOOKUP(F912,T_JUB,2,FALSE),0))</f>
        <v/>
      </c>
      <c r="H912" s="11" t="n"/>
      <c r="I912" s="17">
        <f>IF(H912="","",IF(H912&gt;=12,40,ROUND(H912*3.33,2)))</f>
        <v/>
      </c>
      <c r="J912" s="11" t="n"/>
      <c r="K912" s="11" t="n"/>
      <c r="L912" s="11" t="n"/>
      <c r="M912" s="11" t="n"/>
      <c r="N912" s="10">
        <f>IF(COUNTA(J912:M912)=0,"",MIN(10,SUMPRODUCT((COUNTIF(J912:M912,L_KOM)&gt;0)*S_KOM)))</f>
        <v/>
      </c>
      <c r="O912" s="11" t="n"/>
      <c r="P912" s="10">
        <f>IF(O912="","",IFERROR(VLOOKUP(O912,T_KHID,2,FALSE),0))</f>
        <v/>
      </c>
      <c r="Q912" s="11" t="n"/>
      <c r="R912" s="11" t="n"/>
      <c r="S912" s="10">
        <f>IF(AND(Q912="",R912=""),"",IFERROR(INDEX(T_LIBAT,MATCH(Q912,L_PER,0),MATCH(R912,L_JENIS,0)),0))</f>
        <v/>
      </c>
      <c r="T912" s="11" t="n"/>
      <c r="U912" s="11" t="n"/>
      <c r="V912" s="10">
        <f>IF(AND(T912="",U912=""),"",IFERROR(INDEX(T_CAPAI,MATCH(T912,L_PER,0),MATCH(U912,L_KED,0)),0))</f>
        <v/>
      </c>
      <c r="W912" s="17">
        <f>IF(OR(B912="",E912="",COUNTA(F912,H912,J912:M912,O912,Q912:R912,T912:U912)=0),"",SUM(G912,I912,N912,P912,S912,V912))</f>
        <v/>
      </c>
      <c r="X912" s="18">
        <f>IF(W912="","",IF(Murid!F912="TL","TL",ROUND(W912/110*100,2)))</f>
        <v/>
      </c>
    </row>
    <row r="913">
      <c r="A913" s="15">
        <f>Murid!A913</f>
        <v/>
      </c>
      <c r="B913" s="15">
        <f>IF(Murid!B913="","",Murid!B913)</f>
        <v/>
      </c>
      <c r="C913" s="16">
        <f>IF(Murid!C913="","",Murid!C913)</f>
        <v/>
      </c>
      <c r="D913" s="15">
        <f>IF(Murid!E913="","",Murid!E913)</f>
        <v/>
      </c>
      <c r="E913" s="11" t="n"/>
      <c r="F913" s="11" t="n"/>
      <c r="G913" s="10">
        <f>IF(F913="","",IFERROR(VLOOKUP(F913,T_JUB,2,FALSE),0))</f>
        <v/>
      </c>
      <c r="H913" s="11" t="n"/>
      <c r="I913" s="17">
        <f>IF(H913="","",IF(H913&gt;=12,40,ROUND(H913*3.33,2)))</f>
        <v/>
      </c>
      <c r="J913" s="11" t="n"/>
      <c r="K913" s="11" t="n"/>
      <c r="L913" s="11" t="n"/>
      <c r="M913" s="11" t="n"/>
      <c r="N913" s="10">
        <f>IF(COUNTA(J913:M913)=0,"",MIN(10,SUMPRODUCT((COUNTIF(J913:M913,L_KOM)&gt;0)*S_KOM)))</f>
        <v/>
      </c>
      <c r="O913" s="11" t="n"/>
      <c r="P913" s="10">
        <f>IF(O913="","",IFERROR(VLOOKUP(O913,T_KHID,2,FALSE),0))</f>
        <v/>
      </c>
      <c r="Q913" s="11" t="n"/>
      <c r="R913" s="11" t="n"/>
      <c r="S913" s="10">
        <f>IF(AND(Q913="",R913=""),"",IFERROR(INDEX(T_LIBAT,MATCH(Q913,L_PER,0),MATCH(R913,L_JENIS,0)),0))</f>
        <v/>
      </c>
      <c r="T913" s="11" t="n"/>
      <c r="U913" s="11" t="n"/>
      <c r="V913" s="10">
        <f>IF(AND(T913="",U913=""),"",IFERROR(INDEX(T_CAPAI,MATCH(T913,L_PER,0),MATCH(U913,L_KED,0)),0))</f>
        <v/>
      </c>
      <c r="W913" s="17">
        <f>IF(OR(B913="",E913="",COUNTA(F913,H913,J913:M913,O913,Q913:R913,T913:U913)=0),"",SUM(G913,I913,N913,P913,S913,V913))</f>
        <v/>
      </c>
      <c r="X913" s="18">
        <f>IF(W913="","",IF(Murid!F913="TL","TL",ROUND(W913/110*100,2)))</f>
        <v/>
      </c>
    </row>
    <row r="914">
      <c r="A914" s="15">
        <f>Murid!A914</f>
        <v/>
      </c>
      <c r="B914" s="15">
        <f>IF(Murid!B914="","",Murid!B914)</f>
        <v/>
      </c>
      <c r="C914" s="16">
        <f>IF(Murid!C914="","",Murid!C914)</f>
        <v/>
      </c>
      <c r="D914" s="15">
        <f>IF(Murid!E914="","",Murid!E914)</f>
        <v/>
      </c>
      <c r="E914" s="11" t="n"/>
      <c r="F914" s="11" t="n"/>
      <c r="G914" s="10">
        <f>IF(F914="","",IFERROR(VLOOKUP(F914,T_JUB,2,FALSE),0))</f>
        <v/>
      </c>
      <c r="H914" s="11" t="n"/>
      <c r="I914" s="17">
        <f>IF(H914="","",IF(H914&gt;=12,40,ROUND(H914*3.33,2)))</f>
        <v/>
      </c>
      <c r="J914" s="11" t="n"/>
      <c r="K914" s="11" t="n"/>
      <c r="L914" s="11" t="n"/>
      <c r="M914" s="11" t="n"/>
      <c r="N914" s="10">
        <f>IF(COUNTA(J914:M914)=0,"",MIN(10,SUMPRODUCT((COUNTIF(J914:M914,L_KOM)&gt;0)*S_KOM)))</f>
        <v/>
      </c>
      <c r="O914" s="11" t="n"/>
      <c r="P914" s="10">
        <f>IF(O914="","",IFERROR(VLOOKUP(O914,T_KHID,2,FALSE),0))</f>
        <v/>
      </c>
      <c r="Q914" s="11" t="n"/>
      <c r="R914" s="11" t="n"/>
      <c r="S914" s="10">
        <f>IF(AND(Q914="",R914=""),"",IFERROR(INDEX(T_LIBAT,MATCH(Q914,L_PER,0),MATCH(R914,L_JENIS,0)),0))</f>
        <v/>
      </c>
      <c r="T914" s="11" t="n"/>
      <c r="U914" s="11" t="n"/>
      <c r="V914" s="10">
        <f>IF(AND(T914="",U914=""),"",IFERROR(INDEX(T_CAPAI,MATCH(T914,L_PER,0),MATCH(U914,L_KED,0)),0))</f>
        <v/>
      </c>
      <c r="W914" s="17">
        <f>IF(OR(B914="",E914="",COUNTA(F914,H914,J914:M914,O914,Q914:R914,T914:U914)=0),"",SUM(G914,I914,N914,P914,S914,V914))</f>
        <v/>
      </c>
      <c r="X914" s="18">
        <f>IF(W914="","",IF(Murid!F914="TL","TL",ROUND(W914/110*100,2)))</f>
        <v/>
      </c>
    </row>
    <row r="915">
      <c r="A915" s="15">
        <f>Murid!A915</f>
        <v/>
      </c>
      <c r="B915" s="15">
        <f>IF(Murid!B915="","",Murid!B915)</f>
        <v/>
      </c>
      <c r="C915" s="16">
        <f>IF(Murid!C915="","",Murid!C915)</f>
        <v/>
      </c>
      <c r="D915" s="15">
        <f>IF(Murid!E915="","",Murid!E915)</f>
        <v/>
      </c>
      <c r="E915" s="11" t="n"/>
      <c r="F915" s="11" t="n"/>
      <c r="G915" s="10">
        <f>IF(F915="","",IFERROR(VLOOKUP(F915,T_JUB,2,FALSE),0))</f>
        <v/>
      </c>
      <c r="H915" s="11" t="n"/>
      <c r="I915" s="17">
        <f>IF(H915="","",IF(H915&gt;=12,40,ROUND(H915*3.33,2)))</f>
        <v/>
      </c>
      <c r="J915" s="11" t="n"/>
      <c r="K915" s="11" t="n"/>
      <c r="L915" s="11" t="n"/>
      <c r="M915" s="11" t="n"/>
      <c r="N915" s="10">
        <f>IF(COUNTA(J915:M915)=0,"",MIN(10,SUMPRODUCT((COUNTIF(J915:M915,L_KOM)&gt;0)*S_KOM)))</f>
        <v/>
      </c>
      <c r="O915" s="11" t="n"/>
      <c r="P915" s="10">
        <f>IF(O915="","",IFERROR(VLOOKUP(O915,T_KHID,2,FALSE),0))</f>
        <v/>
      </c>
      <c r="Q915" s="11" t="n"/>
      <c r="R915" s="11" t="n"/>
      <c r="S915" s="10">
        <f>IF(AND(Q915="",R915=""),"",IFERROR(INDEX(T_LIBAT,MATCH(Q915,L_PER,0),MATCH(R915,L_JENIS,0)),0))</f>
        <v/>
      </c>
      <c r="T915" s="11" t="n"/>
      <c r="U915" s="11" t="n"/>
      <c r="V915" s="10">
        <f>IF(AND(T915="",U915=""),"",IFERROR(INDEX(T_CAPAI,MATCH(T915,L_PER,0),MATCH(U915,L_KED,0)),0))</f>
        <v/>
      </c>
      <c r="W915" s="17">
        <f>IF(OR(B915="",E915="",COUNTA(F915,H915,J915:M915,O915,Q915:R915,T915:U915)=0),"",SUM(G915,I915,N915,P915,S915,V915))</f>
        <v/>
      </c>
      <c r="X915" s="18">
        <f>IF(W915="","",IF(Murid!F915="TL","TL",ROUND(W915/110*100,2)))</f>
        <v/>
      </c>
    </row>
    <row r="916">
      <c r="A916" s="15">
        <f>Murid!A916</f>
        <v/>
      </c>
      <c r="B916" s="15">
        <f>IF(Murid!B916="","",Murid!B916)</f>
        <v/>
      </c>
      <c r="C916" s="16">
        <f>IF(Murid!C916="","",Murid!C916)</f>
        <v/>
      </c>
      <c r="D916" s="15">
        <f>IF(Murid!E916="","",Murid!E916)</f>
        <v/>
      </c>
      <c r="E916" s="11" t="n"/>
      <c r="F916" s="11" t="n"/>
      <c r="G916" s="10">
        <f>IF(F916="","",IFERROR(VLOOKUP(F916,T_JUB,2,FALSE),0))</f>
        <v/>
      </c>
      <c r="H916" s="11" t="n"/>
      <c r="I916" s="17">
        <f>IF(H916="","",IF(H916&gt;=12,40,ROUND(H916*3.33,2)))</f>
        <v/>
      </c>
      <c r="J916" s="11" t="n"/>
      <c r="K916" s="11" t="n"/>
      <c r="L916" s="11" t="n"/>
      <c r="M916" s="11" t="n"/>
      <c r="N916" s="10">
        <f>IF(COUNTA(J916:M916)=0,"",MIN(10,SUMPRODUCT((COUNTIF(J916:M916,L_KOM)&gt;0)*S_KOM)))</f>
        <v/>
      </c>
      <c r="O916" s="11" t="n"/>
      <c r="P916" s="10">
        <f>IF(O916="","",IFERROR(VLOOKUP(O916,T_KHID,2,FALSE),0))</f>
        <v/>
      </c>
      <c r="Q916" s="11" t="n"/>
      <c r="R916" s="11" t="n"/>
      <c r="S916" s="10">
        <f>IF(AND(Q916="",R916=""),"",IFERROR(INDEX(T_LIBAT,MATCH(Q916,L_PER,0),MATCH(R916,L_JENIS,0)),0))</f>
        <v/>
      </c>
      <c r="T916" s="11" t="n"/>
      <c r="U916" s="11" t="n"/>
      <c r="V916" s="10">
        <f>IF(AND(T916="",U916=""),"",IFERROR(INDEX(T_CAPAI,MATCH(T916,L_PER,0),MATCH(U916,L_KED,0)),0))</f>
        <v/>
      </c>
      <c r="W916" s="17">
        <f>IF(OR(B916="",E916="",COUNTA(F916,H916,J916:M916,O916,Q916:R916,T916:U916)=0),"",SUM(G916,I916,N916,P916,S916,V916))</f>
        <v/>
      </c>
      <c r="X916" s="18">
        <f>IF(W916="","",IF(Murid!F916="TL","TL",ROUND(W916/110*100,2)))</f>
        <v/>
      </c>
    </row>
    <row r="917">
      <c r="A917" s="15">
        <f>Murid!A917</f>
        <v/>
      </c>
      <c r="B917" s="15">
        <f>IF(Murid!B917="","",Murid!B917)</f>
        <v/>
      </c>
      <c r="C917" s="16">
        <f>IF(Murid!C917="","",Murid!C917)</f>
        <v/>
      </c>
      <c r="D917" s="15">
        <f>IF(Murid!E917="","",Murid!E917)</f>
        <v/>
      </c>
      <c r="E917" s="11" t="n"/>
      <c r="F917" s="11" t="n"/>
      <c r="G917" s="10">
        <f>IF(F917="","",IFERROR(VLOOKUP(F917,T_JUB,2,FALSE),0))</f>
        <v/>
      </c>
      <c r="H917" s="11" t="n"/>
      <c r="I917" s="17">
        <f>IF(H917="","",IF(H917&gt;=12,40,ROUND(H917*3.33,2)))</f>
        <v/>
      </c>
      <c r="J917" s="11" t="n"/>
      <c r="K917" s="11" t="n"/>
      <c r="L917" s="11" t="n"/>
      <c r="M917" s="11" t="n"/>
      <c r="N917" s="10">
        <f>IF(COUNTA(J917:M917)=0,"",MIN(10,SUMPRODUCT((COUNTIF(J917:M917,L_KOM)&gt;0)*S_KOM)))</f>
        <v/>
      </c>
      <c r="O917" s="11" t="n"/>
      <c r="P917" s="10">
        <f>IF(O917="","",IFERROR(VLOOKUP(O917,T_KHID,2,FALSE),0))</f>
        <v/>
      </c>
      <c r="Q917" s="11" t="n"/>
      <c r="R917" s="11" t="n"/>
      <c r="S917" s="10">
        <f>IF(AND(Q917="",R917=""),"",IFERROR(INDEX(T_LIBAT,MATCH(Q917,L_PER,0),MATCH(R917,L_JENIS,0)),0))</f>
        <v/>
      </c>
      <c r="T917" s="11" t="n"/>
      <c r="U917" s="11" t="n"/>
      <c r="V917" s="10">
        <f>IF(AND(T917="",U917=""),"",IFERROR(INDEX(T_CAPAI,MATCH(T917,L_PER,0),MATCH(U917,L_KED,0)),0))</f>
        <v/>
      </c>
      <c r="W917" s="17">
        <f>IF(OR(B917="",E917="",COUNTA(F917,H917,J917:M917,O917,Q917:R917,T917:U917)=0),"",SUM(G917,I917,N917,P917,S917,V917))</f>
        <v/>
      </c>
      <c r="X917" s="18">
        <f>IF(W917="","",IF(Murid!F917="TL","TL",ROUND(W917/110*100,2)))</f>
        <v/>
      </c>
    </row>
    <row r="918">
      <c r="A918" s="15">
        <f>Murid!A918</f>
        <v/>
      </c>
      <c r="B918" s="15">
        <f>IF(Murid!B918="","",Murid!B918)</f>
        <v/>
      </c>
      <c r="C918" s="16">
        <f>IF(Murid!C918="","",Murid!C918)</f>
        <v/>
      </c>
      <c r="D918" s="15">
        <f>IF(Murid!E918="","",Murid!E918)</f>
        <v/>
      </c>
      <c r="E918" s="11" t="n"/>
      <c r="F918" s="11" t="n"/>
      <c r="G918" s="10">
        <f>IF(F918="","",IFERROR(VLOOKUP(F918,T_JUB,2,FALSE),0))</f>
        <v/>
      </c>
      <c r="H918" s="11" t="n"/>
      <c r="I918" s="17">
        <f>IF(H918="","",IF(H918&gt;=12,40,ROUND(H918*3.33,2)))</f>
        <v/>
      </c>
      <c r="J918" s="11" t="n"/>
      <c r="K918" s="11" t="n"/>
      <c r="L918" s="11" t="n"/>
      <c r="M918" s="11" t="n"/>
      <c r="N918" s="10">
        <f>IF(COUNTA(J918:M918)=0,"",MIN(10,SUMPRODUCT((COUNTIF(J918:M918,L_KOM)&gt;0)*S_KOM)))</f>
        <v/>
      </c>
      <c r="O918" s="11" t="n"/>
      <c r="P918" s="10">
        <f>IF(O918="","",IFERROR(VLOOKUP(O918,T_KHID,2,FALSE),0))</f>
        <v/>
      </c>
      <c r="Q918" s="11" t="n"/>
      <c r="R918" s="11" t="n"/>
      <c r="S918" s="10">
        <f>IF(AND(Q918="",R918=""),"",IFERROR(INDEX(T_LIBAT,MATCH(Q918,L_PER,0),MATCH(R918,L_JENIS,0)),0))</f>
        <v/>
      </c>
      <c r="T918" s="11" t="n"/>
      <c r="U918" s="11" t="n"/>
      <c r="V918" s="10">
        <f>IF(AND(T918="",U918=""),"",IFERROR(INDEX(T_CAPAI,MATCH(T918,L_PER,0),MATCH(U918,L_KED,0)),0))</f>
        <v/>
      </c>
      <c r="W918" s="17">
        <f>IF(OR(B918="",E918="",COUNTA(F918,H918,J918:M918,O918,Q918:R918,T918:U918)=0),"",SUM(G918,I918,N918,P918,S918,V918))</f>
        <v/>
      </c>
      <c r="X918" s="18">
        <f>IF(W918="","",IF(Murid!F918="TL","TL",ROUND(W918/110*100,2)))</f>
        <v/>
      </c>
    </row>
    <row r="919">
      <c r="A919" s="15">
        <f>Murid!A919</f>
        <v/>
      </c>
      <c r="B919" s="15">
        <f>IF(Murid!B919="","",Murid!B919)</f>
        <v/>
      </c>
      <c r="C919" s="16">
        <f>IF(Murid!C919="","",Murid!C919)</f>
        <v/>
      </c>
      <c r="D919" s="15">
        <f>IF(Murid!E919="","",Murid!E919)</f>
        <v/>
      </c>
      <c r="E919" s="11" t="n"/>
      <c r="F919" s="11" t="n"/>
      <c r="G919" s="10">
        <f>IF(F919="","",IFERROR(VLOOKUP(F919,T_JUB,2,FALSE),0))</f>
        <v/>
      </c>
      <c r="H919" s="11" t="n"/>
      <c r="I919" s="17">
        <f>IF(H919="","",IF(H919&gt;=12,40,ROUND(H919*3.33,2)))</f>
        <v/>
      </c>
      <c r="J919" s="11" t="n"/>
      <c r="K919" s="11" t="n"/>
      <c r="L919" s="11" t="n"/>
      <c r="M919" s="11" t="n"/>
      <c r="N919" s="10">
        <f>IF(COUNTA(J919:M919)=0,"",MIN(10,SUMPRODUCT((COUNTIF(J919:M919,L_KOM)&gt;0)*S_KOM)))</f>
        <v/>
      </c>
      <c r="O919" s="11" t="n"/>
      <c r="P919" s="10">
        <f>IF(O919="","",IFERROR(VLOOKUP(O919,T_KHID,2,FALSE),0))</f>
        <v/>
      </c>
      <c r="Q919" s="11" t="n"/>
      <c r="R919" s="11" t="n"/>
      <c r="S919" s="10">
        <f>IF(AND(Q919="",R919=""),"",IFERROR(INDEX(T_LIBAT,MATCH(Q919,L_PER,0),MATCH(R919,L_JENIS,0)),0))</f>
        <v/>
      </c>
      <c r="T919" s="11" t="n"/>
      <c r="U919" s="11" t="n"/>
      <c r="V919" s="10">
        <f>IF(AND(T919="",U919=""),"",IFERROR(INDEX(T_CAPAI,MATCH(T919,L_PER,0),MATCH(U919,L_KED,0)),0))</f>
        <v/>
      </c>
      <c r="W919" s="17">
        <f>IF(OR(B919="",E919="",COUNTA(F919,H919,J919:M919,O919,Q919:R919,T919:U919)=0),"",SUM(G919,I919,N919,P919,S919,V919))</f>
        <v/>
      </c>
      <c r="X919" s="18">
        <f>IF(W919="","",IF(Murid!F919="TL","TL",ROUND(W919/110*100,2)))</f>
        <v/>
      </c>
    </row>
    <row r="920">
      <c r="A920" s="15">
        <f>Murid!A920</f>
        <v/>
      </c>
      <c r="B920" s="15">
        <f>IF(Murid!B920="","",Murid!B920)</f>
        <v/>
      </c>
      <c r="C920" s="16">
        <f>IF(Murid!C920="","",Murid!C920)</f>
        <v/>
      </c>
      <c r="D920" s="15">
        <f>IF(Murid!E920="","",Murid!E920)</f>
        <v/>
      </c>
      <c r="E920" s="11" t="n"/>
      <c r="F920" s="11" t="n"/>
      <c r="G920" s="10">
        <f>IF(F920="","",IFERROR(VLOOKUP(F920,T_JUB,2,FALSE),0))</f>
        <v/>
      </c>
      <c r="H920" s="11" t="n"/>
      <c r="I920" s="17">
        <f>IF(H920="","",IF(H920&gt;=12,40,ROUND(H920*3.33,2)))</f>
        <v/>
      </c>
      <c r="J920" s="11" t="n"/>
      <c r="K920" s="11" t="n"/>
      <c r="L920" s="11" t="n"/>
      <c r="M920" s="11" t="n"/>
      <c r="N920" s="10">
        <f>IF(COUNTA(J920:M920)=0,"",MIN(10,SUMPRODUCT((COUNTIF(J920:M920,L_KOM)&gt;0)*S_KOM)))</f>
        <v/>
      </c>
      <c r="O920" s="11" t="n"/>
      <c r="P920" s="10">
        <f>IF(O920="","",IFERROR(VLOOKUP(O920,T_KHID,2,FALSE),0))</f>
        <v/>
      </c>
      <c r="Q920" s="11" t="n"/>
      <c r="R920" s="11" t="n"/>
      <c r="S920" s="10">
        <f>IF(AND(Q920="",R920=""),"",IFERROR(INDEX(T_LIBAT,MATCH(Q920,L_PER,0),MATCH(R920,L_JENIS,0)),0))</f>
        <v/>
      </c>
      <c r="T920" s="11" t="n"/>
      <c r="U920" s="11" t="n"/>
      <c r="V920" s="10">
        <f>IF(AND(T920="",U920=""),"",IFERROR(INDEX(T_CAPAI,MATCH(T920,L_PER,0),MATCH(U920,L_KED,0)),0))</f>
        <v/>
      </c>
      <c r="W920" s="17">
        <f>IF(OR(B920="",E920="",COUNTA(F920,H920,J920:M920,O920,Q920:R920,T920:U920)=0),"",SUM(G920,I920,N920,P920,S920,V920))</f>
        <v/>
      </c>
      <c r="X920" s="18">
        <f>IF(W920="","",IF(Murid!F920="TL","TL",ROUND(W920/110*100,2)))</f>
        <v/>
      </c>
    </row>
    <row r="921">
      <c r="A921" s="15">
        <f>Murid!A921</f>
        <v/>
      </c>
      <c r="B921" s="15">
        <f>IF(Murid!B921="","",Murid!B921)</f>
        <v/>
      </c>
      <c r="C921" s="16">
        <f>IF(Murid!C921="","",Murid!C921)</f>
        <v/>
      </c>
      <c r="D921" s="15">
        <f>IF(Murid!E921="","",Murid!E921)</f>
        <v/>
      </c>
      <c r="E921" s="11" t="n"/>
      <c r="F921" s="11" t="n"/>
      <c r="G921" s="10">
        <f>IF(F921="","",IFERROR(VLOOKUP(F921,T_JUB,2,FALSE),0))</f>
        <v/>
      </c>
      <c r="H921" s="11" t="n"/>
      <c r="I921" s="17">
        <f>IF(H921="","",IF(H921&gt;=12,40,ROUND(H921*3.33,2)))</f>
        <v/>
      </c>
      <c r="J921" s="11" t="n"/>
      <c r="K921" s="11" t="n"/>
      <c r="L921" s="11" t="n"/>
      <c r="M921" s="11" t="n"/>
      <c r="N921" s="10">
        <f>IF(COUNTA(J921:M921)=0,"",MIN(10,SUMPRODUCT((COUNTIF(J921:M921,L_KOM)&gt;0)*S_KOM)))</f>
        <v/>
      </c>
      <c r="O921" s="11" t="n"/>
      <c r="P921" s="10">
        <f>IF(O921="","",IFERROR(VLOOKUP(O921,T_KHID,2,FALSE),0))</f>
        <v/>
      </c>
      <c r="Q921" s="11" t="n"/>
      <c r="R921" s="11" t="n"/>
      <c r="S921" s="10">
        <f>IF(AND(Q921="",R921=""),"",IFERROR(INDEX(T_LIBAT,MATCH(Q921,L_PER,0),MATCH(R921,L_JENIS,0)),0))</f>
        <v/>
      </c>
      <c r="T921" s="11" t="n"/>
      <c r="U921" s="11" t="n"/>
      <c r="V921" s="10">
        <f>IF(AND(T921="",U921=""),"",IFERROR(INDEX(T_CAPAI,MATCH(T921,L_PER,0),MATCH(U921,L_KED,0)),0))</f>
        <v/>
      </c>
      <c r="W921" s="17">
        <f>IF(OR(B921="",E921="",COUNTA(F921,H921,J921:M921,O921,Q921:R921,T921:U921)=0),"",SUM(G921,I921,N921,P921,S921,V921))</f>
        <v/>
      </c>
      <c r="X921" s="18">
        <f>IF(W921="","",IF(Murid!F921="TL","TL",ROUND(W921/110*100,2)))</f>
        <v/>
      </c>
    </row>
    <row r="922">
      <c r="A922" s="15">
        <f>Murid!A922</f>
        <v/>
      </c>
      <c r="B922" s="15">
        <f>IF(Murid!B922="","",Murid!B922)</f>
        <v/>
      </c>
      <c r="C922" s="16">
        <f>IF(Murid!C922="","",Murid!C922)</f>
        <v/>
      </c>
      <c r="D922" s="15">
        <f>IF(Murid!E922="","",Murid!E922)</f>
        <v/>
      </c>
      <c r="E922" s="11" t="n"/>
      <c r="F922" s="11" t="n"/>
      <c r="G922" s="10">
        <f>IF(F922="","",IFERROR(VLOOKUP(F922,T_JUB,2,FALSE),0))</f>
        <v/>
      </c>
      <c r="H922" s="11" t="n"/>
      <c r="I922" s="17">
        <f>IF(H922="","",IF(H922&gt;=12,40,ROUND(H922*3.33,2)))</f>
        <v/>
      </c>
      <c r="J922" s="11" t="n"/>
      <c r="K922" s="11" t="n"/>
      <c r="L922" s="11" t="n"/>
      <c r="M922" s="11" t="n"/>
      <c r="N922" s="10">
        <f>IF(COUNTA(J922:M922)=0,"",MIN(10,SUMPRODUCT((COUNTIF(J922:M922,L_KOM)&gt;0)*S_KOM)))</f>
        <v/>
      </c>
      <c r="O922" s="11" t="n"/>
      <c r="P922" s="10">
        <f>IF(O922="","",IFERROR(VLOOKUP(O922,T_KHID,2,FALSE),0))</f>
        <v/>
      </c>
      <c r="Q922" s="11" t="n"/>
      <c r="R922" s="11" t="n"/>
      <c r="S922" s="10">
        <f>IF(AND(Q922="",R922=""),"",IFERROR(INDEX(T_LIBAT,MATCH(Q922,L_PER,0),MATCH(R922,L_JENIS,0)),0))</f>
        <v/>
      </c>
      <c r="T922" s="11" t="n"/>
      <c r="U922" s="11" t="n"/>
      <c r="V922" s="10">
        <f>IF(AND(T922="",U922=""),"",IFERROR(INDEX(T_CAPAI,MATCH(T922,L_PER,0),MATCH(U922,L_KED,0)),0))</f>
        <v/>
      </c>
      <c r="W922" s="17">
        <f>IF(OR(B922="",E922="",COUNTA(F922,H922,J922:M922,O922,Q922:R922,T922:U922)=0),"",SUM(G922,I922,N922,P922,S922,V922))</f>
        <v/>
      </c>
      <c r="X922" s="18">
        <f>IF(W922="","",IF(Murid!F922="TL","TL",ROUND(W922/110*100,2)))</f>
        <v/>
      </c>
    </row>
    <row r="923">
      <c r="A923" s="15">
        <f>Murid!A923</f>
        <v/>
      </c>
      <c r="B923" s="15">
        <f>IF(Murid!B923="","",Murid!B923)</f>
        <v/>
      </c>
      <c r="C923" s="16">
        <f>IF(Murid!C923="","",Murid!C923)</f>
        <v/>
      </c>
      <c r="D923" s="15">
        <f>IF(Murid!E923="","",Murid!E923)</f>
        <v/>
      </c>
      <c r="E923" s="11" t="n"/>
      <c r="F923" s="11" t="n"/>
      <c r="G923" s="10">
        <f>IF(F923="","",IFERROR(VLOOKUP(F923,T_JUB,2,FALSE),0))</f>
        <v/>
      </c>
      <c r="H923" s="11" t="n"/>
      <c r="I923" s="17">
        <f>IF(H923="","",IF(H923&gt;=12,40,ROUND(H923*3.33,2)))</f>
        <v/>
      </c>
      <c r="J923" s="11" t="n"/>
      <c r="K923" s="11" t="n"/>
      <c r="L923" s="11" t="n"/>
      <c r="M923" s="11" t="n"/>
      <c r="N923" s="10">
        <f>IF(COUNTA(J923:M923)=0,"",MIN(10,SUMPRODUCT((COUNTIF(J923:M923,L_KOM)&gt;0)*S_KOM)))</f>
        <v/>
      </c>
      <c r="O923" s="11" t="n"/>
      <c r="P923" s="10">
        <f>IF(O923="","",IFERROR(VLOOKUP(O923,T_KHID,2,FALSE),0))</f>
        <v/>
      </c>
      <c r="Q923" s="11" t="n"/>
      <c r="R923" s="11" t="n"/>
      <c r="S923" s="10">
        <f>IF(AND(Q923="",R923=""),"",IFERROR(INDEX(T_LIBAT,MATCH(Q923,L_PER,0),MATCH(R923,L_JENIS,0)),0))</f>
        <v/>
      </c>
      <c r="T923" s="11" t="n"/>
      <c r="U923" s="11" t="n"/>
      <c r="V923" s="10">
        <f>IF(AND(T923="",U923=""),"",IFERROR(INDEX(T_CAPAI,MATCH(T923,L_PER,0),MATCH(U923,L_KED,0)),0))</f>
        <v/>
      </c>
      <c r="W923" s="17">
        <f>IF(OR(B923="",E923="",COUNTA(F923,H923,J923:M923,O923,Q923:R923,T923:U923)=0),"",SUM(G923,I923,N923,P923,S923,V923))</f>
        <v/>
      </c>
      <c r="X923" s="18">
        <f>IF(W923="","",IF(Murid!F923="TL","TL",ROUND(W923/110*100,2)))</f>
        <v/>
      </c>
    </row>
    <row r="924">
      <c r="A924" s="15">
        <f>Murid!A924</f>
        <v/>
      </c>
      <c r="B924" s="15">
        <f>IF(Murid!B924="","",Murid!B924)</f>
        <v/>
      </c>
      <c r="C924" s="16">
        <f>IF(Murid!C924="","",Murid!C924)</f>
        <v/>
      </c>
      <c r="D924" s="15">
        <f>IF(Murid!E924="","",Murid!E924)</f>
        <v/>
      </c>
      <c r="E924" s="11" t="n"/>
      <c r="F924" s="11" t="n"/>
      <c r="G924" s="10">
        <f>IF(F924="","",IFERROR(VLOOKUP(F924,T_JUB,2,FALSE),0))</f>
        <v/>
      </c>
      <c r="H924" s="11" t="n"/>
      <c r="I924" s="17">
        <f>IF(H924="","",IF(H924&gt;=12,40,ROUND(H924*3.33,2)))</f>
        <v/>
      </c>
      <c r="J924" s="11" t="n"/>
      <c r="K924" s="11" t="n"/>
      <c r="L924" s="11" t="n"/>
      <c r="M924" s="11" t="n"/>
      <c r="N924" s="10">
        <f>IF(COUNTA(J924:M924)=0,"",MIN(10,SUMPRODUCT((COUNTIF(J924:M924,L_KOM)&gt;0)*S_KOM)))</f>
        <v/>
      </c>
      <c r="O924" s="11" t="n"/>
      <c r="P924" s="10">
        <f>IF(O924="","",IFERROR(VLOOKUP(O924,T_KHID,2,FALSE),0))</f>
        <v/>
      </c>
      <c r="Q924" s="11" t="n"/>
      <c r="R924" s="11" t="n"/>
      <c r="S924" s="10">
        <f>IF(AND(Q924="",R924=""),"",IFERROR(INDEX(T_LIBAT,MATCH(Q924,L_PER,0),MATCH(R924,L_JENIS,0)),0))</f>
        <v/>
      </c>
      <c r="T924" s="11" t="n"/>
      <c r="U924" s="11" t="n"/>
      <c r="V924" s="10">
        <f>IF(AND(T924="",U924=""),"",IFERROR(INDEX(T_CAPAI,MATCH(T924,L_PER,0),MATCH(U924,L_KED,0)),0))</f>
        <v/>
      </c>
      <c r="W924" s="17">
        <f>IF(OR(B924="",E924="",COUNTA(F924,H924,J924:M924,O924,Q924:R924,T924:U924)=0),"",SUM(G924,I924,N924,P924,S924,V924))</f>
        <v/>
      </c>
      <c r="X924" s="18">
        <f>IF(W924="","",IF(Murid!F924="TL","TL",ROUND(W924/110*100,2)))</f>
        <v/>
      </c>
    </row>
    <row r="925">
      <c r="A925" s="15">
        <f>Murid!A925</f>
        <v/>
      </c>
      <c r="B925" s="15">
        <f>IF(Murid!B925="","",Murid!B925)</f>
        <v/>
      </c>
      <c r="C925" s="16">
        <f>IF(Murid!C925="","",Murid!C925)</f>
        <v/>
      </c>
      <c r="D925" s="15">
        <f>IF(Murid!E925="","",Murid!E925)</f>
        <v/>
      </c>
      <c r="E925" s="11" t="n"/>
      <c r="F925" s="11" t="n"/>
      <c r="G925" s="10">
        <f>IF(F925="","",IFERROR(VLOOKUP(F925,T_JUB,2,FALSE),0))</f>
        <v/>
      </c>
      <c r="H925" s="11" t="n"/>
      <c r="I925" s="17">
        <f>IF(H925="","",IF(H925&gt;=12,40,ROUND(H925*3.33,2)))</f>
        <v/>
      </c>
      <c r="J925" s="11" t="n"/>
      <c r="K925" s="11" t="n"/>
      <c r="L925" s="11" t="n"/>
      <c r="M925" s="11" t="n"/>
      <c r="N925" s="10">
        <f>IF(COUNTA(J925:M925)=0,"",MIN(10,SUMPRODUCT((COUNTIF(J925:M925,L_KOM)&gt;0)*S_KOM)))</f>
        <v/>
      </c>
      <c r="O925" s="11" t="n"/>
      <c r="P925" s="10">
        <f>IF(O925="","",IFERROR(VLOOKUP(O925,T_KHID,2,FALSE),0))</f>
        <v/>
      </c>
      <c r="Q925" s="11" t="n"/>
      <c r="R925" s="11" t="n"/>
      <c r="S925" s="10">
        <f>IF(AND(Q925="",R925=""),"",IFERROR(INDEX(T_LIBAT,MATCH(Q925,L_PER,0),MATCH(R925,L_JENIS,0)),0))</f>
        <v/>
      </c>
      <c r="T925" s="11" t="n"/>
      <c r="U925" s="11" t="n"/>
      <c r="V925" s="10">
        <f>IF(AND(T925="",U925=""),"",IFERROR(INDEX(T_CAPAI,MATCH(T925,L_PER,0),MATCH(U925,L_KED,0)),0))</f>
        <v/>
      </c>
      <c r="W925" s="17">
        <f>IF(OR(B925="",E925="",COUNTA(F925,H925,J925:M925,O925,Q925:R925,T925:U925)=0),"",SUM(G925,I925,N925,P925,S925,V925))</f>
        <v/>
      </c>
      <c r="X925" s="18">
        <f>IF(W925="","",IF(Murid!F925="TL","TL",ROUND(W925/110*100,2)))</f>
        <v/>
      </c>
    </row>
    <row r="926">
      <c r="A926" s="15">
        <f>Murid!A926</f>
        <v/>
      </c>
      <c r="B926" s="15">
        <f>IF(Murid!B926="","",Murid!B926)</f>
        <v/>
      </c>
      <c r="C926" s="16">
        <f>IF(Murid!C926="","",Murid!C926)</f>
        <v/>
      </c>
      <c r="D926" s="15">
        <f>IF(Murid!E926="","",Murid!E926)</f>
        <v/>
      </c>
      <c r="E926" s="11" t="n"/>
      <c r="F926" s="11" t="n"/>
      <c r="G926" s="10">
        <f>IF(F926="","",IFERROR(VLOOKUP(F926,T_JUB,2,FALSE),0))</f>
        <v/>
      </c>
      <c r="H926" s="11" t="n"/>
      <c r="I926" s="17">
        <f>IF(H926="","",IF(H926&gt;=12,40,ROUND(H926*3.33,2)))</f>
        <v/>
      </c>
      <c r="J926" s="11" t="n"/>
      <c r="K926" s="11" t="n"/>
      <c r="L926" s="11" t="n"/>
      <c r="M926" s="11" t="n"/>
      <c r="N926" s="10">
        <f>IF(COUNTA(J926:M926)=0,"",MIN(10,SUMPRODUCT((COUNTIF(J926:M926,L_KOM)&gt;0)*S_KOM)))</f>
        <v/>
      </c>
      <c r="O926" s="11" t="n"/>
      <c r="P926" s="10">
        <f>IF(O926="","",IFERROR(VLOOKUP(O926,T_KHID,2,FALSE),0))</f>
        <v/>
      </c>
      <c r="Q926" s="11" t="n"/>
      <c r="R926" s="11" t="n"/>
      <c r="S926" s="10">
        <f>IF(AND(Q926="",R926=""),"",IFERROR(INDEX(T_LIBAT,MATCH(Q926,L_PER,0),MATCH(R926,L_JENIS,0)),0))</f>
        <v/>
      </c>
      <c r="T926" s="11" t="n"/>
      <c r="U926" s="11" t="n"/>
      <c r="V926" s="10">
        <f>IF(AND(T926="",U926=""),"",IFERROR(INDEX(T_CAPAI,MATCH(T926,L_PER,0),MATCH(U926,L_KED,0)),0))</f>
        <v/>
      </c>
      <c r="W926" s="17">
        <f>IF(OR(B926="",E926="",COUNTA(F926,H926,J926:M926,O926,Q926:R926,T926:U926)=0),"",SUM(G926,I926,N926,P926,S926,V926))</f>
        <v/>
      </c>
      <c r="X926" s="18">
        <f>IF(W926="","",IF(Murid!F926="TL","TL",ROUND(W926/110*100,2)))</f>
        <v/>
      </c>
    </row>
    <row r="927">
      <c r="A927" s="15">
        <f>Murid!A927</f>
        <v/>
      </c>
      <c r="B927" s="15">
        <f>IF(Murid!B927="","",Murid!B927)</f>
        <v/>
      </c>
      <c r="C927" s="16">
        <f>IF(Murid!C927="","",Murid!C927)</f>
        <v/>
      </c>
      <c r="D927" s="15">
        <f>IF(Murid!E927="","",Murid!E927)</f>
        <v/>
      </c>
      <c r="E927" s="11" t="n"/>
      <c r="F927" s="11" t="n"/>
      <c r="G927" s="10">
        <f>IF(F927="","",IFERROR(VLOOKUP(F927,T_JUB,2,FALSE),0))</f>
        <v/>
      </c>
      <c r="H927" s="11" t="n"/>
      <c r="I927" s="17">
        <f>IF(H927="","",IF(H927&gt;=12,40,ROUND(H927*3.33,2)))</f>
        <v/>
      </c>
      <c r="J927" s="11" t="n"/>
      <c r="K927" s="11" t="n"/>
      <c r="L927" s="11" t="n"/>
      <c r="M927" s="11" t="n"/>
      <c r="N927" s="10">
        <f>IF(COUNTA(J927:M927)=0,"",MIN(10,SUMPRODUCT((COUNTIF(J927:M927,L_KOM)&gt;0)*S_KOM)))</f>
        <v/>
      </c>
      <c r="O927" s="11" t="n"/>
      <c r="P927" s="10">
        <f>IF(O927="","",IFERROR(VLOOKUP(O927,T_KHID,2,FALSE),0))</f>
        <v/>
      </c>
      <c r="Q927" s="11" t="n"/>
      <c r="R927" s="11" t="n"/>
      <c r="S927" s="10">
        <f>IF(AND(Q927="",R927=""),"",IFERROR(INDEX(T_LIBAT,MATCH(Q927,L_PER,0),MATCH(R927,L_JENIS,0)),0))</f>
        <v/>
      </c>
      <c r="T927" s="11" t="n"/>
      <c r="U927" s="11" t="n"/>
      <c r="V927" s="10">
        <f>IF(AND(T927="",U927=""),"",IFERROR(INDEX(T_CAPAI,MATCH(T927,L_PER,0),MATCH(U927,L_KED,0)),0))</f>
        <v/>
      </c>
      <c r="W927" s="17">
        <f>IF(OR(B927="",E927="",COUNTA(F927,H927,J927:M927,O927,Q927:R927,T927:U927)=0),"",SUM(G927,I927,N927,P927,S927,V927))</f>
        <v/>
      </c>
      <c r="X927" s="18">
        <f>IF(W927="","",IF(Murid!F927="TL","TL",ROUND(W927/110*100,2)))</f>
        <v/>
      </c>
    </row>
    <row r="928">
      <c r="A928" s="15">
        <f>Murid!A928</f>
        <v/>
      </c>
      <c r="B928" s="15">
        <f>IF(Murid!B928="","",Murid!B928)</f>
        <v/>
      </c>
      <c r="C928" s="16">
        <f>IF(Murid!C928="","",Murid!C928)</f>
        <v/>
      </c>
      <c r="D928" s="15">
        <f>IF(Murid!E928="","",Murid!E928)</f>
        <v/>
      </c>
      <c r="E928" s="11" t="n"/>
      <c r="F928" s="11" t="n"/>
      <c r="G928" s="10">
        <f>IF(F928="","",IFERROR(VLOOKUP(F928,T_JUB,2,FALSE),0))</f>
        <v/>
      </c>
      <c r="H928" s="11" t="n"/>
      <c r="I928" s="17">
        <f>IF(H928="","",IF(H928&gt;=12,40,ROUND(H928*3.33,2)))</f>
        <v/>
      </c>
      <c r="J928" s="11" t="n"/>
      <c r="K928" s="11" t="n"/>
      <c r="L928" s="11" t="n"/>
      <c r="M928" s="11" t="n"/>
      <c r="N928" s="10">
        <f>IF(COUNTA(J928:M928)=0,"",MIN(10,SUMPRODUCT((COUNTIF(J928:M928,L_KOM)&gt;0)*S_KOM)))</f>
        <v/>
      </c>
      <c r="O928" s="11" t="n"/>
      <c r="P928" s="10">
        <f>IF(O928="","",IFERROR(VLOOKUP(O928,T_KHID,2,FALSE),0))</f>
        <v/>
      </c>
      <c r="Q928" s="11" t="n"/>
      <c r="R928" s="11" t="n"/>
      <c r="S928" s="10">
        <f>IF(AND(Q928="",R928=""),"",IFERROR(INDEX(T_LIBAT,MATCH(Q928,L_PER,0),MATCH(R928,L_JENIS,0)),0))</f>
        <v/>
      </c>
      <c r="T928" s="11" t="n"/>
      <c r="U928" s="11" t="n"/>
      <c r="V928" s="10">
        <f>IF(AND(T928="",U928=""),"",IFERROR(INDEX(T_CAPAI,MATCH(T928,L_PER,0),MATCH(U928,L_KED,0)),0))</f>
        <v/>
      </c>
      <c r="W928" s="17">
        <f>IF(OR(B928="",E928="",COUNTA(F928,H928,J928:M928,O928,Q928:R928,T928:U928)=0),"",SUM(G928,I928,N928,P928,S928,V928))</f>
        <v/>
      </c>
      <c r="X928" s="18">
        <f>IF(W928="","",IF(Murid!F928="TL","TL",ROUND(W928/110*100,2)))</f>
        <v/>
      </c>
    </row>
    <row r="929">
      <c r="A929" s="15">
        <f>Murid!A929</f>
        <v/>
      </c>
      <c r="B929" s="15">
        <f>IF(Murid!B929="","",Murid!B929)</f>
        <v/>
      </c>
      <c r="C929" s="16">
        <f>IF(Murid!C929="","",Murid!C929)</f>
        <v/>
      </c>
      <c r="D929" s="15">
        <f>IF(Murid!E929="","",Murid!E929)</f>
        <v/>
      </c>
      <c r="E929" s="11" t="n"/>
      <c r="F929" s="11" t="n"/>
      <c r="G929" s="10">
        <f>IF(F929="","",IFERROR(VLOOKUP(F929,T_JUB,2,FALSE),0))</f>
        <v/>
      </c>
      <c r="H929" s="11" t="n"/>
      <c r="I929" s="17">
        <f>IF(H929="","",IF(H929&gt;=12,40,ROUND(H929*3.33,2)))</f>
        <v/>
      </c>
      <c r="J929" s="11" t="n"/>
      <c r="K929" s="11" t="n"/>
      <c r="L929" s="11" t="n"/>
      <c r="M929" s="11" t="n"/>
      <c r="N929" s="10">
        <f>IF(COUNTA(J929:M929)=0,"",MIN(10,SUMPRODUCT((COUNTIF(J929:M929,L_KOM)&gt;0)*S_KOM)))</f>
        <v/>
      </c>
      <c r="O929" s="11" t="n"/>
      <c r="P929" s="10">
        <f>IF(O929="","",IFERROR(VLOOKUP(O929,T_KHID,2,FALSE),0))</f>
        <v/>
      </c>
      <c r="Q929" s="11" t="n"/>
      <c r="R929" s="11" t="n"/>
      <c r="S929" s="10">
        <f>IF(AND(Q929="",R929=""),"",IFERROR(INDEX(T_LIBAT,MATCH(Q929,L_PER,0),MATCH(R929,L_JENIS,0)),0))</f>
        <v/>
      </c>
      <c r="T929" s="11" t="n"/>
      <c r="U929" s="11" t="n"/>
      <c r="V929" s="10">
        <f>IF(AND(T929="",U929=""),"",IFERROR(INDEX(T_CAPAI,MATCH(T929,L_PER,0),MATCH(U929,L_KED,0)),0))</f>
        <v/>
      </c>
      <c r="W929" s="17">
        <f>IF(OR(B929="",E929="",COUNTA(F929,H929,J929:M929,O929,Q929:R929,T929:U929)=0),"",SUM(G929,I929,N929,P929,S929,V929))</f>
        <v/>
      </c>
      <c r="X929" s="18">
        <f>IF(W929="","",IF(Murid!F929="TL","TL",ROUND(W929/110*100,2)))</f>
        <v/>
      </c>
    </row>
    <row r="930">
      <c r="A930" s="15">
        <f>Murid!A930</f>
        <v/>
      </c>
      <c r="B930" s="15">
        <f>IF(Murid!B930="","",Murid!B930)</f>
        <v/>
      </c>
      <c r="C930" s="16">
        <f>IF(Murid!C930="","",Murid!C930)</f>
        <v/>
      </c>
      <c r="D930" s="15">
        <f>IF(Murid!E930="","",Murid!E930)</f>
        <v/>
      </c>
      <c r="E930" s="11" t="n"/>
      <c r="F930" s="11" t="n"/>
      <c r="G930" s="10">
        <f>IF(F930="","",IFERROR(VLOOKUP(F930,T_JUB,2,FALSE),0))</f>
        <v/>
      </c>
      <c r="H930" s="11" t="n"/>
      <c r="I930" s="17">
        <f>IF(H930="","",IF(H930&gt;=12,40,ROUND(H930*3.33,2)))</f>
        <v/>
      </c>
      <c r="J930" s="11" t="n"/>
      <c r="K930" s="11" t="n"/>
      <c r="L930" s="11" t="n"/>
      <c r="M930" s="11" t="n"/>
      <c r="N930" s="10">
        <f>IF(COUNTA(J930:M930)=0,"",MIN(10,SUMPRODUCT((COUNTIF(J930:M930,L_KOM)&gt;0)*S_KOM)))</f>
        <v/>
      </c>
      <c r="O930" s="11" t="n"/>
      <c r="P930" s="10">
        <f>IF(O930="","",IFERROR(VLOOKUP(O930,T_KHID,2,FALSE),0))</f>
        <v/>
      </c>
      <c r="Q930" s="11" t="n"/>
      <c r="R930" s="11" t="n"/>
      <c r="S930" s="10">
        <f>IF(AND(Q930="",R930=""),"",IFERROR(INDEX(T_LIBAT,MATCH(Q930,L_PER,0),MATCH(R930,L_JENIS,0)),0))</f>
        <v/>
      </c>
      <c r="T930" s="11" t="n"/>
      <c r="U930" s="11" t="n"/>
      <c r="V930" s="10">
        <f>IF(AND(T930="",U930=""),"",IFERROR(INDEX(T_CAPAI,MATCH(T930,L_PER,0),MATCH(U930,L_KED,0)),0))</f>
        <v/>
      </c>
      <c r="W930" s="17">
        <f>IF(OR(B930="",E930="",COUNTA(F930,H930,J930:M930,O930,Q930:R930,T930:U930)=0),"",SUM(G930,I930,N930,P930,S930,V930))</f>
        <v/>
      </c>
      <c r="X930" s="18">
        <f>IF(W930="","",IF(Murid!F930="TL","TL",ROUND(W930/110*100,2)))</f>
        <v/>
      </c>
    </row>
    <row r="931">
      <c r="A931" s="15">
        <f>Murid!A931</f>
        <v/>
      </c>
      <c r="B931" s="15">
        <f>IF(Murid!B931="","",Murid!B931)</f>
        <v/>
      </c>
      <c r="C931" s="16">
        <f>IF(Murid!C931="","",Murid!C931)</f>
        <v/>
      </c>
      <c r="D931" s="15">
        <f>IF(Murid!E931="","",Murid!E931)</f>
        <v/>
      </c>
      <c r="E931" s="11" t="n"/>
      <c r="F931" s="11" t="n"/>
      <c r="G931" s="10">
        <f>IF(F931="","",IFERROR(VLOOKUP(F931,T_JUB,2,FALSE),0))</f>
        <v/>
      </c>
      <c r="H931" s="11" t="n"/>
      <c r="I931" s="17">
        <f>IF(H931="","",IF(H931&gt;=12,40,ROUND(H931*3.33,2)))</f>
        <v/>
      </c>
      <c r="J931" s="11" t="n"/>
      <c r="K931" s="11" t="n"/>
      <c r="L931" s="11" t="n"/>
      <c r="M931" s="11" t="n"/>
      <c r="N931" s="10">
        <f>IF(COUNTA(J931:M931)=0,"",MIN(10,SUMPRODUCT((COUNTIF(J931:M931,L_KOM)&gt;0)*S_KOM)))</f>
        <v/>
      </c>
      <c r="O931" s="11" t="n"/>
      <c r="P931" s="10">
        <f>IF(O931="","",IFERROR(VLOOKUP(O931,T_KHID,2,FALSE),0))</f>
        <v/>
      </c>
      <c r="Q931" s="11" t="n"/>
      <c r="R931" s="11" t="n"/>
      <c r="S931" s="10">
        <f>IF(AND(Q931="",R931=""),"",IFERROR(INDEX(T_LIBAT,MATCH(Q931,L_PER,0),MATCH(R931,L_JENIS,0)),0))</f>
        <v/>
      </c>
      <c r="T931" s="11" t="n"/>
      <c r="U931" s="11" t="n"/>
      <c r="V931" s="10">
        <f>IF(AND(T931="",U931=""),"",IFERROR(INDEX(T_CAPAI,MATCH(T931,L_PER,0),MATCH(U931,L_KED,0)),0))</f>
        <v/>
      </c>
      <c r="W931" s="17">
        <f>IF(OR(B931="",E931="",COUNTA(F931,H931,J931:M931,O931,Q931:R931,T931:U931)=0),"",SUM(G931,I931,N931,P931,S931,V931))</f>
        <v/>
      </c>
      <c r="X931" s="18">
        <f>IF(W931="","",IF(Murid!F931="TL","TL",ROUND(W931/110*100,2)))</f>
        <v/>
      </c>
    </row>
    <row r="932">
      <c r="A932" s="15">
        <f>Murid!A932</f>
        <v/>
      </c>
      <c r="B932" s="15">
        <f>IF(Murid!B932="","",Murid!B932)</f>
        <v/>
      </c>
      <c r="C932" s="16">
        <f>IF(Murid!C932="","",Murid!C932)</f>
        <v/>
      </c>
      <c r="D932" s="15">
        <f>IF(Murid!E932="","",Murid!E932)</f>
        <v/>
      </c>
      <c r="E932" s="11" t="n"/>
      <c r="F932" s="11" t="n"/>
      <c r="G932" s="10">
        <f>IF(F932="","",IFERROR(VLOOKUP(F932,T_JUB,2,FALSE),0))</f>
        <v/>
      </c>
      <c r="H932" s="11" t="n"/>
      <c r="I932" s="17">
        <f>IF(H932="","",IF(H932&gt;=12,40,ROUND(H932*3.33,2)))</f>
        <v/>
      </c>
      <c r="J932" s="11" t="n"/>
      <c r="K932" s="11" t="n"/>
      <c r="L932" s="11" t="n"/>
      <c r="M932" s="11" t="n"/>
      <c r="N932" s="10">
        <f>IF(COUNTA(J932:M932)=0,"",MIN(10,SUMPRODUCT((COUNTIF(J932:M932,L_KOM)&gt;0)*S_KOM)))</f>
        <v/>
      </c>
      <c r="O932" s="11" t="n"/>
      <c r="P932" s="10">
        <f>IF(O932="","",IFERROR(VLOOKUP(O932,T_KHID,2,FALSE),0))</f>
        <v/>
      </c>
      <c r="Q932" s="11" t="n"/>
      <c r="R932" s="11" t="n"/>
      <c r="S932" s="10">
        <f>IF(AND(Q932="",R932=""),"",IFERROR(INDEX(T_LIBAT,MATCH(Q932,L_PER,0),MATCH(R932,L_JENIS,0)),0))</f>
        <v/>
      </c>
      <c r="T932" s="11" t="n"/>
      <c r="U932" s="11" t="n"/>
      <c r="V932" s="10">
        <f>IF(AND(T932="",U932=""),"",IFERROR(INDEX(T_CAPAI,MATCH(T932,L_PER,0),MATCH(U932,L_KED,0)),0))</f>
        <v/>
      </c>
      <c r="W932" s="17">
        <f>IF(OR(B932="",E932="",COUNTA(F932,H932,J932:M932,O932,Q932:R932,T932:U932)=0),"",SUM(G932,I932,N932,P932,S932,V932))</f>
        <v/>
      </c>
      <c r="X932" s="18">
        <f>IF(W932="","",IF(Murid!F932="TL","TL",ROUND(W932/110*100,2)))</f>
        <v/>
      </c>
    </row>
    <row r="933">
      <c r="A933" s="15">
        <f>Murid!A933</f>
        <v/>
      </c>
      <c r="B933" s="15">
        <f>IF(Murid!B933="","",Murid!B933)</f>
        <v/>
      </c>
      <c r="C933" s="16">
        <f>IF(Murid!C933="","",Murid!C933)</f>
        <v/>
      </c>
      <c r="D933" s="15">
        <f>IF(Murid!E933="","",Murid!E933)</f>
        <v/>
      </c>
      <c r="E933" s="11" t="n"/>
      <c r="F933" s="11" t="n"/>
      <c r="G933" s="10">
        <f>IF(F933="","",IFERROR(VLOOKUP(F933,T_JUB,2,FALSE),0))</f>
        <v/>
      </c>
      <c r="H933" s="11" t="n"/>
      <c r="I933" s="17">
        <f>IF(H933="","",IF(H933&gt;=12,40,ROUND(H933*3.33,2)))</f>
        <v/>
      </c>
      <c r="J933" s="11" t="n"/>
      <c r="K933" s="11" t="n"/>
      <c r="L933" s="11" t="n"/>
      <c r="M933" s="11" t="n"/>
      <c r="N933" s="10">
        <f>IF(COUNTA(J933:M933)=0,"",MIN(10,SUMPRODUCT((COUNTIF(J933:M933,L_KOM)&gt;0)*S_KOM)))</f>
        <v/>
      </c>
      <c r="O933" s="11" t="n"/>
      <c r="P933" s="10">
        <f>IF(O933="","",IFERROR(VLOOKUP(O933,T_KHID,2,FALSE),0))</f>
        <v/>
      </c>
      <c r="Q933" s="11" t="n"/>
      <c r="R933" s="11" t="n"/>
      <c r="S933" s="10">
        <f>IF(AND(Q933="",R933=""),"",IFERROR(INDEX(T_LIBAT,MATCH(Q933,L_PER,0),MATCH(R933,L_JENIS,0)),0))</f>
        <v/>
      </c>
      <c r="T933" s="11" t="n"/>
      <c r="U933" s="11" t="n"/>
      <c r="V933" s="10">
        <f>IF(AND(T933="",U933=""),"",IFERROR(INDEX(T_CAPAI,MATCH(T933,L_PER,0),MATCH(U933,L_KED,0)),0))</f>
        <v/>
      </c>
      <c r="W933" s="17">
        <f>IF(OR(B933="",E933="",COUNTA(F933,H933,J933:M933,O933,Q933:R933,T933:U933)=0),"",SUM(G933,I933,N933,P933,S933,V933))</f>
        <v/>
      </c>
      <c r="X933" s="18">
        <f>IF(W933="","",IF(Murid!F933="TL","TL",ROUND(W933/110*100,2)))</f>
        <v/>
      </c>
    </row>
    <row r="934">
      <c r="A934" s="15">
        <f>Murid!A934</f>
        <v/>
      </c>
      <c r="B934" s="15">
        <f>IF(Murid!B934="","",Murid!B934)</f>
        <v/>
      </c>
      <c r="C934" s="16">
        <f>IF(Murid!C934="","",Murid!C934)</f>
        <v/>
      </c>
      <c r="D934" s="15">
        <f>IF(Murid!E934="","",Murid!E934)</f>
        <v/>
      </c>
      <c r="E934" s="11" t="n"/>
      <c r="F934" s="11" t="n"/>
      <c r="G934" s="10">
        <f>IF(F934="","",IFERROR(VLOOKUP(F934,T_JUB,2,FALSE),0))</f>
        <v/>
      </c>
      <c r="H934" s="11" t="n"/>
      <c r="I934" s="17">
        <f>IF(H934="","",IF(H934&gt;=12,40,ROUND(H934*3.33,2)))</f>
        <v/>
      </c>
      <c r="J934" s="11" t="n"/>
      <c r="K934" s="11" t="n"/>
      <c r="L934" s="11" t="n"/>
      <c r="M934" s="11" t="n"/>
      <c r="N934" s="10">
        <f>IF(COUNTA(J934:M934)=0,"",MIN(10,SUMPRODUCT((COUNTIF(J934:M934,L_KOM)&gt;0)*S_KOM)))</f>
        <v/>
      </c>
      <c r="O934" s="11" t="n"/>
      <c r="P934" s="10">
        <f>IF(O934="","",IFERROR(VLOOKUP(O934,T_KHID,2,FALSE),0))</f>
        <v/>
      </c>
      <c r="Q934" s="11" t="n"/>
      <c r="R934" s="11" t="n"/>
      <c r="S934" s="10">
        <f>IF(AND(Q934="",R934=""),"",IFERROR(INDEX(T_LIBAT,MATCH(Q934,L_PER,0),MATCH(R934,L_JENIS,0)),0))</f>
        <v/>
      </c>
      <c r="T934" s="11" t="n"/>
      <c r="U934" s="11" t="n"/>
      <c r="V934" s="10">
        <f>IF(AND(T934="",U934=""),"",IFERROR(INDEX(T_CAPAI,MATCH(T934,L_PER,0),MATCH(U934,L_KED,0)),0))</f>
        <v/>
      </c>
      <c r="W934" s="17">
        <f>IF(OR(B934="",E934="",COUNTA(F934,H934,J934:M934,O934,Q934:R934,T934:U934)=0),"",SUM(G934,I934,N934,P934,S934,V934))</f>
        <v/>
      </c>
      <c r="X934" s="18">
        <f>IF(W934="","",IF(Murid!F934="TL","TL",ROUND(W934/110*100,2)))</f>
        <v/>
      </c>
    </row>
    <row r="935">
      <c r="A935" s="15">
        <f>Murid!A935</f>
        <v/>
      </c>
      <c r="B935" s="15">
        <f>IF(Murid!B935="","",Murid!B935)</f>
        <v/>
      </c>
      <c r="C935" s="16">
        <f>IF(Murid!C935="","",Murid!C935)</f>
        <v/>
      </c>
      <c r="D935" s="15">
        <f>IF(Murid!E935="","",Murid!E935)</f>
        <v/>
      </c>
      <c r="E935" s="11" t="n"/>
      <c r="F935" s="11" t="n"/>
      <c r="G935" s="10">
        <f>IF(F935="","",IFERROR(VLOOKUP(F935,T_JUB,2,FALSE),0))</f>
        <v/>
      </c>
      <c r="H935" s="11" t="n"/>
      <c r="I935" s="17">
        <f>IF(H935="","",IF(H935&gt;=12,40,ROUND(H935*3.33,2)))</f>
        <v/>
      </c>
      <c r="J935" s="11" t="n"/>
      <c r="K935" s="11" t="n"/>
      <c r="L935" s="11" t="n"/>
      <c r="M935" s="11" t="n"/>
      <c r="N935" s="10">
        <f>IF(COUNTA(J935:M935)=0,"",MIN(10,SUMPRODUCT((COUNTIF(J935:M935,L_KOM)&gt;0)*S_KOM)))</f>
        <v/>
      </c>
      <c r="O935" s="11" t="n"/>
      <c r="P935" s="10">
        <f>IF(O935="","",IFERROR(VLOOKUP(O935,T_KHID,2,FALSE),0))</f>
        <v/>
      </c>
      <c r="Q935" s="11" t="n"/>
      <c r="R935" s="11" t="n"/>
      <c r="S935" s="10">
        <f>IF(AND(Q935="",R935=""),"",IFERROR(INDEX(T_LIBAT,MATCH(Q935,L_PER,0),MATCH(R935,L_JENIS,0)),0))</f>
        <v/>
      </c>
      <c r="T935" s="11" t="n"/>
      <c r="U935" s="11" t="n"/>
      <c r="V935" s="10">
        <f>IF(AND(T935="",U935=""),"",IFERROR(INDEX(T_CAPAI,MATCH(T935,L_PER,0),MATCH(U935,L_KED,0)),0))</f>
        <v/>
      </c>
      <c r="W935" s="17">
        <f>IF(OR(B935="",E935="",COUNTA(F935,H935,J935:M935,O935,Q935:R935,T935:U935)=0),"",SUM(G935,I935,N935,P935,S935,V935))</f>
        <v/>
      </c>
      <c r="X935" s="18">
        <f>IF(W935="","",IF(Murid!F935="TL","TL",ROUND(W935/110*100,2)))</f>
        <v/>
      </c>
    </row>
    <row r="936">
      <c r="A936" s="15">
        <f>Murid!A936</f>
        <v/>
      </c>
      <c r="B936" s="15">
        <f>IF(Murid!B936="","",Murid!B936)</f>
        <v/>
      </c>
      <c r="C936" s="16">
        <f>IF(Murid!C936="","",Murid!C936)</f>
        <v/>
      </c>
      <c r="D936" s="15">
        <f>IF(Murid!E936="","",Murid!E936)</f>
        <v/>
      </c>
      <c r="E936" s="11" t="n"/>
      <c r="F936" s="11" t="n"/>
      <c r="G936" s="10">
        <f>IF(F936="","",IFERROR(VLOOKUP(F936,T_JUB,2,FALSE),0))</f>
        <v/>
      </c>
      <c r="H936" s="11" t="n"/>
      <c r="I936" s="17">
        <f>IF(H936="","",IF(H936&gt;=12,40,ROUND(H936*3.33,2)))</f>
        <v/>
      </c>
      <c r="J936" s="11" t="n"/>
      <c r="K936" s="11" t="n"/>
      <c r="L936" s="11" t="n"/>
      <c r="M936" s="11" t="n"/>
      <c r="N936" s="10">
        <f>IF(COUNTA(J936:M936)=0,"",MIN(10,SUMPRODUCT((COUNTIF(J936:M936,L_KOM)&gt;0)*S_KOM)))</f>
        <v/>
      </c>
      <c r="O936" s="11" t="n"/>
      <c r="P936" s="10">
        <f>IF(O936="","",IFERROR(VLOOKUP(O936,T_KHID,2,FALSE),0))</f>
        <v/>
      </c>
      <c r="Q936" s="11" t="n"/>
      <c r="R936" s="11" t="n"/>
      <c r="S936" s="10">
        <f>IF(AND(Q936="",R936=""),"",IFERROR(INDEX(T_LIBAT,MATCH(Q936,L_PER,0),MATCH(R936,L_JENIS,0)),0))</f>
        <v/>
      </c>
      <c r="T936" s="11" t="n"/>
      <c r="U936" s="11" t="n"/>
      <c r="V936" s="10">
        <f>IF(AND(T936="",U936=""),"",IFERROR(INDEX(T_CAPAI,MATCH(T936,L_PER,0),MATCH(U936,L_KED,0)),0))</f>
        <v/>
      </c>
      <c r="W936" s="17">
        <f>IF(OR(B936="",E936="",COUNTA(F936,H936,J936:M936,O936,Q936:R936,T936:U936)=0),"",SUM(G936,I936,N936,P936,S936,V936))</f>
        <v/>
      </c>
      <c r="X936" s="18">
        <f>IF(W936="","",IF(Murid!F936="TL","TL",ROUND(W936/110*100,2)))</f>
        <v/>
      </c>
    </row>
    <row r="937">
      <c r="A937" s="15">
        <f>Murid!A937</f>
        <v/>
      </c>
      <c r="B937" s="15">
        <f>IF(Murid!B937="","",Murid!B937)</f>
        <v/>
      </c>
      <c r="C937" s="16">
        <f>IF(Murid!C937="","",Murid!C937)</f>
        <v/>
      </c>
      <c r="D937" s="15">
        <f>IF(Murid!E937="","",Murid!E937)</f>
        <v/>
      </c>
      <c r="E937" s="11" t="n"/>
      <c r="F937" s="11" t="n"/>
      <c r="G937" s="10">
        <f>IF(F937="","",IFERROR(VLOOKUP(F937,T_JUB,2,FALSE),0))</f>
        <v/>
      </c>
      <c r="H937" s="11" t="n"/>
      <c r="I937" s="17">
        <f>IF(H937="","",IF(H937&gt;=12,40,ROUND(H937*3.33,2)))</f>
        <v/>
      </c>
      <c r="J937" s="11" t="n"/>
      <c r="K937" s="11" t="n"/>
      <c r="L937" s="11" t="n"/>
      <c r="M937" s="11" t="n"/>
      <c r="N937" s="10">
        <f>IF(COUNTA(J937:M937)=0,"",MIN(10,SUMPRODUCT((COUNTIF(J937:M937,L_KOM)&gt;0)*S_KOM)))</f>
        <v/>
      </c>
      <c r="O937" s="11" t="n"/>
      <c r="P937" s="10">
        <f>IF(O937="","",IFERROR(VLOOKUP(O937,T_KHID,2,FALSE),0))</f>
        <v/>
      </c>
      <c r="Q937" s="11" t="n"/>
      <c r="R937" s="11" t="n"/>
      <c r="S937" s="10">
        <f>IF(AND(Q937="",R937=""),"",IFERROR(INDEX(T_LIBAT,MATCH(Q937,L_PER,0),MATCH(R937,L_JENIS,0)),0))</f>
        <v/>
      </c>
      <c r="T937" s="11" t="n"/>
      <c r="U937" s="11" t="n"/>
      <c r="V937" s="10">
        <f>IF(AND(T937="",U937=""),"",IFERROR(INDEX(T_CAPAI,MATCH(T937,L_PER,0),MATCH(U937,L_KED,0)),0))</f>
        <v/>
      </c>
      <c r="W937" s="17">
        <f>IF(OR(B937="",E937="",COUNTA(F937,H937,J937:M937,O937,Q937:R937,T937:U937)=0),"",SUM(G937,I937,N937,P937,S937,V937))</f>
        <v/>
      </c>
      <c r="X937" s="18">
        <f>IF(W937="","",IF(Murid!F937="TL","TL",ROUND(W937/110*100,2)))</f>
        <v/>
      </c>
    </row>
    <row r="938">
      <c r="A938" s="15">
        <f>Murid!A938</f>
        <v/>
      </c>
      <c r="B938" s="15">
        <f>IF(Murid!B938="","",Murid!B938)</f>
        <v/>
      </c>
      <c r="C938" s="16">
        <f>IF(Murid!C938="","",Murid!C938)</f>
        <v/>
      </c>
      <c r="D938" s="15">
        <f>IF(Murid!E938="","",Murid!E938)</f>
        <v/>
      </c>
      <c r="E938" s="11" t="n"/>
      <c r="F938" s="11" t="n"/>
      <c r="G938" s="10">
        <f>IF(F938="","",IFERROR(VLOOKUP(F938,T_JUB,2,FALSE),0))</f>
        <v/>
      </c>
      <c r="H938" s="11" t="n"/>
      <c r="I938" s="17">
        <f>IF(H938="","",IF(H938&gt;=12,40,ROUND(H938*3.33,2)))</f>
        <v/>
      </c>
      <c r="J938" s="11" t="n"/>
      <c r="K938" s="11" t="n"/>
      <c r="L938" s="11" t="n"/>
      <c r="M938" s="11" t="n"/>
      <c r="N938" s="10">
        <f>IF(COUNTA(J938:M938)=0,"",MIN(10,SUMPRODUCT((COUNTIF(J938:M938,L_KOM)&gt;0)*S_KOM)))</f>
        <v/>
      </c>
      <c r="O938" s="11" t="n"/>
      <c r="P938" s="10">
        <f>IF(O938="","",IFERROR(VLOOKUP(O938,T_KHID,2,FALSE),0))</f>
        <v/>
      </c>
      <c r="Q938" s="11" t="n"/>
      <c r="R938" s="11" t="n"/>
      <c r="S938" s="10">
        <f>IF(AND(Q938="",R938=""),"",IFERROR(INDEX(T_LIBAT,MATCH(Q938,L_PER,0),MATCH(R938,L_JENIS,0)),0))</f>
        <v/>
      </c>
      <c r="T938" s="11" t="n"/>
      <c r="U938" s="11" t="n"/>
      <c r="V938" s="10">
        <f>IF(AND(T938="",U938=""),"",IFERROR(INDEX(T_CAPAI,MATCH(T938,L_PER,0),MATCH(U938,L_KED,0)),0))</f>
        <v/>
      </c>
      <c r="W938" s="17">
        <f>IF(OR(B938="",E938="",COUNTA(F938,H938,J938:M938,O938,Q938:R938,T938:U938)=0),"",SUM(G938,I938,N938,P938,S938,V938))</f>
        <v/>
      </c>
      <c r="X938" s="18">
        <f>IF(W938="","",IF(Murid!F938="TL","TL",ROUND(W938/110*100,2)))</f>
        <v/>
      </c>
    </row>
    <row r="939">
      <c r="A939" s="15">
        <f>Murid!A939</f>
        <v/>
      </c>
      <c r="B939" s="15">
        <f>IF(Murid!B939="","",Murid!B939)</f>
        <v/>
      </c>
      <c r="C939" s="16">
        <f>IF(Murid!C939="","",Murid!C939)</f>
        <v/>
      </c>
      <c r="D939" s="15">
        <f>IF(Murid!E939="","",Murid!E939)</f>
        <v/>
      </c>
      <c r="E939" s="11" t="n"/>
      <c r="F939" s="11" t="n"/>
      <c r="G939" s="10">
        <f>IF(F939="","",IFERROR(VLOOKUP(F939,T_JUB,2,FALSE),0))</f>
        <v/>
      </c>
      <c r="H939" s="11" t="n"/>
      <c r="I939" s="17">
        <f>IF(H939="","",IF(H939&gt;=12,40,ROUND(H939*3.33,2)))</f>
        <v/>
      </c>
      <c r="J939" s="11" t="n"/>
      <c r="K939" s="11" t="n"/>
      <c r="L939" s="11" t="n"/>
      <c r="M939" s="11" t="n"/>
      <c r="N939" s="10">
        <f>IF(COUNTA(J939:M939)=0,"",MIN(10,SUMPRODUCT((COUNTIF(J939:M939,L_KOM)&gt;0)*S_KOM)))</f>
        <v/>
      </c>
      <c r="O939" s="11" t="n"/>
      <c r="P939" s="10">
        <f>IF(O939="","",IFERROR(VLOOKUP(O939,T_KHID,2,FALSE),0))</f>
        <v/>
      </c>
      <c r="Q939" s="11" t="n"/>
      <c r="R939" s="11" t="n"/>
      <c r="S939" s="10">
        <f>IF(AND(Q939="",R939=""),"",IFERROR(INDEX(T_LIBAT,MATCH(Q939,L_PER,0),MATCH(R939,L_JENIS,0)),0))</f>
        <v/>
      </c>
      <c r="T939" s="11" t="n"/>
      <c r="U939" s="11" t="n"/>
      <c r="V939" s="10">
        <f>IF(AND(T939="",U939=""),"",IFERROR(INDEX(T_CAPAI,MATCH(T939,L_PER,0),MATCH(U939,L_KED,0)),0))</f>
        <v/>
      </c>
      <c r="W939" s="17">
        <f>IF(OR(B939="",E939="",COUNTA(F939,H939,J939:M939,O939,Q939:R939,T939:U939)=0),"",SUM(G939,I939,N939,P939,S939,V939))</f>
        <v/>
      </c>
      <c r="X939" s="18">
        <f>IF(W939="","",IF(Murid!F939="TL","TL",ROUND(W939/110*100,2)))</f>
        <v/>
      </c>
    </row>
    <row r="940">
      <c r="A940" s="15">
        <f>Murid!A940</f>
        <v/>
      </c>
      <c r="B940" s="15">
        <f>IF(Murid!B940="","",Murid!B940)</f>
        <v/>
      </c>
      <c r="C940" s="16">
        <f>IF(Murid!C940="","",Murid!C940)</f>
        <v/>
      </c>
      <c r="D940" s="15">
        <f>IF(Murid!E940="","",Murid!E940)</f>
        <v/>
      </c>
      <c r="E940" s="11" t="n"/>
      <c r="F940" s="11" t="n"/>
      <c r="G940" s="10">
        <f>IF(F940="","",IFERROR(VLOOKUP(F940,T_JUB,2,FALSE),0))</f>
        <v/>
      </c>
      <c r="H940" s="11" t="n"/>
      <c r="I940" s="17">
        <f>IF(H940="","",IF(H940&gt;=12,40,ROUND(H940*3.33,2)))</f>
        <v/>
      </c>
      <c r="J940" s="11" t="n"/>
      <c r="K940" s="11" t="n"/>
      <c r="L940" s="11" t="n"/>
      <c r="M940" s="11" t="n"/>
      <c r="N940" s="10">
        <f>IF(COUNTA(J940:M940)=0,"",MIN(10,SUMPRODUCT((COUNTIF(J940:M940,L_KOM)&gt;0)*S_KOM)))</f>
        <v/>
      </c>
      <c r="O940" s="11" t="n"/>
      <c r="P940" s="10">
        <f>IF(O940="","",IFERROR(VLOOKUP(O940,T_KHID,2,FALSE),0))</f>
        <v/>
      </c>
      <c r="Q940" s="11" t="n"/>
      <c r="R940" s="11" t="n"/>
      <c r="S940" s="10">
        <f>IF(AND(Q940="",R940=""),"",IFERROR(INDEX(T_LIBAT,MATCH(Q940,L_PER,0),MATCH(R940,L_JENIS,0)),0))</f>
        <v/>
      </c>
      <c r="T940" s="11" t="n"/>
      <c r="U940" s="11" t="n"/>
      <c r="V940" s="10">
        <f>IF(AND(T940="",U940=""),"",IFERROR(INDEX(T_CAPAI,MATCH(T940,L_PER,0),MATCH(U940,L_KED,0)),0))</f>
        <v/>
      </c>
      <c r="W940" s="17">
        <f>IF(OR(B940="",E940="",COUNTA(F940,H940,J940:M940,O940,Q940:R940,T940:U940)=0),"",SUM(G940,I940,N940,P940,S940,V940))</f>
        <v/>
      </c>
      <c r="X940" s="18">
        <f>IF(W940="","",IF(Murid!F940="TL","TL",ROUND(W940/110*100,2)))</f>
        <v/>
      </c>
    </row>
    <row r="941">
      <c r="A941" s="15">
        <f>Murid!A941</f>
        <v/>
      </c>
      <c r="B941" s="15">
        <f>IF(Murid!B941="","",Murid!B941)</f>
        <v/>
      </c>
      <c r="C941" s="16">
        <f>IF(Murid!C941="","",Murid!C941)</f>
        <v/>
      </c>
      <c r="D941" s="15">
        <f>IF(Murid!E941="","",Murid!E941)</f>
        <v/>
      </c>
      <c r="E941" s="11" t="n"/>
      <c r="F941" s="11" t="n"/>
      <c r="G941" s="10">
        <f>IF(F941="","",IFERROR(VLOOKUP(F941,T_JUB,2,FALSE),0))</f>
        <v/>
      </c>
      <c r="H941" s="11" t="n"/>
      <c r="I941" s="17">
        <f>IF(H941="","",IF(H941&gt;=12,40,ROUND(H941*3.33,2)))</f>
        <v/>
      </c>
      <c r="J941" s="11" t="n"/>
      <c r="K941" s="11" t="n"/>
      <c r="L941" s="11" t="n"/>
      <c r="M941" s="11" t="n"/>
      <c r="N941" s="10">
        <f>IF(COUNTA(J941:M941)=0,"",MIN(10,SUMPRODUCT((COUNTIF(J941:M941,L_KOM)&gt;0)*S_KOM)))</f>
        <v/>
      </c>
      <c r="O941" s="11" t="n"/>
      <c r="P941" s="10">
        <f>IF(O941="","",IFERROR(VLOOKUP(O941,T_KHID,2,FALSE),0))</f>
        <v/>
      </c>
      <c r="Q941" s="11" t="n"/>
      <c r="R941" s="11" t="n"/>
      <c r="S941" s="10">
        <f>IF(AND(Q941="",R941=""),"",IFERROR(INDEX(T_LIBAT,MATCH(Q941,L_PER,0),MATCH(R941,L_JENIS,0)),0))</f>
        <v/>
      </c>
      <c r="T941" s="11" t="n"/>
      <c r="U941" s="11" t="n"/>
      <c r="V941" s="10">
        <f>IF(AND(T941="",U941=""),"",IFERROR(INDEX(T_CAPAI,MATCH(T941,L_PER,0),MATCH(U941,L_KED,0)),0))</f>
        <v/>
      </c>
      <c r="W941" s="17">
        <f>IF(OR(B941="",E941="",COUNTA(F941,H941,J941:M941,O941,Q941:R941,T941:U941)=0),"",SUM(G941,I941,N941,P941,S941,V941))</f>
        <v/>
      </c>
      <c r="X941" s="18">
        <f>IF(W941="","",IF(Murid!F941="TL","TL",ROUND(W941/110*100,2)))</f>
        <v/>
      </c>
    </row>
    <row r="942">
      <c r="A942" s="15">
        <f>Murid!A942</f>
        <v/>
      </c>
      <c r="B942" s="15">
        <f>IF(Murid!B942="","",Murid!B942)</f>
        <v/>
      </c>
      <c r="C942" s="16">
        <f>IF(Murid!C942="","",Murid!C942)</f>
        <v/>
      </c>
      <c r="D942" s="15">
        <f>IF(Murid!E942="","",Murid!E942)</f>
        <v/>
      </c>
      <c r="E942" s="11" t="n"/>
      <c r="F942" s="11" t="n"/>
      <c r="G942" s="10">
        <f>IF(F942="","",IFERROR(VLOOKUP(F942,T_JUB,2,FALSE),0))</f>
        <v/>
      </c>
      <c r="H942" s="11" t="n"/>
      <c r="I942" s="17">
        <f>IF(H942="","",IF(H942&gt;=12,40,ROUND(H942*3.33,2)))</f>
        <v/>
      </c>
      <c r="J942" s="11" t="n"/>
      <c r="K942" s="11" t="n"/>
      <c r="L942" s="11" t="n"/>
      <c r="M942" s="11" t="n"/>
      <c r="N942" s="10">
        <f>IF(COUNTA(J942:M942)=0,"",MIN(10,SUMPRODUCT((COUNTIF(J942:M942,L_KOM)&gt;0)*S_KOM)))</f>
        <v/>
      </c>
      <c r="O942" s="11" t="n"/>
      <c r="P942" s="10">
        <f>IF(O942="","",IFERROR(VLOOKUP(O942,T_KHID,2,FALSE),0))</f>
        <v/>
      </c>
      <c r="Q942" s="11" t="n"/>
      <c r="R942" s="11" t="n"/>
      <c r="S942" s="10">
        <f>IF(AND(Q942="",R942=""),"",IFERROR(INDEX(T_LIBAT,MATCH(Q942,L_PER,0),MATCH(R942,L_JENIS,0)),0))</f>
        <v/>
      </c>
      <c r="T942" s="11" t="n"/>
      <c r="U942" s="11" t="n"/>
      <c r="V942" s="10">
        <f>IF(AND(T942="",U942=""),"",IFERROR(INDEX(T_CAPAI,MATCH(T942,L_PER,0),MATCH(U942,L_KED,0)),0))</f>
        <v/>
      </c>
      <c r="W942" s="17">
        <f>IF(OR(B942="",E942="",COUNTA(F942,H942,J942:M942,O942,Q942:R942,T942:U942)=0),"",SUM(G942,I942,N942,P942,S942,V942))</f>
        <v/>
      </c>
      <c r="X942" s="18">
        <f>IF(W942="","",IF(Murid!F942="TL","TL",ROUND(W942/110*100,2)))</f>
        <v/>
      </c>
    </row>
    <row r="943">
      <c r="A943" s="15">
        <f>Murid!A943</f>
        <v/>
      </c>
      <c r="B943" s="15">
        <f>IF(Murid!B943="","",Murid!B943)</f>
        <v/>
      </c>
      <c r="C943" s="16">
        <f>IF(Murid!C943="","",Murid!C943)</f>
        <v/>
      </c>
      <c r="D943" s="15">
        <f>IF(Murid!E943="","",Murid!E943)</f>
        <v/>
      </c>
      <c r="E943" s="11" t="n"/>
      <c r="F943" s="11" t="n"/>
      <c r="G943" s="10">
        <f>IF(F943="","",IFERROR(VLOOKUP(F943,T_JUB,2,FALSE),0))</f>
        <v/>
      </c>
      <c r="H943" s="11" t="n"/>
      <c r="I943" s="17">
        <f>IF(H943="","",IF(H943&gt;=12,40,ROUND(H943*3.33,2)))</f>
        <v/>
      </c>
      <c r="J943" s="11" t="n"/>
      <c r="K943" s="11" t="n"/>
      <c r="L943" s="11" t="n"/>
      <c r="M943" s="11" t="n"/>
      <c r="N943" s="10">
        <f>IF(COUNTA(J943:M943)=0,"",MIN(10,SUMPRODUCT((COUNTIF(J943:M943,L_KOM)&gt;0)*S_KOM)))</f>
        <v/>
      </c>
      <c r="O943" s="11" t="n"/>
      <c r="P943" s="10">
        <f>IF(O943="","",IFERROR(VLOOKUP(O943,T_KHID,2,FALSE),0))</f>
        <v/>
      </c>
      <c r="Q943" s="11" t="n"/>
      <c r="R943" s="11" t="n"/>
      <c r="S943" s="10">
        <f>IF(AND(Q943="",R943=""),"",IFERROR(INDEX(T_LIBAT,MATCH(Q943,L_PER,0),MATCH(R943,L_JENIS,0)),0))</f>
        <v/>
      </c>
      <c r="T943" s="11" t="n"/>
      <c r="U943" s="11" t="n"/>
      <c r="V943" s="10">
        <f>IF(AND(T943="",U943=""),"",IFERROR(INDEX(T_CAPAI,MATCH(T943,L_PER,0),MATCH(U943,L_KED,0)),0))</f>
        <v/>
      </c>
      <c r="W943" s="17">
        <f>IF(OR(B943="",E943="",COUNTA(F943,H943,J943:M943,O943,Q943:R943,T943:U943)=0),"",SUM(G943,I943,N943,P943,S943,V943))</f>
        <v/>
      </c>
      <c r="X943" s="18">
        <f>IF(W943="","",IF(Murid!F943="TL","TL",ROUND(W943/110*100,2)))</f>
        <v/>
      </c>
    </row>
    <row r="944">
      <c r="A944" s="15">
        <f>Murid!A944</f>
        <v/>
      </c>
      <c r="B944" s="15">
        <f>IF(Murid!B944="","",Murid!B944)</f>
        <v/>
      </c>
      <c r="C944" s="16">
        <f>IF(Murid!C944="","",Murid!C944)</f>
        <v/>
      </c>
      <c r="D944" s="15">
        <f>IF(Murid!E944="","",Murid!E944)</f>
        <v/>
      </c>
      <c r="E944" s="11" t="n"/>
      <c r="F944" s="11" t="n"/>
      <c r="G944" s="10">
        <f>IF(F944="","",IFERROR(VLOOKUP(F944,T_JUB,2,FALSE),0))</f>
        <v/>
      </c>
      <c r="H944" s="11" t="n"/>
      <c r="I944" s="17">
        <f>IF(H944="","",IF(H944&gt;=12,40,ROUND(H944*3.33,2)))</f>
        <v/>
      </c>
      <c r="J944" s="11" t="n"/>
      <c r="K944" s="11" t="n"/>
      <c r="L944" s="11" t="n"/>
      <c r="M944" s="11" t="n"/>
      <c r="N944" s="10">
        <f>IF(COUNTA(J944:M944)=0,"",MIN(10,SUMPRODUCT((COUNTIF(J944:M944,L_KOM)&gt;0)*S_KOM)))</f>
        <v/>
      </c>
      <c r="O944" s="11" t="n"/>
      <c r="P944" s="10">
        <f>IF(O944="","",IFERROR(VLOOKUP(O944,T_KHID,2,FALSE),0))</f>
        <v/>
      </c>
      <c r="Q944" s="11" t="n"/>
      <c r="R944" s="11" t="n"/>
      <c r="S944" s="10">
        <f>IF(AND(Q944="",R944=""),"",IFERROR(INDEX(T_LIBAT,MATCH(Q944,L_PER,0),MATCH(R944,L_JENIS,0)),0))</f>
        <v/>
      </c>
      <c r="T944" s="11" t="n"/>
      <c r="U944" s="11" t="n"/>
      <c r="V944" s="10">
        <f>IF(AND(T944="",U944=""),"",IFERROR(INDEX(T_CAPAI,MATCH(T944,L_PER,0),MATCH(U944,L_KED,0)),0))</f>
        <v/>
      </c>
      <c r="W944" s="17">
        <f>IF(OR(B944="",E944="",COUNTA(F944,H944,J944:M944,O944,Q944:R944,T944:U944)=0),"",SUM(G944,I944,N944,P944,S944,V944))</f>
        <v/>
      </c>
      <c r="X944" s="18">
        <f>IF(W944="","",IF(Murid!F944="TL","TL",ROUND(W944/110*100,2)))</f>
        <v/>
      </c>
    </row>
    <row r="945">
      <c r="A945" s="15">
        <f>Murid!A945</f>
        <v/>
      </c>
      <c r="B945" s="15">
        <f>IF(Murid!B945="","",Murid!B945)</f>
        <v/>
      </c>
      <c r="C945" s="16">
        <f>IF(Murid!C945="","",Murid!C945)</f>
        <v/>
      </c>
      <c r="D945" s="15">
        <f>IF(Murid!E945="","",Murid!E945)</f>
        <v/>
      </c>
      <c r="E945" s="11" t="n"/>
      <c r="F945" s="11" t="n"/>
      <c r="G945" s="10">
        <f>IF(F945="","",IFERROR(VLOOKUP(F945,T_JUB,2,FALSE),0))</f>
        <v/>
      </c>
      <c r="H945" s="11" t="n"/>
      <c r="I945" s="17">
        <f>IF(H945="","",IF(H945&gt;=12,40,ROUND(H945*3.33,2)))</f>
        <v/>
      </c>
      <c r="J945" s="11" t="n"/>
      <c r="K945" s="11" t="n"/>
      <c r="L945" s="11" t="n"/>
      <c r="M945" s="11" t="n"/>
      <c r="N945" s="10">
        <f>IF(COUNTA(J945:M945)=0,"",MIN(10,SUMPRODUCT((COUNTIF(J945:M945,L_KOM)&gt;0)*S_KOM)))</f>
        <v/>
      </c>
      <c r="O945" s="11" t="n"/>
      <c r="P945" s="10">
        <f>IF(O945="","",IFERROR(VLOOKUP(O945,T_KHID,2,FALSE),0))</f>
        <v/>
      </c>
      <c r="Q945" s="11" t="n"/>
      <c r="R945" s="11" t="n"/>
      <c r="S945" s="10">
        <f>IF(AND(Q945="",R945=""),"",IFERROR(INDEX(T_LIBAT,MATCH(Q945,L_PER,0),MATCH(R945,L_JENIS,0)),0))</f>
        <v/>
      </c>
      <c r="T945" s="11" t="n"/>
      <c r="U945" s="11" t="n"/>
      <c r="V945" s="10">
        <f>IF(AND(T945="",U945=""),"",IFERROR(INDEX(T_CAPAI,MATCH(T945,L_PER,0),MATCH(U945,L_KED,0)),0))</f>
        <v/>
      </c>
      <c r="W945" s="17">
        <f>IF(OR(B945="",E945="",COUNTA(F945,H945,J945:M945,O945,Q945:R945,T945:U945)=0),"",SUM(G945,I945,N945,P945,S945,V945))</f>
        <v/>
      </c>
      <c r="X945" s="18">
        <f>IF(W945="","",IF(Murid!F945="TL","TL",ROUND(W945/110*100,2)))</f>
        <v/>
      </c>
    </row>
    <row r="946">
      <c r="A946" s="15">
        <f>Murid!A946</f>
        <v/>
      </c>
      <c r="B946" s="15">
        <f>IF(Murid!B946="","",Murid!B946)</f>
        <v/>
      </c>
      <c r="C946" s="16">
        <f>IF(Murid!C946="","",Murid!C946)</f>
        <v/>
      </c>
      <c r="D946" s="15">
        <f>IF(Murid!E946="","",Murid!E946)</f>
        <v/>
      </c>
      <c r="E946" s="11" t="n"/>
      <c r="F946" s="11" t="n"/>
      <c r="G946" s="10">
        <f>IF(F946="","",IFERROR(VLOOKUP(F946,T_JUB,2,FALSE),0))</f>
        <v/>
      </c>
      <c r="H946" s="11" t="n"/>
      <c r="I946" s="17">
        <f>IF(H946="","",IF(H946&gt;=12,40,ROUND(H946*3.33,2)))</f>
        <v/>
      </c>
      <c r="J946" s="11" t="n"/>
      <c r="K946" s="11" t="n"/>
      <c r="L946" s="11" t="n"/>
      <c r="M946" s="11" t="n"/>
      <c r="N946" s="10">
        <f>IF(COUNTA(J946:M946)=0,"",MIN(10,SUMPRODUCT((COUNTIF(J946:M946,L_KOM)&gt;0)*S_KOM)))</f>
        <v/>
      </c>
      <c r="O946" s="11" t="n"/>
      <c r="P946" s="10">
        <f>IF(O946="","",IFERROR(VLOOKUP(O946,T_KHID,2,FALSE),0))</f>
        <v/>
      </c>
      <c r="Q946" s="11" t="n"/>
      <c r="R946" s="11" t="n"/>
      <c r="S946" s="10">
        <f>IF(AND(Q946="",R946=""),"",IFERROR(INDEX(T_LIBAT,MATCH(Q946,L_PER,0),MATCH(R946,L_JENIS,0)),0))</f>
        <v/>
      </c>
      <c r="T946" s="11" t="n"/>
      <c r="U946" s="11" t="n"/>
      <c r="V946" s="10">
        <f>IF(AND(T946="",U946=""),"",IFERROR(INDEX(T_CAPAI,MATCH(T946,L_PER,0),MATCH(U946,L_KED,0)),0))</f>
        <v/>
      </c>
      <c r="W946" s="17">
        <f>IF(OR(B946="",E946="",COUNTA(F946,H946,J946:M946,O946,Q946:R946,T946:U946)=0),"",SUM(G946,I946,N946,P946,S946,V946))</f>
        <v/>
      </c>
      <c r="X946" s="18">
        <f>IF(W946="","",IF(Murid!F946="TL","TL",ROUND(W946/110*100,2)))</f>
        <v/>
      </c>
    </row>
    <row r="947">
      <c r="A947" s="15">
        <f>Murid!A947</f>
        <v/>
      </c>
      <c r="B947" s="15">
        <f>IF(Murid!B947="","",Murid!B947)</f>
        <v/>
      </c>
      <c r="C947" s="16">
        <f>IF(Murid!C947="","",Murid!C947)</f>
        <v/>
      </c>
      <c r="D947" s="15">
        <f>IF(Murid!E947="","",Murid!E947)</f>
        <v/>
      </c>
      <c r="E947" s="11" t="n"/>
      <c r="F947" s="11" t="n"/>
      <c r="G947" s="10">
        <f>IF(F947="","",IFERROR(VLOOKUP(F947,T_JUB,2,FALSE),0))</f>
        <v/>
      </c>
      <c r="H947" s="11" t="n"/>
      <c r="I947" s="17">
        <f>IF(H947="","",IF(H947&gt;=12,40,ROUND(H947*3.33,2)))</f>
        <v/>
      </c>
      <c r="J947" s="11" t="n"/>
      <c r="K947" s="11" t="n"/>
      <c r="L947" s="11" t="n"/>
      <c r="M947" s="11" t="n"/>
      <c r="N947" s="10">
        <f>IF(COUNTA(J947:M947)=0,"",MIN(10,SUMPRODUCT((COUNTIF(J947:M947,L_KOM)&gt;0)*S_KOM)))</f>
        <v/>
      </c>
      <c r="O947" s="11" t="n"/>
      <c r="P947" s="10">
        <f>IF(O947="","",IFERROR(VLOOKUP(O947,T_KHID,2,FALSE),0))</f>
        <v/>
      </c>
      <c r="Q947" s="11" t="n"/>
      <c r="R947" s="11" t="n"/>
      <c r="S947" s="10">
        <f>IF(AND(Q947="",R947=""),"",IFERROR(INDEX(T_LIBAT,MATCH(Q947,L_PER,0),MATCH(R947,L_JENIS,0)),0))</f>
        <v/>
      </c>
      <c r="T947" s="11" t="n"/>
      <c r="U947" s="11" t="n"/>
      <c r="V947" s="10">
        <f>IF(AND(T947="",U947=""),"",IFERROR(INDEX(T_CAPAI,MATCH(T947,L_PER,0),MATCH(U947,L_KED,0)),0))</f>
        <v/>
      </c>
      <c r="W947" s="17">
        <f>IF(OR(B947="",E947="",COUNTA(F947,H947,J947:M947,O947,Q947:R947,T947:U947)=0),"",SUM(G947,I947,N947,P947,S947,V947))</f>
        <v/>
      </c>
      <c r="X947" s="18">
        <f>IF(W947="","",IF(Murid!F947="TL","TL",ROUND(W947/110*100,2)))</f>
        <v/>
      </c>
    </row>
    <row r="948">
      <c r="A948" s="15">
        <f>Murid!A948</f>
        <v/>
      </c>
      <c r="B948" s="15">
        <f>IF(Murid!B948="","",Murid!B948)</f>
        <v/>
      </c>
      <c r="C948" s="16">
        <f>IF(Murid!C948="","",Murid!C948)</f>
        <v/>
      </c>
      <c r="D948" s="15">
        <f>IF(Murid!E948="","",Murid!E948)</f>
        <v/>
      </c>
      <c r="E948" s="11" t="n"/>
      <c r="F948" s="11" t="n"/>
      <c r="G948" s="10">
        <f>IF(F948="","",IFERROR(VLOOKUP(F948,T_JUB,2,FALSE),0))</f>
        <v/>
      </c>
      <c r="H948" s="11" t="n"/>
      <c r="I948" s="17">
        <f>IF(H948="","",IF(H948&gt;=12,40,ROUND(H948*3.33,2)))</f>
        <v/>
      </c>
      <c r="J948" s="11" t="n"/>
      <c r="K948" s="11" t="n"/>
      <c r="L948" s="11" t="n"/>
      <c r="M948" s="11" t="n"/>
      <c r="N948" s="10">
        <f>IF(COUNTA(J948:M948)=0,"",MIN(10,SUMPRODUCT((COUNTIF(J948:M948,L_KOM)&gt;0)*S_KOM)))</f>
        <v/>
      </c>
      <c r="O948" s="11" t="n"/>
      <c r="P948" s="10">
        <f>IF(O948="","",IFERROR(VLOOKUP(O948,T_KHID,2,FALSE),0))</f>
        <v/>
      </c>
      <c r="Q948" s="11" t="n"/>
      <c r="R948" s="11" t="n"/>
      <c r="S948" s="10">
        <f>IF(AND(Q948="",R948=""),"",IFERROR(INDEX(T_LIBAT,MATCH(Q948,L_PER,0),MATCH(R948,L_JENIS,0)),0))</f>
        <v/>
      </c>
      <c r="T948" s="11" t="n"/>
      <c r="U948" s="11" t="n"/>
      <c r="V948" s="10">
        <f>IF(AND(T948="",U948=""),"",IFERROR(INDEX(T_CAPAI,MATCH(T948,L_PER,0),MATCH(U948,L_KED,0)),0))</f>
        <v/>
      </c>
      <c r="W948" s="17">
        <f>IF(OR(B948="",E948="",COUNTA(F948,H948,J948:M948,O948,Q948:R948,T948:U948)=0),"",SUM(G948,I948,N948,P948,S948,V948))</f>
        <v/>
      </c>
      <c r="X948" s="18">
        <f>IF(W948="","",IF(Murid!F948="TL","TL",ROUND(W948/110*100,2)))</f>
        <v/>
      </c>
    </row>
    <row r="949">
      <c r="A949" s="15">
        <f>Murid!A949</f>
        <v/>
      </c>
      <c r="B949" s="15">
        <f>IF(Murid!B949="","",Murid!B949)</f>
        <v/>
      </c>
      <c r="C949" s="16">
        <f>IF(Murid!C949="","",Murid!C949)</f>
        <v/>
      </c>
      <c r="D949" s="15">
        <f>IF(Murid!E949="","",Murid!E949)</f>
        <v/>
      </c>
      <c r="E949" s="11" t="n"/>
      <c r="F949" s="11" t="n"/>
      <c r="G949" s="10">
        <f>IF(F949="","",IFERROR(VLOOKUP(F949,T_JUB,2,FALSE),0))</f>
        <v/>
      </c>
      <c r="H949" s="11" t="n"/>
      <c r="I949" s="17">
        <f>IF(H949="","",IF(H949&gt;=12,40,ROUND(H949*3.33,2)))</f>
        <v/>
      </c>
      <c r="J949" s="11" t="n"/>
      <c r="K949" s="11" t="n"/>
      <c r="L949" s="11" t="n"/>
      <c r="M949" s="11" t="n"/>
      <c r="N949" s="10">
        <f>IF(COUNTA(J949:M949)=0,"",MIN(10,SUMPRODUCT((COUNTIF(J949:M949,L_KOM)&gt;0)*S_KOM)))</f>
        <v/>
      </c>
      <c r="O949" s="11" t="n"/>
      <c r="P949" s="10">
        <f>IF(O949="","",IFERROR(VLOOKUP(O949,T_KHID,2,FALSE),0))</f>
        <v/>
      </c>
      <c r="Q949" s="11" t="n"/>
      <c r="R949" s="11" t="n"/>
      <c r="S949" s="10">
        <f>IF(AND(Q949="",R949=""),"",IFERROR(INDEX(T_LIBAT,MATCH(Q949,L_PER,0),MATCH(R949,L_JENIS,0)),0))</f>
        <v/>
      </c>
      <c r="T949" s="11" t="n"/>
      <c r="U949" s="11" t="n"/>
      <c r="V949" s="10">
        <f>IF(AND(T949="",U949=""),"",IFERROR(INDEX(T_CAPAI,MATCH(T949,L_PER,0),MATCH(U949,L_KED,0)),0))</f>
        <v/>
      </c>
      <c r="W949" s="17">
        <f>IF(OR(B949="",E949="",COUNTA(F949,H949,J949:M949,O949,Q949:R949,T949:U949)=0),"",SUM(G949,I949,N949,P949,S949,V949))</f>
        <v/>
      </c>
      <c r="X949" s="18">
        <f>IF(W949="","",IF(Murid!F949="TL","TL",ROUND(W949/110*100,2)))</f>
        <v/>
      </c>
    </row>
    <row r="950">
      <c r="A950" s="15">
        <f>Murid!A950</f>
        <v/>
      </c>
      <c r="B950" s="15">
        <f>IF(Murid!B950="","",Murid!B950)</f>
        <v/>
      </c>
      <c r="C950" s="16">
        <f>IF(Murid!C950="","",Murid!C950)</f>
        <v/>
      </c>
      <c r="D950" s="15">
        <f>IF(Murid!E950="","",Murid!E950)</f>
        <v/>
      </c>
      <c r="E950" s="11" t="n"/>
      <c r="F950" s="11" t="n"/>
      <c r="G950" s="10">
        <f>IF(F950="","",IFERROR(VLOOKUP(F950,T_JUB,2,FALSE),0))</f>
        <v/>
      </c>
      <c r="H950" s="11" t="n"/>
      <c r="I950" s="17">
        <f>IF(H950="","",IF(H950&gt;=12,40,ROUND(H950*3.33,2)))</f>
        <v/>
      </c>
      <c r="J950" s="11" t="n"/>
      <c r="K950" s="11" t="n"/>
      <c r="L950" s="11" t="n"/>
      <c r="M950" s="11" t="n"/>
      <c r="N950" s="10">
        <f>IF(COUNTA(J950:M950)=0,"",MIN(10,SUMPRODUCT((COUNTIF(J950:M950,L_KOM)&gt;0)*S_KOM)))</f>
        <v/>
      </c>
      <c r="O950" s="11" t="n"/>
      <c r="P950" s="10">
        <f>IF(O950="","",IFERROR(VLOOKUP(O950,T_KHID,2,FALSE),0))</f>
        <v/>
      </c>
      <c r="Q950" s="11" t="n"/>
      <c r="R950" s="11" t="n"/>
      <c r="S950" s="10">
        <f>IF(AND(Q950="",R950=""),"",IFERROR(INDEX(T_LIBAT,MATCH(Q950,L_PER,0),MATCH(R950,L_JENIS,0)),0))</f>
        <v/>
      </c>
      <c r="T950" s="11" t="n"/>
      <c r="U950" s="11" t="n"/>
      <c r="V950" s="10">
        <f>IF(AND(T950="",U950=""),"",IFERROR(INDEX(T_CAPAI,MATCH(T950,L_PER,0),MATCH(U950,L_KED,0)),0))</f>
        <v/>
      </c>
      <c r="W950" s="17">
        <f>IF(OR(B950="",E950="",COUNTA(F950,H950,J950:M950,O950,Q950:R950,T950:U950)=0),"",SUM(G950,I950,N950,P950,S950,V950))</f>
        <v/>
      </c>
      <c r="X950" s="18">
        <f>IF(W950="","",IF(Murid!F950="TL","TL",ROUND(W950/110*100,2)))</f>
        <v/>
      </c>
    </row>
    <row r="951">
      <c r="A951" s="15">
        <f>Murid!A951</f>
        <v/>
      </c>
      <c r="B951" s="15">
        <f>IF(Murid!B951="","",Murid!B951)</f>
        <v/>
      </c>
      <c r="C951" s="16">
        <f>IF(Murid!C951="","",Murid!C951)</f>
        <v/>
      </c>
      <c r="D951" s="15">
        <f>IF(Murid!E951="","",Murid!E951)</f>
        <v/>
      </c>
      <c r="E951" s="11" t="n"/>
      <c r="F951" s="11" t="n"/>
      <c r="G951" s="10">
        <f>IF(F951="","",IFERROR(VLOOKUP(F951,T_JUB,2,FALSE),0))</f>
        <v/>
      </c>
      <c r="H951" s="11" t="n"/>
      <c r="I951" s="17">
        <f>IF(H951="","",IF(H951&gt;=12,40,ROUND(H951*3.33,2)))</f>
        <v/>
      </c>
      <c r="J951" s="11" t="n"/>
      <c r="K951" s="11" t="n"/>
      <c r="L951" s="11" t="n"/>
      <c r="M951" s="11" t="n"/>
      <c r="N951" s="10">
        <f>IF(COUNTA(J951:M951)=0,"",MIN(10,SUMPRODUCT((COUNTIF(J951:M951,L_KOM)&gt;0)*S_KOM)))</f>
        <v/>
      </c>
      <c r="O951" s="11" t="n"/>
      <c r="P951" s="10">
        <f>IF(O951="","",IFERROR(VLOOKUP(O951,T_KHID,2,FALSE),0))</f>
        <v/>
      </c>
      <c r="Q951" s="11" t="n"/>
      <c r="R951" s="11" t="n"/>
      <c r="S951" s="10">
        <f>IF(AND(Q951="",R951=""),"",IFERROR(INDEX(T_LIBAT,MATCH(Q951,L_PER,0),MATCH(R951,L_JENIS,0)),0))</f>
        <v/>
      </c>
      <c r="T951" s="11" t="n"/>
      <c r="U951" s="11" t="n"/>
      <c r="V951" s="10">
        <f>IF(AND(T951="",U951=""),"",IFERROR(INDEX(T_CAPAI,MATCH(T951,L_PER,0),MATCH(U951,L_KED,0)),0))</f>
        <v/>
      </c>
      <c r="W951" s="17">
        <f>IF(OR(B951="",E951="",COUNTA(F951,H951,J951:M951,O951,Q951:R951,T951:U951)=0),"",SUM(G951,I951,N951,P951,S951,V951))</f>
        <v/>
      </c>
      <c r="X951" s="18">
        <f>IF(W951="","",IF(Murid!F951="TL","TL",ROUND(W951/110*100,2)))</f>
        <v/>
      </c>
    </row>
    <row r="952">
      <c r="A952" s="15">
        <f>Murid!A952</f>
        <v/>
      </c>
      <c r="B952" s="15">
        <f>IF(Murid!B952="","",Murid!B952)</f>
        <v/>
      </c>
      <c r="C952" s="16">
        <f>IF(Murid!C952="","",Murid!C952)</f>
        <v/>
      </c>
      <c r="D952" s="15">
        <f>IF(Murid!E952="","",Murid!E952)</f>
        <v/>
      </c>
      <c r="E952" s="11" t="n"/>
      <c r="F952" s="11" t="n"/>
      <c r="G952" s="10">
        <f>IF(F952="","",IFERROR(VLOOKUP(F952,T_JUB,2,FALSE),0))</f>
        <v/>
      </c>
      <c r="H952" s="11" t="n"/>
      <c r="I952" s="17">
        <f>IF(H952="","",IF(H952&gt;=12,40,ROUND(H952*3.33,2)))</f>
        <v/>
      </c>
      <c r="J952" s="11" t="n"/>
      <c r="K952" s="11" t="n"/>
      <c r="L952" s="11" t="n"/>
      <c r="M952" s="11" t="n"/>
      <c r="N952" s="10">
        <f>IF(COUNTA(J952:M952)=0,"",MIN(10,SUMPRODUCT((COUNTIF(J952:M952,L_KOM)&gt;0)*S_KOM)))</f>
        <v/>
      </c>
      <c r="O952" s="11" t="n"/>
      <c r="P952" s="10">
        <f>IF(O952="","",IFERROR(VLOOKUP(O952,T_KHID,2,FALSE),0))</f>
        <v/>
      </c>
      <c r="Q952" s="11" t="n"/>
      <c r="R952" s="11" t="n"/>
      <c r="S952" s="10">
        <f>IF(AND(Q952="",R952=""),"",IFERROR(INDEX(T_LIBAT,MATCH(Q952,L_PER,0),MATCH(R952,L_JENIS,0)),0))</f>
        <v/>
      </c>
      <c r="T952" s="11" t="n"/>
      <c r="U952" s="11" t="n"/>
      <c r="V952" s="10">
        <f>IF(AND(T952="",U952=""),"",IFERROR(INDEX(T_CAPAI,MATCH(T952,L_PER,0),MATCH(U952,L_KED,0)),0))</f>
        <v/>
      </c>
      <c r="W952" s="17">
        <f>IF(OR(B952="",E952="",COUNTA(F952,H952,J952:M952,O952,Q952:R952,T952:U952)=0),"",SUM(G952,I952,N952,P952,S952,V952))</f>
        <v/>
      </c>
      <c r="X952" s="18">
        <f>IF(W952="","",IF(Murid!F952="TL","TL",ROUND(W952/110*100,2)))</f>
        <v/>
      </c>
    </row>
    <row r="953">
      <c r="A953" s="15">
        <f>Murid!A953</f>
        <v/>
      </c>
      <c r="B953" s="15">
        <f>IF(Murid!B953="","",Murid!B953)</f>
        <v/>
      </c>
      <c r="C953" s="16">
        <f>IF(Murid!C953="","",Murid!C953)</f>
        <v/>
      </c>
      <c r="D953" s="15">
        <f>IF(Murid!E953="","",Murid!E953)</f>
        <v/>
      </c>
      <c r="E953" s="11" t="n"/>
      <c r="F953" s="11" t="n"/>
      <c r="G953" s="10">
        <f>IF(F953="","",IFERROR(VLOOKUP(F953,T_JUB,2,FALSE),0))</f>
        <v/>
      </c>
      <c r="H953" s="11" t="n"/>
      <c r="I953" s="17">
        <f>IF(H953="","",IF(H953&gt;=12,40,ROUND(H953*3.33,2)))</f>
        <v/>
      </c>
      <c r="J953" s="11" t="n"/>
      <c r="K953" s="11" t="n"/>
      <c r="L953" s="11" t="n"/>
      <c r="M953" s="11" t="n"/>
      <c r="N953" s="10">
        <f>IF(COUNTA(J953:M953)=0,"",MIN(10,SUMPRODUCT((COUNTIF(J953:M953,L_KOM)&gt;0)*S_KOM)))</f>
        <v/>
      </c>
      <c r="O953" s="11" t="n"/>
      <c r="P953" s="10">
        <f>IF(O953="","",IFERROR(VLOOKUP(O953,T_KHID,2,FALSE),0))</f>
        <v/>
      </c>
      <c r="Q953" s="11" t="n"/>
      <c r="R953" s="11" t="n"/>
      <c r="S953" s="10">
        <f>IF(AND(Q953="",R953=""),"",IFERROR(INDEX(T_LIBAT,MATCH(Q953,L_PER,0),MATCH(R953,L_JENIS,0)),0))</f>
        <v/>
      </c>
      <c r="T953" s="11" t="n"/>
      <c r="U953" s="11" t="n"/>
      <c r="V953" s="10">
        <f>IF(AND(T953="",U953=""),"",IFERROR(INDEX(T_CAPAI,MATCH(T953,L_PER,0),MATCH(U953,L_KED,0)),0))</f>
        <v/>
      </c>
      <c r="W953" s="17">
        <f>IF(OR(B953="",E953="",COUNTA(F953,H953,J953:M953,O953,Q953:R953,T953:U953)=0),"",SUM(G953,I953,N953,P953,S953,V953))</f>
        <v/>
      </c>
      <c r="X953" s="18">
        <f>IF(W953="","",IF(Murid!F953="TL","TL",ROUND(W953/110*100,2)))</f>
        <v/>
      </c>
    </row>
    <row r="954">
      <c r="A954" s="15">
        <f>Murid!A954</f>
        <v/>
      </c>
      <c r="B954" s="15">
        <f>IF(Murid!B954="","",Murid!B954)</f>
        <v/>
      </c>
      <c r="C954" s="16">
        <f>IF(Murid!C954="","",Murid!C954)</f>
        <v/>
      </c>
      <c r="D954" s="15">
        <f>IF(Murid!E954="","",Murid!E954)</f>
        <v/>
      </c>
      <c r="E954" s="11" t="n"/>
      <c r="F954" s="11" t="n"/>
      <c r="G954" s="10">
        <f>IF(F954="","",IFERROR(VLOOKUP(F954,T_JUB,2,FALSE),0))</f>
        <v/>
      </c>
      <c r="H954" s="11" t="n"/>
      <c r="I954" s="17">
        <f>IF(H954="","",IF(H954&gt;=12,40,ROUND(H954*3.33,2)))</f>
        <v/>
      </c>
      <c r="J954" s="11" t="n"/>
      <c r="K954" s="11" t="n"/>
      <c r="L954" s="11" t="n"/>
      <c r="M954" s="11" t="n"/>
      <c r="N954" s="10">
        <f>IF(COUNTA(J954:M954)=0,"",MIN(10,SUMPRODUCT((COUNTIF(J954:M954,L_KOM)&gt;0)*S_KOM)))</f>
        <v/>
      </c>
      <c r="O954" s="11" t="n"/>
      <c r="P954" s="10">
        <f>IF(O954="","",IFERROR(VLOOKUP(O954,T_KHID,2,FALSE),0))</f>
        <v/>
      </c>
      <c r="Q954" s="11" t="n"/>
      <c r="R954" s="11" t="n"/>
      <c r="S954" s="10">
        <f>IF(AND(Q954="",R954=""),"",IFERROR(INDEX(T_LIBAT,MATCH(Q954,L_PER,0),MATCH(R954,L_JENIS,0)),0))</f>
        <v/>
      </c>
      <c r="T954" s="11" t="n"/>
      <c r="U954" s="11" t="n"/>
      <c r="V954" s="10">
        <f>IF(AND(T954="",U954=""),"",IFERROR(INDEX(T_CAPAI,MATCH(T954,L_PER,0),MATCH(U954,L_KED,0)),0))</f>
        <v/>
      </c>
      <c r="W954" s="17">
        <f>IF(OR(B954="",E954="",COUNTA(F954,H954,J954:M954,O954,Q954:R954,T954:U954)=0),"",SUM(G954,I954,N954,P954,S954,V954))</f>
        <v/>
      </c>
      <c r="X954" s="18">
        <f>IF(W954="","",IF(Murid!F954="TL","TL",ROUND(W954/110*100,2)))</f>
        <v/>
      </c>
    </row>
    <row r="955">
      <c r="A955" s="15">
        <f>Murid!A955</f>
        <v/>
      </c>
      <c r="B955" s="15">
        <f>IF(Murid!B955="","",Murid!B955)</f>
        <v/>
      </c>
      <c r="C955" s="16">
        <f>IF(Murid!C955="","",Murid!C955)</f>
        <v/>
      </c>
      <c r="D955" s="15">
        <f>IF(Murid!E955="","",Murid!E955)</f>
        <v/>
      </c>
      <c r="E955" s="11" t="n"/>
      <c r="F955" s="11" t="n"/>
      <c r="G955" s="10">
        <f>IF(F955="","",IFERROR(VLOOKUP(F955,T_JUB,2,FALSE),0))</f>
        <v/>
      </c>
      <c r="H955" s="11" t="n"/>
      <c r="I955" s="17">
        <f>IF(H955="","",IF(H955&gt;=12,40,ROUND(H955*3.33,2)))</f>
        <v/>
      </c>
      <c r="J955" s="11" t="n"/>
      <c r="K955" s="11" t="n"/>
      <c r="L955" s="11" t="n"/>
      <c r="M955" s="11" t="n"/>
      <c r="N955" s="10">
        <f>IF(COUNTA(J955:M955)=0,"",MIN(10,SUMPRODUCT((COUNTIF(J955:M955,L_KOM)&gt;0)*S_KOM)))</f>
        <v/>
      </c>
      <c r="O955" s="11" t="n"/>
      <c r="P955" s="10">
        <f>IF(O955="","",IFERROR(VLOOKUP(O955,T_KHID,2,FALSE),0))</f>
        <v/>
      </c>
      <c r="Q955" s="11" t="n"/>
      <c r="R955" s="11" t="n"/>
      <c r="S955" s="10">
        <f>IF(AND(Q955="",R955=""),"",IFERROR(INDEX(T_LIBAT,MATCH(Q955,L_PER,0),MATCH(R955,L_JENIS,0)),0))</f>
        <v/>
      </c>
      <c r="T955" s="11" t="n"/>
      <c r="U955" s="11" t="n"/>
      <c r="V955" s="10">
        <f>IF(AND(T955="",U955=""),"",IFERROR(INDEX(T_CAPAI,MATCH(T955,L_PER,0),MATCH(U955,L_KED,0)),0))</f>
        <v/>
      </c>
      <c r="W955" s="17">
        <f>IF(OR(B955="",E955="",COUNTA(F955,H955,J955:M955,O955,Q955:R955,T955:U955)=0),"",SUM(G955,I955,N955,P955,S955,V955))</f>
        <v/>
      </c>
      <c r="X955" s="18">
        <f>IF(W955="","",IF(Murid!F955="TL","TL",ROUND(W955/110*100,2)))</f>
        <v/>
      </c>
    </row>
    <row r="956">
      <c r="A956" s="15">
        <f>Murid!A956</f>
        <v/>
      </c>
      <c r="B956" s="15">
        <f>IF(Murid!B956="","",Murid!B956)</f>
        <v/>
      </c>
      <c r="C956" s="16">
        <f>IF(Murid!C956="","",Murid!C956)</f>
        <v/>
      </c>
      <c r="D956" s="15">
        <f>IF(Murid!E956="","",Murid!E956)</f>
        <v/>
      </c>
      <c r="E956" s="11" t="n"/>
      <c r="F956" s="11" t="n"/>
      <c r="G956" s="10">
        <f>IF(F956="","",IFERROR(VLOOKUP(F956,T_JUB,2,FALSE),0))</f>
        <v/>
      </c>
      <c r="H956" s="11" t="n"/>
      <c r="I956" s="17">
        <f>IF(H956="","",IF(H956&gt;=12,40,ROUND(H956*3.33,2)))</f>
        <v/>
      </c>
      <c r="J956" s="11" t="n"/>
      <c r="K956" s="11" t="n"/>
      <c r="L956" s="11" t="n"/>
      <c r="M956" s="11" t="n"/>
      <c r="N956" s="10">
        <f>IF(COUNTA(J956:M956)=0,"",MIN(10,SUMPRODUCT((COUNTIF(J956:M956,L_KOM)&gt;0)*S_KOM)))</f>
        <v/>
      </c>
      <c r="O956" s="11" t="n"/>
      <c r="P956" s="10">
        <f>IF(O956="","",IFERROR(VLOOKUP(O956,T_KHID,2,FALSE),0))</f>
        <v/>
      </c>
      <c r="Q956" s="11" t="n"/>
      <c r="R956" s="11" t="n"/>
      <c r="S956" s="10">
        <f>IF(AND(Q956="",R956=""),"",IFERROR(INDEX(T_LIBAT,MATCH(Q956,L_PER,0),MATCH(R956,L_JENIS,0)),0))</f>
        <v/>
      </c>
      <c r="T956" s="11" t="n"/>
      <c r="U956" s="11" t="n"/>
      <c r="V956" s="10">
        <f>IF(AND(T956="",U956=""),"",IFERROR(INDEX(T_CAPAI,MATCH(T956,L_PER,0),MATCH(U956,L_KED,0)),0))</f>
        <v/>
      </c>
      <c r="W956" s="17">
        <f>IF(OR(B956="",E956="",COUNTA(F956,H956,J956:M956,O956,Q956:R956,T956:U956)=0),"",SUM(G956,I956,N956,P956,S956,V956))</f>
        <v/>
      </c>
      <c r="X956" s="18">
        <f>IF(W956="","",IF(Murid!F956="TL","TL",ROUND(W956/110*100,2)))</f>
        <v/>
      </c>
    </row>
    <row r="957">
      <c r="A957" s="15">
        <f>Murid!A957</f>
        <v/>
      </c>
      <c r="B957" s="15">
        <f>IF(Murid!B957="","",Murid!B957)</f>
        <v/>
      </c>
      <c r="C957" s="16">
        <f>IF(Murid!C957="","",Murid!C957)</f>
        <v/>
      </c>
      <c r="D957" s="15">
        <f>IF(Murid!E957="","",Murid!E957)</f>
        <v/>
      </c>
      <c r="E957" s="11" t="n"/>
      <c r="F957" s="11" t="n"/>
      <c r="G957" s="10">
        <f>IF(F957="","",IFERROR(VLOOKUP(F957,T_JUB,2,FALSE),0))</f>
        <v/>
      </c>
      <c r="H957" s="11" t="n"/>
      <c r="I957" s="17">
        <f>IF(H957="","",IF(H957&gt;=12,40,ROUND(H957*3.33,2)))</f>
        <v/>
      </c>
      <c r="J957" s="11" t="n"/>
      <c r="K957" s="11" t="n"/>
      <c r="L957" s="11" t="n"/>
      <c r="M957" s="11" t="n"/>
      <c r="N957" s="10">
        <f>IF(COUNTA(J957:M957)=0,"",MIN(10,SUMPRODUCT((COUNTIF(J957:M957,L_KOM)&gt;0)*S_KOM)))</f>
        <v/>
      </c>
      <c r="O957" s="11" t="n"/>
      <c r="P957" s="10">
        <f>IF(O957="","",IFERROR(VLOOKUP(O957,T_KHID,2,FALSE),0))</f>
        <v/>
      </c>
      <c r="Q957" s="11" t="n"/>
      <c r="R957" s="11" t="n"/>
      <c r="S957" s="10">
        <f>IF(AND(Q957="",R957=""),"",IFERROR(INDEX(T_LIBAT,MATCH(Q957,L_PER,0),MATCH(R957,L_JENIS,0)),0))</f>
        <v/>
      </c>
      <c r="T957" s="11" t="n"/>
      <c r="U957" s="11" t="n"/>
      <c r="V957" s="10">
        <f>IF(AND(T957="",U957=""),"",IFERROR(INDEX(T_CAPAI,MATCH(T957,L_PER,0),MATCH(U957,L_KED,0)),0))</f>
        <v/>
      </c>
      <c r="W957" s="17">
        <f>IF(OR(B957="",E957="",COUNTA(F957,H957,J957:M957,O957,Q957:R957,T957:U957)=0),"",SUM(G957,I957,N957,P957,S957,V957))</f>
        <v/>
      </c>
      <c r="X957" s="18">
        <f>IF(W957="","",IF(Murid!F957="TL","TL",ROUND(W957/110*100,2)))</f>
        <v/>
      </c>
    </row>
    <row r="958">
      <c r="A958" s="15">
        <f>Murid!A958</f>
        <v/>
      </c>
      <c r="B958" s="15">
        <f>IF(Murid!B958="","",Murid!B958)</f>
        <v/>
      </c>
      <c r="C958" s="16">
        <f>IF(Murid!C958="","",Murid!C958)</f>
        <v/>
      </c>
      <c r="D958" s="15">
        <f>IF(Murid!E958="","",Murid!E958)</f>
        <v/>
      </c>
      <c r="E958" s="11" t="n"/>
      <c r="F958" s="11" t="n"/>
      <c r="G958" s="10">
        <f>IF(F958="","",IFERROR(VLOOKUP(F958,T_JUB,2,FALSE),0))</f>
        <v/>
      </c>
      <c r="H958" s="11" t="n"/>
      <c r="I958" s="17">
        <f>IF(H958="","",IF(H958&gt;=12,40,ROUND(H958*3.33,2)))</f>
        <v/>
      </c>
      <c r="J958" s="11" t="n"/>
      <c r="K958" s="11" t="n"/>
      <c r="L958" s="11" t="n"/>
      <c r="M958" s="11" t="n"/>
      <c r="N958" s="10">
        <f>IF(COUNTA(J958:M958)=0,"",MIN(10,SUMPRODUCT((COUNTIF(J958:M958,L_KOM)&gt;0)*S_KOM)))</f>
        <v/>
      </c>
      <c r="O958" s="11" t="n"/>
      <c r="P958" s="10">
        <f>IF(O958="","",IFERROR(VLOOKUP(O958,T_KHID,2,FALSE),0))</f>
        <v/>
      </c>
      <c r="Q958" s="11" t="n"/>
      <c r="R958" s="11" t="n"/>
      <c r="S958" s="10">
        <f>IF(AND(Q958="",R958=""),"",IFERROR(INDEX(T_LIBAT,MATCH(Q958,L_PER,0),MATCH(R958,L_JENIS,0)),0))</f>
        <v/>
      </c>
      <c r="T958" s="11" t="n"/>
      <c r="U958" s="11" t="n"/>
      <c r="V958" s="10">
        <f>IF(AND(T958="",U958=""),"",IFERROR(INDEX(T_CAPAI,MATCH(T958,L_PER,0),MATCH(U958,L_KED,0)),0))</f>
        <v/>
      </c>
      <c r="W958" s="17">
        <f>IF(OR(B958="",E958="",COUNTA(F958,H958,J958:M958,O958,Q958:R958,T958:U958)=0),"",SUM(G958,I958,N958,P958,S958,V958))</f>
        <v/>
      </c>
      <c r="X958" s="18">
        <f>IF(W958="","",IF(Murid!F958="TL","TL",ROUND(W958/110*100,2)))</f>
        <v/>
      </c>
    </row>
    <row r="959">
      <c r="A959" s="15">
        <f>Murid!A959</f>
        <v/>
      </c>
      <c r="B959" s="15">
        <f>IF(Murid!B959="","",Murid!B959)</f>
        <v/>
      </c>
      <c r="C959" s="16">
        <f>IF(Murid!C959="","",Murid!C959)</f>
        <v/>
      </c>
      <c r="D959" s="15">
        <f>IF(Murid!E959="","",Murid!E959)</f>
        <v/>
      </c>
      <c r="E959" s="11" t="n"/>
      <c r="F959" s="11" t="n"/>
      <c r="G959" s="10">
        <f>IF(F959="","",IFERROR(VLOOKUP(F959,T_JUB,2,FALSE),0))</f>
        <v/>
      </c>
      <c r="H959" s="11" t="n"/>
      <c r="I959" s="17">
        <f>IF(H959="","",IF(H959&gt;=12,40,ROUND(H959*3.33,2)))</f>
        <v/>
      </c>
      <c r="J959" s="11" t="n"/>
      <c r="K959" s="11" t="n"/>
      <c r="L959" s="11" t="n"/>
      <c r="M959" s="11" t="n"/>
      <c r="N959" s="10">
        <f>IF(COUNTA(J959:M959)=0,"",MIN(10,SUMPRODUCT((COUNTIF(J959:M959,L_KOM)&gt;0)*S_KOM)))</f>
        <v/>
      </c>
      <c r="O959" s="11" t="n"/>
      <c r="P959" s="10">
        <f>IF(O959="","",IFERROR(VLOOKUP(O959,T_KHID,2,FALSE),0))</f>
        <v/>
      </c>
      <c r="Q959" s="11" t="n"/>
      <c r="R959" s="11" t="n"/>
      <c r="S959" s="10">
        <f>IF(AND(Q959="",R959=""),"",IFERROR(INDEX(T_LIBAT,MATCH(Q959,L_PER,0),MATCH(R959,L_JENIS,0)),0))</f>
        <v/>
      </c>
      <c r="T959" s="11" t="n"/>
      <c r="U959" s="11" t="n"/>
      <c r="V959" s="10">
        <f>IF(AND(T959="",U959=""),"",IFERROR(INDEX(T_CAPAI,MATCH(T959,L_PER,0),MATCH(U959,L_KED,0)),0))</f>
        <v/>
      </c>
      <c r="W959" s="17">
        <f>IF(OR(B959="",E959="",COUNTA(F959,H959,J959:M959,O959,Q959:R959,T959:U959)=0),"",SUM(G959,I959,N959,P959,S959,V959))</f>
        <v/>
      </c>
      <c r="X959" s="18">
        <f>IF(W959="","",IF(Murid!F959="TL","TL",ROUND(W959/110*100,2)))</f>
        <v/>
      </c>
    </row>
    <row r="960">
      <c r="A960" s="15">
        <f>Murid!A960</f>
        <v/>
      </c>
      <c r="B960" s="15">
        <f>IF(Murid!B960="","",Murid!B960)</f>
        <v/>
      </c>
      <c r="C960" s="16">
        <f>IF(Murid!C960="","",Murid!C960)</f>
        <v/>
      </c>
      <c r="D960" s="15">
        <f>IF(Murid!E960="","",Murid!E960)</f>
        <v/>
      </c>
      <c r="E960" s="11" t="n"/>
      <c r="F960" s="11" t="n"/>
      <c r="G960" s="10">
        <f>IF(F960="","",IFERROR(VLOOKUP(F960,T_JUB,2,FALSE),0))</f>
        <v/>
      </c>
      <c r="H960" s="11" t="n"/>
      <c r="I960" s="17">
        <f>IF(H960="","",IF(H960&gt;=12,40,ROUND(H960*3.33,2)))</f>
        <v/>
      </c>
      <c r="J960" s="11" t="n"/>
      <c r="K960" s="11" t="n"/>
      <c r="L960" s="11" t="n"/>
      <c r="M960" s="11" t="n"/>
      <c r="N960" s="10">
        <f>IF(COUNTA(J960:M960)=0,"",MIN(10,SUMPRODUCT((COUNTIF(J960:M960,L_KOM)&gt;0)*S_KOM)))</f>
        <v/>
      </c>
      <c r="O960" s="11" t="n"/>
      <c r="P960" s="10">
        <f>IF(O960="","",IFERROR(VLOOKUP(O960,T_KHID,2,FALSE),0))</f>
        <v/>
      </c>
      <c r="Q960" s="11" t="n"/>
      <c r="R960" s="11" t="n"/>
      <c r="S960" s="10">
        <f>IF(AND(Q960="",R960=""),"",IFERROR(INDEX(T_LIBAT,MATCH(Q960,L_PER,0),MATCH(R960,L_JENIS,0)),0))</f>
        <v/>
      </c>
      <c r="T960" s="11" t="n"/>
      <c r="U960" s="11" t="n"/>
      <c r="V960" s="10">
        <f>IF(AND(T960="",U960=""),"",IFERROR(INDEX(T_CAPAI,MATCH(T960,L_PER,0),MATCH(U960,L_KED,0)),0))</f>
        <v/>
      </c>
      <c r="W960" s="17">
        <f>IF(OR(B960="",E960="",COUNTA(F960,H960,J960:M960,O960,Q960:R960,T960:U960)=0),"",SUM(G960,I960,N960,P960,S960,V960))</f>
        <v/>
      </c>
      <c r="X960" s="18">
        <f>IF(W960="","",IF(Murid!F960="TL","TL",ROUND(W960/110*100,2)))</f>
        <v/>
      </c>
    </row>
    <row r="961">
      <c r="A961" s="15">
        <f>Murid!A961</f>
        <v/>
      </c>
      <c r="B961" s="15">
        <f>IF(Murid!B961="","",Murid!B961)</f>
        <v/>
      </c>
      <c r="C961" s="16">
        <f>IF(Murid!C961="","",Murid!C961)</f>
        <v/>
      </c>
      <c r="D961" s="15">
        <f>IF(Murid!E961="","",Murid!E961)</f>
        <v/>
      </c>
      <c r="E961" s="11" t="n"/>
      <c r="F961" s="11" t="n"/>
      <c r="G961" s="10">
        <f>IF(F961="","",IFERROR(VLOOKUP(F961,T_JUB,2,FALSE),0))</f>
        <v/>
      </c>
      <c r="H961" s="11" t="n"/>
      <c r="I961" s="17">
        <f>IF(H961="","",IF(H961&gt;=12,40,ROUND(H961*3.33,2)))</f>
        <v/>
      </c>
      <c r="J961" s="11" t="n"/>
      <c r="K961" s="11" t="n"/>
      <c r="L961" s="11" t="n"/>
      <c r="M961" s="11" t="n"/>
      <c r="N961" s="10">
        <f>IF(COUNTA(J961:M961)=0,"",MIN(10,SUMPRODUCT((COUNTIF(J961:M961,L_KOM)&gt;0)*S_KOM)))</f>
        <v/>
      </c>
      <c r="O961" s="11" t="n"/>
      <c r="P961" s="10">
        <f>IF(O961="","",IFERROR(VLOOKUP(O961,T_KHID,2,FALSE),0))</f>
        <v/>
      </c>
      <c r="Q961" s="11" t="n"/>
      <c r="R961" s="11" t="n"/>
      <c r="S961" s="10">
        <f>IF(AND(Q961="",R961=""),"",IFERROR(INDEX(T_LIBAT,MATCH(Q961,L_PER,0),MATCH(R961,L_JENIS,0)),0))</f>
        <v/>
      </c>
      <c r="T961" s="11" t="n"/>
      <c r="U961" s="11" t="n"/>
      <c r="V961" s="10">
        <f>IF(AND(T961="",U961=""),"",IFERROR(INDEX(T_CAPAI,MATCH(T961,L_PER,0),MATCH(U961,L_KED,0)),0))</f>
        <v/>
      </c>
      <c r="W961" s="17">
        <f>IF(OR(B961="",E961="",COUNTA(F961,H961,J961:M961,O961,Q961:R961,T961:U961)=0),"",SUM(G961,I961,N961,P961,S961,V961))</f>
        <v/>
      </c>
      <c r="X961" s="18">
        <f>IF(W961="","",IF(Murid!F961="TL","TL",ROUND(W961/110*100,2)))</f>
        <v/>
      </c>
    </row>
    <row r="962">
      <c r="A962" s="15">
        <f>Murid!A962</f>
        <v/>
      </c>
      <c r="B962" s="15">
        <f>IF(Murid!B962="","",Murid!B962)</f>
        <v/>
      </c>
      <c r="C962" s="16">
        <f>IF(Murid!C962="","",Murid!C962)</f>
        <v/>
      </c>
      <c r="D962" s="15">
        <f>IF(Murid!E962="","",Murid!E962)</f>
        <v/>
      </c>
      <c r="E962" s="11" t="n"/>
      <c r="F962" s="11" t="n"/>
      <c r="G962" s="10">
        <f>IF(F962="","",IFERROR(VLOOKUP(F962,T_JUB,2,FALSE),0))</f>
        <v/>
      </c>
      <c r="H962" s="11" t="n"/>
      <c r="I962" s="17">
        <f>IF(H962="","",IF(H962&gt;=12,40,ROUND(H962*3.33,2)))</f>
        <v/>
      </c>
      <c r="J962" s="11" t="n"/>
      <c r="K962" s="11" t="n"/>
      <c r="L962" s="11" t="n"/>
      <c r="M962" s="11" t="n"/>
      <c r="N962" s="10">
        <f>IF(COUNTA(J962:M962)=0,"",MIN(10,SUMPRODUCT((COUNTIF(J962:M962,L_KOM)&gt;0)*S_KOM)))</f>
        <v/>
      </c>
      <c r="O962" s="11" t="n"/>
      <c r="P962" s="10">
        <f>IF(O962="","",IFERROR(VLOOKUP(O962,T_KHID,2,FALSE),0))</f>
        <v/>
      </c>
      <c r="Q962" s="11" t="n"/>
      <c r="R962" s="11" t="n"/>
      <c r="S962" s="10">
        <f>IF(AND(Q962="",R962=""),"",IFERROR(INDEX(T_LIBAT,MATCH(Q962,L_PER,0),MATCH(R962,L_JENIS,0)),0))</f>
        <v/>
      </c>
      <c r="T962" s="11" t="n"/>
      <c r="U962" s="11" t="n"/>
      <c r="V962" s="10">
        <f>IF(AND(T962="",U962=""),"",IFERROR(INDEX(T_CAPAI,MATCH(T962,L_PER,0),MATCH(U962,L_KED,0)),0))</f>
        <v/>
      </c>
      <c r="W962" s="17">
        <f>IF(OR(B962="",E962="",COUNTA(F962,H962,J962:M962,O962,Q962:R962,T962:U962)=0),"",SUM(G962,I962,N962,P962,S962,V962))</f>
        <v/>
      </c>
      <c r="X962" s="18">
        <f>IF(W962="","",IF(Murid!F962="TL","TL",ROUND(W962/110*100,2)))</f>
        <v/>
      </c>
    </row>
    <row r="963">
      <c r="A963" s="15">
        <f>Murid!A963</f>
        <v/>
      </c>
      <c r="B963" s="15">
        <f>IF(Murid!B963="","",Murid!B963)</f>
        <v/>
      </c>
      <c r="C963" s="16">
        <f>IF(Murid!C963="","",Murid!C963)</f>
        <v/>
      </c>
      <c r="D963" s="15">
        <f>IF(Murid!E963="","",Murid!E963)</f>
        <v/>
      </c>
      <c r="E963" s="11" t="n"/>
      <c r="F963" s="11" t="n"/>
      <c r="G963" s="10">
        <f>IF(F963="","",IFERROR(VLOOKUP(F963,T_JUB,2,FALSE),0))</f>
        <v/>
      </c>
      <c r="H963" s="11" t="n"/>
      <c r="I963" s="17">
        <f>IF(H963="","",IF(H963&gt;=12,40,ROUND(H963*3.33,2)))</f>
        <v/>
      </c>
      <c r="J963" s="11" t="n"/>
      <c r="K963" s="11" t="n"/>
      <c r="L963" s="11" t="n"/>
      <c r="M963" s="11" t="n"/>
      <c r="N963" s="10">
        <f>IF(COUNTA(J963:M963)=0,"",MIN(10,SUMPRODUCT((COUNTIF(J963:M963,L_KOM)&gt;0)*S_KOM)))</f>
        <v/>
      </c>
      <c r="O963" s="11" t="n"/>
      <c r="P963" s="10">
        <f>IF(O963="","",IFERROR(VLOOKUP(O963,T_KHID,2,FALSE),0))</f>
        <v/>
      </c>
      <c r="Q963" s="11" t="n"/>
      <c r="R963" s="11" t="n"/>
      <c r="S963" s="10">
        <f>IF(AND(Q963="",R963=""),"",IFERROR(INDEX(T_LIBAT,MATCH(Q963,L_PER,0),MATCH(R963,L_JENIS,0)),0))</f>
        <v/>
      </c>
      <c r="T963" s="11" t="n"/>
      <c r="U963" s="11" t="n"/>
      <c r="V963" s="10">
        <f>IF(AND(T963="",U963=""),"",IFERROR(INDEX(T_CAPAI,MATCH(T963,L_PER,0),MATCH(U963,L_KED,0)),0))</f>
        <v/>
      </c>
      <c r="W963" s="17">
        <f>IF(OR(B963="",E963="",COUNTA(F963,H963,J963:M963,O963,Q963:R963,T963:U963)=0),"",SUM(G963,I963,N963,P963,S963,V963))</f>
        <v/>
      </c>
      <c r="X963" s="18">
        <f>IF(W963="","",IF(Murid!F963="TL","TL",ROUND(W963/110*100,2)))</f>
        <v/>
      </c>
    </row>
    <row r="964">
      <c r="A964" s="15">
        <f>Murid!A964</f>
        <v/>
      </c>
      <c r="B964" s="15">
        <f>IF(Murid!B964="","",Murid!B964)</f>
        <v/>
      </c>
      <c r="C964" s="16">
        <f>IF(Murid!C964="","",Murid!C964)</f>
        <v/>
      </c>
      <c r="D964" s="15">
        <f>IF(Murid!E964="","",Murid!E964)</f>
        <v/>
      </c>
      <c r="E964" s="11" t="n"/>
      <c r="F964" s="11" t="n"/>
      <c r="G964" s="10">
        <f>IF(F964="","",IFERROR(VLOOKUP(F964,T_JUB,2,FALSE),0))</f>
        <v/>
      </c>
      <c r="H964" s="11" t="n"/>
      <c r="I964" s="17">
        <f>IF(H964="","",IF(H964&gt;=12,40,ROUND(H964*3.33,2)))</f>
        <v/>
      </c>
      <c r="J964" s="11" t="n"/>
      <c r="K964" s="11" t="n"/>
      <c r="L964" s="11" t="n"/>
      <c r="M964" s="11" t="n"/>
      <c r="N964" s="10">
        <f>IF(COUNTA(J964:M964)=0,"",MIN(10,SUMPRODUCT((COUNTIF(J964:M964,L_KOM)&gt;0)*S_KOM)))</f>
        <v/>
      </c>
      <c r="O964" s="11" t="n"/>
      <c r="P964" s="10">
        <f>IF(O964="","",IFERROR(VLOOKUP(O964,T_KHID,2,FALSE),0))</f>
        <v/>
      </c>
      <c r="Q964" s="11" t="n"/>
      <c r="R964" s="11" t="n"/>
      <c r="S964" s="10">
        <f>IF(AND(Q964="",R964=""),"",IFERROR(INDEX(T_LIBAT,MATCH(Q964,L_PER,0),MATCH(R964,L_JENIS,0)),0))</f>
        <v/>
      </c>
      <c r="T964" s="11" t="n"/>
      <c r="U964" s="11" t="n"/>
      <c r="V964" s="10">
        <f>IF(AND(T964="",U964=""),"",IFERROR(INDEX(T_CAPAI,MATCH(T964,L_PER,0),MATCH(U964,L_KED,0)),0))</f>
        <v/>
      </c>
      <c r="W964" s="17">
        <f>IF(OR(B964="",E964="",COUNTA(F964,H964,J964:M964,O964,Q964:R964,T964:U964)=0),"",SUM(G964,I964,N964,P964,S964,V964))</f>
        <v/>
      </c>
      <c r="X964" s="18">
        <f>IF(W964="","",IF(Murid!F964="TL","TL",ROUND(W964/110*100,2)))</f>
        <v/>
      </c>
    </row>
    <row r="965">
      <c r="A965" s="15">
        <f>Murid!A965</f>
        <v/>
      </c>
      <c r="B965" s="15">
        <f>IF(Murid!B965="","",Murid!B965)</f>
        <v/>
      </c>
      <c r="C965" s="16">
        <f>IF(Murid!C965="","",Murid!C965)</f>
        <v/>
      </c>
      <c r="D965" s="15">
        <f>IF(Murid!E965="","",Murid!E965)</f>
        <v/>
      </c>
      <c r="E965" s="11" t="n"/>
      <c r="F965" s="11" t="n"/>
      <c r="G965" s="10">
        <f>IF(F965="","",IFERROR(VLOOKUP(F965,T_JUB,2,FALSE),0))</f>
        <v/>
      </c>
      <c r="H965" s="11" t="n"/>
      <c r="I965" s="17">
        <f>IF(H965="","",IF(H965&gt;=12,40,ROUND(H965*3.33,2)))</f>
        <v/>
      </c>
      <c r="J965" s="11" t="n"/>
      <c r="K965" s="11" t="n"/>
      <c r="L965" s="11" t="n"/>
      <c r="M965" s="11" t="n"/>
      <c r="N965" s="10">
        <f>IF(COUNTA(J965:M965)=0,"",MIN(10,SUMPRODUCT((COUNTIF(J965:M965,L_KOM)&gt;0)*S_KOM)))</f>
        <v/>
      </c>
      <c r="O965" s="11" t="n"/>
      <c r="P965" s="10">
        <f>IF(O965="","",IFERROR(VLOOKUP(O965,T_KHID,2,FALSE),0))</f>
        <v/>
      </c>
      <c r="Q965" s="11" t="n"/>
      <c r="R965" s="11" t="n"/>
      <c r="S965" s="10">
        <f>IF(AND(Q965="",R965=""),"",IFERROR(INDEX(T_LIBAT,MATCH(Q965,L_PER,0),MATCH(R965,L_JENIS,0)),0))</f>
        <v/>
      </c>
      <c r="T965" s="11" t="n"/>
      <c r="U965" s="11" t="n"/>
      <c r="V965" s="10">
        <f>IF(AND(T965="",U965=""),"",IFERROR(INDEX(T_CAPAI,MATCH(T965,L_PER,0),MATCH(U965,L_KED,0)),0))</f>
        <v/>
      </c>
      <c r="W965" s="17">
        <f>IF(OR(B965="",E965="",COUNTA(F965,H965,J965:M965,O965,Q965:R965,T965:U965)=0),"",SUM(G965,I965,N965,P965,S965,V965))</f>
        <v/>
      </c>
      <c r="X965" s="18">
        <f>IF(W965="","",IF(Murid!F965="TL","TL",ROUND(W965/110*100,2)))</f>
        <v/>
      </c>
    </row>
    <row r="966">
      <c r="A966" s="15">
        <f>Murid!A966</f>
        <v/>
      </c>
      <c r="B966" s="15">
        <f>IF(Murid!B966="","",Murid!B966)</f>
        <v/>
      </c>
      <c r="C966" s="16">
        <f>IF(Murid!C966="","",Murid!C966)</f>
        <v/>
      </c>
      <c r="D966" s="15">
        <f>IF(Murid!E966="","",Murid!E966)</f>
        <v/>
      </c>
      <c r="E966" s="11" t="n"/>
      <c r="F966" s="11" t="n"/>
      <c r="G966" s="10">
        <f>IF(F966="","",IFERROR(VLOOKUP(F966,T_JUB,2,FALSE),0))</f>
        <v/>
      </c>
      <c r="H966" s="11" t="n"/>
      <c r="I966" s="17">
        <f>IF(H966="","",IF(H966&gt;=12,40,ROUND(H966*3.33,2)))</f>
        <v/>
      </c>
      <c r="J966" s="11" t="n"/>
      <c r="K966" s="11" t="n"/>
      <c r="L966" s="11" t="n"/>
      <c r="M966" s="11" t="n"/>
      <c r="N966" s="10">
        <f>IF(COUNTA(J966:M966)=0,"",MIN(10,SUMPRODUCT((COUNTIF(J966:M966,L_KOM)&gt;0)*S_KOM)))</f>
        <v/>
      </c>
      <c r="O966" s="11" t="n"/>
      <c r="P966" s="10">
        <f>IF(O966="","",IFERROR(VLOOKUP(O966,T_KHID,2,FALSE),0))</f>
        <v/>
      </c>
      <c r="Q966" s="11" t="n"/>
      <c r="R966" s="11" t="n"/>
      <c r="S966" s="10">
        <f>IF(AND(Q966="",R966=""),"",IFERROR(INDEX(T_LIBAT,MATCH(Q966,L_PER,0),MATCH(R966,L_JENIS,0)),0))</f>
        <v/>
      </c>
      <c r="T966" s="11" t="n"/>
      <c r="U966" s="11" t="n"/>
      <c r="V966" s="10">
        <f>IF(AND(T966="",U966=""),"",IFERROR(INDEX(T_CAPAI,MATCH(T966,L_PER,0),MATCH(U966,L_KED,0)),0))</f>
        <v/>
      </c>
      <c r="W966" s="17">
        <f>IF(OR(B966="",E966="",COUNTA(F966,H966,J966:M966,O966,Q966:R966,T966:U966)=0),"",SUM(G966,I966,N966,P966,S966,V966))</f>
        <v/>
      </c>
      <c r="X966" s="18">
        <f>IF(W966="","",IF(Murid!F966="TL","TL",ROUND(W966/110*100,2)))</f>
        <v/>
      </c>
    </row>
    <row r="967">
      <c r="A967" s="15">
        <f>Murid!A967</f>
        <v/>
      </c>
      <c r="B967" s="15">
        <f>IF(Murid!B967="","",Murid!B967)</f>
        <v/>
      </c>
      <c r="C967" s="16">
        <f>IF(Murid!C967="","",Murid!C967)</f>
        <v/>
      </c>
      <c r="D967" s="15">
        <f>IF(Murid!E967="","",Murid!E967)</f>
        <v/>
      </c>
      <c r="E967" s="11" t="n"/>
      <c r="F967" s="11" t="n"/>
      <c r="G967" s="10">
        <f>IF(F967="","",IFERROR(VLOOKUP(F967,T_JUB,2,FALSE),0))</f>
        <v/>
      </c>
      <c r="H967" s="11" t="n"/>
      <c r="I967" s="17">
        <f>IF(H967="","",IF(H967&gt;=12,40,ROUND(H967*3.33,2)))</f>
        <v/>
      </c>
      <c r="J967" s="11" t="n"/>
      <c r="K967" s="11" t="n"/>
      <c r="L967" s="11" t="n"/>
      <c r="M967" s="11" t="n"/>
      <c r="N967" s="10">
        <f>IF(COUNTA(J967:M967)=0,"",MIN(10,SUMPRODUCT((COUNTIF(J967:M967,L_KOM)&gt;0)*S_KOM)))</f>
        <v/>
      </c>
      <c r="O967" s="11" t="n"/>
      <c r="P967" s="10">
        <f>IF(O967="","",IFERROR(VLOOKUP(O967,T_KHID,2,FALSE),0))</f>
        <v/>
      </c>
      <c r="Q967" s="11" t="n"/>
      <c r="R967" s="11" t="n"/>
      <c r="S967" s="10">
        <f>IF(AND(Q967="",R967=""),"",IFERROR(INDEX(T_LIBAT,MATCH(Q967,L_PER,0),MATCH(R967,L_JENIS,0)),0))</f>
        <v/>
      </c>
      <c r="T967" s="11" t="n"/>
      <c r="U967" s="11" t="n"/>
      <c r="V967" s="10">
        <f>IF(AND(T967="",U967=""),"",IFERROR(INDEX(T_CAPAI,MATCH(T967,L_PER,0),MATCH(U967,L_KED,0)),0))</f>
        <v/>
      </c>
      <c r="W967" s="17">
        <f>IF(OR(B967="",E967="",COUNTA(F967,H967,J967:M967,O967,Q967:R967,T967:U967)=0),"",SUM(G967,I967,N967,P967,S967,V967))</f>
        <v/>
      </c>
      <c r="X967" s="18">
        <f>IF(W967="","",IF(Murid!F967="TL","TL",ROUND(W967/110*100,2)))</f>
        <v/>
      </c>
    </row>
    <row r="968">
      <c r="A968" s="15">
        <f>Murid!A968</f>
        <v/>
      </c>
      <c r="B968" s="15">
        <f>IF(Murid!B968="","",Murid!B968)</f>
        <v/>
      </c>
      <c r="C968" s="16">
        <f>IF(Murid!C968="","",Murid!C968)</f>
        <v/>
      </c>
      <c r="D968" s="15">
        <f>IF(Murid!E968="","",Murid!E968)</f>
        <v/>
      </c>
      <c r="E968" s="11" t="n"/>
      <c r="F968" s="11" t="n"/>
      <c r="G968" s="10">
        <f>IF(F968="","",IFERROR(VLOOKUP(F968,T_JUB,2,FALSE),0))</f>
        <v/>
      </c>
      <c r="H968" s="11" t="n"/>
      <c r="I968" s="17">
        <f>IF(H968="","",IF(H968&gt;=12,40,ROUND(H968*3.33,2)))</f>
        <v/>
      </c>
      <c r="J968" s="11" t="n"/>
      <c r="K968" s="11" t="n"/>
      <c r="L968" s="11" t="n"/>
      <c r="M968" s="11" t="n"/>
      <c r="N968" s="10">
        <f>IF(COUNTA(J968:M968)=0,"",MIN(10,SUMPRODUCT((COUNTIF(J968:M968,L_KOM)&gt;0)*S_KOM)))</f>
        <v/>
      </c>
      <c r="O968" s="11" t="n"/>
      <c r="P968" s="10">
        <f>IF(O968="","",IFERROR(VLOOKUP(O968,T_KHID,2,FALSE),0))</f>
        <v/>
      </c>
      <c r="Q968" s="11" t="n"/>
      <c r="R968" s="11" t="n"/>
      <c r="S968" s="10">
        <f>IF(AND(Q968="",R968=""),"",IFERROR(INDEX(T_LIBAT,MATCH(Q968,L_PER,0),MATCH(R968,L_JENIS,0)),0))</f>
        <v/>
      </c>
      <c r="T968" s="11" t="n"/>
      <c r="U968" s="11" t="n"/>
      <c r="V968" s="10">
        <f>IF(AND(T968="",U968=""),"",IFERROR(INDEX(T_CAPAI,MATCH(T968,L_PER,0),MATCH(U968,L_KED,0)),0))</f>
        <v/>
      </c>
      <c r="W968" s="17">
        <f>IF(OR(B968="",E968="",COUNTA(F968,H968,J968:M968,O968,Q968:R968,T968:U968)=0),"",SUM(G968,I968,N968,P968,S968,V968))</f>
        <v/>
      </c>
      <c r="X968" s="18">
        <f>IF(W968="","",IF(Murid!F968="TL","TL",ROUND(W968/110*100,2)))</f>
        <v/>
      </c>
    </row>
    <row r="969">
      <c r="A969" s="15">
        <f>Murid!A969</f>
        <v/>
      </c>
      <c r="B969" s="15">
        <f>IF(Murid!B969="","",Murid!B969)</f>
        <v/>
      </c>
      <c r="C969" s="16">
        <f>IF(Murid!C969="","",Murid!C969)</f>
        <v/>
      </c>
      <c r="D969" s="15">
        <f>IF(Murid!E969="","",Murid!E969)</f>
        <v/>
      </c>
      <c r="E969" s="11" t="n"/>
      <c r="F969" s="11" t="n"/>
      <c r="G969" s="10">
        <f>IF(F969="","",IFERROR(VLOOKUP(F969,T_JUB,2,FALSE),0))</f>
        <v/>
      </c>
      <c r="H969" s="11" t="n"/>
      <c r="I969" s="17">
        <f>IF(H969="","",IF(H969&gt;=12,40,ROUND(H969*3.33,2)))</f>
        <v/>
      </c>
      <c r="J969" s="11" t="n"/>
      <c r="K969" s="11" t="n"/>
      <c r="L969" s="11" t="n"/>
      <c r="M969" s="11" t="n"/>
      <c r="N969" s="10">
        <f>IF(COUNTA(J969:M969)=0,"",MIN(10,SUMPRODUCT((COUNTIF(J969:M969,L_KOM)&gt;0)*S_KOM)))</f>
        <v/>
      </c>
      <c r="O969" s="11" t="n"/>
      <c r="P969" s="10">
        <f>IF(O969="","",IFERROR(VLOOKUP(O969,T_KHID,2,FALSE),0))</f>
        <v/>
      </c>
      <c r="Q969" s="11" t="n"/>
      <c r="R969" s="11" t="n"/>
      <c r="S969" s="10">
        <f>IF(AND(Q969="",R969=""),"",IFERROR(INDEX(T_LIBAT,MATCH(Q969,L_PER,0),MATCH(R969,L_JENIS,0)),0))</f>
        <v/>
      </c>
      <c r="T969" s="11" t="n"/>
      <c r="U969" s="11" t="n"/>
      <c r="V969" s="10">
        <f>IF(AND(T969="",U969=""),"",IFERROR(INDEX(T_CAPAI,MATCH(T969,L_PER,0),MATCH(U969,L_KED,0)),0))</f>
        <v/>
      </c>
      <c r="W969" s="17">
        <f>IF(OR(B969="",E969="",COUNTA(F969,H969,J969:M969,O969,Q969:R969,T969:U969)=0),"",SUM(G969,I969,N969,P969,S969,V969))</f>
        <v/>
      </c>
      <c r="X969" s="18">
        <f>IF(W969="","",IF(Murid!F969="TL","TL",ROUND(W969/110*100,2)))</f>
        <v/>
      </c>
    </row>
    <row r="970">
      <c r="A970" s="15">
        <f>Murid!A970</f>
        <v/>
      </c>
      <c r="B970" s="15">
        <f>IF(Murid!B970="","",Murid!B970)</f>
        <v/>
      </c>
      <c r="C970" s="16">
        <f>IF(Murid!C970="","",Murid!C970)</f>
        <v/>
      </c>
      <c r="D970" s="15">
        <f>IF(Murid!E970="","",Murid!E970)</f>
        <v/>
      </c>
      <c r="E970" s="11" t="n"/>
      <c r="F970" s="11" t="n"/>
      <c r="G970" s="10">
        <f>IF(F970="","",IFERROR(VLOOKUP(F970,T_JUB,2,FALSE),0))</f>
        <v/>
      </c>
      <c r="H970" s="11" t="n"/>
      <c r="I970" s="17">
        <f>IF(H970="","",IF(H970&gt;=12,40,ROUND(H970*3.33,2)))</f>
        <v/>
      </c>
      <c r="J970" s="11" t="n"/>
      <c r="K970" s="11" t="n"/>
      <c r="L970" s="11" t="n"/>
      <c r="M970" s="11" t="n"/>
      <c r="N970" s="10">
        <f>IF(COUNTA(J970:M970)=0,"",MIN(10,SUMPRODUCT((COUNTIF(J970:M970,L_KOM)&gt;0)*S_KOM)))</f>
        <v/>
      </c>
      <c r="O970" s="11" t="n"/>
      <c r="P970" s="10">
        <f>IF(O970="","",IFERROR(VLOOKUP(O970,T_KHID,2,FALSE),0))</f>
        <v/>
      </c>
      <c r="Q970" s="11" t="n"/>
      <c r="R970" s="11" t="n"/>
      <c r="S970" s="10">
        <f>IF(AND(Q970="",R970=""),"",IFERROR(INDEX(T_LIBAT,MATCH(Q970,L_PER,0),MATCH(R970,L_JENIS,0)),0))</f>
        <v/>
      </c>
      <c r="T970" s="11" t="n"/>
      <c r="U970" s="11" t="n"/>
      <c r="V970" s="10">
        <f>IF(AND(T970="",U970=""),"",IFERROR(INDEX(T_CAPAI,MATCH(T970,L_PER,0),MATCH(U970,L_KED,0)),0))</f>
        <v/>
      </c>
      <c r="W970" s="17">
        <f>IF(OR(B970="",E970="",COUNTA(F970,H970,J970:M970,O970,Q970:R970,T970:U970)=0),"",SUM(G970,I970,N970,P970,S970,V970))</f>
        <v/>
      </c>
      <c r="X970" s="18">
        <f>IF(W970="","",IF(Murid!F970="TL","TL",ROUND(W970/110*100,2)))</f>
        <v/>
      </c>
    </row>
    <row r="971">
      <c r="A971" s="15">
        <f>Murid!A971</f>
        <v/>
      </c>
      <c r="B971" s="15">
        <f>IF(Murid!B971="","",Murid!B971)</f>
        <v/>
      </c>
      <c r="C971" s="16">
        <f>IF(Murid!C971="","",Murid!C971)</f>
        <v/>
      </c>
      <c r="D971" s="15">
        <f>IF(Murid!E971="","",Murid!E971)</f>
        <v/>
      </c>
      <c r="E971" s="11" t="n"/>
      <c r="F971" s="11" t="n"/>
      <c r="G971" s="10">
        <f>IF(F971="","",IFERROR(VLOOKUP(F971,T_JUB,2,FALSE),0))</f>
        <v/>
      </c>
      <c r="H971" s="11" t="n"/>
      <c r="I971" s="17">
        <f>IF(H971="","",IF(H971&gt;=12,40,ROUND(H971*3.33,2)))</f>
        <v/>
      </c>
      <c r="J971" s="11" t="n"/>
      <c r="K971" s="11" t="n"/>
      <c r="L971" s="11" t="n"/>
      <c r="M971" s="11" t="n"/>
      <c r="N971" s="10">
        <f>IF(COUNTA(J971:M971)=0,"",MIN(10,SUMPRODUCT((COUNTIF(J971:M971,L_KOM)&gt;0)*S_KOM)))</f>
        <v/>
      </c>
      <c r="O971" s="11" t="n"/>
      <c r="P971" s="10">
        <f>IF(O971="","",IFERROR(VLOOKUP(O971,T_KHID,2,FALSE),0))</f>
        <v/>
      </c>
      <c r="Q971" s="11" t="n"/>
      <c r="R971" s="11" t="n"/>
      <c r="S971" s="10">
        <f>IF(AND(Q971="",R971=""),"",IFERROR(INDEX(T_LIBAT,MATCH(Q971,L_PER,0),MATCH(R971,L_JENIS,0)),0))</f>
        <v/>
      </c>
      <c r="T971" s="11" t="n"/>
      <c r="U971" s="11" t="n"/>
      <c r="V971" s="10">
        <f>IF(AND(T971="",U971=""),"",IFERROR(INDEX(T_CAPAI,MATCH(T971,L_PER,0),MATCH(U971,L_KED,0)),0))</f>
        <v/>
      </c>
      <c r="W971" s="17">
        <f>IF(OR(B971="",E971="",COUNTA(F971,H971,J971:M971,O971,Q971:R971,T971:U971)=0),"",SUM(G971,I971,N971,P971,S971,V971))</f>
        <v/>
      </c>
      <c r="X971" s="18">
        <f>IF(W971="","",IF(Murid!F971="TL","TL",ROUND(W971/110*100,2)))</f>
        <v/>
      </c>
    </row>
    <row r="972">
      <c r="A972" s="15">
        <f>Murid!A972</f>
        <v/>
      </c>
      <c r="B972" s="15">
        <f>IF(Murid!B972="","",Murid!B972)</f>
        <v/>
      </c>
      <c r="C972" s="16">
        <f>IF(Murid!C972="","",Murid!C972)</f>
        <v/>
      </c>
      <c r="D972" s="15">
        <f>IF(Murid!E972="","",Murid!E972)</f>
        <v/>
      </c>
      <c r="E972" s="11" t="n"/>
      <c r="F972" s="11" t="n"/>
      <c r="G972" s="10">
        <f>IF(F972="","",IFERROR(VLOOKUP(F972,T_JUB,2,FALSE),0))</f>
        <v/>
      </c>
      <c r="H972" s="11" t="n"/>
      <c r="I972" s="17">
        <f>IF(H972="","",IF(H972&gt;=12,40,ROUND(H972*3.33,2)))</f>
        <v/>
      </c>
      <c r="J972" s="11" t="n"/>
      <c r="K972" s="11" t="n"/>
      <c r="L972" s="11" t="n"/>
      <c r="M972" s="11" t="n"/>
      <c r="N972" s="10">
        <f>IF(COUNTA(J972:M972)=0,"",MIN(10,SUMPRODUCT((COUNTIF(J972:M972,L_KOM)&gt;0)*S_KOM)))</f>
        <v/>
      </c>
      <c r="O972" s="11" t="n"/>
      <c r="P972" s="10">
        <f>IF(O972="","",IFERROR(VLOOKUP(O972,T_KHID,2,FALSE),0))</f>
        <v/>
      </c>
      <c r="Q972" s="11" t="n"/>
      <c r="R972" s="11" t="n"/>
      <c r="S972" s="10">
        <f>IF(AND(Q972="",R972=""),"",IFERROR(INDEX(T_LIBAT,MATCH(Q972,L_PER,0),MATCH(R972,L_JENIS,0)),0))</f>
        <v/>
      </c>
      <c r="T972" s="11" t="n"/>
      <c r="U972" s="11" t="n"/>
      <c r="V972" s="10">
        <f>IF(AND(T972="",U972=""),"",IFERROR(INDEX(T_CAPAI,MATCH(T972,L_PER,0),MATCH(U972,L_KED,0)),0))</f>
        <v/>
      </c>
      <c r="W972" s="17">
        <f>IF(OR(B972="",E972="",COUNTA(F972,H972,J972:M972,O972,Q972:R972,T972:U972)=0),"",SUM(G972,I972,N972,P972,S972,V972))</f>
        <v/>
      </c>
      <c r="X972" s="18">
        <f>IF(W972="","",IF(Murid!F972="TL","TL",ROUND(W972/110*100,2)))</f>
        <v/>
      </c>
    </row>
    <row r="973">
      <c r="A973" s="15">
        <f>Murid!A973</f>
        <v/>
      </c>
      <c r="B973" s="15">
        <f>IF(Murid!B973="","",Murid!B973)</f>
        <v/>
      </c>
      <c r="C973" s="16">
        <f>IF(Murid!C973="","",Murid!C973)</f>
        <v/>
      </c>
      <c r="D973" s="15">
        <f>IF(Murid!E973="","",Murid!E973)</f>
        <v/>
      </c>
      <c r="E973" s="11" t="n"/>
      <c r="F973" s="11" t="n"/>
      <c r="G973" s="10">
        <f>IF(F973="","",IFERROR(VLOOKUP(F973,T_JUB,2,FALSE),0))</f>
        <v/>
      </c>
      <c r="H973" s="11" t="n"/>
      <c r="I973" s="17">
        <f>IF(H973="","",IF(H973&gt;=12,40,ROUND(H973*3.33,2)))</f>
        <v/>
      </c>
      <c r="J973" s="11" t="n"/>
      <c r="K973" s="11" t="n"/>
      <c r="L973" s="11" t="n"/>
      <c r="M973" s="11" t="n"/>
      <c r="N973" s="10">
        <f>IF(COUNTA(J973:M973)=0,"",MIN(10,SUMPRODUCT((COUNTIF(J973:M973,L_KOM)&gt;0)*S_KOM)))</f>
        <v/>
      </c>
      <c r="O973" s="11" t="n"/>
      <c r="P973" s="10">
        <f>IF(O973="","",IFERROR(VLOOKUP(O973,T_KHID,2,FALSE),0))</f>
        <v/>
      </c>
      <c r="Q973" s="11" t="n"/>
      <c r="R973" s="11" t="n"/>
      <c r="S973" s="10">
        <f>IF(AND(Q973="",R973=""),"",IFERROR(INDEX(T_LIBAT,MATCH(Q973,L_PER,0),MATCH(R973,L_JENIS,0)),0))</f>
        <v/>
      </c>
      <c r="T973" s="11" t="n"/>
      <c r="U973" s="11" t="n"/>
      <c r="V973" s="10">
        <f>IF(AND(T973="",U973=""),"",IFERROR(INDEX(T_CAPAI,MATCH(T973,L_PER,0),MATCH(U973,L_KED,0)),0))</f>
        <v/>
      </c>
      <c r="W973" s="17">
        <f>IF(OR(B973="",E973="",COUNTA(F973,H973,J973:M973,O973,Q973:R973,T973:U973)=0),"",SUM(G973,I973,N973,P973,S973,V973))</f>
        <v/>
      </c>
      <c r="X973" s="18">
        <f>IF(W973="","",IF(Murid!F973="TL","TL",ROUND(W973/110*100,2)))</f>
        <v/>
      </c>
    </row>
    <row r="974">
      <c r="A974" s="15">
        <f>Murid!A974</f>
        <v/>
      </c>
      <c r="B974" s="15">
        <f>IF(Murid!B974="","",Murid!B974)</f>
        <v/>
      </c>
      <c r="C974" s="16">
        <f>IF(Murid!C974="","",Murid!C974)</f>
        <v/>
      </c>
      <c r="D974" s="15">
        <f>IF(Murid!E974="","",Murid!E974)</f>
        <v/>
      </c>
      <c r="E974" s="11" t="n"/>
      <c r="F974" s="11" t="n"/>
      <c r="G974" s="10">
        <f>IF(F974="","",IFERROR(VLOOKUP(F974,T_JUB,2,FALSE),0))</f>
        <v/>
      </c>
      <c r="H974" s="11" t="n"/>
      <c r="I974" s="17">
        <f>IF(H974="","",IF(H974&gt;=12,40,ROUND(H974*3.33,2)))</f>
        <v/>
      </c>
      <c r="J974" s="11" t="n"/>
      <c r="K974" s="11" t="n"/>
      <c r="L974" s="11" t="n"/>
      <c r="M974" s="11" t="n"/>
      <c r="N974" s="10">
        <f>IF(COUNTA(J974:M974)=0,"",MIN(10,SUMPRODUCT((COUNTIF(J974:M974,L_KOM)&gt;0)*S_KOM)))</f>
        <v/>
      </c>
      <c r="O974" s="11" t="n"/>
      <c r="P974" s="10">
        <f>IF(O974="","",IFERROR(VLOOKUP(O974,T_KHID,2,FALSE),0))</f>
        <v/>
      </c>
      <c r="Q974" s="11" t="n"/>
      <c r="R974" s="11" t="n"/>
      <c r="S974" s="10">
        <f>IF(AND(Q974="",R974=""),"",IFERROR(INDEX(T_LIBAT,MATCH(Q974,L_PER,0),MATCH(R974,L_JENIS,0)),0))</f>
        <v/>
      </c>
      <c r="T974" s="11" t="n"/>
      <c r="U974" s="11" t="n"/>
      <c r="V974" s="10">
        <f>IF(AND(T974="",U974=""),"",IFERROR(INDEX(T_CAPAI,MATCH(T974,L_PER,0),MATCH(U974,L_KED,0)),0))</f>
        <v/>
      </c>
      <c r="W974" s="17">
        <f>IF(OR(B974="",E974="",COUNTA(F974,H974,J974:M974,O974,Q974:R974,T974:U974)=0),"",SUM(G974,I974,N974,P974,S974,V974))</f>
        <v/>
      </c>
      <c r="X974" s="18">
        <f>IF(W974="","",IF(Murid!F974="TL","TL",ROUND(W974/110*100,2)))</f>
        <v/>
      </c>
    </row>
    <row r="975">
      <c r="A975" s="15">
        <f>Murid!A975</f>
        <v/>
      </c>
      <c r="B975" s="15">
        <f>IF(Murid!B975="","",Murid!B975)</f>
        <v/>
      </c>
      <c r="C975" s="16">
        <f>IF(Murid!C975="","",Murid!C975)</f>
        <v/>
      </c>
      <c r="D975" s="15">
        <f>IF(Murid!E975="","",Murid!E975)</f>
        <v/>
      </c>
      <c r="E975" s="11" t="n"/>
      <c r="F975" s="11" t="n"/>
      <c r="G975" s="10">
        <f>IF(F975="","",IFERROR(VLOOKUP(F975,T_JUB,2,FALSE),0))</f>
        <v/>
      </c>
      <c r="H975" s="11" t="n"/>
      <c r="I975" s="17">
        <f>IF(H975="","",IF(H975&gt;=12,40,ROUND(H975*3.33,2)))</f>
        <v/>
      </c>
      <c r="J975" s="11" t="n"/>
      <c r="K975" s="11" t="n"/>
      <c r="L975" s="11" t="n"/>
      <c r="M975" s="11" t="n"/>
      <c r="N975" s="10">
        <f>IF(COUNTA(J975:M975)=0,"",MIN(10,SUMPRODUCT((COUNTIF(J975:M975,L_KOM)&gt;0)*S_KOM)))</f>
        <v/>
      </c>
      <c r="O975" s="11" t="n"/>
      <c r="P975" s="10">
        <f>IF(O975="","",IFERROR(VLOOKUP(O975,T_KHID,2,FALSE),0))</f>
        <v/>
      </c>
      <c r="Q975" s="11" t="n"/>
      <c r="R975" s="11" t="n"/>
      <c r="S975" s="10">
        <f>IF(AND(Q975="",R975=""),"",IFERROR(INDEX(T_LIBAT,MATCH(Q975,L_PER,0),MATCH(R975,L_JENIS,0)),0))</f>
        <v/>
      </c>
      <c r="T975" s="11" t="n"/>
      <c r="U975" s="11" t="n"/>
      <c r="V975" s="10">
        <f>IF(AND(T975="",U975=""),"",IFERROR(INDEX(T_CAPAI,MATCH(T975,L_PER,0),MATCH(U975,L_KED,0)),0))</f>
        <v/>
      </c>
      <c r="W975" s="17">
        <f>IF(OR(B975="",E975="",COUNTA(F975,H975,J975:M975,O975,Q975:R975,T975:U975)=0),"",SUM(G975,I975,N975,P975,S975,V975))</f>
        <v/>
      </c>
      <c r="X975" s="18">
        <f>IF(W975="","",IF(Murid!F975="TL","TL",ROUND(W975/110*100,2)))</f>
        <v/>
      </c>
    </row>
    <row r="976">
      <c r="A976" s="15">
        <f>Murid!A976</f>
        <v/>
      </c>
      <c r="B976" s="15">
        <f>IF(Murid!B976="","",Murid!B976)</f>
        <v/>
      </c>
      <c r="C976" s="16">
        <f>IF(Murid!C976="","",Murid!C976)</f>
        <v/>
      </c>
      <c r="D976" s="15">
        <f>IF(Murid!E976="","",Murid!E976)</f>
        <v/>
      </c>
      <c r="E976" s="11" t="n"/>
      <c r="F976" s="11" t="n"/>
      <c r="G976" s="10">
        <f>IF(F976="","",IFERROR(VLOOKUP(F976,T_JUB,2,FALSE),0))</f>
        <v/>
      </c>
      <c r="H976" s="11" t="n"/>
      <c r="I976" s="17">
        <f>IF(H976="","",IF(H976&gt;=12,40,ROUND(H976*3.33,2)))</f>
        <v/>
      </c>
      <c r="J976" s="11" t="n"/>
      <c r="K976" s="11" t="n"/>
      <c r="L976" s="11" t="n"/>
      <c r="M976" s="11" t="n"/>
      <c r="N976" s="10">
        <f>IF(COUNTA(J976:M976)=0,"",MIN(10,SUMPRODUCT((COUNTIF(J976:M976,L_KOM)&gt;0)*S_KOM)))</f>
        <v/>
      </c>
      <c r="O976" s="11" t="n"/>
      <c r="P976" s="10">
        <f>IF(O976="","",IFERROR(VLOOKUP(O976,T_KHID,2,FALSE),0))</f>
        <v/>
      </c>
      <c r="Q976" s="11" t="n"/>
      <c r="R976" s="11" t="n"/>
      <c r="S976" s="10">
        <f>IF(AND(Q976="",R976=""),"",IFERROR(INDEX(T_LIBAT,MATCH(Q976,L_PER,0),MATCH(R976,L_JENIS,0)),0))</f>
        <v/>
      </c>
      <c r="T976" s="11" t="n"/>
      <c r="U976" s="11" t="n"/>
      <c r="V976" s="10">
        <f>IF(AND(T976="",U976=""),"",IFERROR(INDEX(T_CAPAI,MATCH(T976,L_PER,0),MATCH(U976,L_KED,0)),0))</f>
        <v/>
      </c>
      <c r="W976" s="17">
        <f>IF(OR(B976="",E976="",COUNTA(F976,H976,J976:M976,O976,Q976:R976,T976:U976)=0),"",SUM(G976,I976,N976,P976,S976,V976))</f>
        <v/>
      </c>
      <c r="X976" s="18">
        <f>IF(W976="","",IF(Murid!F976="TL","TL",ROUND(W976/110*100,2)))</f>
        <v/>
      </c>
    </row>
    <row r="977">
      <c r="A977" s="15">
        <f>Murid!A977</f>
        <v/>
      </c>
      <c r="B977" s="15">
        <f>IF(Murid!B977="","",Murid!B977)</f>
        <v/>
      </c>
      <c r="C977" s="16">
        <f>IF(Murid!C977="","",Murid!C977)</f>
        <v/>
      </c>
      <c r="D977" s="15">
        <f>IF(Murid!E977="","",Murid!E977)</f>
        <v/>
      </c>
      <c r="E977" s="11" t="n"/>
      <c r="F977" s="11" t="n"/>
      <c r="G977" s="10">
        <f>IF(F977="","",IFERROR(VLOOKUP(F977,T_JUB,2,FALSE),0))</f>
        <v/>
      </c>
      <c r="H977" s="11" t="n"/>
      <c r="I977" s="17">
        <f>IF(H977="","",IF(H977&gt;=12,40,ROUND(H977*3.33,2)))</f>
        <v/>
      </c>
      <c r="J977" s="11" t="n"/>
      <c r="K977" s="11" t="n"/>
      <c r="L977" s="11" t="n"/>
      <c r="M977" s="11" t="n"/>
      <c r="N977" s="10">
        <f>IF(COUNTA(J977:M977)=0,"",MIN(10,SUMPRODUCT((COUNTIF(J977:M977,L_KOM)&gt;0)*S_KOM)))</f>
        <v/>
      </c>
      <c r="O977" s="11" t="n"/>
      <c r="P977" s="10">
        <f>IF(O977="","",IFERROR(VLOOKUP(O977,T_KHID,2,FALSE),0))</f>
        <v/>
      </c>
      <c r="Q977" s="11" t="n"/>
      <c r="R977" s="11" t="n"/>
      <c r="S977" s="10">
        <f>IF(AND(Q977="",R977=""),"",IFERROR(INDEX(T_LIBAT,MATCH(Q977,L_PER,0),MATCH(R977,L_JENIS,0)),0))</f>
        <v/>
      </c>
      <c r="T977" s="11" t="n"/>
      <c r="U977" s="11" t="n"/>
      <c r="V977" s="10">
        <f>IF(AND(T977="",U977=""),"",IFERROR(INDEX(T_CAPAI,MATCH(T977,L_PER,0),MATCH(U977,L_KED,0)),0))</f>
        <v/>
      </c>
      <c r="W977" s="17">
        <f>IF(OR(B977="",E977="",COUNTA(F977,H977,J977:M977,O977,Q977:R977,T977:U977)=0),"",SUM(G977,I977,N977,P977,S977,V977))</f>
        <v/>
      </c>
      <c r="X977" s="18">
        <f>IF(W977="","",IF(Murid!F977="TL","TL",ROUND(W977/110*100,2)))</f>
        <v/>
      </c>
    </row>
    <row r="978">
      <c r="A978" s="15">
        <f>Murid!A978</f>
        <v/>
      </c>
      <c r="B978" s="15">
        <f>IF(Murid!B978="","",Murid!B978)</f>
        <v/>
      </c>
      <c r="C978" s="16">
        <f>IF(Murid!C978="","",Murid!C978)</f>
        <v/>
      </c>
      <c r="D978" s="15">
        <f>IF(Murid!E978="","",Murid!E978)</f>
        <v/>
      </c>
      <c r="E978" s="11" t="n"/>
      <c r="F978" s="11" t="n"/>
      <c r="G978" s="10">
        <f>IF(F978="","",IFERROR(VLOOKUP(F978,T_JUB,2,FALSE),0))</f>
        <v/>
      </c>
      <c r="H978" s="11" t="n"/>
      <c r="I978" s="17">
        <f>IF(H978="","",IF(H978&gt;=12,40,ROUND(H978*3.33,2)))</f>
        <v/>
      </c>
      <c r="J978" s="11" t="n"/>
      <c r="K978" s="11" t="n"/>
      <c r="L978" s="11" t="n"/>
      <c r="M978" s="11" t="n"/>
      <c r="N978" s="10">
        <f>IF(COUNTA(J978:M978)=0,"",MIN(10,SUMPRODUCT((COUNTIF(J978:M978,L_KOM)&gt;0)*S_KOM)))</f>
        <v/>
      </c>
      <c r="O978" s="11" t="n"/>
      <c r="P978" s="10">
        <f>IF(O978="","",IFERROR(VLOOKUP(O978,T_KHID,2,FALSE),0))</f>
        <v/>
      </c>
      <c r="Q978" s="11" t="n"/>
      <c r="R978" s="11" t="n"/>
      <c r="S978" s="10">
        <f>IF(AND(Q978="",R978=""),"",IFERROR(INDEX(T_LIBAT,MATCH(Q978,L_PER,0),MATCH(R978,L_JENIS,0)),0))</f>
        <v/>
      </c>
      <c r="T978" s="11" t="n"/>
      <c r="U978" s="11" t="n"/>
      <c r="V978" s="10">
        <f>IF(AND(T978="",U978=""),"",IFERROR(INDEX(T_CAPAI,MATCH(T978,L_PER,0),MATCH(U978,L_KED,0)),0))</f>
        <v/>
      </c>
      <c r="W978" s="17">
        <f>IF(OR(B978="",E978="",COUNTA(F978,H978,J978:M978,O978,Q978:R978,T978:U978)=0),"",SUM(G978,I978,N978,P978,S978,V978))</f>
        <v/>
      </c>
      <c r="X978" s="18">
        <f>IF(W978="","",IF(Murid!F978="TL","TL",ROUND(W978/110*100,2)))</f>
        <v/>
      </c>
    </row>
    <row r="979">
      <c r="A979" s="15">
        <f>Murid!A979</f>
        <v/>
      </c>
      <c r="B979" s="15">
        <f>IF(Murid!B979="","",Murid!B979)</f>
        <v/>
      </c>
      <c r="C979" s="16">
        <f>IF(Murid!C979="","",Murid!C979)</f>
        <v/>
      </c>
      <c r="D979" s="15">
        <f>IF(Murid!E979="","",Murid!E979)</f>
        <v/>
      </c>
      <c r="E979" s="11" t="n"/>
      <c r="F979" s="11" t="n"/>
      <c r="G979" s="10">
        <f>IF(F979="","",IFERROR(VLOOKUP(F979,T_JUB,2,FALSE),0))</f>
        <v/>
      </c>
      <c r="H979" s="11" t="n"/>
      <c r="I979" s="17">
        <f>IF(H979="","",IF(H979&gt;=12,40,ROUND(H979*3.33,2)))</f>
        <v/>
      </c>
      <c r="J979" s="11" t="n"/>
      <c r="K979" s="11" t="n"/>
      <c r="L979" s="11" t="n"/>
      <c r="M979" s="11" t="n"/>
      <c r="N979" s="10">
        <f>IF(COUNTA(J979:M979)=0,"",MIN(10,SUMPRODUCT((COUNTIF(J979:M979,L_KOM)&gt;0)*S_KOM)))</f>
        <v/>
      </c>
      <c r="O979" s="11" t="n"/>
      <c r="P979" s="10">
        <f>IF(O979="","",IFERROR(VLOOKUP(O979,T_KHID,2,FALSE),0))</f>
        <v/>
      </c>
      <c r="Q979" s="11" t="n"/>
      <c r="R979" s="11" t="n"/>
      <c r="S979" s="10">
        <f>IF(AND(Q979="",R979=""),"",IFERROR(INDEX(T_LIBAT,MATCH(Q979,L_PER,0),MATCH(R979,L_JENIS,0)),0))</f>
        <v/>
      </c>
      <c r="T979" s="11" t="n"/>
      <c r="U979" s="11" t="n"/>
      <c r="V979" s="10">
        <f>IF(AND(T979="",U979=""),"",IFERROR(INDEX(T_CAPAI,MATCH(T979,L_PER,0),MATCH(U979,L_KED,0)),0))</f>
        <v/>
      </c>
      <c r="W979" s="17">
        <f>IF(OR(B979="",E979="",COUNTA(F979,H979,J979:M979,O979,Q979:R979,T979:U979)=0),"",SUM(G979,I979,N979,P979,S979,V979))</f>
        <v/>
      </c>
      <c r="X979" s="18">
        <f>IF(W979="","",IF(Murid!F979="TL","TL",ROUND(W979/110*100,2)))</f>
        <v/>
      </c>
    </row>
    <row r="980">
      <c r="A980" s="15">
        <f>Murid!A980</f>
        <v/>
      </c>
      <c r="B980" s="15">
        <f>IF(Murid!B980="","",Murid!B980)</f>
        <v/>
      </c>
      <c r="C980" s="16">
        <f>IF(Murid!C980="","",Murid!C980)</f>
        <v/>
      </c>
      <c r="D980" s="15">
        <f>IF(Murid!E980="","",Murid!E980)</f>
        <v/>
      </c>
      <c r="E980" s="11" t="n"/>
      <c r="F980" s="11" t="n"/>
      <c r="G980" s="10">
        <f>IF(F980="","",IFERROR(VLOOKUP(F980,T_JUB,2,FALSE),0))</f>
        <v/>
      </c>
      <c r="H980" s="11" t="n"/>
      <c r="I980" s="17">
        <f>IF(H980="","",IF(H980&gt;=12,40,ROUND(H980*3.33,2)))</f>
        <v/>
      </c>
      <c r="J980" s="11" t="n"/>
      <c r="K980" s="11" t="n"/>
      <c r="L980" s="11" t="n"/>
      <c r="M980" s="11" t="n"/>
      <c r="N980" s="10">
        <f>IF(COUNTA(J980:M980)=0,"",MIN(10,SUMPRODUCT((COUNTIF(J980:M980,L_KOM)&gt;0)*S_KOM)))</f>
        <v/>
      </c>
      <c r="O980" s="11" t="n"/>
      <c r="P980" s="10">
        <f>IF(O980="","",IFERROR(VLOOKUP(O980,T_KHID,2,FALSE),0))</f>
        <v/>
      </c>
      <c r="Q980" s="11" t="n"/>
      <c r="R980" s="11" t="n"/>
      <c r="S980" s="10">
        <f>IF(AND(Q980="",R980=""),"",IFERROR(INDEX(T_LIBAT,MATCH(Q980,L_PER,0),MATCH(R980,L_JENIS,0)),0))</f>
        <v/>
      </c>
      <c r="T980" s="11" t="n"/>
      <c r="U980" s="11" t="n"/>
      <c r="V980" s="10">
        <f>IF(AND(T980="",U980=""),"",IFERROR(INDEX(T_CAPAI,MATCH(T980,L_PER,0),MATCH(U980,L_KED,0)),0))</f>
        <v/>
      </c>
      <c r="W980" s="17">
        <f>IF(OR(B980="",E980="",COUNTA(F980,H980,J980:M980,O980,Q980:R980,T980:U980)=0),"",SUM(G980,I980,N980,P980,S980,V980))</f>
        <v/>
      </c>
      <c r="X980" s="18">
        <f>IF(W980="","",IF(Murid!F980="TL","TL",ROUND(W980/110*100,2)))</f>
        <v/>
      </c>
    </row>
    <row r="981">
      <c r="A981" s="15">
        <f>Murid!A981</f>
        <v/>
      </c>
      <c r="B981" s="15">
        <f>IF(Murid!B981="","",Murid!B981)</f>
        <v/>
      </c>
      <c r="C981" s="16">
        <f>IF(Murid!C981="","",Murid!C981)</f>
        <v/>
      </c>
      <c r="D981" s="15">
        <f>IF(Murid!E981="","",Murid!E981)</f>
        <v/>
      </c>
      <c r="E981" s="11" t="n"/>
      <c r="F981" s="11" t="n"/>
      <c r="G981" s="10">
        <f>IF(F981="","",IFERROR(VLOOKUP(F981,T_JUB,2,FALSE),0))</f>
        <v/>
      </c>
      <c r="H981" s="11" t="n"/>
      <c r="I981" s="17">
        <f>IF(H981="","",IF(H981&gt;=12,40,ROUND(H981*3.33,2)))</f>
        <v/>
      </c>
      <c r="J981" s="11" t="n"/>
      <c r="K981" s="11" t="n"/>
      <c r="L981" s="11" t="n"/>
      <c r="M981" s="11" t="n"/>
      <c r="N981" s="10">
        <f>IF(COUNTA(J981:M981)=0,"",MIN(10,SUMPRODUCT((COUNTIF(J981:M981,L_KOM)&gt;0)*S_KOM)))</f>
        <v/>
      </c>
      <c r="O981" s="11" t="n"/>
      <c r="P981" s="10">
        <f>IF(O981="","",IFERROR(VLOOKUP(O981,T_KHID,2,FALSE),0))</f>
        <v/>
      </c>
      <c r="Q981" s="11" t="n"/>
      <c r="R981" s="11" t="n"/>
      <c r="S981" s="10">
        <f>IF(AND(Q981="",R981=""),"",IFERROR(INDEX(T_LIBAT,MATCH(Q981,L_PER,0),MATCH(R981,L_JENIS,0)),0))</f>
        <v/>
      </c>
      <c r="T981" s="11" t="n"/>
      <c r="U981" s="11" t="n"/>
      <c r="V981" s="10">
        <f>IF(AND(T981="",U981=""),"",IFERROR(INDEX(T_CAPAI,MATCH(T981,L_PER,0),MATCH(U981,L_KED,0)),0))</f>
        <v/>
      </c>
      <c r="W981" s="17">
        <f>IF(OR(B981="",E981="",COUNTA(F981,H981,J981:M981,O981,Q981:R981,T981:U981)=0),"",SUM(G981,I981,N981,P981,S981,V981))</f>
        <v/>
      </c>
      <c r="X981" s="18">
        <f>IF(W981="","",IF(Murid!F981="TL","TL",ROUND(W981/110*100,2)))</f>
        <v/>
      </c>
    </row>
    <row r="982">
      <c r="A982" s="15">
        <f>Murid!A982</f>
        <v/>
      </c>
      <c r="B982" s="15">
        <f>IF(Murid!B982="","",Murid!B982)</f>
        <v/>
      </c>
      <c r="C982" s="16">
        <f>IF(Murid!C982="","",Murid!C982)</f>
        <v/>
      </c>
      <c r="D982" s="15">
        <f>IF(Murid!E982="","",Murid!E982)</f>
        <v/>
      </c>
      <c r="E982" s="11" t="n"/>
      <c r="F982" s="11" t="n"/>
      <c r="G982" s="10">
        <f>IF(F982="","",IFERROR(VLOOKUP(F982,T_JUB,2,FALSE),0))</f>
        <v/>
      </c>
      <c r="H982" s="11" t="n"/>
      <c r="I982" s="17">
        <f>IF(H982="","",IF(H982&gt;=12,40,ROUND(H982*3.33,2)))</f>
        <v/>
      </c>
      <c r="J982" s="11" t="n"/>
      <c r="K982" s="11" t="n"/>
      <c r="L982" s="11" t="n"/>
      <c r="M982" s="11" t="n"/>
      <c r="N982" s="10">
        <f>IF(COUNTA(J982:M982)=0,"",MIN(10,SUMPRODUCT((COUNTIF(J982:M982,L_KOM)&gt;0)*S_KOM)))</f>
        <v/>
      </c>
      <c r="O982" s="11" t="n"/>
      <c r="P982" s="10">
        <f>IF(O982="","",IFERROR(VLOOKUP(O982,T_KHID,2,FALSE),0))</f>
        <v/>
      </c>
      <c r="Q982" s="11" t="n"/>
      <c r="R982" s="11" t="n"/>
      <c r="S982" s="10">
        <f>IF(AND(Q982="",R982=""),"",IFERROR(INDEX(T_LIBAT,MATCH(Q982,L_PER,0),MATCH(R982,L_JENIS,0)),0))</f>
        <v/>
      </c>
      <c r="T982" s="11" t="n"/>
      <c r="U982" s="11" t="n"/>
      <c r="V982" s="10">
        <f>IF(AND(T982="",U982=""),"",IFERROR(INDEX(T_CAPAI,MATCH(T982,L_PER,0),MATCH(U982,L_KED,0)),0))</f>
        <v/>
      </c>
      <c r="W982" s="17">
        <f>IF(OR(B982="",E982="",COUNTA(F982,H982,J982:M982,O982,Q982:R982,T982:U982)=0),"",SUM(G982,I982,N982,P982,S982,V982))</f>
        <v/>
      </c>
      <c r="X982" s="18">
        <f>IF(W982="","",IF(Murid!F982="TL","TL",ROUND(W982/110*100,2)))</f>
        <v/>
      </c>
    </row>
    <row r="983">
      <c r="A983" s="15">
        <f>Murid!A983</f>
        <v/>
      </c>
      <c r="B983" s="15">
        <f>IF(Murid!B983="","",Murid!B983)</f>
        <v/>
      </c>
      <c r="C983" s="16">
        <f>IF(Murid!C983="","",Murid!C983)</f>
        <v/>
      </c>
      <c r="D983" s="15">
        <f>IF(Murid!E983="","",Murid!E983)</f>
        <v/>
      </c>
      <c r="E983" s="11" t="n"/>
      <c r="F983" s="11" t="n"/>
      <c r="G983" s="10">
        <f>IF(F983="","",IFERROR(VLOOKUP(F983,T_JUB,2,FALSE),0))</f>
        <v/>
      </c>
      <c r="H983" s="11" t="n"/>
      <c r="I983" s="17">
        <f>IF(H983="","",IF(H983&gt;=12,40,ROUND(H983*3.33,2)))</f>
        <v/>
      </c>
      <c r="J983" s="11" t="n"/>
      <c r="K983" s="11" t="n"/>
      <c r="L983" s="11" t="n"/>
      <c r="M983" s="11" t="n"/>
      <c r="N983" s="10">
        <f>IF(COUNTA(J983:M983)=0,"",MIN(10,SUMPRODUCT((COUNTIF(J983:M983,L_KOM)&gt;0)*S_KOM)))</f>
        <v/>
      </c>
      <c r="O983" s="11" t="n"/>
      <c r="P983" s="10">
        <f>IF(O983="","",IFERROR(VLOOKUP(O983,T_KHID,2,FALSE),0))</f>
        <v/>
      </c>
      <c r="Q983" s="11" t="n"/>
      <c r="R983" s="11" t="n"/>
      <c r="S983" s="10">
        <f>IF(AND(Q983="",R983=""),"",IFERROR(INDEX(T_LIBAT,MATCH(Q983,L_PER,0),MATCH(R983,L_JENIS,0)),0))</f>
        <v/>
      </c>
      <c r="T983" s="11" t="n"/>
      <c r="U983" s="11" t="n"/>
      <c r="V983" s="10">
        <f>IF(AND(T983="",U983=""),"",IFERROR(INDEX(T_CAPAI,MATCH(T983,L_PER,0),MATCH(U983,L_KED,0)),0))</f>
        <v/>
      </c>
      <c r="W983" s="17">
        <f>IF(OR(B983="",E983="",COUNTA(F983,H983,J983:M983,O983,Q983:R983,T983:U983)=0),"",SUM(G983,I983,N983,P983,S983,V983))</f>
        <v/>
      </c>
      <c r="X983" s="18">
        <f>IF(W983="","",IF(Murid!F983="TL","TL",ROUND(W983/110*100,2)))</f>
        <v/>
      </c>
    </row>
    <row r="984">
      <c r="A984" s="15">
        <f>Murid!A984</f>
        <v/>
      </c>
      <c r="B984" s="15">
        <f>IF(Murid!B984="","",Murid!B984)</f>
        <v/>
      </c>
      <c r="C984" s="16">
        <f>IF(Murid!C984="","",Murid!C984)</f>
        <v/>
      </c>
      <c r="D984" s="15">
        <f>IF(Murid!E984="","",Murid!E984)</f>
        <v/>
      </c>
      <c r="E984" s="11" t="n"/>
      <c r="F984" s="11" t="n"/>
      <c r="G984" s="10">
        <f>IF(F984="","",IFERROR(VLOOKUP(F984,T_JUB,2,FALSE),0))</f>
        <v/>
      </c>
      <c r="H984" s="11" t="n"/>
      <c r="I984" s="17">
        <f>IF(H984="","",IF(H984&gt;=12,40,ROUND(H984*3.33,2)))</f>
        <v/>
      </c>
      <c r="J984" s="11" t="n"/>
      <c r="K984" s="11" t="n"/>
      <c r="L984" s="11" t="n"/>
      <c r="M984" s="11" t="n"/>
      <c r="N984" s="10">
        <f>IF(COUNTA(J984:M984)=0,"",MIN(10,SUMPRODUCT((COUNTIF(J984:M984,L_KOM)&gt;0)*S_KOM)))</f>
        <v/>
      </c>
      <c r="O984" s="11" t="n"/>
      <c r="P984" s="10">
        <f>IF(O984="","",IFERROR(VLOOKUP(O984,T_KHID,2,FALSE),0))</f>
        <v/>
      </c>
      <c r="Q984" s="11" t="n"/>
      <c r="R984" s="11" t="n"/>
      <c r="S984" s="10">
        <f>IF(AND(Q984="",R984=""),"",IFERROR(INDEX(T_LIBAT,MATCH(Q984,L_PER,0),MATCH(R984,L_JENIS,0)),0))</f>
        <v/>
      </c>
      <c r="T984" s="11" t="n"/>
      <c r="U984" s="11" t="n"/>
      <c r="V984" s="10">
        <f>IF(AND(T984="",U984=""),"",IFERROR(INDEX(T_CAPAI,MATCH(T984,L_PER,0),MATCH(U984,L_KED,0)),0))</f>
        <v/>
      </c>
      <c r="W984" s="17">
        <f>IF(OR(B984="",E984="",COUNTA(F984,H984,J984:M984,O984,Q984:R984,T984:U984)=0),"",SUM(G984,I984,N984,P984,S984,V984))</f>
        <v/>
      </c>
      <c r="X984" s="18">
        <f>IF(W984="","",IF(Murid!F984="TL","TL",ROUND(W984/110*100,2)))</f>
        <v/>
      </c>
    </row>
    <row r="985">
      <c r="A985" s="15">
        <f>Murid!A985</f>
        <v/>
      </c>
      <c r="B985" s="15">
        <f>IF(Murid!B985="","",Murid!B985)</f>
        <v/>
      </c>
      <c r="C985" s="16">
        <f>IF(Murid!C985="","",Murid!C985)</f>
        <v/>
      </c>
      <c r="D985" s="15">
        <f>IF(Murid!E985="","",Murid!E985)</f>
        <v/>
      </c>
      <c r="E985" s="11" t="n"/>
      <c r="F985" s="11" t="n"/>
      <c r="G985" s="10">
        <f>IF(F985="","",IFERROR(VLOOKUP(F985,T_JUB,2,FALSE),0))</f>
        <v/>
      </c>
      <c r="H985" s="11" t="n"/>
      <c r="I985" s="17">
        <f>IF(H985="","",IF(H985&gt;=12,40,ROUND(H985*3.33,2)))</f>
        <v/>
      </c>
      <c r="J985" s="11" t="n"/>
      <c r="K985" s="11" t="n"/>
      <c r="L985" s="11" t="n"/>
      <c r="M985" s="11" t="n"/>
      <c r="N985" s="10">
        <f>IF(COUNTA(J985:M985)=0,"",MIN(10,SUMPRODUCT((COUNTIF(J985:M985,L_KOM)&gt;0)*S_KOM)))</f>
        <v/>
      </c>
      <c r="O985" s="11" t="n"/>
      <c r="P985" s="10">
        <f>IF(O985="","",IFERROR(VLOOKUP(O985,T_KHID,2,FALSE),0))</f>
        <v/>
      </c>
      <c r="Q985" s="11" t="n"/>
      <c r="R985" s="11" t="n"/>
      <c r="S985" s="10">
        <f>IF(AND(Q985="",R985=""),"",IFERROR(INDEX(T_LIBAT,MATCH(Q985,L_PER,0),MATCH(R985,L_JENIS,0)),0))</f>
        <v/>
      </c>
      <c r="T985" s="11" t="n"/>
      <c r="U985" s="11" t="n"/>
      <c r="V985" s="10">
        <f>IF(AND(T985="",U985=""),"",IFERROR(INDEX(T_CAPAI,MATCH(T985,L_PER,0),MATCH(U985,L_KED,0)),0))</f>
        <v/>
      </c>
      <c r="W985" s="17">
        <f>IF(OR(B985="",E985="",COUNTA(F985,H985,J985:M985,O985,Q985:R985,T985:U985)=0),"",SUM(G985,I985,N985,P985,S985,V985))</f>
        <v/>
      </c>
      <c r="X985" s="18">
        <f>IF(W985="","",IF(Murid!F985="TL","TL",ROUND(W985/110*100,2)))</f>
        <v/>
      </c>
    </row>
    <row r="986">
      <c r="A986" s="15">
        <f>Murid!A986</f>
        <v/>
      </c>
      <c r="B986" s="15">
        <f>IF(Murid!B986="","",Murid!B986)</f>
        <v/>
      </c>
      <c r="C986" s="16">
        <f>IF(Murid!C986="","",Murid!C986)</f>
        <v/>
      </c>
      <c r="D986" s="15">
        <f>IF(Murid!E986="","",Murid!E986)</f>
        <v/>
      </c>
      <c r="E986" s="11" t="n"/>
      <c r="F986" s="11" t="n"/>
      <c r="G986" s="10">
        <f>IF(F986="","",IFERROR(VLOOKUP(F986,T_JUB,2,FALSE),0))</f>
        <v/>
      </c>
      <c r="H986" s="11" t="n"/>
      <c r="I986" s="17">
        <f>IF(H986="","",IF(H986&gt;=12,40,ROUND(H986*3.33,2)))</f>
        <v/>
      </c>
      <c r="J986" s="11" t="n"/>
      <c r="K986" s="11" t="n"/>
      <c r="L986" s="11" t="n"/>
      <c r="M986" s="11" t="n"/>
      <c r="N986" s="10">
        <f>IF(COUNTA(J986:M986)=0,"",MIN(10,SUMPRODUCT((COUNTIF(J986:M986,L_KOM)&gt;0)*S_KOM)))</f>
        <v/>
      </c>
      <c r="O986" s="11" t="n"/>
      <c r="P986" s="10">
        <f>IF(O986="","",IFERROR(VLOOKUP(O986,T_KHID,2,FALSE),0))</f>
        <v/>
      </c>
      <c r="Q986" s="11" t="n"/>
      <c r="R986" s="11" t="n"/>
      <c r="S986" s="10">
        <f>IF(AND(Q986="",R986=""),"",IFERROR(INDEX(T_LIBAT,MATCH(Q986,L_PER,0),MATCH(R986,L_JENIS,0)),0))</f>
        <v/>
      </c>
      <c r="T986" s="11" t="n"/>
      <c r="U986" s="11" t="n"/>
      <c r="V986" s="10">
        <f>IF(AND(T986="",U986=""),"",IFERROR(INDEX(T_CAPAI,MATCH(T986,L_PER,0),MATCH(U986,L_KED,0)),0))</f>
        <v/>
      </c>
      <c r="W986" s="17">
        <f>IF(OR(B986="",E986="",COUNTA(F986,H986,J986:M986,O986,Q986:R986,T986:U986)=0),"",SUM(G986,I986,N986,P986,S986,V986))</f>
        <v/>
      </c>
      <c r="X986" s="18">
        <f>IF(W986="","",IF(Murid!F986="TL","TL",ROUND(W986/110*100,2)))</f>
        <v/>
      </c>
    </row>
    <row r="987">
      <c r="A987" s="15">
        <f>Murid!A987</f>
        <v/>
      </c>
      <c r="B987" s="15">
        <f>IF(Murid!B987="","",Murid!B987)</f>
        <v/>
      </c>
      <c r="C987" s="16">
        <f>IF(Murid!C987="","",Murid!C987)</f>
        <v/>
      </c>
      <c r="D987" s="15">
        <f>IF(Murid!E987="","",Murid!E987)</f>
        <v/>
      </c>
      <c r="E987" s="11" t="n"/>
      <c r="F987" s="11" t="n"/>
      <c r="G987" s="10">
        <f>IF(F987="","",IFERROR(VLOOKUP(F987,T_JUB,2,FALSE),0))</f>
        <v/>
      </c>
      <c r="H987" s="11" t="n"/>
      <c r="I987" s="17">
        <f>IF(H987="","",IF(H987&gt;=12,40,ROUND(H987*3.33,2)))</f>
        <v/>
      </c>
      <c r="J987" s="11" t="n"/>
      <c r="K987" s="11" t="n"/>
      <c r="L987" s="11" t="n"/>
      <c r="M987" s="11" t="n"/>
      <c r="N987" s="10">
        <f>IF(COUNTA(J987:M987)=0,"",MIN(10,SUMPRODUCT((COUNTIF(J987:M987,L_KOM)&gt;0)*S_KOM)))</f>
        <v/>
      </c>
      <c r="O987" s="11" t="n"/>
      <c r="P987" s="10">
        <f>IF(O987="","",IFERROR(VLOOKUP(O987,T_KHID,2,FALSE),0))</f>
        <v/>
      </c>
      <c r="Q987" s="11" t="n"/>
      <c r="R987" s="11" t="n"/>
      <c r="S987" s="10">
        <f>IF(AND(Q987="",R987=""),"",IFERROR(INDEX(T_LIBAT,MATCH(Q987,L_PER,0),MATCH(R987,L_JENIS,0)),0))</f>
        <v/>
      </c>
      <c r="T987" s="11" t="n"/>
      <c r="U987" s="11" t="n"/>
      <c r="V987" s="10">
        <f>IF(AND(T987="",U987=""),"",IFERROR(INDEX(T_CAPAI,MATCH(T987,L_PER,0),MATCH(U987,L_KED,0)),0))</f>
        <v/>
      </c>
      <c r="W987" s="17">
        <f>IF(OR(B987="",E987="",COUNTA(F987,H987,J987:M987,O987,Q987:R987,T987:U987)=0),"",SUM(G987,I987,N987,P987,S987,V987))</f>
        <v/>
      </c>
      <c r="X987" s="18">
        <f>IF(W987="","",IF(Murid!F987="TL","TL",ROUND(W987/110*100,2)))</f>
        <v/>
      </c>
    </row>
    <row r="988">
      <c r="A988" s="15">
        <f>Murid!A988</f>
        <v/>
      </c>
      <c r="B988" s="15">
        <f>IF(Murid!B988="","",Murid!B988)</f>
        <v/>
      </c>
      <c r="C988" s="16">
        <f>IF(Murid!C988="","",Murid!C988)</f>
        <v/>
      </c>
      <c r="D988" s="15">
        <f>IF(Murid!E988="","",Murid!E988)</f>
        <v/>
      </c>
      <c r="E988" s="11" t="n"/>
      <c r="F988" s="11" t="n"/>
      <c r="G988" s="10">
        <f>IF(F988="","",IFERROR(VLOOKUP(F988,T_JUB,2,FALSE),0))</f>
        <v/>
      </c>
      <c r="H988" s="11" t="n"/>
      <c r="I988" s="17">
        <f>IF(H988="","",IF(H988&gt;=12,40,ROUND(H988*3.33,2)))</f>
        <v/>
      </c>
      <c r="J988" s="11" t="n"/>
      <c r="K988" s="11" t="n"/>
      <c r="L988" s="11" t="n"/>
      <c r="M988" s="11" t="n"/>
      <c r="N988" s="10">
        <f>IF(COUNTA(J988:M988)=0,"",MIN(10,SUMPRODUCT((COUNTIF(J988:M988,L_KOM)&gt;0)*S_KOM)))</f>
        <v/>
      </c>
      <c r="O988" s="11" t="n"/>
      <c r="P988" s="10">
        <f>IF(O988="","",IFERROR(VLOOKUP(O988,T_KHID,2,FALSE),0))</f>
        <v/>
      </c>
      <c r="Q988" s="11" t="n"/>
      <c r="R988" s="11" t="n"/>
      <c r="S988" s="10">
        <f>IF(AND(Q988="",R988=""),"",IFERROR(INDEX(T_LIBAT,MATCH(Q988,L_PER,0),MATCH(R988,L_JENIS,0)),0))</f>
        <v/>
      </c>
      <c r="T988" s="11" t="n"/>
      <c r="U988" s="11" t="n"/>
      <c r="V988" s="10">
        <f>IF(AND(T988="",U988=""),"",IFERROR(INDEX(T_CAPAI,MATCH(T988,L_PER,0),MATCH(U988,L_KED,0)),0))</f>
        <v/>
      </c>
      <c r="W988" s="17">
        <f>IF(OR(B988="",E988="",COUNTA(F988,H988,J988:M988,O988,Q988:R988,T988:U988)=0),"",SUM(G988,I988,N988,P988,S988,V988))</f>
        <v/>
      </c>
      <c r="X988" s="18">
        <f>IF(W988="","",IF(Murid!F988="TL","TL",ROUND(W988/110*100,2)))</f>
        <v/>
      </c>
    </row>
    <row r="989">
      <c r="A989" s="15">
        <f>Murid!A989</f>
        <v/>
      </c>
      <c r="B989" s="15">
        <f>IF(Murid!B989="","",Murid!B989)</f>
        <v/>
      </c>
      <c r="C989" s="16">
        <f>IF(Murid!C989="","",Murid!C989)</f>
        <v/>
      </c>
      <c r="D989" s="15">
        <f>IF(Murid!E989="","",Murid!E989)</f>
        <v/>
      </c>
      <c r="E989" s="11" t="n"/>
      <c r="F989" s="11" t="n"/>
      <c r="G989" s="10">
        <f>IF(F989="","",IFERROR(VLOOKUP(F989,T_JUB,2,FALSE),0))</f>
        <v/>
      </c>
      <c r="H989" s="11" t="n"/>
      <c r="I989" s="17">
        <f>IF(H989="","",IF(H989&gt;=12,40,ROUND(H989*3.33,2)))</f>
        <v/>
      </c>
      <c r="J989" s="11" t="n"/>
      <c r="K989" s="11" t="n"/>
      <c r="L989" s="11" t="n"/>
      <c r="M989" s="11" t="n"/>
      <c r="N989" s="10">
        <f>IF(COUNTA(J989:M989)=0,"",MIN(10,SUMPRODUCT((COUNTIF(J989:M989,L_KOM)&gt;0)*S_KOM)))</f>
        <v/>
      </c>
      <c r="O989" s="11" t="n"/>
      <c r="P989" s="10">
        <f>IF(O989="","",IFERROR(VLOOKUP(O989,T_KHID,2,FALSE),0))</f>
        <v/>
      </c>
      <c r="Q989" s="11" t="n"/>
      <c r="R989" s="11" t="n"/>
      <c r="S989" s="10">
        <f>IF(AND(Q989="",R989=""),"",IFERROR(INDEX(T_LIBAT,MATCH(Q989,L_PER,0),MATCH(R989,L_JENIS,0)),0))</f>
        <v/>
      </c>
      <c r="T989" s="11" t="n"/>
      <c r="U989" s="11" t="n"/>
      <c r="V989" s="10">
        <f>IF(AND(T989="",U989=""),"",IFERROR(INDEX(T_CAPAI,MATCH(T989,L_PER,0),MATCH(U989,L_KED,0)),0))</f>
        <v/>
      </c>
      <c r="W989" s="17">
        <f>IF(OR(B989="",E989="",COUNTA(F989,H989,J989:M989,O989,Q989:R989,T989:U989)=0),"",SUM(G989,I989,N989,P989,S989,V989))</f>
        <v/>
      </c>
      <c r="X989" s="18">
        <f>IF(W989="","",IF(Murid!F989="TL","TL",ROUND(W989/110*100,2)))</f>
        <v/>
      </c>
    </row>
    <row r="990">
      <c r="A990" s="15">
        <f>Murid!A990</f>
        <v/>
      </c>
      <c r="B990" s="15">
        <f>IF(Murid!B990="","",Murid!B990)</f>
        <v/>
      </c>
      <c r="C990" s="16">
        <f>IF(Murid!C990="","",Murid!C990)</f>
        <v/>
      </c>
      <c r="D990" s="15">
        <f>IF(Murid!E990="","",Murid!E990)</f>
        <v/>
      </c>
      <c r="E990" s="11" t="n"/>
      <c r="F990" s="11" t="n"/>
      <c r="G990" s="10">
        <f>IF(F990="","",IFERROR(VLOOKUP(F990,T_JUB,2,FALSE),0))</f>
        <v/>
      </c>
      <c r="H990" s="11" t="n"/>
      <c r="I990" s="17">
        <f>IF(H990="","",IF(H990&gt;=12,40,ROUND(H990*3.33,2)))</f>
        <v/>
      </c>
      <c r="J990" s="11" t="n"/>
      <c r="K990" s="11" t="n"/>
      <c r="L990" s="11" t="n"/>
      <c r="M990" s="11" t="n"/>
      <c r="N990" s="10">
        <f>IF(COUNTA(J990:M990)=0,"",MIN(10,SUMPRODUCT((COUNTIF(J990:M990,L_KOM)&gt;0)*S_KOM)))</f>
        <v/>
      </c>
      <c r="O990" s="11" t="n"/>
      <c r="P990" s="10">
        <f>IF(O990="","",IFERROR(VLOOKUP(O990,T_KHID,2,FALSE),0))</f>
        <v/>
      </c>
      <c r="Q990" s="11" t="n"/>
      <c r="R990" s="11" t="n"/>
      <c r="S990" s="10">
        <f>IF(AND(Q990="",R990=""),"",IFERROR(INDEX(T_LIBAT,MATCH(Q990,L_PER,0),MATCH(R990,L_JENIS,0)),0))</f>
        <v/>
      </c>
      <c r="T990" s="11" t="n"/>
      <c r="U990" s="11" t="n"/>
      <c r="V990" s="10">
        <f>IF(AND(T990="",U990=""),"",IFERROR(INDEX(T_CAPAI,MATCH(T990,L_PER,0),MATCH(U990,L_KED,0)),0))</f>
        <v/>
      </c>
      <c r="W990" s="17">
        <f>IF(OR(B990="",E990="",COUNTA(F990,H990,J990:M990,O990,Q990:R990,T990:U990)=0),"",SUM(G990,I990,N990,P990,S990,V990))</f>
        <v/>
      </c>
      <c r="X990" s="18">
        <f>IF(W990="","",IF(Murid!F990="TL","TL",ROUND(W990/110*100,2)))</f>
        <v/>
      </c>
    </row>
    <row r="991">
      <c r="A991" s="15">
        <f>Murid!A991</f>
        <v/>
      </c>
      <c r="B991" s="15">
        <f>IF(Murid!B991="","",Murid!B991)</f>
        <v/>
      </c>
      <c r="C991" s="16">
        <f>IF(Murid!C991="","",Murid!C991)</f>
        <v/>
      </c>
      <c r="D991" s="15">
        <f>IF(Murid!E991="","",Murid!E991)</f>
        <v/>
      </c>
      <c r="E991" s="11" t="n"/>
      <c r="F991" s="11" t="n"/>
      <c r="G991" s="10">
        <f>IF(F991="","",IFERROR(VLOOKUP(F991,T_JUB,2,FALSE),0))</f>
        <v/>
      </c>
      <c r="H991" s="11" t="n"/>
      <c r="I991" s="17">
        <f>IF(H991="","",IF(H991&gt;=12,40,ROUND(H991*3.33,2)))</f>
        <v/>
      </c>
      <c r="J991" s="11" t="n"/>
      <c r="K991" s="11" t="n"/>
      <c r="L991" s="11" t="n"/>
      <c r="M991" s="11" t="n"/>
      <c r="N991" s="10">
        <f>IF(COUNTA(J991:M991)=0,"",MIN(10,SUMPRODUCT((COUNTIF(J991:M991,L_KOM)&gt;0)*S_KOM)))</f>
        <v/>
      </c>
      <c r="O991" s="11" t="n"/>
      <c r="P991" s="10">
        <f>IF(O991="","",IFERROR(VLOOKUP(O991,T_KHID,2,FALSE),0))</f>
        <v/>
      </c>
      <c r="Q991" s="11" t="n"/>
      <c r="R991" s="11" t="n"/>
      <c r="S991" s="10">
        <f>IF(AND(Q991="",R991=""),"",IFERROR(INDEX(T_LIBAT,MATCH(Q991,L_PER,0),MATCH(R991,L_JENIS,0)),0))</f>
        <v/>
      </c>
      <c r="T991" s="11" t="n"/>
      <c r="U991" s="11" t="n"/>
      <c r="V991" s="10">
        <f>IF(AND(T991="",U991=""),"",IFERROR(INDEX(T_CAPAI,MATCH(T991,L_PER,0),MATCH(U991,L_KED,0)),0))</f>
        <v/>
      </c>
      <c r="W991" s="17">
        <f>IF(OR(B991="",E991="",COUNTA(F991,H991,J991:M991,O991,Q991:R991,T991:U991)=0),"",SUM(G991,I991,N991,P991,S991,V991))</f>
        <v/>
      </c>
      <c r="X991" s="18">
        <f>IF(W991="","",IF(Murid!F991="TL","TL",ROUND(W991/110*100,2)))</f>
        <v/>
      </c>
    </row>
    <row r="992">
      <c r="A992" s="15">
        <f>Murid!A992</f>
        <v/>
      </c>
      <c r="B992" s="15">
        <f>IF(Murid!B992="","",Murid!B992)</f>
        <v/>
      </c>
      <c r="C992" s="16">
        <f>IF(Murid!C992="","",Murid!C992)</f>
        <v/>
      </c>
      <c r="D992" s="15">
        <f>IF(Murid!E992="","",Murid!E992)</f>
        <v/>
      </c>
      <c r="E992" s="11" t="n"/>
      <c r="F992" s="11" t="n"/>
      <c r="G992" s="10">
        <f>IF(F992="","",IFERROR(VLOOKUP(F992,T_JUB,2,FALSE),0))</f>
        <v/>
      </c>
      <c r="H992" s="11" t="n"/>
      <c r="I992" s="17">
        <f>IF(H992="","",IF(H992&gt;=12,40,ROUND(H992*3.33,2)))</f>
        <v/>
      </c>
      <c r="J992" s="11" t="n"/>
      <c r="K992" s="11" t="n"/>
      <c r="L992" s="11" t="n"/>
      <c r="M992" s="11" t="n"/>
      <c r="N992" s="10">
        <f>IF(COUNTA(J992:M992)=0,"",MIN(10,SUMPRODUCT((COUNTIF(J992:M992,L_KOM)&gt;0)*S_KOM)))</f>
        <v/>
      </c>
      <c r="O992" s="11" t="n"/>
      <c r="P992" s="10">
        <f>IF(O992="","",IFERROR(VLOOKUP(O992,T_KHID,2,FALSE),0))</f>
        <v/>
      </c>
      <c r="Q992" s="11" t="n"/>
      <c r="R992" s="11" t="n"/>
      <c r="S992" s="10">
        <f>IF(AND(Q992="",R992=""),"",IFERROR(INDEX(T_LIBAT,MATCH(Q992,L_PER,0),MATCH(R992,L_JENIS,0)),0))</f>
        <v/>
      </c>
      <c r="T992" s="11" t="n"/>
      <c r="U992" s="11" t="n"/>
      <c r="V992" s="10">
        <f>IF(AND(T992="",U992=""),"",IFERROR(INDEX(T_CAPAI,MATCH(T992,L_PER,0),MATCH(U992,L_KED,0)),0))</f>
        <v/>
      </c>
      <c r="W992" s="17">
        <f>IF(OR(B992="",E992="",COUNTA(F992,H992,J992:M992,O992,Q992:R992,T992:U992)=0),"",SUM(G992,I992,N992,P992,S992,V992))</f>
        <v/>
      </c>
      <c r="X992" s="18">
        <f>IF(W992="","",IF(Murid!F992="TL","TL",ROUND(W992/110*100,2)))</f>
        <v/>
      </c>
    </row>
    <row r="993">
      <c r="A993" s="15">
        <f>Murid!A993</f>
        <v/>
      </c>
      <c r="B993" s="15">
        <f>IF(Murid!B993="","",Murid!B993)</f>
        <v/>
      </c>
      <c r="C993" s="16">
        <f>IF(Murid!C993="","",Murid!C993)</f>
        <v/>
      </c>
      <c r="D993" s="15">
        <f>IF(Murid!E993="","",Murid!E993)</f>
        <v/>
      </c>
      <c r="E993" s="11" t="n"/>
      <c r="F993" s="11" t="n"/>
      <c r="G993" s="10">
        <f>IF(F993="","",IFERROR(VLOOKUP(F993,T_JUB,2,FALSE),0))</f>
        <v/>
      </c>
      <c r="H993" s="11" t="n"/>
      <c r="I993" s="17">
        <f>IF(H993="","",IF(H993&gt;=12,40,ROUND(H993*3.33,2)))</f>
        <v/>
      </c>
      <c r="J993" s="11" t="n"/>
      <c r="K993" s="11" t="n"/>
      <c r="L993" s="11" t="n"/>
      <c r="M993" s="11" t="n"/>
      <c r="N993" s="10">
        <f>IF(COUNTA(J993:M993)=0,"",MIN(10,SUMPRODUCT((COUNTIF(J993:M993,L_KOM)&gt;0)*S_KOM)))</f>
        <v/>
      </c>
      <c r="O993" s="11" t="n"/>
      <c r="P993" s="10">
        <f>IF(O993="","",IFERROR(VLOOKUP(O993,T_KHID,2,FALSE),0))</f>
        <v/>
      </c>
      <c r="Q993" s="11" t="n"/>
      <c r="R993" s="11" t="n"/>
      <c r="S993" s="10">
        <f>IF(AND(Q993="",R993=""),"",IFERROR(INDEX(T_LIBAT,MATCH(Q993,L_PER,0),MATCH(R993,L_JENIS,0)),0))</f>
        <v/>
      </c>
      <c r="T993" s="11" t="n"/>
      <c r="U993" s="11" t="n"/>
      <c r="V993" s="10">
        <f>IF(AND(T993="",U993=""),"",IFERROR(INDEX(T_CAPAI,MATCH(T993,L_PER,0),MATCH(U993,L_KED,0)),0))</f>
        <v/>
      </c>
      <c r="W993" s="17">
        <f>IF(OR(B993="",E993="",COUNTA(F993,H993,J993:M993,O993,Q993:R993,T993:U993)=0),"",SUM(G993,I993,N993,P993,S993,V993))</f>
        <v/>
      </c>
      <c r="X993" s="18">
        <f>IF(W993="","",IF(Murid!F993="TL","TL",ROUND(W993/110*100,2)))</f>
        <v/>
      </c>
    </row>
    <row r="994">
      <c r="A994" s="15">
        <f>Murid!A994</f>
        <v/>
      </c>
      <c r="B994" s="15">
        <f>IF(Murid!B994="","",Murid!B994)</f>
        <v/>
      </c>
      <c r="C994" s="16">
        <f>IF(Murid!C994="","",Murid!C994)</f>
        <v/>
      </c>
      <c r="D994" s="15">
        <f>IF(Murid!E994="","",Murid!E994)</f>
        <v/>
      </c>
      <c r="E994" s="11" t="n"/>
      <c r="F994" s="11" t="n"/>
      <c r="G994" s="10">
        <f>IF(F994="","",IFERROR(VLOOKUP(F994,T_JUB,2,FALSE),0))</f>
        <v/>
      </c>
      <c r="H994" s="11" t="n"/>
      <c r="I994" s="17">
        <f>IF(H994="","",IF(H994&gt;=12,40,ROUND(H994*3.33,2)))</f>
        <v/>
      </c>
      <c r="J994" s="11" t="n"/>
      <c r="K994" s="11" t="n"/>
      <c r="L994" s="11" t="n"/>
      <c r="M994" s="11" t="n"/>
      <c r="N994" s="10">
        <f>IF(COUNTA(J994:M994)=0,"",MIN(10,SUMPRODUCT((COUNTIF(J994:M994,L_KOM)&gt;0)*S_KOM)))</f>
        <v/>
      </c>
      <c r="O994" s="11" t="n"/>
      <c r="P994" s="10">
        <f>IF(O994="","",IFERROR(VLOOKUP(O994,T_KHID,2,FALSE),0))</f>
        <v/>
      </c>
      <c r="Q994" s="11" t="n"/>
      <c r="R994" s="11" t="n"/>
      <c r="S994" s="10">
        <f>IF(AND(Q994="",R994=""),"",IFERROR(INDEX(T_LIBAT,MATCH(Q994,L_PER,0),MATCH(R994,L_JENIS,0)),0))</f>
        <v/>
      </c>
      <c r="T994" s="11" t="n"/>
      <c r="U994" s="11" t="n"/>
      <c r="V994" s="10">
        <f>IF(AND(T994="",U994=""),"",IFERROR(INDEX(T_CAPAI,MATCH(T994,L_PER,0),MATCH(U994,L_KED,0)),0))</f>
        <v/>
      </c>
      <c r="W994" s="17">
        <f>IF(OR(B994="",E994="",COUNTA(F994,H994,J994:M994,O994,Q994:R994,T994:U994)=0),"",SUM(G994,I994,N994,P994,S994,V994))</f>
        <v/>
      </c>
      <c r="X994" s="18">
        <f>IF(W994="","",IF(Murid!F994="TL","TL",ROUND(W994/110*100,2)))</f>
        <v/>
      </c>
    </row>
    <row r="995">
      <c r="A995" s="15">
        <f>Murid!A995</f>
        <v/>
      </c>
      <c r="B995" s="15">
        <f>IF(Murid!B995="","",Murid!B995)</f>
        <v/>
      </c>
      <c r="C995" s="16">
        <f>IF(Murid!C995="","",Murid!C995)</f>
        <v/>
      </c>
      <c r="D995" s="15">
        <f>IF(Murid!E995="","",Murid!E995)</f>
        <v/>
      </c>
      <c r="E995" s="11" t="n"/>
      <c r="F995" s="11" t="n"/>
      <c r="G995" s="10">
        <f>IF(F995="","",IFERROR(VLOOKUP(F995,T_JUB,2,FALSE),0))</f>
        <v/>
      </c>
      <c r="H995" s="11" t="n"/>
      <c r="I995" s="17">
        <f>IF(H995="","",IF(H995&gt;=12,40,ROUND(H995*3.33,2)))</f>
        <v/>
      </c>
      <c r="J995" s="11" t="n"/>
      <c r="K995" s="11" t="n"/>
      <c r="L995" s="11" t="n"/>
      <c r="M995" s="11" t="n"/>
      <c r="N995" s="10">
        <f>IF(COUNTA(J995:M995)=0,"",MIN(10,SUMPRODUCT((COUNTIF(J995:M995,L_KOM)&gt;0)*S_KOM)))</f>
        <v/>
      </c>
      <c r="O995" s="11" t="n"/>
      <c r="P995" s="10">
        <f>IF(O995="","",IFERROR(VLOOKUP(O995,T_KHID,2,FALSE),0))</f>
        <v/>
      </c>
      <c r="Q995" s="11" t="n"/>
      <c r="R995" s="11" t="n"/>
      <c r="S995" s="10">
        <f>IF(AND(Q995="",R995=""),"",IFERROR(INDEX(T_LIBAT,MATCH(Q995,L_PER,0),MATCH(R995,L_JENIS,0)),0))</f>
        <v/>
      </c>
      <c r="T995" s="11" t="n"/>
      <c r="U995" s="11" t="n"/>
      <c r="V995" s="10">
        <f>IF(AND(T995="",U995=""),"",IFERROR(INDEX(T_CAPAI,MATCH(T995,L_PER,0),MATCH(U995,L_KED,0)),0))</f>
        <v/>
      </c>
      <c r="W995" s="17">
        <f>IF(OR(B995="",E995="",COUNTA(F995,H995,J995:M995,O995,Q995:R995,T995:U995)=0),"",SUM(G995,I995,N995,P995,S995,V995))</f>
        <v/>
      </c>
      <c r="X995" s="18">
        <f>IF(W995="","",IF(Murid!F995="TL","TL",ROUND(W995/110*100,2)))</f>
        <v/>
      </c>
    </row>
    <row r="996">
      <c r="A996" s="15">
        <f>Murid!A996</f>
        <v/>
      </c>
      <c r="B996" s="15">
        <f>IF(Murid!B996="","",Murid!B996)</f>
        <v/>
      </c>
      <c r="C996" s="16">
        <f>IF(Murid!C996="","",Murid!C996)</f>
        <v/>
      </c>
      <c r="D996" s="15">
        <f>IF(Murid!E996="","",Murid!E996)</f>
        <v/>
      </c>
      <c r="E996" s="11" t="n"/>
      <c r="F996" s="11" t="n"/>
      <c r="G996" s="10">
        <f>IF(F996="","",IFERROR(VLOOKUP(F996,T_JUB,2,FALSE),0))</f>
        <v/>
      </c>
      <c r="H996" s="11" t="n"/>
      <c r="I996" s="17">
        <f>IF(H996="","",IF(H996&gt;=12,40,ROUND(H996*3.33,2)))</f>
        <v/>
      </c>
      <c r="J996" s="11" t="n"/>
      <c r="K996" s="11" t="n"/>
      <c r="L996" s="11" t="n"/>
      <c r="M996" s="11" t="n"/>
      <c r="N996" s="10">
        <f>IF(COUNTA(J996:M996)=0,"",MIN(10,SUMPRODUCT((COUNTIF(J996:M996,L_KOM)&gt;0)*S_KOM)))</f>
        <v/>
      </c>
      <c r="O996" s="11" t="n"/>
      <c r="P996" s="10">
        <f>IF(O996="","",IFERROR(VLOOKUP(O996,T_KHID,2,FALSE),0))</f>
        <v/>
      </c>
      <c r="Q996" s="11" t="n"/>
      <c r="R996" s="11" t="n"/>
      <c r="S996" s="10">
        <f>IF(AND(Q996="",R996=""),"",IFERROR(INDEX(T_LIBAT,MATCH(Q996,L_PER,0),MATCH(R996,L_JENIS,0)),0))</f>
        <v/>
      </c>
      <c r="T996" s="11" t="n"/>
      <c r="U996" s="11" t="n"/>
      <c r="V996" s="10">
        <f>IF(AND(T996="",U996=""),"",IFERROR(INDEX(T_CAPAI,MATCH(T996,L_PER,0),MATCH(U996,L_KED,0)),0))</f>
        <v/>
      </c>
      <c r="W996" s="17">
        <f>IF(OR(B996="",E996="",COUNTA(F996,H996,J996:M996,O996,Q996:R996,T996:U996)=0),"",SUM(G996,I996,N996,P996,S996,V996))</f>
        <v/>
      </c>
      <c r="X996" s="18">
        <f>IF(W996="","",IF(Murid!F996="TL","TL",ROUND(W996/110*100,2)))</f>
        <v/>
      </c>
    </row>
    <row r="997">
      <c r="A997" s="15">
        <f>Murid!A997</f>
        <v/>
      </c>
      <c r="B997" s="15">
        <f>IF(Murid!B997="","",Murid!B997)</f>
        <v/>
      </c>
      <c r="C997" s="16">
        <f>IF(Murid!C997="","",Murid!C997)</f>
        <v/>
      </c>
      <c r="D997" s="15">
        <f>IF(Murid!E997="","",Murid!E997)</f>
        <v/>
      </c>
      <c r="E997" s="11" t="n"/>
      <c r="F997" s="11" t="n"/>
      <c r="G997" s="10">
        <f>IF(F997="","",IFERROR(VLOOKUP(F997,T_JUB,2,FALSE),0))</f>
        <v/>
      </c>
      <c r="H997" s="11" t="n"/>
      <c r="I997" s="17">
        <f>IF(H997="","",IF(H997&gt;=12,40,ROUND(H997*3.33,2)))</f>
        <v/>
      </c>
      <c r="J997" s="11" t="n"/>
      <c r="K997" s="11" t="n"/>
      <c r="L997" s="11" t="n"/>
      <c r="M997" s="11" t="n"/>
      <c r="N997" s="10">
        <f>IF(COUNTA(J997:M997)=0,"",MIN(10,SUMPRODUCT((COUNTIF(J997:M997,L_KOM)&gt;0)*S_KOM)))</f>
        <v/>
      </c>
      <c r="O997" s="11" t="n"/>
      <c r="P997" s="10">
        <f>IF(O997="","",IFERROR(VLOOKUP(O997,T_KHID,2,FALSE),0))</f>
        <v/>
      </c>
      <c r="Q997" s="11" t="n"/>
      <c r="R997" s="11" t="n"/>
      <c r="S997" s="10">
        <f>IF(AND(Q997="",R997=""),"",IFERROR(INDEX(T_LIBAT,MATCH(Q997,L_PER,0),MATCH(R997,L_JENIS,0)),0))</f>
        <v/>
      </c>
      <c r="T997" s="11" t="n"/>
      <c r="U997" s="11" t="n"/>
      <c r="V997" s="10">
        <f>IF(AND(T997="",U997=""),"",IFERROR(INDEX(T_CAPAI,MATCH(T997,L_PER,0),MATCH(U997,L_KED,0)),0))</f>
        <v/>
      </c>
      <c r="W997" s="17">
        <f>IF(OR(B997="",E997="",COUNTA(F997,H997,J997:M997,O997,Q997:R997,T997:U997)=0),"",SUM(G997,I997,N997,P997,S997,V997))</f>
        <v/>
      </c>
      <c r="X997" s="18">
        <f>IF(W997="","",IF(Murid!F997="TL","TL",ROUND(W997/110*100,2)))</f>
        <v/>
      </c>
    </row>
    <row r="998">
      <c r="A998" s="15">
        <f>Murid!A998</f>
        <v/>
      </c>
      <c r="B998" s="15">
        <f>IF(Murid!B998="","",Murid!B998)</f>
        <v/>
      </c>
      <c r="C998" s="16">
        <f>IF(Murid!C998="","",Murid!C998)</f>
        <v/>
      </c>
      <c r="D998" s="15">
        <f>IF(Murid!E998="","",Murid!E998)</f>
        <v/>
      </c>
      <c r="E998" s="11" t="n"/>
      <c r="F998" s="11" t="n"/>
      <c r="G998" s="10">
        <f>IF(F998="","",IFERROR(VLOOKUP(F998,T_JUB,2,FALSE),0))</f>
        <v/>
      </c>
      <c r="H998" s="11" t="n"/>
      <c r="I998" s="17">
        <f>IF(H998="","",IF(H998&gt;=12,40,ROUND(H998*3.33,2)))</f>
        <v/>
      </c>
      <c r="J998" s="11" t="n"/>
      <c r="K998" s="11" t="n"/>
      <c r="L998" s="11" t="n"/>
      <c r="M998" s="11" t="n"/>
      <c r="N998" s="10">
        <f>IF(COUNTA(J998:M998)=0,"",MIN(10,SUMPRODUCT((COUNTIF(J998:M998,L_KOM)&gt;0)*S_KOM)))</f>
        <v/>
      </c>
      <c r="O998" s="11" t="n"/>
      <c r="P998" s="10">
        <f>IF(O998="","",IFERROR(VLOOKUP(O998,T_KHID,2,FALSE),0))</f>
        <v/>
      </c>
      <c r="Q998" s="11" t="n"/>
      <c r="R998" s="11" t="n"/>
      <c r="S998" s="10">
        <f>IF(AND(Q998="",R998=""),"",IFERROR(INDEX(T_LIBAT,MATCH(Q998,L_PER,0),MATCH(R998,L_JENIS,0)),0))</f>
        <v/>
      </c>
      <c r="T998" s="11" t="n"/>
      <c r="U998" s="11" t="n"/>
      <c r="V998" s="10">
        <f>IF(AND(T998="",U998=""),"",IFERROR(INDEX(T_CAPAI,MATCH(T998,L_PER,0),MATCH(U998,L_KED,0)),0))</f>
        <v/>
      </c>
      <c r="W998" s="17">
        <f>IF(OR(B998="",E998="",COUNTA(F998,H998,J998:M998,O998,Q998:R998,T998:U998)=0),"",SUM(G998,I998,N998,P998,S998,V998))</f>
        <v/>
      </c>
      <c r="X998" s="18">
        <f>IF(W998="","",IF(Murid!F998="TL","TL",ROUND(W998/110*100,2)))</f>
        <v/>
      </c>
    </row>
    <row r="999">
      <c r="A999" s="15">
        <f>Murid!A999</f>
        <v/>
      </c>
      <c r="B999" s="15">
        <f>IF(Murid!B999="","",Murid!B999)</f>
        <v/>
      </c>
      <c r="C999" s="16">
        <f>IF(Murid!C999="","",Murid!C999)</f>
        <v/>
      </c>
      <c r="D999" s="15">
        <f>IF(Murid!E999="","",Murid!E999)</f>
        <v/>
      </c>
      <c r="E999" s="11" t="n"/>
      <c r="F999" s="11" t="n"/>
      <c r="G999" s="10">
        <f>IF(F999="","",IFERROR(VLOOKUP(F999,T_JUB,2,FALSE),0))</f>
        <v/>
      </c>
      <c r="H999" s="11" t="n"/>
      <c r="I999" s="17">
        <f>IF(H999="","",IF(H999&gt;=12,40,ROUND(H999*3.33,2)))</f>
        <v/>
      </c>
      <c r="J999" s="11" t="n"/>
      <c r="K999" s="11" t="n"/>
      <c r="L999" s="11" t="n"/>
      <c r="M999" s="11" t="n"/>
      <c r="N999" s="10">
        <f>IF(COUNTA(J999:M999)=0,"",MIN(10,SUMPRODUCT((COUNTIF(J999:M999,L_KOM)&gt;0)*S_KOM)))</f>
        <v/>
      </c>
      <c r="O999" s="11" t="n"/>
      <c r="P999" s="10">
        <f>IF(O999="","",IFERROR(VLOOKUP(O999,T_KHID,2,FALSE),0))</f>
        <v/>
      </c>
      <c r="Q999" s="11" t="n"/>
      <c r="R999" s="11" t="n"/>
      <c r="S999" s="10">
        <f>IF(AND(Q999="",R999=""),"",IFERROR(INDEX(T_LIBAT,MATCH(Q999,L_PER,0),MATCH(R999,L_JENIS,0)),0))</f>
        <v/>
      </c>
      <c r="T999" s="11" t="n"/>
      <c r="U999" s="11" t="n"/>
      <c r="V999" s="10">
        <f>IF(AND(T999="",U999=""),"",IFERROR(INDEX(T_CAPAI,MATCH(T999,L_PER,0),MATCH(U999,L_KED,0)),0))</f>
        <v/>
      </c>
      <c r="W999" s="17">
        <f>IF(OR(B999="",E999="",COUNTA(F999,H999,J999:M999,O999,Q999:R999,T999:U999)=0),"",SUM(G999,I999,N999,P999,S999,V999))</f>
        <v/>
      </c>
      <c r="X999" s="18">
        <f>IF(W999="","",IF(Murid!F999="TL","TL",ROUND(W999/110*100,2)))</f>
        <v/>
      </c>
    </row>
    <row r="1000">
      <c r="A1000" s="15">
        <f>Murid!A1000</f>
        <v/>
      </c>
      <c r="B1000" s="15">
        <f>IF(Murid!B1000="","",Murid!B1000)</f>
        <v/>
      </c>
      <c r="C1000" s="16">
        <f>IF(Murid!C1000="","",Murid!C1000)</f>
        <v/>
      </c>
      <c r="D1000" s="15">
        <f>IF(Murid!E1000="","",Murid!E1000)</f>
        <v/>
      </c>
      <c r="E1000" s="11" t="n"/>
      <c r="F1000" s="11" t="n"/>
      <c r="G1000" s="10">
        <f>IF(F1000="","",IFERROR(VLOOKUP(F1000,T_JUB,2,FALSE),0))</f>
        <v/>
      </c>
      <c r="H1000" s="11" t="n"/>
      <c r="I1000" s="17">
        <f>IF(H1000="","",IF(H1000&gt;=12,40,ROUND(H1000*3.33,2)))</f>
        <v/>
      </c>
      <c r="J1000" s="11" t="n"/>
      <c r="K1000" s="11" t="n"/>
      <c r="L1000" s="11" t="n"/>
      <c r="M1000" s="11" t="n"/>
      <c r="N1000" s="10">
        <f>IF(COUNTA(J1000:M1000)=0,"",MIN(10,SUMPRODUCT((COUNTIF(J1000:M1000,L_KOM)&gt;0)*S_KOM)))</f>
        <v/>
      </c>
      <c r="O1000" s="11" t="n"/>
      <c r="P1000" s="10">
        <f>IF(O1000="","",IFERROR(VLOOKUP(O1000,T_KHID,2,FALSE),0))</f>
        <v/>
      </c>
      <c r="Q1000" s="11" t="n"/>
      <c r="R1000" s="11" t="n"/>
      <c r="S1000" s="10">
        <f>IF(AND(Q1000="",R1000=""),"",IFERROR(INDEX(T_LIBAT,MATCH(Q1000,L_PER,0),MATCH(R1000,L_JENIS,0)),0))</f>
        <v/>
      </c>
      <c r="T1000" s="11" t="n"/>
      <c r="U1000" s="11" t="n"/>
      <c r="V1000" s="10">
        <f>IF(AND(T1000="",U1000=""),"",IFERROR(INDEX(T_CAPAI,MATCH(T1000,L_PER,0),MATCH(U1000,L_KED,0)),0))</f>
        <v/>
      </c>
      <c r="W1000" s="17">
        <f>IF(OR(B1000="",E1000="",COUNTA(F1000,H1000,J1000:M1000,O1000,Q1000:R1000,T1000:U1000)=0),"",SUM(G1000,I1000,N1000,P1000,S1000,V1000))</f>
        <v/>
      </c>
      <c r="X1000" s="18">
        <f>IF(W1000="","",IF(Murid!F1000="TL","TL",ROUND(W1000/110*100,2)))</f>
        <v/>
      </c>
    </row>
    <row r="1001">
      <c r="A1001" s="15">
        <f>Murid!A1001</f>
        <v/>
      </c>
      <c r="B1001" s="15">
        <f>IF(Murid!B1001="","",Murid!B1001)</f>
        <v/>
      </c>
      <c r="C1001" s="16">
        <f>IF(Murid!C1001="","",Murid!C1001)</f>
        <v/>
      </c>
      <c r="D1001" s="15">
        <f>IF(Murid!E1001="","",Murid!E1001)</f>
        <v/>
      </c>
      <c r="E1001" s="11" t="n"/>
      <c r="F1001" s="11" t="n"/>
      <c r="G1001" s="10">
        <f>IF(F1001="","",IFERROR(VLOOKUP(F1001,T_JUB,2,FALSE),0))</f>
        <v/>
      </c>
      <c r="H1001" s="11" t="n"/>
      <c r="I1001" s="17">
        <f>IF(H1001="","",IF(H1001&gt;=12,40,ROUND(H1001*3.33,2)))</f>
        <v/>
      </c>
      <c r="J1001" s="11" t="n"/>
      <c r="K1001" s="11" t="n"/>
      <c r="L1001" s="11" t="n"/>
      <c r="M1001" s="11" t="n"/>
      <c r="N1001" s="10">
        <f>IF(COUNTA(J1001:M1001)=0,"",MIN(10,SUMPRODUCT((COUNTIF(J1001:M1001,L_KOM)&gt;0)*S_KOM)))</f>
        <v/>
      </c>
      <c r="O1001" s="11" t="n"/>
      <c r="P1001" s="10">
        <f>IF(O1001="","",IFERROR(VLOOKUP(O1001,T_KHID,2,FALSE),0))</f>
        <v/>
      </c>
      <c r="Q1001" s="11" t="n"/>
      <c r="R1001" s="11" t="n"/>
      <c r="S1001" s="10">
        <f>IF(AND(Q1001="",R1001=""),"",IFERROR(INDEX(T_LIBAT,MATCH(Q1001,L_PER,0),MATCH(R1001,L_JENIS,0)),0))</f>
        <v/>
      </c>
      <c r="T1001" s="11" t="n"/>
      <c r="U1001" s="11" t="n"/>
      <c r="V1001" s="10">
        <f>IF(AND(T1001="",U1001=""),"",IFERROR(INDEX(T_CAPAI,MATCH(T1001,L_PER,0),MATCH(U1001,L_KED,0)),0))</f>
        <v/>
      </c>
      <c r="W1001" s="17">
        <f>IF(OR(B1001="",E1001="",COUNTA(F1001,H1001,J1001:M1001,O1001,Q1001:R1001,T1001:U1001)=0),"",SUM(G1001,I1001,N1001,P1001,S1001,V1001))</f>
        <v/>
      </c>
      <c r="X1001" s="18">
        <f>IF(W1001="","",IF(Murid!F1001="TL","TL",ROUND(W1001/110*100,2)))</f>
        <v/>
      </c>
    </row>
    <row r="1002">
      <c r="A1002" s="15">
        <f>Murid!A1002</f>
        <v/>
      </c>
      <c r="B1002" s="15">
        <f>IF(Murid!B1002="","",Murid!B1002)</f>
        <v/>
      </c>
      <c r="C1002" s="16">
        <f>IF(Murid!C1002="","",Murid!C1002)</f>
        <v/>
      </c>
      <c r="D1002" s="15">
        <f>IF(Murid!E1002="","",Murid!E1002)</f>
        <v/>
      </c>
      <c r="E1002" s="11" t="n"/>
      <c r="F1002" s="11" t="n"/>
      <c r="G1002" s="10">
        <f>IF(F1002="","",IFERROR(VLOOKUP(F1002,T_JUB,2,FALSE),0))</f>
        <v/>
      </c>
      <c r="H1002" s="11" t="n"/>
      <c r="I1002" s="17">
        <f>IF(H1002="","",IF(H1002&gt;=12,40,ROUND(H1002*3.33,2)))</f>
        <v/>
      </c>
      <c r="J1002" s="11" t="n"/>
      <c r="K1002" s="11" t="n"/>
      <c r="L1002" s="11" t="n"/>
      <c r="M1002" s="11" t="n"/>
      <c r="N1002" s="10">
        <f>IF(COUNTA(J1002:M1002)=0,"",MIN(10,SUMPRODUCT((COUNTIF(J1002:M1002,L_KOM)&gt;0)*S_KOM)))</f>
        <v/>
      </c>
      <c r="O1002" s="11" t="n"/>
      <c r="P1002" s="10">
        <f>IF(O1002="","",IFERROR(VLOOKUP(O1002,T_KHID,2,FALSE),0))</f>
        <v/>
      </c>
      <c r="Q1002" s="11" t="n"/>
      <c r="R1002" s="11" t="n"/>
      <c r="S1002" s="10">
        <f>IF(AND(Q1002="",R1002=""),"",IFERROR(INDEX(T_LIBAT,MATCH(Q1002,L_PER,0),MATCH(R1002,L_JENIS,0)),0))</f>
        <v/>
      </c>
      <c r="T1002" s="11" t="n"/>
      <c r="U1002" s="11" t="n"/>
      <c r="V1002" s="10">
        <f>IF(AND(T1002="",U1002=""),"",IFERROR(INDEX(T_CAPAI,MATCH(T1002,L_PER,0),MATCH(U1002,L_KED,0)),0))</f>
        <v/>
      </c>
      <c r="W1002" s="17">
        <f>IF(OR(B1002="",E1002="",COUNTA(F1002,H1002,J1002:M1002,O1002,Q1002:R1002,T1002:U1002)=0),"",SUM(G1002,I1002,N1002,P1002,S1002,V1002))</f>
        <v/>
      </c>
      <c r="X1002" s="18">
        <f>IF(W1002="","",IF(Murid!F1002="TL","TL",ROUND(W1002/110*100,2)))</f>
        <v/>
      </c>
    </row>
    <row r="1003">
      <c r="A1003" s="15">
        <f>Murid!A1003</f>
        <v/>
      </c>
      <c r="B1003" s="15">
        <f>IF(Murid!B1003="","",Murid!B1003)</f>
        <v/>
      </c>
      <c r="C1003" s="16">
        <f>IF(Murid!C1003="","",Murid!C1003)</f>
        <v/>
      </c>
      <c r="D1003" s="15">
        <f>IF(Murid!E1003="","",Murid!E1003)</f>
        <v/>
      </c>
      <c r="E1003" s="11" t="n"/>
      <c r="F1003" s="11" t="n"/>
      <c r="G1003" s="10">
        <f>IF(F1003="","",IFERROR(VLOOKUP(F1003,T_JUB,2,FALSE),0))</f>
        <v/>
      </c>
      <c r="H1003" s="11" t="n"/>
      <c r="I1003" s="17">
        <f>IF(H1003="","",IF(H1003&gt;=12,40,ROUND(H1003*3.33,2)))</f>
        <v/>
      </c>
      <c r="J1003" s="11" t="n"/>
      <c r="K1003" s="11" t="n"/>
      <c r="L1003" s="11" t="n"/>
      <c r="M1003" s="11" t="n"/>
      <c r="N1003" s="10">
        <f>IF(COUNTA(J1003:M1003)=0,"",MIN(10,SUMPRODUCT((COUNTIF(J1003:M1003,L_KOM)&gt;0)*S_KOM)))</f>
        <v/>
      </c>
      <c r="O1003" s="11" t="n"/>
      <c r="P1003" s="10">
        <f>IF(O1003="","",IFERROR(VLOOKUP(O1003,T_KHID,2,FALSE),0))</f>
        <v/>
      </c>
      <c r="Q1003" s="11" t="n"/>
      <c r="R1003" s="11" t="n"/>
      <c r="S1003" s="10">
        <f>IF(AND(Q1003="",R1003=""),"",IFERROR(INDEX(T_LIBAT,MATCH(Q1003,L_PER,0),MATCH(R1003,L_JENIS,0)),0))</f>
        <v/>
      </c>
      <c r="T1003" s="11" t="n"/>
      <c r="U1003" s="11" t="n"/>
      <c r="V1003" s="10">
        <f>IF(AND(T1003="",U1003=""),"",IFERROR(INDEX(T_CAPAI,MATCH(T1003,L_PER,0),MATCH(U1003,L_KED,0)),0))</f>
        <v/>
      </c>
      <c r="W1003" s="17">
        <f>IF(OR(B1003="",E1003="",COUNTA(F1003,H1003,J1003:M1003,O1003,Q1003:R1003,T1003:U1003)=0),"",SUM(G1003,I1003,N1003,P1003,S1003,V1003))</f>
        <v/>
      </c>
      <c r="X1003" s="18">
        <f>IF(W1003="","",IF(Murid!F1003="TL","TL",ROUND(W1003/110*100,2)))</f>
        <v/>
      </c>
    </row>
    <row r="1004">
      <c r="A1004" s="15">
        <f>Murid!A1004</f>
        <v/>
      </c>
      <c r="B1004" s="15">
        <f>IF(Murid!B1004="","",Murid!B1004)</f>
        <v/>
      </c>
      <c r="C1004" s="16">
        <f>IF(Murid!C1004="","",Murid!C1004)</f>
        <v/>
      </c>
      <c r="D1004" s="15">
        <f>IF(Murid!E1004="","",Murid!E1004)</f>
        <v/>
      </c>
      <c r="E1004" s="11" t="n"/>
      <c r="F1004" s="11" t="n"/>
      <c r="G1004" s="10">
        <f>IF(F1004="","",IFERROR(VLOOKUP(F1004,T_JUB,2,FALSE),0))</f>
        <v/>
      </c>
      <c r="H1004" s="11" t="n"/>
      <c r="I1004" s="17">
        <f>IF(H1004="","",IF(H1004&gt;=12,40,ROUND(H1004*3.33,2)))</f>
        <v/>
      </c>
      <c r="J1004" s="11" t="n"/>
      <c r="K1004" s="11" t="n"/>
      <c r="L1004" s="11" t="n"/>
      <c r="M1004" s="11" t="n"/>
      <c r="N1004" s="10">
        <f>IF(COUNTA(J1004:M1004)=0,"",MIN(10,SUMPRODUCT((COUNTIF(J1004:M1004,L_KOM)&gt;0)*S_KOM)))</f>
        <v/>
      </c>
      <c r="O1004" s="11" t="n"/>
      <c r="P1004" s="10">
        <f>IF(O1004="","",IFERROR(VLOOKUP(O1004,T_KHID,2,FALSE),0))</f>
        <v/>
      </c>
      <c r="Q1004" s="11" t="n"/>
      <c r="R1004" s="11" t="n"/>
      <c r="S1004" s="10">
        <f>IF(AND(Q1004="",R1004=""),"",IFERROR(INDEX(T_LIBAT,MATCH(Q1004,L_PER,0),MATCH(R1004,L_JENIS,0)),0))</f>
        <v/>
      </c>
      <c r="T1004" s="11" t="n"/>
      <c r="U1004" s="11" t="n"/>
      <c r="V1004" s="10">
        <f>IF(AND(T1004="",U1004=""),"",IFERROR(INDEX(T_CAPAI,MATCH(T1004,L_PER,0),MATCH(U1004,L_KED,0)),0))</f>
        <v/>
      </c>
      <c r="W1004" s="17">
        <f>IF(OR(B1004="",E1004="",COUNTA(F1004,H1004,J1004:M1004,O1004,Q1004:R1004,T1004:U1004)=0),"",SUM(G1004,I1004,N1004,P1004,S1004,V1004))</f>
        <v/>
      </c>
      <c r="X1004" s="18">
        <f>IF(W1004="","",IF(Murid!F1004="TL","TL",ROUND(W1004/110*100,2)))</f>
        <v/>
      </c>
    </row>
  </sheetData>
  <autoFilter ref="A4:X1004"/>
  <mergeCells count="7">
    <mergeCell ref="F3:G3"/>
    <mergeCell ref="H3:I3"/>
    <mergeCell ref="O3:P3"/>
    <mergeCell ref="J3:N3"/>
    <mergeCell ref="T3:V3"/>
    <mergeCell ref="W3:X3"/>
    <mergeCell ref="Q3:S3"/>
  </mergeCells>
  <conditionalFormatting sqref="J5:M1004">
    <cfRule type="expression" priority="1" dxfId="0">
      <formula>AND(J5&lt;&gt;"",COUNTIF($J5:$M5,J5)&gt;1)</formula>
    </cfRule>
  </conditionalFormatting>
  <conditionalFormatting sqref="Q5:R1004">
    <cfRule type="expression" priority="2" dxfId="0">
      <formula>AND(COUNTA($Q5:$R5)=1,Q5="")</formula>
    </cfRule>
  </conditionalFormatting>
  <conditionalFormatting sqref="T5:U1004">
    <cfRule type="expression" priority="3" dxfId="0">
      <formula>AND(COUNTA($T5:$U5)=1,T5="")</formula>
    </cfRule>
  </conditionalFormatting>
  <dataValidations count="8">
    <dataValidation sqref="F5:F1004" showDropDown="0" showInputMessage="0" showErrorMessage="1" allowBlank="1" errorTitle="Pilihan tidak sah" error="Pilih jawatan daripada senarai (teks sama seperti MOEIS)." type="list">
      <formula1>=L_JUB</formula1>
    </dataValidation>
    <dataValidation sqref="H5:H1004" showDropDown="0" showInputMessage="0" showErrorMessage="1" allowBlank="1" errorTitle="Nombor tidak sah" error="Masukkan nombor 0 hingga 12." type="whole" operator="between">
      <formula1>0</formula1>
      <formula2>12</formula2>
    </dataValidation>
    <dataValidation sqref="J5:M1004" showDropDown="0" showInputMessage="0" showErrorMessage="1" allowBlank="1" errorTitle="Pilihan tidak sah" error="Pilih komitmen daripada senarai." type="list">
      <formula1>=L_KOM</formula1>
    </dataValidation>
    <dataValidation sqref="O5:O1004" showDropDown="0" showInputMessage="0" showErrorMessage="1" allowBlank="1" errorTitle="Pilihan tidak sah" error="Pilih khidmat sumbangan daripada senarai." type="list">
      <formula1>=L_KHID</formula1>
    </dataValidation>
    <dataValidation sqref="Q5:Q1004" showDropDown="0" showInputMessage="0" showErrorMessage="1" allowBlank="1" errorTitle="Pilihan tidak sah" error="Pilih peringkat daripada senarai." type="list">
      <formula1>=L_PER</formula1>
    </dataValidation>
    <dataValidation sqref="R5:R1004" showDropDown="0" showInputMessage="0" showErrorMessage="1" allowBlank="1" errorTitle="Pilihan tidak sah" error="Pilih jenis pelibatan daripada senarai." type="list">
      <formula1>=L_JENIS</formula1>
    </dataValidation>
    <dataValidation sqref="T5:T1004" showDropDown="0" showInputMessage="0" showErrorMessage="1" allowBlank="1" errorTitle="Pilihan tidak sah" error="Pilih peringkat daripada senarai." type="list">
      <formula1>=L_PER</formula1>
    </dataValidation>
    <dataValidation sqref="U5:U1004" showDropDown="0" showInputMessage="0" showErrorMessage="1" allowBlank="1" errorTitle="Pilihan tidak sah" error="Pilih kedudukan daripada senarai." type="list">
      <formula1>=L_KED</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X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1" customWidth="1" min="4" max="4"/>
    <col width="30" customWidth="1" min="5" max="5"/>
    <col width="34" customWidth="1" min="6" max="6"/>
    <col width="9" customWidth="1" min="7" max="7"/>
    <col width="9" customWidth="1" min="8" max="8"/>
    <col width="9" customWidth="1" min="9" max="9"/>
    <col width="26" customWidth="1" min="10" max="10"/>
    <col width="26" customWidth="1" min="11" max="11"/>
    <col width="26" customWidth="1" min="12" max="12"/>
    <col width="26" customWidth="1" min="13" max="13"/>
    <col width="11" customWidth="1" min="14" max="14"/>
    <col width="34" customWidth="1" min="15" max="15"/>
    <col width="9" customWidth="1" min="16" max="16"/>
    <col width="24" customWidth="1" min="17" max="17"/>
    <col width="30" customWidth="1" min="18" max="18"/>
    <col width="11" customWidth="1" min="19" max="19"/>
    <col width="24" customWidth="1" min="20" max="20"/>
    <col width="12" customWidth="1" min="21" max="21"/>
    <col width="12" customWidth="1" min="22" max="22"/>
    <col width="9" customWidth="1" min="23" max="23"/>
    <col width="9" customWidth="1" min="24" max="24"/>
  </cols>
  <sheetData>
    <row r="1">
      <c r="A1" s="1" t="inlineStr">
        <is>
          <t>SUKAN &amp; PERMAINAN (SP)</t>
        </is>
      </c>
    </row>
    <row r="2">
      <c r="A2" s="2" t="inlineStr">
        <is>
          <t>Isi petak kuning. Pelibatan &amp; Pencapaian: ambil yang TERTINGGI (aktiviti utama atau tambahan). Jawatan, Komitmen &amp; Khidmat: aktiviti utama sahaja.</t>
        </is>
      </c>
    </row>
    <row r="3">
      <c r="F3" s="13" t="inlineStr">
        <is>
          <t>Jawatan</t>
        </is>
      </c>
      <c r="G3" s="14" t="n"/>
      <c r="H3" s="13" t="inlineStr">
        <is>
          <t>Kehadiran</t>
        </is>
      </c>
      <c r="I3" s="14" t="n"/>
      <c r="J3" s="13" t="inlineStr">
        <is>
          <t>Komitmen (maks. 4 pilihan)</t>
        </is>
      </c>
      <c r="K3" s="14" t="n"/>
      <c r="L3" s="14" t="n"/>
      <c r="M3" s="14" t="n"/>
      <c r="N3" s="14" t="n"/>
      <c r="O3" s="13" t="inlineStr">
        <is>
          <t>Khidmat Sumbangan</t>
        </is>
      </c>
      <c r="P3" s="14" t="n"/>
      <c r="Q3" s="13" t="inlineStr">
        <is>
          <t>Pelibatan</t>
        </is>
      </c>
      <c r="R3" s="14" t="n"/>
      <c r="S3" s="14" t="n"/>
      <c r="T3" s="13" t="inlineStr">
        <is>
          <t>Pencapaian</t>
        </is>
      </c>
      <c r="U3" s="14" t="n"/>
      <c r="V3" s="14" t="n"/>
      <c r="W3" s="13" t="inlineStr">
        <is>
          <t>Markah</t>
        </is>
      </c>
      <c r="X3" s="14" t="n"/>
    </row>
    <row r="4" ht="42" customHeight="1">
      <c r="A4" s="9" t="inlineStr">
        <is>
          <t>Bil</t>
        </is>
      </c>
      <c r="B4" s="9" t="inlineStr">
        <is>
          <t>Nama Murid</t>
        </is>
      </c>
      <c r="C4" s="9" t="inlineStr">
        <is>
          <t>No. MyKad</t>
        </is>
      </c>
      <c r="D4" s="9" t="inlineStr">
        <is>
          <t>Kelas</t>
        </is>
      </c>
      <c r="E4" s="9" t="inlineStr">
        <is>
          <t>Unit / Aktiviti Utama</t>
        </is>
      </c>
      <c r="F4" s="9" t="inlineStr">
        <is>
          <t>Jawatan</t>
        </is>
      </c>
      <c r="G4" s="9" t="inlineStr">
        <is>
          <t>Skor
Jawatan</t>
        </is>
      </c>
      <c r="H4" s="9" t="inlineStr">
        <is>
          <t>Bil. Hadir
(0-12)</t>
        </is>
      </c>
      <c r="I4" s="9" t="inlineStr">
        <is>
          <t>Skor Hadir
(40)</t>
        </is>
      </c>
      <c r="J4" s="9" t="inlineStr">
        <is>
          <t>Komitmen 1</t>
        </is>
      </c>
      <c r="K4" s="9" t="inlineStr">
        <is>
          <t>Komitmen 2</t>
        </is>
      </c>
      <c r="L4" s="9" t="inlineStr">
        <is>
          <t>Komitmen 3</t>
        </is>
      </c>
      <c r="M4" s="9" t="inlineStr">
        <is>
          <t>Komitmen 4</t>
        </is>
      </c>
      <c r="N4" s="9" t="inlineStr">
        <is>
          <t>Skor
Komitmen
(10)</t>
        </is>
      </c>
      <c r="O4" s="9" t="inlineStr">
        <is>
          <t>Khidmat Sumbangan</t>
        </is>
      </c>
      <c r="P4" s="9" t="inlineStr">
        <is>
          <t>Skor
Khidmat
(10)</t>
        </is>
      </c>
      <c r="Q4" s="9" t="inlineStr">
        <is>
          <t>Pelibatan:
Peringkat</t>
        </is>
      </c>
      <c r="R4" s="9" t="inlineStr">
        <is>
          <t>Pelibatan:
Jenis</t>
        </is>
      </c>
      <c r="S4" s="9" t="inlineStr">
        <is>
          <t>Skor
Pelibatan
(20)</t>
        </is>
      </c>
      <c r="T4" s="9" t="inlineStr">
        <is>
          <t>Pencapaian:
Peringkat</t>
        </is>
      </c>
      <c r="U4" s="9" t="inlineStr">
        <is>
          <t>Pencapaian:
Kedudukan</t>
        </is>
      </c>
      <c r="V4" s="9" t="inlineStr">
        <is>
          <t>Skor
Pencapaian
(20)</t>
        </is>
      </c>
      <c r="W4" s="9" t="inlineStr">
        <is>
          <t>Jumlah
(110)</t>
        </is>
      </c>
      <c r="X4" s="9" t="inlineStr">
        <is>
          <t>Markah
(100)</t>
        </is>
      </c>
    </row>
    <row r="5">
      <c r="A5" s="15">
        <f>Murid!A5</f>
        <v/>
      </c>
      <c r="B5" s="15">
        <f>IF(Murid!B5="","",Murid!B5)</f>
        <v/>
      </c>
      <c r="C5" s="16">
        <f>IF(Murid!C5="","",Murid!C5)</f>
        <v/>
      </c>
      <c r="D5" s="15">
        <f>IF(Murid!E5="","",Murid!E5)</f>
        <v/>
      </c>
      <c r="E5" s="11" t="n"/>
      <c r="F5" s="11" t="n"/>
      <c r="G5" s="10">
        <f>IF(F5="","",IFERROR(VLOOKUP(F5,T_JSP,2,FALSE),0))</f>
        <v/>
      </c>
      <c r="H5" s="11" t="n"/>
      <c r="I5" s="17">
        <f>IF(H5="","",IF(H5&gt;=12,40,ROUND(H5*3.33,2)))</f>
        <v/>
      </c>
      <c r="J5" s="11" t="n"/>
      <c r="K5" s="11" t="n"/>
      <c r="L5" s="11" t="n"/>
      <c r="M5" s="11" t="n"/>
      <c r="N5" s="10">
        <f>IF(COUNTA(J5:M5)=0,"",MIN(10,SUMPRODUCT((COUNTIF(J5:M5,L_KOM)&gt;0)*S_KOM)))</f>
        <v/>
      </c>
      <c r="O5" s="11" t="n"/>
      <c r="P5" s="10">
        <f>IF(O5="","",IFERROR(VLOOKUP(O5,T_KHID,2,FALSE),0))</f>
        <v/>
      </c>
      <c r="Q5" s="11" t="n"/>
      <c r="R5" s="11" t="n"/>
      <c r="S5" s="10">
        <f>IF(AND(Q5="",R5=""),"",IFERROR(INDEX(T_LIBAT,MATCH(Q5,L_PER,0),MATCH(R5,L_JENIS,0)),0))</f>
        <v/>
      </c>
      <c r="T5" s="11" t="n"/>
      <c r="U5" s="11" t="n"/>
      <c r="V5" s="10">
        <f>IF(AND(T5="",U5=""),"",IFERROR(INDEX(T_CAPAI,MATCH(T5,L_PER,0),MATCH(U5,L_KED,0)),0))</f>
        <v/>
      </c>
      <c r="W5" s="17">
        <f>IF(OR(B5="",E5="",COUNTA(F5,H5,J5:M5,O5,Q5:R5,T5:U5)=0),"",SUM(G5,I5,N5,P5,S5,V5))</f>
        <v/>
      </c>
      <c r="X5" s="18">
        <f>IF(W5="","",IF(Murid!F5="TL","TL",ROUND(W5/110*100,2)))</f>
        <v/>
      </c>
    </row>
    <row r="6">
      <c r="A6" s="15">
        <f>Murid!A6</f>
        <v/>
      </c>
      <c r="B6" s="15">
        <f>IF(Murid!B6="","",Murid!B6)</f>
        <v/>
      </c>
      <c r="C6" s="16">
        <f>IF(Murid!C6="","",Murid!C6)</f>
        <v/>
      </c>
      <c r="D6" s="15">
        <f>IF(Murid!E6="","",Murid!E6)</f>
        <v/>
      </c>
      <c r="E6" s="11" t="n"/>
      <c r="F6" s="11" t="n"/>
      <c r="G6" s="10">
        <f>IF(F6="","",IFERROR(VLOOKUP(F6,T_JSP,2,FALSE),0))</f>
        <v/>
      </c>
      <c r="H6" s="11" t="n"/>
      <c r="I6" s="17">
        <f>IF(H6="","",IF(H6&gt;=12,40,ROUND(H6*3.33,2)))</f>
        <v/>
      </c>
      <c r="J6" s="11" t="n"/>
      <c r="K6" s="11" t="n"/>
      <c r="L6" s="11" t="n"/>
      <c r="M6" s="11" t="n"/>
      <c r="N6" s="10">
        <f>IF(COUNTA(J6:M6)=0,"",MIN(10,SUMPRODUCT((COUNTIF(J6:M6,L_KOM)&gt;0)*S_KOM)))</f>
        <v/>
      </c>
      <c r="O6" s="11" t="n"/>
      <c r="P6" s="10">
        <f>IF(O6="","",IFERROR(VLOOKUP(O6,T_KHID,2,FALSE),0))</f>
        <v/>
      </c>
      <c r="Q6" s="11" t="n"/>
      <c r="R6" s="11" t="n"/>
      <c r="S6" s="10">
        <f>IF(AND(Q6="",R6=""),"",IFERROR(INDEX(T_LIBAT,MATCH(Q6,L_PER,0),MATCH(R6,L_JENIS,0)),0))</f>
        <v/>
      </c>
      <c r="T6" s="11" t="n"/>
      <c r="U6" s="11" t="n"/>
      <c r="V6" s="10">
        <f>IF(AND(T6="",U6=""),"",IFERROR(INDEX(T_CAPAI,MATCH(T6,L_PER,0),MATCH(U6,L_KED,0)),0))</f>
        <v/>
      </c>
      <c r="W6" s="17">
        <f>IF(OR(B6="",E6="",COUNTA(F6,H6,J6:M6,O6,Q6:R6,T6:U6)=0),"",SUM(G6,I6,N6,P6,S6,V6))</f>
        <v/>
      </c>
      <c r="X6" s="18">
        <f>IF(W6="","",IF(Murid!F6="TL","TL",ROUND(W6/110*100,2)))</f>
        <v/>
      </c>
    </row>
    <row r="7">
      <c r="A7" s="15">
        <f>Murid!A7</f>
        <v/>
      </c>
      <c r="B7" s="15">
        <f>IF(Murid!B7="","",Murid!B7)</f>
        <v/>
      </c>
      <c r="C7" s="16">
        <f>IF(Murid!C7="","",Murid!C7)</f>
        <v/>
      </c>
      <c r="D7" s="15">
        <f>IF(Murid!E7="","",Murid!E7)</f>
        <v/>
      </c>
      <c r="E7" s="11" t="n"/>
      <c r="F7" s="11" t="n"/>
      <c r="G7" s="10">
        <f>IF(F7="","",IFERROR(VLOOKUP(F7,T_JSP,2,FALSE),0))</f>
        <v/>
      </c>
      <c r="H7" s="11" t="n"/>
      <c r="I7" s="17">
        <f>IF(H7="","",IF(H7&gt;=12,40,ROUND(H7*3.33,2)))</f>
        <v/>
      </c>
      <c r="J7" s="11" t="n"/>
      <c r="K7" s="11" t="n"/>
      <c r="L7" s="11" t="n"/>
      <c r="M7" s="11" t="n"/>
      <c r="N7" s="10">
        <f>IF(COUNTA(J7:M7)=0,"",MIN(10,SUMPRODUCT((COUNTIF(J7:M7,L_KOM)&gt;0)*S_KOM)))</f>
        <v/>
      </c>
      <c r="O7" s="11" t="n"/>
      <c r="P7" s="10">
        <f>IF(O7="","",IFERROR(VLOOKUP(O7,T_KHID,2,FALSE),0))</f>
        <v/>
      </c>
      <c r="Q7" s="11" t="n"/>
      <c r="R7" s="11" t="n"/>
      <c r="S7" s="10">
        <f>IF(AND(Q7="",R7=""),"",IFERROR(INDEX(T_LIBAT,MATCH(Q7,L_PER,0),MATCH(R7,L_JENIS,0)),0))</f>
        <v/>
      </c>
      <c r="T7" s="11" t="n"/>
      <c r="U7" s="11" t="n"/>
      <c r="V7" s="10">
        <f>IF(AND(T7="",U7=""),"",IFERROR(INDEX(T_CAPAI,MATCH(T7,L_PER,0),MATCH(U7,L_KED,0)),0))</f>
        <v/>
      </c>
      <c r="W7" s="17">
        <f>IF(OR(B7="",E7="",COUNTA(F7,H7,J7:M7,O7,Q7:R7,T7:U7)=0),"",SUM(G7,I7,N7,P7,S7,V7))</f>
        <v/>
      </c>
      <c r="X7" s="18">
        <f>IF(W7="","",IF(Murid!F7="TL","TL",ROUND(W7/110*100,2)))</f>
        <v/>
      </c>
    </row>
    <row r="8">
      <c r="A8" s="15">
        <f>Murid!A8</f>
        <v/>
      </c>
      <c r="B8" s="15">
        <f>IF(Murid!B8="","",Murid!B8)</f>
        <v/>
      </c>
      <c r="C8" s="16">
        <f>IF(Murid!C8="","",Murid!C8)</f>
        <v/>
      </c>
      <c r="D8" s="15">
        <f>IF(Murid!E8="","",Murid!E8)</f>
        <v/>
      </c>
      <c r="E8" s="11" t="n"/>
      <c r="F8" s="11" t="n"/>
      <c r="G8" s="10">
        <f>IF(F8="","",IFERROR(VLOOKUP(F8,T_JSP,2,FALSE),0))</f>
        <v/>
      </c>
      <c r="H8" s="11" t="n"/>
      <c r="I8" s="17">
        <f>IF(H8="","",IF(H8&gt;=12,40,ROUND(H8*3.33,2)))</f>
        <v/>
      </c>
      <c r="J8" s="11" t="n"/>
      <c r="K8" s="11" t="n"/>
      <c r="L8" s="11" t="n"/>
      <c r="M8" s="11" t="n"/>
      <c r="N8" s="10">
        <f>IF(COUNTA(J8:M8)=0,"",MIN(10,SUMPRODUCT((COUNTIF(J8:M8,L_KOM)&gt;0)*S_KOM)))</f>
        <v/>
      </c>
      <c r="O8" s="11" t="n"/>
      <c r="P8" s="10">
        <f>IF(O8="","",IFERROR(VLOOKUP(O8,T_KHID,2,FALSE),0))</f>
        <v/>
      </c>
      <c r="Q8" s="11" t="n"/>
      <c r="R8" s="11" t="n"/>
      <c r="S8" s="10">
        <f>IF(AND(Q8="",R8=""),"",IFERROR(INDEX(T_LIBAT,MATCH(Q8,L_PER,0),MATCH(R8,L_JENIS,0)),0))</f>
        <v/>
      </c>
      <c r="T8" s="11" t="n"/>
      <c r="U8" s="11" t="n"/>
      <c r="V8" s="10">
        <f>IF(AND(T8="",U8=""),"",IFERROR(INDEX(T_CAPAI,MATCH(T8,L_PER,0),MATCH(U8,L_KED,0)),0))</f>
        <v/>
      </c>
      <c r="W8" s="17">
        <f>IF(OR(B8="",E8="",COUNTA(F8,H8,J8:M8,O8,Q8:R8,T8:U8)=0),"",SUM(G8,I8,N8,P8,S8,V8))</f>
        <v/>
      </c>
      <c r="X8" s="18">
        <f>IF(W8="","",IF(Murid!F8="TL","TL",ROUND(W8/110*100,2)))</f>
        <v/>
      </c>
    </row>
    <row r="9">
      <c r="A9" s="15">
        <f>Murid!A9</f>
        <v/>
      </c>
      <c r="B9" s="15">
        <f>IF(Murid!B9="","",Murid!B9)</f>
        <v/>
      </c>
      <c r="C9" s="16">
        <f>IF(Murid!C9="","",Murid!C9)</f>
        <v/>
      </c>
      <c r="D9" s="15">
        <f>IF(Murid!E9="","",Murid!E9)</f>
        <v/>
      </c>
      <c r="E9" s="11" t="n"/>
      <c r="F9" s="11" t="n"/>
      <c r="G9" s="10">
        <f>IF(F9="","",IFERROR(VLOOKUP(F9,T_JSP,2,FALSE),0))</f>
        <v/>
      </c>
      <c r="H9" s="11" t="n"/>
      <c r="I9" s="17">
        <f>IF(H9="","",IF(H9&gt;=12,40,ROUND(H9*3.33,2)))</f>
        <v/>
      </c>
      <c r="J9" s="11" t="n"/>
      <c r="K9" s="11" t="n"/>
      <c r="L9" s="11" t="n"/>
      <c r="M9" s="11" t="n"/>
      <c r="N9" s="10">
        <f>IF(COUNTA(J9:M9)=0,"",MIN(10,SUMPRODUCT((COUNTIF(J9:M9,L_KOM)&gt;0)*S_KOM)))</f>
        <v/>
      </c>
      <c r="O9" s="11" t="n"/>
      <c r="P9" s="10">
        <f>IF(O9="","",IFERROR(VLOOKUP(O9,T_KHID,2,FALSE),0))</f>
        <v/>
      </c>
      <c r="Q9" s="11" t="n"/>
      <c r="R9" s="11" t="n"/>
      <c r="S9" s="10">
        <f>IF(AND(Q9="",R9=""),"",IFERROR(INDEX(T_LIBAT,MATCH(Q9,L_PER,0),MATCH(R9,L_JENIS,0)),0))</f>
        <v/>
      </c>
      <c r="T9" s="11" t="n"/>
      <c r="U9" s="11" t="n"/>
      <c r="V9" s="10">
        <f>IF(AND(T9="",U9=""),"",IFERROR(INDEX(T_CAPAI,MATCH(T9,L_PER,0),MATCH(U9,L_KED,0)),0))</f>
        <v/>
      </c>
      <c r="W9" s="17">
        <f>IF(OR(B9="",E9="",COUNTA(F9,H9,J9:M9,O9,Q9:R9,T9:U9)=0),"",SUM(G9,I9,N9,P9,S9,V9))</f>
        <v/>
      </c>
      <c r="X9" s="18">
        <f>IF(W9="","",IF(Murid!F9="TL","TL",ROUND(W9/110*100,2)))</f>
        <v/>
      </c>
    </row>
    <row r="10">
      <c r="A10" s="15">
        <f>Murid!A10</f>
        <v/>
      </c>
      <c r="B10" s="15">
        <f>IF(Murid!B10="","",Murid!B10)</f>
        <v/>
      </c>
      <c r="C10" s="16">
        <f>IF(Murid!C10="","",Murid!C10)</f>
        <v/>
      </c>
      <c r="D10" s="15">
        <f>IF(Murid!E10="","",Murid!E10)</f>
        <v/>
      </c>
      <c r="E10" s="11" t="n"/>
      <c r="F10" s="11" t="n"/>
      <c r="G10" s="10">
        <f>IF(F10="","",IFERROR(VLOOKUP(F10,T_JSP,2,FALSE),0))</f>
        <v/>
      </c>
      <c r="H10" s="11" t="n"/>
      <c r="I10" s="17">
        <f>IF(H10="","",IF(H10&gt;=12,40,ROUND(H10*3.33,2)))</f>
        <v/>
      </c>
      <c r="J10" s="11" t="n"/>
      <c r="K10" s="11" t="n"/>
      <c r="L10" s="11" t="n"/>
      <c r="M10" s="11" t="n"/>
      <c r="N10" s="10">
        <f>IF(COUNTA(J10:M10)=0,"",MIN(10,SUMPRODUCT((COUNTIF(J10:M10,L_KOM)&gt;0)*S_KOM)))</f>
        <v/>
      </c>
      <c r="O10" s="11" t="n"/>
      <c r="P10" s="10">
        <f>IF(O10="","",IFERROR(VLOOKUP(O10,T_KHID,2,FALSE),0))</f>
        <v/>
      </c>
      <c r="Q10" s="11" t="n"/>
      <c r="R10" s="11" t="n"/>
      <c r="S10" s="10">
        <f>IF(AND(Q10="",R10=""),"",IFERROR(INDEX(T_LIBAT,MATCH(Q10,L_PER,0),MATCH(R10,L_JENIS,0)),0))</f>
        <v/>
      </c>
      <c r="T10" s="11" t="n"/>
      <c r="U10" s="11" t="n"/>
      <c r="V10" s="10">
        <f>IF(AND(T10="",U10=""),"",IFERROR(INDEX(T_CAPAI,MATCH(T10,L_PER,0),MATCH(U10,L_KED,0)),0))</f>
        <v/>
      </c>
      <c r="W10" s="17">
        <f>IF(OR(B10="",E10="",COUNTA(F10,H10,J10:M10,O10,Q10:R10,T10:U10)=0),"",SUM(G10,I10,N10,P10,S10,V10))</f>
        <v/>
      </c>
      <c r="X10" s="18">
        <f>IF(W10="","",IF(Murid!F10="TL","TL",ROUND(W10/110*100,2)))</f>
        <v/>
      </c>
    </row>
    <row r="11">
      <c r="A11" s="15">
        <f>Murid!A11</f>
        <v/>
      </c>
      <c r="B11" s="15">
        <f>IF(Murid!B11="","",Murid!B11)</f>
        <v/>
      </c>
      <c r="C11" s="16">
        <f>IF(Murid!C11="","",Murid!C11)</f>
        <v/>
      </c>
      <c r="D11" s="15">
        <f>IF(Murid!E11="","",Murid!E11)</f>
        <v/>
      </c>
      <c r="E11" s="11" t="n"/>
      <c r="F11" s="11" t="n"/>
      <c r="G11" s="10">
        <f>IF(F11="","",IFERROR(VLOOKUP(F11,T_JSP,2,FALSE),0))</f>
        <v/>
      </c>
      <c r="H11" s="11" t="n"/>
      <c r="I11" s="17">
        <f>IF(H11="","",IF(H11&gt;=12,40,ROUND(H11*3.33,2)))</f>
        <v/>
      </c>
      <c r="J11" s="11" t="n"/>
      <c r="K11" s="11" t="n"/>
      <c r="L11" s="11" t="n"/>
      <c r="M11" s="11" t="n"/>
      <c r="N11" s="10">
        <f>IF(COUNTA(J11:M11)=0,"",MIN(10,SUMPRODUCT((COUNTIF(J11:M11,L_KOM)&gt;0)*S_KOM)))</f>
        <v/>
      </c>
      <c r="O11" s="11" t="n"/>
      <c r="P11" s="10">
        <f>IF(O11="","",IFERROR(VLOOKUP(O11,T_KHID,2,FALSE),0))</f>
        <v/>
      </c>
      <c r="Q11" s="11" t="n"/>
      <c r="R11" s="11" t="n"/>
      <c r="S11" s="10">
        <f>IF(AND(Q11="",R11=""),"",IFERROR(INDEX(T_LIBAT,MATCH(Q11,L_PER,0),MATCH(R11,L_JENIS,0)),0))</f>
        <v/>
      </c>
      <c r="T11" s="11" t="n"/>
      <c r="U11" s="11" t="n"/>
      <c r="V11" s="10">
        <f>IF(AND(T11="",U11=""),"",IFERROR(INDEX(T_CAPAI,MATCH(T11,L_PER,0),MATCH(U11,L_KED,0)),0))</f>
        <v/>
      </c>
      <c r="W11" s="17">
        <f>IF(OR(B11="",E11="",COUNTA(F11,H11,J11:M11,O11,Q11:R11,T11:U11)=0),"",SUM(G11,I11,N11,P11,S11,V11))</f>
        <v/>
      </c>
      <c r="X11" s="18">
        <f>IF(W11="","",IF(Murid!F11="TL","TL",ROUND(W11/110*100,2)))</f>
        <v/>
      </c>
    </row>
    <row r="12">
      <c r="A12" s="15">
        <f>Murid!A12</f>
        <v/>
      </c>
      <c r="B12" s="15">
        <f>IF(Murid!B12="","",Murid!B12)</f>
        <v/>
      </c>
      <c r="C12" s="16">
        <f>IF(Murid!C12="","",Murid!C12)</f>
        <v/>
      </c>
      <c r="D12" s="15">
        <f>IF(Murid!E12="","",Murid!E12)</f>
        <v/>
      </c>
      <c r="E12" s="11" t="n"/>
      <c r="F12" s="11" t="n"/>
      <c r="G12" s="10">
        <f>IF(F12="","",IFERROR(VLOOKUP(F12,T_JSP,2,FALSE),0))</f>
        <v/>
      </c>
      <c r="H12" s="11" t="n"/>
      <c r="I12" s="17">
        <f>IF(H12="","",IF(H12&gt;=12,40,ROUND(H12*3.33,2)))</f>
        <v/>
      </c>
      <c r="J12" s="11" t="n"/>
      <c r="K12" s="11" t="n"/>
      <c r="L12" s="11" t="n"/>
      <c r="M12" s="11" t="n"/>
      <c r="N12" s="10">
        <f>IF(COUNTA(J12:M12)=0,"",MIN(10,SUMPRODUCT((COUNTIF(J12:M12,L_KOM)&gt;0)*S_KOM)))</f>
        <v/>
      </c>
      <c r="O12" s="11" t="n"/>
      <c r="P12" s="10">
        <f>IF(O12="","",IFERROR(VLOOKUP(O12,T_KHID,2,FALSE),0))</f>
        <v/>
      </c>
      <c r="Q12" s="11" t="n"/>
      <c r="R12" s="11" t="n"/>
      <c r="S12" s="10">
        <f>IF(AND(Q12="",R12=""),"",IFERROR(INDEX(T_LIBAT,MATCH(Q12,L_PER,0),MATCH(R12,L_JENIS,0)),0))</f>
        <v/>
      </c>
      <c r="T12" s="11" t="n"/>
      <c r="U12" s="11" t="n"/>
      <c r="V12" s="10">
        <f>IF(AND(T12="",U12=""),"",IFERROR(INDEX(T_CAPAI,MATCH(T12,L_PER,0),MATCH(U12,L_KED,0)),0))</f>
        <v/>
      </c>
      <c r="W12" s="17">
        <f>IF(OR(B12="",E12="",COUNTA(F12,H12,J12:M12,O12,Q12:R12,T12:U12)=0),"",SUM(G12,I12,N12,P12,S12,V12))</f>
        <v/>
      </c>
      <c r="X12" s="18">
        <f>IF(W12="","",IF(Murid!F12="TL","TL",ROUND(W12/110*100,2)))</f>
        <v/>
      </c>
    </row>
    <row r="13">
      <c r="A13" s="15">
        <f>Murid!A13</f>
        <v/>
      </c>
      <c r="B13" s="15">
        <f>IF(Murid!B13="","",Murid!B13)</f>
        <v/>
      </c>
      <c r="C13" s="16">
        <f>IF(Murid!C13="","",Murid!C13)</f>
        <v/>
      </c>
      <c r="D13" s="15">
        <f>IF(Murid!E13="","",Murid!E13)</f>
        <v/>
      </c>
      <c r="E13" s="11" t="n"/>
      <c r="F13" s="11" t="n"/>
      <c r="G13" s="10">
        <f>IF(F13="","",IFERROR(VLOOKUP(F13,T_JSP,2,FALSE),0))</f>
        <v/>
      </c>
      <c r="H13" s="11" t="n"/>
      <c r="I13" s="17">
        <f>IF(H13="","",IF(H13&gt;=12,40,ROUND(H13*3.33,2)))</f>
        <v/>
      </c>
      <c r="J13" s="11" t="n"/>
      <c r="K13" s="11" t="n"/>
      <c r="L13" s="11" t="n"/>
      <c r="M13" s="11" t="n"/>
      <c r="N13" s="10">
        <f>IF(COUNTA(J13:M13)=0,"",MIN(10,SUMPRODUCT((COUNTIF(J13:M13,L_KOM)&gt;0)*S_KOM)))</f>
        <v/>
      </c>
      <c r="O13" s="11" t="n"/>
      <c r="P13" s="10">
        <f>IF(O13="","",IFERROR(VLOOKUP(O13,T_KHID,2,FALSE),0))</f>
        <v/>
      </c>
      <c r="Q13" s="11" t="n"/>
      <c r="R13" s="11" t="n"/>
      <c r="S13" s="10">
        <f>IF(AND(Q13="",R13=""),"",IFERROR(INDEX(T_LIBAT,MATCH(Q13,L_PER,0),MATCH(R13,L_JENIS,0)),0))</f>
        <v/>
      </c>
      <c r="T13" s="11" t="n"/>
      <c r="U13" s="11" t="n"/>
      <c r="V13" s="10">
        <f>IF(AND(T13="",U13=""),"",IFERROR(INDEX(T_CAPAI,MATCH(T13,L_PER,0),MATCH(U13,L_KED,0)),0))</f>
        <v/>
      </c>
      <c r="W13" s="17">
        <f>IF(OR(B13="",E13="",COUNTA(F13,H13,J13:M13,O13,Q13:R13,T13:U13)=0),"",SUM(G13,I13,N13,P13,S13,V13))</f>
        <v/>
      </c>
      <c r="X13" s="18">
        <f>IF(W13="","",IF(Murid!F13="TL","TL",ROUND(W13/110*100,2)))</f>
        <v/>
      </c>
    </row>
    <row r="14">
      <c r="A14" s="15">
        <f>Murid!A14</f>
        <v/>
      </c>
      <c r="B14" s="15">
        <f>IF(Murid!B14="","",Murid!B14)</f>
        <v/>
      </c>
      <c r="C14" s="16">
        <f>IF(Murid!C14="","",Murid!C14)</f>
        <v/>
      </c>
      <c r="D14" s="15">
        <f>IF(Murid!E14="","",Murid!E14)</f>
        <v/>
      </c>
      <c r="E14" s="11" t="n"/>
      <c r="F14" s="11" t="n"/>
      <c r="G14" s="10">
        <f>IF(F14="","",IFERROR(VLOOKUP(F14,T_JSP,2,FALSE),0))</f>
        <v/>
      </c>
      <c r="H14" s="11" t="n"/>
      <c r="I14" s="17">
        <f>IF(H14="","",IF(H14&gt;=12,40,ROUND(H14*3.33,2)))</f>
        <v/>
      </c>
      <c r="J14" s="11" t="n"/>
      <c r="K14" s="11" t="n"/>
      <c r="L14" s="11" t="n"/>
      <c r="M14" s="11" t="n"/>
      <c r="N14" s="10">
        <f>IF(COUNTA(J14:M14)=0,"",MIN(10,SUMPRODUCT((COUNTIF(J14:M14,L_KOM)&gt;0)*S_KOM)))</f>
        <v/>
      </c>
      <c r="O14" s="11" t="n"/>
      <c r="P14" s="10">
        <f>IF(O14="","",IFERROR(VLOOKUP(O14,T_KHID,2,FALSE),0))</f>
        <v/>
      </c>
      <c r="Q14" s="11" t="n"/>
      <c r="R14" s="11" t="n"/>
      <c r="S14" s="10">
        <f>IF(AND(Q14="",R14=""),"",IFERROR(INDEX(T_LIBAT,MATCH(Q14,L_PER,0),MATCH(R14,L_JENIS,0)),0))</f>
        <v/>
      </c>
      <c r="T14" s="11" t="n"/>
      <c r="U14" s="11" t="n"/>
      <c r="V14" s="10">
        <f>IF(AND(T14="",U14=""),"",IFERROR(INDEX(T_CAPAI,MATCH(T14,L_PER,0),MATCH(U14,L_KED,0)),0))</f>
        <v/>
      </c>
      <c r="W14" s="17">
        <f>IF(OR(B14="",E14="",COUNTA(F14,H14,J14:M14,O14,Q14:R14,T14:U14)=0),"",SUM(G14,I14,N14,P14,S14,V14))</f>
        <v/>
      </c>
      <c r="X14" s="18">
        <f>IF(W14="","",IF(Murid!F14="TL","TL",ROUND(W14/110*100,2)))</f>
        <v/>
      </c>
    </row>
    <row r="15">
      <c r="A15" s="15">
        <f>Murid!A15</f>
        <v/>
      </c>
      <c r="B15" s="15">
        <f>IF(Murid!B15="","",Murid!B15)</f>
        <v/>
      </c>
      <c r="C15" s="16">
        <f>IF(Murid!C15="","",Murid!C15)</f>
        <v/>
      </c>
      <c r="D15" s="15">
        <f>IF(Murid!E15="","",Murid!E15)</f>
        <v/>
      </c>
      <c r="E15" s="11" t="n"/>
      <c r="F15" s="11" t="n"/>
      <c r="G15" s="10">
        <f>IF(F15="","",IFERROR(VLOOKUP(F15,T_JSP,2,FALSE),0))</f>
        <v/>
      </c>
      <c r="H15" s="11" t="n"/>
      <c r="I15" s="17">
        <f>IF(H15="","",IF(H15&gt;=12,40,ROUND(H15*3.33,2)))</f>
        <v/>
      </c>
      <c r="J15" s="11" t="n"/>
      <c r="K15" s="11" t="n"/>
      <c r="L15" s="11" t="n"/>
      <c r="M15" s="11" t="n"/>
      <c r="N15" s="10">
        <f>IF(COUNTA(J15:M15)=0,"",MIN(10,SUMPRODUCT((COUNTIF(J15:M15,L_KOM)&gt;0)*S_KOM)))</f>
        <v/>
      </c>
      <c r="O15" s="11" t="n"/>
      <c r="P15" s="10">
        <f>IF(O15="","",IFERROR(VLOOKUP(O15,T_KHID,2,FALSE),0))</f>
        <v/>
      </c>
      <c r="Q15" s="11" t="n"/>
      <c r="R15" s="11" t="n"/>
      <c r="S15" s="10">
        <f>IF(AND(Q15="",R15=""),"",IFERROR(INDEX(T_LIBAT,MATCH(Q15,L_PER,0),MATCH(R15,L_JENIS,0)),0))</f>
        <v/>
      </c>
      <c r="T15" s="11" t="n"/>
      <c r="U15" s="11" t="n"/>
      <c r="V15" s="10">
        <f>IF(AND(T15="",U15=""),"",IFERROR(INDEX(T_CAPAI,MATCH(T15,L_PER,0),MATCH(U15,L_KED,0)),0))</f>
        <v/>
      </c>
      <c r="W15" s="17">
        <f>IF(OR(B15="",E15="",COUNTA(F15,H15,J15:M15,O15,Q15:R15,T15:U15)=0),"",SUM(G15,I15,N15,P15,S15,V15))</f>
        <v/>
      </c>
      <c r="X15" s="18">
        <f>IF(W15="","",IF(Murid!F15="TL","TL",ROUND(W15/110*100,2)))</f>
        <v/>
      </c>
    </row>
    <row r="16">
      <c r="A16" s="15">
        <f>Murid!A16</f>
        <v/>
      </c>
      <c r="B16" s="15">
        <f>IF(Murid!B16="","",Murid!B16)</f>
        <v/>
      </c>
      <c r="C16" s="16">
        <f>IF(Murid!C16="","",Murid!C16)</f>
        <v/>
      </c>
      <c r="D16" s="15">
        <f>IF(Murid!E16="","",Murid!E16)</f>
        <v/>
      </c>
      <c r="E16" s="11" t="n"/>
      <c r="F16" s="11" t="n"/>
      <c r="G16" s="10">
        <f>IF(F16="","",IFERROR(VLOOKUP(F16,T_JSP,2,FALSE),0))</f>
        <v/>
      </c>
      <c r="H16" s="11" t="n"/>
      <c r="I16" s="17">
        <f>IF(H16="","",IF(H16&gt;=12,40,ROUND(H16*3.33,2)))</f>
        <v/>
      </c>
      <c r="J16" s="11" t="n"/>
      <c r="K16" s="11" t="n"/>
      <c r="L16" s="11" t="n"/>
      <c r="M16" s="11" t="n"/>
      <c r="N16" s="10">
        <f>IF(COUNTA(J16:M16)=0,"",MIN(10,SUMPRODUCT((COUNTIF(J16:M16,L_KOM)&gt;0)*S_KOM)))</f>
        <v/>
      </c>
      <c r="O16" s="11" t="n"/>
      <c r="P16" s="10">
        <f>IF(O16="","",IFERROR(VLOOKUP(O16,T_KHID,2,FALSE),0))</f>
        <v/>
      </c>
      <c r="Q16" s="11" t="n"/>
      <c r="R16" s="11" t="n"/>
      <c r="S16" s="10">
        <f>IF(AND(Q16="",R16=""),"",IFERROR(INDEX(T_LIBAT,MATCH(Q16,L_PER,0),MATCH(R16,L_JENIS,0)),0))</f>
        <v/>
      </c>
      <c r="T16" s="11" t="n"/>
      <c r="U16" s="11" t="n"/>
      <c r="V16" s="10">
        <f>IF(AND(T16="",U16=""),"",IFERROR(INDEX(T_CAPAI,MATCH(T16,L_PER,0),MATCH(U16,L_KED,0)),0))</f>
        <v/>
      </c>
      <c r="W16" s="17">
        <f>IF(OR(B16="",E16="",COUNTA(F16,H16,J16:M16,O16,Q16:R16,T16:U16)=0),"",SUM(G16,I16,N16,P16,S16,V16))</f>
        <v/>
      </c>
      <c r="X16" s="18">
        <f>IF(W16="","",IF(Murid!F16="TL","TL",ROUND(W16/110*100,2)))</f>
        <v/>
      </c>
    </row>
    <row r="17">
      <c r="A17" s="15">
        <f>Murid!A17</f>
        <v/>
      </c>
      <c r="B17" s="15">
        <f>IF(Murid!B17="","",Murid!B17)</f>
        <v/>
      </c>
      <c r="C17" s="16">
        <f>IF(Murid!C17="","",Murid!C17)</f>
        <v/>
      </c>
      <c r="D17" s="15">
        <f>IF(Murid!E17="","",Murid!E17)</f>
        <v/>
      </c>
      <c r="E17" s="11" t="n"/>
      <c r="F17" s="11" t="n"/>
      <c r="G17" s="10">
        <f>IF(F17="","",IFERROR(VLOOKUP(F17,T_JSP,2,FALSE),0))</f>
        <v/>
      </c>
      <c r="H17" s="11" t="n"/>
      <c r="I17" s="17">
        <f>IF(H17="","",IF(H17&gt;=12,40,ROUND(H17*3.33,2)))</f>
        <v/>
      </c>
      <c r="J17" s="11" t="n"/>
      <c r="K17" s="11" t="n"/>
      <c r="L17" s="11" t="n"/>
      <c r="M17" s="11" t="n"/>
      <c r="N17" s="10">
        <f>IF(COUNTA(J17:M17)=0,"",MIN(10,SUMPRODUCT((COUNTIF(J17:M17,L_KOM)&gt;0)*S_KOM)))</f>
        <v/>
      </c>
      <c r="O17" s="11" t="n"/>
      <c r="P17" s="10">
        <f>IF(O17="","",IFERROR(VLOOKUP(O17,T_KHID,2,FALSE),0))</f>
        <v/>
      </c>
      <c r="Q17" s="11" t="n"/>
      <c r="R17" s="11" t="n"/>
      <c r="S17" s="10">
        <f>IF(AND(Q17="",R17=""),"",IFERROR(INDEX(T_LIBAT,MATCH(Q17,L_PER,0),MATCH(R17,L_JENIS,0)),0))</f>
        <v/>
      </c>
      <c r="T17" s="11" t="n"/>
      <c r="U17" s="11" t="n"/>
      <c r="V17" s="10">
        <f>IF(AND(T17="",U17=""),"",IFERROR(INDEX(T_CAPAI,MATCH(T17,L_PER,0),MATCH(U17,L_KED,0)),0))</f>
        <v/>
      </c>
      <c r="W17" s="17">
        <f>IF(OR(B17="",E17="",COUNTA(F17,H17,J17:M17,O17,Q17:R17,T17:U17)=0),"",SUM(G17,I17,N17,P17,S17,V17))</f>
        <v/>
      </c>
      <c r="X17" s="18">
        <f>IF(W17="","",IF(Murid!F17="TL","TL",ROUND(W17/110*100,2)))</f>
        <v/>
      </c>
    </row>
    <row r="18">
      <c r="A18" s="15">
        <f>Murid!A18</f>
        <v/>
      </c>
      <c r="B18" s="15">
        <f>IF(Murid!B18="","",Murid!B18)</f>
        <v/>
      </c>
      <c r="C18" s="16">
        <f>IF(Murid!C18="","",Murid!C18)</f>
        <v/>
      </c>
      <c r="D18" s="15">
        <f>IF(Murid!E18="","",Murid!E18)</f>
        <v/>
      </c>
      <c r="E18" s="11" t="n"/>
      <c r="F18" s="11" t="n"/>
      <c r="G18" s="10">
        <f>IF(F18="","",IFERROR(VLOOKUP(F18,T_JSP,2,FALSE),0))</f>
        <v/>
      </c>
      <c r="H18" s="11" t="n"/>
      <c r="I18" s="17">
        <f>IF(H18="","",IF(H18&gt;=12,40,ROUND(H18*3.33,2)))</f>
        <v/>
      </c>
      <c r="J18" s="11" t="n"/>
      <c r="K18" s="11" t="n"/>
      <c r="L18" s="11" t="n"/>
      <c r="M18" s="11" t="n"/>
      <c r="N18" s="10">
        <f>IF(COUNTA(J18:M18)=0,"",MIN(10,SUMPRODUCT((COUNTIF(J18:M18,L_KOM)&gt;0)*S_KOM)))</f>
        <v/>
      </c>
      <c r="O18" s="11" t="n"/>
      <c r="P18" s="10">
        <f>IF(O18="","",IFERROR(VLOOKUP(O18,T_KHID,2,FALSE),0))</f>
        <v/>
      </c>
      <c r="Q18" s="11" t="n"/>
      <c r="R18" s="11" t="n"/>
      <c r="S18" s="10">
        <f>IF(AND(Q18="",R18=""),"",IFERROR(INDEX(T_LIBAT,MATCH(Q18,L_PER,0),MATCH(R18,L_JENIS,0)),0))</f>
        <v/>
      </c>
      <c r="T18" s="11" t="n"/>
      <c r="U18" s="11" t="n"/>
      <c r="V18" s="10">
        <f>IF(AND(T18="",U18=""),"",IFERROR(INDEX(T_CAPAI,MATCH(T18,L_PER,0),MATCH(U18,L_KED,0)),0))</f>
        <v/>
      </c>
      <c r="W18" s="17">
        <f>IF(OR(B18="",E18="",COUNTA(F18,H18,J18:M18,O18,Q18:R18,T18:U18)=0),"",SUM(G18,I18,N18,P18,S18,V18))</f>
        <v/>
      </c>
      <c r="X18" s="18">
        <f>IF(W18="","",IF(Murid!F18="TL","TL",ROUND(W18/110*100,2)))</f>
        <v/>
      </c>
    </row>
    <row r="19">
      <c r="A19" s="15">
        <f>Murid!A19</f>
        <v/>
      </c>
      <c r="B19" s="15">
        <f>IF(Murid!B19="","",Murid!B19)</f>
        <v/>
      </c>
      <c r="C19" s="16">
        <f>IF(Murid!C19="","",Murid!C19)</f>
        <v/>
      </c>
      <c r="D19" s="15">
        <f>IF(Murid!E19="","",Murid!E19)</f>
        <v/>
      </c>
      <c r="E19" s="11" t="n"/>
      <c r="F19" s="11" t="n"/>
      <c r="G19" s="10">
        <f>IF(F19="","",IFERROR(VLOOKUP(F19,T_JSP,2,FALSE),0))</f>
        <v/>
      </c>
      <c r="H19" s="11" t="n"/>
      <c r="I19" s="17">
        <f>IF(H19="","",IF(H19&gt;=12,40,ROUND(H19*3.33,2)))</f>
        <v/>
      </c>
      <c r="J19" s="11" t="n"/>
      <c r="K19" s="11" t="n"/>
      <c r="L19" s="11" t="n"/>
      <c r="M19" s="11" t="n"/>
      <c r="N19" s="10">
        <f>IF(COUNTA(J19:M19)=0,"",MIN(10,SUMPRODUCT((COUNTIF(J19:M19,L_KOM)&gt;0)*S_KOM)))</f>
        <v/>
      </c>
      <c r="O19" s="11" t="n"/>
      <c r="P19" s="10">
        <f>IF(O19="","",IFERROR(VLOOKUP(O19,T_KHID,2,FALSE),0))</f>
        <v/>
      </c>
      <c r="Q19" s="11" t="n"/>
      <c r="R19" s="11" t="n"/>
      <c r="S19" s="10">
        <f>IF(AND(Q19="",R19=""),"",IFERROR(INDEX(T_LIBAT,MATCH(Q19,L_PER,0),MATCH(R19,L_JENIS,0)),0))</f>
        <v/>
      </c>
      <c r="T19" s="11" t="n"/>
      <c r="U19" s="11" t="n"/>
      <c r="V19" s="10">
        <f>IF(AND(T19="",U19=""),"",IFERROR(INDEX(T_CAPAI,MATCH(T19,L_PER,0),MATCH(U19,L_KED,0)),0))</f>
        <v/>
      </c>
      <c r="W19" s="17">
        <f>IF(OR(B19="",E19="",COUNTA(F19,H19,J19:M19,O19,Q19:R19,T19:U19)=0),"",SUM(G19,I19,N19,P19,S19,V19))</f>
        <v/>
      </c>
      <c r="X19" s="18">
        <f>IF(W19="","",IF(Murid!F19="TL","TL",ROUND(W19/110*100,2)))</f>
        <v/>
      </c>
    </row>
    <row r="20">
      <c r="A20" s="15">
        <f>Murid!A20</f>
        <v/>
      </c>
      <c r="B20" s="15">
        <f>IF(Murid!B20="","",Murid!B20)</f>
        <v/>
      </c>
      <c r="C20" s="16">
        <f>IF(Murid!C20="","",Murid!C20)</f>
        <v/>
      </c>
      <c r="D20" s="15">
        <f>IF(Murid!E20="","",Murid!E20)</f>
        <v/>
      </c>
      <c r="E20" s="11" t="n"/>
      <c r="F20" s="11" t="n"/>
      <c r="G20" s="10">
        <f>IF(F20="","",IFERROR(VLOOKUP(F20,T_JSP,2,FALSE),0))</f>
        <v/>
      </c>
      <c r="H20" s="11" t="n"/>
      <c r="I20" s="17">
        <f>IF(H20="","",IF(H20&gt;=12,40,ROUND(H20*3.33,2)))</f>
        <v/>
      </c>
      <c r="J20" s="11" t="n"/>
      <c r="K20" s="11" t="n"/>
      <c r="L20" s="11" t="n"/>
      <c r="M20" s="11" t="n"/>
      <c r="N20" s="10">
        <f>IF(COUNTA(J20:M20)=0,"",MIN(10,SUMPRODUCT((COUNTIF(J20:M20,L_KOM)&gt;0)*S_KOM)))</f>
        <v/>
      </c>
      <c r="O20" s="11" t="n"/>
      <c r="P20" s="10">
        <f>IF(O20="","",IFERROR(VLOOKUP(O20,T_KHID,2,FALSE),0))</f>
        <v/>
      </c>
      <c r="Q20" s="11" t="n"/>
      <c r="R20" s="11" t="n"/>
      <c r="S20" s="10">
        <f>IF(AND(Q20="",R20=""),"",IFERROR(INDEX(T_LIBAT,MATCH(Q20,L_PER,0),MATCH(R20,L_JENIS,0)),0))</f>
        <v/>
      </c>
      <c r="T20" s="11" t="n"/>
      <c r="U20" s="11" t="n"/>
      <c r="V20" s="10">
        <f>IF(AND(T20="",U20=""),"",IFERROR(INDEX(T_CAPAI,MATCH(T20,L_PER,0),MATCH(U20,L_KED,0)),0))</f>
        <v/>
      </c>
      <c r="W20" s="17">
        <f>IF(OR(B20="",E20="",COUNTA(F20,H20,J20:M20,O20,Q20:R20,T20:U20)=0),"",SUM(G20,I20,N20,P20,S20,V20))</f>
        <v/>
      </c>
      <c r="X20" s="18">
        <f>IF(W20="","",IF(Murid!F20="TL","TL",ROUND(W20/110*100,2)))</f>
        <v/>
      </c>
    </row>
    <row r="21">
      <c r="A21" s="15">
        <f>Murid!A21</f>
        <v/>
      </c>
      <c r="B21" s="15">
        <f>IF(Murid!B21="","",Murid!B21)</f>
        <v/>
      </c>
      <c r="C21" s="16">
        <f>IF(Murid!C21="","",Murid!C21)</f>
        <v/>
      </c>
      <c r="D21" s="15">
        <f>IF(Murid!E21="","",Murid!E21)</f>
        <v/>
      </c>
      <c r="E21" s="11" t="n"/>
      <c r="F21" s="11" t="n"/>
      <c r="G21" s="10">
        <f>IF(F21="","",IFERROR(VLOOKUP(F21,T_JSP,2,FALSE),0))</f>
        <v/>
      </c>
      <c r="H21" s="11" t="n"/>
      <c r="I21" s="17">
        <f>IF(H21="","",IF(H21&gt;=12,40,ROUND(H21*3.33,2)))</f>
        <v/>
      </c>
      <c r="J21" s="11" t="n"/>
      <c r="K21" s="11" t="n"/>
      <c r="L21" s="11" t="n"/>
      <c r="M21" s="11" t="n"/>
      <c r="N21" s="10">
        <f>IF(COUNTA(J21:M21)=0,"",MIN(10,SUMPRODUCT((COUNTIF(J21:M21,L_KOM)&gt;0)*S_KOM)))</f>
        <v/>
      </c>
      <c r="O21" s="11" t="n"/>
      <c r="P21" s="10">
        <f>IF(O21="","",IFERROR(VLOOKUP(O21,T_KHID,2,FALSE),0))</f>
        <v/>
      </c>
      <c r="Q21" s="11" t="n"/>
      <c r="R21" s="11" t="n"/>
      <c r="S21" s="10">
        <f>IF(AND(Q21="",R21=""),"",IFERROR(INDEX(T_LIBAT,MATCH(Q21,L_PER,0),MATCH(R21,L_JENIS,0)),0))</f>
        <v/>
      </c>
      <c r="T21" s="11" t="n"/>
      <c r="U21" s="11" t="n"/>
      <c r="V21" s="10">
        <f>IF(AND(T21="",U21=""),"",IFERROR(INDEX(T_CAPAI,MATCH(T21,L_PER,0),MATCH(U21,L_KED,0)),0))</f>
        <v/>
      </c>
      <c r="W21" s="17">
        <f>IF(OR(B21="",E21="",COUNTA(F21,H21,J21:M21,O21,Q21:R21,T21:U21)=0),"",SUM(G21,I21,N21,P21,S21,V21))</f>
        <v/>
      </c>
      <c r="X21" s="18">
        <f>IF(W21="","",IF(Murid!F21="TL","TL",ROUND(W21/110*100,2)))</f>
        <v/>
      </c>
    </row>
    <row r="22">
      <c r="A22" s="15">
        <f>Murid!A22</f>
        <v/>
      </c>
      <c r="B22" s="15">
        <f>IF(Murid!B22="","",Murid!B22)</f>
        <v/>
      </c>
      <c r="C22" s="16">
        <f>IF(Murid!C22="","",Murid!C22)</f>
        <v/>
      </c>
      <c r="D22" s="15">
        <f>IF(Murid!E22="","",Murid!E22)</f>
        <v/>
      </c>
      <c r="E22" s="11" t="n"/>
      <c r="F22" s="11" t="n"/>
      <c r="G22" s="10">
        <f>IF(F22="","",IFERROR(VLOOKUP(F22,T_JSP,2,FALSE),0))</f>
        <v/>
      </c>
      <c r="H22" s="11" t="n"/>
      <c r="I22" s="17">
        <f>IF(H22="","",IF(H22&gt;=12,40,ROUND(H22*3.33,2)))</f>
        <v/>
      </c>
      <c r="J22" s="11" t="n"/>
      <c r="K22" s="11" t="n"/>
      <c r="L22" s="11" t="n"/>
      <c r="M22" s="11" t="n"/>
      <c r="N22" s="10">
        <f>IF(COUNTA(J22:M22)=0,"",MIN(10,SUMPRODUCT((COUNTIF(J22:M22,L_KOM)&gt;0)*S_KOM)))</f>
        <v/>
      </c>
      <c r="O22" s="11" t="n"/>
      <c r="P22" s="10">
        <f>IF(O22="","",IFERROR(VLOOKUP(O22,T_KHID,2,FALSE),0))</f>
        <v/>
      </c>
      <c r="Q22" s="11" t="n"/>
      <c r="R22" s="11" t="n"/>
      <c r="S22" s="10">
        <f>IF(AND(Q22="",R22=""),"",IFERROR(INDEX(T_LIBAT,MATCH(Q22,L_PER,0),MATCH(R22,L_JENIS,0)),0))</f>
        <v/>
      </c>
      <c r="T22" s="11" t="n"/>
      <c r="U22" s="11" t="n"/>
      <c r="V22" s="10">
        <f>IF(AND(T22="",U22=""),"",IFERROR(INDEX(T_CAPAI,MATCH(T22,L_PER,0),MATCH(U22,L_KED,0)),0))</f>
        <v/>
      </c>
      <c r="W22" s="17">
        <f>IF(OR(B22="",E22="",COUNTA(F22,H22,J22:M22,O22,Q22:R22,T22:U22)=0),"",SUM(G22,I22,N22,P22,S22,V22))</f>
        <v/>
      </c>
      <c r="X22" s="18">
        <f>IF(W22="","",IF(Murid!F22="TL","TL",ROUND(W22/110*100,2)))</f>
        <v/>
      </c>
    </row>
    <row r="23">
      <c r="A23" s="15">
        <f>Murid!A23</f>
        <v/>
      </c>
      <c r="B23" s="15">
        <f>IF(Murid!B23="","",Murid!B23)</f>
        <v/>
      </c>
      <c r="C23" s="16">
        <f>IF(Murid!C23="","",Murid!C23)</f>
        <v/>
      </c>
      <c r="D23" s="15">
        <f>IF(Murid!E23="","",Murid!E23)</f>
        <v/>
      </c>
      <c r="E23" s="11" t="n"/>
      <c r="F23" s="11" t="n"/>
      <c r="G23" s="10">
        <f>IF(F23="","",IFERROR(VLOOKUP(F23,T_JSP,2,FALSE),0))</f>
        <v/>
      </c>
      <c r="H23" s="11" t="n"/>
      <c r="I23" s="17">
        <f>IF(H23="","",IF(H23&gt;=12,40,ROUND(H23*3.33,2)))</f>
        <v/>
      </c>
      <c r="J23" s="11" t="n"/>
      <c r="K23" s="11" t="n"/>
      <c r="L23" s="11" t="n"/>
      <c r="M23" s="11" t="n"/>
      <c r="N23" s="10">
        <f>IF(COUNTA(J23:M23)=0,"",MIN(10,SUMPRODUCT((COUNTIF(J23:M23,L_KOM)&gt;0)*S_KOM)))</f>
        <v/>
      </c>
      <c r="O23" s="11" t="n"/>
      <c r="P23" s="10">
        <f>IF(O23="","",IFERROR(VLOOKUP(O23,T_KHID,2,FALSE),0))</f>
        <v/>
      </c>
      <c r="Q23" s="11" t="n"/>
      <c r="R23" s="11" t="n"/>
      <c r="S23" s="10">
        <f>IF(AND(Q23="",R23=""),"",IFERROR(INDEX(T_LIBAT,MATCH(Q23,L_PER,0),MATCH(R23,L_JENIS,0)),0))</f>
        <v/>
      </c>
      <c r="T23" s="11" t="n"/>
      <c r="U23" s="11" t="n"/>
      <c r="V23" s="10">
        <f>IF(AND(T23="",U23=""),"",IFERROR(INDEX(T_CAPAI,MATCH(T23,L_PER,0),MATCH(U23,L_KED,0)),0))</f>
        <v/>
      </c>
      <c r="W23" s="17">
        <f>IF(OR(B23="",E23="",COUNTA(F23,H23,J23:M23,O23,Q23:R23,T23:U23)=0),"",SUM(G23,I23,N23,P23,S23,V23))</f>
        <v/>
      </c>
      <c r="X23" s="18">
        <f>IF(W23="","",IF(Murid!F23="TL","TL",ROUND(W23/110*100,2)))</f>
        <v/>
      </c>
    </row>
    <row r="24">
      <c r="A24" s="15">
        <f>Murid!A24</f>
        <v/>
      </c>
      <c r="B24" s="15">
        <f>IF(Murid!B24="","",Murid!B24)</f>
        <v/>
      </c>
      <c r="C24" s="16">
        <f>IF(Murid!C24="","",Murid!C24)</f>
        <v/>
      </c>
      <c r="D24" s="15">
        <f>IF(Murid!E24="","",Murid!E24)</f>
        <v/>
      </c>
      <c r="E24" s="11" t="n"/>
      <c r="F24" s="11" t="n"/>
      <c r="G24" s="10">
        <f>IF(F24="","",IFERROR(VLOOKUP(F24,T_JSP,2,FALSE),0))</f>
        <v/>
      </c>
      <c r="H24" s="11" t="n"/>
      <c r="I24" s="17">
        <f>IF(H24="","",IF(H24&gt;=12,40,ROUND(H24*3.33,2)))</f>
        <v/>
      </c>
      <c r="J24" s="11" t="n"/>
      <c r="K24" s="11" t="n"/>
      <c r="L24" s="11" t="n"/>
      <c r="M24" s="11" t="n"/>
      <c r="N24" s="10">
        <f>IF(COUNTA(J24:M24)=0,"",MIN(10,SUMPRODUCT((COUNTIF(J24:M24,L_KOM)&gt;0)*S_KOM)))</f>
        <v/>
      </c>
      <c r="O24" s="11" t="n"/>
      <c r="P24" s="10">
        <f>IF(O24="","",IFERROR(VLOOKUP(O24,T_KHID,2,FALSE),0))</f>
        <v/>
      </c>
      <c r="Q24" s="11" t="n"/>
      <c r="R24" s="11" t="n"/>
      <c r="S24" s="10">
        <f>IF(AND(Q24="",R24=""),"",IFERROR(INDEX(T_LIBAT,MATCH(Q24,L_PER,0),MATCH(R24,L_JENIS,0)),0))</f>
        <v/>
      </c>
      <c r="T24" s="11" t="n"/>
      <c r="U24" s="11" t="n"/>
      <c r="V24" s="10">
        <f>IF(AND(T24="",U24=""),"",IFERROR(INDEX(T_CAPAI,MATCH(T24,L_PER,0),MATCH(U24,L_KED,0)),0))</f>
        <v/>
      </c>
      <c r="W24" s="17">
        <f>IF(OR(B24="",E24="",COUNTA(F24,H24,J24:M24,O24,Q24:R24,T24:U24)=0),"",SUM(G24,I24,N24,P24,S24,V24))</f>
        <v/>
      </c>
      <c r="X24" s="18">
        <f>IF(W24="","",IF(Murid!F24="TL","TL",ROUND(W24/110*100,2)))</f>
        <v/>
      </c>
    </row>
    <row r="25">
      <c r="A25" s="15">
        <f>Murid!A25</f>
        <v/>
      </c>
      <c r="B25" s="15">
        <f>IF(Murid!B25="","",Murid!B25)</f>
        <v/>
      </c>
      <c r="C25" s="16">
        <f>IF(Murid!C25="","",Murid!C25)</f>
        <v/>
      </c>
      <c r="D25" s="15">
        <f>IF(Murid!E25="","",Murid!E25)</f>
        <v/>
      </c>
      <c r="E25" s="11" t="n"/>
      <c r="F25" s="11" t="n"/>
      <c r="G25" s="10">
        <f>IF(F25="","",IFERROR(VLOOKUP(F25,T_JSP,2,FALSE),0))</f>
        <v/>
      </c>
      <c r="H25" s="11" t="n"/>
      <c r="I25" s="17">
        <f>IF(H25="","",IF(H25&gt;=12,40,ROUND(H25*3.33,2)))</f>
        <v/>
      </c>
      <c r="J25" s="11" t="n"/>
      <c r="K25" s="11" t="n"/>
      <c r="L25" s="11" t="n"/>
      <c r="M25" s="11" t="n"/>
      <c r="N25" s="10">
        <f>IF(COUNTA(J25:M25)=0,"",MIN(10,SUMPRODUCT((COUNTIF(J25:M25,L_KOM)&gt;0)*S_KOM)))</f>
        <v/>
      </c>
      <c r="O25" s="11" t="n"/>
      <c r="P25" s="10">
        <f>IF(O25="","",IFERROR(VLOOKUP(O25,T_KHID,2,FALSE),0))</f>
        <v/>
      </c>
      <c r="Q25" s="11" t="n"/>
      <c r="R25" s="11" t="n"/>
      <c r="S25" s="10">
        <f>IF(AND(Q25="",R25=""),"",IFERROR(INDEX(T_LIBAT,MATCH(Q25,L_PER,0),MATCH(R25,L_JENIS,0)),0))</f>
        <v/>
      </c>
      <c r="T25" s="11" t="n"/>
      <c r="U25" s="11" t="n"/>
      <c r="V25" s="10">
        <f>IF(AND(T25="",U25=""),"",IFERROR(INDEX(T_CAPAI,MATCH(T25,L_PER,0),MATCH(U25,L_KED,0)),0))</f>
        <v/>
      </c>
      <c r="W25" s="17">
        <f>IF(OR(B25="",E25="",COUNTA(F25,H25,J25:M25,O25,Q25:R25,T25:U25)=0),"",SUM(G25,I25,N25,P25,S25,V25))</f>
        <v/>
      </c>
      <c r="X25" s="18">
        <f>IF(W25="","",IF(Murid!F25="TL","TL",ROUND(W25/110*100,2)))</f>
        <v/>
      </c>
    </row>
    <row r="26">
      <c r="A26" s="15">
        <f>Murid!A26</f>
        <v/>
      </c>
      <c r="B26" s="15">
        <f>IF(Murid!B26="","",Murid!B26)</f>
        <v/>
      </c>
      <c r="C26" s="16">
        <f>IF(Murid!C26="","",Murid!C26)</f>
        <v/>
      </c>
      <c r="D26" s="15">
        <f>IF(Murid!E26="","",Murid!E26)</f>
        <v/>
      </c>
      <c r="E26" s="11" t="n"/>
      <c r="F26" s="11" t="n"/>
      <c r="G26" s="10">
        <f>IF(F26="","",IFERROR(VLOOKUP(F26,T_JSP,2,FALSE),0))</f>
        <v/>
      </c>
      <c r="H26" s="11" t="n"/>
      <c r="I26" s="17">
        <f>IF(H26="","",IF(H26&gt;=12,40,ROUND(H26*3.33,2)))</f>
        <v/>
      </c>
      <c r="J26" s="11" t="n"/>
      <c r="K26" s="11" t="n"/>
      <c r="L26" s="11" t="n"/>
      <c r="M26" s="11" t="n"/>
      <c r="N26" s="10">
        <f>IF(COUNTA(J26:M26)=0,"",MIN(10,SUMPRODUCT((COUNTIF(J26:M26,L_KOM)&gt;0)*S_KOM)))</f>
        <v/>
      </c>
      <c r="O26" s="11" t="n"/>
      <c r="P26" s="10">
        <f>IF(O26="","",IFERROR(VLOOKUP(O26,T_KHID,2,FALSE),0))</f>
        <v/>
      </c>
      <c r="Q26" s="11" t="n"/>
      <c r="R26" s="11" t="n"/>
      <c r="S26" s="10">
        <f>IF(AND(Q26="",R26=""),"",IFERROR(INDEX(T_LIBAT,MATCH(Q26,L_PER,0),MATCH(R26,L_JENIS,0)),0))</f>
        <v/>
      </c>
      <c r="T26" s="11" t="n"/>
      <c r="U26" s="11" t="n"/>
      <c r="V26" s="10">
        <f>IF(AND(T26="",U26=""),"",IFERROR(INDEX(T_CAPAI,MATCH(T26,L_PER,0),MATCH(U26,L_KED,0)),0))</f>
        <v/>
      </c>
      <c r="W26" s="17">
        <f>IF(OR(B26="",E26="",COUNTA(F26,H26,J26:M26,O26,Q26:R26,T26:U26)=0),"",SUM(G26,I26,N26,P26,S26,V26))</f>
        <v/>
      </c>
      <c r="X26" s="18">
        <f>IF(W26="","",IF(Murid!F26="TL","TL",ROUND(W26/110*100,2)))</f>
        <v/>
      </c>
    </row>
    <row r="27">
      <c r="A27" s="15">
        <f>Murid!A27</f>
        <v/>
      </c>
      <c r="B27" s="15">
        <f>IF(Murid!B27="","",Murid!B27)</f>
        <v/>
      </c>
      <c r="C27" s="16">
        <f>IF(Murid!C27="","",Murid!C27)</f>
        <v/>
      </c>
      <c r="D27" s="15">
        <f>IF(Murid!E27="","",Murid!E27)</f>
        <v/>
      </c>
      <c r="E27" s="11" t="n"/>
      <c r="F27" s="11" t="n"/>
      <c r="G27" s="10">
        <f>IF(F27="","",IFERROR(VLOOKUP(F27,T_JSP,2,FALSE),0))</f>
        <v/>
      </c>
      <c r="H27" s="11" t="n"/>
      <c r="I27" s="17">
        <f>IF(H27="","",IF(H27&gt;=12,40,ROUND(H27*3.33,2)))</f>
        <v/>
      </c>
      <c r="J27" s="11" t="n"/>
      <c r="K27" s="11" t="n"/>
      <c r="L27" s="11" t="n"/>
      <c r="M27" s="11" t="n"/>
      <c r="N27" s="10">
        <f>IF(COUNTA(J27:M27)=0,"",MIN(10,SUMPRODUCT((COUNTIF(J27:M27,L_KOM)&gt;0)*S_KOM)))</f>
        <v/>
      </c>
      <c r="O27" s="11" t="n"/>
      <c r="P27" s="10">
        <f>IF(O27="","",IFERROR(VLOOKUP(O27,T_KHID,2,FALSE),0))</f>
        <v/>
      </c>
      <c r="Q27" s="11" t="n"/>
      <c r="R27" s="11" t="n"/>
      <c r="S27" s="10">
        <f>IF(AND(Q27="",R27=""),"",IFERROR(INDEX(T_LIBAT,MATCH(Q27,L_PER,0),MATCH(R27,L_JENIS,0)),0))</f>
        <v/>
      </c>
      <c r="T27" s="11" t="n"/>
      <c r="U27" s="11" t="n"/>
      <c r="V27" s="10">
        <f>IF(AND(T27="",U27=""),"",IFERROR(INDEX(T_CAPAI,MATCH(T27,L_PER,0),MATCH(U27,L_KED,0)),0))</f>
        <v/>
      </c>
      <c r="W27" s="17">
        <f>IF(OR(B27="",E27="",COUNTA(F27,H27,J27:M27,O27,Q27:R27,T27:U27)=0),"",SUM(G27,I27,N27,P27,S27,V27))</f>
        <v/>
      </c>
      <c r="X27" s="18">
        <f>IF(W27="","",IF(Murid!F27="TL","TL",ROUND(W27/110*100,2)))</f>
        <v/>
      </c>
    </row>
    <row r="28">
      <c r="A28" s="15">
        <f>Murid!A28</f>
        <v/>
      </c>
      <c r="B28" s="15">
        <f>IF(Murid!B28="","",Murid!B28)</f>
        <v/>
      </c>
      <c r="C28" s="16">
        <f>IF(Murid!C28="","",Murid!C28)</f>
        <v/>
      </c>
      <c r="D28" s="15">
        <f>IF(Murid!E28="","",Murid!E28)</f>
        <v/>
      </c>
      <c r="E28" s="11" t="n"/>
      <c r="F28" s="11" t="n"/>
      <c r="G28" s="10">
        <f>IF(F28="","",IFERROR(VLOOKUP(F28,T_JSP,2,FALSE),0))</f>
        <v/>
      </c>
      <c r="H28" s="11" t="n"/>
      <c r="I28" s="17">
        <f>IF(H28="","",IF(H28&gt;=12,40,ROUND(H28*3.33,2)))</f>
        <v/>
      </c>
      <c r="J28" s="11" t="n"/>
      <c r="K28" s="11" t="n"/>
      <c r="L28" s="11" t="n"/>
      <c r="M28" s="11" t="n"/>
      <c r="N28" s="10">
        <f>IF(COUNTA(J28:M28)=0,"",MIN(10,SUMPRODUCT((COUNTIF(J28:M28,L_KOM)&gt;0)*S_KOM)))</f>
        <v/>
      </c>
      <c r="O28" s="11" t="n"/>
      <c r="P28" s="10">
        <f>IF(O28="","",IFERROR(VLOOKUP(O28,T_KHID,2,FALSE),0))</f>
        <v/>
      </c>
      <c r="Q28" s="11" t="n"/>
      <c r="R28" s="11" t="n"/>
      <c r="S28" s="10">
        <f>IF(AND(Q28="",R28=""),"",IFERROR(INDEX(T_LIBAT,MATCH(Q28,L_PER,0),MATCH(R28,L_JENIS,0)),0))</f>
        <v/>
      </c>
      <c r="T28" s="11" t="n"/>
      <c r="U28" s="11" t="n"/>
      <c r="V28" s="10">
        <f>IF(AND(T28="",U28=""),"",IFERROR(INDEX(T_CAPAI,MATCH(T28,L_PER,0),MATCH(U28,L_KED,0)),0))</f>
        <v/>
      </c>
      <c r="W28" s="17">
        <f>IF(OR(B28="",E28="",COUNTA(F28,H28,J28:M28,O28,Q28:R28,T28:U28)=0),"",SUM(G28,I28,N28,P28,S28,V28))</f>
        <v/>
      </c>
      <c r="X28" s="18">
        <f>IF(W28="","",IF(Murid!F28="TL","TL",ROUND(W28/110*100,2)))</f>
        <v/>
      </c>
    </row>
    <row r="29">
      <c r="A29" s="15">
        <f>Murid!A29</f>
        <v/>
      </c>
      <c r="B29" s="15">
        <f>IF(Murid!B29="","",Murid!B29)</f>
        <v/>
      </c>
      <c r="C29" s="16">
        <f>IF(Murid!C29="","",Murid!C29)</f>
        <v/>
      </c>
      <c r="D29" s="15">
        <f>IF(Murid!E29="","",Murid!E29)</f>
        <v/>
      </c>
      <c r="E29" s="11" t="n"/>
      <c r="F29" s="11" t="n"/>
      <c r="G29" s="10">
        <f>IF(F29="","",IFERROR(VLOOKUP(F29,T_JSP,2,FALSE),0))</f>
        <v/>
      </c>
      <c r="H29" s="11" t="n"/>
      <c r="I29" s="17">
        <f>IF(H29="","",IF(H29&gt;=12,40,ROUND(H29*3.33,2)))</f>
        <v/>
      </c>
      <c r="J29" s="11" t="n"/>
      <c r="K29" s="11" t="n"/>
      <c r="L29" s="11" t="n"/>
      <c r="M29" s="11" t="n"/>
      <c r="N29" s="10">
        <f>IF(COUNTA(J29:M29)=0,"",MIN(10,SUMPRODUCT((COUNTIF(J29:M29,L_KOM)&gt;0)*S_KOM)))</f>
        <v/>
      </c>
      <c r="O29" s="11" t="n"/>
      <c r="P29" s="10">
        <f>IF(O29="","",IFERROR(VLOOKUP(O29,T_KHID,2,FALSE),0))</f>
        <v/>
      </c>
      <c r="Q29" s="11" t="n"/>
      <c r="R29" s="11" t="n"/>
      <c r="S29" s="10">
        <f>IF(AND(Q29="",R29=""),"",IFERROR(INDEX(T_LIBAT,MATCH(Q29,L_PER,0),MATCH(R29,L_JENIS,0)),0))</f>
        <v/>
      </c>
      <c r="T29" s="11" t="n"/>
      <c r="U29" s="11" t="n"/>
      <c r="V29" s="10">
        <f>IF(AND(T29="",U29=""),"",IFERROR(INDEX(T_CAPAI,MATCH(T29,L_PER,0),MATCH(U29,L_KED,0)),0))</f>
        <v/>
      </c>
      <c r="W29" s="17">
        <f>IF(OR(B29="",E29="",COUNTA(F29,H29,J29:M29,O29,Q29:R29,T29:U29)=0),"",SUM(G29,I29,N29,P29,S29,V29))</f>
        <v/>
      </c>
      <c r="X29" s="18">
        <f>IF(W29="","",IF(Murid!F29="TL","TL",ROUND(W29/110*100,2)))</f>
        <v/>
      </c>
    </row>
    <row r="30">
      <c r="A30" s="15">
        <f>Murid!A30</f>
        <v/>
      </c>
      <c r="B30" s="15">
        <f>IF(Murid!B30="","",Murid!B30)</f>
        <v/>
      </c>
      <c r="C30" s="16">
        <f>IF(Murid!C30="","",Murid!C30)</f>
        <v/>
      </c>
      <c r="D30" s="15">
        <f>IF(Murid!E30="","",Murid!E30)</f>
        <v/>
      </c>
      <c r="E30" s="11" t="n"/>
      <c r="F30" s="11" t="n"/>
      <c r="G30" s="10">
        <f>IF(F30="","",IFERROR(VLOOKUP(F30,T_JSP,2,FALSE),0))</f>
        <v/>
      </c>
      <c r="H30" s="11" t="n"/>
      <c r="I30" s="17">
        <f>IF(H30="","",IF(H30&gt;=12,40,ROUND(H30*3.33,2)))</f>
        <v/>
      </c>
      <c r="J30" s="11" t="n"/>
      <c r="K30" s="11" t="n"/>
      <c r="L30" s="11" t="n"/>
      <c r="M30" s="11" t="n"/>
      <c r="N30" s="10">
        <f>IF(COUNTA(J30:M30)=0,"",MIN(10,SUMPRODUCT((COUNTIF(J30:M30,L_KOM)&gt;0)*S_KOM)))</f>
        <v/>
      </c>
      <c r="O30" s="11" t="n"/>
      <c r="P30" s="10">
        <f>IF(O30="","",IFERROR(VLOOKUP(O30,T_KHID,2,FALSE),0))</f>
        <v/>
      </c>
      <c r="Q30" s="11" t="n"/>
      <c r="R30" s="11" t="n"/>
      <c r="S30" s="10">
        <f>IF(AND(Q30="",R30=""),"",IFERROR(INDEX(T_LIBAT,MATCH(Q30,L_PER,0),MATCH(R30,L_JENIS,0)),0))</f>
        <v/>
      </c>
      <c r="T30" s="11" t="n"/>
      <c r="U30" s="11" t="n"/>
      <c r="V30" s="10">
        <f>IF(AND(T30="",U30=""),"",IFERROR(INDEX(T_CAPAI,MATCH(T30,L_PER,0),MATCH(U30,L_KED,0)),0))</f>
        <v/>
      </c>
      <c r="W30" s="17">
        <f>IF(OR(B30="",E30="",COUNTA(F30,H30,J30:M30,O30,Q30:R30,T30:U30)=0),"",SUM(G30,I30,N30,P30,S30,V30))</f>
        <v/>
      </c>
      <c r="X30" s="18">
        <f>IF(W30="","",IF(Murid!F30="TL","TL",ROUND(W30/110*100,2)))</f>
        <v/>
      </c>
    </row>
    <row r="31">
      <c r="A31" s="15">
        <f>Murid!A31</f>
        <v/>
      </c>
      <c r="B31" s="15">
        <f>IF(Murid!B31="","",Murid!B31)</f>
        <v/>
      </c>
      <c r="C31" s="16">
        <f>IF(Murid!C31="","",Murid!C31)</f>
        <v/>
      </c>
      <c r="D31" s="15">
        <f>IF(Murid!E31="","",Murid!E31)</f>
        <v/>
      </c>
      <c r="E31" s="11" t="n"/>
      <c r="F31" s="11" t="n"/>
      <c r="G31" s="10">
        <f>IF(F31="","",IFERROR(VLOOKUP(F31,T_JSP,2,FALSE),0))</f>
        <v/>
      </c>
      <c r="H31" s="11" t="n"/>
      <c r="I31" s="17">
        <f>IF(H31="","",IF(H31&gt;=12,40,ROUND(H31*3.33,2)))</f>
        <v/>
      </c>
      <c r="J31" s="11" t="n"/>
      <c r="K31" s="11" t="n"/>
      <c r="L31" s="11" t="n"/>
      <c r="M31" s="11" t="n"/>
      <c r="N31" s="10">
        <f>IF(COUNTA(J31:M31)=0,"",MIN(10,SUMPRODUCT((COUNTIF(J31:M31,L_KOM)&gt;0)*S_KOM)))</f>
        <v/>
      </c>
      <c r="O31" s="11" t="n"/>
      <c r="P31" s="10">
        <f>IF(O31="","",IFERROR(VLOOKUP(O31,T_KHID,2,FALSE),0))</f>
        <v/>
      </c>
      <c r="Q31" s="11" t="n"/>
      <c r="R31" s="11" t="n"/>
      <c r="S31" s="10">
        <f>IF(AND(Q31="",R31=""),"",IFERROR(INDEX(T_LIBAT,MATCH(Q31,L_PER,0),MATCH(R31,L_JENIS,0)),0))</f>
        <v/>
      </c>
      <c r="T31" s="11" t="n"/>
      <c r="U31" s="11" t="n"/>
      <c r="V31" s="10">
        <f>IF(AND(T31="",U31=""),"",IFERROR(INDEX(T_CAPAI,MATCH(T31,L_PER,0),MATCH(U31,L_KED,0)),0))</f>
        <v/>
      </c>
      <c r="W31" s="17">
        <f>IF(OR(B31="",E31="",COUNTA(F31,H31,J31:M31,O31,Q31:R31,T31:U31)=0),"",SUM(G31,I31,N31,P31,S31,V31))</f>
        <v/>
      </c>
      <c r="X31" s="18">
        <f>IF(W31="","",IF(Murid!F31="TL","TL",ROUND(W31/110*100,2)))</f>
        <v/>
      </c>
    </row>
    <row r="32">
      <c r="A32" s="15">
        <f>Murid!A32</f>
        <v/>
      </c>
      <c r="B32" s="15">
        <f>IF(Murid!B32="","",Murid!B32)</f>
        <v/>
      </c>
      <c r="C32" s="16">
        <f>IF(Murid!C32="","",Murid!C32)</f>
        <v/>
      </c>
      <c r="D32" s="15">
        <f>IF(Murid!E32="","",Murid!E32)</f>
        <v/>
      </c>
      <c r="E32" s="11" t="n"/>
      <c r="F32" s="11" t="n"/>
      <c r="G32" s="10">
        <f>IF(F32="","",IFERROR(VLOOKUP(F32,T_JSP,2,FALSE),0))</f>
        <v/>
      </c>
      <c r="H32" s="11" t="n"/>
      <c r="I32" s="17">
        <f>IF(H32="","",IF(H32&gt;=12,40,ROUND(H32*3.33,2)))</f>
        <v/>
      </c>
      <c r="J32" s="11" t="n"/>
      <c r="K32" s="11" t="n"/>
      <c r="L32" s="11" t="n"/>
      <c r="M32" s="11" t="n"/>
      <c r="N32" s="10">
        <f>IF(COUNTA(J32:M32)=0,"",MIN(10,SUMPRODUCT((COUNTIF(J32:M32,L_KOM)&gt;0)*S_KOM)))</f>
        <v/>
      </c>
      <c r="O32" s="11" t="n"/>
      <c r="P32" s="10">
        <f>IF(O32="","",IFERROR(VLOOKUP(O32,T_KHID,2,FALSE),0))</f>
        <v/>
      </c>
      <c r="Q32" s="11" t="n"/>
      <c r="R32" s="11" t="n"/>
      <c r="S32" s="10">
        <f>IF(AND(Q32="",R32=""),"",IFERROR(INDEX(T_LIBAT,MATCH(Q32,L_PER,0),MATCH(R32,L_JENIS,0)),0))</f>
        <v/>
      </c>
      <c r="T32" s="11" t="n"/>
      <c r="U32" s="11" t="n"/>
      <c r="V32" s="10">
        <f>IF(AND(T32="",U32=""),"",IFERROR(INDEX(T_CAPAI,MATCH(T32,L_PER,0),MATCH(U32,L_KED,0)),0))</f>
        <v/>
      </c>
      <c r="W32" s="17">
        <f>IF(OR(B32="",E32="",COUNTA(F32,H32,J32:M32,O32,Q32:R32,T32:U32)=0),"",SUM(G32,I32,N32,P32,S32,V32))</f>
        <v/>
      </c>
      <c r="X32" s="18">
        <f>IF(W32="","",IF(Murid!F32="TL","TL",ROUND(W32/110*100,2)))</f>
        <v/>
      </c>
    </row>
    <row r="33">
      <c r="A33" s="15">
        <f>Murid!A33</f>
        <v/>
      </c>
      <c r="B33" s="15">
        <f>IF(Murid!B33="","",Murid!B33)</f>
        <v/>
      </c>
      <c r="C33" s="16">
        <f>IF(Murid!C33="","",Murid!C33)</f>
        <v/>
      </c>
      <c r="D33" s="15">
        <f>IF(Murid!E33="","",Murid!E33)</f>
        <v/>
      </c>
      <c r="E33" s="11" t="n"/>
      <c r="F33" s="11" t="n"/>
      <c r="G33" s="10">
        <f>IF(F33="","",IFERROR(VLOOKUP(F33,T_JSP,2,FALSE),0))</f>
        <v/>
      </c>
      <c r="H33" s="11" t="n"/>
      <c r="I33" s="17">
        <f>IF(H33="","",IF(H33&gt;=12,40,ROUND(H33*3.33,2)))</f>
        <v/>
      </c>
      <c r="J33" s="11" t="n"/>
      <c r="K33" s="11" t="n"/>
      <c r="L33" s="11" t="n"/>
      <c r="M33" s="11" t="n"/>
      <c r="N33" s="10">
        <f>IF(COUNTA(J33:M33)=0,"",MIN(10,SUMPRODUCT((COUNTIF(J33:M33,L_KOM)&gt;0)*S_KOM)))</f>
        <v/>
      </c>
      <c r="O33" s="11" t="n"/>
      <c r="P33" s="10">
        <f>IF(O33="","",IFERROR(VLOOKUP(O33,T_KHID,2,FALSE),0))</f>
        <v/>
      </c>
      <c r="Q33" s="11" t="n"/>
      <c r="R33" s="11" t="n"/>
      <c r="S33" s="10">
        <f>IF(AND(Q33="",R33=""),"",IFERROR(INDEX(T_LIBAT,MATCH(Q33,L_PER,0),MATCH(R33,L_JENIS,0)),0))</f>
        <v/>
      </c>
      <c r="T33" s="11" t="n"/>
      <c r="U33" s="11" t="n"/>
      <c r="V33" s="10">
        <f>IF(AND(T33="",U33=""),"",IFERROR(INDEX(T_CAPAI,MATCH(T33,L_PER,0),MATCH(U33,L_KED,0)),0))</f>
        <v/>
      </c>
      <c r="W33" s="17">
        <f>IF(OR(B33="",E33="",COUNTA(F33,H33,J33:M33,O33,Q33:R33,T33:U33)=0),"",SUM(G33,I33,N33,P33,S33,V33))</f>
        <v/>
      </c>
      <c r="X33" s="18">
        <f>IF(W33="","",IF(Murid!F33="TL","TL",ROUND(W33/110*100,2)))</f>
        <v/>
      </c>
    </row>
    <row r="34">
      <c r="A34" s="15">
        <f>Murid!A34</f>
        <v/>
      </c>
      <c r="B34" s="15">
        <f>IF(Murid!B34="","",Murid!B34)</f>
        <v/>
      </c>
      <c r="C34" s="16">
        <f>IF(Murid!C34="","",Murid!C34)</f>
        <v/>
      </c>
      <c r="D34" s="15">
        <f>IF(Murid!E34="","",Murid!E34)</f>
        <v/>
      </c>
      <c r="E34" s="11" t="n"/>
      <c r="F34" s="11" t="n"/>
      <c r="G34" s="10">
        <f>IF(F34="","",IFERROR(VLOOKUP(F34,T_JSP,2,FALSE),0))</f>
        <v/>
      </c>
      <c r="H34" s="11" t="n"/>
      <c r="I34" s="17">
        <f>IF(H34="","",IF(H34&gt;=12,40,ROUND(H34*3.33,2)))</f>
        <v/>
      </c>
      <c r="J34" s="11" t="n"/>
      <c r="K34" s="11" t="n"/>
      <c r="L34" s="11" t="n"/>
      <c r="M34" s="11" t="n"/>
      <c r="N34" s="10">
        <f>IF(COUNTA(J34:M34)=0,"",MIN(10,SUMPRODUCT((COUNTIF(J34:M34,L_KOM)&gt;0)*S_KOM)))</f>
        <v/>
      </c>
      <c r="O34" s="11" t="n"/>
      <c r="P34" s="10">
        <f>IF(O34="","",IFERROR(VLOOKUP(O34,T_KHID,2,FALSE),0))</f>
        <v/>
      </c>
      <c r="Q34" s="11" t="n"/>
      <c r="R34" s="11" t="n"/>
      <c r="S34" s="10">
        <f>IF(AND(Q34="",R34=""),"",IFERROR(INDEX(T_LIBAT,MATCH(Q34,L_PER,0),MATCH(R34,L_JENIS,0)),0))</f>
        <v/>
      </c>
      <c r="T34" s="11" t="n"/>
      <c r="U34" s="11" t="n"/>
      <c r="V34" s="10">
        <f>IF(AND(T34="",U34=""),"",IFERROR(INDEX(T_CAPAI,MATCH(T34,L_PER,0),MATCH(U34,L_KED,0)),0))</f>
        <v/>
      </c>
      <c r="W34" s="17">
        <f>IF(OR(B34="",E34="",COUNTA(F34,H34,J34:M34,O34,Q34:R34,T34:U34)=0),"",SUM(G34,I34,N34,P34,S34,V34))</f>
        <v/>
      </c>
      <c r="X34" s="18">
        <f>IF(W34="","",IF(Murid!F34="TL","TL",ROUND(W34/110*100,2)))</f>
        <v/>
      </c>
    </row>
    <row r="35">
      <c r="A35" s="15">
        <f>Murid!A35</f>
        <v/>
      </c>
      <c r="B35" s="15">
        <f>IF(Murid!B35="","",Murid!B35)</f>
        <v/>
      </c>
      <c r="C35" s="16">
        <f>IF(Murid!C35="","",Murid!C35)</f>
        <v/>
      </c>
      <c r="D35" s="15">
        <f>IF(Murid!E35="","",Murid!E35)</f>
        <v/>
      </c>
      <c r="E35" s="11" t="n"/>
      <c r="F35" s="11" t="n"/>
      <c r="G35" s="10">
        <f>IF(F35="","",IFERROR(VLOOKUP(F35,T_JSP,2,FALSE),0))</f>
        <v/>
      </c>
      <c r="H35" s="11" t="n"/>
      <c r="I35" s="17">
        <f>IF(H35="","",IF(H35&gt;=12,40,ROUND(H35*3.33,2)))</f>
        <v/>
      </c>
      <c r="J35" s="11" t="n"/>
      <c r="K35" s="11" t="n"/>
      <c r="L35" s="11" t="n"/>
      <c r="M35" s="11" t="n"/>
      <c r="N35" s="10">
        <f>IF(COUNTA(J35:M35)=0,"",MIN(10,SUMPRODUCT((COUNTIF(J35:M35,L_KOM)&gt;0)*S_KOM)))</f>
        <v/>
      </c>
      <c r="O35" s="11" t="n"/>
      <c r="P35" s="10">
        <f>IF(O35="","",IFERROR(VLOOKUP(O35,T_KHID,2,FALSE),0))</f>
        <v/>
      </c>
      <c r="Q35" s="11" t="n"/>
      <c r="R35" s="11" t="n"/>
      <c r="S35" s="10">
        <f>IF(AND(Q35="",R35=""),"",IFERROR(INDEX(T_LIBAT,MATCH(Q35,L_PER,0),MATCH(R35,L_JENIS,0)),0))</f>
        <v/>
      </c>
      <c r="T35" s="11" t="n"/>
      <c r="U35" s="11" t="n"/>
      <c r="V35" s="10">
        <f>IF(AND(T35="",U35=""),"",IFERROR(INDEX(T_CAPAI,MATCH(T35,L_PER,0),MATCH(U35,L_KED,0)),0))</f>
        <v/>
      </c>
      <c r="W35" s="17">
        <f>IF(OR(B35="",E35="",COUNTA(F35,H35,J35:M35,O35,Q35:R35,T35:U35)=0),"",SUM(G35,I35,N35,P35,S35,V35))</f>
        <v/>
      </c>
      <c r="X35" s="18">
        <f>IF(W35="","",IF(Murid!F35="TL","TL",ROUND(W35/110*100,2)))</f>
        <v/>
      </c>
    </row>
    <row r="36">
      <c r="A36" s="15">
        <f>Murid!A36</f>
        <v/>
      </c>
      <c r="B36" s="15">
        <f>IF(Murid!B36="","",Murid!B36)</f>
        <v/>
      </c>
      <c r="C36" s="16">
        <f>IF(Murid!C36="","",Murid!C36)</f>
        <v/>
      </c>
      <c r="D36" s="15">
        <f>IF(Murid!E36="","",Murid!E36)</f>
        <v/>
      </c>
      <c r="E36" s="11" t="n"/>
      <c r="F36" s="11" t="n"/>
      <c r="G36" s="10">
        <f>IF(F36="","",IFERROR(VLOOKUP(F36,T_JSP,2,FALSE),0))</f>
        <v/>
      </c>
      <c r="H36" s="11" t="n"/>
      <c r="I36" s="17">
        <f>IF(H36="","",IF(H36&gt;=12,40,ROUND(H36*3.33,2)))</f>
        <v/>
      </c>
      <c r="J36" s="11" t="n"/>
      <c r="K36" s="11" t="n"/>
      <c r="L36" s="11" t="n"/>
      <c r="M36" s="11" t="n"/>
      <c r="N36" s="10">
        <f>IF(COUNTA(J36:M36)=0,"",MIN(10,SUMPRODUCT((COUNTIF(J36:M36,L_KOM)&gt;0)*S_KOM)))</f>
        <v/>
      </c>
      <c r="O36" s="11" t="n"/>
      <c r="P36" s="10">
        <f>IF(O36="","",IFERROR(VLOOKUP(O36,T_KHID,2,FALSE),0))</f>
        <v/>
      </c>
      <c r="Q36" s="11" t="n"/>
      <c r="R36" s="11" t="n"/>
      <c r="S36" s="10">
        <f>IF(AND(Q36="",R36=""),"",IFERROR(INDEX(T_LIBAT,MATCH(Q36,L_PER,0),MATCH(R36,L_JENIS,0)),0))</f>
        <v/>
      </c>
      <c r="T36" s="11" t="n"/>
      <c r="U36" s="11" t="n"/>
      <c r="V36" s="10">
        <f>IF(AND(T36="",U36=""),"",IFERROR(INDEX(T_CAPAI,MATCH(T36,L_PER,0),MATCH(U36,L_KED,0)),0))</f>
        <v/>
      </c>
      <c r="W36" s="17">
        <f>IF(OR(B36="",E36="",COUNTA(F36,H36,J36:M36,O36,Q36:R36,T36:U36)=0),"",SUM(G36,I36,N36,P36,S36,V36))</f>
        <v/>
      </c>
      <c r="X36" s="18">
        <f>IF(W36="","",IF(Murid!F36="TL","TL",ROUND(W36/110*100,2)))</f>
        <v/>
      </c>
    </row>
    <row r="37">
      <c r="A37" s="15">
        <f>Murid!A37</f>
        <v/>
      </c>
      <c r="B37" s="15">
        <f>IF(Murid!B37="","",Murid!B37)</f>
        <v/>
      </c>
      <c r="C37" s="16">
        <f>IF(Murid!C37="","",Murid!C37)</f>
        <v/>
      </c>
      <c r="D37" s="15">
        <f>IF(Murid!E37="","",Murid!E37)</f>
        <v/>
      </c>
      <c r="E37" s="11" t="n"/>
      <c r="F37" s="11" t="n"/>
      <c r="G37" s="10">
        <f>IF(F37="","",IFERROR(VLOOKUP(F37,T_JSP,2,FALSE),0))</f>
        <v/>
      </c>
      <c r="H37" s="11" t="n"/>
      <c r="I37" s="17">
        <f>IF(H37="","",IF(H37&gt;=12,40,ROUND(H37*3.33,2)))</f>
        <v/>
      </c>
      <c r="J37" s="11" t="n"/>
      <c r="K37" s="11" t="n"/>
      <c r="L37" s="11" t="n"/>
      <c r="M37" s="11" t="n"/>
      <c r="N37" s="10">
        <f>IF(COUNTA(J37:M37)=0,"",MIN(10,SUMPRODUCT((COUNTIF(J37:M37,L_KOM)&gt;0)*S_KOM)))</f>
        <v/>
      </c>
      <c r="O37" s="11" t="n"/>
      <c r="P37" s="10">
        <f>IF(O37="","",IFERROR(VLOOKUP(O37,T_KHID,2,FALSE),0))</f>
        <v/>
      </c>
      <c r="Q37" s="11" t="n"/>
      <c r="R37" s="11" t="n"/>
      <c r="S37" s="10">
        <f>IF(AND(Q37="",R37=""),"",IFERROR(INDEX(T_LIBAT,MATCH(Q37,L_PER,0),MATCH(R37,L_JENIS,0)),0))</f>
        <v/>
      </c>
      <c r="T37" s="11" t="n"/>
      <c r="U37" s="11" t="n"/>
      <c r="V37" s="10">
        <f>IF(AND(T37="",U37=""),"",IFERROR(INDEX(T_CAPAI,MATCH(T37,L_PER,0),MATCH(U37,L_KED,0)),0))</f>
        <v/>
      </c>
      <c r="W37" s="17">
        <f>IF(OR(B37="",E37="",COUNTA(F37,H37,J37:M37,O37,Q37:R37,T37:U37)=0),"",SUM(G37,I37,N37,P37,S37,V37))</f>
        <v/>
      </c>
      <c r="X37" s="18">
        <f>IF(W37="","",IF(Murid!F37="TL","TL",ROUND(W37/110*100,2)))</f>
        <v/>
      </c>
    </row>
    <row r="38">
      <c r="A38" s="15">
        <f>Murid!A38</f>
        <v/>
      </c>
      <c r="B38" s="15">
        <f>IF(Murid!B38="","",Murid!B38)</f>
        <v/>
      </c>
      <c r="C38" s="16">
        <f>IF(Murid!C38="","",Murid!C38)</f>
        <v/>
      </c>
      <c r="D38" s="15">
        <f>IF(Murid!E38="","",Murid!E38)</f>
        <v/>
      </c>
      <c r="E38" s="11" t="n"/>
      <c r="F38" s="11" t="n"/>
      <c r="G38" s="10">
        <f>IF(F38="","",IFERROR(VLOOKUP(F38,T_JSP,2,FALSE),0))</f>
        <v/>
      </c>
      <c r="H38" s="11" t="n"/>
      <c r="I38" s="17">
        <f>IF(H38="","",IF(H38&gt;=12,40,ROUND(H38*3.33,2)))</f>
        <v/>
      </c>
      <c r="J38" s="11" t="n"/>
      <c r="K38" s="11" t="n"/>
      <c r="L38" s="11" t="n"/>
      <c r="M38" s="11" t="n"/>
      <c r="N38" s="10">
        <f>IF(COUNTA(J38:M38)=0,"",MIN(10,SUMPRODUCT((COUNTIF(J38:M38,L_KOM)&gt;0)*S_KOM)))</f>
        <v/>
      </c>
      <c r="O38" s="11" t="n"/>
      <c r="P38" s="10">
        <f>IF(O38="","",IFERROR(VLOOKUP(O38,T_KHID,2,FALSE),0))</f>
        <v/>
      </c>
      <c r="Q38" s="11" t="n"/>
      <c r="R38" s="11" t="n"/>
      <c r="S38" s="10">
        <f>IF(AND(Q38="",R38=""),"",IFERROR(INDEX(T_LIBAT,MATCH(Q38,L_PER,0),MATCH(R38,L_JENIS,0)),0))</f>
        <v/>
      </c>
      <c r="T38" s="11" t="n"/>
      <c r="U38" s="11" t="n"/>
      <c r="V38" s="10">
        <f>IF(AND(T38="",U38=""),"",IFERROR(INDEX(T_CAPAI,MATCH(T38,L_PER,0),MATCH(U38,L_KED,0)),0))</f>
        <v/>
      </c>
      <c r="W38" s="17">
        <f>IF(OR(B38="",E38="",COUNTA(F38,H38,J38:M38,O38,Q38:R38,T38:U38)=0),"",SUM(G38,I38,N38,P38,S38,V38))</f>
        <v/>
      </c>
      <c r="X38" s="18">
        <f>IF(W38="","",IF(Murid!F38="TL","TL",ROUND(W38/110*100,2)))</f>
        <v/>
      </c>
    </row>
    <row r="39">
      <c r="A39" s="15">
        <f>Murid!A39</f>
        <v/>
      </c>
      <c r="B39" s="15">
        <f>IF(Murid!B39="","",Murid!B39)</f>
        <v/>
      </c>
      <c r="C39" s="16">
        <f>IF(Murid!C39="","",Murid!C39)</f>
        <v/>
      </c>
      <c r="D39" s="15">
        <f>IF(Murid!E39="","",Murid!E39)</f>
        <v/>
      </c>
      <c r="E39" s="11" t="n"/>
      <c r="F39" s="11" t="n"/>
      <c r="G39" s="10">
        <f>IF(F39="","",IFERROR(VLOOKUP(F39,T_JSP,2,FALSE),0))</f>
        <v/>
      </c>
      <c r="H39" s="11" t="n"/>
      <c r="I39" s="17">
        <f>IF(H39="","",IF(H39&gt;=12,40,ROUND(H39*3.33,2)))</f>
        <v/>
      </c>
      <c r="J39" s="11" t="n"/>
      <c r="K39" s="11" t="n"/>
      <c r="L39" s="11" t="n"/>
      <c r="M39" s="11" t="n"/>
      <c r="N39" s="10">
        <f>IF(COUNTA(J39:M39)=0,"",MIN(10,SUMPRODUCT((COUNTIF(J39:M39,L_KOM)&gt;0)*S_KOM)))</f>
        <v/>
      </c>
      <c r="O39" s="11" t="n"/>
      <c r="P39" s="10">
        <f>IF(O39="","",IFERROR(VLOOKUP(O39,T_KHID,2,FALSE),0))</f>
        <v/>
      </c>
      <c r="Q39" s="11" t="n"/>
      <c r="R39" s="11" t="n"/>
      <c r="S39" s="10">
        <f>IF(AND(Q39="",R39=""),"",IFERROR(INDEX(T_LIBAT,MATCH(Q39,L_PER,0),MATCH(R39,L_JENIS,0)),0))</f>
        <v/>
      </c>
      <c r="T39" s="11" t="n"/>
      <c r="U39" s="11" t="n"/>
      <c r="V39" s="10">
        <f>IF(AND(T39="",U39=""),"",IFERROR(INDEX(T_CAPAI,MATCH(T39,L_PER,0),MATCH(U39,L_KED,0)),0))</f>
        <v/>
      </c>
      <c r="W39" s="17">
        <f>IF(OR(B39="",E39="",COUNTA(F39,H39,J39:M39,O39,Q39:R39,T39:U39)=0),"",SUM(G39,I39,N39,P39,S39,V39))</f>
        <v/>
      </c>
      <c r="X39" s="18">
        <f>IF(W39="","",IF(Murid!F39="TL","TL",ROUND(W39/110*100,2)))</f>
        <v/>
      </c>
    </row>
    <row r="40">
      <c r="A40" s="15">
        <f>Murid!A40</f>
        <v/>
      </c>
      <c r="B40" s="15">
        <f>IF(Murid!B40="","",Murid!B40)</f>
        <v/>
      </c>
      <c r="C40" s="16">
        <f>IF(Murid!C40="","",Murid!C40)</f>
        <v/>
      </c>
      <c r="D40" s="15">
        <f>IF(Murid!E40="","",Murid!E40)</f>
        <v/>
      </c>
      <c r="E40" s="11" t="n"/>
      <c r="F40" s="11" t="n"/>
      <c r="G40" s="10">
        <f>IF(F40="","",IFERROR(VLOOKUP(F40,T_JSP,2,FALSE),0))</f>
        <v/>
      </c>
      <c r="H40" s="11" t="n"/>
      <c r="I40" s="17">
        <f>IF(H40="","",IF(H40&gt;=12,40,ROUND(H40*3.33,2)))</f>
        <v/>
      </c>
      <c r="J40" s="11" t="n"/>
      <c r="K40" s="11" t="n"/>
      <c r="L40" s="11" t="n"/>
      <c r="M40" s="11" t="n"/>
      <c r="N40" s="10">
        <f>IF(COUNTA(J40:M40)=0,"",MIN(10,SUMPRODUCT((COUNTIF(J40:M40,L_KOM)&gt;0)*S_KOM)))</f>
        <v/>
      </c>
      <c r="O40" s="11" t="n"/>
      <c r="P40" s="10">
        <f>IF(O40="","",IFERROR(VLOOKUP(O40,T_KHID,2,FALSE),0))</f>
        <v/>
      </c>
      <c r="Q40" s="11" t="n"/>
      <c r="R40" s="11" t="n"/>
      <c r="S40" s="10">
        <f>IF(AND(Q40="",R40=""),"",IFERROR(INDEX(T_LIBAT,MATCH(Q40,L_PER,0),MATCH(R40,L_JENIS,0)),0))</f>
        <v/>
      </c>
      <c r="T40" s="11" t="n"/>
      <c r="U40" s="11" t="n"/>
      <c r="V40" s="10">
        <f>IF(AND(T40="",U40=""),"",IFERROR(INDEX(T_CAPAI,MATCH(T40,L_PER,0),MATCH(U40,L_KED,0)),0))</f>
        <v/>
      </c>
      <c r="W40" s="17">
        <f>IF(OR(B40="",E40="",COUNTA(F40,H40,J40:M40,O40,Q40:R40,T40:U40)=0),"",SUM(G40,I40,N40,P40,S40,V40))</f>
        <v/>
      </c>
      <c r="X40" s="18">
        <f>IF(W40="","",IF(Murid!F40="TL","TL",ROUND(W40/110*100,2)))</f>
        <v/>
      </c>
    </row>
    <row r="41">
      <c r="A41" s="15">
        <f>Murid!A41</f>
        <v/>
      </c>
      <c r="B41" s="15">
        <f>IF(Murid!B41="","",Murid!B41)</f>
        <v/>
      </c>
      <c r="C41" s="16">
        <f>IF(Murid!C41="","",Murid!C41)</f>
        <v/>
      </c>
      <c r="D41" s="15">
        <f>IF(Murid!E41="","",Murid!E41)</f>
        <v/>
      </c>
      <c r="E41" s="11" t="n"/>
      <c r="F41" s="11" t="n"/>
      <c r="G41" s="10">
        <f>IF(F41="","",IFERROR(VLOOKUP(F41,T_JSP,2,FALSE),0))</f>
        <v/>
      </c>
      <c r="H41" s="11" t="n"/>
      <c r="I41" s="17">
        <f>IF(H41="","",IF(H41&gt;=12,40,ROUND(H41*3.33,2)))</f>
        <v/>
      </c>
      <c r="J41" s="11" t="n"/>
      <c r="K41" s="11" t="n"/>
      <c r="L41" s="11" t="n"/>
      <c r="M41" s="11" t="n"/>
      <c r="N41" s="10">
        <f>IF(COUNTA(J41:M41)=0,"",MIN(10,SUMPRODUCT((COUNTIF(J41:M41,L_KOM)&gt;0)*S_KOM)))</f>
        <v/>
      </c>
      <c r="O41" s="11" t="n"/>
      <c r="P41" s="10">
        <f>IF(O41="","",IFERROR(VLOOKUP(O41,T_KHID,2,FALSE),0))</f>
        <v/>
      </c>
      <c r="Q41" s="11" t="n"/>
      <c r="R41" s="11" t="n"/>
      <c r="S41" s="10">
        <f>IF(AND(Q41="",R41=""),"",IFERROR(INDEX(T_LIBAT,MATCH(Q41,L_PER,0),MATCH(R41,L_JENIS,0)),0))</f>
        <v/>
      </c>
      <c r="T41" s="11" t="n"/>
      <c r="U41" s="11" t="n"/>
      <c r="V41" s="10">
        <f>IF(AND(T41="",U41=""),"",IFERROR(INDEX(T_CAPAI,MATCH(T41,L_PER,0),MATCH(U41,L_KED,0)),0))</f>
        <v/>
      </c>
      <c r="W41" s="17">
        <f>IF(OR(B41="",E41="",COUNTA(F41,H41,J41:M41,O41,Q41:R41,T41:U41)=0),"",SUM(G41,I41,N41,P41,S41,V41))</f>
        <v/>
      </c>
      <c r="X41" s="18">
        <f>IF(W41="","",IF(Murid!F41="TL","TL",ROUND(W41/110*100,2)))</f>
        <v/>
      </c>
    </row>
    <row r="42">
      <c r="A42" s="15">
        <f>Murid!A42</f>
        <v/>
      </c>
      <c r="B42" s="15">
        <f>IF(Murid!B42="","",Murid!B42)</f>
        <v/>
      </c>
      <c r="C42" s="16">
        <f>IF(Murid!C42="","",Murid!C42)</f>
        <v/>
      </c>
      <c r="D42" s="15">
        <f>IF(Murid!E42="","",Murid!E42)</f>
        <v/>
      </c>
      <c r="E42" s="11" t="n"/>
      <c r="F42" s="11" t="n"/>
      <c r="G42" s="10">
        <f>IF(F42="","",IFERROR(VLOOKUP(F42,T_JSP,2,FALSE),0))</f>
        <v/>
      </c>
      <c r="H42" s="11" t="n"/>
      <c r="I42" s="17">
        <f>IF(H42="","",IF(H42&gt;=12,40,ROUND(H42*3.33,2)))</f>
        <v/>
      </c>
      <c r="J42" s="11" t="n"/>
      <c r="K42" s="11" t="n"/>
      <c r="L42" s="11" t="n"/>
      <c r="M42" s="11" t="n"/>
      <c r="N42" s="10">
        <f>IF(COUNTA(J42:M42)=0,"",MIN(10,SUMPRODUCT((COUNTIF(J42:M42,L_KOM)&gt;0)*S_KOM)))</f>
        <v/>
      </c>
      <c r="O42" s="11" t="n"/>
      <c r="P42" s="10">
        <f>IF(O42="","",IFERROR(VLOOKUP(O42,T_KHID,2,FALSE),0))</f>
        <v/>
      </c>
      <c r="Q42" s="11" t="n"/>
      <c r="R42" s="11" t="n"/>
      <c r="S42" s="10">
        <f>IF(AND(Q42="",R42=""),"",IFERROR(INDEX(T_LIBAT,MATCH(Q42,L_PER,0),MATCH(R42,L_JENIS,0)),0))</f>
        <v/>
      </c>
      <c r="T42" s="11" t="n"/>
      <c r="U42" s="11" t="n"/>
      <c r="V42" s="10">
        <f>IF(AND(T42="",U42=""),"",IFERROR(INDEX(T_CAPAI,MATCH(T42,L_PER,0),MATCH(U42,L_KED,0)),0))</f>
        <v/>
      </c>
      <c r="W42" s="17">
        <f>IF(OR(B42="",E42="",COUNTA(F42,H42,J42:M42,O42,Q42:R42,T42:U42)=0),"",SUM(G42,I42,N42,P42,S42,V42))</f>
        <v/>
      </c>
      <c r="X42" s="18">
        <f>IF(W42="","",IF(Murid!F42="TL","TL",ROUND(W42/110*100,2)))</f>
        <v/>
      </c>
    </row>
    <row r="43">
      <c r="A43" s="15">
        <f>Murid!A43</f>
        <v/>
      </c>
      <c r="B43" s="15">
        <f>IF(Murid!B43="","",Murid!B43)</f>
        <v/>
      </c>
      <c r="C43" s="16">
        <f>IF(Murid!C43="","",Murid!C43)</f>
        <v/>
      </c>
      <c r="D43" s="15">
        <f>IF(Murid!E43="","",Murid!E43)</f>
        <v/>
      </c>
      <c r="E43" s="11" t="n"/>
      <c r="F43" s="11" t="n"/>
      <c r="G43" s="10">
        <f>IF(F43="","",IFERROR(VLOOKUP(F43,T_JSP,2,FALSE),0))</f>
        <v/>
      </c>
      <c r="H43" s="11" t="n"/>
      <c r="I43" s="17">
        <f>IF(H43="","",IF(H43&gt;=12,40,ROUND(H43*3.33,2)))</f>
        <v/>
      </c>
      <c r="J43" s="11" t="n"/>
      <c r="K43" s="11" t="n"/>
      <c r="L43" s="11" t="n"/>
      <c r="M43" s="11" t="n"/>
      <c r="N43" s="10">
        <f>IF(COUNTA(J43:M43)=0,"",MIN(10,SUMPRODUCT((COUNTIF(J43:M43,L_KOM)&gt;0)*S_KOM)))</f>
        <v/>
      </c>
      <c r="O43" s="11" t="n"/>
      <c r="P43" s="10">
        <f>IF(O43="","",IFERROR(VLOOKUP(O43,T_KHID,2,FALSE),0))</f>
        <v/>
      </c>
      <c r="Q43" s="11" t="n"/>
      <c r="R43" s="11" t="n"/>
      <c r="S43" s="10">
        <f>IF(AND(Q43="",R43=""),"",IFERROR(INDEX(T_LIBAT,MATCH(Q43,L_PER,0),MATCH(R43,L_JENIS,0)),0))</f>
        <v/>
      </c>
      <c r="T43" s="11" t="n"/>
      <c r="U43" s="11" t="n"/>
      <c r="V43" s="10">
        <f>IF(AND(T43="",U43=""),"",IFERROR(INDEX(T_CAPAI,MATCH(T43,L_PER,0),MATCH(U43,L_KED,0)),0))</f>
        <v/>
      </c>
      <c r="W43" s="17">
        <f>IF(OR(B43="",E43="",COUNTA(F43,H43,J43:M43,O43,Q43:R43,T43:U43)=0),"",SUM(G43,I43,N43,P43,S43,V43))</f>
        <v/>
      </c>
      <c r="X43" s="18">
        <f>IF(W43="","",IF(Murid!F43="TL","TL",ROUND(W43/110*100,2)))</f>
        <v/>
      </c>
    </row>
    <row r="44">
      <c r="A44" s="15">
        <f>Murid!A44</f>
        <v/>
      </c>
      <c r="B44" s="15">
        <f>IF(Murid!B44="","",Murid!B44)</f>
        <v/>
      </c>
      <c r="C44" s="16">
        <f>IF(Murid!C44="","",Murid!C44)</f>
        <v/>
      </c>
      <c r="D44" s="15">
        <f>IF(Murid!E44="","",Murid!E44)</f>
        <v/>
      </c>
      <c r="E44" s="11" t="n"/>
      <c r="F44" s="11" t="n"/>
      <c r="G44" s="10">
        <f>IF(F44="","",IFERROR(VLOOKUP(F44,T_JSP,2,FALSE),0))</f>
        <v/>
      </c>
      <c r="H44" s="11" t="n"/>
      <c r="I44" s="17">
        <f>IF(H44="","",IF(H44&gt;=12,40,ROUND(H44*3.33,2)))</f>
        <v/>
      </c>
      <c r="J44" s="11" t="n"/>
      <c r="K44" s="11" t="n"/>
      <c r="L44" s="11" t="n"/>
      <c r="M44" s="11" t="n"/>
      <c r="N44" s="10">
        <f>IF(COUNTA(J44:M44)=0,"",MIN(10,SUMPRODUCT((COUNTIF(J44:M44,L_KOM)&gt;0)*S_KOM)))</f>
        <v/>
      </c>
      <c r="O44" s="11" t="n"/>
      <c r="P44" s="10">
        <f>IF(O44="","",IFERROR(VLOOKUP(O44,T_KHID,2,FALSE),0))</f>
        <v/>
      </c>
      <c r="Q44" s="11" t="n"/>
      <c r="R44" s="11" t="n"/>
      <c r="S44" s="10">
        <f>IF(AND(Q44="",R44=""),"",IFERROR(INDEX(T_LIBAT,MATCH(Q44,L_PER,0),MATCH(R44,L_JENIS,0)),0))</f>
        <v/>
      </c>
      <c r="T44" s="11" t="n"/>
      <c r="U44" s="11" t="n"/>
      <c r="V44" s="10">
        <f>IF(AND(T44="",U44=""),"",IFERROR(INDEX(T_CAPAI,MATCH(T44,L_PER,0),MATCH(U44,L_KED,0)),0))</f>
        <v/>
      </c>
      <c r="W44" s="17">
        <f>IF(OR(B44="",E44="",COUNTA(F44,H44,J44:M44,O44,Q44:R44,T44:U44)=0),"",SUM(G44,I44,N44,P44,S44,V44))</f>
        <v/>
      </c>
      <c r="X44" s="18">
        <f>IF(W44="","",IF(Murid!F44="TL","TL",ROUND(W44/110*100,2)))</f>
        <v/>
      </c>
    </row>
    <row r="45">
      <c r="A45" s="15">
        <f>Murid!A45</f>
        <v/>
      </c>
      <c r="B45" s="15">
        <f>IF(Murid!B45="","",Murid!B45)</f>
        <v/>
      </c>
      <c r="C45" s="16">
        <f>IF(Murid!C45="","",Murid!C45)</f>
        <v/>
      </c>
      <c r="D45" s="15">
        <f>IF(Murid!E45="","",Murid!E45)</f>
        <v/>
      </c>
      <c r="E45" s="11" t="n"/>
      <c r="F45" s="11" t="n"/>
      <c r="G45" s="10">
        <f>IF(F45="","",IFERROR(VLOOKUP(F45,T_JSP,2,FALSE),0))</f>
        <v/>
      </c>
      <c r="H45" s="11" t="n"/>
      <c r="I45" s="17">
        <f>IF(H45="","",IF(H45&gt;=12,40,ROUND(H45*3.33,2)))</f>
        <v/>
      </c>
      <c r="J45" s="11" t="n"/>
      <c r="K45" s="11" t="n"/>
      <c r="L45" s="11" t="n"/>
      <c r="M45" s="11" t="n"/>
      <c r="N45" s="10">
        <f>IF(COUNTA(J45:M45)=0,"",MIN(10,SUMPRODUCT((COUNTIF(J45:M45,L_KOM)&gt;0)*S_KOM)))</f>
        <v/>
      </c>
      <c r="O45" s="11" t="n"/>
      <c r="P45" s="10">
        <f>IF(O45="","",IFERROR(VLOOKUP(O45,T_KHID,2,FALSE),0))</f>
        <v/>
      </c>
      <c r="Q45" s="11" t="n"/>
      <c r="R45" s="11" t="n"/>
      <c r="S45" s="10">
        <f>IF(AND(Q45="",R45=""),"",IFERROR(INDEX(T_LIBAT,MATCH(Q45,L_PER,0),MATCH(R45,L_JENIS,0)),0))</f>
        <v/>
      </c>
      <c r="T45" s="11" t="n"/>
      <c r="U45" s="11" t="n"/>
      <c r="V45" s="10">
        <f>IF(AND(T45="",U45=""),"",IFERROR(INDEX(T_CAPAI,MATCH(T45,L_PER,0),MATCH(U45,L_KED,0)),0))</f>
        <v/>
      </c>
      <c r="W45" s="17">
        <f>IF(OR(B45="",E45="",COUNTA(F45,H45,J45:M45,O45,Q45:R45,T45:U45)=0),"",SUM(G45,I45,N45,P45,S45,V45))</f>
        <v/>
      </c>
      <c r="X45" s="18">
        <f>IF(W45="","",IF(Murid!F45="TL","TL",ROUND(W45/110*100,2)))</f>
        <v/>
      </c>
    </row>
    <row r="46">
      <c r="A46" s="15">
        <f>Murid!A46</f>
        <v/>
      </c>
      <c r="B46" s="15">
        <f>IF(Murid!B46="","",Murid!B46)</f>
        <v/>
      </c>
      <c r="C46" s="16">
        <f>IF(Murid!C46="","",Murid!C46)</f>
        <v/>
      </c>
      <c r="D46" s="15">
        <f>IF(Murid!E46="","",Murid!E46)</f>
        <v/>
      </c>
      <c r="E46" s="11" t="n"/>
      <c r="F46" s="11" t="n"/>
      <c r="G46" s="10">
        <f>IF(F46="","",IFERROR(VLOOKUP(F46,T_JSP,2,FALSE),0))</f>
        <v/>
      </c>
      <c r="H46" s="11" t="n"/>
      <c r="I46" s="17">
        <f>IF(H46="","",IF(H46&gt;=12,40,ROUND(H46*3.33,2)))</f>
        <v/>
      </c>
      <c r="J46" s="11" t="n"/>
      <c r="K46" s="11" t="n"/>
      <c r="L46" s="11" t="n"/>
      <c r="M46" s="11" t="n"/>
      <c r="N46" s="10">
        <f>IF(COUNTA(J46:M46)=0,"",MIN(10,SUMPRODUCT((COUNTIF(J46:M46,L_KOM)&gt;0)*S_KOM)))</f>
        <v/>
      </c>
      <c r="O46" s="11" t="n"/>
      <c r="P46" s="10">
        <f>IF(O46="","",IFERROR(VLOOKUP(O46,T_KHID,2,FALSE),0))</f>
        <v/>
      </c>
      <c r="Q46" s="11" t="n"/>
      <c r="R46" s="11" t="n"/>
      <c r="S46" s="10">
        <f>IF(AND(Q46="",R46=""),"",IFERROR(INDEX(T_LIBAT,MATCH(Q46,L_PER,0),MATCH(R46,L_JENIS,0)),0))</f>
        <v/>
      </c>
      <c r="T46" s="11" t="n"/>
      <c r="U46" s="11" t="n"/>
      <c r="V46" s="10">
        <f>IF(AND(T46="",U46=""),"",IFERROR(INDEX(T_CAPAI,MATCH(T46,L_PER,0),MATCH(U46,L_KED,0)),0))</f>
        <v/>
      </c>
      <c r="W46" s="17">
        <f>IF(OR(B46="",E46="",COUNTA(F46,H46,J46:M46,O46,Q46:R46,T46:U46)=0),"",SUM(G46,I46,N46,P46,S46,V46))</f>
        <v/>
      </c>
      <c r="X46" s="18">
        <f>IF(W46="","",IF(Murid!F46="TL","TL",ROUND(W46/110*100,2)))</f>
        <v/>
      </c>
    </row>
    <row r="47">
      <c r="A47" s="15">
        <f>Murid!A47</f>
        <v/>
      </c>
      <c r="B47" s="15">
        <f>IF(Murid!B47="","",Murid!B47)</f>
        <v/>
      </c>
      <c r="C47" s="16">
        <f>IF(Murid!C47="","",Murid!C47)</f>
        <v/>
      </c>
      <c r="D47" s="15">
        <f>IF(Murid!E47="","",Murid!E47)</f>
        <v/>
      </c>
      <c r="E47" s="11" t="n"/>
      <c r="F47" s="11" t="n"/>
      <c r="G47" s="10">
        <f>IF(F47="","",IFERROR(VLOOKUP(F47,T_JSP,2,FALSE),0))</f>
        <v/>
      </c>
      <c r="H47" s="11" t="n"/>
      <c r="I47" s="17">
        <f>IF(H47="","",IF(H47&gt;=12,40,ROUND(H47*3.33,2)))</f>
        <v/>
      </c>
      <c r="J47" s="11" t="n"/>
      <c r="K47" s="11" t="n"/>
      <c r="L47" s="11" t="n"/>
      <c r="M47" s="11" t="n"/>
      <c r="N47" s="10">
        <f>IF(COUNTA(J47:M47)=0,"",MIN(10,SUMPRODUCT((COUNTIF(J47:M47,L_KOM)&gt;0)*S_KOM)))</f>
        <v/>
      </c>
      <c r="O47" s="11" t="n"/>
      <c r="P47" s="10">
        <f>IF(O47="","",IFERROR(VLOOKUP(O47,T_KHID,2,FALSE),0))</f>
        <v/>
      </c>
      <c r="Q47" s="11" t="n"/>
      <c r="R47" s="11" t="n"/>
      <c r="S47" s="10">
        <f>IF(AND(Q47="",R47=""),"",IFERROR(INDEX(T_LIBAT,MATCH(Q47,L_PER,0),MATCH(R47,L_JENIS,0)),0))</f>
        <v/>
      </c>
      <c r="T47" s="11" t="n"/>
      <c r="U47" s="11" t="n"/>
      <c r="V47" s="10">
        <f>IF(AND(T47="",U47=""),"",IFERROR(INDEX(T_CAPAI,MATCH(T47,L_PER,0),MATCH(U47,L_KED,0)),0))</f>
        <v/>
      </c>
      <c r="W47" s="17">
        <f>IF(OR(B47="",E47="",COUNTA(F47,H47,J47:M47,O47,Q47:R47,T47:U47)=0),"",SUM(G47,I47,N47,P47,S47,V47))</f>
        <v/>
      </c>
      <c r="X47" s="18">
        <f>IF(W47="","",IF(Murid!F47="TL","TL",ROUND(W47/110*100,2)))</f>
        <v/>
      </c>
    </row>
    <row r="48">
      <c r="A48" s="15">
        <f>Murid!A48</f>
        <v/>
      </c>
      <c r="B48" s="15">
        <f>IF(Murid!B48="","",Murid!B48)</f>
        <v/>
      </c>
      <c r="C48" s="16">
        <f>IF(Murid!C48="","",Murid!C48)</f>
        <v/>
      </c>
      <c r="D48" s="15">
        <f>IF(Murid!E48="","",Murid!E48)</f>
        <v/>
      </c>
      <c r="E48" s="11" t="n"/>
      <c r="F48" s="11" t="n"/>
      <c r="G48" s="10">
        <f>IF(F48="","",IFERROR(VLOOKUP(F48,T_JSP,2,FALSE),0))</f>
        <v/>
      </c>
      <c r="H48" s="11" t="n"/>
      <c r="I48" s="17">
        <f>IF(H48="","",IF(H48&gt;=12,40,ROUND(H48*3.33,2)))</f>
        <v/>
      </c>
      <c r="J48" s="11" t="n"/>
      <c r="K48" s="11" t="n"/>
      <c r="L48" s="11" t="n"/>
      <c r="M48" s="11" t="n"/>
      <c r="N48" s="10">
        <f>IF(COUNTA(J48:M48)=0,"",MIN(10,SUMPRODUCT((COUNTIF(J48:M48,L_KOM)&gt;0)*S_KOM)))</f>
        <v/>
      </c>
      <c r="O48" s="11" t="n"/>
      <c r="P48" s="10">
        <f>IF(O48="","",IFERROR(VLOOKUP(O48,T_KHID,2,FALSE),0))</f>
        <v/>
      </c>
      <c r="Q48" s="11" t="n"/>
      <c r="R48" s="11" t="n"/>
      <c r="S48" s="10">
        <f>IF(AND(Q48="",R48=""),"",IFERROR(INDEX(T_LIBAT,MATCH(Q48,L_PER,0),MATCH(R48,L_JENIS,0)),0))</f>
        <v/>
      </c>
      <c r="T48" s="11" t="n"/>
      <c r="U48" s="11" t="n"/>
      <c r="V48" s="10">
        <f>IF(AND(T48="",U48=""),"",IFERROR(INDEX(T_CAPAI,MATCH(T48,L_PER,0),MATCH(U48,L_KED,0)),0))</f>
        <v/>
      </c>
      <c r="W48" s="17">
        <f>IF(OR(B48="",E48="",COUNTA(F48,H48,J48:M48,O48,Q48:R48,T48:U48)=0),"",SUM(G48,I48,N48,P48,S48,V48))</f>
        <v/>
      </c>
      <c r="X48" s="18">
        <f>IF(W48="","",IF(Murid!F48="TL","TL",ROUND(W48/110*100,2)))</f>
        <v/>
      </c>
    </row>
    <row r="49">
      <c r="A49" s="15">
        <f>Murid!A49</f>
        <v/>
      </c>
      <c r="B49" s="15">
        <f>IF(Murid!B49="","",Murid!B49)</f>
        <v/>
      </c>
      <c r="C49" s="16">
        <f>IF(Murid!C49="","",Murid!C49)</f>
        <v/>
      </c>
      <c r="D49" s="15">
        <f>IF(Murid!E49="","",Murid!E49)</f>
        <v/>
      </c>
      <c r="E49" s="11" t="n"/>
      <c r="F49" s="11" t="n"/>
      <c r="G49" s="10">
        <f>IF(F49="","",IFERROR(VLOOKUP(F49,T_JSP,2,FALSE),0))</f>
        <v/>
      </c>
      <c r="H49" s="11" t="n"/>
      <c r="I49" s="17">
        <f>IF(H49="","",IF(H49&gt;=12,40,ROUND(H49*3.33,2)))</f>
        <v/>
      </c>
      <c r="J49" s="11" t="n"/>
      <c r="K49" s="11" t="n"/>
      <c r="L49" s="11" t="n"/>
      <c r="M49" s="11" t="n"/>
      <c r="N49" s="10">
        <f>IF(COUNTA(J49:M49)=0,"",MIN(10,SUMPRODUCT((COUNTIF(J49:M49,L_KOM)&gt;0)*S_KOM)))</f>
        <v/>
      </c>
      <c r="O49" s="11" t="n"/>
      <c r="P49" s="10">
        <f>IF(O49="","",IFERROR(VLOOKUP(O49,T_KHID,2,FALSE),0))</f>
        <v/>
      </c>
      <c r="Q49" s="11" t="n"/>
      <c r="R49" s="11" t="n"/>
      <c r="S49" s="10">
        <f>IF(AND(Q49="",R49=""),"",IFERROR(INDEX(T_LIBAT,MATCH(Q49,L_PER,0),MATCH(R49,L_JENIS,0)),0))</f>
        <v/>
      </c>
      <c r="T49" s="11" t="n"/>
      <c r="U49" s="11" t="n"/>
      <c r="V49" s="10">
        <f>IF(AND(T49="",U49=""),"",IFERROR(INDEX(T_CAPAI,MATCH(T49,L_PER,0),MATCH(U49,L_KED,0)),0))</f>
        <v/>
      </c>
      <c r="W49" s="17">
        <f>IF(OR(B49="",E49="",COUNTA(F49,H49,J49:M49,O49,Q49:R49,T49:U49)=0),"",SUM(G49,I49,N49,P49,S49,V49))</f>
        <v/>
      </c>
      <c r="X49" s="18">
        <f>IF(W49="","",IF(Murid!F49="TL","TL",ROUND(W49/110*100,2)))</f>
        <v/>
      </c>
    </row>
    <row r="50">
      <c r="A50" s="15">
        <f>Murid!A50</f>
        <v/>
      </c>
      <c r="B50" s="15">
        <f>IF(Murid!B50="","",Murid!B50)</f>
        <v/>
      </c>
      <c r="C50" s="16">
        <f>IF(Murid!C50="","",Murid!C50)</f>
        <v/>
      </c>
      <c r="D50" s="15">
        <f>IF(Murid!E50="","",Murid!E50)</f>
        <v/>
      </c>
      <c r="E50" s="11" t="n"/>
      <c r="F50" s="11" t="n"/>
      <c r="G50" s="10">
        <f>IF(F50="","",IFERROR(VLOOKUP(F50,T_JSP,2,FALSE),0))</f>
        <v/>
      </c>
      <c r="H50" s="11" t="n"/>
      <c r="I50" s="17">
        <f>IF(H50="","",IF(H50&gt;=12,40,ROUND(H50*3.33,2)))</f>
        <v/>
      </c>
      <c r="J50" s="11" t="n"/>
      <c r="K50" s="11" t="n"/>
      <c r="L50" s="11" t="n"/>
      <c r="M50" s="11" t="n"/>
      <c r="N50" s="10">
        <f>IF(COUNTA(J50:M50)=0,"",MIN(10,SUMPRODUCT((COUNTIF(J50:M50,L_KOM)&gt;0)*S_KOM)))</f>
        <v/>
      </c>
      <c r="O50" s="11" t="n"/>
      <c r="P50" s="10">
        <f>IF(O50="","",IFERROR(VLOOKUP(O50,T_KHID,2,FALSE),0))</f>
        <v/>
      </c>
      <c r="Q50" s="11" t="n"/>
      <c r="R50" s="11" t="n"/>
      <c r="S50" s="10">
        <f>IF(AND(Q50="",R50=""),"",IFERROR(INDEX(T_LIBAT,MATCH(Q50,L_PER,0),MATCH(R50,L_JENIS,0)),0))</f>
        <v/>
      </c>
      <c r="T50" s="11" t="n"/>
      <c r="U50" s="11" t="n"/>
      <c r="V50" s="10">
        <f>IF(AND(T50="",U50=""),"",IFERROR(INDEX(T_CAPAI,MATCH(T50,L_PER,0),MATCH(U50,L_KED,0)),0))</f>
        <v/>
      </c>
      <c r="W50" s="17">
        <f>IF(OR(B50="",E50="",COUNTA(F50,H50,J50:M50,O50,Q50:R50,T50:U50)=0),"",SUM(G50,I50,N50,P50,S50,V50))</f>
        <v/>
      </c>
      <c r="X50" s="18">
        <f>IF(W50="","",IF(Murid!F50="TL","TL",ROUND(W50/110*100,2)))</f>
        <v/>
      </c>
    </row>
    <row r="51">
      <c r="A51" s="15">
        <f>Murid!A51</f>
        <v/>
      </c>
      <c r="B51" s="15">
        <f>IF(Murid!B51="","",Murid!B51)</f>
        <v/>
      </c>
      <c r="C51" s="16">
        <f>IF(Murid!C51="","",Murid!C51)</f>
        <v/>
      </c>
      <c r="D51" s="15">
        <f>IF(Murid!E51="","",Murid!E51)</f>
        <v/>
      </c>
      <c r="E51" s="11" t="n"/>
      <c r="F51" s="11" t="n"/>
      <c r="G51" s="10">
        <f>IF(F51="","",IFERROR(VLOOKUP(F51,T_JSP,2,FALSE),0))</f>
        <v/>
      </c>
      <c r="H51" s="11" t="n"/>
      <c r="I51" s="17">
        <f>IF(H51="","",IF(H51&gt;=12,40,ROUND(H51*3.33,2)))</f>
        <v/>
      </c>
      <c r="J51" s="11" t="n"/>
      <c r="K51" s="11" t="n"/>
      <c r="L51" s="11" t="n"/>
      <c r="M51" s="11" t="n"/>
      <c r="N51" s="10">
        <f>IF(COUNTA(J51:M51)=0,"",MIN(10,SUMPRODUCT((COUNTIF(J51:M51,L_KOM)&gt;0)*S_KOM)))</f>
        <v/>
      </c>
      <c r="O51" s="11" t="n"/>
      <c r="P51" s="10">
        <f>IF(O51="","",IFERROR(VLOOKUP(O51,T_KHID,2,FALSE),0))</f>
        <v/>
      </c>
      <c r="Q51" s="11" t="n"/>
      <c r="R51" s="11" t="n"/>
      <c r="S51" s="10">
        <f>IF(AND(Q51="",R51=""),"",IFERROR(INDEX(T_LIBAT,MATCH(Q51,L_PER,0),MATCH(R51,L_JENIS,0)),0))</f>
        <v/>
      </c>
      <c r="T51" s="11" t="n"/>
      <c r="U51" s="11" t="n"/>
      <c r="V51" s="10">
        <f>IF(AND(T51="",U51=""),"",IFERROR(INDEX(T_CAPAI,MATCH(T51,L_PER,0),MATCH(U51,L_KED,0)),0))</f>
        <v/>
      </c>
      <c r="W51" s="17">
        <f>IF(OR(B51="",E51="",COUNTA(F51,H51,J51:M51,O51,Q51:R51,T51:U51)=0),"",SUM(G51,I51,N51,P51,S51,V51))</f>
        <v/>
      </c>
      <c r="X51" s="18">
        <f>IF(W51="","",IF(Murid!F51="TL","TL",ROUND(W51/110*100,2)))</f>
        <v/>
      </c>
    </row>
    <row r="52">
      <c r="A52" s="15">
        <f>Murid!A52</f>
        <v/>
      </c>
      <c r="B52" s="15">
        <f>IF(Murid!B52="","",Murid!B52)</f>
        <v/>
      </c>
      <c r="C52" s="16">
        <f>IF(Murid!C52="","",Murid!C52)</f>
        <v/>
      </c>
      <c r="D52" s="15">
        <f>IF(Murid!E52="","",Murid!E52)</f>
        <v/>
      </c>
      <c r="E52" s="11" t="n"/>
      <c r="F52" s="11" t="n"/>
      <c r="G52" s="10">
        <f>IF(F52="","",IFERROR(VLOOKUP(F52,T_JSP,2,FALSE),0))</f>
        <v/>
      </c>
      <c r="H52" s="11" t="n"/>
      <c r="I52" s="17">
        <f>IF(H52="","",IF(H52&gt;=12,40,ROUND(H52*3.33,2)))</f>
        <v/>
      </c>
      <c r="J52" s="11" t="n"/>
      <c r="K52" s="11" t="n"/>
      <c r="L52" s="11" t="n"/>
      <c r="M52" s="11" t="n"/>
      <c r="N52" s="10">
        <f>IF(COUNTA(J52:M52)=0,"",MIN(10,SUMPRODUCT((COUNTIF(J52:M52,L_KOM)&gt;0)*S_KOM)))</f>
        <v/>
      </c>
      <c r="O52" s="11" t="n"/>
      <c r="P52" s="10">
        <f>IF(O52="","",IFERROR(VLOOKUP(O52,T_KHID,2,FALSE),0))</f>
        <v/>
      </c>
      <c r="Q52" s="11" t="n"/>
      <c r="R52" s="11" t="n"/>
      <c r="S52" s="10">
        <f>IF(AND(Q52="",R52=""),"",IFERROR(INDEX(T_LIBAT,MATCH(Q52,L_PER,0),MATCH(R52,L_JENIS,0)),0))</f>
        <v/>
      </c>
      <c r="T52" s="11" t="n"/>
      <c r="U52" s="11" t="n"/>
      <c r="V52" s="10">
        <f>IF(AND(T52="",U52=""),"",IFERROR(INDEX(T_CAPAI,MATCH(T52,L_PER,0),MATCH(U52,L_KED,0)),0))</f>
        <v/>
      </c>
      <c r="W52" s="17">
        <f>IF(OR(B52="",E52="",COUNTA(F52,H52,J52:M52,O52,Q52:R52,T52:U52)=0),"",SUM(G52,I52,N52,P52,S52,V52))</f>
        <v/>
      </c>
      <c r="X52" s="18">
        <f>IF(W52="","",IF(Murid!F52="TL","TL",ROUND(W52/110*100,2)))</f>
        <v/>
      </c>
    </row>
    <row r="53">
      <c r="A53" s="15">
        <f>Murid!A53</f>
        <v/>
      </c>
      <c r="B53" s="15">
        <f>IF(Murid!B53="","",Murid!B53)</f>
        <v/>
      </c>
      <c r="C53" s="16">
        <f>IF(Murid!C53="","",Murid!C53)</f>
        <v/>
      </c>
      <c r="D53" s="15">
        <f>IF(Murid!E53="","",Murid!E53)</f>
        <v/>
      </c>
      <c r="E53" s="11" t="n"/>
      <c r="F53" s="11" t="n"/>
      <c r="G53" s="10">
        <f>IF(F53="","",IFERROR(VLOOKUP(F53,T_JSP,2,FALSE),0))</f>
        <v/>
      </c>
      <c r="H53" s="11" t="n"/>
      <c r="I53" s="17">
        <f>IF(H53="","",IF(H53&gt;=12,40,ROUND(H53*3.33,2)))</f>
        <v/>
      </c>
      <c r="J53" s="11" t="n"/>
      <c r="K53" s="11" t="n"/>
      <c r="L53" s="11" t="n"/>
      <c r="M53" s="11" t="n"/>
      <c r="N53" s="10">
        <f>IF(COUNTA(J53:M53)=0,"",MIN(10,SUMPRODUCT((COUNTIF(J53:M53,L_KOM)&gt;0)*S_KOM)))</f>
        <v/>
      </c>
      <c r="O53" s="11" t="n"/>
      <c r="P53" s="10">
        <f>IF(O53="","",IFERROR(VLOOKUP(O53,T_KHID,2,FALSE),0))</f>
        <v/>
      </c>
      <c r="Q53" s="11" t="n"/>
      <c r="R53" s="11" t="n"/>
      <c r="S53" s="10">
        <f>IF(AND(Q53="",R53=""),"",IFERROR(INDEX(T_LIBAT,MATCH(Q53,L_PER,0),MATCH(R53,L_JENIS,0)),0))</f>
        <v/>
      </c>
      <c r="T53" s="11" t="n"/>
      <c r="U53" s="11" t="n"/>
      <c r="V53" s="10">
        <f>IF(AND(T53="",U53=""),"",IFERROR(INDEX(T_CAPAI,MATCH(T53,L_PER,0),MATCH(U53,L_KED,0)),0))</f>
        <v/>
      </c>
      <c r="W53" s="17">
        <f>IF(OR(B53="",E53="",COUNTA(F53,H53,J53:M53,O53,Q53:R53,T53:U53)=0),"",SUM(G53,I53,N53,P53,S53,V53))</f>
        <v/>
      </c>
      <c r="X53" s="18">
        <f>IF(W53="","",IF(Murid!F53="TL","TL",ROUND(W53/110*100,2)))</f>
        <v/>
      </c>
    </row>
    <row r="54">
      <c r="A54" s="15">
        <f>Murid!A54</f>
        <v/>
      </c>
      <c r="B54" s="15">
        <f>IF(Murid!B54="","",Murid!B54)</f>
        <v/>
      </c>
      <c r="C54" s="16">
        <f>IF(Murid!C54="","",Murid!C54)</f>
        <v/>
      </c>
      <c r="D54" s="15">
        <f>IF(Murid!E54="","",Murid!E54)</f>
        <v/>
      </c>
      <c r="E54" s="11" t="n"/>
      <c r="F54" s="11" t="n"/>
      <c r="G54" s="10">
        <f>IF(F54="","",IFERROR(VLOOKUP(F54,T_JSP,2,FALSE),0))</f>
        <v/>
      </c>
      <c r="H54" s="11" t="n"/>
      <c r="I54" s="17">
        <f>IF(H54="","",IF(H54&gt;=12,40,ROUND(H54*3.33,2)))</f>
        <v/>
      </c>
      <c r="J54" s="11" t="n"/>
      <c r="K54" s="11" t="n"/>
      <c r="L54" s="11" t="n"/>
      <c r="M54" s="11" t="n"/>
      <c r="N54" s="10">
        <f>IF(COUNTA(J54:M54)=0,"",MIN(10,SUMPRODUCT((COUNTIF(J54:M54,L_KOM)&gt;0)*S_KOM)))</f>
        <v/>
      </c>
      <c r="O54" s="11" t="n"/>
      <c r="P54" s="10">
        <f>IF(O54="","",IFERROR(VLOOKUP(O54,T_KHID,2,FALSE),0))</f>
        <v/>
      </c>
      <c r="Q54" s="11" t="n"/>
      <c r="R54" s="11" t="n"/>
      <c r="S54" s="10">
        <f>IF(AND(Q54="",R54=""),"",IFERROR(INDEX(T_LIBAT,MATCH(Q54,L_PER,0),MATCH(R54,L_JENIS,0)),0))</f>
        <v/>
      </c>
      <c r="T54" s="11" t="n"/>
      <c r="U54" s="11" t="n"/>
      <c r="V54" s="10">
        <f>IF(AND(T54="",U54=""),"",IFERROR(INDEX(T_CAPAI,MATCH(T54,L_PER,0),MATCH(U54,L_KED,0)),0))</f>
        <v/>
      </c>
      <c r="W54" s="17">
        <f>IF(OR(B54="",E54="",COUNTA(F54,H54,J54:M54,O54,Q54:R54,T54:U54)=0),"",SUM(G54,I54,N54,P54,S54,V54))</f>
        <v/>
      </c>
      <c r="X54" s="18">
        <f>IF(W54="","",IF(Murid!F54="TL","TL",ROUND(W54/110*100,2)))</f>
        <v/>
      </c>
    </row>
    <row r="55">
      <c r="A55" s="15">
        <f>Murid!A55</f>
        <v/>
      </c>
      <c r="B55" s="15">
        <f>IF(Murid!B55="","",Murid!B55)</f>
        <v/>
      </c>
      <c r="C55" s="16">
        <f>IF(Murid!C55="","",Murid!C55)</f>
        <v/>
      </c>
      <c r="D55" s="15">
        <f>IF(Murid!E55="","",Murid!E55)</f>
        <v/>
      </c>
      <c r="E55" s="11" t="n"/>
      <c r="F55" s="11" t="n"/>
      <c r="G55" s="10">
        <f>IF(F55="","",IFERROR(VLOOKUP(F55,T_JSP,2,FALSE),0))</f>
        <v/>
      </c>
      <c r="H55" s="11" t="n"/>
      <c r="I55" s="17">
        <f>IF(H55="","",IF(H55&gt;=12,40,ROUND(H55*3.33,2)))</f>
        <v/>
      </c>
      <c r="J55" s="11" t="n"/>
      <c r="K55" s="11" t="n"/>
      <c r="L55" s="11" t="n"/>
      <c r="M55" s="11" t="n"/>
      <c r="N55" s="10">
        <f>IF(COUNTA(J55:M55)=0,"",MIN(10,SUMPRODUCT((COUNTIF(J55:M55,L_KOM)&gt;0)*S_KOM)))</f>
        <v/>
      </c>
      <c r="O55" s="11" t="n"/>
      <c r="P55" s="10">
        <f>IF(O55="","",IFERROR(VLOOKUP(O55,T_KHID,2,FALSE),0))</f>
        <v/>
      </c>
      <c r="Q55" s="11" t="n"/>
      <c r="R55" s="11" t="n"/>
      <c r="S55" s="10">
        <f>IF(AND(Q55="",R55=""),"",IFERROR(INDEX(T_LIBAT,MATCH(Q55,L_PER,0),MATCH(R55,L_JENIS,0)),0))</f>
        <v/>
      </c>
      <c r="T55" s="11" t="n"/>
      <c r="U55" s="11" t="n"/>
      <c r="V55" s="10">
        <f>IF(AND(T55="",U55=""),"",IFERROR(INDEX(T_CAPAI,MATCH(T55,L_PER,0),MATCH(U55,L_KED,0)),0))</f>
        <v/>
      </c>
      <c r="W55" s="17">
        <f>IF(OR(B55="",E55="",COUNTA(F55,H55,J55:M55,O55,Q55:R55,T55:U55)=0),"",SUM(G55,I55,N55,P55,S55,V55))</f>
        <v/>
      </c>
      <c r="X55" s="18">
        <f>IF(W55="","",IF(Murid!F55="TL","TL",ROUND(W55/110*100,2)))</f>
        <v/>
      </c>
    </row>
    <row r="56">
      <c r="A56" s="15">
        <f>Murid!A56</f>
        <v/>
      </c>
      <c r="B56" s="15">
        <f>IF(Murid!B56="","",Murid!B56)</f>
        <v/>
      </c>
      <c r="C56" s="16">
        <f>IF(Murid!C56="","",Murid!C56)</f>
        <v/>
      </c>
      <c r="D56" s="15">
        <f>IF(Murid!E56="","",Murid!E56)</f>
        <v/>
      </c>
      <c r="E56" s="11" t="n"/>
      <c r="F56" s="11" t="n"/>
      <c r="G56" s="10">
        <f>IF(F56="","",IFERROR(VLOOKUP(F56,T_JSP,2,FALSE),0))</f>
        <v/>
      </c>
      <c r="H56" s="11" t="n"/>
      <c r="I56" s="17">
        <f>IF(H56="","",IF(H56&gt;=12,40,ROUND(H56*3.33,2)))</f>
        <v/>
      </c>
      <c r="J56" s="11" t="n"/>
      <c r="K56" s="11" t="n"/>
      <c r="L56" s="11" t="n"/>
      <c r="M56" s="11" t="n"/>
      <c r="N56" s="10">
        <f>IF(COUNTA(J56:M56)=0,"",MIN(10,SUMPRODUCT((COUNTIF(J56:M56,L_KOM)&gt;0)*S_KOM)))</f>
        <v/>
      </c>
      <c r="O56" s="11" t="n"/>
      <c r="P56" s="10">
        <f>IF(O56="","",IFERROR(VLOOKUP(O56,T_KHID,2,FALSE),0))</f>
        <v/>
      </c>
      <c r="Q56" s="11" t="n"/>
      <c r="R56" s="11" t="n"/>
      <c r="S56" s="10">
        <f>IF(AND(Q56="",R56=""),"",IFERROR(INDEX(T_LIBAT,MATCH(Q56,L_PER,0),MATCH(R56,L_JENIS,0)),0))</f>
        <v/>
      </c>
      <c r="T56" s="11" t="n"/>
      <c r="U56" s="11" t="n"/>
      <c r="V56" s="10">
        <f>IF(AND(T56="",U56=""),"",IFERROR(INDEX(T_CAPAI,MATCH(T56,L_PER,0),MATCH(U56,L_KED,0)),0))</f>
        <v/>
      </c>
      <c r="W56" s="17">
        <f>IF(OR(B56="",E56="",COUNTA(F56,H56,J56:M56,O56,Q56:R56,T56:U56)=0),"",SUM(G56,I56,N56,P56,S56,V56))</f>
        <v/>
      </c>
      <c r="X56" s="18">
        <f>IF(W56="","",IF(Murid!F56="TL","TL",ROUND(W56/110*100,2)))</f>
        <v/>
      </c>
    </row>
    <row r="57">
      <c r="A57" s="15">
        <f>Murid!A57</f>
        <v/>
      </c>
      <c r="B57" s="15">
        <f>IF(Murid!B57="","",Murid!B57)</f>
        <v/>
      </c>
      <c r="C57" s="16">
        <f>IF(Murid!C57="","",Murid!C57)</f>
        <v/>
      </c>
      <c r="D57" s="15">
        <f>IF(Murid!E57="","",Murid!E57)</f>
        <v/>
      </c>
      <c r="E57" s="11" t="n"/>
      <c r="F57" s="11" t="n"/>
      <c r="G57" s="10">
        <f>IF(F57="","",IFERROR(VLOOKUP(F57,T_JSP,2,FALSE),0))</f>
        <v/>
      </c>
      <c r="H57" s="11" t="n"/>
      <c r="I57" s="17">
        <f>IF(H57="","",IF(H57&gt;=12,40,ROUND(H57*3.33,2)))</f>
        <v/>
      </c>
      <c r="J57" s="11" t="n"/>
      <c r="K57" s="11" t="n"/>
      <c r="L57" s="11" t="n"/>
      <c r="M57" s="11" t="n"/>
      <c r="N57" s="10">
        <f>IF(COUNTA(J57:M57)=0,"",MIN(10,SUMPRODUCT((COUNTIF(J57:M57,L_KOM)&gt;0)*S_KOM)))</f>
        <v/>
      </c>
      <c r="O57" s="11" t="n"/>
      <c r="P57" s="10">
        <f>IF(O57="","",IFERROR(VLOOKUP(O57,T_KHID,2,FALSE),0))</f>
        <v/>
      </c>
      <c r="Q57" s="11" t="n"/>
      <c r="R57" s="11" t="n"/>
      <c r="S57" s="10">
        <f>IF(AND(Q57="",R57=""),"",IFERROR(INDEX(T_LIBAT,MATCH(Q57,L_PER,0),MATCH(R57,L_JENIS,0)),0))</f>
        <v/>
      </c>
      <c r="T57" s="11" t="n"/>
      <c r="U57" s="11" t="n"/>
      <c r="V57" s="10">
        <f>IF(AND(T57="",U57=""),"",IFERROR(INDEX(T_CAPAI,MATCH(T57,L_PER,0),MATCH(U57,L_KED,0)),0))</f>
        <v/>
      </c>
      <c r="W57" s="17">
        <f>IF(OR(B57="",E57="",COUNTA(F57,H57,J57:M57,O57,Q57:R57,T57:U57)=0),"",SUM(G57,I57,N57,P57,S57,V57))</f>
        <v/>
      </c>
      <c r="X57" s="18">
        <f>IF(W57="","",IF(Murid!F57="TL","TL",ROUND(W57/110*100,2)))</f>
        <v/>
      </c>
    </row>
    <row r="58">
      <c r="A58" s="15">
        <f>Murid!A58</f>
        <v/>
      </c>
      <c r="B58" s="15">
        <f>IF(Murid!B58="","",Murid!B58)</f>
        <v/>
      </c>
      <c r="C58" s="16">
        <f>IF(Murid!C58="","",Murid!C58)</f>
        <v/>
      </c>
      <c r="D58" s="15">
        <f>IF(Murid!E58="","",Murid!E58)</f>
        <v/>
      </c>
      <c r="E58" s="11" t="n"/>
      <c r="F58" s="11" t="n"/>
      <c r="G58" s="10">
        <f>IF(F58="","",IFERROR(VLOOKUP(F58,T_JSP,2,FALSE),0))</f>
        <v/>
      </c>
      <c r="H58" s="11" t="n"/>
      <c r="I58" s="17">
        <f>IF(H58="","",IF(H58&gt;=12,40,ROUND(H58*3.33,2)))</f>
        <v/>
      </c>
      <c r="J58" s="11" t="n"/>
      <c r="K58" s="11" t="n"/>
      <c r="L58" s="11" t="n"/>
      <c r="M58" s="11" t="n"/>
      <c r="N58" s="10">
        <f>IF(COUNTA(J58:M58)=0,"",MIN(10,SUMPRODUCT((COUNTIF(J58:M58,L_KOM)&gt;0)*S_KOM)))</f>
        <v/>
      </c>
      <c r="O58" s="11" t="n"/>
      <c r="P58" s="10">
        <f>IF(O58="","",IFERROR(VLOOKUP(O58,T_KHID,2,FALSE),0))</f>
        <v/>
      </c>
      <c r="Q58" s="11" t="n"/>
      <c r="R58" s="11" t="n"/>
      <c r="S58" s="10">
        <f>IF(AND(Q58="",R58=""),"",IFERROR(INDEX(T_LIBAT,MATCH(Q58,L_PER,0),MATCH(R58,L_JENIS,0)),0))</f>
        <v/>
      </c>
      <c r="T58" s="11" t="n"/>
      <c r="U58" s="11" t="n"/>
      <c r="V58" s="10">
        <f>IF(AND(T58="",U58=""),"",IFERROR(INDEX(T_CAPAI,MATCH(T58,L_PER,0),MATCH(U58,L_KED,0)),0))</f>
        <v/>
      </c>
      <c r="W58" s="17">
        <f>IF(OR(B58="",E58="",COUNTA(F58,H58,J58:M58,O58,Q58:R58,T58:U58)=0),"",SUM(G58,I58,N58,P58,S58,V58))</f>
        <v/>
      </c>
      <c r="X58" s="18">
        <f>IF(W58="","",IF(Murid!F58="TL","TL",ROUND(W58/110*100,2)))</f>
        <v/>
      </c>
    </row>
    <row r="59">
      <c r="A59" s="15">
        <f>Murid!A59</f>
        <v/>
      </c>
      <c r="B59" s="15">
        <f>IF(Murid!B59="","",Murid!B59)</f>
        <v/>
      </c>
      <c r="C59" s="16">
        <f>IF(Murid!C59="","",Murid!C59)</f>
        <v/>
      </c>
      <c r="D59" s="15">
        <f>IF(Murid!E59="","",Murid!E59)</f>
        <v/>
      </c>
      <c r="E59" s="11" t="n"/>
      <c r="F59" s="11" t="n"/>
      <c r="G59" s="10">
        <f>IF(F59="","",IFERROR(VLOOKUP(F59,T_JSP,2,FALSE),0))</f>
        <v/>
      </c>
      <c r="H59" s="11" t="n"/>
      <c r="I59" s="17">
        <f>IF(H59="","",IF(H59&gt;=12,40,ROUND(H59*3.33,2)))</f>
        <v/>
      </c>
      <c r="J59" s="11" t="n"/>
      <c r="K59" s="11" t="n"/>
      <c r="L59" s="11" t="n"/>
      <c r="M59" s="11" t="n"/>
      <c r="N59" s="10">
        <f>IF(COUNTA(J59:M59)=0,"",MIN(10,SUMPRODUCT((COUNTIF(J59:M59,L_KOM)&gt;0)*S_KOM)))</f>
        <v/>
      </c>
      <c r="O59" s="11" t="n"/>
      <c r="P59" s="10">
        <f>IF(O59="","",IFERROR(VLOOKUP(O59,T_KHID,2,FALSE),0))</f>
        <v/>
      </c>
      <c r="Q59" s="11" t="n"/>
      <c r="R59" s="11" t="n"/>
      <c r="S59" s="10">
        <f>IF(AND(Q59="",R59=""),"",IFERROR(INDEX(T_LIBAT,MATCH(Q59,L_PER,0),MATCH(R59,L_JENIS,0)),0))</f>
        <v/>
      </c>
      <c r="T59" s="11" t="n"/>
      <c r="U59" s="11" t="n"/>
      <c r="V59" s="10">
        <f>IF(AND(T59="",U59=""),"",IFERROR(INDEX(T_CAPAI,MATCH(T59,L_PER,0),MATCH(U59,L_KED,0)),0))</f>
        <v/>
      </c>
      <c r="W59" s="17">
        <f>IF(OR(B59="",E59="",COUNTA(F59,H59,J59:M59,O59,Q59:R59,T59:U59)=0),"",SUM(G59,I59,N59,P59,S59,V59))</f>
        <v/>
      </c>
      <c r="X59" s="18">
        <f>IF(W59="","",IF(Murid!F59="TL","TL",ROUND(W59/110*100,2)))</f>
        <v/>
      </c>
    </row>
    <row r="60">
      <c r="A60" s="15">
        <f>Murid!A60</f>
        <v/>
      </c>
      <c r="B60" s="15">
        <f>IF(Murid!B60="","",Murid!B60)</f>
        <v/>
      </c>
      <c r="C60" s="16">
        <f>IF(Murid!C60="","",Murid!C60)</f>
        <v/>
      </c>
      <c r="D60" s="15">
        <f>IF(Murid!E60="","",Murid!E60)</f>
        <v/>
      </c>
      <c r="E60" s="11" t="n"/>
      <c r="F60" s="11" t="n"/>
      <c r="G60" s="10">
        <f>IF(F60="","",IFERROR(VLOOKUP(F60,T_JSP,2,FALSE),0))</f>
        <v/>
      </c>
      <c r="H60" s="11" t="n"/>
      <c r="I60" s="17">
        <f>IF(H60="","",IF(H60&gt;=12,40,ROUND(H60*3.33,2)))</f>
        <v/>
      </c>
      <c r="J60" s="11" t="n"/>
      <c r="K60" s="11" t="n"/>
      <c r="L60" s="11" t="n"/>
      <c r="M60" s="11" t="n"/>
      <c r="N60" s="10">
        <f>IF(COUNTA(J60:M60)=0,"",MIN(10,SUMPRODUCT((COUNTIF(J60:M60,L_KOM)&gt;0)*S_KOM)))</f>
        <v/>
      </c>
      <c r="O60" s="11" t="n"/>
      <c r="P60" s="10">
        <f>IF(O60="","",IFERROR(VLOOKUP(O60,T_KHID,2,FALSE),0))</f>
        <v/>
      </c>
      <c r="Q60" s="11" t="n"/>
      <c r="R60" s="11" t="n"/>
      <c r="S60" s="10">
        <f>IF(AND(Q60="",R60=""),"",IFERROR(INDEX(T_LIBAT,MATCH(Q60,L_PER,0),MATCH(R60,L_JENIS,0)),0))</f>
        <v/>
      </c>
      <c r="T60" s="11" t="n"/>
      <c r="U60" s="11" t="n"/>
      <c r="V60" s="10">
        <f>IF(AND(T60="",U60=""),"",IFERROR(INDEX(T_CAPAI,MATCH(T60,L_PER,0),MATCH(U60,L_KED,0)),0))</f>
        <v/>
      </c>
      <c r="W60" s="17">
        <f>IF(OR(B60="",E60="",COUNTA(F60,H60,J60:M60,O60,Q60:R60,T60:U60)=0),"",SUM(G60,I60,N60,P60,S60,V60))</f>
        <v/>
      </c>
      <c r="X60" s="18">
        <f>IF(W60="","",IF(Murid!F60="TL","TL",ROUND(W60/110*100,2)))</f>
        <v/>
      </c>
    </row>
    <row r="61">
      <c r="A61" s="15">
        <f>Murid!A61</f>
        <v/>
      </c>
      <c r="B61" s="15">
        <f>IF(Murid!B61="","",Murid!B61)</f>
        <v/>
      </c>
      <c r="C61" s="16">
        <f>IF(Murid!C61="","",Murid!C61)</f>
        <v/>
      </c>
      <c r="D61" s="15">
        <f>IF(Murid!E61="","",Murid!E61)</f>
        <v/>
      </c>
      <c r="E61" s="11" t="n"/>
      <c r="F61" s="11" t="n"/>
      <c r="G61" s="10">
        <f>IF(F61="","",IFERROR(VLOOKUP(F61,T_JSP,2,FALSE),0))</f>
        <v/>
      </c>
      <c r="H61" s="11" t="n"/>
      <c r="I61" s="17">
        <f>IF(H61="","",IF(H61&gt;=12,40,ROUND(H61*3.33,2)))</f>
        <v/>
      </c>
      <c r="J61" s="11" t="n"/>
      <c r="K61" s="11" t="n"/>
      <c r="L61" s="11" t="n"/>
      <c r="M61" s="11" t="n"/>
      <c r="N61" s="10">
        <f>IF(COUNTA(J61:M61)=0,"",MIN(10,SUMPRODUCT((COUNTIF(J61:M61,L_KOM)&gt;0)*S_KOM)))</f>
        <v/>
      </c>
      <c r="O61" s="11" t="n"/>
      <c r="P61" s="10">
        <f>IF(O61="","",IFERROR(VLOOKUP(O61,T_KHID,2,FALSE),0))</f>
        <v/>
      </c>
      <c r="Q61" s="11" t="n"/>
      <c r="R61" s="11" t="n"/>
      <c r="S61" s="10">
        <f>IF(AND(Q61="",R61=""),"",IFERROR(INDEX(T_LIBAT,MATCH(Q61,L_PER,0),MATCH(R61,L_JENIS,0)),0))</f>
        <v/>
      </c>
      <c r="T61" s="11" t="n"/>
      <c r="U61" s="11" t="n"/>
      <c r="V61" s="10">
        <f>IF(AND(T61="",U61=""),"",IFERROR(INDEX(T_CAPAI,MATCH(T61,L_PER,0),MATCH(U61,L_KED,0)),0))</f>
        <v/>
      </c>
      <c r="W61" s="17">
        <f>IF(OR(B61="",E61="",COUNTA(F61,H61,J61:M61,O61,Q61:R61,T61:U61)=0),"",SUM(G61,I61,N61,P61,S61,V61))</f>
        <v/>
      </c>
      <c r="X61" s="18">
        <f>IF(W61="","",IF(Murid!F61="TL","TL",ROUND(W61/110*100,2)))</f>
        <v/>
      </c>
    </row>
    <row r="62">
      <c r="A62" s="15">
        <f>Murid!A62</f>
        <v/>
      </c>
      <c r="B62" s="15">
        <f>IF(Murid!B62="","",Murid!B62)</f>
        <v/>
      </c>
      <c r="C62" s="16">
        <f>IF(Murid!C62="","",Murid!C62)</f>
        <v/>
      </c>
      <c r="D62" s="15">
        <f>IF(Murid!E62="","",Murid!E62)</f>
        <v/>
      </c>
      <c r="E62" s="11" t="n"/>
      <c r="F62" s="11" t="n"/>
      <c r="G62" s="10">
        <f>IF(F62="","",IFERROR(VLOOKUP(F62,T_JSP,2,FALSE),0))</f>
        <v/>
      </c>
      <c r="H62" s="11" t="n"/>
      <c r="I62" s="17">
        <f>IF(H62="","",IF(H62&gt;=12,40,ROUND(H62*3.33,2)))</f>
        <v/>
      </c>
      <c r="J62" s="11" t="n"/>
      <c r="K62" s="11" t="n"/>
      <c r="L62" s="11" t="n"/>
      <c r="M62" s="11" t="n"/>
      <c r="N62" s="10">
        <f>IF(COUNTA(J62:M62)=0,"",MIN(10,SUMPRODUCT((COUNTIF(J62:M62,L_KOM)&gt;0)*S_KOM)))</f>
        <v/>
      </c>
      <c r="O62" s="11" t="n"/>
      <c r="P62" s="10">
        <f>IF(O62="","",IFERROR(VLOOKUP(O62,T_KHID,2,FALSE),0))</f>
        <v/>
      </c>
      <c r="Q62" s="11" t="n"/>
      <c r="R62" s="11" t="n"/>
      <c r="S62" s="10">
        <f>IF(AND(Q62="",R62=""),"",IFERROR(INDEX(T_LIBAT,MATCH(Q62,L_PER,0),MATCH(R62,L_JENIS,0)),0))</f>
        <v/>
      </c>
      <c r="T62" s="11" t="n"/>
      <c r="U62" s="11" t="n"/>
      <c r="V62" s="10">
        <f>IF(AND(T62="",U62=""),"",IFERROR(INDEX(T_CAPAI,MATCH(T62,L_PER,0),MATCH(U62,L_KED,0)),0))</f>
        <v/>
      </c>
      <c r="W62" s="17">
        <f>IF(OR(B62="",E62="",COUNTA(F62,H62,J62:M62,O62,Q62:R62,T62:U62)=0),"",SUM(G62,I62,N62,P62,S62,V62))</f>
        <v/>
      </c>
      <c r="X62" s="18">
        <f>IF(W62="","",IF(Murid!F62="TL","TL",ROUND(W62/110*100,2)))</f>
        <v/>
      </c>
    </row>
    <row r="63">
      <c r="A63" s="15">
        <f>Murid!A63</f>
        <v/>
      </c>
      <c r="B63" s="15">
        <f>IF(Murid!B63="","",Murid!B63)</f>
        <v/>
      </c>
      <c r="C63" s="16">
        <f>IF(Murid!C63="","",Murid!C63)</f>
        <v/>
      </c>
      <c r="D63" s="15">
        <f>IF(Murid!E63="","",Murid!E63)</f>
        <v/>
      </c>
      <c r="E63" s="11" t="n"/>
      <c r="F63" s="11" t="n"/>
      <c r="G63" s="10">
        <f>IF(F63="","",IFERROR(VLOOKUP(F63,T_JSP,2,FALSE),0))</f>
        <v/>
      </c>
      <c r="H63" s="11" t="n"/>
      <c r="I63" s="17">
        <f>IF(H63="","",IF(H63&gt;=12,40,ROUND(H63*3.33,2)))</f>
        <v/>
      </c>
      <c r="J63" s="11" t="n"/>
      <c r="K63" s="11" t="n"/>
      <c r="L63" s="11" t="n"/>
      <c r="M63" s="11" t="n"/>
      <c r="N63" s="10">
        <f>IF(COUNTA(J63:M63)=0,"",MIN(10,SUMPRODUCT((COUNTIF(J63:M63,L_KOM)&gt;0)*S_KOM)))</f>
        <v/>
      </c>
      <c r="O63" s="11" t="n"/>
      <c r="P63" s="10">
        <f>IF(O63="","",IFERROR(VLOOKUP(O63,T_KHID,2,FALSE),0))</f>
        <v/>
      </c>
      <c r="Q63" s="11" t="n"/>
      <c r="R63" s="11" t="n"/>
      <c r="S63" s="10">
        <f>IF(AND(Q63="",R63=""),"",IFERROR(INDEX(T_LIBAT,MATCH(Q63,L_PER,0),MATCH(R63,L_JENIS,0)),0))</f>
        <v/>
      </c>
      <c r="T63" s="11" t="n"/>
      <c r="U63" s="11" t="n"/>
      <c r="V63" s="10">
        <f>IF(AND(T63="",U63=""),"",IFERROR(INDEX(T_CAPAI,MATCH(T63,L_PER,0),MATCH(U63,L_KED,0)),0))</f>
        <v/>
      </c>
      <c r="W63" s="17">
        <f>IF(OR(B63="",E63="",COUNTA(F63,H63,J63:M63,O63,Q63:R63,T63:U63)=0),"",SUM(G63,I63,N63,P63,S63,V63))</f>
        <v/>
      </c>
      <c r="X63" s="18">
        <f>IF(W63="","",IF(Murid!F63="TL","TL",ROUND(W63/110*100,2)))</f>
        <v/>
      </c>
    </row>
    <row r="64">
      <c r="A64" s="15">
        <f>Murid!A64</f>
        <v/>
      </c>
      <c r="B64" s="15">
        <f>IF(Murid!B64="","",Murid!B64)</f>
        <v/>
      </c>
      <c r="C64" s="16">
        <f>IF(Murid!C64="","",Murid!C64)</f>
        <v/>
      </c>
      <c r="D64" s="15">
        <f>IF(Murid!E64="","",Murid!E64)</f>
        <v/>
      </c>
      <c r="E64" s="11" t="n"/>
      <c r="F64" s="11" t="n"/>
      <c r="G64" s="10">
        <f>IF(F64="","",IFERROR(VLOOKUP(F64,T_JSP,2,FALSE),0))</f>
        <v/>
      </c>
      <c r="H64" s="11" t="n"/>
      <c r="I64" s="17">
        <f>IF(H64="","",IF(H64&gt;=12,40,ROUND(H64*3.33,2)))</f>
        <v/>
      </c>
      <c r="J64" s="11" t="n"/>
      <c r="K64" s="11" t="n"/>
      <c r="L64" s="11" t="n"/>
      <c r="M64" s="11" t="n"/>
      <c r="N64" s="10">
        <f>IF(COUNTA(J64:M64)=0,"",MIN(10,SUMPRODUCT((COUNTIF(J64:M64,L_KOM)&gt;0)*S_KOM)))</f>
        <v/>
      </c>
      <c r="O64" s="11" t="n"/>
      <c r="P64" s="10">
        <f>IF(O64="","",IFERROR(VLOOKUP(O64,T_KHID,2,FALSE),0))</f>
        <v/>
      </c>
      <c r="Q64" s="11" t="n"/>
      <c r="R64" s="11" t="n"/>
      <c r="S64" s="10">
        <f>IF(AND(Q64="",R64=""),"",IFERROR(INDEX(T_LIBAT,MATCH(Q64,L_PER,0),MATCH(R64,L_JENIS,0)),0))</f>
        <v/>
      </c>
      <c r="T64" s="11" t="n"/>
      <c r="U64" s="11" t="n"/>
      <c r="V64" s="10">
        <f>IF(AND(T64="",U64=""),"",IFERROR(INDEX(T_CAPAI,MATCH(T64,L_PER,0),MATCH(U64,L_KED,0)),0))</f>
        <v/>
      </c>
      <c r="W64" s="17">
        <f>IF(OR(B64="",E64="",COUNTA(F64,H64,J64:M64,O64,Q64:R64,T64:U64)=0),"",SUM(G64,I64,N64,P64,S64,V64))</f>
        <v/>
      </c>
      <c r="X64" s="18">
        <f>IF(W64="","",IF(Murid!F64="TL","TL",ROUND(W64/110*100,2)))</f>
        <v/>
      </c>
    </row>
    <row r="65">
      <c r="A65" s="15">
        <f>Murid!A65</f>
        <v/>
      </c>
      <c r="B65" s="15">
        <f>IF(Murid!B65="","",Murid!B65)</f>
        <v/>
      </c>
      <c r="C65" s="16">
        <f>IF(Murid!C65="","",Murid!C65)</f>
        <v/>
      </c>
      <c r="D65" s="15">
        <f>IF(Murid!E65="","",Murid!E65)</f>
        <v/>
      </c>
      <c r="E65" s="11" t="n"/>
      <c r="F65" s="11" t="n"/>
      <c r="G65" s="10">
        <f>IF(F65="","",IFERROR(VLOOKUP(F65,T_JSP,2,FALSE),0))</f>
        <v/>
      </c>
      <c r="H65" s="11" t="n"/>
      <c r="I65" s="17">
        <f>IF(H65="","",IF(H65&gt;=12,40,ROUND(H65*3.33,2)))</f>
        <v/>
      </c>
      <c r="J65" s="11" t="n"/>
      <c r="K65" s="11" t="n"/>
      <c r="L65" s="11" t="n"/>
      <c r="M65" s="11" t="n"/>
      <c r="N65" s="10">
        <f>IF(COUNTA(J65:M65)=0,"",MIN(10,SUMPRODUCT((COUNTIF(J65:M65,L_KOM)&gt;0)*S_KOM)))</f>
        <v/>
      </c>
      <c r="O65" s="11" t="n"/>
      <c r="P65" s="10">
        <f>IF(O65="","",IFERROR(VLOOKUP(O65,T_KHID,2,FALSE),0))</f>
        <v/>
      </c>
      <c r="Q65" s="11" t="n"/>
      <c r="R65" s="11" t="n"/>
      <c r="S65" s="10">
        <f>IF(AND(Q65="",R65=""),"",IFERROR(INDEX(T_LIBAT,MATCH(Q65,L_PER,0),MATCH(R65,L_JENIS,0)),0))</f>
        <v/>
      </c>
      <c r="T65" s="11" t="n"/>
      <c r="U65" s="11" t="n"/>
      <c r="V65" s="10">
        <f>IF(AND(T65="",U65=""),"",IFERROR(INDEX(T_CAPAI,MATCH(T65,L_PER,0),MATCH(U65,L_KED,0)),0))</f>
        <v/>
      </c>
      <c r="W65" s="17">
        <f>IF(OR(B65="",E65="",COUNTA(F65,H65,J65:M65,O65,Q65:R65,T65:U65)=0),"",SUM(G65,I65,N65,P65,S65,V65))</f>
        <v/>
      </c>
      <c r="X65" s="18">
        <f>IF(W65="","",IF(Murid!F65="TL","TL",ROUND(W65/110*100,2)))</f>
        <v/>
      </c>
    </row>
    <row r="66">
      <c r="A66" s="15">
        <f>Murid!A66</f>
        <v/>
      </c>
      <c r="B66" s="15">
        <f>IF(Murid!B66="","",Murid!B66)</f>
        <v/>
      </c>
      <c r="C66" s="16">
        <f>IF(Murid!C66="","",Murid!C66)</f>
        <v/>
      </c>
      <c r="D66" s="15">
        <f>IF(Murid!E66="","",Murid!E66)</f>
        <v/>
      </c>
      <c r="E66" s="11" t="n"/>
      <c r="F66" s="11" t="n"/>
      <c r="G66" s="10">
        <f>IF(F66="","",IFERROR(VLOOKUP(F66,T_JSP,2,FALSE),0))</f>
        <v/>
      </c>
      <c r="H66" s="11" t="n"/>
      <c r="I66" s="17">
        <f>IF(H66="","",IF(H66&gt;=12,40,ROUND(H66*3.33,2)))</f>
        <v/>
      </c>
      <c r="J66" s="11" t="n"/>
      <c r="K66" s="11" t="n"/>
      <c r="L66" s="11" t="n"/>
      <c r="M66" s="11" t="n"/>
      <c r="N66" s="10">
        <f>IF(COUNTA(J66:M66)=0,"",MIN(10,SUMPRODUCT((COUNTIF(J66:M66,L_KOM)&gt;0)*S_KOM)))</f>
        <v/>
      </c>
      <c r="O66" s="11" t="n"/>
      <c r="P66" s="10">
        <f>IF(O66="","",IFERROR(VLOOKUP(O66,T_KHID,2,FALSE),0))</f>
        <v/>
      </c>
      <c r="Q66" s="11" t="n"/>
      <c r="R66" s="11" t="n"/>
      <c r="S66" s="10">
        <f>IF(AND(Q66="",R66=""),"",IFERROR(INDEX(T_LIBAT,MATCH(Q66,L_PER,0),MATCH(R66,L_JENIS,0)),0))</f>
        <v/>
      </c>
      <c r="T66" s="11" t="n"/>
      <c r="U66" s="11" t="n"/>
      <c r="V66" s="10">
        <f>IF(AND(T66="",U66=""),"",IFERROR(INDEX(T_CAPAI,MATCH(T66,L_PER,0),MATCH(U66,L_KED,0)),0))</f>
        <v/>
      </c>
      <c r="W66" s="17">
        <f>IF(OR(B66="",E66="",COUNTA(F66,H66,J66:M66,O66,Q66:R66,T66:U66)=0),"",SUM(G66,I66,N66,P66,S66,V66))</f>
        <v/>
      </c>
      <c r="X66" s="18">
        <f>IF(W66="","",IF(Murid!F66="TL","TL",ROUND(W66/110*100,2)))</f>
        <v/>
      </c>
    </row>
    <row r="67">
      <c r="A67" s="15">
        <f>Murid!A67</f>
        <v/>
      </c>
      <c r="B67" s="15">
        <f>IF(Murid!B67="","",Murid!B67)</f>
        <v/>
      </c>
      <c r="C67" s="16">
        <f>IF(Murid!C67="","",Murid!C67)</f>
        <v/>
      </c>
      <c r="D67" s="15">
        <f>IF(Murid!E67="","",Murid!E67)</f>
        <v/>
      </c>
      <c r="E67" s="11" t="n"/>
      <c r="F67" s="11" t="n"/>
      <c r="G67" s="10">
        <f>IF(F67="","",IFERROR(VLOOKUP(F67,T_JSP,2,FALSE),0))</f>
        <v/>
      </c>
      <c r="H67" s="11" t="n"/>
      <c r="I67" s="17">
        <f>IF(H67="","",IF(H67&gt;=12,40,ROUND(H67*3.33,2)))</f>
        <v/>
      </c>
      <c r="J67" s="11" t="n"/>
      <c r="K67" s="11" t="n"/>
      <c r="L67" s="11" t="n"/>
      <c r="M67" s="11" t="n"/>
      <c r="N67" s="10">
        <f>IF(COUNTA(J67:M67)=0,"",MIN(10,SUMPRODUCT((COUNTIF(J67:M67,L_KOM)&gt;0)*S_KOM)))</f>
        <v/>
      </c>
      <c r="O67" s="11" t="n"/>
      <c r="P67" s="10">
        <f>IF(O67="","",IFERROR(VLOOKUP(O67,T_KHID,2,FALSE),0))</f>
        <v/>
      </c>
      <c r="Q67" s="11" t="n"/>
      <c r="R67" s="11" t="n"/>
      <c r="S67" s="10">
        <f>IF(AND(Q67="",R67=""),"",IFERROR(INDEX(T_LIBAT,MATCH(Q67,L_PER,0),MATCH(R67,L_JENIS,0)),0))</f>
        <v/>
      </c>
      <c r="T67" s="11" t="n"/>
      <c r="U67" s="11" t="n"/>
      <c r="V67" s="10">
        <f>IF(AND(T67="",U67=""),"",IFERROR(INDEX(T_CAPAI,MATCH(T67,L_PER,0),MATCH(U67,L_KED,0)),0))</f>
        <v/>
      </c>
      <c r="W67" s="17">
        <f>IF(OR(B67="",E67="",COUNTA(F67,H67,J67:M67,O67,Q67:R67,T67:U67)=0),"",SUM(G67,I67,N67,P67,S67,V67))</f>
        <v/>
      </c>
      <c r="X67" s="18">
        <f>IF(W67="","",IF(Murid!F67="TL","TL",ROUND(W67/110*100,2)))</f>
        <v/>
      </c>
    </row>
    <row r="68">
      <c r="A68" s="15">
        <f>Murid!A68</f>
        <v/>
      </c>
      <c r="B68" s="15">
        <f>IF(Murid!B68="","",Murid!B68)</f>
        <v/>
      </c>
      <c r="C68" s="16">
        <f>IF(Murid!C68="","",Murid!C68)</f>
        <v/>
      </c>
      <c r="D68" s="15">
        <f>IF(Murid!E68="","",Murid!E68)</f>
        <v/>
      </c>
      <c r="E68" s="11" t="n"/>
      <c r="F68" s="11" t="n"/>
      <c r="G68" s="10">
        <f>IF(F68="","",IFERROR(VLOOKUP(F68,T_JSP,2,FALSE),0))</f>
        <v/>
      </c>
      <c r="H68" s="11" t="n"/>
      <c r="I68" s="17">
        <f>IF(H68="","",IF(H68&gt;=12,40,ROUND(H68*3.33,2)))</f>
        <v/>
      </c>
      <c r="J68" s="11" t="n"/>
      <c r="K68" s="11" t="n"/>
      <c r="L68" s="11" t="n"/>
      <c r="M68" s="11" t="n"/>
      <c r="N68" s="10">
        <f>IF(COUNTA(J68:M68)=0,"",MIN(10,SUMPRODUCT((COUNTIF(J68:M68,L_KOM)&gt;0)*S_KOM)))</f>
        <v/>
      </c>
      <c r="O68" s="11" t="n"/>
      <c r="P68" s="10">
        <f>IF(O68="","",IFERROR(VLOOKUP(O68,T_KHID,2,FALSE),0))</f>
        <v/>
      </c>
      <c r="Q68" s="11" t="n"/>
      <c r="R68" s="11" t="n"/>
      <c r="S68" s="10">
        <f>IF(AND(Q68="",R68=""),"",IFERROR(INDEX(T_LIBAT,MATCH(Q68,L_PER,0),MATCH(R68,L_JENIS,0)),0))</f>
        <v/>
      </c>
      <c r="T68" s="11" t="n"/>
      <c r="U68" s="11" t="n"/>
      <c r="V68" s="10">
        <f>IF(AND(T68="",U68=""),"",IFERROR(INDEX(T_CAPAI,MATCH(T68,L_PER,0),MATCH(U68,L_KED,0)),0))</f>
        <v/>
      </c>
      <c r="W68" s="17">
        <f>IF(OR(B68="",E68="",COUNTA(F68,H68,J68:M68,O68,Q68:R68,T68:U68)=0),"",SUM(G68,I68,N68,P68,S68,V68))</f>
        <v/>
      </c>
      <c r="X68" s="18">
        <f>IF(W68="","",IF(Murid!F68="TL","TL",ROUND(W68/110*100,2)))</f>
        <v/>
      </c>
    </row>
    <row r="69">
      <c r="A69" s="15">
        <f>Murid!A69</f>
        <v/>
      </c>
      <c r="B69" s="15">
        <f>IF(Murid!B69="","",Murid!B69)</f>
        <v/>
      </c>
      <c r="C69" s="16">
        <f>IF(Murid!C69="","",Murid!C69)</f>
        <v/>
      </c>
      <c r="D69" s="15">
        <f>IF(Murid!E69="","",Murid!E69)</f>
        <v/>
      </c>
      <c r="E69" s="11" t="n"/>
      <c r="F69" s="11" t="n"/>
      <c r="G69" s="10">
        <f>IF(F69="","",IFERROR(VLOOKUP(F69,T_JSP,2,FALSE),0))</f>
        <v/>
      </c>
      <c r="H69" s="11" t="n"/>
      <c r="I69" s="17">
        <f>IF(H69="","",IF(H69&gt;=12,40,ROUND(H69*3.33,2)))</f>
        <v/>
      </c>
      <c r="J69" s="11" t="n"/>
      <c r="K69" s="11" t="n"/>
      <c r="L69" s="11" t="n"/>
      <c r="M69" s="11" t="n"/>
      <c r="N69" s="10">
        <f>IF(COUNTA(J69:M69)=0,"",MIN(10,SUMPRODUCT((COUNTIF(J69:M69,L_KOM)&gt;0)*S_KOM)))</f>
        <v/>
      </c>
      <c r="O69" s="11" t="n"/>
      <c r="P69" s="10">
        <f>IF(O69="","",IFERROR(VLOOKUP(O69,T_KHID,2,FALSE),0))</f>
        <v/>
      </c>
      <c r="Q69" s="11" t="n"/>
      <c r="R69" s="11" t="n"/>
      <c r="S69" s="10">
        <f>IF(AND(Q69="",R69=""),"",IFERROR(INDEX(T_LIBAT,MATCH(Q69,L_PER,0),MATCH(R69,L_JENIS,0)),0))</f>
        <v/>
      </c>
      <c r="T69" s="11" t="n"/>
      <c r="U69" s="11" t="n"/>
      <c r="V69" s="10">
        <f>IF(AND(T69="",U69=""),"",IFERROR(INDEX(T_CAPAI,MATCH(T69,L_PER,0),MATCH(U69,L_KED,0)),0))</f>
        <v/>
      </c>
      <c r="W69" s="17">
        <f>IF(OR(B69="",E69="",COUNTA(F69,H69,J69:M69,O69,Q69:R69,T69:U69)=0),"",SUM(G69,I69,N69,P69,S69,V69))</f>
        <v/>
      </c>
      <c r="X69" s="18">
        <f>IF(W69="","",IF(Murid!F69="TL","TL",ROUND(W69/110*100,2)))</f>
        <v/>
      </c>
    </row>
    <row r="70">
      <c r="A70" s="15">
        <f>Murid!A70</f>
        <v/>
      </c>
      <c r="B70" s="15">
        <f>IF(Murid!B70="","",Murid!B70)</f>
        <v/>
      </c>
      <c r="C70" s="16">
        <f>IF(Murid!C70="","",Murid!C70)</f>
        <v/>
      </c>
      <c r="D70" s="15">
        <f>IF(Murid!E70="","",Murid!E70)</f>
        <v/>
      </c>
      <c r="E70" s="11" t="n"/>
      <c r="F70" s="11" t="n"/>
      <c r="G70" s="10">
        <f>IF(F70="","",IFERROR(VLOOKUP(F70,T_JSP,2,FALSE),0))</f>
        <v/>
      </c>
      <c r="H70" s="11" t="n"/>
      <c r="I70" s="17">
        <f>IF(H70="","",IF(H70&gt;=12,40,ROUND(H70*3.33,2)))</f>
        <v/>
      </c>
      <c r="J70" s="11" t="n"/>
      <c r="K70" s="11" t="n"/>
      <c r="L70" s="11" t="n"/>
      <c r="M70" s="11" t="n"/>
      <c r="N70" s="10">
        <f>IF(COUNTA(J70:M70)=0,"",MIN(10,SUMPRODUCT((COUNTIF(J70:M70,L_KOM)&gt;0)*S_KOM)))</f>
        <v/>
      </c>
      <c r="O70" s="11" t="n"/>
      <c r="P70" s="10">
        <f>IF(O70="","",IFERROR(VLOOKUP(O70,T_KHID,2,FALSE),0))</f>
        <v/>
      </c>
      <c r="Q70" s="11" t="n"/>
      <c r="R70" s="11" t="n"/>
      <c r="S70" s="10">
        <f>IF(AND(Q70="",R70=""),"",IFERROR(INDEX(T_LIBAT,MATCH(Q70,L_PER,0),MATCH(R70,L_JENIS,0)),0))</f>
        <v/>
      </c>
      <c r="T70" s="11" t="n"/>
      <c r="U70" s="11" t="n"/>
      <c r="V70" s="10">
        <f>IF(AND(T70="",U70=""),"",IFERROR(INDEX(T_CAPAI,MATCH(T70,L_PER,0),MATCH(U70,L_KED,0)),0))</f>
        <v/>
      </c>
      <c r="W70" s="17">
        <f>IF(OR(B70="",E70="",COUNTA(F70,H70,J70:M70,O70,Q70:R70,T70:U70)=0),"",SUM(G70,I70,N70,P70,S70,V70))</f>
        <v/>
      </c>
      <c r="X70" s="18">
        <f>IF(W70="","",IF(Murid!F70="TL","TL",ROUND(W70/110*100,2)))</f>
        <v/>
      </c>
    </row>
    <row r="71">
      <c r="A71" s="15">
        <f>Murid!A71</f>
        <v/>
      </c>
      <c r="B71" s="15">
        <f>IF(Murid!B71="","",Murid!B71)</f>
        <v/>
      </c>
      <c r="C71" s="16">
        <f>IF(Murid!C71="","",Murid!C71)</f>
        <v/>
      </c>
      <c r="D71" s="15">
        <f>IF(Murid!E71="","",Murid!E71)</f>
        <v/>
      </c>
      <c r="E71" s="11" t="n"/>
      <c r="F71" s="11" t="n"/>
      <c r="G71" s="10">
        <f>IF(F71="","",IFERROR(VLOOKUP(F71,T_JSP,2,FALSE),0))</f>
        <v/>
      </c>
      <c r="H71" s="11" t="n"/>
      <c r="I71" s="17">
        <f>IF(H71="","",IF(H71&gt;=12,40,ROUND(H71*3.33,2)))</f>
        <v/>
      </c>
      <c r="J71" s="11" t="n"/>
      <c r="K71" s="11" t="n"/>
      <c r="L71" s="11" t="n"/>
      <c r="M71" s="11" t="n"/>
      <c r="N71" s="10">
        <f>IF(COUNTA(J71:M71)=0,"",MIN(10,SUMPRODUCT((COUNTIF(J71:M71,L_KOM)&gt;0)*S_KOM)))</f>
        <v/>
      </c>
      <c r="O71" s="11" t="n"/>
      <c r="P71" s="10">
        <f>IF(O71="","",IFERROR(VLOOKUP(O71,T_KHID,2,FALSE),0))</f>
        <v/>
      </c>
      <c r="Q71" s="11" t="n"/>
      <c r="R71" s="11" t="n"/>
      <c r="S71" s="10">
        <f>IF(AND(Q71="",R71=""),"",IFERROR(INDEX(T_LIBAT,MATCH(Q71,L_PER,0),MATCH(R71,L_JENIS,0)),0))</f>
        <v/>
      </c>
      <c r="T71" s="11" t="n"/>
      <c r="U71" s="11" t="n"/>
      <c r="V71" s="10">
        <f>IF(AND(T71="",U71=""),"",IFERROR(INDEX(T_CAPAI,MATCH(T71,L_PER,0),MATCH(U71,L_KED,0)),0))</f>
        <v/>
      </c>
      <c r="W71" s="17">
        <f>IF(OR(B71="",E71="",COUNTA(F71,H71,J71:M71,O71,Q71:R71,T71:U71)=0),"",SUM(G71,I71,N71,P71,S71,V71))</f>
        <v/>
      </c>
      <c r="X71" s="18">
        <f>IF(W71="","",IF(Murid!F71="TL","TL",ROUND(W71/110*100,2)))</f>
        <v/>
      </c>
    </row>
    <row r="72">
      <c r="A72" s="15">
        <f>Murid!A72</f>
        <v/>
      </c>
      <c r="B72" s="15">
        <f>IF(Murid!B72="","",Murid!B72)</f>
        <v/>
      </c>
      <c r="C72" s="16">
        <f>IF(Murid!C72="","",Murid!C72)</f>
        <v/>
      </c>
      <c r="D72" s="15">
        <f>IF(Murid!E72="","",Murid!E72)</f>
        <v/>
      </c>
      <c r="E72" s="11" t="n"/>
      <c r="F72" s="11" t="n"/>
      <c r="G72" s="10">
        <f>IF(F72="","",IFERROR(VLOOKUP(F72,T_JSP,2,FALSE),0))</f>
        <v/>
      </c>
      <c r="H72" s="11" t="n"/>
      <c r="I72" s="17">
        <f>IF(H72="","",IF(H72&gt;=12,40,ROUND(H72*3.33,2)))</f>
        <v/>
      </c>
      <c r="J72" s="11" t="n"/>
      <c r="K72" s="11" t="n"/>
      <c r="L72" s="11" t="n"/>
      <c r="M72" s="11" t="n"/>
      <c r="N72" s="10">
        <f>IF(COUNTA(J72:M72)=0,"",MIN(10,SUMPRODUCT((COUNTIF(J72:M72,L_KOM)&gt;0)*S_KOM)))</f>
        <v/>
      </c>
      <c r="O72" s="11" t="n"/>
      <c r="P72" s="10">
        <f>IF(O72="","",IFERROR(VLOOKUP(O72,T_KHID,2,FALSE),0))</f>
        <v/>
      </c>
      <c r="Q72" s="11" t="n"/>
      <c r="R72" s="11" t="n"/>
      <c r="S72" s="10">
        <f>IF(AND(Q72="",R72=""),"",IFERROR(INDEX(T_LIBAT,MATCH(Q72,L_PER,0),MATCH(R72,L_JENIS,0)),0))</f>
        <v/>
      </c>
      <c r="T72" s="11" t="n"/>
      <c r="U72" s="11" t="n"/>
      <c r="V72" s="10">
        <f>IF(AND(T72="",U72=""),"",IFERROR(INDEX(T_CAPAI,MATCH(T72,L_PER,0),MATCH(U72,L_KED,0)),0))</f>
        <v/>
      </c>
      <c r="W72" s="17">
        <f>IF(OR(B72="",E72="",COUNTA(F72,H72,J72:M72,O72,Q72:R72,T72:U72)=0),"",SUM(G72,I72,N72,P72,S72,V72))</f>
        <v/>
      </c>
      <c r="X72" s="18">
        <f>IF(W72="","",IF(Murid!F72="TL","TL",ROUND(W72/110*100,2)))</f>
        <v/>
      </c>
    </row>
    <row r="73">
      <c r="A73" s="15">
        <f>Murid!A73</f>
        <v/>
      </c>
      <c r="B73" s="15">
        <f>IF(Murid!B73="","",Murid!B73)</f>
        <v/>
      </c>
      <c r="C73" s="16">
        <f>IF(Murid!C73="","",Murid!C73)</f>
        <v/>
      </c>
      <c r="D73" s="15">
        <f>IF(Murid!E73="","",Murid!E73)</f>
        <v/>
      </c>
      <c r="E73" s="11" t="n"/>
      <c r="F73" s="11" t="n"/>
      <c r="G73" s="10">
        <f>IF(F73="","",IFERROR(VLOOKUP(F73,T_JSP,2,FALSE),0))</f>
        <v/>
      </c>
      <c r="H73" s="11" t="n"/>
      <c r="I73" s="17">
        <f>IF(H73="","",IF(H73&gt;=12,40,ROUND(H73*3.33,2)))</f>
        <v/>
      </c>
      <c r="J73" s="11" t="n"/>
      <c r="K73" s="11" t="n"/>
      <c r="L73" s="11" t="n"/>
      <c r="M73" s="11" t="n"/>
      <c r="N73" s="10">
        <f>IF(COUNTA(J73:M73)=0,"",MIN(10,SUMPRODUCT((COUNTIF(J73:M73,L_KOM)&gt;0)*S_KOM)))</f>
        <v/>
      </c>
      <c r="O73" s="11" t="n"/>
      <c r="P73" s="10">
        <f>IF(O73="","",IFERROR(VLOOKUP(O73,T_KHID,2,FALSE),0))</f>
        <v/>
      </c>
      <c r="Q73" s="11" t="n"/>
      <c r="R73" s="11" t="n"/>
      <c r="S73" s="10">
        <f>IF(AND(Q73="",R73=""),"",IFERROR(INDEX(T_LIBAT,MATCH(Q73,L_PER,0),MATCH(R73,L_JENIS,0)),0))</f>
        <v/>
      </c>
      <c r="T73" s="11" t="n"/>
      <c r="U73" s="11" t="n"/>
      <c r="V73" s="10">
        <f>IF(AND(T73="",U73=""),"",IFERROR(INDEX(T_CAPAI,MATCH(T73,L_PER,0),MATCH(U73,L_KED,0)),0))</f>
        <v/>
      </c>
      <c r="W73" s="17">
        <f>IF(OR(B73="",E73="",COUNTA(F73,H73,J73:M73,O73,Q73:R73,T73:U73)=0),"",SUM(G73,I73,N73,P73,S73,V73))</f>
        <v/>
      </c>
      <c r="X73" s="18">
        <f>IF(W73="","",IF(Murid!F73="TL","TL",ROUND(W73/110*100,2)))</f>
        <v/>
      </c>
    </row>
    <row r="74">
      <c r="A74" s="15">
        <f>Murid!A74</f>
        <v/>
      </c>
      <c r="B74" s="15">
        <f>IF(Murid!B74="","",Murid!B74)</f>
        <v/>
      </c>
      <c r="C74" s="16">
        <f>IF(Murid!C74="","",Murid!C74)</f>
        <v/>
      </c>
      <c r="D74" s="15">
        <f>IF(Murid!E74="","",Murid!E74)</f>
        <v/>
      </c>
      <c r="E74" s="11" t="n"/>
      <c r="F74" s="11" t="n"/>
      <c r="G74" s="10">
        <f>IF(F74="","",IFERROR(VLOOKUP(F74,T_JSP,2,FALSE),0))</f>
        <v/>
      </c>
      <c r="H74" s="11" t="n"/>
      <c r="I74" s="17">
        <f>IF(H74="","",IF(H74&gt;=12,40,ROUND(H74*3.33,2)))</f>
        <v/>
      </c>
      <c r="J74" s="11" t="n"/>
      <c r="K74" s="11" t="n"/>
      <c r="L74" s="11" t="n"/>
      <c r="M74" s="11" t="n"/>
      <c r="N74" s="10">
        <f>IF(COUNTA(J74:M74)=0,"",MIN(10,SUMPRODUCT((COUNTIF(J74:M74,L_KOM)&gt;0)*S_KOM)))</f>
        <v/>
      </c>
      <c r="O74" s="11" t="n"/>
      <c r="P74" s="10">
        <f>IF(O74="","",IFERROR(VLOOKUP(O74,T_KHID,2,FALSE),0))</f>
        <v/>
      </c>
      <c r="Q74" s="11" t="n"/>
      <c r="R74" s="11" t="n"/>
      <c r="S74" s="10">
        <f>IF(AND(Q74="",R74=""),"",IFERROR(INDEX(T_LIBAT,MATCH(Q74,L_PER,0),MATCH(R74,L_JENIS,0)),0))</f>
        <v/>
      </c>
      <c r="T74" s="11" t="n"/>
      <c r="U74" s="11" t="n"/>
      <c r="V74" s="10">
        <f>IF(AND(T74="",U74=""),"",IFERROR(INDEX(T_CAPAI,MATCH(T74,L_PER,0),MATCH(U74,L_KED,0)),0))</f>
        <v/>
      </c>
      <c r="W74" s="17">
        <f>IF(OR(B74="",E74="",COUNTA(F74,H74,J74:M74,O74,Q74:R74,T74:U74)=0),"",SUM(G74,I74,N74,P74,S74,V74))</f>
        <v/>
      </c>
      <c r="X74" s="18">
        <f>IF(W74="","",IF(Murid!F74="TL","TL",ROUND(W74/110*100,2)))</f>
        <v/>
      </c>
    </row>
    <row r="75">
      <c r="A75" s="15">
        <f>Murid!A75</f>
        <v/>
      </c>
      <c r="B75" s="15">
        <f>IF(Murid!B75="","",Murid!B75)</f>
        <v/>
      </c>
      <c r="C75" s="16">
        <f>IF(Murid!C75="","",Murid!C75)</f>
        <v/>
      </c>
      <c r="D75" s="15">
        <f>IF(Murid!E75="","",Murid!E75)</f>
        <v/>
      </c>
      <c r="E75" s="11" t="n"/>
      <c r="F75" s="11" t="n"/>
      <c r="G75" s="10">
        <f>IF(F75="","",IFERROR(VLOOKUP(F75,T_JSP,2,FALSE),0))</f>
        <v/>
      </c>
      <c r="H75" s="11" t="n"/>
      <c r="I75" s="17">
        <f>IF(H75="","",IF(H75&gt;=12,40,ROUND(H75*3.33,2)))</f>
        <v/>
      </c>
      <c r="J75" s="11" t="n"/>
      <c r="K75" s="11" t="n"/>
      <c r="L75" s="11" t="n"/>
      <c r="M75" s="11" t="n"/>
      <c r="N75" s="10">
        <f>IF(COUNTA(J75:M75)=0,"",MIN(10,SUMPRODUCT((COUNTIF(J75:M75,L_KOM)&gt;0)*S_KOM)))</f>
        <v/>
      </c>
      <c r="O75" s="11" t="n"/>
      <c r="P75" s="10">
        <f>IF(O75="","",IFERROR(VLOOKUP(O75,T_KHID,2,FALSE),0))</f>
        <v/>
      </c>
      <c r="Q75" s="11" t="n"/>
      <c r="R75" s="11" t="n"/>
      <c r="S75" s="10">
        <f>IF(AND(Q75="",R75=""),"",IFERROR(INDEX(T_LIBAT,MATCH(Q75,L_PER,0),MATCH(R75,L_JENIS,0)),0))</f>
        <v/>
      </c>
      <c r="T75" s="11" t="n"/>
      <c r="U75" s="11" t="n"/>
      <c r="V75" s="10">
        <f>IF(AND(T75="",U75=""),"",IFERROR(INDEX(T_CAPAI,MATCH(T75,L_PER,0),MATCH(U75,L_KED,0)),0))</f>
        <v/>
      </c>
      <c r="W75" s="17">
        <f>IF(OR(B75="",E75="",COUNTA(F75,H75,J75:M75,O75,Q75:R75,T75:U75)=0),"",SUM(G75,I75,N75,P75,S75,V75))</f>
        <v/>
      </c>
      <c r="X75" s="18">
        <f>IF(W75="","",IF(Murid!F75="TL","TL",ROUND(W75/110*100,2)))</f>
        <v/>
      </c>
    </row>
    <row r="76">
      <c r="A76" s="15">
        <f>Murid!A76</f>
        <v/>
      </c>
      <c r="B76" s="15">
        <f>IF(Murid!B76="","",Murid!B76)</f>
        <v/>
      </c>
      <c r="C76" s="16">
        <f>IF(Murid!C76="","",Murid!C76)</f>
        <v/>
      </c>
      <c r="D76" s="15">
        <f>IF(Murid!E76="","",Murid!E76)</f>
        <v/>
      </c>
      <c r="E76" s="11" t="n"/>
      <c r="F76" s="11" t="n"/>
      <c r="G76" s="10">
        <f>IF(F76="","",IFERROR(VLOOKUP(F76,T_JSP,2,FALSE),0))</f>
        <v/>
      </c>
      <c r="H76" s="11" t="n"/>
      <c r="I76" s="17">
        <f>IF(H76="","",IF(H76&gt;=12,40,ROUND(H76*3.33,2)))</f>
        <v/>
      </c>
      <c r="J76" s="11" t="n"/>
      <c r="K76" s="11" t="n"/>
      <c r="L76" s="11" t="n"/>
      <c r="M76" s="11" t="n"/>
      <c r="N76" s="10">
        <f>IF(COUNTA(J76:M76)=0,"",MIN(10,SUMPRODUCT((COUNTIF(J76:M76,L_KOM)&gt;0)*S_KOM)))</f>
        <v/>
      </c>
      <c r="O76" s="11" t="n"/>
      <c r="P76" s="10">
        <f>IF(O76="","",IFERROR(VLOOKUP(O76,T_KHID,2,FALSE),0))</f>
        <v/>
      </c>
      <c r="Q76" s="11" t="n"/>
      <c r="R76" s="11" t="n"/>
      <c r="S76" s="10">
        <f>IF(AND(Q76="",R76=""),"",IFERROR(INDEX(T_LIBAT,MATCH(Q76,L_PER,0),MATCH(R76,L_JENIS,0)),0))</f>
        <v/>
      </c>
      <c r="T76" s="11" t="n"/>
      <c r="U76" s="11" t="n"/>
      <c r="V76" s="10">
        <f>IF(AND(T76="",U76=""),"",IFERROR(INDEX(T_CAPAI,MATCH(T76,L_PER,0),MATCH(U76,L_KED,0)),0))</f>
        <v/>
      </c>
      <c r="W76" s="17">
        <f>IF(OR(B76="",E76="",COUNTA(F76,H76,J76:M76,O76,Q76:R76,T76:U76)=0),"",SUM(G76,I76,N76,P76,S76,V76))</f>
        <v/>
      </c>
      <c r="X76" s="18">
        <f>IF(W76="","",IF(Murid!F76="TL","TL",ROUND(W76/110*100,2)))</f>
        <v/>
      </c>
    </row>
    <row r="77">
      <c r="A77" s="15">
        <f>Murid!A77</f>
        <v/>
      </c>
      <c r="B77" s="15">
        <f>IF(Murid!B77="","",Murid!B77)</f>
        <v/>
      </c>
      <c r="C77" s="16">
        <f>IF(Murid!C77="","",Murid!C77)</f>
        <v/>
      </c>
      <c r="D77" s="15">
        <f>IF(Murid!E77="","",Murid!E77)</f>
        <v/>
      </c>
      <c r="E77" s="11" t="n"/>
      <c r="F77" s="11" t="n"/>
      <c r="G77" s="10">
        <f>IF(F77="","",IFERROR(VLOOKUP(F77,T_JSP,2,FALSE),0))</f>
        <v/>
      </c>
      <c r="H77" s="11" t="n"/>
      <c r="I77" s="17">
        <f>IF(H77="","",IF(H77&gt;=12,40,ROUND(H77*3.33,2)))</f>
        <v/>
      </c>
      <c r="J77" s="11" t="n"/>
      <c r="K77" s="11" t="n"/>
      <c r="L77" s="11" t="n"/>
      <c r="M77" s="11" t="n"/>
      <c r="N77" s="10">
        <f>IF(COUNTA(J77:M77)=0,"",MIN(10,SUMPRODUCT((COUNTIF(J77:M77,L_KOM)&gt;0)*S_KOM)))</f>
        <v/>
      </c>
      <c r="O77" s="11" t="n"/>
      <c r="P77" s="10">
        <f>IF(O77="","",IFERROR(VLOOKUP(O77,T_KHID,2,FALSE),0))</f>
        <v/>
      </c>
      <c r="Q77" s="11" t="n"/>
      <c r="R77" s="11" t="n"/>
      <c r="S77" s="10">
        <f>IF(AND(Q77="",R77=""),"",IFERROR(INDEX(T_LIBAT,MATCH(Q77,L_PER,0),MATCH(R77,L_JENIS,0)),0))</f>
        <v/>
      </c>
      <c r="T77" s="11" t="n"/>
      <c r="U77" s="11" t="n"/>
      <c r="V77" s="10">
        <f>IF(AND(T77="",U77=""),"",IFERROR(INDEX(T_CAPAI,MATCH(T77,L_PER,0),MATCH(U77,L_KED,0)),0))</f>
        <v/>
      </c>
      <c r="W77" s="17">
        <f>IF(OR(B77="",E77="",COUNTA(F77,H77,J77:M77,O77,Q77:R77,T77:U77)=0),"",SUM(G77,I77,N77,P77,S77,V77))</f>
        <v/>
      </c>
      <c r="X77" s="18">
        <f>IF(W77="","",IF(Murid!F77="TL","TL",ROUND(W77/110*100,2)))</f>
        <v/>
      </c>
    </row>
    <row r="78">
      <c r="A78" s="15">
        <f>Murid!A78</f>
        <v/>
      </c>
      <c r="B78" s="15">
        <f>IF(Murid!B78="","",Murid!B78)</f>
        <v/>
      </c>
      <c r="C78" s="16">
        <f>IF(Murid!C78="","",Murid!C78)</f>
        <v/>
      </c>
      <c r="D78" s="15">
        <f>IF(Murid!E78="","",Murid!E78)</f>
        <v/>
      </c>
      <c r="E78" s="11" t="n"/>
      <c r="F78" s="11" t="n"/>
      <c r="G78" s="10">
        <f>IF(F78="","",IFERROR(VLOOKUP(F78,T_JSP,2,FALSE),0))</f>
        <v/>
      </c>
      <c r="H78" s="11" t="n"/>
      <c r="I78" s="17">
        <f>IF(H78="","",IF(H78&gt;=12,40,ROUND(H78*3.33,2)))</f>
        <v/>
      </c>
      <c r="J78" s="11" t="n"/>
      <c r="K78" s="11" t="n"/>
      <c r="L78" s="11" t="n"/>
      <c r="M78" s="11" t="n"/>
      <c r="N78" s="10">
        <f>IF(COUNTA(J78:M78)=0,"",MIN(10,SUMPRODUCT((COUNTIF(J78:M78,L_KOM)&gt;0)*S_KOM)))</f>
        <v/>
      </c>
      <c r="O78" s="11" t="n"/>
      <c r="P78" s="10">
        <f>IF(O78="","",IFERROR(VLOOKUP(O78,T_KHID,2,FALSE),0))</f>
        <v/>
      </c>
      <c r="Q78" s="11" t="n"/>
      <c r="R78" s="11" t="n"/>
      <c r="S78" s="10">
        <f>IF(AND(Q78="",R78=""),"",IFERROR(INDEX(T_LIBAT,MATCH(Q78,L_PER,0),MATCH(R78,L_JENIS,0)),0))</f>
        <v/>
      </c>
      <c r="T78" s="11" t="n"/>
      <c r="U78" s="11" t="n"/>
      <c r="V78" s="10">
        <f>IF(AND(T78="",U78=""),"",IFERROR(INDEX(T_CAPAI,MATCH(T78,L_PER,0),MATCH(U78,L_KED,0)),0))</f>
        <v/>
      </c>
      <c r="W78" s="17">
        <f>IF(OR(B78="",E78="",COUNTA(F78,H78,J78:M78,O78,Q78:R78,T78:U78)=0),"",SUM(G78,I78,N78,P78,S78,V78))</f>
        <v/>
      </c>
      <c r="X78" s="18">
        <f>IF(W78="","",IF(Murid!F78="TL","TL",ROUND(W78/110*100,2)))</f>
        <v/>
      </c>
    </row>
    <row r="79">
      <c r="A79" s="15">
        <f>Murid!A79</f>
        <v/>
      </c>
      <c r="B79" s="15">
        <f>IF(Murid!B79="","",Murid!B79)</f>
        <v/>
      </c>
      <c r="C79" s="16">
        <f>IF(Murid!C79="","",Murid!C79)</f>
        <v/>
      </c>
      <c r="D79" s="15">
        <f>IF(Murid!E79="","",Murid!E79)</f>
        <v/>
      </c>
      <c r="E79" s="11" t="n"/>
      <c r="F79" s="11" t="n"/>
      <c r="G79" s="10">
        <f>IF(F79="","",IFERROR(VLOOKUP(F79,T_JSP,2,FALSE),0))</f>
        <v/>
      </c>
      <c r="H79" s="11" t="n"/>
      <c r="I79" s="17">
        <f>IF(H79="","",IF(H79&gt;=12,40,ROUND(H79*3.33,2)))</f>
        <v/>
      </c>
      <c r="J79" s="11" t="n"/>
      <c r="K79" s="11" t="n"/>
      <c r="L79" s="11" t="n"/>
      <c r="M79" s="11" t="n"/>
      <c r="N79" s="10">
        <f>IF(COUNTA(J79:M79)=0,"",MIN(10,SUMPRODUCT((COUNTIF(J79:M79,L_KOM)&gt;0)*S_KOM)))</f>
        <v/>
      </c>
      <c r="O79" s="11" t="n"/>
      <c r="P79" s="10">
        <f>IF(O79="","",IFERROR(VLOOKUP(O79,T_KHID,2,FALSE),0))</f>
        <v/>
      </c>
      <c r="Q79" s="11" t="n"/>
      <c r="R79" s="11" t="n"/>
      <c r="S79" s="10">
        <f>IF(AND(Q79="",R79=""),"",IFERROR(INDEX(T_LIBAT,MATCH(Q79,L_PER,0),MATCH(R79,L_JENIS,0)),0))</f>
        <v/>
      </c>
      <c r="T79" s="11" t="n"/>
      <c r="U79" s="11" t="n"/>
      <c r="V79" s="10">
        <f>IF(AND(T79="",U79=""),"",IFERROR(INDEX(T_CAPAI,MATCH(T79,L_PER,0),MATCH(U79,L_KED,0)),0))</f>
        <v/>
      </c>
      <c r="W79" s="17">
        <f>IF(OR(B79="",E79="",COUNTA(F79,H79,J79:M79,O79,Q79:R79,T79:U79)=0),"",SUM(G79,I79,N79,P79,S79,V79))</f>
        <v/>
      </c>
      <c r="X79" s="18">
        <f>IF(W79="","",IF(Murid!F79="TL","TL",ROUND(W79/110*100,2)))</f>
        <v/>
      </c>
    </row>
    <row r="80">
      <c r="A80" s="15">
        <f>Murid!A80</f>
        <v/>
      </c>
      <c r="B80" s="15">
        <f>IF(Murid!B80="","",Murid!B80)</f>
        <v/>
      </c>
      <c r="C80" s="16">
        <f>IF(Murid!C80="","",Murid!C80)</f>
        <v/>
      </c>
      <c r="D80" s="15">
        <f>IF(Murid!E80="","",Murid!E80)</f>
        <v/>
      </c>
      <c r="E80" s="11" t="n"/>
      <c r="F80" s="11" t="n"/>
      <c r="G80" s="10">
        <f>IF(F80="","",IFERROR(VLOOKUP(F80,T_JSP,2,FALSE),0))</f>
        <v/>
      </c>
      <c r="H80" s="11" t="n"/>
      <c r="I80" s="17">
        <f>IF(H80="","",IF(H80&gt;=12,40,ROUND(H80*3.33,2)))</f>
        <v/>
      </c>
      <c r="J80" s="11" t="n"/>
      <c r="K80" s="11" t="n"/>
      <c r="L80" s="11" t="n"/>
      <c r="M80" s="11" t="n"/>
      <c r="N80" s="10">
        <f>IF(COUNTA(J80:M80)=0,"",MIN(10,SUMPRODUCT((COUNTIF(J80:M80,L_KOM)&gt;0)*S_KOM)))</f>
        <v/>
      </c>
      <c r="O80" s="11" t="n"/>
      <c r="P80" s="10">
        <f>IF(O80="","",IFERROR(VLOOKUP(O80,T_KHID,2,FALSE),0))</f>
        <v/>
      </c>
      <c r="Q80" s="11" t="n"/>
      <c r="R80" s="11" t="n"/>
      <c r="S80" s="10">
        <f>IF(AND(Q80="",R80=""),"",IFERROR(INDEX(T_LIBAT,MATCH(Q80,L_PER,0),MATCH(R80,L_JENIS,0)),0))</f>
        <v/>
      </c>
      <c r="T80" s="11" t="n"/>
      <c r="U80" s="11" t="n"/>
      <c r="V80" s="10">
        <f>IF(AND(T80="",U80=""),"",IFERROR(INDEX(T_CAPAI,MATCH(T80,L_PER,0),MATCH(U80,L_KED,0)),0))</f>
        <v/>
      </c>
      <c r="W80" s="17">
        <f>IF(OR(B80="",E80="",COUNTA(F80,H80,J80:M80,O80,Q80:R80,T80:U80)=0),"",SUM(G80,I80,N80,P80,S80,V80))</f>
        <v/>
      </c>
      <c r="X80" s="18">
        <f>IF(W80="","",IF(Murid!F80="TL","TL",ROUND(W80/110*100,2)))</f>
        <v/>
      </c>
    </row>
    <row r="81">
      <c r="A81" s="15">
        <f>Murid!A81</f>
        <v/>
      </c>
      <c r="B81" s="15">
        <f>IF(Murid!B81="","",Murid!B81)</f>
        <v/>
      </c>
      <c r="C81" s="16">
        <f>IF(Murid!C81="","",Murid!C81)</f>
        <v/>
      </c>
      <c r="D81" s="15">
        <f>IF(Murid!E81="","",Murid!E81)</f>
        <v/>
      </c>
      <c r="E81" s="11" t="n"/>
      <c r="F81" s="11" t="n"/>
      <c r="G81" s="10">
        <f>IF(F81="","",IFERROR(VLOOKUP(F81,T_JSP,2,FALSE),0))</f>
        <v/>
      </c>
      <c r="H81" s="11" t="n"/>
      <c r="I81" s="17">
        <f>IF(H81="","",IF(H81&gt;=12,40,ROUND(H81*3.33,2)))</f>
        <v/>
      </c>
      <c r="J81" s="11" t="n"/>
      <c r="K81" s="11" t="n"/>
      <c r="L81" s="11" t="n"/>
      <c r="M81" s="11" t="n"/>
      <c r="N81" s="10">
        <f>IF(COUNTA(J81:M81)=0,"",MIN(10,SUMPRODUCT((COUNTIF(J81:M81,L_KOM)&gt;0)*S_KOM)))</f>
        <v/>
      </c>
      <c r="O81" s="11" t="n"/>
      <c r="P81" s="10">
        <f>IF(O81="","",IFERROR(VLOOKUP(O81,T_KHID,2,FALSE),0))</f>
        <v/>
      </c>
      <c r="Q81" s="11" t="n"/>
      <c r="R81" s="11" t="n"/>
      <c r="S81" s="10">
        <f>IF(AND(Q81="",R81=""),"",IFERROR(INDEX(T_LIBAT,MATCH(Q81,L_PER,0),MATCH(R81,L_JENIS,0)),0))</f>
        <v/>
      </c>
      <c r="T81" s="11" t="n"/>
      <c r="U81" s="11" t="n"/>
      <c r="V81" s="10">
        <f>IF(AND(T81="",U81=""),"",IFERROR(INDEX(T_CAPAI,MATCH(T81,L_PER,0),MATCH(U81,L_KED,0)),0))</f>
        <v/>
      </c>
      <c r="W81" s="17">
        <f>IF(OR(B81="",E81="",COUNTA(F81,H81,J81:M81,O81,Q81:R81,T81:U81)=0),"",SUM(G81,I81,N81,P81,S81,V81))</f>
        <v/>
      </c>
      <c r="X81" s="18">
        <f>IF(W81="","",IF(Murid!F81="TL","TL",ROUND(W81/110*100,2)))</f>
        <v/>
      </c>
    </row>
    <row r="82">
      <c r="A82" s="15">
        <f>Murid!A82</f>
        <v/>
      </c>
      <c r="B82" s="15">
        <f>IF(Murid!B82="","",Murid!B82)</f>
        <v/>
      </c>
      <c r="C82" s="16">
        <f>IF(Murid!C82="","",Murid!C82)</f>
        <v/>
      </c>
      <c r="D82" s="15">
        <f>IF(Murid!E82="","",Murid!E82)</f>
        <v/>
      </c>
      <c r="E82" s="11" t="n"/>
      <c r="F82" s="11" t="n"/>
      <c r="G82" s="10">
        <f>IF(F82="","",IFERROR(VLOOKUP(F82,T_JSP,2,FALSE),0))</f>
        <v/>
      </c>
      <c r="H82" s="11" t="n"/>
      <c r="I82" s="17">
        <f>IF(H82="","",IF(H82&gt;=12,40,ROUND(H82*3.33,2)))</f>
        <v/>
      </c>
      <c r="J82" s="11" t="n"/>
      <c r="K82" s="11" t="n"/>
      <c r="L82" s="11" t="n"/>
      <c r="M82" s="11" t="n"/>
      <c r="N82" s="10">
        <f>IF(COUNTA(J82:M82)=0,"",MIN(10,SUMPRODUCT((COUNTIF(J82:M82,L_KOM)&gt;0)*S_KOM)))</f>
        <v/>
      </c>
      <c r="O82" s="11" t="n"/>
      <c r="P82" s="10">
        <f>IF(O82="","",IFERROR(VLOOKUP(O82,T_KHID,2,FALSE),0))</f>
        <v/>
      </c>
      <c r="Q82" s="11" t="n"/>
      <c r="R82" s="11" t="n"/>
      <c r="S82" s="10">
        <f>IF(AND(Q82="",R82=""),"",IFERROR(INDEX(T_LIBAT,MATCH(Q82,L_PER,0),MATCH(R82,L_JENIS,0)),0))</f>
        <v/>
      </c>
      <c r="T82" s="11" t="n"/>
      <c r="U82" s="11" t="n"/>
      <c r="V82" s="10">
        <f>IF(AND(T82="",U82=""),"",IFERROR(INDEX(T_CAPAI,MATCH(T82,L_PER,0),MATCH(U82,L_KED,0)),0))</f>
        <v/>
      </c>
      <c r="W82" s="17">
        <f>IF(OR(B82="",E82="",COUNTA(F82,H82,J82:M82,O82,Q82:R82,T82:U82)=0),"",SUM(G82,I82,N82,P82,S82,V82))</f>
        <v/>
      </c>
      <c r="X82" s="18">
        <f>IF(W82="","",IF(Murid!F82="TL","TL",ROUND(W82/110*100,2)))</f>
        <v/>
      </c>
    </row>
    <row r="83">
      <c r="A83" s="15">
        <f>Murid!A83</f>
        <v/>
      </c>
      <c r="B83" s="15">
        <f>IF(Murid!B83="","",Murid!B83)</f>
        <v/>
      </c>
      <c r="C83" s="16">
        <f>IF(Murid!C83="","",Murid!C83)</f>
        <v/>
      </c>
      <c r="D83" s="15">
        <f>IF(Murid!E83="","",Murid!E83)</f>
        <v/>
      </c>
      <c r="E83" s="11" t="n"/>
      <c r="F83" s="11" t="n"/>
      <c r="G83" s="10">
        <f>IF(F83="","",IFERROR(VLOOKUP(F83,T_JSP,2,FALSE),0))</f>
        <v/>
      </c>
      <c r="H83" s="11" t="n"/>
      <c r="I83" s="17">
        <f>IF(H83="","",IF(H83&gt;=12,40,ROUND(H83*3.33,2)))</f>
        <v/>
      </c>
      <c r="J83" s="11" t="n"/>
      <c r="K83" s="11" t="n"/>
      <c r="L83" s="11" t="n"/>
      <c r="M83" s="11" t="n"/>
      <c r="N83" s="10">
        <f>IF(COUNTA(J83:M83)=0,"",MIN(10,SUMPRODUCT((COUNTIF(J83:M83,L_KOM)&gt;0)*S_KOM)))</f>
        <v/>
      </c>
      <c r="O83" s="11" t="n"/>
      <c r="P83" s="10">
        <f>IF(O83="","",IFERROR(VLOOKUP(O83,T_KHID,2,FALSE),0))</f>
        <v/>
      </c>
      <c r="Q83" s="11" t="n"/>
      <c r="R83" s="11" t="n"/>
      <c r="S83" s="10">
        <f>IF(AND(Q83="",R83=""),"",IFERROR(INDEX(T_LIBAT,MATCH(Q83,L_PER,0),MATCH(R83,L_JENIS,0)),0))</f>
        <v/>
      </c>
      <c r="T83" s="11" t="n"/>
      <c r="U83" s="11" t="n"/>
      <c r="V83" s="10">
        <f>IF(AND(T83="",U83=""),"",IFERROR(INDEX(T_CAPAI,MATCH(T83,L_PER,0),MATCH(U83,L_KED,0)),0))</f>
        <v/>
      </c>
      <c r="W83" s="17">
        <f>IF(OR(B83="",E83="",COUNTA(F83,H83,J83:M83,O83,Q83:R83,T83:U83)=0),"",SUM(G83,I83,N83,P83,S83,V83))</f>
        <v/>
      </c>
      <c r="X83" s="18">
        <f>IF(W83="","",IF(Murid!F83="TL","TL",ROUND(W83/110*100,2)))</f>
        <v/>
      </c>
    </row>
    <row r="84">
      <c r="A84" s="15">
        <f>Murid!A84</f>
        <v/>
      </c>
      <c r="B84" s="15">
        <f>IF(Murid!B84="","",Murid!B84)</f>
        <v/>
      </c>
      <c r="C84" s="16">
        <f>IF(Murid!C84="","",Murid!C84)</f>
        <v/>
      </c>
      <c r="D84" s="15">
        <f>IF(Murid!E84="","",Murid!E84)</f>
        <v/>
      </c>
      <c r="E84" s="11" t="n"/>
      <c r="F84" s="11" t="n"/>
      <c r="G84" s="10">
        <f>IF(F84="","",IFERROR(VLOOKUP(F84,T_JSP,2,FALSE),0))</f>
        <v/>
      </c>
      <c r="H84" s="11" t="n"/>
      <c r="I84" s="17">
        <f>IF(H84="","",IF(H84&gt;=12,40,ROUND(H84*3.33,2)))</f>
        <v/>
      </c>
      <c r="J84" s="11" t="n"/>
      <c r="K84" s="11" t="n"/>
      <c r="L84" s="11" t="n"/>
      <c r="M84" s="11" t="n"/>
      <c r="N84" s="10">
        <f>IF(COUNTA(J84:M84)=0,"",MIN(10,SUMPRODUCT((COUNTIF(J84:M84,L_KOM)&gt;0)*S_KOM)))</f>
        <v/>
      </c>
      <c r="O84" s="11" t="n"/>
      <c r="P84" s="10">
        <f>IF(O84="","",IFERROR(VLOOKUP(O84,T_KHID,2,FALSE),0))</f>
        <v/>
      </c>
      <c r="Q84" s="11" t="n"/>
      <c r="R84" s="11" t="n"/>
      <c r="S84" s="10">
        <f>IF(AND(Q84="",R84=""),"",IFERROR(INDEX(T_LIBAT,MATCH(Q84,L_PER,0),MATCH(R84,L_JENIS,0)),0))</f>
        <v/>
      </c>
      <c r="T84" s="11" t="n"/>
      <c r="U84" s="11" t="n"/>
      <c r="V84" s="10">
        <f>IF(AND(T84="",U84=""),"",IFERROR(INDEX(T_CAPAI,MATCH(T84,L_PER,0),MATCH(U84,L_KED,0)),0))</f>
        <v/>
      </c>
      <c r="W84" s="17">
        <f>IF(OR(B84="",E84="",COUNTA(F84,H84,J84:M84,O84,Q84:R84,T84:U84)=0),"",SUM(G84,I84,N84,P84,S84,V84))</f>
        <v/>
      </c>
      <c r="X84" s="18">
        <f>IF(W84="","",IF(Murid!F84="TL","TL",ROUND(W84/110*100,2)))</f>
        <v/>
      </c>
    </row>
    <row r="85">
      <c r="A85" s="15">
        <f>Murid!A85</f>
        <v/>
      </c>
      <c r="B85" s="15">
        <f>IF(Murid!B85="","",Murid!B85)</f>
        <v/>
      </c>
      <c r="C85" s="16">
        <f>IF(Murid!C85="","",Murid!C85)</f>
        <v/>
      </c>
      <c r="D85" s="15">
        <f>IF(Murid!E85="","",Murid!E85)</f>
        <v/>
      </c>
      <c r="E85" s="11" t="n"/>
      <c r="F85" s="11" t="n"/>
      <c r="G85" s="10">
        <f>IF(F85="","",IFERROR(VLOOKUP(F85,T_JSP,2,FALSE),0))</f>
        <v/>
      </c>
      <c r="H85" s="11" t="n"/>
      <c r="I85" s="17">
        <f>IF(H85="","",IF(H85&gt;=12,40,ROUND(H85*3.33,2)))</f>
        <v/>
      </c>
      <c r="J85" s="11" t="n"/>
      <c r="K85" s="11" t="n"/>
      <c r="L85" s="11" t="n"/>
      <c r="M85" s="11" t="n"/>
      <c r="N85" s="10">
        <f>IF(COUNTA(J85:M85)=0,"",MIN(10,SUMPRODUCT((COUNTIF(J85:M85,L_KOM)&gt;0)*S_KOM)))</f>
        <v/>
      </c>
      <c r="O85" s="11" t="n"/>
      <c r="P85" s="10">
        <f>IF(O85="","",IFERROR(VLOOKUP(O85,T_KHID,2,FALSE),0))</f>
        <v/>
      </c>
      <c r="Q85" s="11" t="n"/>
      <c r="R85" s="11" t="n"/>
      <c r="S85" s="10">
        <f>IF(AND(Q85="",R85=""),"",IFERROR(INDEX(T_LIBAT,MATCH(Q85,L_PER,0),MATCH(R85,L_JENIS,0)),0))</f>
        <v/>
      </c>
      <c r="T85" s="11" t="n"/>
      <c r="U85" s="11" t="n"/>
      <c r="V85" s="10">
        <f>IF(AND(T85="",U85=""),"",IFERROR(INDEX(T_CAPAI,MATCH(T85,L_PER,0),MATCH(U85,L_KED,0)),0))</f>
        <v/>
      </c>
      <c r="W85" s="17">
        <f>IF(OR(B85="",E85="",COUNTA(F85,H85,J85:M85,O85,Q85:R85,T85:U85)=0),"",SUM(G85,I85,N85,P85,S85,V85))</f>
        <v/>
      </c>
      <c r="X85" s="18">
        <f>IF(W85="","",IF(Murid!F85="TL","TL",ROUND(W85/110*100,2)))</f>
        <v/>
      </c>
    </row>
    <row r="86">
      <c r="A86" s="15">
        <f>Murid!A86</f>
        <v/>
      </c>
      <c r="B86" s="15">
        <f>IF(Murid!B86="","",Murid!B86)</f>
        <v/>
      </c>
      <c r="C86" s="16">
        <f>IF(Murid!C86="","",Murid!C86)</f>
        <v/>
      </c>
      <c r="D86" s="15">
        <f>IF(Murid!E86="","",Murid!E86)</f>
        <v/>
      </c>
      <c r="E86" s="11" t="n"/>
      <c r="F86" s="11" t="n"/>
      <c r="G86" s="10">
        <f>IF(F86="","",IFERROR(VLOOKUP(F86,T_JSP,2,FALSE),0))</f>
        <v/>
      </c>
      <c r="H86" s="11" t="n"/>
      <c r="I86" s="17">
        <f>IF(H86="","",IF(H86&gt;=12,40,ROUND(H86*3.33,2)))</f>
        <v/>
      </c>
      <c r="J86" s="11" t="n"/>
      <c r="K86" s="11" t="n"/>
      <c r="L86" s="11" t="n"/>
      <c r="M86" s="11" t="n"/>
      <c r="N86" s="10">
        <f>IF(COUNTA(J86:M86)=0,"",MIN(10,SUMPRODUCT((COUNTIF(J86:M86,L_KOM)&gt;0)*S_KOM)))</f>
        <v/>
      </c>
      <c r="O86" s="11" t="n"/>
      <c r="P86" s="10">
        <f>IF(O86="","",IFERROR(VLOOKUP(O86,T_KHID,2,FALSE),0))</f>
        <v/>
      </c>
      <c r="Q86" s="11" t="n"/>
      <c r="R86" s="11" t="n"/>
      <c r="S86" s="10">
        <f>IF(AND(Q86="",R86=""),"",IFERROR(INDEX(T_LIBAT,MATCH(Q86,L_PER,0),MATCH(R86,L_JENIS,0)),0))</f>
        <v/>
      </c>
      <c r="T86" s="11" t="n"/>
      <c r="U86" s="11" t="n"/>
      <c r="V86" s="10">
        <f>IF(AND(T86="",U86=""),"",IFERROR(INDEX(T_CAPAI,MATCH(T86,L_PER,0),MATCH(U86,L_KED,0)),0))</f>
        <v/>
      </c>
      <c r="W86" s="17">
        <f>IF(OR(B86="",E86="",COUNTA(F86,H86,J86:M86,O86,Q86:R86,T86:U86)=0),"",SUM(G86,I86,N86,P86,S86,V86))</f>
        <v/>
      </c>
      <c r="X86" s="18">
        <f>IF(W86="","",IF(Murid!F86="TL","TL",ROUND(W86/110*100,2)))</f>
        <v/>
      </c>
    </row>
    <row r="87">
      <c r="A87" s="15">
        <f>Murid!A87</f>
        <v/>
      </c>
      <c r="B87" s="15">
        <f>IF(Murid!B87="","",Murid!B87)</f>
        <v/>
      </c>
      <c r="C87" s="16">
        <f>IF(Murid!C87="","",Murid!C87)</f>
        <v/>
      </c>
      <c r="D87" s="15">
        <f>IF(Murid!E87="","",Murid!E87)</f>
        <v/>
      </c>
      <c r="E87" s="11" t="n"/>
      <c r="F87" s="11" t="n"/>
      <c r="G87" s="10">
        <f>IF(F87="","",IFERROR(VLOOKUP(F87,T_JSP,2,FALSE),0))</f>
        <v/>
      </c>
      <c r="H87" s="11" t="n"/>
      <c r="I87" s="17">
        <f>IF(H87="","",IF(H87&gt;=12,40,ROUND(H87*3.33,2)))</f>
        <v/>
      </c>
      <c r="J87" s="11" t="n"/>
      <c r="K87" s="11" t="n"/>
      <c r="L87" s="11" t="n"/>
      <c r="M87" s="11" t="n"/>
      <c r="N87" s="10">
        <f>IF(COUNTA(J87:M87)=0,"",MIN(10,SUMPRODUCT((COUNTIF(J87:M87,L_KOM)&gt;0)*S_KOM)))</f>
        <v/>
      </c>
      <c r="O87" s="11" t="n"/>
      <c r="P87" s="10">
        <f>IF(O87="","",IFERROR(VLOOKUP(O87,T_KHID,2,FALSE),0))</f>
        <v/>
      </c>
      <c r="Q87" s="11" t="n"/>
      <c r="R87" s="11" t="n"/>
      <c r="S87" s="10">
        <f>IF(AND(Q87="",R87=""),"",IFERROR(INDEX(T_LIBAT,MATCH(Q87,L_PER,0),MATCH(R87,L_JENIS,0)),0))</f>
        <v/>
      </c>
      <c r="T87" s="11" t="n"/>
      <c r="U87" s="11" t="n"/>
      <c r="V87" s="10">
        <f>IF(AND(T87="",U87=""),"",IFERROR(INDEX(T_CAPAI,MATCH(T87,L_PER,0),MATCH(U87,L_KED,0)),0))</f>
        <v/>
      </c>
      <c r="W87" s="17">
        <f>IF(OR(B87="",E87="",COUNTA(F87,H87,J87:M87,O87,Q87:R87,T87:U87)=0),"",SUM(G87,I87,N87,P87,S87,V87))</f>
        <v/>
      </c>
      <c r="X87" s="18">
        <f>IF(W87="","",IF(Murid!F87="TL","TL",ROUND(W87/110*100,2)))</f>
        <v/>
      </c>
    </row>
    <row r="88">
      <c r="A88" s="15">
        <f>Murid!A88</f>
        <v/>
      </c>
      <c r="B88" s="15">
        <f>IF(Murid!B88="","",Murid!B88)</f>
        <v/>
      </c>
      <c r="C88" s="16">
        <f>IF(Murid!C88="","",Murid!C88)</f>
        <v/>
      </c>
      <c r="D88" s="15">
        <f>IF(Murid!E88="","",Murid!E88)</f>
        <v/>
      </c>
      <c r="E88" s="11" t="n"/>
      <c r="F88" s="11" t="n"/>
      <c r="G88" s="10">
        <f>IF(F88="","",IFERROR(VLOOKUP(F88,T_JSP,2,FALSE),0))</f>
        <v/>
      </c>
      <c r="H88" s="11" t="n"/>
      <c r="I88" s="17">
        <f>IF(H88="","",IF(H88&gt;=12,40,ROUND(H88*3.33,2)))</f>
        <v/>
      </c>
      <c r="J88" s="11" t="n"/>
      <c r="K88" s="11" t="n"/>
      <c r="L88" s="11" t="n"/>
      <c r="M88" s="11" t="n"/>
      <c r="N88" s="10">
        <f>IF(COUNTA(J88:M88)=0,"",MIN(10,SUMPRODUCT((COUNTIF(J88:M88,L_KOM)&gt;0)*S_KOM)))</f>
        <v/>
      </c>
      <c r="O88" s="11" t="n"/>
      <c r="P88" s="10">
        <f>IF(O88="","",IFERROR(VLOOKUP(O88,T_KHID,2,FALSE),0))</f>
        <v/>
      </c>
      <c r="Q88" s="11" t="n"/>
      <c r="R88" s="11" t="n"/>
      <c r="S88" s="10">
        <f>IF(AND(Q88="",R88=""),"",IFERROR(INDEX(T_LIBAT,MATCH(Q88,L_PER,0),MATCH(R88,L_JENIS,0)),0))</f>
        <v/>
      </c>
      <c r="T88" s="11" t="n"/>
      <c r="U88" s="11" t="n"/>
      <c r="V88" s="10">
        <f>IF(AND(T88="",U88=""),"",IFERROR(INDEX(T_CAPAI,MATCH(T88,L_PER,0),MATCH(U88,L_KED,0)),0))</f>
        <v/>
      </c>
      <c r="W88" s="17">
        <f>IF(OR(B88="",E88="",COUNTA(F88,H88,J88:M88,O88,Q88:R88,T88:U88)=0),"",SUM(G88,I88,N88,P88,S88,V88))</f>
        <v/>
      </c>
      <c r="X88" s="18">
        <f>IF(W88="","",IF(Murid!F88="TL","TL",ROUND(W88/110*100,2)))</f>
        <v/>
      </c>
    </row>
    <row r="89">
      <c r="A89" s="15">
        <f>Murid!A89</f>
        <v/>
      </c>
      <c r="B89" s="15">
        <f>IF(Murid!B89="","",Murid!B89)</f>
        <v/>
      </c>
      <c r="C89" s="16">
        <f>IF(Murid!C89="","",Murid!C89)</f>
        <v/>
      </c>
      <c r="D89" s="15">
        <f>IF(Murid!E89="","",Murid!E89)</f>
        <v/>
      </c>
      <c r="E89" s="11" t="n"/>
      <c r="F89" s="11" t="n"/>
      <c r="G89" s="10">
        <f>IF(F89="","",IFERROR(VLOOKUP(F89,T_JSP,2,FALSE),0))</f>
        <v/>
      </c>
      <c r="H89" s="11" t="n"/>
      <c r="I89" s="17">
        <f>IF(H89="","",IF(H89&gt;=12,40,ROUND(H89*3.33,2)))</f>
        <v/>
      </c>
      <c r="J89" s="11" t="n"/>
      <c r="K89" s="11" t="n"/>
      <c r="L89" s="11" t="n"/>
      <c r="M89" s="11" t="n"/>
      <c r="N89" s="10">
        <f>IF(COUNTA(J89:M89)=0,"",MIN(10,SUMPRODUCT((COUNTIF(J89:M89,L_KOM)&gt;0)*S_KOM)))</f>
        <v/>
      </c>
      <c r="O89" s="11" t="n"/>
      <c r="P89" s="10">
        <f>IF(O89="","",IFERROR(VLOOKUP(O89,T_KHID,2,FALSE),0))</f>
        <v/>
      </c>
      <c r="Q89" s="11" t="n"/>
      <c r="R89" s="11" t="n"/>
      <c r="S89" s="10">
        <f>IF(AND(Q89="",R89=""),"",IFERROR(INDEX(T_LIBAT,MATCH(Q89,L_PER,0),MATCH(R89,L_JENIS,0)),0))</f>
        <v/>
      </c>
      <c r="T89" s="11" t="n"/>
      <c r="U89" s="11" t="n"/>
      <c r="V89" s="10">
        <f>IF(AND(T89="",U89=""),"",IFERROR(INDEX(T_CAPAI,MATCH(T89,L_PER,0),MATCH(U89,L_KED,0)),0))</f>
        <v/>
      </c>
      <c r="W89" s="17">
        <f>IF(OR(B89="",E89="",COUNTA(F89,H89,J89:M89,O89,Q89:R89,T89:U89)=0),"",SUM(G89,I89,N89,P89,S89,V89))</f>
        <v/>
      </c>
      <c r="X89" s="18">
        <f>IF(W89="","",IF(Murid!F89="TL","TL",ROUND(W89/110*100,2)))</f>
        <v/>
      </c>
    </row>
    <row r="90">
      <c r="A90" s="15">
        <f>Murid!A90</f>
        <v/>
      </c>
      <c r="B90" s="15">
        <f>IF(Murid!B90="","",Murid!B90)</f>
        <v/>
      </c>
      <c r="C90" s="16">
        <f>IF(Murid!C90="","",Murid!C90)</f>
        <v/>
      </c>
      <c r="D90" s="15">
        <f>IF(Murid!E90="","",Murid!E90)</f>
        <v/>
      </c>
      <c r="E90" s="11" t="n"/>
      <c r="F90" s="11" t="n"/>
      <c r="G90" s="10">
        <f>IF(F90="","",IFERROR(VLOOKUP(F90,T_JSP,2,FALSE),0))</f>
        <v/>
      </c>
      <c r="H90" s="11" t="n"/>
      <c r="I90" s="17">
        <f>IF(H90="","",IF(H90&gt;=12,40,ROUND(H90*3.33,2)))</f>
        <v/>
      </c>
      <c r="J90" s="11" t="n"/>
      <c r="K90" s="11" t="n"/>
      <c r="L90" s="11" t="n"/>
      <c r="M90" s="11" t="n"/>
      <c r="N90" s="10">
        <f>IF(COUNTA(J90:M90)=0,"",MIN(10,SUMPRODUCT((COUNTIF(J90:M90,L_KOM)&gt;0)*S_KOM)))</f>
        <v/>
      </c>
      <c r="O90" s="11" t="n"/>
      <c r="P90" s="10">
        <f>IF(O90="","",IFERROR(VLOOKUP(O90,T_KHID,2,FALSE),0))</f>
        <v/>
      </c>
      <c r="Q90" s="11" t="n"/>
      <c r="R90" s="11" t="n"/>
      <c r="S90" s="10">
        <f>IF(AND(Q90="",R90=""),"",IFERROR(INDEX(T_LIBAT,MATCH(Q90,L_PER,0),MATCH(R90,L_JENIS,0)),0))</f>
        <v/>
      </c>
      <c r="T90" s="11" t="n"/>
      <c r="U90" s="11" t="n"/>
      <c r="V90" s="10">
        <f>IF(AND(T90="",U90=""),"",IFERROR(INDEX(T_CAPAI,MATCH(T90,L_PER,0),MATCH(U90,L_KED,0)),0))</f>
        <v/>
      </c>
      <c r="W90" s="17">
        <f>IF(OR(B90="",E90="",COUNTA(F90,H90,J90:M90,O90,Q90:R90,T90:U90)=0),"",SUM(G90,I90,N90,P90,S90,V90))</f>
        <v/>
      </c>
      <c r="X90" s="18">
        <f>IF(W90="","",IF(Murid!F90="TL","TL",ROUND(W90/110*100,2)))</f>
        <v/>
      </c>
    </row>
    <row r="91">
      <c r="A91" s="15">
        <f>Murid!A91</f>
        <v/>
      </c>
      <c r="B91" s="15">
        <f>IF(Murid!B91="","",Murid!B91)</f>
        <v/>
      </c>
      <c r="C91" s="16">
        <f>IF(Murid!C91="","",Murid!C91)</f>
        <v/>
      </c>
      <c r="D91" s="15">
        <f>IF(Murid!E91="","",Murid!E91)</f>
        <v/>
      </c>
      <c r="E91" s="11" t="n"/>
      <c r="F91" s="11" t="n"/>
      <c r="G91" s="10">
        <f>IF(F91="","",IFERROR(VLOOKUP(F91,T_JSP,2,FALSE),0))</f>
        <v/>
      </c>
      <c r="H91" s="11" t="n"/>
      <c r="I91" s="17">
        <f>IF(H91="","",IF(H91&gt;=12,40,ROUND(H91*3.33,2)))</f>
        <v/>
      </c>
      <c r="J91" s="11" t="n"/>
      <c r="K91" s="11" t="n"/>
      <c r="L91" s="11" t="n"/>
      <c r="M91" s="11" t="n"/>
      <c r="N91" s="10">
        <f>IF(COUNTA(J91:M91)=0,"",MIN(10,SUMPRODUCT((COUNTIF(J91:M91,L_KOM)&gt;0)*S_KOM)))</f>
        <v/>
      </c>
      <c r="O91" s="11" t="n"/>
      <c r="P91" s="10">
        <f>IF(O91="","",IFERROR(VLOOKUP(O91,T_KHID,2,FALSE),0))</f>
        <v/>
      </c>
      <c r="Q91" s="11" t="n"/>
      <c r="R91" s="11" t="n"/>
      <c r="S91" s="10">
        <f>IF(AND(Q91="",R91=""),"",IFERROR(INDEX(T_LIBAT,MATCH(Q91,L_PER,0),MATCH(R91,L_JENIS,0)),0))</f>
        <v/>
      </c>
      <c r="T91" s="11" t="n"/>
      <c r="U91" s="11" t="n"/>
      <c r="V91" s="10">
        <f>IF(AND(T91="",U91=""),"",IFERROR(INDEX(T_CAPAI,MATCH(T91,L_PER,0),MATCH(U91,L_KED,0)),0))</f>
        <v/>
      </c>
      <c r="W91" s="17">
        <f>IF(OR(B91="",E91="",COUNTA(F91,H91,J91:M91,O91,Q91:R91,T91:U91)=0),"",SUM(G91,I91,N91,P91,S91,V91))</f>
        <v/>
      </c>
      <c r="X91" s="18">
        <f>IF(W91="","",IF(Murid!F91="TL","TL",ROUND(W91/110*100,2)))</f>
        <v/>
      </c>
    </row>
    <row r="92">
      <c r="A92" s="15">
        <f>Murid!A92</f>
        <v/>
      </c>
      <c r="B92" s="15">
        <f>IF(Murid!B92="","",Murid!B92)</f>
        <v/>
      </c>
      <c r="C92" s="16">
        <f>IF(Murid!C92="","",Murid!C92)</f>
        <v/>
      </c>
      <c r="D92" s="15">
        <f>IF(Murid!E92="","",Murid!E92)</f>
        <v/>
      </c>
      <c r="E92" s="11" t="n"/>
      <c r="F92" s="11" t="n"/>
      <c r="G92" s="10">
        <f>IF(F92="","",IFERROR(VLOOKUP(F92,T_JSP,2,FALSE),0))</f>
        <v/>
      </c>
      <c r="H92" s="11" t="n"/>
      <c r="I92" s="17">
        <f>IF(H92="","",IF(H92&gt;=12,40,ROUND(H92*3.33,2)))</f>
        <v/>
      </c>
      <c r="J92" s="11" t="n"/>
      <c r="K92" s="11" t="n"/>
      <c r="L92" s="11" t="n"/>
      <c r="M92" s="11" t="n"/>
      <c r="N92" s="10">
        <f>IF(COUNTA(J92:M92)=0,"",MIN(10,SUMPRODUCT((COUNTIF(J92:M92,L_KOM)&gt;0)*S_KOM)))</f>
        <v/>
      </c>
      <c r="O92" s="11" t="n"/>
      <c r="P92" s="10">
        <f>IF(O92="","",IFERROR(VLOOKUP(O92,T_KHID,2,FALSE),0))</f>
        <v/>
      </c>
      <c r="Q92" s="11" t="n"/>
      <c r="R92" s="11" t="n"/>
      <c r="S92" s="10">
        <f>IF(AND(Q92="",R92=""),"",IFERROR(INDEX(T_LIBAT,MATCH(Q92,L_PER,0),MATCH(R92,L_JENIS,0)),0))</f>
        <v/>
      </c>
      <c r="T92" s="11" t="n"/>
      <c r="U92" s="11" t="n"/>
      <c r="V92" s="10">
        <f>IF(AND(T92="",U92=""),"",IFERROR(INDEX(T_CAPAI,MATCH(T92,L_PER,0),MATCH(U92,L_KED,0)),0))</f>
        <v/>
      </c>
      <c r="W92" s="17">
        <f>IF(OR(B92="",E92="",COUNTA(F92,H92,J92:M92,O92,Q92:R92,T92:U92)=0),"",SUM(G92,I92,N92,P92,S92,V92))</f>
        <v/>
      </c>
      <c r="X92" s="18">
        <f>IF(W92="","",IF(Murid!F92="TL","TL",ROUND(W92/110*100,2)))</f>
        <v/>
      </c>
    </row>
    <row r="93">
      <c r="A93" s="15">
        <f>Murid!A93</f>
        <v/>
      </c>
      <c r="B93" s="15">
        <f>IF(Murid!B93="","",Murid!B93)</f>
        <v/>
      </c>
      <c r="C93" s="16">
        <f>IF(Murid!C93="","",Murid!C93)</f>
        <v/>
      </c>
      <c r="D93" s="15">
        <f>IF(Murid!E93="","",Murid!E93)</f>
        <v/>
      </c>
      <c r="E93" s="11" t="n"/>
      <c r="F93" s="11" t="n"/>
      <c r="G93" s="10">
        <f>IF(F93="","",IFERROR(VLOOKUP(F93,T_JSP,2,FALSE),0))</f>
        <v/>
      </c>
      <c r="H93" s="11" t="n"/>
      <c r="I93" s="17">
        <f>IF(H93="","",IF(H93&gt;=12,40,ROUND(H93*3.33,2)))</f>
        <v/>
      </c>
      <c r="J93" s="11" t="n"/>
      <c r="K93" s="11" t="n"/>
      <c r="L93" s="11" t="n"/>
      <c r="M93" s="11" t="n"/>
      <c r="N93" s="10">
        <f>IF(COUNTA(J93:M93)=0,"",MIN(10,SUMPRODUCT((COUNTIF(J93:M93,L_KOM)&gt;0)*S_KOM)))</f>
        <v/>
      </c>
      <c r="O93" s="11" t="n"/>
      <c r="P93" s="10">
        <f>IF(O93="","",IFERROR(VLOOKUP(O93,T_KHID,2,FALSE),0))</f>
        <v/>
      </c>
      <c r="Q93" s="11" t="n"/>
      <c r="R93" s="11" t="n"/>
      <c r="S93" s="10">
        <f>IF(AND(Q93="",R93=""),"",IFERROR(INDEX(T_LIBAT,MATCH(Q93,L_PER,0),MATCH(R93,L_JENIS,0)),0))</f>
        <v/>
      </c>
      <c r="T93" s="11" t="n"/>
      <c r="U93" s="11" t="n"/>
      <c r="V93" s="10">
        <f>IF(AND(T93="",U93=""),"",IFERROR(INDEX(T_CAPAI,MATCH(T93,L_PER,0),MATCH(U93,L_KED,0)),0))</f>
        <v/>
      </c>
      <c r="W93" s="17">
        <f>IF(OR(B93="",E93="",COUNTA(F93,H93,J93:M93,O93,Q93:R93,T93:U93)=0),"",SUM(G93,I93,N93,P93,S93,V93))</f>
        <v/>
      </c>
      <c r="X93" s="18">
        <f>IF(W93="","",IF(Murid!F93="TL","TL",ROUND(W93/110*100,2)))</f>
        <v/>
      </c>
    </row>
    <row r="94">
      <c r="A94" s="15">
        <f>Murid!A94</f>
        <v/>
      </c>
      <c r="B94" s="15">
        <f>IF(Murid!B94="","",Murid!B94)</f>
        <v/>
      </c>
      <c r="C94" s="16">
        <f>IF(Murid!C94="","",Murid!C94)</f>
        <v/>
      </c>
      <c r="D94" s="15">
        <f>IF(Murid!E94="","",Murid!E94)</f>
        <v/>
      </c>
      <c r="E94" s="11" t="n"/>
      <c r="F94" s="11" t="n"/>
      <c r="G94" s="10">
        <f>IF(F94="","",IFERROR(VLOOKUP(F94,T_JSP,2,FALSE),0))</f>
        <v/>
      </c>
      <c r="H94" s="11" t="n"/>
      <c r="I94" s="17">
        <f>IF(H94="","",IF(H94&gt;=12,40,ROUND(H94*3.33,2)))</f>
        <v/>
      </c>
      <c r="J94" s="11" t="n"/>
      <c r="K94" s="11" t="n"/>
      <c r="L94" s="11" t="n"/>
      <c r="M94" s="11" t="n"/>
      <c r="N94" s="10">
        <f>IF(COUNTA(J94:M94)=0,"",MIN(10,SUMPRODUCT((COUNTIF(J94:M94,L_KOM)&gt;0)*S_KOM)))</f>
        <v/>
      </c>
      <c r="O94" s="11" t="n"/>
      <c r="P94" s="10">
        <f>IF(O94="","",IFERROR(VLOOKUP(O94,T_KHID,2,FALSE),0))</f>
        <v/>
      </c>
      <c r="Q94" s="11" t="n"/>
      <c r="R94" s="11" t="n"/>
      <c r="S94" s="10">
        <f>IF(AND(Q94="",R94=""),"",IFERROR(INDEX(T_LIBAT,MATCH(Q94,L_PER,0),MATCH(R94,L_JENIS,0)),0))</f>
        <v/>
      </c>
      <c r="T94" s="11" t="n"/>
      <c r="U94" s="11" t="n"/>
      <c r="V94" s="10">
        <f>IF(AND(T94="",U94=""),"",IFERROR(INDEX(T_CAPAI,MATCH(T94,L_PER,0),MATCH(U94,L_KED,0)),0))</f>
        <v/>
      </c>
      <c r="W94" s="17">
        <f>IF(OR(B94="",E94="",COUNTA(F94,H94,J94:M94,O94,Q94:R94,T94:U94)=0),"",SUM(G94,I94,N94,P94,S94,V94))</f>
        <v/>
      </c>
      <c r="X94" s="18">
        <f>IF(W94="","",IF(Murid!F94="TL","TL",ROUND(W94/110*100,2)))</f>
        <v/>
      </c>
    </row>
    <row r="95">
      <c r="A95" s="15">
        <f>Murid!A95</f>
        <v/>
      </c>
      <c r="B95" s="15">
        <f>IF(Murid!B95="","",Murid!B95)</f>
        <v/>
      </c>
      <c r="C95" s="16">
        <f>IF(Murid!C95="","",Murid!C95)</f>
        <v/>
      </c>
      <c r="D95" s="15">
        <f>IF(Murid!E95="","",Murid!E95)</f>
        <v/>
      </c>
      <c r="E95" s="11" t="n"/>
      <c r="F95" s="11" t="n"/>
      <c r="G95" s="10">
        <f>IF(F95="","",IFERROR(VLOOKUP(F95,T_JSP,2,FALSE),0))</f>
        <v/>
      </c>
      <c r="H95" s="11" t="n"/>
      <c r="I95" s="17">
        <f>IF(H95="","",IF(H95&gt;=12,40,ROUND(H95*3.33,2)))</f>
        <v/>
      </c>
      <c r="J95" s="11" t="n"/>
      <c r="K95" s="11" t="n"/>
      <c r="L95" s="11" t="n"/>
      <c r="M95" s="11" t="n"/>
      <c r="N95" s="10">
        <f>IF(COUNTA(J95:M95)=0,"",MIN(10,SUMPRODUCT((COUNTIF(J95:M95,L_KOM)&gt;0)*S_KOM)))</f>
        <v/>
      </c>
      <c r="O95" s="11" t="n"/>
      <c r="P95" s="10">
        <f>IF(O95="","",IFERROR(VLOOKUP(O95,T_KHID,2,FALSE),0))</f>
        <v/>
      </c>
      <c r="Q95" s="11" t="n"/>
      <c r="R95" s="11" t="n"/>
      <c r="S95" s="10">
        <f>IF(AND(Q95="",R95=""),"",IFERROR(INDEX(T_LIBAT,MATCH(Q95,L_PER,0),MATCH(R95,L_JENIS,0)),0))</f>
        <v/>
      </c>
      <c r="T95" s="11" t="n"/>
      <c r="U95" s="11" t="n"/>
      <c r="V95" s="10">
        <f>IF(AND(T95="",U95=""),"",IFERROR(INDEX(T_CAPAI,MATCH(T95,L_PER,0),MATCH(U95,L_KED,0)),0))</f>
        <v/>
      </c>
      <c r="W95" s="17">
        <f>IF(OR(B95="",E95="",COUNTA(F95,H95,J95:M95,O95,Q95:R95,T95:U95)=0),"",SUM(G95,I95,N95,P95,S95,V95))</f>
        <v/>
      </c>
      <c r="X95" s="18">
        <f>IF(W95="","",IF(Murid!F95="TL","TL",ROUND(W95/110*100,2)))</f>
        <v/>
      </c>
    </row>
    <row r="96">
      <c r="A96" s="15">
        <f>Murid!A96</f>
        <v/>
      </c>
      <c r="B96" s="15">
        <f>IF(Murid!B96="","",Murid!B96)</f>
        <v/>
      </c>
      <c r="C96" s="16">
        <f>IF(Murid!C96="","",Murid!C96)</f>
        <v/>
      </c>
      <c r="D96" s="15">
        <f>IF(Murid!E96="","",Murid!E96)</f>
        <v/>
      </c>
      <c r="E96" s="11" t="n"/>
      <c r="F96" s="11" t="n"/>
      <c r="G96" s="10">
        <f>IF(F96="","",IFERROR(VLOOKUP(F96,T_JSP,2,FALSE),0))</f>
        <v/>
      </c>
      <c r="H96" s="11" t="n"/>
      <c r="I96" s="17">
        <f>IF(H96="","",IF(H96&gt;=12,40,ROUND(H96*3.33,2)))</f>
        <v/>
      </c>
      <c r="J96" s="11" t="n"/>
      <c r="K96" s="11" t="n"/>
      <c r="L96" s="11" t="n"/>
      <c r="M96" s="11" t="n"/>
      <c r="N96" s="10">
        <f>IF(COUNTA(J96:M96)=0,"",MIN(10,SUMPRODUCT((COUNTIF(J96:M96,L_KOM)&gt;0)*S_KOM)))</f>
        <v/>
      </c>
      <c r="O96" s="11" t="n"/>
      <c r="P96" s="10">
        <f>IF(O96="","",IFERROR(VLOOKUP(O96,T_KHID,2,FALSE),0))</f>
        <v/>
      </c>
      <c r="Q96" s="11" t="n"/>
      <c r="R96" s="11" t="n"/>
      <c r="S96" s="10">
        <f>IF(AND(Q96="",R96=""),"",IFERROR(INDEX(T_LIBAT,MATCH(Q96,L_PER,0),MATCH(R96,L_JENIS,0)),0))</f>
        <v/>
      </c>
      <c r="T96" s="11" t="n"/>
      <c r="U96" s="11" t="n"/>
      <c r="V96" s="10">
        <f>IF(AND(T96="",U96=""),"",IFERROR(INDEX(T_CAPAI,MATCH(T96,L_PER,0),MATCH(U96,L_KED,0)),0))</f>
        <v/>
      </c>
      <c r="W96" s="17">
        <f>IF(OR(B96="",E96="",COUNTA(F96,H96,J96:M96,O96,Q96:R96,T96:U96)=0),"",SUM(G96,I96,N96,P96,S96,V96))</f>
        <v/>
      </c>
      <c r="X96" s="18">
        <f>IF(W96="","",IF(Murid!F96="TL","TL",ROUND(W96/110*100,2)))</f>
        <v/>
      </c>
    </row>
    <row r="97">
      <c r="A97" s="15">
        <f>Murid!A97</f>
        <v/>
      </c>
      <c r="B97" s="15">
        <f>IF(Murid!B97="","",Murid!B97)</f>
        <v/>
      </c>
      <c r="C97" s="16">
        <f>IF(Murid!C97="","",Murid!C97)</f>
        <v/>
      </c>
      <c r="D97" s="15">
        <f>IF(Murid!E97="","",Murid!E97)</f>
        <v/>
      </c>
      <c r="E97" s="11" t="n"/>
      <c r="F97" s="11" t="n"/>
      <c r="G97" s="10">
        <f>IF(F97="","",IFERROR(VLOOKUP(F97,T_JSP,2,FALSE),0))</f>
        <v/>
      </c>
      <c r="H97" s="11" t="n"/>
      <c r="I97" s="17">
        <f>IF(H97="","",IF(H97&gt;=12,40,ROUND(H97*3.33,2)))</f>
        <v/>
      </c>
      <c r="J97" s="11" t="n"/>
      <c r="K97" s="11" t="n"/>
      <c r="L97" s="11" t="n"/>
      <c r="M97" s="11" t="n"/>
      <c r="N97" s="10">
        <f>IF(COUNTA(J97:M97)=0,"",MIN(10,SUMPRODUCT((COUNTIF(J97:M97,L_KOM)&gt;0)*S_KOM)))</f>
        <v/>
      </c>
      <c r="O97" s="11" t="n"/>
      <c r="P97" s="10">
        <f>IF(O97="","",IFERROR(VLOOKUP(O97,T_KHID,2,FALSE),0))</f>
        <v/>
      </c>
      <c r="Q97" s="11" t="n"/>
      <c r="R97" s="11" t="n"/>
      <c r="S97" s="10">
        <f>IF(AND(Q97="",R97=""),"",IFERROR(INDEX(T_LIBAT,MATCH(Q97,L_PER,0),MATCH(R97,L_JENIS,0)),0))</f>
        <v/>
      </c>
      <c r="T97" s="11" t="n"/>
      <c r="U97" s="11" t="n"/>
      <c r="V97" s="10">
        <f>IF(AND(T97="",U97=""),"",IFERROR(INDEX(T_CAPAI,MATCH(T97,L_PER,0),MATCH(U97,L_KED,0)),0))</f>
        <v/>
      </c>
      <c r="W97" s="17">
        <f>IF(OR(B97="",E97="",COUNTA(F97,H97,J97:M97,O97,Q97:R97,T97:U97)=0),"",SUM(G97,I97,N97,P97,S97,V97))</f>
        <v/>
      </c>
      <c r="X97" s="18">
        <f>IF(W97="","",IF(Murid!F97="TL","TL",ROUND(W97/110*100,2)))</f>
        <v/>
      </c>
    </row>
    <row r="98">
      <c r="A98" s="15">
        <f>Murid!A98</f>
        <v/>
      </c>
      <c r="B98" s="15">
        <f>IF(Murid!B98="","",Murid!B98)</f>
        <v/>
      </c>
      <c r="C98" s="16">
        <f>IF(Murid!C98="","",Murid!C98)</f>
        <v/>
      </c>
      <c r="D98" s="15">
        <f>IF(Murid!E98="","",Murid!E98)</f>
        <v/>
      </c>
      <c r="E98" s="11" t="n"/>
      <c r="F98" s="11" t="n"/>
      <c r="G98" s="10">
        <f>IF(F98="","",IFERROR(VLOOKUP(F98,T_JSP,2,FALSE),0))</f>
        <v/>
      </c>
      <c r="H98" s="11" t="n"/>
      <c r="I98" s="17">
        <f>IF(H98="","",IF(H98&gt;=12,40,ROUND(H98*3.33,2)))</f>
        <v/>
      </c>
      <c r="J98" s="11" t="n"/>
      <c r="K98" s="11" t="n"/>
      <c r="L98" s="11" t="n"/>
      <c r="M98" s="11" t="n"/>
      <c r="N98" s="10">
        <f>IF(COUNTA(J98:M98)=0,"",MIN(10,SUMPRODUCT((COUNTIF(J98:M98,L_KOM)&gt;0)*S_KOM)))</f>
        <v/>
      </c>
      <c r="O98" s="11" t="n"/>
      <c r="P98" s="10">
        <f>IF(O98="","",IFERROR(VLOOKUP(O98,T_KHID,2,FALSE),0))</f>
        <v/>
      </c>
      <c r="Q98" s="11" t="n"/>
      <c r="R98" s="11" t="n"/>
      <c r="S98" s="10">
        <f>IF(AND(Q98="",R98=""),"",IFERROR(INDEX(T_LIBAT,MATCH(Q98,L_PER,0),MATCH(R98,L_JENIS,0)),0))</f>
        <v/>
      </c>
      <c r="T98" s="11" t="n"/>
      <c r="U98" s="11" t="n"/>
      <c r="V98" s="10">
        <f>IF(AND(T98="",U98=""),"",IFERROR(INDEX(T_CAPAI,MATCH(T98,L_PER,0),MATCH(U98,L_KED,0)),0))</f>
        <v/>
      </c>
      <c r="W98" s="17">
        <f>IF(OR(B98="",E98="",COUNTA(F98,H98,J98:M98,O98,Q98:R98,T98:U98)=0),"",SUM(G98,I98,N98,P98,S98,V98))</f>
        <v/>
      </c>
      <c r="X98" s="18">
        <f>IF(W98="","",IF(Murid!F98="TL","TL",ROUND(W98/110*100,2)))</f>
        <v/>
      </c>
    </row>
    <row r="99">
      <c r="A99" s="15">
        <f>Murid!A99</f>
        <v/>
      </c>
      <c r="B99" s="15">
        <f>IF(Murid!B99="","",Murid!B99)</f>
        <v/>
      </c>
      <c r="C99" s="16">
        <f>IF(Murid!C99="","",Murid!C99)</f>
        <v/>
      </c>
      <c r="D99" s="15">
        <f>IF(Murid!E99="","",Murid!E99)</f>
        <v/>
      </c>
      <c r="E99" s="11" t="n"/>
      <c r="F99" s="11" t="n"/>
      <c r="G99" s="10">
        <f>IF(F99="","",IFERROR(VLOOKUP(F99,T_JSP,2,FALSE),0))</f>
        <v/>
      </c>
      <c r="H99" s="11" t="n"/>
      <c r="I99" s="17">
        <f>IF(H99="","",IF(H99&gt;=12,40,ROUND(H99*3.33,2)))</f>
        <v/>
      </c>
      <c r="J99" s="11" t="n"/>
      <c r="K99" s="11" t="n"/>
      <c r="L99" s="11" t="n"/>
      <c r="M99" s="11" t="n"/>
      <c r="N99" s="10">
        <f>IF(COUNTA(J99:M99)=0,"",MIN(10,SUMPRODUCT((COUNTIF(J99:M99,L_KOM)&gt;0)*S_KOM)))</f>
        <v/>
      </c>
      <c r="O99" s="11" t="n"/>
      <c r="P99" s="10">
        <f>IF(O99="","",IFERROR(VLOOKUP(O99,T_KHID,2,FALSE),0))</f>
        <v/>
      </c>
      <c r="Q99" s="11" t="n"/>
      <c r="R99" s="11" t="n"/>
      <c r="S99" s="10">
        <f>IF(AND(Q99="",R99=""),"",IFERROR(INDEX(T_LIBAT,MATCH(Q99,L_PER,0),MATCH(R99,L_JENIS,0)),0))</f>
        <v/>
      </c>
      <c r="T99" s="11" t="n"/>
      <c r="U99" s="11" t="n"/>
      <c r="V99" s="10">
        <f>IF(AND(T99="",U99=""),"",IFERROR(INDEX(T_CAPAI,MATCH(T99,L_PER,0),MATCH(U99,L_KED,0)),0))</f>
        <v/>
      </c>
      <c r="W99" s="17">
        <f>IF(OR(B99="",E99="",COUNTA(F99,H99,J99:M99,O99,Q99:R99,T99:U99)=0),"",SUM(G99,I99,N99,P99,S99,V99))</f>
        <v/>
      </c>
      <c r="X99" s="18">
        <f>IF(W99="","",IF(Murid!F99="TL","TL",ROUND(W99/110*100,2)))</f>
        <v/>
      </c>
    </row>
    <row r="100">
      <c r="A100" s="15">
        <f>Murid!A100</f>
        <v/>
      </c>
      <c r="B100" s="15">
        <f>IF(Murid!B100="","",Murid!B100)</f>
        <v/>
      </c>
      <c r="C100" s="16">
        <f>IF(Murid!C100="","",Murid!C100)</f>
        <v/>
      </c>
      <c r="D100" s="15">
        <f>IF(Murid!E100="","",Murid!E100)</f>
        <v/>
      </c>
      <c r="E100" s="11" t="n"/>
      <c r="F100" s="11" t="n"/>
      <c r="G100" s="10">
        <f>IF(F100="","",IFERROR(VLOOKUP(F100,T_JSP,2,FALSE),0))</f>
        <v/>
      </c>
      <c r="H100" s="11" t="n"/>
      <c r="I100" s="17">
        <f>IF(H100="","",IF(H100&gt;=12,40,ROUND(H100*3.33,2)))</f>
        <v/>
      </c>
      <c r="J100" s="11" t="n"/>
      <c r="K100" s="11" t="n"/>
      <c r="L100" s="11" t="n"/>
      <c r="M100" s="11" t="n"/>
      <c r="N100" s="10">
        <f>IF(COUNTA(J100:M100)=0,"",MIN(10,SUMPRODUCT((COUNTIF(J100:M100,L_KOM)&gt;0)*S_KOM)))</f>
        <v/>
      </c>
      <c r="O100" s="11" t="n"/>
      <c r="P100" s="10">
        <f>IF(O100="","",IFERROR(VLOOKUP(O100,T_KHID,2,FALSE),0))</f>
        <v/>
      </c>
      <c r="Q100" s="11" t="n"/>
      <c r="R100" s="11" t="n"/>
      <c r="S100" s="10">
        <f>IF(AND(Q100="",R100=""),"",IFERROR(INDEX(T_LIBAT,MATCH(Q100,L_PER,0),MATCH(R100,L_JENIS,0)),0))</f>
        <v/>
      </c>
      <c r="T100" s="11" t="n"/>
      <c r="U100" s="11" t="n"/>
      <c r="V100" s="10">
        <f>IF(AND(T100="",U100=""),"",IFERROR(INDEX(T_CAPAI,MATCH(T100,L_PER,0),MATCH(U100,L_KED,0)),0))</f>
        <v/>
      </c>
      <c r="W100" s="17">
        <f>IF(OR(B100="",E100="",COUNTA(F100,H100,J100:M100,O100,Q100:R100,T100:U100)=0),"",SUM(G100,I100,N100,P100,S100,V100))</f>
        <v/>
      </c>
      <c r="X100" s="18">
        <f>IF(W100="","",IF(Murid!F100="TL","TL",ROUND(W100/110*100,2)))</f>
        <v/>
      </c>
    </row>
    <row r="101">
      <c r="A101" s="15">
        <f>Murid!A101</f>
        <v/>
      </c>
      <c r="B101" s="15">
        <f>IF(Murid!B101="","",Murid!B101)</f>
        <v/>
      </c>
      <c r="C101" s="16">
        <f>IF(Murid!C101="","",Murid!C101)</f>
        <v/>
      </c>
      <c r="D101" s="15">
        <f>IF(Murid!E101="","",Murid!E101)</f>
        <v/>
      </c>
      <c r="E101" s="11" t="n"/>
      <c r="F101" s="11" t="n"/>
      <c r="G101" s="10">
        <f>IF(F101="","",IFERROR(VLOOKUP(F101,T_JSP,2,FALSE),0))</f>
        <v/>
      </c>
      <c r="H101" s="11" t="n"/>
      <c r="I101" s="17">
        <f>IF(H101="","",IF(H101&gt;=12,40,ROUND(H101*3.33,2)))</f>
        <v/>
      </c>
      <c r="J101" s="11" t="n"/>
      <c r="K101" s="11" t="n"/>
      <c r="L101" s="11" t="n"/>
      <c r="M101" s="11" t="n"/>
      <c r="N101" s="10">
        <f>IF(COUNTA(J101:M101)=0,"",MIN(10,SUMPRODUCT((COUNTIF(J101:M101,L_KOM)&gt;0)*S_KOM)))</f>
        <v/>
      </c>
      <c r="O101" s="11" t="n"/>
      <c r="P101" s="10">
        <f>IF(O101="","",IFERROR(VLOOKUP(O101,T_KHID,2,FALSE),0))</f>
        <v/>
      </c>
      <c r="Q101" s="11" t="n"/>
      <c r="R101" s="11" t="n"/>
      <c r="S101" s="10">
        <f>IF(AND(Q101="",R101=""),"",IFERROR(INDEX(T_LIBAT,MATCH(Q101,L_PER,0),MATCH(R101,L_JENIS,0)),0))</f>
        <v/>
      </c>
      <c r="T101" s="11" t="n"/>
      <c r="U101" s="11" t="n"/>
      <c r="V101" s="10">
        <f>IF(AND(T101="",U101=""),"",IFERROR(INDEX(T_CAPAI,MATCH(T101,L_PER,0),MATCH(U101,L_KED,0)),0))</f>
        <v/>
      </c>
      <c r="W101" s="17">
        <f>IF(OR(B101="",E101="",COUNTA(F101,H101,J101:M101,O101,Q101:R101,T101:U101)=0),"",SUM(G101,I101,N101,P101,S101,V101))</f>
        <v/>
      </c>
      <c r="X101" s="18">
        <f>IF(W101="","",IF(Murid!F101="TL","TL",ROUND(W101/110*100,2)))</f>
        <v/>
      </c>
    </row>
    <row r="102">
      <c r="A102" s="15">
        <f>Murid!A102</f>
        <v/>
      </c>
      <c r="B102" s="15">
        <f>IF(Murid!B102="","",Murid!B102)</f>
        <v/>
      </c>
      <c r="C102" s="16">
        <f>IF(Murid!C102="","",Murid!C102)</f>
        <v/>
      </c>
      <c r="D102" s="15">
        <f>IF(Murid!E102="","",Murid!E102)</f>
        <v/>
      </c>
      <c r="E102" s="11" t="n"/>
      <c r="F102" s="11" t="n"/>
      <c r="G102" s="10">
        <f>IF(F102="","",IFERROR(VLOOKUP(F102,T_JSP,2,FALSE),0))</f>
        <v/>
      </c>
      <c r="H102" s="11" t="n"/>
      <c r="I102" s="17">
        <f>IF(H102="","",IF(H102&gt;=12,40,ROUND(H102*3.33,2)))</f>
        <v/>
      </c>
      <c r="J102" s="11" t="n"/>
      <c r="K102" s="11" t="n"/>
      <c r="L102" s="11" t="n"/>
      <c r="M102" s="11" t="n"/>
      <c r="N102" s="10">
        <f>IF(COUNTA(J102:M102)=0,"",MIN(10,SUMPRODUCT((COUNTIF(J102:M102,L_KOM)&gt;0)*S_KOM)))</f>
        <v/>
      </c>
      <c r="O102" s="11" t="n"/>
      <c r="P102" s="10">
        <f>IF(O102="","",IFERROR(VLOOKUP(O102,T_KHID,2,FALSE),0))</f>
        <v/>
      </c>
      <c r="Q102" s="11" t="n"/>
      <c r="R102" s="11" t="n"/>
      <c r="S102" s="10">
        <f>IF(AND(Q102="",R102=""),"",IFERROR(INDEX(T_LIBAT,MATCH(Q102,L_PER,0),MATCH(R102,L_JENIS,0)),0))</f>
        <v/>
      </c>
      <c r="T102" s="11" t="n"/>
      <c r="U102" s="11" t="n"/>
      <c r="V102" s="10">
        <f>IF(AND(T102="",U102=""),"",IFERROR(INDEX(T_CAPAI,MATCH(T102,L_PER,0),MATCH(U102,L_KED,0)),0))</f>
        <v/>
      </c>
      <c r="W102" s="17">
        <f>IF(OR(B102="",E102="",COUNTA(F102,H102,J102:M102,O102,Q102:R102,T102:U102)=0),"",SUM(G102,I102,N102,P102,S102,V102))</f>
        <v/>
      </c>
      <c r="X102" s="18">
        <f>IF(W102="","",IF(Murid!F102="TL","TL",ROUND(W102/110*100,2)))</f>
        <v/>
      </c>
    </row>
    <row r="103">
      <c r="A103" s="15">
        <f>Murid!A103</f>
        <v/>
      </c>
      <c r="B103" s="15">
        <f>IF(Murid!B103="","",Murid!B103)</f>
        <v/>
      </c>
      <c r="C103" s="16">
        <f>IF(Murid!C103="","",Murid!C103)</f>
        <v/>
      </c>
      <c r="D103" s="15">
        <f>IF(Murid!E103="","",Murid!E103)</f>
        <v/>
      </c>
      <c r="E103" s="11" t="n"/>
      <c r="F103" s="11" t="n"/>
      <c r="G103" s="10">
        <f>IF(F103="","",IFERROR(VLOOKUP(F103,T_JSP,2,FALSE),0))</f>
        <v/>
      </c>
      <c r="H103" s="11" t="n"/>
      <c r="I103" s="17">
        <f>IF(H103="","",IF(H103&gt;=12,40,ROUND(H103*3.33,2)))</f>
        <v/>
      </c>
      <c r="J103" s="11" t="n"/>
      <c r="K103" s="11" t="n"/>
      <c r="L103" s="11" t="n"/>
      <c r="M103" s="11" t="n"/>
      <c r="N103" s="10">
        <f>IF(COUNTA(J103:M103)=0,"",MIN(10,SUMPRODUCT((COUNTIF(J103:M103,L_KOM)&gt;0)*S_KOM)))</f>
        <v/>
      </c>
      <c r="O103" s="11" t="n"/>
      <c r="P103" s="10">
        <f>IF(O103="","",IFERROR(VLOOKUP(O103,T_KHID,2,FALSE),0))</f>
        <v/>
      </c>
      <c r="Q103" s="11" t="n"/>
      <c r="R103" s="11" t="n"/>
      <c r="S103" s="10">
        <f>IF(AND(Q103="",R103=""),"",IFERROR(INDEX(T_LIBAT,MATCH(Q103,L_PER,0),MATCH(R103,L_JENIS,0)),0))</f>
        <v/>
      </c>
      <c r="T103" s="11" t="n"/>
      <c r="U103" s="11" t="n"/>
      <c r="V103" s="10">
        <f>IF(AND(T103="",U103=""),"",IFERROR(INDEX(T_CAPAI,MATCH(T103,L_PER,0),MATCH(U103,L_KED,0)),0))</f>
        <v/>
      </c>
      <c r="W103" s="17">
        <f>IF(OR(B103="",E103="",COUNTA(F103,H103,J103:M103,O103,Q103:R103,T103:U103)=0),"",SUM(G103,I103,N103,P103,S103,V103))</f>
        <v/>
      </c>
      <c r="X103" s="18">
        <f>IF(W103="","",IF(Murid!F103="TL","TL",ROUND(W103/110*100,2)))</f>
        <v/>
      </c>
    </row>
    <row r="104">
      <c r="A104" s="15">
        <f>Murid!A104</f>
        <v/>
      </c>
      <c r="B104" s="15">
        <f>IF(Murid!B104="","",Murid!B104)</f>
        <v/>
      </c>
      <c r="C104" s="16">
        <f>IF(Murid!C104="","",Murid!C104)</f>
        <v/>
      </c>
      <c r="D104" s="15">
        <f>IF(Murid!E104="","",Murid!E104)</f>
        <v/>
      </c>
      <c r="E104" s="11" t="n"/>
      <c r="F104" s="11" t="n"/>
      <c r="G104" s="10">
        <f>IF(F104="","",IFERROR(VLOOKUP(F104,T_JSP,2,FALSE),0))</f>
        <v/>
      </c>
      <c r="H104" s="11" t="n"/>
      <c r="I104" s="17">
        <f>IF(H104="","",IF(H104&gt;=12,40,ROUND(H104*3.33,2)))</f>
        <v/>
      </c>
      <c r="J104" s="11" t="n"/>
      <c r="K104" s="11" t="n"/>
      <c r="L104" s="11" t="n"/>
      <c r="M104" s="11" t="n"/>
      <c r="N104" s="10">
        <f>IF(COUNTA(J104:M104)=0,"",MIN(10,SUMPRODUCT((COUNTIF(J104:M104,L_KOM)&gt;0)*S_KOM)))</f>
        <v/>
      </c>
      <c r="O104" s="11" t="n"/>
      <c r="P104" s="10">
        <f>IF(O104="","",IFERROR(VLOOKUP(O104,T_KHID,2,FALSE),0))</f>
        <v/>
      </c>
      <c r="Q104" s="11" t="n"/>
      <c r="R104" s="11" t="n"/>
      <c r="S104" s="10">
        <f>IF(AND(Q104="",R104=""),"",IFERROR(INDEX(T_LIBAT,MATCH(Q104,L_PER,0),MATCH(R104,L_JENIS,0)),0))</f>
        <v/>
      </c>
      <c r="T104" s="11" t="n"/>
      <c r="U104" s="11" t="n"/>
      <c r="V104" s="10">
        <f>IF(AND(T104="",U104=""),"",IFERROR(INDEX(T_CAPAI,MATCH(T104,L_PER,0),MATCH(U104,L_KED,0)),0))</f>
        <v/>
      </c>
      <c r="W104" s="17">
        <f>IF(OR(B104="",E104="",COUNTA(F104,H104,J104:M104,O104,Q104:R104,T104:U104)=0),"",SUM(G104,I104,N104,P104,S104,V104))</f>
        <v/>
      </c>
      <c r="X104" s="18">
        <f>IF(W104="","",IF(Murid!F104="TL","TL",ROUND(W104/110*100,2)))</f>
        <v/>
      </c>
    </row>
    <row r="105">
      <c r="A105" s="15">
        <f>Murid!A105</f>
        <v/>
      </c>
      <c r="B105" s="15">
        <f>IF(Murid!B105="","",Murid!B105)</f>
        <v/>
      </c>
      <c r="C105" s="16">
        <f>IF(Murid!C105="","",Murid!C105)</f>
        <v/>
      </c>
      <c r="D105" s="15">
        <f>IF(Murid!E105="","",Murid!E105)</f>
        <v/>
      </c>
      <c r="E105" s="11" t="n"/>
      <c r="F105" s="11" t="n"/>
      <c r="G105" s="10">
        <f>IF(F105="","",IFERROR(VLOOKUP(F105,T_JSP,2,FALSE),0))</f>
        <v/>
      </c>
      <c r="H105" s="11" t="n"/>
      <c r="I105" s="17">
        <f>IF(H105="","",IF(H105&gt;=12,40,ROUND(H105*3.33,2)))</f>
        <v/>
      </c>
      <c r="J105" s="11" t="n"/>
      <c r="K105" s="11" t="n"/>
      <c r="L105" s="11" t="n"/>
      <c r="M105" s="11" t="n"/>
      <c r="N105" s="10">
        <f>IF(COUNTA(J105:M105)=0,"",MIN(10,SUMPRODUCT((COUNTIF(J105:M105,L_KOM)&gt;0)*S_KOM)))</f>
        <v/>
      </c>
      <c r="O105" s="11" t="n"/>
      <c r="P105" s="10">
        <f>IF(O105="","",IFERROR(VLOOKUP(O105,T_KHID,2,FALSE),0))</f>
        <v/>
      </c>
      <c r="Q105" s="11" t="n"/>
      <c r="R105" s="11" t="n"/>
      <c r="S105" s="10">
        <f>IF(AND(Q105="",R105=""),"",IFERROR(INDEX(T_LIBAT,MATCH(Q105,L_PER,0),MATCH(R105,L_JENIS,0)),0))</f>
        <v/>
      </c>
      <c r="T105" s="11" t="n"/>
      <c r="U105" s="11" t="n"/>
      <c r="V105" s="10">
        <f>IF(AND(T105="",U105=""),"",IFERROR(INDEX(T_CAPAI,MATCH(T105,L_PER,0),MATCH(U105,L_KED,0)),0))</f>
        <v/>
      </c>
      <c r="W105" s="17">
        <f>IF(OR(B105="",E105="",COUNTA(F105,H105,J105:M105,O105,Q105:R105,T105:U105)=0),"",SUM(G105,I105,N105,P105,S105,V105))</f>
        <v/>
      </c>
      <c r="X105" s="18">
        <f>IF(W105="","",IF(Murid!F105="TL","TL",ROUND(W105/110*100,2)))</f>
        <v/>
      </c>
    </row>
    <row r="106">
      <c r="A106" s="15">
        <f>Murid!A106</f>
        <v/>
      </c>
      <c r="B106" s="15">
        <f>IF(Murid!B106="","",Murid!B106)</f>
        <v/>
      </c>
      <c r="C106" s="16">
        <f>IF(Murid!C106="","",Murid!C106)</f>
        <v/>
      </c>
      <c r="D106" s="15">
        <f>IF(Murid!E106="","",Murid!E106)</f>
        <v/>
      </c>
      <c r="E106" s="11" t="n"/>
      <c r="F106" s="11" t="n"/>
      <c r="G106" s="10">
        <f>IF(F106="","",IFERROR(VLOOKUP(F106,T_JSP,2,FALSE),0))</f>
        <v/>
      </c>
      <c r="H106" s="11" t="n"/>
      <c r="I106" s="17">
        <f>IF(H106="","",IF(H106&gt;=12,40,ROUND(H106*3.33,2)))</f>
        <v/>
      </c>
      <c r="J106" s="11" t="n"/>
      <c r="K106" s="11" t="n"/>
      <c r="L106" s="11" t="n"/>
      <c r="M106" s="11" t="n"/>
      <c r="N106" s="10">
        <f>IF(COUNTA(J106:M106)=0,"",MIN(10,SUMPRODUCT((COUNTIF(J106:M106,L_KOM)&gt;0)*S_KOM)))</f>
        <v/>
      </c>
      <c r="O106" s="11" t="n"/>
      <c r="P106" s="10">
        <f>IF(O106="","",IFERROR(VLOOKUP(O106,T_KHID,2,FALSE),0))</f>
        <v/>
      </c>
      <c r="Q106" s="11" t="n"/>
      <c r="R106" s="11" t="n"/>
      <c r="S106" s="10">
        <f>IF(AND(Q106="",R106=""),"",IFERROR(INDEX(T_LIBAT,MATCH(Q106,L_PER,0),MATCH(R106,L_JENIS,0)),0))</f>
        <v/>
      </c>
      <c r="T106" s="11" t="n"/>
      <c r="U106" s="11" t="n"/>
      <c r="V106" s="10">
        <f>IF(AND(T106="",U106=""),"",IFERROR(INDEX(T_CAPAI,MATCH(T106,L_PER,0),MATCH(U106,L_KED,0)),0))</f>
        <v/>
      </c>
      <c r="W106" s="17">
        <f>IF(OR(B106="",E106="",COUNTA(F106,H106,J106:M106,O106,Q106:R106,T106:U106)=0),"",SUM(G106,I106,N106,P106,S106,V106))</f>
        <v/>
      </c>
      <c r="X106" s="18">
        <f>IF(W106="","",IF(Murid!F106="TL","TL",ROUND(W106/110*100,2)))</f>
        <v/>
      </c>
    </row>
    <row r="107">
      <c r="A107" s="15">
        <f>Murid!A107</f>
        <v/>
      </c>
      <c r="B107" s="15">
        <f>IF(Murid!B107="","",Murid!B107)</f>
        <v/>
      </c>
      <c r="C107" s="16">
        <f>IF(Murid!C107="","",Murid!C107)</f>
        <v/>
      </c>
      <c r="D107" s="15">
        <f>IF(Murid!E107="","",Murid!E107)</f>
        <v/>
      </c>
      <c r="E107" s="11" t="n"/>
      <c r="F107" s="11" t="n"/>
      <c r="G107" s="10">
        <f>IF(F107="","",IFERROR(VLOOKUP(F107,T_JSP,2,FALSE),0))</f>
        <v/>
      </c>
      <c r="H107" s="11" t="n"/>
      <c r="I107" s="17">
        <f>IF(H107="","",IF(H107&gt;=12,40,ROUND(H107*3.33,2)))</f>
        <v/>
      </c>
      <c r="J107" s="11" t="n"/>
      <c r="K107" s="11" t="n"/>
      <c r="L107" s="11" t="n"/>
      <c r="M107" s="11" t="n"/>
      <c r="N107" s="10">
        <f>IF(COUNTA(J107:M107)=0,"",MIN(10,SUMPRODUCT((COUNTIF(J107:M107,L_KOM)&gt;0)*S_KOM)))</f>
        <v/>
      </c>
      <c r="O107" s="11" t="n"/>
      <c r="P107" s="10">
        <f>IF(O107="","",IFERROR(VLOOKUP(O107,T_KHID,2,FALSE),0))</f>
        <v/>
      </c>
      <c r="Q107" s="11" t="n"/>
      <c r="R107" s="11" t="n"/>
      <c r="S107" s="10">
        <f>IF(AND(Q107="",R107=""),"",IFERROR(INDEX(T_LIBAT,MATCH(Q107,L_PER,0),MATCH(R107,L_JENIS,0)),0))</f>
        <v/>
      </c>
      <c r="T107" s="11" t="n"/>
      <c r="U107" s="11" t="n"/>
      <c r="V107" s="10">
        <f>IF(AND(T107="",U107=""),"",IFERROR(INDEX(T_CAPAI,MATCH(T107,L_PER,0),MATCH(U107,L_KED,0)),0))</f>
        <v/>
      </c>
      <c r="W107" s="17">
        <f>IF(OR(B107="",E107="",COUNTA(F107,H107,J107:M107,O107,Q107:R107,T107:U107)=0),"",SUM(G107,I107,N107,P107,S107,V107))</f>
        <v/>
      </c>
      <c r="X107" s="18">
        <f>IF(W107="","",IF(Murid!F107="TL","TL",ROUND(W107/110*100,2)))</f>
        <v/>
      </c>
    </row>
    <row r="108">
      <c r="A108" s="15">
        <f>Murid!A108</f>
        <v/>
      </c>
      <c r="B108" s="15">
        <f>IF(Murid!B108="","",Murid!B108)</f>
        <v/>
      </c>
      <c r="C108" s="16">
        <f>IF(Murid!C108="","",Murid!C108)</f>
        <v/>
      </c>
      <c r="D108" s="15">
        <f>IF(Murid!E108="","",Murid!E108)</f>
        <v/>
      </c>
      <c r="E108" s="11" t="n"/>
      <c r="F108" s="11" t="n"/>
      <c r="G108" s="10">
        <f>IF(F108="","",IFERROR(VLOOKUP(F108,T_JSP,2,FALSE),0))</f>
        <v/>
      </c>
      <c r="H108" s="11" t="n"/>
      <c r="I108" s="17">
        <f>IF(H108="","",IF(H108&gt;=12,40,ROUND(H108*3.33,2)))</f>
        <v/>
      </c>
      <c r="J108" s="11" t="n"/>
      <c r="K108" s="11" t="n"/>
      <c r="L108" s="11" t="n"/>
      <c r="M108" s="11" t="n"/>
      <c r="N108" s="10">
        <f>IF(COUNTA(J108:M108)=0,"",MIN(10,SUMPRODUCT((COUNTIF(J108:M108,L_KOM)&gt;0)*S_KOM)))</f>
        <v/>
      </c>
      <c r="O108" s="11" t="n"/>
      <c r="P108" s="10">
        <f>IF(O108="","",IFERROR(VLOOKUP(O108,T_KHID,2,FALSE),0))</f>
        <v/>
      </c>
      <c r="Q108" s="11" t="n"/>
      <c r="R108" s="11" t="n"/>
      <c r="S108" s="10">
        <f>IF(AND(Q108="",R108=""),"",IFERROR(INDEX(T_LIBAT,MATCH(Q108,L_PER,0),MATCH(R108,L_JENIS,0)),0))</f>
        <v/>
      </c>
      <c r="T108" s="11" t="n"/>
      <c r="U108" s="11" t="n"/>
      <c r="V108" s="10">
        <f>IF(AND(T108="",U108=""),"",IFERROR(INDEX(T_CAPAI,MATCH(T108,L_PER,0),MATCH(U108,L_KED,0)),0))</f>
        <v/>
      </c>
      <c r="W108" s="17">
        <f>IF(OR(B108="",E108="",COUNTA(F108,H108,J108:M108,O108,Q108:R108,T108:U108)=0),"",SUM(G108,I108,N108,P108,S108,V108))</f>
        <v/>
      </c>
      <c r="X108" s="18">
        <f>IF(W108="","",IF(Murid!F108="TL","TL",ROUND(W108/110*100,2)))</f>
        <v/>
      </c>
    </row>
    <row r="109">
      <c r="A109" s="15">
        <f>Murid!A109</f>
        <v/>
      </c>
      <c r="B109" s="15">
        <f>IF(Murid!B109="","",Murid!B109)</f>
        <v/>
      </c>
      <c r="C109" s="16">
        <f>IF(Murid!C109="","",Murid!C109)</f>
        <v/>
      </c>
      <c r="D109" s="15">
        <f>IF(Murid!E109="","",Murid!E109)</f>
        <v/>
      </c>
      <c r="E109" s="11" t="n"/>
      <c r="F109" s="11" t="n"/>
      <c r="G109" s="10">
        <f>IF(F109="","",IFERROR(VLOOKUP(F109,T_JSP,2,FALSE),0))</f>
        <v/>
      </c>
      <c r="H109" s="11" t="n"/>
      <c r="I109" s="17">
        <f>IF(H109="","",IF(H109&gt;=12,40,ROUND(H109*3.33,2)))</f>
        <v/>
      </c>
      <c r="J109" s="11" t="n"/>
      <c r="K109" s="11" t="n"/>
      <c r="L109" s="11" t="n"/>
      <c r="M109" s="11" t="n"/>
      <c r="N109" s="10">
        <f>IF(COUNTA(J109:M109)=0,"",MIN(10,SUMPRODUCT((COUNTIF(J109:M109,L_KOM)&gt;0)*S_KOM)))</f>
        <v/>
      </c>
      <c r="O109" s="11" t="n"/>
      <c r="P109" s="10">
        <f>IF(O109="","",IFERROR(VLOOKUP(O109,T_KHID,2,FALSE),0))</f>
        <v/>
      </c>
      <c r="Q109" s="11" t="n"/>
      <c r="R109" s="11" t="n"/>
      <c r="S109" s="10">
        <f>IF(AND(Q109="",R109=""),"",IFERROR(INDEX(T_LIBAT,MATCH(Q109,L_PER,0),MATCH(R109,L_JENIS,0)),0))</f>
        <v/>
      </c>
      <c r="T109" s="11" t="n"/>
      <c r="U109" s="11" t="n"/>
      <c r="V109" s="10">
        <f>IF(AND(T109="",U109=""),"",IFERROR(INDEX(T_CAPAI,MATCH(T109,L_PER,0),MATCH(U109,L_KED,0)),0))</f>
        <v/>
      </c>
      <c r="W109" s="17">
        <f>IF(OR(B109="",E109="",COUNTA(F109,H109,J109:M109,O109,Q109:R109,T109:U109)=0),"",SUM(G109,I109,N109,P109,S109,V109))</f>
        <v/>
      </c>
      <c r="X109" s="18">
        <f>IF(W109="","",IF(Murid!F109="TL","TL",ROUND(W109/110*100,2)))</f>
        <v/>
      </c>
    </row>
    <row r="110">
      <c r="A110" s="15">
        <f>Murid!A110</f>
        <v/>
      </c>
      <c r="B110" s="15">
        <f>IF(Murid!B110="","",Murid!B110)</f>
        <v/>
      </c>
      <c r="C110" s="16">
        <f>IF(Murid!C110="","",Murid!C110)</f>
        <v/>
      </c>
      <c r="D110" s="15">
        <f>IF(Murid!E110="","",Murid!E110)</f>
        <v/>
      </c>
      <c r="E110" s="11" t="n"/>
      <c r="F110" s="11" t="n"/>
      <c r="G110" s="10">
        <f>IF(F110="","",IFERROR(VLOOKUP(F110,T_JSP,2,FALSE),0))</f>
        <v/>
      </c>
      <c r="H110" s="11" t="n"/>
      <c r="I110" s="17">
        <f>IF(H110="","",IF(H110&gt;=12,40,ROUND(H110*3.33,2)))</f>
        <v/>
      </c>
      <c r="J110" s="11" t="n"/>
      <c r="K110" s="11" t="n"/>
      <c r="L110" s="11" t="n"/>
      <c r="M110" s="11" t="n"/>
      <c r="N110" s="10">
        <f>IF(COUNTA(J110:M110)=0,"",MIN(10,SUMPRODUCT((COUNTIF(J110:M110,L_KOM)&gt;0)*S_KOM)))</f>
        <v/>
      </c>
      <c r="O110" s="11" t="n"/>
      <c r="P110" s="10">
        <f>IF(O110="","",IFERROR(VLOOKUP(O110,T_KHID,2,FALSE),0))</f>
        <v/>
      </c>
      <c r="Q110" s="11" t="n"/>
      <c r="R110" s="11" t="n"/>
      <c r="S110" s="10">
        <f>IF(AND(Q110="",R110=""),"",IFERROR(INDEX(T_LIBAT,MATCH(Q110,L_PER,0),MATCH(R110,L_JENIS,0)),0))</f>
        <v/>
      </c>
      <c r="T110" s="11" t="n"/>
      <c r="U110" s="11" t="n"/>
      <c r="V110" s="10">
        <f>IF(AND(T110="",U110=""),"",IFERROR(INDEX(T_CAPAI,MATCH(T110,L_PER,0),MATCH(U110,L_KED,0)),0))</f>
        <v/>
      </c>
      <c r="W110" s="17">
        <f>IF(OR(B110="",E110="",COUNTA(F110,H110,J110:M110,O110,Q110:R110,T110:U110)=0),"",SUM(G110,I110,N110,P110,S110,V110))</f>
        <v/>
      </c>
      <c r="X110" s="18">
        <f>IF(W110="","",IF(Murid!F110="TL","TL",ROUND(W110/110*100,2)))</f>
        <v/>
      </c>
    </row>
    <row r="111">
      <c r="A111" s="15">
        <f>Murid!A111</f>
        <v/>
      </c>
      <c r="B111" s="15">
        <f>IF(Murid!B111="","",Murid!B111)</f>
        <v/>
      </c>
      <c r="C111" s="16">
        <f>IF(Murid!C111="","",Murid!C111)</f>
        <v/>
      </c>
      <c r="D111" s="15">
        <f>IF(Murid!E111="","",Murid!E111)</f>
        <v/>
      </c>
      <c r="E111" s="11" t="n"/>
      <c r="F111" s="11" t="n"/>
      <c r="G111" s="10">
        <f>IF(F111="","",IFERROR(VLOOKUP(F111,T_JSP,2,FALSE),0))</f>
        <v/>
      </c>
      <c r="H111" s="11" t="n"/>
      <c r="I111" s="17">
        <f>IF(H111="","",IF(H111&gt;=12,40,ROUND(H111*3.33,2)))</f>
        <v/>
      </c>
      <c r="J111" s="11" t="n"/>
      <c r="K111" s="11" t="n"/>
      <c r="L111" s="11" t="n"/>
      <c r="M111" s="11" t="n"/>
      <c r="N111" s="10">
        <f>IF(COUNTA(J111:M111)=0,"",MIN(10,SUMPRODUCT((COUNTIF(J111:M111,L_KOM)&gt;0)*S_KOM)))</f>
        <v/>
      </c>
      <c r="O111" s="11" t="n"/>
      <c r="P111" s="10">
        <f>IF(O111="","",IFERROR(VLOOKUP(O111,T_KHID,2,FALSE),0))</f>
        <v/>
      </c>
      <c r="Q111" s="11" t="n"/>
      <c r="R111" s="11" t="n"/>
      <c r="S111" s="10">
        <f>IF(AND(Q111="",R111=""),"",IFERROR(INDEX(T_LIBAT,MATCH(Q111,L_PER,0),MATCH(R111,L_JENIS,0)),0))</f>
        <v/>
      </c>
      <c r="T111" s="11" t="n"/>
      <c r="U111" s="11" t="n"/>
      <c r="V111" s="10">
        <f>IF(AND(T111="",U111=""),"",IFERROR(INDEX(T_CAPAI,MATCH(T111,L_PER,0),MATCH(U111,L_KED,0)),0))</f>
        <v/>
      </c>
      <c r="W111" s="17">
        <f>IF(OR(B111="",E111="",COUNTA(F111,H111,J111:M111,O111,Q111:R111,T111:U111)=0),"",SUM(G111,I111,N111,P111,S111,V111))</f>
        <v/>
      </c>
      <c r="X111" s="18">
        <f>IF(W111="","",IF(Murid!F111="TL","TL",ROUND(W111/110*100,2)))</f>
        <v/>
      </c>
    </row>
    <row r="112">
      <c r="A112" s="15">
        <f>Murid!A112</f>
        <v/>
      </c>
      <c r="B112" s="15">
        <f>IF(Murid!B112="","",Murid!B112)</f>
        <v/>
      </c>
      <c r="C112" s="16">
        <f>IF(Murid!C112="","",Murid!C112)</f>
        <v/>
      </c>
      <c r="D112" s="15">
        <f>IF(Murid!E112="","",Murid!E112)</f>
        <v/>
      </c>
      <c r="E112" s="11" t="n"/>
      <c r="F112" s="11" t="n"/>
      <c r="G112" s="10">
        <f>IF(F112="","",IFERROR(VLOOKUP(F112,T_JSP,2,FALSE),0))</f>
        <v/>
      </c>
      <c r="H112" s="11" t="n"/>
      <c r="I112" s="17">
        <f>IF(H112="","",IF(H112&gt;=12,40,ROUND(H112*3.33,2)))</f>
        <v/>
      </c>
      <c r="J112" s="11" t="n"/>
      <c r="K112" s="11" t="n"/>
      <c r="L112" s="11" t="n"/>
      <c r="M112" s="11" t="n"/>
      <c r="N112" s="10">
        <f>IF(COUNTA(J112:M112)=0,"",MIN(10,SUMPRODUCT((COUNTIF(J112:M112,L_KOM)&gt;0)*S_KOM)))</f>
        <v/>
      </c>
      <c r="O112" s="11" t="n"/>
      <c r="P112" s="10">
        <f>IF(O112="","",IFERROR(VLOOKUP(O112,T_KHID,2,FALSE),0))</f>
        <v/>
      </c>
      <c r="Q112" s="11" t="n"/>
      <c r="R112" s="11" t="n"/>
      <c r="S112" s="10">
        <f>IF(AND(Q112="",R112=""),"",IFERROR(INDEX(T_LIBAT,MATCH(Q112,L_PER,0),MATCH(R112,L_JENIS,0)),0))</f>
        <v/>
      </c>
      <c r="T112" s="11" t="n"/>
      <c r="U112" s="11" t="n"/>
      <c r="V112" s="10">
        <f>IF(AND(T112="",U112=""),"",IFERROR(INDEX(T_CAPAI,MATCH(T112,L_PER,0),MATCH(U112,L_KED,0)),0))</f>
        <v/>
      </c>
      <c r="W112" s="17">
        <f>IF(OR(B112="",E112="",COUNTA(F112,H112,J112:M112,O112,Q112:R112,T112:U112)=0),"",SUM(G112,I112,N112,P112,S112,V112))</f>
        <v/>
      </c>
      <c r="X112" s="18">
        <f>IF(W112="","",IF(Murid!F112="TL","TL",ROUND(W112/110*100,2)))</f>
        <v/>
      </c>
    </row>
    <row r="113">
      <c r="A113" s="15">
        <f>Murid!A113</f>
        <v/>
      </c>
      <c r="B113" s="15">
        <f>IF(Murid!B113="","",Murid!B113)</f>
        <v/>
      </c>
      <c r="C113" s="16">
        <f>IF(Murid!C113="","",Murid!C113)</f>
        <v/>
      </c>
      <c r="D113" s="15">
        <f>IF(Murid!E113="","",Murid!E113)</f>
        <v/>
      </c>
      <c r="E113" s="11" t="n"/>
      <c r="F113" s="11" t="n"/>
      <c r="G113" s="10">
        <f>IF(F113="","",IFERROR(VLOOKUP(F113,T_JSP,2,FALSE),0))</f>
        <v/>
      </c>
      <c r="H113" s="11" t="n"/>
      <c r="I113" s="17">
        <f>IF(H113="","",IF(H113&gt;=12,40,ROUND(H113*3.33,2)))</f>
        <v/>
      </c>
      <c r="J113" s="11" t="n"/>
      <c r="K113" s="11" t="n"/>
      <c r="L113" s="11" t="n"/>
      <c r="M113" s="11" t="n"/>
      <c r="N113" s="10">
        <f>IF(COUNTA(J113:M113)=0,"",MIN(10,SUMPRODUCT((COUNTIF(J113:M113,L_KOM)&gt;0)*S_KOM)))</f>
        <v/>
      </c>
      <c r="O113" s="11" t="n"/>
      <c r="P113" s="10">
        <f>IF(O113="","",IFERROR(VLOOKUP(O113,T_KHID,2,FALSE),0))</f>
        <v/>
      </c>
      <c r="Q113" s="11" t="n"/>
      <c r="R113" s="11" t="n"/>
      <c r="S113" s="10">
        <f>IF(AND(Q113="",R113=""),"",IFERROR(INDEX(T_LIBAT,MATCH(Q113,L_PER,0),MATCH(R113,L_JENIS,0)),0))</f>
        <v/>
      </c>
      <c r="T113" s="11" t="n"/>
      <c r="U113" s="11" t="n"/>
      <c r="V113" s="10">
        <f>IF(AND(T113="",U113=""),"",IFERROR(INDEX(T_CAPAI,MATCH(T113,L_PER,0),MATCH(U113,L_KED,0)),0))</f>
        <v/>
      </c>
      <c r="W113" s="17">
        <f>IF(OR(B113="",E113="",COUNTA(F113,H113,J113:M113,O113,Q113:R113,T113:U113)=0),"",SUM(G113,I113,N113,P113,S113,V113))</f>
        <v/>
      </c>
      <c r="X113" s="18">
        <f>IF(W113="","",IF(Murid!F113="TL","TL",ROUND(W113/110*100,2)))</f>
        <v/>
      </c>
    </row>
    <row r="114">
      <c r="A114" s="15">
        <f>Murid!A114</f>
        <v/>
      </c>
      <c r="B114" s="15">
        <f>IF(Murid!B114="","",Murid!B114)</f>
        <v/>
      </c>
      <c r="C114" s="16">
        <f>IF(Murid!C114="","",Murid!C114)</f>
        <v/>
      </c>
      <c r="D114" s="15">
        <f>IF(Murid!E114="","",Murid!E114)</f>
        <v/>
      </c>
      <c r="E114" s="11" t="n"/>
      <c r="F114" s="11" t="n"/>
      <c r="G114" s="10">
        <f>IF(F114="","",IFERROR(VLOOKUP(F114,T_JSP,2,FALSE),0))</f>
        <v/>
      </c>
      <c r="H114" s="11" t="n"/>
      <c r="I114" s="17">
        <f>IF(H114="","",IF(H114&gt;=12,40,ROUND(H114*3.33,2)))</f>
        <v/>
      </c>
      <c r="J114" s="11" t="n"/>
      <c r="K114" s="11" t="n"/>
      <c r="L114" s="11" t="n"/>
      <c r="M114" s="11" t="n"/>
      <c r="N114" s="10">
        <f>IF(COUNTA(J114:M114)=0,"",MIN(10,SUMPRODUCT((COUNTIF(J114:M114,L_KOM)&gt;0)*S_KOM)))</f>
        <v/>
      </c>
      <c r="O114" s="11" t="n"/>
      <c r="P114" s="10">
        <f>IF(O114="","",IFERROR(VLOOKUP(O114,T_KHID,2,FALSE),0))</f>
        <v/>
      </c>
      <c r="Q114" s="11" t="n"/>
      <c r="R114" s="11" t="n"/>
      <c r="S114" s="10">
        <f>IF(AND(Q114="",R114=""),"",IFERROR(INDEX(T_LIBAT,MATCH(Q114,L_PER,0),MATCH(R114,L_JENIS,0)),0))</f>
        <v/>
      </c>
      <c r="T114" s="11" t="n"/>
      <c r="U114" s="11" t="n"/>
      <c r="V114" s="10">
        <f>IF(AND(T114="",U114=""),"",IFERROR(INDEX(T_CAPAI,MATCH(T114,L_PER,0),MATCH(U114,L_KED,0)),0))</f>
        <v/>
      </c>
      <c r="W114" s="17">
        <f>IF(OR(B114="",E114="",COUNTA(F114,H114,J114:M114,O114,Q114:R114,T114:U114)=0),"",SUM(G114,I114,N114,P114,S114,V114))</f>
        <v/>
      </c>
      <c r="X114" s="18">
        <f>IF(W114="","",IF(Murid!F114="TL","TL",ROUND(W114/110*100,2)))</f>
        <v/>
      </c>
    </row>
    <row r="115">
      <c r="A115" s="15">
        <f>Murid!A115</f>
        <v/>
      </c>
      <c r="B115" s="15">
        <f>IF(Murid!B115="","",Murid!B115)</f>
        <v/>
      </c>
      <c r="C115" s="16">
        <f>IF(Murid!C115="","",Murid!C115)</f>
        <v/>
      </c>
      <c r="D115" s="15">
        <f>IF(Murid!E115="","",Murid!E115)</f>
        <v/>
      </c>
      <c r="E115" s="11" t="n"/>
      <c r="F115" s="11" t="n"/>
      <c r="G115" s="10">
        <f>IF(F115="","",IFERROR(VLOOKUP(F115,T_JSP,2,FALSE),0))</f>
        <v/>
      </c>
      <c r="H115" s="11" t="n"/>
      <c r="I115" s="17">
        <f>IF(H115="","",IF(H115&gt;=12,40,ROUND(H115*3.33,2)))</f>
        <v/>
      </c>
      <c r="J115" s="11" t="n"/>
      <c r="K115" s="11" t="n"/>
      <c r="L115" s="11" t="n"/>
      <c r="M115" s="11" t="n"/>
      <c r="N115" s="10">
        <f>IF(COUNTA(J115:M115)=0,"",MIN(10,SUMPRODUCT((COUNTIF(J115:M115,L_KOM)&gt;0)*S_KOM)))</f>
        <v/>
      </c>
      <c r="O115" s="11" t="n"/>
      <c r="P115" s="10">
        <f>IF(O115="","",IFERROR(VLOOKUP(O115,T_KHID,2,FALSE),0))</f>
        <v/>
      </c>
      <c r="Q115" s="11" t="n"/>
      <c r="R115" s="11" t="n"/>
      <c r="S115" s="10">
        <f>IF(AND(Q115="",R115=""),"",IFERROR(INDEX(T_LIBAT,MATCH(Q115,L_PER,0),MATCH(R115,L_JENIS,0)),0))</f>
        <v/>
      </c>
      <c r="T115" s="11" t="n"/>
      <c r="U115" s="11" t="n"/>
      <c r="V115" s="10">
        <f>IF(AND(T115="",U115=""),"",IFERROR(INDEX(T_CAPAI,MATCH(T115,L_PER,0),MATCH(U115,L_KED,0)),0))</f>
        <v/>
      </c>
      <c r="W115" s="17">
        <f>IF(OR(B115="",E115="",COUNTA(F115,H115,J115:M115,O115,Q115:R115,T115:U115)=0),"",SUM(G115,I115,N115,P115,S115,V115))</f>
        <v/>
      </c>
      <c r="X115" s="18">
        <f>IF(W115="","",IF(Murid!F115="TL","TL",ROUND(W115/110*100,2)))</f>
        <v/>
      </c>
    </row>
    <row r="116">
      <c r="A116" s="15">
        <f>Murid!A116</f>
        <v/>
      </c>
      <c r="B116" s="15">
        <f>IF(Murid!B116="","",Murid!B116)</f>
        <v/>
      </c>
      <c r="C116" s="16">
        <f>IF(Murid!C116="","",Murid!C116)</f>
        <v/>
      </c>
      <c r="D116" s="15">
        <f>IF(Murid!E116="","",Murid!E116)</f>
        <v/>
      </c>
      <c r="E116" s="11" t="n"/>
      <c r="F116" s="11" t="n"/>
      <c r="G116" s="10">
        <f>IF(F116="","",IFERROR(VLOOKUP(F116,T_JSP,2,FALSE),0))</f>
        <v/>
      </c>
      <c r="H116" s="11" t="n"/>
      <c r="I116" s="17">
        <f>IF(H116="","",IF(H116&gt;=12,40,ROUND(H116*3.33,2)))</f>
        <v/>
      </c>
      <c r="J116" s="11" t="n"/>
      <c r="K116" s="11" t="n"/>
      <c r="L116" s="11" t="n"/>
      <c r="M116" s="11" t="n"/>
      <c r="N116" s="10">
        <f>IF(COUNTA(J116:M116)=0,"",MIN(10,SUMPRODUCT((COUNTIF(J116:M116,L_KOM)&gt;0)*S_KOM)))</f>
        <v/>
      </c>
      <c r="O116" s="11" t="n"/>
      <c r="P116" s="10">
        <f>IF(O116="","",IFERROR(VLOOKUP(O116,T_KHID,2,FALSE),0))</f>
        <v/>
      </c>
      <c r="Q116" s="11" t="n"/>
      <c r="R116" s="11" t="n"/>
      <c r="S116" s="10">
        <f>IF(AND(Q116="",R116=""),"",IFERROR(INDEX(T_LIBAT,MATCH(Q116,L_PER,0),MATCH(R116,L_JENIS,0)),0))</f>
        <v/>
      </c>
      <c r="T116" s="11" t="n"/>
      <c r="U116" s="11" t="n"/>
      <c r="V116" s="10">
        <f>IF(AND(T116="",U116=""),"",IFERROR(INDEX(T_CAPAI,MATCH(T116,L_PER,0),MATCH(U116,L_KED,0)),0))</f>
        <v/>
      </c>
      <c r="W116" s="17">
        <f>IF(OR(B116="",E116="",COUNTA(F116,H116,J116:M116,O116,Q116:R116,T116:U116)=0),"",SUM(G116,I116,N116,P116,S116,V116))</f>
        <v/>
      </c>
      <c r="X116" s="18">
        <f>IF(W116="","",IF(Murid!F116="TL","TL",ROUND(W116/110*100,2)))</f>
        <v/>
      </c>
    </row>
    <row r="117">
      <c r="A117" s="15">
        <f>Murid!A117</f>
        <v/>
      </c>
      <c r="B117" s="15">
        <f>IF(Murid!B117="","",Murid!B117)</f>
        <v/>
      </c>
      <c r="C117" s="16">
        <f>IF(Murid!C117="","",Murid!C117)</f>
        <v/>
      </c>
      <c r="D117" s="15">
        <f>IF(Murid!E117="","",Murid!E117)</f>
        <v/>
      </c>
      <c r="E117" s="11" t="n"/>
      <c r="F117" s="11" t="n"/>
      <c r="G117" s="10">
        <f>IF(F117="","",IFERROR(VLOOKUP(F117,T_JSP,2,FALSE),0))</f>
        <v/>
      </c>
      <c r="H117" s="11" t="n"/>
      <c r="I117" s="17">
        <f>IF(H117="","",IF(H117&gt;=12,40,ROUND(H117*3.33,2)))</f>
        <v/>
      </c>
      <c r="J117" s="11" t="n"/>
      <c r="K117" s="11" t="n"/>
      <c r="L117" s="11" t="n"/>
      <c r="M117" s="11" t="n"/>
      <c r="N117" s="10">
        <f>IF(COUNTA(J117:M117)=0,"",MIN(10,SUMPRODUCT((COUNTIF(J117:M117,L_KOM)&gt;0)*S_KOM)))</f>
        <v/>
      </c>
      <c r="O117" s="11" t="n"/>
      <c r="P117" s="10">
        <f>IF(O117="","",IFERROR(VLOOKUP(O117,T_KHID,2,FALSE),0))</f>
        <v/>
      </c>
      <c r="Q117" s="11" t="n"/>
      <c r="R117" s="11" t="n"/>
      <c r="S117" s="10">
        <f>IF(AND(Q117="",R117=""),"",IFERROR(INDEX(T_LIBAT,MATCH(Q117,L_PER,0),MATCH(R117,L_JENIS,0)),0))</f>
        <v/>
      </c>
      <c r="T117" s="11" t="n"/>
      <c r="U117" s="11" t="n"/>
      <c r="V117" s="10">
        <f>IF(AND(T117="",U117=""),"",IFERROR(INDEX(T_CAPAI,MATCH(T117,L_PER,0),MATCH(U117,L_KED,0)),0))</f>
        <v/>
      </c>
      <c r="W117" s="17">
        <f>IF(OR(B117="",E117="",COUNTA(F117,H117,J117:M117,O117,Q117:R117,T117:U117)=0),"",SUM(G117,I117,N117,P117,S117,V117))</f>
        <v/>
      </c>
      <c r="X117" s="18">
        <f>IF(W117="","",IF(Murid!F117="TL","TL",ROUND(W117/110*100,2)))</f>
        <v/>
      </c>
    </row>
    <row r="118">
      <c r="A118" s="15">
        <f>Murid!A118</f>
        <v/>
      </c>
      <c r="B118" s="15">
        <f>IF(Murid!B118="","",Murid!B118)</f>
        <v/>
      </c>
      <c r="C118" s="16">
        <f>IF(Murid!C118="","",Murid!C118)</f>
        <v/>
      </c>
      <c r="D118" s="15">
        <f>IF(Murid!E118="","",Murid!E118)</f>
        <v/>
      </c>
      <c r="E118" s="11" t="n"/>
      <c r="F118" s="11" t="n"/>
      <c r="G118" s="10">
        <f>IF(F118="","",IFERROR(VLOOKUP(F118,T_JSP,2,FALSE),0))</f>
        <v/>
      </c>
      <c r="H118" s="11" t="n"/>
      <c r="I118" s="17">
        <f>IF(H118="","",IF(H118&gt;=12,40,ROUND(H118*3.33,2)))</f>
        <v/>
      </c>
      <c r="J118" s="11" t="n"/>
      <c r="K118" s="11" t="n"/>
      <c r="L118" s="11" t="n"/>
      <c r="M118" s="11" t="n"/>
      <c r="N118" s="10">
        <f>IF(COUNTA(J118:M118)=0,"",MIN(10,SUMPRODUCT((COUNTIF(J118:M118,L_KOM)&gt;0)*S_KOM)))</f>
        <v/>
      </c>
      <c r="O118" s="11" t="n"/>
      <c r="P118" s="10">
        <f>IF(O118="","",IFERROR(VLOOKUP(O118,T_KHID,2,FALSE),0))</f>
        <v/>
      </c>
      <c r="Q118" s="11" t="n"/>
      <c r="R118" s="11" t="n"/>
      <c r="S118" s="10">
        <f>IF(AND(Q118="",R118=""),"",IFERROR(INDEX(T_LIBAT,MATCH(Q118,L_PER,0),MATCH(R118,L_JENIS,0)),0))</f>
        <v/>
      </c>
      <c r="T118" s="11" t="n"/>
      <c r="U118" s="11" t="n"/>
      <c r="V118" s="10">
        <f>IF(AND(T118="",U118=""),"",IFERROR(INDEX(T_CAPAI,MATCH(T118,L_PER,0),MATCH(U118,L_KED,0)),0))</f>
        <v/>
      </c>
      <c r="W118" s="17">
        <f>IF(OR(B118="",E118="",COUNTA(F118,H118,J118:M118,O118,Q118:R118,T118:U118)=0),"",SUM(G118,I118,N118,P118,S118,V118))</f>
        <v/>
      </c>
      <c r="X118" s="18">
        <f>IF(W118="","",IF(Murid!F118="TL","TL",ROUND(W118/110*100,2)))</f>
        <v/>
      </c>
    </row>
    <row r="119">
      <c r="A119" s="15">
        <f>Murid!A119</f>
        <v/>
      </c>
      <c r="B119" s="15">
        <f>IF(Murid!B119="","",Murid!B119)</f>
        <v/>
      </c>
      <c r="C119" s="16">
        <f>IF(Murid!C119="","",Murid!C119)</f>
        <v/>
      </c>
      <c r="D119" s="15">
        <f>IF(Murid!E119="","",Murid!E119)</f>
        <v/>
      </c>
      <c r="E119" s="11" t="n"/>
      <c r="F119" s="11" t="n"/>
      <c r="G119" s="10">
        <f>IF(F119="","",IFERROR(VLOOKUP(F119,T_JSP,2,FALSE),0))</f>
        <v/>
      </c>
      <c r="H119" s="11" t="n"/>
      <c r="I119" s="17">
        <f>IF(H119="","",IF(H119&gt;=12,40,ROUND(H119*3.33,2)))</f>
        <v/>
      </c>
      <c r="J119" s="11" t="n"/>
      <c r="K119" s="11" t="n"/>
      <c r="L119" s="11" t="n"/>
      <c r="M119" s="11" t="n"/>
      <c r="N119" s="10">
        <f>IF(COUNTA(J119:M119)=0,"",MIN(10,SUMPRODUCT((COUNTIF(J119:M119,L_KOM)&gt;0)*S_KOM)))</f>
        <v/>
      </c>
      <c r="O119" s="11" t="n"/>
      <c r="P119" s="10">
        <f>IF(O119="","",IFERROR(VLOOKUP(O119,T_KHID,2,FALSE),0))</f>
        <v/>
      </c>
      <c r="Q119" s="11" t="n"/>
      <c r="R119" s="11" t="n"/>
      <c r="S119" s="10">
        <f>IF(AND(Q119="",R119=""),"",IFERROR(INDEX(T_LIBAT,MATCH(Q119,L_PER,0),MATCH(R119,L_JENIS,0)),0))</f>
        <v/>
      </c>
      <c r="T119" s="11" t="n"/>
      <c r="U119" s="11" t="n"/>
      <c r="V119" s="10">
        <f>IF(AND(T119="",U119=""),"",IFERROR(INDEX(T_CAPAI,MATCH(T119,L_PER,0),MATCH(U119,L_KED,0)),0))</f>
        <v/>
      </c>
      <c r="W119" s="17">
        <f>IF(OR(B119="",E119="",COUNTA(F119,H119,J119:M119,O119,Q119:R119,T119:U119)=0),"",SUM(G119,I119,N119,P119,S119,V119))</f>
        <v/>
      </c>
      <c r="X119" s="18">
        <f>IF(W119="","",IF(Murid!F119="TL","TL",ROUND(W119/110*100,2)))</f>
        <v/>
      </c>
    </row>
    <row r="120">
      <c r="A120" s="15">
        <f>Murid!A120</f>
        <v/>
      </c>
      <c r="B120" s="15">
        <f>IF(Murid!B120="","",Murid!B120)</f>
        <v/>
      </c>
      <c r="C120" s="16">
        <f>IF(Murid!C120="","",Murid!C120)</f>
        <v/>
      </c>
      <c r="D120" s="15">
        <f>IF(Murid!E120="","",Murid!E120)</f>
        <v/>
      </c>
      <c r="E120" s="11" t="n"/>
      <c r="F120" s="11" t="n"/>
      <c r="G120" s="10">
        <f>IF(F120="","",IFERROR(VLOOKUP(F120,T_JSP,2,FALSE),0))</f>
        <v/>
      </c>
      <c r="H120" s="11" t="n"/>
      <c r="I120" s="17">
        <f>IF(H120="","",IF(H120&gt;=12,40,ROUND(H120*3.33,2)))</f>
        <v/>
      </c>
      <c r="J120" s="11" t="n"/>
      <c r="K120" s="11" t="n"/>
      <c r="L120" s="11" t="n"/>
      <c r="M120" s="11" t="n"/>
      <c r="N120" s="10">
        <f>IF(COUNTA(J120:M120)=0,"",MIN(10,SUMPRODUCT((COUNTIF(J120:M120,L_KOM)&gt;0)*S_KOM)))</f>
        <v/>
      </c>
      <c r="O120" s="11" t="n"/>
      <c r="P120" s="10">
        <f>IF(O120="","",IFERROR(VLOOKUP(O120,T_KHID,2,FALSE),0))</f>
        <v/>
      </c>
      <c r="Q120" s="11" t="n"/>
      <c r="R120" s="11" t="n"/>
      <c r="S120" s="10">
        <f>IF(AND(Q120="",R120=""),"",IFERROR(INDEX(T_LIBAT,MATCH(Q120,L_PER,0),MATCH(R120,L_JENIS,0)),0))</f>
        <v/>
      </c>
      <c r="T120" s="11" t="n"/>
      <c r="U120" s="11" t="n"/>
      <c r="V120" s="10">
        <f>IF(AND(T120="",U120=""),"",IFERROR(INDEX(T_CAPAI,MATCH(T120,L_PER,0),MATCH(U120,L_KED,0)),0))</f>
        <v/>
      </c>
      <c r="W120" s="17">
        <f>IF(OR(B120="",E120="",COUNTA(F120,H120,J120:M120,O120,Q120:R120,T120:U120)=0),"",SUM(G120,I120,N120,P120,S120,V120))</f>
        <v/>
      </c>
      <c r="X120" s="18">
        <f>IF(W120="","",IF(Murid!F120="TL","TL",ROUND(W120/110*100,2)))</f>
        <v/>
      </c>
    </row>
    <row r="121">
      <c r="A121" s="15">
        <f>Murid!A121</f>
        <v/>
      </c>
      <c r="B121" s="15">
        <f>IF(Murid!B121="","",Murid!B121)</f>
        <v/>
      </c>
      <c r="C121" s="16">
        <f>IF(Murid!C121="","",Murid!C121)</f>
        <v/>
      </c>
      <c r="D121" s="15">
        <f>IF(Murid!E121="","",Murid!E121)</f>
        <v/>
      </c>
      <c r="E121" s="11" t="n"/>
      <c r="F121" s="11" t="n"/>
      <c r="G121" s="10">
        <f>IF(F121="","",IFERROR(VLOOKUP(F121,T_JSP,2,FALSE),0))</f>
        <v/>
      </c>
      <c r="H121" s="11" t="n"/>
      <c r="I121" s="17">
        <f>IF(H121="","",IF(H121&gt;=12,40,ROUND(H121*3.33,2)))</f>
        <v/>
      </c>
      <c r="J121" s="11" t="n"/>
      <c r="K121" s="11" t="n"/>
      <c r="L121" s="11" t="n"/>
      <c r="M121" s="11" t="n"/>
      <c r="N121" s="10">
        <f>IF(COUNTA(J121:M121)=0,"",MIN(10,SUMPRODUCT((COUNTIF(J121:M121,L_KOM)&gt;0)*S_KOM)))</f>
        <v/>
      </c>
      <c r="O121" s="11" t="n"/>
      <c r="P121" s="10">
        <f>IF(O121="","",IFERROR(VLOOKUP(O121,T_KHID,2,FALSE),0))</f>
        <v/>
      </c>
      <c r="Q121" s="11" t="n"/>
      <c r="R121" s="11" t="n"/>
      <c r="S121" s="10">
        <f>IF(AND(Q121="",R121=""),"",IFERROR(INDEX(T_LIBAT,MATCH(Q121,L_PER,0),MATCH(R121,L_JENIS,0)),0))</f>
        <v/>
      </c>
      <c r="T121" s="11" t="n"/>
      <c r="U121" s="11" t="n"/>
      <c r="V121" s="10">
        <f>IF(AND(T121="",U121=""),"",IFERROR(INDEX(T_CAPAI,MATCH(T121,L_PER,0),MATCH(U121,L_KED,0)),0))</f>
        <v/>
      </c>
      <c r="W121" s="17">
        <f>IF(OR(B121="",E121="",COUNTA(F121,H121,J121:M121,O121,Q121:R121,T121:U121)=0),"",SUM(G121,I121,N121,P121,S121,V121))</f>
        <v/>
      </c>
      <c r="X121" s="18">
        <f>IF(W121="","",IF(Murid!F121="TL","TL",ROUND(W121/110*100,2)))</f>
        <v/>
      </c>
    </row>
    <row r="122">
      <c r="A122" s="15">
        <f>Murid!A122</f>
        <v/>
      </c>
      <c r="B122" s="15">
        <f>IF(Murid!B122="","",Murid!B122)</f>
        <v/>
      </c>
      <c r="C122" s="16">
        <f>IF(Murid!C122="","",Murid!C122)</f>
        <v/>
      </c>
      <c r="D122" s="15">
        <f>IF(Murid!E122="","",Murid!E122)</f>
        <v/>
      </c>
      <c r="E122" s="11" t="n"/>
      <c r="F122" s="11" t="n"/>
      <c r="G122" s="10">
        <f>IF(F122="","",IFERROR(VLOOKUP(F122,T_JSP,2,FALSE),0))</f>
        <v/>
      </c>
      <c r="H122" s="11" t="n"/>
      <c r="I122" s="17">
        <f>IF(H122="","",IF(H122&gt;=12,40,ROUND(H122*3.33,2)))</f>
        <v/>
      </c>
      <c r="J122" s="11" t="n"/>
      <c r="K122" s="11" t="n"/>
      <c r="L122" s="11" t="n"/>
      <c r="M122" s="11" t="n"/>
      <c r="N122" s="10">
        <f>IF(COUNTA(J122:M122)=0,"",MIN(10,SUMPRODUCT((COUNTIF(J122:M122,L_KOM)&gt;0)*S_KOM)))</f>
        <v/>
      </c>
      <c r="O122" s="11" t="n"/>
      <c r="P122" s="10">
        <f>IF(O122="","",IFERROR(VLOOKUP(O122,T_KHID,2,FALSE),0))</f>
        <v/>
      </c>
      <c r="Q122" s="11" t="n"/>
      <c r="R122" s="11" t="n"/>
      <c r="S122" s="10">
        <f>IF(AND(Q122="",R122=""),"",IFERROR(INDEX(T_LIBAT,MATCH(Q122,L_PER,0),MATCH(R122,L_JENIS,0)),0))</f>
        <v/>
      </c>
      <c r="T122" s="11" t="n"/>
      <c r="U122" s="11" t="n"/>
      <c r="V122" s="10">
        <f>IF(AND(T122="",U122=""),"",IFERROR(INDEX(T_CAPAI,MATCH(T122,L_PER,0),MATCH(U122,L_KED,0)),0))</f>
        <v/>
      </c>
      <c r="W122" s="17">
        <f>IF(OR(B122="",E122="",COUNTA(F122,H122,J122:M122,O122,Q122:R122,T122:U122)=0),"",SUM(G122,I122,N122,P122,S122,V122))</f>
        <v/>
      </c>
      <c r="X122" s="18">
        <f>IF(W122="","",IF(Murid!F122="TL","TL",ROUND(W122/110*100,2)))</f>
        <v/>
      </c>
    </row>
    <row r="123">
      <c r="A123" s="15">
        <f>Murid!A123</f>
        <v/>
      </c>
      <c r="B123" s="15">
        <f>IF(Murid!B123="","",Murid!B123)</f>
        <v/>
      </c>
      <c r="C123" s="16">
        <f>IF(Murid!C123="","",Murid!C123)</f>
        <v/>
      </c>
      <c r="D123" s="15">
        <f>IF(Murid!E123="","",Murid!E123)</f>
        <v/>
      </c>
      <c r="E123" s="11" t="n"/>
      <c r="F123" s="11" t="n"/>
      <c r="G123" s="10">
        <f>IF(F123="","",IFERROR(VLOOKUP(F123,T_JSP,2,FALSE),0))</f>
        <v/>
      </c>
      <c r="H123" s="11" t="n"/>
      <c r="I123" s="17">
        <f>IF(H123="","",IF(H123&gt;=12,40,ROUND(H123*3.33,2)))</f>
        <v/>
      </c>
      <c r="J123" s="11" t="n"/>
      <c r="K123" s="11" t="n"/>
      <c r="L123" s="11" t="n"/>
      <c r="M123" s="11" t="n"/>
      <c r="N123" s="10">
        <f>IF(COUNTA(J123:M123)=0,"",MIN(10,SUMPRODUCT((COUNTIF(J123:M123,L_KOM)&gt;0)*S_KOM)))</f>
        <v/>
      </c>
      <c r="O123" s="11" t="n"/>
      <c r="P123" s="10">
        <f>IF(O123="","",IFERROR(VLOOKUP(O123,T_KHID,2,FALSE),0))</f>
        <v/>
      </c>
      <c r="Q123" s="11" t="n"/>
      <c r="R123" s="11" t="n"/>
      <c r="S123" s="10">
        <f>IF(AND(Q123="",R123=""),"",IFERROR(INDEX(T_LIBAT,MATCH(Q123,L_PER,0),MATCH(R123,L_JENIS,0)),0))</f>
        <v/>
      </c>
      <c r="T123" s="11" t="n"/>
      <c r="U123" s="11" t="n"/>
      <c r="V123" s="10">
        <f>IF(AND(T123="",U123=""),"",IFERROR(INDEX(T_CAPAI,MATCH(T123,L_PER,0),MATCH(U123,L_KED,0)),0))</f>
        <v/>
      </c>
      <c r="W123" s="17">
        <f>IF(OR(B123="",E123="",COUNTA(F123,H123,J123:M123,O123,Q123:R123,T123:U123)=0),"",SUM(G123,I123,N123,P123,S123,V123))</f>
        <v/>
      </c>
      <c r="X123" s="18">
        <f>IF(W123="","",IF(Murid!F123="TL","TL",ROUND(W123/110*100,2)))</f>
        <v/>
      </c>
    </row>
    <row r="124">
      <c r="A124" s="15">
        <f>Murid!A124</f>
        <v/>
      </c>
      <c r="B124" s="15">
        <f>IF(Murid!B124="","",Murid!B124)</f>
        <v/>
      </c>
      <c r="C124" s="16">
        <f>IF(Murid!C124="","",Murid!C124)</f>
        <v/>
      </c>
      <c r="D124" s="15">
        <f>IF(Murid!E124="","",Murid!E124)</f>
        <v/>
      </c>
      <c r="E124" s="11" t="n"/>
      <c r="F124" s="11" t="n"/>
      <c r="G124" s="10">
        <f>IF(F124="","",IFERROR(VLOOKUP(F124,T_JSP,2,FALSE),0))</f>
        <v/>
      </c>
      <c r="H124" s="11" t="n"/>
      <c r="I124" s="17">
        <f>IF(H124="","",IF(H124&gt;=12,40,ROUND(H124*3.33,2)))</f>
        <v/>
      </c>
      <c r="J124" s="11" t="n"/>
      <c r="K124" s="11" t="n"/>
      <c r="L124" s="11" t="n"/>
      <c r="M124" s="11" t="n"/>
      <c r="N124" s="10">
        <f>IF(COUNTA(J124:M124)=0,"",MIN(10,SUMPRODUCT((COUNTIF(J124:M124,L_KOM)&gt;0)*S_KOM)))</f>
        <v/>
      </c>
      <c r="O124" s="11" t="n"/>
      <c r="P124" s="10">
        <f>IF(O124="","",IFERROR(VLOOKUP(O124,T_KHID,2,FALSE),0))</f>
        <v/>
      </c>
      <c r="Q124" s="11" t="n"/>
      <c r="R124" s="11" t="n"/>
      <c r="S124" s="10">
        <f>IF(AND(Q124="",R124=""),"",IFERROR(INDEX(T_LIBAT,MATCH(Q124,L_PER,0),MATCH(R124,L_JENIS,0)),0))</f>
        <v/>
      </c>
      <c r="T124" s="11" t="n"/>
      <c r="U124" s="11" t="n"/>
      <c r="V124" s="10">
        <f>IF(AND(T124="",U124=""),"",IFERROR(INDEX(T_CAPAI,MATCH(T124,L_PER,0),MATCH(U124,L_KED,0)),0))</f>
        <v/>
      </c>
      <c r="W124" s="17">
        <f>IF(OR(B124="",E124="",COUNTA(F124,H124,J124:M124,O124,Q124:R124,T124:U124)=0),"",SUM(G124,I124,N124,P124,S124,V124))</f>
        <v/>
      </c>
      <c r="X124" s="18">
        <f>IF(W124="","",IF(Murid!F124="TL","TL",ROUND(W124/110*100,2)))</f>
        <v/>
      </c>
    </row>
    <row r="125">
      <c r="A125" s="15">
        <f>Murid!A125</f>
        <v/>
      </c>
      <c r="B125" s="15">
        <f>IF(Murid!B125="","",Murid!B125)</f>
        <v/>
      </c>
      <c r="C125" s="16">
        <f>IF(Murid!C125="","",Murid!C125)</f>
        <v/>
      </c>
      <c r="D125" s="15">
        <f>IF(Murid!E125="","",Murid!E125)</f>
        <v/>
      </c>
      <c r="E125" s="11" t="n"/>
      <c r="F125" s="11" t="n"/>
      <c r="G125" s="10">
        <f>IF(F125="","",IFERROR(VLOOKUP(F125,T_JSP,2,FALSE),0))</f>
        <v/>
      </c>
      <c r="H125" s="11" t="n"/>
      <c r="I125" s="17">
        <f>IF(H125="","",IF(H125&gt;=12,40,ROUND(H125*3.33,2)))</f>
        <v/>
      </c>
      <c r="J125" s="11" t="n"/>
      <c r="K125" s="11" t="n"/>
      <c r="L125" s="11" t="n"/>
      <c r="M125" s="11" t="n"/>
      <c r="N125" s="10">
        <f>IF(COUNTA(J125:M125)=0,"",MIN(10,SUMPRODUCT((COUNTIF(J125:M125,L_KOM)&gt;0)*S_KOM)))</f>
        <v/>
      </c>
      <c r="O125" s="11" t="n"/>
      <c r="P125" s="10">
        <f>IF(O125="","",IFERROR(VLOOKUP(O125,T_KHID,2,FALSE),0))</f>
        <v/>
      </c>
      <c r="Q125" s="11" t="n"/>
      <c r="R125" s="11" t="n"/>
      <c r="S125" s="10">
        <f>IF(AND(Q125="",R125=""),"",IFERROR(INDEX(T_LIBAT,MATCH(Q125,L_PER,0),MATCH(R125,L_JENIS,0)),0))</f>
        <v/>
      </c>
      <c r="T125" s="11" t="n"/>
      <c r="U125" s="11" t="n"/>
      <c r="V125" s="10">
        <f>IF(AND(T125="",U125=""),"",IFERROR(INDEX(T_CAPAI,MATCH(T125,L_PER,0),MATCH(U125,L_KED,0)),0))</f>
        <v/>
      </c>
      <c r="W125" s="17">
        <f>IF(OR(B125="",E125="",COUNTA(F125,H125,J125:M125,O125,Q125:R125,T125:U125)=0),"",SUM(G125,I125,N125,P125,S125,V125))</f>
        <v/>
      </c>
      <c r="X125" s="18">
        <f>IF(W125="","",IF(Murid!F125="TL","TL",ROUND(W125/110*100,2)))</f>
        <v/>
      </c>
    </row>
    <row r="126">
      <c r="A126" s="15">
        <f>Murid!A126</f>
        <v/>
      </c>
      <c r="B126" s="15">
        <f>IF(Murid!B126="","",Murid!B126)</f>
        <v/>
      </c>
      <c r="C126" s="16">
        <f>IF(Murid!C126="","",Murid!C126)</f>
        <v/>
      </c>
      <c r="D126" s="15">
        <f>IF(Murid!E126="","",Murid!E126)</f>
        <v/>
      </c>
      <c r="E126" s="11" t="n"/>
      <c r="F126" s="11" t="n"/>
      <c r="G126" s="10">
        <f>IF(F126="","",IFERROR(VLOOKUP(F126,T_JSP,2,FALSE),0))</f>
        <v/>
      </c>
      <c r="H126" s="11" t="n"/>
      <c r="I126" s="17">
        <f>IF(H126="","",IF(H126&gt;=12,40,ROUND(H126*3.33,2)))</f>
        <v/>
      </c>
      <c r="J126" s="11" t="n"/>
      <c r="K126" s="11" t="n"/>
      <c r="L126" s="11" t="n"/>
      <c r="M126" s="11" t="n"/>
      <c r="N126" s="10">
        <f>IF(COUNTA(J126:M126)=0,"",MIN(10,SUMPRODUCT((COUNTIF(J126:M126,L_KOM)&gt;0)*S_KOM)))</f>
        <v/>
      </c>
      <c r="O126" s="11" t="n"/>
      <c r="P126" s="10">
        <f>IF(O126="","",IFERROR(VLOOKUP(O126,T_KHID,2,FALSE),0))</f>
        <v/>
      </c>
      <c r="Q126" s="11" t="n"/>
      <c r="R126" s="11" t="n"/>
      <c r="S126" s="10">
        <f>IF(AND(Q126="",R126=""),"",IFERROR(INDEX(T_LIBAT,MATCH(Q126,L_PER,0),MATCH(R126,L_JENIS,0)),0))</f>
        <v/>
      </c>
      <c r="T126" s="11" t="n"/>
      <c r="U126" s="11" t="n"/>
      <c r="V126" s="10">
        <f>IF(AND(T126="",U126=""),"",IFERROR(INDEX(T_CAPAI,MATCH(T126,L_PER,0),MATCH(U126,L_KED,0)),0))</f>
        <v/>
      </c>
      <c r="W126" s="17">
        <f>IF(OR(B126="",E126="",COUNTA(F126,H126,J126:M126,O126,Q126:R126,T126:U126)=0),"",SUM(G126,I126,N126,P126,S126,V126))</f>
        <v/>
      </c>
      <c r="X126" s="18">
        <f>IF(W126="","",IF(Murid!F126="TL","TL",ROUND(W126/110*100,2)))</f>
        <v/>
      </c>
    </row>
    <row r="127">
      <c r="A127" s="15">
        <f>Murid!A127</f>
        <v/>
      </c>
      <c r="B127" s="15">
        <f>IF(Murid!B127="","",Murid!B127)</f>
        <v/>
      </c>
      <c r="C127" s="16">
        <f>IF(Murid!C127="","",Murid!C127)</f>
        <v/>
      </c>
      <c r="D127" s="15">
        <f>IF(Murid!E127="","",Murid!E127)</f>
        <v/>
      </c>
      <c r="E127" s="11" t="n"/>
      <c r="F127" s="11" t="n"/>
      <c r="G127" s="10">
        <f>IF(F127="","",IFERROR(VLOOKUP(F127,T_JSP,2,FALSE),0))</f>
        <v/>
      </c>
      <c r="H127" s="11" t="n"/>
      <c r="I127" s="17">
        <f>IF(H127="","",IF(H127&gt;=12,40,ROUND(H127*3.33,2)))</f>
        <v/>
      </c>
      <c r="J127" s="11" t="n"/>
      <c r="K127" s="11" t="n"/>
      <c r="L127" s="11" t="n"/>
      <c r="M127" s="11" t="n"/>
      <c r="N127" s="10">
        <f>IF(COUNTA(J127:M127)=0,"",MIN(10,SUMPRODUCT((COUNTIF(J127:M127,L_KOM)&gt;0)*S_KOM)))</f>
        <v/>
      </c>
      <c r="O127" s="11" t="n"/>
      <c r="P127" s="10">
        <f>IF(O127="","",IFERROR(VLOOKUP(O127,T_KHID,2,FALSE),0))</f>
        <v/>
      </c>
      <c r="Q127" s="11" t="n"/>
      <c r="R127" s="11" t="n"/>
      <c r="S127" s="10">
        <f>IF(AND(Q127="",R127=""),"",IFERROR(INDEX(T_LIBAT,MATCH(Q127,L_PER,0),MATCH(R127,L_JENIS,0)),0))</f>
        <v/>
      </c>
      <c r="T127" s="11" t="n"/>
      <c r="U127" s="11" t="n"/>
      <c r="V127" s="10">
        <f>IF(AND(T127="",U127=""),"",IFERROR(INDEX(T_CAPAI,MATCH(T127,L_PER,0),MATCH(U127,L_KED,0)),0))</f>
        <v/>
      </c>
      <c r="W127" s="17">
        <f>IF(OR(B127="",E127="",COUNTA(F127,H127,J127:M127,O127,Q127:R127,T127:U127)=0),"",SUM(G127,I127,N127,P127,S127,V127))</f>
        <v/>
      </c>
      <c r="X127" s="18">
        <f>IF(W127="","",IF(Murid!F127="TL","TL",ROUND(W127/110*100,2)))</f>
        <v/>
      </c>
    </row>
    <row r="128">
      <c r="A128" s="15">
        <f>Murid!A128</f>
        <v/>
      </c>
      <c r="B128" s="15">
        <f>IF(Murid!B128="","",Murid!B128)</f>
        <v/>
      </c>
      <c r="C128" s="16">
        <f>IF(Murid!C128="","",Murid!C128)</f>
        <v/>
      </c>
      <c r="D128" s="15">
        <f>IF(Murid!E128="","",Murid!E128)</f>
        <v/>
      </c>
      <c r="E128" s="11" t="n"/>
      <c r="F128" s="11" t="n"/>
      <c r="G128" s="10">
        <f>IF(F128="","",IFERROR(VLOOKUP(F128,T_JSP,2,FALSE),0))</f>
        <v/>
      </c>
      <c r="H128" s="11" t="n"/>
      <c r="I128" s="17">
        <f>IF(H128="","",IF(H128&gt;=12,40,ROUND(H128*3.33,2)))</f>
        <v/>
      </c>
      <c r="J128" s="11" t="n"/>
      <c r="K128" s="11" t="n"/>
      <c r="L128" s="11" t="n"/>
      <c r="M128" s="11" t="n"/>
      <c r="N128" s="10">
        <f>IF(COUNTA(J128:M128)=0,"",MIN(10,SUMPRODUCT((COUNTIF(J128:M128,L_KOM)&gt;0)*S_KOM)))</f>
        <v/>
      </c>
      <c r="O128" s="11" t="n"/>
      <c r="P128" s="10">
        <f>IF(O128="","",IFERROR(VLOOKUP(O128,T_KHID,2,FALSE),0))</f>
        <v/>
      </c>
      <c r="Q128" s="11" t="n"/>
      <c r="R128" s="11" t="n"/>
      <c r="S128" s="10">
        <f>IF(AND(Q128="",R128=""),"",IFERROR(INDEX(T_LIBAT,MATCH(Q128,L_PER,0),MATCH(R128,L_JENIS,0)),0))</f>
        <v/>
      </c>
      <c r="T128" s="11" t="n"/>
      <c r="U128" s="11" t="n"/>
      <c r="V128" s="10">
        <f>IF(AND(T128="",U128=""),"",IFERROR(INDEX(T_CAPAI,MATCH(T128,L_PER,0),MATCH(U128,L_KED,0)),0))</f>
        <v/>
      </c>
      <c r="W128" s="17">
        <f>IF(OR(B128="",E128="",COUNTA(F128,H128,J128:M128,O128,Q128:R128,T128:U128)=0),"",SUM(G128,I128,N128,P128,S128,V128))</f>
        <v/>
      </c>
      <c r="X128" s="18">
        <f>IF(W128="","",IF(Murid!F128="TL","TL",ROUND(W128/110*100,2)))</f>
        <v/>
      </c>
    </row>
    <row r="129">
      <c r="A129" s="15">
        <f>Murid!A129</f>
        <v/>
      </c>
      <c r="B129" s="15">
        <f>IF(Murid!B129="","",Murid!B129)</f>
        <v/>
      </c>
      <c r="C129" s="16">
        <f>IF(Murid!C129="","",Murid!C129)</f>
        <v/>
      </c>
      <c r="D129" s="15">
        <f>IF(Murid!E129="","",Murid!E129)</f>
        <v/>
      </c>
      <c r="E129" s="11" t="n"/>
      <c r="F129" s="11" t="n"/>
      <c r="G129" s="10">
        <f>IF(F129="","",IFERROR(VLOOKUP(F129,T_JSP,2,FALSE),0))</f>
        <v/>
      </c>
      <c r="H129" s="11" t="n"/>
      <c r="I129" s="17">
        <f>IF(H129="","",IF(H129&gt;=12,40,ROUND(H129*3.33,2)))</f>
        <v/>
      </c>
      <c r="J129" s="11" t="n"/>
      <c r="K129" s="11" t="n"/>
      <c r="L129" s="11" t="n"/>
      <c r="M129" s="11" t="n"/>
      <c r="N129" s="10">
        <f>IF(COUNTA(J129:M129)=0,"",MIN(10,SUMPRODUCT((COUNTIF(J129:M129,L_KOM)&gt;0)*S_KOM)))</f>
        <v/>
      </c>
      <c r="O129" s="11" t="n"/>
      <c r="P129" s="10">
        <f>IF(O129="","",IFERROR(VLOOKUP(O129,T_KHID,2,FALSE),0))</f>
        <v/>
      </c>
      <c r="Q129" s="11" t="n"/>
      <c r="R129" s="11" t="n"/>
      <c r="S129" s="10">
        <f>IF(AND(Q129="",R129=""),"",IFERROR(INDEX(T_LIBAT,MATCH(Q129,L_PER,0),MATCH(R129,L_JENIS,0)),0))</f>
        <v/>
      </c>
      <c r="T129" s="11" t="n"/>
      <c r="U129" s="11" t="n"/>
      <c r="V129" s="10">
        <f>IF(AND(T129="",U129=""),"",IFERROR(INDEX(T_CAPAI,MATCH(T129,L_PER,0),MATCH(U129,L_KED,0)),0))</f>
        <v/>
      </c>
      <c r="W129" s="17">
        <f>IF(OR(B129="",E129="",COUNTA(F129,H129,J129:M129,O129,Q129:R129,T129:U129)=0),"",SUM(G129,I129,N129,P129,S129,V129))</f>
        <v/>
      </c>
      <c r="X129" s="18">
        <f>IF(W129="","",IF(Murid!F129="TL","TL",ROUND(W129/110*100,2)))</f>
        <v/>
      </c>
    </row>
    <row r="130">
      <c r="A130" s="15">
        <f>Murid!A130</f>
        <v/>
      </c>
      <c r="B130" s="15">
        <f>IF(Murid!B130="","",Murid!B130)</f>
        <v/>
      </c>
      <c r="C130" s="16">
        <f>IF(Murid!C130="","",Murid!C130)</f>
        <v/>
      </c>
      <c r="D130" s="15">
        <f>IF(Murid!E130="","",Murid!E130)</f>
        <v/>
      </c>
      <c r="E130" s="11" t="n"/>
      <c r="F130" s="11" t="n"/>
      <c r="G130" s="10">
        <f>IF(F130="","",IFERROR(VLOOKUP(F130,T_JSP,2,FALSE),0))</f>
        <v/>
      </c>
      <c r="H130" s="11" t="n"/>
      <c r="I130" s="17">
        <f>IF(H130="","",IF(H130&gt;=12,40,ROUND(H130*3.33,2)))</f>
        <v/>
      </c>
      <c r="J130" s="11" t="n"/>
      <c r="K130" s="11" t="n"/>
      <c r="L130" s="11" t="n"/>
      <c r="M130" s="11" t="n"/>
      <c r="N130" s="10">
        <f>IF(COUNTA(J130:M130)=0,"",MIN(10,SUMPRODUCT((COUNTIF(J130:M130,L_KOM)&gt;0)*S_KOM)))</f>
        <v/>
      </c>
      <c r="O130" s="11" t="n"/>
      <c r="P130" s="10">
        <f>IF(O130="","",IFERROR(VLOOKUP(O130,T_KHID,2,FALSE),0))</f>
        <v/>
      </c>
      <c r="Q130" s="11" t="n"/>
      <c r="R130" s="11" t="n"/>
      <c r="S130" s="10">
        <f>IF(AND(Q130="",R130=""),"",IFERROR(INDEX(T_LIBAT,MATCH(Q130,L_PER,0),MATCH(R130,L_JENIS,0)),0))</f>
        <v/>
      </c>
      <c r="T130" s="11" t="n"/>
      <c r="U130" s="11" t="n"/>
      <c r="V130" s="10">
        <f>IF(AND(T130="",U130=""),"",IFERROR(INDEX(T_CAPAI,MATCH(T130,L_PER,0),MATCH(U130,L_KED,0)),0))</f>
        <v/>
      </c>
      <c r="W130" s="17">
        <f>IF(OR(B130="",E130="",COUNTA(F130,H130,J130:M130,O130,Q130:R130,T130:U130)=0),"",SUM(G130,I130,N130,P130,S130,V130))</f>
        <v/>
      </c>
      <c r="X130" s="18">
        <f>IF(W130="","",IF(Murid!F130="TL","TL",ROUND(W130/110*100,2)))</f>
        <v/>
      </c>
    </row>
    <row r="131">
      <c r="A131" s="15">
        <f>Murid!A131</f>
        <v/>
      </c>
      <c r="B131" s="15">
        <f>IF(Murid!B131="","",Murid!B131)</f>
        <v/>
      </c>
      <c r="C131" s="16">
        <f>IF(Murid!C131="","",Murid!C131)</f>
        <v/>
      </c>
      <c r="D131" s="15">
        <f>IF(Murid!E131="","",Murid!E131)</f>
        <v/>
      </c>
      <c r="E131" s="11" t="n"/>
      <c r="F131" s="11" t="n"/>
      <c r="G131" s="10">
        <f>IF(F131="","",IFERROR(VLOOKUP(F131,T_JSP,2,FALSE),0))</f>
        <v/>
      </c>
      <c r="H131" s="11" t="n"/>
      <c r="I131" s="17">
        <f>IF(H131="","",IF(H131&gt;=12,40,ROUND(H131*3.33,2)))</f>
        <v/>
      </c>
      <c r="J131" s="11" t="n"/>
      <c r="K131" s="11" t="n"/>
      <c r="L131" s="11" t="n"/>
      <c r="M131" s="11" t="n"/>
      <c r="N131" s="10">
        <f>IF(COUNTA(J131:M131)=0,"",MIN(10,SUMPRODUCT((COUNTIF(J131:M131,L_KOM)&gt;0)*S_KOM)))</f>
        <v/>
      </c>
      <c r="O131" s="11" t="n"/>
      <c r="P131" s="10">
        <f>IF(O131="","",IFERROR(VLOOKUP(O131,T_KHID,2,FALSE),0))</f>
        <v/>
      </c>
      <c r="Q131" s="11" t="n"/>
      <c r="R131" s="11" t="n"/>
      <c r="S131" s="10">
        <f>IF(AND(Q131="",R131=""),"",IFERROR(INDEX(T_LIBAT,MATCH(Q131,L_PER,0),MATCH(R131,L_JENIS,0)),0))</f>
        <v/>
      </c>
      <c r="T131" s="11" t="n"/>
      <c r="U131" s="11" t="n"/>
      <c r="V131" s="10">
        <f>IF(AND(T131="",U131=""),"",IFERROR(INDEX(T_CAPAI,MATCH(T131,L_PER,0),MATCH(U131,L_KED,0)),0))</f>
        <v/>
      </c>
      <c r="W131" s="17">
        <f>IF(OR(B131="",E131="",COUNTA(F131,H131,J131:M131,O131,Q131:R131,T131:U131)=0),"",SUM(G131,I131,N131,P131,S131,V131))</f>
        <v/>
      </c>
      <c r="X131" s="18">
        <f>IF(W131="","",IF(Murid!F131="TL","TL",ROUND(W131/110*100,2)))</f>
        <v/>
      </c>
    </row>
    <row r="132">
      <c r="A132" s="15">
        <f>Murid!A132</f>
        <v/>
      </c>
      <c r="B132" s="15">
        <f>IF(Murid!B132="","",Murid!B132)</f>
        <v/>
      </c>
      <c r="C132" s="16">
        <f>IF(Murid!C132="","",Murid!C132)</f>
        <v/>
      </c>
      <c r="D132" s="15">
        <f>IF(Murid!E132="","",Murid!E132)</f>
        <v/>
      </c>
      <c r="E132" s="11" t="n"/>
      <c r="F132" s="11" t="n"/>
      <c r="G132" s="10">
        <f>IF(F132="","",IFERROR(VLOOKUP(F132,T_JSP,2,FALSE),0))</f>
        <v/>
      </c>
      <c r="H132" s="11" t="n"/>
      <c r="I132" s="17">
        <f>IF(H132="","",IF(H132&gt;=12,40,ROUND(H132*3.33,2)))</f>
        <v/>
      </c>
      <c r="J132" s="11" t="n"/>
      <c r="K132" s="11" t="n"/>
      <c r="L132" s="11" t="n"/>
      <c r="M132" s="11" t="n"/>
      <c r="N132" s="10">
        <f>IF(COUNTA(J132:M132)=0,"",MIN(10,SUMPRODUCT((COUNTIF(J132:M132,L_KOM)&gt;0)*S_KOM)))</f>
        <v/>
      </c>
      <c r="O132" s="11" t="n"/>
      <c r="P132" s="10">
        <f>IF(O132="","",IFERROR(VLOOKUP(O132,T_KHID,2,FALSE),0))</f>
        <v/>
      </c>
      <c r="Q132" s="11" t="n"/>
      <c r="R132" s="11" t="n"/>
      <c r="S132" s="10">
        <f>IF(AND(Q132="",R132=""),"",IFERROR(INDEX(T_LIBAT,MATCH(Q132,L_PER,0),MATCH(R132,L_JENIS,0)),0))</f>
        <v/>
      </c>
      <c r="T132" s="11" t="n"/>
      <c r="U132" s="11" t="n"/>
      <c r="V132" s="10">
        <f>IF(AND(T132="",U132=""),"",IFERROR(INDEX(T_CAPAI,MATCH(T132,L_PER,0),MATCH(U132,L_KED,0)),0))</f>
        <v/>
      </c>
      <c r="W132" s="17">
        <f>IF(OR(B132="",E132="",COUNTA(F132,H132,J132:M132,O132,Q132:R132,T132:U132)=0),"",SUM(G132,I132,N132,P132,S132,V132))</f>
        <v/>
      </c>
      <c r="X132" s="18">
        <f>IF(W132="","",IF(Murid!F132="TL","TL",ROUND(W132/110*100,2)))</f>
        <v/>
      </c>
    </row>
    <row r="133">
      <c r="A133" s="15">
        <f>Murid!A133</f>
        <v/>
      </c>
      <c r="B133" s="15">
        <f>IF(Murid!B133="","",Murid!B133)</f>
        <v/>
      </c>
      <c r="C133" s="16">
        <f>IF(Murid!C133="","",Murid!C133)</f>
        <v/>
      </c>
      <c r="D133" s="15">
        <f>IF(Murid!E133="","",Murid!E133)</f>
        <v/>
      </c>
      <c r="E133" s="11" t="n"/>
      <c r="F133" s="11" t="n"/>
      <c r="G133" s="10">
        <f>IF(F133="","",IFERROR(VLOOKUP(F133,T_JSP,2,FALSE),0))</f>
        <v/>
      </c>
      <c r="H133" s="11" t="n"/>
      <c r="I133" s="17">
        <f>IF(H133="","",IF(H133&gt;=12,40,ROUND(H133*3.33,2)))</f>
        <v/>
      </c>
      <c r="J133" s="11" t="n"/>
      <c r="K133" s="11" t="n"/>
      <c r="L133" s="11" t="n"/>
      <c r="M133" s="11" t="n"/>
      <c r="N133" s="10">
        <f>IF(COUNTA(J133:M133)=0,"",MIN(10,SUMPRODUCT((COUNTIF(J133:M133,L_KOM)&gt;0)*S_KOM)))</f>
        <v/>
      </c>
      <c r="O133" s="11" t="n"/>
      <c r="P133" s="10">
        <f>IF(O133="","",IFERROR(VLOOKUP(O133,T_KHID,2,FALSE),0))</f>
        <v/>
      </c>
      <c r="Q133" s="11" t="n"/>
      <c r="R133" s="11" t="n"/>
      <c r="S133" s="10">
        <f>IF(AND(Q133="",R133=""),"",IFERROR(INDEX(T_LIBAT,MATCH(Q133,L_PER,0),MATCH(R133,L_JENIS,0)),0))</f>
        <v/>
      </c>
      <c r="T133" s="11" t="n"/>
      <c r="U133" s="11" t="n"/>
      <c r="V133" s="10">
        <f>IF(AND(T133="",U133=""),"",IFERROR(INDEX(T_CAPAI,MATCH(T133,L_PER,0),MATCH(U133,L_KED,0)),0))</f>
        <v/>
      </c>
      <c r="W133" s="17">
        <f>IF(OR(B133="",E133="",COUNTA(F133,H133,J133:M133,O133,Q133:R133,T133:U133)=0),"",SUM(G133,I133,N133,P133,S133,V133))</f>
        <v/>
      </c>
      <c r="X133" s="18">
        <f>IF(W133="","",IF(Murid!F133="TL","TL",ROUND(W133/110*100,2)))</f>
        <v/>
      </c>
    </row>
    <row r="134">
      <c r="A134" s="15">
        <f>Murid!A134</f>
        <v/>
      </c>
      <c r="B134" s="15">
        <f>IF(Murid!B134="","",Murid!B134)</f>
        <v/>
      </c>
      <c r="C134" s="16">
        <f>IF(Murid!C134="","",Murid!C134)</f>
        <v/>
      </c>
      <c r="D134" s="15">
        <f>IF(Murid!E134="","",Murid!E134)</f>
        <v/>
      </c>
      <c r="E134" s="11" t="n"/>
      <c r="F134" s="11" t="n"/>
      <c r="G134" s="10">
        <f>IF(F134="","",IFERROR(VLOOKUP(F134,T_JSP,2,FALSE),0))</f>
        <v/>
      </c>
      <c r="H134" s="11" t="n"/>
      <c r="I134" s="17">
        <f>IF(H134="","",IF(H134&gt;=12,40,ROUND(H134*3.33,2)))</f>
        <v/>
      </c>
      <c r="J134" s="11" t="n"/>
      <c r="K134" s="11" t="n"/>
      <c r="L134" s="11" t="n"/>
      <c r="M134" s="11" t="n"/>
      <c r="N134" s="10">
        <f>IF(COUNTA(J134:M134)=0,"",MIN(10,SUMPRODUCT((COUNTIF(J134:M134,L_KOM)&gt;0)*S_KOM)))</f>
        <v/>
      </c>
      <c r="O134" s="11" t="n"/>
      <c r="P134" s="10">
        <f>IF(O134="","",IFERROR(VLOOKUP(O134,T_KHID,2,FALSE),0))</f>
        <v/>
      </c>
      <c r="Q134" s="11" t="n"/>
      <c r="R134" s="11" t="n"/>
      <c r="S134" s="10">
        <f>IF(AND(Q134="",R134=""),"",IFERROR(INDEX(T_LIBAT,MATCH(Q134,L_PER,0),MATCH(R134,L_JENIS,0)),0))</f>
        <v/>
      </c>
      <c r="T134" s="11" t="n"/>
      <c r="U134" s="11" t="n"/>
      <c r="V134" s="10">
        <f>IF(AND(T134="",U134=""),"",IFERROR(INDEX(T_CAPAI,MATCH(T134,L_PER,0),MATCH(U134,L_KED,0)),0))</f>
        <v/>
      </c>
      <c r="W134" s="17">
        <f>IF(OR(B134="",E134="",COUNTA(F134,H134,J134:M134,O134,Q134:R134,T134:U134)=0),"",SUM(G134,I134,N134,P134,S134,V134))</f>
        <v/>
      </c>
      <c r="X134" s="18">
        <f>IF(W134="","",IF(Murid!F134="TL","TL",ROUND(W134/110*100,2)))</f>
        <v/>
      </c>
    </row>
    <row r="135">
      <c r="A135" s="15">
        <f>Murid!A135</f>
        <v/>
      </c>
      <c r="B135" s="15">
        <f>IF(Murid!B135="","",Murid!B135)</f>
        <v/>
      </c>
      <c r="C135" s="16">
        <f>IF(Murid!C135="","",Murid!C135)</f>
        <v/>
      </c>
      <c r="D135" s="15">
        <f>IF(Murid!E135="","",Murid!E135)</f>
        <v/>
      </c>
      <c r="E135" s="11" t="n"/>
      <c r="F135" s="11" t="n"/>
      <c r="G135" s="10">
        <f>IF(F135="","",IFERROR(VLOOKUP(F135,T_JSP,2,FALSE),0))</f>
        <v/>
      </c>
      <c r="H135" s="11" t="n"/>
      <c r="I135" s="17">
        <f>IF(H135="","",IF(H135&gt;=12,40,ROUND(H135*3.33,2)))</f>
        <v/>
      </c>
      <c r="J135" s="11" t="n"/>
      <c r="K135" s="11" t="n"/>
      <c r="L135" s="11" t="n"/>
      <c r="M135" s="11" t="n"/>
      <c r="N135" s="10">
        <f>IF(COUNTA(J135:M135)=0,"",MIN(10,SUMPRODUCT((COUNTIF(J135:M135,L_KOM)&gt;0)*S_KOM)))</f>
        <v/>
      </c>
      <c r="O135" s="11" t="n"/>
      <c r="P135" s="10">
        <f>IF(O135="","",IFERROR(VLOOKUP(O135,T_KHID,2,FALSE),0))</f>
        <v/>
      </c>
      <c r="Q135" s="11" t="n"/>
      <c r="R135" s="11" t="n"/>
      <c r="S135" s="10">
        <f>IF(AND(Q135="",R135=""),"",IFERROR(INDEX(T_LIBAT,MATCH(Q135,L_PER,0),MATCH(R135,L_JENIS,0)),0))</f>
        <v/>
      </c>
      <c r="T135" s="11" t="n"/>
      <c r="U135" s="11" t="n"/>
      <c r="V135" s="10">
        <f>IF(AND(T135="",U135=""),"",IFERROR(INDEX(T_CAPAI,MATCH(T135,L_PER,0),MATCH(U135,L_KED,0)),0))</f>
        <v/>
      </c>
      <c r="W135" s="17">
        <f>IF(OR(B135="",E135="",COUNTA(F135,H135,J135:M135,O135,Q135:R135,T135:U135)=0),"",SUM(G135,I135,N135,P135,S135,V135))</f>
        <v/>
      </c>
      <c r="X135" s="18">
        <f>IF(W135="","",IF(Murid!F135="TL","TL",ROUND(W135/110*100,2)))</f>
        <v/>
      </c>
    </row>
    <row r="136">
      <c r="A136" s="15">
        <f>Murid!A136</f>
        <v/>
      </c>
      <c r="B136" s="15">
        <f>IF(Murid!B136="","",Murid!B136)</f>
        <v/>
      </c>
      <c r="C136" s="16">
        <f>IF(Murid!C136="","",Murid!C136)</f>
        <v/>
      </c>
      <c r="D136" s="15">
        <f>IF(Murid!E136="","",Murid!E136)</f>
        <v/>
      </c>
      <c r="E136" s="11" t="n"/>
      <c r="F136" s="11" t="n"/>
      <c r="G136" s="10">
        <f>IF(F136="","",IFERROR(VLOOKUP(F136,T_JSP,2,FALSE),0))</f>
        <v/>
      </c>
      <c r="H136" s="11" t="n"/>
      <c r="I136" s="17">
        <f>IF(H136="","",IF(H136&gt;=12,40,ROUND(H136*3.33,2)))</f>
        <v/>
      </c>
      <c r="J136" s="11" t="n"/>
      <c r="K136" s="11" t="n"/>
      <c r="L136" s="11" t="n"/>
      <c r="M136" s="11" t="n"/>
      <c r="N136" s="10">
        <f>IF(COUNTA(J136:M136)=0,"",MIN(10,SUMPRODUCT((COUNTIF(J136:M136,L_KOM)&gt;0)*S_KOM)))</f>
        <v/>
      </c>
      <c r="O136" s="11" t="n"/>
      <c r="P136" s="10">
        <f>IF(O136="","",IFERROR(VLOOKUP(O136,T_KHID,2,FALSE),0))</f>
        <v/>
      </c>
      <c r="Q136" s="11" t="n"/>
      <c r="R136" s="11" t="n"/>
      <c r="S136" s="10">
        <f>IF(AND(Q136="",R136=""),"",IFERROR(INDEX(T_LIBAT,MATCH(Q136,L_PER,0),MATCH(R136,L_JENIS,0)),0))</f>
        <v/>
      </c>
      <c r="T136" s="11" t="n"/>
      <c r="U136" s="11" t="n"/>
      <c r="V136" s="10">
        <f>IF(AND(T136="",U136=""),"",IFERROR(INDEX(T_CAPAI,MATCH(T136,L_PER,0),MATCH(U136,L_KED,0)),0))</f>
        <v/>
      </c>
      <c r="W136" s="17">
        <f>IF(OR(B136="",E136="",COUNTA(F136,H136,J136:M136,O136,Q136:R136,T136:U136)=0),"",SUM(G136,I136,N136,P136,S136,V136))</f>
        <v/>
      </c>
      <c r="X136" s="18">
        <f>IF(W136="","",IF(Murid!F136="TL","TL",ROUND(W136/110*100,2)))</f>
        <v/>
      </c>
    </row>
    <row r="137">
      <c r="A137" s="15">
        <f>Murid!A137</f>
        <v/>
      </c>
      <c r="B137" s="15">
        <f>IF(Murid!B137="","",Murid!B137)</f>
        <v/>
      </c>
      <c r="C137" s="16">
        <f>IF(Murid!C137="","",Murid!C137)</f>
        <v/>
      </c>
      <c r="D137" s="15">
        <f>IF(Murid!E137="","",Murid!E137)</f>
        <v/>
      </c>
      <c r="E137" s="11" t="n"/>
      <c r="F137" s="11" t="n"/>
      <c r="G137" s="10">
        <f>IF(F137="","",IFERROR(VLOOKUP(F137,T_JSP,2,FALSE),0))</f>
        <v/>
      </c>
      <c r="H137" s="11" t="n"/>
      <c r="I137" s="17">
        <f>IF(H137="","",IF(H137&gt;=12,40,ROUND(H137*3.33,2)))</f>
        <v/>
      </c>
      <c r="J137" s="11" t="n"/>
      <c r="K137" s="11" t="n"/>
      <c r="L137" s="11" t="n"/>
      <c r="M137" s="11" t="n"/>
      <c r="N137" s="10">
        <f>IF(COUNTA(J137:M137)=0,"",MIN(10,SUMPRODUCT((COUNTIF(J137:M137,L_KOM)&gt;0)*S_KOM)))</f>
        <v/>
      </c>
      <c r="O137" s="11" t="n"/>
      <c r="P137" s="10">
        <f>IF(O137="","",IFERROR(VLOOKUP(O137,T_KHID,2,FALSE),0))</f>
        <v/>
      </c>
      <c r="Q137" s="11" t="n"/>
      <c r="R137" s="11" t="n"/>
      <c r="S137" s="10">
        <f>IF(AND(Q137="",R137=""),"",IFERROR(INDEX(T_LIBAT,MATCH(Q137,L_PER,0),MATCH(R137,L_JENIS,0)),0))</f>
        <v/>
      </c>
      <c r="T137" s="11" t="n"/>
      <c r="U137" s="11" t="n"/>
      <c r="V137" s="10">
        <f>IF(AND(T137="",U137=""),"",IFERROR(INDEX(T_CAPAI,MATCH(T137,L_PER,0),MATCH(U137,L_KED,0)),0))</f>
        <v/>
      </c>
      <c r="W137" s="17">
        <f>IF(OR(B137="",E137="",COUNTA(F137,H137,J137:M137,O137,Q137:R137,T137:U137)=0),"",SUM(G137,I137,N137,P137,S137,V137))</f>
        <v/>
      </c>
      <c r="X137" s="18">
        <f>IF(W137="","",IF(Murid!F137="TL","TL",ROUND(W137/110*100,2)))</f>
        <v/>
      </c>
    </row>
    <row r="138">
      <c r="A138" s="15">
        <f>Murid!A138</f>
        <v/>
      </c>
      <c r="B138" s="15">
        <f>IF(Murid!B138="","",Murid!B138)</f>
        <v/>
      </c>
      <c r="C138" s="16">
        <f>IF(Murid!C138="","",Murid!C138)</f>
        <v/>
      </c>
      <c r="D138" s="15">
        <f>IF(Murid!E138="","",Murid!E138)</f>
        <v/>
      </c>
      <c r="E138" s="11" t="n"/>
      <c r="F138" s="11" t="n"/>
      <c r="G138" s="10">
        <f>IF(F138="","",IFERROR(VLOOKUP(F138,T_JSP,2,FALSE),0))</f>
        <v/>
      </c>
      <c r="H138" s="11" t="n"/>
      <c r="I138" s="17">
        <f>IF(H138="","",IF(H138&gt;=12,40,ROUND(H138*3.33,2)))</f>
        <v/>
      </c>
      <c r="J138" s="11" t="n"/>
      <c r="K138" s="11" t="n"/>
      <c r="L138" s="11" t="n"/>
      <c r="M138" s="11" t="n"/>
      <c r="N138" s="10">
        <f>IF(COUNTA(J138:M138)=0,"",MIN(10,SUMPRODUCT((COUNTIF(J138:M138,L_KOM)&gt;0)*S_KOM)))</f>
        <v/>
      </c>
      <c r="O138" s="11" t="n"/>
      <c r="P138" s="10">
        <f>IF(O138="","",IFERROR(VLOOKUP(O138,T_KHID,2,FALSE),0))</f>
        <v/>
      </c>
      <c r="Q138" s="11" t="n"/>
      <c r="R138" s="11" t="n"/>
      <c r="S138" s="10">
        <f>IF(AND(Q138="",R138=""),"",IFERROR(INDEX(T_LIBAT,MATCH(Q138,L_PER,0),MATCH(R138,L_JENIS,0)),0))</f>
        <v/>
      </c>
      <c r="T138" s="11" t="n"/>
      <c r="U138" s="11" t="n"/>
      <c r="V138" s="10">
        <f>IF(AND(T138="",U138=""),"",IFERROR(INDEX(T_CAPAI,MATCH(T138,L_PER,0),MATCH(U138,L_KED,0)),0))</f>
        <v/>
      </c>
      <c r="W138" s="17">
        <f>IF(OR(B138="",E138="",COUNTA(F138,H138,J138:M138,O138,Q138:R138,T138:U138)=0),"",SUM(G138,I138,N138,P138,S138,V138))</f>
        <v/>
      </c>
      <c r="X138" s="18">
        <f>IF(W138="","",IF(Murid!F138="TL","TL",ROUND(W138/110*100,2)))</f>
        <v/>
      </c>
    </row>
    <row r="139">
      <c r="A139" s="15">
        <f>Murid!A139</f>
        <v/>
      </c>
      <c r="B139" s="15">
        <f>IF(Murid!B139="","",Murid!B139)</f>
        <v/>
      </c>
      <c r="C139" s="16">
        <f>IF(Murid!C139="","",Murid!C139)</f>
        <v/>
      </c>
      <c r="D139" s="15">
        <f>IF(Murid!E139="","",Murid!E139)</f>
        <v/>
      </c>
      <c r="E139" s="11" t="n"/>
      <c r="F139" s="11" t="n"/>
      <c r="G139" s="10">
        <f>IF(F139="","",IFERROR(VLOOKUP(F139,T_JSP,2,FALSE),0))</f>
        <v/>
      </c>
      <c r="H139" s="11" t="n"/>
      <c r="I139" s="17">
        <f>IF(H139="","",IF(H139&gt;=12,40,ROUND(H139*3.33,2)))</f>
        <v/>
      </c>
      <c r="J139" s="11" t="n"/>
      <c r="K139" s="11" t="n"/>
      <c r="L139" s="11" t="n"/>
      <c r="M139" s="11" t="n"/>
      <c r="N139" s="10">
        <f>IF(COUNTA(J139:M139)=0,"",MIN(10,SUMPRODUCT((COUNTIF(J139:M139,L_KOM)&gt;0)*S_KOM)))</f>
        <v/>
      </c>
      <c r="O139" s="11" t="n"/>
      <c r="P139" s="10">
        <f>IF(O139="","",IFERROR(VLOOKUP(O139,T_KHID,2,FALSE),0))</f>
        <v/>
      </c>
      <c r="Q139" s="11" t="n"/>
      <c r="R139" s="11" t="n"/>
      <c r="S139" s="10">
        <f>IF(AND(Q139="",R139=""),"",IFERROR(INDEX(T_LIBAT,MATCH(Q139,L_PER,0),MATCH(R139,L_JENIS,0)),0))</f>
        <v/>
      </c>
      <c r="T139" s="11" t="n"/>
      <c r="U139" s="11" t="n"/>
      <c r="V139" s="10">
        <f>IF(AND(T139="",U139=""),"",IFERROR(INDEX(T_CAPAI,MATCH(T139,L_PER,0),MATCH(U139,L_KED,0)),0))</f>
        <v/>
      </c>
      <c r="W139" s="17">
        <f>IF(OR(B139="",E139="",COUNTA(F139,H139,J139:M139,O139,Q139:R139,T139:U139)=0),"",SUM(G139,I139,N139,P139,S139,V139))</f>
        <v/>
      </c>
      <c r="X139" s="18">
        <f>IF(W139="","",IF(Murid!F139="TL","TL",ROUND(W139/110*100,2)))</f>
        <v/>
      </c>
    </row>
    <row r="140">
      <c r="A140" s="15">
        <f>Murid!A140</f>
        <v/>
      </c>
      <c r="B140" s="15">
        <f>IF(Murid!B140="","",Murid!B140)</f>
        <v/>
      </c>
      <c r="C140" s="16">
        <f>IF(Murid!C140="","",Murid!C140)</f>
        <v/>
      </c>
      <c r="D140" s="15">
        <f>IF(Murid!E140="","",Murid!E140)</f>
        <v/>
      </c>
      <c r="E140" s="11" t="n"/>
      <c r="F140" s="11" t="n"/>
      <c r="G140" s="10">
        <f>IF(F140="","",IFERROR(VLOOKUP(F140,T_JSP,2,FALSE),0))</f>
        <v/>
      </c>
      <c r="H140" s="11" t="n"/>
      <c r="I140" s="17">
        <f>IF(H140="","",IF(H140&gt;=12,40,ROUND(H140*3.33,2)))</f>
        <v/>
      </c>
      <c r="J140" s="11" t="n"/>
      <c r="K140" s="11" t="n"/>
      <c r="L140" s="11" t="n"/>
      <c r="M140" s="11" t="n"/>
      <c r="N140" s="10">
        <f>IF(COUNTA(J140:M140)=0,"",MIN(10,SUMPRODUCT((COUNTIF(J140:M140,L_KOM)&gt;0)*S_KOM)))</f>
        <v/>
      </c>
      <c r="O140" s="11" t="n"/>
      <c r="P140" s="10">
        <f>IF(O140="","",IFERROR(VLOOKUP(O140,T_KHID,2,FALSE),0))</f>
        <v/>
      </c>
      <c r="Q140" s="11" t="n"/>
      <c r="R140" s="11" t="n"/>
      <c r="S140" s="10">
        <f>IF(AND(Q140="",R140=""),"",IFERROR(INDEX(T_LIBAT,MATCH(Q140,L_PER,0),MATCH(R140,L_JENIS,0)),0))</f>
        <v/>
      </c>
      <c r="T140" s="11" t="n"/>
      <c r="U140" s="11" t="n"/>
      <c r="V140" s="10">
        <f>IF(AND(T140="",U140=""),"",IFERROR(INDEX(T_CAPAI,MATCH(T140,L_PER,0),MATCH(U140,L_KED,0)),0))</f>
        <v/>
      </c>
      <c r="W140" s="17">
        <f>IF(OR(B140="",E140="",COUNTA(F140,H140,J140:M140,O140,Q140:R140,T140:U140)=0),"",SUM(G140,I140,N140,P140,S140,V140))</f>
        <v/>
      </c>
      <c r="X140" s="18">
        <f>IF(W140="","",IF(Murid!F140="TL","TL",ROUND(W140/110*100,2)))</f>
        <v/>
      </c>
    </row>
    <row r="141">
      <c r="A141" s="15">
        <f>Murid!A141</f>
        <v/>
      </c>
      <c r="B141" s="15">
        <f>IF(Murid!B141="","",Murid!B141)</f>
        <v/>
      </c>
      <c r="C141" s="16">
        <f>IF(Murid!C141="","",Murid!C141)</f>
        <v/>
      </c>
      <c r="D141" s="15">
        <f>IF(Murid!E141="","",Murid!E141)</f>
        <v/>
      </c>
      <c r="E141" s="11" t="n"/>
      <c r="F141" s="11" t="n"/>
      <c r="G141" s="10">
        <f>IF(F141="","",IFERROR(VLOOKUP(F141,T_JSP,2,FALSE),0))</f>
        <v/>
      </c>
      <c r="H141" s="11" t="n"/>
      <c r="I141" s="17">
        <f>IF(H141="","",IF(H141&gt;=12,40,ROUND(H141*3.33,2)))</f>
        <v/>
      </c>
      <c r="J141" s="11" t="n"/>
      <c r="K141" s="11" t="n"/>
      <c r="L141" s="11" t="n"/>
      <c r="M141" s="11" t="n"/>
      <c r="N141" s="10">
        <f>IF(COUNTA(J141:M141)=0,"",MIN(10,SUMPRODUCT((COUNTIF(J141:M141,L_KOM)&gt;0)*S_KOM)))</f>
        <v/>
      </c>
      <c r="O141" s="11" t="n"/>
      <c r="P141" s="10">
        <f>IF(O141="","",IFERROR(VLOOKUP(O141,T_KHID,2,FALSE),0))</f>
        <v/>
      </c>
      <c r="Q141" s="11" t="n"/>
      <c r="R141" s="11" t="n"/>
      <c r="S141" s="10">
        <f>IF(AND(Q141="",R141=""),"",IFERROR(INDEX(T_LIBAT,MATCH(Q141,L_PER,0),MATCH(R141,L_JENIS,0)),0))</f>
        <v/>
      </c>
      <c r="T141" s="11" t="n"/>
      <c r="U141" s="11" t="n"/>
      <c r="V141" s="10">
        <f>IF(AND(T141="",U141=""),"",IFERROR(INDEX(T_CAPAI,MATCH(T141,L_PER,0),MATCH(U141,L_KED,0)),0))</f>
        <v/>
      </c>
      <c r="W141" s="17">
        <f>IF(OR(B141="",E141="",COUNTA(F141,H141,J141:M141,O141,Q141:R141,T141:U141)=0),"",SUM(G141,I141,N141,P141,S141,V141))</f>
        <v/>
      </c>
      <c r="X141" s="18">
        <f>IF(W141="","",IF(Murid!F141="TL","TL",ROUND(W141/110*100,2)))</f>
        <v/>
      </c>
    </row>
    <row r="142">
      <c r="A142" s="15">
        <f>Murid!A142</f>
        <v/>
      </c>
      <c r="B142" s="15">
        <f>IF(Murid!B142="","",Murid!B142)</f>
        <v/>
      </c>
      <c r="C142" s="16">
        <f>IF(Murid!C142="","",Murid!C142)</f>
        <v/>
      </c>
      <c r="D142" s="15">
        <f>IF(Murid!E142="","",Murid!E142)</f>
        <v/>
      </c>
      <c r="E142" s="11" t="n"/>
      <c r="F142" s="11" t="n"/>
      <c r="G142" s="10">
        <f>IF(F142="","",IFERROR(VLOOKUP(F142,T_JSP,2,FALSE),0))</f>
        <v/>
      </c>
      <c r="H142" s="11" t="n"/>
      <c r="I142" s="17">
        <f>IF(H142="","",IF(H142&gt;=12,40,ROUND(H142*3.33,2)))</f>
        <v/>
      </c>
      <c r="J142" s="11" t="n"/>
      <c r="K142" s="11" t="n"/>
      <c r="L142" s="11" t="n"/>
      <c r="M142" s="11" t="n"/>
      <c r="N142" s="10">
        <f>IF(COUNTA(J142:M142)=0,"",MIN(10,SUMPRODUCT((COUNTIF(J142:M142,L_KOM)&gt;0)*S_KOM)))</f>
        <v/>
      </c>
      <c r="O142" s="11" t="n"/>
      <c r="P142" s="10">
        <f>IF(O142="","",IFERROR(VLOOKUP(O142,T_KHID,2,FALSE),0))</f>
        <v/>
      </c>
      <c r="Q142" s="11" t="n"/>
      <c r="R142" s="11" t="n"/>
      <c r="S142" s="10">
        <f>IF(AND(Q142="",R142=""),"",IFERROR(INDEX(T_LIBAT,MATCH(Q142,L_PER,0),MATCH(R142,L_JENIS,0)),0))</f>
        <v/>
      </c>
      <c r="T142" s="11" t="n"/>
      <c r="U142" s="11" t="n"/>
      <c r="V142" s="10">
        <f>IF(AND(T142="",U142=""),"",IFERROR(INDEX(T_CAPAI,MATCH(T142,L_PER,0),MATCH(U142,L_KED,0)),0))</f>
        <v/>
      </c>
      <c r="W142" s="17">
        <f>IF(OR(B142="",E142="",COUNTA(F142,H142,J142:M142,O142,Q142:R142,T142:U142)=0),"",SUM(G142,I142,N142,P142,S142,V142))</f>
        <v/>
      </c>
      <c r="X142" s="18">
        <f>IF(W142="","",IF(Murid!F142="TL","TL",ROUND(W142/110*100,2)))</f>
        <v/>
      </c>
    </row>
    <row r="143">
      <c r="A143" s="15">
        <f>Murid!A143</f>
        <v/>
      </c>
      <c r="B143" s="15">
        <f>IF(Murid!B143="","",Murid!B143)</f>
        <v/>
      </c>
      <c r="C143" s="16">
        <f>IF(Murid!C143="","",Murid!C143)</f>
        <v/>
      </c>
      <c r="D143" s="15">
        <f>IF(Murid!E143="","",Murid!E143)</f>
        <v/>
      </c>
      <c r="E143" s="11" t="n"/>
      <c r="F143" s="11" t="n"/>
      <c r="G143" s="10">
        <f>IF(F143="","",IFERROR(VLOOKUP(F143,T_JSP,2,FALSE),0))</f>
        <v/>
      </c>
      <c r="H143" s="11" t="n"/>
      <c r="I143" s="17">
        <f>IF(H143="","",IF(H143&gt;=12,40,ROUND(H143*3.33,2)))</f>
        <v/>
      </c>
      <c r="J143" s="11" t="n"/>
      <c r="K143" s="11" t="n"/>
      <c r="L143" s="11" t="n"/>
      <c r="M143" s="11" t="n"/>
      <c r="N143" s="10">
        <f>IF(COUNTA(J143:M143)=0,"",MIN(10,SUMPRODUCT((COUNTIF(J143:M143,L_KOM)&gt;0)*S_KOM)))</f>
        <v/>
      </c>
      <c r="O143" s="11" t="n"/>
      <c r="P143" s="10">
        <f>IF(O143="","",IFERROR(VLOOKUP(O143,T_KHID,2,FALSE),0))</f>
        <v/>
      </c>
      <c r="Q143" s="11" t="n"/>
      <c r="R143" s="11" t="n"/>
      <c r="S143" s="10">
        <f>IF(AND(Q143="",R143=""),"",IFERROR(INDEX(T_LIBAT,MATCH(Q143,L_PER,0),MATCH(R143,L_JENIS,0)),0))</f>
        <v/>
      </c>
      <c r="T143" s="11" t="n"/>
      <c r="U143" s="11" t="n"/>
      <c r="V143" s="10">
        <f>IF(AND(T143="",U143=""),"",IFERROR(INDEX(T_CAPAI,MATCH(T143,L_PER,0),MATCH(U143,L_KED,0)),0))</f>
        <v/>
      </c>
      <c r="W143" s="17">
        <f>IF(OR(B143="",E143="",COUNTA(F143,H143,J143:M143,O143,Q143:R143,T143:U143)=0),"",SUM(G143,I143,N143,P143,S143,V143))</f>
        <v/>
      </c>
      <c r="X143" s="18">
        <f>IF(W143="","",IF(Murid!F143="TL","TL",ROUND(W143/110*100,2)))</f>
        <v/>
      </c>
    </row>
    <row r="144">
      <c r="A144" s="15">
        <f>Murid!A144</f>
        <v/>
      </c>
      <c r="B144" s="15">
        <f>IF(Murid!B144="","",Murid!B144)</f>
        <v/>
      </c>
      <c r="C144" s="16">
        <f>IF(Murid!C144="","",Murid!C144)</f>
        <v/>
      </c>
      <c r="D144" s="15">
        <f>IF(Murid!E144="","",Murid!E144)</f>
        <v/>
      </c>
      <c r="E144" s="11" t="n"/>
      <c r="F144" s="11" t="n"/>
      <c r="G144" s="10">
        <f>IF(F144="","",IFERROR(VLOOKUP(F144,T_JSP,2,FALSE),0))</f>
        <v/>
      </c>
      <c r="H144" s="11" t="n"/>
      <c r="I144" s="17">
        <f>IF(H144="","",IF(H144&gt;=12,40,ROUND(H144*3.33,2)))</f>
        <v/>
      </c>
      <c r="J144" s="11" t="n"/>
      <c r="K144" s="11" t="n"/>
      <c r="L144" s="11" t="n"/>
      <c r="M144" s="11" t="n"/>
      <c r="N144" s="10">
        <f>IF(COUNTA(J144:M144)=0,"",MIN(10,SUMPRODUCT((COUNTIF(J144:M144,L_KOM)&gt;0)*S_KOM)))</f>
        <v/>
      </c>
      <c r="O144" s="11" t="n"/>
      <c r="P144" s="10">
        <f>IF(O144="","",IFERROR(VLOOKUP(O144,T_KHID,2,FALSE),0))</f>
        <v/>
      </c>
      <c r="Q144" s="11" t="n"/>
      <c r="R144" s="11" t="n"/>
      <c r="S144" s="10">
        <f>IF(AND(Q144="",R144=""),"",IFERROR(INDEX(T_LIBAT,MATCH(Q144,L_PER,0),MATCH(R144,L_JENIS,0)),0))</f>
        <v/>
      </c>
      <c r="T144" s="11" t="n"/>
      <c r="U144" s="11" t="n"/>
      <c r="V144" s="10">
        <f>IF(AND(T144="",U144=""),"",IFERROR(INDEX(T_CAPAI,MATCH(T144,L_PER,0),MATCH(U144,L_KED,0)),0))</f>
        <v/>
      </c>
      <c r="W144" s="17">
        <f>IF(OR(B144="",E144="",COUNTA(F144,H144,J144:M144,O144,Q144:R144,T144:U144)=0),"",SUM(G144,I144,N144,P144,S144,V144))</f>
        <v/>
      </c>
      <c r="X144" s="18">
        <f>IF(W144="","",IF(Murid!F144="TL","TL",ROUND(W144/110*100,2)))</f>
        <v/>
      </c>
    </row>
    <row r="145">
      <c r="A145" s="15">
        <f>Murid!A145</f>
        <v/>
      </c>
      <c r="B145" s="15">
        <f>IF(Murid!B145="","",Murid!B145)</f>
        <v/>
      </c>
      <c r="C145" s="16">
        <f>IF(Murid!C145="","",Murid!C145)</f>
        <v/>
      </c>
      <c r="D145" s="15">
        <f>IF(Murid!E145="","",Murid!E145)</f>
        <v/>
      </c>
      <c r="E145" s="11" t="n"/>
      <c r="F145" s="11" t="n"/>
      <c r="G145" s="10">
        <f>IF(F145="","",IFERROR(VLOOKUP(F145,T_JSP,2,FALSE),0))</f>
        <v/>
      </c>
      <c r="H145" s="11" t="n"/>
      <c r="I145" s="17">
        <f>IF(H145="","",IF(H145&gt;=12,40,ROUND(H145*3.33,2)))</f>
        <v/>
      </c>
      <c r="J145" s="11" t="n"/>
      <c r="K145" s="11" t="n"/>
      <c r="L145" s="11" t="n"/>
      <c r="M145" s="11" t="n"/>
      <c r="N145" s="10">
        <f>IF(COUNTA(J145:M145)=0,"",MIN(10,SUMPRODUCT((COUNTIF(J145:M145,L_KOM)&gt;0)*S_KOM)))</f>
        <v/>
      </c>
      <c r="O145" s="11" t="n"/>
      <c r="P145" s="10">
        <f>IF(O145="","",IFERROR(VLOOKUP(O145,T_KHID,2,FALSE),0))</f>
        <v/>
      </c>
      <c r="Q145" s="11" t="n"/>
      <c r="R145" s="11" t="n"/>
      <c r="S145" s="10">
        <f>IF(AND(Q145="",R145=""),"",IFERROR(INDEX(T_LIBAT,MATCH(Q145,L_PER,0),MATCH(R145,L_JENIS,0)),0))</f>
        <v/>
      </c>
      <c r="T145" s="11" t="n"/>
      <c r="U145" s="11" t="n"/>
      <c r="V145" s="10">
        <f>IF(AND(T145="",U145=""),"",IFERROR(INDEX(T_CAPAI,MATCH(T145,L_PER,0),MATCH(U145,L_KED,0)),0))</f>
        <v/>
      </c>
      <c r="W145" s="17">
        <f>IF(OR(B145="",E145="",COUNTA(F145,H145,J145:M145,O145,Q145:R145,T145:U145)=0),"",SUM(G145,I145,N145,P145,S145,V145))</f>
        <v/>
      </c>
      <c r="X145" s="18">
        <f>IF(W145="","",IF(Murid!F145="TL","TL",ROUND(W145/110*100,2)))</f>
        <v/>
      </c>
    </row>
    <row r="146">
      <c r="A146" s="15">
        <f>Murid!A146</f>
        <v/>
      </c>
      <c r="B146" s="15">
        <f>IF(Murid!B146="","",Murid!B146)</f>
        <v/>
      </c>
      <c r="C146" s="16">
        <f>IF(Murid!C146="","",Murid!C146)</f>
        <v/>
      </c>
      <c r="D146" s="15">
        <f>IF(Murid!E146="","",Murid!E146)</f>
        <v/>
      </c>
      <c r="E146" s="11" t="n"/>
      <c r="F146" s="11" t="n"/>
      <c r="G146" s="10">
        <f>IF(F146="","",IFERROR(VLOOKUP(F146,T_JSP,2,FALSE),0))</f>
        <v/>
      </c>
      <c r="H146" s="11" t="n"/>
      <c r="I146" s="17">
        <f>IF(H146="","",IF(H146&gt;=12,40,ROUND(H146*3.33,2)))</f>
        <v/>
      </c>
      <c r="J146" s="11" t="n"/>
      <c r="K146" s="11" t="n"/>
      <c r="L146" s="11" t="n"/>
      <c r="M146" s="11" t="n"/>
      <c r="N146" s="10">
        <f>IF(COUNTA(J146:M146)=0,"",MIN(10,SUMPRODUCT((COUNTIF(J146:M146,L_KOM)&gt;0)*S_KOM)))</f>
        <v/>
      </c>
      <c r="O146" s="11" t="n"/>
      <c r="P146" s="10">
        <f>IF(O146="","",IFERROR(VLOOKUP(O146,T_KHID,2,FALSE),0))</f>
        <v/>
      </c>
      <c r="Q146" s="11" t="n"/>
      <c r="R146" s="11" t="n"/>
      <c r="S146" s="10">
        <f>IF(AND(Q146="",R146=""),"",IFERROR(INDEX(T_LIBAT,MATCH(Q146,L_PER,0),MATCH(R146,L_JENIS,0)),0))</f>
        <v/>
      </c>
      <c r="T146" s="11" t="n"/>
      <c r="U146" s="11" t="n"/>
      <c r="V146" s="10">
        <f>IF(AND(T146="",U146=""),"",IFERROR(INDEX(T_CAPAI,MATCH(T146,L_PER,0),MATCH(U146,L_KED,0)),0))</f>
        <v/>
      </c>
      <c r="W146" s="17">
        <f>IF(OR(B146="",E146="",COUNTA(F146,H146,J146:M146,O146,Q146:R146,T146:U146)=0),"",SUM(G146,I146,N146,P146,S146,V146))</f>
        <v/>
      </c>
      <c r="X146" s="18">
        <f>IF(W146="","",IF(Murid!F146="TL","TL",ROUND(W146/110*100,2)))</f>
        <v/>
      </c>
    </row>
    <row r="147">
      <c r="A147" s="15">
        <f>Murid!A147</f>
        <v/>
      </c>
      <c r="B147" s="15">
        <f>IF(Murid!B147="","",Murid!B147)</f>
        <v/>
      </c>
      <c r="C147" s="16">
        <f>IF(Murid!C147="","",Murid!C147)</f>
        <v/>
      </c>
      <c r="D147" s="15">
        <f>IF(Murid!E147="","",Murid!E147)</f>
        <v/>
      </c>
      <c r="E147" s="11" t="n"/>
      <c r="F147" s="11" t="n"/>
      <c r="G147" s="10">
        <f>IF(F147="","",IFERROR(VLOOKUP(F147,T_JSP,2,FALSE),0))</f>
        <v/>
      </c>
      <c r="H147" s="11" t="n"/>
      <c r="I147" s="17">
        <f>IF(H147="","",IF(H147&gt;=12,40,ROUND(H147*3.33,2)))</f>
        <v/>
      </c>
      <c r="J147" s="11" t="n"/>
      <c r="K147" s="11" t="n"/>
      <c r="L147" s="11" t="n"/>
      <c r="M147" s="11" t="n"/>
      <c r="N147" s="10">
        <f>IF(COUNTA(J147:M147)=0,"",MIN(10,SUMPRODUCT((COUNTIF(J147:M147,L_KOM)&gt;0)*S_KOM)))</f>
        <v/>
      </c>
      <c r="O147" s="11" t="n"/>
      <c r="P147" s="10">
        <f>IF(O147="","",IFERROR(VLOOKUP(O147,T_KHID,2,FALSE),0))</f>
        <v/>
      </c>
      <c r="Q147" s="11" t="n"/>
      <c r="R147" s="11" t="n"/>
      <c r="S147" s="10">
        <f>IF(AND(Q147="",R147=""),"",IFERROR(INDEX(T_LIBAT,MATCH(Q147,L_PER,0),MATCH(R147,L_JENIS,0)),0))</f>
        <v/>
      </c>
      <c r="T147" s="11" t="n"/>
      <c r="U147" s="11" t="n"/>
      <c r="V147" s="10">
        <f>IF(AND(T147="",U147=""),"",IFERROR(INDEX(T_CAPAI,MATCH(T147,L_PER,0),MATCH(U147,L_KED,0)),0))</f>
        <v/>
      </c>
      <c r="W147" s="17">
        <f>IF(OR(B147="",E147="",COUNTA(F147,H147,J147:M147,O147,Q147:R147,T147:U147)=0),"",SUM(G147,I147,N147,P147,S147,V147))</f>
        <v/>
      </c>
      <c r="X147" s="18">
        <f>IF(W147="","",IF(Murid!F147="TL","TL",ROUND(W147/110*100,2)))</f>
        <v/>
      </c>
    </row>
    <row r="148">
      <c r="A148" s="15">
        <f>Murid!A148</f>
        <v/>
      </c>
      <c r="B148" s="15">
        <f>IF(Murid!B148="","",Murid!B148)</f>
        <v/>
      </c>
      <c r="C148" s="16">
        <f>IF(Murid!C148="","",Murid!C148)</f>
        <v/>
      </c>
      <c r="D148" s="15">
        <f>IF(Murid!E148="","",Murid!E148)</f>
        <v/>
      </c>
      <c r="E148" s="11" t="n"/>
      <c r="F148" s="11" t="n"/>
      <c r="G148" s="10">
        <f>IF(F148="","",IFERROR(VLOOKUP(F148,T_JSP,2,FALSE),0))</f>
        <v/>
      </c>
      <c r="H148" s="11" t="n"/>
      <c r="I148" s="17">
        <f>IF(H148="","",IF(H148&gt;=12,40,ROUND(H148*3.33,2)))</f>
        <v/>
      </c>
      <c r="J148" s="11" t="n"/>
      <c r="K148" s="11" t="n"/>
      <c r="L148" s="11" t="n"/>
      <c r="M148" s="11" t="n"/>
      <c r="N148" s="10">
        <f>IF(COUNTA(J148:M148)=0,"",MIN(10,SUMPRODUCT((COUNTIF(J148:M148,L_KOM)&gt;0)*S_KOM)))</f>
        <v/>
      </c>
      <c r="O148" s="11" t="n"/>
      <c r="P148" s="10">
        <f>IF(O148="","",IFERROR(VLOOKUP(O148,T_KHID,2,FALSE),0))</f>
        <v/>
      </c>
      <c r="Q148" s="11" t="n"/>
      <c r="R148" s="11" t="n"/>
      <c r="S148" s="10">
        <f>IF(AND(Q148="",R148=""),"",IFERROR(INDEX(T_LIBAT,MATCH(Q148,L_PER,0),MATCH(R148,L_JENIS,0)),0))</f>
        <v/>
      </c>
      <c r="T148" s="11" t="n"/>
      <c r="U148" s="11" t="n"/>
      <c r="V148" s="10">
        <f>IF(AND(T148="",U148=""),"",IFERROR(INDEX(T_CAPAI,MATCH(T148,L_PER,0),MATCH(U148,L_KED,0)),0))</f>
        <v/>
      </c>
      <c r="W148" s="17">
        <f>IF(OR(B148="",E148="",COUNTA(F148,H148,J148:M148,O148,Q148:R148,T148:U148)=0),"",SUM(G148,I148,N148,P148,S148,V148))</f>
        <v/>
      </c>
      <c r="X148" s="18">
        <f>IF(W148="","",IF(Murid!F148="TL","TL",ROUND(W148/110*100,2)))</f>
        <v/>
      </c>
    </row>
    <row r="149">
      <c r="A149" s="15">
        <f>Murid!A149</f>
        <v/>
      </c>
      <c r="B149" s="15">
        <f>IF(Murid!B149="","",Murid!B149)</f>
        <v/>
      </c>
      <c r="C149" s="16">
        <f>IF(Murid!C149="","",Murid!C149)</f>
        <v/>
      </c>
      <c r="D149" s="15">
        <f>IF(Murid!E149="","",Murid!E149)</f>
        <v/>
      </c>
      <c r="E149" s="11" t="n"/>
      <c r="F149" s="11" t="n"/>
      <c r="G149" s="10">
        <f>IF(F149="","",IFERROR(VLOOKUP(F149,T_JSP,2,FALSE),0))</f>
        <v/>
      </c>
      <c r="H149" s="11" t="n"/>
      <c r="I149" s="17">
        <f>IF(H149="","",IF(H149&gt;=12,40,ROUND(H149*3.33,2)))</f>
        <v/>
      </c>
      <c r="J149" s="11" t="n"/>
      <c r="K149" s="11" t="n"/>
      <c r="L149" s="11" t="n"/>
      <c r="M149" s="11" t="n"/>
      <c r="N149" s="10">
        <f>IF(COUNTA(J149:M149)=0,"",MIN(10,SUMPRODUCT((COUNTIF(J149:M149,L_KOM)&gt;0)*S_KOM)))</f>
        <v/>
      </c>
      <c r="O149" s="11" t="n"/>
      <c r="P149" s="10">
        <f>IF(O149="","",IFERROR(VLOOKUP(O149,T_KHID,2,FALSE),0))</f>
        <v/>
      </c>
      <c r="Q149" s="11" t="n"/>
      <c r="R149" s="11" t="n"/>
      <c r="S149" s="10">
        <f>IF(AND(Q149="",R149=""),"",IFERROR(INDEX(T_LIBAT,MATCH(Q149,L_PER,0),MATCH(R149,L_JENIS,0)),0))</f>
        <v/>
      </c>
      <c r="T149" s="11" t="n"/>
      <c r="U149" s="11" t="n"/>
      <c r="V149" s="10">
        <f>IF(AND(T149="",U149=""),"",IFERROR(INDEX(T_CAPAI,MATCH(T149,L_PER,0),MATCH(U149,L_KED,0)),0))</f>
        <v/>
      </c>
      <c r="W149" s="17">
        <f>IF(OR(B149="",E149="",COUNTA(F149,H149,J149:M149,O149,Q149:R149,T149:U149)=0),"",SUM(G149,I149,N149,P149,S149,V149))</f>
        <v/>
      </c>
      <c r="X149" s="18">
        <f>IF(W149="","",IF(Murid!F149="TL","TL",ROUND(W149/110*100,2)))</f>
        <v/>
      </c>
    </row>
    <row r="150">
      <c r="A150" s="15">
        <f>Murid!A150</f>
        <v/>
      </c>
      <c r="B150" s="15">
        <f>IF(Murid!B150="","",Murid!B150)</f>
        <v/>
      </c>
      <c r="C150" s="16">
        <f>IF(Murid!C150="","",Murid!C150)</f>
        <v/>
      </c>
      <c r="D150" s="15">
        <f>IF(Murid!E150="","",Murid!E150)</f>
        <v/>
      </c>
      <c r="E150" s="11" t="n"/>
      <c r="F150" s="11" t="n"/>
      <c r="G150" s="10">
        <f>IF(F150="","",IFERROR(VLOOKUP(F150,T_JSP,2,FALSE),0))</f>
        <v/>
      </c>
      <c r="H150" s="11" t="n"/>
      <c r="I150" s="17">
        <f>IF(H150="","",IF(H150&gt;=12,40,ROUND(H150*3.33,2)))</f>
        <v/>
      </c>
      <c r="J150" s="11" t="n"/>
      <c r="K150" s="11" t="n"/>
      <c r="L150" s="11" t="n"/>
      <c r="M150" s="11" t="n"/>
      <c r="N150" s="10">
        <f>IF(COUNTA(J150:M150)=0,"",MIN(10,SUMPRODUCT((COUNTIF(J150:M150,L_KOM)&gt;0)*S_KOM)))</f>
        <v/>
      </c>
      <c r="O150" s="11" t="n"/>
      <c r="P150" s="10">
        <f>IF(O150="","",IFERROR(VLOOKUP(O150,T_KHID,2,FALSE),0))</f>
        <v/>
      </c>
      <c r="Q150" s="11" t="n"/>
      <c r="R150" s="11" t="n"/>
      <c r="S150" s="10">
        <f>IF(AND(Q150="",R150=""),"",IFERROR(INDEX(T_LIBAT,MATCH(Q150,L_PER,0),MATCH(R150,L_JENIS,0)),0))</f>
        <v/>
      </c>
      <c r="T150" s="11" t="n"/>
      <c r="U150" s="11" t="n"/>
      <c r="V150" s="10">
        <f>IF(AND(T150="",U150=""),"",IFERROR(INDEX(T_CAPAI,MATCH(T150,L_PER,0),MATCH(U150,L_KED,0)),0))</f>
        <v/>
      </c>
      <c r="W150" s="17">
        <f>IF(OR(B150="",E150="",COUNTA(F150,H150,J150:M150,O150,Q150:R150,T150:U150)=0),"",SUM(G150,I150,N150,P150,S150,V150))</f>
        <v/>
      </c>
      <c r="X150" s="18">
        <f>IF(W150="","",IF(Murid!F150="TL","TL",ROUND(W150/110*100,2)))</f>
        <v/>
      </c>
    </row>
    <row r="151">
      <c r="A151" s="15">
        <f>Murid!A151</f>
        <v/>
      </c>
      <c r="B151" s="15">
        <f>IF(Murid!B151="","",Murid!B151)</f>
        <v/>
      </c>
      <c r="C151" s="16">
        <f>IF(Murid!C151="","",Murid!C151)</f>
        <v/>
      </c>
      <c r="D151" s="15">
        <f>IF(Murid!E151="","",Murid!E151)</f>
        <v/>
      </c>
      <c r="E151" s="11" t="n"/>
      <c r="F151" s="11" t="n"/>
      <c r="G151" s="10">
        <f>IF(F151="","",IFERROR(VLOOKUP(F151,T_JSP,2,FALSE),0))</f>
        <v/>
      </c>
      <c r="H151" s="11" t="n"/>
      <c r="I151" s="17">
        <f>IF(H151="","",IF(H151&gt;=12,40,ROUND(H151*3.33,2)))</f>
        <v/>
      </c>
      <c r="J151" s="11" t="n"/>
      <c r="K151" s="11" t="n"/>
      <c r="L151" s="11" t="n"/>
      <c r="M151" s="11" t="n"/>
      <c r="N151" s="10">
        <f>IF(COUNTA(J151:M151)=0,"",MIN(10,SUMPRODUCT((COUNTIF(J151:M151,L_KOM)&gt;0)*S_KOM)))</f>
        <v/>
      </c>
      <c r="O151" s="11" t="n"/>
      <c r="P151" s="10">
        <f>IF(O151="","",IFERROR(VLOOKUP(O151,T_KHID,2,FALSE),0))</f>
        <v/>
      </c>
      <c r="Q151" s="11" t="n"/>
      <c r="R151" s="11" t="n"/>
      <c r="S151" s="10">
        <f>IF(AND(Q151="",R151=""),"",IFERROR(INDEX(T_LIBAT,MATCH(Q151,L_PER,0),MATCH(R151,L_JENIS,0)),0))</f>
        <v/>
      </c>
      <c r="T151" s="11" t="n"/>
      <c r="U151" s="11" t="n"/>
      <c r="V151" s="10">
        <f>IF(AND(T151="",U151=""),"",IFERROR(INDEX(T_CAPAI,MATCH(T151,L_PER,0),MATCH(U151,L_KED,0)),0))</f>
        <v/>
      </c>
      <c r="W151" s="17">
        <f>IF(OR(B151="",E151="",COUNTA(F151,H151,J151:M151,O151,Q151:R151,T151:U151)=0),"",SUM(G151,I151,N151,P151,S151,V151))</f>
        <v/>
      </c>
      <c r="X151" s="18">
        <f>IF(W151="","",IF(Murid!F151="TL","TL",ROUND(W151/110*100,2)))</f>
        <v/>
      </c>
    </row>
    <row r="152">
      <c r="A152" s="15">
        <f>Murid!A152</f>
        <v/>
      </c>
      <c r="B152" s="15">
        <f>IF(Murid!B152="","",Murid!B152)</f>
        <v/>
      </c>
      <c r="C152" s="16">
        <f>IF(Murid!C152="","",Murid!C152)</f>
        <v/>
      </c>
      <c r="D152" s="15">
        <f>IF(Murid!E152="","",Murid!E152)</f>
        <v/>
      </c>
      <c r="E152" s="11" t="n"/>
      <c r="F152" s="11" t="n"/>
      <c r="G152" s="10">
        <f>IF(F152="","",IFERROR(VLOOKUP(F152,T_JSP,2,FALSE),0))</f>
        <v/>
      </c>
      <c r="H152" s="11" t="n"/>
      <c r="I152" s="17">
        <f>IF(H152="","",IF(H152&gt;=12,40,ROUND(H152*3.33,2)))</f>
        <v/>
      </c>
      <c r="J152" s="11" t="n"/>
      <c r="K152" s="11" t="n"/>
      <c r="L152" s="11" t="n"/>
      <c r="M152" s="11" t="n"/>
      <c r="N152" s="10">
        <f>IF(COUNTA(J152:M152)=0,"",MIN(10,SUMPRODUCT((COUNTIF(J152:M152,L_KOM)&gt;0)*S_KOM)))</f>
        <v/>
      </c>
      <c r="O152" s="11" t="n"/>
      <c r="P152" s="10">
        <f>IF(O152="","",IFERROR(VLOOKUP(O152,T_KHID,2,FALSE),0))</f>
        <v/>
      </c>
      <c r="Q152" s="11" t="n"/>
      <c r="R152" s="11" t="n"/>
      <c r="S152" s="10">
        <f>IF(AND(Q152="",R152=""),"",IFERROR(INDEX(T_LIBAT,MATCH(Q152,L_PER,0),MATCH(R152,L_JENIS,0)),0))</f>
        <v/>
      </c>
      <c r="T152" s="11" t="n"/>
      <c r="U152" s="11" t="n"/>
      <c r="V152" s="10">
        <f>IF(AND(T152="",U152=""),"",IFERROR(INDEX(T_CAPAI,MATCH(T152,L_PER,0),MATCH(U152,L_KED,0)),0))</f>
        <v/>
      </c>
      <c r="W152" s="17">
        <f>IF(OR(B152="",E152="",COUNTA(F152,H152,J152:M152,O152,Q152:R152,T152:U152)=0),"",SUM(G152,I152,N152,P152,S152,V152))</f>
        <v/>
      </c>
      <c r="X152" s="18">
        <f>IF(W152="","",IF(Murid!F152="TL","TL",ROUND(W152/110*100,2)))</f>
        <v/>
      </c>
    </row>
    <row r="153">
      <c r="A153" s="15">
        <f>Murid!A153</f>
        <v/>
      </c>
      <c r="B153" s="15">
        <f>IF(Murid!B153="","",Murid!B153)</f>
        <v/>
      </c>
      <c r="C153" s="16">
        <f>IF(Murid!C153="","",Murid!C153)</f>
        <v/>
      </c>
      <c r="D153" s="15">
        <f>IF(Murid!E153="","",Murid!E153)</f>
        <v/>
      </c>
      <c r="E153" s="11" t="n"/>
      <c r="F153" s="11" t="n"/>
      <c r="G153" s="10">
        <f>IF(F153="","",IFERROR(VLOOKUP(F153,T_JSP,2,FALSE),0))</f>
        <v/>
      </c>
      <c r="H153" s="11" t="n"/>
      <c r="I153" s="17">
        <f>IF(H153="","",IF(H153&gt;=12,40,ROUND(H153*3.33,2)))</f>
        <v/>
      </c>
      <c r="J153" s="11" t="n"/>
      <c r="K153" s="11" t="n"/>
      <c r="L153" s="11" t="n"/>
      <c r="M153" s="11" t="n"/>
      <c r="N153" s="10">
        <f>IF(COUNTA(J153:M153)=0,"",MIN(10,SUMPRODUCT((COUNTIF(J153:M153,L_KOM)&gt;0)*S_KOM)))</f>
        <v/>
      </c>
      <c r="O153" s="11" t="n"/>
      <c r="P153" s="10">
        <f>IF(O153="","",IFERROR(VLOOKUP(O153,T_KHID,2,FALSE),0))</f>
        <v/>
      </c>
      <c r="Q153" s="11" t="n"/>
      <c r="R153" s="11" t="n"/>
      <c r="S153" s="10">
        <f>IF(AND(Q153="",R153=""),"",IFERROR(INDEX(T_LIBAT,MATCH(Q153,L_PER,0),MATCH(R153,L_JENIS,0)),0))</f>
        <v/>
      </c>
      <c r="T153" s="11" t="n"/>
      <c r="U153" s="11" t="n"/>
      <c r="V153" s="10">
        <f>IF(AND(T153="",U153=""),"",IFERROR(INDEX(T_CAPAI,MATCH(T153,L_PER,0),MATCH(U153,L_KED,0)),0))</f>
        <v/>
      </c>
      <c r="W153" s="17">
        <f>IF(OR(B153="",E153="",COUNTA(F153,H153,J153:M153,O153,Q153:R153,T153:U153)=0),"",SUM(G153,I153,N153,P153,S153,V153))</f>
        <v/>
      </c>
      <c r="X153" s="18">
        <f>IF(W153="","",IF(Murid!F153="TL","TL",ROUND(W153/110*100,2)))</f>
        <v/>
      </c>
    </row>
    <row r="154">
      <c r="A154" s="15">
        <f>Murid!A154</f>
        <v/>
      </c>
      <c r="B154" s="15">
        <f>IF(Murid!B154="","",Murid!B154)</f>
        <v/>
      </c>
      <c r="C154" s="16">
        <f>IF(Murid!C154="","",Murid!C154)</f>
        <v/>
      </c>
      <c r="D154" s="15">
        <f>IF(Murid!E154="","",Murid!E154)</f>
        <v/>
      </c>
      <c r="E154" s="11" t="n"/>
      <c r="F154" s="11" t="n"/>
      <c r="G154" s="10">
        <f>IF(F154="","",IFERROR(VLOOKUP(F154,T_JSP,2,FALSE),0))</f>
        <v/>
      </c>
      <c r="H154" s="11" t="n"/>
      <c r="I154" s="17">
        <f>IF(H154="","",IF(H154&gt;=12,40,ROUND(H154*3.33,2)))</f>
        <v/>
      </c>
      <c r="J154" s="11" t="n"/>
      <c r="K154" s="11" t="n"/>
      <c r="L154" s="11" t="n"/>
      <c r="M154" s="11" t="n"/>
      <c r="N154" s="10">
        <f>IF(COUNTA(J154:M154)=0,"",MIN(10,SUMPRODUCT((COUNTIF(J154:M154,L_KOM)&gt;0)*S_KOM)))</f>
        <v/>
      </c>
      <c r="O154" s="11" t="n"/>
      <c r="P154" s="10">
        <f>IF(O154="","",IFERROR(VLOOKUP(O154,T_KHID,2,FALSE),0))</f>
        <v/>
      </c>
      <c r="Q154" s="11" t="n"/>
      <c r="R154" s="11" t="n"/>
      <c r="S154" s="10">
        <f>IF(AND(Q154="",R154=""),"",IFERROR(INDEX(T_LIBAT,MATCH(Q154,L_PER,0),MATCH(R154,L_JENIS,0)),0))</f>
        <v/>
      </c>
      <c r="T154" s="11" t="n"/>
      <c r="U154" s="11" t="n"/>
      <c r="V154" s="10">
        <f>IF(AND(T154="",U154=""),"",IFERROR(INDEX(T_CAPAI,MATCH(T154,L_PER,0),MATCH(U154,L_KED,0)),0))</f>
        <v/>
      </c>
      <c r="W154" s="17">
        <f>IF(OR(B154="",E154="",COUNTA(F154,H154,J154:M154,O154,Q154:R154,T154:U154)=0),"",SUM(G154,I154,N154,P154,S154,V154))</f>
        <v/>
      </c>
      <c r="X154" s="18">
        <f>IF(W154="","",IF(Murid!F154="TL","TL",ROUND(W154/110*100,2)))</f>
        <v/>
      </c>
    </row>
    <row r="155">
      <c r="A155" s="15">
        <f>Murid!A155</f>
        <v/>
      </c>
      <c r="B155" s="15">
        <f>IF(Murid!B155="","",Murid!B155)</f>
        <v/>
      </c>
      <c r="C155" s="16">
        <f>IF(Murid!C155="","",Murid!C155)</f>
        <v/>
      </c>
      <c r="D155" s="15">
        <f>IF(Murid!E155="","",Murid!E155)</f>
        <v/>
      </c>
      <c r="E155" s="11" t="n"/>
      <c r="F155" s="11" t="n"/>
      <c r="G155" s="10">
        <f>IF(F155="","",IFERROR(VLOOKUP(F155,T_JSP,2,FALSE),0))</f>
        <v/>
      </c>
      <c r="H155" s="11" t="n"/>
      <c r="I155" s="17">
        <f>IF(H155="","",IF(H155&gt;=12,40,ROUND(H155*3.33,2)))</f>
        <v/>
      </c>
      <c r="J155" s="11" t="n"/>
      <c r="K155" s="11" t="n"/>
      <c r="L155" s="11" t="n"/>
      <c r="M155" s="11" t="n"/>
      <c r="N155" s="10">
        <f>IF(COUNTA(J155:M155)=0,"",MIN(10,SUMPRODUCT((COUNTIF(J155:M155,L_KOM)&gt;0)*S_KOM)))</f>
        <v/>
      </c>
      <c r="O155" s="11" t="n"/>
      <c r="P155" s="10">
        <f>IF(O155="","",IFERROR(VLOOKUP(O155,T_KHID,2,FALSE),0))</f>
        <v/>
      </c>
      <c r="Q155" s="11" t="n"/>
      <c r="R155" s="11" t="n"/>
      <c r="S155" s="10">
        <f>IF(AND(Q155="",R155=""),"",IFERROR(INDEX(T_LIBAT,MATCH(Q155,L_PER,0),MATCH(R155,L_JENIS,0)),0))</f>
        <v/>
      </c>
      <c r="T155" s="11" t="n"/>
      <c r="U155" s="11" t="n"/>
      <c r="V155" s="10">
        <f>IF(AND(T155="",U155=""),"",IFERROR(INDEX(T_CAPAI,MATCH(T155,L_PER,0),MATCH(U155,L_KED,0)),0))</f>
        <v/>
      </c>
      <c r="W155" s="17">
        <f>IF(OR(B155="",E155="",COUNTA(F155,H155,J155:M155,O155,Q155:R155,T155:U155)=0),"",SUM(G155,I155,N155,P155,S155,V155))</f>
        <v/>
      </c>
      <c r="X155" s="18">
        <f>IF(W155="","",IF(Murid!F155="TL","TL",ROUND(W155/110*100,2)))</f>
        <v/>
      </c>
    </row>
    <row r="156">
      <c r="A156" s="15">
        <f>Murid!A156</f>
        <v/>
      </c>
      <c r="B156" s="15">
        <f>IF(Murid!B156="","",Murid!B156)</f>
        <v/>
      </c>
      <c r="C156" s="16">
        <f>IF(Murid!C156="","",Murid!C156)</f>
        <v/>
      </c>
      <c r="D156" s="15">
        <f>IF(Murid!E156="","",Murid!E156)</f>
        <v/>
      </c>
      <c r="E156" s="11" t="n"/>
      <c r="F156" s="11" t="n"/>
      <c r="G156" s="10">
        <f>IF(F156="","",IFERROR(VLOOKUP(F156,T_JSP,2,FALSE),0))</f>
        <v/>
      </c>
      <c r="H156" s="11" t="n"/>
      <c r="I156" s="17">
        <f>IF(H156="","",IF(H156&gt;=12,40,ROUND(H156*3.33,2)))</f>
        <v/>
      </c>
      <c r="J156" s="11" t="n"/>
      <c r="K156" s="11" t="n"/>
      <c r="L156" s="11" t="n"/>
      <c r="M156" s="11" t="n"/>
      <c r="N156" s="10">
        <f>IF(COUNTA(J156:M156)=0,"",MIN(10,SUMPRODUCT((COUNTIF(J156:M156,L_KOM)&gt;0)*S_KOM)))</f>
        <v/>
      </c>
      <c r="O156" s="11" t="n"/>
      <c r="P156" s="10">
        <f>IF(O156="","",IFERROR(VLOOKUP(O156,T_KHID,2,FALSE),0))</f>
        <v/>
      </c>
      <c r="Q156" s="11" t="n"/>
      <c r="R156" s="11" t="n"/>
      <c r="S156" s="10">
        <f>IF(AND(Q156="",R156=""),"",IFERROR(INDEX(T_LIBAT,MATCH(Q156,L_PER,0),MATCH(R156,L_JENIS,0)),0))</f>
        <v/>
      </c>
      <c r="T156" s="11" t="n"/>
      <c r="U156" s="11" t="n"/>
      <c r="V156" s="10">
        <f>IF(AND(T156="",U156=""),"",IFERROR(INDEX(T_CAPAI,MATCH(T156,L_PER,0),MATCH(U156,L_KED,0)),0))</f>
        <v/>
      </c>
      <c r="W156" s="17">
        <f>IF(OR(B156="",E156="",COUNTA(F156,H156,J156:M156,O156,Q156:R156,T156:U156)=0),"",SUM(G156,I156,N156,P156,S156,V156))</f>
        <v/>
      </c>
      <c r="X156" s="18">
        <f>IF(W156="","",IF(Murid!F156="TL","TL",ROUND(W156/110*100,2)))</f>
        <v/>
      </c>
    </row>
    <row r="157">
      <c r="A157" s="15">
        <f>Murid!A157</f>
        <v/>
      </c>
      <c r="B157" s="15">
        <f>IF(Murid!B157="","",Murid!B157)</f>
        <v/>
      </c>
      <c r="C157" s="16">
        <f>IF(Murid!C157="","",Murid!C157)</f>
        <v/>
      </c>
      <c r="D157" s="15">
        <f>IF(Murid!E157="","",Murid!E157)</f>
        <v/>
      </c>
      <c r="E157" s="11" t="n"/>
      <c r="F157" s="11" t="n"/>
      <c r="G157" s="10">
        <f>IF(F157="","",IFERROR(VLOOKUP(F157,T_JSP,2,FALSE),0))</f>
        <v/>
      </c>
      <c r="H157" s="11" t="n"/>
      <c r="I157" s="17">
        <f>IF(H157="","",IF(H157&gt;=12,40,ROUND(H157*3.33,2)))</f>
        <v/>
      </c>
      <c r="J157" s="11" t="n"/>
      <c r="K157" s="11" t="n"/>
      <c r="L157" s="11" t="n"/>
      <c r="M157" s="11" t="n"/>
      <c r="N157" s="10">
        <f>IF(COUNTA(J157:M157)=0,"",MIN(10,SUMPRODUCT((COUNTIF(J157:M157,L_KOM)&gt;0)*S_KOM)))</f>
        <v/>
      </c>
      <c r="O157" s="11" t="n"/>
      <c r="P157" s="10">
        <f>IF(O157="","",IFERROR(VLOOKUP(O157,T_KHID,2,FALSE),0))</f>
        <v/>
      </c>
      <c r="Q157" s="11" t="n"/>
      <c r="R157" s="11" t="n"/>
      <c r="S157" s="10">
        <f>IF(AND(Q157="",R157=""),"",IFERROR(INDEX(T_LIBAT,MATCH(Q157,L_PER,0),MATCH(R157,L_JENIS,0)),0))</f>
        <v/>
      </c>
      <c r="T157" s="11" t="n"/>
      <c r="U157" s="11" t="n"/>
      <c r="V157" s="10">
        <f>IF(AND(T157="",U157=""),"",IFERROR(INDEX(T_CAPAI,MATCH(T157,L_PER,0),MATCH(U157,L_KED,0)),0))</f>
        <v/>
      </c>
      <c r="W157" s="17">
        <f>IF(OR(B157="",E157="",COUNTA(F157,H157,J157:M157,O157,Q157:R157,T157:U157)=0),"",SUM(G157,I157,N157,P157,S157,V157))</f>
        <v/>
      </c>
      <c r="X157" s="18">
        <f>IF(W157="","",IF(Murid!F157="TL","TL",ROUND(W157/110*100,2)))</f>
        <v/>
      </c>
    </row>
    <row r="158">
      <c r="A158" s="15">
        <f>Murid!A158</f>
        <v/>
      </c>
      <c r="B158" s="15">
        <f>IF(Murid!B158="","",Murid!B158)</f>
        <v/>
      </c>
      <c r="C158" s="16">
        <f>IF(Murid!C158="","",Murid!C158)</f>
        <v/>
      </c>
      <c r="D158" s="15">
        <f>IF(Murid!E158="","",Murid!E158)</f>
        <v/>
      </c>
      <c r="E158" s="11" t="n"/>
      <c r="F158" s="11" t="n"/>
      <c r="G158" s="10">
        <f>IF(F158="","",IFERROR(VLOOKUP(F158,T_JSP,2,FALSE),0))</f>
        <v/>
      </c>
      <c r="H158" s="11" t="n"/>
      <c r="I158" s="17">
        <f>IF(H158="","",IF(H158&gt;=12,40,ROUND(H158*3.33,2)))</f>
        <v/>
      </c>
      <c r="J158" s="11" t="n"/>
      <c r="K158" s="11" t="n"/>
      <c r="L158" s="11" t="n"/>
      <c r="M158" s="11" t="n"/>
      <c r="N158" s="10">
        <f>IF(COUNTA(J158:M158)=0,"",MIN(10,SUMPRODUCT((COUNTIF(J158:M158,L_KOM)&gt;0)*S_KOM)))</f>
        <v/>
      </c>
      <c r="O158" s="11" t="n"/>
      <c r="P158" s="10">
        <f>IF(O158="","",IFERROR(VLOOKUP(O158,T_KHID,2,FALSE),0))</f>
        <v/>
      </c>
      <c r="Q158" s="11" t="n"/>
      <c r="R158" s="11" t="n"/>
      <c r="S158" s="10">
        <f>IF(AND(Q158="",R158=""),"",IFERROR(INDEX(T_LIBAT,MATCH(Q158,L_PER,0),MATCH(R158,L_JENIS,0)),0))</f>
        <v/>
      </c>
      <c r="T158" s="11" t="n"/>
      <c r="U158" s="11" t="n"/>
      <c r="V158" s="10">
        <f>IF(AND(T158="",U158=""),"",IFERROR(INDEX(T_CAPAI,MATCH(T158,L_PER,0),MATCH(U158,L_KED,0)),0))</f>
        <v/>
      </c>
      <c r="W158" s="17">
        <f>IF(OR(B158="",E158="",COUNTA(F158,H158,J158:M158,O158,Q158:R158,T158:U158)=0),"",SUM(G158,I158,N158,P158,S158,V158))</f>
        <v/>
      </c>
      <c r="X158" s="18">
        <f>IF(W158="","",IF(Murid!F158="TL","TL",ROUND(W158/110*100,2)))</f>
        <v/>
      </c>
    </row>
    <row r="159">
      <c r="A159" s="15">
        <f>Murid!A159</f>
        <v/>
      </c>
      <c r="B159" s="15">
        <f>IF(Murid!B159="","",Murid!B159)</f>
        <v/>
      </c>
      <c r="C159" s="16">
        <f>IF(Murid!C159="","",Murid!C159)</f>
        <v/>
      </c>
      <c r="D159" s="15">
        <f>IF(Murid!E159="","",Murid!E159)</f>
        <v/>
      </c>
      <c r="E159" s="11" t="n"/>
      <c r="F159" s="11" t="n"/>
      <c r="G159" s="10">
        <f>IF(F159="","",IFERROR(VLOOKUP(F159,T_JSP,2,FALSE),0))</f>
        <v/>
      </c>
      <c r="H159" s="11" t="n"/>
      <c r="I159" s="17">
        <f>IF(H159="","",IF(H159&gt;=12,40,ROUND(H159*3.33,2)))</f>
        <v/>
      </c>
      <c r="J159" s="11" t="n"/>
      <c r="K159" s="11" t="n"/>
      <c r="L159" s="11" t="n"/>
      <c r="M159" s="11" t="n"/>
      <c r="N159" s="10">
        <f>IF(COUNTA(J159:M159)=0,"",MIN(10,SUMPRODUCT((COUNTIF(J159:M159,L_KOM)&gt;0)*S_KOM)))</f>
        <v/>
      </c>
      <c r="O159" s="11" t="n"/>
      <c r="P159" s="10">
        <f>IF(O159="","",IFERROR(VLOOKUP(O159,T_KHID,2,FALSE),0))</f>
        <v/>
      </c>
      <c r="Q159" s="11" t="n"/>
      <c r="R159" s="11" t="n"/>
      <c r="S159" s="10">
        <f>IF(AND(Q159="",R159=""),"",IFERROR(INDEX(T_LIBAT,MATCH(Q159,L_PER,0),MATCH(R159,L_JENIS,0)),0))</f>
        <v/>
      </c>
      <c r="T159" s="11" t="n"/>
      <c r="U159" s="11" t="n"/>
      <c r="V159" s="10">
        <f>IF(AND(T159="",U159=""),"",IFERROR(INDEX(T_CAPAI,MATCH(T159,L_PER,0),MATCH(U159,L_KED,0)),0))</f>
        <v/>
      </c>
      <c r="W159" s="17">
        <f>IF(OR(B159="",E159="",COUNTA(F159,H159,J159:M159,O159,Q159:R159,T159:U159)=0),"",SUM(G159,I159,N159,P159,S159,V159))</f>
        <v/>
      </c>
      <c r="X159" s="18">
        <f>IF(W159="","",IF(Murid!F159="TL","TL",ROUND(W159/110*100,2)))</f>
        <v/>
      </c>
    </row>
    <row r="160">
      <c r="A160" s="15">
        <f>Murid!A160</f>
        <v/>
      </c>
      <c r="B160" s="15">
        <f>IF(Murid!B160="","",Murid!B160)</f>
        <v/>
      </c>
      <c r="C160" s="16">
        <f>IF(Murid!C160="","",Murid!C160)</f>
        <v/>
      </c>
      <c r="D160" s="15">
        <f>IF(Murid!E160="","",Murid!E160)</f>
        <v/>
      </c>
      <c r="E160" s="11" t="n"/>
      <c r="F160" s="11" t="n"/>
      <c r="G160" s="10">
        <f>IF(F160="","",IFERROR(VLOOKUP(F160,T_JSP,2,FALSE),0))</f>
        <v/>
      </c>
      <c r="H160" s="11" t="n"/>
      <c r="I160" s="17">
        <f>IF(H160="","",IF(H160&gt;=12,40,ROUND(H160*3.33,2)))</f>
        <v/>
      </c>
      <c r="J160" s="11" t="n"/>
      <c r="K160" s="11" t="n"/>
      <c r="L160" s="11" t="n"/>
      <c r="M160" s="11" t="n"/>
      <c r="N160" s="10">
        <f>IF(COUNTA(J160:M160)=0,"",MIN(10,SUMPRODUCT((COUNTIF(J160:M160,L_KOM)&gt;0)*S_KOM)))</f>
        <v/>
      </c>
      <c r="O160" s="11" t="n"/>
      <c r="P160" s="10">
        <f>IF(O160="","",IFERROR(VLOOKUP(O160,T_KHID,2,FALSE),0))</f>
        <v/>
      </c>
      <c r="Q160" s="11" t="n"/>
      <c r="R160" s="11" t="n"/>
      <c r="S160" s="10">
        <f>IF(AND(Q160="",R160=""),"",IFERROR(INDEX(T_LIBAT,MATCH(Q160,L_PER,0),MATCH(R160,L_JENIS,0)),0))</f>
        <v/>
      </c>
      <c r="T160" s="11" t="n"/>
      <c r="U160" s="11" t="n"/>
      <c r="V160" s="10">
        <f>IF(AND(T160="",U160=""),"",IFERROR(INDEX(T_CAPAI,MATCH(T160,L_PER,0),MATCH(U160,L_KED,0)),0))</f>
        <v/>
      </c>
      <c r="W160" s="17">
        <f>IF(OR(B160="",E160="",COUNTA(F160,H160,J160:M160,O160,Q160:R160,T160:U160)=0),"",SUM(G160,I160,N160,P160,S160,V160))</f>
        <v/>
      </c>
      <c r="X160" s="18">
        <f>IF(W160="","",IF(Murid!F160="TL","TL",ROUND(W160/110*100,2)))</f>
        <v/>
      </c>
    </row>
    <row r="161">
      <c r="A161" s="15">
        <f>Murid!A161</f>
        <v/>
      </c>
      <c r="B161" s="15">
        <f>IF(Murid!B161="","",Murid!B161)</f>
        <v/>
      </c>
      <c r="C161" s="16">
        <f>IF(Murid!C161="","",Murid!C161)</f>
        <v/>
      </c>
      <c r="D161" s="15">
        <f>IF(Murid!E161="","",Murid!E161)</f>
        <v/>
      </c>
      <c r="E161" s="11" t="n"/>
      <c r="F161" s="11" t="n"/>
      <c r="G161" s="10">
        <f>IF(F161="","",IFERROR(VLOOKUP(F161,T_JSP,2,FALSE),0))</f>
        <v/>
      </c>
      <c r="H161" s="11" t="n"/>
      <c r="I161" s="17">
        <f>IF(H161="","",IF(H161&gt;=12,40,ROUND(H161*3.33,2)))</f>
        <v/>
      </c>
      <c r="J161" s="11" t="n"/>
      <c r="K161" s="11" t="n"/>
      <c r="L161" s="11" t="n"/>
      <c r="M161" s="11" t="n"/>
      <c r="N161" s="10">
        <f>IF(COUNTA(J161:M161)=0,"",MIN(10,SUMPRODUCT((COUNTIF(J161:M161,L_KOM)&gt;0)*S_KOM)))</f>
        <v/>
      </c>
      <c r="O161" s="11" t="n"/>
      <c r="P161" s="10">
        <f>IF(O161="","",IFERROR(VLOOKUP(O161,T_KHID,2,FALSE),0))</f>
        <v/>
      </c>
      <c r="Q161" s="11" t="n"/>
      <c r="R161" s="11" t="n"/>
      <c r="S161" s="10">
        <f>IF(AND(Q161="",R161=""),"",IFERROR(INDEX(T_LIBAT,MATCH(Q161,L_PER,0),MATCH(R161,L_JENIS,0)),0))</f>
        <v/>
      </c>
      <c r="T161" s="11" t="n"/>
      <c r="U161" s="11" t="n"/>
      <c r="V161" s="10">
        <f>IF(AND(T161="",U161=""),"",IFERROR(INDEX(T_CAPAI,MATCH(T161,L_PER,0),MATCH(U161,L_KED,0)),0))</f>
        <v/>
      </c>
      <c r="W161" s="17">
        <f>IF(OR(B161="",E161="",COUNTA(F161,H161,J161:M161,O161,Q161:R161,T161:U161)=0),"",SUM(G161,I161,N161,P161,S161,V161))</f>
        <v/>
      </c>
      <c r="X161" s="18">
        <f>IF(W161="","",IF(Murid!F161="TL","TL",ROUND(W161/110*100,2)))</f>
        <v/>
      </c>
    </row>
    <row r="162">
      <c r="A162" s="15">
        <f>Murid!A162</f>
        <v/>
      </c>
      <c r="B162" s="15">
        <f>IF(Murid!B162="","",Murid!B162)</f>
        <v/>
      </c>
      <c r="C162" s="16">
        <f>IF(Murid!C162="","",Murid!C162)</f>
        <v/>
      </c>
      <c r="D162" s="15">
        <f>IF(Murid!E162="","",Murid!E162)</f>
        <v/>
      </c>
      <c r="E162" s="11" t="n"/>
      <c r="F162" s="11" t="n"/>
      <c r="G162" s="10">
        <f>IF(F162="","",IFERROR(VLOOKUP(F162,T_JSP,2,FALSE),0))</f>
        <v/>
      </c>
      <c r="H162" s="11" t="n"/>
      <c r="I162" s="17">
        <f>IF(H162="","",IF(H162&gt;=12,40,ROUND(H162*3.33,2)))</f>
        <v/>
      </c>
      <c r="J162" s="11" t="n"/>
      <c r="K162" s="11" t="n"/>
      <c r="L162" s="11" t="n"/>
      <c r="M162" s="11" t="n"/>
      <c r="N162" s="10">
        <f>IF(COUNTA(J162:M162)=0,"",MIN(10,SUMPRODUCT((COUNTIF(J162:M162,L_KOM)&gt;0)*S_KOM)))</f>
        <v/>
      </c>
      <c r="O162" s="11" t="n"/>
      <c r="P162" s="10">
        <f>IF(O162="","",IFERROR(VLOOKUP(O162,T_KHID,2,FALSE),0))</f>
        <v/>
      </c>
      <c r="Q162" s="11" t="n"/>
      <c r="R162" s="11" t="n"/>
      <c r="S162" s="10">
        <f>IF(AND(Q162="",R162=""),"",IFERROR(INDEX(T_LIBAT,MATCH(Q162,L_PER,0),MATCH(R162,L_JENIS,0)),0))</f>
        <v/>
      </c>
      <c r="T162" s="11" t="n"/>
      <c r="U162" s="11" t="n"/>
      <c r="V162" s="10">
        <f>IF(AND(T162="",U162=""),"",IFERROR(INDEX(T_CAPAI,MATCH(T162,L_PER,0),MATCH(U162,L_KED,0)),0))</f>
        <v/>
      </c>
      <c r="W162" s="17">
        <f>IF(OR(B162="",E162="",COUNTA(F162,H162,J162:M162,O162,Q162:R162,T162:U162)=0),"",SUM(G162,I162,N162,P162,S162,V162))</f>
        <v/>
      </c>
      <c r="X162" s="18">
        <f>IF(W162="","",IF(Murid!F162="TL","TL",ROUND(W162/110*100,2)))</f>
        <v/>
      </c>
    </row>
    <row r="163">
      <c r="A163" s="15">
        <f>Murid!A163</f>
        <v/>
      </c>
      <c r="B163" s="15">
        <f>IF(Murid!B163="","",Murid!B163)</f>
        <v/>
      </c>
      <c r="C163" s="16">
        <f>IF(Murid!C163="","",Murid!C163)</f>
        <v/>
      </c>
      <c r="D163" s="15">
        <f>IF(Murid!E163="","",Murid!E163)</f>
        <v/>
      </c>
      <c r="E163" s="11" t="n"/>
      <c r="F163" s="11" t="n"/>
      <c r="G163" s="10">
        <f>IF(F163="","",IFERROR(VLOOKUP(F163,T_JSP,2,FALSE),0))</f>
        <v/>
      </c>
      <c r="H163" s="11" t="n"/>
      <c r="I163" s="17">
        <f>IF(H163="","",IF(H163&gt;=12,40,ROUND(H163*3.33,2)))</f>
        <v/>
      </c>
      <c r="J163" s="11" t="n"/>
      <c r="K163" s="11" t="n"/>
      <c r="L163" s="11" t="n"/>
      <c r="M163" s="11" t="n"/>
      <c r="N163" s="10">
        <f>IF(COUNTA(J163:M163)=0,"",MIN(10,SUMPRODUCT((COUNTIF(J163:M163,L_KOM)&gt;0)*S_KOM)))</f>
        <v/>
      </c>
      <c r="O163" s="11" t="n"/>
      <c r="P163" s="10">
        <f>IF(O163="","",IFERROR(VLOOKUP(O163,T_KHID,2,FALSE),0))</f>
        <v/>
      </c>
      <c r="Q163" s="11" t="n"/>
      <c r="R163" s="11" t="n"/>
      <c r="S163" s="10">
        <f>IF(AND(Q163="",R163=""),"",IFERROR(INDEX(T_LIBAT,MATCH(Q163,L_PER,0),MATCH(R163,L_JENIS,0)),0))</f>
        <v/>
      </c>
      <c r="T163" s="11" t="n"/>
      <c r="U163" s="11" t="n"/>
      <c r="V163" s="10">
        <f>IF(AND(T163="",U163=""),"",IFERROR(INDEX(T_CAPAI,MATCH(T163,L_PER,0),MATCH(U163,L_KED,0)),0))</f>
        <v/>
      </c>
      <c r="W163" s="17">
        <f>IF(OR(B163="",E163="",COUNTA(F163,H163,J163:M163,O163,Q163:R163,T163:U163)=0),"",SUM(G163,I163,N163,P163,S163,V163))</f>
        <v/>
      </c>
      <c r="X163" s="18">
        <f>IF(W163="","",IF(Murid!F163="TL","TL",ROUND(W163/110*100,2)))</f>
        <v/>
      </c>
    </row>
    <row r="164">
      <c r="A164" s="15">
        <f>Murid!A164</f>
        <v/>
      </c>
      <c r="B164" s="15">
        <f>IF(Murid!B164="","",Murid!B164)</f>
        <v/>
      </c>
      <c r="C164" s="16">
        <f>IF(Murid!C164="","",Murid!C164)</f>
        <v/>
      </c>
      <c r="D164" s="15">
        <f>IF(Murid!E164="","",Murid!E164)</f>
        <v/>
      </c>
      <c r="E164" s="11" t="n"/>
      <c r="F164" s="11" t="n"/>
      <c r="G164" s="10">
        <f>IF(F164="","",IFERROR(VLOOKUP(F164,T_JSP,2,FALSE),0))</f>
        <v/>
      </c>
      <c r="H164" s="11" t="n"/>
      <c r="I164" s="17">
        <f>IF(H164="","",IF(H164&gt;=12,40,ROUND(H164*3.33,2)))</f>
        <v/>
      </c>
      <c r="J164" s="11" t="n"/>
      <c r="K164" s="11" t="n"/>
      <c r="L164" s="11" t="n"/>
      <c r="M164" s="11" t="n"/>
      <c r="N164" s="10">
        <f>IF(COUNTA(J164:M164)=0,"",MIN(10,SUMPRODUCT((COUNTIF(J164:M164,L_KOM)&gt;0)*S_KOM)))</f>
        <v/>
      </c>
      <c r="O164" s="11" t="n"/>
      <c r="P164" s="10">
        <f>IF(O164="","",IFERROR(VLOOKUP(O164,T_KHID,2,FALSE),0))</f>
        <v/>
      </c>
      <c r="Q164" s="11" t="n"/>
      <c r="R164" s="11" t="n"/>
      <c r="S164" s="10">
        <f>IF(AND(Q164="",R164=""),"",IFERROR(INDEX(T_LIBAT,MATCH(Q164,L_PER,0),MATCH(R164,L_JENIS,0)),0))</f>
        <v/>
      </c>
      <c r="T164" s="11" t="n"/>
      <c r="U164" s="11" t="n"/>
      <c r="V164" s="10">
        <f>IF(AND(T164="",U164=""),"",IFERROR(INDEX(T_CAPAI,MATCH(T164,L_PER,0),MATCH(U164,L_KED,0)),0))</f>
        <v/>
      </c>
      <c r="W164" s="17">
        <f>IF(OR(B164="",E164="",COUNTA(F164,H164,J164:M164,O164,Q164:R164,T164:U164)=0),"",SUM(G164,I164,N164,P164,S164,V164))</f>
        <v/>
      </c>
      <c r="X164" s="18">
        <f>IF(W164="","",IF(Murid!F164="TL","TL",ROUND(W164/110*100,2)))</f>
        <v/>
      </c>
    </row>
    <row r="165">
      <c r="A165" s="15">
        <f>Murid!A165</f>
        <v/>
      </c>
      <c r="B165" s="15">
        <f>IF(Murid!B165="","",Murid!B165)</f>
        <v/>
      </c>
      <c r="C165" s="16">
        <f>IF(Murid!C165="","",Murid!C165)</f>
        <v/>
      </c>
      <c r="D165" s="15">
        <f>IF(Murid!E165="","",Murid!E165)</f>
        <v/>
      </c>
      <c r="E165" s="11" t="n"/>
      <c r="F165" s="11" t="n"/>
      <c r="G165" s="10">
        <f>IF(F165="","",IFERROR(VLOOKUP(F165,T_JSP,2,FALSE),0))</f>
        <v/>
      </c>
      <c r="H165" s="11" t="n"/>
      <c r="I165" s="17">
        <f>IF(H165="","",IF(H165&gt;=12,40,ROUND(H165*3.33,2)))</f>
        <v/>
      </c>
      <c r="J165" s="11" t="n"/>
      <c r="K165" s="11" t="n"/>
      <c r="L165" s="11" t="n"/>
      <c r="M165" s="11" t="n"/>
      <c r="N165" s="10">
        <f>IF(COUNTA(J165:M165)=0,"",MIN(10,SUMPRODUCT((COUNTIF(J165:M165,L_KOM)&gt;0)*S_KOM)))</f>
        <v/>
      </c>
      <c r="O165" s="11" t="n"/>
      <c r="P165" s="10">
        <f>IF(O165="","",IFERROR(VLOOKUP(O165,T_KHID,2,FALSE),0))</f>
        <v/>
      </c>
      <c r="Q165" s="11" t="n"/>
      <c r="R165" s="11" t="n"/>
      <c r="S165" s="10">
        <f>IF(AND(Q165="",R165=""),"",IFERROR(INDEX(T_LIBAT,MATCH(Q165,L_PER,0),MATCH(R165,L_JENIS,0)),0))</f>
        <v/>
      </c>
      <c r="T165" s="11" t="n"/>
      <c r="U165" s="11" t="n"/>
      <c r="V165" s="10">
        <f>IF(AND(T165="",U165=""),"",IFERROR(INDEX(T_CAPAI,MATCH(T165,L_PER,0),MATCH(U165,L_KED,0)),0))</f>
        <v/>
      </c>
      <c r="W165" s="17">
        <f>IF(OR(B165="",E165="",COUNTA(F165,H165,J165:M165,O165,Q165:R165,T165:U165)=0),"",SUM(G165,I165,N165,P165,S165,V165))</f>
        <v/>
      </c>
      <c r="X165" s="18">
        <f>IF(W165="","",IF(Murid!F165="TL","TL",ROUND(W165/110*100,2)))</f>
        <v/>
      </c>
    </row>
    <row r="166">
      <c r="A166" s="15">
        <f>Murid!A166</f>
        <v/>
      </c>
      <c r="B166" s="15">
        <f>IF(Murid!B166="","",Murid!B166)</f>
        <v/>
      </c>
      <c r="C166" s="16">
        <f>IF(Murid!C166="","",Murid!C166)</f>
        <v/>
      </c>
      <c r="D166" s="15">
        <f>IF(Murid!E166="","",Murid!E166)</f>
        <v/>
      </c>
      <c r="E166" s="11" t="n"/>
      <c r="F166" s="11" t="n"/>
      <c r="G166" s="10">
        <f>IF(F166="","",IFERROR(VLOOKUP(F166,T_JSP,2,FALSE),0))</f>
        <v/>
      </c>
      <c r="H166" s="11" t="n"/>
      <c r="I166" s="17">
        <f>IF(H166="","",IF(H166&gt;=12,40,ROUND(H166*3.33,2)))</f>
        <v/>
      </c>
      <c r="J166" s="11" t="n"/>
      <c r="K166" s="11" t="n"/>
      <c r="L166" s="11" t="n"/>
      <c r="M166" s="11" t="n"/>
      <c r="N166" s="10">
        <f>IF(COUNTA(J166:M166)=0,"",MIN(10,SUMPRODUCT((COUNTIF(J166:M166,L_KOM)&gt;0)*S_KOM)))</f>
        <v/>
      </c>
      <c r="O166" s="11" t="n"/>
      <c r="P166" s="10">
        <f>IF(O166="","",IFERROR(VLOOKUP(O166,T_KHID,2,FALSE),0))</f>
        <v/>
      </c>
      <c r="Q166" s="11" t="n"/>
      <c r="R166" s="11" t="n"/>
      <c r="S166" s="10">
        <f>IF(AND(Q166="",R166=""),"",IFERROR(INDEX(T_LIBAT,MATCH(Q166,L_PER,0),MATCH(R166,L_JENIS,0)),0))</f>
        <v/>
      </c>
      <c r="T166" s="11" t="n"/>
      <c r="U166" s="11" t="n"/>
      <c r="V166" s="10">
        <f>IF(AND(T166="",U166=""),"",IFERROR(INDEX(T_CAPAI,MATCH(T166,L_PER,0),MATCH(U166,L_KED,0)),0))</f>
        <v/>
      </c>
      <c r="W166" s="17">
        <f>IF(OR(B166="",E166="",COUNTA(F166,H166,J166:M166,O166,Q166:R166,T166:U166)=0),"",SUM(G166,I166,N166,P166,S166,V166))</f>
        <v/>
      </c>
      <c r="X166" s="18">
        <f>IF(W166="","",IF(Murid!F166="TL","TL",ROUND(W166/110*100,2)))</f>
        <v/>
      </c>
    </row>
    <row r="167">
      <c r="A167" s="15">
        <f>Murid!A167</f>
        <v/>
      </c>
      <c r="B167" s="15">
        <f>IF(Murid!B167="","",Murid!B167)</f>
        <v/>
      </c>
      <c r="C167" s="16">
        <f>IF(Murid!C167="","",Murid!C167)</f>
        <v/>
      </c>
      <c r="D167" s="15">
        <f>IF(Murid!E167="","",Murid!E167)</f>
        <v/>
      </c>
      <c r="E167" s="11" t="n"/>
      <c r="F167" s="11" t="n"/>
      <c r="G167" s="10">
        <f>IF(F167="","",IFERROR(VLOOKUP(F167,T_JSP,2,FALSE),0))</f>
        <v/>
      </c>
      <c r="H167" s="11" t="n"/>
      <c r="I167" s="17">
        <f>IF(H167="","",IF(H167&gt;=12,40,ROUND(H167*3.33,2)))</f>
        <v/>
      </c>
      <c r="J167" s="11" t="n"/>
      <c r="K167" s="11" t="n"/>
      <c r="L167" s="11" t="n"/>
      <c r="M167" s="11" t="n"/>
      <c r="N167" s="10">
        <f>IF(COUNTA(J167:M167)=0,"",MIN(10,SUMPRODUCT((COUNTIF(J167:M167,L_KOM)&gt;0)*S_KOM)))</f>
        <v/>
      </c>
      <c r="O167" s="11" t="n"/>
      <c r="P167" s="10">
        <f>IF(O167="","",IFERROR(VLOOKUP(O167,T_KHID,2,FALSE),0))</f>
        <v/>
      </c>
      <c r="Q167" s="11" t="n"/>
      <c r="R167" s="11" t="n"/>
      <c r="S167" s="10">
        <f>IF(AND(Q167="",R167=""),"",IFERROR(INDEX(T_LIBAT,MATCH(Q167,L_PER,0),MATCH(R167,L_JENIS,0)),0))</f>
        <v/>
      </c>
      <c r="T167" s="11" t="n"/>
      <c r="U167" s="11" t="n"/>
      <c r="V167" s="10">
        <f>IF(AND(T167="",U167=""),"",IFERROR(INDEX(T_CAPAI,MATCH(T167,L_PER,0),MATCH(U167,L_KED,0)),0))</f>
        <v/>
      </c>
      <c r="W167" s="17">
        <f>IF(OR(B167="",E167="",COUNTA(F167,H167,J167:M167,O167,Q167:R167,T167:U167)=0),"",SUM(G167,I167,N167,P167,S167,V167))</f>
        <v/>
      </c>
      <c r="X167" s="18">
        <f>IF(W167="","",IF(Murid!F167="TL","TL",ROUND(W167/110*100,2)))</f>
        <v/>
      </c>
    </row>
    <row r="168">
      <c r="A168" s="15">
        <f>Murid!A168</f>
        <v/>
      </c>
      <c r="B168" s="15">
        <f>IF(Murid!B168="","",Murid!B168)</f>
        <v/>
      </c>
      <c r="C168" s="16">
        <f>IF(Murid!C168="","",Murid!C168)</f>
        <v/>
      </c>
      <c r="D168" s="15">
        <f>IF(Murid!E168="","",Murid!E168)</f>
        <v/>
      </c>
      <c r="E168" s="11" t="n"/>
      <c r="F168" s="11" t="n"/>
      <c r="G168" s="10">
        <f>IF(F168="","",IFERROR(VLOOKUP(F168,T_JSP,2,FALSE),0))</f>
        <v/>
      </c>
      <c r="H168" s="11" t="n"/>
      <c r="I168" s="17">
        <f>IF(H168="","",IF(H168&gt;=12,40,ROUND(H168*3.33,2)))</f>
        <v/>
      </c>
      <c r="J168" s="11" t="n"/>
      <c r="K168" s="11" t="n"/>
      <c r="L168" s="11" t="n"/>
      <c r="M168" s="11" t="n"/>
      <c r="N168" s="10">
        <f>IF(COUNTA(J168:M168)=0,"",MIN(10,SUMPRODUCT((COUNTIF(J168:M168,L_KOM)&gt;0)*S_KOM)))</f>
        <v/>
      </c>
      <c r="O168" s="11" t="n"/>
      <c r="P168" s="10">
        <f>IF(O168="","",IFERROR(VLOOKUP(O168,T_KHID,2,FALSE),0))</f>
        <v/>
      </c>
      <c r="Q168" s="11" t="n"/>
      <c r="R168" s="11" t="n"/>
      <c r="S168" s="10">
        <f>IF(AND(Q168="",R168=""),"",IFERROR(INDEX(T_LIBAT,MATCH(Q168,L_PER,0),MATCH(R168,L_JENIS,0)),0))</f>
        <v/>
      </c>
      <c r="T168" s="11" t="n"/>
      <c r="U168" s="11" t="n"/>
      <c r="V168" s="10">
        <f>IF(AND(T168="",U168=""),"",IFERROR(INDEX(T_CAPAI,MATCH(T168,L_PER,0),MATCH(U168,L_KED,0)),0))</f>
        <v/>
      </c>
      <c r="W168" s="17">
        <f>IF(OR(B168="",E168="",COUNTA(F168,H168,J168:M168,O168,Q168:R168,T168:U168)=0),"",SUM(G168,I168,N168,P168,S168,V168))</f>
        <v/>
      </c>
      <c r="X168" s="18">
        <f>IF(W168="","",IF(Murid!F168="TL","TL",ROUND(W168/110*100,2)))</f>
        <v/>
      </c>
    </row>
    <row r="169">
      <c r="A169" s="15">
        <f>Murid!A169</f>
        <v/>
      </c>
      <c r="B169" s="15">
        <f>IF(Murid!B169="","",Murid!B169)</f>
        <v/>
      </c>
      <c r="C169" s="16">
        <f>IF(Murid!C169="","",Murid!C169)</f>
        <v/>
      </c>
      <c r="D169" s="15">
        <f>IF(Murid!E169="","",Murid!E169)</f>
        <v/>
      </c>
      <c r="E169" s="11" t="n"/>
      <c r="F169" s="11" t="n"/>
      <c r="G169" s="10">
        <f>IF(F169="","",IFERROR(VLOOKUP(F169,T_JSP,2,FALSE),0))</f>
        <v/>
      </c>
      <c r="H169" s="11" t="n"/>
      <c r="I169" s="17">
        <f>IF(H169="","",IF(H169&gt;=12,40,ROUND(H169*3.33,2)))</f>
        <v/>
      </c>
      <c r="J169" s="11" t="n"/>
      <c r="K169" s="11" t="n"/>
      <c r="L169" s="11" t="n"/>
      <c r="M169" s="11" t="n"/>
      <c r="N169" s="10">
        <f>IF(COUNTA(J169:M169)=0,"",MIN(10,SUMPRODUCT((COUNTIF(J169:M169,L_KOM)&gt;0)*S_KOM)))</f>
        <v/>
      </c>
      <c r="O169" s="11" t="n"/>
      <c r="P169" s="10">
        <f>IF(O169="","",IFERROR(VLOOKUP(O169,T_KHID,2,FALSE),0))</f>
        <v/>
      </c>
      <c r="Q169" s="11" t="n"/>
      <c r="R169" s="11" t="n"/>
      <c r="S169" s="10">
        <f>IF(AND(Q169="",R169=""),"",IFERROR(INDEX(T_LIBAT,MATCH(Q169,L_PER,0),MATCH(R169,L_JENIS,0)),0))</f>
        <v/>
      </c>
      <c r="T169" s="11" t="n"/>
      <c r="U169" s="11" t="n"/>
      <c r="V169" s="10">
        <f>IF(AND(T169="",U169=""),"",IFERROR(INDEX(T_CAPAI,MATCH(T169,L_PER,0),MATCH(U169,L_KED,0)),0))</f>
        <v/>
      </c>
      <c r="W169" s="17">
        <f>IF(OR(B169="",E169="",COUNTA(F169,H169,J169:M169,O169,Q169:R169,T169:U169)=0),"",SUM(G169,I169,N169,P169,S169,V169))</f>
        <v/>
      </c>
      <c r="X169" s="18">
        <f>IF(W169="","",IF(Murid!F169="TL","TL",ROUND(W169/110*100,2)))</f>
        <v/>
      </c>
    </row>
    <row r="170">
      <c r="A170" s="15">
        <f>Murid!A170</f>
        <v/>
      </c>
      <c r="B170" s="15">
        <f>IF(Murid!B170="","",Murid!B170)</f>
        <v/>
      </c>
      <c r="C170" s="16">
        <f>IF(Murid!C170="","",Murid!C170)</f>
        <v/>
      </c>
      <c r="D170" s="15">
        <f>IF(Murid!E170="","",Murid!E170)</f>
        <v/>
      </c>
      <c r="E170" s="11" t="n"/>
      <c r="F170" s="11" t="n"/>
      <c r="G170" s="10">
        <f>IF(F170="","",IFERROR(VLOOKUP(F170,T_JSP,2,FALSE),0))</f>
        <v/>
      </c>
      <c r="H170" s="11" t="n"/>
      <c r="I170" s="17">
        <f>IF(H170="","",IF(H170&gt;=12,40,ROUND(H170*3.33,2)))</f>
        <v/>
      </c>
      <c r="J170" s="11" t="n"/>
      <c r="K170" s="11" t="n"/>
      <c r="L170" s="11" t="n"/>
      <c r="M170" s="11" t="n"/>
      <c r="N170" s="10">
        <f>IF(COUNTA(J170:M170)=0,"",MIN(10,SUMPRODUCT((COUNTIF(J170:M170,L_KOM)&gt;0)*S_KOM)))</f>
        <v/>
      </c>
      <c r="O170" s="11" t="n"/>
      <c r="P170" s="10">
        <f>IF(O170="","",IFERROR(VLOOKUP(O170,T_KHID,2,FALSE),0))</f>
        <v/>
      </c>
      <c r="Q170" s="11" t="n"/>
      <c r="R170" s="11" t="n"/>
      <c r="S170" s="10">
        <f>IF(AND(Q170="",R170=""),"",IFERROR(INDEX(T_LIBAT,MATCH(Q170,L_PER,0),MATCH(R170,L_JENIS,0)),0))</f>
        <v/>
      </c>
      <c r="T170" s="11" t="n"/>
      <c r="U170" s="11" t="n"/>
      <c r="V170" s="10">
        <f>IF(AND(T170="",U170=""),"",IFERROR(INDEX(T_CAPAI,MATCH(T170,L_PER,0),MATCH(U170,L_KED,0)),0))</f>
        <v/>
      </c>
      <c r="W170" s="17">
        <f>IF(OR(B170="",E170="",COUNTA(F170,H170,J170:M170,O170,Q170:R170,T170:U170)=0),"",SUM(G170,I170,N170,P170,S170,V170))</f>
        <v/>
      </c>
      <c r="X170" s="18">
        <f>IF(W170="","",IF(Murid!F170="TL","TL",ROUND(W170/110*100,2)))</f>
        <v/>
      </c>
    </row>
    <row r="171">
      <c r="A171" s="15">
        <f>Murid!A171</f>
        <v/>
      </c>
      <c r="B171" s="15">
        <f>IF(Murid!B171="","",Murid!B171)</f>
        <v/>
      </c>
      <c r="C171" s="16">
        <f>IF(Murid!C171="","",Murid!C171)</f>
        <v/>
      </c>
      <c r="D171" s="15">
        <f>IF(Murid!E171="","",Murid!E171)</f>
        <v/>
      </c>
      <c r="E171" s="11" t="n"/>
      <c r="F171" s="11" t="n"/>
      <c r="G171" s="10">
        <f>IF(F171="","",IFERROR(VLOOKUP(F171,T_JSP,2,FALSE),0))</f>
        <v/>
      </c>
      <c r="H171" s="11" t="n"/>
      <c r="I171" s="17">
        <f>IF(H171="","",IF(H171&gt;=12,40,ROUND(H171*3.33,2)))</f>
        <v/>
      </c>
      <c r="J171" s="11" t="n"/>
      <c r="K171" s="11" t="n"/>
      <c r="L171" s="11" t="n"/>
      <c r="M171" s="11" t="n"/>
      <c r="N171" s="10">
        <f>IF(COUNTA(J171:M171)=0,"",MIN(10,SUMPRODUCT((COUNTIF(J171:M171,L_KOM)&gt;0)*S_KOM)))</f>
        <v/>
      </c>
      <c r="O171" s="11" t="n"/>
      <c r="P171" s="10">
        <f>IF(O171="","",IFERROR(VLOOKUP(O171,T_KHID,2,FALSE),0))</f>
        <v/>
      </c>
      <c r="Q171" s="11" t="n"/>
      <c r="R171" s="11" t="n"/>
      <c r="S171" s="10">
        <f>IF(AND(Q171="",R171=""),"",IFERROR(INDEX(T_LIBAT,MATCH(Q171,L_PER,0),MATCH(R171,L_JENIS,0)),0))</f>
        <v/>
      </c>
      <c r="T171" s="11" t="n"/>
      <c r="U171" s="11" t="n"/>
      <c r="V171" s="10">
        <f>IF(AND(T171="",U171=""),"",IFERROR(INDEX(T_CAPAI,MATCH(T171,L_PER,0),MATCH(U171,L_KED,0)),0))</f>
        <v/>
      </c>
      <c r="W171" s="17">
        <f>IF(OR(B171="",E171="",COUNTA(F171,H171,J171:M171,O171,Q171:R171,T171:U171)=0),"",SUM(G171,I171,N171,P171,S171,V171))</f>
        <v/>
      </c>
      <c r="X171" s="18">
        <f>IF(W171="","",IF(Murid!F171="TL","TL",ROUND(W171/110*100,2)))</f>
        <v/>
      </c>
    </row>
    <row r="172">
      <c r="A172" s="15">
        <f>Murid!A172</f>
        <v/>
      </c>
      <c r="B172" s="15">
        <f>IF(Murid!B172="","",Murid!B172)</f>
        <v/>
      </c>
      <c r="C172" s="16">
        <f>IF(Murid!C172="","",Murid!C172)</f>
        <v/>
      </c>
      <c r="D172" s="15">
        <f>IF(Murid!E172="","",Murid!E172)</f>
        <v/>
      </c>
      <c r="E172" s="11" t="n"/>
      <c r="F172" s="11" t="n"/>
      <c r="G172" s="10">
        <f>IF(F172="","",IFERROR(VLOOKUP(F172,T_JSP,2,FALSE),0))</f>
        <v/>
      </c>
      <c r="H172" s="11" t="n"/>
      <c r="I172" s="17">
        <f>IF(H172="","",IF(H172&gt;=12,40,ROUND(H172*3.33,2)))</f>
        <v/>
      </c>
      <c r="J172" s="11" t="n"/>
      <c r="K172" s="11" t="n"/>
      <c r="L172" s="11" t="n"/>
      <c r="M172" s="11" t="n"/>
      <c r="N172" s="10">
        <f>IF(COUNTA(J172:M172)=0,"",MIN(10,SUMPRODUCT((COUNTIF(J172:M172,L_KOM)&gt;0)*S_KOM)))</f>
        <v/>
      </c>
      <c r="O172" s="11" t="n"/>
      <c r="P172" s="10">
        <f>IF(O172="","",IFERROR(VLOOKUP(O172,T_KHID,2,FALSE),0))</f>
        <v/>
      </c>
      <c r="Q172" s="11" t="n"/>
      <c r="R172" s="11" t="n"/>
      <c r="S172" s="10">
        <f>IF(AND(Q172="",R172=""),"",IFERROR(INDEX(T_LIBAT,MATCH(Q172,L_PER,0),MATCH(R172,L_JENIS,0)),0))</f>
        <v/>
      </c>
      <c r="T172" s="11" t="n"/>
      <c r="U172" s="11" t="n"/>
      <c r="V172" s="10">
        <f>IF(AND(T172="",U172=""),"",IFERROR(INDEX(T_CAPAI,MATCH(T172,L_PER,0),MATCH(U172,L_KED,0)),0))</f>
        <v/>
      </c>
      <c r="W172" s="17">
        <f>IF(OR(B172="",E172="",COUNTA(F172,H172,J172:M172,O172,Q172:R172,T172:U172)=0),"",SUM(G172,I172,N172,P172,S172,V172))</f>
        <v/>
      </c>
      <c r="X172" s="18">
        <f>IF(W172="","",IF(Murid!F172="TL","TL",ROUND(W172/110*100,2)))</f>
        <v/>
      </c>
    </row>
    <row r="173">
      <c r="A173" s="15">
        <f>Murid!A173</f>
        <v/>
      </c>
      <c r="B173" s="15">
        <f>IF(Murid!B173="","",Murid!B173)</f>
        <v/>
      </c>
      <c r="C173" s="16">
        <f>IF(Murid!C173="","",Murid!C173)</f>
        <v/>
      </c>
      <c r="D173" s="15">
        <f>IF(Murid!E173="","",Murid!E173)</f>
        <v/>
      </c>
      <c r="E173" s="11" t="n"/>
      <c r="F173" s="11" t="n"/>
      <c r="G173" s="10">
        <f>IF(F173="","",IFERROR(VLOOKUP(F173,T_JSP,2,FALSE),0))</f>
        <v/>
      </c>
      <c r="H173" s="11" t="n"/>
      <c r="I173" s="17">
        <f>IF(H173="","",IF(H173&gt;=12,40,ROUND(H173*3.33,2)))</f>
        <v/>
      </c>
      <c r="J173" s="11" t="n"/>
      <c r="K173" s="11" t="n"/>
      <c r="L173" s="11" t="n"/>
      <c r="M173" s="11" t="n"/>
      <c r="N173" s="10">
        <f>IF(COUNTA(J173:M173)=0,"",MIN(10,SUMPRODUCT((COUNTIF(J173:M173,L_KOM)&gt;0)*S_KOM)))</f>
        <v/>
      </c>
      <c r="O173" s="11" t="n"/>
      <c r="P173" s="10">
        <f>IF(O173="","",IFERROR(VLOOKUP(O173,T_KHID,2,FALSE),0))</f>
        <v/>
      </c>
      <c r="Q173" s="11" t="n"/>
      <c r="R173" s="11" t="n"/>
      <c r="S173" s="10">
        <f>IF(AND(Q173="",R173=""),"",IFERROR(INDEX(T_LIBAT,MATCH(Q173,L_PER,0),MATCH(R173,L_JENIS,0)),0))</f>
        <v/>
      </c>
      <c r="T173" s="11" t="n"/>
      <c r="U173" s="11" t="n"/>
      <c r="V173" s="10">
        <f>IF(AND(T173="",U173=""),"",IFERROR(INDEX(T_CAPAI,MATCH(T173,L_PER,0),MATCH(U173,L_KED,0)),0))</f>
        <v/>
      </c>
      <c r="W173" s="17">
        <f>IF(OR(B173="",E173="",COUNTA(F173,H173,J173:M173,O173,Q173:R173,T173:U173)=0),"",SUM(G173,I173,N173,P173,S173,V173))</f>
        <v/>
      </c>
      <c r="X173" s="18">
        <f>IF(W173="","",IF(Murid!F173="TL","TL",ROUND(W173/110*100,2)))</f>
        <v/>
      </c>
    </row>
    <row r="174">
      <c r="A174" s="15">
        <f>Murid!A174</f>
        <v/>
      </c>
      <c r="B174" s="15">
        <f>IF(Murid!B174="","",Murid!B174)</f>
        <v/>
      </c>
      <c r="C174" s="16">
        <f>IF(Murid!C174="","",Murid!C174)</f>
        <v/>
      </c>
      <c r="D174" s="15">
        <f>IF(Murid!E174="","",Murid!E174)</f>
        <v/>
      </c>
      <c r="E174" s="11" t="n"/>
      <c r="F174" s="11" t="n"/>
      <c r="G174" s="10">
        <f>IF(F174="","",IFERROR(VLOOKUP(F174,T_JSP,2,FALSE),0))</f>
        <v/>
      </c>
      <c r="H174" s="11" t="n"/>
      <c r="I174" s="17">
        <f>IF(H174="","",IF(H174&gt;=12,40,ROUND(H174*3.33,2)))</f>
        <v/>
      </c>
      <c r="J174" s="11" t="n"/>
      <c r="K174" s="11" t="n"/>
      <c r="L174" s="11" t="n"/>
      <c r="M174" s="11" t="n"/>
      <c r="N174" s="10">
        <f>IF(COUNTA(J174:M174)=0,"",MIN(10,SUMPRODUCT((COUNTIF(J174:M174,L_KOM)&gt;0)*S_KOM)))</f>
        <v/>
      </c>
      <c r="O174" s="11" t="n"/>
      <c r="P174" s="10">
        <f>IF(O174="","",IFERROR(VLOOKUP(O174,T_KHID,2,FALSE),0))</f>
        <v/>
      </c>
      <c r="Q174" s="11" t="n"/>
      <c r="R174" s="11" t="n"/>
      <c r="S174" s="10">
        <f>IF(AND(Q174="",R174=""),"",IFERROR(INDEX(T_LIBAT,MATCH(Q174,L_PER,0),MATCH(R174,L_JENIS,0)),0))</f>
        <v/>
      </c>
      <c r="T174" s="11" t="n"/>
      <c r="U174" s="11" t="n"/>
      <c r="V174" s="10">
        <f>IF(AND(T174="",U174=""),"",IFERROR(INDEX(T_CAPAI,MATCH(T174,L_PER,0),MATCH(U174,L_KED,0)),0))</f>
        <v/>
      </c>
      <c r="W174" s="17">
        <f>IF(OR(B174="",E174="",COUNTA(F174,H174,J174:M174,O174,Q174:R174,T174:U174)=0),"",SUM(G174,I174,N174,P174,S174,V174))</f>
        <v/>
      </c>
      <c r="X174" s="18">
        <f>IF(W174="","",IF(Murid!F174="TL","TL",ROUND(W174/110*100,2)))</f>
        <v/>
      </c>
    </row>
    <row r="175">
      <c r="A175" s="15">
        <f>Murid!A175</f>
        <v/>
      </c>
      <c r="B175" s="15">
        <f>IF(Murid!B175="","",Murid!B175)</f>
        <v/>
      </c>
      <c r="C175" s="16">
        <f>IF(Murid!C175="","",Murid!C175)</f>
        <v/>
      </c>
      <c r="D175" s="15">
        <f>IF(Murid!E175="","",Murid!E175)</f>
        <v/>
      </c>
      <c r="E175" s="11" t="n"/>
      <c r="F175" s="11" t="n"/>
      <c r="G175" s="10">
        <f>IF(F175="","",IFERROR(VLOOKUP(F175,T_JSP,2,FALSE),0))</f>
        <v/>
      </c>
      <c r="H175" s="11" t="n"/>
      <c r="I175" s="17">
        <f>IF(H175="","",IF(H175&gt;=12,40,ROUND(H175*3.33,2)))</f>
        <v/>
      </c>
      <c r="J175" s="11" t="n"/>
      <c r="K175" s="11" t="n"/>
      <c r="L175" s="11" t="n"/>
      <c r="M175" s="11" t="n"/>
      <c r="N175" s="10">
        <f>IF(COUNTA(J175:M175)=0,"",MIN(10,SUMPRODUCT((COUNTIF(J175:M175,L_KOM)&gt;0)*S_KOM)))</f>
        <v/>
      </c>
      <c r="O175" s="11" t="n"/>
      <c r="P175" s="10">
        <f>IF(O175="","",IFERROR(VLOOKUP(O175,T_KHID,2,FALSE),0))</f>
        <v/>
      </c>
      <c r="Q175" s="11" t="n"/>
      <c r="R175" s="11" t="n"/>
      <c r="S175" s="10">
        <f>IF(AND(Q175="",R175=""),"",IFERROR(INDEX(T_LIBAT,MATCH(Q175,L_PER,0),MATCH(R175,L_JENIS,0)),0))</f>
        <v/>
      </c>
      <c r="T175" s="11" t="n"/>
      <c r="U175" s="11" t="n"/>
      <c r="V175" s="10">
        <f>IF(AND(T175="",U175=""),"",IFERROR(INDEX(T_CAPAI,MATCH(T175,L_PER,0),MATCH(U175,L_KED,0)),0))</f>
        <v/>
      </c>
      <c r="W175" s="17">
        <f>IF(OR(B175="",E175="",COUNTA(F175,H175,J175:M175,O175,Q175:R175,T175:U175)=0),"",SUM(G175,I175,N175,P175,S175,V175))</f>
        <v/>
      </c>
      <c r="X175" s="18">
        <f>IF(W175="","",IF(Murid!F175="TL","TL",ROUND(W175/110*100,2)))</f>
        <v/>
      </c>
    </row>
    <row r="176">
      <c r="A176" s="15">
        <f>Murid!A176</f>
        <v/>
      </c>
      <c r="B176" s="15">
        <f>IF(Murid!B176="","",Murid!B176)</f>
        <v/>
      </c>
      <c r="C176" s="16">
        <f>IF(Murid!C176="","",Murid!C176)</f>
        <v/>
      </c>
      <c r="D176" s="15">
        <f>IF(Murid!E176="","",Murid!E176)</f>
        <v/>
      </c>
      <c r="E176" s="11" t="n"/>
      <c r="F176" s="11" t="n"/>
      <c r="G176" s="10">
        <f>IF(F176="","",IFERROR(VLOOKUP(F176,T_JSP,2,FALSE),0))</f>
        <v/>
      </c>
      <c r="H176" s="11" t="n"/>
      <c r="I176" s="17">
        <f>IF(H176="","",IF(H176&gt;=12,40,ROUND(H176*3.33,2)))</f>
        <v/>
      </c>
      <c r="J176" s="11" t="n"/>
      <c r="K176" s="11" t="n"/>
      <c r="L176" s="11" t="n"/>
      <c r="M176" s="11" t="n"/>
      <c r="N176" s="10">
        <f>IF(COUNTA(J176:M176)=0,"",MIN(10,SUMPRODUCT((COUNTIF(J176:M176,L_KOM)&gt;0)*S_KOM)))</f>
        <v/>
      </c>
      <c r="O176" s="11" t="n"/>
      <c r="P176" s="10">
        <f>IF(O176="","",IFERROR(VLOOKUP(O176,T_KHID,2,FALSE),0))</f>
        <v/>
      </c>
      <c r="Q176" s="11" t="n"/>
      <c r="R176" s="11" t="n"/>
      <c r="S176" s="10">
        <f>IF(AND(Q176="",R176=""),"",IFERROR(INDEX(T_LIBAT,MATCH(Q176,L_PER,0),MATCH(R176,L_JENIS,0)),0))</f>
        <v/>
      </c>
      <c r="T176" s="11" t="n"/>
      <c r="U176" s="11" t="n"/>
      <c r="V176" s="10">
        <f>IF(AND(T176="",U176=""),"",IFERROR(INDEX(T_CAPAI,MATCH(T176,L_PER,0),MATCH(U176,L_KED,0)),0))</f>
        <v/>
      </c>
      <c r="W176" s="17">
        <f>IF(OR(B176="",E176="",COUNTA(F176,H176,J176:M176,O176,Q176:R176,T176:U176)=0),"",SUM(G176,I176,N176,P176,S176,V176))</f>
        <v/>
      </c>
      <c r="X176" s="18">
        <f>IF(W176="","",IF(Murid!F176="TL","TL",ROUND(W176/110*100,2)))</f>
        <v/>
      </c>
    </row>
    <row r="177">
      <c r="A177" s="15">
        <f>Murid!A177</f>
        <v/>
      </c>
      <c r="B177" s="15">
        <f>IF(Murid!B177="","",Murid!B177)</f>
        <v/>
      </c>
      <c r="C177" s="16">
        <f>IF(Murid!C177="","",Murid!C177)</f>
        <v/>
      </c>
      <c r="D177" s="15">
        <f>IF(Murid!E177="","",Murid!E177)</f>
        <v/>
      </c>
      <c r="E177" s="11" t="n"/>
      <c r="F177" s="11" t="n"/>
      <c r="G177" s="10">
        <f>IF(F177="","",IFERROR(VLOOKUP(F177,T_JSP,2,FALSE),0))</f>
        <v/>
      </c>
      <c r="H177" s="11" t="n"/>
      <c r="I177" s="17">
        <f>IF(H177="","",IF(H177&gt;=12,40,ROUND(H177*3.33,2)))</f>
        <v/>
      </c>
      <c r="J177" s="11" t="n"/>
      <c r="K177" s="11" t="n"/>
      <c r="L177" s="11" t="n"/>
      <c r="M177" s="11" t="n"/>
      <c r="N177" s="10">
        <f>IF(COUNTA(J177:M177)=0,"",MIN(10,SUMPRODUCT((COUNTIF(J177:M177,L_KOM)&gt;0)*S_KOM)))</f>
        <v/>
      </c>
      <c r="O177" s="11" t="n"/>
      <c r="P177" s="10">
        <f>IF(O177="","",IFERROR(VLOOKUP(O177,T_KHID,2,FALSE),0))</f>
        <v/>
      </c>
      <c r="Q177" s="11" t="n"/>
      <c r="R177" s="11" t="n"/>
      <c r="S177" s="10">
        <f>IF(AND(Q177="",R177=""),"",IFERROR(INDEX(T_LIBAT,MATCH(Q177,L_PER,0),MATCH(R177,L_JENIS,0)),0))</f>
        <v/>
      </c>
      <c r="T177" s="11" t="n"/>
      <c r="U177" s="11" t="n"/>
      <c r="V177" s="10">
        <f>IF(AND(T177="",U177=""),"",IFERROR(INDEX(T_CAPAI,MATCH(T177,L_PER,0),MATCH(U177,L_KED,0)),0))</f>
        <v/>
      </c>
      <c r="W177" s="17">
        <f>IF(OR(B177="",E177="",COUNTA(F177,H177,J177:M177,O177,Q177:R177,T177:U177)=0),"",SUM(G177,I177,N177,P177,S177,V177))</f>
        <v/>
      </c>
      <c r="X177" s="18">
        <f>IF(W177="","",IF(Murid!F177="TL","TL",ROUND(W177/110*100,2)))</f>
        <v/>
      </c>
    </row>
    <row r="178">
      <c r="A178" s="15">
        <f>Murid!A178</f>
        <v/>
      </c>
      <c r="B178" s="15">
        <f>IF(Murid!B178="","",Murid!B178)</f>
        <v/>
      </c>
      <c r="C178" s="16">
        <f>IF(Murid!C178="","",Murid!C178)</f>
        <v/>
      </c>
      <c r="D178" s="15">
        <f>IF(Murid!E178="","",Murid!E178)</f>
        <v/>
      </c>
      <c r="E178" s="11" t="n"/>
      <c r="F178" s="11" t="n"/>
      <c r="G178" s="10">
        <f>IF(F178="","",IFERROR(VLOOKUP(F178,T_JSP,2,FALSE),0))</f>
        <v/>
      </c>
      <c r="H178" s="11" t="n"/>
      <c r="I178" s="17">
        <f>IF(H178="","",IF(H178&gt;=12,40,ROUND(H178*3.33,2)))</f>
        <v/>
      </c>
      <c r="J178" s="11" t="n"/>
      <c r="K178" s="11" t="n"/>
      <c r="L178" s="11" t="n"/>
      <c r="M178" s="11" t="n"/>
      <c r="N178" s="10">
        <f>IF(COUNTA(J178:M178)=0,"",MIN(10,SUMPRODUCT((COUNTIF(J178:M178,L_KOM)&gt;0)*S_KOM)))</f>
        <v/>
      </c>
      <c r="O178" s="11" t="n"/>
      <c r="P178" s="10">
        <f>IF(O178="","",IFERROR(VLOOKUP(O178,T_KHID,2,FALSE),0))</f>
        <v/>
      </c>
      <c r="Q178" s="11" t="n"/>
      <c r="R178" s="11" t="n"/>
      <c r="S178" s="10">
        <f>IF(AND(Q178="",R178=""),"",IFERROR(INDEX(T_LIBAT,MATCH(Q178,L_PER,0),MATCH(R178,L_JENIS,0)),0))</f>
        <v/>
      </c>
      <c r="T178" s="11" t="n"/>
      <c r="U178" s="11" t="n"/>
      <c r="V178" s="10">
        <f>IF(AND(T178="",U178=""),"",IFERROR(INDEX(T_CAPAI,MATCH(T178,L_PER,0),MATCH(U178,L_KED,0)),0))</f>
        <v/>
      </c>
      <c r="W178" s="17">
        <f>IF(OR(B178="",E178="",COUNTA(F178,H178,J178:M178,O178,Q178:R178,T178:U178)=0),"",SUM(G178,I178,N178,P178,S178,V178))</f>
        <v/>
      </c>
      <c r="X178" s="18">
        <f>IF(W178="","",IF(Murid!F178="TL","TL",ROUND(W178/110*100,2)))</f>
        <v/>
      </c>
    </row>
    <row r="179">
      <c r="A179" s="15">
        <f>Murid!A179</f>
        <v/>
      </c>
      <c r="B179" s="15">
        <f>IF(Murid!B179="","",Murid!B179)</f>
        <v/>
      </c>
      <c r="C179" s="16">
        <f>IF(Murid!C179="","",Murid!C179)</f>
        <v/>
      </c>
      <c r="D179" s="15">
        <f>IF(Murid!E179="","",Murid!E179)</f>
        <v/>
      </c>
      <c r="E179" s="11" t="n"/>
      <c r="F179" s="11" t="n"/>
      <c r="G179" s="10">
        <f>IF(F179="","",IFERROR(VLOOKUP(F179,T_JSP,2,FALSE),0))</f>
        <v/>
      </c>
      <c r="H179" s="11" t="n"/>
      <c r="I179" s="17">
        <f>IF(H179="","",IF(H179&gt;=12,40,ROUND(H179*3.33,2)))</f>
        <v/>
      </c>
      <c r="J179" s="11" t="n"/>
      <c r="K179" s="11" t="n"/>
      <c r="L179" s="11" t="n"/>
      <c r="M179" s="11" t="n"/>
      <c r="N179" s="10">
        <f>IF(COUNTA(J179:M179)=0,"",MIN(10,SUMPRODUCT((COUNTIF(J179:M179,L_KOM)&gt;0)*S_KOM)))</f>
        <v/>
      </c>
      <c r="O179" s="11" t="n"/>
      <c r="P179" s="10">
        <f>IF(O179="","",IFERROR(VLOOKUP(O179,T_KHID,2,FALSE),0))</f>
        <v/>
      </c>
      <c r="Q179" s="11" t="n"/>
      <c r="R179" s="11" t="n"/>
      <c r="S179" s="10">
        <f>IF(AND(Q179="",R179=""),"",IFERROR(INDEX(T_LIBAT,MATCH(Q179,L_PER,0),MATCH(R179,L_JENIS,0)),0))</f>
        <v/>
      </c>
      <c r="T179" s="11" t="n"/>
      <c r="U179" s="11" t="n"/>
      <c r="V179" s="10">
        <f>IF(AND(T179="",U179=""),"",IFERROR(INDEX(T_CAPAI,MATCH(T179,L_PER,0),MATCH(U179,L_KED,0)),0))</f>
        <v/>
      </c>
      <c r="W179" s="17">
        <f>IF(OR(B179="",E179="",COUNTA(F179,H179,J179:M179,O179,Q179:R179,T179:U179)=0),"",SUM(G179,I179,N179,P179,S179,V179))</f>
        <v/>
      </c>
      <c r="X179" s="18">
        <f>IF(W179="","",IF(Murid!F179="TL","TL",ROUND(W179/110*100,2)))</f>
        <v/>
      </c>
    </row>
    <row r="180">
      <c r="A180" s="15">
        <f>Murid!A180</f>
        <v/>
      </c>
      <c r="B180" s="15">
        <f>IF(Murid!B180="","",Murid!B180)</f>
        <v/>
      </c>
      <c r="C180" s="16">
        <f>IF(Murid!C180="","",Murid!C180)</f>
        <v/>
      </c>
      <c r="D180" s="15">
        <f>IF(Murid!E180="","",Murid!E180)</f>
        <v/>
      </c>
      <c r="E180" s="11" t="n"/>
      <c r="F180" s="11" t="n"/>
      <c r="G180" s="10">
        <f>IF(F180="","",IFERROR(VLOOKUP(F180,T_JSP,2,FALSE),0))</f>
        <v/>
      </c>
      <c r="H180" s="11" t="n"/>
      <c r="I180" s="17">
        <f>IF(H180="","",IF(H180&gt;=12,40,ROUND(H180*3.33,2)))</f>
        <v/>
      </c>
      <c r="J180" s="11" t="n"/>
      <c r="K180" s="11" t="n"/>
      <c r="L180" s="11" t="n"/>
      <c r="M180" s="11" t="n"/>
      <c r="N180" s="10">
        <f>IF(COUNTA(J180:M180)=0,"",MIN(10,SUMPRODUCT((COUNTIF(J180:M180,L_KOM)&gt;0)*S_KOM)))</f>
        <v/>
      </c>
      <c r="O180" s="11" t="n"/>
      <c r="P180" s="10">
        <f>IF(O180="","",IFERROR(VLOOKUP(O180,T_KHID,2,FALSE),0))</f>
        <v/>
      </c>
      <c r="Q180" s="11" t="n"/>
      <c r="R180" s="11" t="n"/>
      <c r="S180" s="10">
        <f>IF(AND(Q180="",R180=""),"",IFERROR(INDEX(T_LIBAT,MATCH(Q180,L_PER,0),MATCH(R180,L_JENIS,0)),0))</f>
        <v/>
      </c>
      <c r="T180" s="11" t="n"/>
      <c r="U180" s="11" t="n"/>
      <c r="V180" s="10">
        <f>IF(AND(T180="",U180=""),"",IFERROR(INDEX(T_CAPAI,MATCH(T180,L_PER,0),MATCH(U180,L_KED,0)),0))</f>
        <v/>
      </c>
      <c r="W180" s="17">
        <f>IF(OR(B180="",E180="",COUNTA(F180,H180,J180:M180,O180,Q180:R180,T180:U180)=0),"",SUM(G180,I180,N180,P180,S180,V180))</f>
        <v/>
      </c>
      <c r="X180" s="18">
        <f>IF(W180="","",IF(Murid!F180="TL","TL",ROUND(W180/110*100,2)))</f>
        <v/>
      </c>
    </row>
    <row r="181">
      <c r="A181" s="15">
        <f>Murid!A181</f>
        <v/>
      </c>
      <c r="B181" s="15">
        <f>IF(Murid!B181="","",Murid!B181)</f>
        <v/>
      </c>
      <c r="C181" s="16">
        <f>IF(Murid!C181="","",Murid!C181)</f>
        <v/>
      </c>
      <c r="D181" s="15">
        <f>IF(Murid!E181="","",Murid!E181)</f>
        <v/>
      </c>
      <c r="E181" s="11" t="n"/>
      <c r="F181" s="11" t="n"/>
      <c r="G181" s="10">
        <f>IF(F181="","",IFERROR(VLOOKUP(F181,T_JSP,2,FALSE),0))</f>
        <v/>
      </c>
      <c r="H181" s="11" t="n"/>
      <c r="I181" s="17">
        <f>IF(H181="","",IF(H181&gt;=12,40,ROUND(H181*3.33,2)))</f>
        <v/>
      </c>
      <c r="J181" s="11" t="n"/>
      <c r="K181" s="11" t="n"/>
      <c r="L181" s="11" t="n"/>
      <c r="M181" s="11" t="n"/>
      <c r="N181" s="10">
        <f>IF(COUNTA(J181:M181)=0,"",MIN(10,SUMPRODUCT((COUNTIF(J181:M181,L_KOM)&gt;0)*S_KOM)))</f>
        <v/>
      </c>
      <c r="O181" s="11" t="n"/>
      <c r="P181" s="10">
        <f>IF(O181="","",IFERROR(VLOOKUP(O181,T_KHID,2,FALSE),0))</f>
        <v/>
      </c>
      <c r="Q181" s="11" t="n"/>
      <c r="R181" s="11" t="n"/>
      <c r="S181" s="10">
        <f>IF(AND(Q181="",R181=""),"",IFERROR(INDEX(T_LIBAT,MATCH(Q181,L_PER,0),MATCH(R181,L_JENIS,0)),0))</f>
        <v/>
      </c>
      <c r="T181" s="11" t="n"/>
      <c r="U181" s="11" t="n"/>
      <c r="V181" s="10">
        <f>IF(AND(T181="",U181=""),"",IFERROR(INDEX(T_CAPAI,MATCH(T181,L_PER,0),MATCH(U181,L_KED,0)),0))</f>
        <v/>
      </c>
      <c r="W181" s="17">
        <f>IF(OR(B181="",E181="",COUNTA(F181,H181,J181:M181,O181,Q181:R181,T181:U181)=0),"",SUM(G181,I181,N181,P181,S181,V181))</f>
        <v/>
      </c>
      <c r="X181" s="18">
        <f>IF(W181="","",IF(Murid!F181="TL","TL",ROUND(W181/110*100,2)))</f>
        <v/>
      </c>
    </row>
    <row r="182">
      <c r="A182" s="15">
        <f>Murid!A182</f>
        <v/>
      </c>
      <c r="B182" s="15">
        <f>IF(Murid!B182="","",Murid!B182)</f>
        <v/>
      </c>
      <c r="C182" s="16">
        <f>IF(Murid!C182="","",Murid!C182)</f>
        <v/>
      </c>
      <c r="D182" s="15">
        <f>IF(Murid!E182="","",Murid!E182)</f>
        <v/>
      </c>
      <c r="E182" s="11" t="n"/>
      <c r="F182" s="11" t="n"/>
      <c r="G182" s="10">
        <f>IF(F182="","",IFERROR(VLOOKUP(F182,T_JSP,2,FALSE),0))</f>
        <v/>
      </c>
      <c r="H182" s="11" t="n"/>
      <c r="I182" s="17">
        <f>IF(H182="","",IF(H182&gt;=12,40,ROUND(H182*3.33,2)))</f>
        <v/>
      </c>
      <c r="J182" s="11" t="n"/>
      <c r="K182" s="11" t="n"/>
      <c r="L182" s="11" t="n"/>
      <c r="M182" s="11" t="n"/>
      <c r="N182" s="10">
        <f>IF(COUNTA(J182:M182)=0,"",MIN(10,SUMPRODUCT((COUNTIF(J182:M182,L_KOM)&gt;0)*S_KOM)))</f>
        <v/>
      </c>
      <c r="O182" s="11" t="n"/>
      <c r="P182" s="10">
        <f>IF(O182="","",IFERROR(VLOOKUP(O182,T_KHID,2,FALSE),0))</f>
        <v/>
      </c>
      <c r="Q182" s="11" t="n"/>
      <c r="R182" s="11" t="n"/>
      <c r="S182" s="10">
        <f>IF(AND(Q182="",R182=""),"",IFERROR(INDEX(T_LIBAT,MATCH(Q182,L_PER,0),MATCH(R182,L_JENIS,0)),0))</f>
        <v/>
      </c>
      <c r="T182" s="11" t="n"/>
      <c r="U182" s="11" t="n"/>
      <c r="V182" s="10">
        <f>IF(AND(T182="",U182=""),"",IFERROR(INDEX(T_CAPAI,MATCH(T182,L_PER,0),MATCH(U182,L_KED,0)),0))</f>
        <v/>
      </c>
      <c r="W182" s="17">
        <f>IF(OR(B182="",E182="",COUNTA(F182,H182,J182:M182,O182,Q182:R182,T182:U182)=0),"",SUM(G182,I182,N182,P182,S182,V182))</f>
        <v/>
      </c>
      <c r="X182" s="18">
        <f>IF(W182="","",IF(Murid!F182="TL","TL",ROUND(W182/110*100,2)))</f>
        <v/>
      </c>
    </row>
    <row r="183">
      <c r="A183" s="15">
        <f>Murid!A183</f>
        <v/>
      </c>
      <c r="B183" s="15">
        <f>IF(Murid!B183="","",Murid!B183)</f>
        <v/>
      </c>
      <c r="C183" s="16">
        <f>IF(Murid!C183="","",Murid!C183)</f>
        <v/>
      </c>
      <c r="D183" s="15">
        <f>IF(Murid!E183="","",Murid!E183)</f>
        <v/>
      </c>
      <c r="E183" s="11" t="n"/>
      <c r="F183" s="11" t="n"/>
      <c r="G183" s="10">
        <f>IF(F183="","",IFERROR(VLOOKUP(F183,T_JSP,2,FALSE),0))</f>
        <v/>
      </c>
      <c r="H183" s="11" t="n"/>
      <c r="I183" s="17">
        <f>IF(H183="","",IF(H183&gt;=12,40,ROUND(H183*3.33,2)))</f>
        <v/>
      </c>
      <c r="J183" s="11" t="n"/>
      <c r="K183" s="11" t="n"/>
      <c r="L183" s="11" t="n"/>
      <c r="M183" s="11" t="n"/>
      <c r="N183" s="10">
        <f>IF(COUNTA(J183:M183)=0,"",MIN(10,SUMPRODUCT((COUNTIF(J183:M183,L_KOM)&gt;0)*S_KOM)))</f>
        <v/>
      </c>
      <c r="O183" s="11" t="n"/>
      <c r="P183" s="10">
        <f>IF(O183="","",IFERROR(VLOOKUP(O183,T_KHID,2,FALSE),0))</f>
        <v/>
      </c>
      <c r="Q183" s="11" t="n"/>
      <c r="R183" s="11" t="n"/>
      <c r="S183" s="10">
        <f>IF(AND(Q183="",R183=""),"",IFERROR(INDEX(T_LIBAT,MATCH(Q183,L_PER,0),MATCH(R183,L_JENIS,0)),0))</f>
        <v/>
      </c>
      <c r="T183" s="11" t="n"/>
      <c r="U183" s="11" t="n"/>
      <c r="V183" s="10">
        <f>IF(AND(T183="",U183=""),"",IFERROR(INDEX(T_CAPAI,MATCH(T183,L_PER,0),MATCH(U183,L_KED,0)),0))</f>
        <v/>
      </c>
      <c r="W183" s="17">
        <f>IF(OR(B183="",E183="",COUNTA(F183,H183,J183:M183,O183,Q183:R183,T183:U183)=0),"",SUM(G183,I183,N183,P183,S183,V183))</f>
        <v/>
      </c>
      <c r="X183" s="18">
        <f>IF(W183="","",IF(Murid!F183="TL","TL",ROUND(W183/110*100,2)))</f>
        <v/>
      </c>
    </row>
    <row r="184">
      <c r="A184" s="15">
        <f>Murid!A184</f>
        <v/>
      </c>
      <c r="B184" s="15">
        <f>IF(Murid!B184="","",Murid!B184)</f>
        <v/>
      </c>
      <c r="C184" s="16">
        <f>IF(Murid!C184="","",Murid!C184)</f>
        <v/>
      </c>
      <c r="D184" s="15">
        <f>IF(Murid!E184="","",Murid!E184)</f>
        <v/>
      </c>
      <c r="E184" s="11" t="n"/>
      <c r="F184" s="11" t="n"/>
      <c r="G184" s="10">
        <f>IF(F184="","",IFERROR(VLOOKUP(F184,T_JSP,2,FALSE),0))</f>
        <v/>
      </c>
      <c r="H184" s="11" t="n"/>
      <c r="I184" s="17">
        <f>IF(H184="","",IF(H184&gt;=12,40,ROUND(H184*3.33,2)))</f>
        <v/>
      </c>
      <c r="J184" s="11" t="n"/>
      <c r="K184" s="11" t="n"/>
      <c r="L184" s="11" t="n"/>
      <c r="M184" s="11" t="n"/>
      <c r="N184" s="10">
        <f>IF(COUNTA(J184:M184)=0,"",MIN(10,SUMPRODUCT((COUNTIF(J184:M184,L_KOM)&gt;0)*S_KOM)))</f>
        <v/>
      </c>
      <c r="O184" s="11" t="n"/>
      <c r="P184" s="10">
        <f>IF(O184="","",IFERROR(VLOOKUP(O184,T_KHID,2,FALSE),0))</f>
        <v/>
      </c>
      <c r="Q184" s="11" t="n"/>
      <c r="R184" s="11" t="n"/>
      <c r="S184" s="10">
        <f>IF(AND(Q184="",R184=""),"",IFERROR(INDEX(T_LIBAT,MATCH(Q184,L_PER,0),MATCH(R184,L_JENIS,0)),0))</f>
        <v/>
      </c>
      <c r="T184" s="11" t="n"/>
      <c r="U184" s="11" t="n"/>
      <c r="V184" s="10">
        <f>IF(AND(T184="",U184=""),"",IFERROR(INDEX(T_CAPAI,MATCH(T184,L_PER,0),MATCH(U184,L_KED,0)),0))</f>
        <v/>
      </c>
      <c r="W184" s="17">
        <f>IF(OR(B184="",E184="",COUNTA(F184,H184,J184:M184,O184,Q184:R184,T184:U184)=0),"",SUM(G184,I184,N184,P184,S184,V184))</f>
        <v/>
      </c>
      <c r="X184" s="18">
        <f>IF(W184="","",IF(Murid!F184="TL","TL",ROUND(W184/110*100,2)))</f>
        <v/>
      </c>
    </row>
    <row r="185">
      <c r="A185" s="15">
        <f>Murid!A185</f>
        <v/>
      </c>
      <c r="B185" s="15">
        <f>IF(Murid!B185="","",Murid!B185)</f>
        <v/>
      </c>
      <c r="C185" s="16">
        <f>IF(Murid!C185="","",Murid!C185)</f>
        <v/>
      </c>
      <c r="D185" s="15">
        <f>IF(Murid!E185="","",Murid!E185)</f>
        <v/>
      </c>
      <c r="E185" s="11" t="n"/>
      <c r="F185" s="11" t="n"/>
      <c r="G185" s="10">
        <f>IF(F185="","",IFERROR(VLOOKUP(F185,T_JSP,2,FALSE),0))</f>
        <v/>
      </c>
      <c r="H185" s="11" t="n"/>
      <c r="I185" s="17">
        <f>IF(H185="","",IF(H185&gt;=12,40,ROUND(H185*3.33,2)))</f>
        <v/>
      </c>
      <c r="J185" s="11" t="n"/>
      <c r="K185" s="11" t="n"/>
      <c r="L185" s="11" t="n"/>
      <c r="M185" s="11" t="n"/>
      <c r="N185" s="10">
        <f>IF(COUNTA(J185:M185)=0,"",MIN(10,SUMPRODUCT((COUNTIF(J185:M185,L_KOM)&gt;0)*S_KOM)))</f>
        <v/>
      </c>
      <c r="O185" s="11" t="n"/>
      <c r="P185" s="10">
        <f>IF(O185="","",IFERROR(VLOOKUP(O185,T_KHID,2,FALSE),0))</f>
        <v/>
      </c>
      <c r="Q185" s="11" t="n"/>
      <c r="R185" s="11" t="n"/>
      <c r="S185" s="10">
        <f>IF(AND(Q185="",R185=""),"",IFERROR(INDEX(T_LIBAT,MATCH(Q185,L_PER,0),MATCH(R185,L_JENIS,0)),0))</f>
        <v/>
      </c>
      <c r="T185" s="11" t="n"/>
      <c r="U185" s="11" t="n"/>
      <c r="V185" s="10">
        <f>IF(AND(T185="",U185=""),"",IFERROR(INDEX(T_CAPAI,MATCH(T185,L_PER,0),MATCH(U185,L_KED,0)),0))</f>
        <v/>
      </c>
      <c r="W185" s="17">
        <f>IF(OR(B185="",E185="",COUNTA(F185,H185,J185:M185,O185,Q185:R185,T185:U185)=0),"",SUM(G185,I185,N185,P185,S185,V185))</f>
        <v/>
      </c>
      <c r="X185" s="18">
        <f>IF(W185="","",IF(Murid!F185="TL","TL",ROUND(W185/110*100,2)))</f>
        <v/>
      </c>
    </row>
    <row r="186">
      <c r="A186" s="15">
        <f>Murid!A186</f>
        <v/>
      </c>
      <c r="B186" s="15">
        <f>IF(Murid!B186="","",Murid!B186)</f>
        <v/>
      </c>
      <c r="C186" s="16">
        <f>IF(Murid!C186="","",Murid!C186)</f>
        <v/>
      </c>
      <c r="D186" s="15">
        <f>IF(Murid!E186="","",Murid!E186)</f>
        <v/>
      </c>
      <c r="E186" s="11" t="n"/>
      <c r="F186" s="11" t="n"/>
      <c r="G186" s="10">
        <f>IF(F186="","",IFERROR(VLOOKUP(F186,T_JSP,2,FALSE),0))</f>
        <v/>
      </c>
      <c r="H186" s="11" t="n"/>
      <c r="I186" s="17">
        <f>IF(H186="","",IF(H186&gt;=12,40,ROUND(H186*3.33,2)))</f>
        <v/>
      </c>
      <c r="J186" s="11" t="n"/>
      <c r="K186" s="11" t="n"/>
      <c r="L186" s="11" t="n"/>
      <c r="M186" s="11" t="n"/>
      <c r="N186" s="10">
        <f>IF(COUNTA(J186:M186)=0,"",MIN(10,SUMPRODUCT((COUNTIF(J186:M186,L_KOM)&gt;0)*S_KOM)))</f>
        <v/>
      </c>
      <c r="O186" s="11" t="n"/>
      <c r="P186" s="10">
        <f>IF(O186="","",IFERROR(VLOOKUP(O186,T_KHID,2,FALSE),0))</f>
        <v/>
      </c>
      <c r="Q186" s="11" t="n"/>
      <c r="R186" s="11" t="n"/>
      <c r="S186" s="10">
        <f>IF(AND(Q186="",R186=""),"",IFERROR(INDEX(T_LIBAT,MATCH(Q186,L_PER,0),MATCH(R186,L_JENIS,0)),0))</f>
        <v/>
      </c>
      <c r="T186" s="11" t="n"/>
      <c r="U186" s="11" t="n"/>
      <c r="V186" s="10">
        <f>IF(AND(T186="",U186=""),"",IFERROR(INDEX(T_CAPAI,MATCH(T186,L_PER,0),MATCH(U186,L_KED,0)),0))</f>
        <v/>
      </c>
      <c r="W186" s="17">
        <f>IF(OR(B186="",E186="",COUNTA(F186,H186,J186:M186,O186,Q186:R186,T186:U186)=0),"",SUM(G186,I186,N186,P186,S186,V186))</f>
        <v/>
      </c>
      <c r="X186" s="18">
        <f>IF(W186="","",IF(Murid!F186="TL","TL",ROUND(W186/110*100,2)))</f>
        <v/>
      </c>
    </row>
    <row r="187">
      <c r="A187" s="15">
        <f>Murid!A187</f>
        <v/>
      </c>
      <c r="B187" s="15">
        <f>IF(Murid!B187="","",Murid!B187)</f>
        <v/>
      </c>
      <c r="C187" s="16">
        <f>IF(Murid!C187="","",Murid!C187)</f>
        <v/>
      </c>
      <c r="D187" s="15">
        <f>IF(Murid!E187="","",Murid!E187)</f>
        <v/>
      </c>
      <c r="E187" s="11" t="n"/>
      <c r="F187" s="11" t="n"/>
      <c r="G187" s="10">
        <f>IF(F187="","",IFERROR(VLOOKUP(F187,T_JSP,2,FALSE),0))</f>
        <v/>
      </c>
      <c r="H187" s="11" t="n"/>
      <c r="I187" s="17">
        <f>IF(H187="","",IF(H187&gt;=12,40,ROUND(H187*3.33,2)))</f>
        <v/>
      </c>
      <c r="J187" s="11" t="n"/>
      <c r="K187" s="11" t="n"/>
      <c r="L187" s="11" t="n"/>
      <c r="M187" s="11" t="n"/>
      <c r="N187" s="10">
        <f>IF(COUNTA(J187:M187)=0,"",MIN(10,SUMPRODUCT((COUNTIF(J187:M187,L_KOM)&gt;0)*S_KOM)))</f>
        <v/>
      </c>
      <c r="O187" s="11" t="n"/>
      <c r="P187" s="10">
        <f>IF(O187="","",IFERROR(VLOOKUP(O187,T_KHID,2,FALSE),0))</f>
        <v/>
      </c>
      <c r="Q187" s="11" t="n"/>
      <c r="R187" s="11" t="n"/>
      <c r="S187" s="10">
        <f>IF(AND(Q187="",R187=""),"",IFERROR(INDEX(T_LIBAT,MATCH(Q187,L_PER,0),MATCH(R187,L_JENIS,0)),0))</f>
        <v/>
      </c>
      <c r="T187" s="11" t="n"/>
      <c r="U187" s="11" t="n"/>
      <c r="V187" s="10">
        <f>IF(AND(T187="",U187=""),"",IFERROR(INDEX(T_CAPAI,MATCH(T187,L_PER,0),MATCH(U187,L_KED,0)),0))</f>
        <v/>
      </c>
      <c r="W187" s="17">
        <f>IF(OR(B187="",E187="",COUNTA(F187,H187,J187:M187,O187,Q187:R187,T187:U187)=0),"",SUM(G187,I187,N187,P187,S187,V187))</f>
        <v/>
      </c>
      <c r="X187" s="18">
        <f>IF(W187="","",IF(Murid!F187="TL","TL",ROUND(W187/110*100,2)))</f>
        <v/>
      </c>
    </row>
    <row r="188">
      <c r="A188" s="15">
        <f>Murid!A188</f>
        <v/>
      </c>
      <c r="B188" s="15">
        <f>IF(Murid!B188="","",Murid!B188)</f>
        <v/>
      </c>
      <c r="C188" s="16">
        <f>IF(Murid!C188="","",Murid!C188)</f>
        <v/>
      </c>
      <c r="D188" s="15">
        <f>IF(Murid!E188="","",Murid!E188)</f>
        <v/>
      </c>
      <c r="E188" s="11" t="n"/>
      <c r="F188" s="11" t="n"/>
      <c r="G188" s="10">
        <f>IF(F188="","",IFERROR(VLOOKUP(F188,T_JSP,2,FALSE),0))</f>
        <v/>
      </c>
      <c r="H188" s="11" t="n"/>
      <c r="I188" s="17">
        <f>IF(H188="","",IF(H188&gt;=12,40,ROUND(H188*3.33,2)))</f>
        <v/>
      </c>
      <c r="J188" s="11" t="n"/>
      <c r="K188" s="11" t="n"/>
      <c r="L188" s="11" t="n"/>
      <c r="M188" s="11" t="n"/>
      <c r="N188" s="10">
        <f>IF(COUNTA(J188:M188)=0,"",MIN(10,SUMPRODUCT((COUNTIF(J188:M188,L_KOM)&gt;0)*S_KOM)))</f>
        <v/>
      </c>
      <c r="O188" s="11" t="n"/>
      <c r="P188" s="10">
        <f>IF(O188="","",IFERROR(VLOOKUP(O188,T_KHID,2,FALSE),0))</f>
        <v/>
      </c>
      <c r="Q188" s="11" t="n"/>
      <c r="R188" s="11" t="n"/>
      <c r="S188" s="10">
        <f>IF(AND(Q188="",R188=""),"",IFERROR(INDEX(T_LIBAT,MATCH(Q188,L_PER,0),MATCH(R188,L_JENIS,0)),0))</f>
        <v/>
      </c>
      <c r="T188" s="11" t="n"/>
      <c r="U188" s="11" t="n"/>
      <c r="V188" s="10">
        <f>IF(AND(T188="",U188=""),"",IFERROR(INDEX(T_CAPAI,MATCH(T188,L_PER,0),MATCH(U188,L_KED,0)),0))</f>
        <v/>
      </c>
      <c r="W188" s="17">
        <f>IF(OR(B188="",E188="",COUNTA(F188,H188,J188:M188,O188,Q188:R188,T188:U188)=0),"",SUM(G188,I188,N188,P188,S188,V188))</f>
        <v/>
      </c>
      <c r="X188" s="18">
        <f>IF(W188="","",IF(Murid!F188="TL","TL",ROUND(W188/110*100,2)))</f>
        <v/>
      </c>
    </row>
    <row r="189">
      <c r="A189" s="15">
        <f>Murid!A189</f>
        <v/>
      </c>
      <c r="B189" s="15">
        <f>IF(Murid!B189="","",Murid!B189)</f>
        <v/>
      </c>
      <c r="C189" s="16">
        <f>IF(Murid!C189="","",Murid!C189)</f>
        <v/>
      </c>
      <c r="D189" s="15">
        <f>IF(Murid!E189="","",Murid!E189)</f>
        <v/>
      </c>
      <c r="E189" s="11" t="n"/>
      <c r="F189" s="11" t="n"/>
      <c r="G189" s="10">
        <f>IF(F189="","",IFERROR(VLOOKUP(F189,T_JSP,2,FALSE),0))</f>
        <v/>
      </c>
      <c r="H189" s="11" t="n"/>
      <c r="I189" s="17">
        <f>IF(H189="","",IF(H189&gt;=12,40,ROUND(H189*3.33,2)))</f>
        <v/>
      </c>
      <c r="J189" s="11" t="n"/>
      <c r="K189" s="11" t="n"/>
      <c r="L189" s="11" t="n"/>
      <c r="M189" s="11" t="n"/>
      <c r="N189" s="10">
        <f>IF(COUNTA(J189:M189)=0,"",MIN(10,SUMPRODUCT((COUNTIF(J189:M189,L_KOM)&gt;0)*S_KOM)))</f>
        <v/>
      </c>
      <c r="O189" s="11" t="n"/>
      <c r="P189" s="10">
        <f>IF(O189="","",IFERROR(VLOOKUP(O189,T_KHID,2,FALSE),0))</f>
        <v/>
      </c>
      <c r="Q189" s="11" t="n"/>
      <c r="R189" s="11" t="n"/>
      <c r="S189" s="10">
        <f>IF(AND(Q189="",R189=""),"",IFERROR(INDEX(T_LIBAT,MATCH(Q189,L_PER,0),MATCH(R189,L_JENIS,0)),0))</f>
        <v/>
      </c>
      <c r="T189" s="11" t="n"/>
      <c r="U189" s="11" t="n"/>
      <c r="V189" s="10">
        <f>IF(AND(T189="",U189=""),"",IFERROR(INDEX(T_CAPAI,MATCH(T189,L_PER,0),MATCH(U189,L_KED,0)),0))</f>
        <v/>
      </c>
      <c r="W189" s="17">
        <f>IF(OR(B189="",E189="",COUNTA(F189,H189,J189:M189,O189,Q189:R189,T189:U189)=0),"",SUM(G189,I189,N189,P189,S189,V189))</f>
        <v/>
      </c>
      <c r="X189" s="18">
        <f>IF(W189="","",IF(Murid!F189="TL","TL",ROUND(W189/110*100,2)))</f>
        <v/>
      </c>
    </row>
    <row r="190">
      <c r="A190" s="15">
        <f>Murid!A190</f>
        <v/>
      </c>
      <c r="B190" s="15">
        <f>IF(Murid!B190="","",Murid!B190)</f>
        <v/>
      </c>
      <c r="C190" s="16">
        <f>IF(Murid!C190="","",Murid!C190)</f>
        <v/>
      </c>
      <c r="D190" s="15">
        <f>IF(Murid!E190="","",Murid!E190)</f>
        <v/>
      </c>
      <c r="E190" s="11" t="n"/>
      <c r="F190" s="11" t="n"/>
      <c r="G190" s="10">
        <f>IF(F190="","",IFERROR(VLOOKUP(F190,T_JSP,2,FALSE),0))</f>
        <v/>
      </c>
      <c r="H190" s="11" t="n"/>
      <c r="I190" s="17">
        <f>IF(H190="","",IF(H190&gt;=12,40,ROUND(H190*3.33,2)))</f>
        <v/>
      </c>
      <c r="J190" s="11" t="n"/>
      <c r="K190" s="11" t="n"/>
      <c r="L190" s="11" t="n"/>
      <c r="M190" s="11" t="n"/>
      <c r="N190" s="10">
        <f>IF(COUNTA(J190:M190)=0,"",MIN(10,SUMPRODUCT((COUNTIF(J190:M190,L_KOM)&gt;0)*S_KOM)))</f>
        <v/>
      </c>
      <c r="O190" s="11" t="n"/>
      <c r="P190" s="10">
        <f>IF(O190="","",IFERROR(VLOOKUP(O190,T_KHID,2,FALSE),0))</f>
        <v/>
      </c>
      <c r="Q190" s="11" t="n"/>
      <c r="R190" s="11" t="n"/>
      <c r="S190" s="10">
        <f>IF(AND(Q190="",R190=""),"",IFERROR(INDEX(T_LIBAT,MATCH(Q190,L_PER,0),MATCH(R190,L_JENIS,0)),0))</f>
        <v/>
      </c>
      <c r="T190" s="11" t="n"/>
      <c r="U190" s="11" t="n"/>
      <c r="V190" s="10">
        <f>IF(AND(T190="",U190=""),"",IFERROR(INDEX(T_CAPAI,MATCH(T190,L_PER,0),MATCH(U190,L_KED,0)),0))</f>
        <v/>
      </c>
      <c r="W190" s="17">
        <f>IF(OR(B190="",E190="",COUNTA(F190,H190,J190:M190,O190,Q190:R190,T190:U190)=0),"",SUM(G190,I190,N190,P190,S190,V190))</f>
        <v/>
      </c>
      <c r="X190" s="18">
        <f>IF(W190="","",IF(Murid!F190="TL","TL",ROUND(W190/110*100,2)))</f>
        <v/>
      </c>
    </row>
    <row r="191">
      <c r="A191" s="15">
        <f>Murid!A191</f>
        <v/>
      </c>
      <c r="B191" s="15">
        <f>IF(Murid!B191="","",Murid!B191)</f>
        <v/>
      </c>
      <c r="C191" s="16">
        <f>IF(Murid!C191="","",Murid!C191)</f>
        <v/>
      </c>
      <c r="D191" s="15">
        <f>IF(Murid!E191="","",Murid!E191)</f>
        <v/>
      </c>
      <c r="E191" s="11" t="n"/>
      <c r="F191" s="11" t="n"/>
      <c r="G191" s="10">
        <f>IF(F191="","",IFERROR(VLOOKUP(F191,T_JSP,2,FALSE),0))</f>
        <v/>
      </c>
      <c r="H191" s="11" t="n"/>
      <c r="I191" s="17">
        <f>IF(H191="","",IF(H191&gt;=12,40,ROUND(H191*3.33,2)))</f>
        <v/>
      </c>
      <c r="J191" s="11" t="n"/>
      <c r="K191" s="11" t="n"/>
      <c r="L191" s="11" t="n"/>
      <c r="M191" s="11" t="n"/>
      <c r="N191" s="10">
        <f>IF(COUNTA(J191:M191)=0,"",MIN(10,SUMPRODUCT((COUNTIF(J191:M191,L_KOM)&gt;0)*S_KOM)))</f>
        <v/>
      </c>
      <c r="O191" s="11" t="n"/>
      <c r="P191" s="10">
        <f>IF(O191="","",IFERROR(VLOOKUP(O191,T_KHID,2,FALSE),0))</f>
        <v/>
      </c>
      <c r="Q191" s="11" t="n"/>
      <c r="R191" s="11" t="n"/>
      <c r="S191" s="10">
        <f>IF(AND(Q191="",R191=""),"",IFERROR(INDEX(T_LIBAT,MATCH(Q191,L_PER,0),MATCH(R191,L_JENIS,0)),0))</f>
        <v/>
      </c>
      <c r="T191" s="11" t="n"/>
      <c r="U191" s="11" t="n"/>
      <c r="V191" s="10">
        <f>IF(AND(T191="",U191=""),"",IFERROR(INDEX(T_CAPAI,MATCH(T191,L_PER,0),MATCH(U191,L_KED,0)),0))</f>
        <v/>
      </c>
      <c r="W191" s="17">
        <f>IF(OR(B191="",E191="",COUNTA(F191,H191,J191:M191,O191,Q191:R191,T191:U191)=0),"",SUM(G191,I191,N191,P191,S191,V191))</f>
        <v/>
      </c>
      <c r="X191" s="18">
        <f>IF(W191="","",IF(Murid!F191="TL","TL",ROUND(W191/110*100,2)))</f>
        <v/>
      </c>
    </row>
    <row r="192">
      <c r="A192" s="15">
        <f>Murid!A192</f>
        <v/>
      </c>
      <c r="B192" s="15">
        <f>IF(Murid!B192="","",Murid!B192)</f>
        <v/>
      </c>
      <c r="C192" s="16">
        <f>IF(Murid!C192="","",Murid!C192)</f>
        <v/>
      </c>
      <c r="D192" s="15">
        <f>IF(Murid!E192="","",Murid!E192)</f>
        <v/>
      </c>
      <c r="E192" s="11" t="n"/>
      <c r="F192" s="11" t="n"/>
      <c r="G192" s="10">
        <f>IF(F192="","",IFERROR(VLOOKUP(F192,T_JSP,2,FALSE),0))</f>
        <v/>
      </c>
      <c r="H192" s="11" t="n"/>
      <c r="I192" s="17">
        <f>IF(H192="","",IF(H192&gt;=12,40,ROUND(H192*3.33,2)))</f>
        <v/>
      </c>
      <c r="J192" s="11" t="n"/>
      <c r="K192" s="11" t="n"/>
      <c r="L192" s="11" t="n"/>
      <c r="M192" s="11" t="n"/>
      <c r="N192" s="10">
        <f>IF(COUNTA(J192:M192)=0,"",MIN(10,SUMPRODUCT((COUNTIF(J192:M192,L_KOM)&gt;0)*S_KOM)))</f>
        <v/>
      </c>
      <c r="O192" s="11" t="n"/>
      <c r="P192" s="10">
        <f>IF(O192="","",IFERROR(VLOOKUP(O192,T_KHID,2,FALSE),0))</f>
        <v/>
      </c>
      <c r="Q192" s="11" t="n"/>
      <c r="R192" s="11" t="n"/>
      <c r="S192" s="10">
        <f>IF(AND(Q192="",R192=""),"",IFERROR(INDEX(T_LIBAT,MATCH(Q192,L_PER,0),MATCH(R192,L_JENIS,0)),0))</f>
        <v/>
      </c>
      <c r="T192" s="11" t="n"/>
      <c r="U192" s="11" t="n"/>
      <c r="V192" s="10">
        <f>IF(AND(T192="",U192=""),"",IFERROR(INDEX(T_CAPAI,MATCH(T192,L_PER,0),MATCH(U192,L_KED,0)),0))</f>
        <v/>
      </c>
      <c r="W192" s="17">
        <f>IF(OR(B192="",E192="",COUNTA(F192,H192,J192:M192,O192,Q192:R192,T192:U192)=0),"",SUM(G192,I192,N192,P192,S192,V192))</f>
        <v/>
      </c>
      <c r="X192" s="18">
        <f>IF(W192="","",IF(Murid!F192="TL","TL",ROUND(W192/110*100,2)))</f>
        <v/>
      </c>
    </row>
    <row r="193">
      <c r="A193" s="15">
        <f>Murid!A193</f>
        <v/>
      </c>
      <c r="B193" s="15">
        <f>IF(Murid!B193="","",Murid!B193)</f>
        <v/>
      </c>
      <c r="C193" s="16">
        <f>IF(Murid!C193="","",Murid!C193)</f>
        <v/>
      </c>
      <c r="D193" s="15">
        <f>IF(Murid!E193="","",Murid!E193)</f>
        <v/>
      </c>
      <c r="E193" s="11" t="n"/>
      <c r="F193" s="11" t="n"/>
      <c r="G193" s="10">
        <f>IF(F193="","",IFERROR(VLOOKUP(F193,T_JSP,2,FALSE),0))</f>
        <v/>
      </c>
      <c r="H193" s="11" t="n"/>
      <c r="I193" s="17">
        <f>IF(H193="","",IF(H193&gt;=12,40,ROUND(H193*3.33,2)))</f>
        <v/>
      </c>
      <c r="J193" s="11" t="n"/>
      <c r="K193" s="11" t="n"/>
      <c r="L193" s="11" t="n"/>
      <c r="M193" s="11" t="n"/>
      <c r="N193" s="10">
        <f>IF(COUNTA(J193:M193)=0,"",MIN(10,SUMPRODUCT((COUNTIF(J193:M193,L_KOM)&gt;0)*S_KOM)))</f>
        <v/>
      </c>
      <c r="O193" s="11" t="n"/>
      <c r="P193" s="10">
        <f>IF(O193="","",IFERROR(VLOOKUP(O193,T_KHID,2,FALSE),0))</f>
        <v/>
      </c>
      <c r="Q193" s="11" t="n"/>
      <c r="R193" s="11" t="n"/>
      <c r="S193" s="10">
        <f>IF(AND(Q193="",R193=""),"",IFERROR(INDEX(T_LIBAT,MATCH(Q193,L_PER,0),MATCH(R193,L_JENIS,0)),0))</f>
        <v/>
      </c>
      <c r="T193" s="11" t="n"/>
      <c r="U193" s="11" t="n"/>
      <c r="V193" s="10">
        <f>IF(AND(T193="",U193=""),"",IFERROR(INDEX(T_CAPAI,MATCH(T193,L_PER,0),MATCH(U193,L_KED,0)),0))</f>
        <v/>
      </c>
      <c r="W193" s="17">
        <f>IF(OR(B193="",E193="",COUNTA(F193,H193,J193:M193,O193,Q193:R193,T193:U193)=0),"",SUM(G193,I193,N193,P193,S193,V193))</f>
        <v/>
      </c>
      <c r="X193" s="18">
        <f>IF(W193="","",IF(Murid!F193="TL","TL",ROUND(W193/110*100,2)))</f>
        <v/>
      </c>
    </row>
    <row r="194">
      <c r="A194" s="15">
        <f>Murid!A194</f>
        <v/>
      </c>
      <c r="B194" s="15">
        <f>IF(Murid!B194="","",Murid!B194)</f>
        <v/>
      </c>
      <c r="C194" s="16">
        <f>IF(Murid!C194="","",Murid!C194)</f>
        <v/>
      </c>
      <c r="D194" s="15">
        <f>IF(Murid!E194="","",Murid!E194)</f>
        <v/>
      </c>
      <c r="E194" s="11" t="n"/>
      <c r="F194" s="11" t="n"/>
      <c r="G194" s="10">
        <f>IF(F194="","",IFERROR(VLOOKUP(F194,T_JSP,2,FALSE),0))</f>
        <v/>
      </c>
      <c r="H194" s="11" t="n"/>
      <c r="I194" s="17">
        <f>IF(H194="","",IF(H194&gt;=12,40,ROUND(H194*3.33,2)))</f>
        <v/>
      </c>
      <c r="J194" s="11" t="n"/>
      <c r="K194" s="11" t="n"/>
      <c r="L194" s="11" t="n"/>
      <c r="M194" s="11" t="n"/>
      <c r="N194" s="10">
        <f>IF(COUNTA(J194:M194)=0,"",MIN(10,SUMPRODUCT((COUNTIF(J194:M194,L_KOM)&gt;0)*S_KOM)))</f>
        <v/>
      </c>
      <c r="O194" s="11" t="n"/>
      <c r="P194" s="10">
        <f>IF(O194="","",IFERROR(VLOOKUP(O194,T_KHID,2,FALSE),0))</f>
        <v/>
      </c>
      <c r="Q194" s="11" t="n"/>
      <c r="R194" s="11" t="n"/>
      <c r="S194" s="10">
        <f>IF(AND(Q194="",R194=""),"",IFERROR(INDEX(T_LIBAT,MATCH(Q194,L_PER,0),MATCH(R194,L_JENIS,0)),0))</f>
        <v/>
      </c>
      <c r="T194" s="11" t="n"/>
      <c r="U194" s="11" t="n"/>
      <c r="V194" s="10">
        <f>IF(AND(T194="",U194=""),"",IFERROR(INDEX(T_CAPAI,MATCH(T194,L_PER,0),MATCH(U194,L_KED,0)),0))</f>
        <v/>
      </c>
      <c r="W194" s="17">
        <f>IF(OR(B194="",E194="",COUNTA(F194,H194,J194:M194,O194,Q194:R194,T194:U194)=0),"",SUM(G194,I194,N194,P194,S194,V194))</f>
        <v/>
      </c>
      <c r="X194" s="18">
        <f>IF(W194="","",IF(Murid!F194="TL","TL",ROUND(W194/110*100,2)))</f>
        <v/>
      </c>
    </row>
    <row r="195">
      <c r="A195" s="15">
        <f>Murid!A195</f>
        <v/>
      </c>
      <c r="B195" s="15">
        <f>IF(Murid!B195="","",Murid!B195)</f>
        <v/>
      </c>
      <c r="C195" s="16">
        <f>IF(Murid!C195="","",Murid!C195)</f>
        <v/>
      </c>
      <c r="D195" s="15">
        <f>IF(Murid!E195="","",Murid!E195)</f>
        <v/>
      </c>
      <c r="E195" s="11" t="n"/>
      <c r="F195" s="11" t="n"/>
      <c r="G195" s="10">
        <f>IF(F195="","",IFERROR(VLOOKUP(F195,T_JSP,2,FALSE),0))</f>
        <v/>
      </c>
      <c r="H195" s="11" t="n"/>
      <c r="I195" s="17">
        <f>IF(H195="","",IF(H195&gt;=12,40,ROUND(H195*3.33,2)))</f>
        <v/>
      </c>
      <c r="J195" s="11" t="n"/>
      <c r="K195" s="11" t="n"/>
      <c r="L195" s="11" t="n"/>
      <c r="M195" s="11" t="n"/>
      <c r="N195" s="10">
        <f>IF(COUNTA(J195:M195)=0,"",MIN(10,SUMPRODUCT((COUNTIF(J195:M195,L_KOM)&gt;0)*S_KOM)))</f>
        <v/>
      </c>
      <c r="O195" s="11" t="n"/>
      <c r="P195" s="10">
        <f>IF(O195="","",IFERROR(VLOOKUP(O195,T_KHID,2,FALSE),0))</f>
        <v/>
      </c>
      <c r="Q195" s="11" t="n"/>
      <c r="R195" s="11" t="n"/>
      <c r="S195" s="10">
        <f>IF(AND(Q195="",R195=""),"",IFERROR(INDEX(T_LIBAT,MATCH(Q195,L_PER,0),MATCH(R195,L_JENIS,0)),0))</f>
        <v/>
      </c>
      <c r="T195" s="11" t="n"/>
      <c r="U195" s="11" t="n"/>
      <c r="V195" s="10">
        <f>IF(AND(T195="",U195=""),"",IFERROR(INDEX(T_CAPAI,MATCH(T195,L_PER,0),MATCH(U195,L_KED,0)),0))</f>
        <v/>
      </c>
      <c r="W195" s="17">
        <f>IF(OR(B195="",E195="",COUNTA(F195,H195,J195:M195,O195,Q195:R195,T195:U195)=0),"",SUM(G195,I195,N195,P195,S195,V195))</f>
        <v/>
      </c>
      <c r="X195" s="18">
        <f>IF(W195="","",IF(Murid!F195="TL","TL",ROUND(W195/110*100,2)))</f>
        <v/>
      </c>
    </row>
    <row r="196">
      <c r="A196" s="15">
        <f>Murid!A196</f>
        <v/>
      </c>
      <c r="B196" s="15">
        <f>IF(Murid!B196="","",Murid!B196)</f>
        <v/>
      </c>
      <c r="C196" s="16">
        <f>IF(Murid!C196="","",Murid!C196)</f>
        <v/>
      </c>
      <c r="D196" s="15">
        <f>IF(Murid!E196="","",Murid!E196)</f>
        <v/>
      </c>
      <c r="E196" s="11" t="n"/>
      <c r="F196" s="11" t="n"/>
      <c r="G196" s="10">
        <f>IF(F196="","",IFERROR(VLOOKUP(F196,T_JSP,2,FALSE),0))</f>
        <v/>
      </c>
      <c r="H196" s="11" t="n"/>
      <c r="I196" s="17">
        <f>IF(H196="","",IF(H196&gt;=12,40,ROUND(H196*3.33,2)))</f>
        <v/>
      </c>
      <c r="J196" s="11" t="n"/>
      <c r="K196" s="11" t="n"/>
      <c r="L196" s="11" t="n"/>
      <c r="M196" s="11" t="n"/>
      <c r="N196" s="10">
        <f>IF(COUNTA(J196:M196)=0,"",MIN(10,SUMPRODUCT((COUNTIF(J196:M196,L_KOM)&gt;0)*S_KOM)))</f>
        <v/>
      </c>
      <c r="O196" s="11" t="n"/>
      <c r="P196" s="10">
        <f>IF(O196="","",IFERROR(VLOOKUP(O196,T_KHID,2,FALSE),0))</f>
        <v/>
      </c>
      <c r="Q196" s="11" t="n"/>
      <c r="R196" s="11" t="n"/>
      <c r="S196" s="10">
        <f>IF(AND(Q196="",R196=""),"",IFERROR(INDEX(T_LIBAT,MATCH(Q196,L_PER,0),MATCH(R196,L_JENIS,0)),0))</f>
        <v/>
      </c>
      <c r="T196" s="11" t="n"/>
      <c r="U196" s="11" t="n"/>
      <c r="V196" s="10">
        <f>IF(AND(T196="",U196=""),"",IFERROR(INDEX(T_CAPAI,MATCH(T196,L_PER,0),MATCH(U196,L_KED,0)),0))</f>
        <v/>
      </c>
      <c r="W196" s="17">
        <f>IF(OR(B196="",E196="",COUNTA(F196,H196,J196:M196,O196,Q196:R196,T196:U196)=0),"",SUM(G196,I196,N196,P196,S196,V196))</f>
        <v/>
      </c>
      <c r="X196" s="18">
        <f>IF(W196="","",IF(Murid!F196="TL","TL",ROUND(W196/110*100,2)))</f>
        <v/>
      </c>
    </row>
    <row r="197">
      <c r="A197" s="15">
        <f>Murid!A197</f>
        <v/>
      </c>
      <c r="B197" s="15">
        <f>IF(Murid!B197="","",Murid!B197)</f>
        <v/>
      </c>
      <c r="C197" s="16">
        <f>IF(Murid!C197="","",Murid!C197)</f>
        <v/>
      </c>
      <c r="D197" s="15">
        <f>IF(Murid!E197="","",Murid!E197)</f>
        <v/>
      </c>
      <c r="E197" s="11" t="n"/>
      <c r="F197" s="11" t="n"/>
      <c r="G197" s="10">
        <f>IF(F197="","",IFERROR(VLOOKUP(F197,T_JSP,2,FALSE),0))</f>
        <v/>
      </c>
      <c r="H197" s="11" t="n"/>
      <c r="I197" s="17">
        <f>IF(H197="","",IF(H197&gt;=12,40,ROUND(H197*3.33,2)))</f>
        <v/>
      </c>
      <c r="J197" s="11" t="n"/>
      <c r="K197" s="11" t="n"/>
      <c r="L197" s="11" t="n"/>
      <c r="M197" s="11" t="n"/>
      <c r="N197" s="10">
        <f>IF(COUNTA(J197:M197)=0,"",MIN(10,SUMPRODUCT((COUNTIF(J197:M197,L_KOM)&gt;0)*S_KOM)))</f>
        <v/>
      </c>
      <c r="O197" s="11" t="n"/>
      <c r="P197" s="10">
        <f>IF(O197="","",IFERROR(VLOOKUP(O197,T_KHID,2,FALSE),0))</f>
        <v/>
      </c>
      <c r="Q197" s="11" t="n"/>
      <c r="R197" s="11" t="n"/>
      <c r="S197" s="10">
        <f>IF(AND(Q197="",R197=""),"",IFERROR(INDEX(T_LIBAT,MATCH(Q197,L_PER,0),MATCH(R197,L_JENIS,0)),0))</f>
        <v/>
      </c>
      <c r="T197" s="11" t="n"/>
      <c r="U197" s="11" t="n"/>
      <c r="V197" s="10">
        <f>IF(AND(T197="",U197=""),"",IFERROR(INDEX(T_CAPAI,MATCH(T197,L_PER,0),MATCH(U197,L_KED,0)),0))</f>
        <v/>
      </c>
      <c r="W197" s="17">
        <f>IF(OR(B197="",E197="",COUNTA(F197,H197,J197:M197,O197,Q197:R197,T197:U197)=0),"",SUM(G197,I197,N197,P197,S197,V197))</f>
        <v/>
      </c>
      <c r="X197" s="18">
        <f>IF(W197="","",IF(Murid!F197="TL","TL",ROUND(W197/110*100,2)))</f>
        <v/>
      </c>
    </row>
    <row r="198">
      <c r="A198" s="15">
        <f>Murid!A198</f>
        <v/>
      </c>
      <c r="B198" s="15">
        <f>IF(Murid!B198="","",Murid!B198)</f>
        <v/>
      </c>
      <c r="C198" s="16">
        <f>IF(Murid!C198="","",Murid!C198)</f>
        <v/>
      </c>
      <c r="D198" s="15">
        <f>IF(Murid!E198="","",Murid!E198)</f>
        <v/>
      </c>
      <c r="E198" s="11" t="n"/>
      <c r="F198" s="11" t="n"/>
      <c r="G198" s="10">
        <f>IF(F198="","",IFERROR(VLOOKUP(F198,T_JSP,2,FALSE),0))</f>
        <v/>
      </c>
      <c r="H198" s="11" t="n"/>
      <c r="I198" s="17">
        <f>IF(H198="","",IF(H198&gt;=12,40,ROUND(H198*3.33,2)))</f>
        <v/>
      </c>
      <c r="J198" s="11" t="n"/>
      <c r="K198" s="11" t="n"/>
      <c r="L198" s="11" t="n"/>
      <c r="M198" s="11" t="n"/>
      <c r="N198" s="10">
        <f>IF(COUNTA(J198:M198)=0,"",MIN(10,SUMPRODUCT((COUNTIF(J198:M198,L_KOM)&gt;0)*S_KOM)))</f>
        <v/>
      </c>
      <c r="O198" s="11" t="n"/>
      <c r="P198" s="10">
        <f>IF(O198="","",IFERROR(VLOOKUP(O198,T_KHID,2,FALSE),0))</f>
        <v/>
      </c>
      <c r="Q198" s="11" t="n"/>
      <c r="R198" s="11" t="n"/>
      <c r="S198" s="10">
        <f>IF(AND(Q198="",R198=""),"",IFERROR(INDEX(T_LIBAT,MATCH(Q198,L_PER,0),MATCH(R198,L_JENIS,0)),0))</f>
        <v/>
      </c>
      <c r="T198" s="11" t="n"/>
      <c r="U198" s="11" t="n"/>
      <c r="V198" s="10">
        <f>IF(AND(T198="",U198=""),"",IFERROR(INDEX(T_CAPAI,MATCH(T198,L_PER,0),MATCH(U198,L_KED,0)),0))</f>
        <v/>
      </c>
      <c r="W198" s="17">
        <f>IF(OR(B198="",E198="",COUNTA(F198,H198,J198:M198,O198,Q198:R198,T198:U198)=0),"",SUM(G198,I198,N198,P198,S198,V198))</f>
        <v/>
      </c>
      <c r="X198" s="18">
        <f>IF(W198="","",IF(Murid!F198="TL","TL",ROUND(W198/110*100,2)))</f>
        <v/>
      </c>
    </row>
    <row r="199">
      <c r="A199" s="15">
        <f>Murid!A199</f>
        <v/>
      </c>
      <c r="B199" s="15">
        <f>IF(Murid!B199="","",Murid!B199)</f>
        <v/>
      </c>
      <c r="C199" s="16">
        <f>IF(Murid!C199="","",Murid!C199)</f>
        <v/>
      </c>
      <c r="D199" s="15">
        <f>IF(Murid!E199="","",Murid!E199)</f>
        <v/>
      </c>
      <c r="E199" s="11" t="n"/>
      <c r="F199" s="11" t="n"/>
      <c r="G199" s="10">
        <f>IF(F199="","",IFERROR(VLOOKUP(F199,T_JSP,2,FALSE),0))</f>
        <v/>
      </c>
      <c r="H199" s="11" t="n"/>
      <c r="I199" s="17">
        <f>IF(H199="","",IF(H199&gt;=12,40,ROUND(H199*3.33,2)))</f>
        <v/>
      </c>
      <c r="J199" s="11" t="n"/>
      <c r="K199" s="11" t="n"/>
      <c r="L199" s="11" t="n"/>
      <c r="M199" s="11" t="n"/>
      <c r="N199" s="10">
        <f>IF(COUNTA(J199:M199)=0,"",MIN(10,SUMPRODUCT((COUNTIF(J199:M199,L_KOM)&gt;0)*S_KOM)))</f>
        <v/>
      </c>
      <c r="O199" s="11" t="n"/>
      <c r="P199" s="10">
        <f>IF(O199="","",IFERROR(VLOOKUP(O199,T_KHID,2,FALSE),0))</f>
        <v/>
      </c>
      <c r="Q199" s="11" t="n"/>
      <c r="R199" s="11" t="n"/>
      <c r="S199" s="10">
        <f>IF(AND(Q199="",R199=""),"",IFERROR(INDEX(T_LIBAT,MATCH(Q199,L_PER,0),MATCH(R199,L_JENIS,0)),0))</f>
        <v/>
      </c>
      <c r="T199" s="11" t="n"/>
      <c r="U199" s="11" t="n"/>
      <c r="V199" s="10">
        <f>IF(AND(T199="",U199=""),"",IFERROR(INDEX(T_CAPAI,MATCH(T199,L_PER,0),MATCH(U199,L_KED,0)),0))</f>
        <v/>
      </c>
      <c r="W199" s="17">
        <f>IF(OR(B199="",E199="",COUNTA(F199,H199,J199:M199,O199,Q199:R199,T199:U199)=0),"",SUM(G199,I199,N199,P199,S199,V199))</f>
        <v/>
      </c>
      <c r="X199" s="18">
        <f>IF(W199="","",IF(Murid!F199="TL","TL",ROUND(W199/110*100,2)))</f>
        <v/>
      </c>
    </row>
    <row r="200">
      <c r="A200" s="15">
        <f>Murid!A200</f>
        <v/>
      </c>
      <c r="B200" s="15">
        <f>IF(Murid!B200="","",Murid!B200)</f>
        <v/>
      </c>
      <c r="C200" s="16">
        <f>IF(Murid!C200="","",Murid!C200)</f>
        <v/>
      </c>
      <c r="D200" s="15">
        <f>IF(Murid!E200="","",Murid!E200)</f>
        <v/>
      </c>
      <c r="E200" s="11" t="n"/>
      <c r="F200" s="11" t="n"/>
      <c r="G200" s="10">
        <f>IF(F200="","",IFERROR(VLOOKUP(F200,T_JSP,2,FALSE),0))</f>
        <v/>
      </c>
      <c r="H200" s="11" t="n"/>
      <c r="I200" s="17">
        <f>IF(H200="","",IF(H200&gt;=12,40,ROUND(H200*3.33,2)))</f>
        <v/>
      </c>
      <c r="J200" s="11" t="n"/>
      <c r="K200" s="11" t="n"/>
      <c r="L200" s="11" t="n"/>
      <c r="M200" s="11" t="n"/>
      <c r="N200" s="10">
        <f>IF(COUNTA(J200:M200)=0,"",MIN(10,SUMPRODUCT((COUNTIF(J200:M200,L_KOM)&gt;0)*S_KOM)))</f>
        <v/>
      </c>
      <c r="O200" s="11" t="n"/>
      <c r="P200" s="10">
        <f>IF(O200="","",IFERROR(VLOOKUP(O200,T_KHID,2,FALSE),0))</f>
        <v/>
      </c>
      <c r="Q200" s="11" t="n"/>
      <c r="R200" s="11" t="n"/>
      <c r="S200" s="10">
        <f>IF(AND(Q200="",R200=""),"",IFERROR(INDEX(T_LIBAT,MATCH(Q200,L_PER,0),MATCH(R200,L_JENIS,0)),0))</f>
        <v/>
      </c>
      <c r="T200" s="11" t="n"/>
      <c r="U200" s="11" t="n"/>
      <c r="V200" s="10">
        <f>IF(AND(T200="",U200=""),"",IFERROR(INDEX(T_CAPAI,MATCH(T200,L_PER,0),MATCH(U200,L_KED,0)),0))</f>
        <v/>
      </c>
      <c r="W200" s="17">
        <f>IF(OR(B200="",E200="",COUNTA(F200,H200,J200:M200,O200,Q200:R200,T200:U200)=0),"",SUM(G200,I200,N200,P200,S200,V200))</f>
        <v/>
      </c>
      <c r="X200" s="18">
        <f>IF(W200="","",IF(Murid!F200="TL","TL",ROUND(W200/110*100,2)))</f>
        <v/>
      </c>
    </row>
    <row r="201">
      <c r="A201" s="15">
        <f>Murid!A201</f>
        <v/>
      </c>
      <c r="B201" s="15">
        <f>IF(Murid!B201="","",Murid!B201)</f>
        <v/>
      </c>
      <c r="C201" s="16">
        <f>IF(Murid!C201="","",Murid!C201)</f>
        <v/>
      </c>
      <c r="D201" s="15">
        <f>IF(Murid!E201="","",Murid!E201)</f>
        <v/>
      </c>
      <c r="E201" s="11" t="n"/>
      <c r="F201" s="11" t="n"/>
      <c r="G201" s="10">
        <f>IF(F201="","",IFERROR(VLOOKUP(F201,T_JSP,2,FALSE),0))</f>
        <v/>
      </c>
      <c r="H201" s="11" t="n"/>
      <c r="I201" s="17">
        <f>IF(H201="","",IF(H201&gt;=12,40,ROUND(H201*3.33,2)))</f>
        <v/>
      </c>
      <c r="J201" s="11" t="n"/>
      <c r="K201" s="11" t="n"/>
      <c r="L201" s="11" t="n"/>
      <c r="M201" s="11" t="n"/>
      <c r="N201" s="10">
        <f>IF(COUNTA(J201:M201)=0,"",MIN(10,SUMPRODUCT((COUNTIF(J201:M201,L_KOM)&gt;0)*S_KOM)))</f>
        <v/>
      </c>
      <c r="O201" s="11" t="n"/>
      <c r="P201" s="10">
        <f>IF(O201="","",IFERROR(VLOOKUP(O201,T_KHID,2,FALSE),0))</f>
        <v/>
      </c>
      <c r="Q201" s="11" t="n"/>
      <c r="R201" s="11" t="n"/>
      <c r="S201" s="10">
        <f>IF(AND(Q201="",R201=""),"",IFERROR(INDEX(T_LIBAT,MATCH(Q201,L_PER,0),MATCH(R201,L_JENIS,0)),0))</f>
        <v/>
      </c>
      <c r="T201" s="11" t="n"/>
      <c r="U201" s="11" t="n"/>
      <c r="V201" s="10">
        <f>IF(AND(T201="",U201=""),"",IFERROR(INDEX(T_CAPAI,MATCH(T201,L_PER,0),MATCH(U201,L_KED,0)),0))</f>
        <v/>
      </c>
      <c r="W201" s="17">
        <f>IF(OR(B201="",E201="",COUNTA(F201,H201,J201:M201,O201,Q201:R201,T201:U201)=0),"",SUM(G201,I201,N201,P201,S201,V201))</f>
        <v/>
      </c>
      <c r="X201" s="18">
        <f>IF(W201="","",IF(Murid!F201="TL","TL",ROUND(W201/110*100,2)))</f>
        <v/>
      </c>
    </row>
    <row r="202">
      <c r="A202" s="15">
        <f>Murid!A202</f>
        <v/>
      </c>
      <c r="B202" s="15">
        <f>IF(Murid!B202="","",Murid!B202)</f>
        <v/>
      </c>
      <c r="C202" s="16">
        <f>IF(Murid!C202="","",Murid!C202)</f>
        <v/>
      </c>
      <c r="D202" s="15">
        <f>IF(Murid!E202="","",Murid!E202)</f>
        <v/>
      </c>
      <c r="E202" s="11" t="n"/>
      <c r="F202" s="11" t="n"/>
      <c r="G202" s="10">
        <f>IF(F202="","",IFERROR(VLOOKUP(F202,T_JSP,2,FALSE),0))</f>
        <v/>
      </c>
      <c r="H202" s="11" t="n"/>
      <c r="I202" s="17">
        <f>IF(H202="","",IF(H202&gt;=12,40,ROUND(H202*3.33,2)))</f>
        <v/>
      </c>
      <c r="J202" s="11" t="n"/>
      <c r="K202" s="11" t="n"/>
      <c r="L202" s="11" t="n"/>
      <c r="M202" s="11" t="n"/>
      <c r="N202" s="10">
        <f>IF(COUNTA(J202:M202)=0,"",MIN(10,SUMPRODUCT((COUNTIF(J202:M202,L_KOM)&gt;0)*S_KOM)))</f>
        <v/>
      </c>
      <c r="O202" s="11" t="n"/>
      <c r="P202" s="10">
        <f>IF(O202="","",IFERROR(VLOOKUP(O202,T_KHID,2,FALSE),0))</f>
        <v/>
      </c>
      <c r="Q202" s="11" t="n"/>
      <c r="R202" s="11" t="n"/>
      <c r="S202" s="10">
        <f>IF(AND(Q202="",R202=""),"",IFERROR(INDEX(T_LIBAT,MATCH(Q202,L_PER,0),MATCH(R202,L_JENIS,0)),0))</f>
        <v/>
      </c>
      <c r="T202" s="11" t="n"/>
      <c r="U202" s="11" t="n"/>
      <c r="V202" s="10">
        <f>IF(AND(T202="",U202=""),"",IFERROR(INDEX(T_CAPAI,MATCH(T202,L_PER,0),MATCH(U202,L_KED,0)),0))</f>
        <v/>
      </c>
      <c r="W202" s="17">
        <f>IF(OR(B202="",E202="",COUNTA(F202,H202,J202:M202,O202,Q202:R202,T202:U202)=0),"",SUM(G202,I202,N202,P202,S202,V202))</f>
        <v/>
      </c>
      <c r="X202" s="18">
        <f>IF(W202="","",IF(Murid!F202="TL","TL",ROUND(W202/110*100,2)))</f>
        <v/>
      </c>
    </row>
    <row r="203">
      <c r="A203" s="15">
        <f>Murid!A203</f>
        <v/>
      </c>
      <c r="B203" s="15">
        <f>IF(Murid!B203="","",Murid!B203)</f>
        <v/>
      </c>
      <c r="C203" s="16">
        <f>IF(Murid!C203="","",Murid!C203)</f>
        <v/>
      </c>
      <c r="D203" s="15">
        <f>IF(Murid!E203="","",Murid!E203)</f>
        <v/>
      </c>
      <c r="E203" s="11" t="n"/>
      <c r="F203" s="11" t="n"/>
      <c r="G203" s="10">
        <f>IF(F203="","",IFERROR(VLOOKUP(F203,T_JSP,2,FALSE),0))</f>
        <v/>
      </c>
      <c r="H203" s="11" t="n"/>
      <c r="I203" s="17">
        <f>IF(H203="","",IF(H203&gt;=12,40,ROUND(H203*3.33,2)))</f>
        <v/>
      </c>
      <c r="J203" s="11" t="n"/>
      <c r="K203" s="11" t="n"/>
      <c r="L203" s="11" t="n"/>
      <c r="M203" s="11" t="n"/>
      <c r="N203" s="10">
        <f>IF(COUNTA(J203:M203)=0,"",MIN(10,SUMPRODUCT((COUNTIF(J203:M203,L_KOM)&gt;0)*S_KOM)))</f>
        <v/>
      </c>
      <c r="O203" s="11" t="n"/>
      <c r="P203" s="10">
        <f>IF(O203="","",IFERROR(VLOOKUP(O203,T_KHID,2,FALSE),0))</f>
        <v/>
      </c>
      <c r="Q203" s="11" t="n"/>
      <c r="R203" s="11" t="n"/>
      <c r="S203" s="10">
        <f>IF(AND(Q203="",R203=""),"",IFERROR(INDEX(T_LIBAT,MATCH(Q203,L_PER,0),MATCH(R203,L_JENIS,0)),0))</f>
        <v/>
      </c>
      <c r="T203" s="11" t="n"/>
      <c r="U203" s="11" t="n"/>
      <c r="V203" s="10">
        <f>IF(AND(T203="",U203=""),"",IFERROR(INDEX(T_CAPAI,MATCH(T203,L_PER,0),MATCH(U203,L_KED,0)),0))</f>
        <v/>
      </c>
      <c r="W203" s="17">
        <f>IF(OR(B203="",E203="",COUNTA(F203,H203,J203:M203,O203,Q203:R203,T203:U203)=0),"",SUM(G203,I203,N203,P203,S203,V203))</f>
        <v/>
      </c>
      <c r="X203" s="18">
        <f>IF(W203="","",IF(Murid!F203="TL","TL",ROUND(W203/110*100,2)))</f>
        <v/>
      </c>
    </row>
    <row r="204">
      <c r="A204" s="15">
        <f>Murid!A204</f>
        <v/>
      </c>
      <c r="B204" s="15">
        <f>IF(Murid!B204="","",Murid!B204)</f>
        <v/>
      </c>
      <c r="C204" s="16">
        <f>IF(Murid!C204="","",Murid!C204)</f>
        <v/>
      </c>
      <c r="D204" s="15">
        <f>IF(Murid!E204="","",Murid!E204)</f>
        <v/>
      </c>
      <c r="E204" s="11" t="n"/>
      <c r="F204" s="11" t="n"/>
      <c r="G204" s="10">
        <f>IF(F204="","",IFERROR(VLOOKUP(F204,T_JSP,2,FALSE),0))</f>
        <v/>
      </c>
      <c r="H204" s="11" t="n"/>
      <c r="I204" s="17">
        <f>IF(H204="","",IF(H204&gt;=12,40,ROUND(H204*3.33,2)))</f>
        <v/>
      </c>
      <c r="J204" s="11" t="n"/>
      <c r="K204" s="11" t="n"/>
      <c r="L204" s="11" t="n"/>
      <c r="M204" s="11" t="n"/>
      <c r="N204" s="10">
        <f>IF(COUNTA(J204:M204)=0,"",MIN(10,SUMPRODUCT((COUNTIF(J204:M204,L_KOM)&gt;0)*S_KOM)))</f>
        <v/>
      </c>
      <c r="O204" s="11" t="n"/>
      <c r="P204" s="10">
        <f>IF(O204="","",IFERROR(VLOOKUP(O204,T_KHID,2,FALSE),0))</f>
        <v/>
      </c>
      <c r="Q204" s="11" t="n"/>
      <c r="R204" s="11" t="n"/>
      <c r="S204" s="10">
        <f>IF(AND(Q204="",R204=""),"",IFERROR(INDEX(T_LIBAT,MATCH(Q204,L_PER,0),MATCH(R204,L_JENIS,0)),0))</f>
        <v/>
      </c>
      <c r="T204" s="11" t="n"/>
      <c r="U204" s="11" t="n"/>
      <c r="V204" s="10">
        <f>IF(AND(T204="",U204=""),"",IFERROR(INDEX(T_CAPAI,MATCH(T204,L_PER,0),MATCH(U204,L_KED,0)),0))</f>
        <v/>
      </c>
      <c r="W204" s="17">
        <f>IF(OR(B204="",E204="",COUNTA(F204,H204,J204:M204,O204,Q204:R204,T204:U204)=0),"",SUM(G204,I204,N204,P204,S204,V204))</f>
        <v/>
      </c>
      <c r="X204" s="18">
        <f>IF(W204="","",IF(Murid!F204="TL","TL",ROUND(W204/110*100,2)))</f>
        <v/>
      </c>
    </row>
    <row r="205">
      <c r="A205" s="15">
        <f>Murid!A205</f>
        <v/>
      </c>
      <c r="B205" s="15">
        <f>IF(Murid!B205="","",Murid!B205)</f>
        <v/>
      </c>
      <c r="C205" s="16">
        <f>IF(Murid!C205="","",Murid!C205)</f>
        <v/>
      </c>
      <c r="D205" s="15">
        <f>IF(Murid!E205="","",Murid!E205)</f>
        <v/>
      </c>
      <c r="E205" s="11" t="n"/>
      <c r="F205" s="11" t="n"/>
      <c r="G205" s="10">
        <f>IF(F205="","",IFERROR(VLOOKUP(F205,T_JSP,2,FALSE),0))</f>
        <v/>
      </c>
      <c r="H205" s="11" t="n"/>
      <c r="I205" s="17">
        <f>IF(H205="","",IF(H205&gt;=12,40,ROUND(H205*3.33,2)))</f>
        <v/>
      </c>
      <c r="J205" s="11" t="n"/>
      <c r="K205" s="11" t="n"/>
      <c r="L205" s="11" t="n"/>
      <c r="M205" s="11" t="n"/>
      <c r="N205" s="10">
        <f>IF(COUNTA(J205:M205)=0,"",MIN(10,SUMPRODUCT((COUNTIF(J205:M205,L_KOM)&gt;0)*S_KOM)))</f>
        <v/>
      </c>
      <c r="O205" s="11" t="n"/>
      <c r="P205" s="10">
        <f>IF(O205="","",IFERROR(VLOOKUP(O205,T_KHID,2,FALSE),0))</f>
        <v/>
      </c>
      <c r="Q205" s="11" t="n"/>
      <c r="R205" s="11" t="n"/>
      <c r="S205" s="10">
        <f>IF(AND(Q205="",R205=""),"",IFERROR(INDEX(T_LIBAT,MATCH(Q205,L_PER,0),MATCH(R205,L_JENIS,0)),0))</f>
        <v/>
      </c>
      <c r="T205" s="11" t="n"/>
      <c r="U205" s="11" t="n"/>
      <c r="V205" s="10">
        <f>IF(AND(T205="",U205=""),"",IFERROR(INDEX(T_CAPAI,MATCH(T205,L_PER,0),MATCH(U205,L_KED,0)),0))</f>
        <v/>
      </c>
      <c r="W205" s="17">
        <f>IF(OR(B205="",E205="",COUNTA(F205,H205,J205:M205,O205,Q205:R205,T205:U205)=0),"",SUM(G205,I205,N205,P205,S205,V205))</f>
        <v/>
      </c>
      <c r="X205" s="18">
        <f>IF(W205="","",IF(Murid!F205="TL","TL",ROUND(W205/110*100,2)))</f>
        <v/>
      </c>
    </row>
    <row r="206">
      <c r="A206" s="15">
        <f>Murid!A206</f>
        <v/>
      </c>
      <c r="B206" s="15">
        <f>IF(Murid!B206="","",Murid!B206)</f>
        <v/>
      </c>
      <c r="C206" s="16">
        <f>IF(Murid!C206="","",Murid!C206)</f>
        <v/>
      </c>
      <c r="D206" s="15">
        <f>IF(Murid!E206="","",Murid!E206)</f>
        <v/>
      </c>
      <c r="E206" s="11" t="n"/>
      <c r="F206" s="11" t="n"/>
      <c r="G206" s="10">
        <f>IF(F206="","",IFERROR(VLOOKUP(F206,T_JSP,2,FALSE),0))</f>
        <v/>
      </c>
      <c r="H206" s="11" t="n"/>
      <c r="I206" s="17">
        <f>IF(H206="","",IF(H206&gt;=12,40,ROUND(H206*3.33,2)))</f>
        <v/>
      </c>
      <c r="J206" s="11" t="n"/>
      <c r="K206" s="11" t="n"/>
      <c r="L206" s="11" t="n"/>
      <c r="M206" s="11" t="n"/>
      <c r="N206" s="10">
        <f>IF(COUNTA(J206:M206)=0,"",MIN(10,SUMPRODUCT((COUNTIF(J206:M206,L_KOM)&gt;0)*S_KOM)))</f>
        <v/>
      </c>
      <c r="O206" s="11" t="n"/>
      <c r="P206" s="10">
        <f>IF(O206="","",IFERROR(VLOOKUP(O206,T_KHID,2,FALSE),0))</f>
        <v/>
      </c>
      <c r="Q206" s="11" t="n"/>
      <c r="R206" s="11" t="n"/>
      <c r="S206" s="10">
        <f>IF(AND(Q206="",R206=""),"",IFERROR(INDEX(T_LIBAT,MATCH(Q206,L_PER,0),MATCH(R206,L_JENIS,0)),0))</f>
        <v/>
      </c>
      <c r="T206" s="11" t="n"/>
      <c r="U206" s="11" t="n"/>
      <c r="V206" s="10">
        <f>IF(AND(T206="",U206=""),"",IFERROR(INDEX(T_CAPAI,MATCH(T206,L_PER,0),MATCH(U206,L_KED,0)),0))</f>
        <v/>
      </c>
      <c r="W206" s="17">
        <f>IF(OR(B206="",E206="",COUNTA(F206,H206,J206:M206,O206,Q206:R206,T206:U206)=0),"",SUM(G206,I206,N206,P206,S206,V206))</f>
        <v/>
      </c>
      <c r="X206" s="18">
        <f>IF(W206="","",IF(Murid!F206="TL","TL",ROUND(W206/110*100,2)))</f>
        <v/>
      </c>
    </row>
    <row r="207">
      <c r="A207" s="15">
        <f>Murid!A207</f>
        <v/>
      </c>
      <c r="B207" s="15">
        <f>IF(Murid!B207="","",Murid!B207)</f>
        <v/>
      </c>
      <c r="C207" s="16">
        <f>IF(Murid!C207="","",Murid!C207)</f>
        <v/>
      </c>
      <c r="D207" s="15">
        <f>IF(Murid!E207="","",Murid!E207)</f>
        <v/>
      </c>
      <c r="E207" s="11" t="n"/>
      <c r="F207" s="11" t="n"/>
      <c r="G207" s="10">
        <f>IF(F207="","",IFERROR(VLOOKUP(F207,T_JSP,2,FALSE),0))</f>
        <v/>
      </c>
      <c r="H207" s="11" t="n"/>
      <c r="I207" s="17">
        <f>IF(H207="","",IF(H207&gt;=12,40,ROUND(H207*3.33,2)))</f>
        <v/>
      </c>
      <c r="J207" s="11" t="n"/>
      <c r="K207" s="11" t="n"/>
      <c r="L207" s="11" t="n"/>
      <c r="M207" s="11" t="n"/>
      <c r="N207" s="10">
        <f>IF(COUNTA(J207:M207)=0,"",MIN(10,SUMPRODUCT((COUNTIF(J207:M207,L_KOM)&gt;0)*S_KOM)))</f>
        <v/>
      </c>
      <c r="O207" s="11" t="n"/>
      <c r="P207" s="10">
        <f>IF(O207="","",IFERROR(VLOOKUP(O207,T_KHID,2,FALSE),0))</f>
        <v/>
      </c>
      <c r="Q207" s="11" t="n"/>
      <c r="R207" s="11" t="n"/>
      <c r="S207" s="10">
        <f>IF(AND(Q207="",R207=""),"",IFERROR(INDEX(T_LIBAT,MATCH(Q207,L_PER,0),MATCH(R207,L_JENIS,0)),0))</f>
        <v/>
      </c>
      <c r="T207" s="11" t="n"/>
      <c r="U207" s="11" t="n"/>
      <c r="V207" s="10">
        <f>IF(AND(T207="",U207=""),"",IFERROR(INDEX(T_CAPAI,MATCH(T207,L_PER,0),MATCH(U207,L_KED,0)),0))</f>
        <v/>
      </c>
      <c r="W207" s="17">
        <f>IF(OR(B207="",E207="",COUNTA(F207,H207,J207:M207,O207,Q207:R207,T207:U207)=0),"",SUM(G207,I207,N207,P207,S207,V207))</f>
        <v/>
      </c>
      <c r="X207" s="18">
        <f>IF(W207="","",IF(Murid!F207="TL","TL",ROUND(W207/110*100,2)))</f>
        <v/>
      </c>
    </row>
    <row r="208">
      <c r="A208" s="15">
        <f>Murid!A208</f>
        <v/>
      </c>
      <c r="B208" s="15">
        <f>IF(Murid!B208="","",Murid!B208)</f>
        <v/>
      </c>
      <c r="C208" s="16">
        <f>IF(Murid!C208="","",Murid!C208)</f>
        <v/>
      </c>
      <c r="D208" s="15">
        <f>IF(Murid!E208="","",Murid!E208)</f>
        <v/>
      </c>
      <c r="E208" s="11" t="n"/>
      <c r="F208" s="11" t="n"/>
      <c r="G208" s="10">
        <f>IF(F208="","",IFERROR(VLOOKUP(F208,T_JSP,2,FALSE),0))</f>
        <v/>
      </c>
      <c r="H208" s="11" t="n"/>
      <c r="I208" s="17">
        <f>IF(H208="","",IF(H208&gt;=12,40,ROUND(H208*3.33,2)))</f>
        <v/>
      </c>
      <c r="J208" s="11" t="n"/>
      <c r="K208" s="11" t="n"/>
      <c r="L208" s="11" t="n"/>
      <c r="M208" s="11" t="n"/>
      <c r="N208" s="10">
        <f>IF(COUNTA(J208:M208)=0,"",MIN(10,SUMPRODUCT((COUNTIF(J208:M208,L_KOM)&gt;0)*S_KOM)))</f>
        <v/>
      </c>
      <c r="O208" s="11" t="n"/>
      <c r="P208" s="10">
        <f>IF(O208="","",IFERROR(VLOOKUP(O208,T_KHID,2,FALSE),0))</f>
        <v/>
      </c>
      <c r="Q208" s="11" t="n"/>
      <c r="R208" s="11" t="n"/>
      <c r="S208" s="10">
        <f>IF(AND(Q208="",R208=""),"",IFERROR(INDEX(T_LIBAT,MATCH(Q208,L_PER,0),MATCH(R208,L_JENIS,0)),0))</f>
        <v/>
      </c>
      <c r="T208" s="11" t="n"/>
      <c r="U208" s="11" t="n"/>
      <c r="V208" s="10">
        <f>IF(AND(T208="",U208=""),"",IFERROR(INDEX(T_CAPAI,MATCH(T208,L_PER,0),MATCH(U208,L_KED,0)),0))</f>
        <v/>
      </c>
      <c r="W208" s="17">
        <f>IF(OR(B208="",E208="",COUNTA(F208,H208,J208:M208,O208,Q208:R208,T208:U208)=0),"",SUM(G208,I208,N208,P208,S208,V208))</f>
        <v/>
      </c>
      <c r="X208" s="18">
        <f>IF(W208="","",IF(Murid!F208="TL","TL",ROUND(W208/110*100,2)))</f>
        <v/>
      </c>
    </row>
    <row r="209">
      <c r="A209" s="15">
        <f>Murid!A209</f>
        <v/>
      </c>
      <c r="B209" s="15">
        <f>IF(Murid!B209="","",Murid!B209)</f>
        <v/>
      </c>
      <c r="C209" s="16">
        <f>IF(Murid!C209="","",Murid!C209)</f>
        <v/>
      </c>
      <c r="D209" s="15">
        <f>IF(Murid!E209="","",Murid!E209)</f>
        <v/>
      </c>
      <c r="E209" s="11" t="n"/>
      <c r="F209" s="11" t="n"/>
      <c r="G209" s="10">
        <f>IF(F209="","",IFERROR(VLOOKUP(F209,T_JSP,2,FALSE),0))</f>
        <v/>
      </c>
      <c r="H209" s="11" t="n"/>
      <c r="I209" s="17">
        <f>IF(H209="","",IF(H209&gt;=12,40,ROUND(H209*3.33,2)))</f>
        <v/>
      </c>
      <c r="J209" s="11" t="n"/>
      <c r="K209" s="11" t="n"/>
      <c r="L209" s="11" t="n"/>
      <c r="M209" s="11" t="n"/>
      <c r="N209" s="10">
        <f>IF(COUNTA(J209:M209)=0,"",MIN(10,SUMPRODUCT((COUNTIF(J209:M209,L_KOM)&gt;0)*S_KOM)))</f>
        <v/>
      </c>
      <c r="O209" s="11" t="n"/>
      <c r="P209" s="10">
        <f>IF(O209="","",IFERROR(VLOOKUP(O209,T_KHID,2,FALSE),0))</f>
        <v/>
      </c>
      <c r="Q209" s="11" t="n"/>
      <c r="R209" s="11" t="n"/>
      <c r="S209" s="10">
        <f>IF(AND(Q209="",R209=""),"",IFERROR(INDEX(T_LIBAT,MATCH(Q209,L_PER,0),MATCH(R209,L_JENIS,0)),0))</f>
        <v/>
      </c>
      <c r="T209" s="11" t="n"/>
      <c r="U209" s="11" t="n"/>
      <c r="V209" s="10">
        <f>IF(AND(T209="",U209=""),"",IFERROR(INDEX(T_CAPAI,MATCH(T209,L_PER,0),MATCH(U209,L_KED,0)),0))</f>
        <v/>
      </c>
      <c r="W209" s="17">
        <f>IF(OR(B209="",E209="",COUNTA(F209,H209,J209:M209,O209,Q209:R209,T209:U209)=0),"",SUM(G209,I209,N209,P209,S209,V209))</f>
        <v/>
      </c>
      <c r="X209" s="18">
        <f>IF(W209="","",IF(Murid!F209="TL","TL",ROUND(W209/110*100,2)))</f>
        <v/>
      </c>
    </row>
    <row r="210">
      <c r="A210" s="15">
        <f>Murid!A210</f>
        <v/>
      </c>
      <c r="B210" s="15">
        <f>IF(Murid!B210="","",Murid!B210)</f>
        <v/>
      </c>
      <c r="C210" s="16">
        <f>IF(Murid!C210="","",Murid!C210)</f>
        <v/>
      </c>
      <c r="D210" s="15">
        <f>IF(Murid!E210="","",Murid!E210)</f>
        <v/>
      </c>
      <c r="E210" s="11" t="n"/>
      <c r="F210" s="11" t="n"/>
      <c r="G210" s="10">
        <f>IF(F210="","",IFERROR(VLOOKUP(F210,T_JSP,2,FALSE),0))</f>
        <v/>
      </c>
      <c r="H210" s="11" t="n"/>
      <c r="I210" s="17">
        <f>IF(H210="","",IF(H210&gt;=12,40,ROUND(H210*3.33,2)))</f>
        <v/>
      </c>
      <c r="J210" s="11" t="n"/>
      <c r="K210" s="11" t="n"/>
      <c r="L210" s="11" t="n"/>
      <c r="M210" s="11" t="n"/>
      <c r="N210" s="10">
        <f>IF(COUNTA(J210:M210)=0,"",MIN(10,SUMPRODUCT((COUNTIF(J210:M210,L_KOM)&gt;0)*S_KOM)))</f>
        <v/>
      </c>
      <c r="O210" s="11" t="n"/>
      <c r="P210" s="10">
        <f>IF(O210="","",IFERROR(VLOOKUP(O210,T_KHID,2,FALSE),0))</f>
        <v/>
      </c>
      <c r="Q210" s="11" t="n"/>
      <c r="R210" s="11" t="n"/>
      <c r="S210" s="10">
        <f>IF(AND(Q210="",R210=""),"",IFERROR(INDEX(T_LIBAT,MATCH(Q210,L_PER,0),MATCH(R210,L_JENIS,0)),0))</f>
        <v/>
      </c>
      <c r="T210" s="11" t="n"/>
      <c r="U210" s="11" t="n"/>
      <c r="V210" s="10">
        <f>IF(AND(T210="",U210=""),"",IFERROR(INDEX(T_CAPAI,MATCH(T210,L_PER,0),MATCH(U210,L_KED,0)),0))</f>
        <v/>
      </c>
      <c r="W210" s="17">
        <f>IF(OR(B210="",E210="",COUNTA(F210,H210,J210:M210,O210,Q210:R210,T210:U210)=0),"",SUM(G210,I210,N210,P210,S210,V210))</f>
        <v/>
      </c>
      <c r="X210" s="18">
        <f>IF(W210="","",IF(Murid!F210="TL","TL",ROUND(W210/110*100,2)))</f>
        <v/>
      </c>
    </row>
    <row r="211">
      <c r="A211" s="15">
        <f>Murid!A211</f>
        <v/>
      </c>
      <c r="B211" s="15">
        <f>IF(Murid!B211="","",Murid!B211)</f>
        <v/>
      </c>
      <c r="C211" s="16">
        <f>IF(Murid!C211="","",Murid!C211)</f>
        <v/>
      </c>
      <c r="D211" s="15">
        <f>IF(Murid!E211="","",Murid!E211)</f>
        <v/>
      </c>
      <c r="E211" s="11" t="n"/>
      <c r="F211" s="11" t="n"/>
      <c r="G211" s="10">
        <f>IF(F211="","",IFERROR(VLOOKUP(F211,T_JSP,2,FALSE),0))</f>
        <v/>
      </c>
      <c r="H211" s="11" t="n"/>
      <c r="I211" s="17">
        <f>IF(H211="","",IF(H211&gt;=12,40,ROUND(H211*3.33,2)))</f>
        <v/>
      </c>
      <c r="J211" s="11" t="n"/>
      <c r="K211" s="11" t="n"/>
      <c r="L211" s="11" t="n"/>
      <c r="M211" s="11" t="n"/>
      <c r="N211" s="10">
        <f>IF(COUNTA(J211:M211)=0,"",MIN(10,SUMPRODUCT((COUNTIF(J211:M211,L_KOM)&gt;0)*S_KOM)))</f>
        <v/>
      </c>
      <c r="O211" s="11" t="n"/>
      <c r="P211" s="10">
        <f>IF(O211="","",IFERROR(VLOOKUP(O211,T_KHID,2,FALSE),0))</f>
        <v/>
      </c>
      <c r="Q211" s="11" t="n"/>
      <c r="R211" s="11" t="n"/>
      <c r="S211" s="10">
        <f>IF(AND(Q211="",R211=""),"",IFERROR(INDEX(T_LIBAT,MATCH(Q211,L_PER,0),MATCH(R211,L_JENIS,0)),0))</f>
        <v/>
      </c>
      <c r="T211" s="11" t="n"/>
      <c r="U211" s="11" t="n"/>
      <c r="V211" s="10">
        <f>IF(AND(T211="",U211=""),"",IFERROR(INDEX(T_CAPAI,MATCH(T211,L_PER,0),MATCH(U211,L_KED,0)),0))</f>
        <v/>
      </c>
      <c r="W211" s="17">
        <f>IF(OR(B211="",E211="",COUNTA(F211,H211,J211:M211,O211,Q211:R211,T211:U211)=0),"",SUM(G211,I211,N211,P211,S211,V211))</f>
        <v/>
      </c>
      <c r="X211" s="18">
        <f>IF(W211="","",IF(Murid!F211="TL","TL",ROUND(W211/110*100,2)))</f>
        <v/>
      </c>
    </row>
    <row r="212">
      <c r="A212" s="15">
        <f>Murid!A212</f>
        <v/>
      </c>
      <c r="B212" s="15">
        <f>IF(Murid!B212="","",Murid!B212)</f>
        <v/>
      </c>
      <c r="C212" s="16">
        <f>IF(Murid!C212="","",Murid!C212)</f>
        <v/>
      </c>
      <c r="D212" s="15">
        <f>IF(Murid!E212="","",Murid!E212)</f>
        <v/>
      </c>
      <c r="E212" s="11" t="n"/>
      <c r="F212" s="11" t="n"/>
      <c r="G212" s="10">
        <f>IF(F212="","",IFERROR(VLOOKUP(F212,T_JSP,2,FALSE),0))</f>
        <v/>
      </c>
      <c r="H212" s="11" t="n"/>
      <c r="I212" s="17">
        <f>IF(H212="","",IF(H212&gt;=12,40,ROUND(H212*3.33,2)))</f>
        <v/>
      </c>
      <c r="J212" s="11" t="n"/>
      <c r="K212" s="11" t="n"/>
      <c r="L212" s="11" t="n"/>
      <c r="M212" s="11" t="n"/>
      <c r="N212" s="10">
        <f>IF(COUNTA(J212:M212)=0,"",MIN(10,SUMPRODUCT((COUNTIF(J212:M212,L_KOM)&gt;0)*S_KOM)))</f>
        <v/>
      </c>
      <c r="O212" s="11" t="n"/>
      <c r="P212" s="10">
        <f>IF(O212="","",IFERROR(VLOOKUP(O212,T_KHID,2,FALSE),0))</f>
        <v/>
      </c>
      <c r="Q212" s="11" t="n"/>
      <c r="R212" s="11" t="n"/>
      <c r="S212" s="10">
        <f>IF(AND(Q212="",R212=""),"",IFERROR(INDEX(T_LIBAT,MATCH(Q212,L_PER,0),MATCH(R212,L_JENIS,0)),0))</f>
        <v/>
      </c>
      <c r="T212" s="11" t="n"/>
      <c r="U212" s="11" t="n"/>
      <c r="V212" s="10">
        <f>IF(AND(T212="",U212=""),"",IFERROR(INDEX(T_CAPAI,MATCH(T212,L_PER,0),MATCH(U212,L_KED,0)),0))</f>
        <v/>
      </c>
      <c r="W212" s="17">
        <f>IF(OR(B212="",E212="",COUNTA(F212,H212,J212:M212,O212,Q212:R212,T212:U212)=0),"",SUM(G212,I212,N212,P212,S212,V212))</f>
        <v/>
      </c>
      <c r="X212" s="18">
        <f>IF(W212="","",IF(Murid!F212="TL","TL",ROUND(W212/110*100,2)))</f>
        <v/>
      </c>
    </row>
    <row r="213">
      <c r="A213" s="15">
        <f>Murid!A213</f>
        <v/>
      </c>
      <c r="B213" s="15">
        <f>IF(Murid!B213="","",Murid!B213)</f>
        <v/>
      </c>
      <c r="C213" s="16">
        <f>IF(Murid!C213="","",Murid!C213)</f>
        <v/>
      </c>
      <c r="D213" s="15">
        <f>IF(Murid!E213="","",Murid!E213)</f>
        <v/>
      </c>
      <c r="E213" s="11" t="n"/>
      <c r="F213" s="11" t="n"/>
      <c r="G213" s="10">
        <f>IF(F213="","",IFERROR(VLOOKUP(F213,T_JSP,2,FALSE),0))</f>
        <v/>
      </c>
      <c r="H213" s="11" t="n"/>
      <c r="I213" s="17">
        <f>IF(H213="","",IF(H213&gt;=12,40,ROUND(H213*3.33,2)))</f>
        <v/>
      </c>
      <c r="J213" s="11" t="n"/>
      <c r="K213" s="11" t="n"/>
      <c r="L213" s="11" t="n"/>
      <c r="M213" s="11" t="n"/>
      <c r="N213" s="10">
        <f>IF(COUNTA(J213:M213)=0,"",MIN(10,SUMPRODUCT((COUNTIF(J213:M213,L_KOM)&gt;0)*S_KOM)))</f>
        <v/>
      </c>
      <c r="O213" s="11" t="n"/>
      <c r="P213" s="10">
        <f>IF(O213="","",IFERROR(VLOOKUP(O213,T_KHID,2,FALSE),0))</f>
        <v/>
      </c>
      <c r="Q213" s="11" t="n"/>
      <c r="R213" s="11" t="n"/>
      <c r="S213" s="10">
        <f>IF(AND(Q213="",R213=""),"",IFERROR(INDEX(T_LIBAT,MATCH(Q213,L_PER,0),MATCH(R213,L_JENIS,0)),0))</f>
        <v/>
      </c>
      <c r="T213" s="11" t="n"/>
      <c r="U213" s="11" t="n"/>
      <c r="V213" s="10">
        <f>IF(AND(T213="",U213=""),"",IFERROR(INDEX(T_CAPAI,MATCH(T213,L_PER,0),MATCH(U213,L_KED,0)),0))</f>
        <v/>
      </c>
      <c r="W213" s="17">
        <f>IF(OR(B213="",E213="",COUNTA(F213,H213,J213:M213,O213,Q213:R213,T213:U213)=0),"",SUM(G213,I213,N213,P213,S213,V213))</f>
        <v/>
      </c>
      <c r="X213" s="18">
        <f>IF(W213="","",IF(Murid!F213="TL","TL",ROUND(W213/110*100,2)))</f>
        <v/>
      </c>
    </row>
    <row r="214">
      <c r="A214" s="15">
        <f>Murid!A214</f>
        <v/>
      </c>
      <c r="B214" s="15">
        <f>IF(Murid!B214="","",Murid!B214)</f>
        <v/>
      </c>
      <c r="C214" s="16">
        <f>IF(Murid!C214="","",Murid!C214)</f>
        <v/>
      </c>
      <c r="D214" s="15">
        <f>IF(Murid!E214="","",Murid!E214)</f>
        <v/>
      </c>
      <c r="E214" s="11" t="n"/>
      <c r="F214" s="11" t="n"/>
      <c r="G214" s="10">
        <f>IF(F214="","",IFERROR(VLOOKUP(F214,T_JSP,2,FALSE),0))</f>
        <v/>
      </c>
      <c r="H214" s="11" t="n"/>
      <c r="I214" s="17">
        <f>IF(H214="","",IF(H214&gt;=12,40,ROUND(H214*3.33,2)))</f>
        <v/>
      </c>
      <c r="J214" s="11" t="n"/>
      <c r="K214" s="11" t="n"/>
      <c r="L214" s="11" t="n"/>
      <c r="M214" s="11" t="n"/>
      <c r="N214" s="10">
        <f>IF(COUNTA(J214:M214)=0,"",MIN(10,SUMPRODUCT((COUNTIF(J214:M214,L_KOM)&gt;0)*S_KOM)))</f>
        <v/>
      </c>
      <c r="O214" s="11" t="n"/>
      <c r="P214" s="10">
        <f>IF(O214="","",IFERROR(VLOOKUP(O214,T_KHID,2,FALSE),0))</f>
        <v/>
      </c>
      <c r="Q214" s="11" t="n"/>
      <c r="R214" s="11" t="n"/>
      <c r="S214" s="10">
        <f>IF(AND(Q214="",R214=""),"",IFERROR(INDEX(T_LIBAT,MATCH(Q214,L_PER,0),MATCH(R214,L_JENIS,0)),0))</f>
        <v/>
      </c>
      <c r="T214" s="11" t="n"/>
      <c r="U214" s="11" t="n"/>
      <c r="V214" s="10">
        <f>IF(AND(T214="",U214=""),"",IFERROR(INDEX(T_CAPAI,MATCH(T214,L_PER,0),MATCH(U214,L_KED,0)),0))</f>
        <v/>
      </c>
      <c r="W214" s="17">
        <f>IF(OR(B214="",E214="",COUNTA(F214,H214,J214:M214,O214,Q214:R214,T214:U214)=0),"",SUM(G214,I214,N214,P214,S214,V214))</f>
        <v/>
      </c>
      <c r="X214" s="18">
        <f>IF(W214="","",IF(Murid!F214="TL","TL",ROUND(W214/110*100,2)))</f>
        <v/>
      </c>
    </row>
    <row r="215">
      <c r="A215" s="15">
        <f>Murid!A215</f>
        <v/>
      </c>
      <c r="B215" s="15">
        <f>IF(Murid!B215="","",Murid!B215)</f>
        <v/>
      </c>
      <c r="C215" s="16">
        <f>IF(Murid!C215="","",Murid!C215)</f>
        <v/>
      </c>
      <c r="D215" s="15">
        <f>IF(Murid!E215="","",Murid!E215)</f>
        <v/>
      </c>
      <c r="E215" s="11" t="n"/>
      <c r="F215" s="11" t="n"/>
      <c r="G215" s="10">
        <f>IF(F215="","",IFERROR(VLOOKUP(F215,T_JSP,2,FALSE),0))</f>
        <v/>
      </c>
      <c r="H215" s="11" t="n"/>
      <c r="I215" s="17">
        <f>IF(H215="","",IF(H215&gt;=12,40,ROUND(H215*3.33,2)))</f>
        <v/>
      </c>
      <c r="J215" s="11" t="n"/>
      <c r="K215" s="11" t="n"/>
      <c r="L215" s="11" t="n"/>
      <c r="M215" s="11" t="n"/>
      <c r="N215" s="10">
        <f>IF(COUNTA(J215:M215)=0,"",MIN(10,SUMPRODUCT((COUNTIF(J215:M215,L_KOM)&gt;0)*S_KOM)))</f>
        <v/>
      </c>
      <c r="O215" s="11" t="n"/>
      <c r="P215" s="10">
        <f>IF(O215="","",IFERROR(VLOOKUP(O215,T_KHID,2,FALSE),0))</f>
        <v/>
      </c>
      <c r="Q215" s="11" t="n"/>
      <c r="R215" s="11" t="n"/>
      <c r="S215" s="10">
        <f>IF(AND(Q215="",R215=""),"",IFERROR(INDEX(T_LIBAT,MATCH(Q215,L_PER,0),MATCH(R215,L_JENIS,0)),0))</f>
        <v/>
      </c>
      <c r="T215" s="11" t="n"/>
      <c r="U215" s="11" t="n"/>
      <c r="V215" s="10">
        <f>IF(AND(T215="",U215=""),"",IFERROR(INDEX(T_CAPAI,MATCH(T215,L_PER,0),MATCH(U215,L_KED,0)),0))</f>
        <v/>
      </c>
      <c r="W215" s="17">
        <f>IF(OR(B215="",E215="",COUNTA(F215,H215,J215:M215,O215,Q215:R215,T215:U215)=0),"",SUM(G215,I215,N215,P215,S215,V215))</f>
        <v/>
      </c>
      <c r="X215" s="18">
        <f>IF(W215="","",IF(Murid!F215="TL","TL",ROUND(W215/110*100,2)))</f>
        <v/>
      </c>
    </row>
    <row r="216">
      <c r="A216" s="15">
        <f>Murid!A216</f>
        <v/>
      </c>
      <c r="B216" s="15">
        <f>IF(Murid!B216="","",Murid!B216)</f>
        <v/>
      </c>
      <c r="C216" s="16">
        <f>IF(Murid!C216="","",Murid!C216)</f>
        <v/>
      </c>
      <c r="D216" s="15">
        <f>IF(Murid!E216="","",Murid!E216)</f>
        <v/>
      </c>
      <c r="E216" s="11" t="n"/>
      <c r="F216" s="11" t="n"/>
      <c r="G216" s="10">
        <f>IF(F216="","",IFERROR(VLOOKUP(F216,T_JSP,2,FALSE),0))</f>
        <v/>
      </c>
      <c r="H216" s="11" t="n"/>
      <c r="I216" s="17">
        <f>IF(H216="","",IF(H216&gt;=12,40,ROUND(H216*3.33,2)))</f>
        <v/>
      </c>
      <c r="J216" s="11" t="n"/>
      <c r="K216" s="11" t="n"/>
      <c r="L216" s="11" t="n"/>
      <c r="M216" s="11" t="n"/>
      <c r="N216" s="10">
        <f>IF(COUNTA(J216:M216)=0,"",MIN(10,SUMPRODUCT((COUNTIF(J216:M216,L_KOM)&gt;0)*S_KOM)))</f>
        <v/>
      </c>
      <c r="O216" s="11" t="n"/>
      <c r="P216" s="10">
        <f>IF(O216="","",IFERROR(VLOOKUP(O216,T_KHID,2,FALSE),0))</f>
        <v/>
      </c>
      <c r="Q216" s="11" t="n"/>
      <c r="R216" s="11" t="n"/>
      <c r="S216" s="10">
        <f>IF(AND(Q216="",R216=""),"",IFERROR(INDEX(T_LIBAT,MATCH(Q216,L_PER,0),MATCH(R216,L_JENIS,0)),0))</f>
        <v/>
      </c>
      <c r="T216" s="11" t="n"/>
      <c r="U216" s="11" t="n"/>
      <c r="V216" s="10">
        <f>IF(AND(T216="",U216=""),"",IFERROR(INDEX(T_CAPAI,MATCH(T216,L_PER,0),MATCH(U216,L_KED,0)),0))</f>
        <v/>
      </c>
      <c r="W216" s="17">
        <f>IF(OR(B216="",E216="",COUNTA(F216,H216,J216:M216,O216,Q216:R216,T216:U216)=0),"",SUM(G216,I216,N216,P216,S216,V216))</f>
        <v/>
      </c>
      <c r="X216" s="18">
        <f>IF(W216="","",IF(Murid!F216="TL","TL",ROUND(W216/110*100,2)))</f>
        <v/>
      </c>
    </row>
    <row r="217">
      <c r="A217" s="15">
        <f>Murid!A217</f>
        <v/>
      </c>
      <c r="B217" s="15">
        <f>IF(Murid!B217="","",Murid!B217)</f>
        <v/>
      </c>
      <c r="C217" s="16">
        <f>IF(Murid!C217="","",Murid!C217)</f>
        <v/>
      </c>
      <c r="D217" s="15">
        <f>IF(Murid!E217="","",Murid!E217)</f>
        <v/>
      </c>
      <c r="E217" s="11" t="n"/>
      <c r="F217" s="11" t="n"/>
      <c r="G217" s="10">
        <f>IF(F217="","",IFERROR(VLOOKUP(F217,T_JSP,2,FALSE),0))</f>
        <v/>
      </c>
      <c r="H217" s="11" t="n"/>
      <c r="I217" s="17">
        <f>IF(H217="","",IF(H217&gt;=12,40,ROUND(H217*3.33,2)))</f>
        <v/>
      </c>
      <c r="J217" s="11" t="n"/>
      <c r="K217" s="11" t="n"/>
      <c r="L217" s="11" t="n"/>
      <c r="M217" s="11" t="n"/>
      <c r="N217" s="10">
        <f>IF(COUNTA(J217:M217)=0,"",MIN(10,SUMPRODUCT((COUNTIF(J217:M217,L_KOM)&gt;0)*S_KOM)))</f>
        <v/>
      </c>
      <c r="O217" s="11" t="n"/>
      <c r="P217" s="10">
        <f>IF(O217="","",IFERROR(VLOOKUP(O217,T_KHID,2,FALSE),0))</f>
        <v/>
      </c>
      <c r="Q217" s="11" t="n"/>
      <c r="R217" s="11" t="n"/>
      <c r="S217" s="10">
        <f>IF(AND(Q217="",R217=""),"",IFERROR(INDEX(T_LIBAT,MATCH(Q217,L_PER,0),MATCH(R217,L_JENIS,0)),0))</f>
        <v/>
      </c>
      <c r="T217" s="11" t="n"/>
      <c r="U217" s="11" t="n"/>
      <c r="V217" s="10">
        <f>IF(AND(T217="",U217=""),"",IFERROR(INDEX(T_CAPAI,MATCH(T217,L_PER,0),MATCH(U217,L_KED,0)),0))</f>
        <v/>
      </c>
      <c r="W217" s="17">
        <f>IF(OR(B217="",E217="",COUNTA(F217,H217,J217:M217,O217,Q217:R217,T217:U217)=0),"",SUM(G217,I217,N217,P217,S217,V217))</f>
        <v/>
      </c>
      <c r="X217" s="18">
        <f>IF(W217="","",IF(Murid!F217="TL","TL",ROUND(W217/110*100,2)))</f>
        <v/>
      </c>
    </row>
    <row r="218">
      <c r="A218" s="15">
        <f>Murid!A218</f>
        <v/>
      </c>
      <c r="B218" s="15">
        <f>IF(Murid!B218="","",Murid!B218)</f>
        <v/>
      </c>
      <c r="C218" s="16">
        <f>IF(Murid!C218="","",Murid!C218)</f>
        <v/>
      </c>
      <c r="D218" s="15">
        <f>IF(Murid!E218="","",Murid!E218)</f>
        <v/>
      </c>
      <c r="E218" s="11" t="n"/>
      <c r="F218" s="11" t="n"/>
      <c r="G218" s="10">
        <f>IF(F218="","",IFERROR(VLOOKUP(F218,T_JSP,2,FALSE),0))</f>
        <v/>
      </c>
      <c r="H218" s="11" t="n"/>
      <c r="I218" s="17">
        <f>IF(H218="","",IF(H218&gt;=12,40,ROUND(H218*3.33,2)))</f>
        <v/>
      </c>
      <c r="J218" s="11" t="n"/>
      <c r="K218" s="11" t="n"/>
      <c r="L218" s="11" t="n"/>
      <c r="M218" s="11" t="n"/>
      <c r="N218" s="10">
        <f>IF(COUNTA(J218:M218)=0,"",MIN(10,SUMPRODUCT((COUNTIF(J218:M218,L_KOM)&gt;0)*S_KOM)))</f>
        <v/>
      </c>
      <c r="O218" s="11" t="n"/>
      <c r="P218" s="10">
        <f>IF(O218="","",IFERROR(VLOOKUP(O218,T_KHID,2,FALSE),0))</f>
        <v/>
      </c>
      <c r="Q218" s="11" t="n"/>
      <c r="R218" s="11" t="n"/>
      <c r="S218" s="10">
        <f>IF(AND(Q218="",R218=""),"",IFERROR(INDEX(T_LIBAT,MATCH(Q218,L_PER,0),MATCH(R218,L_JENIS,0)),0))</f>
        <v/>
      </c>
      <c r="T218" s="11" t="n"/>
      <c r="U218" s="11" t="n"/>
      <c r="V218" s="10">
        <f>IF(AND(T218="",U218=""),"",IFERROR(INDEX(T_CAPAI,MATCH(T218,L_PER,0),MATCH(U218,L_KED,0)),0))</f>
        <v/>
      </c>
      <c r="W218" s="17">
        <f>IF(OR(B218="",E218="",COUNTA(F218,H218,J218:M218,O218,Q218:R218,T218:U218)=0),"",SUM(G218,I218,N218,P218,S218,V218))</f>
        <v/>
      </c>
      <c r="X218" s="18">
        <f>IF(W218="","",IF(Murid!F218="TL","TL",ROUND(W218/110*100,2)))</f>
        <v/>
      </c>
    </row>
    <row r="219">
      <c r="A219" s="15">
        <f>Murid!A219</f>
        <v/>
      </c>
      <c r="B219" s="15">
        <f>IF(Murid!B219="","",Murid!B219)</f>
        <v/>
      </c>
      <c r="C219" s="16">
        <f>IF(Murid!C219="","",Murid!C219)</f>
        <v/>
      </c>
      <c r="D219" s="15">
        <f>IF(Murid!E219="","",Murid!E219)</f>
        <v/>
      </c>
      <c r="E219" s="11" t="n"/>
      <c r="F219" s="11" t="n"/>
      <c r="G219" s="10">
        <f>IF(F219="","",IFERROR(VLOOKUP(F219,T_JSP,2,FALSE),0))</f>
        <v/>
      </c>
      <c r="H219" s="11" t="n"/>
      <c r="I219" s="17">
        <f>IF(H219="","",IF(H219&gt;=12,40,ROUND(H219*3.33,2)))</f>
        <v/>
      </c>
      <c r="J219" s="11" t="n"/>
      <c r="K219" s="11" t="n"/>
      <c r="L219" s="11" t="n"/>
      <c r="M219" s="11" t="n"/>
      <c r="N219" s="10">
        <f>IF(COUNTA(J219:M219)=0,"",MIN(10,SUMPRODUCT((COUNTIF(J219:M219,L_KOM)&gt;0)*S_KOM)))</f>
        <v/>
      </c>
      <c r="O219" s="11" t="n"/>
      <c r="P219" s="10">
        <f>IF(O219="","",IFERROR(VLOOKUP(O219,T_KHID,2,FALSE),0))</f>
        <v/>
      </c>
      <c r="Q219" s="11" t="n"/>
      <c r="R219" s="11" t="n"/>
      <c r="S219" s="10">
        <f>IF(AND(Q219="",R219=""),"",IFERROR(INDEX(T_LIBAT,MATCH(Q219,L_PER,0),MATCH(R219,L_JENIS,0)),0))</f>
        <v/>
      </c>
      <c r="T219" s="11" t="n"/>
      <c r="U219" s="11" t="n"/>
      <c r="V219" s="10">
        <f>IF(AND(T219="",U219=""),"",IFERROR(INDEX(T_CAPAI,MATCH(T219,L_PER,0),MATCH(U219,L_KED,0)),0))</f>
        <v/>
      </c>
      <c r="W219" s="17">
        <f>IF(OR(B219="",E219="",COUNTA(F219,H219,J219:M219,O219,Q219:R219,T219:U219)=0),"",SUM(G219,I219,N219,P219,S219,V219))</f>
        <v/>
      </c>
      <c r="X219" s="18">
        <f>IF(W219="","",IF(Murid!F219="TL","TL",ROUND(W219/110*100,2)))</f>
        <v/>
      </c>
    </row>
    <row r="220">
      <c r="A220" s="15">
        <f>Murid!A220</f>
        <v/>
      </c>
      <c r="B220" s="15">
        <f>IF(Murid!B220="","",Murid!B220)</f>
        <v/>
      </c>
      <c r="C220" s="16">
        <f>IF(Murid!C220="","",Murid!C220)</f>
        <v/>
      </c>
      <c r="D220" s="15">
        <f>IF(Murid!E220="","",Murid!E220)</f>
        <v/>
      </c>
      <c r="E220" s="11" t="n"/>
      <c r="F220" s="11" t="n"/>
      <c r="G220" s="10">
        <f>IF(F220="","",IFERROR(VLOOKUP(F220,T_JSP,2,FALSE),0))</f>
        <v/>
      </c>
      <c r="H220" s="11" t="n"/>
      <c r="I220" s="17">
        <f>IF(H220="","",IF(H220&gt;=12,40,ROUND(H220*3.33,2)))</f>
        <v/>
      </c>
      <c r="J220" s="11" t="n"/>
      <c r="K220" s="11" t="n"/>
      <c r="L220" s="11" t="n"/>
      <c r="M220" s="11" t="n"/>
      <c r="N220" s="10">
        <f>IF(COUNTA(J220:M220)=0,"",MIN(10,SUMPRODUCT((COUNTIF(J220:M220,L_KOM)&gt;0)*S_KOM)))</f>
        <v/>
      </c>
      <c r="O220" s="11" t="n"/>
      <c r="P220" s="10">
        <f>IF(O220="","",IFERROR(VLOOKUP(O220,T_KHID,2,FALSE),0))</f>
        <v/>
      </c>
      <c r="Q220" s="11" t="n"/>
      <c r="R220" s="11" t="n"/>
      <c r="S220" s="10">
        <f>IF(AND(Q220="",R220=""),"",IFERROR(INDEX(T_LIBAT,MATCH(Q220,L_PER,0),MATCH(R220,L_JENIS,0)),0))</f>
        <v/>
      </c>
      <c r="T220" s="11" t="n"/>
      <c r="U220" s="11" t="n"/>
      <c r="V220" s="10">
        <f>IF(AND(T220="",U220=""),"",IFERROR(INDEX(T_CAPAI,MATCH(T220,L_PER,0),MATCH(U220,L_KED,0)),0))</f>
        <v/>
      </c>
      <c r="W220" s="17">
        <f>IF(OR(B220="",E220="",COUNTA(F220,H220,J220:M220,O220,Q220:R220,T220:U220)=0),"",SUM(G220,I220,N220,P220,S220,V220))</f>
        <v/>
      </c>
      <c r="X220" s="18">
        <f>IF(W220="","",IF(Murid!F220="TL","TL",ROUND(W220/110*100,2)))</f>
        <v/>
      </c>
    </row>
    <row r="221">
      <c r="A221" s="15">
        <f>Murid!A221</f>
        <v/>
      </c>
      <c r="B221" s="15">
        <f>IF(Murid!B221="","",Murid!B221)</f>
        <v/>
      </c>
      <c r="C221" s="16">
        <f>IF(Murid!C221="","",Murid!C221)</f>
        <v/>
      </c>
      <c r="D221" s="15">
        <f>IF(Murid!E221="","",Murid!E221)</f>
        <v/>
      </c>
      <c r="E221" s="11" t="n"/>
      <c r="F221" s="11" t="n"/>
      <c r="G221" s="10">
        <f>IF(F221="","",IFERROR(VLOOKUP(F221,T_JSP,2,FALSE),0))</f>
        <v/>
      </c>
      <c r="H221" s="11" t="n"/>
      <c r="I221" s="17">
        <f>IF(H221="","",IF(H221&gt;=12,40,ROUND(H221*3.33,2)))</f>
        <v/>
      </c>
      <c r="J221" s="11" t="n"/>
      <c r="K221" s="11" t="n"/>
      <c r="L221" s="11" t="n"/>
      <c r="M221" s="11" t="n"/>
      <c r="N221" s="10">
        <f>IF(COUNTA(J221:M221)=0,"",MIN(10,SUMPRODUCT((COUNTIF(J221:M221,L_KOM)&gt;0)*S_KOM)))</f>
        <v/>
      </c>
      <c r="O221" s="11" t="n"/>
      <c r="P221" s="10">
        <f>IF(O221="","",IFERROR(VLOOKUP(O221,T_KHID,2,FALSE),0))</f>
        <v/>
      </c>
      <c r="Q221" s="11" t="n"/>
      <c r="R221" s="11" t="n"/>
      <c r="S221" s="10">
        <f>IF(AND(Q221="",R221=""),"",IFERROR(INDEX(T_LIBAT,MATCH(Q221,L_PER,0),MATCH(R221,L_JENIS,0)),0))</f>
        <v/>
      </c>
      <c r="T221" s="11" t="n"/>
      <c r="U221" s="11" t="n"/>
      <c r="V221" s="10">
        <f>IF(AND(T221="",U221=""),"",IFERROR(INDEX(T_CAPAI,MATCH(T221,L_PER,0),MATCH(U221,L_KED,0)),0))</f>
        <v/>
      </c>
      <c r="W221" s="17">
        <f>IF(OR(B221="",E221="",COUNTA(F221,H221,J221:M221,O221,Q221:R221,T221:U221)=0),"",SUM(G221,I221,N221,P221,S221,V221))</f>
        <v/>
      </c>
      <c r="X221" s="18">
        <f>IF(W221="","",IF(Murid!F221="TL","TL",ROUND(W221/110*100,2)))</f>
        <v/>
      </c>
    </row>
    <row r="222">
      <c r="A222" s="15">
        <f>Murid!A222</f>
        <v/>
      </c>
      <c r="B222" s="15">
        <f>IF(Murid!B222="","",Murid!B222)</f>
        <v/>
      </c>
      <c r="C222" s="16">
        <f>IF(Murid!C222="","",Murid!C222)</f>
        <v/>
      </c>
      <c r="D222" s="15">
        <f>IF(Murid!E222="","",Murid!E222)</f>
        <v/>
      </c>
      <c r="E222" s="11" t="n"/>
      <c r="F222" s="11" t="n"/>
      <c r="G222" s="10">
        <f>IF(F222="","",IFERROR(VLOOKUP(F222,T_JSP,2,FALSE),0))</f>
        <v/>
      </c>
      <c r="H222" s="11" t="n"/>
      <c r="I222" s="17">
        <f>IF(H222="","",IF(H222&gt;=12,40,ROUND(H222*3.33,2)))</f>
        <v/>
      </c>
      <c r="J222" s="11" t="n"/>
      <c r="K222" s="11" t="n"/>
      <c r="L222" s="11" t="n"/>
      <c r="M222" s="11" t="n"/>
      <c r="N222" s="10">
        <f>IF(COUNTA(J222:M222)=0,"",MIN(10,SUMPRODUCT((COUNTIF(J222:M222,L_KOM)&gt;0)*S_KOM)))</f>
        <v/>
      </c>
      <c r="O222" s="11" t="n"/>
      <c r="P222" s="10">
        <f>IF(O222="","",IFERROR(VLOOKUP(O222,T_KHID,2,FALSE),0))</f>
        <v/>
      </c>
      <c r="Q222" s="11" t="n"/>
      <c r="R222" s="11" t="n"/>
      <c r="S222" s="10">
        <f>IF(AND(Q222="",R222=""),"",IFERROR(INDEX(T_LIBAT,MATCH(Q222,L_PER,0),MATCH(R222,L_JENIS,0)),0))</f>
        <v/>
      </c>
      <c r="T222" s="11" t="n"/>
      <c r="U222" s="11" t="n"/>
      <c r="V222" s="10">
        <f>IF(AND(T222="",U222=""),"",IFERROR(INDEX(T_CAPAI,MATCH(T222,L_PER,0),MATCH(U222,L_KED,0)),0))</f>
        <v/>
      </c>
      <c r="W222" s="17">
        <f>IF(OR(B222="",E222="",COUNTA(F222,H222,J222:M222,O222,Q222:R222,T222:U222)=0),"",SUM(G222,I222,N222,P222,S222,V222))</f>
        <v/>
      </c>
      <c r="X222" s="18">
        <f>IF(W222="","",IF(Murid!F222="TL","TL",ROUND(W222/110*100,2)))</f>
        <v/>
      </c>
    </row>
    <row r="223">
      <c r="A223" s="15">
        <f>Murid!A223</f>
        <v/>
      </c>
      <c r="B223" s="15">
        <f>IF(Murid!B223="","",Murid!B223)</f>
        <v/>
      </c>
      <c r="C223" s="16">
        <f>IF(Murid!C223="","",Murid!C223)</f>
        <v/>
      </c>
      <c r="D223" s="15">
        <f>IF(Murid!E223="","",Murid!E223)</f>
        <v/>
      </c>
      <c r="E223" s="11" t="n"/>
      <c r="F223" s="11" t="n"/>
      <c r="G223" s="10">
        <f>IF(F223="","",IFERROR(VLOOKUP(F223,T_JSP,2,FALSE),0))</f>
        <v/>
      </c>
      <c r="H223" s="11" t="n"/>
      <c r="I223" s="17">
        <f>IF(H223="","",IF(H223&gt;=12,40,ROUND(H223*3.33,2)))</f>
        <v/>
      </c>
      <c r="J223" s="11" t="n"/>
      <c r="K223" s="11" t="n"/>
      <c r="L223" s="11" t="n"/>
      <c r="M223" s="11" t="n"/>
      <c r="N223" s="10">
        <f>IF(COUNTA(J223:M223)=0,"",MIN(10,SUMPRODUCT((COUNTIF(J223:M223,L_KOM)&gt;0)*S_KOM)))</f>
        <v/>
      </c>
      <c r="O223" s="11" t="n"/>
      <c r="P223" s="10">
        <f>IF(O223="","",IFERROR(VLOOKUP(O223,T_KHID,2,FALSE),0))</f>
        <v/>
      </c>
      <c r="Q223" s="11" t="n"/>
      <c r="R223" s="11" t="n"/>
      <c r="S223" s="10">
        <f>IF(AND(Q223="",R223=""),"",IFERROR(INDEX(T_LIBAT,MATCH(Q223,L_PER,0),MATCH(R223,L_JENIS,0)),0))</f>
        <v/>
      </c>
      <c r="T223" s="11" t="n"/>
      <c r="U223" s="11" t="n"/>
      <c r="V223" s="10">
        <f>IF(AND(T223="",U223=""),"",IFERROR(INDEX(T_CAPAI,MATCH(T223,L_PER,0),MATCH(U223,L_KED,0)),0))</f>
        <v/>
      </c>
      <c r="W223" s="17">
        <f>IF(OR(B223="",E223="",COUNTA(F223,H223,J223:M223,O223,Q223:R223,T223:U223)=0),"",SUM(G223,I223,N223,P223,S223,V223))</f>
        <v/>
      </c>
      <c r="X223" s="18">
        <f>IF(W223="","",IF(Murid!F223="TL","TL",ROUND(W223/110*100,2)))</f>
        <v/>
      </c>
    </row>
    <row r="224">
      <c r="A224" s="15">
        <f>Murid!A224</f>
        <v/>
      </c>
      <c r="B224" s="15">
        <f>IF(Murid!B224="","",Murid!B224)</f>
        <v/>
      </c>
      <c r="C224" s="16">
        <f>IF(Murid!C224="","",Murid!C224)</f>
        <v/>
      </c>
      <c r="D224" s="15">
        <f>IF(Murid!E224="","",Murid!E224)</f>
        <v/>
      </c>
      <c r="E224" s="11" t="n"/>
      <c r="F224" s="11" t="n"/>
      <c r="G224" s="10">
        <f>IF(F224="","",IFERROR(VLOOKUP(F224,T_JSP,2,FALSE),0))</f>
        <v/>
      </c>
      <c r="H224" s="11" t="n"/>
      <c r="I224" s="17">
        <f>IF(H224="","",IF(H224&gt;=12,40,ROUND(H224*3.33,2)))</f>
        <v/>
      </c>
      <c r="J224" s="11" t="n"/>
      <c r="K224" s="11" t="n"/>
      <c r="L224" s="11" t="n"/>
      <c r="M224" s="11" t="n"/>
      <c r="N224" s="10">
        <f>IF(COUNTA(J224:M224)=0,"",MIN(10,SUMPRODUCT((COUNTIF(J224:M224,L_KOM)&gt;0)*S_KOM)))</f>
        <v/>
      </c>
      <c r="O224" s="11" t="n"/>
      <c r="P224" s="10">
        <f>IF(O224="","",IFERROR(VLOOKUP(O224,T_KHID,2,FALSE),0))</f>
        <v/>
      </c>
      <c r="Q224" s="11" t="n"/>
      <c r="R224" s="11" t="n"/>
      <c r="S224" s="10">
        <f>IF(AND(Q224="",R224=""),"",IFERROR(INDEX(T_LIBAT,MATCH(Q224,L_PER,0),MATCH(R224,L_JENIS,0)),0))</f>
        <v/>
      </c>
      <c r="T224" s="11" t="n"/>
      <c r="U224" s="11" t="n"/>
      <c r="V224" s="10">
        <f>IF(AND(T224="",U224=""),"",IFERROR(INDEX(T_CAPAI,MATCH(T224,L_PER,0),MATCH(U224,L_KED,0)),0))</f>
        <v/>
      </c>
      <c r="W224" s="17">
        <f>IF(OR(B224="",E224="",COUNTA(F224,H224,J224:M224,O224,Q224:R224,T224:U224)=0),"",SUM(G224,I224,N224,P224,S224,V224))</f>
        <v/>
      </c>
      <c r="X224" s="18">
        <f>IF(W224="","",IF(Murid!F224="TL","TL",ROUND(W224/110*100,2)))</f>
        <v/>
      </c>
    </row>
    <row r="225">
      <c r="A225" s="15">
        <f>Murid!A225</f>
        <v/>
      </c>
      <c r="B225" s="15">
        <f>IF(Murid!B225="","",Murid!B225)</f>
        <v/>
      </c>
      <c r="C225" s="16">
        <f>IF(Murid!C225="","",Murid!C225)</f>
        <v/>
      </c>
      <c r="D225" s="15">
        <f>IF(Murid!E225="","",Murid!E225)</f>
        <v/>
      </c>
      <c r="E225" s="11" t="n"/>
      <c r="F225" s="11" t="n"/>
      <c r="G225" s="10">
        <f>IF(F225="","",IFERROR(VLOOKUP(F225,T_JSP,2,FALSE),0))</f>
        <v/>
      </c>
      <c r="H225" s="11" t="n"/>
      <c r="I225" s="17">
        <f>IF(H225="","",IF(H225&gt;=12,40,ROUND(H225*3.33,2)))</f>
        <v/>
      </c>
      <c r="J225" s="11" t="n"/>
      <c r="K225" s="11" t="n"/>
      <c r="L225" s="11" t="n"/>
      <c r="M225" s="11" t="n"/>
      <c r="N225" s="10">
        <f>IF(COUNTA(J225:M225)=0,"",MIN(10,SUMPRODUCT((COUNTIF(J225:M225,L_KOM)&gt;0)*S_KOM)))</f>
        <v/>
      </c>
      <c r="O225" s="11" t="n"/>
      <c r="P225" s="10">
        <f>IF(O225="","",IFERROR(VLOOKUP(O225,T_KHID,2,FALSE),0))</f>
        <v/>
      </c>
      <c r="Q225" s="11" t="n"/>
      <c r="R225" s="11" t="n"/>
      <c r="S225" s="10">
        <f>IF(AND(Q225="",R225=""),"",IFERROR(INDEX(T_LIBAT,MATCH(Q225,L_PER,0),MATCH(R225,L_JENIS,0)),0))</f>
        <v/>
      </c>
      <c r="T225" s="11" t="n"/>
      <c r="U225" s="11" t="n"/>
      <c r="V225" s="10">
        <f>IF(AND(T225="",U225=""),"",IFERROR(INDEX(T_CAPAI,MATCH(T225,L_PER,0),MATCH(U225,L_KED,0)),0))</f>
        <v/>
      </c>
      <c r="W225" s="17">
        <f>IF(OR(B225="",E225="",COUNTA(F225,H225,J225:M225,O225,Q225:R225,T225:U225)=0),"",SUM(G225,I225,N225,P225,S225,V225))</f>
        <v/>
      </c>
      <c r="X225" s="18">
        <f>IF(W225="","",IF(Murid!F225="TL","TL",ROUND(W225/110*100,2)))</f>
        <v/>
      </c>
    </row>
    <row r="226">
      <c r="A226" s="15">
        <f>Murid!A226</f>
        <v/>
      </c>
      <c r="B226" s="15">
        <f>IF(Murid!B226="","",Murid!B226)</f>
        <v/>
      </c>
      <c r="C226" s="16">
        <f>IF(Murid!C226="","",Murid!C226)</f>
        <v/>
      </c>
      <c r="D226" s="15">
        <f>IF(Murid!E226="","",Murid!E226)</f>
        <v/>
      </c>
      <c r="E226" s="11" t="n"/>
      <c r="F226" s="11" t="n"/>
      <c r="G226" s="10">
        <f>IF(F226="","",IFERROR(VLOOKUP(F226,T_JSP,2,FALSE),0))</f>
        <v/>
      </c>
      <c r="H226" s="11" t="n"/>
      <c r="I226" s="17">
        <f>IF(H226="","",IF(H226&gt;=12,40,ROUND(H226*3.33,2)))</f>
        <v/>
      </c>
      <c r="J226" s="11" t="n"/>
      <c r="K226" s="11" t="n"/>
      <c r="L226" s="11" t="n"/>
      <c r="M226" s="11" t="n"/>
      <c r="N226" s="10">
        <f>IF(COUNTA(J226:M226)=0,"",MIN(10,SUMPRODUCT((COUNTIF(J226:M226,L_KOM)&gt;0)*S_KOM)))</f>
        <v/>
      </c>
      <c r="O226" s="11" t="n"/>
      <c r="P226" s="10">
        <f>IF(O226="","",IFERROR(VLOOKUP(O226,T_KHID,2,FALSE),0))</f>
        <v/>
      </c>
      <c r="Q226" s="11" t="n"/>
      <c r="R226" s="11" t="n"/>
      <c r="S226" s="10">
        <f>IF(AND(Q226="",R226=""),"",IFERROR(INDEX(T_LIBAT,MATCH(Q226,L_PER,0),MATCH(R226,L_JENIS,0)),0))</f>
        <v/>
      </c>
      <c r="T226" s="11" t="n"/>
      <c r="U226" s="11" t="n"/>
      <c r="V226" s="10">
        <f>IF(AND(T226="",U226=""),"",IFERROR(INDEX(T_CAPAI,MATCH(T226,L_PER,0),MATCH(U226,L_KED,0)),0))</f>
        <v/>
      </c>
      <c r="W226" s="17">
        <f>IF(OR(B226="",E226="",COUNTA(F226,H226,J226:M226,O226,Q226:R226,T226:U226)=0),"",SUM(G226,I226,N226,P226,S226,V226))</f>
        <v/>
      </c>
      <c r="X226" s="18">
        <f>IF(W226="","",IF(Murid!F226="TL","TL",ROUND(W226/110*100,2)))</f>
        <v/>
      </c>
    </row>
    <row r="227">
      <c r="A227" s="15">
        <f>Murid!A227</f>
        <v/>
      </c>
      <c r="B227" s="15">
        <f>IF(Murid!B227="","",Murid!B227)</f>
        <v/>
      </c>
      <c r="C227" s="16">
        <f>IF(Murid!C227="","",Murid!C227)</f>
        <v/>
      </c>
      <c r="D227" s="15">
        <f>IF(Murid!E227="","",Murid!E227)</f>
        <v/>
      </c>
      <c r="E227" s="11" t="n"/>
      <c r="F227" s="11" t="n"/>
      <c r="G227" s="10">
        <f>IF(F227="","",IFERROR(VLOOKUP(F227,T_JSP,2,FALSE),0))</f>
        <v/>
      </c>
      <c r="H227" s="11" t="n"/>
      <c r="I227" s="17">
        <f>IF(H227="","",IF(H227&gt;=12,40,ROUND(H227*3.33,2)))</f>
        <v/>
      </c>
      <c r="J227" s="11" t="n"/>
      <c r="K227" s="11" t="n"/>
      <c r="L227" s="11" t="n"/>
      <c r="M227" s="11" t="n"/>
      <c r="N227" s="10">
        <f>IF(COUNTA(J227:M227)=0,"",MIN(10,SUMPRODUCT((COUNTIF(J227:M227,L_KOM)&gt;0)*S_KOM)))</f>
        <v/>
      </c>
      <c r="O227" s="11" t="n"/>
      <c r="P227" s="10">
        <f>IF(O227="","",IFERROR(VLOOKUP(O227,T_KHID,2,FALSE),0))</f>
        <v/>
      </c>
      <c r="Q227" s="11" t="n"/>
      <c r="R227" s="11" t="n"/>
      <c r="S227" s="10">
        <f>IF(AND(Q227="",R227=""),"",IFERROR(INDEX(T_LIBAT,MATCH(Q227,L_PER,0),MATCH(R227,L_JENIS,0)),0))</f>
        <v/>
      </c>
      <c r="T227" s="11" t="n"/>
      <c r="U227" s="11" t="n"/>
      <c r="V227" s="10">
        <f>IF(AND(T227="",U227=""),"",IFERROR(INDEX(T_CAPAI,MATCH(T227,L_PER,0),MATCH(U227,L_KED,0)),0))</f>
        <v/>
      </c>
      <c r="W227" s="17">
        <f>IF(OR(B227="",E227="",COUNTA(F227,H227,J227:M227,O227,Q227:R227,T227:U227)=0),"",SUM(G227,I227,N227,P227,S227,V227))</f>
        <v/>
      </c>
      <c r="X227" s="18">
        <f>IF(W227="","",IF(Murid!F227="TL","TL",ROUND(W227/110*100,2)))</f>
        <v/>
      </c>
    </row>
    <row r="228">
      <c r="A228" s="15">
        <f>Murid!A228</f>
        <v/>
      </c>
      <c r="B228" s="15">
        <f>IF(Murid!B228="","",Murid!B228)</f>
        <v/>
      </c>
      <c r="C228" s="16">
        <f>IF(Murid!C228="","",Murid!C228)</f>
        <v/>
      </c>
      <c r="D228" s="15">
        <f>IF(Murid!E228="","",Murid!E228)</f>
        <v/>
      </c>
      <c r="E228" s="11" t="n"/>
      <c r="F228" s="11" t="n"/>
      <c r="G228" s="10">
        <f>IF(F228="","",IFERROR(VLOOKUP(F228,T_JSP,2,FALSE),0))</f>
        <v/>
      </c>
      <c r="H228" s="11" t="n"/>
      <c r="I228" s="17">
        <f>IF(H228="","",IF(H228&gt;=12,40,ROUND(H228*3.33,2)))</f>
        <v/>
      </c>
      <c r="J228" s="11" t="n"/>
      <c r="K228" s="11" t="n"/>
      <c r="L228" s="11" t="n"/>
      <c r="M228" s="11" t="n"/>
      <c r="N228" s="10">
        <f>IF(COUNTA(J228:M228)=0,"",MIN(10,SUMPRODUCT((COUNTIF(J228:M228,L_KOM)&gt;0)*S_KOM)))</f>
        <v/>
      </c>
      <c r="O228" s="11" t="n"/>
      <c r="P228" s="10">
        <f>IF(O228="","",IFERROR(VLOOKUP(O228,T_KHID,2,FALSE),0))</f>
        <v/>
      </c>
      <c r="Q228" s="11" t="n"/>
      <c r="R228" s="11" t="n"/>
      <c r="S228" s="10">
        <f>IF(AND(Q228="",R228=""),"",IFERROR(INDEX(T_LIBAT,MATCH(Q228,L_PER,0),MATCH(R228,L_JENIS,0)),0))</f>
        <v/>
      </c>
      <c r="T228" s="11" t="n"/>
      <c r="U228" s="11" t="n"/>
      <c r="V228" s="10">
        <f>IF(AND(T228="",U228=""),"",IFERROR(INDEX(T_CAPAI,MATCH(T228,L_PER,0),MATCH(U228,L_KED,0)),0))</f>
        <v/>
      </c>
      <c r="W228" s="17">
        <f>IF(OR(B228="",E228="",COUNTA(F228,H228,J228:M228,O228,Q228:R228,T228:U228)=0),"",SUM(G228,I228,N228,P228,S228,V228))</f>
        <v/>
      </c>
      <c r="X228" s="18">
        <f>IF(W228="","",IF(Murid!F228="TL","TL",ROUND(W228/110*100,2)))</f>
        <v/>
      </c>
    </row>
    <row r="229">
      <c r="A229" s="15">
        <f>Murid!A229</f>
        <v/>
      </c>
      <c r="B229" s="15">
        <f>IF(Murid!B229="","",Murid!B229)</f>
        <v/>
      </c>
      <c r="C229" s="16">
        <f>IF(Murid!C229="","",Murid!C229)</f>
        <v/>
      </c>
      <c r="D229" s="15">
        <f>IF(Murid!E229="","",Murid!E229)</f>
        <v/>
      </c>
      <c r="E229" s="11" t="n"/>
      <c r="F229" s="11" t="n"/>
      <c r="G229" s="10">
        <f>IF(F229="","",IFERROR(VLOOKUP(F229,T_JSP,2,FALSE),0))</f>
        <v/>
      </c>
      <c r="H229" s="11" t="n"/>
      <c r="I229" s="17">
        <f>IF(H229="","",IF(H229&gt;=12,40,ROUND(H229*3.33,2)))</f>
        <v/>
      </c>
      <c r="J229" s="11" t="n"/>
      <c r="K229" s="11" t="n"/>
      <c r="L229" s="11" t="n"/>
      <c r="M229" s="11" t="n"/>
      <c r="N229" s="10">
        <f>IF(COUNTA(J229:M229)=0,"",MIN(10,SUMPRODUCT((COUNTIF(J229:M229,L_KOM)&gt;0)*S_KOM)))</f>
        <v/>
      </c>
      <c r="O229" s="11" t="n"/>
      <c r="P229" s="10">
        <f>IF(O229="","",IFERROR(VLOOKUP(O229,T_KHID,2,FALSE),0))</f>
        <v/>
      </c>
      <c r="Q229" s="11" t="n"/>
      <c r="R229" s="11" t="n"/>
      <c r="S229" s="10">
        <f>IF(AND(Q229="",R229=""),"",IFERROR(INDEX(T_LIBAT,MATCH(Q229,L_PER,0),MATCH(R229,L_JENIS,0)),0))</f>
        <v/>
      </c>
      <c r="T229" s="11" t="n"/>
      <c r="U229" s="11" t="n"/>
      <c r="V229" s="10">
        <f>IF(AND(T229="",U229=""),"",IFERROR(INDEX(T_CAPAI,MATCH(T229,L_PER,0),MATCH(U229,L_KED,0)),0))</f>
        <v/>
      </c>
      <c r="W229" s="17">
        <f>IF(OR(B229="",E229="",COUNTA(F229,H229,J229:M229,O229,Q229:R229,T229:U229)=0),"",SUM(G229,I229,N229,P229,S229,V229))</f>
        <v/>
      </c>
      <c r="X229" s="18">
        <f>IF(W229="","",IF(Murid!F229="TL","TL",ROUND(W229/110*100,2)))</f>
        <v/>
      </c>
    </row>
    <row r="230">
      <c r="A230" s="15">
        <f>Murid!A230</f>
        <v/>
      </c>
      <c r="B230" s="15">
        <f>IF(Murid!B230="","",Murid!B230)</f>
        <v/>
      </c>
      <c r="C230" s="16">
        <f>IF(Murid!C230="","",Murid!C230)</f>
        <v/>
      </c>
      <c r="D230" s="15">
        <f>IF(Murid!E230="","",Murid!E230)</f>
        <v/>
      </c>
      <c r="E230" s="11" t="n"/>
      <c r="F230" s="11" t="n"/>
      <c r="G230" s="10">
        <f>IF(F230="","",IFERROR(VLOOKUP(F230,T_JSP,2,FALSE),0))</f>
        <v/>
      </c>
      <c r="H230" s="11" t="n"/>
      <c r="I230" s="17">
        <f>IF(H230="","",IF(H230&gt;=12,40,ROUND(H230*3.33,2)))</f>
        <v/>
      </c>
      <c r="J230" s="11" t="n"/>
      <c r="K230" s="11" t="n"/>
      <c r="L230" s="11" t="n"/>
      <c r="M230" s="11" t="n"/>
      <c r="N230" s="10">
        <f>IF(COUNTA(J230:M230)=0,"",MIN(10,SUMPRODUCT((COUNTIF(J230:M230,L_KOM)&gt;0)*S_KOM)))</f>
        <v/>
      </c>
      <c r="O230" s="11" t="n"/>
      <c r="P230" s="10">
        <f>IF(O230="","",IFERROR(VLOOKUP(O230,T_KHID,2,FALSE),0))</f>
        <v/>
      </c>
      <c r="Q230" s="11" t="n"/>
      <c r="R230" s="11" t="n"/>
      <c r="S230" s="10">
        <f>IF(AND(Q230="",R230=""),"",IFERROR(INDEX(T_LIBAT,MATCH(Q230,L_PER,0),MATCH(R230,L_JENIS,0)),0))</f>
        <v/>
      </c>
      <c r="T230" s="11" t="n"/>
      <c r="U230" s="11" t="n"/>
      <c r="V230" s="10">
        <f>IF(AND(T230="",U230=""),"",IFERROR(INDEX(T_CAPAI,MATCH(T230,L_PER,0),MATCH(U230,L_KED,0)),0))</f>
        <v/>
      </c>
      <c r="W230" s="17">
        <f>IF(OR(B230="",E230="",COUNTA(F230,H230,J230:M230,O230,Q230:R230,T230:U230)=0),"",SUM(G230,I230,N230,P230,S230,V230))</f>
        <v/>
      </c>
      <c r="X230" s="18">
        <f>IF(W230="","",IF(Murid!F230="TL","TL",ROUND(W230/110*100,2)))</f>
        <v/>
      </c>
    </row>
    <row r="231">
      <c r="A231" s="15">
        <f>Murid!A231</f>
        <v/>
      </c>
      <c r="B231" s="15">
        <f>IF(Murid!B231="","",Murid!B231)</f>
        <v/>
      </c>
      <c r="C231" s="16">
        <f>IF(Murid!C231="","",Murid!C231)</f>
        <v/>
      </c>
      <c r="D231" s="15">
        <f>IF(Murid!E231="","",Murid!E231)</f>
        <v/>
      </c>
      <c r="E231" s="11" t="n"/>
      <c r="F231" s="11" t="n"/>
      <c r="G231" s="10">
        <f>IF(F231="","",IFERROR(VLOOKUP(F231,T_JSP,2,FALSE),0))</f>
        <v/>
      </c>
      <c r="H231" s="11" t="n"/>
      <c r="I231" s="17">
        <f>IF(H231="","",IF(H231&gt;=12,40,ROUND(H231*3.33,2)))</f>
        <v/>
      </c>
      <c r="J231" s="11" t="n"/>
      <c r="K231" s="11" t="n"/>
      <c r="L231" s="11" t="n"/>
      <c r="M231" s="11" t="n"/>
      <c r="N231" s="10">
        <f>IF(COUNTA(J231:M231)=0,"",MIN(10,SUMPRODUCT((COUNTIF(J231:M231,L_KOM)&gt;0)*S_KOM)))</f>
        <v/>
      </c>
      <c r="O231" s="11" t="n"/>
      <c r="P231" s="10">
        <f>IF(O231="","",IFERROR(VLOOKUP(O231,T_KHID,2,FALSE),0))</f>
        <v/>
      </c>
      <c r="Q231" s="11" t="n"/>
      <c r="R231" s="11" t="n"/>
      <c r="S231" s="10">
        <f>IF(AND(Q231="",R231=""),"",IFERROR(INDEX(T_LIBAT,MATCH(Q231,L_PER,0),MATCH(R231,L_JENIS,0)),0))</f>
        <v/>
      </c>
      <c r="T231" s="11" t="n"/>
      <c r="U231" s="11" t="n"/>
      <c r="V231" s="10">
        <f>IF(AND(T231="",U231=""),"",IFERROR(INDEX(T_CAPAI,MATCH(T231,L_PER,0),MATCH(U231,L_KED,0)),0))</f>
        <v/>
      </c>
      <c r="W231" s="17">
        <f>IF(OR(B231="",E231="",COUNTA(F231,H231,J231:M231,O231,Q231:R231,T231:U231)=0),"",SUM(G231,I231,N231,P231,S231,V231))</f>
        <v/>
      </c>
      <c r="X231" s="18">
        <f>IF(W231="","",IF(Murid!F231="TL","TL",ROUND(W231/110*100,2)))</f>
        <v/>
      </c>
    </row>
    <row r="232">
      <c r="A232" s="15">
        <f>Murid!A232</f>
        <v/>
      </c>
      <c r="B232" s="15">
        <f>IF(Murid!B232="","",Murid!B232)</f>
        <v/>
      </c>
      <c r="C232" s="16">
        <f>IF(Murid!C232="","",Murid!C232)</f>
        <v/>
      </c>
      <c r="D232" s="15">
        <f>IF(Murid!E232="","",Murid!E232)</f>
        <v/>
      </c>
      <c r="E232" s="11" t="n"/>
      <c r="F232" s="11" t="n"/>
      <c r="G232" s="10">
        <f>IF(F232="","",IFERROR(VLOOKUP(F232,T_JSP,2,FALSE),0))</f>
        <v/>
      </c>
      <c r="H232" s="11" t="n"/>
      <c r="I232" s="17">
        <f>IF(H232="","",IF(H232&gt;=12,40,ROUND(H232*3.33,2)))</f>
        <v/>
      </c>
      <c r="J232" s="11" t="n"/>
      <c r="K232" s="11" t="n"/>
      <c r="L232" s="11" t="n"/>
      <c r="M232" s="11" t="n"/>
      <c r="N232" s="10">
        <f>IF(COUNTA(J232:M232)=0,"",MIN(10,SUMPRODUCT((COUNTIF(J232:M232,L_KOM)&gt;0)*S_KOM)))</f>
        <v/>
      </c>
      <c r="O232" s="11" t="n"/>
      <c r="P232" s="10">
        <f>IF(O232="","",IFERROR(VLOOKUP(O232,T_KHID,2,FALSE),0))</f>
        <v/>
      </c>
      <c r="Q232" s="11" t="n"/>
      <c r="R232" s="11" t="n"/>
      <c r="S232" s="10">
        <f>IF(AND(Q232="",R232=""),"",IFERROR(INDEX(T_LIBAT,MATCH(Q232,L_PER,0),MATCH(R232,L_JENIS,0)),0))</f>
        <v/>
      </c>
      <c r="T232" s="11" t="n"/>
      <c r="U232" s="11" t="n"/>
      <c r="V232" s="10">
        <f>IF(AND(T232="",U232=""),"",IFERROR(INDEX(T_CAPAI,MATCH(T232,L_PER,0),MATCH(U232,L_KED,0)),0))</f>
        <v/>
      </c>
      <c r="W232" s="17">
        <f>IF(OR(B232="",E232="",COUNTA(F232,H232,J232:M232,O232,Q232:R232,T232:U232)=0),"",SUM(G232,I232,N232,P232,S232,V232))</f>
        <v/>
      </c>
      <c r="X232" s="18">
        <f>IF(W232="","",IF(Murid!F232="TL","TL",ROUND(W232/110*100,2)))</f>
        <v/>
      </c>
    </row>
    <row r="233">
      <c r="A233" s="15">
        <f>Murid!A233</f>
        <v/>
      </c>
      <c r="B233" s="15">
        <f>IF(Murid!B233="","",Murid!B233)</f>
        <v/>
      </c>
      <c r="C233" s="16">
        <f>IF(Murid!C233="","",Murid!C233)</f>
        <v/>
      </c>
      <c r="D233" s="15">
        <f>IF(Murid!E233="","",Murid!E233)</f>
        <v/>
      </c>
      <c r="E233" s="11" t="n"/>
      <c r="F233" s="11" t="n"/>
      <c r="G233" s="10">
        <f>IF(F233="","",IFERROR(VLOOKUP(F233,T_JSP,2,FALSE),0))</f>
        <v/>
      </c>
      <c r="H233" s="11" t="n"/>
      <c r="I233" s="17">
        <f>IF(H233="","",IF(H233&gt;=12,40,ROUND(H233*3.33,2)))</f>
        <v/>
      </c>
      <c r="J233" s="11" t="n"/>
      <c r="K233" s="11" t="n"/>
      <c r="L233" s="11" t="n"/>
      <c r="M233" s="11" t="n"/>
      <c r="N233" s="10">
        <f>IF(COUNTA(J233:M233)=0,"",MIN(10,SUMPRODUCT((COUNTIF(J233:M233,L_KOM)&gt;0)*S_KOM)))</f>
        <v/>
      </c>
      <c r="O233" s="11" t="n"/>
      <c r="P233" s="10">
        <f>IF(O233="","",IFERROR(VLOOKUP(O233,T_KHID,2,FALSE),0))</f>
        <v/>
      </c>
      <c r="Q233" s="11" t="n"/>
      <c r="R233" s="11" t="n"/>
      <c r="S233" s="10">
        <f>IF(AND(Q233="",R233=""),"",IFERROR(INDEX(T_LIBAT,MATCH(Q233,L_PER,0),MATCH(R233,L_JENIS,0)),0))</f>
        <v/>
      </c>
      <c r="T233" s="11" t="n"/>
      <c r="U233" s="11" t="n"/>
      <c r="V233" s="10">
        <f>IF(AND(T233="",U233=""),"",IFERROR(INDEX(T_CAPAI,MATCH(T233,L_PER,0),MATCH(U233,L_KED,0)),0))</f>
        <v/>
      </c>
      <c r="W233" s="17">
        <f>IF(OR(B233="",E233="",COUNTA(F233,H233,J233:M233,O233,Q233:R233,T233:U233)=0),"",SUM(G233,I233,N233,P233,S233,V233))</f>
        <v/>
      </c>
      <c r="X233" s="18">
        <f>IF(W233="","",IF(Murid!F233="TL","TL",ROUND(W233/110*100,2)))</f>
        <v/>
      </c>
    </row>
    <row r="234">
      <c r="A234" s="15">
        <f>Murid!A234</f>
        <v/>
      </c>
      <c r="B234" s="15">
        <f>IF(Murid!B234="","",Murid!B234)</f>
        <v/>
      </c>
      <c r="C234" s="16">
        <f>IF(Murid!C234="","",Murid!C234)</f>
        <v/>
      </c>
      <c r="D234" s="15">
        <f>IF(Murid!E234="","",Murid!E234)</f>
        <v/>
      </c>
      <c r="E234" s="11" t="n"/>
      <c r="F234" s="11" t="n"/>
      <c r="G234" s="10">
        <f>IF(F234="","",IFERROR(VLOOKUP(F234,T_JSP,2,FALSE),0))</f>
        <v/>
      </c>
      <c r="H234" s="11" t="n"/>
      <c r="I234" s="17">
        <f>IF(H234="","",IF(H234&gt;=12,40,ROUND(H234*3.33,2)))</f>
        <v/>
      </c>
      <c r="J234" s="11" t="n"/>
      <c r="K234" s="11" t="n"/>
      <c r="L234" s="11" t="n"/>
      <c r="M234" s="11" t="n"/>
      <c r="N234" s="10">
        <f>IF(COUNTA(J234:M234)=0,"",MIN(10,SUMPRODUCT((COUNTIF(J234:M234,L_KOM)&gt;0)*S_KOM)))</f>
        <v/>
      </c>
      <c r="O234" s="11" t="n"/>
      <c r="P234" s="10">
        <f>IF(O234="","",IFERROR(VLOOKUP(O234,T_KHID,2,FALSE),0))</f>
        <v/>
      </c>
      <c r="Q234" s="11" t="n"/>
      <c r="R234" s="11" t="n"/>
      <c r="S234" s="10">
        <f>IF(AND(Q234="",R234=""),"",IFERROR(INDEX(T_LIBAT,MATCH(Q234,L_PER,0),MATCH(R234,L_JENIS,0)),0))</f>
        <v/>
      </c>
      <c r="T234" s="11" t="n"/>
      <c r="U234" s="11" t="n"/>
      <c r="V234" s="10">
        <f>IF(AND(T234="",U234=""),"",IFERROR(INDEX(T_CAPAI,MATCH(T234,L_PER,0),MATCH(U234,L_KED,0)),0))</f>
        <v/>
      </c>
      <c r="W234" s="17">
        <f>IF(OR(B234="",E234="",COUNTA(F234,H234,J234:M234,O234,Q234:R234,T234:U234)=0),"",SUM(G234,I234,N234,P234,S234,V234))</f>
        <v/>
      </c>
      <c r="X234" s="18">
        <f>IF(W234="","",IF(Murid!F234="TL","TL",ROUND(W234/110*100,2)))</f>
        <v/>
      </c>
    </row>
    <row r="235">
      <c r="A235" s="15">
        <f>Murid!A235</f>
        <v/>
      </c>
      <c r="B235" s="15">
        <f>IF(Murid!B235="","",Murid!B235)</f>
        <v/>
      </c>
      <c r="C235" s="16">
        <f>IF(Murid!C235="","",Murid!C235)</f>
        <v/>
      </c>
      <c r="D235" s="15">
        <f>IF(Murid!E235="","",Murid!E235)</f>
        <v/>
      </c>
      <c r="E235" s="11" t="n"/>
      <c r="F235" s="11" t="n"/>
      <c r="G235" s="10">
        <f>IF(F235="","",IFERROR(VLOOKUP(F235,T_JSP,2,FALSE),0))</f>
        <v/>
      </c>
      <c r="H235" s="11" t="n"/>
      <c r="I235" s="17">
        <f>IF(H235="","",IF(H235&gt;=12,40,ROUND(H235*3.33,2)))</f>
        <v/>
      </c>
      <c r="J235" s="11" t="n"/>
      <c r="K235" s="11" t="n"/>
      <c r="L235" s="11" t="n"/>
      <c r="M235" s="11" t="n"/>
      <c r="N235" s="10">
        <f>IF(COUNTA(J235:M235)=0,"",MIN(10,SUMPRODUCT((COUNTIF(J235:M235,L_KOM)&gt;0)*S_KOM)))</f>
        <v/>
      </c>
      <c r="O235" s="11" t="n"/>
      <c r="P235" s="10">
        <f>IF(O235="","",IFERROR(VLOOKUP(O235,T_KHID,2,FALSE),0))</f>
        <v/>
      </c>
      <c r="Q235" s="11" t="n"/>
      <c r="R235" s="11" t="n"/>
      <c r="S235" s="10">
        <f>IF(AND(Q235="",R235=""),"",IFERROR(INDEX(T_LIBAT,MATCH(Q235,L_PER,0),MATCH(R235,L_JENIS,0)),0))</f>
        <v/>
      </c>
      <c r="T235" s="11" t="n"/>
      <c r="U235" s="11" t="n"/>
      <c r="V235" s="10">
        <f>IF(AND(T235="",U235=""),"",IFERROR(INDEX(T_CAPAI,MATCH(T235,L_PER,0),MATCH(U235,L_KED,0)),0))</f>
        <v/>
      </c>
      <c r="W235" s="17">
        <f>IF(OR(B235="",E235="",COUNTA(F235,H235,J235:M235,O235,Q235:R235,T235:U235)=0),"",SUM(G235,I235,N235,P235,S235,V235))</f>
        <v/>
      </c>
      <c r="X235" s="18">
        <f>IF(W235="","",IF(Murid!F235="TL","TL",ROUND(W235/110*100,2)))</f>
        <v/>
      </c>
    </row>
    <row r="236">
      <c r="A236" s="15">
        <f>Murid!A236</f>
        <v/>
      </c>
      <c r="B236" s="15">
        <f>IF(Murid!B236="","",Murid!B236)</f>
        <v/>
      </c>
      <c r="C236" s="16">
        <f>IF(Murid!C236="","",Murid!C236)</f>
        <v/>
      </c>
      <c r="D236" s="15">
        <f>IF(Murid!E236="","",Murid!E236)</f>
        <v/>
      </c>
      <c r="E236" s="11" t="n"/>
      <c r="F236" s="11" t="n"/>
      <c r="G236" s="10">
        <f>IF(F236="","",IFERROR(VLOOKUP(F236,T_JSP,2,FALSE),0))</f>
        <v/>
      </c>
      <c r="H236" s="11" t="n"/>
      <c r="I236" s="17">
        <f>IF(H236="","",IF(H236&gt;=12,40,ROUND(H236*3.33,2)))</f>
        <v/>
      </c>
      <c r="J236" s="11" t="n"/>
      <c r="K236" s="11" t="n"/>
      <c r="L236" s="11" t="n"/>
      <c r="M236" s="11" t="n"/>
      <c r="N236" s="10">
        <f>IF(COUNTA(J236:M236)=0,"",MIN(10,SUMPRODUCT((COUNTIF(J236:M236,L_KOM)&gt;0)*S_KOM)))</f>
        <v/>
      </c>
      <c r="O236" s="11" t="n"/>
      <c r="P236" s="10">
        <f>IF(O236="","",IFERROR(VLOOKUP(O236,T_KHID,2,FALSE),0))</f>
        <v/>
      </c>
      <c r="Q236" s="11" t="n"/>
      <c r="R236" s="11" t="n"/>
      <c r="S236" s="10">
        <f>IF(AND(Q236="",R236=""),"",IFERROR(INDEX(T_LIBAT,MATCH(Q236,L_PER,0),MATCH(R236,L_JENIS,0)),0))</f>
        <v/>
      </c>
      <c r="T236" s="11" t="n"/>
      <c r="U236" s="11" t="n"/>
      <c r="V236" s="10">
        <f>IF(AND(T236="",U236=""),"",IFERROR(INDEX(T_CAPAI,MATCH(T236,L_PER,0),MATCH(U236,L_KED,0)),0))</f>
        <v/>
      </c>
      <c r="W236" s="17">
        <f>IF(OR(B236="",E236="",COUNTA(F236,H236,J236:M236,O236,Q236:R236,T236:U236)=0),"",SUM(G236,I236,N236,P236,S236,V236))</f>
        <v/>
      </c>
      <c r="X236" s="18">
        <f>IF(W236="","",IF(Murid!F236="TL","TL",ROUND(W236/110*100,2)))</f>
        <v/>
      </c>
    </row>
    <row r="237">
      <c r="A237" s="15">
        <f>Murid!A237</f>
        <v/>
      </c>
      <c r="B237" s="15">
        <f>IF(Murid!B237="","",Murid!B237)</f>
        <v/>
      </c>
      <c r="C237" s="16">
        <f>IF(Murid!C237="","",Murid!C237)</f>
        <v/>
      </c>
      <c r="D237" s="15">
        <f>IF(Murid!E237="","",Murid!E237)</f>
        <v/>
      </c>
      <c r="E237" s="11" t="n"/>
      <c r="F237" s="11" t="n"/>
      <c r="G237" s="10">
        <f>IF(F237="","",IFERROR(VLOOKUP(F237,T_JSP,2,FALSE),0))</f>
        <v/>
      </c>
      <c r="H237" s="11" t="n"/>
      <c r="I237" s="17">
        <f>IF(H237="","",IF(H237&gt;=12,40,ROUND(H237*3.33,2)))</f>
        <v/>
      </c>
      <c r="J237" s="11" t="n"/>
      <c r="K237" s="11" t="n"/>
      <c r="L237" s="11" t="n"/>
      <c r="M237" s="11" t="n"/>
      <c r="N237" s="10">
        <f>IF(COUNTA(J237:M237)=0,"",MIN(10,SUMPRODUCT((COUNTIF(J237:M237,L_KOM)&gt;0)*S_KOM)))</f>
        <v/>
      </c>
      <c r="O237" s="11" t="n"/>
      <c r="P237" s="10">
        <f>IF(O237="","",IFERROR(VLOOKUP(O237,T_KHID,2,FALSE),0))</f>
        <v/>
      </c>
      <c r="Q237" s="11" t="n"/>
      <c r="R237" s="11" t="n"/>
      <c r="S237" s="10">
        <f>IF(AND(Q237="",R237=""),"",IFERROR(INDEX(T_LIBAT,MATCH(Q237,L_PER,0),MATCH(R237,L_JENIS,0)),0))</f>
        <v/>
      </c>
      <c r="T237" s="11" t="n"/>
      <c r="U237" s="11" t="n"/>
      <c r="V237" s="10">
        <f>IF(AND(T237="",U237=""),"",IFERROR(INDEX(T_CAPAI,MATCH(T237,L_PER,0),MATCH(U237,L_KED,0)),0))</f>
        <v/>
      </c>
      <c r="W237" s="17">
        <f>IF(OR(B237="",E237="",COUNTA(F237,H237,J237:M237,O237,Q237:R237,T237:U237)=0),"",SUM(G237,I237,N237,P237,S237,V237))</f>
        <v/>
      </c>
      <c r="X237" s="18">
        <f>IF(W237="","",IF(Murid!F237="TL","TL",ROUND(W237/110*100,2)))</f>
        <v/>
      </c>
    </row>
    <row r="238">
      <c r="A238" s="15">
        <f>Murid!A238</f>
        <v/>
      </c>
      <c r="B238" s="15">
        <f>IF(Murid!B238="","",Murid!B238)</f>
        <v/>
      </c>
      <c r="C238" s="16">
        <f>IF(Murid!C238="","",Murid!C238)</f>
        <v/>
      </c>
      <c r="D238" s="15">
        <f>IF(Murid!E238="","",Murid!E238)</f>
        <v/>
      </c>
      <c r="E238" s="11" t="n"/>
      <c r="F238" s="11" t="n"/>
      <c r="G238" s="10">
        <f>IF(F238="","",IFERROR(VLOOKUP(F238,T_JSP,2,FALSE),0))</f>
        <v/>
      </c>
      <c r="H238" s="11" t="n"/>
      <c r="I238" s="17">
        <f>IF(H238="","",IF(H238&gt;=12,40,ROUND(H238*3.33,2)))</f>
        <v/>
      </c>
      <c r="J238" s="11" t="n"/>
      <c r="K238" s="11" t="n"/>
      <c r="L238" s="11" t="n"/>
      <c r="M238" s="11" t="n"/>
      <c r="N238" s="10">
        <f>IF(COUNTA(J238:M238)=0,"",MIN(10,SUMPRODUCT((COUNTIF(J238:M238,L_KOM)&gt;0)*S_KOM)))</f>
        <v/>
      </c>
      <c r="O238" s="11" t="n"/>
      <c r="P238" s="10">
        <f>IF(O238="","",IFERROR(VLOOKUP(O238,T_KHID,2,FALSE),0))</f>
        <v/>
      </c>
      <c r="Q238" s="11" t="n"/>
      <c r="R238" s="11" t="n"/>
      <c r="S238" s="10">
        <f>IF(AND(Q238="",R238=""),"",IFERROR(INDEX(T_LIBAT,MATCH(Q238,L_PER,0),MATCH(R238,L_JENIS,0)),0))</f>
        <v/>
      </c>
      <c r="T238" s="11" t="n"/>
      <c r="U238" s="11" t="n"/>
      <c r="V238" s="10">
        <f>IF(AND(T238="",U238=""),"",IFERROR(INDEX(T_CAPAI,MATCH(T238,L_PER,0),MATCH(U238,L_KED,0)),0))</f>
        <v/>
      </c>
      <c r="W238" s="17">
        <f>IF(OR(B238="",E238="",COUNTA(F238,H238,J238:M238,O238,Q238:R238,T238:U238)=0),"",SUM(G238,I238,N238,P238,S238,V238))</f>
        <v/>
      </c>
      <c r="X238" s="18">
        <f>IF(W238="","",IF(Murid!F238="TL","TL",ROUND(W238/110*100,2)))</f>
        <v/>
      </c>
    </row>
    <row r="239">
      <c r="A239" s="15">
        <f>Murid!A239</f>
        <v/>
      </c>
      <c r="B239" s="15">
        <f>IF(Murid!B239="","",Murid!B239)</f>
        <v/>
      </c>
      <c r="C239" s="16">
        <f>IF(Murid!C239="","",Murid!C239)</f>
        <v/>
      </c>
      <c r="D239" s="15">
        <f>IF(Murid!E239="","",Murid!E239)</f>
        <v/>
      </c>
      <c r="E239" s="11" t="n"/>
      <c r="F239" s="11" t="n"/>
      <c r="G239" s="10">
        <f>IF(F239="","",IFERROR(VLOOKUP(F239,T_JSP,2,FALSE),0))</f>
        <v/>
      </c>
      <c r="H239" s="11" t="n"/>
      <c r="I239" s="17">
        <f>IF(H239="","",IF(H239&gt;=12,40,ROUND(H239*3.33,2)))</f>
        <v/>
      </c>
      <c r="J239" s="11" t="n"/>
      <c r="K239" s="11" t="n"/>
      <c r="L239" s="11" t="n"/>
      <c r="M239" s="11" t="n"/>
      <c r="N239" s="10">
        <f>IF(COUNTA(J239:M239)=0,"",MIN(10,SUMPRODUCT((COUNTIF(J239:M239,L_KOM)&gt;0)*S_KOM)))</f>
        <v/>
      </c>
      <c r="O239" s="11" t="n"/>
      <c r="P239" s="10">
        <f>IF(O239="","",IFERROR(VLOOKUP(O239,T_KHID,2,FALSE),0))</f>
        <v/>
      </c>
      <c r="Q239" s="11" t="n"/>
      <c r="R239" s="11" t="n"/>
      <c r="S239" s="10">
        <f>IF(AND(Q239="",R239=""),"",IFERROR(INDEX(T_LIBAT,MATCH(Q239,L_PER,0),MATCH(R239,L_JENIS,0)),0))</f>
        <v/>
      </c>
      <c r="T239" s="11" t="n"/>
      <c r="U239" s="11" t="n"/>
      <c r="V239" s="10">
        <f>IF(AND(T239="",U239=""),"",IFERROR(INDEX(T_CAPAI,MATCH(T239,L_PER,0),MATCH(U239,L_KED,0)),0))</f>
        <v/>
      </c>
      <c r="W239" s="17">
        <f>IF(OR(B239="",E239="",COUNTA(F239,H239,J239:M239,O239,Q239:R239,T239:U239)=0),"",SUM(G239,I239,N239,P239,S239,V239))</f>
        <v/>
      </c>
      <c r="X239" s="18">
        <f>IF(W239="","",IF(Murid!F239="TL","TL",ROUND(W239/110*100,2)))</f>
        <v/>
      </c>
    </row>
    <row r="240">
      <c r="A240" s="15">
        <f>Murid!A240</f>
        <v/>
      </c>
      <c r="B240" s="15">
        <f>IF(Murid!B240="","",Murid!B240)</f>
        <v/>
      </c>
      <c r="C240" s="16">
        <f>IF(Murid!C240="","",Murid!C240)</f>
        <v/>
      </c>
      <c r="D240" s="15">
        <f>IF(Murid!E240="","",Murid!E240)</f>
        <v/>
      </c>
      <c r="E240" s="11" t="n"/>
      <c r="F240" s="11" t="n"/>
      <c r="G240" s="10">
        <f>IF(F240="","",IFERROR(VLOOKUP(F240,T_JSP,2,FALSE),0))</f>
        <v/>
      </c>
      <c r="H240" s="11" t="n"/>
      <c r="I240" s="17">
        <f>IF(H240="","",IF(H240&gt;=12,40,ROUND(H240*3.33,2)))</f>
        <v/>
      </c>
      <c r="J240" s="11" t="n"/>
      <c r="K240" s="11" t="n"/>
      <c r="L240" s="11" t="n"/>
      <c r="M240" s="11" t="n"/>
      <c r="N240" s="10">
        <f>IF(COUNTA(J240:M240)=0,"",MIN(10,SUMPRODUCT((COUNTIF(J240:M240,L_KOM)&gt;0)*S_KOM)))</f>
        <v/>
      </c>
      <c r="O240" s="11" t="n"/>
      <c r="P240" s="10">
        <f>IF(O240="","",IFERROR(VLOOKUP(O240,T_KHID,2,FALSE),0))</f>
        <v/>
      </c>
      <c r="Q240" s="11" t="n"/>
      <c r="R240" s="11" t="n"/>
      <c r="S240" s="10">
        <f>IF(AND(Q240="",R240=""),"",IFERROR(INDEX(T_LIBAT,MATCH(Q240,L_PER,0),MATCH(R240,L_JENIS,0)),0))</f>
        <v/>
      </c>
      <c r="T240" s="11" t="n"/>
      <c r="U240" s="11" t="n"/>
      <c r="V240" s="10">
        <f>IF(AND(T240="",U240=""),"",IFERROR(INDEX(T_CAPAI,MATCH(T240,L_PER,0),MATCH(U240,L_KED,0)),0))</f>
        <v/>
      </c>
      <c r="W240" s="17">
        <f>IF(OR(B240="",E240="",COUNTA(F240,H240,J240:M240,O240,Q240:R240,T240:U240)=0),"",SUM(G240,I240,N240,P240,S240,V240))</f>
        <v/>
      </c>
      <c r="X240" s="18">
        <f>IF(W240="","",IF(Murid!F240="TL","TL",ROUND(W240/110*100,2)))</f>
        <v/>
      </c>
    </row>
    <row r="241">
      <c r="A241" s="15">
        <f>Murid!A241</f>
        <v/>
      </c>
      <c r="B241" s="15">
        <f>IF(Murid!B241="","",Murid!B241)</f>
        <v/>
      </c>
      <c r="C241" s="16">
        <f>IF(Murid!C241="","",Murid!C241)</f>
        <v/>
      </c>
      <c r="D241" s="15">
        <f>IF(Murid!E241="","",Murid!E241)</f>
        <v/>
      </c>
      <c r="E241" s="11" t="n"/>
      <c r="F241" s="11" t="n"/>
      <c r="G241" s="10">
        <f>IF(F241="","",IFERROR(VLOOKUP(F241,T_JSP,2,FALSE),0))</f>
        <v/>
      </c>
      <c r="H241" s="11" t="n"/>
      <c r="I241" s="17">
        <f>IF(H241="","",IF(H241&gt;=12,40,ROUND(H241*3.33,2)))</f>
        <v/>
      </c>
      <c r="J241" s="11" t="n"/>
      <c r="K241" s="11" t="n"/>
      <c r="L241" s="11" t="n"/>
      <c r="M241" s="11" t="n"/>
      <c r="N241" s="10">
        <f>IF(COUNTA(J241:M241)=0,"",MIN(10,SUMPRODUCT((COUNTIF(J241:M241,L_KOM)&gt;0)*S_KOM)))</f>
        <v/>
      </c>
      <c r="O241" s="11" t="n"/>
      <c r="P241" s="10">
        <f>IF(O241="","",IFERROR(VLOOKUP(O241,T_KHID,2,FALSE),0))</f>
        <v/>
      </c>
      <c r="Q241" s="11" t="n"/>
      <c r="R241" s="11" t="n"/>
      <c r="S241" s="10">
        <f>IF(AND(Q241="",R241=""),"",IFERROR(INDEX(T_LIBAT,MATCH(Q241,L_PER,0),MATCH(R241,L_JENIS,0)),0))</f>
        <v/>
      </c>
      <c r="T241" s="11" t="n"/>
      <c r="U241" s="11" t="n"/>
      <c r="V241" s="10">
        <f>IF(AND(T241="",U241=""),"",IFERROR(INDEX(T_CAPAI,MATCH(T241,L_PER,0),MATCH(U241,L_KED,0)),0))</f>
        <v/>
      </c>
      <c r="W241" s="17">
        <f>IF(OR(B241="",E241="",COUNTA(F241,H241,J241:M241,O241,Q241:R241,T241:U241)=0),"",SUM(G241,I241,N241,P241,S241,V241))</f>
        <v/>
      </c>
      <c r="X241" s="18">
        <f>IF(W241="","",IF(Murid!F241="TL","TL",ROUND(W241/110*100,2)))</f>
        <v/>
      </c>
    </row>
    <row r="242">
      <c r="A242" s="15">
        <f>Murid!A242</f>
        <v/>
      </c>
      <c r="B242" s="15">
        <f>IF(Murid!B242="","",Murid!B242)</f>
        <v/>
      </c>
      <c r="C242" s="16">
        <f>IF(Murid!C242="","",Murid!C242)</f>
        <v/>
      </c>
      <c r="D242" s="15">
        <f>IF(Murid!E242="","",Murid!E242)</f>
        <v/>
      </c>
      <c r="E242" s="11" t="n"/>
      <c r="F242" s="11" t="n"/>
      <c r="G242" s="10">
        <f>IF(F242="","",IFERROR(VLOOKUP(F242,T_JSP,2,FALSE),0))</f>
        <v/>
      </c>
      <c r="H242" s="11" t="n"/>
      <c r="I242" s="17">
        <f>IF(H242="","",IF(H242&gt;=12,40,ROUND(H242*3.33,2)))</f>
        <v/>
      </c>
      <c r="J242" s="11" t="n"/>
      <c r="K242" s="11" t="n"/>
      <c r="L242" s="11" t="n"/>
      <c r="M242" s="11" t="n"/>
      <c r="N242" s="10">
        <f>IF(COUNTA(J242:M242)=0,"",MIN(10,SUMPRODUCT((COUNTIF(J242:M242,L_KOM)&gt;0)*S_KOM)))</f>
        <v/>
      </c>
      <c r="O242" s="11" t="n"/>
      <c r="P242" s="10">
        <f>IF(O242="","",IFERROR(VLOOKUP(O242,T_KHID,2,FALSE),0))</f>
        <v/>
      </c>
      <c r="Q242" s="11" t="n"/>
      <c r="R242" s="11" t="n"/>
      <c r="S242" s="10">
        <f>IF(AND(Q242="",R242=""),"",IFERROR(INDEX(T_LIBAT,MATCH(Q242,L_PER,0),MATCH(R242,L_JENIS,0)),0))</f>
        <v/>
      </c>
      <c r="T242" s="11" t="n"/>
      <c r="U242" s="11" t="n"/>
      <c r="V242" s="10">
        <f>IF(AND(T242="",U242=""),"",IFERROR(INDEX(T_CAPAI,MATCH(T242,L_PER,0),MATCH(U242,L_KED,0)),0))</f>
        <v/>
      </c>
      <c r="W242" s="17">
        <f>IF(OR(B242="",E242="",COUNTA(F242,H242,J242:M242,O242,Q242:R242,T242:U242)=0),"",SUM(G242,I242,N242,P242,S242,V242))</f>
        <v/>
      </c>
      <c r="X242" s="18">
        <f>IF(W242="","",IF(Murid!F242="TL","TL",ROUND(W242/110*100,2)))</f>
        <v/>
      </c>
    </row>
    <row r="243">
      <c r="A243" s="15">
        <f>Murid!A243</f>
        <v/>
      </c>
      <c r="B243" s="15">
        <f>IF(Murid!B243="","",Murid!B243)</f>
        <v/>
      </c>
      <c r="C243" s="16">
        <f>IF(Murid!C243="","",Murid!C243)</f>
        <v/>
      </c>
      <c r="D243" s="15">
        <f>IF(Murid!E243="","",Murid!E243)</f>
        <v/>
      </c>
      <c r="E243" s="11" t="n"/>
      <c r="F243" s="11" t="n"/>
      <c r="G243" s="10">
        <f>IF(F243="","",IFERROR(VLOOKUP(F243,T_JSP,2,FALSE),0))</f>
        <v/>
      </c>
      <c r="H243" s="11" t="n"/>
      <c r="I243" s="17">
        <f>IF(H243="","",IF(H243&gt;=12,40,ROUND(H243*3.33,2)))</f>
        <v/>
      </c>
      <c r="J243" s="11" t="n"/>
      <c r="K243" s="11" t="n"/>
      <c r="L243" s="11" t="n"/>
      <c r="M243" s="11" t="n"/>
      <c r="N243" s="10">
        <f>IF(COUNTA(J243:M243)=0,"",MIN(10,SUMPRODUCT((COUNTIF(J243:M243,L_KOM)&gt;0)*S_KOM)))</f>
        <v/>
      </c>
      <c r="O243" s="11" t="n"/>
      <c r="P243" s="10">
        <f>IF(O243="","",IFERROR(VLOOKUP(O243,T_KHID,2,FALSE),0))</f>
        <v/>
      </c>
      <c r="Q243" s="11" t="n"/>
      <c r="R243" s="11" t="n"/>
      <c r="S243" s="10">
        <f>IF(AND(Q243="",R243=""),"",IFERROR(INDEX(T_LIBAT,MATCH(Q243,L_PER,0),MATCH(R243,L_JENIS,0)),0))</f>
        <v/>
      </c>
      <c r="T243" s="11" t="n"/>
      <c r="U243" s="11" t="n"/>
      <c r="V243" s="10">
        <f>IF(AND(T243="",U243=""),"",IFERROR(INDEX(T_CAPAI,MATCH(T243,L_PER,0),MATCH(U243,L_KED,0)),0))</f>
        <v/>
      </c>
      <c r="W243" s="17">
        <f>IF(OR(B243="",E243="",COUNTA(F243,H243,J243:M243,O243,Q243:R243,T243:U243)=0),"",SUM(G243,I243,N243,P243,S243,V243))</f>
        <v/>
      </c>
      <c r="X243" s="18">
        <f>IF(W243="","",IF(Murid!F243="TL","TL",ROUND(W243/110*100,2)))</f>
        <v/>
      </c>
    </row>
    <row r="244">
      <c r="A244" s="15">
        <f>Murid!A244</f>
        <v/>
      </c>
      <c r="B244" s="15">
        <f>IF(Murid!B244="","",Murid!B244)</f>
        <v/>
      </c>
      <c r="C244" s="16">
        <f>IF(Murid!C244="","",Murid!C244)</f>
        <v/>
      </c>
      <c r="D244" s="15">
        <f>IF(Murid!E244="","",Murid!E244)</f>
        <v/>
      </c>
      <c r="E244" s="11" t="n"/>
      <c r="F244" s="11" t="n"/>
      <c r="G244" s="10">
        <f>IF(F244="","",IFERROR(VLOOKUP(F244,T_JSP,2,FALSE),0))</f>
        <v/>
      </c>
      <c r="H244" s="11" t="n"/>
      <c r="I244" s="17">
        <f>IF(H244="","",IF(H244&gt;=12,40,ROUND(H244*3.33,2)))</f>
        <v/>
      </c>
      <c r="J244" s="11" t="n"/>
      <c r="K244" s="11" t="n"/>
      <c r="L244" s="11" t="n"/>
      <c r="M244" s="11" t="n"/>
      <c r="N244" s="10">
        <f>IF(COUNTA(J244:M244)=0,"",MIN(10,SUMPRODUCT((COUNTIF(J244:M244,L_KOM)&gt;0)*S_KOM)))</f>
        <v/>
      </c>
      <c r="O244" s="11" t="n"/>
      <c r="P244" s="10">
        <f>IF(O244="","",IFERROR(VLOOKUP(O244,T_KHID,2,FALSE),0))</f>
        <v/>
      </c>
      <c r="Q244" s="11" t="n"/>
      <c r="R244" s="11" t="n"/>
      <c r="S244" s="10">
        <f>IF(AND(Q244="",R244=""),"",IFERROR(INDEX(T_LIBAT,MATCH(Q244,L_PER,0),MATCH(R244,L_JENIS,0)),0))</f>
        <v/>
      </c>
      <c r="T244" s="11" t="n"/>
      <c r="U244" s="11" t="n"/>
      <c r="V244" s="10">
        <f>IF(AND(T244="",U244=""),"",IFERROR(INDEX(T_CAPAI,MATCH(T244,L_PER,0),MATCH(U244,L_KED,0)),0))</f>
        <v/>
      </c>
      <c r="W244" s="17">
        <f>IF(OR(B244="",E244="",COUNTA(F244,H244,J244:M244,O244,Q244:R244,T244:U244)=0),"",SUM(G244,I244,N244,P244,S244,V244))</f>
        <v/>
      </c>
      <c r="X244" s="18">
        <f>IF(W244="","",IF(Murid!F244="TL","TL",ROUND(W244/110*100,2)))</f>
        <v/>
      </c>
    </row>
    <row r="245">
      <c r="A245" s="15">
        <f>Murid!A245</f>
        <v/>
      </c>
      <c r="B245" s="15">
        <f>IF(Murid!B245="","",Murid!B245)</f>
        <v/>
      </c>
      <c r="C245" s="16">
        <f>IF(Murid!C245="","",Murid!C245)</f>
        <v/>
      </c>
      <c r="D245" s="15">
        <f>IF(Murid!E245="","",Murid!E245)</f>
        <v/>
      </c>
      <c r="E245" s="11" t="n"/>
      <c r="F245" s="11" t="n"/>
      <c r="G245" s="10">
        <f>IF(F245="","",IFERROR(VLOOKUP(F245,T_JSP,2,FALSE),0))</f>
        <v/>
      </c>
      <c r="H245" s="11" t="n"/>
      <c r="I245" s="17">
        <f>IF(H245="","",IF(H245&gt;=12,40,ROUND(H245*3.33,2)))</f>
        <v/>
      </c>
      <c r="J245" s="11" t="n"/>
      <c r="K245" s="11" t="n"/>
      <c r="L245" s="11" t="n"/>
      <c r="M245" s="11" t="n"/>
      <c r="N245" s="10">
        <f>IF(COUNTA(J245:M245)=0,"",MIN(10,SUMPRODUCT((COUNTIF(J245:M245,L_KOM)&gt;0)*S_KOM)))</f>
        <v/>
      </c>
      <c r="O245" s="11" t="n"/>
      <c r="P245" s="10">
        <f>IF(O245="","",IFERROR(VLOOKUP(O245,T_KHID,2,FALSE),0))</f>
        <v/>
      </c>
      <c r="Q245" s="11" t="n"/>
      <c r="R245" s="11" t="n"/>
      <c r="S245" s="10">
        <f>IF(AND(Q245="",R245=""),"",IFERROR(INDEX(T_LIBAT,MATCH(Q245,L_PER,0),MATCH(R245,L_JENIS,0)),0))</f>
        <v/>
      </c>
      <c r="T245" s="11" t="n"/>
      <c r="U245" s="11" t="n"/>
      <c r="V245" s="10">
        <f>IF(AND(T245="",U245=""),"",IFERROR(INDEX(T_CAPAI,MATCH(T245,L_PER,0),MATCH(U245,L_KED,0)),0))</f>
        <v/>
      </c>
      <c r="W245" s="17">
        <f>IF(OR(B245="",E245="",COUNTA(F245,H245,J245:M245,O245,Q245:R245,T245:U245)=0),"",SUM(G245,I245,N245,P245,S245,V245))</f>
        <v/>
      </c>
      <c r="X245" s="18">
        <f>IF(W245="","",IF(Murid!F245="TL","TL",ROUND(W245/110*100,2)))</f>
        <v/>
      </c>
    </row>
    <row r="246">
      <c r="A246" s="15">
        <f>Murid!A246</f>
        <v/>
      </c>
      <c r="B246" s="15">
        <f>IF(Murid!B246="","",Murid!B246)</f>
        <v/>
      </c>
      <c r="C246" s="16">
        <f>IF(Murid!C246="","",Murid!C246)</f>
        <v/>
      </c>
      <c r="D246" s="15">
        <f>IF(Murid!E246="","",Murid!E246)</f>
        <v/>
      </c>
      <c r="E246" s="11" t="n"/>
      <c r="F246" s="11" t="n"/>
      <c r="G246" s="10">
        <f>IF(F246="","",IFERROR(VLOOKUP(F246,T_JSP,2,FALSE),0))</f>
        <v/>
      </c>
      <c r="H246" s="11" t="n"/>
      <c r="I246" s="17">
        <f>IF(H246="","",IF(H246&gt;=12,40,ROUND(H246*3.33,2)))</f>
        <v/>
      </c>
      <c r="J246" s="11" t="n"/>
      <c r="K246" s="11" t="n"/>
      <c r="L246" s="11" t="n"/>
      <c r="M246" s="11" t="n"/>
      <c r="N246" s="10">
        <f>IF(COUNTA(J246:M246)=0,"",MIN(10,SUMPRODUCT((COUNTIF(J246:M246,L_KOM)&gt;0)*S_KOM)))</f>
        <v/>
      </c>
      <c r="O246" s="11" t="n"/>
      <c r="P246" s="10">
        <f>IF(O246="","",IFERROR(VLOOKUP(O246,T_KHID,2,FALSE),0))</f>
        <v/>
      </c>
      <c r="Q246" s="11" t="n"/>
      <c r="R246" s="11" t="n"/>
      <c r="S246" s="10">
        <f>IF(AND(Q246="",R246=""),"",IFERROR(INDEX(T_LIBAT,MATCH(Q246,L_PER,0),MATCH(R246,L_JENIS,0)),0))</f>
        <v/>
      </c>
      <c r="T246" s="11" t="n"/>
      <c r="U246" s="11" t="n"/>
      <c r="V246" s="10">
        <f>IF(AND(T246="",U246=""),"",IFERROR(INDEX(T_CAPAI,MATCH(T246,L_PER,0),MATCH(U246,L_KED,0)),0))</f>
        <v/>
      </c>
      <c r="W246" s="17">
        <f>IF(OR(B246="",E246="",COUNTA(F246,H246,J246:M246,O246,Q246:R246,T246:U246)=0),"",SUM(G246,I246,N246,P246,S246,V246))</f>
        <v/>
      </c>
      <c r="X246" s="18">
        <f>IF(W246="","",IF(Murid!F246="TL","TL",ROUND(W246/110*100,2)))</f>
        <v/>
      </c>
    </row>
    <row r="247">
      <c r="A247" s="15">
        <f>Murid!A247</f>
        <v/>
      </c>
      <c r="B247" s="15">
        <f>IF(Murid!B247="","",Murid!B247)</f>
        <v/>
      </c>
      <c r="C247" s="16">
        <f>IF(Murid!C247="","",Murid!C247)</f>
        <v/>
      </c>
      <c r="D247" s="15">
        <f>IF(Murid!E247="","",Murid!E247)</f>
        <v/>
      </c>
      <c r="E247" s="11" t="n"/>
      <c r="F247" s="11" t="n"/>
      <c r="G247" s="10">
        <f>IF(F247="","",IFERROR(VLOOKUP(F247,T_JSP,2,FALSE),0))</f>
        <v/>
      </c>
      <c r="H247" s="11" t="n"/>
      <c r="I247" s="17">
        <f>IF(H247="","",IF(H247&gt;=12,40,ROUND(H247*3.33,2)))</f>
        <v/>
      </c>
      <c r="J247" s="11" t="n"/>
      <c r="K247" s="11" t="n"/>
      <c r="L247" s="11" t="n"/>
      <c r="M247" s="11" t="n"/>
      <c r="N247" s="10">
        <f>IF(COUNTA(J247:M247)=0,"",MIN(10,SUMPRODUCT((COUNTIF(J247:M247,L_KOM)&gt;0)*S_KOM)))</f>
        <v/>
      </c>
      <c r="O247" s="11" t="n"/>
      <c r="P247" s="10">
        <f>IF(O247="","",IFERROR(VLOOKUP(O247,T_KHID,2,FALSE),0))</f>
        <v/>
      </c>
      <c r="Q247" s="11" t="n"/>
      <c r="R247" s="11" t="n"/>
      <c r="S247" s="10">
        <f>IF(AND(Q247="",R247=""),"",IFERROR(INDEX(T_LIBAT,MATCH(Q247,L_PER,0),MATCH(R247,L_JENIS,0)),0))</f>
        <v/>
      </c>
      <c r="T247" s="11" t="n"/>
      <c r="U247" s="11" t="n"/>
      <c r="V247" s="10">
        <f>IF(AND(T247="",U247=""),"",IFERROR(INDEX(T_CAPAI,MATCH(T247,L_PER,0),MATCH(U247,L_KED,0)),0))</f>
        <v/>
      </c>
      <c r="W247" s="17">
        <f>IF(OR(B247="",E247="",COUNTA(F247,H247,J247:M247,O247,Q247:R247,T247:U247)=0),"",SUM(G247,I247,N247,P247,S247,V247))</f>
        <v/>
      </c>
      <c r="X247" s="18">
        <f>IF(W247="","",IF(Murid!F247="TL","TL",ROUND(W247/110*100,2)))</f>
        <v/>
      </c>
    </row>
    <row r="248">
      <c r="A248" s="15">
        <f>Murid!A248</f>
        <v/>
      </c>
      <c r="B248" s="15">
        <f>IF(Murid!B248="","",Murid!B248)</f>
        <v/>
      </c>
      <c r="C248" s="16">
        <f>IF(Murid!C248="","",Murid!C248)</f>
        <v/>
      </c>
      <c r="D248" s="15">
        <f>IF(Murid!E248="","",Murid!E248)</f>
        <v/>
      </c>
      <c r="E248" s="11" t="n"/>
      <c r="F248" s="11" t="n"/>
      <c r="G248" s="10">
        <f>IF(F248="","",IFERROR(VLOOKUP(F248,T_JSP,2,FALSE),0))</f>
        <v/>
      </c>
      <c r="H248" s="11" t="n"/>
      <c r="I248" s="17">
        <f>IF(H248="","",IF(H248&gt;=12,40,ROUND(H248*3.33,2)))</f>
        <v/>
      </c>
      <c r="J248" s="11" t="n"/>
      <c r="K248" s="11" t="n"/>
      <c r="L248" s="11" t="n"/>
      <c r="M248" s="11" t="n"/>
      <c r="N248" s="10">
        <f>IF(COUNTA(J248:M248)=0,"",MIN(10,SUMPRODUCT((COUNTIF(J248:M248,L_KOM)&gt;0)*S_KOM)))</f>
        <v/>
      </c>
      <c r="O248" s="11" t="n"/>
      <c r="P248" s="10">
        <f>IF(O248="","",IFERROR(VLOOKUP(O248,T_KHID,2,FALSE),0))</f>
        <v/>
      </c>
      <c r="Q248" s="11" t="n"/>
      <c r="R248" s="11" t="n"/>
      <c r="S248" s="10">
        <f>IF(AND(Q248="",R248=""),"",IFERROR(INDEX(T_LIBAT,MATCH(Q248,L_PER,0),MATCH(R248,L_JENIS,0)),0))</f>
        <v/>
      </c>
      <c r="T248" s="11" t="n"/>
      <c r="U248" s="11" t="n"/>
      <c r="V248" s="10">
        <f>IF(AND(T248="",U248=""),"",IFERROR(INDEX(T_CAPAI,MATCH(T248,L_PER,0),MATCH(U248,L_KED,0)),0))</f>
        <v/>
      </c>
      <c r="W248" s="17">
        <f>IF(OR(B248="",E248="",COUNTA(F248,H248,J248:M248,O248,Q248:R248,T248:U248)=0),"",SUM(G248,I248,N248,P248,S248,V248))</f>
        <v/>
      </c>
      <c r="X248" s="18">
        <f>IF(W248="","",IF(Murid!F248="TL","TL",ROUND(W248/110*100,2)))</f>
        <v/>
      </c>
    </row>
    <row r="249">
      <c r="A249" s="15">
        <f>Murid!A249</f>
        <v/>
      </c>
      <c r="B249" s="15">
        <f>IF(Murid!B249="","",Murid!B249)</f>
        <v/>
      </c>
      <c r="C249" s="16">
        <f>IF(Murid!C249="","",Murid!C249)</f>
        <v/>
      </c>
      <c r="D249" s="15">
        <f>IF(Murid!E249="","",Murid!E249)</f>
        <v/>
      </c>
      <c r="E249" s="11" t="n"/>
      <c r="F249" s="11" t="n"/>
      <c r="G249" s="10">
        <f>IF(F249="","",IFERROR(VLOOKUP(F249,T_JSP,2,FALSE),0))</f>
        <v/>
      </c>
      <c r="H249" s="11" t="n"/>
      <c r="I249" s="17">
        <f>IF(H249="","",IF(H249&gt;=12,40,ROUND(H249*3.33,2)))</f>
        <v/>
      </c>
      <c r="J249" s="11" t="n"/>
      <c r="K249" s="11" t="n"/>
      <c r="L249" s="11" t="n"/>
      <c r="M249" s="11" t="n"/>
      <c r="N249" s="10">
        <f>IF(COUNTA(J249:M249)=0,"",MIN(10,SUMPRODUCT((COUNTIF(J249:M249,L_KOM)&gt;0)*S_KOM)))</f>
        <v/>
      </c>
      <c r="O249" s="11" t="n"/>
      <c r="P249" s="10">
        <f>IF(O249="","",IFERROR(VLOOKUP(O249,T_KHID,2,FALSE),0))</f>
        <v/>
      </c>
      <c r="Q249" s="11" t="n"/>
      <c r="R249" s="11" t="n"/>
      <c r="S249" s="10">
        <f>IF(AND(Q249="",R249=""),"",IFERROR(INDEX(T_LIBAT,MATCH(Q249,L_PER,0),MATCH(R249,L_JENIS,0)),0))</f>
        <v/>
      </c>
      <c r="T249" s="11" t="n"/>
      <c r="U249" s="11" t="n"/>
      <c r="V249" s="10">
        <f>IF(AND(T249="",U249=""),"",IFERROR(INDEX(T_CAPAI,MATCH(T249,L_PER,0),MATCH(U249,L_KED,0)),0))</f>
        <v/>
      </c>
      <c r="W249" s="17">
        <f>IF(OR(B249="",E249="",COUNTA(F249,H249,J249:M249,O249,Q249:R249,T249:U249)=0),"",SUM(G249,I249,N249,P249,S249,V249))</f>
        <v/>
      </c>
      <c r="X249" s="18">
        <f>IF(W249="","",IF(Murid!F249="TL","TL",ROUND(W249/110*100,2)))</f>
        <v/>
      </c>
    </row>
    <row r="250">
      <c r="A250" s="15">
        <f>Murid!A250</f>
        <v/>
      </c>
      <c r="B250" s="15">
        <f>IF(Murid!B250="","",Murid!B250)</f>
        <v/>
      </c>
      <c r="C250" s="16">
        <f>IF(Murid!C250="","",Murid!C250)</f>
        <v/>
      </c>
      <c r="D250" s="15">
        <f>IF(Murid!E250="","",Murid!E250)</f>
        <v/>
      </c>
      <c r="E250" s="11" t="n"/>
      <c r="F250" s="11" t="n"/>
      <c r="G250" s="10">
        <f>IF(F250="","",IFERROR(VLOOKUP(F250,T_JSP,2,FALSE),0))</f>
        <v/>
      </c>
      <c r="H250" s="11" t="n"/>
      <c r="I250" s="17">
        <f>IF(H250="","",IF(H250&gt;=12,40,ROUND(H250*3.33,2)))</f>
        <v/>
      </c>
      <c r="J250" s="11" t="n"/>
      <c r="K250" s="11" t="n"/>
      <c r="L250" s="11" t="n"/>
      <c r="M250" s="11" t="n"/>
      <c r="N250" s="10">
        <f>IF(COUNTA(J250:M250)=0,"",MIN(10,SUMPRODUCT((COUNTIF(J250:M250,L_KOM)&gt;0)*S_KOM)))</f>
        <v/>
      </c>
      <c r="O250" s="11" t="n"/>
      <c r="P250" s="10">
        <f>IF(O250="","",IFERROR(VLOOKUP(O250,T_KHID,2,FALSE),0))</f>
        <v/>
      </c>
      <c r="Q250" s="11" t="n"/>
      <c r="R250" s="11" t="n"/>
      <c r="S250" s="10">
        <f>IF(AND(Q250="",R250=""),"",IFERROR(INDEX(T_LIBAT,MATCH(Q250,L_PER,0),MATCH(R250,L_JENIS,0)),0))</f>
        <v/>
      </c>
      <c r="T250" s="11" t="n"/>
      <c r="U250" s="11" t="n"/>
      <c r="V250" s="10">
        <f>IF(AND(T250="",U250=""),"",IFERROR(INDEX(T_CAPAI,MATCH(T250,L_PER,0),MATCH(U250,L_KED,0)),0))</f>
        <v/>
      </c>
      <c r="W250" s="17">
        <f>IF(OR(B250="",E250="",COUNTA(F250,H250,J250:M250,O250,Q250:R250,T250:U250)=0),"",SUM(G250,I250,N250,P250,S250,V250))</f>
        <v/>
      </c>
      <c r="X250" s="18">
        <f>IF(W250="","",IF(Murid!F250="TL","TL",ROUND(W250/110*100,2)))</f>
        <v/>
      </c>
    </row>
    <row r="251">
      <c r="A251" s="15">
        <f>Murid!A251</f>
        <v/>
      </c>
      <c r="B251" s="15">
        <f>IF(Murid!B251="","",Murid!B251)</f>
        <v/>
      </c>
      <c r="C251" s="16">
        <f>IF(Murid!C251="","",Murid!C251)</f>
        <v/>
      </c>
      <c r="D251" s="15">
        <f>IF(Murid!E251="","",Murid!E251)</f>
        <v/>
      </c>
      <c r="E251" s="11" t="n"/>
      <c r="F251" s="11" t="n"/>
      <c r="G251" s="10">
        <f>IF(F251="","",IFERROR(VLOOKUP(F251,T_JSP,2,FALSE),0))</f>
        <v/>
      </c>
      <c r="H251" s="11" t="n"/>
      <c r="I251" s="17">
        <f>IF(H251="","",IF(H251&gt;=12,40,ROUND(H251*3.33,2)))</f>
        <v/>
      </c>
      <c r="J251" s="11" t="n"/>
      <c r="K251" s="11" t="n"/>
      <c r="L251" s="11" t="n"/>
      <c r="M251" s="11" t="n"/>
      <c r="N251" s="10">
        <f>IF(COUNTA(J251:M251)=0,"",MIN(10,SUMPRODUCT((COUNTIF(J251:M251,L_KOM)&gt;0)*S_KOM)))</f>
        <v/>
      </c>
      <c r="O251" s="11" t="n"/>
      <c r="P251" s="10">
        <f>IF(O251="","",IFERROR(VLOOKUP(O251,T_KHID,2,FALSE),0))</f>
        <v/>
      </c>
      <c r="Q251" s="11" t="n"/>
      <c r="R251" s="11" t="n"/>
      <c r="S251" s="10">
        <f>IF(AND(Q251="",R251=""),"",IFERROR(INDEX(T_LIBAT,MATCH(Q251,L_PER,0),MATCH(R251,L_JENIS,0)),0))</f>
        <v/>
      </c>
      <c r="T251" s="11" t="n"/>
      <c r="U251" s="11" t="n"/>
      <c r="V251" s="10">
        <f>IF(AND(T251="",U251=""),"",IFERROR(INDEX(T_CAPAI,MATCH(T251,L_PER,0),MATCH(U251,L_KED,0)),0))</f>
        <v/>
      </c>
      <c r="W251" s="17">
        <f>IF(OR(B251="",E251="",COUNTA(F251,H251,J251:M251,O251,Q251:R251,T251:U251)=0),"",SUM(G251,I251,N251,P251,S251,V251))</f>
        <v/>
      </c>
      <c r="X251" s="18">
        <f>IF(W251="","",IF(Murid!F251="TL","TL",ROUND(W251/110*100,2)))</f>
        <v/>
      </c>
    </row>
    <row r="252">
      <c r="A252" s="15">
        <f>Murid!A252</f>
        <v/>
      </c>
      <c r="B252" s="15">
        <f>IF(Murid!B252="","",Murid!B252)</f>
        <v/>
      </c>
      <c r="C252" s="16">
        <f>IF(Murid!C252="","",Murid!C252)</f>
        <v/>
      </c>
      <c r="D252" s="15">
        <f>IF(Murid!E252="","",Murid!E252)</f>
        <v/>
      </c>
      <c r="E252" s="11" t="n"/>
      <c r="F252" s="11" t="n"/>
      <c r="G252" s="10">
        <f>IF(F252="","",IFERROR(VLOOKUP(F252,T_JSP,2,FALSE),0))</f>
        <v/>
      </c>
      <c r="H252" s="11" t="n"/>
      <c r="I252" s="17">
        <f>IF(H252="","",IF(H252&gt;=12,40,ROUND(H252*3.33,2)))</f>
        <v/>
      </c>
      <c r="J252" s="11" t="n"/>
      <c r="K252" s="11" t="n"/>
      <c r="L252" s="11" t="n"/>
      <c r="M252" s="11" t="n"/>
      <c r="N252" s="10">
        <f>IF(COUNTA(J252:M252)=0,"",MIN(10,SUMPRODUCT((COUNTIF(J252:M252,L_KOM)&gt;0)*S_KOM)))</f>
        <v/>
      </c>
      <c r="O252" s="11" t="n"/>
      <c r="P252" s="10">
        <f>IF(O252="","",IFERROR(VLOOKUP(O252,T_KHID,2,FALSE),0))</f>
        <v/>
      </c>
      <c r="Q252" s="11" t="n"/>
      <c r="R252" s="11" t="n"/>
      <c r="S252" s="10">
        <f>IF(AND(Q252="",R252=""),"",IFERROR(INDEX(T_LIBAT,MATCH(Q252,L_PER,0),MATCH(R252,L_JENIS,0)),0))</f>
        <v/>
      </c>
      <c r="T252" s="11" t="n"/>
      <c r="U252" s="11" t="n"/>
      <c r="V252" s="10">
        <f>IF(AND(T252="",U252=""),"",IFERROR(INDEX(T_CAPAI,MATCH(T252,L_PER,0),MATCH(U252,L_KED,0)),0))</f>
        <v/>
      </c>
      <c r="W252" s="17">
        <f>IF(OR(B252="",E252="",COUNTA(F252,H252,J252:M252,O252,Q252:R252,T252:U252)=0),"",SUM(G252,I252,N252,P252,S252,V252))</f>
        <v/>
      </c>
      <c r="X252" s="18">
        <f>IF(W252="","",IF(Murid!F252="TL","TL",ROUND(W252/110*100,2)))</f>
        <v/>
      </c>
    </row>
    <row r="253">
      <c r="A253" s="15">
        <f>Murid!A253</f>
        <v/>
      </c>
      <c r="B253" s="15">
        <f>IF(Murid!B253="","",Murid!B253)</f>
        <v/>
      </c>
      <c r="C253" s="16">
        <f>IF(Murid!C253="","",Murid!C253)</f>
        <v/>
      </c>
      <c r="D253" s="15">
        <f>IF(Murid!E253="","",Murid!E253)</f>
        <v/>
      </c>
      <c r="E253" s="11" t="n"/>
      <c r="F253" s="11" t="n"/>
      <c r="G253" s="10">
        <f>IF(F253="","",IFERROR(VLOOKUP(F253,T_JSP,2,FALSE),0))</f>
        <v/>
      </c>
      <c r="H253" s="11" t="n"/>
      <c r="I253" s="17">
        <f>IF(H253="","",IF(H253&gt;=12,40,ROUND(H253*3.33,2)))</f>
        <v/>
      </c>
      <c r="J253" s="11" t="n"/>
      <c r="K253" s="11" t="n"/>
      <c r="L253" s="11" t="n"/>
      <c r="M253" s="11" t="n"/>
      <c r="N253" s="10">
        <f>IF(COUNTA(J253:M253)=0,"",MIN(10,SUMPRODUCT((COUNTIF(J253:M253,L_KOM)&gt;0)*S_KOM)))</f>
        <v/>
      </c>
      <c r="O253" s="11" t="n"/>
      <c r="P253" s="10">
        <f>IF(O253="","",IFERROR(VLOOKUP(O253,T_KHID,2,FALSE),0))</f>
        <v/>
      </c>
      <c r="Q253" s="11" t="n"/>
      <c r="R253" s="11" t="n"/>
      <c r="S253" s="10">
        <f>IF(AND(Q253="",R253=""),"",IFERROR(INDEX(T_LIBAT,MATCH(Q253,L_PER,0),MATCH(R253,L_JENIS,0)),0))</f>
        <v/>
      </c>
      <c r="T253" s="11" t="n"/>
      <c r="U253" s="11" t="n"/>
      <c r="V253" s="10">
        <f>IF(AND(T253="",U253=""),"",IFERROR(INDEX(T_CAPAI,MATCH(T253,L_PER,0),MATCH(U253,L_KED,0)),0))</f>
        <v/>
      </c>
      <c r="W253" s="17">
        <f>IF(OR(B253="",E253="",COUNTA(F253,H253,J253:M253,O253,Q253:R253,T253:U253)=0),"",SUM(G253,I253,N253,P253,S253,V253))</f>
        <v/>
      </c>
      <c r="X253" s="18">
        <f>IF(W253="","",IF(Murid!F253="TL","TL",ROUND(W253/110*100,2)))</f>
        <v/>
      </c>
    </row>
    <row r="254">
      <c r="A254" s="15">
        <f>Murid!A254</f>
        <v/>
      </c>
      <c r="B254" s="15">
        <f>IF(Murid!B254="","",Murid!B254)</f>
        <v/>
      </c>
      <c r="C254" s="16">
        <f>IF(Murid!C254="","",Murid!C254)</f>
        <v/>
      </c>
      <c r="D254" s="15">
        <f>IF(Murid!E254="","",Murid!E254)</f>
        <v/>
      </c>
      <c r="E254" s="11" t="n"/>
      <c r="F254" s="11" t="n"/>
      <c r="G254" s="10">
        <f>IF(F254="","",IFERROR(VLOOKUP(F254,T_JSP,2,FALSE),0))</f>
        <v/>
      </c>
      <c r="H254" s="11" t="n"/>
      <c r="I254" s="17">
        <f>IF(H254="","",IF(H254&gt;=12,40,ROUND(H254*3.33,2)))</f>
        <v/>
      </c>
      <c r="J254" s="11" t="n"/>
      <c r="K254" s="11" t="n"/>
      <c r="L254" s="11" t="n"/>
      <c r="M254" s="11" t="n"/>
      <c r="N254" s="10">
        <f>IF(COUNTA(J254:M254)=0,"",MIN(10,SUMPRODUCT((COUNTIF(J254:M254,L_KOM)&gt;0)*S_KOM)))</f>
        <v/>
      </c>
      <c r="O254" s="11" t="n"/>
      <c r="P254" s="10">
        <f>IF(O254="","",IFERROR(VLOOKUP(O254,T_KHID,2,FALSE),0))</f>
        <v/>
      </c>
      <c r="Q254" s="11" t="n"/>
      <c r="R254" s="11" t="n"/>
      <c r="S254" s="10">
        <f>IF(AND(Q254="",R254=""),"",IFERROR(INDEX(T_LIBAT,MATCH(Q254,L_PER,0),MATCH(R254,L_JENIS,0)),0))</f>
        <v/>
      </c>
      <c r="T254" s="11" t="n"/>
      <c r="U254" s="11" t="n"/>
      <c r="V254" s="10">
        <f>IF(AND(T254="",U254=""),"",IFERROR(INDEX(T_CAPAI,MATCH(T254,L_PER,0),MATCH(U254,L_KED,0)),0))</f>
        <v/>
      </c>
      <c r="W254" s="17">
        <f>IF(OR(B254="",E254="",COUNTA(F254,H254,J254:M254,O254,Q254:R254,T254:U254)=0),"",SUM(G254,I254,N254,P254,S254,V254))</f>
        <v/>
      </c>
      <c r="X254" s="18">
        <f>IF(W254="","",IF(Murid!F254="TL","TL",ROUND(W254/110*100,2)))</f>
        <v/>
      </c>
    </row>
    <row r="255">
      <c r="A255" s="15">
        <f>Murid!A255</f>
        <v/>
      </c>
      <c r="B255" s="15">
        <f>IF(Murid!B255="","",Murid!B255)</f>
        <v/>
      </c>
      <c r="C255" s="16">
        <f>IF(Murid!C255="","",Murid!C255)</f>
        <v/>
      </c>
      <c r="D255" s="15">
        <f>IF(Murid!E255="","",Murid!E255)</f>
        <v/>
      </c>
      <c r="E255" s="11" t="n"/>
      <c r="F255" s="11" t="n"/>
      <c r="G255" s="10">
        <f>IF(F255="","",IFERROR(VLOOKUP(F255,T_JSP,2,FALSE),0))</f>
        <v/>
      </c>
      <c r="H255" s="11" t="n"/>
      <c r="I255" s="17">
        <f>IF(H255="","",IF(H255&gt;=12,40,ROUND(H255*3.33,2)))</f>
        <v/>
      </c>
      <c r="J255" s="11" t="n"/>
      <c r="K255" s="11" t="n"/>
      <c r="L255" s="11" t="n"/>
      <c r="M255" s="11" t="n"/>
      <c r="N255" s="10">
        <f>IF(COUNTA(J255:M255)=0,"",MIN(10,SUMPRODUCT((COUNTIF(J255:M255,L_KOM)&gt;0)*S_KOM)))</f>
        <v/>
      </c>
      <c r="O255" s="11" t="n"/>
      <c r="P255" s="10">
        <f>IF(O255="","",IFERROR(VLOOKUP(O255,T_KHID,2,FALSE),0))</f>
        <v/>
      </c>
      <c r="Q255" s="11" t="n"/>
      <c r="R255" s="11" t="n"/>
      <c r="S255" s="10">
        <f>IF(AND(Q255="",R255=""),"",IFERROR(INDEX(T_LIBAT,MATCH(Q255,L_PER,0),MATCH(R255,L_JENIS,0)),0))</f>
        <v/>
      </c>
      <c r="T255" s="11" t="n"/>
      <c r="U255" s="11" t="n"/>
      <c r="V255" s="10">
        <f>IF(AND(T255="",U255=""),"",IFERROR(INDEX(T_CAPAI,MATCH(T255,L_PER,0),MATCH(U255,L_KED,0)),0))</f>
        <v/>
      </c>
      <c r="W255" s="17">
        <f>IF(OR(B255="",E255="",COUNTA(F255,H255,J255:M255,O255,Q255:R255,T255:U255)=0),"",SUM(G255,I255,N255,P255,S255,V255))</f>
        <v/>
      </c>
      <c r="X255" s="18">
        <f>IF(W255="","",IF(Murid!F255="TL","TL",ROUND(W255/110*100,2)))</f>
        <v/>
      </c>
    </row>
    <row r="256">
      <c r="A256" s="15">
        <f>Murid!A256</f>
        <v/>
      </c>
      <c r="B256" s="15">
        <f>IF(Murid!B256="","",Murid!B256)</f>
        <v/>
      </c>
      <c r="C256" s="16">
        <f>IF(Murid!C256="","",Murid!C256)</f>
        <v/>
      </c>
      <c r="D256" s="15">
        <f>IF(Murid!E256="","",Murid!E256)</f>
        <v/>
      </c>
      <c r="E256" s="11" t="n"/>
      <c r="F256" s="11" t="n"/>
      <c r="G256" s="10">
        <f>IF(F256="","",IFERROR(VLOOKUP(F256,T_JSP,2,FALSE),0))</f>
        <v/>
      </c>
      <c r="H256" s="11" t="n"/>
      <c r="I256" s="17">
        <f>IF(H256="","",IF(H256&gt;=12,40,ROUND(H256*3.33,2)))</f>
        <v/>
      </c>
      <c r="J256" s="11" t="n"/>
      <c r="K256" s="11" t="n"/>
      <c r="L256" s="11" t="n"/>
      <c r="M256" s="11" t="n"/>
      <c r="N256" s="10">
        <f>IF(COUNTA(J256:M256)=0,"",MIN(10,SUMPRODUCT((COUNTIF(J256:M256,L_KOM)&gt;0)*S_KOM)))</f>
        <v/>
      </c>
      <c r="O256" s="11" t="n"/>
      <c r="P256" s="10">
        <f>IF(O256="","",IFERROR(VLOOKUP(O256,T_KHID,2,FALSE),0))</f>
        <v/>
      </c>
      <c r="Q256" s="11" t="n"/>
      <c r="R256" s="11" t="n"/>
      <c r="S256" s="10">
        <f>IF(AND(Q256="",R256=""),"",IFERROR(INDEX(T_LIBAT,MATCH(Q256,L_PER,0),MATCH(R256,L_JENIS,0)),0))</f>
        <v/>
      </c>
      <c r="T256" s="11" t="n"/>
      <c r="U256" s="11" t="n"/>
      <c r="V256" s="10">
        <f>IF(AND(T256="",U256=""),"",IFERROR(INDEX(T_CAPAI,MATCH(T256,L_PER,0),MATCH(U256,L_KED,0)),0))</f>
        <v/>
      </c>
      <c r="W256" s="17">
        <f>IF(OR(B256="",E256="",COUNTA(F256,H256,J256:M256,O256,Q256:R256,T256:U256)=0),"",SUM(G256,I256,N256,P256,S256,V256))</f>
        <v/>
      </c>
      <c r="X256" s="18">
        <f>IF(W256="","",IF(Murid!F256="TL","TL",ROUND(W256/110*100,2)))</f>
        <v/>
      </c>
    </row>
    <row r="257">
      <c r="A257" s="15">
        <f>Murid!A257</f>
        <v/>
      </c>
      <c r="B257" s="15">
        <f>IF(Murid!B257="","",Murid!B257)</f>
        <v/>
      </c>
      <c r="C257" s="16">
        <f>IF(Murid!C257="","",Murid!C257)</f>
        <v/>
      </c>
      <c r="D257" s="15">
        <f>IF(Murid!E257="","",Murid!E257)</f>
        <v/>
      </c>
      <c r="E257" s="11" t="n"/>
      <c r="F257" s="11" t="n"/>
      <c r="G257" s="10">
        <f>IF(F257="","",IFERROR(VLOOKUP(F257,T_JSP,2,FALSE),0))</f>
        <v/>
      </c>
      <c r="H257" s="11" t="n"/>
      <c r="I257" s="17">
        <f>IF(H257="","",IF(H257&gt;=12,40,ROUND(H257*3.33,2)))</f>
        <v/>
      </c>
      <c r="J257" s="11" t="n"/>
      <c r="K257" s="11" t="n"/>
      <c r="L257" s="11" t="n"/>
      <c r="M257" s="11" t="n"/>
      <c r="N257" s="10">
        <f>IF(COUNTA(J257:M257)=0,"",MIN(10,SUMPRODUCT((COUNTIF(J257:M257,L_KOM)&gt;0)*S_KOM)))</f>
        <v/>
      </c>
      <c r="O257" s="11" t="n"/>
      <c r="P257" s="10">
        <f>IF(O257="","",IFERROR(VLOOKUP(O257,T_KHID,2,FALSE),0))</f>
        <v/>
      </c>
      <c r="Q257" s="11" t="n"/>
      <c r="R257" s="11" t="n"/>
      <c r="S257" s="10">
        <f>IF(AND(Q257="",R257=""),"",IFERROR(INDEX(T_LIBAT,MATCH(Q257,L_PER,0),MATCH(R257,L_JENIS,0)),0))</f>
        <v/>
      </c>
      <c r="T257" s="11" t="n"/>
      <c r="U257" s="11" t="n"/>
      <c r="V257" s="10">
        <f>IF(AND(T257="",U257=""),"",IFERROR(INDEX(T_CAPAI,MATCH(T257,L_PER,0),MATCH(U257,L_KED,0)),0))</f>
        <v/>
      </c>
      <c r="W257" s="17">
        <f>IF(OR(B257="",E257="",COUNTA(F257,H257,J257:M257,O257,Q257:R257,T257:U257)=0),"",SUM(G257,I257,N257,P257,S257,V257))</f>
        <v/>
      </c>
      <c r="X257" s="18">
        <f>IF(W257="","",IF(Murid!F257="TL","TL",ROUND(W257/110*100,2)))</f>
        <v/>
      </c>
    </row>
    <row r="258">
      <c r="A258" s="15">
        <f>Murid!A258</f>
        <v/>
      </c>
      <c r="B258" s="15">
        <f>IF(Murid!B258="","",Murid!B258)</f>
        <v/>
      </c>
      <c r="C258" s="16">
        <f>IF(Murid!C258="","",Murid!C258)</f>
        <v/>
      </c>
      <c r="D258" s="15">
        <f>IF(Murid!E258="","",Murid!E258)</f>
        <v/>
      </c>
      <c r="E258" s="11" t="n"/>
      <c r="F258" s="11" t="n"/>
      <c r="G258" s="10">
        <f>IF(F258="","",IFERROR(VLOOKUP(F258,T_JSP,2,FALSE),0))</f>
        <v/>
      </c>
      <c r="H258" s="11" t="n"/>
      <c r="I258" s="17">
        <f>IF(H258="","",IF(H258&gt;=12,40,ROUND(H258*3.33,2)))</f>
        <v/>
      </c>
      <c r="J258" s="11" t="n"/>
      <c r="K258" s="11" t="n"/>
      <c r="L258" s="11" t="n"/>
      <c r="M258" s="11" t="n"/>
      <c r="N258" s="10">
        <f>IF(COUNTA(J258:M258)=0,"",MIN(10,SUMPRODUCT((COUNTIF(J258:M258,L_KOM)&gt;0)*S_KOM)))</f>
        <v/>
      </c>
      <c r="O258" s="11" t="n"/>
      <c r="P258" s="10">
        <f>IF(O258="","",IFERROR(VLOOKUP(O258,T_KHID,2,FALSE),0))</f>
        <v/>
      </c>
      <c r="Q258" s="11" t="n"/>
      <c r="R258" s="11" t="n"/>
      <c r="S258" s="10">
        <f>IF(AND(Q258="",R258=""),"",IFERROR(INDEX(T_LIBAT,MATCH(Q258,L_PER,0),MATCH(R258,L_JENIS,0)),0))</f>
        <v/>
      </c>
      <c r="T258" s="11" t="n"/>
      <c r="U258" s="11" t="n"/>
      <c r="V258" s="10">
        <f>IF(AND(T258="",U258=""),"",IFERROR(INDEX(T_CAPAI,MATCH(T258,L_PER,0),MATCH(U258,L_KED,0)),0))</f>
        <v/>
      </c>
      <c r="W258" s="17">
        <f>IF(OR(B258="",E258="",COUNTA(F258,H258,J258:M258,O258,Q258:R258,T258:U258)=0),"",SUM(G258,I258,N258,P258,S258,V258))</f>
        <v/>
      </c>
      <c r="X258" s="18">
        <f>IF(W258="","",IF(Murid!F258="TL","TL",ROUND(W258/110*100,2)))</f>
        <v/>
      </c>
    </row>
    <row r="259">
      <c r="A259" s="15">
        <f>Murid!A259</f>
        <v/>
      </c>
      <c r="B259" s="15">
        <f>IF(Murid!B259="","",Murid!B259)</f>
        <v/>
      </c>
      <c r="C259" s="16">
        <f>IF(Murid!C259="","",Murid!C259)</f>
        <v/>
      </c>
      <c r="D259" s="15">
        <f>IF(Murid!E259="","",Murid!E259)</f>
        <v/>
      </c>
      <c r="E259" s="11" t="n"/>
      <c r="F259" s="11" t="n"/>
      <c r="G259" s="10">
        <f>IF(F259="","",IFERROR(VLOOKUP(F259,T_JSP,2,FALSE),0))</f>
        <v/>
      </c>
      <c r="H259" s="11" t="n"/>
      <c r="I259" s="17">
        <f>IF(H259="","",IF(H259&gt;=12,40,ROUND(H259*3.33,2)))</f>
        <v/>
      </c>
      <c r="J259" s="11" t="n"/>
      <c r="K259" s="11" t="n"/>
      <c r="L259" s="11" t="n"/>
      <c r="M259" s="11" t="n"/>
      <c r="N259" s="10">
        <f>IF(COUNTA(J259:M259)=0,"",MIN(10,SUMPRODUCT((COUNTIF(J259:M259,L_KOM)&gt;0)*S_KOM)))</f>
        <v/>
      </c>
      <c r="O259" s="11" t="n"/>
      <c r="P259" s="10">
        <f>IF(O259="","",IFERROR(VLOOKUP(O259,T_KHID,2,FALSE),0))</f>
        <v/>
      </c>
      <c r="Q259" s="11" t="n"/>
      <c r="R259" s="11" t="n"/>
      <c r="S259" s="10">
        <f>IF(AND(Q259="",R259=""),"",IFERROR(INDEX(T_LIBAT,MATCH(Q259,L_PER,0),MATCH(R259,L_JENIS,0)),0))</f>
        <v/>
      </c>
      <c r="T259" s="11" t="n"/>
      <c r="U259" s="11" t="n"/>
      <c r="V259" s="10">
        <f>IF(AND(T259="",U259=""),"",IFERROR(INDEX(T_CAPAI,MATCH(T259,L_PER,0),MATCH(U259,L_KED,0)),0))</f>
        <v/>
      </c>
      <c r="W259" s="17">
        <f>IF(OR(B259="",E259="",COUNTA(F259,H259,J259:M259,O259,Q259:R259,T259:U259)=0),"",SUM(G259,I259,N259,P259,S259,V259))</f>
        <v/>
      </c>
      <c r="X259" s="18">
        <f>IF(W259="","",IF(Murid!F259="TL","TL",ROUND(W259/110*100,2)))</f>
        <v/>
      </c>
    </row>
    <row r="260">
      <c r="A260" s="15">
        <f>Murid!A260</f>
        <v/>
      </c>
      <c r="B260" s="15">
        <f>IF(Murid!B260="","",Murid!B260)</f>
        <v/>
      </c>
      <c r="C260" s="16">
        <f>IF(Murid!C260="","",Murid!C260)</f>
        <v/>
      </c>
      <c r="D260" s="15">
        <f>IF(Murid!E260="","",Murid!E260)</f>
        <v/>
      </c>
      <c r="E260" s="11" t="n"/>
      <c r="F260" s="11" t="n"/>
      <c r="G260" s="10">
        <f>IF(F260="","",IFERROR(VLOOKUP(F260,T_JSP,2,FALSE),0))</f>
        <v/>
      </c>
      <c r="H260" s="11" t="n"/>
      <c r="I260" s="17">
        <f>IF(H260="","",IF(H260&gt;=12,40,ROUND(H260*3.33,2)))</f>
        <v/>
      </c>
      <c r="J260" s="11" t="n"/>
      <c r="K260" s="11" t="n"/>
      <c r="L260" s="11" t="n"/>
      <c r="M260" s="11" t="n"/>
      <c r="N260" s="10">
        <f>IF(COUNTA(J260:M260)=0,"",MIN(10,SUMPRODUCT((COUNTIF(J260:M260,L_KOM)&gt;0)*S_KOM)))</f>
        <v/>
      </c>
      <c r="O260" s="11" t="n"/>
      <c r="P260" s="10">
        <f>IF(O260="","",IFERROR(VLOOKUP(O260,T_KHID,2,FALSE),0))</f>
        <v/>
      </c>
      <c r="Q260" s="11" t="n"/>
      <c r="R260" s="11" t="n"/>
      <c r="S260" s="10">
        <f>IF(AND(Q260="",R260=""),"",IFERROR(INDEX(T_LIBAT,MATCH(Q260,L_PER,0),MATCH(R260,L_JENIS,0)),0))</f>
        <v/>
      </c>
      <c r="T260" s="11" t="n"/>
      <c r="U260" s="11" t="n"/>
      <c r="V260" s="10">
        <f>IF(AND(T260="",U260=""),"",IFERROR(INDEX(T_CAPAI,MATCH(T260,L_PER,0),MATCH(U260,L_KED,0)),0))</f>
        <v/>
      </c>
      <c r="W260" s="17">
        <f>IF(OR(B260="",E260="",COUNTA(F260,H260,J260:M260,O260,Q260:R260,T260:U260)=0),"",SUM(G260,I260,N260,P260,S260,V260))</f>
        <v/>
      </c>
      <c r="X260" s="18">
        <f>IF(W260="","",IF(Murid!F260="TL","TL",ROUND(W260/110*100,2)))</f>
        <v/>
      </c>
    </row>
    <row r="261">
      <c r="A261" s="15">
        <f>Murid!A261</f>
        <v/>
      </c>
      <c r="B261" s="15">
        <f>IF(Murid!B261="","",Murid!B261)</f>
        <v/>
      </c>
      <c r="C261" s="16">
        <f>IF(Murid!C261="","",Murid!C261)</f>
        <v/>
      </c>
      <c r="D261" s="15">
        <f>IF(Murid!E261="","",Murid!E261)</f>
        <v/>
      </c>
      <c r="E261" s="11" t="n"/>
      <c r="F261" s="11" t="n"/>
      <c r="G261" s="10">
        <f>IF(F261="","",IFERROR(VLOOKUP(F261,T_JSP,2,FALSE),0))</f>
        <v/>
      </c>
      <c r="H261" s="11" t="n"/>
      <c r="I261" s="17">
        <f>IF(H261="","",IF(H261&gt;=12,40,ROUND(H261*3.33,2)))</f>
        <v/>
      </c>
      <c r="J261" s="11" t="n"/>
      <c r="K261" s="11" t="n"/>
      <c r="L261" s="11" t="n"/>
      <c r="M261" s="11" t="n"/>
      <c r="N261" s="10">
        <f>IF(COUNTA(J261:M261)=0,"",MIN(10,SUMPRODUCT((COUNTIF(J261:M261,L_KOM)&gt;0)*S_KOM)))</f>
        <v/>
      </c>
      <c r="O261" s="11" t="n"/>
      <c r="P261" s="10">
        <f>IF(O261="","",IFERROR(VLOOKUP(O261,T_KHID,2,FALSE),0))</f>
        <v/>
      </c>
      <c r="Q261" s="11" t="n"/>
      <c r="R261" s="11" t="n"/>
      <c r="S261" s="10">
        <f>IF(AND(Q261="",R261=""),"",IFERROR(INDEX(T_LIBAT,MATCH(Q261,L_PER,0),MATCH(R261,L_JENIS,0)),0))</f>
        <v/>
      </c>
      <c r="T261" s="11" t="n"/>
      <c r="U261" s="11" t="n"/>
      <c r="V261" s="10">
        <f>IF(AND(T261="",U261=""),"",IFERROR(INDEX(T_CAPAI,MATCH(T261,L_PER,0),MATCH(U261,L_KED,0)),0))</f>
        <v/>
      </c>
      <c r="W261" s="17">
        <f>IF(OR(B261="",E261="",COUNTA(F261,H261,J261:M261,O261,Q261:R261,T261:U261)=0),"",SUM(G261,I261,N261,P261,S261,V261))</f>
        <v/>
      </c>
      <c r="X261" s="18">
        <f>IF(W261="","",IF(Murid!F261="TL","TL",ROUND(W261/110*100,2)))</f>
        <v/>
      </c>
    </row>
    <row r="262">
      <c r="A262" s="15">
        <f>Murid!A262</f>
        <v/>
      </c>
      <c r="B262" s="15">
        <f>IF(Murid!B262="","",Murid!B262)</f>
        <v/>
      </c>
      <c r="C262" s="16">
        <f>IF(Murid!C262="","",Murid!C262)</f>
        <v/>
      </c>
      <c r="D262" s="15">
        <f>IF(Murid!E262="","",Murid!E262)</f>
        <v/>
      </c>
      <c r="E262" s="11" t="n"/>
      <c r="F262" s="11" t="n"/>
      <c r="G262" s="10">
        <f>IF(F262="","",IFERROR(VLOOKUP(F262,T_JSP,2,FALSE),0))</f>
        <v/>
      </c>
      <c r="H262" s="11" t="n"/>
      <c r="I262" s="17">
        <f>IF(H262="","",IF(H262&gt;=12,40,ROUND(H262*3.33,2)))</f>
        <v/>
      </c>
      <c r="J262" s="11" t="n"/>
      <c r="K262" s="11" t="n"/>
      <c r="L262" s="11" t="n"/>
      <c r="M262" s="11" t="n"/>
      <c r="N262" s="10">
        <f>IF(COUNTA(J262:M262)=0,"",MIN(10,SUMPRODUCT((COUNTIF(J262:M262,L_KOM)&gt;0)*S_KOM)))</f>
        <v/>
      </c>
      <c r="O262" s="11" t="n"/>
      <c r="P262" s="10">
        <f>IF(O262="","",IFERROR(VLOOKUP(O262,T_KHID,2,FALSE),0))</f>
        <v/>
      </c>
      <c r="Q262" s="11" t="n"/>
      <c r="R262" s="11" t="n"/>
      <c r="S262" s="10">
        <f>IF(AND(Q262="",R262=""),"",IFERROR(INDEX(T_LIBAT,MATCH(Q262,L_PER,0),MATCH(R262,L_JENIS,0)),0))</f>
        <v/>
      </c>
      <c r="T262" s="11" t="n"/>
      <c r="U262" s="11" t="n"/>
      <c r="V262" s="10">
        <f>IF(AND(T262="",U262=""),"",IFERROR(INDEX(T_CAPAI,MATCH(T262,L_PER,0),MATCH(U262,L_KED,0)),0))</f>
        <v/>
      </c>
      <c r="W262" s="17">
        <f>IF(OR(B262="",E262="",COUNTA(F262,H262,J262:M262,O262,Q262:R262,T262:U262)=0),"",SUM(G262,I262,N262,P262,S262,V262))</f>
        <v/>
      </c>
      <c r="X262" s="18">
        <f>IF(W262="","",IF(Murid!F262="TL","TL",ROUND(W262/110*100,2)))</f>
        <v/>
      </c>
    </row>
    <row r="263">
      <c r="A263" s="15">
        <f>Murid!A263</f>
        <v/>
      </c>
      <c r="B263" s="15">
        <f>IF(Murid!B263="","",Murid!B263)</f>
        <v/>
      </c>
      <c r="C263" s="16">
        <f>IF(Murid!C263="","",Murid!C263)</f>
        <v/>
      </c>
      <c r="D263" s="15">
        <f>IF(Murid!E263="","",Murid!E263)</f>
        <v/>
      </c>
      <c r="E263" s="11" t="n"/>
      <c r="F263" s="11" t="n"/>
      <c r="G263" s="10">
        <f>IF(F263="","",IFERROR(VLOOKUP(F263,T_JSP,2,FALSE),0))</f>
        <v/>
      </c>
      <c r="H263" s="11" t="n"/>
      <c r="I263" s="17">
        <f>IF(H263="","",IF(H263&gt;=12,40,ROUND(H263*3.33,2)))</f>
        <v/>
      </c>
      <c r="J263" s="11" t="n"/>
      <c r="K263" s="11" t="n"/>
      <c r="L263" s="11" t="n"/>
      <c r="M263" s="11" t="n"/>
      <c r="N263" s="10">
        <f>IF(COUNTA(J263:M263)=0,"",MIN(10,SUMPRODUCT((COUNTIF(J263:M263,L_KOM)&gt;0)*S_KOM)))</f>
        <v/>
      </c>
      <c r="O263" s="11" t="n"/>
      <c r="P263" s="10">
        <f>IF(O263="","",IFERROR(VLOOKUP(O263,T_KHID,2,FALSE),0))</f>
        <v/>
      </c>
      <c r="Q263" s="11" t="n"/>
      <c r="R263" s="11" t="n"/>
      <c r="S263" s="10">
        <f>IF(AND(Q263="",R263=""),"",IFERROR(INDEX(T_LIBAT,MATCH(Q263,L_PER,0),MATCH(R263,L_JENIS,0)),0))</f>
        <v/>
      </c>
      <c r="T263" s="11" t="n"/>
      <c r="U263" s="11" t="n"/>
      <c r="V263" s="10">
        <f>IF(AND(T263="",U263=""),"",IFERROR(INDEX(T_CAPAI,MATCH(T263,L_PER,0),MATCH(U263,L_KED,0)),0))</f>
        <v/>
      </c>
      <c r="W263" s="17">
        <f>IF(OR(B263="",E263="",COUNTA(F263,H263,J263:M263,O263,Q263:R263,T263:U263)=0),"",SUM(G263,I263,N263,P263,S263,V263))</f>
        <v/>
      </c>
      <c r="X263" s="18">
        <f>IF(W263="","",IF(Murid!F263="TL","TL",ROUND(W263/110*100,2)))</f>
        <v/>
      </c>
    </row>
    <row r="264">
      <c r="A264" s="15">
        <f>Murid!A264</f>
        <v/>
      </c>
      <c r="B264" s="15">
        <f>IF(Murid!B264="","",Murid!B264)</f>
        <v/>
      </c>
      <c r="C264" s="16">
        <f>IF(Murid!C264="","",Murid!C264)</f>
        <v/>
      </c>
      <c r="D264" s="15">
        <f>IF(Murid!E264="","",Murid!E264)</f>
        <v/>
      </c>
      <c r="E264" s="11" t="n"/>
      <c r="F264" s="11" t="n"/>
      <c r="G264" s="10">
        <f>IF(F264="","",IFERROR(VLOOKUP(F264,T_JSP,2,FALSE),0))</f>
        <v/>
      </c>
      <c r="H264" s="11" t="n"/>
      <c r="I264" s="17">
        <f>IF(H264="","",IF(H264&gt;=12,40,ROUND(H264*3.33,2)))</f>
        <v/>
      </c>
      <c r="J264" s="11" t="n"/>
      <c r="K264" s="11" t="n"/>
      <c r="L264" s="11" t="n"/>
      <c r="M264" s="11" t="n"/>
      <c r="N264" s="10">
        <f>IF(COUNTA(J264:M264)=0,"",MIN(10,SUMPRODUCT((COUNTIF(J264:M264,L_KOM)&gt;0)*S_KOM)))</f>
        <v/>
      </c>
      <c r="O264" s="11" t="n"/>
      <c r="P264" s="10">
        <f>IF(O264="","",IFERROR(VLOOKUP(O264,T_KHID,2,FALSE),0))</f>
        <v/>
      </c>
      <c r="Q264" s="11" t="n"/>
      <c r="R264" s="11" t="n"/>
      <c r="S264" s="10">
        <f>IF(AND(Q264="",R264=""),"",IFERROR(INDEX(T_LIBAT,MATCH(Q264,L_PER,0),MATCH(R264,L_JENIS,0)),0))</f>
        <v/>
      </c>
      <c r="T264" s="11" t="n"/>
      <c r="U264" s="11" t="n"/>
      <c r="V264" s="10">
        <f>IF(AND(T264="",U264=""),"",IFERROR(INDEX(T_CAPAI,MATCH(T264,L_PER,0),MATCH(U264,L_KED,0)),0))</f>
        <v/>
      </c>
      <c r="W264" s="17">
        <f>IF(OR(B264="",E264="",COUNTA(F264,H264,J264:M264,O264,Q264:R264,T264:U264)=0),"",SUM(G264,I264,N264,P264,S264,V264))</f>
        <v/>
      </c>
      <c r="X264" s="18">
        <f>IF(W264="","",IF(Murid!F264="TL","TL",ROUND(W264/110*100,2)))</f>
        <v/>
      </c>
    </row>
    <row r="265">
      <c r="A265" s="15">
        <f>Murid!A265</f>
        <v/>
      </c>
      <c r="B265" s="15">
        <f>IF(Murid!B265="","",Murid!B265)</f>
        <v/>
      </c>
      <c r="C265" s="16">
        <f>IF(Murid!C265="","",Murid!C265)</f>
        <v/>
      </c>
      <c r="D265" s="15">
        <f>IF(Murid!E265="","",Murid!E265)</f>
        <v/>
      </c>
      <c r="E265" s="11" t="n"/>
      <c r="F265" s="11" t="n"/>
      <c r="G265" s="10">
        <f>IF(F265="","",IFERROR(VLOOKUP(F265,T_JSP,2,FALSE),0))</f>
        <v/>
      </c>
      <c r="H265" s="11" t="n"/>
      <c r="I265" s="17">
        <f>IF(H265="","",IF(H265&gt;=12,40,ROUND(H265*3.33,2)))</f>
        <v/>
      </c>
      <c r="J265" s="11" t="n"/>
      <c r="K265" s="11" t="n"/>
      <c r="L265" s="11" t="n"/>
      <c r="M265" s="11" t="n"/>
      <c r="N265" s="10">
        <f>IF(COUNTA(J265:M265)=0,"",MIN(10,SUMPRODUCT((COUNTIF(J265:M265,L_KOM)&gt;0)*S_KOM)))</f>
        <v/>
      </c>
      <c r="O265" s="11" t="n"/>
      <c r="P265" s="10">
        <f>IF(O265="","",IFERROR(VLOOKUP(O265,T_KHID,2,FALSE),0))</f>
        <v/>
      </c>
      <c r="Q265" s="11" t="n"/>
      <c r="R265" s="11" t="n"/>
      <c r="S265" s="10">
        <f>IF(AND(Q265="",R265=""),"",IFERROR(INDEX(T_LIBAT,MATCH(Q265,L_PER,0),MATCH(R265,L_JENIS,0)),0))</f>
        <v/>
      </c>
      <c r="T265" s="11" t="n"/>
      <c r="U265" s="11" t="n"/>
      <c r="V265" s="10">
        <f>IF(AND(T265="",U265=""),"",IFERROR(INDEX(T_CAPAI,MATCH(T265,L_PER,0),MATCH(U265,L_KED,0)),0))</f>
        <v/>
      </c>
      <c r="W265" s="17">
        <f>IF(OR(B265="",E265="",COUNTA(F265,H265,J265:M265,O265,Q265:R265,T265:U265)=0),"",SUM(G265,I265,N265,P265,S265,V265))</f>
        <v/>
      </c>
      <c r="X265" s="18">
        <f>IF(W265="","",IF(Murid!F265="TL","TL",ROUND(W265/110*100,2)))</f>
        <v/>
      </c>
    </row>
    <row r="266">
      <c r="A266" s="15">
        <f>Murid!A266</f>
        <v/>
      </c>
      <c r="B266" s="15">
        <f>IF(Murid!B266="","",Murid!B266)</f>
        <v/>
      </c>
      <c r="C266" s="16">
        <f>IF(Murid!C266="","",Murid!C266)</f>
        <v/>
      </c>
      <c r="D266" s="15">
        <f>IF(Murid!E266="","",Murid!E266)</f>
        <v/>
      </c>
      <c r="E266" s="11" t="n"/>
      <c r="F266" s="11" t="n"/>
      <c r="G266" s="10">
        <f>IF(F266="","",IFERROR(VLOOKUP(F266,T_JSP,2,FALSE),0))</f>
        <v/>
      </c>
      <c r="H266" s="11" t="n"/>
      <c r="I266" s="17">
        <f>IF(H266="","",IF(H266&gt;=12,40,ROUND(H266*3.33,2)))</f>
        <v/>
      </c>
      <c r="J266" s="11" t="n"/>
      <c r="K266" s="11" t="n"/>
      <c r="L266" s="11" t="n"/>
      <c r="M266" s="11" t="n"/>
      <c r="N266" s="10">
        <f>IF(COUNTA(J266:M266)=0,"",MIN(10,SUMPRODUCT((COUNTIF(J266:M266,L_KOM)&gt;0)*S_KOM)))</f>
        <v/>
      </c>
      <c r="O266" s="11" t="n"/>
      <c r="P266" s="10">
        <f>IF(O266="","",IFERROR(VLOOKUP(O266,T_KHID,2,FALSE),0))</f>
        <v/>
      </c>
      <c r="Q266" s="11" t="n"/>
      <c r="R266" s="11" t="n"/>
      <c r="S266" s="10">
        <f>IF(AND(Q266="",R266=""),"",IFERROR(INDEX(T_LIBAT,MATCH(Q266,L_PER,0),MATCH(R266,L_JENIS,0)),0))</f>
        <v/>
      </c>
      <c r="T266" s="11" t="n"/>
      <c r="U266" s="11" t="n"/>
      <c r="V266" s="10">
        <f>IF(AND(T266="",U266=""),"",IFERROR(INDEX(T_CAPAI,MATCH(T266,L_PER,0),MATCH(U266,L_KED,0)),0))</f>
        <v/>
      </c>
      <c r="W266" s="17">
        <f>IF(OR(B266="",E266="",COUNTA(F266,H266,J266:M266,O266,Q266:R266,T266:U266)=0),"",SUM(G266,I266,N266,P266,S266,V266))</f>
        <v/>
      </c>
      <c r="X266" s="18">
        <f>IF(W266="","",IF(Murid!F266="TL","TL",ROUND(W266/110*100,2)))</f>
        <v/>
      </c>
    </row>
    <row r="267">
      <c r="A267" s="15">
        <f>Murid!A267</f>
        <v/>
      </c>
      <c r="B267" s="15">
        <f>IF(Murid!B267="","",Murid!B267)</f>
        <v/>
      </c>
      <c r="C267" s="16">
        <f>IF(Murid!C267="","",Murid!C267)</f>
        <v/>
      </c>
      <c r="D267" s="15">
        <f>IF(Murid!E267="","",Murid!E267)</f>
        <v/>
      </c>
      <c r="E267" s="11" t="n"/>
      <c r="F267" s="11" t="n"/>
      <c r="G267" s="10">
        <f>IF(F267="","",IFERROR(VLOOKUP(F267,T_JSP,2,FALSE),0))</f>
        <v/>
      </c>
      <c r="H267" s="11" t="n"/>
      <c r="I267" s="17">
        <f>IF(H267="","",IF(H267&gt;=12,40,ROUND(H267*3.33,2)))</f>
        <v/>
      </c>
      <c r="J267" s="11" t="n"/>
      <c r="K267" s="11" t="n"/>
      <c r="L267" s="11" t="n"/>
      <c r="M267" s="11" t="n"/>
      <c r="N267" s="10">
        <f>IF(COUNTA(J267:M267)=0,"",MIN(10,SUMPRODUCT((COUNTIF(J267:M267,L_KOM)&gt;0)*S_KOM)))</f>
        <v/>
      </c>
      <c r="O267" s="11" t="n"/>
      <c r="P267" s="10">
        <f>IF(O267="","",IFERROR(VLOOKUP(O267,T_KHID,2,FALSE),0))</f>
        <v/>
      </c>
      <c r="Q267" s="11" t="n"/>
      <c r="R267" s="11" t="n"/>
      <c r="S267" s="10">
        <f>IF(AND(Q267="",R267=""),"",IFERROR(INDEX(T_LIBAT,MATCH(Q267,L_PER,0),MATCH(R267,L_JENIS,0)),0))</f>
        <v/>
      </c>
      <c r="T267" s="11" t="n"/>
      <c r="U267" s="11" t="n"/>
      <c r="V267" s="10">
        <f>IF(AND(T267="",U267=""),"",IFERROR(INDEX(T_CAPAI,MATCH(T267,L_PER,0),MATCH(U267,L_KED,0)),0))</f>
        <v/>
      </c>
      <c r="W267" s="17">
        <f>IF(OR(B267="",E267="",COUNTA(F267,H267,J267:M267,O267,Q267:R267,T267:U267)=0),"",SUM(G267,I267,N267,P267,S267,V267))</f>
        <v/>
      </c>
      <c r="X267" s="18">
        <f>IF(W267="","",IF(Murid!F267="TL","TL",ROUND(W267/110*100,2)))</f>
        <v/>
      </c>
    </row>
    <row r="268">
      <c r="A268" s="15">
        <f>Murid!A268</f>
        <v/>
      </c>
      <c r="B268" s="15">
        <f>IF(Murid!B268="","",Murid!B268)</f>
        <v/>
      </c>
      <c r="C268" s="16">
        <f>IF(Murid!C268="","",Murid!C268)</f>
        <v/>
      </c>
      <c r="D268" s="15">
        <f>IF(Murid!E268="","",Murid!E268)</f>
        <v/>
      </c>
      <c r="E268" s="11" t="n"/>
      <c r="F268" s="11" t="n"/>
      <c r="G268" s="10">
        <f>IF(F268="","",IFERROR(VLOOKUP(F268,T_JSP,2,FALSE),0))</f>
        <v/>
      </c>
      <c r="H268" s="11" t="n"/>
      <c r="I268" s="17">
        <f>IF(H268="","",IF(H268&gt;=12,40,ROUND(H268*3.33,2)))</f>
        <v/>
      </c>
      <c r="J268" s="11" t="n"/>
      <c r="K268" s="11" t="n"/>
      <c r="L268" s="11" t="n"/>
      <c r="M268" s="11" t="n"/>
      <c r="N268" s="10">
        <f>IF(COUNTA(J268:M268)=0,"",MIN(10,SUMPRODUCT((COUNTIF(J268:M268,L_KOM)&gt;0)*S_KOM)))</f>
        <v/>
      </c>
      <c r="O268" s="11" t="n"/>
      <c r="P268" s="10">
        <f>IF(O268="","",IFERROR(VLOOKUP(O268,T_KHID,2,FALSE),0))</f>
        <v/>
      </c>
      <c r="Q268" s="11" t="n"/>
      <c r="R268" s="11" t="n"/>
      <c r="S268" s="10">
        <f>IF(AND(Q268="",R268=""),"",IFERROR(INDEX(T_LIBAT,MATCH(Q268,L_PER,0),MATCH(R268,L_JENIS,0)),0))</f>
        <v/>
      </c>
      <c r="T268" s="11" t="n"/>
      <c r="U268" s="11" t="n"/>
      <c r="V268" s="10">
        <f>IF(AND(T268="",U268=""),"",IFERROR(INDEX(T_CAPAI,MATCH(T268,L_PER,0),MATCH(U268,L_KED,0)),0))</f>
        <v/>
      </c>
      <c r="W268" s="17">
        <f>IF(OR(B268="",E268="",COUNTA(F268,H268,J268:M268,O268,Q268:R268,T268:U268)=0),"",SUM(G268,I268,N268,P268,S268,V268))</f>
        <v/>
      </c>
      <c r="X268" s="18">
        <f>IF(W268="","",IF(Murid!F268="TL","TL",ROUND(W268/110*100,2)))</f>
        <v/>
      </c>
    </row>
    <row r="269">
      <c r="A269" s="15">
        <f>Murid!A269</f>
        <v/>
      </c>
      <c r="B269" s="15">
        <f>IF(Murid!B269="","",Murid!B269)</f>
        <v/>
      </c>
      <c r="C269" s="16">
        <f>IF(Murid!C269="","",Murid!C269)</f>
        <v/>
      </c>
      <c r="D269" s="15">
        <f>IF(Murid!E269="","",Murid!E269)</f>
        <v/>
      </c>
      <c r="E269" s="11" t="n"/>
      <c r="F269" s="11" t="n"/>
      <c r="G269" s="10">
        <f>IF(F269="","",IFERROR(VLOOKUP(F269,T_JSP,2,FALSE),0))</f>
        <v/>
      </c>
      <c r="H269" s="11" t="n"/>
      <c r="I269" s="17">
        <f>IF(H269="","",IF(H269&gt;=12,40,ROUND(H269*3.33,2)))</f>
        <v/>
      </c>
      <c r="J269" s="11" t="n"/>
      <c r="K269" s="11" t="n"/>
      <c r="L269" s="11" t="n"/>
      <c r="M269" s="11" t="n"/>
      <c r="N269" s="10">
        <f>IF(COUNTA(J269:M269)=0,"",MIN(10,SUMPRODUCT((COUNTIF(J269:M269,L_KOM)&gt;0)*S_KOM)))</f>
        <v/>
      </c>
      <c r="O269" s="11" t="n"/>
      <c r="P269" s="10">
        <f>IF(O269="","",IFERROR(VLOOKUP(O269,T_KHID,2,FALSE),0))</f>
        <v/>
      </c>
      <c r="Q269" s="11" t="n"/>
      <c r="R269" s="11" t="n"/>
      <c r="S269" s="10">
        <f>IF(AND(Q269="",R269=""),"",IFERROR(INDEX(T_LIBAT,MATCH(Q269,L_PER,0),MATCH(R269,L_JENIS,0)),0))</f>
        <v/>
      </c>
      <c r="T269" s="11" t="n"/>
      <c r="U269" s="11" t="n"/>
      <c r="V269" s="10">
        <f>IF(AND(T269="",U269=""),"",IFERROR(INDEX(T_CAPAI,MATCH(T269,L_PER,0),MATCH(U269,L_KED,0)),0))</f>
        <v/>
      </c>
      <c r="W269" s="17">
        <f>IF(OR(B269="",E269="",COUNTA(F269,H269,J269:M269,O269,Q269:R269,T269:U269)=0),"",SUM(G269,I269,N269,P269,S269,V269))</f>
        <v/>
      </c>
      <c r="X269" s="18">
        <f>IF(W269="","",IF(Murid!F269="TL","TL",ROUND(W269/110*100,2)))</f>
        <v/>
      </c>
    </row>
    <row r="270">
      <c r="A270" s="15">
        <f>Murid!A270</f>
        <v/>
      </c>
      <c r="B270" s="15">
        <f>IF(Murid!B270="","",Murid!B270)</f>
        <v/>
      </c>
      <c r="C270" s="16">
        <f>IF(Murid!C270="","",Murid!C270)</f>
        <v/>
      </c>
      <c r="D270" s="15">
        <f>IF(Murid!E270="","",Murid!E270)</f>
        <v/>
      </c>
      <c r="E270" s="11" t="n"/>
      <c r="F270" s="11" t="n"/>
      <c r="G270" s="10">
        <f>IF(F270="","",IFERROR(VLOOKUP(F270,T_JSP,2,FALSE),0))</f>
        <v/>
      </c>
      <c r="H270" s="11" t="n"/>
      <c r="I270" s="17">
        <f>IF(H270="","",IF(H270&gt;=12,40,ROUND(H270*3.33,2)))</f>
        <v/>
      </c>
      <c r="J270" s="11" t="n"/>
      <c r="K270" s="11" t="n"/>
      <c r="L270" s="11" t="n"/>
      <c r="M270" s="11" t="n"/>
      <c r="N270" s="10">
        <f>IF(COUNTA(J270:M270)=0,"",MIN(10,SUMPRODUCT((COUNTIF(J270:M270,L_KOM)&gt;0)*S_KOM)))</f>
        <v/>
      </c>
      <c r="O270" s="11" t="n"/>
      <c r="P270" s="10">
        <f>IF(O270="","",IFERROR(VLOOKUP(O270,T_KHID,2,FALSE),0))</f>
        <v/>
      </c>
      <c r="Q270" s="11" t="n"/>
      <c r="R270" s="11" t="n"/>
      <c r="S270" s="10">
        <f>IF(AND(Q270="",R270=""),"",IFERROR(INDEX(T_LIBAT,MATCH(Q270,L_PER,0),MATCH(R270,L_JENIS,0)),0))</f>
        <v/>
      </c>
      <c r="T270" s="11" t="n"/>
      <c r="U270" s="11" t="n"/>
      <c r="V270" s="10">
        <f>IF(AND(T270="",U270=""),"",IFERROR(INDEX(T_CAPAI,MATCH(T270,L_PER,0),MATCH(U270,L_KED,0)),0))</f>
        <v/>
      </c>
      <c r="W270" s="17">
        <f>IF(OR(B270="",E270="",COUNTA(F270,H270,J270:M270,O270,Q270:R270,T270:U270)=0),"",SUM(G270,I270,N270,P270,S270,V270))</f>
        <v/>
      </c>
      <c r="X270" s="18">
        <f>IF(W270="","",IF(Murid!F270="TL","TL",ROUND(W270/110*100,2)))</f>
        <v/>
      </c>
    </row>
    <row r="271">
      <c r="A271" s="15">
        <f>Murid!A271</f>
        <v/>
      </c>
      <c r="B271" s="15">
        <f>IF(Murid!B271="","",Murid!B271)</f>
        <v/>
      </c>
      <c r="C271" s="16">
        <f>IF(Murid!C271="","",Murid!C271)</f>
        <v/>
      </c>
      <c r="D271" s="15">
        <f>IF(Murid!E271="","",Murid!E271)</f>
        <v/>
      </c>
      <c r="E271" s="11" t="n"/>
      <c r="F271" s="11" t="n"/>
      <c r="G271" s="10">
        <f>IF(F271="","",IFERROR(VLOOKUP(F271,T_JSP,2,FALSE),0))</f>
        <v/>
      </c>
      <c r="H271" s="11" t="n"/>
      <c r="I271" s="17">
        <f>IF(H271="","",IF(H271&gt;=12,40,ROUND(H271*3.33,2)))</f>
        <v/>
      </c>
      <c r="J271" s="11" t="n"/>
      <c r="K271" s="11" t="n"/>
      <c r="L271" s="11" t="n"/>
      <c r="M271" s="11" t="n"/>
      <c r="N271" s="10">
        <f>IF(COUNTA(J271:M271)=0,"",MIN(10,SUMPRODUCT((COUNTIF(J271:M271,L_KOM)&gt;0)*S_KOM)))</f>
        <v/>
      </c>
      <c r="O271" s="11" t="n"/>
      <c r="P271" s="10">
        <f>IF(O271="","",IFERROR(VLOOKUP(O271,T_KHID,2,FALSE),0))</f>
        <v/>
      </c>
      <c r="Q271" s="11" t="n"/>
      <c r="R271" s="11" t="n"/>
      <c r="S271" s="10">
        <f>IF(AND(Q271="",R271=""),"",IFERROR(INDEX(T_LIBAT,MATCH(Q271,L_PER,0),MATCH(R271,L_JENIS,0)),0))</f>
        <v/>
      </c>
      <c r="T271" s="11" t="n"/>
      <c r="U271" s="11" t="n"/>
      <c r="V271" s="10">
        <f>IF(AND(T271="",U271=""),"",IFERROR(INDEX(T_CAPAI,MATCH(T271,L_PER,0),MATCH(U271,L_KED,0)),0))</f>
        <v/>
      </c>
      <c r="W271" s="17">
        <f>IF(OR(B271="",E271="",COUNTA(F271,H271,J271:M271,O271,Q271:R271,T271:U271)=0),"",SUM(G271,I271,N271,P271,S271,V271))</f>
        <v/>
      </c>
      <c r="X271" s="18">
        <f>IF(W271="","",IF(Murid!F271="TL","TL",ROUND(W271/110*100,2)))</f>
        <v/>
      </c>
    </row>
    <row r="272">
      <c r="A272" s="15">
        <f>Murid!A272</f>
        <v/>
      </c>
      <c r="B272" s="15">
        <f>IF(Murid!B272="","",Murid!B272)</f>
        <v/>
      </c>
      <c r="C272" s="16">
        <f>IF(Murid!C272="","",Murid!C272)</f>
        <v/>
      </c>
      <c r="D272" s="15">
        <f>IF(Murid!E272="","",Murid!E272)</f>
        <v/>
      </c>
      <c r="E272" s="11" t="n"/>
      <c r="F272" s="11" t="n"/>
      <c r="G272" s="10">
        <f>IF(F272="","",IFERROR(VLOOKUP(F272,T_JSP,2,FALSE),0))</f>
        <v/>
      </c>
      <c r="H272" s="11" t="n"/>
      <c r="I272" s="17">
        <f>IF(H272="","",IF(H272&gt;=12,40,ROUND(H272*3.33,2)))</f>
        <v/>
      </c>
      <c r="J272" s="11" t="n"/>
      <c r="K272" s="11" t="n"/>
      <c r="L272" s="11" t="n"/>
      <c r="M272" s="11" t="n"/>
      <c r="N272" s="10">
        <f>IF(COUNTA(J272:M272)=0,"",MIN(10,SUMPRODUCT((COUNTIF(J272:M272,L_KOM)&gt;0)*S_KOM)))</f>
        <v/>
      </c>
      <c r="O272" s="11" t="n"/>
      <c r="P272" s="10">
        <f>IF(O272="","",IFERROR(VLOOKUP(O272,T_KHID,2,FALSE),0))</f>
        <v/>
      </c>
      <c r="Q272" s="11" t="n"/>
      <c r="R272" s="11" t="n"/>
      <c r="S272" s="10">
        <f>IF(AND(Q272="",R272=""),"",IFERROR(INDEX(T_LIBAT,MATCH(Q272,L_PER,0),MATCH(R272,L_JENIS,0)),0))</f>
        <v/>
      </c>
      <c r="T272" s="11" t="n"/>
      <c r="U272" s="11" t="n"/>
      <c r="V272" s="10">
        <f>IF(AND(T272="",U272=""),"",IFERROR(INDEX(T_CAPAI,MATCH(T272,L_PER,0),MATCH(U272,L_KED,0)),0))</f>
        <v/>
      </c>
      <c r="W272" s="17">
        <f>IF(OR(B272="",E272="",COUNTA(F272,H272,J272:M272,O272,Q272:R272,T272:U272)=0),"",SUM(G272,I272,N272,P272,S272,V272))</f>
        <v/>
      </c>
      <c r="X272" s="18">
        <f>IF(W272="","",IF(Murid!F272="TL","TL",ROUND(W272/110*100,2)))</f>
        <v/>
      </c>
    </row>
    <row r="273">
      <c r="A273" s="15">
        <f>Murid!A273</f>
        <v/>
      </c>
      <c r="B273" s="15">
        <f>IF(Murid!B273="","",Murid!B273)</f>
        <v/>
      </c>
      <c r="C273" s="16">
        <f>IF(Murid!C273="","",Murid!C273)</f>
        <v/>
      </c>
      <c r="D273" s="15">
        <f>IF(Murid!E273="","",Murid!E273)</f>
        <v/>
      </c>
      <c r="E273" s="11" t="n"/>
      <c r="F273" s="11" t="n"/>
      <c r="G273" s="10">
        <f>IF(F273="","",IFERROR(VLOOKUP(F273,T_JSP,2,FALSE),0))</f>
        <v/>
      </c>
      <c r="H273" s="11" t="n"/>
      <c r="I273" s="17">
        <f>IF(H273="","",IF(H273&gt;=12,40,ROUND(H273*3.33,2)))</f>
        <v/>
      </c>
      <c r="J273" s="11" t="n"/>
      <c r="K273" s="11" t="n"/>
      <c r="L273" s="11" t="n"/>
      <c r="M273" s="11" t="n"/>
      <c r="N273" s="10">
        <f>IF(COUNTA(J273:M273)=0,"",MIN(10,SUMPRODUCT((COUNTIF(J273:M273,L_KOM)&gt;0)*S_KOM)))</f>
        <v/>
      </c>
      <c r="O273" s="11" t="n"/>
      <c r="P273" s="10">
        <f>IF(O273="","",IFERROR(VLOOKUP(O273,T_KHID,2,FALSE),0))</f>
        <v/>
      </c>
      <c r="Q273" s="11" t="n"/>
      <c r="R273" s="11" t="n"/>
      <c r="S273" s="10">
        <f>IF(AND(Q273="",R273=""),"",IFERROR(INDEX(T_LIBAT,MATCH(Q273,L_PER,0),MATCH(R273,L_JENIS,0)),0))</f>
        <v/>
      </c>
      <c r="T273" s="11" t="n"/>
      <c r="U273" s="11" t="n"/>
      <c r="V273" s="10">
        <f>IF(AND(T273="",U273=""),"",IFERROR(INDEX(T_CAPAI,MATCH(T273,L_PER,0),MATCH(U273,L_KED,0)),0))</f>
        <v/>
      </c>
      <c r="W273" s="17">
        <f>IF(OR(B273="",E273="",COUNTA(F273,H273,J273:M273,O273,Q273:R273,T273:U273)=0),"",SUM(G273,I273,N273,P273,S273,V273))</f>
        <v/>
      </c>
      <c r="X273" s="18">
        <f>IF(W273="","",IF(Murid!F273="TL","TL",ROUND(W273/110*100,2)))</f>
        <v/>
      </c>
    </row>
    <row r="274">
      <c r="A274" s="15">
        <f>Murid!A274</f>
        <v/>
      </c>
      <c r="B274" s="15">
        <f>IF(Murid!B274="","",Murid!B274)</f>
        <v/>
      </c>
      <c r="C274" s="16">
        <f>IF(Murid!C274="","",Murid!C274)</f>
        <v/>
      </c>
      <c r="D274" s="15">
        <f>IF(Murid!E274="","",Murid!E274)</f>
        <v/>
      </c>
      <c r="E274" s="11" t="n"/>
      <c r="F274" s="11" t="n"/>
      <c r="G274" s="10">
        <f>IF(F274="","",IFERROR(VLOOKUP(F274,T_JSP,2,FALSE),0))</f>
        <v/>
      </c>
      <c r="H274" s="11" t="n"/>
      <c r="I274" s="17">
        <f>IF(H274="","",IF(H274&gt;=12,40,ROUND(H274*3.33,2)))</f>
        <v/>
      </c>
      <c r="J274" s="11" t="n"/>
      <c r="K274" s="11" t="n"/>
      <c r="L274" s="11" t="n"/>
      <c r="M274" s="11" t="n"/>
      <c r="N274" s="10">
        <f>IF(COUNTA(J274:M274)=0,"",MIN(10,SUMPRODUCT((COUNTIF(J274:M274,L_KOM)&gt;0)*S_KOM)))</f>
        <v/>
      </c>
      <c r="O274" s="11" t="n"/>
      <c r="P274" s="10">
        <f>IF(O274="","",IFERROR(VLOOKUP(O274,T_KHID,2,FALSE),0))</f>
        <v/>
      </c>
      <c r="Q274" s="11" t="n"/>
      <c r="R274" s="11" t="n"/>
      <c r="S274" s="10">
        <f>IF(AND(Q274="",R274=""),"",IFERROR(INDEX(T_LIBAT,MATCH(Q274,L_PER,0),MATCH(R274,L_JENIS,0)),0))</f>
        <v/>
      </c>
      <c r="T274" s="11" t="n"/>
      <c r="U274" s="11" t="n"/>
      <c r="V274" s="10">
        <f>IF(AND(T274="",U274=""),"",IFERROR(INDEX(T_CAPAI,MATCH(T274,L_PER,0),MATCH(U274,L_KED,0)),0))</f>
        <v/>
      </c>
      <c r="W274" s="17">
        <f>IF(OR(B274="",E274="",COUNTA(F274,H274,J274:M274,O274,Q274:R274,T274:U274)=0),"",SUM(G274,I274,N274,P274,S274,V274))</f>
        <v/>
      </c>
      <c r="X274" s="18">
        <f>IF(W274="","",IF(Murid!F274="TL","TL",ROUND(W274/110*100,2)))</f>
        <v/>
      </c>
    </row>
    <row r="275">
      <c r="A275" s="15">
        <f>Murid!A275</f>
        <v/>
      </c>
      <c r="B275" s="15">
        <f>IF(Murid!B275="","",Murid!B275)</f>
        <v/>
      </c>
      <c r="C275" s="16">
        <f>IF(Murid!C275="","",Murid!C275)</f>
        <v/>
      </c>
      <c r="D275" s="15">
        <f>IF(Murid!E275="","",Murid!E275)</f>
        <v/>
      </c>
      <c r="E275" s="11" t="n"/>
      <c r="F275" s="11" t="n"/>
      <c r="G275" s="10">
        <f>IF(F275="","",IFERROR(VLOOKUP(F275,T_JSP,2,FALSE),0))</f>
        <v/>
      </c>
      <c r="H275" s="11" t="n"/>
      <c r="I275" s="17">
        <f>IF(H275="","",IF(H275&gt;=12,40,ROUND(H275*3.33,2)))</f>
        <v/>
      </c>
      <c r="J275" s="11" t="n"/>
      <c r="K275" s="11" t="n"/>
      <c r="L275" s="11" t="n"/>
      <c r="M275" s="11" t="n"/>
      <c r="N275" s="10">
        <f>IF(COUNTA(J275:M275)=0,"",MIN(10,SUMPRODUCT((COUNTIF(J275:M275,L_KOM)&gt;0)*S_KOM)))</f>
        <v/>
      </c>
      <c r="O275" s="11" t="n"/>
      <c r="P275" s="10">
        <f>IF(O275="","",IFERROR(VLOOKUP(O275,T_KHID,2,FALSE),0))</f>
        <v/>
      </c>
      <c r="Q275" s="11" t="n"/>
      <c r="R275" s="11" t="n"/>
      <c r="S275" s="10">
        <f>IF(AND(Q275="",R275=""),"",IFERROR(INDEX(T_LIBAT,MATCH(Q275,L_PER,0),MATCH(R275,L_JENIS,0)),0))</f>
        <v/>
      </c>
      <c r="T275" s="11" t="n"/>
      <c r="U275" s="11" t="n"/>
      <c r="V275" s="10">
        <f>IF(AND(T275="",U275=""),"",IFERROR(INDEX(T_CAPAI,MATCH(T275,L_PER,0),MATCH(U275,L_KED,0)),0))</f>
        <v/>
      </c>
      <c r="W275" s="17">
        <f>IF(OR(B275="",E275="",COUNTA(F275,H275,J275:M275,O275,Q275:R275,T275:U275)=0),"",SUM(G275,I275,N275,P275,S275,V275))</f>
        <v/>
      </c>
      <c r="X275" s="18">
        <f>IF(W275="","",IF(Murid!F275="TL","TL",ROUND(W275/110*100,2)))</f>
        <v/>
      </c>
    </row>
    <row r="276">
      <c r="A276" s="15">
        <f>Murid!A276</f>
        <v/>
      </c>
      <c r="B276" s="15">
        <f>IF(Murid!B276="","",Murid!B276)</f>
        <v/>
      </c>
      <c r="C276" s="16">
        <f>IF(Murid!C276="","",Murid!C276)</f>
        <v/>
      </c>
      <c r="D276" s="15">
        <f>IF(Murid!E276="","",Murid!E276)</f>
        <v/>
      </c>
      <c r="E276" s="11" t="n"/>
      <c r="F276" s="11" t="n"/>
      <c r="G276" s="10">
        <f>IF(F276="","",IFERROR(VLOOKUP(F276,T_JSP,2,FALSE),0))</f>
        <v/>
      </c>
      <c r="H276" s="11" t="n"/>
      <c r="I276" s="17">
        <f>IF(H276="","",IF(H276&gt;=12,40,ROUND(H276*3.33,2)))</f>
        <v/>
      </c>
      <c r="J276" s="11" t="n"/>
      <c r="K276" s="11" t="n"/>
      <c r="L276" s="11" t="n"/>
      <c r="M276" s="11" t="n"/>
      <c r="N276" s="10">
        <f>IF(COUNTA(J276:M276)=0,"",MIN(10,SUMPRODUCT((COUNTIF(J276:M276,L_KOM)&gt;0)*S_KOM)))</f>
        <v/>
      </c>
      <c r="O276" s="11" t="n"/>
      <c r="P276" s="10">
        <f>IF(O276="","",IFERROR(VLOOKUP(O276,T_KHID,2,FALSE),0))</f>
        <v/>
      </c>
      <c r="Q276" s="11" t="n"/>
      <c r="R276" s="11" t="n"/>
      <c r="S276" s="10">
        <f>IF(AND(Q276="",R276=""),"",IFERROR(INDEX(T_LIBAT,MATCH(Q276,L_PER,0),MATCH(R276,L_JENIS,0)),0))</f>
        <v/>
      </c>
      <c r="T276" s="11" t="n"/>
      <c r="U276" s="11" t="n"/>
      <c r="V276" s="10">
        <f>IF(AND(T276="",U276=""),"",IFERROR(INDEX(T_CAPAI,MATCH(T276,L_PER,0),MATCH(U276,L_KED,0)),0))</f>
        <v/>
      </c>
      <c r="W276" s="17">
        <f>IF(OR(B276="",E276="",COUNTA(F276,H276,J276:M276,O276,Q276:R276,T276:U276)=0),"",SUM(G276,I276,N276,P276,S276,V276))</f>
        <v/>
      </c>
      <c r="X276" s="18">
        <f>IF(W276="","",IF(Murid!F276="TL","TL",ROUND(W276/110*100,2)))</f>
        <v/>
      </c>
    </row>
    <row r="277">
      <c r="A277" s="15">
        <f>Murid!A277</f>
        <v/>
      </c>
      <c r="B277" s="15">
        <f>IF(Murid!B277="","",Murid!B277)</f>
        <v/>
      </c>
      <c r="C277" s="16">
        <f>IF(Murid!C277="","",Murid!C277)</f>
        <v/>
      </c>
      <c r="D277" s="15">
        <f>IF(Murid!E277="","",Murid!E277)</f>
        <v/>
      </c>
      <c r="E277" s="11" t="n"/>
      <c r="F277" s="11" t="n"/>
      <c r="G277" s="10">
        <f>IF(F277="","",IFERROR(VLOOKUP(F277,T_JSP,2,FALSE),0))</f>
        <v/>
      </c>
      <c r="H277" s="11" t="n"/>
      <c r="I277" s="17">
        <f>IF(H277="","",IF(H277&gt;=12,40,ROUND(H277*3.33,2)))</f>
        <v/>
      </c>
      <c r="J277" s="11" t="n"/>
      <c r="K277" s="11" t="n"/>
      <c r="L277" s="11" t="n"/>
      <c r="M277" s="11" t="n"/>
      <c r="N277" s="10">
        <f>IF(COUNTA(J277:M277)=0,"",MIN(10,SUMPRODUCT((COUNTIF(J277:M277,L_KOM)&gt;0)*S_KOM)))</f>
        <v/>
      </c>
      <c r="O277" s="11" t="n"/>
      <c r="P277" s="10">
        <f>IF(O277="","",IFERROR(VLOOKUP(O277,T_KHID,2,FALSE),0))</f>
        <v/>
      </c>
      <c r="Q277" s="11" t="n"/>
      <c r="R277" s="11" t="n"/>
      <c r="S277" s="10">
        <f>IF(AND(Q277="",R277=""),"",IFERROR(INDEX(T_LIBAT,MATCH(Q277,L_PER,0),MATCH(R277,L_JENIS,0)),0))</f>
        <v/>
      </c>
      <c r="T277" s="11" t="n"/>
      <c r="U277" s="11" t="n"/>
      <c r="V277" s="10">
        <f>IF(AND(T277="",U277=""),"",IFERROR(INDEX(T_CAPAI,MATCH(T277,L_PER,0),MATCH(U277,L_KED,0)),0))</f>
        <v/>
      </c>
      <c r="W277" s="17">
        <f>IF(OR(B277="",E277="",COUNTA(F277,H277,J277:M277,O277,Q277:R277,T277:U277)=0),"",SUM(G277,I277,N277,P277,S277,V277))</f>
        <v/>
      </c>
      <c r="X277" s="18">
        <f>IF(W277="","",IF(Murid!F277="TL","TL",ROUND(W277/110*100,2)))</f>
        <v/>
      </c>
    </row>
    <row r="278">
      <c r="A278" s="15">
        <f>Murid!A278</f>
        <v/>
      </c>
      <c r="B278" s="15">
        <f>IF(Murid!B278="","",Murid!B278)</f>
        <v/>
      </c>
      <c r="C278" s="16">
        <f>IF(Murid!C278="","",Murid!C278)</f>
        <v/>
      </c>
      <c r="D278" s="15">
        <f>IF(Murid!E278="","",Murid!E278)</f>
        <v/>
      </c>
      <c r="E278" s="11" t="n"/>
      <c r="F278" s="11" t="n"/>
      <c r="G278" s="10">
        <f>IF(F278="","",IFERROR(VLOOKUP(F278,T_JSP,2,FALSE),0))</f>
        <v/>
      </c>
      <c r="H278" s="11" t="n"/>
      <c r="I278" s="17">
        <f>IF(H278="","",IF(H278&gt;=12,40,ROUND(H278*3.33,2)))</f>
        <v/>
      </c>
      <c r="J278" s="11" t="n"/>
      <c r="K278" s="11" t="n"/>
      <c r="L278" s="11" t="n"/>
      <c r="M278" s="11" t="n"/>
      <c r="N278" s="10">
        <f>IF(COUNTA(J278:M278)=0,"",MIN(10,SUMPRODUCT((COUNTIF(J278:M278,L_KOM)&gt;0)*S_KOM)))</f>
        <v/>
      </c>
      <c r="O278" s="11" t="n"/>
      <c r="P278" s="10">
        <f>IF(O278="","",IFERROR(VLOOKUP(O278,T_KHID,2,FALSE),0))</f>
        <v/>
      </c>
      <c r="Q278" s="11" t="n"/>
      <c r="R278" s="11" t="n"/>
      <c r="S278" s="10">
        <f>IF(AND(Q278="",R278=""),"",IFERROR(INDEX(T_LIBAT,MATCH(Q278,L_PER,0),MATCH(R278,L_JENIS,0)),0))</f>
        <v/>
      </c>
      <c r="T278" s="11" t="n"/>
      <c r="U278" s="11" t="n"/>
      <c r="V278" s="10">
        <f>IF(AND(T278="",U278=""),"",IFERROR(INDEX(T_CAPAI,MATCH(T278,L_PER,0),MATCH(U278,L_KED,0)),0))</f>
        <v/>
      </c>
      <c r="W278" s="17">
        <f>IF(OR(B278="",E278="",COUNTA(F278,H278,J278:M278,O278,Q278:R278,T278:U278)=0),"",SUM(G278,I278,N278,P278,S278,V278))</f>
        <v/>
      </c>
      <c r="X278" s="18">
        <f>IF(W278="","",IF(Murid!F278="TL","TL",ROUND(W278/110*100,2)))</f>
        <v/>
      </c>
    </row>
    <row r="279">
      <c r="A279" s="15">
        <f>Murid!A279</f>
        <v/>
      </c>
      <c r="B279" s="15">
        <f>IF(Murid!B279="","",Murid!B279)</f>
        <v/>
      </c>
      <c r="C279" s="16">
        <f>IF(Murid!C279="","",Murid!C279)</f>
        <v/>
      </c>
      <c r="D279" s="15">
        <f>IF(Murid!E279="","",Murid!E279)</f>
        <v/>
      </c>
      <c r="E279" s="11" t="n"/>
      <c r="F279" s="11" t="n"/>
      <c r="G279" s="10">
        <f>IF(F279="","",IFERROR(VLOOKUP(F279,T_JSP,2,FALSE),0))</f>
        <v/>
      </c>
      <c r="H279" s="11" t="n"/>
      <c r="I279" s="17">
        <f>IF(H279="","",IF(H279&gt;=12,40,ROUND(H279*3.33,2)))</f>
        <v/>
      </c>
      <c r="J279" s="11" t="n"/>
      <c r="K279" s="11" t="n"/>
      <c r="L279" s="11" t="n"/>
      <c r="M279" s="11" t="n"/>
      <c r="N279" s="10">
        <f>IF(COUNTA(J279:M279)=0,"",MIN(10,SUMPRODUCT((COUNTIF(J279:M279,L_KOM)&gt;0)*S_KOM)))</f>
        <v/>
      </c>
      <c r="O279" s="11" t="n"/>
      <c r="P279" s="10">
        <f>IF(O279="","",IFERROR(VLOOKUP(O279,T_KHID,2,FALSE),0))</f>
        <v/>
      </c>
      <c r="Q279" s="11" t="n"/>
      <c r="R279" s="11" t="n"/>
      <c r="S279" s="10">
        <f>IF(AND(Q279="",R279=""),"",IFERROR(INDEX(T_LIBAT,MATCH(Q279,L_PER,0),MATCH(R279,L_JENIS,0)),0))</f>
        <v/>
      </c>
      <c r="T279" s="11" t="n"/>
      <c r="U279" s="11" t="n"/>
      <c r="V279" s="10">
        <f>IF(AND(T279="",U279=""),"",IFERROR(INDEX(T_CAPAI,MATCH(T279,L_PER,0),MATCH(U279,L_KED,0)),0))</f>
        <v/>
      </c>
      <c r="W279" s="17">
        <f>IF(OR(B279="",E279="",COUNTA(F279,H279,J279:M279,O279,Q279:R279,T279:U279)=0),"",SUM(G279,I279,N279,P279,S279,V279))</f>
        <v/>
      </c>
      <c r="X279" s="18">
        <f>IF(W279="","",IF(Murid!F279="TL","TL",ROUND(W279/110*100,2)))</f>
        <v/>
      </c>
    </row>
    <row r="280">
      <c r="A280" s="15">
        <f>Murid!A280</f>
        <v/>
      </c>
      <c r="B280" s="15">
        <f>IF(Murid!B280="","",Murid!B280)</f>
        <v/>
      </c>
      <c r="C280" s="16">
        <f>IF(Murid!C280="","",Murid!C280)</f>
        <v/>
      </c>
      <c r="D280" s="15">
        <f>IF(Murid!E280="","",Murid!E280)</f>
        <v/>
      </c>
      <c r="E280" s="11" t="n"/>
      <c r="F280" s="11" t="n"/>
      <c r="G280" s="10">
        <f>IF(F280="","",IFERROR(VLOOKUP(F280,T_JSP,2,FALSE),0))</f>
        <v/>
      </c>
      <c r="H280" s="11" t="n"/>
      <c r="I280" s="17">
        <f>IF(H280="","",IF(H280&gt;=12,40,ROUND(H280*3.33,2)))</f>
        <v/>
      </c>
      <c r="J280" s="11" t="n"/>
      <c r="K280" s="11" t="n"/>
      <c r="L280" s="11" t="n"/>
      <c r="M280" s="11" t="n"/>
      <c r="N280" s="10">
        <f>IF(COUNTA(J280:M280)=0,"",MIN(10,SUMPRODUCT((COUNTIF(J280:M280,L_KOM)&gt;0)*S_KOM)))</f>
        <v/>
      </c>
      <c r="O280" s="11" t="n"/>
      <c r="P280" s="10">
        <f>IF(O280="","",IFERROR(VLOOKUP(O280,T_KHID,2,FALSE),0))</f>
        <v/>
      </c>
      <c r="Q280" s="11" t="n"/>
      <c r="R280" s="11" t="n"/>
      <c r="S280" s="10">
        <f>IF(AND(Q280="",R280=""),"",IFERROR(INDEX(T_LIBAT,MATCH(Q280,L_PER,0),MATCH(R280,L_JENIS,0)),0))</f>
        <v/>
      </c>
      <c r="T280" s="11" t="n"/>
      <c r="U280" s="11" t="n"/>
      <c r="V280" s="10">
        <f>IF(AND(T280="",U280=""),"",IFERROR(INDEX(T_CAPAI,MATCH(T280,L_PER,0),MATCH(U280,L_KED,0)),0))</f>
        <v/>
      </c>
      <c r="W280" s="17">
        <f>IF(OR(B280="",E280="",COUNTA(F280,H280,J280:M280,O280,Q280:R280,T280:U280)=0),"",SUM(G280,I280,N280,P280,S280,V280))</f>
        <v/>
      </c>
      <c r="X280" s="18">
        <f>IF(W280="","",IF(Murid!F280="TL","TL",ROUND(W280/110*100,2)))</f>
        <v/>
      </c>
    </row>
    <row r="281">
      <c r="A281" s="15">
        <f>Murid!A281</f>
        <v/>
      </c>
      <c r="B281" s="15">
        <f>IF(Murid!B281="","",Murid!B281)</f>
        <v/>
      </c>
      <c r="C281" s="16">
        <f>IF(Murid!C281="","",Murid!C281)</f>
        <v/>
      </c>
      <c r="D281" s="15">
        <f>IF(Murid!E281="","",Murid!E281)</f>
        <v/>
      </c>
      <c r="E281" s="11" t="n"/>
      <c r="F281" s="11" t="n"/>
      <c r="G281" s="10">
        <f>IF(F281="","",IFERROR(VLOOKUP(F281,T_JSP,2,FALSE),0))</f>
        <v/>
      </c>
      <c r="H281" s="11" t="n"/>
      <c r="I281" s="17">
        <f>IF(H281="","",IF(H281&gt;=12,40,ROUND(H281*3.33,2)))</f>
        <v/>
      </c>
      <c r="J281" s="11" t="n"/>
      <c r="K281" s="11" t="n"/>
      <c r="L281" s="11" t="n"/>
      <c r="M281" s="11" t="n"/>
      <c r="N281" s="10">
        <f>IF(COUNTA(J281:M281)=0,"",MIN(10,SUMPRODUCT((COUNTIF(J281:M281,L_KOM)&gt;0)*S_KOM)))</f>
        <v/>
      </c>
      <c r="O281" s="11" t="n"/>
      <c r="P281" s="10">
        <f>IF(O281="","",IFERROR(VLOOKUP(O281,T_KHID,2,FALSE),0))</f>
        <v/>
      </c>
      <c r="Q281" s="11" t="n"/>
      <c r="R281" s="11" t="n"/>
      <c r="S281" s="10">
        <f>IF(AND(Q281="",R281=""),"",IFERROR(INDEX(T_LIBAT,MATCH(Q281,L_PER,0),MATCH(R281,L_JENIS,0)),0))</f>
        <v/>
      </c>
      <c r="T281" s="11" t="n"/>
      <c r="U281" s="11" t="n"/>
      <c r="V281" s="10">
        <f>IF(AND(T281="",U281=""),"",IFERROR(INDEX(T_CAPAI,MATCH(T281,L_PER,0),MATCH(U281,L_KED,0)),0))</f>
        <v/>
      </c>
      <c r="W281" s="17">
        <f>IF(OR(B281="",E281="",COUNTA(F281,H281,J281:M281,O281,Q281:R281,T281:U281)=0),"",SUM(G281,I281,N281,P281,S281,V281))</f>
        <v/>
      </c>
      <c r="X281" s="18">
        <f>IF(W281="","",IF(Murid!F281="TL","TL",ROUND(W281/110*100,2)))</f>
        <v/>
      </c>
    </row>
    <row r="282">
      <c r="A282" s="15">
        <f>Murid!A282</f>
        <v/>
      </c>
      <c r="B282" s="15">
        <f>IF(Murid!B282="","",Murid!B282)</f>
        <v/>
      </c>
      <c r="C282" s="16">
        <f>IF(Murid!C282="","",Murid!C282)</f>
        <v/>
      </c>
      <c r="D282" s="15">
        <f>IF(Murid!E282="","",Murid!E282)</f>
        <v/>
      </c>
      <c r="E282" s="11" t="n"/>
      <c r="F282" s="11" t="n"/>
      <c r="G282" s="10">
        <f>IF(F282="","",IFERROR(VLOOKUP(F282,T_JSP,2,FALSE),0))</f>
        <v/>
      </c>
      <c r="H282" s="11" t="n"/>
      <c r="I282" s="17">
        <f>IF(H282="","",IF(H282&gt;=12,40,ROUND(H282*3.33,2)))</f>
        <v/>
      </c>
      <c r="J282" s="11" t="n"/>
      <c r="K282" s="11" t="n"/>
      <c r="L282" s="11" t="n"/>
      <c r="M282" s="11" t="n"/>
      <c r="N282" s="10">
        <f>IF(COUNTA(J282:M282)=0,"",MIN(10,SUMPRODUCT((COUNTIF(J282:M282,L_KOM)&gt;0)*S_KOM)))</f>
        <v/>
      </c>
      <c r="O282" s="11" t="n"/>
      <c r="P282" s="10">
        <f>IF(O282="","",IFERROR(VLOOKUP(O282,T_KHID,2,FALSE),0))</f>
        <v/>
      </c>
      <c r="Q282" s="11" t="n"/>
      <c r="R282" s="11" t="n"/>
      <c r="S282" s="10">
        <f>IF(AND(Q282="",R282=""),"",IFERROR(INDEX(T_LIBAT,MATCH(Q282,L_PER,0),MATCH(R282,L_JENIS,0)),0))</f>
        <v/>
      </c>
      <c r="T282" s="11" t="n"/>
      <c r="U282" s="11" t="n"/>
      <c r="V282" s="10">
        <f>IF(AND(T282="",U282=""),"",IFERROR(INDEX(T_CAPAI,MATCH(T282,L_PER,0),MATCH(U282,L_KED,0)),0))</f>
        <v/>
      </c>
      <c r="W282" s="17">
        <f>IF(OR(B282="",E282="",COUNTA(F282,H282,J282:M282,O282,Q282:R282,T282:U282)=0),"",SUM(G282,I282,N282,P282,S282,V282))</f>
        <v/>
      </c>
      <c r="X282" s="18">
        <f>IF(W282="","",IF(Murid!F282="TL","TL",ROUND(W282/110*100,2)))</f>
        <v/>
      </c>
    </row>
    <row r="283">
      <c r="A283" s="15">
        <f>Murid!A283</f>
        <v/>
      </c>
      <c r="B283" s="15">
        <f>IF(Murid!B283="","",Murid!B283)</f>
        <v/>
      </c>
      <c r="C283" s="16">
        <f>IF(Murid!C283="","",Murid!C283)</f>
        <v/>
      </c>
      <c r="D283" s="15">
        <f>IF(Murid!E283="","",Murid!E283)</f>
        <v/>
      </c>
      <c r="E283" s="11" t="n"/>
      <c r="F283" s="11" t="n"/>
      <c r="G283" s="10">
        <f>IF(F283="","",IFERROR(VLOOKUP(F283,T_JSP,2,FALSE),0))</f>
        <v/>
      </c>
      <c r="H283" s="11" t="n"/>
      <c r="I283" s="17">
        <f>IF(H283="","",IF(H283&gt;=12,40,ROUND(H283*3.33,2)))</f>
        <v/>
      </c>
      <c r="J283" s="11" t="n"/>
      <c r="K283" s="11" t="n"/>
      <c r="L283" s="11" t="n"/>
      <c r="M283" s="11" t="n"/>
      <c r="N283" s="10">
        <f>IF(COUNTA(J283:M283)=0,"",MIN(10,SUMPRODUCT((COUNTIF(J283:M283,L_KOM)&gt;0)*S_KOM)))</f>
        <v/>
      </c>
      <c r="O283" s="11" t="n"/>
      <c r="P283" s="10">
        <f>IF(O283="","",IFERROR(VLOOKUP(O283,T_KHID,2,FALSE),0))</f>
        <v/>
      </c>
      <c r="Q283" s="11" t="n"/>
      <c r="R283" s="11" t="n"/>
      <c r="S283" s="10">
        <f>IF(AND(Q283="",R283=""),"",IFERROR(INDEX(T_LIBAT,MATCH(Q283,L_PER,0),MATCH(R283,L_JENIS,0)),0))</f>
        <v/>
      </c>
      <c r="T283" s="11" t="n"/>
      <c r="U283" s="11" t="n"/>
      <c r="V283" s="10">
        <f>IF(AND(T283="",U283=""),"",IFERROR(INDEX(T_CAPAI,MATCH(T283,L_PER,0),MATCH(U283,L_KED,0)),0))</f>
        <v/>
      </c>
      <c r="W283" s="17">
        <f>IF(OR(B283="",E283="",COUNTA(F283,H283,J283:M283,O283,Q283:R283,T283:U283)=0),"",SUM(G283,I283,N283,P283,S283,V283))</f>
        <v/>
      </c>
      <c r="X283" s="18">
        <f>IF(W283="","",IF(Murid!F283="TL","TL",ROUND(W283/110*100,2)))</f>
        <v/>
      </c>
    </row>
    <row r="284">
      <c r="A284" s="15">
        <f>Murid!A284</f>
        <v/>
      </c>
      <c r="B284" s="15">
        <f>IF(Murid!B284="","",Murid!B284)</f>
        <v/>
      </c>
      <c r="C284" s="16">
        <f>IF(Murid!C284="","",Murid!C284)</f>
        <v/>
      </c>
      <c r="D284" s="15">
        <f>IF(Murid!E284="","",Murid!E284)</f>
        <v/>
      </c>
      <c r="E284" s="11" t="n"/>
      <c r="F284" s="11" t="n"/>
      <c r="G284" s="10">
        <f>IF(F284="","",IFERROR(VLOOKUP(F284,T_JSP,2,FALSE),0))</f>
        <v/>
      </c>
      <c r="H284" s="11" t="n"/>
      <c r="I284" s="17">
        <f>IF(H284="","",IF(H284&gt;=12,40,ROUND(H284*3.33,2)))</f>
        <v/>
      </c>
      <c r="J284" s="11" t="n"/>
      <c r="K284" s="11" t="n"/>
      <c r="L284" s="11" t="n"/>
      <c r="M284" s="11" t="n"/>
      <c r="N284" s="10">
        <f>IF(COUNTA(J284:M284)=0,"",MIN(10,SUMPRODUCT((COUNTIF(J284:M284,L_KOM)&gt;0)*S_KOM)))</f>
        <v/>
      </c>
      <c r="O284" s="11" t="n"/>
      <c r="P284" s="10">
        <f>IF(O284="","",IFERROR(VLOOKUP(O284,T_KHID,2,FALSE),0))</f>
        <v/>
      </c>
      <c r="Q284" s="11" t="n"/>
      <c r="R284" s="11" t="n"/>
      <c r="S284" s="10">
        <f>IF(AND(Q284="",R284=""),"",IFERROR(INDEX(T_LIBAT,MATCH(Q284,L_PER,0),MATCH(R284,L_JENIS,0)),0))</f>
        <v/>
      </c>
      <c r="T284" s="11" t="n"/>
      <c r="U284" s="11" t="n"/>
      <c r="V284" s="10">
        <f>IF(AND(T284="",U284=""),"",IFERROR(INDEX(T_CAPAI,MATCH(T284,L_PER,0),MATCH(U284,L_KED,0)),0))</f>
        <v/>
      </c>
      <c r="W284" s="17">
        <f>IF(OR(B284="",E284="",COUNTA(F284,H284,J284:M284,O284,Q284:R284,T284:U284)=0),"",SUM(G284,I284,N284,P284,S284,V284))</f>
        <v/>
      </c>
      <c r="X284" s="18">
        <f>IF(W284="","",IF(Murid!F284="TL","TL",ROUND(W284/110*100,2)))</f>
        <v/>
      </c>
    </row>
    <row r="285">
      <c r="A285" s="15">
        <f>Murid!A285</f>
        <v/>
      </c>
      <c r="B285" s="15">
        <f>IF(Murid!B285="","",Murid!B285)</f>
        <v/>
      </c>
      <c r="C285" s="16">
        <f>IF(Murid!C285="","",Murid!C285)</f>
        <v/>
      </c>
      <c r="D285" s="15">
        <f>IF(Murid!E285="","",Murid!E285)</f>
        <v/>
      </c>
      <c r="E285" s="11" t="n"/>
      <c r="F285" s="11" t="n"/>
      <c r="G285" s="10">
        <f>IF(F285="","",IFERROR(VLOOKUP(F285,T_JSP,2,FALSE),0))</f>
        <v/>
      </c>
      <c r="H285" s="11" t="n"/>
      <c r="I285" s="17">
        <f>IF(H285="","",IF(H285&gt;=12,40,ROUND(H285*3.33,2)))</f>
        <v/>
      </c>
      <c r="J285" s="11" t="n"/>
      <c r="K285" s="11" t="n"/>
      <c r="L285" s="11" t="n"/>
      <c r="M285" s="11" t="n"/>
      <c r="N285" s="10">
        <f>IF(COUNTA(J285:M285)=0,"",MIN(10,SUMPRODUCT((COUNTIF(J285:M285,L_KOM)&gt;0)*S_KOM)))</f>
        <v/>
      </c>
      <c r="O285" s="11" t="n"/>
      <c r="P285" s="10">
        <f>IF(O285="","",IFERROR(VLOOKUP(O285,T_KHID,2,FALSE),0))</f>
        <v/>
      </c>
      <c r="Q285" s="11" t="n"/>
      <c r="R285" s="11" t="n"/>
      <c r="S285" s="10">
        <f>IF(AND(Q285="",R285=""),"",IFERROR(INDEX(T_LIBAT,MATCH(Q285,L_PER,0),MATCH(R285,L_JENIS,0)),0))</f>
        <v/>
      </c>
      <c r="T285" s="11" t="n"/>
      <c r="U285" s="11" t="n"/>
      <c r="V285" s="10">
        <f>IF(AND(T285="",U285=""),"",IFERROR(INDEX(T_CAPAI,MATCH(T285,L_PER,0),MATCH(U285,L_KED,0)),0))</f>
        <v/>
      </c>
      <c r="W285" s="17">
        <f>IF(OR(B285="",E285="",COUNTA(F285,H285,J285:M285,O285,Q285:R285,T285:U285)=0),"",SUM(G285,I285,N285,P285,S285,V285))</f>
        <v/>
      </c>
      <c r="X285" s="18">
        <f>IF(W285="","",IF(Murid!F285="TL","TL",ROUND(W285/110*100,2)))</f>
        <v/>
      </c>
    </row>
    <row r="286">
      <c r="A286" s="15">
        <f>Murid!A286</f>
        <v/>
      </c>
      <c r="B286" s="15">
        <f>IF(Murid!B286="","",Murid!B286)</f>
        <v/>
      </c>
      <c r="C286" s="16">
        <f>IF(Murid!C286="","",Murid!C286)</f>
        <v/>
      </c>
      <c r="D286" s="15">
        <f>IF(Murid!E286="","",Murid!E286)</f>
        <v/>
      </c>
      <c r="E286" s="11" t="n"/>
      <c r="F286" s="11" t="n"/>
      <c r="G286" s="10">
        <f>IF(F286="","",IFERROR(VLOOKUP(F286,T_JSP,2,FALSE),0))</f>
        <v/>
      </c>
      <c r="H286" s="11" t="n"/>
      <c r="I286" s="17">
        <f>IF(H286="","",IF(H286&gt;=12,40,ROUND(H286*3.33,2)))</f>
        <v/>
      </c>
      <c r="J286" s="11" t="n"/>
      <c r="K286" s="11" t="n"/>
      <c r="L286" s="11" t="n"/>
      <c r="M286" s="11" t="n"/>
      <c r="N286" s="10">
        <f>IF(COUNTA(J286:M286)=0,"",MIN(10,SUMPRODUCT((COUNTIF(J286:M286,L_KOM)&gt;0)*S_KOM)))</f>
        <v/>
      </c>
      <c r="O286" s="11" t="n"/>
      <c r="P286" s="10">
        <f>IF(O286="","",IFERROR(VLOOKUP(O286,T_KHID,2,FALSE),0))</f>
        <v/>
      </c>
      <c r="Q286" s="11" t="n"/>
      <c r="R286" s="11" t="n"/>
      <c r="S286" s="10">
        <f>IF(AND(Q286="",R286=""),"",IFERROR(INDEX(T_LIBAT,MATCH(Q286,L_PER,0),MATCH(R286,L_JENIS,0)),0))</f>
        <v/>
      </c>
      <c r="T286" s="11" t="n"/>
      <c r="U286" s="11" t="n"/>
      <c r="V286" s="10">
        <f>IF(AND(T286="",U286=""),"",IFERROR(INDEX(T_CAPAI,MATCH(T286,L_PER,0),MATCH(U286,L_KED,0)),0))</f>
        <v/>
      </c>
      <c r="W286" s="17">
        <f>IF(OR(B286="",E286="",COUNTA(F286,H286,J286:M286,O286,Q286:R286,T286:U286)=0),"",SUM(G286,I286,N286,P286,S286,V286))</f>
        <v/>
      </c>
      <c r="X286" s="18">
        <f>IF(W286="","",IF(Murid!F286="TL","TL",ROUND(W286/110*100,2)))</f>
        <v/>
      </c>
    </row>
    <row r="287">
      <c r="A287" s="15">
        <f>Murid!A287</f>
        <v/>
      </c>
      <c r="B287" s="15">
        <f>IF(Murid!B287="","",Murid!B287)</f>
        <v/>
      </c>
      <c r="C287" s="16">
        <f>IF(Murid!C287="","",Murid!C287)</f>
        <v/>
      </c>
      <c r="D287" s="15">
        <f>IF(Murid!E287="","",Murid!E287)</f>
        <v/>
      </c>
      <c r="E287" s="11" t="n"/>
      <c r="F287" s="11" t="n"/>
      <c r="G287" s="10">
        <f>IF(F287="","",IFERROR(VLOOKUP(F287,T_JSP,2,FALSE),0))</f>
        <v/>
      </c>
      <c r="H287" s="11" t="n"/>
      <c r="I287" s="17">
        <f>IF(H287="","",IF(H287&gt;=12,40,ROUND(H287*3.33,2)))</f>
        <v/>
      </c>
      <c r="J287" s="11" t="n"/>
      <c r="K287" s="11" t="n"/>
      <c r="L287" s="11" t="n"/>
      <c r="M287" s="11" t="n"/>
      <c r="N287" s="10">
        <f>IF(COUNTA(J287:M287)=0,"",MIN(10,SUMPRODUCT((COUNTIF(J287:M287,L_KOM)&gt;0)*S_KOM)))</f>
        <v/>
      </c>
      <c r="O287" s="11" t="n"/>
      <c r="P287" s="10">
        <f>IF(O287="","",IFERROR(VLOOKUP(O287,T_KHID,2,FALSE),0))</f>
        <v/>
      </c>
      <c r="Q287" s="11" t="n"/>
      <c r="R287" s="11" t="n"/>
      <c r="S287" s="10">
        <f>IF(AND(Q287="",R287=""),"",IFERROR(INDEX(T_LIBAT,MATCH(Q287,L_PER,0),MATCH(R287,L_JENIS,0)),0))</f>
        <v/>
      </c>
      <c r="T287" s="11" t="n"/>
      <c r="U287" s="11" t="n"/>
      <c r="V287" s="10">
        <f>IF(AND(T287="",U287=""),"",IFERROR(INDEX(T_CAPAI,MATCH(T287,L_PER,0),MATCH(U287,L_KED,0)),0))</f>
        <v/>
      </c>
      <c r="W287" s="17">
        <f>IF(OR(B287="",E287="",COUNTA(F287,H287,J287:M287,O287,Q287:R287,T287:U287)=0),"",SUM(G287,I287,N287,P287,S287,V287))</f>
        <v/>
      </c>
      <c r="X287" s="18">
        <f>IF(W287="","",IF(Murid!F287="TL","TL",ROUND(W287/110*100,2)))</f>
        <v/>
      </c>
    </row>
    <row r="288">
      <c r="A288" s="15">
        <f>Murid!A288</f>
        <v/>
      </c>
      <c r="B288" s="15">
        <f>IF(Murid!B288="","",Murid!B288)</f>
        <v/>
      </c>
      <c r="C288" s="16">
        <f>IF(Murid!C288="","",Murid!C288)</f>
        <v/>
      </c>
      <c r="D288" s="15">
        <f>IF(Murid!E288="","",Murid!E288)</f>
        <v/>
      </c>
      <c r="E288" s="11" t="n"/>
      <c r="F288" s="11" t="n"/>
      <c r="G288" s="10">
        <f>IF(F288="","",IFERROR(VLOOKUP(F288,T_JSP,2,FALSE),0))</f>
        <v/>
      </c>
      <c r="H288" s="11" t="n"/>
      <c r="I288" s="17">
        <f>IF(H288="","",IF(H288&gt;=12,40,ROUND(H288*3.33,2)))</f>
        <v/>
      </c>
      <c r="J288" s="11" t="n"/>
      <c r="K288" s="11" t="n"/>
      <c r="L288" s="11" t="n"/>
      <c r="M288" s="11" t="n"/>
      <c r="N288" s="10">
        <f>IF(COUNTA(J288:M288)=0,"",MIN(10,SUMPRODUCT((COUNTIF(J288:M288,L_KOM)&gt;0)*S_KOM)))</f>
        <v/>
      </c>
      <c r="O288" s="11" t="n"/>
      <c r="P288" s="10">
        <f>IF(O288="","",IFERROR(VLOOKUP(O288,T_KHID,2,FALSE),0))</f>
        <v/>
      </c>
      <c r="Q288" s="11" t="n"/>
      <c r="R288" s="11" t="n"/>
      <c r="S288" s="10">
        <f>IF(AND(Q288="",R288=""),"",IFERROR(INDEX(T_LIBAT,MATCH(Q288,L_PER,0),MATCH(R288,L_JENIS,0)),0))</f>
        <v/>
      </c>
      <c r="T288" s="11" t="n"/>
      <c r="U288" s="11" t="n"/>
      <c r="V288" s="10">
        <f>IF(AND(T288="",U288=""),"",IFERROR(INDEX(T_CAPAI,MATCH(T288,L_PER,0),MATCH(U288,L_KED,0)),0))</f>
        <v/>
      </c>
      <c r="W288" s="17">
        <f>IF(OR(B288="",E288="",COUNTA(F288,H288,J288:M288,O288,Q288:R288,T288:U288)=0),"",SUM(G288,I288,N288,P288,S288,V288))</f>
        <v/>
      </c>
      <c r="X288" s="18">
        <f>IF(W288="","",IF(Murid!F288="TL","TL",ROUND(W288/110*100,2)))</f>
        <v/>
      </c>
    </row>
    <row r="289">
      <c r="A289" s="15">
        <f>Murid!A289</f>
        <v/>
      </c>
      <c r="B289" s="15">
        <f>IF(Murid!B289="","",Murid!B289)</f>
        <v/>
      </c>
      <c r="C289" s="16">
        <f>IF(Murid!C289="","",Murid!C289)</f>
        <v/>
      </c>
      <c r="D289" s="15">
        <f>IF(Murid!E289="","",Murid!E289)</f>
        <v/>
      </c>
      <c r="E289" s="11" t="n"/>
      <c r="F289" s="11" t="n"/>
      <c r="G289" s="10">
        <f>IF(F289="","",IFERROR(VLOOKUP(F289,T_JSP,2,FALSE),0))</f>
        <v/>
      </c>
      <c r="H289" s="11" t="n"/>
      <c r="I289" s="17">
        <f>IF(H289="","",IF(H289&gt;=12,40,ROUND(H289*3.33,2)))</f>
        <v/>
      </c>
      <c r="J289" s="11" t="n"/>
      <c r="K289" s="11" t="n"/>
      <c r="L289" s="11" t="n"/>
      <c r="M289" s="11" t="n"/>
      <c r="N289" s="10">
        <f>IF(COUNTA(J289:M289)=0,"",MIN(10,SUMPRODUCT((COUNTIF(J289:M289,L_KOM)&gt;0)*S_KOM)))</f>
        <v/>
      </c>
      <c r="O289" s="11" t="n"/>
      <c r="P289" s="10">
        <f>IF(O289="","",IFERROR(VLOOKUP(O289,T_KHID,2,FALSE),0))</f>
        <v/>
      </c>
      <c r="Q289" s="11" t="n"/>
      <c r="R289" s="11" t="n"/>
      <c r="S289" s="10">
        <f>IF(AND(Q289="",R289=""),"",IFERROR(INDEX(T_LIBAT,MATCH(Q289,L_PER,0),MATCH(R289,L_JENIS,0)),0))</f>
        <v/>
      </c>
      <c r="T289" s="11" t="n"/>
      <c r="U289" s="11" t="n"/>
      <c r="V289" s="10">
        <f>IF(AND(T289="",U289=""),"",IFERROR(INDEX(T_CAPAI,MATCH(T289,L_PER,0),MATCH(U289,L_KED,0)),0))</f>
        <v/>
      </c>
      <c r="W289" s="17">
        <f>IF(OR(B289="",E289="",COUNTA(F289,H289,J289:M289,O289,Q289:R289,T289:U289)=0),"",SUM(G289,I289,N289,P289,S289,V289))</f>
        <v/>
      </c>
      <c r="X289" s="18">
        <f>IF(W289="","",IF(Murid!F289="TL","TL",ROUND(W289/110*100,2)))</f>
        <v/>
      </c>
    </row>
    <row r="290">
      <c r="A290" s="15">
        <f>Murid!A290</f>
        <v/>
      </c>
      <c r="B290" s="15">
        <f>IF(Murid!B290="","",Murid!B290)</f>
        <v/>
      </c>
      <c r="C290" s="16">
        <f>IF(Murid!C290="","",Murid!C290)</f>
        <v/>
      </c>
      <c r="D290" s="15">
        <f>IF(Murid!E290="","",Murid!E290)</f>
        <v/>
      </c>
      <c r="E290" s="11" t="n"/>
      <c r="F290" s="11" t="n"/>
      <c r="G290" s="10">
        <f>IF(F290="","",IFERROR(VLOOKUP(F290,T_JSP,2,FALSE),0))</f>
        <v/>
      </c>
      <c r="H290" s="11" t="n"/>
      <c r="I290" s="17">
        <f>IF(H290="","",IF(H290&gt;=12,40,ROUND(H290*3.33,2)))</f>
        <v/>
      </c>
      <c r="J290" s="11" t="n"/>
      <c r="K290" s="11" t="n"/>
      <c r="L290" s="11" t="n"/>
      <c r="M290" s="11" t="n"/>
      <c r="N290" s="10">
        <f>IF(COUNTA(J290:M290)=0,"",MIN(10,SUMPRODUCT((COUNTIF(J290:M290,L_KOM)&gt;0)*S_KOM)))</f>
        <v/>
      </c>
      <c r="O290" s="11" t="n"/>
      <c r="P290" s="10">
        <f>IF(O290="","",IFERROR(VLOOKUP(O290,T_KHID,2,FALSE),0))</f>
        <v/>
      </c>
      <c r="Q290" s="11" t="n"/>
      <c r="R290" s="11" t="n"/>
      <c r="S290" s="10">
        <f>IF(AND(Q290="",R290=""),"",IFERROR(INDEX(T_LIBAT,MATCH(Q290,L_PER,0),MATCH(R290,L_JENIS,0)),0))</f>
        <v/>
      </c>
      <c r="T290" s="11" t="n"/>
      <c r="U290" s="11" t="n"/>
      <c r="V290" s="10">
        <f>IF(AND(T290="",U290=""),"",IFERROR(INDEX(T_CAPAI,MATCH(T290,L_PER,0),MATCH(U290,L_KED,0)),0))</f>
        <v/>
      </c>
      <c r="W290" s="17">
        <f>IF(OR(B290="",E290="",COUNTA(F290,H290,J290:M290,O290,Q290:R290,T290:U290)=0),"",SUM(G290,I290,N290,P290,S290,V290))</f>
        <v/>
      </c>
      <c r="X290" s="18">
        <f>IF(W290="","",IF(Murid!F290="TL","TL",ROUND(W290/110*100,2)))</f>
        <v/>
      </c>
    </row>
    <row r="291">
      <c r="A291" s="15">
        <f>Murid!A291</f>
        <v/>
      </c>
      <c r="B291" s="15">
        <f>IF(Murid!B291="","",Murid!B291)</f>
        <v/>
      </c>
      <c r="C291" s="16">
        <f>IF(Murid!C291="","",Murid!C291)</f>
        <v/>
      </c>
      <c r="D291" s="15">
        <f>IF(Murid!E291="","",Murid!E291)</f>
        <v/>
      </c>
      <c r="E291" s="11" t="n"/>
      <c r="F291" s="11" t="n"/>
      <c r="G291" s="10">
        <f>IF(F291="","",IFERROR(VLOOKUP(F291,T_JSP,2,FALSE),0))</f>
        <v/>
      </c>
      <c r="H291" s="11" t="n"/>
      <c r="I291" s="17">
        <f>IF(H291="","",IF(H291&gt;=12,40,ROUND(H291*3.33,2)))</f>
        <v/>
      </c>
      <c r="J291" s="11" t="n"/>
      <c r="K291" s="11" t="n"/>
      <c r="L291" s="11" t="n"/>
      <c r="M291" s="11" t="n"/>
      <c r="N291" s="10">
        <f>IF(COUNTA(J291:M291)=0,"",MIN(10,SUMPRODUCT((COUNTIF(J291:M291,L_KOM)&gt;0)*S_KOM)))</f>
        <v/>
      </c>
      <c r="O291" s="11" t="n"/>
      <c r="P291" s="10">
        <f>IF(O291="","",IFERROR(VLOOKUP(O291,T_KHID,2,FALSE),0))</f>
        <v/>
      </c>
      <c r="Q291" s="11" t="n"/>
      <c r="R291" s="11" t="n"/>
      <c r="S291" s="10">
        <f>IF(AND(Q291="",R291=""),"",IFERROR(INDEX(T_LIBAT,MATCH(Q291,L_PER,0),MATCH(R291,L_JENIS,0)),0))</f>
        <v/>
      </c>
      <c r="T291" s="11" t="n"/>
      <c r="U291" s="11" t="n"/>
      <c r="V291" s="10">
        <f>IF(AND(T291="",U291=""),"",IFERROR(INDEX(T_CAPAI,MATCH(T291,L_PER,0),MATCH(U291,L_KED,0)),0))</f>
        <v/>
      </c>
      <c r="W291" s="17">
        <f>IF(OR(B291="",E291="",COUNTA(F291,H291,J291:M291,O291,Q291:R291,T291:U291)=0),"",SUM(G291,I291,N291,P291,S291,V291))</f>
        <v/>
      </c>
      <c r="X291" s="18">
        <f>IF(W291="","",IF(Murid!F291="TL","TL",ROUND(W291/110*100,2)))</f>
        <v/>
      </c>
    </row>
    <row r="292">
      <c r="A292" s="15">
        <f>Murid!A292</f>
        <v/>
      </c>
      <c r="B292" s="15">
        <f>IF(Murid!B292="","",Murid!B292)</f>
        <v/>
      </c>
      <c r="C292" s="16">
        <f>IF(Murid!C292="","",Murid!C292)</f>
        <v/>
      </c>
      <c r="D292" s="15">
        <f>IF(Murid!E292="","",Murid!E292)</f>
        <v/>
      </c>
      <c r="E292" s="11" t="n"/>
      <c r="F292" s="11" t="n"/>
      <c r="G292" s="10">
        <f>IF(F292="","",IFERROR(VLOOKUP(F292,T_JSP,2,FALSE),0))</f>
        <v/>
      </c>
      <c r="H292" s="11" t="n"/>
      <c r="I292" s="17">
        <f>IF(H292="","",IF(H292&gt;=12,40,ROUND(H292*3.33,2)))</f>
        <v/>
      </c>
      <c r="J292" s="11" t="n"/>
      <c r="K292" s="11" t="n"/>
      <c r="L292" s="11" t="n"/>
      <c r="M292" s="11" t="n"/>
      <c r="N292" s="10">
        <f>IF(COUNTA(J292:M292)=0,"",MIN(10,SUMPRODUCT((COUNTIF(J292:M292,L_KOM)&gt;0)*S_KOM)))</f>
        <v/>
      </c>
      <c r="O292" s="11" t="n"/>
      <c r="P292" s="10">
        <f>IF(O292="","",IFERROR(VLOOKUP(O292,T_KHID,2,FALSE),0))</f>
        <v/>
      </c>
      <c r="Q292" s="11" t="n"/>
      <c r="R292" s="11" t="n"/>
      <c r="S292" s="10">
        <f>IF(AND(Q292="",R292=""),"",IFERROR(INDEX(T_LIBAT,MATCH(Q292,L_PER,0),MATCH(R292,L_JENIS,0)),0))</f>
        <v/>
      </c>
      <c r="T292" s="11" t="n"/>
      <c r="U292" s="11" t="n"/>
      <c r="V292" s="10">
        <f>IF(AND(T292="",U292=""),"",IFERROR(INDEX(T_CAPAI,MATCH(T292,L_PER,0),MATCH(U292,L_KED,0)),0))</f>
        <v/>
      </c>
      <c r="W292" s="17">
        <f>IF(OR(B292="",E292="",COUNTA(F292,H292,J292:M292,O292,Q292:R292,T292:U292)=0),"",SUM(G292,I292,N292,P292,S292,V292))</f>
        <v/>
      </c>
      <c r="X292" s="18">
        <f>IF(W292="","",IF(Murid!F292="TL","TL",ROUND(W292/110*100,2)))</f>
        <v/>
      </c>
    </row>
    <row r="293">
      <c r="A293" s="15">
        <f>Murid!A293</f>
        <v/>
      </c>
      <c r="B293" s="15">
        <f>IF(Murid!B293="","",Murid!B293)</f>
        <v/>
      </c>
      <c r="C293" s="16">
        <f>IF(Murid!C293="","",Murid!C293)</f>
        <v/>
      </c>
      <c r="D293" s="15">
        <f>IF(Murid!E293="","",Murid!E293)</f>
        <v/>
      </c>
      <c r="E293" s="11" t="n"/>
      <c r="F293" s="11" t="n"/>
      <c r="G293" s="10">
        <f>IF(F293="","",IFERROR(VLOOKUP(F293,T_JSP,2,FALSE),0))</f>
        <v/>
      </c>
      <c r="H293" s="11" t="n"/>
      <c r="I293" s="17">
        <f>IF(H293="","",IF(H293&gt;=12,40,ROUND(H293*3.33,2)))</f>
        <v/>
      </c>
      <c r="J293" s="11" t="n"/>
      <c r="K293" s="11" t="n"/>
      <c r="L293" s="11" t="n"/>
      <c r="M293" s="11" t="n"/>
      <c r="N293" s="10">
        <f>IF(COUNTA(J293:M293)=0,"",MIN(10,SUMPRODUCT((COUNTIF(J293:M293,L_KOM)&gt;0)*S_KOM)))</f>
        <v/>
      </c>
      <c r="O293" s="11" t="n"/>
      <c r="P293" s="10">
        <f>IF(O293="","",IFERROR(VLOOKUP(O293,T_KHID,2,FALSE),0))</f>
        <v/>
      </c>
      <c r="Q293" s="11" t="n"/>
      <c r="R293" s="11" t="n"/>
      <c r="S293" s="10">
        <f>IF(AND(Q293="",R293=""),"",IFERROR(INDEX(T_LIBAT,MATCH(Q293,L_PER,0),MATCH(R293,L_JENIS,0)),0))</f>
        <v/>
      </c>
      <c r="T293" s="11" t="n"/>
      <c r="U293" s="11" t="n"/>
      <c r="V293" s="10">
        <f>IF(AND(T293="",U293=""),"",IFERROR(INDEX(T_CAPAI,MATCH(T293,L_PER,0),MATCH(U293,L_KED,0)),0))</f>
        <v/>
      </c>
      <c r="W293" s="17">
        <f>IF(OR(B293="",E293="",COUNTA(F293,H293,J293:M293,O293,Q293:R293,T293:U293)=0),"",SUM(G293,I293,N293,P293,S293,V293))</f>
        <v/>
      </c>
      <c r="X293" s="18">
        <f>IF(W293="","",IF(Murid!F293="TL","TL",ROUND(W293/110*100,2)))</f>
        <v/>
      </c>
    </row>
    <row r="294">
      <c r="A294" s="15">
        <f>Murid!A294</f>
        <v/>
      </c>
      <c r="B294" s="15">
        <f>IF(Murid!B294="","",Murid!B294)</f>
        <v/>
      </c>
      <c r="C294" s="16">
        <f>IF(Murid!C294="","",Murid!C294)</f>
        <v/>
      </c>
      <c r="D294" s="15">
        <f>IF(Murid!E294="","",Murid!E294)</f>
        <v/>
      </c>
      <c r="E294" s="11" t="n"/>
      <c r="F294" s="11" t="n"/>
      <c r="G294" s="10">
        <f>IF(F294="","",IFERROR(VLOOKUP(F294,T_JSP,2,FALSE),0))</f>
        <v/>
      </c>
      <c r="H294" s="11" t="n"/>
      <c r="I294" s="17">
        <f>IF(H294="","",IF(H294&gt;=12,40,ROUND(H294*3.33,2)))</f>
        <v/>
      </c>
      <c r="J294" s="11" t="n"/>
      <c r="K294" s="11" t="n"/>
      <c r="L294" s="11" t="n"/>
      <c r="M294" s="11" t="n"/>
      <c r="N294" s="10">
        <f>IF(COUNTA(J294:M294)=0,"",MIN(10,SUMPRODUCT((COUNTIF(J294:M294,L_KOM)&gt;0)*S_KOM)))</f>
        <v/>
      </c>
      <c r="O294" s="11" t="n"/>
      <c r="P294" s="10">
        <f>IF(O294="","",IFERROR(VLOOKUP(O294,T_KHID,2,FALSE),0))</f>
        <v/>
      </c>
      <c r="Q294" s="11" t="n"/>
      <c r="R294" s="11" t="n"/>
      <c r="S294" s="10">
        <f>IF(AND(Q294="",R294=""),"",IFERROR(INDEX(T_LIBAT,MATCH(Q294,L_PER,0),MATCH(R294,L_JENIS,0)),0))</f>
        <v/>
      </c>
      <c r="T294" s="11" t="n"/>
      <c r="U294" s="11" t="n"/>
      <c r="V294" s="10">
        <f>IF(AND(T294="",U294=""),"",IFERROR(INDEX(T_CAPAI,MATCH(T294,L_PER,0),MATCH(U294,L_KED,0)),0))</f>
        <v/>
      </c>
      <c r="W294" s="17">
        <f>IF(OR(B294="",E294="",COUNTA(F294,H294,J294:M294,O294,Q294:R294,T294:U294)=0),"",SUM(G294,I294,N294,P294,S294,V294))</f>
        <v/>
      </c>
      <c r="X294" s="18">
        <f>IF(W294="","",IF(Murid!F294="TL","TL",ROUND(W294/110*100,2)))</f>
        <v/>
      </c>
    </row>
    <row r="295">
      <c r="A295" s="15">
        <f>Murid!A295</f>
        <v/>
      </c>
      <c r="B295" s="15">
        <f>IF(Murid!B295="","",Murid!B295)</f>
        <v/>
      </c>
      <c r="C295" s="16">
        <f>IF(Murid!C295="","",Murid!C295)</f>
        <v/>
      </c>
      <c r="D295" s="15">
        <f>IF(Murid!E295="","",Murid!E295)</f>
        <v/>
      </c>
      <c r="E295" s="11" t="n"/>
      <c r="F295" s="11" t="n"/>
      <c r="G295" s="10">
        <f>IF(F295="","",IFERROR(VLOOKUP(F295,T_JSP,2,FALSE),0))</f>
        <v/>
      </c>
      <c r="H295" s="11" t="n"/>
      <c r="I295" s="17">
        <f>IF(H295="","",IF(H295&gt;=12,40,ROUND(H295*3.33,2)))</f>
        <v/>
      </c>
      <c r="J295" s="11" t="n"/>
      <c r="K295" s="11" t="n"/>
      <c r="L295" s="11" t="n"/>
      <c r="M295" s="11" t="n"/>
      <c r="N295" s="10">
        <f>IF(COUNTA(J295:M295)=0,"",MIN(10,SUMPRODUCT((COUNTIF(J295:M295,L_KOM)&gt;0)*S_KOM)))</f>
        <v/>
      </c>
      <c r="O295" s="11" t="n"/>
      <c r="P295" s="10">
        <f>IF(O295="","",IFERROR(VLOOKUP(O295,T_KHID,2,FALSE),0))</f>
        <v/>
      </c>
      <c r="Q295" s="11" t="n"/>
      <c r="R295" s="11" t="n"/>
      <c r="S295" s="10">
        <f>IF(AND(Q295="",R295=""),"",IFERROR(INDEX(T_LIBAT,MATCH(Q295,L_PER,0),MATCH(R295,L_JENIS,0)),0))</f>
        <v/>
      </c>
      <c r="T295" s="11" t="n"/>
      <c r="U295" s="11" t="n"/>
      <c r="V295" s="10">
        <f>IF(AND(T295="",U295=""),"",IFERROR(INDEX(T_CAPAI,MATCH(T295,L_PER,0),MATCH(U295,L_KED,0)),0))</f>
        <v/>
      </c>
      <c r="W295" s="17">
        <f>IF(OR(B295="",E295="",COUNTA(F295,H295,J295:M295,O295,Q295:R295,T295:U295)=0),"",SUM(G295,I295,N295,P295,S295,V295))</f>
        <v/>
      </c>
      <c r="X295" s="18">
        <f>IF(W295="","",IF(Murid!F295="TL","TL",ROUND(W295/110*100,2)))</f>
        <v/>
      </c>
    </row>
    <row r="296">
      <c r="A296" s="15">
        <f>Murid!A296</f>
        <v/>
      </c>
      <c r="B296" s="15">
        <f>IF(Murid!B296="","",Murid!B296)</f>
        <v/>
      </c>
      <c r="C296" s="16">
        <f>IF(Murid!C296="","",Murid!C296)</f>
        <v/>
      </c>
      <c r="D296" s="15">
        <f>IF(Murid!E296="","",Murid!E296)</f>
        <v/>
      </c>
      <c r="E296" s="11" t="n"/>
      <c r="F296" s="11" t="n"/>
      <c r="G296" s="10">
        <f>IF(F296="","",IFERROR(VLOOKUP(F296,T_JSP,2,FALSE),0))</f>
        <v/>
      </c>
      <c r="H296" s="11" t="n"/>
      <c r="I296" s="17">
        <f>IF(H296="","",IF(H296&gt;=12,40,ROUND(H296*3.33,2)))</f>
        <v/>
      </c>
      <c r="J296" s="11" t="n"/>
      <c r="K296" s="11" t="n"/>
      <c r="L296" s="11" t="n"/>
      <c r="M296" s="11" t="n"/>
      <c r="N296" s="10">
        <f>IF(COUNTA(J296:M296)=0,"",MIN(10,SUMPRODUCT((COUNTIF(J296:M296,L_KOM)&gt;0)*S_KOM)))</f>
        <v/>
      </c>
      <c r="O296" s="11" t="n"/>
      <c r="P296" s="10">
        <f>IF(O296="","",IFERROR(VLOOKUP(O296,T_KHID,2,FALSE),0))</f>
        <v/>
      </c>
      <c r="Q296" s="11" t="n"/>
      <c r="R296" s="11" t="n"/>
      <c r="S296" s="10">
        <f>IF(AND(Q296="",R296=""),"",IFERROR(INDEX(T_LIBAT,MATCH(Q296,L_PER,0),MATCH(R296,L_JENIS,0)),0))</f>
        <v/>
      </c>
      <c r="T296" s="11" t="n"/>
      <c r="U296" s="11" t="n"/>
      <c r="V296" s="10">
        <f>IF(AND(T296="",U296=""),"",IFERROR(INDEX(T_CAPAI,MATCH(T296,L_PER,0),MATCH(U296,L_KED,0)),0))</f>
        <v/>
      </c>
      <c r="W296" s="17">
        <f>IF(OR(B296="",E296="",COUNTA(F296,H296,J296:M296,O296,Q296:R296,T296:U296)=0),"",SUM(G296,I296,N296,P296,S296,V296))</f>
        <v/>
      </c>
      <c r="X296" s="18">
        <f>IF(W296="","",IF(Murid!F296="TL","TL",ROUND(W296/110*100,2)))</f>
        <v/>
      </c>
    </row>
    <row r="297">
      <c r="A297" s="15">
        <f>Murid!A297</f>
        <v/>
      </c>
      <c r="B297" s="15">
        <f>IF(Murid!B297="","",Murid!B297)</f>
        <v/>
      </c>
      <c r="C297" s="16">
        <f>IF(Murid!C297="","",Murid!C297)</f>
        <v/>
      </c>
      <c r="D297" s="15">
        <f>IF(Murid!E297="","",Murid!E297)</f>
        <v/>
      </c>
      <c r="E297" s="11" t="n"/>
      <c r="F297" s="11" t="n"/>
      <c r="G297" s="10">
        <f>IF(F297="","",IFERROR(VLOOKUP(F297,T_JSP,2,FALSE),0))</f>
        <v/>
      </c>
      <c r="H297" s="11" t="n"/>
      <c r="I297" s="17">
        <f>IF(H297="","",IF(H297&gt;=12,40,ROUND(H297*3.33,2)))</f>
        <v/>
      </c>
      <c r="J297" s="11" t="n"/>
      <c r="K297" s="11" t="n"/>
      <c r="L297" s="11" t="n"/>
      <c r="M297" s="11" t="n"/>
      <c r="N297" s="10">
        <f>IF(COUNTA(J297:M297)=0,"",MIN(10,SUMPRODUCT((COUNTIF(J297:M297,L_KOM)&gt;0)*S_KOM)))</f>
        <v/>
      </c>
      <c r="O297" s="11" t="n"/>
      <c r="P297" s="10">
        <f>IF(O297="","",IFERROR(VLOOKUP(O297,T_KHID,2,FALSE),0))</f>
        <v/>
      </c>
      <c r="Q297" s="11" t="n"/>
      <c r="R297" s="11" t="n"/>
      <c r="S297" s="10">
        <f>IF(AND(Q297="",R297=""),"",IFERROR(INDEX(T_LIBAT,MATCH(Q297,L_PER,0),MATCH(R297,L_JENIS,0)),0))</f>
        <v/>
      </c>
      <c r="T297" s="11" t="n"/>
      <c r="U297" s="11" t="n"/>
      <c r="V297" s="10">
        <f>IF(AND(T297="",U297=""),"",IFERROR(INDEX(T_CAPAI,MATCH(T297,L_PER,0),MATCH(U297,L_KED,0)),0))</f>
        <v/>
      </c>
      <c r="W297" s="17">
        <f>IF(OR(B297="",E297="",COUNTA(F297,H297,J297:M297,O297,Q297:R297,T297:U297)=0),"",SUM(G297,I297,N297,P297,S297,V297))</f>
        <v/>
      </c>
      <c r="X297" s="18">
        <f>IF(W297="","",IF(Murid!F297="TL","TL",ROUND(W297/110*100,2)))</f>
        <v/>
      </c>
    </row>
    <row r="298">
      <c r="A298" s="15">
        <f>Murid!A298</f>
        <v/>
      </c>
      <c r="B298" s="15">
        <f>IF(Murid!B298="","",Murid!B298)</f>
        <v/>
      </c>
      <c r="C298" s="16">
        <f>IF(Murid!C298="","",Murid!C298)</f>
        <v/>
      </c>
      <c r="D298" s="15">
        <f>IF(Murid!E298="","",Murid!E298)</f>
        <v/>
      </c>
      <c r="E298" s="11" t="n"/>
      <c r="F298" s="11" t="n"/>
      <c r="G298" s="10">
        <f>IF(F298="","",IFERROR(VLOOKUP(F298,T_JSP,2,FALSE),0))</f>
        <v/>
      </c>
      <c r="H298" s="11" t="n"/>
      <c r="I298" s="17">
        <f>IF(H298="","",IF(H298&gt;=12,40,ROUND(H298*3.33,2)))</f>
        <v/>
      </c>
      <c r="J298" s="11" t="n"/>
      <c r="K298" s="11" t="n"/>
      <c r="L298" s="11" t="n"/>
      <c r="M298" s="11" t="n"/>
      <c r="N298" s="10">
        <f>IF(COUNTA(J298:M298)=0,"",MIN(10,SUMPRODUCT((COUNTIF(J298:M298,L_KOM)&gt;0)*S_KOM)))</f>
        <v/>
      </c>
      <c r="O298" s="11" t="n"/>
      <c r="P298" s="10">
        <f>IF(O298="","",IFERROR(VLOOKUP(O298,T_KHID,2,FALSE),0))</f>
        <v/>
      </c>
      <c r="Q298" s="11" t="n"/>
      <c r="R298" s="11" t="n"/>
      <c r="S298" s="10">
        <f>IF(AND(Q298="",R298=""),"",IFERROR(INDEX(T_LIBAT,MATCH(Q298,L_PER,0),MATCH(R298,L_JENIS,0)),0))</f>
        <v/>
      </c>
      <c r="T298" s="11" t="n"/>
      <c r="U298" s="11" t="n"/>
      <c r="V298" s="10">
        <f>IF(AND(T298="",U298=""),"",IFERROR(INDEX(T_CAPAI,MATCH(T298,L_PER,0),MATCH(U298,L_KED,0)),0))</f>
        <v/>
      </c>
      <c r="W298" s="17">
        <f>IF(OR(B298="",E298="",COUNTA(F298,H298,J298:M298,O298,Q298:R298,T298:U298)=0),"",SUM(G298,I298,N298,P298,S298,V298))</f>
        <v/>
      </c>
      <c r="X298" s="18">
        <f>IF(W298="","",IF(Murid!F298="TL","TL",ROUND(W298/110*100,2)))</f>
        <v/>
      </c>
    </row>
    <row r="299">
      <c r="A299" s="15">
        <f>Murid!A299</f>
        <v/>
      </c>
      <c r="B299" s="15">
        <f>IF(Murid!B299="","",Murid!B299)</f>
        <v/>
      </c>
      <c r="C299" s="16">
        <f>IF(Murid!C299="","",Murid!C299)</f>
        <v/>
      </c>
      <c r="D299" s="15">
        <f>IF(Murid!E299="","",Murid!E299)</f>
        <v/>
      </c>
      <c r="E299" s="11" t="n"/>
      <c r="F299" s="11" t="n"/>
      <c r="G299" s="10">
        <f>IF(F299="","",IFERROR(VLOOKUP(F299,T_JSP,2,FALSE),0))</f>
        <v/>
      </c>
      <c r="H299" s="11" t="n"/>
      <c r="I299" s="17">
        <f>IF(H299="","",IF(H299&gt;=12,40,ROUND(H299*3.33,2)))</f>
        <v/>
      </c>
      <c r="J299" s="11" t="n"/>
      <c r="K299" s="11" t="n"/>
      <c r="L299" s="11" t="n"/>
      <c r="M299" s="11" t="n"/>
      <c r="N299" s="10">
        <f>IF(COUNTA(J299:M299)=0,"",MIN(10,SUMPRODUCT((COUNTIF(J299:M299,L_KOM)&gt;0)*S_KOM)))</f>
        <v/>
      </c>
      <c r="O299" s="11" t="n"/>
      <c r="P299" s="10">
        <f>IF(O299="","",IFERROR(VLOOKUP(O299,T_KHID,2,FALSE),0))</f>
        <v/>
      </c>
      <c r="Q299" s="11" t="n"/>
      <c r="R299" s="11" t="n"/>
      <c r="S299" s="10">
        <f>IF(AND(Q299="",R299=""),"",IFERROR(INDEX(T_LIBAT,MATCH(Q299,L_PER,0),MATCH(R299,L_JENIS,0)),0))</f>
        <v/>
      </c>
      <c r="T299" s="11" t="n"/>
      <c r="U299" s="11" t="n"/>
      <c r="V299" s="10">
        <f>IF(AND(T299="",U299=""),"",IFERROR(INDEX(T_CAPAI,MATCH(T299,L_PER,0),MATCH(U299,L_KED,0)),0))</f>
        <v/>
      </c>
      <c r="W299" s="17">
        <f>IF(OR(B299="",E299="",COUNTA(F299,H299,J299:M299,O299,Q299:R299,T299:U299)=0),"",SUM(G299,I299,N299,P299,S299,V299))</f>
        <v/>
      </c>
      <c r="X299" s="18">
        <f>IF(W299="","",IF(Murid!F299="TL","TL",ROUND(W299/110*100,2)))</f>
        <v/>
      </c>
    </row>
    <row r="300">
      <c r="A300" s="15">
        <f>Murid!A300</f>
        <v/>
      </c>
      <c r="B300" s="15">
        <f>IF(Murid!B300="","",Murid!B300)</f>
        <v/>
      </c>
      <c r="C300" s="16">
        <f>IF(Murid!C300="","",Murid!C300)</f>
        <v/>
      </c>
      <c r="D300" s="15">
        <f>IF(Murid!E300="","",Murid!E300)</f>
        <v/>
      </c>
      <c r="E300" s="11" t="n"/>
      <c r="F300" s="11" t="n"/>
      <c r="G300" s="10">
        <f>IF(F300="","",IFERROR(VLOOKUP(F300,T_JSP,2,FALSE),0))</f>
        <v/>
      </c>
      <c r="H300" s="11" t="n"/>
      <c r="I300" s="17">
        <f>IF(H300="","",IF(H300&gt;=12,40,ROUND(H300*3.33,2)))</f>
        <v/>
      </c>
      <c r="J300" s="11" t="n"/>
      <c r="K300" s="11" t="n"/>
      <c r="L300" s="11" t="n"/>
      <c r="M300" s="11" t="n"/>
      <c r="N300" s="10">
        <f>IF(COUNTA(J300:M300)=0,"",MIN(10,SUMPRODUCT((COUNTIF(J300:M300,L_KOM)&gt;0)*S_KOM)))</f>
        <v/>
      </c>
      <c r="O300" s="11" t="n"/>
      <c r="P300" s="10">
        <f>IF(O300="","",IFERROR(VLOOKUP(O300,T_KHID,2,FALSE),0))</f>
        <v/>
      </c>
      <c r="Q300" s="11" t="n"/>
      <c r="R300" s="11" t="n"/>
      <c r="S300" s="10">
        <f>IF(AND(Q300="",R300=""),"",IFERROR(INDEX(T_LIBAT,MATCH(Q300,L_PER,0),MATCH(R300,L_JENIS,0)),0))</f>
        <v/>
      </c>
      <c r="T300" s="11" t="n"/>
      <c r="U300" s="11" t="n"/>
      <c r="V300" s="10">
        <f>IF(AND(T300="",U300=""),"",IFERROR(INDEX(T_CAPAI,MATCH(T300,L_PER,0),MATCH(U300,L_KED,0)),0))</f>
        <v/>
      </c>
      <c r="W300" s="17">
        <f>IF(OR(B300="",E300="",COUNTA(F300,H300,J300:M300,O300,Q300:R300,T300:U300)=0),"",SUM(G300,I300,N300,P300,S300,V300))</f>
        <v/>
      </c>
      <c r="X300" s="18">
        <f>IF(W300="","",IF(Murid!F300="TL","TL",ROUND(W300/110*100,2)))</f>
        <v/>
      </c>
    </row>
    <row r="301">
      <c r="A301" s="15">
        <f>Murid!A301</f>
        <v/>
      </c>
      <c r="B301" s="15">
        <f>IF(Murid!B301="","",Murid!B301)</f>
        <v/>
      </c>
      <c r="C301" s="16">
        <f>IF(Murid!C301="","",Murid!C301)</f>
        <v/>
      </c>
      <c r="D301" s="15">
        <f>IF(Murid!E301="","",Murid!E301)</f>
        <v/>
      </c>
      <c r="E301" s="11" t="n"/>
      <c r="F301" s="11" t="n"/>
      <c r="G301" s="10">
        <f>IF(F301="","",IFERROR(VLOOKUP(F301,T_JSP,2,FALSE),0))</f>
        <v/>
      </c>
      <c r="H301" s="11" t="n"/>
      <c r="I301" s="17">
        <f>IF(H301="","",IF(H301&gt;=12,40,ROUND(H301*3.33,2)))</f>
        <v/>
      </c>
      <c r="J301" s="11" t="n"/>
      <c r="K301" s="11" t="n"/>
      <c r="L301" s="11" t="n"/>
      <c r="M301" s="11" t="n"/>
      <c r="N301" s="10">
        <f>IF(COUNTA(J301:M301)=0,"",MIN(10,SUMPRODUCT((COUNTIF(J301:M301,L_KOM)&gt;0)*S_KOM)))</f>
        <v/>
      </c>
      <c r="O301" s="11" t="n"/>
      <c r="P301" s="10">
        <f>IF(O301="","",IFERROR(VLOOKUP(O301,T_KHID,2,FALSE),0))</f>
        <v/>
      </c>
      <c r="Q301" s="11" t="n"/>
      <c r="R301" s="11" t="n"/>
      <c r="S301" s="10">
        <f>IF(AND(Q301="",R301=""),"",IFERROR(INDEX(T_LIBAT,MATCH(Q301,L_PER,0),MATCH(R301,L_JENIS,0)),0))</f>
        <v/>
      </c>
      <c r="T301" s="11" t="n"/>
      <c r="U301" s="11" t="n"/>
      <c r="V301" s="10">
        <f>IF(AND(T301="",U301=""),"",IFERROR(INDEX(T_CAPAI,MATCH(T301,L_PER,0),MATCH(U301,L_KED,0)),0))</f>
        <v/>
      </c>
      <c r="W301" s="17">
        <f>IF(OR(B301="",E301="",COUNTA(F301,H301,J301:M301,O301,Q301:R301,T301:U301)=0),"",SUM(G301,I301,N301,P301,S301,V301))</f>
        <v/>
      </c>
      <c r="X301" s="18">
        <f>IF(W301="","",IF(Murid!F301="TL","TL",ROUND(W301/110*100,2)))</f>
        <v/>
      </c>
    </row>
    <row r="302">
      <c r="A302" s="15">
        <f>Murid!A302</f>
        <v/>
      </c>
      <c r="B302" s="15">
        <f>IF(Murid!B302="","",Murid!B302)</f>
        <v/>
      </c>
      <c r="C302" s="16">
        <f>IF(Murid!C302="","",Murid!C302)</f>
        <v/>
      </c>
      <c r="D302" s="15">
        <f>IF(Murid!E302="","",Murid!E302)</f>
        <v/>
      </c>
      <c r="E302" s="11" t="n"/>
      <c r="F302" s="11" t="n"/>
      <c r="G302" s="10">
        <f>IF(F302="","",IFERROR(VLOOKUP(F302,T_JSP,2,FALSE),0))</f>
        <v/>
      </c>
      <c r="H302" s="11" t="n"/>
      <c r="I302" s="17">
        <f>IF(H302="","",IF(H302&gt;=12,40,ROUND(H302*3.33,2)))</f>
        <v/>
      </c>
      <c r="J302" s="11" t="n"/>
      <c r="K302" s="11" t="n"/>
      <c r="L302" s="11" t="n"/>
      <c r="M302" s="11" t="n"/>
      <c r="N302" s="10">
        <f>IF(COUNTA(J302:M302)=0,"",MIN(10,SUMPRODUCT((COUNTIF(J302:M302,L_KOM)&gt;0)*S_KOM)))</f>
        <v/>
      </c>
      <c r="O302" s="11" t="n"/>
      <c r="P302" s="10">
        <f>IF(O302="","",IFERROR(VLOOKUP(O302,T_KHID,2,FALSE),0))</f>
        <v/>
      </c>
      <c r="Q302" s="11" t="n"/>
      <c r="R302" s="11" t="n"/>
      <c r="S302" s="10">
        <f>IF(AND(Q302="",R302=""),"",IFERROR(INDEX(T_LIBAT,MATCH(Q302,L_PER,0),MATCH(R302,L_JENIS,0)),0))</f>
        <v/>
      </c>
      <c r="T302" s="11" t="n"/>
      <c r="U302" s="11" t="n"/>
      <c r="V302" s="10">
        <f>IF(AND(T302="",U302=""),"",IFERROR(INDEX(T_CAPAI,MATCH(T302,L_PER,0),MATCH(U302,L_KED,0)),0))</f>
        <v/>
      </c>
      <c r="W302" s="17">
        <f>IF(OR(B302="",E302="",COUNTA(F302,H302,J302:M302,O302,Q302:R302,T302:U302)=0),"",SUM(G302,I302,N302,P302,S302,V302))</f>
        <v/>
      </c>
      <c r="X302" s="18">
        <f>IF(W302="","",IF(Murid!F302="TL","TL",ROUND(W302/110*100,2)))</f>
        <v/>
      </c>
    </row>
    <row r="303">
      <c r="A303" s="15">
        <f>Murid!A303</f>
        <v/>
      </c>
      <c r="B303" s="15">
        <f>IF(Murid!B303="","",Murid!B303)</f>
        <v/>
      </c>
      <c r="C303" s="16">
        <f>IF(Murid!C303="","",Murid!C303)</f>
        <v/>
      </c>
      <c r="D303" s="15">
        <f>IF(Murid!E303="","",Murid!E303)</f>
        <v/>
      </c>
      <c r="E303" s="11" t="n"/>
      <c r="F303" s="11" t="n"/>
      <c r="G303" s="10">
        <f>IF(F303="","",IFERROR(VLOOKUP(F303,T_JSP,2,FALSE),0))</f>
        <v/>
      </c>
      <c r="H303" s="11" t="n"/>
      <c r="I303" s="17">
        <f>IF(H303="","",IF(H303&gt;=12,40,ROUND(H303*3.33,2)))</f>
        <v/>
      </c>
      <c r="J303" s="11" t="n"/>
      <c r="K303" s="11" t="n"/>
      <c r="L303" s="11" t="n"/>
      <c r="M303" s="11" t="n"/>
      <c r="N303" s="10">
        <f>IF(COUNTA(J303:M303)=0,"",MIN(10,SUMPRODUCT((COUNTIF(J303:M303,L_KOM)&gt;0)*S_KOM)))</f>
        <v/>
      </c>
      <c r="O303" s="11" t="n"/>
      <c r="P303" s="10">
        <f>IF(O303="","",IFERROR(VLOOKUP(O303,T_KHID,2,FALSE),0))</f>
        <v/>
      </c>
      <c r="Q303" s="11" t="n"/>
      <c r="R303" s="11" t="n"/>
      <c r="S303" s="10">
        <f>IF(AND(Q303="",R303=""),"",IFERROR(INDEX(T_LIBAT,MATCH(Q303,L_PER,0),MATCH(R303,L_JENIS,0)),0))</f>
        <v/>
      </c>
      <c r="T303" s="11" t="n"/>
      <c r="U303" s="11" t="n"/>
      <c r="V303" s="10">
        <f>IF(AND(T303="",U303=""),"",IFERROR(INDEX(T_CAPAI,MATCH(T303,L_PER,0),MATCH(U303,L_KED,0)),0))</f>
        <v/>
      </c>
      <c r="W303" s="17">
        <f>IF(OR(B303="",E303="",COUNTA(F303,H303,J303:M303,O303,Q303:R303,T303:U303)=0),"",SUM(G303,I303,N303,P303,S303,V303))</f>
        <v/>
      </c>
      <c r="X303" s="18">
        <f>IF(W303="","",IF(Murid!F303="TL","TL",ROUND(W303/110*100,2)))</f>
        <v/>
      </c>
    </row>
    <row r="304">
      <c r="A304" s="15">
        <f>Murid!A304</f>
        <v/>
      </c>
      <c r="B304" s="15">
        <f>IF(Murid!B304="","",Murid!B304)</f>
        <v/>
      </c>
      <c r="C304" s="16">
        <f>IF(Murid!C304="","",Murid!C304)</f>
        <v/>
      </c>
      <c r="D304" s="15">
        <f>IF(Murid!E304="","",Murid!E304)</f>
        <v/>
      </c>
      <c r="E304" s="11" t="n"/>
      <c r="F304" s="11" t="n"/>
      <c r="G304" s="10">
        <f>IF(F304="","",IFERROR(VLOOKUP(F304,T_JSP,2,FALSE),0))</f>
        <v/>
      </c>
      <c r="H304" s="11" t="n"/>
      <c r="I304" s="17">
        <f>IF(H304="","",IF(H304&gt;=12,40,ROUND(H304*3.33,2)))</f>
        <v/>
      </c>
      <c r="J304" s="11" t="n"/>
      <c r="K304" s="11" t="n"/>
      <c r="L304" s="11" t="n"/>
      <c r="M304" s="11" t="n"/>
      <c r="N304" s="10">
        <f>IF(COUNTA(J304:M304)=0,"",MIN(10,SUMPRODUCT((COUNTIF(J304:M304,L_KOM)&gt;0)*S_KOM)))</f>
        <v/>
      </c>
      <c r="O304" s="11" t="n"/>
      <c r="P304" s="10">
        <f>IF(O304="","",IFERROR(VLOOKUP(O304,T_KHID,2,FALSE),0))</f>
        <v/>
      </c>
      <c r="Q304" s="11" t="n"/>
      <c r="R304" s="11" t="n"/>
      <c r="S304" s="10">
        <f>IF(AND(Q304="",R304=""),"",IFERROR(INDEX(T_LIBAT,MATCH(Q304,L_PER,0),MATCH(R304,L_JENIS,0)),0))</f>
        <v/>
      </c>
      <c r="T304" s="11" t="n"/>
      <c r="U304" s="11" t="n"/>
      <c r="V304" s="10">
        <f>IF(AND(T304="",U304=""),"",IFERROR(INDEX(T_CAPAI,MATCH(T304,L_PER,0),MATCH(U304,L_KED,0)),0))</f>
        <v/>
      </c>
      <c r="W304" s="17">
        <f>IF(OR(B304="",E304="",COUNTA(F304,H304,J304:M304,O304,Q304:R304,T304:U304)=0),"",SUM(G304,I304,N304,P304,S304,V304))</f>
        <v/>
      </c>
      <c r="X304" s="18">
        <f>IF(W304="","",IF(Murid!F304="TL","TL",ROUND(W304/110*100,2)))</f>
        <v/>
      </c>
    </row>
    <row r="305">
      <c r="A305" s="15">
        <f>Murid!A305</f>
        <v/>
      </c>
      <c r="B305" s="15">
        <f>IF(Murid!B305="","",Murid!B305)</f>
        <v/>
      </c>
      <c r="C305" s="16">
        <f>IF(Murid!C305="","",Murid!C305)</f>
        <v/>
      </c>
      <c r="D305" s="15">
        <f>IF(Murid!E305="","",Murid!E305)</f>
        <v/>
      </c>
      <c r="E305" s="11" t="n"/>
      <c r="F305" s="11" t="n"/>
      <c r="G305" s="10">
        <f>IF(F305="","",IFERROR(VLOOKUP(F305,T_JSP,2,FALSE),0))</f>
        <v/>
      </c>
      <c r="H305" s="11" t="n"/>
      <c r="I305" s="17">
        <f>IF(H305="","",IF(H305&gt;=12,40,ROUND(H305*3.33,2)))</f>
        <v/>
      </c>
      <c r="J305" s="11" t="n"/>
      <c r="K305" s="11" t="n"/>
      <c r="L305" s="11" t="n"/>
      <c r="M305" s="11" t="n"/>
      <c r="N305" s="10">
        <f>IF(COUNTA(J305:M305)=0,"",MIN(10,SUMPRODUCT((COUNTIF(J305:M305,L_KOM)&gt;0)*S_KOM)))</f>
        <v/>
      </c>
      <c r="O305" s="11" t="n"/>
      <c r="P305" s="10">
        <f>IF(O305="","",IFERROR(VLOOKUP(O305,T_KHID,2,FALSE),0))</f>
        <v/>
      </c>
      <c r="Q305" s="11" t="n"/>
      <c r="R305" s="11" t="n"/>
      <c r="S305" s="10">
        <f>IF(AND(Q305="",R305=""),"",IFERROR(INDEX(T_LIBAT,MATCH(Q305,L_PER,0),MATCH(R305,L_JENIS,0)),0))</f>
        <v/>
      </c>
      <c r="T305" s="11" t="n"/>
      <c r="U305" s="11" t="n"/>
      <c r="V305" s="10">
        <f>IF(AND(T305="",U305=""),"",IFERROR(INDEX(T_CAPAI,MATCH(T305,L_PER,0),MATCH(U305,L_KED,0)),0))</f>
        <v/>
      </c>
      <c r="W305" s="17">
        <f>IF(OR(B305="",E305="",COUNTA(F305,H305,J305:M305,O305,Q305:R305,T305:U305)=0),"",SUM(G305,I305,N305,P305,S305,V305))</f>
        <v/>
      </c>
      <c r="X305" s="18">
        <f>IF(W305="","",IF(Murid!F305="TL","TL",ROUND(W305/110*100,2)))</f>
        <v/>
      </c>
    </row>
    <row r="306">
      <c r="A306" s="15">
        <f>Murid!A306</f>
        <v/>
      </c>
      <c r="B306" s="15">
        <f>IF(Murid!B306="","",Murid!B306)</f>
        <v/>
      </c>
      <c r="C306" s="16">
        <f>IF(Murid!C306="","",Murid!C306)</f>
        <v/>
      </c>
      <c r="D306" s="15">
        <f>IF(Murid!E306="","",Murid!E306)</f>
        <v/>
      </c>
      <c r="E306" s="11" t="n"/>
      <c r="F306" s="11" t="n"/>
      <c r="G306" s="10">
        <f>IF(F306="","",IFERROR(VLOOKUP(F306,T_JSP,2,FALSE),0))</f>
        <v/>
      </c>
      <c r="H306" s="11" t="n"/>
      <c r="I306" s="17">
        <f>IF(H306="","",IF(H306&gt;=12,40,ROUND(H306*3.33,2)))</f>
        <v/>
      </c>
      <c r="J306" s="11" t="n"/>
      <c r="K306" s="11" t="n"/>
      <c r="L306" s="11" t="n"/>
      <c r="M306" s="11" t="n"/>
      <c r="N306" s="10">
        <f>IF(COUNTA(J306:M306)=0,"",MIN(10,SUMPRODUCT((COUNTIF(J306:M306,L_KOM)&gt;0)*S_KOM)))</f>
        <v/>
      </c>
      <c r="O306" s="11" t="n"/>
      <c r="P306" s="10">
        <f>IF(O306="","",IFERROR(VLOOKUP(O306,T_KHID,2,FALSE),0))</f>
        <v/>
      </c>
      <c r="Q306" s="11" t="n"/>
      <c r="R306" s="11" t="n"/>
      <c r="S306" s="10">
        <f>IF(AND(Q306="",R306=""),"",IFERROR(INDEX(T_LIBAT,MATCH(Q306,L_PER,0),MATCH(R306,L_JENIS,0)),0))</f>
        <v/>
      </c>
      <c r="T306" s="11" t="n"/>
      <c r="U306" s="11" t="n"/>
      <c r="V306" s="10">
        <f>IF(AND(T306="",U306=""),"",IFERROR(INDEX(T_CAPAI,MATCH(T306,L_PER,0),MATCH(U306,L_KED,0)),0))</f>
        <v/>
      </c>
      <c r="W306" s="17">
        <f>IF(OR(B306="",E306="",COUNTA(F306,H306,J306:M306,O306,Q306:R306,T306:U306)=0),"",SUM(G306,I306,N306,P306,S306,V306))</f>
        <v/>
      </c>
      <c r="X306" s="18">
        <f>IF(W306="","",IF(Murid!F306="TL","TL",ROUND(W306/110*100,2)))</f>
        <v/>
      </c>
    </row>
    <row r="307">
      <c r="A307" s="15">
        <f>Murid!A307</f>
        <v/>
      </c>
      <c r="B307" s="15">
        <f>IF(Murid!B307="","",Murid!B307)</f>
        <v/>
      </c>
      <c r="C307" s="16">
        <f>IF(Murid!C307="","",Murid!C307)</f>
        <v/>
      </c>
      <c r="D307" s="15">
        <f>IF(Murid!E307="","",Murid!E307)</f>
        <v/>
      </c>
      <c r="E307" s="11" t="n"/>
      <c r="F307" s="11" t="n"/>
      <c r="G307" s="10">
        <f>IF(F307="","",IFERROR(VLOOKUP(F307,T_JSP,2,FALSE),0))</f>
        <v/>
      </c>
      <c r="H307" s="11" t="n"/>
      <c r="I307" s="17">
        <f>IF(H307="","",IF(H307&gt;=12,40,ROUND(H307*3.33,2)))</f>
        <v/>
      </c>
      <c r="J307" s="11" t="n"/>
      <c r="K307" s="11" t="n"/>
      <c r="L307" s="11" t="n"/>
      <c r="M307" s="11" t="n"/>
      <c r="N307" s="10">
        <f>IF(COUNTA(J307:M307)=0,"",MIN(10,SUMPRODUCT((COUNTIF(J307:M307,L_KOM)&gt;0)*S_KOM)))</f>
        <v/>
      </c>
      <c r="O307" s="11" t="n"/>
      <c r="P307" s="10">
        <f>IF(O307="","",IFERROR(VLOOKUP(O307,T_KHID,2,FALSE),0))</f>
        <v/>
      </c>
      <c r="Q307" s="11" t="n"/>
      <c r="R307" s="11" t="n"/>
      <c r="S307" s="10">
        <f>IF(AND(Q307="",R307=""),"",IFERROR(INDEX(T_LIBAT,MATCH(Q307,L_PER,0),MATCH(R307,L_JENIS,0)),0))</f>
        <v/>
      </c>
      <c r="T307" s="11" t="n"/>
      <c r="U307" s="11" t="n"/>
      <c r="V307" s="10">
        <f>IF(AND(T307="",U307=""),"",IFERROR(INDEX(T_CAPAI,MATCH(T307,L_PER,0),MATCH(U307,L_KED,0)),0))</f>
        <v/>
      </c>
      <c r="W307" s="17">
        <f>IF(OR(B307="",E307="",COUNTA(F307,H307,J307:M307,O307,Q307:R307,T307:U307)=0),"",SUM(G307,I307,N307,P307,S307,V307))</f>
        <v/>
      </c>
      <c r="X307" s="18">
        <f>IF(W307="","",IF(Murid!F307="TL","TL",ROUND(W307/110*100,2)))</f>
        <v/>
      </c>
    </row>
    <row r="308">
      <c r="A308" s="15">
        <f>Murid!A308</f>
        <v/>
      </c>
      <c r="B308" s="15">
        <f>IF(Murid!B308="","",Murid!B308)</f>
        <v/>
      </c>
      <c r="C308" s="16">
        <f>IF(Murid!C308="","",Murid!C308)</f>
        <v/>
      </c>
      <c r="D308" s="15">
        <f>IF(Murid!E308="","",Murid!E308)</f>
        <v/>
      </c>
      <c r="E308" s="11" t="n"/>
      <c r="F308" s="11" t="n"/>
      <c r="G308" s="10">
        <f>IF(F308="","",IFERROR(VLOOKUP(F308,T_JSP,2,FALSE),0))</f>
        <v/>
      </c>
      <c r="H308" s="11" t="n"/>
      <c r="I308" s="17">
        <f>IF(H308="","",IF(H308&gt;=12,40,ROUND(H308*3.33,2)))</f>
        <v/>
      </c>
      <c r="J308" s="11" t="n"/>
      <c r="K308" s="11" t="n"/>
      <c r="L308" s="11" t="n"/>
      <c r="M308" s="11" t="n"/>
      <c r="N308" s="10">
        <f>IF(COUNTA(J308:M308)=0,"",MIN(10,SUMPRODUCT((COUNTIF(J308:M308,L_KOM)&gt;0)*S_KOM)))</f>
        <v/>
      </c>
      <c r="O308" s="11" t="n"/>
      <c r="P308" s="10">
        <f>IF(O308="","",IFERROR(VLOOKUP(O308,T_KHID,2,FALSE),0))</f>
        <v/>
      </c>
      <c r="Q308" s="11" t="n"/>
      <c r="R308" s="11" t="n"/>
      <c r="S308" s="10">
        <f>IF(AND(Q308="",R308=""),"",IFERROR(INDEX(T_LIBAT,MATCH(Q308,L_PER,0),MATCH(R308,L_JENIS,0)),0))</f>
        <v/>
      </c>
      <c r="T308" s="11" t="n"/>
      <c r="U308" s="11" t="n"/>
      <c r="V308" s="10">
        <f>IF(AND(T308="",U308=""),"",IFERROR(INDEX(T_CAPAI,MATCH(T308,L_PER,0),MATCH(U308,L_KED,0)),0))</f>
        <v/>
      </c>
      <c r="W308" s="17">
        <f>IF(OR(B308="",E308="",COUNTA(F308,H308,J308:M308,O308,Q308:R308,T308:U308)=0),"",SUM(G308,I308,N308,P308,S308,V308))</f>
        <v/>
      </c>
      <c r="X308" s="18">
        <f>IF(W308="","",IF(Murid!F308="TL","TL",ROUND(W308/110*100,2)))</f>
        <v/>
      </c>
    </row>
    <row r="309">
      <c r="A309" s="15">
        <f>Murid!A309</f>
        <v/>
      </c>
      <c r="B309" s="15">
        <f>IF(Murid!B309="","",Murid!B309)</f>
        <v/>
      </c>
      <c r="C309" s="16">
        <f>IF(Murid!C309="","",Murid!C309)</f>
        <v/>
      </c>
      <c r="D309" s="15">
        <f>IF(Murid!E309="","",Murid!E309)</f>
        <v/>
      </c>
      <c r="E309" s="11" t="n"/>
      <c r="F309" s="11" t="n"/>
      <c r="G309" s="10">
        <f>IF(F309="","",IFERROR(VLOOKUP(F309,T_JSP,2,FALSE),0))</f>
        <v/>
      </c>
      <c r="H309" s="11" t="n"/>
      <c r="I309" s="17">
        <f>IF(H309="","",IF(H309&gt;=12,40,ROUND(H309*3.33,2)))</f>
        <v/>
      </c>
      <c r="J309" s="11" t="n"/>
      <c r="K309" s="11" t="n"/>
      <c r="L309" s="11" t="n"/>
      <c r="M309" s="11" t="n"/>
      <c r="N309" s="10">
        <f>IF(COUNTA(J309:M309)=0,"",MIN(10,SUMPRODUCT((COUNTIF(J309:M309,L_KOM)&gt;0)*S_KOM)))</f>
        <v/>
      </c>
      <c r="O309" s="11" t="n"/>
      <c r="P309" s="10">
        <f>IF(O309="","",IFERROR(VLOOKUP(O309,T_KHID,2,FALSE),0))</f>
        <v/>
      </c>
      <c r="Q309" s="11" t="n"/>
      <c r="R309" s="11" t="n"/>
      <c r="S309" s="10">
        <f>IF(AND(Q309="",R309=""),"",IFERROR(INDEX(T_LIBAT,MATCH(Q309,L_PER,0),MATCH(R309,L_JENIS,0)),0))</f>
        <v/>
      </c>
      <c r="T309" s="11" t="n"/>
      <c r="U309" s="11" t="n"/>
      <c r="V309" s="10">
        <f>IF(AND(T309="",U309=""),"",IFERROR(INDEX(T_CAPAI,MATCH(T309,L_PER,0),MATCH(U309,L_KED,0)),0))</f>
        <v/>
      </c>
      <c r="W309" s="17">
        <f>IF(OR(B309="",E309="",COUNTA(F309,H309,J309:M309,O309,Q309:R309,T309:U309)=0),"",SUM(G309,I309,N309,P309,S309,V309))</f>
        <v/>
      </c>
      <c r="X309" s="18">
        <f>IF(W309="","",IF(Murid!F309="TL","TL",ROUND(W309/110*100,2)))</f>
        <v/>
      </c>
    </row>
    <row r="310">
      <c r="A310" s="15">
        <f>Murid!A310</f>
        <v/>
      </c>
      <c r="B310" s="15">
        <f>IF(Murid!B310="","",Murid!B310)</f>
        <v/>
      </c>
      <c r="C310" s="16">
        <f>IF(Murid!C310="","",Murid!C310)</f>
        <v/>
      </c>
      <c r="D310" s="15">
        <f>IF(Murid!E310="","",Murid!E310)</f>
        <v/>
      </c>
      <c r="E310" s="11" t="n"/>
      <c r="F310" s="11" t="n"/>
      <c r="G310" s="10">
        <f>IF(F310="","",IFERROR(VLOOKUP(F310,T_JSP,2,FALSE),0))</f>
        <v/>
      </c>
      <c r="H310" s="11" t="n"/>
      <c r="I310" s="17">
        <f>IF(H310="","",IF(H310&gt;=12,40,ROUND(H310*3.33,2)))</f>
        <v/>
      </c>
      <c r="J310" s="11" t="n"/>
      <c r="K310" s="11" t="n"/>
      <c r="L310" s="11" t="n"/>
      <c r="M310" s="11" t="n"/>
      <c r="N310" s="10">
        <f>IF(COUNTA(J310:M310)=0,"",MIN(10,SUMPRODUCT((COUNTIF(J310:M310,L_KOM)&gt;0)*S_KOM)))</f>
        <v/>
      </c>
      <c r="O310" s="11" t="n"/>
      <c r="P310" s="10">
        <f>IF(O310="","",IFERROR(VLOOKUP(O310,T_KHID,2,FALSE),0))</f>
        <v/>
      </c>
      <c r="Q310" s="11" t="n"/>
      <c r="R310" s="11" t="n"/>
      <c r="S310" s="10">
        <f>IF(AND(Q310="",R310=""),"",IFERROR(INDEX(T_LIBAT,MATCH(Q310,L_PER,0),MATCH(R310,L_JENIS,0)),0))</f>
        <v/>
      </c>
      <c r="T310" s="11" t="n"/>
      <c r="U310" s="11" t="n"/>
      <c r="V310" s="10">
        <f>IF(AND(T310="",U310=""),"",IFERROR(INDEX(T_CAPAI,MATCH(T310,L_PER,0),MATCH(U310,L_KED,0)),0))</f>
        <v/>
      </c>
      <c r="W310" s="17">
        <f>IF(OR(B310="",E310="",COUNTA(F310,H310,J310:M310,O310,Q310:R310,T310:U310)=0),"",SUM(G310,I310,N310,P310,S310,V310))</f>
        <v/>
      </c>
      <c r="X310" s="18">
        <f>IF(W310="","",IF(Murid!F310="TL","TL",ROUND(W310/110*100,2)))</f>
        <v/>
      </c>
    </row>
    <row r="311">
      <c r="A311" s="15">
        <f>Murid!A311</f>
        <v/>
      </c>
      <c r="B311" s="15">
        <f>IF(Murid!B311="","",Murid!B311)</f>
        <v/>
      </c>
      <c r="C311" s="16">
        <f>IF(Murid!C311="","",Murid!C311)</f>
        <v/>
      </c>
      <c r="D311" s="15">
        <f>IF(Murid!E311="","",Murid!E311)</f>
        <v/>
      </c>
      <c r="E311" s="11" t="n"/>
      <c r="F311" s="11" t="n"/>
      <c r="G311" s="10">
        <f>IF(F311="","",IFERROR(VLOOKUP(F311,T_JSP,2,FALSE),0))</f>
        <v/>
      </c>
      <c r="H311" s="11" t="n"/>
      <c r="I311" s="17">
        <f>IF(H311="","",IF(H311&gt;=12,40,ROUND(H311*3.33,2)))</f>
        <v/>
      </c>
      <c r="J311" s="11" t="n"/>
      <c r="K311" s="11" t="n"/>
      <c r="L311" s="11" t="n"/>
      <c r="M311" s="11" t="n"/>
      <c r="N311" s="10">
        <f>IF(COUNTA(J311:M311)=0,"",MIN(10,SUMPRODUCT((COUNTIF(J311:M311,L_KOM)&gt;0)*S_KOM)))</f>
        <v/>
      </c>
      <c r="O311" s="11" t="n"/>
      <c r="P311" s="10">
        <f>IF(O311="","",IFERROR(VLOOKUP(O311,T_KHID,2,FALSE),0))</f>
        <v/>
      </c>
      <c r="Q311" s="11" t="n"/>
      <c r="R311" s="11" t="n"/>
      <c r="S311" s="10">
        <f>IF(AND(Q311="",R311=""),"",IFERROR(INDEX(T_LIBAT,MATCH(Q311,L_PER,0),MATCH(R311,L_JENIS,0)),0))</f>
        <v/>
      </c>
      <c r="T311" s="11" t="n"/>
      <c r="U311" s="11" t="n"/>
      <c r="V311" s="10">
        <f>IF(AND(T311="",U311=""),"",IFERROR(INDEX(T_CAPAI,MATCH(T311,L_PER,0),MATCH(U311,L_KED,0)),0))</f>
        <v/>
      </c>
      <c r="W311" s="17">
        <f>IF(OR(B311="",E311="",COUNTA(F311,H311,J311:M311,O311,Q311:R311,T311:U311)=0),"",SUM(G311,I311,N311,P311,S311,V311))</f>
        <v/>
      </c>
      <c r="X311" s="18">
        <f>IF(W311="","",IF(Murid!F311="TL","TL",ROUND(W311/110*100,2)))</f>
        <v/>
      </c>
    </row>
    <row r="312">
      <c r="A312" s="15">
        <f>Murid!A312</f>
        <v/>
      </c>
      <c r="B312" s="15">
        <f>IF(Murid!B312="","",Murid!B312)</f>
        <v/>
      </c>
      <c r="C312" s="16">
        <f>IF(Murid!C312="","",Murid!C312)</f>
        <v/>
      </c>
      <c r="D312" s="15">
        <f>IF(Murid!E312="","",Murid!E312)</f>
        <v/>
      </c>
      <c r="E312" s="11" t="n"/>
      <c r="F312" s="11" t="n"/>
      <c r="G312" s="10">
        <f>IF(F312="","",IFERROR(VLOOKUP(F312,T_JSP,2,FALSE),0))</f>
        <v/>
      </c>
      <c r="H312" s="11" t="n"/>
      <c r="I312" s="17">
        <f>IF(H312="","",IF(H312&gt;=12,40,ROUND(H312*3.33,2)))</f>
        <v/>
      </c>
      <c r="J312" s="11" t="n"/>
      <c r="K312" s="11" t="n"/>
      <c r="L312" s="11" t="n"/>
      <c r="M312" s="11" t="n"/>
      <c r="N312" s="10">
        <f>IF(COUNTA(J312:M312)=0,"",MIN(10,SUMPRODUCT((COUNTIF(J312:M312,L_KOM)&gt;0)*S_KOM)))</f>
        <v/>
      </c>
      <c r="O312" s="11" t="n"/>
      <c r="P312" s="10">
        <f>IF(O312="","",IFERROR(VLOOKUP(O312,T_KHID,2,FALSE),0))</f>
        <v/>
      </c>
      <c r="Q312" s="11" t="n"/>
      <c r="R312" s="11" t="n"/>
      <c r="S312" s="10">
        <f>IF(AND(Q312="",R312=""),"",IFERROR(INDEX(T_LIBAT,MATCH(Q312,L_PER,0),MATCH(R312,L_JENIS,0)),0))</f>
        <v/>
      </c>
      <c r="T312" s="11" t="n"/>
      <c r="U312" s="11" t="n"/>
      <c r="V312" s="10">
        <f>IF(AND(T312="",U312=""),"",IFERROR(INDEX(T_CAPAI,MATCH(T312,L_PER,0),MATCH(U312,L_KED,0)),0))</f>
        <v/>
      </c>
      <c r="W312" s="17">
        <f>IF(OR(B312="",E312="",COUNTA(F312,H312,J312:M312,O312,Q312:R312,T312:U312)=0),"",SUM(G312,I312,N312,P312,S312,V312))</f>
        <v/>
      </c>
      <c r="X312" s="18">
        <f>IF(W312="","",IF(Murid!F312="TL","TL",ROUND(W312/110*100,2)))</f>
        <v/>
      </c>
    </row>
    <row r="313">
      <c r="A313" s="15">
        <f>Murid!A313</f>
        <v/>
      </c>
      <c r="B313" s="15">
        <f>IF(Murid!B313="","",Murid!B313)</f>
        <v/>
      </c>
      <c r="C313" s="16">
        <f>IF(Murid!C313="","",Murid!C313)</f>
        <v/>
      </c>
      <c r="D313" s="15">
        <f>IF(Murid!E313="","",Murid!E313)</f>
        <v/>
      </c>
      <c r="E313" s="11" t="n"/>
      <c r="F313" s="11" t="n"/>
      <c r="G313" s="10">
        <f>IF(F313="","",IFERROR(VLOOKUP(F313,T_JSP,2,FALSE),0))</f>
        <v/>
      </c>
      <c r="H313" s="11" t="n"/>
      <c r="I313" s="17">
        <f>IF(H313="","",IF(H313&gt;=12,40,ROUND(H313*3.33,2)))</f>
        <v/>
      </c>
      <c r="J313" s="11" t="n"/>
      <c r="K313" s="11" t="n"/>
      <c r="L313" s="11" t="n"/>
      <c r="M313" s="11" t="n"/>
      <c r="N313" s="10">
        <f>IF(COUNTA(J313:M313)=0,"",MIN(10,SUMPRODUCT((COUNTIF(J313:M313,L_KOM)&gt;0)*S_KOM)))</f>
        <v/>
      </c>
      <c r="O313" s="11" t="n"/>
      <c r="P313" s="10">
        <f>IF(O313="","",IFERROR(VLOOKUP(O313,T_KHID,2,FALSE),0))</f>
        <v/>
      </c>
      <c r="Q313" s="11" t="n"/>
      <c r="R313" s="11" t="n"/>
      <c r="S313" s="10">
        <f>IF(AND(Q313="",R313=""),"",IFERROR(INDEX(T_LIBAT,MATCH(Q313,L_PER,0),MATCH(R313,L_JENIS,0)),0))</f>
        <v/>
      </c>
      <c r="T313" s="11" t="n"/>
      <c r="U313" s="11" t="n"/>
      <c r="V313" s="10">
        <f>IF(AND(T313="",U313=""),"",IFERROR(INDEX(T_CAPAI,MATCH(T313,L_PER,0),MATCH(U313,L_KED,0)),0))</f>
        <v/>
      </c>
      <c r="W313" s="17">
        <f>IF(OR(B313="",E313="",COUNTA(F313,H313,J313:M313,O313,Q313:R313,T313:U313)=0),"",SUM(G313,I313,N313,P313,S313,V313))</f>
        <v/>
      </c>
      <c r="X313" s="18">
        <f>IF(W313="","",IF(Murid!F313="TL","TL",ROUND(W313/110*100,2)))</f>
        <v/>
      </c>
    </row>
    <row r="314">
      <c r="A314" s="15">
        <f>Murid!A314</f>
        <v/>
      </c>
      <c r="B314" s="15">
        <f>IF(Murid!B314="","",Murid!B314)</f>
        <v/>
      </c>
      <c r="C314" s="16">
        <f>IF(Murid!C314="","",Murid!C314)</f>
        <v/>
      </c>
      <c r="D314" s="15">
        <f>IF(Murid!E314="","",Murid!E314)</f>
        <v/>
      </c>
      <c r="E314" s="11" t="n"/>
      <c r="F314" s="11" t="n"/>
      <c r="G314" s="10">
        <f>IF(F314="","",IFERROR(VLOOKUP(F314,T_JSP,2,FALSE),0))</f>
        <v/>
      </c>
      <c r="H314" s="11" t="n"/>
      <c r="I314" s="17">
        <f>IF(H314="","",IF(H314&gt;=12,40,ROUND(H314*3.33,2)))</f>
        <v/>
      </c>
      <c r="J314" s="11" t="n"/>
      <c r="K314" s="11" t="n"/>
      <c r="L314" s="11" t="n"/>
      <c r="M314" s="11" t="n"/>
      <c r="N314" s="10">
        <f>IF(COUNTA(J314:M314)=0,"",MIN(10,SUMPRODUCT((COUNTIF(J314:M314,L_KOM)&gt;0)*S_KOM)))</f>
        <v/>
      </c>
      <c r="O314" s="11" t="n"/>
      <c r="P314" s="10">
        <f>IF(O314="","",IFERROR(VLOOKUP(O314,T_KHID,2,FALSE),0))</f>
        <v/>
      </c>
      <c r="Q314" s="11" t="n"/>
      <c r="R314" s="11" t="n"/>
      <c r="S314" s="10">
        <f>IF(AND(Q314="",R314=""),"",IFERROR(INDEX(T_LIBAT,MATCH(Q314,L_PER,0),MATCH(R314,L_JENIS,0)),0))</f>
        <v/>
      </c>
      <c r="T314" s="11" t="n"/>
      <c r="U314" s="11" t="n"/>
      <c r="V314" s="10">
        <f>IF(AND(T314="",U314=""),"",IFERROR(INDEX(T_CAPAI,MATCH(T314,L_PER,0),MATCH(U314,L_KED,0)),0))</f>
        <v/>
      </c>
      <c r="W314" s="17">
        <f>IF(OR(B314="",E314="",COUNTA(F314,H314,J314:M314,O314,Q314:R314,T314:U314)=0),"",SUM(G314,I314,N314,P314,S314,V314))</f>
        <v/>
      </c>
      <c r="X314" s="18">
        <f>IF(W314="","",IF(Murid!F314="TL","TL",ROUND(W314/110*100,2)))</f>
        <v/>
      </c>
    </row>
    <row r="315">
      <c r="A315" s="15">
        <f>Murid!A315</f>
        <v/>
      </c>
      <c r="B315" s="15">
        <f>IF(Murid!B315="","",Murid!B315)</f>
        <v/>
      </c>
      <c r="C315" s="16">
        <f>IF(Murid!C315="","",Murid!C315)</f>
        <v/>
      </c>
      <c r="D315" s="15">
        <f>IF(Murid!E315="","",Murid!E315)</f>
        <v/>
      </c>
      <c r="E315" s="11" t="n"/>
      <c r="F315" s="11" t="n"/>
      <c r="G315" s="10">
        <f>IF(F315="","",IFERROR(VLOOKUP(F315,T_JSP,2,FALSE),0))</f>
        <v/>
      </c>
      <c r="H315" s="11" t="n"/>
      <c r="I315" s="17">
        <f>IF(H315="","",IF(H315&gt;=12,40,ROUND(H315*3.33,2)))</f>
        <v/>
      </c>
      <c r="J315" s="11" t="n"/>
      <c r="K315" s="11" t="n"/>
      <c r="L315" s="11" t="n"/>
      <c r="M315" s="11" t="n"/>
      <c r="N315" s="10">
        <f>IF(COUNTA(J315:M315)=0,"",MIN(10,SUMPRODUCT((COUNTIF(J315:M315,L_KOM)&gt;0)*S_KOM)))</f>
        <v/>
      </c>
      <c r="O315" s="11" t="n"/>
      <c r="P315" s="10">
        <f>IF(O315="","",IFERROR(VLOOKUP(O315,T_KHID,2,FALSE),0))</f>
        <v/>
      </c>
      <c r="Q315" s="11" t="n"/>
      <c r="R315" s="11" t="n"/>
      <c r="S315" s="10">
        <f>IF(AND(Q315="",R315=""),"",IFERROR(INDEX(T_LIBAT,MATCH(Q315,L_PER,0),MATCH(R315,L_JENIS,0)),0))</f>
        <v/>
      </c>
      <c r="T315" s="11" t="n"/>
      <c r="U315" s="11" t="n"/>
      <c r="V315" s="10">
        <f>IF(AND(T315="",U315=""),"",IFERROR(INDEX(T_CAPAI,MATCH(T315,L_PER,0),MATCH(U315,L_KED,0)),0))</f>
        <v/>
      </c>
      <c r="W315" s="17">
        <f>IF(OR(B315="",E315="",COUNTA(F315,H315,J315:M315,O315,Q315:R315,T315:U315)=0),"",SUM(G315,I315,N315,P315,S315,V315))</f>
        <v/>
      </c>
      <c r="X315" s="18">
        <f>IF(W315="","",IF(Murid!F315="TL","TL",ROUND(W315/110*100,2)))</f>
        <v/>
      </c>
    </row>
    <row r="316">
      <c r="A316" s="15">
        <f>Murid!A316</f>
        <v/>
      </c>
      <c r="B316" s="15">
        <f>IF(Murid!B316="","",Murid!B316)</f>
        <v/>
      </c>
      <c r="C316" s="16">
        <f>IF(Murid!C316="","",Murid!C316)</f>
        <v/>
      </c>
      <c r="D316" s="15">
        <f>IF(Murid!E316="","",Murid!E316)</f>
        <v/>
      </c>
      <c r="E316" s="11" t="n"/>
      <c r="F316" s="11" t="n"/>
      <c r="G316" s="10">
        <f>IF(F316="","",IFERROR(VLOOKUP(F316,T_JSP,2,FALSE),0))</f>
        <v/>
      </c>
      <c r="H316" s="11" t="n"/>
      <c r="I316" s="17">
        <f>IF(H316="","",IF(H316&gt;=12,40,ROUND(H316*3.33,2)))</f>
        <v/>
      </c>
      <c r="J316" s="11" t="n"/>
      <c r="K316" s="11" t="n"/>
      <c r="L316" s="11" t="n"/>
      <c r="M316" s="11" t="n"/>
      <c r="N316" s="10">
        <f>IF(COUNTA(J316:M316)=0,"",MIN(10,SUMPRODUCT((COUNTIF(J316:M316,L_KOM)&gt;0)*S_KOM)))</f>
        <v/>
      </c>
      <c r="O316" s="11" t="n"/>
      <c r="P316" s="10">
        <f>IF(O316="","",IFERROR(VLOOKUP(O316,T_KHID,2,FALSE),0))</f>
        <v/>
      </c>
      <c r="Q316" s="11" t="n"/>
      <c r="R316" s="11" t="n"/>
      <c r="S316" s="10">
        <f>IF(AND(Q316="",R316=""),"",IFERROR(INDEX(T_LIBAT,MATCH(Q316,L_PER,0),MATCH(R316,L_JENIS,0)),0))</f>
        <v/>
      </c>
      <c r="T316" s="11" t="n"/>
      <c r="U316" s="11" t="n"/>
      <c r="V316" s="10">
        <f>IF(AND(T316="",U316=""),"",IFERROR(INDEX(T_CAPAI,MATCH(T316,L_PER,0),MATCH(U316,L_KED,0)),0))</f>
        <v/>
      </c>
      <c r="W316" s="17">
        <f>IF(OR(B316="",E316="",COUNTA(F316,H316,J316:M316,O316,Q316:R316,T316:U316)=0),"",SUM(G316,I316,N316,P316,S316,V316))</f>
        <v/>
      </c>
      <c r="X316" s="18">
        <f>IF(W316="","",IF(Murid!F316="TL","TL",ROUND(W316/110*100,2)))</f>
        <v/>
      </c>
    </row>
    <row r="317">
      <c r="A317" s="15">
        <f>Murid!A317</f>
        <v/>
      </c>
      <c r="B317" s="15">
        <f>IF(Murid!B317="","",Murid!B317)</f>
        <v/>
      </c>
      <c r="C317" s="16">
        <f>IF(Murid!C317="","",Murid!C317)</f>
        <v/>
      </c>
      <c r="D317" s="15">
        <f>IF(Murid!E317="","",Murid!E317)</f>
        <v/>
      </c>
      <c r="E317" s="11" t="n"/>
      <c r="F317" s="11" t="n"/>
      <c r="G317" s="10">
        <f>IF(F317="","",IFERROR(VLOOKUP(F317,T_JSP,2,FALSE),0))</f>
        <v/>
      </c>
      <c r="H317" s="11" t="n"/>
      <c r="I317" s="17">
        <f>IF(H317="","",IF(H317&gt;=12,40,ROUND(H317*3.33,2)))</f>
        <v/>
      </c>
      <c r="J317" s="11" t="n"/>
      <c r="K317" s="11" t="n"/>
      <c r="L317" s="11" t="n"/>
      <c r="M317" s="11" t="n"/>
      <c r="N317" s="10">
        <f>IF(COUNTA(J317:M317)=0,"",MIN(10,SUMPRODUCT((COUNTIF(J317:M317,L_KOM)&gt;0)*S_KOM)))</f>
        <v/>
      </c>
      <c r="O317" s="11" t="n"/>
      <c r="P317" s="10">
        <f>IF(O317="","",IFERROR(VLOOKUP(O317,T_KHID,2,FALSE),0))</f>
        <v/>
      </c>
      <c r="Q317" s="11" t="n"/>
      <c r="R317" s="11" t="n"/>
      <c r="S317" s="10">
        <f>IF(AND(Q317="",R317=""),"",IFERROR(INDEX(T_LIBAT,MATCH(Q317,L_PER,0),MATCH(R317,L_JENIS,0)),0))</f>
        <v/>
      </c>
      <c r="T317" s="11" t="n"/>
      <c r="U317" s="11" t="n"/>
      <c r="V317" s="10">
        <f>IF(AND(T317="",U317=""),"",IFERROR(INDEX(T_CAPAI,MATCH(T317,L_PER,0),MATCH(U317,L_KED,0)),0))</f>
        <v/>
      </c>
      <c r="W317" s="17">
        <f>IF(OR(B317="",E317="",COUNTA(F317,H317,J317:M317,O317,Q317:R317,T317:U317)=0),"",SUM(G317,I317,N317,P317,S317,V317))</f>
        <v/>
      </c>
      <c r="X317" s="18">
        <f>IF(W317="","",IF(Murid!F317="TL","TL",ROUND(W317/110*100,2)))</f>
        <v/>
      </c>
    </row>
    <row r="318">
      <c r="A318" s="15">
        <f>Murid!A318</f>
        <v/>
      </c>
      <c r="B318" s="15">
        <f>IF(Murid!B318="","",Murid!B318)</f>
        <v/>
      </c>
      <c r="C318" s="16">
        <f>IF(Murid!C318="","",Murid!C318)</f>
        <v/>
      </c>
      <c r="D318" s="15">
        <f>IF(Murid!E318="","",Murid!E318)</f>
        <v/>
      </c>
      <c r="E318" s="11" t="n"/>
      <c r="F318" s="11" t="n"/>
      <c r="G318" s="10">
        <f>IF(F318="","",IFERROR(VLOOKUP(F318,T_JSP,2,FALSE),0))</f>
        <v/>
      </c>
      <c r="H318" s="11" t="n"/>
      <c r="I318" s="17">
        <f>IF(H318="","",IF(H318&gt;=12,40,ROUND(H318*3.33,2)))</f>
        <v/>
      </c>
      <c r="J318" s="11" t="n"/>
      <c r="K318" s="11" t="n"/>
      <c r="L318" s="11" t="n"/>
      <c r="M318" s="11" t="n"/>
      <c r="N318" s="10">
        <f>IF(COUNTA(J318:M318)=0,"",MIN(10,SUMPRODUCT((COUNTIF(J318:M318,L_KOM)&gt;0)*S_KOM)))</f>
        <v/>
      </c>
      <c r="O318" s="11" t="n"/>
      <c r="P318" s="10">
        <f>IF(O318="","",IFERROR(VLOOKUP(O318,T_KHID,2,FALSE),0))</f>
        <v/>
      </c>
      <c r="Q318" s="11" t="n"/>
      <c r="R318" s="11" t="n"/>
      <c r="S318" s="10">
        <f>IF(AND(Q318="",R318=""),"",IFERROR(INDEX(T_LIBAT,MATCH(Q318,L_PER,0),MATCH(R318,L_JENIS,0)),0))</f>
        <v/>
      </c>
      <c r="T318" s="11" t="n"/>
      <c r="U318" s="11" t="n"/>
      <c r="V318" s="10">
        <f>IF(AND(T318="",U318=""),"",IFERROR(INDEX(T_CAPAI,MATCH(T318,L_PER,0),MATCH(U318,L_KED,0)),0))</f>
        <v/>
      </c>
      <c r="W318" s="17">
        <f>IF(OR(B318="",E318="",COUNTA(F318,H318,J318:M318,O318,Q318:R318,T318:U318)=0),"",SUM(G318,I318,N318,P318,S318,V318))</f>
        <v/>
      </c>
      <c r="X318" s="18">
        <f>IF(W318="","",IF(Murid!F318="TL","TL",ROUND(W318/110*100,2)))</f>
        <v/>
      </c>
    </row>
    <row r="319">
      <c r="A319" s="15">
        <f>Murid!A319</f>
        <v/>
      </c>
      <c r="B319" s="15">
        <f>IF(Murid!B319="","",Murid!B319)</f>
        <v/>
      </c>
      <c r="C319" s="16">
        <f>IF(Murid!C319="","",Murid!C319)</f>
        <v/>
      </c>
      <c r="D319" s="15">
        <f>IF(Murid!E319="","",Murid!E319)</f>
        <v/>
      </c>
      <c r="E319" s="11" t="n"/>
      <c r="F319" s="11" t="n"/>
      <c r="G319" s="10">
        <f>IF(F319="","",IFERROR(VLOOKUP(F319,T_JSP,2,FALSE),0))</f>
        <v/>
      </c>
      <c r="H319" s="11" t="n"/>
      <c r="I319" s="17">
        <f>IF(H319="","",IF(H319&gt;=12,40,ROUND(H319*3.33,2)))</f>
        <v/>
      </c>
      <c r="J319" s="11" t="n"/>
      <c r="K319" s="11" t="n"/>
      <c r="L319" s="11" t="n"/>
      <c r="M319" s="11" t="n"/>
      <c r="N319" s="10">
        <f>IF(COUNTA(J319:M319)=0,"",MIN(10,SUMPRODUCT((COUNTIF(J319:M319,L_KOM)&gt;0)*S_KOM)))</f>
        <v/>
      </c>
      <c r="O319" s="11" t="n"/>
      <c r="P319" s="10">
        <f>IF(O319="","",IFERROR(VLOOKUP(O319,T_KHID,2,FALSE),0))</f>
        <v/>
      </c>
      <c r="Q319" s="11" t="n"/>
      <c r="R319" s="11" t="n"/>
      <c r="S319" s="10">
        <f>IF(AND(Q319="",R319=""),"",IFERROR(INDEX(T_LIBAT,MATCH(Q319,L_PER,0),MATCH(R319,L_JENIS,0)),0))</f>
        <v/>
      </c>
      <c r="T319" s="11" t="n"/>
      <c r="U319" s="11" t="n"/>
      <c r="V319" s="10">
        <f>IF(AND(T319="",U319=""),"",IFERROR(INDEX(T_CAPAI,MATCH(T319,L_PER,0),MATCH(U319,L_KED,0)),0))</f>
        <v/>
      </c>
      <c r="W319" s="17">
        <f>IF(OR(B319="",E319="",COUNTA(F319,H319,J319:M319,O319,Q319:R319,T319:U319)=0),"",SUM(G319,I319,N319,P319,S319,V319))</f>
        <v/>
      </c>
      <c r="X319" s="18">
        <f>IF(W319="","",IF(Murid!F319="TL","TL",ROUND(W319/110*100,2)))</f>
        <v/>
      </c>
    </row>
    <row r="320">
      <c r="A320" s="15">
        <f>Murid!A320</f>
        <v/>
      </c>
      <c r="B320" s="15">
        <f>IF(Murid!B320="","",Murid!B320)</f>
        <v/>
      </c>
      <c r="C320" s="16">
        <f>IF(Murid!C320="","",Murid!C320)</f>
        <v/>
      </c>
      <c r="D320" s="15">
        <f>IF(Murid!E320="","",Murid!E320)</f>
        <v/>
      </c>
      <c r="E320" s="11" t="n"/>
      <c r="F320" s="11" t="n"/>
      <c r="G320" s="10">
        <f>IF(F320="","",IFERROR(VLOOKUP(F320,T_JSP,2,FALSE),0))</f>
        <v/>
      </c>
      <c r="H320" s="11" t="n"/>
      <c r="I320" s="17">
        <f>IF(H320="","",IF(H320&gt;=12,40,ROUND(H320*3.33,2)))</f>
        <v/>
      </c>
      <c r="J320" s="11" t="n"/>
      <c r="K320" s="11" t="n"/>
      <c r="L320" s="11" t="n"/>
      <c r="M320" s="11" t="n"/>
      <c r="N320" s="10">
        <f>IF(COUNTA(J320:M320)=0,"",MIN(10,SUMPRODUCT((COUNTIF(J320:M320,L_KOM)&gt;0)*S_KOM)))</f>
        <v/>
      </c>
      <c r="O320" s="11" t="n"/>
      <c r="P320" s="10">
        <f>IF(O320="","",IFERROR(VLOOKUP(O320,T_KHID,2,FALSE),0))</f>
        <v/>
      </c>
      <c r="Q320" s="11" t="n"/>
      <c r="R320" s="11" t="n"/>
      <c r="S320" s="10">
        <f>IF(AND(Q320="",R320=""),"",IFERROR(INDEX(T_LIBAT,MATCH(Q320,L_PER,0),MATCH(R320,L_JENIS,0)),0))</f>
        <v/>
      </c>
      <c r="T320" s="11" t="n"/>
      <c r="U320" s="11" t="n"/>
      <c r="V320" s="10">
        <f>IF(AND(T320="",U320=""),"",IFERROR(INDEX(T_CAPAI,MATCH(T320,L_PER,0),MATCH(U320,L_KED,0)),0))</f>
        <v/>
      </c>
      <c r="W320" s="17">
        <f>IF(OR(B320="",E320="",COUNTA(F320,H320,J320:M320,O320,Q320:R320,T320:U320)=0),"",SUM(G320,I320,N320,P320,S320,V320))</f>
        <v/>
      </c>
      <c r="X320" s="18">
        <f>IF(W320="","",IF(Murid!F320="TL","TL",ROUND(W320/110*100,2)))</f>
        <v/>
      </c>
    </row>
    <row r="321">
      <c r="A321" s="15">
        <f>Murid!A321</f>
        <v/>
      </c>
      <c r="B321" s="15">
        <f>IF(Murid!B321="","",Murid!B321)</f>
        <v/>
      </c>
      <c r="C321" s="16">
        <f>IF(Murid!C321="","",Murid!C321)</f>
        <v/>
      </c>
      <c r="D321" s="15">
        <f>IF(Murid!E321="","",Murid!E321)</f>
        <v/>
      </c>
      <c r="E321" s="11" t="n"/>
      <c r="F321" s="11" t="n"/>
      <c r="G321" s="10">
        <f>IF(F321="","",IFERROR(VLOOKUP(F321,T_JSP,2,FALSE),0))</f>
        <v/>
      </c>
      <c r="H321" s="11" t="n"/>
      <c r="I321" s="17">
        <f>IF(H321="","",IF(H321&gt;=12,40,ROUND(H321*3.33,2)))</f>
        <v/>
      </c>
      <c r="J321" s="11" t="n"/>
      <c r="K321" s="11" t="n"/>
      <c r="L321" s="11" t="n"/>
      <c r="M321" s="11" t="n"/>
      <c r="N321" s="10">
        <f>IF(COUNTA(J321:M321)=0,"",MIN(10,SUMPRODUCT((COUNTIF(J321:M321,L_KOM)&gt;0)*S_KOM)))</f>
        <v/>
      </c>
      <c r="O321" s="11" t="n"/>
      <c r="P321" s="10">
        <f>IF(O321="","",IFERROR(VLOOKUP(O321,T_KHID,2,FALSE),0))</f>
        <v/>
      </c>
      <c r="Q321" s="11" t="n"/>
      <c r="R321" s="11" t="n"/>
      <c r="S321" s="10">
        <f>IF(AND(Q321="",R321=""),"",IFERROR(INDEX(T_LIBAT,MATCH(Q321,L_PER,0),MATCH(R321,L_JENIS,0)),0))</f>
        <v/>
      </c>
      <c r="T321" s="11" t="n"/>
      <c r="U321" s="11" t="n"/>
      <c r="V321" s="10">
        <f>IF(AND(T321="",U321=""),"",IFERROR(INDEX(T_CAPAI,MATCH(T321,L_PER,0),MATCH(U321,L_KED,0)),0))</f>
        <v/>
      </c>
      <c r="W321" s="17">
        <f>IF(OR(B321="",E321="",COUNTA(F321,H321,J321:M321,O321,Q321:R321,T321:U321)=0),"",SUM(G321,I321,N321,P321,S321,V321))</f>
        <v/>
      </c>
      <c r="X321" s="18">
        <f>IF(W321="","",IF(Murid!F321="TL","TL",ROUND(W321/110*100,2)))</f>
        <v/>
      </c>
    </row>
    <row r="322">
      <c r="A322" s="15">
        <f>Murid!A322</f>
        <v/>
      </c>
      <c r="B322" s="15">
        <f>IF(Murid!B322="","",Murid!B322)</f>
        <v/>
      </c>
      <c r="C322" s="16">
        <f>IF(Murid!C322="","",Murid!C322)</f>
        <v/>
      </c>
      <c r="D322" s="15">
        <f>IF(Murid!E322="","",Murid!E322)</f>
        <v/>
      </c>
      <c r="E322" s="11" t="n"/>
      <c r="F322" s="11" t="n"/>
      <c r="G322" s="10">
        <f>IF(F322="","",IFERROR(VLOOKUP(F322,T_JSP,2,FALSE),0))</f>
        <v/>
      </c>
      <c r="H322" s="11" t="n"/>
      <c r="I322" s="17">
        <f>IF(H322="","",IF(H322&gt;=12,40,ROUND(H322*3.33,2)))</f>
        <v/>
      </c>
      <c r="J322" s="11" t="n"/>
      <c r="K322" s="11" t="n"/>
      <c r="L322" s="11" t="n"/>
      <c r="M322" s="11" t="n"/>
      <c r="N322" s="10">
        <f>IF(COUNTA(J322:M322)=0,"",MIN(10,SUMPRODUCT((COUNTIF(J322:M322,L_KOM)&gt;0)*S_KOM)))</f>
        <v/>
      </c>
      <c r="O322" s="11" t="n"/>
      <c r="P322" s="10">
        <f>IF(O322="","",IFERROR(VLOOKUP(O322,T_KHID,2,FALSE),0))</f>
        <v/>
      </c>
      <c r="Q322" s="11" t="n"/>
      <c r="R322" s="11" t="n"/>
      <c r="S322" s="10">
        <f>IF(AND(Q322="",R322=""),"",IFERROR(INDEX(T_LIBAT,MATCH(Q322,L_PER,0),MATCH(R322,L_JENIS,0)),0))</f>
        <v/>
      </c>
      <c r="T322" s="11" t="n"/>
      <c r="U322" s="11" t="n"/>
      <c r="V322" s="10">
        <f>IF(AND(T322="",U322=""),"",IFERROR(INDEX(T_CAPAI,MATCH(T322,L_PER,0),MATCH(U322,L_KED,0)),0))</f>
        <v/>
      </c>
      <c r="W322" s="17">
        <f>IF(OR(B322="",E322="",COUNTA(F322,H322,J322:M322,O322,Q322:R322,T322:U322)=0),"",SUM(G322,I322,N322,P322,S322,V322))</f>
        <v/>
      </c>
      <c r="X322" s="18">
        <f>IF(W322="","",IF(Murid!F322="TL","TL",ROUND(W322/110*100,2)))</f>
        <v/>
      </c>
    </row>
    <row r="323">
      <c r="A323" s="15">
        <f>Murid!A323</f>
        <v/>
      </c>
      <c r="B323" s="15">
        <f>IF(Murid!B323="","",Murid!B323)</f>
        <v/>
      </c>
      <c r="C323" s="16">
        <f>IF(Murid!C323="","",Murid!C323)</f>
        <v/>
      </c>
      <c r="D323" s="15">
        <f>IF(Murid!E323="","",Murid!E323)</f>
        <v/>
      </c>
      <c r="E323" s="11" t="n"/>
      <c r="F323" s="11" t="n"/>
      <c r="G323" s="10">
        <f>IF(F323="","",IFERROR(VLOOKUP(F323,T_JSP,2,FALSE),0))</f>
        <v/>
      </c>
      <c r="H323" s="11" t="n"/>
      <c r="I323" s="17">
        <f>IF(H323="","",IF(H323&gt;=12,40,ROUND(H323*3.33,2)))</f>
        <v/>
      </c>
      <c r="J323" s="11" t="n"/>
      <c r="K323" s="11" t="n"/>
      <c r="L323" s="11" t="n"/>
      <c r="M323" s="11" t="n"/>
      <c r="N323" s="10">
        <f>IF(COUNTA(J323:M323)=0,"",MIN(10,SUMPRODUCT((COUNTIF(J323:M323,L_KOM)&gt;0)*S_KOM)))</f>
        <v/>
      </c>
      <c r="O323" s="11" t="n"/>
      <c r="P323" s="10">
        <f>IF(O323="","",IFERROR(VLOOKUP(O323,T_KHID,2,FALSE),0))</f>
        <v/>
      </c>
      <c r="Q323" s="11" t="n"/>
      <c r="R323" s="11" t="n"/>
      <c r="S323" s="10">
        <f>IF(AND(Q323="",R323=""),"",IFERROR(INDEX(T_LIBAT,MATCH(Q323,L_PER,0),MATCH(R323,L_JENIS,0)),0))</f>
        <v/>
      </c>
      <c r="T323" s="11" t="n"/>
      <c r="U323" s="11" t="n"/>
      <c r="V323" s="10">
        <f>IF(AND(T323="",U323=""),"",IFERROR(INDEX(T_CAPAI,MATCH(T323,L_PER,0),MATCH(U323,L_KED,0)),0))</f>
        <v/>
      </c>
      <c r="W323" s="17">
        <f>IF(OR(B323="",E323="",COUNTA(F323,H323,J323:M323,O323,Q323:R323,T323:U323)=0),"",SUM(G323,I323,N323,P323,S323,V323))</f>
        <v/>
      </c>
      <c r="X323" s="18">
        <f>IF(W323="","",IF(Murid!F323="TL","TL",ROUND(W323/110*100,2)))</f>
        <v/>
      </c>
    </row>
    <row r="324">
      <c r="A324" s="15">
        <f>Murid!A324</f>
        <v/>
      </c>
      <c r="B324" s="15">
        <f>IF(Murid!B324="","",Murid!B324)</f>
        <v/>
      </c>
      <c r="C324" s="16">
        <f>IF(Murid!C324="","",Murid!C324)</f>
        <v/>
      </c>
      <c r="D324" s="15">
        <f>IF(Murid!E324="","",Murid!E324)</f>
        <v/>
      </c>
      <c r="E324" s="11" t="n"/>
      <c r="F324" s="11" t="n"/>
      <c r="G324" s="10">
        <f>IF(F324="","",IFERROR(VLOOKUP(F324,T_JSP,2,FALSE),0))</f>
        <v/>
      </c>
      <c r="H324" s="11" t="n"/>
      <c r="I324" s="17">
        <f>IF(H324="","",IF(H324&gt;=12,40,ROUND(H324*3.33,2)))</f>
        <v/>
      </c>
      <c r="J324" s="11" t="n"/>
      <c r="K324" s="11" t="n"/>
      <c r="L324" s="11" t="n"/>
      <c r="M324" s="11" t="n"/>
      <c r="N324" s="10">
        <f>IF(COUNTA(J324:M324)=0,"",MIN(10,SUMPRODUCT((COUNTIF(J324:M324,L_KOM)&gt;0)*S_KOM)))</f>
        <v/>
      </c>
      <c r="O324" s="11" t="n"/>
      <c r="P324" s="10">
        <f>IF(O324="","",IFERROR(VLOOKUP(O324,T_KHID,2,FALSE),0))</f>
        <v/>
      </c>
      <c r="Q324" s="11" t="n"/>
      <c r="R324" s="11" t="n"/>
      <c r="S324" s="10">
        <f>IF(AND(Q324="",R324=""),"",IFERROR(INDEX(T_LIBAT,MATCH(Q324,L_PER,0),MATCH(R324,L_JENIS,0)),0))</f>
        <v/>
      </c>
      <c r="T324" s="11" t="n"/>
      <c r="U324" s="11" t="n"/>
      <c r="V324" s="10">
        <f>IF(AND(T324="",U324=""),"",IFERROR(INDEX(T_CAPAI,MATCH(T324,L_PER,0),MATCH(U324,L_KED,0)),0))</f>
        <v/>
      </c>
      <c r="W324" s="17">
        <f>IF(OR(B324="",E324="",COUNTA(F324,H324,J324:M324,O324,Q324:R324,T324:U324)=0),"",SUM(G324,I324,N324,P324,S324,V324))</f>
        <v/>
      </c>
      <c r="X324" s="18">
        <f>IF(W324="","",IF(Murid!F324="TL","TL",ROUND(W324/110*100,2)))</f>
        <v/>
      </c>
    </row>
    <row r="325">
      <c r="A325" s="15">
        <f>Murid!A325</f>
        <v/>
      </c>
      <c r="B325" s="15">
        <f>IF(Murid!B325="","",Murid!B325)</f>
        <v/>
      </c>
      <c r="C325" s="16">
        <f>IF(Murid!C325="","",Murid!C325)</f>
        <v/>
      </c>
      <c r="D325" s="15">
        <f>IF(Murid!E325="","",Murid!E325)</f>
        <v/>
      </c>
      <c r="E325" s="11" t="n"/>
      <c r="F325" s="11" t="n"/>
      <c r="G325" s="10">
        <f>IF(F325="","",IFERROR(VLOOKUP(F325,T_JSP,2,FALSE),0))</f>
        <v/>
      </c>
      <c r="H325" s="11" t="n"/>
      <c r="I325" s="17">
        <f>IF(H325="","",IF(H325&gt;=12,40,ROUND(H325*3.33,2)))</f>
        <v/>
      </c>
      <c r="J325" s="11" t="n"/>
      <c r="K325" s="11" t="n"/>
      <c r="L325" s="11" t="n"/>
      <c r="M325" s="11" t="n"/>
      <c r="N325" s="10">
        <f>IF(COUNTA(J325:M325)=0,"",MIN(10,SUMPRODUCT((COUNTIF(J325:M325,L_KOM)&gt;0)*S_KOM)))</f>
        <v/>
      </c>
      <c r="O325" s="11" t="n"/>
      <c r="P325" s="10">
        <f>IF(O325="","",IFERROR(VLOOKUP(O325,T_KHID,2,FALSE),0))</f>
        <v/>
      </c>
      <c r="Q325" s="11" t="n"/>
      <c r="R325" s="11" t="n"/>
      <c r="S325" s="10">
        <f>IF(AND(Q325="",R325=""),"",IFERROR(INDEX(T_LIBAT,MATCH(Q325,L_PER,0),MATCH(R325,L_JENIS,0)),0))</f>
        <v/>
      </c>
      <c r="T325" s="11" t="n"/>
      <c r="U325" s="11" t="n"/>
      <c r="V325" s="10">
        <f>IF(AND(T325="",U325=""),"",IFERROR(INDEX(T_CAPAI,MATCH(T325,L_PER,0),MATCH(U325,L_KED,0)),0))</f>
        <v/>
      </c>
      <c r="W325" s="17">
        <f>IF(OR(B325="",E325="",COUNTA(F325,H325,J325:M325,O325,Q325:R325,T325:U325)=0),"",SUM(G325,I325,N325,P325,S325,V325))</f>
        <v/>
      </c>
      <c r="X325" s="18">
        <f>IF(W325="","",IF(Murid!F325="TL","TL",ROUND(W325/110*100,2)))</f>
        <v/>
      </c>
    </row>
    <row r="326">
      <c r="A326" s="15">
        <f>Murid!A326</f>
        <v/>
      </c>
      <c r="B326" s="15">
        <f>IF(Murid!B326="","",Murid!B326)</f>
        <v/>
      </c>
      <c r="C326" s="16">
        <f>IF(Murid!C326="","",Murid!C326)</f>
        <v/>
      </c>
      <c r="D326" s="15">
        <f>IF(Murid!E326="","",Murid!E326)</f>
        <v/>
      </c>
      <c r="E326" s="11" t="n"/>
      <c r="F326" s="11" t="n"/>
      <c r="G326" s="10">
        <f>IF(F326="","",IFERROR(VLOOKUP(F326,T_JSP,2,FALSE),0))</f>
        <v/>
      </c>
      <c r="H326" s="11" t="n"/>
      <c r="I326" s="17">
        <f>IF(H326="","",IF(H326&gt;=12,40,ROUND(H326*3.33,2)))</f>
        <v/>
      </c>
      <c r="J326" s="11" t="n"/>
      <c r="K326" s="11" t="n"/>
      <c r="L326" s="11" t="n"/>
      <c r="M326" s="11" t="n"/>
      <c r="N326" s="10">
        <f>IF(COUNTA(J326:M326)=0,"",MIN(10,SUMPRODUCT((COUNTIF(J326:M326,L_KOM)&gt;0)*S_KOM)))</f>
        <v/>
      </c>
      <c r="O326" s="11" t="n"/>
      <c r="P326" s="10">
        <f>IF(O326="","",IFERROR(VLOOKUP(O326,T_KHID,2,FALSE),0))</f>
        <v/>
      </c>
      <c r="Q326" s="11" t="n"/>
      <c r="R326" s="11" t="n"/>
      <c r="S326" s="10">
        <f>IF(AND(Q326="",R326=""),"",IFERROR(INDEX(T_LIBAT,MATCH(Q326,L_PER,0),MATCH(R326,L_JENIS,0)),0))</f>
        <v/>
      </c>
      <c r="T326" s="11" t="n"/>
      <c r="U326" s="11" t="n"/>
      <c r="V326" s="10">
        <f>IF(AND(T326="",U326=""),"",IFERROR(INDEX(T_CAPAI,MATCH(T326,L_PER,0),MATCH(U326,L_KED,0)),0))</f>
        <v/>
      </c>
      <c r="W326" s="17">
        <f>IF(OR(B326="",E326="",COUNTA(F326,H326,J326:M326,O326,Q326:R326,T326:U326)=0),"",SUM(G326,I326,N326,P326,S326,V326))</f>
        <v/>
      </c>
      <c r="X326" s="18">
        <f>IF(W326="","",IF(Murid!F326="TL","TL",ROUND(W326/110*100,2)))</f>
        <v/>
      </c>
    </row>
    <row r="327">
      <c r="A327" s="15">
        <f>Murid!A327</f>
        <v/>
      </c>
      <c r="B327" s="15">
        <f>IF(Murid!B327="","",Murid!B327)</f>
        <v/>
      </c>
      <c r="C327" s="16">
        <f>IF(Murid!C327="","",Murid!C327)</f>
        <v/>
      </c>
      <c r="D327" s="15">
        <f>IF(Murid!E327="","",Murid!E327)</f>
        <v/>
      </c>
      <c r="E327" s="11" t="n"/>
      <c r="F327" s="11" t="n"/>
      <c r="G327" s="10">
        <f>IF(F327="","",IFERROR(VLOOKUP(F327,T_JSP,2,FALSE),0))</f>
        <v/>
      </c>
      <c r="H327" s="11" t="n"/>
      <c r="I327" s="17">
        <f>IF(H327="","",IF(H327&gt;=12,40,ROUND(H327*3.33,2)))</f>
        <v/>
      </c>
      <c r="J327" s="11" t="n"/>
      <c r="K327" s="11" t="n"/>
      <c r="L327" s="11" t="n"/>
      <c r="M327" s="11" t="n"/>
      <c r="N327" s="10">
        <f>IF(COUNTA(J327:M327)=0,"",MIN(10,SUMPRODUCT((COUNTIF(J327:M327,L_KOM)&gt;0)*S_KOM)))</f>
        <v/>
      </c>
      <c r="O327" s="11" t="n"/>
      <c r="P327" s="10">
        <f>IF(O327="","",IFERROR(VLOOKUP(O327,T_KHID,2,FALSE),0))</f>
        <v/>
      </c>
      <c r="Q327" s="11" t="n"/>
      <c r="R327" s="11" t="n"/>
      <c r="S327" s="10">
        <f>IF(AND(Q327="",R327=""),"",IFERROR(INDEX(T_LIBAT,MATCH(Q327,L_PER,0),MATCH(R327,L_JENIS,0)),0))</f>
        <v/>
      </c>
      <c r="T327" s="11" t="n"/>
      <c r="U327" s="11" t="n"/>
      <c r="V327" s="10">
        <f>IF(AND(T327="",U327=""),"",IFERROR(INDEX(T_CAPAI,MATCH(T327,L_PER,0),MATCH(U327,L_KED,0)),0))</f>
        <v/>
      </c>
      <c r="W327" s="17">
        <f>IF(OR(B327="",E327="",COUNTA(F327,H327,J327:M327,O327,Q327:R327,T327:U327)=0),"",SUM(G327,I327,N327,P327,S327,V327))</f>
        <v/>
      </c>
      <c r="X327" s="18">
        <f>IF(W327="","",IF(Murid!F327="TL","TL",ROUND(W327/110*100,2)))</f>
        <v/>
      </c>
    </row>
    <row r="328">
      <c r="A328" s="15">
        <f>Murid!A328</f>
        <v/>
      </c>
      <c r="B328" s="15">
        <f>IF(Murid!B328="","",Murid!B328)</f>
        <v/>
      </c>
      <c r="C328" s="16">
        <f>IF(Murid!C328="","",Murid!C328)</f>
        <v/>
      </c>
      <c r="D328" s="15">
        <f>IF(Murid!E328="","",Murid!E328)</f>
        <v/>
      </c>
      <c r="E328" s="11" t="n"/>
      <c r="F328" s="11" t="n"/>
      <c r="G328" s="10">
        <f>IF(F328="","",IFERROR(VLOOKUP(F328,T_JSP,2,FALSE),0))</f>
        <v/>
      </c>
      <c r="H328" s="11" t="n"/>
      <c r="I328" s="17">
        <f>IF(H328="","",IF(H328&gt;=12,40,ROUND(H328*3.33,2)))</f>
        <v/>
      </c>
      <c r="J328" s="11" t="n"/>
      <c r="K328" s="11" t="n"/>
      <c r="L328" s="11" t="n"/>
      <c r="M328" s="11" t="n"/>
      <c r="N328" s="10">
        <f>IF(COUNTA(J328:M328)=0,"",MIN(10,SUMPRODUCT((COUNTIF(J328:M328,L_KOM)&gt;0)*S_KOM)))</f>
        <v/>
      </c>
      <c r="O328" s="11" t="n"/>
      <c r="P328" s="10">
        <f>IF(O328="","",IFERROR(VLOOKUP(O328,T_KHID,2,FALSE),0))</f>
        <v/>
      </c>
      <c r="Q328" s="11" t="n"/>
      <c r="R328" s="11" t="n"/>
      <c r="S328" s="10">
        <f>IF(AND(Q328="",R328=""),"",IFERROR(INDEX(T_LIBAT,MATCH(Q328,L_PER,0),MATCH(R328,L_JENIS,0)),0))</f>
        <v/>
      </c>
      <c r="T328" s="11" t="n"/>
      <c r="U328" s="11" t="n"/>
      <c r="V328" s="10">
        <f>IF(AND(T328="",U328=""),"",IFERROR(INDEX(T_CAPAI,MATCH(T328,L_PER,0),MATCH(U328,L_KED,0)),0))</f>
        <v/>
      </c>
      <c r="W328" s="17">
        <f>IF(OR(B328="",E328="",COUNTA(F328,H328,J328:M328,O328,Q328:R328,T328:U328)=0),"",SUM(G328,I328,N328,P328,S328,V328))</f>
        <v/>
      </c>
      <c r="X328" s="18">
        <f>IF(W328="","",IF(Murid!F328="TL","TL",ROUND(W328/110*100,2)))</f>
        <v/>
      </c>
    </row>
    <row r="329">
      <c r="A329" s="15">
        <f>Murid!A329</f>
        <v/>
      </c>
      <c r="B329" s="15">
        <f>IF(Murid!B329="","",Murid!B329)</f>
        <v/>
      </c>
      <c r="C329" s="16">
        <f>IF(Murid!C329="","",Murid!C329)</f>
        <v/>
      </c>
      <c r="D329" s="15">
        <f>IF(Murid!E329="","",Murid!E329)</f>
        <v/>
      </c>
      <c r="E329" s="11" t="n"/>
      <c r="F329" s="11" t="n"/>
      <c r="G329" s="10">
        <f>IF(F329="","",IFERROR(VLOOKUP(F329,T_JSP,2,FALSE),0))</f>
        <v/>
      </c>
      <c r="H329" s="11" t="n"/>
      <c r="I329" s="17">
        <f>IF(H329="","",IF(H329&gt;=12,40,ROUND(H329*3.33,2)))</f>
        <v/>
      </c>
      <c r="J329" s="11" t="n"/>
      <c r="K329" s="11" t="n"/>
      <c r="L329" s="11" t="n"/>
      <c r="M329" s="11" t="n"/>
      <c r="N329" s="10">
        <f>IF(COUNTA(J329:M329)=0,"",MIN(10,SUMPRODUCT((COUNTIF(J329:M329,L_KOM)&gt;0)*S_KOM)))</f>
        <v/>
      </c>
      <c r="O329" s="11" t="n"/>
      <c r="P329" s="10">
        <f>IF(O329="","",IFERROR(VLOOKUP(O329,T_KHID,2,FALSE),0))</f>
        <v/>
      </c>
      <c r="Q329" s="11" t="n"/>
      <c r="R329" s="11" t="n"/>
      <c r="S329" s="10">
        <f>IF(AND(Q329="",R329=""),"",IFERROR(INDEX(T_LIBAT,MATCH(Q329,L_PER,0),MATCH(R329,L_JENIS,0)),0))</f>
        <v/>
      </c>
      <c r="T329" s="11" t="n"/>
      <c r="U329" s="11" t="n"/>
      <c r="V329" s="10">
        <f>IF(AND(T329="",U329=""),"",IFERROR(INDEX(T_CAPAI,MATCH(T329,L_PER,0),MATCH(U329,L_KED,0)),0))</f>
        <v/>
      </c>
      <c r="W329" s="17">
        <f>IF(OR(B329="",E329="",COUNTA(F329,H329,J329:M329,O329,Q329:R329,T329:U329)=0),"",SUM(G329,I329,N329,P329,S329,V329))</f>
        <v/>
      </c>
      <c r="X329" s="18">
        <f>IF(W329="","",IF(Murid!F329="TL","TL",ROUND(W329/110*100,2)))</f>
        <v/>
      </c>
    </row>
    <row r="330">
      <c r="A330" s="15">
        <f>Murid!A330</f>
        <v/>
      </c>
      <c r="B330" s="15">
        <f>IF(Murid!B330="","",Murid!B330)</f>
        <v/>
      </c>
      <c r="C330" s="16">
        <f>IF(Murid!C330="","",Murid!C330)</f>
        <v/>
      </c>
      <c r="D330" s="15">
        <f>IF(Murid!E330="","",Murid!E330)</f>
        <v/>
      </c>
      <c r="E330" s="11" t="n"/>
      <c r="F330" s="11" t="n"/>
      <c r="G330" s="10">
        <f>IF(F330="","",IFERROR(VLOOKUP(F330,T_JSP,2,FALSE),0))</f>
        <v/>
      </c>
      <c r="H330" s="11" t="n"/>
      <c r="I330" s="17">
        <f>IF(H330="","",IF(H330&gt;=12,40,ROUND(H330*3.33,2)))</f>
        <v/>
      </c>
      <c r="J330" s="11" t="n"/>
      <c r="K330" s="11" t="n"/>
      <c r="L330" s="11" t="n"/>
      <c r="M330" s="11" t="n"/>
      <c r="N330" s="10">
        <f>IF(COUNTA(J330:M330)=0,"",MIN(10,SUMPRODUCT((COUNTIF(J330:M330,L_KOM)&gt;0)*S_KOM)))</f>
        <v/>
      </c>
      <c r="O330" s="11" t="n"/>
      <c r="P330" s="10">
        <f>IF(O330="","",IFERROR(VLOOKUP(O330,T_KHID,2,FALSE),0))</f>
        <v/>
      </c>
      <c r="Q330" s="11" t="n"/>
      <c r="R330" s="11" t="n"/>
      <c r="S330" s="10">
        <f>IF(AND(Q330="",R330=""),"",IFERROR(INDEX(T_LIBAT,MATCH(Q330,L_PER,0),MATCH(R330,L_JENIS,0)),0))</f>
        <v/>
      </c>
      <c r="T330" s="11" t="n"/>
      <c r="U330" s="11" t="n"/>
      <c r="V330" s="10">
        <f>IF(AND(T330="",U330=""),"",IFERROR(INDEX(T_CAPAI,MATCH(T330,L_PER,0),MATCH(U330,L_KED,0)),0))</f>
        <v/>
      </c>
      <c r="W330" s="17">
        <f>IF(OR(B330="",E330="",COUNTA(F330,H330,J330:M330,O330,Q330:R330,T330:U330)=0),"",SUM(G330,I330,N330,P330,S330,V330))</f>
        <v/>
      </c>
      <c r="X330" s="18">
        <f>IF(W330="","",IF(Murid!F330="TL","TL",ROUND(W330/110*100,2)))</f>
        <v/>
      </c>
    </row>
    <row r="331">
      <c r="A331" s="15">
        <f>Murid!A331</f>
        <v/>
      </c>
      <c r="B331" s="15">
        <f>IF(Murid!B331="","",Murid!B331)</f>
        <v/>
      </c>
      <c r="C331" s="16">
        <f>IF(Murid!C331="","",Murid!C331)</f>
        <v/>
      </c>
      <c r="D331" s="15">
        <f>IF(Murid!E331="","",Murid!E331)</f>
        <v/>
      </c>
      <c r="E331" s="11" t="n"/>
      <c r="F331" s="11" t="n"/>
      <c r="G331" s="10">
        <f>IF(F331="","",IFERROR(VLOOKUP(F331,T_JSP,2,FALSE),0))</f>
        <v/>
      </c>
      <c r="H331" s="11" t="n"/>
      <c r="I331" s="17">
        <f>IF(H331="","",IF(H331&gt;=12,40,ROUND(H331*3.33,2)))</f>
        <v/>
      </c>
      <c r="J331" s="11" t="n"/>
      <c r="K331" s="11" t="n"/>
      <c r="L331" s="11" t="n"/>
      <c r="M331" s="11" t="n"/>
      <c r="N331" s="10">
        <f>IF(COUNTA(J331:M331)=0,"",MIN(10,SUMPRODUCT((COUNTIF(J331:M331,L_KOM)&gt;0)*S_KOM)))</f>
        <v/>
      </c>
      <c r="O331" s="11" t="n"/>
      <c r="P331" s="10">
        <f>IF(O331="","",IFERROR(VLOOKUP(O331,T_KHID,2,FALSE),0))</f>
        <v/>
      </c>
      <c r="Q331" s="11" t="n"/>
      <c r="R331" s="11" t="n"/>
      <c r="S331" s="10">
        <f>IF(AND(Q331="",R331=""),"",IFERROR(INDEX(T_LIBAT,MATCH(Q331,L_PER,0),MATCH(R331,L_JENIS,0)),0))</f>
        <v/>
      </c>
      <c r="T331" s="11" t="n"/>
      <c r="U331" s="11" t="n"/>
      <c r="V331" s="10">
        <f>IF(AND(T331="",U331=""),"",IFERROR(INDEX(T_CAPAI,MATCH(T331,L_PER,0),MATCH(U331,L_KED,0)),0))</f>
        <v/>
      </c>
      <c r="W331" s="17">
        <f>IF(OR(B331="",E331="",COUNTA(F331,H331,J331:M331,O331,Q331:R331,T331:U331)=0),"",SUM(G331,I331,N331,P331,S331,V331))</f>
        <v/>
      </c>
      <c r="X331" s="18">
        <f>IF(W331="","",IF(Murid!F331="TL","TL",ROUND(W331/110*100,2)))</f>
        <v/>
      </c>
    </row>
    <row r="332">
      <c r="A332" s="15">
        <f>Murid!A332</f>
        <v/>
      </c>
      <c r="B332" s="15">
        <f>IF(Murid!B332="","",Murid!B332)</f>
        <v/>
      </c>
      <c r="C332" s="16">
        <f>IF(Murid!C332="","",Murid!C332)</f>
        <v/>
      </c>
      <c r="D332" s="15">
        <f>IF(Murid!E332="","",Murid!E332)</f>
        <v/>
      </c>
      <c r="E332" s="11" t="n"/>
      <c r="F332" s="11" t="n"/>
      <c r="G332" s="10">
        <f>IF(F332="","",IFERROR(VLOOKUP(F332,T_JSP,2,FALSE),0))</f>
        <v/>
      </c>
      <c r="H332" s="11" t="n"/>
      <c r="I332" s="17">
        <f>IF(H332="","",IF(H332&gt;=12,40,ROUND(H332*3.33,2)))</f>
        <v/>
      </c>
      <c r="J332" s="11" t="n"/>
      <c r="K332" s="11" t="n"/>
      <c r="L332" s="11" t="n"/>
      <c r="M332" s="11" t="n"/>
      <c r="N332" s="10">
        <f>IF(COUNTA(J332:M332)=0,"",MIN(10,SUMPRODUCT((COUNTIF(J332:M332,L_KOM)&gt;0)*S_KOM)))</f>
        <v/>
      </c>
      <c r="O332" s="11" t="n"/>
      <c r="P332" s="10">
        <f>IF(O332="","",IFERROR(VLOOKUP(O332,T_KHID,2,FALSE),0))</f>
        <v/>
      </c>
      <c r="Q332" s="11" t="n"/>
      <c r="R332" s="11" t="n"/>
      <c r="S332" s="10">
        <f>IF(AND(Q332="",R332=""),"",IFERROR(INDEX(T_LIBAT,MATCH(Q332,L_PER,0),MATCH(R332,L_JENIS,0)),0))</f>
        <v/>
      </c>
      <c r="T332" s="11" t="n"/>
      <c r="U332" s="11" t="n"/>
      <c r="V332" s="10">
        <f>IF(AND(T332="",U332=""),"",IFERROR(INDEX(T_CAPAI,MATCH(T332,L_PER,0),MATCH(U332,L_KED,0)),0))</f>
        <v/>
      </c>
      <c r="W332" s="17">
        <f>IF(OR(B332="",E332="",COUNTA(F332,H332,J332:M332,O332,Q332:R332,T332:U332)=0),"",SUM(G332,I332,N332,P332,S332,V332))</f>
        <v/>
      </c>
      <c r="X332" s="18">
        <f>IF(W332="","",IF(Murid!F332="TL","TL",ROUND(W332/110*100,2)))</f>
        <v/>
      </c>
    </row>
    <row r="333">
      <c r="A333" s="15">
        <f>Murid!A333</f>
        <v/>
      </c>
      <c r="B333" s="15">
        <f>IF(Murid!B333="","",Murid!B333)</f>
        <v/>
      </c>
      <c r="C333" s="16">
        <f>IF(Murid!C333="","",Murid!C333)</f>
        <v/>
      </c>
      <c r="D333" s="15">
        <f>IF(Murid!E333="","",Murid!E333)</f>
        <v/>
      </c>
      <c r="E333" s="11" t="n"/>
      <c r="F333" s="11" t="n"/>
      <c r="G333" s="10">
        <f>IF(F333="","",IFERROR(VLOOKUP(F333,T_JSP,2,FALSE),0))</f>
        <v/>
      </c>
      <c r="H333" s="11" t="n"/>
      <c r="I333" s="17">
        <f>IF(H333="","",IF(H333&gt;=12,40,ROUND(H333*3.33,2)))</f>
        <v/>
      </c>
      <c r="J333" s="11" t="n"/>
      <c r="K333" s="11" t="n"/>
      <c r="L333" s="11" t="n"/>
      <c r="M333" s="11" t="n"/>
      <c r="N333" s="10">
        <f>IF(COUNTA(J333:M333)=0,"",MIN(10,SUMPRODUCT((COUNTIF(J333:M333,L_KOM)&gt;0)*S_KOM)))</f>
        <v/>
      </c>
      <c r="O333" s="11" t="n"/>
      <c r="P333" s="10">
        <f>IF(O333="","",IFERROR(VLOOKUP(O333,T_KHID,2,FALSE),0))</f>
        <v/>
      </c>
      <c r="Q333" s="11" t="n"/>
      <c r="R333" s="11" t="n"/>
      <c r="S333" s="10">
        <f>IF(AND(Q333="",R333=""),"",IFERROR(INDEX(T_LIBAT,MATCH(Q333,L_PER,0),MATCH(R333,L_JENIS,0)),0))</f>
        <v/>
      </c>
      <c r="T333" s="11" t="n"/>
      <c r="U333" s="11" t="n"/>
      <c r="V333" s="10">
        <f>IF(AND(T333="",U333=""),"",IFERROR(INDEX(T_CAPAI,MATCH(T333,L_PER,0),MATCH(U333,L_KED,0)),0))</f>
        <v/>
      </c>
      <c r="W333" s="17">
        <f>IF(OR(B333="",E333="",COUNTA(F333,H333,J333:M333,O333,Q333:R333,T333:U333)=0),"",SUM(G333,I333,N333,P333,S333,V333))</f>
        <v/>
      </c>
      <c r="X333" s="18">
        <f>IF(W333="","",IF(Murid!F333="TL","TL",ROUND(W333/110*100,2)))</f>
        <v/>
      </c>
    </row>
    <row r="334">
      <c r="A334" s="15">
        <f>Murid!A334</f>
        <v/>
      </c>
      <c r="B334" s="15">
        <f>IF(Murid!B334="","",Murid!B334)</f>
        <v/>
      </c>
      <c r="C334" s="16">
        <f>IF(Murid!C334="","",Murid!C334)</f>
        <v/>
      </c>
      <c r="D334" s="15">
        <f>IF(Murid!E334="","",Murid!E334)</f>
        <v/>
      </c>
      <c r="E334" s="11" t="n"/>
      <c r="F334" s="11" t="n"/>
      <c r="G334" s="10">
        <f>IF(F334="","",IFERROR(VLOOKUP(F334,T_JSP,2,FALSE),0))</f>
        <v/>
      </c>
      <c r="H334" s="11" t="n"/>
      <c r="I334" s="17">
        <f>IF(H334="","",IF(H334&gt;=12,40,ROUND(H334*3.33,2)))</f>
        <v/>
      </c>
      <c r="J334" s="11" t="n"/>
      <c r="K334" s="11" t="n"/>
      <c r="L334" s="11" t="n"/>
      <c r="M334" s="11" t="n"/>
      <c r="N334" s="10">
        <f>IF(COUNTA(J334:M334)=0,"",MIN(10,SUMPRODUCT((COUNTIF(J334:M334,L_KOM)&gt;0)*S_KOM)))</f>
        <v/>
      </c>
      <c r="O334" s="11" t="n"/>
      <c r="P334" s="10">
        <f>IF(O334="","",IFERROR(VLOOKUP(O334,T_KHID,2,FALSE),0))</f>
        <v/>
      </c>
      <c r="Q334" s="11" t="n"/>
      <c r="R334" s="11" t="n"/>
      <c r="S334" s="10">
        <f>IF(AND(Q334="",R334=""),"",IFERROR(INDEX(T_LIBAT,MATCH(Q334,L_PER,0),MATCH(R334,L_JENIS,0)),0))</f>
        <v/>
      </c>
      <c r="T334" s="11" t="n"/>
      <c r="U334" s="11" t="n"/>
      <c r="V334" s="10">
        <f>IF(AND(T334="",U334=""),"",IFERROR(INDEX(T_CAPAI,MATCH(T334,L_PER,0),MATCH(U334,L_KED,0)),0))</f>
        <v/>
      </c>
      <c r="W334" s="17">
        <f>IF(OR(B334="",E334="",COUNTA(F334,H334,J334:M334,O334,Q334:R334,T334:U334)=0),"",SUM(G334,I334,N334,P334,S334,V334))</f>
        <v/>
      </c>
      <c r="X334" s="18">
        <f>IF(W334="","",IF(Murid!F334="TL","TL",ROUND(W334/110*100,2)))</f>
        <v/>
      </c>
    </row>
    <row r="335">
      <c r="A335" s="15">
        <f>Murid!A335</f>
        <v/>
      </c>
      <c r="B335" s="15">
        <f>IF(Murid!B335="","",Murid!B335)</f>
        <v/>
      </c>
      <c r="C335" s="16">
        <f>IF(Murid!C335="","",Murid!C335)</f>
        <v/>
      </c>
      <c r="D335" s="15">
        <f>IF(Murid!E335="","",Murid!E335)</f>
        <v/>
      </c>
      <c r="E335" s="11" t="n"/>
      <c r="F335" s="11" t="n"/>
      <c r="G335" s="10">
        <f>IF(F335="","",IFERROR(VLOOKUP(F335,T_JSP,2,FALSE),0))</f>
        <v/>
      </c>
      <c r="H335" s="11" t="n"/>
      <c r="I335" s="17">
        <f>IF(H335="","",IF(H335&gt;=12,40,ROUND(H335*3.33,2)))</f>
        <v/>
      </c>
      <c r="J335" s="11" t="n"/>
      <c r="K335" s="11" t="n"/>
      <c r="L335" s="11" t="n"/>
      <c r="M335" s="11" t="n"/>
      <c r="N335" s="10">
        <f>IF(COUNTA(J335:M335)=0,"",MIN(10,SUMPRODUCT((COUNTIF(J335:M335,L_KOM)&gt;0)*S_KOM)))</f>
        <v/>
      </c>
      <c r="O335" s="11" t="n"/>
      <c r="P335" s="10">
        <f>IF(O335="","",IFERROR(VLOOKUP(O335,T_KHID,2,FALSE),0))</f>
        <v/>
      </c>
      <c r="Q335" s="11" t="n"/>
      <c r="R335" s="11" t="n"/>
      <c r="S335" s="10">
        <f>IF(AND(Q335="",R335=""),"",IFERROR(INDEX(T_LIBAT,MATCH(Q335,L_PER,0),MATCH(R335,L_JENIS,0)),0))</f>
        <v/>
      </c>
      <c r="T335" s="11" t="n"/>
      <c r="U335" s="11" t="n"/>
      <c r="V335" s="10">
        <f>IF(AND(T335="",U335=""),"",IFERROR(INDEX(T_CAPAI,MATCH(T335,L_PER,0),MATCH(U335,L_KED,0)),0))</f>
        <v/>
      </c>
      <c r="W335" s="17">
        <f>IF(OR(B335="",E335="",COUNTA(F335,H335,J335:M335,O335,Q335:R335,T335:U335)=0),"",SUM(G335,I335,N335,P335,S335,V335))</f>
        <v/>
      </c>
      <c r="X335" s="18">
        <f>IF(W335="","",IF(Murid!F335="TL","TL",ROUND(W335/110*100,2)))</f>
        <v/>
      </c>
    </row>
    <row r="336">
      <c r="A336" s="15">
        <f>Murid!A336</f>
        <v/>
      </c>
      <c r="B336" s="15">
        <f>IF(Murid!B336="","",Murid!B336)</f>
        <v/>
      </c>
      <c r="C336" s="16">
        <f>IF(Murid!C336="","",Murid!C336)</f>
        <v/>
      </c>
      <c r="D336" s="15">
        <f>IF(Murid!E336="","",Murid!E336)</f>
        <v/>
      </c>
      <c r="E336" s="11" t="n"/>
      <c r="F336" s="11" t="n"/>
      <c r="G336" s="10">
        <f>IF(F336="","",IFERROR(VLOOKUP(F336,T_JSP,2,FALSE),0))</f>
        <v/>
      </c>
      <c r="H336" s="11" t="n"/>
      <c r="I336" s="17">
        <f>IF(H336="","",IF(H336&gt;=12,40,ROUND(H336*3.33,2)))</f>
        <v/>
      </c>
      <c r="J336" s="11" t="n"/>
      <c r="K336" s="11" t="n"/>
      <c r="L336" s="11" t="n"/>
      <c r="M336" s="11" t="n"/>
      <c r="N336" s="10">
        <f>IF(COUNTA(J336:M336)=0,"",MIN(10,SUMPRODUCT((COUNTIF(J336:M336,L_KOM)&gt;0)*S_KOM)))</f>
        <v/>
      </c>
      <c r="O336" s="11" t="n"/>
      <c r="P336" s="10">
        <f>IF(O336="","",IFERROR(VLOOKUP(O336,T_KHID,2,FALSE),0))</f>
        <v/>
      </c>
      <c r="Q336" s="11" t="n"/>
      <c r="R336" s="11" t="n"/>
      <c r="S336" s="10">
        <f>IF(AND(Q336="",R336=""),"",IFERROR(INDEX(T_LIBAT,MATCH(Q336,L_PER,0),MATCH(R336,L_JENIS,0)),0))</f>
        <v/>
      </c>
      <c r="T336" s="11" t="n"/>
      <c r="U336" s="11" t="n"/>
      <c r="V336" s="10">
        <f>IF(AND(T336="",U336=""),"",IFERROR(INDEX(T_CAPAI,MATCH(T336,L_PER,0),MATCH(U336,L_KED,0)),0))</f>
        <v/>
      </c>
      <c r="W336" s="17">
        <f>IF(OR(B336="",E336="",COUNTA(F336,H336,J336:M336,O336,Q336:R336,T336:U336)=0),"",SUM(G336,I336,N336,P336,S336,V336))</f>
        <v/>
      </c>
      <c r="X336" s="18">
        <f>IF(W336="","",IF(Murid!F336="TL","TL",ROUND(W336/110*100,2)))</f>
        <v/>
      </c>
    </row>
    <row r="337">
      <c r="A337" s="15">
        <f>Murid!A337</f>
        <v/>
      </c>
      <c r="B337" s="15">
        <f>IF(Murid!B337="","",Murid!B337)</f>
        <v/>
      </c>
      <c r="C337" s="16">
        <f>IF(Murid!C337="","",Murid!C337)</f>
        <v/>
      </c>
      <c r="D337" s="15">
        <f>IF(Murid!E337="","",Murid!E337)</f>
        <v/>
      </c>
      <c r="E337" s="11" t="n"/>
      <c r="F337" s="11" t="n"/>
      <c r="G337" s="10">
        <f>IF(F337="","",IFERROR(VLOOKUP(F337,T_JSP,2,FALSE),0))</f>
        <v/>
      </c>
      <c r="H337" s="11" t="n"/>
      <c r="I337" s="17">
        <f>IF(H337="","",IF(H337&gt;=12,40,ROUND(H337*3.33,2)))</f>
        <v/>
      </c>
      <c r="J337" s="11" t="n"/>
      <c r="K337" s="11" t="n"/>
      <c r="L337" s="11" t="n"/>
      <c r="M337" s="11" t="n"/>
      <c r="N337" s="10">
        <f>IF(COUNTA(J337:M337)=0,"",MIN(10,SUMPRODUCT((COUNTIF(J337:M337,L_KOM)&gt;0)*S_KOM)))</f>
        <v/>
      </c>
      <c r="O337" s="11" t="n"/>
      <c r="P337" s="10">
        <f>IF(O337="","",IFERROR(VLOOKUP(O337,T_KHID,2,FALSE),0))</f>
        <v/>
      </c>
      <c r="Q337" s="11" t="n"/>
      <c r="R337" s="11" t="n"/>
      <c r="S337" s="10">
        <f>IF(AND(Q337="",R337=""),"",IFERROR(INDEX(T_LIBAT,MATCH(Q337,L_PER,0),MATCH(R337,L_JENIS,0)),0))</f>
        <v/>
      </c>
      <c r="T337" s="11" t="n"/>
      <c r="U337" s="11" t="n"/>
      <c r="V337" s="10">
        <f>IF(AND(T337="",U337=""),"",IFERROR(INDEX(T_CAPAI,MATCH(T337,L_PER,0),MATCH(U337,L_KED,0)),0))</f>
        <v/>
      </c>
      <c r="W337" s="17">
        <f>IF(OR(B337="",E337="",COUNTA(F337,H337,J337:M337,O337,Q337:R337,T337:U337)=0),"",SUM(G337,I337,N337,P337,S337,V337))</f>
        <v/>
      </c>
      <c r="X337" s="18">
        <f>IF(W337="","",IF(Murid!F337="TL","TL",ROUND(W337/110*100,2)))</f>
        <v/>
      </c>
    </row>
    <row r="338">
      <c r="A338" s="15">
        <f>Murid!A338</f>
        <v/>
      </c>
      <c r="B338" s="15">
        <f>IF(Murid!B338="","",Murid!B338)</f>
        <v/>
      </c>
      <c r="C338" s="16">
        <f>IF(Murid!C338="","",Murid!C338)</f>
        <v/>
      </c>
      <c r="D338" s="15">
        <f>IF(Murid!E338="","",Murid!E338)</f>
        <v/>
      </c>
      <c r="E338" s="11" t="n"/>
      <c r="F338" s="11" t="n"/>
      <c r="G338" s="10">
        <f>IF(F338="","",IFERROR(VLOOKUP(F338,T_JSP,2,FALSE),0))</f>
        <v/>
      </c>
      <c r="H338" s="11" t="n"/>
      <c r="I338" s="17">
        <f>IF(H338="","",IF(H338&gt;=12,40,ROUND(H338*3.33,2)))</f>
        <v/>
      </c>
      <c r="J338" s="11" t="n"/>
      <c r="K338" s="11" t="n"/>
      <c r="L338" s="11" t="n"/>
      <c r="M338" s="11" t="n"/>
      <c r="N338" s="10">
        <f>IF(COUNTA(J338:M338)=0,"",MIN(10,SUMPRODUCT((COUNTIF(J338:M338,L_KOM)&gt;0)*S_KOM)))</f>
        <v/>
      </c>
      <c r="O338" s="11" t="n"/>
      <c r="P338" s="10">
        <f>IF(O338="","",IFERROR(VLOOKUP(O338,T_KHID,2,FALSE),0))</f>
        <v/>
      </c>
      <c r="Q338" s="11" t="n"/>
      <c r="R338" s="11" t="n"/>
      <c r="S338" s="10">
        <f>IF(AND(Q338="",R338=""),"",IFERROR(INDEX(T_LIBAT,MATCH(Q338,L_PER,0),MATCH(R338,L_JENIS,0)),0))</f>
        <v/>
      </c>
      <c r="T338" s="11" t="n"/>
      <c r="U338" s="11" t="n"/>
      <c r="V338" s="10">
        <f>IF(AND(T338="",U338=""),"",IFERROR(INDEX(T_CAPAI,MATCH(T338,L_PER,0),MATCH(U338,L_KED,0)),0))</f>
        <v/>
      </c>
      <c r="W338" s="17">
        <f>IF(OR(B338="",E338="",COUNTA(F338,H338,J338:M338,O338,Q338:R338,T338:U338)=0),"",SUM(G338,I338,N338,P338,S338,V338))</f>
        <v/>
      </c>
      <c r="X338" s="18">
        <f>IF(W338="","",IF(Murid!F338="TL","TL",ROUND(W338/110*100,2)))</f>
        <v/>
      </c>
    </row>
    <row r="339">
      <c r="A339" s="15">
        <f>Murid!A339</f>
        <v/>
      </c>
      <c r="B339" s="15">
        <f>IF(Murid!B339="","",Murid!B339)</f>
        <v/>
      </c>
      <c r="C339" s="16">
        <f>IF(Murid!C339="","",Murid!C339)</f>
        <v/>
      </c>
      <c r="D339" s="15">
        <f>IF(Murid!E339="","",Murid!E339)</f>
        <v/>
      </c>
      <c r="E339" s="11" t="n"/>
      <c r="F339" s="11" t="n"/>
      <c r="G339" s="10">
        <f>IF(F339="","",IFERROR(VLOOKUP(F339,T_JSP,2,FALSE),0))</f>
        <v/>
      </c>
      <c r="H339" s="11" t="n"/>
      <c r="I339" s="17">
        <f>IF(H339="","",IF(H339&gt;=12,40,ROUND(H339*3.33,2)))</f>
        <v/>
      </c>
      <c r="J339" s="11" t="n"/>
      <c r="K339" s="11" t="n"/>
      <c r="L339" s="11" t="n"/>
      <c r="M339" s="11" t="n"/>
      <c r="N339" s="10">
        <f>IF(COUNTA(J339:M339)=0,"",MIN(10,SUMPRODUCT((COUNTIF(J339:M339,L_KOM)&gt;0)*S_KOM)))</f>
        <v/>
      </c>
      <c r="O339" s="11" t="n"/>
      <c r="P339" s="10">
        <f>IF(O339="","",IFERROR(VLOOKUP(O339,T_KHID,2,FALSE),0))</f>
        <v/>
      </c>
      <c r="Q339" s="11" t="n"/>
      <c r="R339" s="11" t="n"/>
      <c r="S339" s="10">
        <f>IF(AND(Q339="",R339=""),"",IFERROR(INDEX(T_LIBAT,MATCH(Q339,L_PER,0),MATCH(R339,L_JENIS,0)),0))</f>
        <v/>
      </c>
      <c r="T339" s="11" t="n"/>
      <c r="U339" s="11" t="n"/>
      <c r="V339" s="10">
        <f>IF(AND(T339="",U339=""),"",IFERROR(INDEX(T_CAPAI,MATCH(T339,L_PER,0),MATCH(U339,L_KED,0)),0))</f>
        <v/>
      </c>
      <c r="W339" s="17">
        <f>IF(OR(B339="",E339="",COUNTA(F339,H339,J339:M339,O339,Q339:R339,T339:U339)=0),"",SUM(G339,I339,N339,P339,S339,V339))</f>
        <v/>
      </c>
      <c r="X339" s="18">
        <f>IF(W339="","",IF(Murid!F339="TL","TL",ROUND(W339/110*100,2)))</f>
        <v/>
      </c>
    </row>
    <row r="340">
      <c r="A340" s="15">
        <f>Murid!A340</f>
        <v/>
      </c>
      <c r="B340" s="15">
        <f>IF(Murid!B340="","",Murid!B340)</f>
        <v/>
      </c>
      <c r="C340" s="16">
        <f>IF(Murid!C340="","",Murid!C340)</f>
        <v/>
      </c>
      <c r="D340" s="15">
        <f>IF(Murid!E340="","",Murid!E340)</f>
        <v/>
      </c>
      <c r="E340" s="11" t="n"/>
      <c r="F340" s="11" t="n"/>
      <c r="G340" s="10">
        <f>IF(F340="","",IFERROR(VLOOKUP(F340,T_JSP,2,FALSE),0))</f>
        <v/>
      </c>
      <c r="H340" s="11" t="n"/>
      <c r="I340" s="17">
        <f>IF(H340="","",IF(H340&gt;=12,40,ROUND(H340*3.33,2)))</f>
        <v/>
      </c>
      <c r="J340" s="11" t="n"/>
      <c r="K340" s="11" t="n"/>
      <c r="L340" s="11" t="n"/>
      <c r="M340" s="11" t="n"/>
      <c r="N340" s="10">
        <f>IF(COUNTA(J340:M340)=0,"",MIN(10,SUMPRODUCT((COUNTIF(J340:M340,L_KOM)&gt;0)*S_KOM)))</f>
        <v/>
      </c>
      <c r="O340" s="11" t="n"/>
      <c r="P340" s="10">
        <f>IF(O340="","",IFERROR(VLOOKUP(O340,T_KHID,2,FALSE),0))</f>
        <v/>
      </c>
      <c r="Q340" s="11" t="n"/>
      <c r="R340" s="11" t="n"/>
      <c r="S340" s="10">
        <f>IF(AND(Q340="",R340=""),"",IFERROR(INDEX(T_LIBAT,MATCH(Q340,L_PER,0),MATCH(R340,L_JENIS,0)),0))</f>
        <v/>
      </c>
      <c r="T340" s="11" t="n"/>
      <c r="U340" s="11" t="n"/>
      <c r="V340" s="10">
        <f>IF(AND(T340="",U340=""),"",IFERROR(INDEX(T_CAPAI,MATCH(T340,L_PER,0),MATCH(U340,L_KED,0)),0))</f>
        <v/>
      </c>
      <c r="W340" s="17">
        <f>IF(OR(B340="",E340="",COUNTA(F340,H340,J340:M340,O340,Q340:R340,T340:U340)=0),"",SUM(G340,I340,N340,P340,S340,V340))</f>
        <v/>
      </c>
      <c r="X340" s="18">
        <f>IF(W340="","",IF(Murid!F340="TL","TL",ROUND(W340/110*100,2)))</f>
        <v/>
      </c>
    </row>
    <row r="341">
      <c r="A341" s="15">
        <f>Murid!A341</f>
        <v/>
      </c>
      <c r="B341" s="15">
        <f>IF(Murid!B341="","",Murid!B341)</f>
        <v/>
      </c>
      <c r="C341" s="16">
        <f>IF(Murid!C341="","",Murid!C341)</f>
        <v/>
      </c>
      <c r="D341" s="15">
        <f>IF(Murid!E341="","",Murid!E341)</f>
        <v/>
      </c>
      <c r="E341" s="11" t="n"/>
      <c r="F341" s="11" t="n"/>
      <c r="G341" s="10">
        <f>IF(F341="","",IFERROR(VLOOKUP(F341,T_JSP,2,FALSE),0))</f>
        <v/>
      </c>
      <c r="H341" s="11" t="n"/>
      <c r="I341" s="17">
        <f>IF(H341="","",IF(H341&gt;=12,40,ROUND(H341*3.33,2)))</f>
        <v/>
      </c>
      <c r="J341" s="11" t="n"/>
      <c r="K341" s="11" t="n"/>
      <c r="L341" s="11" t="n"/>
      <c r="M341" s="11" t="n"/>
      <c r="N341" s="10">
        <f>IF(COUNTA(J341:M341)=0,"",MIN(10,SUMPRODUCT((COUNTIF(J341:M341,L_KOM)&gt;0)*S_KOM)))</f>
        <v/>
      </c>
      <c r="O341" s="11" t="n"/>
      <c r="P341" s="10">
        <f>IF(O341="","",IFERROR(VLOOKUP(O341,T_KHID,2,FALSE),0))</f>
        <v/>
      </c>
      <c r="Q341" s="11" t="n"/>
      <c r="R341" s="11" t="n"/>
      <c r="S341" s="10">
        <f>IF(AND(Q341="",R341=""),"",IFERROR(INDEX(T_LIBAT,MATCH(Q341,L_PER,0),MATCH(R341,L_JENIS,0)),0))</f>
        <v/>
      </c>
      <c r="T341" s="11" t="n"/>
      <c r="U341" s="11" t="n"/>
      <c r="V341" s="10">
        <f>IF(AND(T341="",U341=""),"",IFERROR(INDEX(T_CAPAI,MATCH(T341,L_PER,0),MATCH(U341,L_KED,0)),0))</f>
        <v/>
      </c>
      <c r="W341" s="17">
        <f>IF(OR(B341="",E341="",COUNTA(F341,H341,J341:M341,O341,Q341:R341,T341:U341)=0),"",SUM(G341,I341,N341,P341,S341,V341))</f>
        <v/>
      </c>
      <c r="X341" s="18">
        <f>IF(W341="","",IF(Murid!F341="TL","TL",ROUND(W341/110*100,2)))</f>
        <v/>
      </c>
    </row>
    <row r="342">
      <c r="A342" s="15">
        <f>Murid!A342</f>
        <v/>
      </c>
      <c r="B342" s="15">
        <f>IF(Murid!B342="","",Murid!B342)</f>
        <v/>
      </c>
      <c r="C342" s="16">
        <f>IF(Murid!C342="","",Murid!C342)</f>
        <v/>
      </c>
      <c r="D342" s="15">
        <f>IF(Murid!E342="","",Murid!E342)</f>
        <v/>
      </c>
      <c r="E342" s="11" t="n"/>
      <c r="F342" s="11" t="n"/>
      <c r="G342" s="10">
        <f>IF(F342="","",IFERROR(VLOOKUP(F342,T_JSP,2,FALSE),0))</f>
        <v/>
      </c>
      <c r="H342" s="11" t="n"/>
      <c r="I342" s="17">
        <f>IF(H342="","",IF(H342&gt;=12,40,ROUND(H342*3.33,2)))</f>
        <v/>
      </c>
      <c r="J342" s="11" t="n"/>
      <c r="K342" s="11" t="n"/>
      <c r="L342" s="11" t="n"/>
      <c r="M342" s="11" t="n"/>
      <c r="N342" s="10">
        <f>IF(COUNTA(J342:M342)=0,"",MIN(10,SUMPRODUCT((COUNTIF(J342:M342,L_KOM)&gt;0)*S_KOM)))</f>
        <v/>
      </c>
      <c r="O342" s="11" t="n"/>
      <c r="P342" s="10">
        <f>IF(O342="","",IFERROR(VLOOKUP(O342,T_KHID,2,FALSE),0))</f>
        <v/>
      </c>
      <c r="Q342" s="11" t="n"/>
      <c r="R342" s="11" t="n"/>
      <c r="S342" s="10">
        <f>IF(AND(Q342="",R342=""),"",IFERROR(INDEX(T_LIBAT,MATCH(Q342,L_PER,0),MATCH(R342,L_JENIS,0)),0))</f>
        <v/>
      </c>
      <c r="T342" s="11" t="n"/>
      <c r="U342" s="11" t="n"/>
      <c r="V342" s="10">
        <f>IF(AND(T342="",U342=""),"",IFERROR(INDEX(T_CAPAI,MATCH(T342,L_PER,0),MATCH(U342,L_KED,0)),0))</f>
        <v/>
      </c>
      <c r="W342" s="17">
        <f>IF(OR(B342="",E342="",COUNTA(F342,H342,J342:M342,O342,Q342:R342,T342:U342)=0),"",SUM(G342,I342,N342,P342,S342,V342))</f>
        <v/>
      </c>
      <c r="X342" s="18">
        <f>IF(W342="","",IF(Murid!F342="TL","TL",ROUND(W342/110*100,2)))</f>
        <v/>
      </c>
    </row>
    <row r="343">
      <c r="A343" s="15">
        <f>Murid!A343</f>
        <v/>
      </c>
      <c r="B343" s="15">
        <f>IF(Murid!B343="","",Murid!B343)</f>
        <v/>
      </c>
      <c r="C343" s="16">
        <f>IF(Murid!C343="","",Murid!C343)</f>
        <v/>
      </c>
      <c r="D343" s="15">
        <f>IF(Murid!E343="","",Murid!E343)</f>
        <v/>
      </c>
      <c r="E343" s="11" t="n"/>
      <c r="F343" s="11" t="n"/>
      <c r="G343" s="10">
        <f>IF(F343="","",IFERROR(VLOOKUP(F343,T_JSP,2,FALSE),0))</f>
        <v/>
      </c>
      <c r="H343" s="11" t="n"/>
      <c r="I343" s="17">
        <f>IF(H343="","",IF(H343&gt;=12,40,ROUND(H343*3.33,2)))</f>
        <v/>
      </c>
      <c r="J343" s="11" t="n"/>
      <c r="K343" s="11" t="n"/>
      <c r="L343" s="11" t="n"/>
      <c r="M343" s="11" t="n"/>
      <c r="N343" s="10">
        <f>IF(COUNTA(J343:M343)=0,"",MIN(10,SUMPRODUCT((COUNTIF(J343:M343,L_KOM)&gt;0)*S_KOM)))</f>
        <v/>
      </c>
      <c r="O343" s="11" t="n"/>
      <c r="P343" s="10">
        <f>IF(O343="","",IFERROR(VLOOKUP(O343,T_KHID,2,FALSE),0))</f>
        <v/>
      </c>
      <c r="Q343" s="11" t="n"/>
      <c r="R343" s="11" t="n"/>
      <c r="S343" s="10">
        <f>IF(AND(Q343="",R343=""),"",IFERROR(INDEX(T_LIBAT,MATCH(Q343,L_PER,0),MATCH(R343,L_JENIS,0)),0))</f>
        <v/>
      </c>
      <c r="T343" s="11" t="n"/>
      <c r="U343" s="11" t="n"/>
      <c r="V343" s="10">
        <f>IF(AND(T343="",U343=""),"",IFERROR(INDEX(T_CAPAI,MATCH(T343,L_PER,0),MATCH(U343,L_KED,0)),0))</f>
        <v/>
      </c>
      <c r="W343" s="17">
        <f>IF(OR(B343="",E343="",COUNTA(F343,H343,J343:M343,O343,Q343:R343,T343:U343)=0),"",SUM(G343,I343,N343,P343,S343,V343))</f>
        <v/>
      </c>
      <c r="X343" s="18">
        <f>IF(W343="","",IF(Murid!F343="TL","TL",ROUND(W343/110*100,2)))</f>
        <v/>
      </c>
    </row>
    <row r="344">
      <c r="A344" s="15">
        <f>Murid!A344</f>
        <v/>
      </c>
      <c r="B344" s="15">
        <f>IF(Murid!B344="","",Murid!B344)</f>
        <v/>
      </c>
      <c r="C344" s="16">
        <f>IF(Murid!C344="","",Murid!C344)</f>
        <v/>
      </c>
      <c r="D344" s="15">
        <f>IF(Murid!E344="","",Murid!E344)</f>
        <v/>
      </c>
      <c r="E344" s="11" t="n"/>
      <c r="F344" s="11" t="n"/>
      <c r="G344" s="10">
        <f>IF(F344="","",IFERROR(VLOOKUP(F344,T_JSP,2,FALSE),0))</f>
        <v/>
      </c>
      <c r="H344" s="11" t="n"/>
      <c r="I344" s="17">
        <f>IF(H344="","",IF(H344&gt;=12,40,ROUND(H344*3.33,2)))</f>
        <v/>
      </c>
      <c r="J344" s="11" t="n"/>
      <c r="K344" s="11" t="n"/>
      <c r="L344" s="11" t="n"/>
      <c r="M344" s="11" t="n"/>
      <c r="N344" s="10">
        <f>IF(COUNTA(J344:M344)=0,"",MIN(10,SUMPRODUCT((COUNTIF(J344:M344,L_KOM)&gt;0)*S_KOM)))</f>
        <v/>
      </c>
      <c r="O344" s="11" t="n"/>
      <c r="P344" s="10">
        <f>IF(O344="","",IFERROR(VLOOKUP(O344,T_KHID,2,FALSE),0))</f>
        <v/>
      </c>
      <c r="Q344" s="11" t="n"/>
      <c r="R344" s="11" t="n"/>
      <c r="S344" s="10">
        <f>IF(AND(Q344="",R344=""),"",IFERROR(INDEX(T_LIBAT,MATCH(Q344,L_PER,0),MATCH(R344,L_JENIS,0)),0))</f>
        <v/>
      </c>
      <c r="T344" s="11" t="n"/>
      <c r="U344" s="11" t="n"/>
      <c r="V344" s="10">
        <f>IF(AND(T344="",U344=""),"",IFERROR(INDEX(T_CAPAI,MATCH(T344,L_PER,0),MATCH(U344,L_KED,0)),0))</f>
        <v/>
      </c>
      <c r="W344" s="17">
        <f>IF(OR(B344="",E344="",COUNTA(F344,H344,J344:M344,O344,Q344:R344,T344:U344)=0),"",SUM(G344,I344,N344,P344,S344,V344))</f>
        <v/>
      </c>
      <c r="X344" s="18">
        <f>IF(W344="","",IF(Murid!F344="TL","TL",ROUND(W344/110*100,2)))</f>
        <v/>
      </c>
    </row>
    <row r="345">
      <c r="A345" s="15">
        <f>Murid!A345</f>
        <v/>
      </c>
      <c r="B345" s="15">
        <f>IF(Murid!B345="","",Murid!B345)</f>
        <v/>
      </c>
      <c r="C345" s="16">
        <f>IF(Murid!C345="","",Murid!C345)</f>
        <v/>
      </c>
      <c r="D345" s="15">
        <f>IF(Murid!E345="","",Murid!E345)</f>
        <v/>
      </c>
      <c r="E345" s="11" t="n"/>
      <c r="F345" s="11" t="n"/>
      <c r="G345" s="10">
        <f>IF(F345="","",IFERROR(VLOOKUP(F345,T_JSP,2,FALSE),0))</f>
        <v/>
      </c>
      <c r="H345" s="11" t="n"/>
      <c r="I345" s="17">
        <f>IF(H345="","",IF(H345&gt;=12,40,ROUND(H345*3.33,2)))</f>
        <v/>
      </c>
      <c r="J345" s="11" t="n"/>
      <c r="K345" s="11" t="n"/>
      <c r="L345" s="11" t="n"/>
      <c r="M345" s="11" t="n"/>
      <c r="N345" s="10">
        <f>IF(COUNTA(J345:M345)=0,"",MIN(10,SUMPRODUCT((COUNTIF(J345:M345,L_KOM)&gt;0)*S_KOM)))</f>
        <v/>
      </c>
      <c r="O345" s="11" t="n"/>
      <c r="P345" s="10">
        <f>IF(O345="","",IFERROR(VLOOKUP(O345,T_KHID,2,FALSE),0))</f>
        <v/>
      </c>
      <c r="Q345" s="11" t="n"/>
      <c r="R345" s="11" t="n"/>
      <c r="S345" s="10">
        <f>IF(AND(Q345="",R345=""),"",IFERROR(INDEX(T_LIBAT,MATCH(Q345,L_PER,0),MATCH(R345,L_JENIS,0)),0))</f>
        <v/>
      </c>
      <c r="T345" s="11" t="n"/>
      <c r="U345" s="11" t="n"/>
      <c r="V345" s="10">
        <f>IF(AND(T345="",U345=""),"",IFERROR(INDEX(T_CAPAI,MATCH(T345,L_PER,0),MATCH(U345,L_KED,0)),0))</f>
        <v/>
      </c>
      <c r="W345" s="17">
        <f>IF(OR(B345="",E345="",COUNTA(F345,H345,J345:M345,O345,Q345:R345,T345:U345)=0),"",SUM(G345,I345,N345,P345,S345,V345))</f>
        <v/>
      </c>
      <c r="X345" s="18">
        <f>IF(W345="","",IF(Murid!F345="TL","TL",ROUND(W345/110*100,2)))</f>
        <v/>
      </c>
    </row>
    <row r="346">
      <c r="A346" s="15">
        <f>Murid!A346</f>
        <v/>
      </c>
      <c r="B346" s="15">
        <f>IF(Murid!B346="","",Murid!B346)</f>
        <v/>
      </c>
      <c r="C346" s="16">
        <f>IF(Murid!C346="","",Murid!C346)</f>
        <v/>
      </c>
      <c r="D346" s="15">
        <f>IF(Murid!E346="","",Murid!E346)</f>
        <v/>
      </c>
      <c r="E346" s="11" t="n"/>
      <c r="F346" s="11" t="n"/>
      <c r="G346" s="10">
        <f>IF(F346="","",IFERROR(VLOOKUP(F346,T_JSP,2,FALSE),0))</f>
        <v/>
      </c>
      <c r="H346" s="11" t="n"/>
      <c r="I346" s="17">
        <f>IF(H346="","",IF(H346&gt;=12,40,ROUND(H346*3.33,2)))</f>
        <v/>
      </c>
      <c r="J346" s="11" t="n"/>
      <c r="K346" s="11" t="n"/>
      <c r="L346" s="11" t="n"/>
      <c r="M346" s="11" t="n"/>
      <c r="N346" s="10">
        <f>IF(COUNTA(J346:M346)=0,"",MIN(10,SUMPRODUCT((COUNTIF(J346:M346,L_KOM)&gt;0)*S_KOM)))</f>
        <v/>
      </c>
      <c r="O346" s="11" t="n"/>
      <c r="P346" s="10">
        <f>IF(O346="","",IFERROR(VLOOKUP(O346,T_KHID,2,FALSE),0))</f>
        <v/>
      </c>
      <c r="Q346" s="11" t="n"/>
      <c r="R346" s="11" t="n"/>
      <c r="S346" s="10">
        <f>IF(AND(Q346="",R346=""),"",IFERROR(INDEX(T_LIBAT,MATCH(Q346,L_PER,0),MATCH(R346,L_JENIS,0)),0))</f>
        <v/>
      </c>
      <c r="T346" s="11" t="n"/>
      <c r="U346" s="11" t="n"/>
      <c r="V346" s="10">
        <f>IF(AND(T346="",U346=""),"",IFERROR(INDEX(T_CAPAI,MATCH(T346,L_PER,0),MATCH(U346,L_KED,0)),0))</f>
        <v/>
      </c>
      <c r="W346" s="17">
        <f>IF(OR(B346="",E346="",COUNTA(F346,H346,J346:M346,O346,Q346:R346,T346:U346)=0),"",SUM(G346,I346,N346,P346,S346,V346))</f>
        <v/>
      </c>
      <c r="X346" s="18">
        <f>IF(W346="","",IF(Murid!F346="TL","TL",ROUND(W346/110*100,2)))</f>
        <v/>
      </c>
    </row>
    <row r="347">
      <c r="A347" s="15">
        <f>Murid!A347</f>
        <v/>
      </c>
      <c r="B347" s="15">
        <f>IF(Murid!B347="","",Murid!B347)</f>
        <v/>
      </c>
      <c r="C347" s="16">
        <f>IF(Murid!C347="","",Murid!C347)</f>
        <v/>
      </c>
      <c r="D347" s="15">
        <f>IF(Murid!E347="","",Murid!E347)</f>
        <v/>
      </c>
      <c r="E347" s="11" t="n"/>
      <c r="F347" s="11" t="n"/>
      <c r="G347" s="10">
        <f>IF(F347="","",IFERROR(VLOOKUP(F347,T_JSP,2,FALSE),0))</f>
        <v/>
      </c>
      <c r="H347" s="11" t="n"/>
      <c r="I347" s="17">
        <f>IF(H347="","",IF(H347&gt;=12,40,ROUND(H347*3.33,2)))</f>
        <v/>
      </c>
      <c r="J347" s="11" t="n"/>
      <c r="K347" s="11" t="n"/>
      <c r="L347" s="11" t="n"/>
      <c r="M347" s="11" t="n"/>
      <c r="N347" s="10">
        <f>IF(COUNTA(J347:M347)=0,"",MIN(10,SUMPRODUCT((COUNTIF(J347:M347,L_KOM)&gt;0)*S_KOM)))</f>
        <v/>
      </c>
      <c r="O347" s="11" t="n"/>
      <c r="P347" s="10">
        <f>IF(O347="","",IFERROR(VLOOKUP(O347,T_KHID,2,FALSE),0))</f>
        <v/>
      </c>
      <c r="Q347" s="11" t="n"/>
      <c r="R347" s="11" t="n"/>
      <c r="S347" s="10">
        <f>IF(AND(Q347="",R347=""),"",IFERROR(INDEX(T_LIBAT,MATCH(Q347,L_PER,0),MATCH(R347,L_JENIS,0)),0))</f>
        <v/>
      </c>
      <c r="T347" s="11" t="n"/>
      <c r="U347" s="11" t="n"/>
      <c r="V347" s="10">
        <f>IF(AND(T347="",U347=""),"",IFERROR(INDEX(T_CAPAI,MATCH(T347,L_PER,0),MATCH(U347,L_KED,0)),0))</f>
        <v/>
      </c>
      <c r="W347" s="17">
        <f>IF(OR(B347="",E347="",COUNTA(F347,H347,J347:M347,O347,Q347:R347,T347:U347)=0),"",SUM(G347,I347,N347,P347,S347,V347))</f>
        <v/>
      </c>
      <c r="X347" s="18">
        <f>IF(W347="","",IF(Murid!F347="TL","TL",ROUND(W347/110*100,2)))</f>
        <v/>
      </c>
    </row>
    <row r="348">
      <c r="A348" s="15">
        <f>Murid!A348</f>
        <v/>
      </c>
      <c r="B348" s="15">
        <f>IF(Murid!B348="","",Murid!B348)</f>
        <v/>
      </c>
      <c r="C348" s="16">
        <f>IF(Murid!C348="","",Murid!C348)</f>
        <v/>
      </c>
      <c r="D348" s="15">
        <f>IF(Murid!E348="","",Murid!E348)</f>
        <v/>
      </c>
      <c r="E348" s="11" t="n"/>
      <c r="F348" s="11" t="n"/>
      <c r="G348" s="10">
        <f>IF(F348="","",IFERROR(VLOOKUP(F348,T_JSP,2,FALSE),0))</f>
        <v/>
      </c>
      <c r="H348" s="11" t="n"/>
      <c r="I348" s="17">
        <f>IF(H348="","",IF(H348&gt;=12,40,ROUND(H348*3.33,2)))</f>
        <v/>
      </c>
      <c r="J348" s="11" t="n"/>
      <c r="K348" s="11" t="n"/>
      <c r="L348" s="11" t="n"/>
      <c r="M348" s="11" t="n"/>
      <c r="N348" s="10">
        <f>IF(COUNTA(J348:M348)=0,"",MIN(10,SUMPRODUCT((COUNTIF(J348:M348,L_KOM)&gt;0)*S_KOM)))</f>
        <v/>
      </c>
      <c r="O348" s="11" t="n"/>
      <c r="P348" s="10">
        <f>IF(O348="","",IFERROR(VLOOKUP(O348,T_KHID,2,FALSE),0))</f>
        <v/>
      </c>
      <c r="Q348" s="11" t="n"/>
      <c r="R348" s="11" t="n"/>
      <c r="S348" s="10">
        <f>IF(AND(Q348="",R348=""),"",IFERROR(INDEX(T_LIBAT,MATCH(Q348,L_PER,0),MATCH(R348,L_JENIS,0)),0))</f>
        <v/>
      </c>
      <c r="T348" s="11" t="n"/>
      <c r="U348" s="11" t="n"/>
      <c r="V348" s="10">
        <f>IF(AND(T348="",U348=""),"",IFERROR(INDEX(T_CAPAI,MATCH(T348,L_PER,0),MATCH(U348,L_KED,0)),0))</f>
        <v/>
      </c>
      <c r="W348" s="17">
        <f>IF(OR(B348="",E348="",COUNTA(F348,H348,J348:M348,O348,Q348:R348,T348:U348)=0),"",SUM(G348,I348,N348,P348,S348,V348))</f>
        <v/>
      </c>
      <c r="X348" s="18">
        <f>IF(W348="","",IF(Murid!F348="TL","TL",ROUND(W348/110*100,2)))</f>
        <v/>
      </c>
    </row>
    <row r="349">
      <c r="A349" s="15">
        <f>Murid!A349</f>
        <v/>
      </c>
      <c r="B349" s="15">
        <f>IF(Murid!B349="","",Murid!B349)</f>
        <v/>
      </c>
      <c r="C349" s="16">
        <f>IF(Murid!C349="","",Murid!C349)</f>
        <v/>
      </c>
      <c r="D349" s="15">
        <f>IF(Murid!E349="","",Murid!E349)</f>
        <v/>
      </c>
      <c r="E349" s="11" t="n"/>
      <c r="F349" s="11" t="n"/>
      <c r="G349" s="10">
        <f>IF(F349="","",IFERROR(VLOOKUP(F349,T_JSP,2,FALSE),0))</f>
        <v/>
      </c>
      <c r="H349" s="11" t="n"/>
      <c r="I349" s="17">
        <f>IF(H349="","",IF(H349&gt;=12,40,ROUND(H349*3.33,2)))</f>
        <v/>
      </c>
      <c r="J349" s="11" t="n"/>
      <c r="K349" s="11" t="n"/>
      <c r="L349" s="11" t="n"/>
      <c r="M349" s="11" t="n"/>
      <c r="N349" s="10">
        <f>IF(COUNTA(J349:M349)=0,"",MIN(10,SUMPRODUCT((COUNTIF(J349:M349,L_KOM)&gt;0)*S_KOM)))</f>
        <v/>
      </c>
      <c r="O349" s="11" t="n"/>
      <c r="P349" s="10">
        <f>IF(O349="","",IFERROR(VLOOKUP(O349,T_KHID,2,FALSE),0))</f>
        <v/>
      </c>
      <c r="Q349" s="11" t="n"/>
      <c r="R349" s="11" t="n"/>
      <c r="S349" s="10">
        <f>IF(AND(Q349="",R349=""),"",IFERROR(INDEX(T_LIBAT,MATCH(Q349,L_PER,0),MATCH(R349,L_JENIS,0)),0))</f>
        <v/>
      </c>
      <c r="T349" s="11" t="n"/>
      <c r="U349" s="11" t="n"/>
      <c r="V349" s="10">
        <f>IF(AND(T349="",U349=""),"",IFERROR(INDEX(T_CAPAI,MATCH(T349,L_PER,0),MATCH(U349,L_KED,0)),0))</f>
        <v/>
      </c>
      <c r="W349" s="17">
        <f>IF(OR(B349="",E349="",COUNTA(F349,H349,J349:M349,O349,Q349:R349,T349:U349)=0),"",SUM(G349,I349,N349,P349,S349,V349))</f>
        <v/>
      </c>
      <c r="X349" s="18">
        <f>IF(W349="","",IF(Murid!F349="TL","TL",ROUND(W349/110*100,2)))</f>
        <v/>
      </c>
    </row>
    <row r="350">
      <c r="A350" s="15">
        <f>Murid!A350</f>
        <v/>
      </c>
      <c r="B350" s="15">
        <f>IF(Murid!B350="","",Murid!B350)</f>
        <v/>
      </c>
      <c r="C350" s="16">
        <f>IF(Murid!C350="","",Murid!C350)</f>
        <v/>
      </c>
      <c r="D350" s="15">
        <f>IF(Murid!E350="","",Murid!E350)</f>
        <v/>
      </c>
      <c r="E350" s="11" t="n"/>
      <c r="F350" s="11" t="n"/>
      <c r="G350" s="10">
        <f>IF(F350="","",IFERROR(VLOOKUP(F350,T_JSP,2,FALSE),0))</f>
        <v/>
      </c>
      <c r="H350" s="11" t="n"/>
      <c r="I350" s="17">
        <f>IF(H350="","",IF(H350&gt;=12,40,ROUND(H350*3.33,2)))</f>
        <v/>
      </c>
      <c r="J350" s="11" t="n"/>
      <c r="K350" s="11" t="n"/>
      <c r="L350" s="11" t="n"/>
      <c r="M350" s="11" t="n"/>
      <c r="N350" s="10">
        <f>IF(COUNTA(J350:M350)=0,"",MIN(10,SUMPRODUCT((COUNTIF(J350:M350,L_KOM)&gt;0)*S_KOM)))</f>
        <v/>
      </c>
      <c r="O350" s="11" t="n"/>
      <c r="P350" s="10">
        <f>IF(O350="","",IFERROR(VLOOKUP(O350,T_KHID,2,FALSE),0))</f>
        <v/>
      </c>
      <c r="Q350" s="11" t="n"/>
      <c r="R350" s="11" t="n"/>
      <c r="S350" s="10">
        <f>IF(AND(Q350="",R350=""),"",IFERROR(INDEX(T_LIBAT,MATCH(Q350,L_PER,0),MATCH(R350,L_JENIS,0)),0))</f>
        <v/>
      </c>
      <c r="T350" s="11" t="n"/>
      <c r="U350" s="11" t="n"/>
      <c r="V350" s="10">
        <f>IF(AND(T350="",U350=""),"",IFERROR(INDEX(T_CAPAI,MATCH(T350,L_PER,0),MATCH(U350,L_KED,0)),0))</f>
        <v/>
      </c>
      <c r="W350" s="17">
        <f>IF(OR(B350="",E350="",COUNTA(F350,H350,J350:M350,O350,Q350:R350,T350:U350)=0),"",SUM(G350,I350,N350,P350,S350,V350))</f>
        <v/>
      </c>
      <c r="X350" s="18">
        <f>IF(W350="","",IF(Murid!F350="TL","TL",ROUND(W350/110*100,2)))</f>
        <v/>
      </c>
    </row>
    <row r="351">
      <c r="A351" s="15">
        <f>Murid!A351</f>
        <v/>
      </c>
      <c r="B351" s="15">
        <f>IF(Murid!B351="","",Murid!B351)</f>
        <v/>
      </c>
      <c r="C351" s="16">
        <f>IF(Murid!C351="","",Murid!C351)</f>
        <v/>
      </c>
      <c r="D351" s="15">
        <f>IF(Murid!E351="","",Murid!E351)</f>
        <v/>
      </c>
      <c r="E351" s="11" t="n"/>
      <c r="F351" s="11" t="n"/>
      <c r="G351" s="10">
        <f>IF(F351="","",IFERROR(VLOOKUP(F351,T_JSP,2,FALSE),0))</f>
        <v/>
      </c>
      <c r="H351" s="11" t="n"/>
      <c r="I351" s="17">
        <f>IF(H351="","",IF(H351&gt;=12,40,ROUND(H351*3.33,2)))</f>
        <v/>
      </c>
      <c r="J351" s="11" t="n"/>
      <c r="K351" s="11" t="n"/>
      <c r="L351" s="11" t="n"/>
      <c r="M351" s="11" t="n"/>
      <c r="N351" s="10">
        <f>IF(COUNTA(J351:M351)=0,"",MIN(10,SUMPRODUCT((COUNTIF(J351:M351,L_KOM)&gt;0)*S_KOM)))</f>
        <v/>
      </c>
      <c r="O351" s="11" t="n"/>
      <c r="P351" s="10">
        <f>IF(O351="","",IFERROR(VLOOKUP(O351,T_KHID,2,FALSE),0))</f>
        <v/>
      </c>
      <c r="Q351" s="11" t="n"/>
      <c r="R351" s="11" t="n"/>
      <c r="S351" s="10">
        <f>IF(AND(Q351="",R351=""),"",IFERROR(INDEX(T_LIBAT,MATCH(Q351,L_PER,0),MATCH(R351,L_JENIS,0)),0))</f>
        <v/>
      </c>
      <c r="T351" s="11" t="n"/>
      <c r="U351" s="11" t="n"/>
      <c r="V351" s="10">
        <f>IF(AND(T351="",U351=""),"",IFERROR(INDEX(T_CAPAI,MATCH(T351,L_PER,0),MATCH(U351,L_KED,0)),0))</f>
        <v/>
      </c>
      <c r="W351" s="17">
        <f>IF(OR(B351="",E351="",COUNTA(F351,H351,J351:M351,O351,Q351:R351,T351:U351)=0),"",SUM(G351,I351,N351,P351,S351,V351))</f>
        <v/>
      </c>
      <c r="X351" s="18">
        <f>IF(W351="","",IF(Murid!F351="TL","TL",ROUND(W351/110*100,2)))</f>
        <v/>
      </c>
    </row>
    <row r="352">
      <c r="A352" s="15">
        <f>Murid!A352</f>
        <v/>
      </c>
      <c r="B352" s="15">
        <f>IF(Murid!B352="","",Murid!B352)</f>
        <v/>
      </c>
      <c r="C352" s="16">
        <f>IF(Murid!C352="","",Murid!C352)</f>
        <v/>
      </c>
      <c r="D352" s="15">
        <f>IF(Murid!E352="","",Murid!E352)</f>
        <v/>
      </c>
      <c r="E352" s="11" t="n"/>
      <c r="F352" s="11" t="n"/>
      <c r="G352" s="10">
        <f>IF(F352="","",IFERROR(VLOOKUP(F352,T_JSP,2,FALSE),0))</f>
        <v/>
      </c>
      <c r="H352" s="11" t="n"/>
      <c r="I352" s="17">
        <f>IF(H352="","",IF(H352&gt;=12,40,ROUND(H352*3.33,2)))</f>
        <v/>
      </c>
      <c r="J352" s="11" t="n"/>
      <c r="K352" s="11" t="n"/>
      <c r="L352" s="11" t="n"/>
      <c r="M352" s="11" t="n"/>
      <c r="N352" s="10">
        <f>IF(COUNTA(J352:M352)=0,"",MIN(10,SUMPRODUCT((COUNTIF(J352:M352,L_KOM)&gt;0)*S_KOM)))</f>
        <v/>
      </c>
      <c r="O352" s="11" t="n"/>
      <c r="P352" s="10">
        <f>IF(O352="","",IFERROR(VLOOKUP(O352,T_KHID,2,FALSE),0))</f>
        <v/>
      </c>
      <c r="Q352" s="11" t="n"/>
      <c r="R352" s="11" t="n"/>
      <c r="S352" s="10">
        <f>IF(AND(Q352="",R352=""),"",IFERROR(INDEX(T_LIBAT,MATCH(Q352,L_PER,0),MATCH(R352,L_JENIS,0)),0))</f>
        <v/>
      </c>
      <c r="T352" s="11" t="n"/>
      <c r="U352" s="11" t="n"/>
      <c r="V352" s="10">
        <f>IF(AND(T352="",U352=""),"",IFERROR(INDEX(T_CAPAI,MATCH(T352,L_PER,0),MATCH(U352,L_KED,0)),0))</f>
        <v/>
      </c>
      <c r="W352" s="17">
        <f>IF(OR(B352="",E352="",COUNTA(F352,H352,J352:M352,O352,Q352:R352,T352:U352)=0),"",SUM(G352,I352,N352,P352,S352,V352))</f>
        <v/>
      </c>
      <c r="X352" s="18">
        <f>IF(W352="","",IF(Murid!F352="TL","TL",ROUND(W352/110*100,2)))</f>
        <v/>
      </c>
    </row>
    <row r="353">
      <c r="A353" s="15">
        <f>Murid!A353</f>
        <v/>
      </c>
      <c r="B353" s="15">
        <f>IF(Murid!B353="","",Murid!B353)</f>
        <v/>
      </c>
      <c r="C353" s="16">
        <f>IF(Murid!C353="","",Murid!C353)</f>
        <v/>
      </c>
      <c r="D353" s="15">
        <f>IF(Murid!E353="","",Murid!E353)</f>
        <v/>
      </c>
      <c r="E353" s="11" t="n"/>
      <c r="F353" s="11" t="n"/>
      <c r="G353" s="10">
        <f>IF(F353="","",IFERROR(VLOOKUP(F353,T_JSP,2,FALSE),0))</f>
        <v/>
      </c>
      <c r="H353" s="11" t="n"/>
      <c r="I353" s="17">
        <f>IF(H353="","",IF(H353&gt;=12,40,ROUND(H353*3.33,2)))</f>
        <v/>
      </c>
      <c r="J353" s="11" t="n"/>
      <c r="K353" s="11" t="n"/>
      <c r="L353" s="11" t="n"/>
      <c r="M353" s="11" t="n"/>
      <c r="N353" s="10">
        <f>IF(COUNTA(J353:M353)=0,"",MIN(10,SUMPRODUCT((COUNTIF(J353:M353,L_KOM)&gt;0)*S_KOM)))</f>
        <v/>
      </c>
      <c r="O353" s="11" t="n"/>
      <c r="P353" s="10">
        <f>IF(O353="","",IFERROR(VLOOKUP(O353,T_KHID,2,FALSE),0))</f>
        <v/>
      </c>
      <c r="Q353" s="11" t="n"/>
      <c r="R353" s="11" t="n"/>
      <c r="S353" s="10">
        <f>IF(AND(Q353="",R353=""),"",IFERROR(INDEX(T_LIBAT,MATCH(Q353,L_PER,0),MATCH(R353,L_JENIS,0)),0))</f>
        <v/>
      </c>
      <c r="T353" s="11" t="n"/>
      <c r="U353" s="11" t="n"/>
      <c r="V353" s="10">
        <f>IF(AND(T353="",U353=""),"",IFERROR(INDEX(T_CAPAI,MATCH(T353,L_PER,0),MATCH(U353,L_KED,0)),0))</f>
        <v/>
      </c>
      <c r="W353" s="17">
        <f>IF(OR(B353="",E353="",COUNTA(F353,H353,J353:M353,O353,Q353:R353,T353:U353)=0),"",SUM(G353,I353,N353,P353,S353,V353))</f>
        <v/>
      </c>
      <c r="X353" s="18">
        <f>IF(W353="","",IF(Murid!F353="TL","TL",ROUND(W353/110*100,2)))</f>
        <v/>
      </c>
    </row>
    <row r="354">
      <c r="A354" s="15">
        <f>Murid!A354</f>
        <v/>
      </c>
      <c r="B354" s="15">
        <f>IF(Murid!B354="","",Murid!B354)</f>
        <v/>
      </c>
      <c r="C354" s="16">
        <f>IF(Murid!C354="","",Murid!C354)</f>
        <v/>
      </c>
      <c r="D354" s="15">
        <f>IF(Murid!E354="","",Murid!E354)</f>
        <v/>
      </c>
      <c r="E354" s="11" t="n"/>
      <c r="F354" s="11" t="n"/>
      <c r="G354" s="10">
        <f>IF(F354="","",IFERROR(VLOOKUP(F354,T_JSP,2,FALSE),0))</f>
        <v/>
      </c>
      <c r="H354" s="11" t="n"/>
      <c r="I354" s="17">
        <f>IF(H354="","",IF(H354&gt;=12,40,ROUND(H354*3.33,2)))</f>
        <v/>
      </c>
      <c r="J354" s="11" t="n"/>
      <c r="K354" s="11" t="n"/>
      <c r="L354" s="11" t="n"/>
      <c r="M354" s="11" t="n"/>
      <c r="N354" s="10">
        <f>IF(COUNTA(J354:M354)=0,"",MIN(10,SUMPRODUCT((COUNTIF(J354:M354,L_KOM)&gt;0)*S_KOM)))</f>
        <v/>
      </c>
      <c r="O354" s="11" t="n"/>
      <c r="P354" s="10">
        <f>IF(O354="","",IFERROR(VLOOKUP(O354,T_KHID,2,FALSE),0))</f>
        <v/>
      </c>
      <c r="Q354" s="11" t="n"/>
      <c r="R354" s="11" t="n"/>
      <c r="S354" s="10">
        <f>IF(AND(Q354="",R354=""),"",IFERROR(INDEX(T_LIBAT,MATCH(Q354,L_PER,0),MATCH(R354,L_JENIS,0)),0))</f>
        <v/>
      </c>
      <c r="T354" s="11" t="n"/>
      <c r="U354" s="11" t="n"/>
      <c r="V354" s="10">
        <f>IF(AND(T354="",U354=""),"",IFERROR(INDEX(T_CAPAI,MATCH(T354,L_PER,0),MATCH(U354,L_KED,0)),0))</f>
        <v/>
      </c>
      <c r="W354" s="17">
        <f>IF(OR(B354="",E354="",COUNTA(F354,H354,J354:M354,O354,Q354:R354,T354:U354)=0),"",SUM(G354,I354,N354,P354,S354,V354))</f>
        <v/>
      </c>
      <c r="X354" s="18">
        <f>IF(W354="","",IF(Murid!F354="TL","TL",ROUND(W354/110*100,2)))</f>
        <v/>
      </c>
    </row>
    <row r="355">
      <c r="A355" s="15">
        <f>Murid!A355</f>
        <v/>
      </c>
      <c r="B355" s="15">
        <f>IF(Murid!B355="","",Murid!B355)</f>
        <v/>
      </c>
      <c r="C355" s="16">
        <f>IF(Murid!C355="","",Murid!C355)</f>
        <v/>
      </c>
      <c r="D355" s="15">
        <f>IF(Murid!E355="","",Murid!E355)</f>
        <v/>
      </c>
      <c r="E355" s="11" t="n"/>
      <c r="F355" s="11" t="n"/>
      <c r="G355" s="10">
        <f>IF(F355="","",IFERROR(VLOOKUP(F355,T_JSP,2,FALSE),0))</f>
        <v/>
      </c>
      <c r="H355" s="11" t="n"/>
      <c r="I355" s="17">
        <f>IF(H355="","",IF(H355&gt;=12,40,ROUND(H355*3.33,2)))</f>
        <v/>
      </c>
      <c r="J355" s="11" t="n"/>
      <c r="K355" s="11" t="n"/>
      <c r="L355" s="11" t="n"/>
      <c r="M355" s="11" t="n"/>
      <c r="N355" s="10">
        <f>IF(COUNTA(J355:M355)=0,"",MIN(10,SUMPRODUCT((COUNTIF(J355:M355,L_KOM)&gt;0)*S_KOM)))</f>
        <v/>
      </c>
      <c r="O355" s="11" t="n"/>
      <c r="P355" s="10">
        <f>IF(O355="","",IFERROR(VLOOKUP(O355,T_KHID,2,FALSE),0))</f>
        <v/>
      </c>
      <c r="Q355" s="11" t="n"/>
      <c r="R355" s="11" t="n"/>
      <c r="S355" s="10">
        <f>IF(AND(Q355="",R355=""),"",IFERROR(INDEX(T_LIBAT,MATCH(Q355,L_PER,0),MATCH(R355,L_JENIS,0)),0))</f>
        <v/>
      </c>
      <c r="T355" s="11" t="n"/>
      <c r="U355" s="11" t="n"/>
      <c r="V355" s="10">
        <f>IF(AND(T355="",U355=""),"",IFERROR(INDEX(T_CAPAI,MATCH(T355,L_PER,0),MATCH(U355,L_KED,0)),0))</f>
        <v/>
      </c>
      <c r="W355" s="17">
        <f>IF(OR(B355="",E355="",COUNTA(F355,H355,J355:M355,O355,Q355:R355,T355:U355)=0),"",SUM(G355,I355,N355,P355,S355,V355))</f>
        <v/>
      </c>
      <c r="X355" s="18">
        <f>IF(W355="","",IF(Murid!F355="TL","TL",ROUND(W355/110*100,2)))</f>
        <v/>
      </c>
    </row>
    <row r="356">
      <c r="A356" s="15">
        <f>Murid!A356</f>
        <v/>
      </c>
      <c r="B356" s="15">
        <f>IF(Murid!B356="","",Murid!B356)</f>
        <v/>
      </c>
      <c r="C356" s="16">
        <f>IF(Murid!C356="","",Murid!C356)</f>
        <v/>
      </c>
      <c r="D356" s="15">
        <f>IF(Murid!E356="","",Murid!E356)</f>
        <v/>
      </c>
      <c r="E356" s="11" t="n"/>
      <c r="F356" s="11" t="n"/>
      <c r="G356" s="10">
        <f>IF(F356="","",IFERROR(VLOOKUP(F356,T_JSP,2,FALSE),0))</f>
        <v/>
      </c>
      <c r="H356" s="11" t="n"/>
      <c r="I356" s="17">
        <f>IF(H356="","",IF(H356&gt;=12,40,ROUND(H356*3.33,2)))</f>
        <v/>
      </c>
      <c r="J356" s="11" t="n"/>
      <c r="K356" s="11" t="n"/>
      <c r="L356" s="11" t="n"/>
      <c r="M356" s="11" t="n"/>
      <c r="N356" s="10">
        <f>IF(COUNTA(J356:M356)=0,"",MIN(10,SUMPRODUCT((COUNTIF(J356:M356,L_KOM)&gt;0)*S_KOM)))</f>
        <v/>
      </c>
      <c r="O356" s="11" t="n"/>
      <c r="P356" s="10">
        <f>IF(O356="","",IFERROR(VLOOKUP(O356,T_KHID,2,FALSE),0))</f>
        <v/>
      </c>
      <c r="Q356" s="11" t="n"/>
      <c r="R356" s="11" t="n"/>
      <c r="S356" s="10">
        <f>IF(AND(Q356="",R356=""),"",IFERROR(INDEX(T_LIBAT,MATCH(Q356,L_PER,0),MATCH(R356,L_JENIS,0)),0))</f>
        <v/>
      </c>
      <c r="T356" s="11" t="n"/>
      <c r="U356" s="11" t="n"/>
      <c r="V356" s="10">
        <f>IF(AND(T356="",U356=""),"",IFERROR(INDEX(T_CAPAI,MATCH(T356,L_PER,0),MATCH(U356,L_KED,0)),0))</f>
        <v/>
      </c>
      <c r="W356" s="17">
        <f>IF(OR(B356="",E356="",COUNTA(F356,H356,J356:M356,O356,Q356:R356,T356:U356)=0),"",SUM(G356,I356,N356,P356,S356,V356))</f>
        <v/>
      </c>
      <c r="X356" s="18">
        <f>IF(W356="","",IF(Murid!F356="TL","TL",ROUND(W356/110*100,2)))</f>
        <v/>
      </c>
    </row>
    <row r="357">
      <c r="A357" s="15">
        <f>Murid!A357</f>
        <v/>
      </c>
      <c r="B357" s="15">
        <f>IF(Murid!B357="","",Murid!B357)</f>
        <v/>
      </c>
      <c r="C357" s="16">
        <f>IF(Murid!C357="","",Murid!C357)</f>
        <v/>
      </c>
      <c r="D357" s="15">
        <f>IF(Murid!E357="","",Murid!E357)</f>
        <v/>
      </c>
      <c r="E357" s="11" t="n"/>
      <c r="F357" s="11" t="n"/>
      <c r="G357" s="10">
        <f>IF(F357="","",IFERROR(VLOOKUP(F357,T_JSP,2,FALSE),0))</f>
        <v/>
      </c>
      <c r="H357" s="11" t="n"/>
      <c r="I357" s="17">
        <f>IF(H357="","",IF(H357&gt;=12,40,ROUND(H357*3.33,2)))</f>
        <v/>
      </c>
      <c r="J357" s="11" t="n"/>
      <c r="K357" s="11" t="n"/>
      <c r="L357" s="11" t="n"/>
      <c r="M357" s="11" t="n"/>
      <c r="N357" s="10">
        <f>IF(COUNTA(J357:M357)=0,"",MIN(10,SUMPRODUCT((COUNTIF(J357:M357,L_KOM)&gt;0)*S_KOM)))</f>
        <v/>
      </c>
      <c r="O357" s="11" t="n"/>
      <c r="P357" s="10">
        <f>IF(O357="","",IFERROR(VLOOKUP(O357,T_KHID,2,FALSE),0))</f>
        <v/>
      </c>
      <c r="Q357" s="11" t="n"/>
      <c r="R357" s="11" t="n"/>
      <c r="S357" s="10">
        <f>IF(AND(Q357="",R357=""),"",IFERROR(INDEX(T_LIBAT,MATCH(Q357,L_PER,0),MATCH(R357,L_JENIS,0)),0))</f>
        <v/>
      </c>
      <c r="T357" s="11" t="n"/>
      <c r="U357" s="11" t="n"/>
      <c r="V357" s="10">
        <f>IF(AND(T357="",U357=""),"",IFERROR(INDEX(T_CAPAI,MATCH(T357,L_PER,0),MATCH(U357,L_KED,0)),0))</f>
        <v/>
      </c>
      <c r="W357" s="17">
        <f>IF(OR(B357="",E357="",COUNTA(F357,H357,J357:M357,O357,Q357:R357,T357:U357)=0),"",SUM(G357,I357,N357,P357,S357,V357))</f>
        <v/>
      </c>
      <c r="X357" s="18">
        <f>IF(W357="","",IF(Murid!F357="TL","TL",ROUND(W357/110*100,2)))</f>
        <v/>
      </c>
    </row>
    <row r="358">
      <c r="A358" s="15">
        <f>Murid!A358</f>
        <v/>
      </c>
      <c r="B358" s="15">
        <f>IF(Murid!B358="","",Murid!B358)</f>
        <v/>
      </c>
      <c r="C358" s="16">
        <f>IF(Murid!C358="","",Murid!C358)</f>
        <v/>
      </c>
      <c r="D358" s="15">
        <f>IF(Murid!E358="","",Murid!E358)</f>
        <v/>
      </c>
      <c r="E358" s="11" t="n"/>
      <c r="F358" s="11" t="n"/>
      <c r="G358" s="10">
        <f>IF(F358="","",IFERROR(VLOOKUP(F358,T_JSP,2,FALSE),0))</f>
        <v/>
      </c>
      <c r="H358" s="11" t="n"/>
      <c r="I358" s="17">
        <f>IF(H358="","",IF(H358&gt;=12,40,ROUND(H358*3.33,2)))</f>
        <v/>
      </c>
      <c r="J358" s="11" t="n"/>
      <c r="K358" s="11" t="n"/>
      <c r="L358" s="11" t="n"/>
      <c r="M358" s="11" t="n"/>
      <c r="N358" s="10">
        <f>IF(COUNTA(J358:M358)=0,"",MIN(10,SUMPRODUCT((COUNTIF(J358:M358,L_KOM)&gt;0)*S_KOM)))</f>
        <v/>
      </c>
      <c r="O358" s="11" t="n"/>
      <c r="P358" s="10">
        <f>IF(O358="","",IFERROR(VLOOKUP(O358,T_KHID,2,FALSE),0))</f>
        <v/>
      </c>
      <c r="Q358" s="11" t="n"/>
      <c r="R358" s="11" t="n"/>
      <c r="S358" s="10">
        <f>IF(AND(Q358="",R358=""),"",IFERROR(INDEX(T_LIBAT,MATCH(Q358,L_PER,0),MATCH(R358,L_JENIS,0)),0))</f>
        <v/>
      </c>
      <c r="T358" s="11" t="n"/>
      <c r="U358" s="11" t="n"/>
      <c r="V358" s="10">
        <f>IF(AND(T358="",U358=""),"",IFERROR(INDEX(T_CAPAI,MATCH(T358,L_PER,0),MATCH(U358,L_KED,0)),0))</f>
        <v/>
      </c>
      <c r="W358" s="17">
        <f>IF(OR(B358="",E358="",COUNTA(F358,H358,J358:M358,O358,Q358:R358,T358:U358)=0),"",SUM(G358,I358,N358,P358,S358,V358))</f>
        <v/>
      </c>
      <c r="X358" s="18">
        <f>IF(W358="","",IF(Murid!F358="TL","TL",ROUND(W358/110*100,2)))</f>
        <v/>
      </c>
    </row>
    <row r="359">
      <c r="A359" s="15">
        <f>Murid!A359</f>
        <v/>
      </c>
      <c r="B359" s="15">
        <f>IF(Murid!B359="","",Murid!B359)</f>
        <v/>
      </c>
      <c r="C359" s="16">
        <f>IF(Murid!C359="","",Murid!C359)</f>
        <v/>
      </c>
      <c r="D359" s="15">
        <f>IF(Murid!E359="","",Murid!E359)</f>
        <v/>
      </c>
      <c r="E359" s="11" t="n"/>
      <c r="F359" s="11" t="n"/>
      <c r="G359" s="10">
        <f>IF(F359="","",IFERROR(VLOOKUP(F359,T_JSP,2,FALSE),0))</f>
        <v/>
      </c>
      <c r="H359" s="11" t="n"/>
      <c r="I359" s="17">
        <f>IF(H359="","",IF(H359&gt;=12,40,ROUND(H359*3.33,2)))</f>
        <v/>
      </c>
      <c r="J359" s="11" t="n"/>
      <c r="K359" s="11" t="n"/>
      <c r="L359" s="11" t="n"/>
      <c r="M359" s="11" t="n"/>
      <c r="N359" s="10">
        <f>IF(COUNTA(J359:M359)=0,"",MIN(10,SUMPRODUCT((COUNTIF(J359:M359,L_KOM)&gt;0)*S_KOM)))</f>
        <v/>
      </c>
      <c r="O359" s="11" t="n"/>
      <c r="P359" s="10">
        <f>IF(O359="","",IFERROR(VLOOKUP(O359,T_KHID,2,FALSE),0))</f>
        <v/>
      </c>
      <c r="Q359" s="11" t="n"/>
      <c r="R359" s="11" t="n"/>
      <c r="S359" s="10">
        <f>IF(AND(Q359="",R359=""),"",IFERROR(INDEX(T_LIBAT,MATCH(Q359,L_PER,0),MATCH(R359,L_JENIS,0)),0))</f>
        <v/>
      </c>
      <c r="T359" s="11" t="n"/>
      <c r="U359" s="11" t="n"/>
      <c r="V359" s="10">
        <f>IF(AND(T359="",U359=""),"",IFERROR(INDEX(T_CAPAI,MATCH(T359,L_PER,0),MATCH(U359,L_KED,0)),0))</f>
        <v/>
      </c>
      <c r="W359" s="17">
        <f>IF(OR(B359="",E359="",COUNTA(F359,H359,J359:M359,O359,Q359:R359,T359:U359)=0),"",SUM(G359,I359,N359,P359,S359,V359))</f>
        <v/>
      </c>
      <c r="X359" s="18">
        <f>IF(W359="","",IF(Murid!F359="TL","TL",ROUND(W359/110*100,2)))</f>
        <v/>
      </c>
    </row>
    <row r="360">
      <c r="A360" s="15">
        <f>Murid!A360</f>
        <v/>
      </c>
      <c r="B360" s="15">
        <f>IF(Murid!B360="","",Murid!B360)</f>
        <v/>
      </c>
      <c r="C360" s="16">
        <f>IF(Murid!C360="","",Murid!C360)</f>
        <v/>
      </c>
      <c r="D360" s="15">
        <f>IF(Murid!E360="","",Murid!E360)</f>
        <v/>
      </c>
      <c r="E360" s="11" t="n"/>
      <c r="F360" s="11" t="n"/>
      <c r="G360" s="10">
        <f>IF(F360="","",IFERROR(VLOOKUP(F360,T_JSP,2,FALSE),0))</f>
        <v/>
      </c>
      <c r="H360" s="11" t="n"/>
      <c r="I360" s="17">
        <f>IF(H360="","",IF(H360&gt;=12,40,ROUND(H360*3.33,2)))</f>
        <v/>
      </c>
      <c r="J360" s="11" t="n"/>
      <c r="K360" s="11" t="n"/>
      <c r="L360" s="11" t="n"/>
      <c r="M360" s="11" t="n"/>
      <c r="N360" s="10">
        <f>IF(COUNTA(J360:M360)=0,"",MIN(10,SUMPRODUCT((COUNTIF(J360:M360,L_KOM)&gt;0)*S_KOM)))</f>
        <v/>
      </c>
      <c r="O360" s="11" t="n"/>
      <c r="P360" s="10">
        <f>IF(O360="","",IFERROR(VLOOKUP(O360,T_KHID,2,FALSE),0))</f>
        <v/>
      </c>
      <c r="Q360" s="11" t="n"/>
      <c r="R360" s="11" t="n"/>
      <c r="S360" s="10">
        <f>IF(AND(Q360="",R360=""),"",IFERROR(INDEX(T_LIBAT,MATCH(Q360,L_PER,0),MATCH(R360,L_JENIS,0)),0))</f>
        <v/>
      </c>
      <c r="T360" s="11" t="n"/>
      <c r="U360" s="11" t="n"/>
      <c r="V360" s="10">
        <f>IF(AND(T360="",U360=""),"",IFERROR(INDEX(T_CAPAI,MATCH(T360,L_PER,0),MATCH(U360,L_KED,0)),0))</f>
        <v/>
      </c>
      <c r="W360" s="17">
        <f>IF(OR(B360="",E360="",COUNTA(F360,H360,J360:M360,O360,Q360:R360,T360:U360)=0),"",SUM(G360,I360,N360,P360,S360,V360))</f>
        <v/>
      </c>
      <c r="X360" s="18">
        <f>IF(W360="","",IF(Murid!F360="TL","TL",ROUND(W360/110*100,2)))</f>
        <v/>
      </c>
    </row>
    <row r="361">
      <c r="A361" s="15">
        <f>Murid!A361</f>
        <v/>
      </c>
      <c r="B361" s="15">
        <f>IF(Murid!B361="","",Murid!B361)</f>
        <v/>
      </c>
      <c r="C361" s="16">
        <f>IF(Murid!C361="","",Murid!C361)</f>
        <v/>
      </c>
      <c r="D361" s="15">
        <f>IF(Murid!E361="","",Murid!E361)</f>
        <v/>
      </c>
      <c r="E361" s="11" t="n"/>
      <c r="F361" s="11" t="n"/>
      <c r="G361" s="10">
        <f>IF(F361="","",IFERROR(VLOOKUP(F361,T_JSP,2,FALSE),0))</f>
        <v/>
      </c>
      <c r="H361" s="11" t="n"/>
      <c r="I361" s="17">
        <f>IF(H361="","",IF(H361&gt;=12,40,ROUND(H361*3.33,2)))</f>
        <v/>
      </c>
      <c r="J361" s="11" t="n"/>
      <c r="K361" s="11" t="n"/>
      <c r="L361" s="11" t="n"/>
      <c r="M361" s="11" t="n"/>
      <c r="N361" s="10">
        <f>IF(COUNTA(J361:M361)=0,"",MIN(10,SUMPRODUCT((COUNTIF(J361:M361,L_KOM)&gt;0)*S_KOM)))</f>
        <v/>
      </c>
      <c r="O361" s="11" t="n"/>
      <c r="P361" s="10">
        <f>IF(O361="","",IFERROR(VLOOKUP(O361,T_KHID,2,FALSE),0))</f>
        <v/>
      </c>
      <c r="Q361" s="11" t="n"/>
      <c r="R361" s="11" t="n"/>
      <c r="S361" s="10">
        <f>IF(AND(Q361="",R361=""),"",IFERROR(INDEX(T_LIBAT,MATCH(Q361,L_PER,0),MATCH(R361,L_JENIS,0)),0))</f>
        <v/>
      </c>
      <c r="T361" s="11" t="n"/>
      <c r="U361" s="11" t="n"/>
      <c r="V361" s="10">
        <f>IF(AND(T361="",U361=""),"",IFERROR(INDEX(T_CAPAI,MATCH(T361,L_PER,0),MATCH(U361,L_KED,0)),0))</f>
        <v/>
      </c>
      <c r="W361" s="17">
        <f>IF(OR(B361="",E361="",COUNTA(F361,H361,J361:M361,O361,Q361:R361,T361:U361)=0),"",SUM(G361,I361,N361,P361,S361,V361))</f>
        <v/>
      </c>
      <c r="X361" s="18">
        <f>IF(W361="","",IF(Murid!F361="TL","TL",ROUND(W361/110*100,2)))</f>
        <v/>
      </c>
    </row>
    <row r="362">
      <c r="A362" s="15">
        <f>Murid!A362</f>
        <v/>
      </c>
      <c r="B362" s="15">
        <f>IF(Murid!B362="","",Murid!B362)</f>
        <v/>
      </c>
      <c r="C362" s="16">
        <f>IF(Murid!C362="","",Murid!C362)</f>
        <v/>
      </c>
      <c r="D362" s="15">
        <f>IF(Murid!E362="","",Murid!E362)</f>
        <v/>
      </c>
      <c r="E362" s="11" t="n"/>
      <c r="F362" s="11" t="n"/>
      <c r="G362" s="10">
        <f>IF(F362="","",IFERROR(VLOOKUP(F362,T_JSP,2,FALSE),0))</f>
        <v/>
      </c>
      <c r="H362" s="11" t="n"/>
      <c r="I362" s="17">
        <f>IF(H362="","",IF(H362&gt;=12,40,ROUND(H362*3.33,2)))</f>
        <v/>
      </c>
      <c r="J362" s="11" t="n"/>
      <c r="K362" s="11" t="n"/>
      <c r="L362" s="11" t="n"/>
      <c r="M362" s="11" t="n"/>
      <c r="N362" s="10">
        <f>IF(COUNTA(J362:M362)=0,"",MIN(10,SUMPRODUCT((COUNTIF(J362:M362,L_KOM)&gt;0)*S_KOM)))</f>
        <v/>
      </c>
      <c r="O362" s="11" t="n"/>
      <c r="P362" s="10">
        <f>IF(O362="","",IFERROR(VLOOKUP(O362,T_KHID,2,FALSE),0))</f>
        <v/>
      </c>
      <c r="Q362" s="11" t="n"/>
      <c r="R362" s="11" t="n"/>
      <c r="S362" s="10">
        <f>IF(AND(Q362="",R362=""),"",IFERROR(INDEX(T_LIBAT,MATCH(Q362,L_PER,0),MATCH(R362,L_JENIS,0)),0))</f>
        <v/>
      </c>
      <c r="T362" s="11" t="n"/>
      <c r="U362" s="11" t="n"/>
      <c r="V362" s="10">
        <f>IF(AND(T362="",U362=""),"",IFERROR(INDEX(T_CAPAI,MATCH(T362,L_PER,0),MATCH(U362,L_KED,0)),0))</f>
        <v/>
      </c>
      <c r="W362" s="17">
        <f>IF(OR(B362="",E362="",COUNTA(F362,H362,J362:M362,O362,Q362:R362,T362:U362)=0),"",SUM(G362,I362,N362,P362,S362,V362))</f>
        <v/>
      </c>
      <c r="X362" s="18">
        <f>IF(W362="","",IF(Murid!F362="TL","TL",ROUND(W362/110*100,2)))</f>
        <v/>
      </c>
    </row>
    <row r="363">
      <c r="A363" s="15">
        <f>Murid!A363</f>
        <v/>
      </c>
      <c r="B363" s="15">
        <f>IF(Murid!B363="","",Murid!B363)</f>
        <v/>
      </c>
      <c r="C363" s="16">
        <f>IF(Murid!C363="","",Murid!C363)</f>
        <v/>
      </c>
      <c r="D363" s="15">
        <f>IF(Murid!E363="","",Murid!E363)</f>
        <v/>
      </c>
      <c r="E363" s="11" t="n"/>
      <c r="F363" s="11" t="n"/>
      <c r="G363" s="10">
        <f>IF(F363="","",IFERROR(VLOOKUP(F363,T_JSP,2,FALSE),0))</f>
        <v/>
      </c>
      <c r="H363" s="11" t="n"/>
      <c r="I363" s="17">
        <f>IF(H363="","",IF(H363&gt;=12,40,ROUND(H363*3.33,2)))</f>
        <v/>
      </c>
      <c r="J363" s="11" t="n"/>
      <c r="K363" s="11" t="n"/>
      <c r="L363" s="11" t="n"/>
      <c r="M363" s="11" t="n"/>
      <c r="N363" s="10">
        <f>IF(COUNTA(J363:M363)=0,"",MIN(10,SUMPRODUCT((COUNTIF(J363:M363,L_KOM)&gt;0)*S_KOM)))</f>
        <v/>
      </c>
      <c r="O363" s="11" t="n"/>
      <c r="P363" s="10">
        <f>IF(O363="","",IFERROR(VLOOKUP(O363,T_KHID,2,FALSE),0))</f>
        <v/>
      </c>
      <c r="Q363" s="11" t="n"/>
      <c r="R363" s="11" t="n"/>
      <c r="S363" s="10">
        <f>IF(AND(Q363="",R363=""),"",IFERROR(INDEX(T_LIBAT,MATCH(Q363,L_PER,0),MATCH(R363,L_JENIS,0)),0))</f>
        <v/>
      </c>
      <c r="T363" s="11" t="n"/>
      <c r="U363" s="11" t="n"/>
      <c r="V363" s="10">
        <f>IF(AND(T363="",U363=""),"",IFERROR(INDEX(T_CAPAI,MATCH(T363,L_PER,0),MATCH(U363,L_KED,0)),0))</f>
        <v/>
      </c>
      <c r="W363" s="17">
        <f>IF(OR(B363="",E363="",COUNTA(F363,H363,J363:M363,O363,Q363:R363,T363:U363)=0),"",SUM(G363,I363,N363,P363,S363,V363))</f>
        <v/>
      </c>
      <c r="X363" s="18">
        <f>IF(W363="","",IF(Murid!F363="TL","TL",ROUND(W363/110*100,2)))</f>
        <v/>
      </c>
    </row>
    <row r="364">
      <c r="A364" s="15">
        <f>Murid!A364</f>
        <v/>
      </c>
      <c r="B364" s="15">
        <f>IF(Murid!B364="","",Murid!B364)</f>
        <v/>
      </c>
      <c r="C364" s="16">
        <f>IF(Murid!C364="","",Murid!C364)</f>
        <v/>
      </c>
      <c r="D364" s="15">
        <f>IF(Murid!E364="","",Murid!E364)</f>
        <v/>
      </c>
      <c r="E364" s="11" t="n"/>
      <c r="F364" s="11" t="n"/>
      <c r="G364" s="10">
        <f>IF(F364="","",IFERROR(VLOOKUP(F364,T_JSP,2,FALSE),0))</f>
        <v/>
      </c>
      <c r="H364" s="11" t="n"/>
      <c r="I364" s="17">
        <f>IF(H364="","",IF(H364&gt;=12,40,ROUND(H364*3.33,2)))</f>
        <v/>
      </c>
      <c r="J364" s="11" t="n"/>
      <c r="K364" s="11" t="n"/>
      <c r="L364" s="11" t="n"/>
      <c r="M364" s="11" t="n"/>
      <c r="N364" s="10">
        <f>IF(COUNTA(J364:M364)=0,"",MIN(10,SUMPRODUCT((COUNTIF(J364:M364,L_KOM)&gt;0)*S_KOM)))</f>
        <v/>
      </c>
      <c r="O364" s="11" t="n"/>
      <c r="P364" s="10">
        <f>IF(O364="","",IFERROR(VLOOKUP(O364,T_KHID,2,FALSE),0))</f>
        <v/>
      </c>
      <c r="Q364" s="11" t="n"/>
      <c r="R364" s="11" t="n"/>
      <c r="S364" s="10">
        <f>IF(AND(Q364="",R364=""),"",IFERROR(INDEX(T_LIBAT,MATCH(Q364,L_PER,0),MATCH(R364,L_JENIS,0)),0))</f>
        <v/>
      </c>
      <c r="T364" s="11" t="n"/>
      <c r="U364" s="11" t="n"/>
      <c r="V364" s="10">
        <f>IF(AND(T364="",U364=""),"",IFERROR(INDEX(T_CAPAI,MATCH(T364,L_PER,0),MATCH(U364,L_KED,0)),0))</f>
        <v/>
      </c>
      <c r="W364" s="17">
        <f>IF(OR(B364="",E364="",COUNTA(F364,H364,J364:M364,O364,Q364:R364,T364:U364)=0),"",SUM(G364,I364,N364,P364,S364,V364))</f>
        <v/>
      </c>
      <c r="X364" s="18">
        <f>IF(W364="","",IF(Murid!F364="TL","TL",ROUND(W364/110*100,2)))</f>
        <v/>
      </c>
    </row>
    <row r="365">
      <c r="A365" s="15">
        <f>Murid!A365</f>
        <v/>
      </c>
      <c r="B365" s="15">
        <f>IF(Murid!B365="","",Murid!B365)</f>
        <v/>
      </c>
      <c r="C365" s="16">
        <f>IF(Murid!C365="","",Murid!C365)</f>
        <v/>
      </c>
      <c r="D365" s="15">
        <f>IF(Murid!E365="","",Murid!E365)</f>
        <v/>
      </c>
      <c r="E365" s="11" t="n"/>
      <c r="F365" s="11" t="n"/>
      <c r="G365" s="10">
        <f>IF(F365="","",IFERROR(VLOOKUP(F365,T_JSP,2,FALSE),0))</f>
        <v/>
      </c>
      <c r="H365" s="11" t="n"/>
      <c r="I365" s="17">
        <f>IF(H365="","",IF(H365&gt;=12,40,ROUND(H365*3.33,2)))</f>
        <v/>
      </c>
      <c r="J365" s="11" t="n"/>
      <c r="K365" s="11" t="n"/>
      <c r="L365" s="11" t="n"/>
      <c r="M365" s="11" t="n"/>
      <c r="N365" s="10">
        <f>IF(COUNTA(J365:M365)=0,"",MIN(10,SUMPRODUCT((COUNTIF(J365:M365,L_KOM)&gt;0)*S_KOM)))</f>
        <v/>
      </c>
      <c r="O365" s="11" t="n"/>
      <c r="P365" s="10">
        <f>IF(O365="","",IFERROR(VLOOKUP(O365,T_KHID,2,FALSE),0))</f>
        <v/>
      </c>
      <c r="Q365" s="11" t="n"/>
      <c r="R365" s="11" t="n"/>
      <c r="S365" s="10">
        <f>IF(AND(Q365="",R365=""),"",IFERROR(INDEX(T_LIBAT,MATCH(Q365,L_PER,0),MATCH(R365,L_JENIS,0)),0))</f>
        <v/>
      </c>
      <c r="T365" s="11" t="n"/>
      <c r="U365" s="11" t="n"/>
      <c r="V365" s="10">
        <f>IF(AND(T365="",U365=""),"",IFERROR(INDEX(T_CAPAI,MATCH(T365,L_PER,0),MATCH(U365,L_KED,0)),0))</f>
        <v/>
      </c>
      <c r="W365" s="17">
        <f>IF(OR(B365="",E365="",COUNTA(F365,H365,J365:M365,O365,Q365:R365,T365:U365)=0),"",SUM(G365,I365,N365,P365,S365,V365))</f>
        <v/>
      </c>
      <c r="X365" s="18">
        <f>IF(W365="","",IF(Murid!F365="TL","TL",ROUND(W365/110*100,2)))</f>
        <v/>
      </c>
    </row>
    <row r="366">
      <c r="A366" s="15">
        <f>Murid!A366</f>
        <v/>
      </c>
      <c r="B366" s="15">
        <f>IF(Murid!B366="","",Murid!B366)</f>
        <v/>
      </c>
      <c r="C366" s="16">
        <f>IF(Murid!C366="","",Murid!C366)</f>
        <v/>
      </c>
      <c r="D366" s="15">
        <f>IF(Murid!E366="","",Murid!E366)</f>
        <v/>
      </c>
      <c r="E366" s="11" t="n"/>
      <c r="F366" s="11" t="n"/>
      <c r="G366" s="10">
        <f>IF(F366="","",IFERROR(VLOOKUP(F366,T_JSP,2,FALSE),0))</f>
        <v/>
      </c>
      <c r="H366" s="11" t="n"/>
      <c r="I366" s="17">
        <f>IF(H366="","",IF(H366&gt;=12,40,ROUND(H366*3.33,2)))</f>
        <v/>
      </c>
      <c r="J366" s="11" t="n"/>
      <c r="K366" s="11" t="n"/>
      <c r="L366" s="11" t="n"/>
      <c r="M366" s="11" t="n"/>
      <c r="N366" s="10">
        <f>IF(COUNTA(J366:M366)=0,"",MIN(10,SUMPRODUCT((COUNTIF(J366:M366,L_KOM)&gt;0)*S_KOM)))</f>
        <v/>
      </c>
      <c r="O366" s="11" t="n"/>
      <c r="P366" s="10">
        <f>IF(O366="","",IFERROR(VLOOKUP(O366,T_KHID,2,FALSE),0))</f>
        <v/>
      </c>
      <c r="Q366" s="11" t="n"/>
      <c r="R366" s="11" t="n"/>
      <c r="S366" s="10">
        <f>IF(AND(Q366="",R366=""),"",IFERROR(INDEX(T_LIBAT,MATCH(Q366,L_PER,0),MATCH(R366,L_JENIS,0)),0))</f>
        <v/>
      </c>
      <c r="T366" s="11" t="n"/>
      <c r="U366" s="11" t="n"/>
      <c r="V366" s="10">
        <f>IF(AND(T366="",U366=""),"",IFERROR(INDEX(T_CAPAI,MATCH(T366,L_PER,0),MATCH(U366,L_KED,0)),0))</f>
        <v/>
      </c>
      <c r="W366" s="17">
        <f>IF(OR(B366="",E366="",COUNTA(F366,H366,J366:M366,O366,Q366:R366,T366:U366)=0),"",SUM(G366,I366,N366,P366,S366,V366))</f>
        <v/>
      </c>
      <c r="X366" s="18">
        <f>IF(W366="","",IF(Murid!F366="TL","TL",ROUND(W366/110*100,2)))</f>
        <v/>
      </c>
    </row>
    <row r="367">
      <c r="A367" s="15">
        <f>Murid!A367</f>
        <v/>
      </c>
      <c r="B367" s="15">
        <f>IF(Murid!B367="","",Murid!B367)</f>
        <v/>
      </c>
      <c r="C367" s="16">
        <f>IF(Murid!C367="","",Murid!C367)</f>
        <v/>
      </c>
      <c r="D367" s="15">
        <f>IF(Murid!E367="","",Murid!E367)</f>
        <v/>
      </c>
      <c r="E367" s="11" t="n"/>
      <c r="F367" s="11" t="n"/>
      <c r="G367" s="10">
        <f>IF(F367="","",IFERROR(VLOOKUP(F367,T_JSP,2,FALSE),0))</f>
        <v/>
      </c>
      <c r="H367" s="11" t="n"/>
      <c r="I367" s="17">
        <f>IF(H367="","",IF(H367&gt;=12,40,ROUND(H367*3.33,2)))</f>
        <v/>
      </c>
      <c r="J367" s="11" t="n"/>
      <c r="K367" s="11" t="n"/>
      <c r="L367" s="11" t="n"/>
      <c r="M367" s="11" t="n"/>
      <c r="N367" s="10">
        <f>IF(COUNTA(J367:M367)=0,"",MIN(10,SUMPRODUCT((COUNTIF(J367:M367,L_KOM)&gt;0)*S_KOM)))</f>
        <v/>
      </c>
      <c r="O367" s="11" t="n"/>
      <c r="P367" s="10">
        <f>IF(O367="","",IFERROR(VLOOKUP(O367,T_KHID,2,FALSE),0))</f>
        <v/>
      </c>
      <c r="Q367" s="11" t="n"/>
      <c r="R367" s="11" t="n"/>
      <c r="S367" s="10">
        <f>IF(AND(Q367="",R367=""),"",IFERROR(INDEX(T_LIBAT,MATCH(Q367,L_PER,0),MATCH(R367,L_JENIS,0)),0))</f>
        <v/>
      </c>
      <c r="T367" s="11" t="n"/>
      <c r="U367" s="11" t="n"/>
      <c r="V367" s="10">
        <f>IF(AND(T367="",U367=""),"",IFERROR(INDEX(T_CAPAI,MATCH(T367,L_PER,0),MATCH(U367,L_KED,0)),0))</f>
        <v/>
      </c>
      <c r="W367" s="17">
        <f>IF(OR(B367="",E367="",COUNTA(F367,H367,J367:M367,O367,Q367:R367,T367:U367)=0),"",SUM(G367,I367,N367,P367,S367,V367))</f>
        <v/>
      </c>
      <c r="X367" s="18">
        <f>IF(W367="","",IF(Murid!F367="TL","TL",ROUND(W367/110*100,2)))</f>
        <v/>
      </c>
    </row>
    <row r="368">
      <c r="A368" s="15">
        <f>Murid!A368</f>
        <v/>
      </c>
      <c r="B368" s="15">
        <f>IF(Murid!B368="","",Murid!B368)</f>
        <v/>
      </c>
      <c r="C368" s="16">
        <f>IF(Murid!C368="","",Murid!C368)</f>
        <v/>
      </c>
      <c r="D368" s="15">
        <f>IF(Murid!E368="","",Murid!E368)</f>
        <v/>
      </c>
      <c r="E368" s="11" t="n"/>
      <c r="F368" s="11" t="n"/>
      <c r="G368" s="10">
        <f>IF(F368="","",IFERROR(VLOOKUP(F368,T_JSP,2,FALSE),0))</f>
        <v/>
      </c>
      <c r="H368" s="11" t="n"/>
      <c r="I368" s="17">
        <f>IF(H368="","",IF(H368&gt;=12,40,ROUND(H368*3.33,2)))</f>
        <v/>
      </c>
      <c r="J368" s="11" t="n"/>
      <c r="K368" s="11" t="n"/>
      <c r="L368" s="11" t="n"/>
      <c r="M368" s="11" t="n"/>
      <c r="N368" s="10">
        <f>IF(COUNTA(J368:M368)=0,"",MIN(10,SUMPRODUCT((COUNTIF(J368:M368,L_KOM)&gt;0)*S_KOM)))</f>
        <v/>
      </c>
      <c r="O368" s="11" t="n"/>
      <c r="P368" s="10">
        <f>IF(O368="","",IFERROR(VLOOKUP(O368,T_KHID,2,FALSE),0))</f>
        <v/>
      </c>
      <c r="Q368" s="11" t="n"/>
      <c r="R368" s="11" t="n"/>
      <c r="S368" s="10">
        <f>IF(AND(Q368="",R368=""),"",IFERROR(INDEX(T_LIBAT,MATCH(Q368,L_PER,0),MATCH(R368,L_JENIS,0)),0))</f>
        <v/>
      </c>
      <c r="T368" s="11" t="n"/>
      <c r="U368" s="11" t="n"/>
      <c r="V368" s="10">
        <f>IF(AND(T368="",U368=""),"",IFERROR(INDEX(T_CAPAI,MATCH(T368,L_PER,0),MATCH(U368,L_KED,0)),0))</f>
        <v/>
      </c>
      <c r="W368" s="17">
        <f>IF(OR(B368="",E368="",COUNTA(F368,H368,J368:M368,O368,Q368:R368,T368:U368)=0),"",SUM(G368,I368,N368,P368,S368,V368))</f>
        <v/>
      </c>
      <c r="X368" s="18">
        <f>IF(W368="","",IF(Murid!F368="TL","TL",ROUND(W368/110*100,2)))</f>
        <v/>
      </c>
    </row>
    <row r="369">
      <c r="A369" s="15">
        <f>Murid!A369</f>
        <v/>
      </c>
      <c r="B369" s="15">
        <f>IF(Murid!B369="","",Murid!B369)</f>
        <v/>
      </c>
      <c r="C369" s="16">
        <f>IF(Murid!C369="","",Murid!C369)</f>
        <v/>
      </c>
      <c r="D369" s="15">
        <f>IF(Murid!E369="","",Murid!E369)</f>
        <v/>
      </c>
      <c r="E369" s="11" t="n"/>
      <c r="F369" s="11" t="n"/>
      <c r="G369" s="10">
        <f>IF(F369="","",IFERROR(VLOOKUP(F369,T_JSP,2,FALSE),0))</f>
        <v/>
      </c>
      <c r="H369" s="11" t="n"/>
      <c r="I369" s="17">
        <f>IF(H369="","",IF(H369&gt;=12,40,ROUND(H369*3.33,2)))</f>
        <v/>
      </c>
      <c r="J369" s="11" t="n"/>
      <c r="K369" s="11" t="n"/>
      <c r="L369" s="11" t="n"/>
      <c r="M369" s="11" t="n"/>
      <c r="N369" s="10">
        <f>IF(COUNTA(J369:M369)=0,"",MIN(10,SUMPRODUCT((COUNTIF(J369:M369,L_KOM)&gt;0)*S_KOM)))</f>
        <v/>
      </c>
      <c r="O369" s="11" t="n"/>
      <c r="P369" s="10">
        <f>IF(O369="","",IFERROR(VLOOKUP(O369,T_KHID,2,FALSE),0))</f>
        <v/>
      </c>
      <c r="Q369" s="11" t="n"/>
      <c r="R369" s="11" t="n"/>
      <c r="S369" s="10">
        <f>IF(AND(Q369="",R369=""),"",IFERROR(INDEX(T_LIBAT,MATCH(Q369,L_PER,0),MATCH(R369,L_JENIS,0)),0))</f>
        <v/>
      </c>
      <c r="T369" s="11" t="n"/>
      <c r="U369" s="11" t="n"/>
      <c r="V369" s="10">
        <f>IF(AND(T369="",U369=""),"",IFERROR(INDEX(T_CAPAI,MATCH(T369,L_PER,0),MATCH(U369,L_KED,0)),0))</f>
        <v/>
      </c>
      <c r="W369" s="17">
        <f>IF(OR(B369="",E369="",COUNTA(F369,H369,J369:M369,O369,Q369:R369,T369:U369)=0),"",SUM(G369,I369,N369,P369,S369,V369))</f>
        <v/>
      </c>
      <c r="X369" s="18">
        <f>IF(W369="","",IF(Murid!F369="TL","TL",ROUND(W369/110*100,2)))</f>
        <v/>
      </c>
    </row>
    <row r="370">
      <c r="A370" s="15">
        <f>Murid!A370</f>
        <v/>
      </c>
      <c r="B370" s="15">
        <f>IF(Murid!B370="","",Murid!B370)</f>
        <v/>
      </c>
      <c r="C370" s="16">
        <f>IF(Murid!C370="","",Murid!C370)</f>
        <v/>
      </c>
      <c r="D370" s="15">
        <f>IF(Murid!E370="","",Murid!E370)</f>
        <v/>
      </c>
      <c r="E370" s="11" t="n"/>
      <c r="F370" s="11" t="n"/>
      <c r="G370" s="10">
        <f>IF(F370="","",IFERROR(VLOOKUP(F370,T_JSP,2,FALSE),0))</f>
        <v/>
      </c>
      <c r="H370" s="11" t="n"/>
      <c r="I370" s="17">
        <f>IF(H370="","",IF(H370&gt;=12,40,ROUND(H370*3.33,2)))</f>
        <v/>
      </c>
      <c r="J370" s="11" t="n"/>
      <c r="K370" s="11" t="n"/>
      <c r="L370" s="11" t="n"/>
      <c r="M370" s="11" t="n"/>
      <c r="N370" s="10">
        <f>IF(COUNTA(J370:M370)=0,"",MIN(10,SUMPRODUCT((COUNTIF(J370:M370,L_KOM)&gt;0)*S_KOM)))</f>
        <v/>
      </c>
      <c r="O370" s="11" t="n"/>
      <c r="P370" s="10">
        <f>IF(O370="","",IFERROR(VLOOKUP(O370,T_KHID,2,FALSE),0))</f>
        <v/>
      </c>
      <c r="Q370" s="11" t="n"/>
      <c r="R370" s="11" t="n"/>
      <c r="S370" s="10">
        <f>IF(AND(Q370="",R370=""),"",IFERROR(INDEX(T_LIBAT,MATCH(Q370,L_PER,0),MATCH(R370,L_JENIS,0)),0))</f>
        <v/>
      </c>
      <c r="T370" s="11" t="n"/>
      <c r="U370" s="11" t="n"/>
      <c r="V370" s="10">
        <f>IF(AND(T370="",U370=""),"",IFERROR(INDEX(T_CAPAI,MATCH(T370,L_PER,0),MATCH(U370,L_KED,0)),0))</f>
        <v/>
      </c>
      <c r="W370" s="17">
        <f>IF(OR(B370="",E370="",COUNTA(F370,H370,J370:M370,O370,Q370:R370,T370:U370)=0),"",SUM(G370,I370,N370,P370,S370,V370))</f>
        <v/>
      </c>
      <c r="X370" s="18">
        <f>IF(W370="","",IF(Murid!F370="TL","TL",ROUND(W370/110*100,2)))</f>
        <v/>
      </c>
    </row>
    <row r="371">
      <c r="A371" s="15">
        <f>Murid!A371</f>
        <v/>
      </c>
      <c r="B371" s="15">
        <f>IF(Murid!B371="","",Murid!B371)</f>
        <v/>
      </c>
      <c r="C371" s="16">
        <f>IF(Murid!C371="","",Murid!C371)</f>
        <v/>
      </c>
      <c r="D371" s="15">
        <f>IF(Murid!E371="","",Murid!E371)</f>
        <v/>
      </c>
      <c r="E371" s="11" t="n"/>
      <c r="F371" s="11" t="n"/>
      <c r="G371" s="10">
        <f>IF(F371="","",IFERROR(VLOOKUP(F371,T_JSP,2,FALSE),0))</f>
        <v/>
      </c>
      <c r="H371" s="11" t="n"/>
      <c r="I371" s="17">
        <f>IF(H371="","",IF(H371&gt;=12,40,ROUND(H371*3.33,2)))</f>
        <v/>
      </c>
      <c r="J371" s="11" t="n"/>
      <c r="K371" s="11" t="n"/>
      <c r="L371" s="11" t="n"/>
      <c r="M371" s="11" t="n"/>
      <c r="N371" s="10">
        <f>IF(COUNTA(J371:M371)=0,"",MIN(10,SUMPRODUCT((COUNTIF(J371:M371,L_KOM)&gt;0)*S_KOM)))</f>
        <v/>
      </c>
      <c r="O371" s="11" t="n"/>
      <c r="P371" s="10">
        <f>IF(O371="","",IFERROR(VLOOKUP(O371,T_KHID,2,FALSE),0))</f>
        <v/>
      </c>
      <c r="Q371" s="11" t="n"/>
      <c r="R371" s="11" t="n"/>
      <c r="S371" s="10">
        <f>IF(AND(Q371="",R371=""),"",IFERROR(INDEX(T_LIBAT,MATCH(Q371,L_PER,0),MATCH(R371,L_JENIS,0)),0))</f>
        <v/>
      </c>
      <c r="T371" s="11" t="n"/>
      <c r="U371" s="11" t="n"/>
      <c r="V371" s="10">
        <f>IF(AND(T371="",U371=""),"",IFERROR(INDEX(T_CAPAI,MATCH(T371,L_PER,0),MATCH(U371,L_KED,0)),0))</f>
        <v/>
      </c>
      <c r="W371" s="17">
        <f>IF(OR(B371="",E371="",COUNTA(F371,H371,J371:M371,O371,Q371:R371,T371:U371)=0),"",SUM(G371,I371,N371,P371,S371,V371))</f>
        <v/>
      </c>
      <c r="X371" s="18">
        <f>IF(W371="","",IF(Murid!F371="TL","TL",ROUND(W371/110*100,2)))</f>
        <v/>
      </c>
    </row>
    <row r="372">
      <c r="A372" s="15">
        <f>Murid!A372</f>
        <v/>
      </c>
      <c r="B372" s="15">
        <f>IF(Murid!B372="","",Murid!B372)</f>
        <v/>
      </c>
      <c r="C372" s="16">
        <f>IF(Murid!C372="","",Murid!C372)</f>
        <v/>
      </c>
      <c r="D372" s="15">
        <f>IF(Murid!E372="","",Murid!E372)</f>
        <v/>
      </c>
      <c r="E372" s="11" t="n"/>
      <c r="F372" s="11" t="n"/>
      <c r="G372" s="10">
        <f>IF(F372="","",IFERROR(VLOOKUP(F372,T_JSP,2,FALSE),0))</f>
        <v/>
      </c>
      <c r="H372" s="11" t="n"/>
      <c r="I372" s="17">
        <f>IF(H372="","",IF(H372&gt;=12,40,ROUND(H372*3.33,2)))</f>
        <v/>
      </c>
      <c r="J372" s="11" t="n"/>
      <c r="K372" s="11" t="n"/>
      <c r="L372" s="11" t="n"/>
      <c r="M372" s="11" t="n"/>
      <c r="N372" s="10">
        <f>IF(COUNTA(J372:M372)=0,"",MIN(10,SUMPRODUCT((COUNTIF(J372:M372,L_KOM)&gt;0)*S_KOM)))</f>
        <v/>
      </c>
      <c r="O372" s="11" t="n"/>
      <c r="P372" s="10">
        <f>IF(O372="","",IFERROR(VLOOKUP(O372,T_KHID,2,FALSE),0))</f>
        <v/>
      </c>
      <c r="Q372" s="11" t="n"/>
      <c r="R372" s="11" t="n"/>
      <c r="S372" s="10">
        <f>IF(AND(Q372="",R372=""),"",IFERROR(INDEX(T_LIBAT,MATCH(Q372,L_PER,0),MATCH(R372,L_JENIS,0)),0))</f>
        <v/>
      </c>
      <c r="T372" s="11" t="n"/>
      <c r="U372" s="11" t="n"/>
      <c r="V372" s="10">
        <f>IF(AND(T372="",U372=""),"",IFERROR(INDEX(T_CAPAI,MATCH(T372,L_PER,0),MATCH(U372,L_KED,0)),0))</f>
        <v/>
      </c>
      <c r="W372" s="17">
        <f>IF(OR(B372="",E372="",COUNTA(F372,H372,J372:M372,O372,Q372:R372,T372:U372)=0),"",SUM(G372,I372,N372,P372,S372,V372))</f>
        <v/>
      </c>
      <c r="X372" s="18">
        <f>IF(W372="","",IF(Murid!F372="TL","TL",ROUND(W372/110*100,2)))</f>
        <v/>
      </c>
    </row>
    <row r="373">
      <c r="A373" s="15">
        <f>Murid!A373</f>
        <v/>
      </c>
      <c r="B373" s="15">
        <f>IF(Murid!B373="","",Murid!B373)</f>
        <v/>
      </c>
      <c r="C373" s="16">
        <f>IF(Murid!C373="","",Murid!C373)</f>
        <v/>
      </c>
      <c r="D373" s="15">
        <f>IF(Murid!E373="","",Murid!E373)</f>
        <v/>
      </c>
      <c r="E373" s="11" t="n"/>
      <c r="F373" s="11" t="n"/>
      <c r="G373" s="10">
        <f>IF(F373="","",IFERROR(VLOOKUP(F373,T_JSP,2,FALSE),0))</f>
        <v/>
      </c>
      <c r="H373" s="11" t="n"/>
      <c r="I373" s="17">
        <f>IF(H373="","",IF(H373&gt;=12,40,ROUND(H373*3.33,2)))</f>
        <v/>
      </c>
      <c r="J373" s="11" t="n"/>
      <c r="K373" s="11" t="n"/>
      <c r="L373" s="11" t="n"/>
      <c r="M373" s="11" t="n"/>
      <c r="N373" s="10">
        <f>IF(COUNTA(J373:M373)=0,"",MIN(10,SUMPRODUCT((COUNTIF(J373:M373,L_KOM)&gt;0)*S_KOM)))</f>
        <v/>
      </c>
      <c r="O373" s="11" t="n"/>
      <c r="P373" s="10">
        <f>IF(O373="","",IFERROR(VLOOKUP(O373,T_KHID,2,FALSE),0))</f>
        <v/>
      </c>
      <c r="Q373" s="11" t="n"/>
      <c r="R373" s="11" t="n"/>
      <c r="S373" s="10">
        <f>IF(AND(Q373="",R373=""),"",IFERROR(INDEX(T_LIBAT,MATCH(Q373,L_PER,0),MATCH(R373,L_JENIS,0)),0))</f>
        <v/>
      </c>
      <c r="T373" s="11" t="n"/>
      <c r="U373" s="11" t="n"/>
      <c r="V373" s="10">
        <f>IF(AND(T373="",U373=""),"",IFERROR(INDEX(T_CAPAI,MATCH(T373,L_PER,0),MATCH(U373,L_KED,0)),0))</f>
        <v/>
      </c>
      <c r="W373" s="17">
        <f>IF(OR(B373="",E373="",COUNTA(F373,H373,J373:M373,O373,Q373:R373,T373:U373)=0),"",SUM(G373,I373,N373,P373,S373,V373))</f>
        <v/>
      </c>
      <c r="X373" s="18">
        <f>IF(W373="","",IF(Murid!F373="TL","TL",ROUND(W373/110*100,2)))</f>
        <v/>
      </c>
    </row>
    <row r="374">
      <c r="A374" s="15">
        <f>Murid!A374</f>
        <v/>
      </c>
      <c r="B374" s="15">
        <f>IF(Murid!B374="","",Murid!B374)</f>
        <v/>
      </c>
      <c r="C374" s="16">
        <f>IF(Murid!C374="","",Murid!C374)</f>
        <v/>
      </c>
      <c r="D374" s="15">
        <f>IF(Murid!E374="","",Murid!E374)</f>
        <v/>
      </c>
      <c r="E374" s="11" t="n"/>
      <c r="F374" s="11" t="n"/>
      <c r="G374" s="10">
        <f>IF(F374="","",IFERROR(VLOOKUP(F374,T_JSP,2,FALSE),0))</f>
        <v/>
      </c>
      <c r="H374" s="11" t="n"/>
      <c r="I374" s="17">
        <f>IF(H374="","",IF(H374&gt;=12,40,ROUND(H374*3.33,2)))</f>
        <v/>
      </c>
      <c r="J374" s="11" t="n"/>
      <c r="K374" s="11" t="n"/>
      <c r="L374" s="11" t="n"/>
      <c r="M374" s="11" t="n"/>
      <c r="N374" s="10">
        <f>IF(COUNTA(J374:M374)=0,"",MIN(10,SUMPRODUCT((COUNTIF(J374:M374,L_KOM)&gt;0)*S_KOM)))</f>
        <v/>
      </c>
      <c r="O374" s="11" t="n"/>
      <c r="P374" s="10">
        <f>IF(O374="","",IFERROR(VLOOKUP(O374,T_KHID,2,FALSE),0))</f>
        <v/>
      </c>
      <c r="Q374" s="11" t="n"/>
      <c r="R374" s="11" t="n"/>
      <c r="S374" s="10">
        <f>IF(AND(Q374="",R374=""),"",IFERROR(INDEX(T_LIBAT,MATCH(Q374,L_PER,0),MATCH(R374,L_JENIS,0)),0))</f>
        <v/>
      </c>
      <c r="T374" s="11" t="n"/>
      <c r="U374" s="11" t="n"/>
      <c r="V374" s="10">
        <f>IF(AND(T374="",U374=""),"",IFERROR(INDEX(T_CAPAI,MATCH(T374,L_PER,0),MATCH(U374,L_KED,0)),0))</f>
        <v/>
      </c>
      <c r="W374" s="17">
        <f>IF(OR(B374="",E374="",COUNTA(F374,H374,J374:M374,O374,Q374:R374,T374:U374)=0),"",SUM(G374,I374,N374,P374,S374,V374))</f>
        <v/>
      </c>
      <c r="X374" s="18">
        <f>IF(W374="","",IF(Murid!F374="TL","TL",ROUND(W374/110*100,2)))</f>
        <v/>
      </c>
    </row>
    <row r="375">
      <c r="A375" s="15">
        <f>Murid!A375</f>
        <v/>
      </c>
      <c r="B375" s="15">
        <f>IF(Murid!B375="","",Murid!B375)</f>
        <v/>
      </c>
      <c r="C375" s="16">
        <f>IF(Murid!C375="","",Murid!C375)</f>
        <v/>
      </c>
      <c r="D375" s="15">
        <f>IF(Murid!E375="","",Murid!E375)</f>
        <v/>
      </c>
      <c r="E375" s="11" t="n"/>
      <c r="F375" s="11" t="n"/>
      <c r="G375" s="10">
        <f>IF(F375="","",IFERROR(VLOOKUP(F375,T_JSP,2,FALSE),0))</f>
        <v/>
      </c>
      <c r="H375" s="11" t="n"/>
      <c r="I375" s="17">
        <f>IF(H375="","",IF(H375&gt;=12,40,ROUND(H375*3.33,2)))</f>
        <v/>
      </c>
      <c r="J375" s="11" t="n"/>
      <c r="K375" s="11" t="n"/>
      <c r="L375" s="11" t="n"/>
      <c r="M375" s="11" t="n"/>
      <c r="N375" s="10">
        <f>IF(COUNTA(J375:M375)=0,"",MIN(10,SUMPRODUCT((COUNTIF(J375:M375,L_KOM)&gt;0)*S_KOM)))</f>
        <v/>
      </c>
      <c r="O375" s="11" t="n"/>
      <c r="P375" s="10">
        <f>IF(O375="","",IFERROR(VLOOKUP(O375,T_KHID,2,FALSE),0))</f>
        <v/>
      </c>
      <c r="Q375" s="11" t="n"/>
      <c r="R375" s="11" t="n"/>
      <c r="S375" s="10">
        <f>IF(AND(Q375="",R375=""),"",IFERROR(INDEX(T_LIBAT,MATCH(Q375,L_PER,0),MATCH(R375,L_JENIS,0)),0))</f>
        <v/>
      </c>
      <c r="T375" s="11" t="n"/>
      <c r="U375" s="11" t="n"/>
      <c r="V375" s="10">
        <f>IF(AND(T375="",U375=""),"",IFERROR(INDEX(T_CAPAI,MATCH(T375,L_PER,0),MATCH(U375,L_KED,0)),0))</f>
        <v/>
      </c>
      <c r="W375" s="17">
        <f>IF(OR(B375="",E375="",COUNTA(F375,H375,J375:M375,O375,Q375:R375,T375:U375)=0),"",SUM(G375,I375,N375,P375,S375,V375))</f>
        <v/>
      </c>
      <c r="X375" s="18">
        <f>IF(W375="","",IF(Murid!F375="TL","TL",ROUND(W375/110*100,2)))</f>
        <v/>
      </c>
    </row>
    <row r="376">
      <c r="A376" s="15">
        <f>Murid!A376</f>
        <v/>
      </c>
      <c r="B376" s="15">
        <f>IF(Murid!B376="","",Murid!B376)</f>
        <v/>
      </c>
      <c r="C376" s="16">
        <f>IF(Murid!C376="","",Murid!C376)</f>
        <v/>
      </c>
      <c r="D376" s="15">
        <f>IF(Murid!E376="","",Murid!E376)</f>
        <v/>
      </c>
      <c r="E376" s="11" t="n"/>
      <c r="F376" s="11" t="n"/>
      <c r="G376" s="10">
        <f>IF(F376="","",IFERROR(VLOOKUP(F376,T_JSP,2,FALSE),0))</f>
        <v/>
      </c>
      <c r="H376" s="11" t="n"/>
      <c r="I376" s="17">
        <f>IF(H376="","",IF(H376&gt;=12,40,ROUND(H376*3.33,2)))</f>
        <v/>
      </c>
      <c r="J376" s="11" t="n"/>
      <c r="K376" s="11" t="n"/>
      <c r="L376" s="11" t="n"/>
      <c r="M376" s="11" t="n"/>
      <c r="N376" s="10">
        <f>IF(COUNTA(J376:M376)=0,"",MIN(10,SUMPRODUCT((COUNTIF(J376:M376,L_KOM)&gt;0)*S_KOM)))</f>
        <v/>
      </c>
      <c r="O376" s="11" t="n"/>
      <c r="P376" s="10">
        <f>IF(O376="","",IFERROR(VLOOKUP(O376,T_KHID,2,FALSE),0))</f>
        <v/>
      </c>
      <c r="Q376" s="11" t="n"/>
      <c r="R376" s="11" t="n"/>
      <c r="S376" s="10">
        <f>IF(AND(Q376="",R376=""),"",IFERROR(INDEX(T_LIBAT,MATCH(Q376,L_PER,0),MATCH(R376,L_JENIS,0)),0))</f>
        <v/>
      </c>
      <c r="T376" s="11" t="n"/>
      <c r="U376" s="11" t="n"/>
      <c r="V376" s="10">
        <f>IF(AND(T376="",U376=""),"",IFERROR(INDEX(T_CAPAI,MATCH(T376,L_PER,0),MATCH(U376,L_KED,0)),0))</f>
        <v/>
      </c>
      <c r="W376" s="17">
        <f>IF(OR(B376="",E376="",COUNTA(F376,H376,J376:M376,O376,Q376:R376,T376:U376)=0),"",SUM(G376,I376,N376,P376,S376,V376))</f>
        <v/>
      </c>
      <c r="X376" s="18">
        <f>IF(W376="","",IF(Murid!F376="TL","TL",ROUND(W376/110*100,2)))</f>
        <v/>
      </c>
    </row>
    <row r="377">
      <c r="A377" s="15">
        <f>Murid!A377</f>
        <v/>
      </c>
      <c r="B377" s="15">
        <f>IF(Murid!B377="","",Murid!B377)</f>
        <v/>
      </c>
      <c r="C377" s="16">
        <f>IF(Murid!C377="","",Murid!C377)</f>
        <v/>
      </c>
      <c r="D377" s="15">
        <f>IF(Murid!E377="","",Murid!E377)</f>
        <v/>
      </c>
      <c r="E377" s="11" t="n"/>
      <c r="F377" s="11" t="n"/>
      <c r="G377" s="10">
        <f>IF(F377="","",IFERROR(VLOOKUP(F377,T_JSP,2,FALSE),0))</f>
        <v/>
      </c>
      <c r="H377" s="11" t="n"/>
      <c r="I377" s="17">
        <f>IF(H377="","",IF(H377&gt;=12,40,ROUND(H377*3.33,2)))</f>
        <v/>
      </c>
      <c r="J377" s="11" t="n"/>
      <c r="K377" s="11" t="n"/>
      <c r="L377" s="11" t="n"/>
      <c r="M377" s="11" t="n"/>
      <c r="N377" s="10">
        <f>IF(COUNTA(J377:M377)=0,"",MIN(10,SUMPRODUCT((COUNTIF(J377:M377,L_KOM)&gt;0)*S_KOM)))</f>
        <v/>
      </c>
      <c r="O377" s="11" t="n"/>
      <c r="P377" s="10">
        <f>IF(O377="","",IFERROR(VLOOKUP(O377,T_KHID,2,FALSE),0))</f>
        <v/>
      </c>
      <c r="Q377" s="11" t="n"/>
      <c r="R377" s="11" t="n"/>
      <c r="S377" s="10">
        <f>IF(AND(Q377="",R377=""),"",IFERROR(INDEX(T_LIBAT,MATCH(Q377,L_PER,0),MATCH(R377,L_JENIS,0)),0))</f>
        <v/>
      </c>
      <c r="T377" s="11" t="n"/>
      <c r="U377" s="11" t="n"/>
      <c r="V377" s="10">
        <f>IF(AND(T377="",U377=""),"",IFERROR(INDEX(T_CAPAI,MATCH(T377,L_PER,0),MATCH(U377,L_KED,0)),0))</f>
        <v/>
      </c>
      <c r="W377" s="17">
        <f>IF(OR(B377="",E377="",COUNTA(F377,H377,J377:M377,O377,Q377:R377,T377:U377)=0),"",SUM(G377,I377,N377,P377,S377,V377))</f>
        <v/>
      </c>
      <c r="X377" s="18">
        <f>IF(W377="","",IF(Murid!F377="TL","TL",ROUND(W377/110*100,2)))</f>
        <v/>
      </c>
    </row>
    <row r="378">
      <c r="A378" s="15">
        <f>Murid!A378</f>
        <v/>
      </c>
      <c r="B378" s="15">
        <f>IF(Murid!B378="","",Murid!B378)</f>
        <v/>
      </c>
      <c r="C378" s="16">
        <f>IF(Murid!C378="","",Murid!C378)</f>
        <v/>
      </c>
      <c r="D378" s="15">
        <f>IF(Murid!E378="","",Murid!E378)</f>
        <v/>
      </c>
      <c r="E378" s="11" t="n"/>
      <c r="F378" s="11" t="n"/>
      <c r="G378" s="10">
        <f>IF(F378="","",IFERROR(VLOOKUP(F378,T_JSP,2,FALSE),0))</f>
        <v/>
      </c>
      <c r="H378" s="11" t="n"/>
      <c r="I378" s="17">
        <f>IF(H378="","",IF(H378&gt;=12,40,ROUND(H378*3.33,2)))</f>
        <v/>
      </c>
      <c r="J378" s="11" t="n"/>
      <c r="K378" s="11" t="n"/>
      <c r="L378" s="11" t="n"/>
      <c r="M378" s="11" t="n"/>
      <c r="N378" s="10">
        <f>IF(COUNTA(J378:M378)=0,"",MIN(10,SUMPRODUCT((COUNTIF(J378:M378,L_KOM)&gt;0)*S_KOM)))</f>
        <v/>
      </c>
      <c r="O378" s="11" t="n"/>
      <c r="P378" s="10">
        <f>IF(O378="","",IFERROR(VLOOKUP(O378,T_KHID,2,FALSE),0))</f>
        <v/>
      </c>
      <c r="Q378" s="11" t="n"/>
      <c r="R378" s="11" t="n"/>
      <c r="S378" s="10">
        <f>IF(AND(Q378="",R378=""),"",IFERROR(INDEX(T_LIBAT,MATCH(Q378,L_PER,0),MATCH(R378,L_JENIS,0)),0))</f>
        <v/>
      </c>
      <c r="T378" s="11" t="n"/>
      <c r="U378" s="11" t="n"/>
      <c r="V378" s="10">
        <f>IF(AND(T378="",U378=""),"",IFERROR(INDEX(T_CAPAI,MATCH(T378,L_PER,0),MATCH(U378,L_KED,0)),0))</f>
        <v/>
      </c>
      <c r="W378" s="17">
        <f>IF(OR(B378="",E378="",COUNTA(F378,H378,J378:M378,O378,Q378:R378,T378:U378)=0),"",SUM(G378,I378,N378,P378,S378,V378))</f>
        <v/>
      </c>
      <c r="X378" s="18">
        <f>IF(W378="","",IF(Murid!F378="TL","TL",ROUND(W378/110*100,2)))</f>
        <v/>
      </c>
    </row>
    <row r="379">
      <c r="A379" s="15">
        <f>Murid!A379</f>
        <v/>
      </c>
      <c r="B379" s="15">
        <f>IF(Murid!B379="","",Murid!B379)</f>
        <v/>
      </c>
      <c r="C379" s="16">
        <f>IF(Murid!C379="","",Murid!C379)</f>
        <v/>
      </c>
      <c r="D379" s="15">
        <f>IF(Murid!E379="","",Murid!E379)</f>
        <v/>
      </c>
      <c r="E379" s="11" t="n"/>
      <c r="F379" s="11" t="n"/>
      <c r="G379" s="10">
        <f>IF(F379="","",IFERROR(VLOOKUP(F379,T_JSP,2,FALSE),0))</f>
        <v/>
      </c>
      <c r="H379" s="11" t="n"/>
      <c r="I379" s="17">
        <f>IF(H379="","",IF(H379&gt;=12,40,ROUND(H379*3.33,2)))</f>
        <v/>
      </c>
      <c r="J379" s="11" t="n"/>
      <c r="K379" s="11" t="n"/>
      <c r="L379" s="11" t="n"/>
      <c r="M379" s="11" t="n"/>
      <c r="N379" s="10">
        <f>IF(COUNTA(J379:M379)=0,"",MIN(10,SUMPRODUCT((COUNTIF(J379:M379,L_KOM)&gt;0)*S_KOM)))</f>
        <v/>
      </c>
      <c r="O379" s="11" t="n"/>
      <c r="P379" s="10">
        <f>IF(O379="","",IFERROR(VLOOKUP(O379,T_KHID,2,FALSE),0))</f>
        <v/>
      </c>
      <c r="Q379" s="11" t="n"/>
      <c r="R379" s="11" t="n"/>
      <c r="S379" s="10">
        <f>IF(AND(Q379="",R379=""),"",IFERROR(INDEX(T_LIBAT,MATCH(Q379,L_PER,0),MATCH(R379,L_JENIS,0)),0))</f>
        <v/>
      </c>
      <c r="T379" s="11" t="n"/>
      <c r="U379" s="11" t="n"/>
      <c r="V379" s="10">
        <f>IF(AND(T379="",U379=""),"",IFERROR(INDEX(T_CAPAI,MATCH(T379,L_PER,0),MATCH(U379,L_KED,0)),0))</f>
        <v/>
      </c>
      <c r="W379" s="17">
        <f>IF(OR(B379="",E379="",COUNTA(F379,H379,J379:M379,O379,Q379:R379,T379:U379)=0),"",SUM(G379,I379,N379,P379,S379,V379))</f>
        <v/>
      </c>
      <c r="X379" s="18">
        <f>IF(W379="","",IF(Murid!F379="TL","TL",ROUND(W379/110*100,2)))</f>
        <v/>
      </c>
    </row>
    <row r="380">
      <c r="A380" s="15">
        <f>Murid!A380</f>
        <v/>
      </c>
      <c r="B380" s="15">
        <f>IF(Murid!B380="","",Murid!B380)</f>
        <v/>
      </c>
      <c r="C380" s="16">
        <f>IF(Murid!C380="","",Murid!C380)</f>
        <v/>
      </c>
      <c r="D380" s="15">
        <f>IF(Murid!E380="","",Murid!E380)</f>
        <v/>
      </c>
      <c r="E380" s="11" t="n"/>
      <c r="F380" s="11" t="n"/>
      <c r="G380" s="10">
        <f>IF(F380="","",IFERROR(VLOOKUP(F380,T_JSP,2,FALSE),0))</f>
        <v/>
      </c>
      <c r="H380" s="11" t="n"/>
      <c r="I380" s="17">
        <f>IF(H380="","",IF(H380&gt;=12,40,ROUND(H380*3.33,2)))</f>
        <v/>
      </c>
      <c r="J380" s="11" t="n"/>
      <c r="K380" s="11" t="n"/>
      <c r="L380" s="11" t="n"/>
      <c r="M380" s="11" t="n"/>
      <c r="N380" s="10">
        <f>IF(COUNTA(J380:M380)=0,"",MIN(10,SUMPRODUCT((COUNTIF(J380:M380,L_KOM)&gt;0)*S_KOM)))</f>
        <v/>
      </c>
      <c r="O380" s="11" t="n"/>
      <c r="P380" s="10">
        <f>IF(O380="","",IFERROR(VLOOKUP(O380,T_KHID,2,FALSE),0))</f>
        <v/>
      </c>
      <c r="Q380" s="11" t="n"/>
      <c r="R380" s="11" t="n"/>
      <c r="S380" s="10">
        <f>IF(AND(Q380="",R380=""),"",IFERROR(INDEX(T_LIBAT,MATCH(Q380,L_PER,0),MATCH(R380,L_JENIS,0)),0))</f>
        <v/>
      </c>
      <c r="T380" s="11" t="n"/>
      <c r="U380" s="11" t="n"/>
      <c r="V380" s="10">
        <f>IF(AND(T380="",U380=""),"",IFERROR(INDEX(T_CAPAI,MATCH(T380,L_PER,0),MATCH(U380,L_KED,0)),0))</f>
        <v/>
      </c>
      <c r="W380" s="17">
        <f>IF(OR(B380="",E380="",COUNTA(F380,H380,J380:M380,O380,Q380:R380,T380:U380)=0),"",SUM(G380,I380,N380,P380,S380,V380))</f>
        <v/>
      </c>
      <c r="X380" s="18">
        <f>IF(W380="","",IF(Murid!F380="TL","TL",ROUND(W380/110*100,2)))</f>
        <v/>
      </c>
    </row>
    <row r="381">
      <c r="A381" s="15">
        <f>Murid!A381</f>
        <v/>
      </c>
      <c r="B381" s="15">
        <f>IF(Murid!B381="","",Murid!B381)</f>
        <v/>
      </c>
      <c r="C381" s="16">
        <f>IF(Murid!C381="","",Murid!C381)</f>
        <v/>
      </c>
      <c r="D381" s="15">
        <f>IF(Murid!E381="","",Murid!E381)</f>
        <v/>
      </c>
      <c r="E381" s="11" t="n"/>
      <c r="F381" s="11" t="n"/>
      <c r="G381" s="10">
        <f>IF(F381="","",IFERROR(VLOOKUP(F381,T_JSP,2,FALSE),0))</f>
        <v/>
      </c>
      <c r="H381" s="11" t="n"/>
      <c r="I381" s="17">
        <f>IF(H381="","",IF(H381&gt;=12,40,ROUND(H381*3.33,2)))</f>
        <v/>
      </c>
      <c r="J381" s="11" t="n"/>
      <c r="K381" s="11" t="n"/>
      <c r="L381" s="11" t="n"/>
      <c r="M381" s="11" t="n"/>
      <c r="N381" s="10">
        <f>IF(COUNTA(J381:M381)=0,"",MIN(10,SUMPRODUCT((COUNTIF(J381:M381,L_KOM)&gt;0)*S_KOM)))</f>
        <v/>
      </c>
      <c r="O381" s="11" t="n"/>
      <c r="P381" s="10">
        <f>IF(O381="","",IFERROR(VLOOKUP(O381,T_KHID,2,FALSE),0))</f>
        <v/>
      </c>
      <c r="Q381" s="11" t="n"/>
      <c r="R381" s="11" t="n"/>
      <c r="S381" s="10">
        <f>IF(AND(Q381="",R381=""),"",IFERROR(INDEX(T_LIBAT,MATCH(Q381,L_PER,0),MATCH(R381,L_JENIS,0)),0))</f>
        <v/>
      </c>
      <c r="T381" s="11" t="n"/>
      <c r="U381" s="11" t="n"/>
      <c r="V381" s="10">
        <f>IF(AND(T381="",U381=""),"",IFERROR(INDEX(T_CAPAI,MATCH(T381,L_PER,0),MATCH(U381,L_KED,0)),0))</f>
        <v/>
      </c>
      <c r="W381" s="17">
        <f>IF(OR(B381="",E381="",COUNTA(F381,H381,J381:M381,O381,Q381:R381,T381:U381)=0),"",SUM(G381,I381,N381,P381,S381,V381))</f>
        <v/>
      </c>
      <c r="X381" s="18">
        <f>IF(W381="","",IF(Murid!F381="TL","TL",ROUND(W381/110*100,2)))</f>
        <v/>
      </c>
    </row>
    <row r="382">
      <c r="A382" s="15">
        <f>Murid!A382</f>
        <v/>
      </c>
      <c r="B382" s="15">
        <f>IF(Murid!B382="","",Murid!B382)</f>
        <v/>
      </c>
      <c r="C382" s="16">
        <f>IF(Murid!C382="","",Murid!C382)</f>
        <v/>
      </c>
      <c r="D382" s="15">
        <f>IF(Murid!E382="","",Murid!E382)</f>
        <v/>
      </c>
      <c r="E382" s="11" t="n"/>
      <c r="F382" s="11" t="n"/>
      <c r="G382" s="10">
        <f>IF(F382="","",IFERROR(VLOOKUP(F382,T_JSP,2,FALSE),0))</f>
        <v/>
      </c>
      <c r="H382" s="11" t="n"/>
      <c r="I382" s="17">
        <f>IF(H382="","",IF(H382&gt;=12,40,ROUND(H382*3.33,2)))</f>
        <v/>
      </c>
      <c r="J382" s="11" t="n"/>
      <c r="K382" s="11" t="n"/>
      <c r="L382" s="11" t="n"/>
      <c r="M382" s="11" t="n"/>
      <c r="N382" s="10">
        <f>IF(COUNTA(J382:M382)=0,"",MIN(10,SUMPRODUCT((COUNTIF(J382:M382,L_KOM)&gt;0)*S_KOM)))</f>
        <v/>
      </c>
      <c r="O382" s="11" t="n"/>
      <c r="P382" s="10">
        <f>IF(O382="","",IFERROR(VLOOKUP(O382,T_KHID,2,FALSE),0))</f>
        <v/>
      </c>
      <c r="Q382" s="11" t="n"/>
      <c r="R382" s="11" t="n"/>
      <c r="S382" s="10">
        <f>IF(AND(Q382="",R382=""),"",IFERROR(INDEX(T_LIBAT,MATCH(Q382,L_PER,0),MATCH(R382,L_JENIS,0)),0))</f>
        <v/>
      </c>
      <c r="T382" s="11" t="n"/>
      <c r="U382" s="11" t="n"/>
      <c r="V382" s="10">
        <f>IF(AND(T382="",U382=""),"",IFERROR(INDEX(T_CAPAI,MATCH(T382,L_PER,0),MATCH(U382,L_KED,0)),0))</f>
        <v/>
      </c>
      <c r="W382" s="17">
        <f>IF(OR(B382="",E382="",COUNTA(F382,H382,J382:M382,O382,Q382:R382,T382:U382)=0),"",SUM(G382,I382,N382,P382,S382,V382))</f>
        <v/>
      </c>
      <c r="X382" s="18">
        <f>IF(W382="","",IF(Murid!F382="TL","TL",ROUND(W382/110*100,2)))</f>
        <v/>
      </c>
    </row>
    <row r="383">
      <c r="A383" s="15">
        <f>Murid!A383</f>
        <v/>
      </c>
      <c r="B383" s="15">
        <f>IF(Murid!B383="","",Murid!B383)</f>
        <v/>
      </c>
      <c r="C383" s="16">
        <f>IF(Murid!C383="","",Murid!C383)</f>
        <v/>
      </c>
      <c r="D383" s="15">
        <f>IF(Murid!E383="","",Murid!E383)</f>
        <v/>
      </c>
      <c r="E383" s="11" t="n"/>
      <c r="F383" s="11" t="n"/>
      <c r="G383" s="10">
        <f>IF(F383="","",IFERROR(VLOOKUP(F383,T_JSP,2,FALSE),0))</f>
        <v/>
      </c>
      <c r="H383" s="11" t="n"/>
      <c r="I383" s="17">
        <f>IF(H383="","",IF(H383&gt;=12,40,ROUND(H383*3.33,2)))</f>
        <v/>
      </c>
      <c r="J383" s="11" t="n"/>
      <c r="K383" s="11" t="n"/>
      <c r="L383" s="11" t="n"/>
      <c r="M383" s="11" t="n"/>
      <c r="N383" s="10">
        <f>IF(COUNTA(J383:M383)=0,"",MIN(10,SUMPRODUCT((COUNTIF(J383:M383,L_KOM)&gt;0)*S_KOM)))</f>
        <v/>
      </c>
      <c r="O383" s="11" t="n"/>
      <c r="P383" s="10">
        <f>IF(O383="","",IFERROR(VLOOKUP(O383,T_KHID,2,FALSE),0))</f>
        <v/>
      </c>
      <c r="Q383" s="11" t="n"/>
      <c r="R383" s="11" t="n"/>
      <c r="S383" s="10">
        <f>IF(AND(Q383="",R383=""),"",IFERROR(INDEX(T_LIBAT,MATCH(Q383,L_PER,0),MATCH(R383,L_JENIS,0)),0))</f>
        <v/>
      </c>
      <c r="T383" s="11" t="n"/>
      <c r="U383" s="11" t="n"/>
      <c r="V383" s="10">
        <f>IF(AND(T383="",U383=""),"",IFERROR(INDEX(T_CAPAI,MATCH(T383,L_PER,0),MATCH(U383,L_KED,0)),0))</f>
        <v/>
      </c>
      <c r="W383" s="17">
        <f>IF(OR(B383="",E383="",COUNTA(F383,H383,J383:M383,O383,Q383:R383,T383:U383)=0),"",SUM(G383,I383,N383,P383,S383,V383))</f>
        <v/>
      </c>
      <c r="X383" s="18">
        <f>IF(W383="","",IF(Murid!F383="TL","TL",ROUND(W383/110*100,2)))</f>
        <v/>
      </c>
    </row>
    <row r="384">
      <c r="A384" s="15">
        <f>Murid!A384</f>
        <v/>
      </c>
      <c r="B384" s="15">
        <f>IF(Murid!B384="","",Murid!B384)</f>
        <v/>
      </c>
      <c r="C384" s="16">
        <f>IF(Murid!C384="","",Murid!C384)</f>
        <v/>
      </c>
      <c r="D384" s="15">
        <f>IF(Murid!E384="","",Murid!E384)</f>
        <v/>
      </c>
      <c r="E384" s="11" t="n"/>
      <c r="F384" s="11" t="n"/>
      <c r="G384" s="10">
        <f>IF(F384="","",IFERROR(VLOOKUP(F384,T_JSP,2,FALSE),0))</f>
        <v/>
      </c>
      <c r="H384" s="11" t="n"/>
      <c r="I384" s="17">
        <f>IF(H384="","",IF(H384&gt;=12,40,ROUND(H384*3.33,2)))</f>
        <v/>
      </c>
      <c r="J384" s="11" t="n"/>
      <c r="K384" s="11" t="n"/>
      <c r="L384" s="11" t="n"/>
      <c r="M384" s="11" t="n"/>
      <c r="N384" s="10">
        <f>IF(COUNTA(J384:M384)=0,"",MIN(10,SUMPRODUCT((COUNTIF(J384:M384,L_KOM)&gt;0)*S_KOM)))</f>
        <v/>
      </c>
      <c r="O384" s="11" t="n"/>
      <c r="P384" s="10">
        <f>IF(O384="","",IFERROR(VLOOKUP(O384,T_KHID,2,FALSE),0))</f>
        <v/>
      </c>
      <c r="Q384" s="11" t="n"/>
      <c r="R384" s="11" t="n"/>
      <c r="S384" s="10">
        <f>IF(AND(Q384="",R384=""),"",IFERROR(INDEX(T_LIBAT,MATCH(Q384,L_PER,0),MATCH(R384,L_JENIS,0)),0))</f>
        <v/>
      </c>
      <c r="T384" s="11" t="n"/>
      <c r="U384" s="11" t="n"/>
      <c r="V384" s="10">
        <f>IF(AND(T384="",U384=""),"",IFERROR(INDEX(T_CAPAI,MATCH(T384,L_PER,0),MATCH(U384,L_KED,0)),0))</f>
        <v/>
      </c>
      <c r="W384" s="17">
        <f>IF(OR(B384="",E384="",COUNTA(F384,H384,J384:M384,O384,Q384:R384,T384:U384)=0),"",SUM(G384,I384,N384,P384,S384,V384))</f>
        <v/>
      </c>
      <c r="X384" s="18">
        <f>IF(W384="","",IF(Murid!F384="TL","TL",ROUND(W384/110*100,2)))</f>
        <v/>
      </c>
    </row>
    <row r="385">
      <c r="A385" s="15">
        <f>Murid!A385</f>
        <v/>
      </c>
      <c r="B385" s="15">
        <f>IF(Murid!B385="","",Murid!B385)</f>
        <v/>
      </c>
      <c r="C385" s="16">
        <f>IF(Murid!C385="","",Murid!C385)</f>
        <v/>
      </c>
      <c r="D385" s="15">
        <f>IF(Murid!E385="","",Murid!E385)</f>
        <v/>
      </c>
      <c r="E385" s="11" t="n"/>
      <c r="F385" s="11" t="n"/>
      <c r="G385" s="10">
        <f>IF(F385="","",IFERROR(VLOOKUP(F385,T_JSP,2,FALSE),0))</f>
        <v/>
      </c>
      <c r="H385" s="11" t="n"/>
      <c r="I385" s="17">
        <f>IF(H385="","",IF(H385&gt;=12,40,ROUND(H385*3.33,2)))</f>
        <v/>
      </c>
      <c r="J385" s="11" t="n"/>
      <c r="K385" s="11" t="n"/>
      <c r="L385" s="11" t="n"/>
      <c r="M385" s="11" t="n"/>
      <c r="N385" s="10">
        <f>IF(COUNTA(J385:M385)=0,"",MIN(10,SUMPRODUCT((COUNTIF(J385:M385,L_KOM)&gt;0)*S_KOM)))</f>
        <v/>
      </c>
      <c r="O385" s="11" t="n"/>
      <c r="P385" s="10">
        <f>IF(O385="","",IFERROR(VLOOKUP(O385,T_KHID,2,FALSE),0))</f>
        <v/>
      </c>
      <c r="Q385" s="11" t="n"/>
      <c r="R385" s="11" t="n"/>
      <c r="S385" s="10">
        <f>IF(AND(Q385="",R385=""),"",IFERROR(INDEX(T_LIBAT,MATCH(Q385,L_PER,0),MATCH(R385,L_JENIS,0)),0))</f>
        <v/>
      </c>
      <c r="T385" s="11" t="n"/>
      <c r="U385" s="11" t="n"/>
      <c r="V385" s="10">
        <f>IF(AND(T385="",U385=""),"",IFERROR(INDEX(T_CAPAI,MATCH(T385,L_PER,0),MATCH(U385,L_KED,0)),0))</f>
        <v/>
      </c>
      <c r="W385" s="17">
        <f>IF(OR(B385="",E385="",COUNTA(F385,H385,J385:M385,O385,Q385:R385,T385:U385)=0),"",SUM(G385,I385,N385,P385,S385,V385))</f>
        <v/>
      </c>
      <c r="X385" s="18">
        <f>IF(W385="","",IF(Murid!F385="TL","TL",ROUND(W385/110*100,2)))</f>
        <v/>
      </c>
    </row>
    <row r="386">
      <c r="A386" s="15">
        <f>Murid!A386</f>
        <v/>
      </c>
      <c r="B386" s="15">
        <f>IF(Murid!B386="","",Murid!B386)</f>
        <v/>
      </c>
      <c r="C386" s="16">
        <f>IF(Murid!C386="","",Murid!C386)</f>
        <v/>
      </c>
      <c r="D386" s="15">
        <f>IF(Murid!E386="","",Murid!E386)</f>
        <v/>
      </c>
      <c r="E386" s="11" t="n"/>
      <c r="F386" s="11" t="n"/>
      <c r="G386" s="10">
        <f>IF(F386="","",IFERROR(VLOOKUP(F386,T_JSP,2,FALSE),0))</f>
        <v/>
      </c>
      <c r="H386" s="11" t="n"/>
      <c r="I386" s="17">
        <f>IF(H386="","",IF(H386&gt;=12,40,ROUND(H386*3.33,2)))</f>
        <v/>
      </c>
      <c r="J386" s="11" t="n"/>
      <c r="K386" s="11" t="n"/>
      <c r="L386" s="11" t="n"/>
      <c r="M386" s="11" t="n"/>
      <c r="N386" s="10">
        <f>IF(COUNTA(J386:M386)=0,"",MIN(10,SUMPRODUCT((COUNTIF(J386:M386,L_KOM)&gt;0)*S_KOM)))</f>
        <v/>
      </c>
      <c r="O386" s="11" t="n"/>
      <c r="P386" s="10">
        <f>IF(O386="","",IFERROR(VLOOKUP(O386,T_KHID,2,FALSE),0))</f>
        <v/>
      </c>
      <c r="Q386" s="11" t="n"/>
      <c r="R386" s="11" t="n"/>
      <c r="S386" s="10">
        <f>IF(AND(Q386="",R386=""),"",IFERROR(INDEX(T_LIBAT,MATCH(Q386,L_PER,0),MATCH(R386,L_JENIS,0)),0))</f>
        <v/>
      </c>
      <c r="T386" s="11" t="n"/>
      <c r="U386" s="11" t="n"/>
      <c r="V386" s="10">
        <f>IF(AND(T386="",U386=""),"",IFERROR(INDEX(T_CAPAI,MATCH(T386,L_PER,0),MATCH(U386,L_KED,0)),0))</f>
        <v/>
      </c>
      <c r="W386" s="17">
        <f>IF(OR(B386="",E386="",COUNTA(F386,H386,J386:M386,O386,Q386:R386,T386:U386)=0),"",SUM(G386,I386,N386,P386,S386,V386))</f>
        <v/>
      </c>
      <c r="X386" s="18">
        <f>IF(W386="","",IF(Murid!F386="TL","TL",ROUND(W386/110*100,2)))</f>
        <v/>
      </c>
    </row>
    <row r="387">
      <c r="A387" s="15">
        <f>Murid!A387</f>
        <v/>
      </c>
      <c r="B387" s="15">
        <f>IF(Murid!B387="","",Murid!B387)</f>
        <v/>
      </c>
      <c r="C387" s="16">
        <f>IF(Murid!C387="","",Murid!C387)</f>
        <v/>
      </c>
      <c r="D387" s="15">
        <f>IF(Murid!E387="","",Murid!E387)</f>
        <v/>
      </c>
      <c r="E387" s="11" t="n"/>
      <c r="F387" s="11" t="n"/>
      <c r="G387" s="10">
        <f>IF(F387="","",IFERROR(VLOOKUP(F387,T_JSP,2,FALSE),0))</f>
        <v/>
      </c>
      <c r="H387" s="11" t="n"/>
      <c r="I387" s="17">
        <f>IF(H387="","",IF(H387&gt;=12,40,ROUND(H387*3.33,2)))</f>
        <v/>
      </c>
      <c r="J387" s="11" t="n"/>
      <c r="K387" s="11" t="n"/>
      <c r="L387" s="11" t="n"/>
      <c r="M387" s="11" t="n"/>
      <c r="N387" s="10">
        <f>IF(COUNTA(J387:M387)=0,"",MIN(10,SUMPRODUCT((COUNTIF(J387:M387,L_KOM)&gt;0)*S_KOM)))</f>
        <v/>
      </c>
      <c r="O387" s="11" t="n"/>
      <c r="P387" s="10">
        <f>IF(O387="","",IFERROR(VLOOKUP(O387,T_KHID,2,FALSE),0))</f>
        <v/>
      </c>
      <c r="Q387" s="11" t="n"/>
      <c r="R387" s="11" t="n"/>
      <c r="S387" s="10">
        <f>IF(AND(Q387="",R387=""),"",IFERROR(INDEX(T_LIBAT,MATCH(Q387,L_PER,0),MATCH(R387,L_JENIS,0)),0))</f>
        <v/>
      </c>
      <c r="T387" s="11" t="n"/>
      <c r="U387" s="11" t="n"/>
      <c r="V387" s="10">
        <f>IF(AND(T387="",U387=""),"",IFERROR(INDEX(T_CAPAI,MATCH(T387,L_PER,0),MATCH(U387,L_KED,0)),0))</f>
        <v/>
      </c>
      <c r="W387" s="17">
        <f>IF(OR(B387="",E387="",COUNTA(F387,H387,J387:M387,O387,Q387:R387,T387:U387)=0),"",SUM(G387,I387,N387,P387,S387,V387))</f>
        <v/>
      </c>
      <c r="X387" s="18">
        <f>IF(W387="","",IF(Murid!F387="TL","TL",ROUND(W387/110*100,2)))</f>
        <v/>
      </c>
    </row>
    <row r="388">
      <c r="A388" s="15">
        <f>Murid!A388</f>
        <v/>
      </c>
      <c r="B388" s="15">
        <f>IF(Murid!B388="","",Murid!B388)</f>
        <v/>
      </c>
      <c r="C388" s="16">
        <f>IF(Murid!C388="","",Murid!C388)</f>
        <v/>
      </c>
      <c r="D388" s="15">
        <f>IF(Murid!E388="","",Murid!E388)</f>
        <v/>
      </c>
      <c r="E388" s="11" t="n"/>
      <c r="F388" s="11" t="n"/>
      <c r="G388" s="10">
        <f>IF(F388="","",IFERROR(VLOOKUP(F388,T_JSP,2,FALSE),0))</f>
        <v/>
      </c>
      <c r="H388" s="11" t="n"/>
      <c r="I388" s="17">
        <f>IF(H388="","",IF(H388&gt;=12,40,ROUND(H388*3.33,2)))</f>
        <v/>
      </c>
      <c r="J388" s="11" t="n"/>
      <c r="K388" s="11" t="n"/>
      <c r="L388" s="11" t="n"/>
      <c r="M388" s="11" t="n"/>
      <c r="N388" s="10">
        <f>IF(COUNTA(J388:M388)=0,"",MIN(10,SUMPRODUCT((COUNTIF(J388:M388,L_KOM)&gt;0)*S_KOM)))</f>
        <v/>
      </c>
      <c r="O388" s="11" t="n"/>
      <c r="P388" s="10">
        <f>IF(O388="","",IFERROR(VLOOKUP(O388,T_KHID,2,FALSE),0))</f>
        <v/>
      </c>
      <c r="Q388" s="11" t="n"/>
      <c r="R388" s="11" t="n"/>
      <c r="S388" s="10">
        <f>IF(AND(Q388="",R388=""),"",IFERROR(INDEX(T_LIBAT,MATCH(Q388,L_PER,0),MATCH(R388,L_JENIS,0)),0))</f>
        <v/>
      </c>
      <c r="T388" s="11" t="n"/>
      <c r="U388" s="11" t="n"/>
      <c r="V388" s="10">
        <f>IF(AND(T388="",U388=""),"",IFERROR(INDEX(T_CAPAI,MATCH(T388,L_PER,0),MATCH(U388,L_KED,0)),0))</f>
        <v/>
      </c>
      <c r="W388" s="17">
        <f>IF(OR(B388="",E388="",COUNTA(F388,H388,J388:M388,O388,Q388:R388,T388:U388)=0),"",SUM(G388,I388,N388,P388,S388,V388))</f>
        <v/>
      </c>
      <c r="X388" s="18">
        <f>IF(W388="","",IF(Murid!F388="TL","TL",ROUND(W388/110*100,2)))</f>
        <v/>
      </c>
    </row>
    <row r="389">
      <c r="A389" s="15">
        <f>Murid!A389</f>
        <v/>
      </c>
      <c r="B389" s="15">
        <f>IF(Murid!B389="","",Murid!B389)</f>
        <v/>
      </c>
      <c r="C389" s="16">
        <f>IF(Murid!C389="","",Murid!C389)</f>
        <v/>
      </c>
      <c r="D389" s="15">
        <f>IF(Murid!E389="","",Murid!E389)</f>
        <v/>
      </c>
      <c r="E389" s="11" t="n"/>
      <c r="F389" s="11" t="n"/>
      <c r="G389" s="10">
        <f>IF(F389="","",IFERROR(VLOOKUP(F389,T_JSP,2,FALSE),0))</f>
        <v/>
      </c>
      <c r="H389" s="11" t="n"/>
      <c r="I389" s="17">
        <f>IF(H389="","",IF(H389&gt;=12,40,ROUND(H389*3.33,2)))</f>
        <v/>
      </c>
      <c r="J389" s="11" t="n"/>
      <c r="K389" s="11" t="n"/>
      <c r="L389" s="11" t="n"/>
      <c r="M389" s="11" t="n"/>
      <c r="N389" s="10">
        <f>IF(COUNTA(J389:M389)=0,"",MIN(10,SUMPRODUCT((COUNTIF(J389:M389,L_KOM)&gt;0)*S_KOM)))</f>
        <v/>
      </c>
      <c r="O389" s="11" t="n"/>
      <c r="P389" s="10">
        <f>IF(O389="","",IFERROR(VLOOKUP(O389,T_KHID,2,FALSE),0))</f>
        <v/>
      </c>
      <c r="Q389" s="11" t="n"/>
      <c r="R389" s="11" t="n"/>
      <c r="S389" s="10">
        <f>IF(AND(Q389="",R389=""),"",IFERROR(INDEX(T_LIBAT,MATCH(Q389,L_PER,0),MATCH(R389,L_JENIS,0)),0))</f>
        <v/>
      </c>
      <c r="T389" s="11" t="n"/>
      <c r="U389" s="11" t="n"/>
      <c r="V389" s="10">
        <f>IF(AND(T389="",U389=""),"",IFERROR(INDEX(T_CAPAI,MATCH(T389,L_PER,0),MATCH(U389,L_KED,0)),0))</f>
        <v/>
      </c>
      <c r="W389" s="17">
        <f>IF(OR(B389="",E389="",COUNTA(F389,H389,J389:M389,O389,Q389:R389,T389:U389)=0),"",SUM(G389,I389,N389,P389,S389,V389))</f>
        <v/>
      </c>
      <c r="X389" s="18">
        <f>IF(W389="","",IF(Murid!F389="TL","TL",ROUND(W389/110*100,2)))</f>
        <v/>
      </c>
    </row>
    <row r="390">
      <c r="A390" s="15">
        <f>Murid!A390</f>
        <v/>
      </c>
      <c r="B390" s="15">
        <f>IF(Murid!B390="","",Murid!B390)</f>
        <v/>
      </c>
      <c r="C390" s="16">
        <f>IF(Murid!C390="","",Murid!C390)</f>
        <v/>
      </c>
      <c r="D390" s="15">
        <f>IF(Murid!E390="","",Murid!E390)</f>
        <v/>
      </c>
      <c r="E390" s="11" t="n"/>
      <c r="F390" s="11" t="n"/>
      <c r="G390" s="10">
        <f>IF(F390="","",IFERROR(VLOOKUP(F390,T_JSP,2,FALSE),0))</f>
        <v/>
      </c>
      <c r="H390" s="11" t="n"/>
      <c r="I390" s="17">
        <f>IF(H390="","",IF(H390&gt;=12,40,ROUND(H390*3.33,2)))</f>
        <v/>
      </c>
      <c r="J390" s="11" t="n"/>
      <c r="K390" s="11" t="n"/>
      <c r="L390" s="11" t="n"/>
      <c r="M390" s="11" t="n"/>
      <c r="N390" s="10">
        <f>IF(COUNTA(J390:M390)=0,"",MIN(10,SUMPRODUCT((COUNTIF(J390:M390,L_KOM)&gt;0)*S_KOM)))</f>
        <v/>
      </c>
      <c r="O390" s="11" t="n"/>
      <c r="P390" s="10">
        <f>IF(O390="","",IFERROR(VLOOKUP(O390,T_KHID,2,FALSE),0))</f>
        <v/>
      </c>
      <c r="Q390" s="11" t="n"/>
      <c r="R390" s="11" t="n"/>
      <c r="S390" s="10">
        <f>IF(AND(Q390="",R390=""),"",IFERROR(INDEX(T_LIBAT,MATCH(Q390,L_PER,0),MATCH(R390,L_JENIS,0)),0))</f>
        <v/>
      </c>
      <c r="T390" s="11" t="n"/>
      <c r="U390" s="11" t="n"/>
      <c r="V390" s="10">
        <f>IF(AND(T390="",U390=""),"",IFERROR(INDEX(T_CAPAI,MATCH(T390,L_PER,0),MATCH(U390,L_KED,0)),0))</f>
        <v/>
      </c>
      <c r="W390" s="17">
        <f>IF(OR(B390="",E390="",COUNTA(F390,H390,J390:M390,O390,Q390:R390,T390:U390)=0),"",SUM(G390,I390,N390,P390,S390,V390))</f>
        <v/>
      </c>
      <c r="X390" s="18">
        <f>IF(W390="","",IF(Murid!F390="TL","TL",ROUND(W390/110*100,2)))</f>
        <v/>
      </c>
    </row>
    <row r="391">
      <c r="A391" s="15">
        <f>Murid!A391</f>
        <v/>
      </c>
      <c r="B391" s="15">
        <f>IF(Murid!B391="","",Murid!B391)</f>
        <v/>
      </c>
      <c r="C391" s="16">
        <f>IF(Murid!C391="","",Murid!C391)</f>
        <v/>
      </c>
      <c r="D391" s="15">
        <f>IF(Murid!E391="","",Murid!E391)</f>
        <v/>
      </c>
      <c r="E391" s="11" t="n"/>
      <c r="F391" s="11" t="n"/>
      <c r="G391" s="10">
        <f>IF(F391="","",IFERROR(VLOOKUP(F391,T_JSP,2,FALSE),0))</f>
        <v/>
      </c>
      <c r="H391" s="11" t="n"/>
      <c r="I391" s="17">
        <f>IF(H391="","",IF(H391&gt;=12,40,ROUND(H391*3.33,2)))</f>
        <v/>
      </c>
      <c r="J391" s="11" t="n"/>
      <c r="K391" s="11" t="n"/>
      <c r="L391" s="11" t="n"/>
      <c r="M391" s="11" t="n"/>
      <c r="N391" s="10">
        <f>IF(COUNTA(J391:M391)=0,"",MIN(10,SUMPRODUCT((COUNTIF(J391:M391,L_KOM)&gt;0)*S_KOM)))</f>
        <v/>
      </c>
      <c r="O391" s="11" t="n"/>
      <c r="P391" s="10">
        <f>IF(O391="","",IFERROR(VLOOKUP(O391,T_KHID,2,FALSE),0))</f>
        <v/>
      </c>
      <c r="Q391" s="11" t="n"/>
      <c r="R391" s="11" t="n"/>
      <c r="S391" s="10">
        <f>IF(AND(Q391="",R391=""),"",IFERROR(INDEX(T_LIBAT,MATCH(Q391,L_PER,0),MATCH(R391,L_JENIS,0)),0))</f>
        <v/>
      </c>
      <c r="T391" s="11" t="n"/>
      <c r="U391" s="11" t="n"/>
      <c r="V391" s="10">
        <f>IF(AND(T391="",U391=""),"",IFERROR(INDEX(T_CAPAI,MATCH(T391,L_PER,0),MATCH(U391,L_KED,0)),0))</f>
        <v/>
      </c>
      <c r="W391" s="17">
        <f>IF(OR(B391="",E391="",COUNTA(F391,H391,J391:M391,O391,Q391:R391,T391:U391)=0),"",SUM(G391,I391,N391,P391,S391,V391))</f>
        <v/>
      </c>
      <c r="X391" s="18">
        <f>IF(W391="","",IF(Murid!F391="TL","TL",ROUND(W391/110*100,2)))</f>
        <v/>
      </c>
    </row>
    <row r="392">
      <c r="A392" s="15">
        <f>Murid!A392</f>
        <v/>
      </c>
      <c r="B392" s="15">
        <f>IF(Murid!B392="","",Murid!B392)</f>
        <v/>
      </c>
      <c r="C392" s="16">
        <f>IF(Murid!C392="","",Murid!C392)</f>
        <v/>
      </c>
      <c r="D392" s="15">
        <f>IF(Murid!E392="","",Murid!E392)</f>
        <v/>
      </c>
      <c r="E392" s="11" t="n"/>
      <c r="F392" s="11" t="n"/>
      <c r="G392" s="10">
        <f>IF(F392="","",IFERROR(VLOOKUP(F392,T_JSP,2,FALSE),0))</f>
        <v/>
      </c>
      <c r="H392" s="11" t="n"/>
      <c r="I392" s="17">
        <f>IF(H392="","",IF(H392&gt;=12,40,ROUND(H392*3.33,2)))</f>
        <v/>
      </c>
      <c r="J392" s="11" t="n"/>
      <c r="K392" s="11" t="n"/>
      <c r="L392" s="11" t="n"/>
      <c r="M392" s="11" t="n"/>
      <c r="N392" s="10">
        <f>IF(COUNTA(J392:M392)=0,"",MIN(10,SUMPRODUCT((COUNTIF(J392:M392,L_KOM)&gt;0)*S_KOM)))</f>
        <v/>
      </c>
      <c r="O392" s="11" t="n"/>
      <c r="P392" s="10">
        <f>IF(O392="","",IFERROR(VLOOKUP(O392,T_KHID,2,FALSE),0))</f>
        <v/>
      </c>
      <c r="Q392" s="11" t="n"/>
      <c r="R392" s="11" t="n"/>
      <c r="S392" s="10">
        <f>IF(AND(Q392="",R392=""),"",IFERROR(INDEX(T_LIBAT,MATCH(Q392,L_PER,0),MATCH(R392,L_JENIS,0)),0))</f>
        <v/>
      </c>
      <c r="T392" s="11" t="n"/>
      <c r="U392" s="11" t="n"/>
      <c r="V392" s="10">
        <f>IF(AND(T392="",U392=""),"",IFERROR(INDEX(T_CAPAI,MATCH(T392,L_PER,0),MATCH(U392,L_KED,0)),0))</f>
        <v/>
      </c>
      <c r="W392" s="17">
        <f>IF(OR(B392="",E392="",COUNTA(F392,H392,J392:M392,O392,Q392:R392,T392:U392)=0),"",SUM(G392,I392,N392,P392,S392,V392))</f>
        <v/>
      </c>
      <c r="X392" s="18">
        <f>IF(W392="","",IF(Murid!F392="TL","TL",ROUND(W392/110*100,2)))</f>
        <v/>
      </c>
    </row>
    <row r="393">
      <c r="A393" s="15">
        <f>Murid!A393</f>
        <v/>
      </c>
      <c r="B393" s="15">
        <f>IF(Murid!B393="","",Murid!B393)</f>
        <v/>
      </c>
      <c r="C393" s="16">
        <f>IF(Murid!C393="","",Murid!C393)</f>
        <v/>
      </c>
      <c r="D393" s="15">
        <f>IF(Murid!E393="","",Murid!E393)</f>
        <v/>
      </c>
      <c r="E393" s="11" t="n"/>
      <c r="F393" s="11" t="n"/>
      <c r="G393" s="10">
        <f>IF(F393="","",IFERROR(VLOOKUP(F393,T_JSP,2,FALSE),0))</f>
        <v/>
      </c>
      <c r="H393" s="11" t="n"/>
      <c r="I393" s="17">
        <f>IF(H393="","",IF(H393&gt;=12,40,ROUND(H393*3.33,2)))</f>
        <v/>
      </c>
      <c r="J393" s="11" t="n"/>
      <c r="K393" s="11" t="n"/>
      <c r="L393" s="11" t="n"/>
      <c r="M393" s="11" t="n"/>
      <c r="N393" s="10">
        <f>IF(COUNTA(J393:M393)=0,"",MIN(10,SUMPRODUCT((COUNTIF(J393:M393,L_KOM)&gt;0)*S_KOM)))</f>
        <v/>
      </c>
      <c r="O393" s="11" t="n"/>
      <c r="P393" s="10">
        <f>IF(O393="","",IFERROR(VLOOKUP(O393,T_KHID,2,FALSE),0))</f>
        <v/>
      </c>
      <c r="Q393" s="11" t="n"/>
      <c r="R393" s="11" t="n"/>
      <c r="S393" s="10">
        <f>IF(AND(Q393="",R393=""),"",IFERROR(INDEX(T_LIBAT,MATCH(Q393,L_PER,0),MATCH(R393,L_JENIS,0)),0))</f>
        <v/>
      </c>
      <c r="T393" s="11" t="n"/>
      <c r="U393" s="11" t="n"/>
      <c r="V393" s="10">
        <f>IF(AND(T393="",U393=""),"",IFERROR(INDEX(T_CAPAI,MATCH(T393,L_PER,0),MATCH(U393,L_KED,0)),0))</f>
        <v/>
      </c>
      <c r="W393" s="17">
        <f>IF(OR(B393="",E393="",COUNTA(F393,H393,J393:M393,O393,Q393:R393,T393:U393)=0),"",SUM(G393,I393,N393,P393,S393,V393))</f>
        <v/>
      </c>
      <c r="X393" s="18">
        <f>IF(W393="","",IF(Murid!F393="TL","TL",ROUND(W393/110*100,2)))</f>
        <v/>
      </c>
    </row>
    <row r="394">
      <c r="A394" s="15">
        <f>Murid!A394</f>
        <v/>
      </c>
      <c r="B394" s="15">
        <f>IF(Murid!B394="","",Murid!B394)</f>
        <v/>
      </c>
      <c r="C394" s="16">
        <f>IF(Murid!C394="","",Murid!C394)</f>
        <v/>
      </c>
      <c r="D394" s="15">
        <f>IF(Murid!E394="","",Murid!E394)</f>
        <v/>
      </c>
      <c r="E394" s="11" t="n"/>
      <c r="F394" s="11" t="n"/>
      <c r="G394" s="10">
        <f>IF(F394="","",IFERROR(VLOOKUP(F394,T_JSP,2,FALSE),0))</f>
        <v/>
      </c>
      <c r="H394" s="11" t="n"/>
      <c r="I394" s="17">
        <f>IF(H394="","",IF(H394&gt;=12,40,ROUND(H394*3.33,2)))</f>
        <v/>
      </c>
      <c r="J394" s="11" t="n"/>
      <c r="K394" s="11" t="n"/>
      <c r="L394" s="11" t="n"/>
      <c r="M394" s="11" t="n"/>
      <c r="N394" s="10">
        <f>IF(COUNTA(J394:M394)=0,"",MIN(10,SUMPRODUCT((COUNTIF(J394:M394,L_KOM)&gt;0)*S_KOM)))</f>
        <v/>
      </c>
      <c r="O394" s="11" t="n"/>
      <c r="P394" s="10">
        <f>IF(O394="","",IFERROR(VLOOKUP(O394,T_KHID,2,FALSE),0))</f>
        <v/>
      </c>
      <c r="Q394" s="11" t="n"/>
      <c r="R394" s="11" t="n"/>
      <c r="S394" s="10">
        <f>IF(AND(Q394="",R394=""),"",IFERROR(INDEX(T_LIBAT,MATCH(Q394,L_PER,0),MATCH(R394,L_JENIS,0)),0))</f>
        <v/>
      </c>
      <c r="T394" s="11" t="n"/>
      <c r="U394" s="11" t="n"/>
      <c r="V394" s="10">
        <f>IF(AND(T394="",U394=""),"",IFERROR(INDEX(T_CAPAI,MATCH(T394,L_PER,0),MATCH(U394,L_KED,0)),0))</f>
        <v/>
      </c>
      <c r="W394" s="17">
        <f>IF(OR(B394="",E394="",COUNTA(F394,H394,J394:M394,O394,Q394:R394,T394:U394)=0),"",SUM(G394,I394,N394,P394,S394,V394))</f>
        <v/>
      </c>
      <c r="X394" s="18">
        <f>IF(W394="","",IF(Murid!F394="TL","TL",ROUND(W394/110*100,2)))</f>
        <v/>
      </c>
    </row>
    <row r="395">
      <c r="A395" s="15">
        <f>Murid!A395</f>
        <v/>
      </c>
      <c r="B395" s="15">
        <f>IF(Murid!B395="","",Murid!B395)</f>
        <v/>
      </c>
      <c r="C395" s="16">
        <f>IF(Murid!C395="","",Murid!C395)</f>
        <v/>
      </c>
      <c r="D395" s="15">
        <f>IF(Murid!E395="","",Murid!E395)</f>
        <v/>
      </c>
      <c r="E395" s="11" t="n"/>
      <c r="F395" s="11" t="n"/>
      <c r="G395" s="10">
        <f>IF(F395="","",IFERROR(VLOOKUP(F395,T_JSP,2,FALSE),0))</f>
        <v/>
      </c>
      <c r="H395" s="11" t="n"/>
      <c r="I395" s="17">
        <f>IF(H395="","",IF(H395&gt;=12,40,ROUND(H395*3.33,2)))</f>
        <v/>
      </c>
      <c r="J395" s="11" t="n"/>
      <c r="K395" s="11" t="n"/>
      <c r="L395" s="11" t="n"/>
      <c r="M395" s="11" t="n"/>
      <c r="N395" s="10">
        <f>IF(COUNTA(J395:M395)=0,"",MIN(10,SUMPRODUCT((COUNTIF(J395:M395,L_KOM)&gt;0)*S_KOM)))</f>
        <v/>
      </c>
      <c r="O395" s="11" t="n"/>
      <c r="P395" s="10">
        <f>IF(O395="","",IFERROR(VLOOKUP(O395,T_KHID,2,FALSE),0))</f>
        <v/>
      </c>
      <c r="Q395" s="11" t="n"/>
      <c r="R395" s="11" t="n"/>
      <c r="S395" s="10">
        <f>IF(AND(Q395="",R395=""),"",IFERROR(INDEX(T_LIBAT,MATCH(Q395,L_PER,0),MATCH(R395,L_JENIS,0)),0))</f>
        <v/>
      </c>
      <c r="T395" s="11" t="n"/>
      <c r="U395" s="11" t="n"/>
      <c r="V395" s="10">
        <f>IF(AND(T395="",U395=""),"",IFERROR(INDEX(T_CAPAI,MATCH(T395,L_PER,0),MATCH(U395,L_KED,0)),0))</f>
        <v/>
      </c>
      <c r="W395" s="17">
        <f>IF(OR(B395="",E395="",COUNTA(F395,H395,J395:M395,O395,Q395:R395,T395:U395)=0),"",SUM(G395,I395,N395,P395,S395,V395))</f>
        <v/>
      </c>
      <c r="X395" s="18">
        <f>IF(W395="","",IF(Murid!F395="TL","TL",ROUND(W395/110*100,2)))</f>
        <v/>
      </c>
    </row>
    <row r="396">
      <c r="A396" s="15">
        <f>Murid!A396</f>
        <v/>
      </c>
      <c r="B396" s="15">
        <f>IF(Murid!B396="","",Murid!B396)</f>
        <v/>
      </c>
      <c r="C396" s="16">
        <f>IF(Murid!C396="","",Murid!C396)</f>
        <v/>
      </c>
      <c r="D396" s="15">
        <f>IF(Murid!E396="","",Murid!E396)</f>
        <v/>
      </c>
      <c r="E396" s="11" t="n"/>
      <c r="F396" s="11" t="n"/>
      <c r="G396" s="10">
        <f>IF(F396="","",IFERROR(VLOOKUP(F396,T_JSP,2,FALSE),0))</f>
        <v/>
      </c>
      <c r="H396" s="11" t="n"/>
      <c r="I396" s="17">
        <f>IF(H396="","",IF(H396&gt;=12,40,ROUND(H396*3.33,2)))</f>
        <v/>
      </c>
      <c r="J396" s="11" t="n"/>
      <c r="K396" s="11" t="n"/>
      <c r="L396" s="11" t="n"/>
      <c r="M396" s="11" t="n"/>
      <c r="N396" s="10">
        <f>IF(COUNTA(J396:M396)=0,"",MIN(10,SUMPRODUCT((COUNTIF(J396:M396,L_KOM)&gt;0)*S_KOM)))</f>
        <v/>
      </c>
      <c r="O396" s="11" t="n"/>
      <c r="P396" s="10">
        <f>IF(O396="","",IFERROR(VLOOKUP(O396,T_KHID,2,FALSE),0))</f>
        <v/>
      </c>
      <c r="Q396" s="11" t="n"/>
      <c r="R396" s="11" t="n"/>
      <c r="S396" s="10">
        <f>IF(AND(Q396="",R396=""),"",IFERROR(INDEX(T_LIBAT,MATCH(Q396,L_PER,0),MATCH(R396,L_JENIS,0)),0))</f>
        <v/>
      </c>
      <c r="T396" s="11" t="n"/>
      <c r="U396" s="11" t="n"/>
      <c r="V396" s="10">
        <f>IF(AND(T396="",U396=""),"",IFERROR(INDEX(T_CAPAI,MATCH(T396,L_PER,0),MATCH(U396,L_KED,0)),0))</f>
        <v/>
      </c>
      <c r="W396" s="17">
        <f>IF(OR(B396="",E396="",COUNTA(F396,H396,J396:M396,O396,Q396:R396,T396:U396)=0),"",SUM(G396,I396,N396,P396,S396,V396))</f>
        <v/>
      </c>
      <c r="X396" s="18">
        <f>IF(W396="","",IF(Murid!F396="TL","TL",ROUND(W396/110*100,2)))</f>
        <v/>
      </c>
    </row>
    <row r="397">
      <c r="A397" s="15">
        <f>Murid!A397</f>
        <v/>
      </c>
      <c r="B397" s="15">
        <f>IF(Murid!B397="","",Murid!B397)</f>
        <v/>
      </c>
      <c r="C397" s="16">
        <f>IF(Murid!C397="","",Murid!C397)</f>
        <v/>
      </c>
      <c r="D397" s="15">
        <f>IF(Murid!E397="","",Murid!E397)</f>
        <v/>
      </c>
      <c r="E397" s="11" t="n"/>
      <c r="F397" s="11" t="n"/>
      <c r="G397" s="10">
        <f>IF(F397="","",IFERROR(VLOOKUP(F397,T_JSP,2,FALSE),0))</f>
        <v/>
      </c>
      <c r="H397" s="11" t="n"/>
      <c r="I397" s="17">
        <f>IF(H397="","",IF(H397&gt;=12,40,ROUND(H397*3.33,2)))</f>
        <v/>
      </c>
      <c r="J397" s="11" t="n"/>
      <c r="K397" s="11" t="n"/>
      <c r="L397" s="11" t="n"/>
      <c r="M397" s="11" t="n"/>
      <c r="N397" s="10">
        <f>IF(COUNTA(J397:M397)=0,"",MIN(10,SUMPRODUCT((COUNTIF(J397:M397,L_KOM)&gt;0)*S_KOM)))</f>
        <v/>
      </c>
      <c r="O397" s="11" t="n"/>
      <c r="P397" s="10">
        <f>IF(O397="","",IFERROR(VLOOKUP(O397,T_KHID,2,FALSE),0))</f>
        <v/>
      </c>
      <c r="Q397" s="11" t="n"/>
      <c r="R397" s="11" t="n"/>
      <c r="S397" s="10">
        <f>IF(AND(Q397="",R397=""),"",IFERROR(INDEX(T_LIBAT,MATCH(Q397,L_PER,0),MATCH(R397,L_JENIS,0)),0))</f>
        <v/>
      </c>
      <c r="T397" s="11" t="n"/>
      <c r="U397" s="11" t="n"/>
      <c r="V397" s="10">
        <f>IF(AND(T397="",U397=""),"",IFERROR(INDEX(T_CAPAI,MATCH(T397,L_PER,0),MATCH(U397,L_KED,0)),0))</f>
        <v/>
      </c>
      <c r="W397" s="17">
        <f>IF(OR(B397="",E397="",COUNTA(F397,H397,J397:M397,O397,Q397:R397,T397:U397)=0),"",SUM(G397,I397,N397,P397,S397,V397))</f>
        <v/>
      </c>
      <c r="X397" s="18">
        <f>IF(W397="","",IF(Murid!F397="TL","TL",ROUND(W397/110*100,2)))</f>
        <v/>
      </c>
    </row>
    <row r="398">
      <c r="A398" s="15">
        <f>Murid!A398</f>
        <v/>
      </c>
      <c r="B398" s="15">
        <f>IF(Murid!B398="","",Murid!B398)</f>
        <v/>
      </c>
      <c r="C398" s="16">
        <f>IF(Murid!C398="","",Murid!C398)</f>
        <v/>
      </c>
      <c r="D398" s="15">
        <f>IF(Murid!E398="","",Murid!E398)</f>
        <v/>
      </c>
      <c r="E398" s="11" t="n"/>
      <c r="F398" s="11" t="n"/>
      <c r="G398" s="10">
        <f>IF(F398="","",IFERROR(VLOOKUP(F398,T_JSP,2,FALSE),0))</f>
        <v/>
      </c>
      <c r="H398" s="11" t="n"/>
      <c r="I398" s="17">
        <f>IF(H398="","",IF(H398&gt;=12,40,ROUND(H398*3.33,2)))</f>
        <v/>
      </c>
      <c r="J398" s="11" t="n"/>
      <c r="K398" s="11" t="n"/>
      <c r="L398" s="11" t="n"/>
      <c r="M398" s="11" t="n"/>
      <c r="N398" s="10">
        <f>IF(COUNTA(J398:M398)=0,"",MIN(10,SUMPRODUCT((COUNTIF(J398:M398,L_KOM)&gt;0)*S_KOM)))</f>
        <v/>
      </c>
      <c r="O398" s="11" t="n"/>
      <c r="P398" s="10">
        <f>IF(O398="","",IFERROR(VLOOKUP(O398,T_KHID,2,FALSE),0))</f>
        <v/>
      </c>
      <c r="Q398" s="11" t="n"/>
      <c r="R398" s="11" t="n"/>
      <c r="S398" s="10">
        <f>IF(AND(Q398="",R398=""),"",IFERROR(INDEX(T_LIBAT,MATCH(Q398,L_PER,0),MATCH(R398,L_JENIS,0)),0))</f>
        <v/>
      </c>
      <c r="T398" s="11" t="n"/>
      <c r="U398" s="11" t="n"/>
      <c r="V398" s="10">
        <f>IF(AND(T398="",U398=""),"",IFERROR(INDEX(T_CAPAI,MATCH(T398,L_PER,0),MATCH(U398,L_KED,0)),0))</f>
        <v/>
      </c>
      <c r="W398" s="17">
        <f>IF(OR(B398="",E398="",COUNTA(F398,H398,J398:M398,O398,Q398:R398,T398:U398)=0),"",SUM(G398,I398,N398,P398,S398,V398))</f>
        <v/>
      </c>
      <c r="X398" s="18">
        <f>IF(W398="","",IF(Murid!F398="TL","TL",ROUND(W398/110*100,2)))</f>
        <v/>
      </c>
    </row>
    <row r="399">
      <c r="A399" s="15">
        <f>Murid!A399</f>
        <v/>
      </c>
      <c r="B399" s="15">
        <f>IF(Murid!B399="","",Murid!B399)</f>
        <v/>
      </c>
      <c r="C399" s="16">
        <f>IF(Murid!C399="","",Murid!C399)</f>
        <v/>
      </c>
      <c r="D399" s="15">
        <f>IF(Murid!E399="","",Murid!E399)</f>
        <v/>
      </c>
      <c r="E399" s="11" t="n"/>
      <c r="F399" s="11" t="n"/>
      <c r="G399" s="10">
        <f>IF(F399="","",IFERROR(VLOOKUP(F399,T_JSP,2,FALSE),0))</f>
        <v/>
      </c>
      <c r="H399" s="11" t="n"/>
      <c r="I399" s="17">
        <f>IF(H399="","",IF(H399&gt;=12,40,ROUND(H399*3.33,2)))</f>
        <v/>
      </c>
      <c r="J399" s="11" t="n"/>
      <c r="K399" s="11" t="n"/>
      <c r="L399" s="11" t="n"/>
      <c r="M399" s="11" t="n"/>
      <c r="N399" s="10">
        <f>IF(COUNTA(J399:M399)=0,"",MIN(10,SUMPRODUCT((COUNTIF(J399:M399,L_KOM)&gt;0)*S_KOM)))</f>
        <v/>
      </c>
      <c r="O399" s="11" t="n"/>
      <c r="P399" s="10">
        <f>IF(O399="","",IFERROR(VLOOKUP(O399,T_KHID,2,FALSE),0))</f>
        <v/>
      </c>
      <c r="Q399" s="11" t="n"/>
      <c r="R399" s="11" t="n"/>
      <c r="S399" s="10">
        <f>IF(AND(Q399="",R399=""),"",IFERROR(INDEX(T_LIBAT,MATCH(Q399,L_PER,0),MATCH(R399,L_JENIS,0)),0))</f>
        <v/>
      </c>
      <c r="T399" s="11" t="n"/>
      <c r="U399" s="11" t="n"/>
      <c r="V399" s="10">
        <f>IF(AND(T399="",U399=""),"",IFERROR(INDEX(T_CAPAI,MATCH(T399,L_PER,0),MATCH(U399,L_KED,0)),0))</f>
        <v/>
      </c>
      <c r="W399" s="17">
        <f>IF(OR(B399="",E399="",COUNTA(F399,H399,J399:M399,O399,Q399:R399,T399:U399)=0),"",SUM(G399,I399,N399,P399,S399,V399))</f>
        <v/>
      </c>
      <c r="X399" s="18">
        <f>IF(W399="","",IF(Murid!F399="TL","TL",ROUND(W399/110*100,2)))</f>
        <v/>
      </c>
    </row>
    <row r="400">
      <c r="A400" s="15">
        <f>Murid!A400</f>
        <v/>
      </c>
      <c r="B400" s="15">
        <f>IF(Murid!B400="","",Murid!B400)</f>
        <v/>
      </c>
      <c r="C400" s="16">
        <f>IF(Murid!C400="","",Murid!C400)</f>
        <v/>
      </c>
      <c r="D400" s="15">
        <f>IF(Murid!E400="","",Murid!E400)</f>
        <v/>
      </c>
      <c r="E400" s="11" t="n"/>
      <c r="F400" s="11" t="n"/>
      <c r="G400" s="10">
        <f>IF(F400="","",IFERROR(VLOOKUP(F400,T_JSP,2,FALSE),0))</f>
        <v/>
      </c>
      <c r="H400" s="11" t="n"/>
      <c r="I400" s="17">
        <f>IF(H400="","",IF(H400&gt;=12,40,ROUND(H400*3.33,2)))</f>
        <v/>
      </c>
      <c r="J400" s="11" t="n"/>
      <c r="K400" s="11" t="n"/>
      <c r="L400" s="11" t="n"/>
      <c r="M400" s="11" t="n"/>
      <c r="N400" s="10">
        <f>IF(COUNTA(J400:M400)=0,"",MIN(10,SUMPRODUCT((COUNTIF(J400:M400,L_KOM)&gt;0)*S_KOM)))</f>
        <v/>
      </c>
      <c r="O400" s="11" t="n"/>
      <c r="P400" s="10">
        <f>IF(O400="","",IFERROR(VLOOKUP(O400,T_KHID,2,FALSE),0))</f>
        <v/>
      </c>
      <c r="Q400" s="11" t="n"/>
      <c r="R400" s="11" t="n"/>
      <c r="S400" s="10">
        <f>IF(AND(Q400="",R400=""),"",IFERROR(INDEX(T_LIBAT,MATCH(Q400,L_PER,0),MATCH(R400,L_JENIS,0)),0))</f>
        <v/>
      </c>
      <c r="T400" s="11" t="n"/>
      <c r="U400" s="11" t="n"/>
      <c r="V400" s="10">
        <f>IF(AND(T400="",U400=""),"",IFERROR(INDEX(T_CAPAI,MATCH(T400,L_PER,0),MATCH(U400,L_KED,0)),0))</f>
        <v/>
      </c>
      <c r="W400" s="17">
        <f>IF(OR(B400="",E400="",COUNTA(F400,H400,J400:M400,O400,Q400:R400,T400:U400)=0),"",SUM(G400,I400,N400,P400,S400,V400))</f>
        <v/>
      </c>
      <c r="X400" s="18">
        <f>IF(W400="","",IF(Murid!F400="TL","TL",ROUND(W400/110*100,2)))</f>
        <v/>
      </c>
    </row>
    <row r="401">
      <c r="A401" s="15">
        <f>Murid!A401</f>
        <v/>
      </c>
      <c r="B401" s="15">
        <f>IF(Murid!B401="","",Murid!B401)</f>
        <v/>
      </c>
      <c r="C401" s="16">
        <f>IF(Murid!C401="","",Murid!C401)</f>
        <v/>
      </c>
      <c r="D401" s="15">
        <f>IF(Murid!E401="","",Murid!E401)</f>
        <v/>
      </c>
      <c r="E401" s="11" t="n"/>
      <c r="F401" s="11" t="n"/>
      <c r="G401" s="10">
        <f>IF(F401="","",IFERROR(VLOOKUP(F401,T_JSP,2,FALSE),0))</f>
        <v/>
      </c>
      <c r="H401" s="11" t="n"/>
      <c r="I401" s="17">
        <f>IF(H401="","",IF(H401&gt;=12,40,ROUND(H401*3.33,2)))</f>
        <v/>
      </c>
      <c r="J401" s="11" t="n"/>
      <c r="K401" s="11" t="n"/>
      <c r="L401" s="11" t="n"/>
      <c r="M401" s="11" t="n"/>
      <c r="N401" s="10">
        <f>IF(COUNTA(J401:M401)=0,"",MIN(10,SUMPRODUCT((COUNTIF(J401:M401,L_KOM)&gt;0)*S_KOM)))</f>
        <v/>
      </c>
      <c r="O401" s="11" t="n"/>
      <c r="P401" s="10">
        <f>IF(O401="","",IFERROR(VLOOKUP(O401,T_KHID,2,FALSE),0))</f>
        <v/>
      </c>
      <c r="Q401" s="11" t="n"/>
      <c r="R401" s="11" t="n"/>
      <c r="S401" s="10">
        <f>IF(AND(Q401="",R401=""),"",IFERROR(INDEX(T_LIBAT,MATCH(Q401,L_PER,0),MATCH(R401,L_JENIS,0)),0))</f>
        <v/>
      </c>
      <c r="T401" s="11" t="n"/>
      <c r="U401" s="11" t="n"/>
      <c r="V401" s="10">
        <f>IF(AND(T401="",U401=""),"",IFERROR(INDEX(T_CAPAI,MATCH(T401,L_PER,0),MATCH(U401,L_KED,0)),0))</f>
        <v/>
      </c>
      <c r="W401" s="17">
        <f>IF(OR(B401="",E401="",COUNTA(F401,H401,J401:M401,O401,Q401:R401,T401:U401)=0),"",SUM(G401,I401,N401,P401,S401,V401))</f>
        <v/>
      </c>
      <c r="X401" s="18">
        <f>IF(W401="","",IF(Murid!F401="TL","TL",ROUND(W401/110*100,2)))</f>
        <v/>
      </c>
    </row>
    <row r="402">
      <c r="A402" s="15">
        <f>Murid!A402</f>
        <v/>
      </c>
      <c r="B402" s="15">
        <f>IF(Murid!B402="","",Murid!B402)</f>
        <v/>
      </c>
      <c r="C402" s="16">
        <f>IF(Murid!C402="","",Murid!C402)</f>
        <v/>
      </c>
      <c r="D402" s="15">
        <f>IF(Murid!E402="","",Murid!E402)</f>
        <v/>
      </c>
      <c r="E402" s="11" t="n"/>
      <c r="F402" s="11" t="n"/>
      <c r="G402" s="10">
        <f>IF(F402="","",IFERROR(VLOOKUP(F402,T_JSP,2,FALSE),0))</f>
        <v/>
      </c>
      <c r="H402" s="11" t="n"/>
      <c r="I402" s="17">
        <f>IF(H402="","",IF(H402&gt;=12,40,ROUND(H402*3.33,2)))</f>
        <v/>
      </c>
      <c r="J402" s="11" t="n"/>
      <c r="K402" s="11" t="n"/>
      <c r="L402" s="11" t="n"/>
      <c r="M402" s="11" t="n"/>
      <c r="N402" s="10">
        <f>IF(COUNTA(J402:M402)=0,"",MIN(10,SUMPRODUCT((COUNTIF(J402:M402,L_KOM)&gt;0)*S_KOM)))</f>
        <v/>
      </c>
      <c r="O402" s="11" t="n"/>
      <c r="P402" s="10">
        <f>IF(O402="","",IFERROR(VLOOKUP(O402,T_KHID,2,FALSE),0))</f>
        <v/>
      </c>
      <c r="Q402" s="11" t="n"/>
      <c r="R402" s="11" t="n"/>
      <c r="S402" s="10">
        <f>IF(AND(Q402="",R402=""),"",IFERROR(INDEX(T_LIBAT,MATCH(Q402,L_PER,0),MATCH(R402,L_JENIS,0)),0))</f>
        <v/>
      </c>
      <c r="T402" s="11" t="n"/>
      <c r="U402" s="11" t="n"/>
      <c r="V402" s="10">
        <f>IF(AND(T402="",U402=""),"",IFERROR(INDEX(T_CAPAI,MATCH(T402,L_PER,0),MATCH(U402,L_KED,0)),0))</f>
        <v/>
      </c>
      <c r="W402" s="17">
        <f>IF(OR(B402="",E402="",COUNTA(F402,H402,J402:M402,O402,Q402:R402,T402:U402)=0),"",SUM(G402,I402,N402,P402,S402,V402))</f>
        <v/>
      </c>
      <c r="X402" s="18">
        <f>IF(W402="","",IF(Murid!F402="TL","TL",ROUND(W402/110*100,2)))</f>
        <v/>
      </c>
    </row>
    <row r="403">
      <c r="A403" s="15">
        <f>Murid!A403</f>
        <v/>
      </c>
      <c r="B403" s="15">
        <f>IF(Murid!B403="","",Murid!B403)</f>
        <v/>
      </c>
      <c r="C403" s="16">
        <f>IF(Murid!C403="","",Murid!C403)</f>
        <v/>
      </c>
      <c r="D403" s="15">
        <f>IF(Murid!E403="","",Murid!E403)</f>
        <v/>
      </c>
      <c r="E403" s="11" t="n"/>
      <c r="F403" s="11" t="n"/>
      <c r="G403" s="10">
        <f>IF(F403="","",IFERROR(VLOOKUP(F403,T_JSP,2,FALSE),0))</f>
        <v/>
      </c>
      <c r="H403" s="11" t="n"/>
      <c r="I403" s="17">
        <f>IF(H403="","",IF(H403&gt;=12,40,ROUND(H403*3.33,2)))</f>
        <v/>
      </c>
      <c r="J403" s="11" t="n"/>
      <c r="K403" s="11" t="n"/>
      <c r="L403" s="11" t="n"/>
      <c r="M403" s="11" t="n"/>
      <c r="N403" s="10">
        <f>IF(COUNTA(J403:M403)=0,"",MIN(10,SUMPRODUCT((COUNTIF(J403:M403,L_KOM)&gt;0)*S_KOM)))</f>
        <v/>
      </c>
      <c r="O403" s="11" t="n"/>
      <c r="P403" s="10">
        <f>IF(O403="","",IFERROR(VLOOKUP(O403,T_KHID,2,FALSE),0))</f>
        <v/>
      </c>
      <c r="Q403" s="11" t="n"/>
      <c r="R403" s="11" t="n"/>
      <c r="S403" s="10">
        <f>IF(AND(Q403="",R403=""),"",IFERROR(INDEX(T_LIBAT,MATCH(Q403,L_PER,0),MATCH(R403,L_JENIS,0)),0))</f>
        <v/>
      </c>
      <c r="T403" s="11" t="n"/>
      <c r="U403" s="11" t="n"/>
      <c r="V403" s="10">
        <f>IF(AND(T403="",U403=""),"",IFERROR(INDEX(T_CAPAI,MATCH(T403,L_PER,0),MATCH(U403,L_KED,0)),0))</f>
        <v/>
      </c>
      <c r="W403" s="17">
        <f>IF(OR(B403="",E403="",COUNTA(F403,H403,J403:M403,O403,Q403:R403,T403:U403)=0),"",SUM(G403,I403,N403,P403,S403,V403))</f>
        <v/>
      </c>
      <c r="X403" s="18">
        <f>IF(W403="","",IF(Murid!F403="TL","TL",ROUND(W403/110*100,2)))</f>
        <v/>
      </c>
    </row>
    <row r="404">
      <c r="A404" s="15">
        <f>Murid!A404</f>
        <v/>
      </c>
      <c r="B404" s="15">
        <f>IF(Murid!B404="","",Murid!B404)</f>
        <v/>
      </c>
      <c r="C404" s="16">
        <f>IF(Murid!C404="","",Murid!C404)</f>
        <v/>
      </c>
      <c r="D404" s="15">
        <f>IF(Murid!E404="","",Murid!E404)</f>
        <v/>
      </c>
      <c r="E404" s="11" t="n"/>
      <c r="F404" s="11" t="n"/>
      <c r="G404" s="10">
        <f>IF(F404="","",IFERROR(VLOOKUP(F404,T_JSP,2,FALSE),0))</f>
        <v/>
      </c>
      <c r="H404" s="11" t="n"/>
      <c r="I404" s="17">
        <f>IF(H404="","",IF(H404&gt;=12,40,ROUND(H404*3.33,2)))</f>
        <v/>
      </c>
      <c r="J404" s="11" t="n"/>
      <c r="K404" s="11" t="n"/>
      <c r="L404" s="11" t="n"/>
      <c r="M404" s="11" t="n"/>
      <c r="N404" s="10">
        <f>IF(COUNTA(J404:M404)=0,"",MIN(10,SUMPRODUCT((COUNTIF(J404:M404,L_KOM)&gt;0)*S_KOM)))</f>
        <v/>
      </c>
      <c r="O404" s="11" t="n"/>
      <c r="P404" s="10">
        <f>IF(O404="","",IFERROR(VLOOKUP(O404,T_KHID,2,FALSE),0))</f>
        <v/>
      </c>
      <c r="Q404" s="11" t="n"/>
      <c r="R404" s="11" t="n"/>
      <c r="S404" s="10">
        <f>IF(AND(Q404="",R404=""),"",IFERROR(INDEX(T_LIBAT,MATCH(Q404,L_PER,0),MATCH(R404,L_JENIS,0)),0))</f>
        <v/>
      </c>
      <c r="T404" s="11" t="n"/>
      <c r="U404" s="11" t="n"/>
      <c r="V404" s="10">
        <f>IF(AND(T404="",U404=""),"",IFERROR(INDEX(T_CAPAI,MATCH(T404,L_PER,0),MATCH(U404,L_KED,0)),0))</f>
        <v/>
      </c>
      <c r="W404" s="17">
        <f>IF(OR(B404="",E404="",COUNTA(F404,H404,J404:M404,O404,Q404:R404,T404:U404)=0),"",SUM(G404,I404,N404,P404,S404,V404))</f>
        <v/>
      </c>
      <c r="X404" s="18">
        <f>IF(W404="","",IF(Murid!F404="TL","TL",ROUND(W404/110*100,2)))</f>
        <v/>
      </c>
    </row>
    <row r="405">
      <c r="A405" s="15">
        <f>Murid!A405</f>
        <v/>
      </c>
      <c r="B405" s="15">
        <f>IF(Murid!B405="","",Murid!B405)</f>
        <v/>
      </c>
      <c r="C405" s="16">
        <f>IF(Murid!C405="","",Murid!C405)</f>
        <v/>
      </c>
      <c r="D405" s="15">
        <f>IF(Murid!E405="","",Murid!E405)</f>
        <v/>
      </c>
      <c r="E405" s="11" t="n"/>
      <c r="F405" s="11" t="n"/>
      <c r="G405" s="10">
        <f>IF(F405="","",IFERROR(VLOOKUP(F405,T_JSP,2,FALSE),0))</f>
        <v/>
      </c>
      <c r="H405" s="11" t="n"/>
      <c r="I405" s="17">
        <f>IF(H405="","",IF(H405&gt;=12,40,ROUND(H405*3.33,2)))</f>
        <v/>
      </c>
      <c r="J405" s="11" t="n"/>
      <c r="K405" s="11" t="n"/>
      <c r="L405" s="11" t="n"/>
      <c r="M405" s="11" t="n"/>
      <c r="N405" s="10">
        <f>IF(COUNTA(J405:M405)=0,"",MIN(10,SUMPRODUCT((COUNTIF(J405:M405,L_KOM)&gt;0)*S_KOM)))</f>
        <v/>
      </c>
      <c r="O405" s="11" t="n"/>
      <c r="P405" s="10">
        <f>IF(O405="","",IFERROR(VLOOKUP(O405,T_KHID,2,FALSE),0))</f>
        <v/>
      </c>
      <c r="Q405" s="11" t="n"/>
      <c r="R405" s="11" t="n"/>
      <c r="S405" s="10">
        <f>IF(AND(Q405="",R405=""),"",IFERROR(INDEX(T_LIBAT,MATCH(Q405,L_PER,0),MATCH(R405,L_JENIS,0)),0))</f>
        <v/>
      </c>
      <c r="T405" s="11" t="n"/>
      <c r="U405" s="11" t="n"/>
      <c r="V405" s="10">
        <f>IF(AND(T405="",U405=""),"",IFERROR(INDEX(T_CAPAI,MATCH(T405,L_PER,0),MATCH(U405,L_KED,0)),0))</f>
        <v/>
      </c>
      <c r="W405" s="17">
        <f>IF(OR(B405="",E405="",COUNTA(F405,H405,J405:M405,O405,Q405:R405,T405:U405)=0),"",SUM(G405,I405,N405,P405,S405,V405))</f>
        <v/>
      </c>
      <c r="X405" s="18">
        <f>IF(W405="","",IF(Murid!F405="TL","TL",ROUND(W405/110*100,2)))</f>
        <v/>
      </c>
    </row>
    <row r="406">
      <c r="A406" s="15">
        <f>Murid!A406</f>
        <v/>
      </c>
      <c r="B406" s="15">
        <f>IF(Murid!B406="","",Murid!B406)</f>
        <v/>
      </c>
      <c r="C406" s="16">
        <f>IF(Murid!C406="","",Murid!C406)</f>
        <v/>
      </c>
      <c r="D406" s="15">
        <f>IF(Murid!E406="","",Murid!E406)</f>
        <v/>
      </c>
      <c r="E406" s="11" t="n"/>
      <c r="F406" s="11" t="n"/>
      <c r="G406" s="10">
        <f>IF(F406="","",IFERROR(VLOOKUP(F406,T_JSP,2,FALSE),0))</f>
        <v/>
      </c>
      <c r="H406" s="11" t="n"/>
      <c r="I406" s="17">
        <f>IF(H406="","",IF(H406&gt;=12,40,ROUND(H406*3.33,2)))</f>
        <v/>
      </c>
      <c r="J406" s="11" t="n"/>
      <c r="K406" s="11" t="n"/>
      <c r="L406" s="11" t="n"/>
      <c r="M406" s="11" t="n"/>
      <c r="N406" s="10">
        <f>IF(COUNTA(J406:M406)=0,"",MIN(10,SUMPRODUCT((COUNTIF(J406:M406,L_KOM)&gt;0)*S_KOM)))</f>
        <v/>
      </c>
      <c r="O406" s="11" t="n"/>
      <c r="P406" s="10">
        <f>IF(O406="","",IFERROR(VLOOKUP(O406,T_KHID,2,FALSE),0))</f>
        <v/>
      </c>
      <c r="Q406" s="11" t="n"/>
      <c r="R406" s="11" t="n"/>
      <c r="S406" s="10">
        <f>IF(AND(Q406="",R406=""),"",IFERROR(INDEX(T_LIBAT,MATCH(Q406,L_PER,0),MATCH(R406,L_JENIS,0)),0))</f>
        <v/>
      </c>
      <c r="T406" s="11" t="n"/>
      <c r="U406" s="11" t="n"/>
      <c r="V406" s="10">
        <f>IF(AND(T406="",U406=""),"",IFERROR(INDEX(T_CAPAI,MATCH(T406,L_PER,0),MATCH(U406,L_KED,0)),0))</f>
        <v/>
      </c>
      <c r="W406" s="17">
        <f>IF(OR(B406="",E406="",COUNTA(F406,H406,J406:M406,O406,Q406:R406,T406:U406)=0),"",SUM(G406,I406,N406,P406,S406,V406))</f>
        <v/>
      </c>
      <c r="X406" s="18">
        <f>IF(W406="","",IF(Murid!F406="TL","TL",ROUND(W406/110*100,2)))</f>
        <v/>
      </c>
    </row>
    <row r="407">
      <c r="A407" s="15">
        <f>Murid!A407</f>
        <v/>
      </c>
      <c r="B407" s="15">
        <f>IF(Murid!B407="","",Murid!B407)</f>
        <v/>
      </c>
      <c r="C407" s="16">
        <f>IF(Murid!C407="","",Murid!C407)</f>
        <v/>
      </c>
      <c r="D407" s="15">
        <f>IF(Murid!E407="","",Murid!E407)</f>
        <v/>
      </c>
      <c r="E407" s="11" t="n"/>
      <c r="F407" s="11" t="n"/>
      <c r="G407" s="10">
        <f>IF(F407="","",IFERROR(VLOOKUP(F407,T_JSP,2,FALSE),0))</f>
        <v/>
      </c>
      <c r="H407" s="11" t="n"/>
      <c r="I407" s="17">
        <f>IF(H407="","",IF(H407&gt;=12,40,ROUND(H407*3.33,2)))</f>
        <v/>
      </c>
      <c r="J407" s="11" t="n"/>
      <c r="K407" s="11" t="n"/>
      <c r="L407" s="11" t="n"/>
      <c r="M407" s="11" t="n"/>
      <c r="N407" s="10">
        <f>IF(COUNTA(J407:M407)=0,"",MIN(10,SUMPRODUCT((COUNTIF(J407:M407,L_KOM)&gt;0)*S_KOM)))</f>
        <v/>
      </c>
      <c r="O407" s="11" t="n"/>
      <c r="P407" s="10">
        <f>IF(O407="","",IFERROR(VLOOKUP(O407,T_KHID,2,FALSE),0))</f>
        <v/>
      </c>
      <c r="Q407" s="11" t="n"/>
      <c r="R407" s="11" t="n"/>
      <c r="S407" s="10">
        <f>IF(AND(Q407="",R407=""),"",IFERROR(INDEX(T_LIBAT,MATCH(Q407,L_PER,0),MATCH(R407,L_JENIS,0)),0))</f>
        <v/>
      </c>
      <c r="T407" s="11" t="n"/>
      <c r="U407" s="11" t="n"/>
      <c r="V407" s="10">
        <f>IF(AND(T407="",U407=""),"",IFERROR(INDEX(T_CAPAI,MATCH(T407,L_PER,0),MATCH(U407,L_KED,0)),0))</f>
        <v/>
      </c>
      <c r="W407" s="17">
        <f>IF(OR(B407="",E407="",COUNTA(F407,H407,J407:M407,O407,Q407:R407,T407:U407)=0),"",SUM(G407,I407,N407,P407,S407,V407))</f>
        <v/>
      </c>
      <c r="X407" s="18">
        <f>IF(W407="","",IF(Murid!F407="TL","TL",ROUND(W407/110*100,2)))</f>
        <v/>
      </c>
    </row>
    <row r="408">
      <c r="A408" s="15">
        <f>Murid!A408</f>
        <v/>
      </c>
      <c r="B408" s="15">
        <f>IF(Murid!B408="","",Murid!B408)</f>
        <v/>
      </c>
      <c r="C408" s="16">
        <f>IF(Murid!C408="","",Murid!C408)</f>
        <v/>
      </c>
      <c r="D408" s="15">
        <f>IF(Murid!E408="","",Murid!E408)</f>
        <v/>
      </c>
      <c r="E408" s="11" t="n"/>
      <c r="F408" s="11" t="n"/>
      <c r="G408" s="10">
        <f>IF(F408="","",IFERROR(VLOOKUP(F408,T_JSP,2,FALSE),0))</f>
        <v/>
      </c>
      <c r="H408" s="11" t="n"/>
      <c r="I408" s="17">
        <f>IF(H408="","",IF(H408&gt;=12,40,ROUND(H408*3.33,2)))</f>
        <v/>
      </c>
      <c r="J408" s="11" t="n"/>
      <c r="K408" s="11" t="n"/>
      <c r="L408" s="11" t="n"/>
      <c r="M408" s="11" t="n"/>
      <c r="N408" s="10">
        <f>IF(COUNTA(J408:M408)=0,"",MIN(10,SUMPRODUCT((COUNTIF(J408:M408,L_KOM)&gt;0)*S_KOM)))</f>
        <v/>
      </c>
      <c r="O408" s="11" t="n"/>
      <c r="P408" s="10">
        <f>IF(O408="","",IFERROR(VLOOKUP(O408,T_KHID,2,FALSE),0))</f>
        <v/>
      </c>
      <c r="Q408" s="11" t="n"/>
      <c r="R408" s="11" t="n"/>
      <c r="S408" s="10">
        <f>IF(AND(Q408="",R408=""),"",IFERROR(INDEX(T_LIBAT,MATCH(Q408,L_PER,0),MATCH(R408,L_JENIS,0)),0))</f>
        <v/>
      </c>
      <c r="T408" s="11" t="n"/>
      <c r="U408" s="11" t="n"/>
      <c r="V408" s="10">
        <f>IF(AND(T408="",U408=""),"",IFERROR(INDEX(T_CAPAI,MATCH(T408,L_PER,0),MATCH(U408,L_KED,0)),0))</f>
        <v/>
      </c>
      <c r="W408" s="17">
        <f>IF(OR(B408="",E408="",COUNTA(F408,H408,J408:M408,O408,Q408:R408,T408:U408)=0),"",SUM(G408,I408,N408,P408,S408,V408))</f>
        <v/>
      </c>
      <c r="X408" s="18">
        <f>IF(W408="","",IF(Murid!F408="TL","TL",ROUND(W408/110*100,2)))</f>
        <v/>
      </c>
    </row>
    <row r="409">
      <c r="A409" s="15">
        <f>Murid!A409</f>
        <v/>
      </c>
      <c r="B409" s="15">
        <f>IF(Murid!B409="","",Murid!B409)</f>
        <v/>
      </c>
      <c r="C409" s="16">
        <f>IF(Murid!C409="","",Murid!C409)</f>
        <v/>
      </c>
      <c r="D409" s="15">
        <f>IF(Murid!E409="","",Murid!E409)</f>
        <v/>
      </c>
      <c r="E409" s="11" t="n"/>
      <c r="F409" s="11" t="n"/>
      <c r="G409" s="10">
        <f>IF(F409="","",IFERROR(VLOOKUP(F409,T_JSP,2,FALSE),0))</f>
        <v/>
      </c>
      <c r="H409" s="11" t="n"/>
      <c r="I409" s="17">
        <f>IF(H409="","",IF(H409&gt;=12,40,ROUND(H409*3.33,2)))</f>
        <v/>
      </c>
      <c r="J409" s="11" t="n"/>
      <c r="K409" s="11" t="n"/>
      <c r="L409" s="11" t="n"/>
      <c r="M409" s="11" t="n"/>
      <c r="N409" s="10">
        <f>IF(COUNTA(J409:M409)=0,"",MIN(10,SUMPRODUCT((COUNTIF(J409:M409,L_KOM)&gt;0)*S_KOM)))</f>
        <v/>
      </c>
      <c r="O409" s="11" t="n"/>
      <c r="P409" s="10">
        <f>IF(O409="","",IFERROR(VLOOKUP(O409,T_KHID,2,FALSE),0))</f>
        <v/>
      </c>
      <c r="Q409" s="11" t="n"/>
      <c r="R409" s="11" t="n"/>
      <c r="S409" s="10">
        <f>IF(AND(Q409="",R409=""),"",IFERROR(INDEX(T_LIBAT,MATCH(Q409,L_PER,0),MATCH(R409,L_JENIS,0)),0))</f>
        <v/>
      </c>
      <c r="T409" s="11" t="n"/>
      <c r="U409" s="11" t="n"/>
      <c r="V409" s="10">
        <f>IF(AND(T409="",U409=""),"",IFERROR(INDEX(T_CAPAI,MATCH(T409,L_PER,0),MATCH(U409,L_KED,0)),0))</f>
        <v/>
      </c>
      <c r="W409" s="17">
        <f>IF(OR(B409="",E409="",COUNTA(F409,H409,J409:M409,O409,Q409:R409,T409:U409)=0),"",SUM(G409,I409,N409,P409,S409,V409))</f>
        <v/>
      </c>
      <c r="X409" s="18">
        <f>IF(W409="","",IF(Murid!F409="TL","TL",ROUND(W409/110*100,2)))</f>
        <v/>
      </c>
    </row>
    <row r="410">
      <c r="A410" s="15">
        <f>Murid!A410</f>
        <v/>
      </c>
      <c r="B410" s="15">
        <f>IF(Murid!B410="","",Murid!B410)</f>
        <v/>
      </c>
      <c r="C410" s="16">
        <f>IF(Murid!C410="","",Murid!C410)</f>
        <v/>
      </c>
      <c r="D410" s="15">
        <f>IF(Murid!E410="","",Murid!E410)</f>
        <v/>
      </c>
      <c r="E410" s="11" t="n"/>
      <c r="F410" s="11" t="n"/>
      <c r="G410" s="10">
        <f>IF(F410="","",IFERROR(VLOOKUP(F410,T_JSP,2,FALSE),0))</f>
        <v/>
      </c>
      <c r="H410" s="11" t="n"/>
      <c r="I410" s="17">
        <f>IF(H410="","",IF(H410&gt;=12,40,ROUND(H410*3.33,2)))</f>
        <v/>
      </c>
      <c r="J410" s="11" t="n"/>
      <c r="K410" s="11" t="n"/>
      <c r="L410" s="11" t="n"/>
      <c r="M410" s="11" t="n"/>
      <c r="N410" s="10">
        <f>IF(COUNTA(J410:M410)=0,"",MIN(10,SUMPRODUCT((COUNTIF(J410:M410,L_KOM)&gt;0)*S_KOM)))</f>
        <v/>
      </c>
      <c r="O410" s="11" t="n"/>
      <c r="P410" s="10">
        <f>IF(O410="","",IFERROR(VLOOKUP(O410,T_KHID,2,FALSE),0))</f>
        <v/>
      </c>
      <c r="Q410" s="11" t="n"/>
      <c r="R410" s="11" t="n"/>
      <c r="S410" s="10">
        <f>IF(AND(Q410="",R410=""),"",IFERROR(INDEX(T_LIBAT,MATCH(Q410,L_PER,0),MATCH(R410,L_JENIS,0)),0))</f>
        <v/>
      </c>
      <c r="T410" s="11" t="n"/>
      <c r="U410" s="11" t="n"/>
      <c r="V410" s="10">
        <f>IF(AND(T410="",U410=""),"",IFERROR(INDEX(T_CAPAI,MATCH(T410,L_PER,0),MATCH(U410,L_KED,0)),0))</f>
        <v/>
      </c>
      <c r="W410" s="17">
        <f>IF(OR(B410="",E410="",COUNTA(F410,H410,J410:M410,O410,Q410:R410,T410:U410)=0),"",SUM(G410,I410,N410,P410,S410,V410))</f>
        <v/>
      </c>
      <c r="X410" s="18">
        <f>IF(W410="","",IF(Murid!F410="TL","TL",ROUND(W410/110*100,2)))</f>
        <v/>
      </c>
    </row>
    <row r="411">
      <c r="A411" s="15">
        <f>Murid!A411</f>
        <v/>
      </c>
      <c r="B411" s="15">
        <f>IF(Murid!B411="","",Murid!B411)</f>
        <v/>
      </c>
      <c r="C411" s="16">
        <f>IF(Murid!C411="","",Murid!C411)</f>
        <v/>
      </c>
      <c r="D411" s="15">
        <f>IF(Murid!E411="","",Murid!E411)</f>
        <v/>
      </c>
      <c r="E411" s="11" t="n"/>
      <c r="F411" s="11" t="n"/>
      <c r="G411" s="10">
        <f>IF(F411="","",IFERROR(VLOOKUP(F411,T_JSP,2,FALSE),0))</f>
        <v/>
      </c>
      <c r="H411" s="11" t="n"/>
      <c r="I411" s="17">
        <f>IF(H411="","",IF(H411&gt;=12,40,ROUND(H411*3.33,2)))</f>
        <v/>
      </c>
      <c r="J411" s="11" t="n"/>
      <c r="K411" s="11" t="n"/>
      <c r="L411" s="11" t="n"/>
      <c r="M411" s="11" t="n"/>
      <c r="N411" s="10">
        <f>IF(COUNTA(J411:M411)=0,"",MIN(10,SUMPRODUCT((COUNTIF(J411:M411,L_KOM)&gt;0)*S_KOM)))</f>
        <v/>
      </c>
      <c r="O411" s="11" t="n"/>
      <c r="P411" s="10">
        <f>IF(O411="","",IFERROR(VLOOKUP(O411,T_KHID,2,FALSE),0))</f>
        <v/>
      </c>
      <c r="Q411" s="11" t="n"/>
      <c r="R411" s="11" t="n"/>
      <c r="S411" s="10">
        <f>IF(AND(Q411="",R411=""),"",IFERROR(INDEX(T_LIBAT,MATCH(Q411,L_PER,0),MATCH(R411,L_JENIS,0)),0))</f>
        <v/>
      </c>
      <c r="T411" s="11" t="n"/>
      <c r="U411" s="11" t="n"/>
      <c r="V411" s="10">
        <f>IF(AND(T411="",U411=""),"",IFERROR(INDEX(T_CAPAI,MATCH(T411,L_PER,0),MATCH(U411,L_KED,0)),0))</f>
        <v/>
      </c>
      <c r="W411" s="17">
        <f>IF(OR(B411="",E411="",COUNTA(F411,H411,J411:M411,O411,Q411:R411,T411:U411)=0),"",SUM(G411,I411,N411,P411,S411,V411))</f>
        <v/>
      </c>
      <c r="X411" s="18">
        <f>IF(W411="","",IF(Murid!F411="TL","TL",ROUND(W411/110*100,2)))</f>
        <v/>
      </c>
    </row>
    <row r="412">
      <c r="A412" s="15">
        <f>Murid!A412</f>
        <v/>
      </c>
      <c r="B412" s="15">
        <f>IF(Murid!B412="","",Murid!B412)</f>
        <v/>
      </c>
      <c r="C412" s="16">
        <f>IF(Murid!C412="","",Murid!C412)</f>
        <v/>
      </c>
      <c r="D412" s="15">
        <f>IF(Murid!E412="","",Murid!E412)</f>
        <v/>
      </c>
      <c r="E412" s="11" t="n"/>
      <c r="F412" s="11" t="n"/>
      <c r="G412" s="10">
        <f>IF(F412="","",IFERROR(VLOOKUP(F412,T_JSP,2,FALSE),0))</f>
        <v/>
      </c>
      <c r="H412" s="11" t="n"/>
      <c r="I412" s="17">
        <f>IF(H412="","",IF(H412&gt;=12,40,ROUND(H412*3.33,2)))</f>
        <v/>
      </c>
      <c r="J412" s="11" t="n"/>
      <c r="K412" s="11" t="n"/>
      <c r="L412" s="11" t="n"/>
      <c r="M412" s="11" t="n"/>
      <c r="N412" s="10">
        <f>IF(COUNTA(J412:M412)=0,"",MIN(10,SUMPRODUCT((COUNTIF(J412:M412,L_KOM)&gt;0)*S_KOM)))</f>
        <v/>
      </c>
      <c r="O412" s="11" t="n"/>
      <c r="P412" s="10">
        <f>IF(O412="","",IFERROR(VLOOKUP(O412,T_KHID,2,FALSE),0))</f>
        <v/>
      </c>
      <c r="Q412" s="11" t="n"/>
      <c r="R412" s="11" t="n"/>
      <c r="S412" s="10">
        <f>IF(AND(Q412="",R412=""),"",IFERROR(INDEX(T_LIBAT,MATCH(Q412,L_PER,0),MATCH(R412,L_JENIS,0)),0))</f>
        <v/>
      </c>
      <c r="T412" s="11" t="n"/>
      <c r="U412" s="11" t="n"/>
      <c r="V412" s="10">
        <f>IF(AND(T412="",U412=""),"",IFERROR(INDEX(T_CAPAI,MATCH(T412,L_PER,0),MATCH(U412,L_KED,0)),0))</f>
        <v/>
      </c>
      <c r="W412" s="17">
        <f>IF(OR(B412="",E412="",COUNTA(F412,H412,J412:M412,O412,Q412:R412,T412:U412)=0),"",SUM(G412,I412,N412,P412,S412,V412))</f>
        <v/>
      </c>
      <c r="X412" s="18">
        <f>IF(W412="","",IF(Murid!F412="TL","TL",ROUND(W412/110*100,2)))</f>
        <v/>
      </c>
    </row>
    <row r="413">
      <c r="A413" s="15">
        <f>Murid!A413</f>
        <v/>
      </c>
      <c r="B413" s="15">
        <f>IF(Murid!B413="","",Murid!B413)</f>
        <v/>
      </c>
      <c r="C413" s="16">
        <f>IF(Murid!C413="","",Murid!C413)</f>
        <v/>
      </c>
      <c r="D413" s="15">
        <f>IF(Murid!E413="","",Murid!E413)</f>
        <v/>
      </c>
      <c r="E413" s="11" t="n"/>
      <c r="F413" s="11" t="n"/>
      <c r="G413" s="10">
        <f>IF(F413="","",IFERROR(VLOOKUP(F413,T_JSP,2,FALSE),0))</f>
        <v/>
      </c>
      <c r="H413" s="11" t="n"/>
      <c r="I413" s="17">
        <f>IF(H413="","",IF(H413&gt;=12,40,ROUND(H413*3.33,2)))</f>
        <v/>
      </c>
      <c r="J413" s="11" t="n"/>
      <c r="K413" s="11" t="n"/>
      <c r="L413" s="11" t="n"/>
      <c r="M413" s="11" t="n"/>
      <c r="N413" s="10">
        <f>IF(COUNTA(J413:M413)=0,"",MIN(10,SUMPRODUCT((COUNTIF(J413:M413,L_KOM)&gt;0)*S_KOM)))</f>
        <v/>
      </c>
      <c r="O413" s="11" t="n"/>
      <c r="P413" s="10">
        <f>IF(O413="","",IFERROR(VLOOKUP(O413,T_KHID,2,FALSE),0))</f>
        <v/>
      </c>
      <c r="Q413" s="11" t="n"/>
      <c r="R413" s="11" t="n"/>
      <c r="S413" s="10">
        <f>IF(AND(Q413="",R413=""),"",IFERROR(INDEX(T_LIBAT,MATCH(Q413,L_PER,0),MATCH(R413,L_JENIS,0)),0))</f>
        <v/>
      </c>
      <c r="T413" s="11" t="n"/>
      <c r="U413" s="11" t="n"/>
      <c r="V413" s="10">
        <f>IF(AND(T413="",U413=""),"",IFERROR(INDEX(T_CAPAI,MATCH(T413,L_PER,0),MATCH(U413,L_KED,0)),0))</f>
        <v/>
      </c>
      <c r="W413" s="17">
        <f>IF(OR(B413="",E413="",COUNTA(F413,H413,J413:M413,O413,Q413:R413,T413:U413)=0),"",SUM(G413,I413,N413,P413,S413,V413))</f>
        <v/>
      </c>
      <c r="X413" s="18">
        <f>IF(W413="","",IF(Murid!F413="TL","TL",ROUND(W413/110*100,2)))</f>
        <v/>
      </c>
    </row>
    <row r="414">
      <c r="A414" s="15">
        <f>Murid!A414</f>
        <v/>
      </c>
      <c r="B414" s="15">
        <f>IF(Murid!B414="","",Murid!B414)</f>
        <v/>
      </c>
      <c r="C414" s="16">
        <f>IF(Murid!C414="","",Murid!C414)</f>
        <v/>
      </c>
      <c r="D414" s="15">
        <f>IF(Murid!E414="","",Murid!E414)</f>
        <v/>
      </c>
      <c r="E414" s="11" t="n"/>
      <c r="F414" s="11" t="n"/>
      <c r="G414" s="10">
        <f>IF(F414="","",IFERROR(VLOOKUP(F414,T_JSP,2,FALSE),0))</f>
        <v/>
      </c>
      <c r="H414" s="11" t="n"/>
      <c r="I414" s="17">
        <f>IF(H414="","",IF(H414&gt;=12,40,ROUND(H414*3.33,2)))</f>
        <v/>
      </c>
      <c r="J414" s="11" t="n"/>
      <c r="K414" s="11" t="n"/>
      <c r="L414" s="11" t="n"/>
      <c r="M414" s="11" t="n"/>
      <c r="N414" s="10">
        <f>IF(COUNTA(J414:M414)=0,"",MIN(10,SUMPRODUCT((COUNTIF(J414:M414,L_KOM)&gt;0)*S_KOM)))</f>
        <v/>
      </c>
      <c r="O414" s="11" t="n"/>
      <c r="P414" s="10">
        <f>IF(O414="","",IFERROR(VLOOKUP(O414,T_KHID,2,FALSE),0))</f>
        <v/>
      </c>
      <c r="Q414" s="11" t="n"/>
      <c r="R414" s="11" t="n"/>
      <c r="S414" s="10">
        <f>IF(AND(Q414="",R414=""),"",IFERROR(INDEX(T_LIBAT,MATCH(Q414,L_PER,0),MATCH(R414,L_JENIS,0)),0))</f>
        <v/>
      </c>
      <c r="T414" s="11" t="n"/>
      <c r="U414" s="11" t="n"/>
      <c r="V414" s="10">
        <f>IF(AND(T414="",U414=""),"",IFERROR(INDEX(T_CAPAI,MATCH(T414,L_PER,0),MATCH(U414,L_KED,0)),0))</f>
        <v/>
      </c>
      <c r="W414" s="17">
        <f>IF(OR(B414="",E414="",COUNTA(F414,H414,J414:M414,O414,Q414:R414,T414:U414)=0),"",SUM(G414,I414,N414,P414,S414,V414))</f>
        <v/>
      </c>
      <c r="X414" s="18">
        <f>IF(W414="","",IF(Murid!F414="TL","TL",ROUND(W414/110*100,2)))</f>
        <v/>
      </c>
    </row>
    <row r="415">
      <c r="A415" s="15">
        <f>Murid!A415</f>
        <v/>
      </c>
      <c r="B415" s="15">
        <f>IF(Murid!B415="","",Murid!B415)</f>
        <v/>
      </c>
      <c r="C415" s="16">
        <f>IF(Murid!C415="","",Murid!C415)</f>
        <v/>
      </c>
      <c r="D415" s="15">
        <f>IF(Murid!E415="","",Murid!E415)</f>
        <v/>
      </c>
      <c r="E415" s="11" t="n"/>
      <c r="F415" s="11" t="n"/>
      <c r="G415" s="10">
        <f>IF(F415="","",IFERROR(VLOOKUP(F415,T_JSP,2,FALSE),0))</f>
        <v/>
      </c>
      <c r="H415" s="11" t="n"/>
      <c r="I415" s="17">
        <f>IF(H415="","",IF(H415&gt;=12,40,ROUND(H415*3.33,2)))</f>
        <v/>
      </c>
      <c r="J415" s="11" t="n"/>
      <c r="K415" s="11" t="n"/>
      <c r="L415" s="11" t="n"/>
      <c r="M415" s="11" t="n"/>
      <c r="N415" s="10">
        <f>IF(COUNTA(J415:M415)=0,"",MIN(10,SUMPRODUCT((COUNTIF(J415:M415,L_KOM)&gt;0)*S_KOM)))</f>
        <v/>
      </c>
      <c r="O415" s="11" t="n"/>
      <c r="P415" s="10">
        <f>IF(O415="","",IFERROR(VLOOKUP(O415,T_KHID,2,FALSE),0))</f>
        <v/>
      </c>
      <c r="Q415" s="11" t="n"/>
      <c r="R415" s="11" t="n"/>
      <c r="S415" s="10">
        <f>IF(AND(Q415="",R415=""),"",IFERROR(INDEX(T_LIBAT,MATCH(Q415,L_PER,0),MATCH(R415,L_JENIS,0)),0))</f>
        <v/>
      </c>
      <c r="T415" s="11" t="n"/>
      <c r="U415" s="11" t="n"/>
      <c r="V415" s="10">
        <f>IF(AND(T415="",U415=""),"",IFERROR(INDEX(T_CAPAI,MATCH(T415,L_PER,0),MATCH(U415,L_KED,0)),0))</f>
        <v/>
      </c>
      <c r="W415" s="17">
        <f>IF(OR(B415="",E415="",COUNTA(F415,H415,J415:M415,O415,Q415:R415,T415:U415)=0),"",SUM(G415,I415,N415,P415,S415,V415))</f>
        <v/>
      </c>
      <c r="X415" s="18">
        <f>IF(W415="","",IF(Murid!F415="TL","TL",ROUND(W415/110*100,2)))</f>
        <v/>
      </c>
    </row>
    <row r="416">
      <c r="A416" s="15">
        <f>Murid!A416</f>
        <v/>
      </c>
      <c r="B416" s="15">
        <f>IF(Murid!B416="","",Murid!B416)</f>
        <v/>
      </c>
      <c r="C416" s="16">
        <f>IF(Murid!C416="","",Murid!C416)</f>
        <v/>
      </c>
      <c r="D416" s="15">
        <f>IF(Murid!E416="","",Murid!E416)</f>
        <v/>
      </c>
      <c r="E416" s="11" t="n"/>
      <c r="F416" s="11" t="n"/>
      <c r="G416" s="10">
        <f>IF(F416="","",IFERROR(VLOOKUP(F416,T_JSP,2,FALSE),0))</f>
        <v/>
      </c>
      <c r="H416" s="11" t="n"/>
      <c r="I416" s="17">
        <f>IF(H416="","",IF(H416&gt;=12,40,ROUND(H416*3.33,2)))</f>
        <v/>
      </c>
      <c r="J416" s="11" t="n"/>
      <c r="K416" s="11" t="n"/>
      <c r="L416" s="11" t="n"/>
      <c r="M416" s="11" t="n"/>
      <c r="N416" s="10">
        <f>IF(COUNTA(J416:M416)=0,"",MIN(10,SUMPRODUCT((COUNTIF(J416:M416,L_KOM)&gt;0)*S_KOM)))</f>
        <v/>
      </c>
      <c r="O416" s="11" t="n"/>
      <c r="P416" s="10">
        <f>IF(O416="","",IFERROR(VLOOKUP(O416,T_KHID,2,FALSE),0))</f>
        <v/>
      </c>
      <c r="Q416" s="11" t="n"/>
      <c r="R416" s="11" t="n"/>
      <c r="S416" s="10">
        <f>IF(AND(Q416="",R416=""),"",IFERROR(INDEX(T_LIBAT,MATCH(Q416,L_PER,0),MATCH(R416,L_JENIS,0)),0))</f>
        <v/>
      </c>
      <c r="T416" s="11" t="n"/>
      <c r="U416" s="11" t="n"/>
      <c r="V416" s="10">
        <f>IF(AND(T416="",U416=""),"",IFERROR(INDEX(T_CAPAI,MATCH(T416,L_PER,0),MATCH(U416,L_KED,0)),0))</f>
        <v/>
      </c>
      <c r="W416" s="17">
        <f>IF(OR(B416="",E416="",COUNTA(F416,H416,J416:M416,O416,Q416:R416,T416:U416)=0),"",SUM(G416,I416,N416,P416,S416,V416))</f>
        <v/>
      </c>
      <c r="X416" s="18">
        <f>IF(W416="","",IF(Murid!F416="TL","TL",ROUND(W416/110*100,2)))</f>
        <v/>
      </c>
    </row>
    <row r="417">
      <c r="A417" s="15">
        <f>Murid!A417</f>
        <v/>
      </c>
      <c r="B417" s="15">
        <f>IF(Murid!B417="","",Murid!B417)</f>
        <v/>
      </c>
      <c r="C417" s="16">
        <f>IF(Murid!C417="","",Murid!C417)</f>
        <v/>
      </c>
      <c r="D417" s="15">
        <f>IF(Murid!E417="","",Murid!E417)</f>
        <v/>
      </c>
      <c r="E417" s="11" t="n"/>
      <c r="F417" s="11" t="n"/>
      <c r="G417" s="10">
        <f>IF(F417="","",IFERROR(VLOOKUP(F417,T_JSP,2,FALSE),0))</f>
        <v/>
      </c>
      <c r="H417" s="11" t="n"/>
      <c r="I417" s="17">
        <f>IF(H417="","",IF(H417&gt;=12,40,ROUND(H417*3.33,2)))</f>
        <v/>
      </c>
      <c r="J417" s="11" t="n"/>
      <c r="K417" s="11" t="n"/>
      <c r="L417" s="11" t="n"/>
      <c r="M417" s="11" t="n"/>
      <c r="N417" s="10">
        <f>IF(COUNTA(J417:M417)=0,"",MIN(10,SUMPRODUCT((COUNTIF(J417:M417,L_KOM)&gt;0)*S_KOM)))</f>
        <v/>
      </c>
      <c r="O417" s="11" t="n"/>
      <c r="P417" s="10">
        <f>IF(O417="","",IFERROR(VLOOKUP(O417,T_KHID,2,FALSE),0))</f>
        <v/>
      </c>
      <c r="Q417" s="11" t="n"/>
      <c r="R417" s="11" t="n"/>
      <c r="S417" s="10">
        <f>IF(AND(Q417="",R417=""),"",IFERROR(INDEX(T_LIBAT,MATCH(Q417,L_PER,0),MATCH(R417,L_JENIS,0)),0))</f>
        <v/>
      </c>
      <c r="T417" s="11" t="n"/>
      <c r="U417" s="11" t="n"/>
      <c r="V417" s="10">
        <f>IF(AND(T417="",U417=""),"",IFERROR(INDEX(T_CAPAI,MATCH(T417,L_PER,0),MATCH(U417,L_KED,0)),0))</f>
        <v/>
      </c>
      <c r="W417" s="17">
        <f>IF(OR(B417="",E417="",COUNTA(F417,H417,J417:M417,O417,Q417:R417,T417:U417)=0),"",SUM(G417,I417,N417,P417,S417,V417))</f>
        <v/>
      </c>
      <c r="X417" s="18">
        <f>IF(W417="","",IF(Murid!F417="TL","TL",ROUND(W417/110*100,2)))</f>
        <v/>
      </c>
    </row>
    <row r="418">
      <c r="A418" s="15">
        <f>Murid!A418</f>
        <v/>
      </c>
      <c r="B418" s="15">
        <f>IF(Murid!B418="","",Murid!B418)</f>
        <v/>
      </c>
      <c r="C418" s="16">
        <f>IF(Murid!C418="","",Murid!C418)</f>
        <v/>
      </c>
      <c r="D418" s="15">
        <f>IF(Murid!E418="","",Murid!E418)</f>
        <v/>
      </c>
      <c r="E418" s="11" t="n"/>
      <c r="F418" s="11" t="n"/>
      <c r="G418" s="10">
        <f>IF(F418="","",IFERROR(VLOOKUP(F418,T_JSP,2,FALSE),0))</f>
        <v/>
      </c>
      <c r="H418" s="11" t="n"/>
      <c r="I418" s="17">
        <f>IF(H418="","",IF(H418&gt;=12,40,ROUND(H418*3.33,2)))</f>
        <v/>
      </c>
      <c r="J418" s="11" t="n"/>
      <c r="K418" s="11" t="n"/>
      <c r="L418" s="11" t="n"/>
      <c r="M418" s="11" t="n"/>
      <c r="N418" s="10">
        <f>IF(COUNTA(J418:M418)=0,"",MIN(10,SUMPRODUCT((COUNTIF(J418:M418,L_KOM)&gt;0)*S_KOM)))</f>
        <v/>
      </c>
      <c r="O418" s="11" t="n"/>
      <c r="P418" s="10">
        <f>IF(O418="","",IFERROR(VLOOKUP(O418,T_KHID,2,FALSE),0))</f>
        <v/>
      </c>
      <c r="Q418" s="11" t="n"/>
      <c r="R418" s="11" t="n"/>
      <c r="S418" s="10">
        <f>IF(AND(Q418="",R418=""),"",IFERROR(INDEX(T_LIBAT,MATCH(Q418,L_PER,0),MATCH(R418,L_JENIS,0)),0))</f>
        <v/>
      </c>
      <c r="T418" s="11" t="n"/>
      <c r="U418" s="11" t="n"/>
      <c r="V418" s="10">
        <f>IF(AND(T418="",U418=""),"",IFERROR(INDEX(T_CAPAI,MATCH(T418,L_PER,0),MATCH(U418,L_KED,0)),0))</f>
        <v/>
      </c>
      <c r="W418" s="17">
        <f>IF(OR(B418="",E418="",COUNTA(F418,H418,J418:M418,O418,Q418:R418,T418:U418)=0),"",SUM(G418,I418,N418,P418,S418,V418))</f>
        <v/>
      </c>
      <c r="X418" s="18">
        <f>IF(W418="","",IF(Murid!F418="TL","TL",ROUND(W418/110*100,2)))</f>
        <v/>
      </c>
    </row>
    <row r="419">
      <c r="A419" s="15">
        <f>Murid!A419</f>
        <v/>
      </c>
      <c r="B419" s="15">
        <f>IF(Murid!B419="","",Murid!B419)</f>
        <v/>
      </c>
      <c r="C419" s="16">
        <f>IF(Murid!C419="","",Murid!C419)</f>
        <v/>
      </c>
      <c r="D419" s="15">
        <f>IF(Murid!E419="","",Murid!E419)</f>
        <v/>
      </c>
      <c r="E419" s="11" t="n"/>
      <c r="F419" s="11" t="n"/>
      <c r="G419" s="10">
        <f>IF(F419="","",IFERROR(VLOOKUP(F419,T_JSP,2,FALSE),0))</f>
        <v/>
      </c>
      <c r="H419" s="11" t="n"/>
      <c r="I419" s="17">
        <f>IF(H419="","",IF(H419&gt;=12,40,ROUND(H419*3.33,2)))</f>
        <v/>
      </c>
      <c r="J419" s="11" t="n"/>
      <c r="K419" s="11" t="n"/>
      <c r="L419" s="11" t="n"/>
      <c r="M419" s="11" t="n"/>
      <c r="N419" s="10">
        <f>IF(COUNTA(J419:M419)=0,"",MIN(10,SUMPRODUCT((COUNTIF(J419:M419,L_KOM)&gt;0)*S_KOM)))</f>
        <v/>
      </c>
      <c r="O419" s="11" t="n"/>
      <c r="P419" s="10">
        <f>IF(O419="","",IFERROR(VLOOKUP(O419,T_KHID,2,FALSE),0))</f>
        <v/>
      </c>
      <c r="Q419" s="11" t="n"/>
      <c r="R419" s="11" t="n"/>
      <c r="S419" s="10">
        <f>IF(AND(Q419="",R419=""),"",IFERROR(INDEX(T_LIBAT,MATCH(Q419,L_PER,0),MATCH(R419,L_JENIS,0)),0))</f>
        <v/>
      </c>
      <c r="T419" s="11" t="n"/>
      <c r="U419" s="11" t="n"/>
      <c r="V419" s="10">
        <f>IF(AND(T419="",U419=""),"",IFERROR(INDEX(T_CAPAI,MATCH(T419,L_PER,0),MATCH(U419,L_KED,0)),0))</f>
        <v/>
      </c>
      <c r="W419" s="17">
        <f>IF(OR(B419="",E419="",COUNTA(F419,H419,J419:M419,O419,Q419:R419,T419:U419)=0),"",SUM(G419,I419,N419,P419,S419,V419))</f>
        <v/>
      </c>
      <c r="X419" s="18">
        <f>IF(W419="","",IF(Murid!F419="TL","TL",ROUND(W419/110*100,2)))</f>
        <v/>
      </c>
    </row>
    <row r="420">
      <c r="A420" s="15">
        <f>Murid!A420</f>
        <v/>
      </c>
      <c r="B420" s="15">
        <f>IF(Murid!B420="","",Murid!B420)</f>
        <v/>
      </c>
      <c r="C420" s="16">
        <f>IF(Murid!C420="","",Murid!C420)</f>
        <v/>
      </c>
      <c r="D420" s="15">
        <f>IF(Murid!E420="","",Murid!E420)</f>
        <v/>
      </c>
      <c r="E420" s="11" t="n"/>
      <c r="F420" s="11" t="n"/>
      <c r="G420" s="10">
        <f>IF(F420="","",IFERROR(VLOOKUP(F420,T_JSP,2,FALSE),0))</f>
        <v/>
      </c>
      <c r="H420" s="11" t="n"/>
      <c r="I420" s="17">
        <f>IF(H420="","",IF(H420&gt;=12,40,ROUND(H420*3.33,2)))</f>
        <v/>
      </c>
      <c r="J420" s="11" t="n"/>
      <c r="K420" s="11" t="n"/>
      <c r="L420" s="11" t="n"/>
      <c r="M420" s="11" t="n"/>
      <c r="N420" s="10">
        <f>IF(COUNTA(J420:M420)=0,"",MIN(10,SUMPRODUCT((COUNTIF(J420:M420,L_KOM)&gt;0)*S_KOM)))</f>
        <v/>
      </c>
      <c r="O420" s="11" t="n"/>
      <c r="P420" s="10">
        <f>IF(O420="","",IFERROR(VLOOKUP(O420,T_KHID,2,FALSE),0))</f>
        <v/>
      </c>
      <c r="Q420" s="11" t="n"/>
      <c r="R420" s="11" t="n"/>
      <c r="S420" s="10">
        <f>IF(AND(Q420="",R420=""),"",IFERROR(INDEX(T_LIBAT,MATCH(Q420,L_PER,0),MATCH(R420,L_JENIS,0)),0))</f>
        <v/>
      </c>
      <c r="T420" s="11" t="n"/>
      <c r="U420" s="11" t="n"/>
      <c r="V420" s="10">
        <f>IF(AND(T420="",U420=""),"",IFERROR(INDEX(T_CAPAI,MATCH(T420,L_PER,0),MATCH(U420,L_KED,0)),0))</f>
        <v/>
      </c>
      <c r="W420" s="17">
        <f>IF(OR(B420="",E420="",COUNTA(F420,H420,J420:M420,O420,Q420:R420,T420:U420)=0),"",SUM(G420,I420,N420,P420,S420,V420))</f>
        <v/>
      </c>
      <c r="X420" s="18">
        <f>IF(W420="","",IF(Murid!F420="TL","TL",ROUND(W420/110*100,2)))</f>
        <v/>
      </c>
    </row>
    <row r="421">
      <c r="A421" s="15">
        <f>Murid!A421</f>
        <v/>
      </c>
      <c r="B421" s="15">
        <f>IF(Murid!B421="","",Murid!B421)</f>
        <v/>
      </c>
      <c r="C421" s="16">
        <f>IF(Murid!C421="","",Murid!C421)</f>
        <v/>
      </c>
      <c r="D421" s="15">
        <f>IF(Murid!E421="","",Murid!E421)</f>
        <v/>
      </c>
      <c r="E421" s="11" t="n"/>
      <c r="F421" s="11" t="n"/>
      <c r="G421" s="10">
        <f>IF(F421="","",IFERROR(VLOOKUP(F421,T_JSP,2,FALSE),0))</f>
        <v/>
      </c>
      <c r="H421" s="11" t="n"/>
      <c r="I421" s="17">
        <f>IF(H421="","",IF(H421&gt;=12,40,ROUND(H421*3.33,2)))</f>
        <v/>
      </c>
      <c r="J421" s="11" t="n"/>
      <c r="K421" s="11" t="n"/>
      <c r="L421" s="11" t="n"/>
      <c r="M421" s="11" t="n"/>
      <c r="N421" s="10">
        <f>IF(COUNTA(J421:M421)=0,"",MIN(10,SUMPRODUCT((COUNTIF(J421:M421,L_KOM)&gt;0)*S_KOM)))</f>
        <v/>
      </c>
      <c r="O421" s="11" t="n"/>
      <c r="P421" s="10">
        <f>IF(O421="","",IFERROR(VLOOKUP(O421,T_KHID,2,FALSE),0))</f>
        <v/>
      </c>
      <c r="Q421" s="11" t="n"/>
      <c r="R421" s="11" t="n"/>
      <c r="S421" s="10">
        <f>IF(AND(Q421="",R421=""),"",IFERROR(INDEX(T_LIBAT,MATCH(Q421,L_PER,0),MATCH(R421,L_JENIS,0)),0))</f>
        <v/>
      </c>
      <c r="T421" s="11" t="n"/>
      <c r="U421" s="11" t="n"/>
      <c r="V421" s="10">
        <f>IF(AND(T421="",U421=""),"",IFERROR(INDEX(T_CAPAI,MATCH(T421,L_PER,0),MATCH(U421,L_KED,0)),0))</f>
        <v/>
      </c>
      <c r="W421" s="17">
        <f>IF(OR(B421="",E421="",COUNTA(F421,H421,J421:M421,O421,Q421:R421,T421:U421)=0),"",SUM(G421,I421,N421,P421,S421,V421))</f>
        <v/>
      </c>
      <c r="X421" s="18">
        <f>IF(W421="","",IF(Murid!F421="TL","TL",ROUND(W421/110*100,2)))</f>
        <v/>
      </c>
    </row>
    <row r="422">
      <c r="A422" s="15">
        <f>Murid!A422</f>
        <v/>
      </c>
      <c r="B422" s="15">
        <f>IF(Murid!B422="","",Murid!B422)</f>
        <v/>
      </c>
      <c r="C422" s="16">
        <f>IF(Murid!C422="","",Murid!C422)</f>
        <v/>
      </c>
      <c r="D422" s="15">
        <f>IF(Murid!E422="","",Murid!E422)</f>
        <v/>
      </c>
      <c r="E422" s="11" t="n"/>
      <c r="F422" s="11" t="n"/>
      <c r="G422" s="10">
        <f>IF(F422="","",IFERROR(VLOOKUP(F422,T_JSP,2,FALSE),0))</f>
        <v/>
      </c>
      <c r="H422" s="11" t="n"/>
      <c r="I422" s="17">
        <f>IF(H422="","",IF(H422&gt;=12,40,ROUND(H422*3.33,2)))</f>
        <v/>
      </c>
      <c r="J422" s="11" t="n"/>
      <c r="K422" s="11" t="n"/>
      <c r="L422" s="11" t="n"/>
      <c r="M422" s="11" t="n"/>
      <c r="N422" s="10">
        <f>IF(COUNTA(J422:M422)=0,"",MIN(10,SUMPRODUCT((COUNTIF(J422:M422,L_KOM)&gt;0)*S_KOM)))</f>
        <v/>
      </c>
      <c r="O422" s="11" t="n"/>
      <c r="P422" s="10">
        <f>IF(O422="","",IFERROR(VLOOKUP(O422,T_KHID,2,FALSE),0))</f>
        <v/>
      </c>
      <c r="Q422" s="11" t="n"/>
      <c r="R422" s="11" t="n"/>
      <c r="S422" s="10">
        <f>IF(AND(Q422="",R422=""),"",IFERROR(INDEX(T_LIBAT,MATCH(Q422,L_PER,0),MATCH(R422,L_JENIS,0)),0))</f>
        <v/>
      </c>
      <c r="T422" s="11" t="n"/>
      <c r="U422" s="11" t="n"/>
      <c r="V422" s="10">
        <f>IF(AND(T422="",U422=""),"",IFERROR(INDEX(T_CAPAI,MATCH(T422,L_PER,0),MATCH(U422,L_KED,0)),0))</f>
        <v/>
      </c>
      <c r="W422" s="17">
        <f>IF(OR(B422="",E422="",COUNTA(F422,H422,J422:M422,O422,Q422:R422,T422:U422)=0),"",SUM(G422,I422,N422,P422,S422,V422))</f>
        <v/>
      </c>
      <c r="X422" s="18">
        <f>IF(W422="","",IF(Murid!F422="TL","TL",ROUND(W422/110*100,2)))</f>
        <v/>
      </c>
    </row>
    <row r="423">
      <c r="A423" s="15">
        <f>Murid!A423</f>
        <v/>
      </c>
      <c r="B423" s="15">
        <f>IF(Murid!B423="","",Murid!B423)</f>
        <v/>
      </c>
      <c r="C423" s="16">
        <f>IF(Murid!C423="","",Murid!C423)</f>
        <v/>
      </c>
      <c r="D423" s="15">
        <f>IF(Murid!E423="","",Murid!E423)</f>
        <v/>
      </c>
      <c r="E423" s="11" t="n"/>
      <c r="F423" s="11" t="n"/>
      <c r="G423" s="10">
        <f>IF(F423="","",IFERROR(VLOOKUP(F423,T_JSP,2,FALSE),0))</f>
        <v/>
      </c>
      <c r="H423" s="11" t="n"/>
      <c r="I423" s="17">
        <f>IF(H423="","",IF(H423&gt;=12,40,ROUND(H423*3.33,2)))</f>
        <v/>
      </c>
      <c r="J423" s="11" t="n"/>
      <c r="K423" s="11" t="n"/>
      <c r="L423" s="11" t="n"/>
      <c r="M423" s="11" t="n"/>
      <c r="N423" s="10">
        <f>IF(COUNTA(J423:M423)=0,"",MIN(10,SUMPRODUCT((COUNTIF(J423:M423,L_KOM)&gt;0)*S_KOM)))</f>
        <v/>
      </c>
      <c r="O423" s="11" t="n"/>
      <c r="P423" s="10">
        <f>IF(O423="","",IFERROR(VLOOKUP(O423,T_KHID,2,FALSE),0))</f>
        <v/>
      </c>
      <c r="Q423" s="11" t="n"/>
      <c r="R423" s="11" t="n"/>
      <c r="S423" s="10">
        <f>IF(AND(Q423="",R423=""),"",IFERROR(INDEX(T_LIBAT,MATCH(Q423,L_PER,0),MATCH(R423,L_JENIS,0)),0))</f>
        <v/>
      </c>
      <c r="T423" s="11" t="n"/>
      <c r="U423" s="11" t="n"/>
      <c r="V423" s="10">
        <f>IF(AND(T423="",U423=""),"",IFERROR(INDEX(T_CAPAI,MATCH(T423,L_PER,0),MATCH(U423,L_KED,0)),0))</f>
        <v/>
      </c>
      <c r="W423" s="17">
        <f>IF(OR(B423="",E423="",COUNTA(F423,H423,J423:M423,O423,Q423:R423,T423:U423)=0),"",SUM(G423,I423,N423,P423,S423,V423))</f>
        <v/>
      </c>
      <c r="X423" s="18">
        <f>IF(W423="","",IF(Murid!F423="TL","TL",ROUND(W423/110*100,2)))</f>
        <v/>
      </c>
    </row>
    <row r="424">
      <c r="A424" s="15">
        <f>Murid!A424</f>
        <v/>
      </c>
      <c r="B424" s="15">
        <f>IF(Murid!B424="","",Murid!B424)</f>
        <v/>
      </c>
      <c r="C424" s="16">
        <f>IF(Murid!C424="","",Murid!C424)</f>
        <v/>
      </c>
      <c r="D424" s="15">
        <f>IF(Murid!E424="","",Murid!E424)</f>
        <v/>
      </c>
      <c r="E424" s="11" t="n"/>
      <c r="F424" s="11" t="n"/>
      <c r="G424" s="10">
        <f>IF(F424="","",IFERROR(VLOOKUP(F424,T_JSP,2,FALSE),0))</f>
        <v/>
      </c>
      <c r="H424" s="11" t="n"/>
      <c r="I424" s="17">
        <f>IF(H424="","",IF(H424&gt;=12,40,ROUND(H424*3.33,2)))</f>
        <v/>
      </c>
      <c r="J424" s="11" t="n"/>
      <c r="K424" s="11" t="n"/>
      <c r="L424" s="11" t="n"/>
      <c r="M424" s="11" t="n"/>
      <c r="N424" s="10">
        <f>IF(COUNTA(J424:M424)=0,"",MIN(10,SUMPRODUCT((COUNTIF(J424:M424,L_KOM)&gt;0)*S_KOM)))</f>
        <v/>
      </c>
      <c r="O424" s="11" t="n"/>
      <c r="P424" s="10">
        <f>IF(O424="","",IFERROR(VLOOKUP(O424,T_KHID,2,FALSE),0))</f>
        <v/>
      </c>
      <c r="Q424" s="11" t="n"/>
      <c r="R424" s="11" t="n"/>
      <c r="S424" s="10">
        <f>IF(AND(Q424="",R424=""),"",IFERROR(INDEX(T_LIBAT,MATCH(Q424,L_PER,0),MATCH(R424,L_JENIS,0)),0))</f>
        <v/>
      </c>
      <c r="T424" s="11" t="n"/>
      <c r="U424" s="11" t="n"/>
      <c r="V424" s="10">
        <f>IF(AND(T424="",U424=""),"",IFERROR(INDEX(T_CAPAI,MATCH(T424,L_PER,0),MATCH(U424,L_KED,0)),0))</f>
        <v/>
      </c>
      <c r="W424" s="17">
        <f>IF(OR(B424="",E424="",COUNTA(F424,H424,J424:M424,O424,Q424:R424,T424:U424)=0),"",SUM(G424,I424,N424,P424,S424,V424))</f>
        <v/>
      </c>
      <c r="X424" s="18">
        <f>IF(W424="","",IF(Murid!F424="TL","TL",ROUND(W424/110*100,2)))</f>
        <v/>
      </c>
    </row>
    <row r="425">
      <c r="A425" s="15">
        <f>Murid!A425</f>
        <v/>
      </c>
      <c r="B425" s="15">
        <f>IF(Murid!B425="","",Murid!B425)</f>
        <v/>
      </c>
      <c r="C425" s="16">
        <f>IF(Murid!C425="","",Murid!C425)</f>
        <v/>
      </c>
      <c r="D425" s="15">
        <f>IF(Murid!E425="","",Murid!E425)</f>
        <v/>
      </c>
      <c r="E425" s="11" t="n"/>
      <c r="F425" s="11" t="n"/>
      <c r="G425" s="10">
        <f>IF(F425="","",IFERROR(VLOOKUP(F425,T_JSP,2,FALSE),0))</f>
        <v/>
      </c>
      <c r="H425" s="11" t="n"/>
      <c r="I425" s="17">
        <f>IF(H425="","",IF(H425&gt;=12,40,ROUND(H425*3.33,2)))</f>
        <v/>
      </c>
      <c r="J425" s="11" t="n"/>
      <c r="K425" s="11" t="n"/>
      <c r="L425" s="11" t="n"/>
      <c r="M425" s="11" t="n"/>
      <c r="N425" s="10">
        <f>IF(COUNTA(J425:M425)=0,"",MIN(10,SUMPRODUCT((COUNTIF(J425:M425,L_KOM)&gt;0)*S_KOM)))</f>
        <v/>
      </c>
      <c r="O425" s="11" t="n"/>
      <c r="P425" s="10">
        <f>IF(O425="","",IFERROR(VLOOKUP(O425,T_KHID,2,FALSE),0))</f>
        <v/>
      </c>
      <c r="Q425" s="11" t="n"/>
      <c r="R425" s="11" t="n"/>
      <c r="S425" s="10">
        <f>IF(AND(Q425="",R425=""),"",IFERROR(INDEX(T_LIBAT,MATCH(Q425,L_PER,0),MATCH(R425,L_JENIS,0)),0))</f>
        <v/>
      </c>
      <c r="T425" s="11" t="n"/>
      <c r="U425" s="11" t="n"/>
      <c r="V425" s="10">
        <f>IF(AND(T425="",U425=""),"",IFERROR(INDEX(T_CAPAI,MATCH(T425,L_PER,0),MATCH(U425,L_KED,0)),0))</f>
        <v/>
      </c>
      <c r="W425" s="17">
        <f>IF(OR(B425="",E425="",COUNTA(F425,H425,J425:M425,O425,Q425:R425,T425:U425)=0),"",SUM(G425,I425,N425,P425,S425,V425))</f>
        <v/>
      </c>
      <c r="X425" s="18">
        <f>IF(W425="","",IF(Murid!F425="TL","TL",ROUND(W425/110*100,2)))</f>
        <v/>
      </c>
    </row>
    <row r="426">
      <c r="A426" s="15">
        <f>Murid!A426</f>
        <v/>
      </c>
      <c r="B426" s="15">
        <f>IF(Murid!B426="","",Murid!B426)</f>
        <v/>
      </c>
      <c r="C426" s="16">
        <f>IF(Murid!C426="","",Murid!C426)</f>
        <v/>
      </c>
      <c r="D426" s="15">
        <f>IF(Murid!E426="","",Murid!E426)</f>
        <v/>
      </c>
      <c r="E426" s="11" t="n"/>
      <c r="F426" s="11" t="n"/>
      <c r="G426" s="10">
        <f>IF(F426="","",IFERROR(VLOOKUP(F426,T_JSP,2,FALSE),0))</f>
        <v/>
      </c>
      <c r="H426" s="11" t="n"/>
      <c r="I426" s="17">
        <f>IF(H426="","",IF(H426&gt;=12,40,ROUND(H426*3.33,2)))</f>
        <v/>
      </c>
      <c r="J426" s="11" t="n"/>
      <c r="K426" s="11" t="n"/>
      <c r="L426" s="11" t="n"/>
      <c r="M426" s="11" t="n"/>
      <c r="N426" s="10">
        <f>IF(COUNTA(J426:M426)=0,"",MIN(10,SUMPRODUCT((COUNTIF(J426:M426,L_KOM)&gt;0)*S_KOM)))</f>
        <v/>
      </c>
      <c r="O426" s="11" t="n"/>
      <c r="P426" s="10">
        <f>IF(O426="","",IFERROR(VLOOKUP(O426,T_KHID,2,FALSE),0))</f>
        <v/>
      </c>
      <c r="Q426" s="11" t="n"/>
      <c r="R426" s="11" t="n"/>
      <c r="S426" s="10">
        <f>IF(AND(Q426="",R426=""),"",IFERROR(INDEX(T_LIBAT,MATCH(Q426,L_PER,0),MATCH(R426,L_JENIS,0)),0))</f>
        <v/>
      </c>
      <c r="T426" s="11" t="n"/>
      <c r="U426" s="11" t="n"/>
      <c r="V426" s="10">
        <f>IF(AND(T426="",U426=""),"",IFERROR(INDEX(T_CAPAI,MATCH(T426,L_PER,0),MATCH(U426,L_KED,0)),0))</f>
        <v/>
      </c>
      <c r="W426" s="17">
        <f>IF(OR(B426="",E426="",COUNTA(F426,H426,J426:M426,O426,Q426:R426,T426:U426)=0),"",SUM(G426,I426,N426,P426,S426,V426))</f>
        <v/>
      </c>
      <c r="X426" s="18">
        <f>IF(W426="","",IF(Murid!F426="TL","TL",ROUND(W426/110*100,2)))</f>
        <v/>
      </c>
    </row>
    <row r="427">
      <c r="A427" s="15">
        <f>Murid!A427</f>
        <v/>
      </c>
      <c r="B427" s="15">
        <f>IF(Murid!B427="","",Murid!B427)</f>
        <v/>
      </c>
      <c r="C427" s="16">
        <f>IF(Murid!C427="","",Murid!C427)</f>
        <v/>
      </c>
      <c r="D427" s="15">
        <f>IF(Murid!E427="","",Murid!E427)</f>
        <v/>
      </c>
      <c r="E427" s="11" t="n"/>
      <c r="F427" s="11" t="n"/>
      <c r="G427" s="10">
        <f>IF(F427="","",IFERROR(VLOOKUP(F427,T_JSP,2,FALSE),0))</f>
        <v/>
      </c>
      <c r="H427" s="11" t="n"/>
      <c r="I427" s="17">
        <f>IF(H427="","",IF(H427&gt;=12,40,ROUND(H427*3.33,2)))</f>
        <v/>
      </c>
      <c r="J427" s="11" t="n"/>
      <c r="K427" s="11" t="n"/>
      <c r="L427" s="11" t="n"/>
      <c r="M427" s="11" t="n"/>
      <c r="N427" s="10">
        <f>IF(COUNTA(J427:M427)=0,"",MIN(10,SUMPRODUCT((COUNTIF(J427:M427,L_KOM)&gt;0)*S_KOM)))</f>
        <v/>
      </c>
      <c r="O427" s="11" t="n"/>
      <c r="P427" s="10">
        <f>IF(O427="","",IFERROR(VLOOKUP(O427,T_KHID,2,FALSE),0))</f>
        <v/>
      </c>
      <c r="Q427" s="11" t="n"/>
      <c r="R427" s="11" t="n"/>
      <c r="S427" s="10">
        <f>IF(AND(Q427="",R427=""),"",IFERROR(INDEX(T_LIBAT,MATCH(Q427,L_PER,0),MATCH(R427,L_JENIS,0)),0))</f>
        <v/>
      </c>
      <c r="T427" s="11" t="n"/>
      <c r="U427" s="11" t="n"/>
      <c r="V427" s="10">
        <f>IF(AND(T427="",U427=""),"",IFERROR(INDEX(T_CAPAI,MATCH(T427,L_PER,0),MATCH(U427,L_KED,0)),0))</f>
        <v/>
      </c>
      <c r="W427" s="17">
        <f>IF(OR(B427="",E427="",COUNTA(F427,H427,J427:M427,O427,Q427:R427,T427:U427)=0),"",SUM(G427,I427,N427,P427,S427,V427))</f>
        <v/>
      </c>
      <c r="X427" s="18">
        <f>IF(W427="","",IF(Murid!F427="TL","TL",ROUND(W427/110*100,2)))</f>
        <v/>
      </c>
    </row>
    <row r="428">
      <c r="A428" s="15">
        <f>Murid!A428</f>
        <v/>
      </c>
      <c r="B428" s="15">
        <f>IF(Murid!B428="","",Murid!B428)</f>
        <v/>
      </c>
      <c r="C428" s="16">
        <f>IF(Murid!C428="","",Murid!C428)</f>
        <v/>
      </c>
      <c r="D428" s="15">
        <f>IF(Murid!E428="","",Murid!E428)</f>
        <v/>
      </c>
      <c r="E428" s="11" t="n"/>
      <c r="F428" s="11" t="n"/>
      <c r="G428" s="10">
        <f>IF(F428="","",IFERROR(VLOOKUP(F428,T_JSP,2,FALSE),0))</f>
        <v/>
      </c>
      <c r="H428" s="11" t="n"/>
      <c r="I428" s="17">
        <f>IF(H428="","",IF(H428&gt;=12,40,ROUND(H428*3.33,2)))</f>
        <v/>
      </c>
      <c r="J428" s="11" t="n"/>
      <c r="K428" s="11" t="n"/>
      <c r="L428" s="11" t="n"/>
      <c r="M428" s="11" t="n"/>
      <c r="N428" s="10">
        <f>IF(COUNTA(J428:M428)=0,"",MIN(10,SUMPRODUCT((COUNTIF(J428:M428,L_KOM)&gt;0)*S_KOM)))</f>
        <v/>
      </c>
      <c r="O428" s="11" t="n"/>
      <c r="P428" s="10">
        <f>IF(O428="","",IFERROR(VLOOKUP(O428,T_KHID,2,FALSE),0))</f>
        <v/>
      </c>
      <c r="Q428" s="11" t="n"/>
      <c r="R428" s="11" t="n"/>
      <c r="S428" s="10">
        <f>IF(AND(Q428="",R428=""),"",IFERROR(INDEX(T_LIBAT,MATCH(Q428,L_PER,0),MATCH(R428,L_JENIS,0)),0))</f>
        <v/>
      </c>
      <c r="T428" s="11" t="n"/>
      <c r="U428" s="11" t="n"/>
      <c r="V428" s="10">
        <f>IF(AND(T428="",U428=""),"",IFERROR(INDEX(T_CAPAI,MATCH(T428,L_PER,0),MATCH(U428,L_KED,0)),0))</f>
        <v/>
      </c>
      <c r="W428" s="17">
        <f>IF(OR(B428="",E428="",COUNTA(F428,H428,J428:M428,O428,Q428:R428,T428:U428)=0),"",SUM(G428,I428,N428,P428,S428,V428))</f>
        <v/>
      </c>
      <c r="X428" s="18">
        <f>IF(W428="","",IF(Murid!F428="TL","TL",ROUND(W428/110*100,2)))</f>
        <v/>
      </c>
    </row>
    <row r="429">
      <c r="A429" s="15">
        <f>Murid!A429</f>
        <v/>
      </c>
      <c r="B429" s="15">
        <f>IF(Murid!B429="","",Murid!B429)</f>
        <v/>
      </c>
      <c r="C429" s="16">
        <f>IF(Murid!C429="","",Murid!C429)</f>
        <v/>
      </c>
      <c r="D429" s="15">
        <f>IF(Murid!E429="","",Murid!E429)</f>
        <v/>
      </c>
      <c r="E429" s="11" t="n"/>
      <c r="F429" s="11" t="n"/>
      <c r="G429" s="10">
        <f>IF(F429="","",IFERROR(VLOOKUP(F429,T_JSP,2,FALSE),0))</f>
        <v/>
      </c>
      <c r="H429" s="11" t="n"/>
      <c r="I429" s="17">
        <f>IF(H429="","",IF(H429&gt;=12,40,ROUND(H429*3.33,2)))</f>
        <v/>
      </c>
      <c r="J429" s="11" t="n"/>
      <c r="K429" s="11" t="n"/>
      <c r="L429" s="11" t="n"/>
      <c r="M429" s="11" t="n"/>
      <c r="N429" s="10">
        <f>IF(COUNTA(J429:M429)=0,"",MIN(10,SUMPRODUCT((COUNTIF(J429:M429,L_KOM)&gt;0)*S_KOM)))</f>
        <v/>
      </c>
      <c r="O429" s="11" t="n"/>
      <c r="P429" s="10">
        <f>IF(O429="","",IFERROR(VLOOKUP(O429,T_KHID,2,FALSE),0))</f>
        <v/>
      </c>
      <c r="Q429" s="11" t="n"/>
      <c r="R429" s="11" t="n"/>
      <c r="S429" s="10">
        <f>IF(AND(Q429="",R429=""),"",IFERROR(INDEX(T_LIBAT,MATCH(Q429,L_PER,0),MATCH(R429,L_JENIS,0)),0))</f>
        <v/>
      </c>
      <c r="T429" s="11" t="n"/>
      <c r="U429" s="11" t="n"/>
      <c r="V429" s="10">
        <f>IF(AND(T429="",U429=""),"",IFERROR(INDEX(T_CAPAI,MATCH(T429,L_PER,0),MATCH(U429,L_KED,0)),0))</f>
        <v/>
      </c>
      <c r="W429" s="17">
        <f>IF(OR(B429="",E429="",COUNTA(F429,H429,J429:M429,O429,Q429:R429,T429:U429)=0),"",SUM(G429,I429,N429,P429,S429,V429))</f>
        <v/>
      </c>
      <c r="X429" s="18">
        <f>IF(W429="","",IF(Murid!F429="TL","TL",ROUND(W429/110*100,2)))</f>
        <v/>
      </c>
    </row>
    <row r="430">
      <c r="A430" s="15">
        <f>Murid!A430</f>
        <v/>
      </c>
      <c r="B430" s="15">
        <f>IF(Murid!B430="","",Murid!B430)</f>
        <v/>
      </c>
      <c r="C430" s="16">
        <f>IF(Murid!C430="","",Murid!C430)</f>
        <v/>
      </c>
      <c r="D430" s="15">
        <f>IF(Murid!E430="","",Murid!E430)</f>
        <v/>
      </c>
      <c r="E430" s="11" t="n"/>
      <c r="F430" s="11" t="n"/>
      <c r="G430" s="10">
        <f>IF(F430="","",IFERROR(VLOOKUP(F430,T_JSP,2,FALSE),0))</f>
        <v/>
      </c>
      <c r="H430" s="11" t="n"/>
      <c r="I430" s="17">
        <f>IF(H430="","",IF(H430&gt;=12,40,ROUND(H430*3.33,2)))</f>
        <v/>
      </c>
      <c r="J430" s="11" t="n"/>
      <c r="K430" s="11" t="n"/>
      <c r="L430" s="11" t="n"/>
      <c r="M430" s="11" t="n"/>
      <c r="N430" s="10">
        <f>IF(COUNTA(J430:M430)=0,"",MIN(10,SUMPRODUCT((COUNTIF(J430:M430,L_KOM)&gt;0)*S_KOM)))</f>
        <v/>
      </c>
      <c r="O430" s="11" t="n"/>
      <c r="P430" s="10">
        <f>IF(O430="","",IFERROR(VLOOKUP(O430,T_KHID,2,FALSE),0))</f>
        <v/>
      </c>
      <c r="Q430" s="11" t="n"/>
      <c r="R430" s="11" t="n"/>
      <c r="S430" s="10">
        <f>IF(AND(Q430="",R430=""),"",IFERROR(INDEX(T_LIBAT,MATCH(Q430,L_PER,0),MATCH(R430,L_JENIS,0)),0))</f>
        <v/>
      </c>
      <c r="T430" s="11" t="n"/>
      <c r="U430" s="11" t="n"/>
      <c r="V430" s="10">
        <f>IF(AND(T430="",U430=""),"",IFERROR(INDEX(T_CAPAI,MATCH(T430,L_PER,0),MATCH(U430,L_KED,0)),0))</f>
        <v/>
      </c>
      <c r="W430" s="17">
        <f>IF(OR(B430="",E430="",COUNTA(F430,H430,J430:M430,O430,Q430:R430,T430:U430)=0),"",SUM(G430,I430,N430,P430,S430,V430))</f>
        <v/>
      </c>
      <c r="X430" s="18">
        <f>IF(W430="","",IF(Murid!F430="TL","TL",ROUND(W430/110*100,2)))</f>
        <v/>
      </c>
    </row>
    <row r="431">
      <c r="A431" s="15">
        <f>Murid!A431</f>
        <v/>
      </c>
      <c r="B431" s="15">
        <f>IF(Murid!B431="","",Murid!B431)</f>
        <v/>
      </c>
      <c r="C431" s="16">
        <f>IF(Murid!C431="","",Murid!C431)</f>
        <v/>
      </c>
      <c r="D431" s="15">
        <f>IF(Murid!E431="","",Murid!E431)</f>
        <v/>
      </c>
      <c r="E431" s="11" t="n"/>
      <c r="F431" s="11" t="n"/>
      <c r="G431" s="10">
        <f>IF(F431="","",IFERROR(VLOOKUP(F431,T_JSP,2,FALSE),0))</f>
        <v/>
      </c>
      <c r="H431" s="11" t="n"/>
      <c r="I431" s="17">
        <f>IF(H431="","",IF(H431&gt;=12,40,ROUND(H431*3.33,2)))</f>
        <v/>
      </c>
      <c r="J431" s="11" t="n"/>
      <c r="K431" s="11" t="n"/>
      <c r="L431" s="11" t="n"/>
      <c r="M431" s="11" t="n"/>
      <c r="N431" s="10">
        <f>IF(COUNTA(J431:M431)=0,"",MIN(10,SUMPRODUCT((COUNTIF(J431:M431,L_KOM)&gt;0)*S_KOM)))</f>
        <v/>
      </c>
      <c r="O431" s="11" t="n"/>
      <c r="P431" s="10">
        <f>IF(O431="","",IFERROR(VLOOKUP(O431,T_KHID,2,FALSE),0))</f>
        <v/>
      </c>
      <c r="Q431" s="11" t="n"/>
      <c r="R431" s="11" t="n"/>
      <c r="S431" s="10">
        <f>IF(AND(Q431="",R431=""),"",IFERROR(INDEX(T_LIBAT,MATCH(Q431,L_PER,0),MATCH(R431,L_JENIS,0)),0))</f>
        <v/>
      </c>
      <c r="T431" s="11" t="n"/>
      <c r="U431" s="11" t="n"/>
      <c r="V431" s="10">
        <f>IF(AND(T431="",U431=""),"",IFERROR(INDEX(T_CAPAI,MATCH(T431,L_PER,0),MATCH(U431,L_KED,0)),0))</f>
        <v/>
      </c>
      <c r="W431" s="17">
        <f>IF(OR(B431="",E431="",COUNTA(F431,H431,J431:M431,O431,Q431:R431,T431:U431)=0),"",SUM(G431,I431,N431,P431,S431,V431))</f>
        <v/>
      </c>
      <c r="X431" s="18">
        <f>IF(W431="","",IF(Murid!F431="TL","TL",ROUND(W431/110*100,2)))</f>
        <v/>
      </c>
    </row>
    <row r="432">
      <c r="A432" s="15">
        <f>Murid!A432</f>
        <v/>
      </c>
      <c r="B432" s="15">
        <f>IF(Murid!B432="","",Murid!B432)</f>
        <v/>
      </c>
      <c r="C432" s="16">
        <f>IF(Murid!C432="","",Murid!C432)</f>
        <v/>
      </c>
      <c r="D432" s="15">
        <f>IF(Murid!E432="","",Murid!E432)</f>
        <v/>
      </c>
      <c r="E432" s="11" t="n"/>
      <c r="F432" s="11" t="n"/>
      <c r="G432" s="10">
        <f>IF(F432="","",IFERROR(VLOOKUP(F432,T_JSP,2,FALSE),0))</f>
        <v/>
      </c>
      <c r="H432" s="11" t="n"/>
      <c r="I432" s="17">
        <f>IF(H432="","",IF(H432&gt;=12,40,ROUND(H432*3.33,2)))</f>
        <v/>
      </c>
      <c r="J432" s="11" t="n"/>
      <c r="K432" s="11" t="n"/>
      <c r="L432" s="11" t="n"/>
      <c r="M432" s="11" t="n"/>
      <c r="N432" s="10">
        <f>IF(COUNTA(J432:M432)=0,"",MIN(10,SUMPRODUCT((COUNTIF(J432:M432,L_KOM)&gt;0)*S_KOM)))</f>
        <v/>
      </c>
      <c r="O432" s="11" t="n"/>
      <c r="P432" s="10">
        <f>IF(O432="","",IFERROR(VLOOKUP(O432,T_KHID,2,FALSE),0))</f>
        <v/>
      </c>
      <c r="Q432" s="11" t="n"/>
      <c r="R432" s="11" t="n"/>
      <c r="S432" s="10">
        <f>IF(AND(Q432="",R432=""),"",IFERROR(INDEX(T_LIBAT,MATCH(Q432,L_PER,0),MATCH(R432,L_JENIS,0)),0))</f>
        <v/>
      </c>
      <c r="T432" s="11" t="n"/>
      <c r="U432" s="11" t="n"/>
      <c r="V432" s="10">
        <f>IF(AND(T432="",U432=""),"",IFERROR(INDEX(T_CAPAI,MATCH(T432,L_PER,0),MATCH(U432,L_KED,0)),0))</f>
        <v/>
      </c>
      <c r="W432" s="17">
        <f>IF(OR(B432="",E432="",COUNTA(F432,H432,J432:M432,O432,Q432:R432,T432:U432)=0),"",SUM(G432,I432,N432,P432,S432,V432))</f>
        <v/>
      </c>
      <c r="X432" s="18">
        <f>IF(W432="","",IF(Murid!F432="TL","TL",ROUND(W432/110*100,2)))</f>
        <v/>
      </c>
    </row>
    <row r="433">
      <c r="A433" s="15">
        <f>Murid!A433</f>
        <v/>
      </c>
      <c r="B433" s="15">
        <f>IF(Murid!B433="","",Murid!B433)</f>
        <v/>
      </c>
      <c r="C433" s="16">
        <f>IF(Murid!C433="","",Murid!C433)</f>
        <v/>
      </c>
      <c r="D433" s="15">
        <f>IF(Murid!E433="","",Murid!E433)</f>
        <v/>
      </c>
      <c r="E433" s="11" t="n"/>
      <c r="F433" s="11" t="n"/>
      <c r="G433" s="10">
        <f>IF(F433="","",IFERROR(VLOOKUP(F433,T_JSP,2,FALSE),0))</f>
        <v/>
      </c>
      <c r="H433" s="11" t="n"/>
      <c r="I433" s="17">
        <f>IF(H433="","",IF(H433&gt;=12,40,ROUND(H433*3.33,2)))</f>
        <v/>
      </c>
      <c r="J433" s="11" t="n"/>
      <c r="K433" s="11" t="n"/>
      <c r="L433" s="11" t="n"/>
      <c r="M433" s="11" t="n"/>
      <c r="N433" s="10">
        <f>IF(COUNTA(J433:M433)=0,"",MIN(10,SUMPRODUCT((COUNTIF(J433:M433,L_KOM)&gt;0)*S_KOM)))</f>
        <v/>
      </c>
      <c r="O433" s="11" t="n"/>
      <c r="P433" s="10">
        <f>IF(O433="","",IFERROR(VLOOKUP(O433,T_KHID,2,FALSE),0))</f>
        <v/>
      </c>
      <c r="Q433" s="11" t="n"/>
      <c r="R433" s="11" t="n"/>
      <c r="S433" s="10">
        <f>IF(AND(Q433="",R433=""),"",IFERROR(INDEX(T_LIBAT,MATCH(Q433,L_PER,0),MATCH(R433,L_JENIS,0)),0))</f>
        <v/>
      </c>
      <c r="T433" s="11" t="n"/>
      <c r="U433" s="11" t="n"/>
      <c r="V433" s="10">
        <f>IF(AND(T433="",U433=""),"",IFERROR(INDEX(T_CAPAI,MATCH(T433,L_PER,0),MATCH(U433,L_KED,0)),0))</f>
        <v/>
      </c>
      <c r="W433" s="17">
        <f>IF(OR(B433="",E433="",COUNTA(F433,H433,J433:M433,O433,Q433:R433,T433:U433)=0),"",SUM(G433,I433,N433,P433,S433,V433))</f>
        <v/>
      </c>
      <c r="X433" s="18">
        <f>IF(W433="","",IF(Murid!F433="TL","TL",ROUND(W433/110*100,2)))</f>
        <v/>
      </c>
    </row>
    <row r="434">
      <c r="A434" s="15">
        <f>Murid!A434</f>
        <v/>
      </c>
      <c r="B434" s="15">
        <f>IF(Murid!B434="","",Murid!B434)</f>
        <v/>
      </c>
      <c r="C434" s="16">
        <f>IF(Murid!C434="","",Murid!C434)</f>
        <v/>
      </c>
      <c r="D434" s="15">
        <f>IF(Murid!E434="","",Murid!E434)</f>
        <v/>
      </c>
      <c r="E434" s="11" t="n"/>
      <c r="F434" s="11" t="n"/>
      <c r="G434" s="10">
        <f>IF(F434="","",IFERROR(VLOOKUP(F434,T_JSP,2,FALSE),0))</f>
        <v/>
      </c>
      <c r="H434" s="11" t="n"/>
      <c r="I434" s="17">
        <f>IF(H434="","",IF(H434&gt;=12,40,ROUND(H434*3.33,2)))</f>
        <v/>
      </c>
      <c r="J434" s="11" t="n"/>
      <c r="K434" s="11" t="n"/>
      <c r="L434" s="11" t="n"/>
      <c r="M434" s="11" t="n"/>
      <c r="N434" s="10">
        <f>IF(COUNTA(J434:M434)=0,"",MIN(10,SUMPRODUCT((COUNTIF(J434:M434,L_KOM)&gt;0)*S_KOM)))</f>
        <v/>
      </c>
      <c r="O434" s="11" t="n"/>
      <c r="P434" s="10">
        <f>IF(O434="","",IFERROR(VLOOKUP(O434,T_KHID,2,FALSE),0))</f>
        <v/>
      </c>
      <c r="Q434" s="11" t="n"/>
      <c r="R434" s="11" t="n"/>
      <c r="S434" s="10">
        <f>IF(AND(Q434="",R434=""),"",IFERROR(INDEX(T_LIBAT,MATCH(Q434,L_PER,0),MATCH(R434,L_JENIS,0)),0))</f>
        <v/>
      </c>
      <c r="T434" s="11" t="n"/>
      <c r="U434" s="11" t="n"/>
      <c r="V434" s="10">
        <f>IF(AND(T434="",U434=""),"",IFERROR(INDEX(T_CAPAI,MATCH(T434,L_PER,0),MATCH(U434,L_KED,0)),0))</f>
        <v/>
      </c>
      <c r="W434" s="17">
        <f>IF(OR(B434="",E434="",COUNTA(F434,H434,J434:M434,O434,Q434:R434,T434:U434)=0),"",SUM(G434,I434,N434,P434,S434,V434))</f>
        <v/>
      </c>
      <c r="X434" s="18">
        <f>IF(W434="","",IF(Murid!F434="TL","TL",ROUND(W434/110*100,2)))</f>
        <v/>
      </c>
    </row>
    <row r="435">
      <c r="A435" s="15">
        <f>Murid!A435</f>
        <v/>
      </c>
      <c r="B435" s="15">
        <f>IF(Murid!B435="","",Murid!B435)</f>
        <v/>
      </c>
      <c r="C435" s="16">
        <f>IF(Murid!C435="","",Murid!C435)</f>
        <v/>
      </c>
      <c r="D435" s="15">
        <f>IF(Murid!E435="","",Murid!E435)</f>
        <v/>
      </c>
      <c r="E435" s="11" t="n"/>
      <c r="F435" s="11" t="n"/>
      <c r="G435" s="10">
        <f>IF(F435="","",IFERROR(VLOOKUP(F435,T_JSP,2,FALSE),0))</f>
        <v/>
      </c>
      <c r="H435" s="11" t="n"/>
      <c r="I435" s="17">
        <f>IF(H435="","",IF(H435&gt;=12,40,ROUND(H435*3.33,2)))</f>
        <v/>
      </c>
      <c r="J435" s="11" t="n"/>
      <c r="K435" s="11" t="n"/>
      <c r="L435" s="11" t="n"/>
      <c r="M435" s="11" t="n"/>
      <c r="N435" s="10">
        <f>IF(COUNTA(J435:M435)=0,"",MIN(10,SUMPRODUCT((COUNTIF(J435:M435,L_KOM)&gt;0)*S_KOM)))</f>
        <v/>
      </c>
      <c r="O435" s="11" t="n"/>
      <c r="P435" s="10">
        <f>IF(O435="","",IFERROR(VLOOKUP(O435,T_KHID,2,FALSE),0))</f>
        <v/>
      </c>
      <c r="Q435" s="11" t="n"/>
      <c r="R435" s="11" t="n"/>
      <c r="S435" s="10">
        <f>IF(AND(Q435="",R435=""),"",IFERROR(INDEX(T_LIBAT,MATCH(Q435,L_PER,0),MATCH(R435,L_JENIS,0)),0))</f>
        <v/>
      </c>
      <c r="T435" s="11" t="n"/>
      <c r="U435" s="11" t="n"/>
      <c r="V435" s="10">
        <f>IF(AND(T435="",U435=""),"",IFERROR(INDEX(T_CAPAI,MATCH(T435,L_PER,0),MATCH(U435,L_KED,0)),0))</f>
        <v/>
      </c>
      <c r="W435" s="17">
        <f>IF(OR(B435="",E435="",COUNTA(F435,H435,J435:M435,O435,Q435:R435,T435:U435)=0),"",SUM(G435,I435,N435,P435,S435,V435))</f>
        <v/>
      </c>
      <c r="X435" s="18">
        <f>IF(W435="","",IF(Murid!F435="TL","TL",ROUND(W435/110*100,2)))</f>
        <v/>
      </c>
    </row>
    <row r="436">
      <c r="A436" s="15">
        <f>Murid!A436</f>
        <v/>
      </c>
      <c r="B436" s="15">
        <f>IF(Murid!B436="","",Murid!B436)</f>
        <v/>
      </c>
      <c r="C436" s="16">
        <f>IF(Murid!C436="","",Murid!C436)</f>
        <v/>
      </c>
      <c r="D436" s="15">
        <f>IF(Murid!E436="","",Murid!E436)</f>
        <v/>
      </c>
      <c r="E436" s="11" t="n"/>
      <c r="F436" s="11" t="n"/>
      <c r="G436" s="10">
        <f>IF(F436="","",IFERROR(VLOOKUP(F436,T_JSP,2,FALSE),0))</f>
        <v/>
      </c>
      <c r="H436" s="11" t="n"/>
      <c r="I436" s="17">
        <f>IF(H436="","",IF(H436&gt;=12,40,ROUND(H436*3.33,2)))</f>
        <v/>
      </c>
      <c r="J436" s="11" t="n"/>
      <c r="K436" s="11" t="n"/>
      <c r="L436" s="11" t="n"/>
      <c r="M436" s="11" t="n"/>
      <c r="N436" s="10">
        <f>IF(COUNTA(J436:M436)=0,"",MIN(10,SUMPRODUCT((COUNTIF(J436:M436,L_KOM)&gt;0)*S_KOM)))</f>
        <v/>
      </c>
      <c r="O436" s="11" t="n"/>
      <c r="P436" s="10">
        <f>IF(O436="","",IFERROR(VLOOKUP(O436,T_KHID,2,FALSE),0))</f>
        <v/>
      </c>
      <c r="Q436" s="11" t="n"/>
      <c r="R436" s="11" t="n"/>
      <c r="S436" s="10">
        <f>IF(AND(Q436="",R436=""),"",IFERROR(INDEX(T_LIBAT,MATCH(Q436,L_PER,0),MATCH(R436,L_JENIS,0)),0))</f>
        <v/>
      </c>
      <c r="T436" s="11" t="n"/>
      <c r="U436" s="11" t="n"/>
      <c r="V436" s="10">
        <f>IF(AND(T436="",U436=""),"",IFERROR(INDEX(T_CAPAI,MATCH(T436,L_PER,0),MATCH(U436,L_KED,0)),0))</f>
        <v/>
      </c>
      <c r="W436" s="17">
        <f>IF(OR(B436="",E436="",COUNTA(F436,H436,J436:M436,O436,Q436:R436,T436:U436)=0),"",SUM(G436,I436,N436,P436,S436,V436))</f>
        <v/>
      </c>
      <c r="X436" s="18">
        <f>IF(W436="","",IF(Murid!F436="TL","TL",ROUND(W436/110*100,2)))</f>
        <v/>
      </c>
    </row>
    <row r="437">
      <c r="A437" s="15">
        <f>Murid!A437</f>
        <v/>
      </c>
      <c r="B437" s="15">
        <f>IF(Murid!B437="","",Murid!B437)</f>
        <v/>
      </c>
      <c r="C437" s="16">
        <f>IF(Murid!C437="","",Murid!C437)</f>
        <v/>
      </c>
      <c r="D437" s="15">
        <f>IF(Murid!E437="","",Murid!E437)</f>
        <v/>
      </c>
      <c r="E437" s="11" t="n"/>
      <c r="F437" s="11" t="n"/>
      <c r="G437" s="10">
        <f>IF(F437="","",IFERROR(VLOOKUP(F437,T_JSP,2,FALSE),0))</f>
        <v/>
      </c>
      <c r="H437" s="11" t="n"/>
      <c r="I437" s="17">
        <f>IF(H437="","",IF(H437&gt;=12,40,ROUND(H437*3.33,2)))</f>
        <v/>
      </c>
      <c r="J437" s="11" t="n"/>
      <c r="K437" s="11" t="n"/>
      <c r="L437" s="11" t="n"/>
      <c r="M437" s="11" t="n"/>
      <c r="N437" s="10">
        <f>IF(COUNTA(J437:M437)=0,"",MIN(10,SUMPRODUCT((COUNTIF(J437:M437,L_KOM)&gt;0)*S_KOM)))</f>
        <v/>
      </c>
      <c r="O437" s="11" t="n"/>
      <c r="P437" s="10">
        <f>IF(O437="","",IFERROR(VLOOKUP(O437,T_KHID,2,FALSE),0))</f>
        <v/>
      </c>
      <c r="Q437" s="11" t="n"/>
      <c r="R437" s="11" t="n"/>
      <c r="S437" s="10">
        <f>IF(AND(Q437="",R437=""),"",IFERROR(INDEX(T_LIBAT,MATCH(Q437,L_PER,0),MATCH(R437,L_JENIS,0)),0))</f>
        <v/>
      </c>
      <c r="T437" s="11" t="n"/>
      <c r="U437" s="11" t="n"/>
      <c r="V437" s="10">
        <f>IF(AND(T437="",U437=""),"",IFERROR(INDEX(T_CAPAI,MATCH(T437,L_PER,0),MATCH(U437,L_KED,0)),0))</f>
        <v/>
      </c>
      <c r="W437" s="17">
        <f>IF(OR(B437="",E437="",COUNTA(F437,H437,J437:M437,O437,Q437:R437,T437:U437)=0),"",SUM(G437,I437,N437,P437,S437,V437))</f>
        <v/>
      </c>
      <c r="X437" s="18">
        <f>IF(W437="","",IF(Murid!F437="TL","TL",ROUND(W437/110*100,2)))</f>
        <v/>
      </c>
    </row>
    <row r="438">
      <c r="A438" s="15">
        <f>Murid!A438</f>
        <v/>
      </c>
      <c r="B438" s="15">
        <f>IF(Murid!B438="","",Murid!B438)</f>
        <v/>
      </c>
      <c r="C438" s="16">
        <f>IF(Murid!C438="","",Murid!C438)</f>
        <v/>
      </c>
      <c r="D438" s="15">
        <f>IF(Murid!E438="","",Murid!E438)</f>
        <v/>
      </c>
      <c r="E438" s="11" t="n"/>
      <c r="F438" s="11" t="n"/>
      <c r="G438" s="10">
        <f>IF(F438="","",IFERROR(VLOOKUP(F438,T_JSP,2,FALSE),0))</f>
        <v/>
      </c>
      <c r="H438" s="11" t="n"/>
      <c r="I438" s="17">
        <f>IF(H438="","",IF(H438&gt;=12,40,ROUND(H438*3.33,2)))</f>
        <v/>
      </c>
      <c r="J438" s="11" t="n"/>
      <c r="K438" s="11" t="n"/>
      <c r="L438" s="11" t="n"/>
      <c r="M438" s="11" t="n"/>
      <c r="N438" s="10">
        <f>IF(COUNTA(J438:M438)=0,"",MIN(10,SUMPRODUCT((COUNTIF(J438:M438,L_KOM)&gt;0)*S_KOM)))</f>
        <v/>
      </c>
      <c r="O438" s="11" t="n"/>
      <c r="P438" s="10">
        <f>IF(O438="","",IFERROR(VLOOKUP(O438,T_KHID,2,FALSE),0))</f>
        <v/>
      </c>
      <c r="Q438" s="11" t="n"/>
      <c r="R438" s="11" t="n"/>
      <c r="S438" s="10">
        <f>IF(AND(Q438="",R438=""),"",IFERROR(INDEX(T_LIBAT,MATCH(Q438,L_PER,0),MATCH(R438,L_JENIS,0)),0))</f>
        <v/>
      </c>
      <c r="T438" s="11" t="n"/>
      <c r="U438" s="11" t="n"/>
      <c r="V438" s="10">
        <f>IF(AND(T438="",U438=""),"",IFERROR(INDEX(T_CAPAI,MATCH(T438,L_PER,0),MATCH(U438,L_KED,0)),0))</f>
        <v/>
      </c>
      <c r="W438" s="17">
        <f>IF(OR(B438="",E438="",COUNTA(F438,H438,J438:M438,O438,Q438:R438,T438:U438)=0),"",SUM(G438,I438,N438,P438,S438,V438))</f>
        <v/>
      </c>
      <c r="X438" s="18">
        <f>IF(W438="","",IF(Murid!F438="TL","TL",ROUND(W438/110*100,2)))</f>
        <v/>
      </c>
    </row>
    <row r="439">
      <c r="A439" s="15">
        <f>Murid!A439</f>
        <v/>
      </c>
      <c r="B439" s="15">
        <f>IF(Murid!B439="","",Murid!B439)</f>
        <v/>
      </c>
      <c r="C439" s="16">
        <f>IF(Murid!C439="","",Murid!C439)</f>
        <v/>
      </c>
      <c r="D439" s="15">
        <f>IF(Murid!E439="","",Murid!E439)</f>
        <v/>
      </c>
      <c r="E439" s="11" t="n"/>
      <c r="F439" s="11" t="n"/>
      <c r="G439" s="10">
        <f>IF(F439="","",IFERROR(VLOOKUP(F439,T_JSP,2,FALSE),0))</f>
        <v/>
      </c>
      <c r="H439" s="11" t="n"/>
      <c r="I439" s="17">
        <f>IF(H439="","",IF(H439&gt;=12,40,ROUND(H439*3.33,2)))</f>
        <v/>
      </c>
      <c r="J439" s="11" t="n"/>
      <c r="K439" s="11" t="n"/>
      <c r="L439" s="11" t="n"/>
      <c r="M439" s="11" t="n"/>
      <c r="N439" s="10">
        <f>IF(COUNTA(J439:M439)=0,"",MIN(10,SUMPRODUCT((COUNTIF(J439:M439,L_KOM)&gt;0)*S_KOM)))</f>
        <v/>
      </c>
      <c r="O439" s="11" t="n"/>
      <c r="P439" s="10">
        <f>IF(O439="","",IFERROR(VLOOKUP(O439,T_KHID,2,FALSE),0))</f>
        <v/>
      </c>
      <c r="Q439" s="11" t="n"/>
      <c r="R439" s="11" t="n"/>
      <c r="S439" s="10">
        <f>IF(AND(Q439="",R439=""),"",IFERROR(INDEX(T_LIBAT,MATCH(Q439,L_PER,0),MATCH(R439,L_JENIS,0)),0))</f>
        <v/>
      </c>
      <c r="T439" s="11" t="n"/>
      <c r="U439" s="11" t="n"/>
      <c r="V439" s="10">
        <f>IF(AND(T439="",U439=""),"",IFERROR(INDEX(T_CAPAI,MATCH(T439,L_PER,0),MATCH(U439,L_KED,0)),0))</f>
        <v/>
      </c>
      <c r="W439" s="17">
        <f>IF(OR(B439="",E439="",COUNTA(F439,H439,J439:M439,O439,Q439:R439,T439:U439)=0),"",SUM(G439,I439,N439,P439,S439,V439))</f>
        <v/>
      </c>
      <c r="X439" s="18">
        <f>IF(W439="","",IF(Murid!F439="TL","TL",ROUND(W439/110*100,2)))</f>
        <v/>
      </c>
    </row>
    <row r="440">
      <c r="A440" s="15">
        <f>Murid!A440</f>
        <v/>
      </c>
      <c r="B440" s="15">
        <f>IF(Murid!B440="","",Murid!B440)</f>
        <v/>
      </c>
      <c r="C440" s="16">
        <f>IF(Murid!C440="","",Murid!C440)</f>
        <v/>
      </c>
      <c r="D440" s="15">
        <f>IF(Murid!E440="","",Murid!E440)</f>
        <v/>
      </c>
      <c r="E440" s="11" t="n"/>
      <c r="F440" s="11" t="n"/>
      <c r="G440" s="10">
        <f>IF(F440="","",IFERROR(VLOOKUP(F440,T_JSP,2,FALSE),0))</f>
        <v/>
      </c>
      <c r="H440" s="11" t="n"/>
      <c r="I440" s="17">
        <f>IF(H440="","",IF(H440&gt;=12,40,ROUND(H440*3.33,2)))</f>
        <v/>
      </c>
      <c r="J440" s="11" t="n"/>
      <c r="K440" s="11" t="n"/>
      <c r="L440" s="11" t="n"/>
      <c r="M440" s="11" t="n"/>
      <c r="N440" s="10">
        <f>IF(COUNTA(J440:M440)=0,"",MIN(10,SUMPRODUCT((COUNTIF(J440:M440,L_KOM)&gt;0)*S_KOM)))</f>
        <v/>
      </c>
      <c r="O440" s="11" t="n"/>
      <c r="P440" s="10">
        <f>IF(O440="","",IFERROR(VLOOKUP(O440,T_KHID,2,FALSE),0))</f>
        <v/>
      </c>
      <c r="Q440" s="11" t="n"/>
      <c r="R440" s="11" t="n"/>
      <c r="S440" s="10">
        <f>IF(AND(Q440="",R440=""),"",IFERROR(INDEX(T_LIBAT,MATCH(Q440,L_PER,0),MATCH(R440,L_JENIS,0)),0))</f>
        <v/>
      </c>
      <c r="T440" s="11" t="n"/>
      <c r="U440" s="11" t="n"/>
      <c r="V440" s="10">
        <f>IF(AND(T440="",U440=""),"",IFERROR(INDEX(T_CAPAI,MATCH(T440,L_PER,0),MATCH(U440,L_KED,0)),0))</f>
        <v/>
      </c>
      <c r="W440" s="17">
        <f>IF(OR(B440="",E440="",COUNTA(F440,H440,J440:M440,O440,Q440:R440,T440:U440)=0),"",SUM(G440,I440,N440,P440,S440,V440))</f>
        <v/>
      </c>
      <c r="X440" s="18">
        <f>IF(W440="","",IF(Murid!F440="TL","TL",ROUND(W440/110*100,2)))</f>
        <v/>
      </c>
    </row>
    <row r="441">
      <c r="A441" s="15">
        <f>Murid!A441</f>
        <v/>
      </c>
      <c r="B441" s="15">
        <f>IF(Murid!B441="","",Murid!B441)</f>
        <v/>
      </c>
      <c r="C441" s="16">
        <f>IF(Murid!C441="","",Murid!C441)</f>
        <v/>
      </c>
      <c r="D441" s="15">
        <f>IF(Murid!E441="","",Murid!E441)</f>
        <v/>
      </c>
      <c r="E441" s="11" t="n"/>
      <c r="F441" s="11" t="n"/>
      <c r="G441" s="10">
        <f>IF(F441="","",IFERROR(VLOOKUP(F441,T_JSP,2,FALSE),0))</f>
        <v/>
      </c>
      <c r="H441" s="11" t="n"/>
      <c r="I441" s="17">
        <f>IF(H441="","",IF(H441&gt;=12,40,ROUND(H441*3.33,2)))</f>
        <v/>
      </c>
      <c r="J441" s="11" t="n"/>
      <c r="K441" s="11" t="n"/>
      <c r="L441" s="11" t="n"/>
      <c r="M441" s="11" t="n"/>
      <c r="N441" s="10">
        <f>IF(COUNTA(J441:M441)=0,"",MIN(10,SUMPRODUCT((COUNTIF(J441:M441,L_KOM)&gt;0)*S_KOM)))</f>
        <v/>
      </c>
      <c r="O441" s="11" t="n"/>
      <c r="P441" s="10">
        <f>IF(O441="","",IFERROR(VLOOKUP(O441,T_KHID,2,FALSE),0))</f>
        <v/>
      </c>
      <c r="Q441" s="11" t="n"/>
      <c r="R441" s="11" t="n"/>
      <c r="S441" s="10">
        <f>IF(AND(Q441="",R441=""),"",IFERROR(INDEX(T_LIBAT,MATCH(Q441,L_PER,0),MATCH(R441,L_JENIS,0)),0))</f>
        <v/>
      </c>
      <c r="T441" s="11" t="n"/>
      <c r="U441" s="11" t="n"/>
      <c r="V441" s="10">
        <f>IF(AND(T441="",U441=""),"",IFERROR(INDEX(T_CAPAI,MATCH(T441,L_PER,0),MATCH(U441,L_KED,0)),0))</f>
        <v/>
      </c>
      <c r="W441" s="17">
        <f>IF(OR(B441="",E441="",COUNTA(F441,H441,J441:M441,O441,Q441:R441,T441:U441)=0),"",SUM(G441,I441,N441,P441,S441,V441))</f>
        <v/>
      </c>
      <c r="X441" s="18">
        <f>IF(W441="","",IF(Murid!F441="TL","TL",ROUND(W441/110*100,2)))</f>
        <v/>
      </c>
    </row>
    <row r="442">
      <c r="A442" s="15">
        <f>Murid!A442</f>
        <v/>
      </c>
      <c r="B442" s="15">
        <f>IF(Murid!B442="","",Murid!B442)</f>
        <v/>
      </c>
      <c r="C442" s="16">
        <f>IF(Murid!C442="","",Murid!C442)</f>
        <v/>
      </c>
      <c r="D442" s="15">
        <f>IF(Murid!E442="","",Murid!E442)</f>
        <v/>
      </c>
      <c r="E442" s="11" t="n"/>
      <c r="F442" s="11" t="n"/>
      <c r="G442" s="10">
        <f>IF(F442="","",IFERROR(VLOOKUP(F442,T_JSP,2,FALSE),0))</f>
        <v/>
      </c>
      <c r="H442" s="11" t="n"/>
      <c r="I442" s="17">
        <f>IF(H442="","",IF(H442&gt;=12,40,ROUND(H442*3.33,2)))</f>
        <v/>
      </c>
      <c r="J442" s="11" t="n"/>
      <c r="K442" s="11" t="n"/>
      <c r="L442" s="11" t="n"/>
      <c r="M442" s="11" t="n"/>
      <c r="N442" s="10">
        <f>IF(COUNTA(J442:M442)=0,"",MIN(10,SUMPRODUCT((COUNTIF(J442:M442,L_KOM)&gt;0)*S_KOM)))</f>
        <v/>
      </c>
      <c r="O442" s="11" t="n"/>
      <c r="P442" s="10">
        <f>IF(O442="","",IFERROR(VLOOKUP(O442,T_KHID,2,FALSE),0))</f>
        <v/>
      </c>
      <c r="Q442" s="11" t="n"/>
      <c r="R442" s="11" t="n"/>
      <c r="S442" s="10">
        <f>IF(AND(Q442="",R442=""),"",IFERROR(INDEX(T_LIBAT,MATCH(Q442,L_PER,0),MATCH(R442,L_JENIS,0)),0))</f>
        <v/>
      </c>
      <c r="T442" s="11" t="n"/>
      <c r="U442" s="11" t="n"/>
      <c r="V442" s="10">
        <f>IF(AND(T442="",U442=""),"",IFERROR(INDEX(T_CAPAI,MATCH(T442,L_PER,0),MATCH(U442,L_KED,0)),0))</f>
        <v/>
      </c>
      <c r="W442" s="17">
        <f>IF(OR(B442="",E442="",COUNTA(F442,H442,J442:M442,O442,Q442:R442,T442:U442)=0),"",SUM(G442,I442,N442,P442,S442,V442))</f>
        <v/>
      </c>
      <c r="X442" s="18">
        <f>IF(W442="","",IF(Murid!F442="TL","TL",ROUND(W442/110*100,2)))</f>
        <v/>
      </c>
    </row>
    <row r="443">
      <c r="A443" s="15">
        <f>Murid!A443</f>
        <v/>
      </c>
      <c r="B443" s="15">
        <f>IF(Murid!B443="","",Murid!B443)</f>
        <v/>
      </c>
      <c r="C443" s="16">
        <f>IF(Murid!C443="","",Murid!C443)</f>
        <v/>
      </c>
      <c r="D443" s="15">
        <f>IF(Murid!E443="","",Murid!E443)</f>
        <v/>
      </c>
      <c r="E443" s="11" t="n"/>
      <c r="F443" s="11" t="n"/>
      <c r="G443" s="10">
        <f>IF(F443="","",IFERROR(VLOOKUP(F443,T_JSP,2,FALSE),0))</f>
        <v/>
      </c>
      <c r="H443" s="11" t="n"/>
      <c r="I443" s="17">
        <f>IF(H443="","",IF(H443&gt;=12,40,ROUND(H443*3.33,2)))</f>
        <v/>
      </c>
      <c r="J443" s="11" t="n"/>
      <c r="K443" s="11" t="n"/>
      <c r="L443" s="11" t="n"/>
      <c r="M443" s="11" t="n"/>
      <c r="N443" s="10">
        <f>IF(COUNTA(J443:M443)=0,"",MIN(10,SUMPRODUCT((COUNTIF(J443:M443,L_KOM)&gt;0)*S_KOM)))</f>
        <v/>
      </c>
      <c r="O443" s="11" t="n"/>
      <c r="P443" s="10">
        <f>IF(O443="","",IFERROR(VLOOKUP(O443,T_KHID,2,FALSE),0))</f>
        <v/>
      </c>
      <c r="Q443" s="11" t="n"/>
      <c r="R443" s="11" t="n"/>
      <c r="S443" s="10">
        <f>IF(AND(Q443="",R443=""),"",IFERROR(INDEX(T_LIBAT,MATCH(Q443,L_PER,0),MATCH(R443,L_JENIS,0)),0))</f>
        <v/>
      </c>
      <c r="T443" s="11" t="n"/>
      <c r="U443" s="11" t="n"/>
      <c r="V443" s="10">
        <f>IF(AND(T443="",U443=""),"",IFERROR(INDEX(T_CAPAI,MATCH(T443,L_PER,0),MATCH(U443,L_KED,0)),0))</f>
        <v/>
      </c>
      <c r="W443" s="17">
        <f>IF(OR(B443="",E443="",COUNTA(F443,H443,J443:M443,O443,Q443:R443,T443:U443)=0),"",SUM(G443,I443,N443,P443,S443,V443))</f>
        <v/>
      </c>
      <c r="X443" s="18">
        <f>IF(W443="","",IF(Murid!F443="TL","TL",ROUND(W443/110*100,2)))</f>
        <v/>
      </c>
    </row>
    <row r="444">
      <c r="A444" s="15">
        <f>Murid!A444</f>
        <v/>
      </c>
      <c r="B444" s="15">
        <f>IF(Murid!B444="","",Murid!B444)</f>
        <v/>
      </c>
      <c r="C444" s="16">
        <f>IF(Murid!C444="","",Murid!C444)</f>
        <v/>
      </c>
      <c r="D444" s="15">
        <f>IF(Murid!E444="","",Murid!E444)</f>
        <v/>
      </c>
      <c r="E444" s="11" t="n"/>
      <c r="F444" s="11" t="n"/>
      <c r="G444" s="10">
        <f>IF(F444="","",IFERROR(VLOOKUP(F444,T_JSP,2,FALSE),0))</f>
        <v/>
      </c>
      <c r="H444" s="11" t="n"/>
      <c r="I444" s="17">
        <f>IF(H444="","",IF(H444&gt;=12,40,ROUND(H444*3.33,2)))</f>
        <v/>
      </c>
      <c r="J444" s="11" t="n"/>
      <c r="K444" s="11" t="n"/>
      <c r="L444" s="11" t="n"/>
      <c r="M444" s="11" t="n"/>
      <c r="N444" s="10">
        <f>IF(COUNTA(J444:M444)=0,"",MIN(10,SUMPRODUCT((COUNTIF(J444:M444,L_KOM)&gt;0)*S_KOM)))</f>
        <v/>
      </c>
      <c r="O444" s="11" t="n"/>
      <c r="P444" s="10">
        <f>IF(O444="","",IFERROR(VLOOKUP(O444,T_KHID,2,FALSE),0))</f>
        <v/>
      </c>
      <c r="Q444" s="11" t="n"/>
      <c r="R444" s="11" t="n"/>
      <c r="S444" s="10">
        <f>IF(AND(Q444="",R444=""),"",IFERROR(INDEX(T_LIBAT,MATCH(Q444,L_PER,0),MATCH(R444,L_JENIS,0)),0))</f>
        <v/>
      </c>
      <c r="T444" s="11" t="n"/>
      <c r="U444" s="11" t="n"/>
      <c r="V444" s="10">
        <f>IF(AND(T444="",U444=""),"",IFERROR(INDEX(T_CAPAI,MATCH(T444,L_PER,0),MATCH(U444,L_KED,0)),0))</f>
        <v/>
      </c>
      <c r="W444" s="17">
        <f>IF(OR(B444="",E444="",COUNTA(F444,H444,J444:M444,O444,Q444:R444,T444:U444)=0),"",SUM(G444,I444,N444,P444,S444,V444))</f>
        <v/>
      </c>
      <c r="X444" s="18">
        <f>IF(W444="","",IF(Murid!F444="TL","TL",ROUND(W444/110*100,2)))</f>
        <v/>
      </c>
    </row>
    <row r="445">
      <c r="A445" s="15">
        <f>Murid!A445</f>
        <v/>
      </c>
      <c r="B445" s="15">
        <f>IF(Murid!B445="","",Murid!B445)</f>
        <v/>
      </c>
      <c r="C445" s="16">
        <f>IF(Murid!C445="","",Murid!C445)</f>
        <v/>
      </c>
      <c r="D445" s="15">
        <f>IF(Murid!E445="","",Murid!E445)</f>
        <v/>
      </c>
      <c r="E445" s="11" t="n"/>
      <c r="F445" s="11" t="n"/>
      <c r="G445" s="10">
        <f>IF(F445="","",IFERROR(VLOOKUP(F445,T_JSP,2,FALSE),0))</f>
        <v/>
      </c>
      <c r="H445" s="11" t="n"/>
      <c r="I445" s="17">
        <f>IF(H445="","",IF(H445&gt;=12,40,ROUND(H445*3.33,2)))</f>
        <v/>
      </c>
      <c r="J445" s="11" t="n"/>
      <c r="K445" s="11" t="n"/>
      <c r="L445" s="11" t="n"/>
      <c r="M445" s="11" t="n"/>
      <c r="N445" s="10">
        <f>IF(COUNTA(J445:M445)=0,"",MIN(10,SUMPRODUCT((COUNTIF(J445:M445,L_KOM)&gt;0)*S_KOM)))</f>
        <v/>
      </c>
      <c r="O445" s="11" t="n"/>
      <c r="P445" s="10">
        <f>IF(O445="","",IFERROR(VLOOKUP(O445,T_KHID,2,FALSE),0))</f>
        <v/>
      </c>
      <c r="Q445" s="11" t="n"/>
      <c r="R445" s="11" t="n"/>
      <c r="S445" s="10">
        <f>IF(AND(Q445="",R445=""),"",IFERROR(INDEX(T_LIBAT,MATCH(Q445,L_PER,0),MATCH(R445,L_JENIS,0)),0))</f>
        <v/>
      </c>
      <c r="T445" s="11" t="n"/>
      <c r="U445" s="11" t="n"/>
      <c r="V445" s="10">
        <f>IF(AND(T445="",U445=""),"",IFERROR(INDEX(T_CAPAI,MATCH(T445,L_PER,0),MATCH(U445,L_KED,0)),0))</f>
        <v/>
      </c>
      <c r="W445" s="17">
        <f>IF(OR(B445="",E445="",COUNTA(F445,H445,J445:M445,O445,Q445:R445,T445:U445)=0),"",SUM(G445,I445,N445,P445,S445,V445))</f>
        <v/>
      </c>
      <c r="X445" s="18">
        <f>IF(W445="","",IF(Murid!F445="TL","TL",ROUND(W445/110*100,2)))</f>
        <v/>
      </c>
    </row>
    <row r="446">
      <c r="A446" s="15">
        <f>Murid!A446</f>
        <v/>
      </c>
      <c r="B446" s="15">
        <f>IF(Murid!B446="","",Murid!B446)</f>
        <v/>
      </c>
      <c r="C446" s="16">
        <f>IF(Murid!C446="","",Murid!C446)</f>
        <v/>
      </c>
      <c r="D446" s="15">
        <f>IF(Murid!E446="","",Murid!E446)</f>
        <v/>
      </c>
      <c r="E446" s="11" t="n"/>
      <c r="F446" s="11" t="n"/>
      <c r="G446" s="10">
        <f>IF(F446="","",IFERROR(VLOOKUP(F446,T_JSP,2,FALSE),0))</f>
        <v/>
      </c>
      <c r="H446" s="11" t="n"/>
      <c r="I446" s="17">
        <f>IF(H446="","",IF(H446&gt;=12,40,ROUND(H446*3.33,2)))</f>
        <v/>
      </c>
      <c r="J446" s="11" t="n"/>
      <c r="K446" s="11" t="n"/>
      <c r="L446" s="11" t="n"/>
      <c r="M446" s="11" t="n"/>
      <c r="N446" s="10">
        <f>IF(COUNTA(J446:M446)=0,"",MIN(10,SUMPRODUCT((COUNTIF(J446:M446,L_KOM)&gt;0)*S_KOM)))</f>
        <v/>
      </c>
      <c r="O446" s="11" t="n"/>
      <c r="P446" s="10">
        <f>IF(O446="","",IFERROR(VLOOKUP(O446,T_KHID,2,FALSE),0))</f>
        <v/>
      </c>
      <c r="Q446" s="11" t="n"/>
      <c r="R446" s="11" t="n"/>
      <c r="S446" s="10">
        <f>IF(AND(Q446="",R446=""),"",IFERROR(INDEX(T_LIBAT,MATCH(Q446,L_PER,0),MATCH(R446,L_JENIS,0)),0))</f>
        <v/>
      </c>
      <c r="T446" s="11" t="n"/>
      <c r="U446" s="11" t="n"/>
      <c r="V446" s="10">
        <f>IF(AND(T446="",U446=""),"",IFERROR(INDEX(T_CAPAI,MATCH(T446,L_PER,0),MATCH(U446,L_KED,0)),0))</f>
        <v/>
      </c>
      <c r="W446" s="17">
        <f>IF(OR(B446="",E446="",COUNTA(F446,H446,J446:M446,O446,Q446:R446,T446:U446)=0),"",SUM(G446,I446,N446,P446,S446,V446))</f>
        <v/>
      </c>
      <c r="X446" s="18">
        <f>IF(W446="","",IF(Murid!F446="TL","TL",ROUND(W446/110*100,2)))</f>
        <v/>
      </c>
    </row>
    <row r="447">
      <c r="A447" s="15">
        <f>Murid!A447</f>
        <v/>
      </c>
      <c r="B447" s="15">
        <f>IF(Murid!B447="","",Murid!B447)</f>
        <v/>
      </c>
      <c r="C447" s="16">
        <f>IF(Murid!C447="","",Murid!C447)</f>
        <v/>
      </c>
      <c r="D447" s="15">
        <f>IF(Murid!E447="","",Murid!E447)</f>
        <v/>
      </c>
      <c r="E447" s="11" t="n"/>
      <c r="F447" s="11" t="n"/>
      <c r="G447" s="10">
        <f>IF(F447="","",IFERROR(VLOOKUP(F447,T_JSP,2,FALSE),0))</f>
        <v/>
      </c>
      <c r="H447" s="11" t="n"/>
      <c r="I447" s="17">
        <f>IF(H447="","",IF(H447&gt;=12,40,ROUND(H447*3.33,2)))</f>
        <v/>
      </c>
      <c r="J447" s="11" t="n"/>
      <c r="K447" s="11" t="n"/>
      <c r="L447" s="11" t="n"/>
      <c r="M447" s="11" t="n"/>
      <c r="N447" s="10">
        <f>IF(COUNTA(J447:M447)=0,"",MIN(10,SUMPRODUCT((COUNTIF(J447:M447,L_KOM)&gt;0)*S_KOM)))</f>
        <v/>
      </c>
      <c r="O447" s="11" t="n"/>
      <c r="P447" s="10">
        <f>IF(O447="","",IFERROR(VLOOKUP(O447,T_KHID,2,FALSE),0))</f>
        <v/>
      </c>
      <c r="Q447" s="11" t="n"/>
      <c r="R447" s="11" t="n"/>
      <c r="S447" s="10">
        <f>IF(AND(Q447="",R447=""),"",IFERROR(INDEX(T_LIBAT,MATCH(Q447,L_PER,0),MATCH(R447,L_JENIS,0)),0))</f>
        <v/>
      </c>
      <c r="T447" s="11" t="n"/>
      <c r="U447" s="11" t="n"/>
      <c r="V447" s="10">
        <f>IF(AND(T447="",U447=""),"",IFERROR(INDEX(T_CAPAI,MATCH(T447,L_PER,0),MATCH(U447,L_KED,0)),0))</f>
        <v/>
      </c>
      <c r="W447" s="17">
        <f>IF(OR(B447="",E447="",COUNTA(F447,H447,J447:M447,O447,Q447:R447,T447:U447)=0),"",SUM(G447,I447,N447,P447,S447,V447))</f>
        <v/>
      </c>
      <c r="X447" s="18">
        <f>IF(W447="","",IF(Murid!F447="TL","TL",ROUND(W447/110*100,2)))</f>
        <v/>
      </c>
    </row>
    <row r="448">
      <c r="A448" s="15">
        <f>Murid!A448</f>
        <v/>
      </c>
      <c r="B448" s="15">
        <f>IF(Murid!B448="","",Murid!B448)</f>
        <v/>
      </c>
      <c r="C448" s="16">
        <f>IF(Murid!C448="","",Murid!C448)</f>
        <v/>
      </c>
      <c r="D448" s="15">
        <f>IF(Murid!E448="","",Murid!E448)</f>
        <v/>
      </c>
      <c r="E448" s="11" t="n"/>
      <c r="F448" s="11" t="n"/>
      <c r="G448" s="10">
        <f>IF(F448="","",IFERROR(VLOOKUP(F448,T_JSP,2,FALSE),0))</f>
        <v/>
      </c>
      <c r="H448" s="11" t="n"/>
      <c r="I448" s="17">
        <f>IF(H448="","",IF(H448&gt;=12,40,ROUND(H448*3.33,2)))</f>
        <v/>
      </c>
      <c r="J448" s="11" t="n"/>
      <c r="K448" s="11" t="n"/>
      <c r="L448" s="11" t="n"/>
      <c r="M448" s="11" t="n"/>
      <c r="N448" s="10">
        <f>IF(COUNTA(J448:M448)=0,"",MIN(10,SUMPRODUCT((COUNTIF(J448:M448,L_KOM)&gt;0)*S_KOM)))</f>
        <v/>
      </c>
      <c r="O448" s="11" t="n"/>
      <c r="P448" s="10">
        <f>IF(O448="","",IFERROR(VLOOKUP(O448,T_KHID,2,FALSE),0))</f>
        <v/>
      </c>
      <c r="Q448" s="11" t="n"/>
      <c r="R448" s="11" t="n"/>
      <c r="S448" s="10">
        <f>IF(AND(Q448="",R448=""),"",IFERROR(INDEX(T_LIBAT,MATCH(Q448,L_PER,0),MATCH(R448,L_JENIS,0)),0))</f>
        <v/>
      </c>
      <c r="T448" s="11" t="n"/>
      <c r="U448" s="11" t="n"/>
      <c r="V448" s="10">
        <f>IF(AND(T448="",U448=""),"",IFERROR(INDEX(T_CAPAI,MATCH(T448,L_PER,0),MATCH(U448,L_KED,0)),0))</f>
        <v/>
      </c>
      <c r="W448" s="17">
        <f>IF(OR(B448="",E448="",COUNTA(F448,H448,J448:M448,O448,Q448:R448,T448:U448)=0),"",SUM(G448,I448,N448,P448,S448,V448))</f>
        <v/>
      </c>
      <c r="X448" s="18">
        <f>IF(W448="","",IF(Murid!F448="TL","TL",ROUND(W448/110*100,2)))</f>
        <v/>
      </c>
    </row>
    <row r="449">
      <c r="A449" s="15">
        <f>Murid!A449</f>
        <v/>
      </c>
      <c r="B449" s="15">
        <f>IF(Murid!B449="","",Murid!B449)</f>
        <v/>
      </c>
      <c r="C449" s="16">
        <f>IF(Murid!C449="","",Murid!C449)</f>
        <v/>
      </c>
      <c r="D449" s="15">
        <f>IF(Murid!E449="","",Murid!E449)</f>
        <v/>
      </c>
      <c r="E449" s="11" t="n"/>
      <c r="F449" s="11" t="n"/>
      <c r="G449" s="10">
        <f>IF(F449="","",IFERROR(VLOOKUP(F449,T_JSP,2,FALSE),0))</f>
        <v/>
      </c>
      <c r="H449" s="11" t="n"/>
      <c r="I449" s="17">
        <f>IF(H449="","",IF(H449&gt;=12,40,ROUND(H449*3.33,2)))</f>
        <v/>
      </c>
      <c r="J449" s="11" t="n"/>
      <c r="K449" s="11" t="n"/>
      <c r="L449" s="11" t="n"/>
      <c r="M449" s="11" t="n"/>
      <c r="N449" s="10">
        <f>IF(COUNTA(J449:M449)=0,"",MIN(10,SUMPRODUCT((COUNTIF(J449:M449,L_KOM)&gt;0)*S_KOM)))</f>
        <v/>
      </c>
      <c r="O449" s="11" t="n"/>
      <c r="P449" s="10">
        <f>IF(O449="","",IFERROR(VLOOKUP(O449,T_KHID,2,FALSE),0))</f>
        <v/>
      </c>
      <c r="Q449" s="11" t="n"/>
      <c r="R449" s="11" t="n"/>
      <c r="S449" s="10">
        <f>IF(AND(Q449="",R449=""),"",IFERROR(INDEX(T_LIBAT,MATCH(Q449,L_PER,0),MATCH(R449,L_JENIS,0)),0))</f>
        <v/>
      </c>
      <c r="T449" s="11" t="n"/>
      <c r="U449" s="11" t="n"/>
      <c r="V449" s="10">
        <f>IF(AND(T449="",U449=""),"",IFERROR(INDEX(T_CAPAI,MATCH(T449,L_PER,0),MATCH(U449,L_KED,0)),0))</f>
        <v/>
      </c>
      <c r="W449" s="17">
        <f>IF(OR(B449="",E449="",COUNTA(F449,H449,J449:M449,O449,Q449:R449,T449:U449)=0),"",SUM(G449,I449,N449,P449,S449,V449))</f>
        <v/>
      </c>
      <c r="X449" s="18">
        <f>IF(W449="","",IF(Murid!F449="TL","TL",ROUND(W449/110*100,2)))</f>
        <v/>
      </c>
    </row>
    <row r="450">
      <c r="A450" s="15">
        <f>Murid!A450</f>
        <v/>
      </c>
      <c r="B450" s="15">
        <f>IF(Murid!B450="","",Murid!B450)</f>
        <v/>
      </c>
      <c r="C450" s="16">
        <f>IF(Murid!C450="","",Murid!C450)</f>
        <v/>
      </c>
      <c r="D450" s="15">
        <f>IF(Murid!E450="","",Murid!E450)</f>
        <v/>
      </c>
      <c r="E450" s="11" t="n"/>
      <c r="F450" s="11" t="n"/>
      <c r="G450" s="10">
        <f>IF(F450="","",IFERROR(VLOOKUP(F450,T_JSP,2,FALSE),0))</f>
        <v/>
      </c>
      <c r="H450" s="11" t="n"/>
      <c r="I450" s="17">
        <f>IF(H450="","",IF(H450&gt;=12,40,ROUND(H450*3.33,2)))</f>
        <v/>
      </c>
      <c r="J450" s="11" t="n"/>
      <c r="K450" s="11" t="n"/>
      <c r="L450" s="11" t="n"/>
      <c r="M450" s="11" t="n"/>
      <c r="N450" s="10">
        <f>IF(COUNTA(J450:M450)=0,"",MIN(10,SUMPRODUCT((COUNTIF(J450:M450,L_KOM)&gt;0)*S_KOM)))</f>
        <v/>
      </c>
      <c r="O450" s="11" t="n"/>
      <c r="P450" s="10">
        <f>IF(O450="","",IFERROR(VLOOKUP(O450,T_KHID,2,FALSE),0))</f>
        <v/>
      </c>
      <c r="Q450" s="11" t="n"/>
      <c r="R450" s="11" t="n"/>
      <c r="S450" s="10">
        <f>IF(AND(Q450="",R450=""),"",IFERROR(INDEX(T_LIBAT,MATCH(Q450,L_PER,0),MATCH(R450,L_JENIS,0)),0))</f>
        <v/>
      </c>
      <c r="T450" s="11" t="n"/>
      <c r="U450" s="11" t="n"/>
      <c r="V450" s="10">
        <f>IF(AND(T450="",U450=""),"",IFERROR(INDEX(T_CAPAI,MATCH(T450,L_PER,0),MATCH(U450,L_KED,0)),0))</f>
        <v/>
      </c>
      <c r="W450" s="17">
        <f>IF(OR(B450="",E450="",COUNTA(F450,H450,J450:M450,O450,Q450:R450,T450:U450)=0),"",SUM(G450,I450,N450,P450,S450,V450))</f>
        <v/>
      </c>
      <c r="X450" s="18">
        <f>IF(W450="","",IF(Murid!F450="TL","TL",ROUND(W450/110*100,2)))</f>
        <v/>
      </c>
    </row>
    <row r="451">
      <c r="A451" s="15">
        <f>Murid!A451</f>
        <v/>
      </c>
      <c r="B451" s="15">
        <f>IF(Murid!B451="","",Murid!B451)</f>
        <v/>
      </c>
      <c r="C451" s="16">
        <f>IF(Murid!C451="","",Murid!C451)</f>
        <v/>
      </c>
      <c r="D451" s="15">
        <f>IF(Murid!E451="","",Murid!E451)</f>
        <v/>
      </c>
      <c r="E451" s="11" t="n"/>
      <c r="F451" s="11" t="n"/>
      <c r="G451" s="10">
        <f>IF(F451="","",IFERROR(VLOOKUP(F451,T_JSP,2,FALSE),0))</f>
        <v/>
      </c>
      <c r="H451" s="11" t="n"/>
      <c r="I451" s="17">
        <f>IF(H451="","",IF(H451&gt;=12,40,ROUND(H451*3.33,2)))</f>
        <v/>
      </c>
      <c r="J451" s="11" t="n"/>
      <c r="K451" s="11" t="n"/>
      <c r="L451" s="11" t="n"/>
      <c r="M451" s="11" t="n"/>
      <c r="N451" s="10">
        <f>IF(COUNTA(J451:M451)=0,"",MIN(10,SUMPRODUCT((COUNTIF(J451:M451,L_KOM)&gt;0)*S_KOM)))</f>
        <v/>
      </c>
      <c r="O451" s="11" t="n"/>
      <c r="P451" s="10">
        <f>IF(O451="","",IFERROR(VLOOKUP(O451,T_KHID,2,FALSE),0))</f>
        <v/>
      </c>
      <c r="Q451" s="11" t="n"/>
      <c r="R451" s="11" t="n"/>
      <c r="S451" s="10">
        <f>IF(AND(Q451="",R451=""),"",IFERROR(INDEX(T_LIBAT,MATCH(Q451,L_PER,0),MATCH(R451,L_JENIS,0)),0))</f>
        <v/>
      </c>
      <c r="T451" s="11" t="n"/>
      <c r="U451" s="11" t="n"/>
      <c r="V451" s="10">
        <f>IF(AND(T451="",U451=""),"",IFERROR(INDEX(T_CAPAI,MATCH(T451,L_PER,0),MATCH(U451,L_KED,0)),0))</f>
        <v/>
      </c>
      <c r="W451" s="17">
        <f>IF(OR(B451="",E451="",COUNTA(F451,H451,J451:M451,O451,Q451:R451,T451:U451)=0),"",SUM(G451,I451,N451,P451,S451,V451))</f>
        <v/>
      </c>
      <c r="X451" s="18">
        <f>IF(W451="","",IF(Murid!F451="TL","TL",ROUND(W451/110*100,2)))</f>
        <v/>
      </c>
    </row>
    <row r="452">
      <c r="A452" s="15">
        <f>Murid!A452</f>
        <v/>
      </c>
      <c r="B452" s="15">
        <f>IF(Murid!B452="","",Murid!B452)</f>
        <v/>
      </c>
      <c r="C452" s="16">
        <f>IF(Murid!C452="","",Murid!C452)</f>
        <v/>
      </c>
      <c r="D452" s="15">
        <f>IF(Murid!E452="","",Murid!E452)</f>
        <v/>
      </c>
      <c r="E452" s="11" t="n"/>
      <c r="F452" s="11" t="n"/>
      <c r="G452" s="10">
        <f>IF(F452="","",IFERROR(VLOOKUP(F452,T_JSP,2,FALSE),0))</f>
        <v/>
      </c>
      <c r="H452" s="11" t="n"/>
      <c r="I452" s="17">
        <f>IF(H452="","",IF(H452&gt;=12,40,ROUND(H452*3.33,2)))</f>
        <v/>
      </c>
      <c r="J452" s="11" t="n"/>
      <c r="K452" s="11" t="n"/>
      <c r="L452" s="11" t="n"/>
      <c r="M452" s="11" t="n"/>
      <c r="N452" s="10">
        <f>IF(COUNTA(J452:M452)=0,"",MIN(10,SUMPRODUCT((COUNTIF(J452:M452,L_KOM)&gt;0)*S_KOM)))</f>
        <v/>
      </c>
      <c r="O452" s="11" t="n"/>
      <c r="P452" s="10">
        <f>IF(O452="","",IFERROR(VLOOKUP(O452,T_KHID,2,FALSE),0))</f>
        <v/>
      </c>
      <c r="Q452" s="11" t="n"/>
      <c r="R452" s="11" t="n"/>
      <c r="S452" s="10">
        <f>IF(AND(Q452="",R452=""),"",IFERROR(INDEX(T_LIBAT,MATCH(Q452,L_PER,0),MATCH(R452,L_JENIS,0)),0))</f>
        <v/>
      </c>
      <c r="T452" s="11" t="n"/>
      <c r="U452" s="11" t="n"/>
      <c r="V452" s="10">
        <f>IF(AND(T452="",U452=""),"",IFERROR(INDEX(T_CAPAI,MATCH(T452,L_PER,0),MATCH(U452,L_KED,0)),0))</f>
        <v/>
      </c>
      <c r="W452" s="17">
        <f>IF(OR(B452="",E452="",COUNTA(F452,H452,J452:M452,O452,Q452:R452,T452:U452)=0),"",SUM(G452,I452,N452,P452,S452,V452))</f>
        <v/>
      </c>
      <c r="X452" s="18">
        <f>IF(W452="","",IF(Murid!F452="TL","TL",ROUND(W452/110*100,2)))</f>
        <v/>
      </c>
    </row>
    <row r="453">
      <c r="A453" s="15">
        <f>Murid!A453</f>
        <v/>
      </c>
      <c r="B453" s="15">
        <f>IF(Murid!B453="","",Murid!B453)</f>
        <v/>
      </c>
      <c r="C453" s="16">
        <f>IF(Murid!C453="","",Murid!C453)</f>
        <v/>
      </c>
      <c r="D453" s="15">
        <f>IF(Murid!E453="","",Murid!E453)</f>
        <v/>
      </c>
      <c r="E453" s="11" t="n"/>
      <c r="F453" s="11" t="n"/>
      <c r="G453" s="10">
        <f>IF(F453="","",IFERROR(VLOOKUP(F453,T_JSP,2,FALSE),0))</f>
        <v/>
      </c>
      <c r="H453" s="11" t="n"/>
      <c r="I453" s="17">
        <f>IF(H453="","",IF(H453&gt;=12,40,ROUND(H453*3.33,2)))</f>
        <v/>
      </c>
      <c r="J453" s="11" t="n"/>
      <c r="K453" s="11" t="n"/>
      <c r="L453" s="11" t="n"/>
      <c r="M453" s="11" t="n"/>
      <c r="N453" s="10">
        <f>IF(COUNTA(J453:M453)=0,"",MIN(10,SUMPRODUCT((COUNTIF(J453:M453,L_KOM)&gt;0)*S_KOM)))</f>
        <v/>
      </c>
      <c r="O453" s="11" t="n"/>
      <c r="P453" s="10">
        <f>IF(O453="","",IFERROR(VLOOKUP(O453,T_KHID,2,FALSE),0))</f>
        <v/>
      </c>
      <c r="Q453" s="11" t="n"/>
      <c r="R453" s="11" t="n"/>
      <c r="S453" s="10">
        <f>IF(AND(Q453="",R453=""),"",IFERROR(INDEX(T_LIBAT,MATCH(Q453,L_PER,0),MATCH(R453,L_JENIS,0)),0))</f>
        <v/>
      </c>
      <c r="T453" s="11" t="n"/>
      <c r="U453" s="11" t="n"/>
      <c r="V453" s="10">
        <f>IF(AND(T453="",U453=""),"",IFERROR(INDEX(T_CAPAI,MATCH(T453,L_PER,0),MATCH(U453,L_KED,0)),0))</f>
        <v/>
      </c>
      <c r="W453" s="17">
        <f>IF(OR(B453="",E453="",COUNTA(F453,H453,J453:M453,O453,Q453:R453,T453:U453)=0),"",SUM(G453,I453,N453,P453,S453,V453))</f>
        <v/>
      </c>
      <c r="X453" s="18">
        <f>IF(W453="","",IF(Murid!F453="TL","TL",ROUND(W453/110*100,2)))</f>
        <v/>
      </c>
    </row>
    <row r="454">
      <c r="A454" s="15">
        <f>Murid!A454</f>
        <v/>
      </c>
      <c r="B454" s="15">
        <f>IF(Murid!B454="","",Murid!B454)</f>
        <v/>
      </c>
      <c r="C454" s="16">
        <f>IF(Murid!C454="","",Murid!C454)</f>
        <v/>
      </c>
      <c r="D454" s="15">
        <f>IF(Murid!E454="","",Murid!E454)</f>
        <v/>
      </c>
      <c r="E454" s="11" t="n"/>
      <c r="F454" s="11" t="n"/>
      <c r="G454" s="10">
        <f>IF(F454="","",IFERROR(VLOOKUP(F454,T_JSP,2,FALSE),0))</f>
        <v/>
      </c>
      <c r="H454" s="11" t="n"/>
      <c r="I454" s="17">
        <f>IF(H454="","",IF(H454&gt;=12,40,ROUND(H454*3.33,2)))</f>
        <v/>
      </c>
      <c r="J454" s="11" t="n"/>
      <c r="K454" s="11" t="n"/>
      <c r="L454" s="11" t="n"/>
      <c r="M454" s="11" t="n"/>
      <c r="N454" s="10">
        <f>IF(COUNTA(J454:M454)=0,"",MIN(10,SUMPRODUCT((COUNTIF(J454:M454,L_KOM)&gt;0)*S_KOM)))</f>
        <v/>
      </c>
      <c r="O454" s="11" t="n"/>
      <c r="P454" s="10">
        <f>IF(O454="","",IFERROR(VLOOKUP(O454,T_KHID,2,FALSE),0))</f>
        <v/>
      </c>
      <c r="Q454" s="11" t="n"/>
      <c r="R454" s="11" t="n"/>
      <c r="S454" s="10">
        <f>IF(AND(Q454="",R454=""),"",IFERROR(INDEX(T_LIBAT,MATCH(Q454,L_PER,0),MATCH(R454,L_JENIS,0)),0))</f>
        <v/>
      </c>
      <c r="T454" s="11" t="n"/>
      <c r="U454" s="11" t="n"/>
      <c r="V454" s="10">
        <f>IF(AND(T454="",U454=""),"",IFERROR(INDEX(T_CAPAI,MATCH(T454,L_PER,0),MATCH(U454,L_KED,0)),0))</f>
        <v/>
      </c>
      <c r="W454" s="17">
        <f>IF(OR(B454="",E454="",COUNTA(F454,H454,J454:M454,O454,Q454:R454,T454:U454)=0),"",SUM(G454,I454,N454,P454,S454,V454))</f>
        <v/>
      </c>
      <c r="X454" s="18">
        <f>IF(W454="","",IF(Murid!F454="TL","TL",ROUND(W454/110*100,2)))</f>
        <v/>
      </c>
    </row>
    <row r="455">
      <c r="A455" s="15">
        <f>Murid!A455</f>
        <v/>
      </c>
      <c r="B455" s="15">
        <f>IF(Murid!B455="","",Murid!B455)</f>
        <v/>
      </c>
      <c r="C455" s="16">
        <f>IF(Murid!C455="","",Murid!C455)</f>
        <v/>
      </c>
      <c r="D455" s="15">
        <f>IF(Murid!E455="","",Murid!E455)</f>
        <v/>
      </c>
      <c r="E455" s="11" t="n"/>
      <c r="F455" s="11" t="n"/>
      <c r="G455" s="10">
        <f>IF(F455="","",IFERROR(VLOOKUP(F455,T_JSP,2,FALSE),0))</f>
        <v/>
      </c>
      <c r="H455" s="11" t="n"/>
      <c r="I455" s="17">
        <f>IF(H455="","",IF(H455&gt;=12,40,ROUND(H455*3.33,2)))</f>
        <v/>
      </c>
      <c r="J455" s="11" t="n"/>
      <c r="K455" s="11" t="n"/>
      <c r="L455" s="11" t="n"/>
      <c r="M455" s="11" t="n"/>
      <c r="N455" s="10">
        <f>IF(COUNTA(J455:M455)=0,"",MIN(10,SUMPRODUCT((COUNTIF(J455:M455,L_KOM)&gt;0)*S_KOM)))</f>
        <v/>
      </c>
      <c r="O455" s="11" t="n"/>
      <c r="P455" s="10">
        <f>IF(O455="","",IFERROR(VLOOKUP(O455,T_KHID,2,FALSE),0))</f>
        <v/>
      </c>
      <c r="Q455" s="11" t="n"/>
      <c r="R455" s="11" t="n"/>
      <c r="S455" s="10">
        <f>IF(AND(Q455="",R455=""),"",IFERROR(INDEX(T_LIBAT,MATCH(Q455,L_PER,0),MATCH(R455,L_JENIS,0)),0))</f>
        <v/>
      </c>
      <c r="T455" s="11" t="n"/>
      <c r="U455" s="11" t="n"/>
      <c r="V455" s="10">
        <f>IF(AND(T455="",U455=""),"",IFERROR(INDEX(T_CAPAI,MATCH(T455,L_PER,0),MATCH(U455,L_KED,0)),0))</f>
        <v/>
      </c>
      <c r="W455" s="17">
        <f>IF(OR(B455="",E455="",COUNTA(F455,H455,J455:M455,O455,Q455:R455,T455:U455)=0),"",SUM(G455,I455,N455,P455,S455,V455))</f>
        <v/>
      </c>
      <c r="X455" s="18">
        <f>IF(W455="","",IF(Murid!F455="TL","TL",ROUND(W455/110*100,2)))</f>
        <v/>
      </c>
    </row>
    <row r="456">
      <c r="A456" s="15">
        <f>Murid!A456</f>
        <v/>
      </c>
      <c r="B456" s="15">
        <f>IF(Murid!B456="","",Murid!B456)</f>
        <v/>
      </c>
      <c r="C456" s="16">
        <f>IF(Murid!C456="","",Murid!C456)</f>
        <v/>
      </c>
      <c r="D456" s="15">
        <f>IF(Murid!E456="","",Murid!E456)</f>
        <v/>
      </c>
      <c r="E456" s="11" t="n"/>
      <c r="F456" s="11" t="n"/>
      <c r="G456" s="10">
        <f>IF(F456="","",IFERROR(VLOOKUP(F456,T_JSP,2,FALSE),0))</f>
        <v/>
      </c>
      <c r="H456" s="11" t="n"/>
      <c r="I456" s="17">
        <f>IF(H456="","",IF(H456&gt;=12,40,ROUND(H456*3.33,2)))</f>
        <v/>
      </c>
      <c r="J456" s="11" t="n"/>
      <c r="K456" s="11" t="n"/>
      <c r="L456" s="11" t="n"/>
      <c r="M456" s="11" t="n"/>
      <c r="N456" s="10">
        <f>IF(COUNTA(J456:M456)=0,"",MIN(10,SUMPRODUCT((COUNTIF(J456:M456,L_KOM)&gt;0)*S_KOM)))</f>
        <v/>
      </c>
      <c r="O456" s="11" t="n"/>
      <c r="P456" s="10">
        <f>IF(O456="","",IFERROR(VLOOKUP(O456,T_KHID,2,FALSE),0))</f>
        <v/>
      </c>
      <c r="Q456" s="11" t="n"/>
      <c r="R456" s="11" t="n"/>
      <c r="S456" s="10">
        <f>IF(AND(Q456="",R456=""),"",IFERROR(INDEX(T_LIBAT,MATCH(Q456,L_PER,0),MATCH(R456,L_JENIS,0)),0))</f>
        <v/>
      </c>
      <c r="T456" s="11" t="n"/>
      <c r="U456" s="11" t="n"/>
      <c r="V456" s="10">
        <f>IF(AND(T456="",U456=""),"",IFERROR(INDEX(T_CAPAI,MATCH(T456,L_PER,0),MATCH(U456,L_KED,0)),0))</f>
        <v/>
      </c>
      <c r="W456" s="17">
        <f>IF(OR(B456="",E456="",COUNTA(F456,H456,J456:M456,O456,Q456:R456,T456:U456)=0),"",SUM(G456,I456,N456,P456,S456,V456))</f>
        <v/>
      </c>
      <c r="X456" s="18">
        <f>IF(W456="","",IF(Murid!F456="TL","TL",ROUND(W456/110*100,2)))</f>
        <v/>
      </c>
    </row>
    <row r="457">
      <c r="A457" s="15">
        <f>Murid!A457</f>
        <v/>
      </c>
      <c r="B457" s="15">
        <f>IF(Murid!B457="","",Murid!B457)</f>
        <v/>
      </c>
      <c r="C457" s="16">
        <f>IF(Murid!C457="","",Murid!C457)</f>
        <v/>
      </c>
      <c r="D457" s="15">
        <f>IF(Murid!E457="","",Murid!E457)</f>
        <v/>
      </c>
      <c r="E457" s="11" t="n"/>
      <c r="F457" s="11" t="n"/>
      <c r="G457" s="10">
        <f>IF(F457="","",IFERROR(VLOOKUP(F457,T_JSP,2,FALSE),0))</f>
        <v/>
      </c>
      <c r="H457" s="11" t="n"/>
      <c r="I457" s="17">
        <f>IF(H457="","",IF(H457&gt;=12,40,ROUND(H457*3.33,2)))</f>
        <v/>
      </c>
      <c r="J457" s="11" t="n"/>
      <c r="K457" s="11" t="n"/>
      <c r="L457" s="11" t="n"/>
      <c r="M457" s="11" t="n"/>
      <c r="N457" s="10">
        <f>IF(COUNTA(J457:M457)=0,"",MIN(10,SUMPRODUCT((COUNTIF(J457:M457,L_KOM)&gt;0)*S_KOM)))</f>
        <v/>
      </c>
      <c r="O457" s="11" t="n"/>
      <c r="P457" s="10">
        <f>IF(O457="","",IFERROR(VLOOKUP(O457,T_KHID,2,FALSE),0))</f>
        <v/>
      </c>
      <c r="Q457" s="11" t="n"/>
      <c r="R457" s="11" t="n"/>
      <c r="S457" s="10">
        <f>IF(AND(Q457="",R457=""),"",IFERROR(INDEX(T_LIBAT,MATCH(Q457,L_PER,0),MATCH(R457,L_JENIS,0)),0))</f>
        <v/>
      </c>
      <c r="T457" s="11" t="n"/>
      <c r="U457" s="11" t="n"/>
      <c r="V457" s="10">
        <f>IF(AND(T457="",U457=""),"",IFERROR(INDEX(T_CAPAI,MATCH(T457,L_PER,0),MATCH(U457,L_KED,0)),0))</f>
        <v/>
      </c>
      <c r="W457" s="17">
        <f>IF(OR(B457="",E457="",COUNTA(F457,H457,J457:M457,O457,Q457:R457,T457:U457)=0),"",SUM(G457,I457,N457,P457,S457,V457))</f>
        <v/>
      </c>
      <c r="X457" s="18">
        <f>IF(W457="","",IF(Murid!F457="TL","TL",ROUND(W457/110*100,2)))</f>
        <v/>
      </c>
    </row>
    <row r="458">
      <c r="A458" s="15">
        <f>Murid!A458</f>
        <v/>
      </c>
      <c r="B458" s="15">
        <f>IF(Murid!B458="","",Murid!B458)</f>
        <v/>
      </c>
      <c r="C458" s="16">
        <f>IF(Murid!C458="","",Murid!C458)</f>
        <v/>
      </c>
      <c r="D458" s="15">
        <f>IF(Murid!E458="","",Murid!E458)</f>
        <v/>
      </c>
      <c r="E458" s="11" t="n"/>
      <c r="F458" s="11" t="n"/>
      <c r="G458" s="10">
        <f>IF(F458="","",IFERROR(VLOOKUP(F458,T_JSP,2,FALSE),0))</f>
        <v/>
      </c>
      <c r="H458" s="11" t="n"/>
      <c r="I458" s="17">
        <f>IF(H458="","",IF(H458&gt;=12,40,ROUND(H458*3.33,2)))</f>
        <v/>
      </c>
      <c r="J458" s="11" t="n"/>
      <c r="K458" s="11" t="n"/>
      <c r="L458" s="11" t="n"/>
      <c r="M458" s="11" t="n"/>
      <c r="N458" s="10">
        <f>IF(COUNTA(J458:M458)=0,"",MIN(10,SUMPRODUCT((COUNTIF(J458:M458,L_KOM)&gt;0)*S_KOM)))</f>
        <v/>
      </c>
      <c r="O458" s="11" t="n"/>
      <c r="P458" s="10">
        <f>IF(O458="","",IFERROR(VLOOKUP(O458,T_KHID,2,FALSE),0))</f>
        <v/>
      </c>
      <c r="Q458" s="11" t="n"/>
      <c r="R458" s="11" t="n"/>
      <c r="S458" s="10">
        <f>IF(AND(Q458="",R458=""),"",IFERROR(INDEX(T_LIBAT,MATCH(Q458,L_PER,0),MATCH(R458,L_JENIS,0)),0))</f>
        <v/>
      </c>
      <c r="T458" s="11" t="n"/>
      <c r="U458" s="11" t="n"/>
      <c r="V458" s="10">
        <f>IF(AND(T458="",U458=""),"",IFERROR(INDEX(T_CAPAI,MATCH(T458,L_PER,0),MATCH(U458,L_KED,0)),0))</f>
        <v/>
      </c>
      <c r="W458" s="17">
        <f>IF(OR(B458="",E458="",COUNTA(F458,H458,J458:M458,O458,Q458:R458,T458:U458)=0),"",SUM(G458,I458,N458,P458,S458,V458))</f>
        <v/>
      </c>
      <c r="X458" s="18">
        <f>IF(W458="","",IF(Murid!F458="TL","TL",ROUND(W458/110*100,2)))</f>
        <v/>
      </c>
    </row>
    <row r="459">
      <c r="A459" s="15">
        <f>Murid!A459</f>
        <v/>
      </c>
      <c r="B459" s="15">
        <f>IF(Murid!B459="","",Murid!B459)</f>
        <v/>
      </c>
      <c r="C459" s="16">
        <f>IF(Murid!C459="","",Murid!C459)</f>
        <v/>
      </c>
      <c r="D459" s="15">
        <f>IF(Murid!E459="","",Murid!E459)</f>
        <v/>
      </c>
      <c r="E459" s="11" t="n"/>
      <c r="F459" s="11" t="n"/>
      <c r="G459" s="10">
        <f>IF(F459="","",IFERROR(VLOOKUP(F459,T_JSP,2,FALSE),0))</f>
        <v/>
      </c>
      <c r="H459" s="11" t="n"/>
      <c r="I459" s="17">
        <f>IF(H459="","",IF(H459&gt;=12,40,ROUND(H459*3.33,2)))</f>
        <v/>
      </c>
      <c r="J459" s="11" t="n"/>
      <c r="K459" s="11" t="n"/>
      <c r="L459" s="11" t="n"/>
      <c r="M459" s="11" t="n"/>
      <c r="N459" s="10">
        <f>IF(COUNTA(J459:M459)=0,"",MIN(10,SUMPRODUCT((COUNTIF(J459:M459,L_KOM)&gt;0)*S_KOM)))</f>
        <v/>
      </c>
      <c r="O459" s="11" t="n"/>
      <c r="P459" s="10">
        <f>IF(O459="","",IFERROR(VLOOKUP(O459,T_KHID,2,FALSE),0))</f>
        <v/>
      </c>
      <c r="Q459" s="11" t="n"/>
      <c r="R459" s="11" t="n"/>
      <c r="S459" s="10">
        <f>IF(AND(Q459="",R459=""),"",IFERROR(INDEX(T_LIBAT,MATCH(Q459,L_PER,0),MATCH(R459,L_JENIS,0)),0))</f>
        <v/>
      </c>
      <c r="T459" s="11" t="n"/>
      <c r="U459" s="11" t="n"/>
      <c r="V459" s="10">
        <f>IF(AND(T459="",U459=""),"",IFERROR(INDEX(T_CAPAI,MATCH(T459,L_PER,0),MATCH(U459,L_KED,0)),0))</f>
        <v/>
      </c>
      <c r="W459" s="17">
        <f>IF(OR(B459="",E459="",COUNTA(F459,H459,J459:M459,O459,Q459:R459,T459:U459)=0),"",SUM(G459,I459,N459,P459,S459,V459))</f>
        <v/>
      </c>
      <c r="X459" s="18">
        <f>IF(W459="","",IF(Murid!F459="TL","TL",ROUND(W459/110*100,2)))</f>
        <v/>
      </c>
    </row>
    <row r="460">
      <c r="A460" s="15">
        <f>Murid!A460</f>
        <v/>
      </c>
      <c r="B460" s="15">
        <f>IF(Murid!B460="","",Murid!B460)</f>
        <v/>
      </c>
      <c r="C460" s="16">
        <f>IF(Murid!C460="","",Murid!C460)</f>
        <v/>
      </c>
      <c r="D460" s="15">
        <f>IF(Murid!E460="","",Murid!E460)</f>
        <v/>
      </c>
      <c r="E460" s="11" t="n"/>
      <c r="F460" s="11" t="n"/>
      <c r="G460" s="10">
        <f>IF(F460="","",IFERROR(VLOOKUP(F460,T_JSP,2,FALSE),0))</f>
        <v/>
      </c>
      <c r="H460" s="11" t="n"/>
      <c r="I460" s="17">
        <f>IF(H460="","",IF(H460&gt;=12,40,ROUND(H460*3.33,2)))</f>
        <v/>
      </c>
      <c r="J460" s="11" t="n"/>
      <c r="K460" s="11" t="n"/>
      <c r="L460" s="11" t="n"/>
      <c r="M460" s="11" t="n"/>
      <c r="N460" s="10">
        <f>IF(COUNTA(J460:M460)=0,"",MIN(10,SUMPRODUCT((COUNTIF(J460:M460,L_KOM)&gt;0)*S_KOM)))</f>
        <v/>
      </c>
      <c r="O460" s="11" t="n"/>
      <c r="P460" s="10">
        <f>IF(O460="","",IFERROR(VLOOKUP(O460,T_KHID,2,FALSE),0))</f>
        <v/>
      </c>
      <c r="Q460" s="11" t="n"/>
      <c r="R460" s="11" t="n"/>
      <c r="S460" s="10">
        <f>IF(AND(Q460="",R460=""),"",IFERROR(INDEX(T_LIBAT,MATCH(Q460,L_PER,0),MATCH(R460,L_JENIS,0)),0))</f>
        <v/>
      </c>
      <c r="T460" s="11" t="n"/>
      <c r="U460" s="11" t="n"/>
      <c r="V460" s="10">
        <f>IF(AND(T460="",U460=""),"",IFERROR(INDEX(T_CAPAI,MATCH(T460,L_PER,0),MATCH(U460,L_KED,0)),0))</f>
        <v/>
      </c>
      <c r="W460" s="17">
        <f>IF(OR(B460="",E460="",COUNTA(F460,H460,J460:M460,O460,Q460:R460,T460:U460)=0),"",SUM(G460,I460,N460,P460,S460,V460))</f>
        <v/>
      </c>
      <c r="X460" s="18">
        <f>IF(W460="","",IF(Murid!F460="TL","TL",ROUND(W460/110*100,2)))</f>
        <v/>
      </c>
    </row>
    <row r="461">
      <c r="A461" s="15">
        <f>Murid!A461</f>
        <v/>
      </c>
      <c r="B461" s="15">
        <f>IF(Murid!B461="","",Murid!B461)</f>
        <v/>
      </c>
      <c r="C461" s="16">
        <f>IF(Murid!C461="","",Murid!C461)</f>
        <v/>
      </c>
      <c r="D461" s="15">
        <f>IF(Murid!E461="","",Murid!E461)</f>
        <v/>
      </c>
      <c r="E461" s="11" t="n"/>
      <c r="F461" s="11" t="n"/>
      <c r="G461" s="10">
        <f>IF(F461="","",IFERROR(VLOOKUP(F461,T_JSP,2,FALSE),0))</f>
        <v/>
      </c>
      <c r="H461" s="11" t="n"/>
      <c r="I461" s="17">
        <f>IF(H461="","",IF(H461&gt;=12,40,ROUND(H461*3.33,2)))</f>
        <v/>
      </c>
      <c r="J461" s="11" t="n"/>
      <c r="K461" s="11" t="n"/>
      <c r="L461" s="11" t="n"/>
      <c r="M461" s="11" t="n"/>
      <c r="N461" s="10">
        <f>IF(COUNTA(J461:M461)=0,"",MIN(10,SUMPRODUCT((COUNTIF(J461:M461,L_KOM)&gt;0)*S_KOM)))</f>
        <v/>
      </c>
      <c r="O461" s="11" t="n"/>
      <c r="P461" s="10">
        <f>IF(O461="","",IFERROR(VLOOKUP(O461,T_KHID,2,FALSE),0))</f>
        <v/>
      </c>
      <c r="Q461" s="11" t="n"/>
      <c r="R461" s="11" t="n"/>
      <c r="S461" s="10">
        <f>IF(AND(Q461="",R461=""),"",IFERROR(INDEX(T_LIBAT,MATCH(Q461,L_PER,0),MATCH(R461,L_JENIS,0)),0))</f>
        <v/>
      </c>
      <c r="T461" s="11" t="n"/>
      <c r="U461" s="11" t="n"/>
      <c r="V461" s="10">
        <f>IF(AND(T461="",U461=""),"",IFERROR(INDEX(T_CAPAI,MATCH(T461,L_PER,0),MATCH(U461,L_KED,0)),0))</f>
        <v/>
      </c>
      <c r="W461" s="17">
        <f>IF(OR(B461="",E461="",COUNTA(F461,H461,J461:M461,O461,Q461:R461,T461:U461)=0),"",SUM(G461,I461,N461,P461,S461,V461))</f>
        <v/>
      </c>
      <c r="X461" s="18">
        <f>IF(W461="","",IF(Murid!F461="TL","TL",ROUND(W461/110*100,2)))</f>
        <v/>
      </c>
    </row>
    <row r="462">
      <c r="A462" s="15">
        <f>Murid!A462</f>
        <v/>
      </c>
      <c r="B462" s="15">
        <f>IF(Murid!B462="","",Murid!B462)</f>
        <v/>
      </c>
      <c r="C462" s="16">
        <f>IF(Murid!C462="","",Murid!C462)</f>
        <v/>
      </c>
      <c r="D462" s="15">
        <f>IF(Murid!E462="","",Murid!E462)</f>
        <v/>
      </c>
      <c r="E462" s="11" t="n"/>
      <c r="F462" s="11" t="n"/>
      <c r="G462" s="10">
        <f>IF(F462="","",IFERROR(VLOOKUP(F462,T_JSP,2,FALSE),0))</f>
        <v/>
      </c>
      <c r="H462" s="11" t="n"/>
      <c r="I462" s="17">
        <f>IF(H462="","",IF(H462&gt;=12,40,ROUND(H462*3.33,2)))</f>
        <v/>
      </c>
      <c r="J462" s="11" t="n"/>
      <c r="K462" s="11" t="n"/>
      <c r="L462" s="11" t="n"/>
      <c r="M462" s="11" t="n"/>
      <c r="N462" s="10">
        <f>IF(COUNTA(J462:M462)=0,"",MIN(10,SUMPRODUCT((COUNTIF(J462:M462,L_KOM)&gt;0)*S_KOM)))</f>
        <v/>
      </c>
      <c r="O462" s="11" t="n"/>
      <c r="P462" s="10">
        <f>IF(O462="","",IFERROR(VLOOKUP(O462,T_KHID,2,FALSE),0))</f>
        <v/>
      </c>
      <c r="Q462" s="11" t="n"/>
      <c r="R462" s="11" t="n"/>
      <c r="S462" s="10">
        <f>IF(AND(Q462="",R462=""),"",IFERROR(INDEX(T_LIBAT,MATCH(Q462,L_PER,0),MATCH(R462,L_JENIS,0)),0))</f>
        <v/>
      </c>
      <c r="T462" s="11" t="n"/>
      <c r="U462" s="11" t="n"/>
      <c r="V462" s="10">
        <f>IF(AND(T462="",U462=""),"",IFERROR(INDEX(T_CAPAI,MATCH(T462,L_PER,0),MATCH(U462,L_KED,0)),0))</f>
        <v/>
      </c>
      <c r="W462" s="17">
        <f>IF(OR(B462="",E462="",COUNTA(F462,H462,J462:M462,O462,Q462:R462,T462:U462)=0),"",SUM(G462,I462,N462,P462,S462,V462))</f>
        <v/>
      </c>
      <c r="X462" s="18">
        <f>IF(W462="","",IF(Murid!F462="TL","TL",ROUND(W462/110*100,2)))</f>
        <v/>
      </c>
    </row>
    <row r="463">
      <c r="A463" s="15">
        <f>Murid!A463</f>
        <v/>
      </c>
      <c r="B463" s="15">
        <f>IF(Murid!B463="","",Murid!B463)</f>
        <v/>
      </c>
      <c r="C463" s="16">
        <f>IF(Murid!C463="","",Murid!C463)</f>
        <v/>
      </c>
      <c r="D463" s="15">
        <f>IF(Murid!E463="","",Murid!E463)</f>
        <v/>
      </c>
      <c r="E463" s="11" t="n"/>
      <c r="F463" s="11" t="n"/>
      <c r="G463" s="10">
        <f>IF(F463="","",IFERROR(VLOOKUP(F463,T_JSP,2,FALSE),0))</f>
        <v/>
      </c>
      <c r="H463" s="11" t="n"/>
      <c r="I463" s="17">
        <f>IF(H463="","",IF(H463&gt;=12,40,ROUND(H463*3.33,2)))</f>
        <v/>
      </c>
      <c r="J463" s="11" t="n"/>
      <c r="K463" s="11" t="n"/>
      <c r="L463" s="11" t="n"/>
      <c r="M463" s="11" t="n"/>
      <c r="N463" s="10">
        <f>IF(COUNTA(J463:M463)=0,"",MIN(10,SUMPRODUCT((COUNTIF(J463:M463,L_KOM)&gt;0)*S_KOM)))</f>
        <v/>
      </c>
      <c r="O463" s="11" t="n"/>
      <c r="P463" s="10">
        <f>IF(O463="","",IFERROR(VLOOKUP(O463,T_KHID,2,FALSE),0))</f>
        <v/>
      </c>
      <c r="Q463" s="11" t="n"/>
      <c r="R463" s="11" t="n"/>
      <c r="S463" s="10">
        <f>IF(AND(Q463="",R463=""),"",IFERROR(INDEX(T_LIBAT,MATCH(Q463,L_PER,0),MATCH(R463,L_JENIS,0)),0))</f>
        <v/>
      </c>
      <c r="T463" s="11" t="n"/>
      <c r="U463" s="11" t="n"/>
      <c r="V463" s="10">
        <f>IF(AND(T463="",U463=""),"",IFERROR(INDEX(T_CAPAI,MATCH(T463,L_PER,0),MATCH(U463,L_KED,0)),0))</f>
        <v/>
      </c>
      <c r="W463" s="17">
        <f>IF(OR(B463="",E463="",COUNTA(F463,H463,J463:M463,O463,Q463:R463,T463:U463)=0),"",SUM(G463,I463,N463,P463,S463,V463))</f>
        <v/>
      </c>
      <c r="X463" s="18">
        <f>IF(W463="","",IF(Murid!F463="TL","TL",ROUND(W463/110*100,2)))</f>
        <v/>
      </c>
    </row>
    <row r="464">
      <c r="A464" s="15">
        <f>Murid!A464</f>
        <v/>
      </c>
      <c r="B464" s="15">
        <f>IF(Murid!B464="","",Murid!B464)</f>
        <v/>
      </c>
      <c r="C464" s="16">
        <f>IF(Murid!C464="","",Murid!C464)</f>
        <v/>
      </c>
      <c r="D464" s="15">
        <f>IF(Murid!E464="","",Murid!E464)</f>
        <v/>
      </c>
      <c r="E464" s="11" t="n"/>
      <c r="F464" s="11" t="n"/>
      <c r="G464" s="10">
        <f>IF(F464="","",IFERROR(VLOOKUP(F464,T_JSP,2,FALSE),0))</f>
        <v/>
      </c>
      <c r="H464" s="11" t="n"/>
      <c r="I464" s="17">
        <f>IF(H464="","",IF(H464&gt;=12,40,ROUND(H464*3.33,2)))</f>
        <v/>
      </c>
      <c r="J464" s="11" t="n"/>
      <c r="K464" s="11" t="n"/>
      <c r="L464" s="11" t="n"/>
      <c r="M464" s="11" t="n"/>
      <c r="N464" s="10">
        <f>IF(COUNTA(J464:M464)=0,"",MIN(10,SUMPRODUCT((COUNTIF(J464:M464,L_KOM)&gt;0)*S_KOM)))</f>
        <v/>
      </c>
      <c r="O464" s="11" t="n"/>
      <c r="P464" s="10">
        <f>IF(O464="","",IFERROR(VLOOKUP(O464,T_KHID,2,FALSE),0))</f>
        <v/>
      </c>
      <c r="Q464" s="11" t="n"/>
      <c r="R464" s="11" t="n"/>
      <c r="S464" s="10">
        <f>IF(AND(Q464="",R464=""),"",IFERROR(INDEX(T_LIBAT,MATCH(Q464,L_PER,0),MATCH(R464,L_JENIS,0)),0))</f>
        <v/>
      </c>
      <c r="T464" s="11" t="n"/>
      <c r="U464" s="11" t="n"/>
      <c r="V464" s="10">
        <f>IF(AND(T464="",U464=""),"",IFERROR(INDEX(T_CAPAI,MATCH(T464,L_PER,0),MATCH(U464,L_KED,0)),0))</f>
        <v/>
      </c>
      <c r="W464" s="17">
        <f>IF(OR(B464="",E464="",COUNTA(F464,H464,J464:M464,O464,Q464:R464,T464:U464)=0),"",SUM(G464,I464,N464,P464,S464,V464))</f>
        <v/>
      </c>
      <c r="X464" s="18">
        <f>IF(W464="","",IF(Murid!F464="TL","TL",ROUND(W464/110*100,2)))</f>
        <v/>
      </c>
    </row>
    <row r="465">
      <c r="A465" s="15">
        <f>Murid!A465</f>
        <v/>
      </c>
      <c r="B465" s="15">
        <f>IF(Murid!B465="","",Murid!B465)</f>
        <v/>
      </c>
      <c r="C465" s="16">
        <f>IF(Murid!C465="","",Murid!C465)</f>
        <v/>
      </c>
      <c r="D465" s="15">
        <f>IF(Murid!E465="","",Murid!E465)</f>
        <v/>
      </c>
      <c r="E465" s="11" t="n"/>
      <c r="F465" s="11" t="n"/>
      <c r="G465" s="10">
        <f>IF(F465="","",IFERROR(VLOOKUP(F465,T_JSP,2,FALSE),0))</f>
        <v/>
      </c>
      <c r="H465" s="11" t="n"/>
      <c r="I465" s="17">
        <f>IF(H465="","",IF(H465&gt;=12,40,ROUND(H465*3.33,2)))</f>
        <v/>
      </c>
      <c r="J465" s="11" t="n"/>
      <c r="K465" s="11" t="n"/>
      <c r="L465" s="11" t="n"/>
      <c r="M465" s="11" t="n"/>
      <c r="N465" s="10">
        <f>IF(COUNTA(J465:M465)=0,"",MIN(10,SUMPRODUCT((COUNTIF(J465:M465,L_KOM)&gt;0)*S_KOM)))</f>
        <v/>
      </c>
      <c r="O465" s="11" t="n"/>
      <c r="P465" s="10">
        <f>IF(O465="","",IFERROR(VLOOKUP(O465,T_KHID,2,FALSE),0))</f>
        <v/>
      </c>
      <c r="Q465" s="11" t="n"/>
      <c r="R465" s="11" t="n"/>
      <c r="S465" s="10">
        <f>IF(AND(Q465="",R465=""),"",IFERROR(INDEX(T_LIBAT,MATCH(Q465,L_PER,0),MATCH(R465,L_JENIS,0)),0))</f>
        <v/>
      </c>
      <c r="T465" s="11" t="n"/>
      <c r="U465" s="11" t="n"/>
      <c r="V465" s="10">
        <f>IF(AND(T465="",U465=""),"",IFERROR(INDEX(T_CAPAI,MATCH(T465,L_PER,0),MATCH(U465,L_KED,0)),0))</f>
        <v/>
      </c>
      <c r="W465" s="17">
        <f>IF(OR(B465="",E465="",COUNTA(F465,H465,J465:M465,O465,Q465:R465,T465:U465)=0),"",SUM(G465,I465,N465,P465,S465,V465))</f>
        <v/>
      </c>
      <c r="X465" s="18">
        <f>IF(W465="","",IF(Murid!F465="TL","TL",ROUND(W465/110*100,2)))</f>
        <v/>
      </c>
    </row>
    <row r="466">
      <c r="A466" s="15">
        <f>Murid!A466</f>
        <v/>
      </c>
      <c r="B466" s="15">
        <f>IF(Murid!B466="","",Murid!B466)</f>
        <v/>
      </c>
      <c r="C466" s="16">
        <f>IF(Murid!C466="","",Murid!C466)</f>
        <v/>
      </c>
      <c r="D466" s="15">
        <f>IF(Murid!E466="","",Murid!E466)</f>
        <v/>
      </c>
      <c r="E466" s="11" t="n"/>
      <c r="F466" s="11" t="n"/>
      <c r="G466" s="10">
        <f>IF(F466="","",IFERROR(VLOOKUP(F466,T_JSP,2,FALSE),0))</f>
        <v/>
      </c>
      <c r="H466" s="11" t="n"/>
      <c r="I466" s="17">
        <f>IF(H466="","",IF(H466&gt;=12,40,ROUND(H466*3.33,2)))</f>
        <v/>
      </c>
      <c r="J466" s="11" t="n"/>
      <c r="K466" s="11" t="n"/>
      <c r="L466" s="11" t="n"/>
      <c r="M466" s="11" t="n"/>
      <c r="N466" s="10">
        <f>IF(COUNTA(J466:M466)=0,"",MIN(10,SUMPRODUCT((COUNTIF(J466:M466,L_KOM)&gt;0)*S_KOM)))</f>
        <v/>
      </c>
      <c r="O466" s="11" t="n"/>
      <c r="P466" s="10">
        <f>IF(O466="","",IFERROR(VLOOKUP(O466,T_KHID,2,FALSE),0))</f>
        <v/>
      </c>
      <c r="Q466" s="11" t="n"/>
      <c r="R466" s="11" t="n"/>
      <c r="S466" s="10">
        <f>IF(AND(Q466="",R466=""),"",IFERROR(INDEX(T_LIBAT,MATCH(Q466,L_PER,0),MATCH(R466,L_JENIS,0)),0))</f>
        <v/>
      </c>
      <c r="T466" s="11" t="n"/>
      <c r="U466" s="11" t="n"/>
      <c r="V466" s="10">
        <f>IF(AND(T466="",U466=""),"",IFERROR(INDEX(T_CAPAI,MATCH(T466,L_PER,0),MATCH(U466,L_KED,0)),0))</f>
        <v/>
      </c>
      <c r="W466" s="17">
        <f>IF(OR(B466="",E466="",COUNTA(F466,H466,J466:M466,O466,Q466:R466,T466:U466)=0),"",SUM(G466,I466,N466,P466,S466,V466))</f>
        <v/>
      </c>
      <c r="X466" s="18">
        <f>IF(W466="","",IF(Murid!F466="TL","TL",ROUND(W466/110*100,2)))</f>
        <v/>
      </c>
    </row>
    <row r="467">
      <c r="A467" s="15">
        <f>Murid!A467</f>
        <v/>
      </c>
      <c r="B467" s="15">
        <f>IF(Murid!B467="","",Murid!B467)</f>
        <v/>
      </c>
      <c r="C467" s="16">
        <f>IF(Murid!C467="","",Murid!C467)</f>
        <v/>
      </c>
      <c r="D467" s="15">
        <f>IF(Murid!E467="","",Murid!E467)</f>
        <v/>
      </c>
      <c r="E467" s="11" t="n"/>
      <c r="F467" s="11" t="n"/>
      <c r="G467" s="10">
        <f>IF(F467="","",IFERROR(VLOOKUP(F467,T_JSP,2,FALSE),0))</f>
        <v/>
      </c>
      <c r="H467" s="11" t="n"/>
      <c r="I467" s="17">
        <f>IF(H467="","",IF(H467&gt;=12,40,ROUND(H467*3.33,2)))</f>
        <v/>
      </c>
      <c r="J467" s="11" t="n"/>
      <c r="K467" s="11" t="n"/>
      <c r="L467" s="11" t="n"/>
      <c r="M467" s="11" t="n"/>
      <c r="N467" s="10">
        <f>IF(COUNTA(J467:M467)=0,"",MIN(10,SUMPRODUCT((COUNTIF(J467:M467,L_KOM)&gt;0)*S_KOM)))</f>
        <v/>
      </c>
      <c r="O467" s="11" t="n"/>
      <c r="P467" s="10">
        <f>IF(O467="","",IFERROR(VLOOKUP(O467,T_KHID,2,FALSE),0))</f>
        <v/>
      </c>
      <c r="Q467" s="11" t="n"/>
      <c r="R467" s="11" t="n"/>
      <c r="S467" s="10">
        <f>IF(AND(Q467="",R467=""),"",IFERROR(INDEX(T_LIBAT,MATCH(Q467,L_PER,0),MATCH(R467,L_JENIS,0)),0))</f>
        <v/>
      </c>
      <c r="T467" s="11" t="n"/>
      <c r="U467" s="11" t="n"/>
      <c r="V467" s="10">
        <f>IF(AND(T467="",U467=""),"",IFERROR(INDEX(T_CAPAI,MATCH(T467,L_PER,0),MATCH(U467,L_KED,0)),0))</f>
        <v/>
      </c>
      <c r="W467" s="17">
        <f>IF(OR(B467="",E467="",COUNTA(F467,H467,J467:M467,O467,Q467:R467,T467:U467)=0),"",SUM(G467,I467,N467,P467,S467,V467))</f>
        <v/>
      </c>
      <c r="X467" s="18">
        <f>IF(W467="","",IF(Murid!F467="TL","TL",ROUND(W467/110*100,2)))</f>
        <v/>
      </c>
    </row>
    <row r="468">
      <c r="A468" s="15">
        <f>Murid!A468</f>
        <v/>
      </c>
      <c r="B468" s="15">
        <f>IF(Murid!B468="","",Murid!B468)</f>
        <v/>
      </c>
      <c r="C468" s="16">
        <f>IF(Murid!C468="","",Murid!C468)</f>
        <v/>
      </c>
      <c r="D468" s="15">
        <f>IF(Murid!E468="","",Murid!E468)</f>
        <v/>
      </c>
      <c r="E468" s="11" t="n"/>
      <c r="F468" s="11" t="n"/>
      <c r="G468" s="10">
        <f>IF(F468="","",IFERROR(VLOOKUP(F468,T_JSP,2,FALSE),0))</f>
        <v/>
      </c>
      <c r="H468" s="11" t="n"/>
      <c r="I468" s="17">
        <f>IF(H468="","",IF(H468&gt;=12,40,ROUND(H468*3.33,2)))</f>
        <v/>
      </c>
      <c r="J468" s="11" t="n"/>
      <c r="K468" s="11" t="n"/>
      <c r="L468" s="11" t="n"/>
      <c r="M468" s="11" t="n"/>
      <c r="N468" s="10">
        <f>IF(COUNTA(J468:M468)=0,"",MIN(10,SUMPRODUCT((COUNTIF(J468:M468,L_KOM)&gt;0)*S_KOM)))</f>
        <v/>
      </c>
      <c r="O468" s="11" t="n"/>
      <c r="P468" s="10">
        <f>IF(O468="","",IFERROR(VLOOKUP(O468,T_KHID,2,FALSE),0))</f>
        <v/>
      </c>
      <c r="Q468" s="11" t="n"/>
      <c r="R468" s="11" t="n"/>
      <c r="S468" s="10">
        <f>IF(AND(Q468="",R468=""),"",IFERROR(INDEX(T_LIBAT,MATCH(Q468,L_PER,0),MATCH(R468,L_JENIS,0)),0))</f>
        <v/>
      </c>
      <c r="T468" s="11" t="n"/>
      <c r="U468" s="11" t="n"/>
      <c r="V468" s="10">
        <f>IF(AND(T468="",U468=""),"",IFERROR(INDEX(T_CAPAI,MATCH(T468,L_PER,0),MATCH(U468,L_KED,0)),0))</f>
        <v/>
      </c>
      <c r="W468" s="17">
        <f>IF(OR(B468="",E468="",COUNTA(F468,H468,J468:M468,O468,Q468:R468,T468:U468)=0),"",SUM(G468,I468,N468,P468,S468,V468))</f>
        <v/>
      </c>
      <c r="X468" s="18">
        <f>IF(W468="","",IF(Murid!F468="TL","TL",ROUND(W468/110*100,2)))</f>
        <v/>
      </c>
    </row>
    <row r="469">
      <c r="A469" s="15">
        <f>Murid!A469</f>
        <v/>
      </c>
      <c r="B469" s="15">
        <f>IF(Murid!B469="","",Murid!B469)</f>
        <v/>
      </c>
      <c r="C469" s="16">
        <f>IF(Murid!C469="","",Murid!C469)</f>
        <v/>
      </c>
      <c r="D469" s="15">
        <f>IF(Murid!E469="","",Murid!E469)</f>
        <v/>
      </c>
      <c r="E469" s="11" t="n"/>
      <c r="F469" s="11" t="n"/>
      <c r="G469" s="10">
        <f>IF(F469="","",IFERROR(VLOOKUP(F469,T_JSP,2,FALSE),0))</f>
        <v/>
      </c>
      <c r="H469" s="11" t="n"/>
      <c r="I469" s="17">
        <f>IF(H469="","",IF(H469&gt;=12,40,ROUND(H469*3.33,2)))</f>
        <v/>
      </c>
      <c r="J469" s="11" t="n"/>
      <c r="K469" s="11" t="n"/>
      <c r="L469" s="11" t="n"/>
      <c r="M469" s="11" t="n"/>
      <c r="N469" s="10">
        <f>IF(COUNTA(J469:M469)=0,"",MIN(10,SUMPRODUCT((COUNTIF(J469:M469,L_KOM)&gt;0)*S_KOM)))</f>
        <v/>
      </c>
      <c r="O469" s="11" t="n"/>
      <c r="P469" s="10">
        <f>IF(O469="","",IFERROR(VLOOKUP(O469,T_KHID,2,FALSE),0))</f>
        <v/>
      </c>
      <c r="Q469" s="11" t="n"/>
      <c r="R469" s="11" t="n"/>
      <c r="S469" s="10">
        <f>IF(AND(Q469="",R469=""),"",IFERROR(INDEX(T_LIBAT,MATCH(Q469,L_PER,0),MATCH(R469,L_JENIS,0)),0))</f>
        <v/>
      </c>
      <c r="T469" s="11" t="n"/>
      <c r="U469" s="11" t="n"/>
      <c r="V469" s="10">
        <f>IF(AND(T469="",U469=""),"",IFERROR(INDEX(T_CAPAI,MATCH(T469,L_PER,0),MATCH(U469,L_KED,0)),0))</f>
        <v/>
      </c>
      <c r="W469" s="17">
        <f>IF(OR(B469="",E469="",COUNTA(F469,H469,J469:M469,O469,Q469:R469,T469:U469)=0),"",SUM(G469,I469,N469,P469,S469,V469))</f>
        <v/>
      </c>
      <c r="X469" s="18">
        <f>IF(W469="","",IF(Murid!F469="TL","TL",ROUND(W469/110*100,2)))</f>
        <v/>
      </c>
    </row>
    <row r="470">
      <c r="A470" s="15">
        <f>Murid!A470</f>
        <v/>
      </c>
      <c r="B470" s="15">
        <f>IF(Murid!B470="","",Murid!B470)</f>
        <v/>
      </c>
      <c r="C470" s="16">
        <f>IF(Murid!C470="","",Murid!C470)</f>
        <v/>
      </c>
      <c r="D470" s="15">
        <f>IF(Murid!E470="","",Murid!E470)</f>
        <v/>
      </c>
      <c r="E470" s="11" t="n"/>
      <c r="F470" s="11" t="n"/>
      <c r="G470" s="10">
        <f>IF(F470="","",IFERROR(VLOOKUP(F470,T_JSP,2,FALSE),0))</f>
        <v/>
      </c>
      <c r="H470" s="11" t="n"/>
      <c r="I470" s="17">
        <f>IF(H470="","",IF(H470&gt;=12,40,ROUND(H470*3.33,2)))</f>
        <v/>
      </c>
      <c r="J470" s="11" t="n"/>
      <c r="K470" s="11" t="n"/>
      <c r="L470" s="11" t="n"/>
      <c r="M470" s="11" t="n"/>
      <c r="N470" s="10">
        <f>IF(COUNTA(J470:M470)=0,"",MIN(10,SUMPRODUCT((COUNTIF(J470:M470,L_KOM)&gt;0)*S_KOM)))</f>
        <v/>
      </c>
      <c r="O470" s="11" t="n"/>
      <c r="P470" s="10">
        <f>IF(O470="","",IFERROR(VLOOKUP(O470,T_KHID,2,FALSE),0))</f>
        <v/>
      </c>
      <c r="Q470" s="11" t="n"/>
      <c r="R470" s="11" t="n"/>
      <c r="S470" s="10">
        <f>IF(AND(Q470="",R470=""),"",IFERROR(INDEX(T_LIBAT,MATCH(Q470,L_PER,0),MATCH(R470,L_JENIS,0)),0))</f>
        <v/>
      </c>
      <c r="T470" s="11" t="n"/>
      <c r="U470" s="11" t="n"/>
      <c r="V470" s="10">
        <f>IF(AND(T470="",U470=""),"",IFERROR(INDEX(T_CAPAI,MATCH(T470,L_PER,0),MATCH(U470,L_KED,0)),0))</f>
        <v/>
      </c>
      <c r="W470" s="17">
        <f>IF(OR(B470="",E470="",COUNTA(F470,H470,J470:M470,O470,Q470:R470,T470:U470)=0),"",SUM(G470,I470,N470,P470,S470,V470))</f>
        <v/>
      </c>
      <c r="X470" s="18">
        <f>IF(W470="","",IF(Murid!F470="TL","TL",ROUND(W470/110*100,2)))</f>
        <v/>
      </c>
    </row>
    <row r="471">
      <c r="A471" s="15">
        <f>Murid!A471</f>
        <v/>
      </c>
      <c r="B471" s="15">
        <f>IF(Murid!B471="","",Murid!B471)</f>
        <v/>
      </c>
      <c r="C471" s="16">
        <f>IF(Murid!C471="","",Murid!C471)</f>
        <v/>
      </c>
      <c r="D471" s="15">
        <f>IF(Murid!E471="","",Murid!E471)</f>
        <v/>
      </c>
      <c r="E471" s="11" t="n"/>
      <c r="F471" s="11" t="n"/>
      <c r="G471" s="10">
        <f>IF(F471="","",IFERROR(VLOOKUP(F471,T_JSP,2,FALSE),0))</f>
        <v/>
      </c>
      <c r="H471" s="11" t="n"/>
      <c r="I471" s="17">
        <f>IF(H471="","",IF(H471&gt;=12,40,ROUND(H471*3.33,2)))</f>
        <v/>
      </c>
      <c r="J471" s="11" t="n"/>
      <c r="K471" s="11" t="n"/>
      <c r="L471" s="11" t="n"/>
      <c r="M471" s="11" t="n"/>
      <c r="N471" s="10">
        <f>IF(COUNTA(J471:M471)=0,"",MIN(10,SUMPRODUCT((COUNTIF(J471:M471,L_KOM)&gt;0)*S_KOM)))</f>
        <v/>
      </c>
      <c r="O471" s="11" t="n"/>
      <c r="P471" s="10">
        <f>IF(O471="","",IFERROR(VLOOKUP(O471,T_KHID,2,FALSE),0))</f>
        <v/>
      </c>
      <c r="Q471" s="11" t="n"/>
      <c r="R471" s="11" t="n"/>
      <c r="S471" s="10">
        <f>IF(AND(Q471="",R471=""),"",IFERROR(INDEX(T_LIBAT,MATCH(Q471,L_PER,0),MATCH(R471,L_JENIS,0)),0))</f>
        <v/>
      </c>
      <c r="T471" s="11" t="n"/>
      <c r="U471" s="11" t="n"/>
      <c r="V471" s="10">
        <f>IF(AND(T471="",U471=""),"",IFERROR(INDEX(T_CAPAI,MATCH(T471,L_PER,0),MATCH(U471,L_KED,0)),0))</f>
        <v/>
      </c>
      <c r="W471" s="17">
        <f>IF(OR(B471="",E471="",COUNTA(F471,H471,J471:M471,O471,Q471:R471,T471:U471)=0),"",SUM(G471,I471,N471,P471,S471,V471))</f>
        <v/>
      </c>
      <c r="X471" s="18">
        <f>IF(W471="","",IF(Murid!F471="TL","TL",ROUND(W471/110*100,2)))</f>
        <v/>
      </c>
    </row>
    <row r="472">
      <c r="A472" s="15">
        <f>Murid!A472</f>
        <v/>
      </c>
      <c r="B472" s="15">
        <f>IF(Murid!B472="","",Murid!B472)</f>
        <v/>
      </c>
      <c r="C472" s="16">
        <f>IF(Murid!C472="","",Murid!C472)</f>
        <v/>
      </c>
      <c r="D472" s="15">
        <f>IF(Murid!E472="","",Murid!E472)</f>
        <v/>
      </c>
      <c r="E472" s="11" t="n"/>
      <c r="F472" s="11" t="n"/>
      <c r="G472" s="10">
        <f>IF(F472="","",IFERROR(VLOOKUP(F472,T_JSP,2,FALSE),0))</f>
        <v/>
      </c>
      <c r="H472" s="11" t="n"/>
      <c r="I472" s="17">
        <f>IF(H472="","",IF(H472&gt;=12,40,ROUND(H472*3.33,2)))</f>
        <v/>
      </c>
      <c r="J472" s="11" t="n"/>
      <c r="K472" s="11" t="n"/>
      <c r="L472" s="11" t="n"/>
      <c r="M472" s="11" t="n"/>
      <c r="N472" s="10">
        <f>IF(COUNTA(J472:M472)=0,"",MIN(10,SUMPRODUCT((COUNTIF(J472:M472,L_KOM)&gt;0)*S_KOM)))</f>
        <v/>
      </c>
      <c r="O472" s="11" t="n"/>
      <c r="P472" s="10">
        <f>IF(O472="","",IFERROR(VLOOKUP(O472,T_KHID,2,FALSE),0))</f>
        <v/>
      </c>
      <c r="Q472" s="11" t="n"/>
      <c r="R472" s="11" t="n"/>
      <c r="S472" s="10">
        <f>IF(AND(Q472="",R472=""),"",IFERROR(INDEX(T_LIBAT,MATCH(Q472,L_PER,0),MATCH(R472,L_JENIS,0)),0))</f>
        <v/>
      </c>
      <c r="T472" s="11" t="n"/>
      <c r="U472" s="11" t="n"/>
      <c r="V472" s="10">
        <f>IF(AND(T472="",U472=""),"",IFERROR(INDEX(T_CAPAI,MATCH(T472,L_PER,0),MATCH(U472,L_KED,0)),0))</f>
        <v/>
      </c>
      <c r="W472" s="17">
        <f>IF(OR(B472="",E472="",COUNTA(F472,H472,J472:M472,O472,Q472:R472,T472:U472)=0),"",SUM(G472,I472,N472,P472,S472,V472))</f>
        <v/>
      </c>
      <c r="X472" s="18">
        <f>IF(W472="","",IF(Murid!F472="TL","TL",ROUND(W472/110*100,2)))</f>
        <v/>
      </c>
    </row>
    <row r="473">
      <c r="A473" s="15">
        <f>Murid!A473</f>
        <v/>
      </c>
      <c r="B473" s="15">
        <f>IF(Murid!B473="","",Murid!B473)</f>
        <v/>
      </c>
      <c r="C473" s="16">
        <f>IF(Murid!C473="","",Murid!C473)</f>
        <v/>
      </c>
      <c r="D473" s="15">
        <f>IF(Murid!E473="","",Murid!E473)</f>
        <v/>
      </c>
      <c r="E473" s="11" t="n"/>
      <c r="F473" s="11" t="n"/>
      <c r="G473" s="10">
        <f>IF(F473="","",IFERROR(VLOOKUP(F473,T_JSP,2,FALSE),0))</f>
        <v/>
      </c>
      <c r="H473" s="11" t="n"/>
      <c r="I473" s="17">
        <f>IF(H473="","",IF(H473&gt;=12,40,ROUND(H473*3.33,2)))</f>
        <v/>
      </c>
      <c r="J473" s="11" t="n"/>
      <c r="K473" s="11" t="n"/>
      <c r="L473" s="11" t="n"/>
      <c r="M473" s="11" t="n"/>
      <c r="N473" s="10">
        <f>IF(COUNTA(J473:M473)=0,"",MIN(10,SUMPRODUCT((COUNTIF(J473:M473,L_KOM)&gt;0)*S_KOM)))</f>
        <v/>
      </c>
      <c r="O473" s="11" t="n"/>
      <c r="P473" s="10">
        <f>IF(O473="","",IFERROR(VLOOKUP(O473,T_KHID,2,FALSE),0))</f>
        <v/>
      </c>
      <c r="Q473" s="11" t="n"/>
      <c r="R473" s="11" t="n"/>
      <c r="S473" s="10">
        <f>IF(AND(Q473="",R473=""),"",IFERROR(INDEX(T_LIBAT,MATCH(Q473,L_PER,0),MATCH(R473,L_JENIS,0)),0))</f>
        <v/>
      </c>
      <c r="T473" s="11" t="n"/>
      <c r="U473" s="11" t="n"/>
      <c r="V473" s="10">
        <f>IF(AND(T473="",U473=""),"",IFERROR(INDEX(T_CAPAI,MATCH(T473,L_PER,0),MATCH(U473,L_KED,0)),0))</f>
        <v/>
      </c>
      <c r="W473" s="17">
        <f>IF(OR(B473="",E473="",COUNTA(F473,H473,J473:M473,O473,Q473:R473,T473:U473)=0),"",SUM(G473,I473,N473,P473,S473,V473))</f>
        <v/>
      </c>
      <c r="X473" s="18">
        <f>IF(W473="","",IF(Murid!F473="TL","TL",ROUND(W473/110*100,2)))</f>
        <v/>
      </c>
    </row>
    <row r="474">
      <c r="A474" s="15">
        <f>Murid!A474</f>
        <v/>
      </c>
      <c r="B474" s="15">
        <f>IF(Murid!B474="","",Murid!B474)</f>
        <v/>
      </c>
      <c r="C474" s="16">
        <f>IF(Murid!C474="","",Murid!C474)</f>
        <v/>
      </c>
      <c r="D474" s="15">
        <f>IF(Murid!E474="","",Murid!E474)</f>
        <v/>
      </c>
      <c r="E474" s="11" t="n"/>
      <c r="F474" s="11" t="n"/>
      <c r="G474" s="10">
        <f>IF(F474="","",IFERROR(VLOOKUP(F474,T_JSP,2,FALSE),0))</f>
        <v/>
      </c>
      <c r="H474" s="11" t="n"/>
      <c r="I474" s="17">
        <f>IF(H474="","",IF(H474&gt;=12,40,ROUND(H474*3.33,2)))</f>
        <v/>
      </c>
      <c r="J474" s="11" t="n"/>
      <c r="K474" s="11" t="n"/>
      <c r="L474" s="11" t="n"/>
      <c r="M474" s="11" t="n"/>
      <c r="N474" s="10">
        <f>IF(COUNTA(J474:M474)=0,"",MIN(10,SUMPRODUCT((COUNTIF(J474:M474,L_KOM)&gt;0)*S_KOM)))</f>
        <v/>
      </c>
      <c r="O474" s="11" t="n"/>
      <c r="P474" s="10">
        <f>IF(O474="","",IFERROR(VLOOKUP(O474,T_KHID,2,FALSE),0))</f>
        <v/>
      </c>
      <c r="Q474" s="11" t="n"/>
      <c r="R474" s="11" t="n"/>
      <c r="S474" s="10">
        <f>IF(AND(Q474="",R474=""),"",IFERROR(INDEX(T_LIBAT,MATCH(Q474,L_PER,0),MATCH(R474,L_JENIS,0)),0))</f>
        <v/>
      </c>
      <c r="T474" s="11" t="n"/>
      <c r="U474" s="11" t="n"/>
      <c r="V474" s="10">
        <f>IF(AND(T474="",U474=""),"",IFERROR(INDEX(T_CAPAI,MATCH(T474,L_PER,0),MATCH(U474,L_KED,0)),0))</f>
        <v/>
      </c>
      <c r="W474" s="17">
        <f>IF(OR(B474="",E474="",COUNTA(F474,H474,J474:M474,O474,Q474:R474,T474:U474)=0),"",SUM(G474,I474,N474,P474,S474,V474))</f>
        <v/>
      </c>
      <c r="X474" s="18">
        <f>IF(W474="","",IF(Murid!F474="TL","TL",ROUND(W474/110*100,2)))</f>
        <v/>
      </c>
    </row>
    <row r="475">
      <c r="A475" s="15">
        <f>Murid!A475</f>
        <v/>
      </c>
      <c r="B475" s="15">
        <f>IF(Murid!B475="","",Murid!B475)</f>
        <v/>
      </c>
      <c r="C475" s="16">
        <f>IF(Murid!C475="","",Murid!C475)</f>
        <v/>
      </c>
      <c r="D475" s="15">
        <f>IF(Murid!E475="","",Murid!E475)</f>
        <v/>
      </c>
      <c r="E475" s="11" t="n"/>
      <c r="F475" s="11" t="n"/>
      <c r="G475" s="10">
        <f>IF(F475="","",IFERROR(VLOOKUP(F475,T_JSP,2,FALSE),0))</f>
        <v/>
      </c>
      <c r="H475" s="11" t="n"/>
      <c r="I475" s="17">
        <f>IF(H475="","",IF(H475&gt;=12,40,ROUND(H475*3.33,2)))</f>
        <v/>
      </c>
      <c r="J475" s="11" t="n"/>
      <c r="K475" s="11" t="n"/>
      <c r="L475" s="11" t="n"/>
      <c r="M475" s="11" t="n"/>
      <c r="N475" s="10">
        <f>IF(COUNTA(J475:M475)=0,"",MIN(10,SUMPRODUCT((COUNTIF(J475:M475,L_KOM)&gt;0)*S_KOM)))</f>
        <v/>
      </c>
      <c r="O475" s="11" t="n"/>
      <c r="P475" s="10">
        <f>IF(O475="","",IFERROR(VLOOKUP(O475,T_KHID,2,FALSE),0))</f>
        <v/>
      </c>
      <c r="Q475" s="11" t="n"/>
      <c r="R475" s="11" t="n"/>
      <c r="S475" s="10">
        <f>IF(AND(Q475="",R475=""),"",IFERROR(INDEX(T_LIBAT,MATCH(Q475,L_PER,0),MATCH(R475,L_JENIS,0)),0))</f>
        <v/>
      </c>
      <c r="T475" s="11" t="n"/>
      <c r="U475" s="11" t="n"/>
      <c r="V475" s="10">
        <f>IF(AND(T475="",U475=""),"",IFERROR(INDEX(T_CAPAI,MATCH(T475,L_PER,0),MATCH(U475,L_KED,0)),0))</f>
        <v/>
      </c>
      <c r="W475" s="17">
        <f>IF(OR(B475="",E475="",COUNTA(F475,H475,J475:M475,O475,Q475:R475,T475:U475)=0),"",SUM(G475,I475,N475,P475,S475,V475))</f>
        <v/>
      </c>
      <c r="X475" s="18">
        <f>IF(W475="","",IF(Murid!F475="TL","TL",ROUND(W475/110*100,2)))</f>
        <v/>
      </c>
    </row>
    <row r="476">
      <c r="A476" s="15">
        <f>Murid!A476</f>
        <v/>
      </c>
      <c r="B476" s="15">
        <f>IF(Murid!B476="","",Murid!B476)</f>
        <v/>
      </c>
      <c r="C476" s="16">
        <f>IF(Murid!C476="","",Murid!C476)</f>
        <v/>
      </c>
      <c r="D476" s="15">
        <f>IF(Murid!E476="","",Murid!E476)</f>
        <v/>
      </c>
      <c r="E476" s="11" t="n"/>
      <c r="F476" s="11" t="n"/>
      <c r="G476" s="10">
        <f>IF(F476="","",IFERROR(VLOOKUP(F476,T_JSP,2,FALSE),0))</f>
        <v/>
      </c>
      <c r="H476" s="11" t="n"/>
      <c r="I476" s="17">
        <f>IF(H476="","",IF(H476&gt;=12,40,ROUND(H476*3.33,2)))</f>
        <v/>
      </c>
      <c r="J476" s="11" t="n"/>
      <c r="K476" s="11" t="n"/>
      <c r="L476" s="11" t="n"/>
      <c r="M476" s="11" t="n"/>
      <c r="N476" s="10">
        <f>IF(COUNTA(J476:M476)=0,"",MIN(10,SUMPRODUCT((COUNTIF(J476:M476,L_KOM)&gt;0)*S_KOM)))</f>
        <v/>
      </c>
      <c r="O476" s="11" t="n"/>
      <c r="P476" s="10">
        <f>IF(O476="","",IFERROR(VLOOKUP(O476,T_KHID,2,FALSE),0))</f>
        <v/>
      </c>
      <c r="Q476" s="11" t="n"/>
      <c r="R476" s="11" t="n"/>
      <c r="S476" s="10">
        <f>IF(AND(Q476="",R476=""),"",IFERROR(INDEX(T_LIBAT,MATCH(Q476,L_PER,0),MATCH(R476,L_JENIS,0)),0))</f>
        <v/>
      </c>
      <c r="T476" s="11" t="n"/>
      <c r="U476" s="11" t="n"/>
      <c r="V476" s="10">
        <f>IF(AND(T476="",U476=""),"",IFERROR(INDEX(T_CAPAI,MATCH(T476,L_PER,0),MATCH(U476,L_KED,0)),0))</f>
        <v/>
      </c>
      <c r="W476" s="17">
        <f>IF(OR(B476="",E476="",COUNTA(F476,H476,J476:M476,O476,Q476:R476,T476:U476)=0),"",SUM(G476,I476,N476,P476,S476,V476))</f>
        <v/>
      </c>
      <c r="X476" s="18">
        <f>IF(W476="","",IF(Murid!F476="TL","TL",ROUND(W476/110*100,2)))</f>
        <v/>
      </c>
    </row>
    <row r="477">
      <c r="A477" s="15">
        <f>Murid!A477</f>
        <v/>
      </c>
      <c r="B477" s="15">
        <f>IF(Murid!B477="","",Murid!B477)</f>
        <v/>
      </c>
      <c r="C477" s="16">
        <f>IF(Murid!C477="","",Murid!C477)</f>
        <v/>
      </c>
      <c r="D477" s="15">
        <f>IF(Murid!E477="","",Murid!E477)</f>
        <v/>
      </c>
      <c r="E477" s="11" t="n"/>
      <c r="F477" s="11" t="n"/>
      <c r="G477" s="10">
        <f>IF(F477="","",IFERROR(VLOOKUP(F477,T_JSP,2,FALSE),0))</f>
        <v/>
      </c>
      <c r="H477" s="11" t="n"/>
      <c r="I477" s="17">
        <f>IF(H477="","",IF(H477&gt;=12,40,ROUND(H477*3.33,2)))</f>
        <v/>
      </c>
      <c r="J477" s="11" t="n"/>
      <c r="K477" s="11" t="n"/>
      <c r="L477" s="11" t="n"/>
      <c r="M477" s="11" t="n"/>
      <c r="N477" s="10">
        <f>IF(COUNTA(J477:M477)=0,"",MIN(10,SUMPRODUCT((COUNTIF(J477:M477,L_KOM)&gt;0)*S_KOM)))</f>
        <v/>
      </c>
      <c r="O477" s="11" t="n"/>
      <c r="P477" s="10">
        <f>IF(O477="","",IFERROR(VLOOKUP(O477,T_KHID,2,FALSE),0))</f>
        <v/>
      </c>
      <c r="Q477" s="11" t="n"/>
      <c r="R477" s="11" t="n"/>
      <c r="S477" s="10">
        <f>IF(AND(Q477="",R477=""),"",IFERROR(INDEX(T_LIBAT,MATCH(Q477,L_PER,0),MATCH(R477,L_JENIS,0)),0))</f>
        <v/>
      </c>
      <c r="T477" s="11" t="n"/>
      <c r="U477" s="11" t="n"/>
      <c r="V477" s="10">
        <f>IF(AND(T477="",U477=""),"",IFERROR(INDEX(T_CAPAI,MATCH(T477,L_PER,0),MATCH(U477,L_KED,0)),0))</f>
        <v/>
      </c>
      <c r="W477" s="17">
        <f>IF(OR(B477="",E477="",COUNTA(F477,H477,J477:M477,O477,Q477:R477,T477:U477)=0),"",SUM(G477,I477,N477,P477,S477,V477))</f>
        <v/>
      </c>
      <c r="X477" s="18">
        <f>IF(W477="","",IF(Murid!F477="TL","TL",ROUND(W477/110*100,2)))</f>
        <v/>
      </c>
    </row>
    <row r="478">
      <c r="A478" s="15">
        <f>Murid!A478</f>
        <v/>
      </c>
      <c r="B478" s="15">
        <f>IF(Murid!B478="","",Murid!B478)</f>
        <v/>
      </c>
      <c r="C478" s="16">
        <f>IF(Murid!C478="","",Murid!C478)</f>
        <v/>
      </c>
      <c r="D478" s="15">
        <f>IF(Murid!E478="","",Murid!E478)</f>
        <v/>
      </c>
      <c r="E478" s="11" t="n"/>
      <c r="F478" s="11" t="n"/>
      <c r="G478" s="10">
        <f>IF(F478="","",IFERROR(VLOOKUP(F478,T_JSP,2,FALSE),0))</f>
        <v/>
      </c>
      <c r="H478" s="11" t="n"/>
      <c r="I478" s="17">
        <f>IF(H478="","",IF(H478&gt;=12,40,ROUND(H478*3.33,2)))</f>
        <v/>
      </c>
      <c r="J478" s="11" t="n"/>
      <c r="K478" s="11" t="n"/>
      <c r="L478" s="11" t="n"/>
      <c r="M478" s="11" t="n"/>
      <c r="N478" s="10">
        <f>IF(COUNTA(J478:M478)=0,"",MIN(10,SUMPRODUCT((COUNTIF(J478:M478,L_KOM)&gt;0)*S_KOM)))</f>
        <v/>
      </c>
      <c r="O478" s="11" t="n"/>
      <c r="P478" s="10">
        <f>IF(O478="","",IFERROR(VLOOKUP(O478,T_KHID,2,FALSE),0))</f>
        <v/>
      </c>
      <c r="Q478" s="11" t="n"/>
      <c r="R478" s="11" t="n"/>
      <c r="S478" s="10">
        <f>IF(AND(Q478="",R478=""),"",IFERROR(INDEX(T_LIBAT,MATCH(Q478,L_PER,0),MATCH(R478,L_JENIS,0)),0))</f>
        <v/>
      </c>
      <c r="T478" s="11" t="n"/>
      <c r="U478" s="11" t="n"/>
      <c r="V478" s="10">
        <f>IF(AND(T478="",U478=""),"",IFERROR(INDEX(T_CAPAI,MATCH(T478,L_PER,0),MATCH(U478,L_KED,0)),0))</f>
        <v/>
      </c>
      <c r="W478" s="17">
        <f>IF(OR(B478="",E478="",COUNTA(F478,H478,J478:M478,O478,Q478:R478,T478:U478)=0),"",SUM(G478,I478,N478,P478,S478,V478))</f>
        <v/>
      </c>
      <c r="X478" s="18">
        <f>IF(W478="","",IF(Murid!F478="TL","TL",ROUND(W478/110*100,2)))</f>
        <v/>
      </c>
    </row>
    <row r="479">
      <c r="A479" s="15">
        <f>Murid!A479</f>
        <v/>
      </c>
      <c r="B479" s="15">
        <f>IF(Murid!B479="","",Murid!B479)</f>
        <v/>
      </c>
      <c r="C479" s="16">
        <f>IF(Murid!C479="","",Murid!C479)</f>
        <v/>
      </c>
      <c r="D479" s="15">
        <f>IF(Murid!E479="","",Murid!E479)</f>
        <v/>
      </c>
      <c r="E479" s="11" t="n"/>
      <c r="F479" s="11" t="n"/>
      <c r="G479" s="10">
        <f>IF(F479="","",IFERROR(VLOOKUP(F479,T_JSP,2,FALSE),0))</f>
        <v/>
      </c>
      <c r="H479" s="11" t="n"/>
      <c r="I479" s="17">
        <f>IF(H479="","",IF(H479&gt;=12,40,ROUND(H479*3.33,2)))</f>
        <v/>
      </c>
      <c r="J479" s="11" t="n"/>
      <c r="K479" s="11" t="n"/>
      <c r="L479" s="11" t="n"/>
      <c r="M479" s="11" t="n"/>
      <c r="N479" s="10">
        <f>IF(COUNTA(J479:M479)=0,"",MIN(10,SUMPRODUCT((COUNTIF(J479:M479,L_KOM)&gt;0)*S_KOM)))</f>
        <v/>
      </c>
      <c r="O479" s="11" t="n"/>
      <c r="P479" s="10">
        <f>IF(O479="","",IFERROR(VLOOKUP(O479,T_KHID,2,FALSE),0))</f>
        <v/>
      </c>
      <c r="Q479" s="11" t="n"/>
      <c r="R479" s="11" t="n"/>
      <c r="S479" s="10">
        <f>IF(AND(Q479="",R479=""),"",IFERROR(INDEX(T_LIBAT,MATCH(Q479,L_PER,0),MATCH(R479,L_JENIS,0)),0))</f>
        <v/>
      </c>
      <c r="T479" s="11" t="n"/>
      <c r="U479" s="11" t="n"/>
      <c r="V479" s="10">
        <f>IF(AND(T479="",U479=""),"",IFERROR(INDEX(T_CAPAI,MATCH(T479,L_PER,0),MATCH(U479,L_KED,0)),0))</f>
        <v/>
      </c>
      <c r="W479" s="17">
        <f>IF(OR(B479="",E479="",COUNTA(F479,H479,J479:M479,O479,Q479:R479,T479:U479)=0),"",SUM(G479,I479,N479,P479,S479,V479))</f>
        <v/>
      </c>
      <c r="X479" s="18">
        <f>IF(W479="","",IF(Murid!F479="TL","TL",ROUND(W479/110*100,2)))</f>
        <v/>
      </c>
    </row>
    <row r="480">
      <c r="A480" s="15">
        <f>Murid!A480</f>
        <v/>
      </c>
      <c r="B480" s="15">
        <f>IF(Murid!B480="","",Murid!B480)</f>
        <v/>
      </c>
      <c r="C480" s="16">
        <f>IF(Murid!C480="","",Murid!C480)</f>
        <v/>
      </c>
      <c r="D480" s="15">
        <f>IF(Murid!E480="","",Murid!E480)</f>
        <v/>
      </c>
      <c r="E480" s="11" t="n"/>
      <c r="F480" s="11" t="n"/>
      <c r="G480" s="10">
        <f>IF(F480="","",IFERROR(VLOOKUP(F480,T_JSP,2,FALSE),0))</f>
        <v/>
      </c>
      <c r="H480" s="11" t="n"/>
      <c r="I480" s="17">
        <f>IF(H480="","",IF(H480&gt;=12,40,ROUND(H480*3.33,2)))</f>
        <v/>
      </c>
      <c r="J480" s="11" t="n"/>
      <c r="K480" s="11" t="n"/>
      <c r="L480" s="11" t="n"/>
      <c r="M480" s="11" t="n"/>
      <c r="N480" s="10">
        <f>IF(COUNTA(J480:M480)=0,"",MIN(10,SUMPRODUCT((COUNTIF(J480:M480,L_KOM)&gt;0)*S_KOM)))</f>
        <v/>
      </c>
      <c r="O480" s="11" t="n"/>
      <c r="P480" s="10">
        <f>IF(O480="","",IFERROR(VLOOKUP(O480,T_KHID,2,FALSE),0))</f>
        <v/>
      </c>
      <c r="Q480" s="11" t="n"/>
      <c r="R480" s="11" t="n"/>
      <c r="S480" s="10">
        <f>IF(AND(Q480="",R480=""),"",IFERROR(INDEX(T_LIBAT,MATCH(Q480,L_PER,0),MATCH(R480,L_JENIS,0)),0))</f>
        <v/>
      </c>
      <c r="T480" s="11" t="n"/>
      <c r="U480" s="11" t="n"/>
      <c r="V480" s="10">
        <f>IF(AND(T480="",U480=""),"",IFERROR(INDEX(T_CAPAI,MATCH(T480,L_PER,0),MATCH(U480,L_KED,0)),0))</f>
        <v/>
      </c>
      <c r="W480" s="17">
        <f>IF(OR(B480="",E480="",COUNTA(F480,H480,J480:M480,O480,Q480:R480,T480:U480)=0),"",SUM(G480,I480,N480,P480,S480,V480))</f>
        <v/>
      </c>
      <c r="X480" s="18">
        <f>IF(W480="","",IF(Murid!F480="TL","TL",ROUND(W480/110*100,2)))</f>
        <v/>
      </c>
    </row>
    <row r="481">
      <c r="A481" s="15">
        <f>Murid!A481</f>
        <v/>
      </c>
      <c r="B481" s="15">
        <f>IF(Murid!B481="","",Murid!B481)</f>
        <v/>
      </c>
      <c r="C481" s="16">
        <f>IF(Murid!C481="","",Murid!C481)</f>
        <v/>
      </c>
      <c r="D481" s="15">
        <f>IF(Murid!E481="","",Murid!E481)</f>
        <v/>
      </c>
      <c r="E481" s="11" t="n"/>
      <c r="F481" s="11" t="n"/>
      <c r="G481" s="10">
        <f>IF(F481="","",IFERROR(VLOOKUP(F481,T_JSP,2,FALSE),0))</f>
        <v/>
      </c>
      <c r="H481" s="11" t="n"/>
      <c r="I481" s="17">
        <f>IF(H481="","",IF(H481&gt;=12,40,ROUND(H481*3.33,2)))</f>
        <v/>
      </c>
      <c r="J481" s="11" t="n"/>
      <c r="K481" s="11" t="n"/>
      <c r="L481" s="11" t="n"/>
      <c r="M481" s="11" t="n"/>
      <c r="N481" s="10">
        <f>IF(COUNTA(J481:M481)=0,"",MIN(10,SUMPRODUCT((COUNTIF(J481:M481,L_KOM)&gt;0)*S_KOM)))</f>
        <v/>
      </c>
      <c r="O481" s="11" t="n"/>
      <c r="P481" s="10">
        <f>IF(O481="","",IFERROR(VLOOKUP(O481,T_KHID,2,FALSE),0))</f>
        <v/>
      </c>
      <c r="Q481" s="11" t="n"/>
      <c r="R481" s="11" t="n"/>
      <c r="S481" s="10">
        <f>IF(AND(Q481="",R481=""),"",IFERROR(INDEX(T_LIBAT,MATCH(Q481,L_PER,0),MATCH(R481,L_JENIS,0)),0))</f>
        <v/>
      </c>
      <c r="T481" s="11" t="n"/>
      <c r="U481" s="11" t="n"/>
      <c r="V481" s="10">
        <f>IF(AND(T481="",U481=""),"",IFERROR(INDEX(T_CAPAI,MATCH(T481,L_PER,0),MATCH(U481,L_KED,0)),0))</f>
        <v/>
      </c>
      <c r="W481" s="17">
        <f>IF(OR(B481="",E481="",COUNTA(F481,H481,J481:M481,O481,Q481:R481,T481:U481)=0),"",SUM(G481,I481,N481,P481,S481,V481))</f>
        <v/>
      </c>
      <c r="X481" s="18">
        <f>IF(W481="","",IF(Murid!F481="TL","TL",ROUND(W481/110*100,2)))</f>
        <v/>
      </c>
    </row>
    <row r="482">
      <c r="A482" s="15">
        <f>Murid!A482</f>
        <v/>
      </c>
      <c r="B482" s="15">
        <f>IF(Murid!B482="","",Murid!B482)</f>
        <v/>
      </c>
      <c r="C482" s="16">
        <f>IF(Murid!C482="","",Murid!C482)</f>
        <v/>
      </c>
      <c r="D482" s="15">
        <f>IF(Murid!E482="","",Murid!E482)</f>
        <v/>
      </c>
      <c r="E482" s="11" t="n"/>
      <c r="F482" s="11" t="n"/>
      <c r="G482" s="10">
        <f>IF(F482="","",IFERROR(VLOOKUP(F482,T_JSP,2,FALSE),0))</f>
        <v/>
      </c>
      <c r="H482" s="11" t="n"/>
      <c r="I482" s="17">
        <f>IF(H482="","",IF(H482&gt;=12,40,ROUND(H482*3.33,2)))</f>
        <v/>
      </c>
      <c r="J482" s="11" t="n"/>
      <c r="K482" s="11" t="n"/>
      <c r="L482" s="11" t="n"/>
      <c r="M482" s="11" t="n"/>
      <c r="N482" s="10">
        <f>IF(COUNTA(J482:M482)=0,"",MIN(10,SUMPRODUCT((COUNTIF(J482:M482,L_KOM)&gt;0)*S_KOM)))</f>
        <v/>
      </c>
      <c r="O482" s="11" t="n"/>
      <c r="P482" s="10">
        <f>IF(O482="","",IFERROR(VLOOKUP(O482,T_KHID,2,FALSE),0))</f>
        <v/>
      </c>
      <c r="Q482" s="11" t="n"/>
      <c r="R482" s="11" t="n"/>
      <c r="S482" s="10">
        <f>IF(AND(Q482="",R482=""),"",IFERROR(INDEX(T_LIBAT,MATCH(Q482,L_PER,0),MATCH(R482,L_JENIS,0)),0))</f>
        <v/>
      </c>
      <c r="T482" s="11" t="n"/>
      <c r="U482" s="11" t="n"/>
      <c r="V482" s="10">
        <f>IF(AND(T482="",U482=""),"",IFERROR(INDEX(T_CAPAI,MATCH(T482,L_PER,0),MATCH(U482,L_KED,0)),0))</f>
        <v/>
      </c>
      <c r="W482" s="17">
        <f>IF(OR(B482="",E482="",COUNTA(F482,H482,J482:M482,O482,Q482:R482,T482:U482)=0),"",SUM(G482,I482,N482,P482,S482,V482))</f>
        <v/>
      </c>
      <c r="X482" s="18">
        <f>IF(W482="","",IF(Murid!F482="TL","TL",ROUND(W482/110*100,2)))</f>
        <v/>
      </c>
    </row>
    <row r="483">
      <c r="A483" s="15">
        <f>Murid!A483</f>
        <v/>
      </c>
      <c r="B483" s="15">
        <f>IF(Murid!B483="","",Murid!B483)</f>
        <v/>
      </c>
      <c r="C483" s="16">
        <f>IF(Murid!C483="","",Murid!C483)</f>
        <v/>
      </c>
      <c r="D483" s="15">
        <f>IF(Murid!E483="","",Murid!E483)</f>
        <v/>
      </c>
      <c r="E483" s="11" t="n"/>
      <c r="F483" s="11" t="n"/>
      <c r="G483" s="10">
        <f>IF(F483="","",IFERROR(VLOOKUP(F483,T_JSP,2,FALSE),0))</f>
        <v/>
      </c>
      <c r="H483" s="11" t="n"/>
      <c r="I483" s="17">
        <f>IF(H483="","",IF(H483&gt;=12,40,ROUND(H483*3.33,2)))</f>
        <v/>
      </c>
      <c r="J483" s="11" t="n"/>
      <c r="K483" s="11" t="n"/>
      <c r="L483" s="11" t="n"/>
      <c r="M483" s="11" t="n"/>
      <c r="N483" s="10">
        <f>IF(COUNTA(J483:M483)=0,"",MIN(10,SUMPRODUCT((COUNTIF(J483:M483,L_KOM)&gt;0)*S_KOM)))</f>
        <v/>
      </c>
      <c r="O483" s="11" t="n"/>
      <c r="P483" s="10">
        <f>IF(O483="","",IFERROR(VLOOKUP(O483,T_KHID,2,FALSE),0))</f>
        <v/>
      </c>
      <c r="Q483" s="11" t="n"/>
      <c r="R483" s="11" t="n"/>
      <c r="S483" s="10">
        <f>IF(AND(Q483="",R483=""),"",IFERROR(INDEX(T_LIBAT,MATCH(Q483,L_PER,0),MATCH(R483,L_JENIS,0)),0))</f>
        <v/>
      </c>
      <c r="T483" s="11" t="n"/>
      <c r="U483" s="11" t="n"/>
      <c r="V483" s="10">
        <f>IF(AND(T483="",U483=""),"",IFERROR(INDEX(T_CAPAI,MATCH(T483,L_PER,0),MATCH(U483,L_KED,0)),0))</f>
        <v/>
      </c>
      <c r="W483" s="17">
        <f>IF(OR(B483="",E483="",COUNTA(F483,H483,J483:M483,O483,Q483:R483,T483:U483)=0),"",SUM(G483,I483,N483,P483,S483,V483))</f>
        <v/>
      </c>
      <c r="X483" s="18">
        <f>IF(W483="","",IF(Murid!F483="TL","TL",ROUND(W483/110*100,2)))</f>
        <v/>
      </c>
    </row>
    <row r="484">
      <c r="A484" s="15">
        <f>Murid!A484</f>
        <v/>
      </c>
      <c r="B484" s="15">
        <f>IF(Murid!B484="","",Murid!B484)</f>
        <v/>
      </c>
      <c r="C484" s="16">
        <f>IF(Murid!C484="","",Murid!C484)</f>
        <v/>
      </c>
      <c r="D484" s="15">
        <f>IF(Murid!E484="","",Murid!E484)</f>
        <v/>
      </c>
      <c r="E484" s="11" t="n"/>
      <c r="F484" s="11" t="n"/>
      <c r="G484" s="10">
        <f>IF(F484="","",IFERROR(VLOOKUP(F484,T_JSP,2,FALSE),0))</f>
        <v/>
      </c>
      <c r="H484" s="11" t="n"/>
      <c r="I484" s="17">
        <f>IF(H484="","",IF(H484&gt;=12,40,ROUND(H484*3.33,2)))</f>
        <v/>
      </c>
      <c r="J484" s="11" t="n"/>
      <c r="K484" s="11" t="n"/>
      <c r="L484" s="11" t="n"/>
      <c r="M484" s="11" t="n"/>
      <c r="N484" s="10">
        <f>IF(COUNTA(J484:M484)=0,"",MIN(10,SUMPRODUCT((COUNTIF(J484:M484,L_KOM)&gt;0)*S_KOM)))</f>
        <v/>
      </c>
      <c r="O484" s="11" t="n"/>
      <c r="P484" s="10">
        <f>IF(O484="","",IFERROR(VLOOKUP(O484,T_KHID,2,FALSE),0))</f>
        <v/>
      </c>
      <c r="Q484" s="11" t="n"/>
      <c r="R484" s="11" t="n"/>
      <c r="S484" s="10">
        <f>IF(AND(Q484="",R484=""),"",IFERROR(INDEX(T_LIBAT,MATCH(Q484,L_PER,0),MATCH(R484,L_JENIS,0)),0))</f>
        <v/>
      </c>
      <c r="T484" s="11" t="n"/>
      <c r="U484" s="11" t="n"/>
      <c r="V484" s="10">
        <f>IF(AND(T484="",U484=""),"",IFERROR(INDEX(T_CAPAI,MATCH(T484,L_PER,0),MATCH(U484,L_KED,0)),0))</f>
        <v/>
      </c>
      <c r="W484" s="17">
        <f>IF(OR(B484="",E484="",COUNTA(F484,H484,J484:M484,O484,Q484:R484,T484:U484)=0),"",SUM(G484,I484,N484,P484,S484,V484))</f>
        <v/>
      </c>
      <c r="X484" s="18">
        <f>IF(W484="","",IF(Murid!F484="TL","TL",ROUND(W484/110*100,2)))</f>
        <v/>
      </c>
    </row>
    <row r="485">
      <c r="A485" s="15">
        <f>Murid!A485</f>
        <v/>
      </c>
      <c r="B485" s="15">
        <f>IF(Murid!B485="","",Murid!B485)</f>
        <v/>
      </c>
      <c r="C485" s="16">
        <f>IF(Murid!C485="","",Murid!C485)</f>
        <v/>
      </c>
      <c r="D485" s="15">
        <f>IF(Murid!E485="","",Murid!E485)</f>
        <v/>
      </c>
      <c r="E485" s="11" t="n"/>
      <c r="F485" s="11" t="n"/>
      <c r="G485" s="10">
        <f>IF(F485="","",IFERROR(VLOOKUP(F485,T_JSP,2,FALSE),0))</f>
        <v/>
      </c>
      <c r="H485" s="11" t="n"/>
      <c r="I485" s="17">
        <f>IF(H485="","",IF(H485&gt;=12,40,ROUND(H485*3.33,2)))</f>
        <v/>
      </c>
      <c r="J485" s="11" t="n"/>
      <c r="K485" s="11" t="n"/>
      <c r="L485" s="11" t="n"/>
      <c r="M485" s="11" t="n"/>
      <c r="N485" s="10">
        <f>IF(COUNTA(J485:M485)=0,"",MIN(10,SUMPRODUCT((COUNTIF(J485:M485,L_KOM)&gt;0)*S_KOM)))</f>
        <v/>
      </c>
      <c r="O485" s="11" t="n"/>
      <c r="P485" s="10">
        <f>IF(O485="","",IFERROR(VLOOKUP(O485,T_KHID,2,FALSE),0))</f>
        <v/>
      </c>
      <c r="Q485" s="11" t="n"/>
      <c r="R485" s="11" t="n"/>
      <c r="S485" s="10">
        <f>IF(AND(Q485="",R485=""),"",IFERROR(INDEX(T_LIBAT,MATCH(Q485,L_PER,0),MATCH(R485,L_JENIS,0)),0))</f>
        <v/>
      </c>
      <c r="T485" s="11" t="n"/>
      <c r="U485" s="11" t="n"/>
      <c r="V485" s="10">
        <f>IF(AND(T485="",U485=""),"",IFERROR(INDEX(T_CAPAI,MATCH(T485,L_PER,0),MATCH(U485,L_KED,0)),0))</f>
        <v/>
      </c>
      <c r="W485" s="17">
        <f>IF(OR(B485="",E485="",COUNTA(F485,H485,J485:M485,O485,Q485:R485,T485:U485)=0),"",SUM(G485,I485,N485,P485,S485,V485))</f>
        <v/>
      </c>
      <c r="X485" s="18">
        <f>IF(W485="","",IF(Murid!F485="TL","TL",ROUND(W485/110*100,2)))</f>
        <v/>
      </c>
    </row>
    <row r="486">
      <c r="A486" s="15">
        <f>Murid!A486</f>
        <v/>
      </c>
      <c r="B486" s="15">
        <f>IF(Murid!B486="","",Murid!B486)</f>
        <v/>
      </c>
      <c r="C486" s="16">
        <f>IF(Murid!C486="","",Murid!C486)</f>
        <v/>
      </c>
      <c r="D486" s="15">
        <f>IF(Murid!E486="","",Murid!E486)</f>
        <v/>
      </c>
      <c r="E486" s="11" t="n"/>
      <c r="F486" s="11" t="n"/>
      <c r="G486" s="10">
        <f>IF(F486="","",IFERROR(VLOOKUP(F486,T_JSP,2,FALSE),0))</f>
        <v/>
      </c>
      <c r="H486" s="11" t="n"/>
      <c r="I486" s="17">
        <f>IF(H486="","",IF(H486&gt;=12,40,ROUND(H486*3.33,2)))</f>
        <v/>
      </c>
      <c r="J486" s="11" t="n"/>
      <c r="K486" s="11" t="n"/>
      <c r="L486" s="11" t="n"/>
      <c r="M486" s="11" t="n"/>
      <c r="N486" s="10">
        <f>IF(COUNTA(J486:M486)=0,"",MIN(10,SUMPRODUCT((COUNTIF(J486:M486,L_KOM)&gt;0)*S_KOM)))</f>
        <v/>
      </c>
      <c r="O486" s="11" t="n"/>
      <c r="P486" s="10">
        <f>IF(O486="","",IFERROR(VLOOKUP(O486,T_KHID,2,FALSE),0))</f>
        <v/>
      </c>
      <c r="Q486" s="11" t="n"/>
      <c r="R486" s="11" t="n"/>
      <c r="S486" s="10">
        <f>IF(AND(Q486="",R486=""),"",IFERROR(INDEX(T_LIBAT,MATCH(Q486,L_PER,0),MATCH(R486,L_JENIS,0)),0))</f>
        <v/>
      </c>
      <c r="T486" s="11" t="n"/>
      <c r="U486" s="11" t="n"/>
      <c r="V486" s="10">
        <f>IF(AND(T486="",U486=""),"",IFERROR(INDEX(T_CAPAI,MATCH(T486,L_PER,0),MATCH(U486,L_KED,0)),0))</f>
        <v/>
      </c>
      <c r="W486" s="17">
        <f>IF(OR(B486="",E486="",COUNTA(F486,H486,J486:M486,O486,Q486:R486,T486:U486)=0),"",SUM(G486,I486,N486,P486,S486,V486))</f>
        <v/>
      </c>
      <c r="X486" s="18">
        <f>IF(W486="","",IF(Murid!F486="TL","TL",ROUND(W486/110*100,2)))</f>
        <v/>
      </c>
    </row>
    <row r="487">
      <c r="A487" s="15">
        <f>Murid!A487</f>
        <v/>
      </c>
      <c r="B487" s="15">
        <f>IF(Murid!B487="","",Murid!B487)</f>
        <v/>
      </c>
      <c r="C487" s="16">
        <f>IF(Murid!C487="","",Murid!C487)</f>
        <v/>
      </c>
      <c r="D487" s="15">
        <f>IF(Murid!E487="","",Murid!E487)</f>
        <v/>
      </c>
      <c r="E487" s="11" t="n"/>
      <c r="F487" s="11" t="n"/>
      <c r="G487" s="10">
        <f>IF(F487="","",IFERROR(VLOOKUP(F487,T_JSP,2,FALSE),0))</f>
        <v/>
      </c>
      <c r="H487" s="11" t="n"/>
      <c r="I487" s="17">
        <f>IF(H487="","",IF(H487&gt;=12,40,ROUND(H487*3.33,2)))</f>
        <v/>
      </c>
      <c r="J487" s="11" t="n"/>
      <c r="K487" s="11" t="n"/>
      <c r="L487" s="11" t="n"/>
      <c r="M487" s="11" t="n"/>
      <c r="N487" s="10">
        <f>IF(COUNTA(J487:M487)=0,"",MIN(10,SUMPRODUCT((COUNTIF(J487:M487,L_KOM)&gt;0)*S_KOM)))</f>
        <v/>
      </c>
      <c r="O487" s="11" t="n"/>
      <c r="P487" s="10">
        <f>IF(O487="","",IFERROR(VLOOKUP(O487,T_KHID,2,FALSE),0))</f>
        <v/>
      </c>
      <c r="Q487" s="11" t="n"/>
      <c r="R487" s="11" t="n"/>
      <c r="S487" s="10">
        <f>IF(AND(Q487="",R487=""),"",IFERROR(INDEX(T_LIBAT,MATCH(Q487,L_PER,0),MATCH(R487,L_JENIS,0)),0))</f>
        <v/>
      </c>
      <c r="T487" s="11" t="n"/>
      <c r="U487" s="11" t="n"/>
      <c r="V487" s="10">
        <f>IF(AND(T487="",U487=""),"",IFERROR(INDEX(T_CAPAI,MATCH(T487,L_PER,0),MATCH(U487,L_KED,0)),0))</f>
        <v/>
      </c>
      <c r="W487" s="17">
        <f>IF(OR(B487="",E487="",COUNTA(F487,H487,J487:M487,O487,Q487:R487,T487:U487)=0),"",SUM(G487,I487,N487,P487,S487,V487))</f>
        <v/>
      </c>
      <c r="X487" s="18">
        <f>IF(W487="","",IF(Murid!F487="TL","TL",ROUND(W487/110*100,2)))</f>
        <v/>
      </c>
    </row>
    <row r="488">
      <c r="A488" s="15">
        <f>Murid!A488</f>
        <v/>
      </c>
      <c r="B488" s="15">
        <f>IF(Murid!B488="","",Murid!B488)</f>
        <v/>
      </c>
      <c r="C488" s="16">
        <f>IF(Murid!C488="","",Murid!C488)</f>
        <v/>
      </c>
      <c r="D488" s="15">
        <f>IF(Murid!E488="","",Murid!E488)</f>
        <v/>
      </c>
      <c r="E488" s="11" t="n"/>
      <c r="F488" s="11" t="n"/>
      <c r="G488" s="10">
        <f>IF(F488="","",IFERROR(VLOOKUP(F488,T_JSP,2,FALSE),0))</f>
        <v/>
      </c>
      <c r="H488" s="11" t="n"/>
      <c r="I488" s="17">
        <f>IF(H488="","",IF(H488&gt;=12,40,ROUND(H488*3.33,2)))</f>
        <v/>
      </c>
      <c r="J488" s="11" t="n"/>
      <c r="K488" s="11" t="n"/>
      <c r="L488" s="11" t="n"/>
      <c r="M488" s="11" t="n"/>
      <c r="N488" s="10">
        <f>IF(COUNTA(J488:M488)=0,"",MIN(10,SUMPRODUCT((COUNTIF(J488:M488,L_KOM)&gt;0)*S_KOM)))</f>
        <v/>
      </c>
      <c r="O488" s="11" t="n"/>
      <c r="P488" s="10">
        <f>IF(O488="","",IFERROR(VLOOKUP(O488,T_KHID,2,FALSE),0))</f>
        <v/>
      </c>
      <c r="Q488" s="11" t="n"/>
      <c r="R488" s="11" t="n"/>
      <c r="S488" s="10">
        <f>IF(AND(Q488="",R488=""),"",IFERROR(INDEX(T_LIBAT,MATCH(Q488,L_PER,0),MATCH(R488,L_JENIS,0)),0))</f>
        <v/>
      </c>
      <c r="T488" s="11" t="n"/>
      <c r="U488" s="11" t="n"/>
      <c r="V488" s="10">
        <f>IF(AND(T488="",U488=""),"",IFERROR(INDEX(T_CAPAI,MATCH(T488,L_PER,0),MATCH(U488,L_KED,0)),0))</f>
        <v/>
      </c>
      <c r="W488" s="17">
        <f>IF(OR(B488="",E488="",COUNTA(F488,H488,J488:M488,O488,Q488:R488,T488:U488)=0),"",SUM(G488,I488,N488,P488,S488,V488))</f>
        <v/>
      </c>
      <c r="X488" s="18">
        <f>IF(W488="","",IF(Murid!F488="TL","TL",ROUND(W488/110*100,2)))</f>
        <v/>
      </c>
    </row>
    <row r="489">
      <c r="A489" s="15">
        <f>Murid!A489</f>
        <v/>
      </c>
      <c r="B489" s="15">
        <f>IF(Murid!B489="","",Murid!B489)</f>
        <v/>
      </c>
      <c r="C489" s="16">
        <f>IF(Murid!C489="","",Murid!C489)</f>
        <v/>
      </c>
      <c r="D489" s="15">
        <f>IF(Murid!E489="","",Murid!E489)</f>
        <v/>
      </c>
      <c r="E489" s="11" t="n"/>
      <c r="F489" s="11" t="n"/>
      <c r="G489" s="10">
        <f>IF(F489="","",IFERROR(VLOOKUP(F489,T_JSP,2,FALSE),0))</f>
        <v/>
      </c>
      <c r="H489" s="11" t="n"/>
      <c r="I489" s="17">
        <f>IF(H489="","",IF(H489&gt;=12,40,ROUND(H489*3.33,2)))</f>
        <v/>
      </c>
      <c r="J489" s="11" t="n"/>
      <c r="K489" s="11" t="n"/>
      <c r="L489" s="11" t="n"/>
      <c r="M489" s="11" t="n"/>
      <c r="N489" s="10">
        <f>IF(COUNTA(J489:M489)=0,"",MIN(10,SUMPRODUCT((COUNTIF(J489:M489,L_KOM)&gt;0)*S_KOM)))</f>
        <v/>
      </c>
      <c r="O489" s="11" t="n"/>
      <c r="P489" s="10">
        <f>IF(O489="","",IFERROR(VLOOKUP(O489,T_KHID,2,FALSE),0))</f>
        <v/>
      </c>
      <c r="Q489" s="11" t="n"/>
      <c r="R489" s="11" t="n"/>
      <c r="S489" s="10">
        <f>IF(AND(Q489="",R489=""),"",IFERROR(INDEX(T_LIBAT,MATCH(Q489,L_PER,0),MATCH(R489,L_JENIS,0)),0))</f>
        <v/>
      </c>
      <c r="T489" s="11" t="n"/>
      <c r="U489" s="11" t="n"/>
      <c r="V489" s="10">
        <f>IF(AND(T489="",U489=""),"",IFERROR(INDEX(T_CAPAI,MATCH(T489,L_PER,0),MATCH(U489,L_KED,0)),0))</f>
        <v/>
      </c>
      <c r="W489" s="17">
        <f>IF(OR(B489="",E489="",COUNTA(F489,H489,J489:M489,O489,Q489:R489,T489:U489)=0),"",SUM(G489,I489,N489,P489,S489,V489))</f>
        <v/>
      </c>
      <c r="X489" s="18">
        <f>IF(W489="","",IF(Murid!F489="TL","TL",ROUND(W489/110*100,2)))</f>
        <v/>
      </c>
    </row>
    <row r="490">
      <c r="A490" s="15">
        <f>Murid!A490</f>
        <v/>
      </c>
      <c r="B490" s="15">
        <f>IF(Murid!B490="","",Murid!B490)</f>
        <v/>
      </c>
      <c r="C490" s="16">
        <f>IF(Murid!C490="","",Murid!C490)</f>
        <v/>
      </c>
      <c r="D490" s="15">
        <f>IF(Murid!E490="","",Murid!E490)</f>
        <v/>
      </c>
      <c r="E490" s="11" t="n"/>
      <c r="F490" s="11" t="n"/>
      <c r="G490" s="10">
        <f>IF(F490="","",IFERROR(VLOOKUP(F490,T_JSP,2,FALSE),0))</f>
        <v/>
      </c>
      <c r="H490" s="11" t="n"/>
      <c r="I490" s="17">
        <f>IF(H490="","",IF(H490&gt;=12,40,ROUND(H490*3.33,2)))</f>
        <v/>
      </c>
      <c r="J490" s="11" t="n"/>
      <c r="K490" s="11" t="n"/>
      <c r="L490" s="11" t="n"/>
      <c r="M490" s="11" t="n"/>
      <c r="N490" s="10">
        <f>IF(COUNTA(J490:M490)=0,"",MIN(10,SUMPRODUCT((COUNTIF(J490:M490,L_KOM)&gt;0)*S_KOM)))</f>
        <v/>
      </c>
      <c r="O490" s="11" t="n"/>
      <c r="P490" s="10">
        <f>IF(O490="","",IFERROR(VLOOKUP(O490,T_KHID,2,FALSE),0))</f>
        <v/>
      </c>
      <c r="Q490" s="11" t="n"/>
      <c r="R490" s="11" t="n"/>
      <c r="S490" s="10">
        <f>IF(AND(Q490="",R490=""),"",IFERROR(INDEX(T_LIBAT,MATCH(Q490,L_PER,0),MATCH(R490,L_JENIS,0)),0))</f>
        <v/>
      </c>
      <c r="T490" s="11" t="n"/>
      <c r="U490" s="11" t="n"/>
      <c r="V490" s="10">
        <f>IF(AND(T490="",U490=""),"",IFERROR(INDEX(T_CAPAI,MATCH(T490,L_PER,0),MATCH(U490,L_KED,0)),0))</f>
        <v/>
      </c>
      <c r="W490" s="17">
        <f>IF(OR(B490="",E490="",COUNTA(F490,H490,J490:M490,O490,Q490:R490,T490:U490)=0),"",SUM(G490,I490,N490,P490,S490,V490))</f>
        <v/>
      </c>
      <c r="X490" s="18">
        <f>IF(W490="","",IF(Murid!F490="TL","TL",ROUND(W490/110*100,2)))</f>
        <v/>
      </c>
    </row>
    <row r="491">
      <c r="A491" s="15">
        <f>Murid!A491</f>
        <v/>
      </c>
      <c r="B491" s="15">
        <f>IF(Murid!B491="","",Murid!B491)</f>
        <v/>
      </c>
      <c r="C491" s="16">
        <f>IF(Murid!C491="","",Murid!C491)</f>
        <v/>
      </c>
      <c r="D491" s="15">
        <f>IF(Murid!E491="","",Murid!E491)</f>
        <v/>
      </c>
      <c r="E491" s="11" t="n"/>
      <c r="F491" s="11" t="n"/>
      <c r="G491" s="10">
        <f>IF(F491="","",IFERROR(VLOOKUP(F491,T_JSP,2,FALSE),0))</f>
        <v/>
      </c>
      <c r="H491" s="11" t="n"/>
      <c r="I491" s="17">
        <f>IF(H491="","",IF(H491&gt;=12,40,ROUND(H491*3.33,2)))</f>
        <v/>
      </c>
      <c r="J491" s="11" t="n"/>
      <c r="K491" s="11" t="n"/>
      <c r="L491" s="11" t="n"/>
      <c r="M491" s="11" t="n"/>
      <c r="N491" s="10">
        <f>IF(COUNTA(J491:M491)=0,"",MIN(10,SUMPRODUCT((COUNTIF(J491:M491,L_KOM)&gt;0)*S_KOM)))</f>
        <v/>
      </c>
      <c r="O491" s="11" t="n"/>
      <c r="P491" s="10">
        <f>IF(O491="","",IFERROR(VLOOKUP(O491,T_KHID,2,FALSE),0))</f>
        <v/>
      </c>
      <c r="Q491" s="11" t="n"/>
      <c r="R491" s="11" t="n"/>
      <c r="S491" s="10">
        <f>IF(AND(Q491="",R491=""),"",IFERROR(INDEX(T_LIBAT,MATCH(Q491,L_PER,0),MATCH(R491,L_JENIS,0)),0))</f>
        <v/>
      </c>
      <c r="T491" s="11" t="n"/>
      <c r="U491" s="11" t="n"/>
      <c r="V491" s="10">
        <f>IF(AND(T491="",U491=""),"",IFERROR(INDEX(T_CAPAI,MATCH(T491,L_PER,0),MATCH(U491,L_KED,0)),0))</f>
        <v/>
      </c>
      <c r="W491" s="17">
        <f>IF(OR(B491="",E491="",COUNTA(F491,H491,J491:M491,O491,Q491:R491,T491:U491)=0),"",SUM(G491,I491,N491,P491,S491,V491))</f>
        <v/>
      </c>
      <c r="X491" s="18">
        <f>IF(W491="","",IF(Murid!F491="TL","TL",ROUND(W491/110*100,2)))</f>
        <v/>
      </c>
    </row>
    <row r="492">
      <c r="A492" s="15">
        <f>Murid!A492</f>
        <v/>
      </c>
      <c r="B492" s="15">
        <f>IF(Murid!B492="","",Murid!B492)</f>
        <v/>
      </c>
      <c r="C492" s="16">
        <f>IF(Murid!C492="","",Murid!C492)</f>
        <v/>
      </c>
      <c r="D492" s="15">
        <f>IF(Murid!E492="","",Murid!E492)</f>
        <v/>
      </c>
      <c r="E492" s="11" t="n"/>
      <c r="F492" s="11" t="n"/>
      <c r="G492" s="10">
        <f>IF(F492="","",IFERROR(VLOOKUP(F492,T_JSP,2,FALSE),0))</f>
        <v/>
      </c>
      <c r="H492" s="11" t="n"/>
      <c r="I492" s="17">
        <f>IF(H492="","",IF(H492&gt;=12,40,ROUND(H492*3.33,2)))</f>
        <v/>
      </c>
      <c r="J492" s="11" t="n"/>
      <c r="K492" s="11" t="n"/>
      <c r="L492" s="11" t="n"/>
      <c r="M492" s="11" t="n"/>
      <c r="N492" s="10">
        <f>IF(COUNTA(J492:M492)=0,"",MIN(10,SUMPRODUCT((COUNTIF(J492:M492,L_KOM)&gt;0)*S_KOM)))</f>
        <v/>
      </c>
      <c r="O492" s="11" t="n"/>
      <c r="P492" s="10">
        <f>IF(O492="","",IFERROR(VLOOKUP(O492,T_KHID,2,FALSE),0))</f>
        <v/>
      </c>
      <c r="Q492" s="11" t="n"/>
      <c r="R492" s="11" t="n"/>
      <c r="S492" s="10">
        <f>IF(AND(Q492="",R492=""),"",IFERROR(INDEX(T_LIBAT,MATCH(Q492,L_PER,0),MATCH(R492,L_JENIS,0)),0))</f>
        <v/>
      </c>
      <c r="T492" s="11" t="n"/>
      <c r="U492" s="11" t="n"/>
      <c r="V492" s="10">
        <f>IF(AND(T492="",U492=""),"",IFERROR(INDEX(T_CAPAI,MATCH(T492,L_PER,0),MATCH(U492,L_KED,0)),0))</f>
        <v/>
      </c>
      <c r="W492" s="17">
        <f>IF(OR(B492="",E492="",COUNTA(F492,H492,J492:M492,O492,Q492:R492,T492:U492)=0),"",SUM(G492,I492,N492,P492,S492,V492))</f>
        <v/>
      </c>
      <c r="X492" s="18">
        <f>IF(W492="","",IF(Murid!F492="TL","TL",ROUND(W492/110*100,2)))</f>
        <v/>
      </c>
    </row>
    <row r="493">
      <c r="A493" s="15">
        <f>Murid!A493</f>
        <v/>
      </c>
      <c r="B493" s="15">
        <f>IF(Murid!B493="","",Murid!B493)</f>
        <v/>
      </c>
      <c r="C493" s="16">
        <f>IF(Murid!C493="","",Murid!C493)</f>
        <v/>
      </c>
      <c r="D493" s="15">
        <f>IF(Murid!E493="","",Murid!E493)</f>
        <v/>
      </c>
      <c r="E493" s="11" t="n"/>
      <c r="F493" s="11" t="n"/>
      <c r="G493" s="10">
        <f>IF(F493="","",IFERROR(VLOOKUP(F493,T_JSP,2,FALSE),0))</f>
        <v/>
      </c>
      <c r="H493" s="11" t="n"/>
      <c r="I493" s="17">
        <f>IF(H493="","",IF(H493&gt;=12,40,ROUND(H493*3.33,2)))</f>
        <v/>
      </c>
      <c r="J493" s="11" t="n"/>
      <c r="K493" s="11" t="n"/>
      <c r="L493" s="11" t="n"/>
      <c r="M493" s="11" t="n"/>
      <c r="N493" s="10">
        <f>IF(COUNTA(J493:M493)=0,"",MIN(10,SUMPRODUCT((COUNTIF(J493:M493,L_KOM)&gt;0)*S_KOM)))</f>
        <v/>
      </c>
      <c r="O493" s="11" t="n"/>
      <c r="P493" s="10">
        <f>IF(O493="","",IFERROR(VLOOKUP(O493,T_KHID,2,FALSE),0))</f>
        <v/>
      </c>
      <c r="Q493" s="11" t="n"/>
      <c r="R493" s="11" t="n"/>
      <c r="S493" s="10">
        <f>IF(AND(Q493="",R493=""),"",IFERROR(INDEX(T_LIBAT,MATCH(Q493,L_PER,0),MATCH(R493,L_JENIS,0)),0))</f>
        <v/>
      </c>
      <c r="T493" s="11" t="n"/>
      <c r="U493" s="11" t="n"/>
      <c r="V493" s="10">
        <f>IF(AND(T493="",U493=""),"",IFERROR(INDEX(T_CAPAI,MATCH(T493,L_PER,0),MATCH(U493,L_KED,0)),0))</f>
        <v/>
      </c>
      <c r="W493" s="17">
        <f>IF(OR(B493="",E493="",COUNTA(F493,H493,J493:M493,O493,Q493:R493,T493:U493)=0),"",SUM(G493,I493,N493,P493,S493,V493))</f>
        <v/>
      </c>
      <c r="X493" s="18">
        <f>IF(W493="","",IF(Murid!F493="TL","TL",ROUND(W493/110*100,2)))</f>
        <v/>
      </c>
    </row>
    <row r="494">
      <c r="A494" s="15">
        <f>Murid!A494</f>
        <v/>
      </c>
      <c r="B494" s="15">
        <f>IF(Murid!B494="","",Murid!B494)</f>
        <v/>
      </c>
      <c r="C494" s="16">
        <f>IF(Murid!C494="","",Murid!C494)</f>
        <v/>
      </c>
      <c r="D494" s="15">
        <f>IF(Murid!E494="","",Murid!E494)</f>
        <v/>
      </c>
      <c r="E494" s="11" t="n"/>
      <c r="F494" s="11" t="n"/>
      <c r="G494" s="10">
        <f>IF(F494="","",IFERROR(VLOOKUP(F494,T_JSP,2,FALSE),0))</f>
        <v/>
      </c>
      <c r="H494" s="11" t="n"/>
      <c r="I494" s="17">
        <f>IF(H494="","",IF(H494&gt;=12,40,ROUND(H494*3.33,2)))</f>
        <v/>
      </c>
      <c r="J494" s="11" t="n"/>
      <c r="K494" s="11" t="n"/>
      <c r="L494" s="11" t="n"/>
      <c r="M494" s="11" t="n"/>
      <c r="N494" s="10">
        <f>IF(COUNTA(J494:M494)=0,"",MIN(10,SUMPRODUCT((COUNTIF(J494:M494,L_KOM)&gt;0)*S_KOM)))</f>
        <v/>
      </c>
      <c r="O494" s="11" t="n"/>
      <c r="P494" s="10">
        <f>IF(O494="","",IFERROR(VLOOKUP(O494,T_KHID,2,FALSE),0))</f>
        <v/>
      </c>
      <c r="Q494" s="11" t="n"/>
      <c r="R494" s="11" t="n"/>
      <c r="S494" s="10">
        <f>IF(AND(Q494="",R494=""),"",IFERROR(INDEX(T_LIBAT,MATCH(Q494,L_PER,0),MATCH(R494,L_JENIS,0)),0))</f>
        <v/>
      </c>
      <c r="T494" s="11" t="n"/>
      <c r="U494" s="11" t="n"/>
      <c r="V494" s="10">
        <f>IF(AND(T494="",U494=""),"",IFERROR(INDEX(T_CAPAI,MATCH(T494,L_PER,0),MATCH(U494,L_KED,0)),0))</f>
        <v/>
      </c>
      <c r="W494" s="17">
        <f>IF(OR(B494="",E494="",COUNTA(F494,H494,J494:M494,O494,Q494:R494,T494:U494)=0),"",SUM(G494,I494,N494,P494,S494,V494))</f>
        <v/>
      </c>
      <c r="X494" s="18">
        <f>IF(W494="","",IF(Murid!F494="TL","TL",ROUND(W494/110*100,2)))</f>
        <v/>
      </c>
    </row>
    <row r="495">
      <c r="A495" s="15">
        <f>Murid!A495</f>
        <v/>
      </c>
      <c r="B495" s="15">
        <f>IF(Murid!B495="","",Murid!B495)</f>
        <v/>
      </c>
      <c r="C495" s="16">
        <f>IF(Murid!C495="","",Murid!C495)</f>
        <v/>
      </c>
      <c r="D495" s="15">
        <f>IF(Murid!E495="","",Murid!E495)</f>
        <v/>
      </c>
      <c r="E495" s="11" t="n"/>
      <c r="F495" s="11" t="n"/>
      <c r="G495" s="10">
        <f>IF(F495="","",IFERROR(VLOOKUP(F495,T_JSP,2,FALSE),0))</f>
        <v/>
      </c>
      <c r="H495" s="11" t="n"/>
      <c r="I495" s="17">
        <f>IF(H495="","",IF(H495&gt;=12,40,ROUND(H495*3.33,2)))</f>
        <v/>
      </c>
      <c r="J495" s="11" t="n"/>
      <c r="K495" s="11" t="n"/>
      <c r="L495" s="11" t="n"/>
      <c r="M495" s="11" t="n"/>
      <c r="N495" s="10">
        <f>IF(COUNTA(J495:M495)=0,"",MIN(10,SUMPRODUCT((COUNTIF(J495:M495,L_KOM)&gt;0)*S_KOM)))</f>
        <v/>
      </c>
      <c r="O495" s="11" t="n"/>
      <c r="P495" s="10">
        <f>IF(O495="","",IFERROR(VLOOKUP(O495,T_KHID,2,FALSE),0))</f>
        <v/>
      </c>
      <c r="Q495" s="11" t="n"/>
      <c r="R495" s="11" t="n"/>
      <c r="S495" s="10">
        <f>IF(AND(Q495="",R495=""),"",IFERROR(INDEX(T_LIBAT,MATCH(Q495,L_PER,0),MATCH(R495,L_JENIS,0)),0))</f>
        <v/>
      </c>
      <c r="T495" s="11" t="n"/>
      <c r="U495" s="11" t="n"/>
      <c r="V495" s="10">
        <f>IF(AND(T495="",U495=""),"",IFERROR(INDEX(T_CAPAI,MATCH(T495,L_PER,0),MATCH(U495,L_KED,0)),0))</f>
        <v/>
      </c>
      <c r="W495" s="17">
        <f>IF(OR(B495="",E495="",COUNTA(F495,H495,J495:M495,O495,Q495:R495,T495:U495)=0),"",SUM(G495,I495,N495,P495,S495,V495))</f>
        <v/>
      </c>
      <c r="X495" s="18">
        <f>IF(W495="","",IF(Murid!F495="TL","TL",ROUND(W495/110*100,2)))</f>
        <v/>
      </c>
    </row>
    <row r="496">
      <c r="A496" s="15">
        <f>Murid!A496</f>
        <v/>
      </c>
      <c r="B496" s="15">
        <f>IF(Murid!B496="","",Murid!B496)</f>
        <v/>
      </c>
      <c r="C496" s="16">
        <f>IF(Murid!C496="","",Murid!C496)</f>
        <v/>
      </c>
      <c r="D496" s="15">
        <f>IF(Murid!E496="","",Murid!E496)</f>
        <v/>
      </c>
      <c r="E496" s="11" t="n"/>
      <c r="F496" s="11" t="n"/>
      <c r="G496" s="10">
        <f>IF(F496="","",IFERROR(VLOOKUP(F496,T_JSP,2,FALSE),0))</f>
        <v/>
      </c>
      <c r="H496" s="11" t="n"/>
      <c r="I496" s="17">
        <f>IF(H496="","",IF(H496&gt;=12,40,ROUND(H496*3.33,2)))</f>
        <v/>
      </c>
      <c r="J496" s="11" t="n"/>
      <c r="K496" s="11" t="n"/>
      <c r="L496" s="11" t="n"/>
      <c r="M496" s="11" t="n"/>
      <c r="N496" s="10">
        <f>IF(COUNTA(J496:M496)=0,"",MIN(10,SUMPRODUCT((COUNTIF(J496:M496,L_KOM)&gt;0)*S_KOM)))</f>
        <v/>
      </c>
      <c r="O496" s="11" t="n"/>
      <c r="P496" s="10">
        <f>IF(O496="","",IFERROR(VLOOKUP(O496,T_KHID,2,FALSE),0))</f>
        <v/>
      </c>
      <c r="Q496" s="11" t="n"/>
      <c r="R496" s="11" t="n"/>
      <c r="S496" s="10">
        <f>IF(AND(Q496="",R496=""),"",IFERROR(INDEX(T_LIBAT,MATCH(Q496,L_PER,0),MATCH(R496,L_JENIS,0)),0))</f>
        <v/>
      </c>
      <c r="T496" s="11" t="n"/>
      <c r="U496" s="11" t="n"/>
      <c r="V496" s="10">
        <f>IF(AND(T496="",U496=""),"",IFERROR(INDEX(T_CAPAI,MATCH(T496,L_PER,0),MATCH(U496,L_KED,0)),0))</f>
        <v/>
      </c>
      <c r="W496" s="17">
        <f>IF(OR(B496="",E496="",COUNTA(F496,H496,J496:M496,O496,Q496:R496,T496:U496)=0),"",SUM(G496,I496,N496,P496,S496,V496))</f>
        <v/>
      </c>
      <c r="X496" s="18">
        <f>IF(W496="","",IF(Murid!F496="TL","TL",ROUND(W496/110*100,2)))</f>
        <v/>
      </c>
    </row>
    <row r="497">
      <c r="A497" s="15">
        <f>Murid!A497</f>
        <v/>
      </c>
      <c r="B497" s="15">
        <f>IF(Murid!B497="","",Murid!B497)</f>
        <v/>
      </c>
      <c r="C497" s="16">
        <f>IF(Murid!C497="","",Murid!C497)</f>
        <v/>
      </c>
      <c r="D497" s="15">
        <f>IF(Murid!E497="","",Murid!E497)</f>
        <v/>
      </c>
      <c r="E497" s="11" t="n"/>
      <c r="F497" s="11" t="n"/>
      <c r="G497" s="10">
        <f>IF(F497="","",IFERROR(VLOOKUP(F497,T_JSP,2,FALSE),0))</f>
        <v/>
      </c>
      <c r="H497" s="11" t="n"/>
      <c r="I497" s="17">
        <f>IF(H497="","",IF(H497&gt;=12,40,ROUND(H497*3.33,2)))</f>
        <v/>
      </c>
      <c r="J497" s="11" t="n"/>
      <c r="K497" s="11" t="n"/>
      <c r="L497" s="11" t="n"/>
      <c r="M497" s="11" t="n"/>
      <c r="N497" s="10">
        <f>IF(COUNTA(J497:M497)=0,"",MIN(10,SUMPRODUCT((COUNTIF(J497:M497,L_KOM)&gt;0)*S_KOM)))</f>
        <v/>
      </c>
      <c r="O497" s="11" t="n"/>
      <c r="P497" s="10">
        <f>IF(O497="","",IFERROR(VLOOKUP(O497,T_KHID,2,FALSE),0))</f>
        <v/>
      </c>
      <c r="Q497" s="11" t="n"/>
      <c r="R497" s="11" t="n"/>
      <c r="S497" s="10">
        <f>IF(AND(Q497="",R497=""),"",IFERROR(INDEX(T_LIBAT,MATCH(Q497,L_PER,0),MATCH(R497,L_JENIS,0)),0))</f>
        <v/>
      </c>
      <c r="T497" s="11" t="n"/>
      <c r="U497" s="11" t="n"/>
      <c r="V497" s="10">
        <f>IF(AND(T497="",U497=""),"",IFERROR(INDEX(T_CAPAI,MATCH(T497,L_PER,0),MATCH(U497,L_KED,0)),0))</f>
        <v/>
      </c>
      <c r="W497" s="17">
        <f>IF(OR(B497="",E497="",COUNTA(F497,H497,J497:M497,O497,Q497:R497,T497:U497)=0),"",SUM(G497,I497,N497,P497,S497,V497))</f>
        <v/>
      </c>
      <c r="X497" s="18">
        <f>IF(W497="","",IF(Murid!F497="TL","TL",ROUND(W497/110*100,2)))</f>
        <v/>
      </c>
    </row>
    <row r="498">
      <c r="A498" s="15">
        <f>Murid!A498</f>
        <v/>
      </c>
      <c r="B498" s="15">
        <f>IF(Murid!B498="","",Murid!B498)</f>
        <v/>
      </c>
      <c r="C498" s="16">
        <f>IF(Murid!C498="","",Murid!C498)</f>
        <v/>
      </c>
      <c r="D498" s="15">
        <f>IF(Murid!E498="","",Murid!E498)</f>
        <v/>
      </c>
      <c r="E498" s="11" t="n"/>
      <c r="F498" s="11" t="n"/>
      <c r="G498" s="10">
        <f>IF(F498="","",IFERROR(VLOOKUP(F498,T_JSP,2,FALSE),0))</f>
        <v/>
      </c>
      <c r="H498" s="11" t="n"/>
      <c r="I498" s="17">
        <f>IF(H498="","",IF(H498&gt;=12,40,ROUND(H498*3.33,2)))</f>
        <v/>
      </c>
      <c r="J498" s="11" t="n"/>
      <c r="K498" s="11" t="n"/>
      <c r="L498" s="11" t="n"/>
      <c r="M498" s="11" t="n"/>
      <c r="N498" s="10">
        <f>IF(COUNTA(J498:M498)=0,"",MIN(10,SUMPRODUCT((COUNTIF(J498:M498,L_KOM)&gt;0)*S_KOM)))</f>
        <v/>
      </c>
      <c r="O498" s="11" t="n"/>
      <c r="P498" s="10">
        <f>IF(O498="","",IFERROR(VLOOKUP(O498,T_KHID,2,FALSE),0))</f>
        <v/>
      </c>
      <c r="Q498" s="11" t="n"/>
      <c r="R498" s="11" t="n"/>
      <c r="S498" s="10">
        <f>IF(AND(Q498="",R498=""),"",IFERROR(INDEX(T_LIBAT,MATCH(Q498,L_PER,0),MATCH(R498,L_JENIS,0)),0))</f>
        <v/>
      </c>
      <c r="T498" s="11" t="n"/>
      <c r="U498" s="11" t="n"/>
      <c r="V498" s="10">
        <f>IF(AND(T498="",U498=""),"",IFERROR(INDEX(T_CAPAI,MATCH(T498,L_PER,0),MATCH(U498,L_KED,0)),0))</f>
        <v/>
      </c>
      <c r="W498" s="17">
        <f>IF(OR(B498="",E498="",COUNTA(F498,H498,J498:M498,O498,Q498:R498,T498:U498)=0),"",SUM(G498,I498,N498,P498,S498,V498))</f>
        <v/>
      </c>
      <c r="X498" s="18">
        <f>IF(W498="","",IF(Murid!F498="TL","TL",ROUND(W498/110*100,2)))</f>
        <v/>
      </c>
    </row>
    <row r="499">
      <c r="A499" s="15">
        <f>Murid!A499</f>
        <v/>
      </c>
      <c r="B499" s="15">
        <f>IF(Murid!B499="","",Murid!B499)</f>
        <v/>
      </c>
      <c r="C499" s="16">
        <f>IF(Murid!C499="","",Murid!C499)</f>
        <v/>
      </c>
      <c r="D499" s="15">
        <f>IF(Murid!E499="","",Murid!E499)</f>
        <v/>
      </c>
      <c r="E499" s="11" t="n"/>
      <c r="F499" s="11" t="n"/>
      <c r="G499" s="10">
        <f>IF(F499="","",IFERROR(VLOOKUP(F499,T_JSP,2,FALSE),0))</f>
        <v/>
      </c>
      <c r="H499" s="11" t="n"/>
      <c r="I499" s="17">
        <f>IF(H499="","",IF(H499&gt;=12,40,ROUND(H499*3.33,2)))</f>
        <v/>
      </c>
      <c r="J499" s="11" t="n"/>
      <c r="K499" s="11" t="n"/>
      <c r="L499" s="11" t="n"/>
      <c r="M499" s="11" t="n"/>
      <c r="N499" s="10">
        <f>IF(COUNTA(J499:M499)=0,"",MIN(10,SUMPRODUCT((COUNTIF(J499:M499,L_KOM)&gt;0)*S_KOM)))</f>
        <v/>
      </c>
      <c r="O499" s="11" t="n"/>
      <c r="P499" s="10">
        <f>IF(O499="","",IFERROR(VLOOKUP(O499,T_KHID,2,FALSE),0))</f>
        <v/>
      </c>
      <c r="Q499" s="11" t="n"/>
      <c r="R499" s="11" t="n"/>
      <c r="S499" s="10">
        <f>IF(AND(Q499="",R499=""),"",IFERROR(INDEX(T_LIBAT,MATCH(Q499,L_PER,0),MATCH(R499,L_JENIS,0)),0))</f>
        <v/>
      </c>
      <c r="T499" s="11" t="n"/>
      <c r="U499" s="11" t="n"/>
      <c r="V499" s="10">
        <f>IF(AND(T499="",U499=""),"",IFERROR(INDEX(T_CAPAI,MATCH(T499,L_PER,0),MATCH(U499,L_KED,0)),0))</f>
        <v/>
      </c>
      <c r="W499" s="17">
        <f>IF(OR(B499="",E499="",COUNTA(F499,H499,J499:M499,O499,Q499:R499,T499:U499)=0),"",SUM(G499,I499,N499,P499,S499,V499))</f>
        <v/>
      </c>
      <c r="X499" s="18">
        <f>IF(W499="","",IF(Murid!F499="TL","TL",ROUND(W499/110*100,2)))</f>
        <v/>
      </c>
    </row>
    <row r="500">
      <c r="A500" s="15">
        <f>Murid!A500</f>
        <v/>
      </c>
      <c r="B500" s="15">
        <f>IF(Murid!B500="","",Murid!B500)</f>
        <v/>
      </c>
      <c r="C500" s="16">
        <f>IF(Murid!C500="","",Murid!C500)</f>
        <v/>
      </c>
      <c r="D500" s="15">
        <f>IF(Murid!E500="","",Murid!E500)</f>
        <v/>
      </c>
      <c r="E500" s="11" t="n"/>
      <c r="F500" s="11" t="n"/>
      <c r="G500" s="10">
        <f>IF(F500="","",IFERROR(VLOOKUP(F500,T_JSP,2,FALSE),0))</f>
        <v/>
      </c>
      <c r="H500" s="11" t="n"/>
      <c r="I500" s="17">
        <f>IF(H500="","",IF(H500&gt;=12,40,ROUND(H500*3.33,2)))</f>
        <v/>
      </c>
      <c r="J500" s="11" t="n"/>
      <c r="K500" s="11" t="n"/>
      <c r="L500" s="11" t="n"/>
      <c r="M500" s="11" t="n"/>
      <c r="N500" s="10">
        <f>IF(COUNTA(J500:M500)=0,"",MIN(10,SUMPRODUCT((COUNTIF(J500:M500,L_KOM)&gt;0)*S_KOM)))</f>
        <v/>
      </c>
      <c r="O500" s="11" t="n"/>
      <c r="P500" s="10">
        <f>IF(O500="","",IFERROR(VLOOKUP(O500,T_KHID,2,FALSE),0))</f>
        <v/>
      </c>
      <c r="Q500" s="11" t="n"/>
      <c r="R500" s="11" t="n"/>
      <c r="S500" s="10">
        <f>IF(AND(Q500="",R500=""),"",IFERROR(INDEX(T_LIBAT,MATCH(Q500,L_PER,0),MATCH(R500,L_JENIS,0)),0))</f>
        <v/>
      </c>
      <c r="T500" s="11" t="n"/>
      <c r="U500" s="11" t="n"/>
      <c r="V500" s="10">
        <f>IF(AND(T500="",U500=""),"",IFERROR(INDEX(T_CAPAI,MATCH(T500,L_PER,0),MATCH(U500,L_KED,0)),0))</f>
        <v/>
      </c>
      <c r="W500" s="17">
        <f>IF(OR(B500="",E500="",COUNTA(F500,H500,J500:M500,O500,Q500:R500,T500:U500)=0),"",SUM(G500,I500,N500,P500,S500,V500))</f>
        <v/>
      </c>
      <c r="X500" s="18">
        <f>IF(W500="","",IF(Murid!F500="TL","TL",ROUND(W500/110*100,2)))</f>
        <v/>
      </c>
    </row>
    <row r="501">
      <c r="A501" s="15">
        <f>Murid!A501</f>
        <v/>
      </c>
      <c r="B501" s="15">
        <f>IF(Murid!B501="","",Murid!B501)</f>
        <v/>
      </c>
      <c r="C501" s="16">
        <f>IF(Murid!C501="","",Murid!C501)</f>
        <v/>
      </c>
      <c r="D501" s="15">
        <f>IF(Murid!E501="","",Murid!E501)</f>
        <v/>
      </c>
      <c r="E501" s="11" t="n"/>
      <c r="F501" s="11" t="n"/>
      <c r="G501" s="10">
        <f>IF(F501="","",IFERROR(VLOOKUP(F501,T_JSP,2,FALSE),0))</f>
        <v/>
      </c>
      <c r="H501" s="11" t="n"/>
      <c r="I501" s="17">
        <f>IF(H501="","",IF(H501&gt;=12,40,ROUND(H501*3.33,2)))</f>
        <v/>
      </c>
      <c r="J501" s="11" t="n"/>
      <c r="K501" s="11" t="n"/>
      <c r="L501" s="11" t="n"/>
      <c r="M501" s="11" t="n"/>
      <c r="N501" s="10">
        <f>IF(COUNTA(J501:M501)=0,"",MIN(10,SUMPRODUCT((COUNTIF(J501:M501,L_KOM)&gt;0)*S_KOM)))</f>
        <v/>
      </c>
      <c r="O501" s="11" t="n"/>
      <c r="P501" s="10">
        <f>IF(O501="","",IFERROR(VLOOKUP(O501,T_KHID,2,FALSE),0))</f>
        <v/>
      </c>
      <c r="Q501" s="11" t="n"/>
      <c r="R501" s="11" t="n"/>
      <c r="S501" s="10">
        <f>IF(AND(Q501="",R501=""),"",IFERROR(INDEX(T_LIBAT,MATCH(Q501,L_PER,0),MATCH(R501,L_JENIS,0)),0))</f>
        <v/>
      </c>
      <c r="T501" s="11" t="n"/>
      <c r="U501" s="11" t="n"/>
      <c r="V501" s="10">
        <f>IF(AND(T501="",U501=""),"",IFERROR(INDEX(T_CAPAI,MATCH(T501,L_PER,0),MATCH(U501,L_KED,0)),0))</f>
        <v/>
      </c>
      <c r="W501" s="17">
        <f>IF(OR(B501="",E501="",COUNTA(F501,H501,J501:M501,O501,Q501:R501,T501:U501)=0),"",SUM(G501,I501,N501,P501,S501,V501))</f>
        <v/>
      </c>
      <c r="X501" s="18">
        <f>IF(W501="","",IF(Murid!F501="TL","TL",ROUND(W501/110*100,2)))</f>
        <v/>
      </c>
    </row>
    <row r="502">
      <c r="A502" s="15">
        <f>Murid!A502</f>
        <v/>
      </c>
      <c r="B502" s="15">
        <f>IF(Murid!B502="","",Murid!B502)</f>
        <v/>
      </c>
      <c r="C502" s="16">
        <f>IF(Murid!C502="","",Murid!C502)</f>
        <v/>
      </c>
      <c r="D502" s="15">
        <f>IF(Murid!E502="","",Murid!E502)</f>
        <v/>
      </c>
      <c r="E502" s="11" t="n"/>
      <c r="F502" s="11" t="n"/>
      <c r="G502" s="10">
        <f>IF(F502="","",IFERROR(VLOOKUP(F502,T_JSP,2,FALSE),0))</f>
        <v/>
      </c>
      <c r="H502" s="11" t="n"/>
      <c r="I502" s="17">
        <f>IF(H502="","",IF(H502&gt;=12,40,ROUND(H502*3.33,2)))</f>
        <v/>
      </c>
      <c r="J502" s="11" t="n"/>
      <c r="K502" s="11" t="n"/>
      <c r="L502" s="11" t="n"/>
      <c r="M502" s="11" t="n"/>
      <c r="N502" s="10">
        <f>IF(COUNTA(J502:M502)=0,"",MIN(10,SUMPRODUCT((COUNTIF(J502:M502,L_KOM)&gt;0)*S_KOM)))</f>
        <v/>
      </c>
      <c r="O502" s="11" t="n"/>
      <c r="P502" s="10">
        <f>IF(O502="","",IFERROR(VLOOKUP(O502,T_KHID,2,FALSE),0))</f>
        <v/>
      </c>
      <c r="Q502" s="11" t="n"/>
      <c r="R502" s="11" t="n"/>
      <c r="S502" s="10">
        <f>IF(AND(Q502="",R502=""),"",IFERROR(INDEX(T_LIBAT,MATCH(Q502,L_PER,0),MATCH(R502,L_JENIS,0)),0))</f>
        <v/>
      </c>
      <c r="T502" s="11" t="n"/>
      <c r="U502" s="11" t="n"/>
      <c r="V502" s="10">
        <f>IF(AND(T502="",U502=""),"",IFERROR(INDEX(T_CAPAI,MATCH(T502,L_PER,0),MATCH(U502,L_KED,0)),0))</f>
        <v/>
      </c>
      <c r="W502" s="17">
        <f>IF(OR(B502="",E502="",COUNTA(F502,H502,J502:M502,O502,Q502:R502,T502:U502)=0),"",SUM(G502,I502,N502,P502,S502,V502))</f>
        <v/>
      </c>
      <c r="X502" s="18">
        <f>IF(W502="","",IF(Murid!F502="TL","TL",ROUND(W502/110*100,2)))</f>
        <v/>
      </c>
    </row>
    <row r="503">
      <c r="A503" s="15">
        <f>Murid!A503</f>
        <v/>
      </c>
      <c r="B503" s="15">
        <f>IF(Murid!B503="","",Murid!B503)</f>
        <v/>
      </c>
      <c r="C503" s="16">
        <f>IF(Murid!C503="","",Murid!C503)</f>
        <v/>
      </c>
      <c r="D503" s="15">
        <f>IF(Murid!E503="","",Murid!E503)</f>
        <v/>
      </c>
      <c r="E503" s="11" t="n"/>
      <c r="F503" s="11" t="n"/>
      <c r="G503" s="10">
        <f>IF(F503="","",IFERROR(VLOOKUP(F503,T_JSP,2,FALSE),0))</f>
        <v/>
      </c>
      <c r="H503" s="11" t="n"/>
      <c r="I503" s="17">
        <f>IF(H503="","",IF(H503&gt;=12,40,ROUND(H503*3.33,2)))</f>
        <v/>
      </c>
      <c r="J503" s="11" t="n"/>
      <c r="K503" s="11" t="n"/>
      <c r="L503" s="11" t="n"/>
      <c r="M503" s="11" t="n"/>
      <c r="N503" s="10">
        <f>IF(COUNTA(J503:M503)=0,"",MIN(10,SUMPRODUCT((COUNTIF(J503:M503,L_KOM)&gt;0)*S_KOM)))</f>
        <v/>
      </c>
      <c r="O503" s="11" t="n"/>
      <c r="P503" s="10">
        <f>IF(O503="","",IFERROR(VLOOKUP(O503,T_KHID,2,FALSE),0))</f>
        <v/>
      </c>
      <c r="Q503" s="11" t="n"/>
      <c r="R503" s="11" t="n"/>
      <c r="S503" s="10">
        <f>IF(AND(Q503="",R503=""),"",IFERROR(INDEX(T_LIBAT,MATCH(Q503,L_PER,0),MATCH(R503,L_JENIS,0)),0))</f>
        <v/>
      </c>
      <c r="T503" s="11" t="n"/>
      <c r="U503" s="11" t="n"/>
      <c r="V503" s="10">
        <f>IF(AND(T503="",U503=""),"",IFERROR(INDEX(T_CAPAI,MATCH(T503,L_PER,0),MATCH(U503,L_KED,0)),0))</f>
        <v/>
      </c>
      <c r="W503" s="17">
        <f>IF(OR(B503="",E503="",COUNTA(F503,H503,J503:M503,O503,Q503:R503,T503:U503)=0),"",SUM(G503,I503,N503,P503,S503,V503))</f>
        <v/>
      </c>
      <c r="X503" s="18">
        <f>IF(W503="","",IF(Murid!F503="TL","TL",ROUND(W503/110*100,2)))</f>
        <v/>
      </c>
    </row>
    <row r="504">
      <c r="A504" s="15">
        <f>Murid!A504</f>
        <v/>
      </c>
      <c r="B504" s="15">
        <f>IF(Murid!B504="","",Murid!B504)</f>
        <v/>
      </c>
      <c r="C504" s="16">
        <f>IF(Murid!C504="","",Murid!C504)</f>
        <v/>
      </c>
      <c r="D504" s="15">
        <f>IF(Murid!E504="","",Murid!E504)</f>
        <v/>
      </c>
      <c r="E504" s="11" t="n"/>
      <c r="F504" s="11" t="n"/>
      <c r="G504" s="10">
        <f>IF(F504="","",IFERROR(VLOOKUP(F504,T_JSP,2,FALSE),0))</f>
        <v/>
      </c>
      <c r="H504" s="11" t="n"/>
      <c r="I504" s="17">
        <f>IF(H504="","",IF(H504&gt;=12,40,ROUND(H504*3.33,2)))</f>
        <v/>
      </c>
      <c r="J504" s="11" t="n"/>
      <c r="K504" s="11" t="n"/>
      <c r="L504" s="11" t="n"/>
      <c r="M504" s="11" t="n"/>
      <c r="N504" s="10">
        <f>IF(COUNTA(J504:M504)=0,"",MIN(10,SUMPRODUCT((COUNTIF(J504:M504,L_KOM)&gt;0)*S_KOM)))</f>
        <v/>
      </c>
      <c r="O504" s="11" t="n"/>
      <c r="P504" s="10">
        <f>IF(O504="","",IFERROR(VLOOKUP(O504,T_KHID,2,FALSE),0))</f>
        <v/>
      </c>
      <c r="Q504" s="11" t="n"/>
      <c r="R504" s="11" t="n"/>
      <c r="S504" s="10">
        <f>IF(AND(Q504="",R504=""),"",IFERROR(INDEX(T_LIBAT,MATCH(Q504,L_PER,0),MATCH(R504,L_JENIS,0)),0))</f>
        <v/>
      </c>
      <c r="T504" s="11" t="n"/>
      <c r="U504" s="11" t="n"/>
      <c r="V504" s="10">
        <f>IF(AND(T504="",U504=""),"",IFERROR(INDEX(T_CAPAI,MATCH(T504,L_PER,0),MATCH(U504,L_KED,0)),0))</f>
        <v/>
      </c>
      <c r="W504" s="17">
        <f>IF(OR(B504="",E504="",COUNTA(F504,H504,J504:M504,O504,Q504:R504,T504:U504)=0),"",SUM(G504,I504,N504,P504,S504,V504))</f>
        <v/>
      </c>
      <c r="X504" s="18">
        <f>IF(W504="","",IF(Murid!F504="TL","TL",ROUND(W504/110*100,2)))</f>
        <v/>
      </c>
    </row>
    <row r="505">
      <c r="A505" s="15">
        <f>Murid!A505</f>
        <v/>
      </c>
      <c r="B505" s="15">
        <f>IF(Murid!B505="","",Murid!B505)</f>
        <v/>
      </c>
      <c r="C505" s="16">
        <f>IF(Murid!C505="","",Murid!C505)</f>
        <v/>
      </c>
      <c r="D505" s="15">
        <f>IF(Murid!E505="","",Murid!E505)</f>
        <v/>
      </c>
      <c r="E505" s="11" t="n"/>
      <c r="F505" s="11" t="n"/>
      <c r="G505" s="10">
        <f>IF(F505="","",IFERROR(VLOOKUP(F505,T_JSP,2,FALSE),0))</f>
        <v/>
      </c>
      <c r="H505" s="11" t="n"/>
      <c r="I505" s="17">
        <f>IF(H505="","",IF(H505&gt;=12,40,ROUND(H505*3.33,2)))</f>
        <v/>
      </c>
      <c r="J505" s="11" t="n"/>
      <c r="K505" s="11" t="n"/>
      <c r="L505" s="11" t="n"/>
      <c r="M505" s="11" t="n"/>
      <c r="N505" s="10">
        <f>IF(COUNTA(J505:M505)=0,"",MIN(10,SUMPRODUCT((COUNTIF(J505:M505,L_KOM)&gt;0)*S_KOM)))</f>
        <v/>
      </c>
      <c r="O505" s="11" t="n"/>
      <c r="P505" s="10">
        <f>IF(O505="","",IFERROR(VLOOKUP(O505,T_KHID,2,FALSE),0))</f>
        <v/>
      </c>
      <c r="Q505" s="11" t="n"/>
      <c r="R505" s="11" t="n"/>
      <c r="S505" s="10">
        <f>IF(AND(Q505="",R505=""),"",IFERROR(INDEX(T_LIBAT,MATCH(Q505,L_PER,0),MATCH(R505,L_JENIS,0)),0))</f>
        <v/>
      </c>
      <c r="T505" s="11" t="n"/>
      <c r="U505" s="11" t="n"/>
      <c r="V505" s="10">
        <f>IF(AND(T505="",U505=""),"",IFERROR(INDEX(T_CAPAI,MATCH(T505,L_PER,0),MATCH(U505,L_KED,0)),0))</f>
        <v/>
      </c>
      <c r="W505" s="17">
        <f>IF(OR(B505="",E505="",COUNTA(F505,H505,J505:M505,O505,Q505:R505,T505:U505)=0),"",SUM(G505,I505,N505,P505,S505,V505))</f>
        <v/>
      </c>
      <c r="X505" s="18">
        <f>IF(W505="","",IF(Murid!F505="TL","TL",ROUND(W505/110*100,2)))</f>
        <v/>
      </c>
    </row>
    <row r="506">
      <c r="A506" s="15">
        <f>Murid!A506</f>
        <v/>
      </c>
      <c r="B506" s="15">
        <f>IF(Murid!B506="","",Murid!B506)</f>
        <v/>
      </c>
      <c r="C506" s="16">
        <f>IF(Murid!C506="","",Murid!C506)</f>
        <v/>
      </c>
      <c r="D506" s="15">
        <f>IF(Murid!E506="","",Murid!E506)</f>
        <v/>
      </c>
      <c r="E506" s="11" t="n"/>
      <c r="F506" s="11" t="n"/>
      <c r="G506" s="10">
        <f>IF(F506="","",IFERROR(VLOOKUP(F506,T_JSP,2,FALSE),0))</f>
        <v/>
      </c>
      <c r="H506" s="11" t="n"/>
      <c r="I506" s="17">
        <f>IF(H506="","",IF(H506&gt;=12,40,ROUND(H506*3.33,2)))</f>
        <v/>
      </c>
      <c r="J506" s="11" t="n"/>
      <c r="K506" s="11" t="n"/>
      <c r="L506" s="11" t="n"/>
      <c r="M506" s="11" t="n"/>
      <c r="N506" s="10">
        <f>IF(COUNTA(J506:M506)=0,"",MIN(10,SUMPRODUCT((COUNTIF(J506:M506,L_KOM)&gt;0)*S_KOM)))</f>
        <v/>
      </c>
      <c r="O506" s="11" t="n"/>
      <c r="P506" s="10">
        <f>IF(O506="","",IFERROR(VLOOKUP(O506,T_KHID,2,FALSE),0))</f>
        <v/>
      </c>
      <c r="Q506" s="11" t="n"/>
      <c r="R506" s="11" t="n"/>
      <c r="S506" s="10">
        <f>IF(AND(Q506="",R506=""),"",IFERROR(INDEX(T_LIBAT,MATCH(Q506,L_PER,0),MATCH(R506,L_JENIS,0)),0))</f>
        <v/>
      </c>
      <c r="T506" s="11" t="n"/>
      <c r="U506" s="11" t="n"/>
      <c r="V506" s="10">
        <f>IF(AND(T506="",U506=""),"",IFERROR(INDEX(T_CAPAI,MATCH(T506,L_PER,0),MATCH(U506,L_KED,0)),0))</f>
        <v/>
      </c>
      <c r="W506" s="17">
        <f>IF(OR(B506="",E506="",COUNTA(F506,H506,J506:M506,O506,Q506:R506,T506:U506)=0),"",SUM(G506,I506,N506,P506,S506,V506))</f>
        <v/>
      </c>
      <c r="X506" s="18">
        <f>IF(W506="","",IF(Murid!F506="TL","TL",ROUND(W506/110*100,2)))</f>
        <v/>
      </c>
    </row>
    <row r="507">
      <c r="A507" s="15">
        <f>Murid!A507</f>
        <v/>
      </c>
      <c r="B507" s="15">
        <f>IF(Murid!B507="","",Murid!B507)</f>
        <v/>
      </c>
      <c r="C507" s="16">
        <f>IF(Murid!C507="","",Murid!C507)</f>
        <v/>
      </c>
      <c r="D507" s="15">
        <f>IF(Murid!E507="","",Murid!E507)</f>
        <v/>
      </c>
      <c r="E507" s="11" t="n"/>
      <c r="F507" s="11" t="n"/>
      <c r="G507" s="10">
        <f>IF(F507="","",IFERROR(VLOOKUP(F507,T_JSP,2,FALSE),0))</f>
        <v/>
      </c>
      <c r="H507" s="11" t="n"/>
      <c r="I507" s="17">
        <f>IF(H507="","",IF(H507&gt;=12,40,ROUND(H507*3.33,2)))</f>
        <v/>
      </c>
      <c r="J507" s="11" t="n"/>
      <c r="K507" s="11" t="n"/>
      <c r="L507" s="11" t="n"/>
      <c r="M507" s="11" t="n"/>
      <c r="N507" s="10">
        <f>IF(COUNTA(J507:M507)=0,"",MIN(10,SUMPRODUCT((COUNTIF(J507:M507,L_KOM)&gt;0)*S_KOM)))</f>
        <v/>
      </c>
      <c r="O507" s="11" t="n"/>
      <c r="P507" s="10">
        <f>IF(O507="","",IFERROR(VLOOKUP(O507,T_KHID,2,FALSE),0))</f>
        <v/>
      </c>
      <c r="Q507" s="11" t="n"/>
      <c r="R507" s="11" t="n"/>
      <c r="S507" s="10">
        <f>IF(AND(Q507="",R507=""),"",IFERROR(INDEX(T_LIBAT,MATCH(Q507,L_PER,0),MATCH(R507,L_JENIS,0)),0))</f>
        <v/>
      </c>
      <c r="T507" s="11" t="n"/>
      <c r="U507" s="11" t="n"/>
      <c r="V507" s="10">
        <f>IF(AND(T507="",U507=""),"",IFERROR(INDEX(T_CAPAI,MATCH(T507,L_PER,0),MATCH(U507,L_KED,0)),0))</f>
        <v/>
      </c>
      <c r="W507" s="17">
        <f>IF(OR(B507="",E507="",COUNTA(F507,H507,J507:M507,O507,Q507:R507,T507:U507)=0),"",SUM(G507,I507,N507,P507,S507,V507))</f>
        <v/>
      </c>
      <c r="X507" s="18">
        <f>IF(W507="","",IF(Murid!F507="TL","TL",ROUND(W507/110*100,2)))</f>
        <v/>
      </c>
    </row>
    <row r="508">
      <c r="A508" s="15">
        <f>Murid!A508</f>
        <v/>
      </c>
      <c r="B508" s="15">
        <f>IF(Murid!B508="","",Murid!B508)</f>
        <v/>
      </c>
      <c r="C508" s="16">
        <f>IF(Murid!C508="","",Murid!C508)</f>
        <v/>
      </c>
      <c r="D508" s="15">
        <f>IF(Murid!E508="","",Murid!E508)</f>
        <v/>
      </c>
      <c r="E508" s="11" t="n"/>
      <c r="F508" s="11" t="n"/>
      <c r="G508" s="10">
        <f>IF(F508="","",IFERROR(VLOOKUP(F508,T_JSP,2,FALSE),0))</f>
        <v/>
      </c>
      <c r="H508" s="11" t="n"/>
      <c r="I508" s="17">
        <f>IF(H508="","",IF(H508&gt;=12,40,ROUND(H508*3.33,2)))</f>
        <v/>
      </c>
      <c r="J508" s="11" t="n"/>
      <c r="K508" s="11" t="n"/>
      <c r="L508" s="11" t="n"/>
      <c r="M508" s="11" t="n"/>
      <c r="N508" s="10">
        <f>IF(COUNTA(J508:M508)=0,"",MIN(10,SUMPRODUCT((COUNTIF(J508:M508,L_KOM)&gt;0)*S_KOM)))</f>
        <v/>
      </c>
      <c r="O508" s="11" t="n"/>
      <c r="P508" s="10">
        <f>IF(O508="","",IFERROR(VLOOKUP(O508,T_KHID,2,FALSE),0))</f>
        <v/>
      </c>
      <c r="Q508" s="11" t="n"/>
      <c r="R508" s="11" t="n"/>
      <c r="S508" s="10">
        <f>IF(AND(Q508="",R508=""),"",IFERROR(INDEX(T_LIBAT,MATCH(Q508,L_PER,0),MATCH(R508,L_JENIS,0)),0))</f>
        <v/>
      </c>
      <c r="T508" s="11" t="n"/>
      <c r="U508" s="11" t="n"/>
      <c r="V508" s="10">
        <f>IF(AND(T508="",U508=""),"",IFERROR(INDEX(T_CAPAI,MATCH(T508,L_PER,0),MATCH(U508,L_KED,0)),0))</f>
        <v/>
      </c>
      <c r="W508" s="17">
        <f>IF(OR(B508="",E508="",COUNTA(F508,H508,J508:M508,O508,Q508:R508,T508:U508)=0),"",SUM(G508,I508,N508,P508,S508,V508))</f>
        <v/>
      </c>
      <c r="X508" s="18">
        <f>IF(W508="","",IF(Murid!F508="TL","TL",ROUND(W508/110*100,2)))</f>
        <v/>
      </c>
    </row>
    <row r="509">
      <c r="A509" s="15">
        <f>Murid!A509</f>
        <v/>
      </c>
      <c r="B509" s="15">
        <f>IF(Murid!B509="","",Murid!B509)</f>
        <v/>
      </c>
      <c r="C509" s="16">
        <f>IF(Murid!C509="","",Murid!C509)</f>
        <v/>
      </c>
      <c r="D509" s="15">
        <f>IF(Murid!E509="","",Murid!E509)</f>
        <v/>
      </c>
      <c r="E509" s="11" t="n"/>
      <c r="F509" s="11" t="n"/>
      <c r="G509" s="10">
        <f>IF(F509="","",IFERROR(VLOOKUP(F509,T_JSP,2,FALSE),0))</f>
        <v/>
      </c>
      <c r="H509" s="11" t="n"/>
      <c r="I509" s="17">
        <f>IF(H509="","",IF(H509&gt;=12,40,ROUND(H509*3.33,2)))</f>
        <v/>
      </c>
      <c r="J509" s="11" t="n"/>
      <c r="K509" s="11" t="n"/>
      <c r="L509" s="11" t="n"/>
      <c r="M509" s="11" t="n"/>
      <c r="N509" s="10">
        <f>IF(COUNTA(J509:M509)=0,"",MIN(10,SUMPRODUCT((COUNTIF(J509:M509,L_KOM)&gt;0)*S_KOM)))</f>
        <v/>
      </c>
      <c r="O509" s="11" t="n"/>
      <c r="P509" s="10">
        <f>IF(O509="","",IFERROR(VLOOKUP(O509,T_KHID,2,FALSE),0))</f>
        <v/>
      </c>
      <c r="Q509" s="11" t="n"/>
      <c r="R509" s="11" t="n"/>
      <c r="S509" s="10">
        <f>IF(AND(Q509="",R509=""),"",IFERROR(INDEX(T_LIBAT,MATCH(Q509,L_PER,0),MATCH(R509,L_JENIS,0)),0))</f>
        <v/>
      </c>
      <c r="T509" s="11" t="n"/>
      <c r="U509" s="11" t="n"/>
      <c r="V509" s="10">
        <f>IF(AND(T509="",U509=""),"",IFERROR(INDEX(T_CAPAI,MATCH(T509,L_PER,0),MATCH(U509,L_KED,0)),0))</f>
        <v/>
      </c>
      <c r="W509" s="17">
        <f>IF(OR(B509="",E509="",COUNTA(F509,H509,J509:M509,O509,Q509:R509,T509:U509)=0),"",SUM(G509,I509,N509,P509,S509,V509))</f>
        <v/>
      </c>
      <c r="X509" s="18">
        <f>IF(W509="","",IF(Murid!F509="TL","TL",ROUND(W509/110*100,2)))</f>
        <v/>
      </c>
    </row>
    <row r="510">
      <c r="A510" s="15">
        <f>Murid!A510</f>
        <v/>
      </c>
      <c r="B510" s="15">
        <f>IF(Murid!B510="","",Murid!B510)</f>
        <v/>
      </c>
      <c r="C510" s="16">
        <f>IF(Murid!C510="","",Murid!C510)</f>
        <v/>
      </c>
      <c r="D510" s="15">
        <f>IF(Murid!E510="","",Murid!E510)</f>
        <v/>
      </c>
      <c r="E510" s="11" t="n"/>
      <c r="F510" s="11" t="n"/>
      <c r="G510" s="10">
        <f>IF(F510="","",IFERROR(VLOOKUP(F510,T_JSP,2,FALSE),0))</f>
        <v/>
      </c>
      <c r="H510" s="11" t="n"/>
      <c r="I510" s="17">
        <f>IF(H510="","",IF(H510&gt;=12,40,ROUND(H510*3.33,2)))</f>
        <v/>
      </c>
      <c r="J510" s="11" t="n"/>
      <c r="K510" s="11" t="n"/>
      <c r="L510" s="11" t="n"/>
      <c r="M510" s="11" t="n"/>
      <c r="N510" s="10">
        <f>IF(COUNTA(J510:M510)=0,"",MIN(10,SUMPRODUCT((COUNTIF(J510:M510,L_KOM)&gt;0)*S_KOM)))</f>
        <v/>
      </c>
      <c r="O510" s="11" t="n"/>
      <c r="P510" s="10">
        <f>IF(O510="","",IFERROR(VLOOKUP(O510,T_KHID,2,FALSE),0))</f>
        <v/>
      </c>
      <c r="Q510" s="11" t="n"/>
      <c r="R510" s="11" t="n"/>
      <c r="S510" s="10">
        <f>IF(AND(Q510="",R510=""),"",IFERROR(INDEX(T_LIBAT,MATCH(Q510,L_PER,0),MATCH(R510,L_JENIS,0)),0))</f>
        <v/>
      </c>
      <c r="T510" s="11" t="n"/>
      <c r="U510" s="11" t="n"/>
      <c r="V510" s="10">
        <f>IF(AND(T510="",U510=""),"",IFERROR(INDEX(T_CAPAI,MATCH(T510,L_PER,0),MATCH(U510,L_KED,0)),0))</f>
        <v/>
      </c>
      <c r="W510" s="17">
        <f>IF(OR(B510="",E510="",COUNTA(F510,H510,J510:M510,O510,Q510:R510,T510:U510)=0),"",SUM(G510,I510,N510,P510,S510,V510))</f>
        <v/>
      </c>
      <c r="X510" s="18">
        <f>IF(W510="","",IF(Murid!F510="TL","TL",ROUND(W510/110*100,2)))</f>
        <v/>
      </c>
    </row>
    <row r="511">
      <c r="A511" s="15">
        <f>Murid!A511</f>
        <v/>
      </c>
      <c r="B511" s="15">
        <f>IF(Murid!B511="","",Murid!B511)</f>
        <v/>
      </c>
      <c r="C511" s="16">
        <f>IF(Murid!C511="","",Murid!C511)</f>
        <v/>
      </c>
      <c r="D511" s="15">
        <f>IF(Murid!E511="","",Murid!E511)</f>
        <v/>
      </c>
      <c r="E511" s="11" t="n"/>
      <c r="F511" s="11" t="n"/>
      <c r="G511" s="10">
        <f>IF(F511="","",IFERROR(VLOOKUP(F511,T_JSP,2,FALSE),0))</f>
        <v/>
      </c>
      <c r="H511" s="11" t="n"/>
      <c r="I511" s="17">
        <f>IF(H511="","",IF(H511&gt;=12,40,ROUND(H511*3.33,2)))</f>
        <v/>
      </c>
      <c r="J511" s="11" t="n"/>
      <c r="K511" s="11" t="n"/>
      <c r="L511" s="11" t="n"/>
      <c r="M511" s="11" t="n"/>
      <c r="N511" s="10">
        <f>IF(COUNTA(J511:M511)=0,"",MIN(10,SUMPRODUCT((COUNTIF(J511:M511,L_KOM)&gt;0)*S_KOM)))</f>
        <v/>
      </c>
      <c r="O511" s="11" t="n"/>
      <c r="P511" s="10">
        <f>IF(O511="","",IFERROR(VLOOKUP(O511,T_KHID,2,FALSE),0))</f>
        <v/>
      </c>
      <c r="Q511" s="11" t="n"/>
      <c r="R511" s="11" t="n"/>
      <c r="S511" s="10">
        <f>IF(AND(Q511="",R511=""),"",IFERROR(INDEX(T_LIBAT,MATCH(Q511,L_PER,0),MATCH(R511,L_JENIS,0)),0))</f>
        <v/>
      </c>
      <c r="T511" s="11" t="n"/>
      <c r="U511" s="11" t="n"/>
      <c r="V511" s="10">
        <f>IF(AND(T511="",U511=""),"",IFERROR(INDEX(T_CAPAI,MATCH(T511,L_PER,0),MATCH(U511,L_KED,0)),0))</f>
        <v/>
      </c>
      <c r="W511" s="17">
        <f>IF(OR(B511="",E511="",COUNTA(F511,H511,J511:M511,O511,Q511:R511,T511:U511)=0),"",SUM(G511,I511,N511,P511,S511,V511))</f>
        <v/>
      </c>
      <c r="X511" s="18">
        <f>IF(W511="","",IF(Murid!F511="TL","TL",ROUND(W511/110*100,2)))</f>
        <v/>
      </c>
    </row>
    <row r="512">
      <c r="A512" s="15">
        <f>Murid!A512</f>
        <v/>
      </c>
      <c r="B512" s="15">
        <f>IF(Murid!B512="","",Murid!B512)</f>
        <v/>
      </c>
      <c r="C512" s="16">
        <f>IF(Murid!C512="","",Murid!C512)</f>
        <v/>
      </c>
      <c r="D512" s="15">
        <f>IF(Murid!E512="","",Murid!E512)</f>
        <v/>
      </c>
      <c r="E512" s="11" t="n"/>
      <c r="F512" s="11" t="n"/>
      <c r="G512" s="10">
        <f>IF(F512="","",IFERROR(VLOOKUP(F512,T_JSP,2,FALSE),0))</f>
        <v/>
      </c>
      <c r="H512" s="11" t="n"/>
      <c r="I512" s="17">
        <f>IF(H512="","",IF(H512&gt;=12,40,ROUND(H512*3.33,2)))</f>
        <v/>
      </c>
      <c r="J512" s="11" t="n"/>
      <c r="K512" s="11" t="n"/>
      <c r="L512" s="11" t="n"/>
      <c r="M512" s="11" t="n"/>
      <c r="N512" s="10">
        <f>IF(COUNTA(J512:M512)=0,"",MIN(10,SUMPRODUCT((COUNTIF(J512:M512,L_KOM)&gt;0)*S_KOM)))</f>
        <v/>
      </c>
      <c r="O512" s="11" t="n"/>
      <c r="P512" s="10">
        <f>IF(O512="","",IFERROR(VLOOKUP(O512,T_KHID,2,FALSE),0))</f>
        <v/>
      </c>
      <c r="Q512" s="11" t="n"/>
      <c r="R512" s="11" t="n"/>
      <c r="S512" s="10">
        <f>IF(AND(Q512="",R512=""),"",IFERROR(INDEX(T_LIBAT,MATCH(Q512,L_PER,0),MATCH(R512,L_JENIS,0)),0))</f>
        <v/>
      </c>
      <c r="T512" s="11" t="n"/>
      <c r="U512" s="11" t="n"/>
      <c r="V512" s="10">
        <f>IF(AND(T512="",U512=""),"",IFERROR(INDEX(T_CAPAI,MATCH(T512,L_PER,0),MATCH(U512,L_KED,0)),0))</f>
        <v/>
      </c>
      <c r="W512" s="17">
        <f>IF(OR(B512="",E512="",COUNTA(F512,H512,J512:M512,O512,Q512:R512,T512:U512)=0),"",SUM(G512,I512,N512,P512,S512,V512))</f>
        <v/>
      </c>
      <c r="X512" s="18">
        <f>IF(W512="","",IF(Murid!F512="TL","TL",ROUND(W512/110*100,2)))</f>
        <v/>
      </c>
    </row>
    <row r="513">
      <c r="A513" s="15">
        <f>Murid!A513</f>
        <v/>
      </c>
      <c r="B513" s="15">
        <f>IF(Murid!B513="","",Murid!B513)</f>
        <v/>
      </c>
      <c r="C513" s="16">
        <f>IF(Murid!C513="","",Murid!C513)</f>
        <v/>
      </c>
      <c r="D513" s="15">
        <f>IF(Murid!E513="","",Murid!E513)</f>
        <v/>
      </c>
      <c r="E513" s="11" t="n"/>
      <c r="F513" s="11" t="n"/>
      <c r="G513" s="10">
        <f>IF(F513="","",IFERROR(VLOOKUP(F513,T_JSP,2,FALSE),0))</f>
        <v/>
      </c>
      <c r="H513" s="11" t="n"/>
      <c r="I513" s="17">
        <f>IF(H513="","",IF(H513&gt;=12,40,ROUND(H513*3.33,2)))</f>
        <v/>
      </c>
      <c r="J513" s="11" t="n"/>
      <c r="K513" s="11" t="n"/>
      <c r="L513" s="11" t="n"/>
      <c r="M513" s="11" t="n"/>
      <c r="N513" s="10">
        <f>IF(COUNTA(J513:M513)=0,"",MIN(10,SUMPRODUCT((COUNTIF(J513:M513,L_KOM)&gt;0)*S_KOM)))</f>
        <v/>
      </c>
      <c r="O513" s="11" t="n"/>
      <c r="P513" s="10">
        <f>IF(O513="","",IFERROR(VLOOKUP(O513,T_KHID,2,FALSE),0))</f>
        <v/>
      </c>
      <c r="Q513" s="11" t="n"/>
      <c r="R513" s="11" t="n"/>
      <c r="S513" s="10">
        <f>IF(AND(Q513="",R513=""),"",IFERROR(INDEX(T_LIBAT,MATCH(Q513,L_PER,0),MATCH(R513,L_JENIS,0)),0))</f>
        <v/>
      </c>
      <c r="T513" s="11" t="n"/>
      <c r="U513" s="11" t="n"/>
      <c r="V513" s="10">
        <f>IF(AND(T513="",U513=""),"",IFERROR(INDEX(T_CAPAI,MATCH(T513,L_PER,0),MATCH(U513,L_KED,0)),0))</f>
        <v/>
      </c>
      <c r="W513" s="17">
        <f>IF(OR(B513="",E513="",COUNTA(F513,H513,J513:M513,O513,Q513:R513,T513:U513)=0),"",SUM(G513,I513,N513,P513,S513,V513))</f>
        <v/>
      </c>
      <c r="X513" s="18">
        <f>IF(W513="","",IF(Murid!F513="TL","TL",ROUND(W513/110*100,2)))</f>
        <v/>
      </c>
    </row>
    <row r="514">
      <c r="A514" s="15">
        <f>Murid!A514</f>
        <v/>
      </c>
      <c r="B514" s="15">
        <f>IF(Murid!B514="","",Murid!B514)</f>
        <v/>
      </c>
      <c r="C514" s="16">
        <f>IF(Murid!C514="","",Murid!C514)</f>
        <v/>
      </c>
      <c r="D514" s="15">
        <f>IF(Murid!E514="","",Murid!E514)</f>
        <v/>
      </c>
      <c r="E514" s="11" t="n"/>
      <c r="F514" s="11" t="n"/>
      <c r="G514" s="10">
        <f>IF(F514="","",IFERROR(VLOOKUP(F514,T_JSP,2,FALSE),0))</f>
        <v/>
      </c>
      <c r="H514" s="11" t="n"/>
      <c r="I514" s="17">
        <f>IF(H514="","",IF(H514&gt;=12,40,ROUND(H514*3.33,2)))</f>
        <v/>
      </c>
      <c r="J514" s="11" t="n"/>
      <c r="K514" s="11" t="n"/>
      <c r="L514" s="11" t="n"/>
      <c r="M514" s="11" t="n"/>
      <c r="N514" s="10">
        <f>IF(COUNTA(J514:M514)=0,"",MIN(10,SUMPRODUCT((COUNTIF(J514:M514,L_KOM)&gt;0)*S_KOM)))</f>
        <v/>
      </c>
      <c r="O514" s="11" t="n"/>
      <c r="P514" s="10">
        <f>IF(O514="","",IFERROR(VLOOKUP(O514,T_KHID,2,FALSE),0))</f>
        <v/>
      </c>
      <c r="Q514" s="11" t="n"/>
      <c r="R514" s="11" t="n"/>
      <c r="S514" s="10">
        <f>IF(AND(Q514="",R514=""),"",IFERROR(INDEX(T_LIBAT,MATCH(Q514,L_PER,0),MATCH(R514,L_JENIS,0)),0))</f>
        <v/>
      </c>
      <c r="T514" s="11" t="n"/>
      <c r="U514" s="11" t="n"/>
      <c r="V514" s="10">
        <f>IF(AND(T514="",U514=""),"",IFERROR(INDEX(T_CAPAI,MATCH(T514,L_PER,0),MATCH(U514,L_KED,0)),0))</f>
        <v/>
      </c>
      <c r="W514" s="17">
        <f>IF(OR(B514="",E514="",COUNTA(F514,H514,J514:M514,O514,Q514:R514,T514:U514)=0),"",SUM(G514,I514,N514,P514,S514,V514))</f>
        <v/>
      </c>
      <c r="X514" s="18">
        <f>IF(W514="","",IF(Murid!F514="TL","TL",ROUND(W514/110*100,2)))</f>
        <v/>
      </c>
    </row>
    <row r="515">
      <c r="A515" s="15">
        <f>Murid!A515</f>
        <v/>
      </c>
      <c r="B515" s="15">
        <f>IF(Murid!B515="","",Murid!B515)</f>
        <v/>
      </c>
      <c r="C515" s="16">
        <f>IF(Murid!C515="","",Murid!C515)</f>
        <v/>
      </c>
      <c r="D515" s="15">
        <f>IF(Murid!E515="","",Murid!E515)</f>
        <v/>
      </c>
      <c r="E515" s="11" t="n"/>
      <c r="F515" s="11" t="n"/>
      <c r="G515" s="10">
        <f>IF(F515="","",IFERROR(VLOOKUP(F515,T_JSP,2,FALSE),0))</f>
        <v/>
      </c>
      <c r="H515" s="11" t="n"/>
      <c r="I515" s="17">
        <f>IF(H515="","",IF(H515&gt;=12,40,ROUND(H515*3.33,2)))</f>
        <v/>
      </c>
      <c r="J515" s="11" t="n"/>
      <c r="K515" s="11" t="n"/>
      <c r="L515" s="11" t="n"/>
      <c r="M515" s="11" t="n"/>
      <c r="N515" s="10">
        <f>IF(COUNTA(J515:M515)=0,"",MIN(10,SUMPRODUCT((COUNTIF(J515:M515,L_KOM)&gt;0)*S_KOM)))</f>
        <v/>
      </c>
      <c r="O515" s="11" t="n"/>
      <c r="P515" s="10">
        <f>IF(O515="","",IFERROR(VLOOKUP(O515,T_KHID,2,FALSE),0))</f>
        <v/>
      </c>
      <c r="Q515" s="11" t="n"/>
      <c r="R515" s="11" t="n"/>
      <c r="S515" s="10">
        <f>IF(AND(Q515="",R515=""),"",IFERROR(INDEX(T_LIBAT,MATCH(Q515,L_PER,0),MATCH(R515,L_JENIS,0)),0))</f>
        <v/>
      </c>
      <c r="T515" s="11" t="n"/>
      <c r="U515" s="11" t="n"/>
      <c r="V515" s="10">
        <f>IF(AND(T515="",U515=""),"",IFERROR(INDEX(T_CAPAI,MATCH(T515,L_PER,0),MATCH(U515,L_KED,0)),0))</f>
        <v/>
      </c>
      <c r="W515" s="17">
        <f>IF(OR(B515="",E515="",COUNTA(F515,H515,J515:M515,O515,Q515:R515,T515:U515)=0),"",SUM(G515,I515,N515,P515,S515,V515))</f>
        <v/>
      </c>
      <c r="X515" s="18">
        <f>IF(W515="","",IF(Murid!F515="TL","TL",ROUND(W515/110*100,2)))</f>
        <v/>
      </c>
    </row>
    <row r="516">
      <c r="A516" s="15">
        <f>Murid!A516</f>
        <v/>
      </c>
      <c r="B516" s="15">
        <f>IF(Murid!B516="","",Murid!B516)</f>
        <v/>
      </c>
      <c r="C516" s="16">
        <f>IF(Murid!C516="","",Murid!C516)</f>
        <v/>
      </c>
      <c r="D516" s="15">
        <f>IF(Murid!E516="","",Murid!E516)</f>
        <v/>
      </c>
      <c r="E516" s="11" t="n"/>
      <c r="F516" s="11" t="n"/>
      <c r="G516" s="10">
        <f>IF(F516="","",IFERROR(VLOOKUP(F516,T_JSP,2,FALSE),0))</f>
        <v/>
      </c>
      <c r="H516" s="11" t="n"/>
      <c r="I516" s="17">
        <f>IF(H516="","",IF(H516&gt;=12,40,ROUND(H516*3.33,2)))</f>
        <v/>
      </c>
      <c r="J516" s="11" t="n"/>
      <c r="K516" s="11" t="n"/>
      <c r="L516" s="11" t="n"/>
      <c r="M516" s="11" t="n"/>
      <c r="N516" s="10">
        <f>IF(COUNTA(J516:M516)=0,"",MIN(10,SUMPRODUCT((COUNTIF(J516:M516,L_KOM)&gt;0)*S_KOM)))</f>
        <v/>
      </c>
      <c r="O516" s="11" t="n"/>
      <c r="P516" s="10">
        <f>IF(O516="","",IFERROR(VLOOKUP(O516,T_KHID,2,FALSE),0))</f>
        <v/>
      </c>
      <c r="Q516" s="11" t="n"/>
      <c r="R516" s="11" t="n"/>
      <c r="S516" s="10">
        <f>IF(AND(Q516="",R516=""),"",IFERROR(INDEX(T_LIBAT,MATCH(Q516,L_PER,0),MATCH(R516,L_JENIS,0)),0))</f>
        <v/>
      </c>
      <c r="T516" s="11" t="n"/>
      <c r="U516" s="11" t="n"/>
      <c r="V516" s="10">
        <f>IF(AND(T516="",U516=""),"",IFERROR(INDEX(T_CAPAI,MATCH(T516,L_PER,0),MATCH(U516,L_KED,0)),0))</f>
        <v/>
      </c>
      <c r="W516" s="17">
        <f>IF(OR(B516="",E516="",COUNTA(F516,H516,J516:M516,O516,Q516:R516,T516:U516)=0),"",SUM(G516,I516,N516,P516,S516,V516))</f>
        <v/>
      </c>
      <c r="X516" s="18">
        <f>IF(W516="","",IF(Murid!F516="TL","TL",ROUND(W516/110*100,2)))</f>
        <v/>
      </c>
    </row>
    <row r="517">
      <c r="A517" s="15">
        <f>Murid!A517</f>
        <v/>
      </c>
      <c r="B517" s="15">
        <f>IF(Murid!B517="","",Murid!B517)</f>
        <v/>
      </c>
      <c r="C517" s="16">
        <f>IF(Murid!C517="","",Murid!C517)</f>
        <v/>
      </c>
      <c r="D517" s="15">
        <f>IF(Murid!E517="","",Murid!E517)</f>
        <v/>
      </c>
      <c r="E517" s="11" t="n"/>
      <c r="F517" s="11" t="n"/>
      <c r="G517" s="10">
        <f>IF(F517="","",IFERROR(VLOOKUP(F517,T_JSP,2,FALSE),0))</f>
        <v/>
      </c>
      <c r="H517" s="11" t="n"/>
      <c r="I517" s="17">
        <f>IF(H517="","",IF(H517&gt;=12,40,ROUND(H517*3.33,2)))</f>
        <v/>
      </c>
      <c r="J517" s="11" t="n"/>
      <c r="K517" s="11" t="n"/>
      <c r="L517" s="11" t="n"/>
      <c r="M517" s="11" t="n"/>
      <c r="N517" s="10">
        <f>IF(COUNTA(J517:M517)=0,"",MIN(10,SUMPRODUCT((COUNTIF(J517:M517,L_KOM)&gt;0)*S_KOM)))</f>
        <v/>
      </c>
      <c r="O517" s="11" t="n"/>
      <c r="P517" s="10">
        <f>IF(O517="","",IFERROR(VLOOKUP(O517,T_KHID,2,FALSE),0))</f>
        <v/>
      </c>
      <c r="Q517" s="11" t="n"/>
      <c r="R517" s="11" t="n"/>
      <c r="S517" s="10">
        <f>IF(AND(Q517="",R517=""),"",IFERROR(INDEX(T_LIBAT,MATCH(Q517,L_PER,0),MATCH(R517,L_JENIS,0)),0))</f>
        <v/>
      </c>
      <c r="T517" s="11" t="n"/>
      <c r="U517" s="11" t="n"/>
      <c r="V517" s="10">
        <f>IF(AND(T517="",U517=""),"",IFERROR(INDEX(T_CAPAI,MATCH(T517,L_PER,0),MATCH(U517,L_KED,0)),0))</f>
        <v/>
      </c>
      <c r="W517" s="17">
        <f>IF(OR(B517="",E517="",COUNTA(F517,H517,J517:M517,O517,Q517:R517,T517:U517)=0),"",SUM(G517,I517,N517,P517,S517,V517))</f>
        <v/>
      </c>
      <c r="X517" s="18">
        <f>IF(W517="","",IF(Murid!F517="TL","TL",ROUND(W517/110*100,2)))</f>
        <v/>
      </c>
    </row>
    <row r="518">
      <c r="A518" s="15">
        <f>Murid!A518</f>
        <v/>
      </c>
      <c r="B518" s="15">
        <f>IF(Murid!B518="","",Murid!B518)</f>
        <v/>
      </c>
      <c r="C518" s="16">
        <f>IF(Murid!C518="","",Murid!C518)</f>
        <v/>
      </c>
      <c r="D518" s="15">
        <f>IF(Murid!E518="","",Murid!E518)</f>
        <v/>
      </c>
      <c r="E518" s="11" t="n"/>
      <c r="F518" s="11" t="n"/>
      <c r="G518" s="10">
        <f>IF(F518="","",IFERROR(VLOOKUP(F518,T_JSP,2,FALSE),0))</f>
        <v/>
      </c>
      <c r="H518" s="11" t="n"/>
      <c r="I518" s="17">
        <f>IF(H518="","",IF(H518&gt;=12,40,ROUND(H518*3.33,2)))</f>
        <v/>
      </c>
      <c r="J518" s="11" t="n"/>
      <c r="K518" s="11" t="n"/>
      <c r="L518" s="11" t="n"/>
      <c r="M518" s="11" t="n"/>
      <c r="N518" s="10">
        <f>IF(COUNTA(J518:M518)=0,"",MIN(10,SUMPRODUCT((COUNTIF(J518:M518,L_KOM)&gt;0)*S_KOM)))</f>
        <v/>
      </c>
      <c r="O518" s="11" t="n"/>
      <c r="P518" s="10">
        <f>IF(O518="","",IFERROR(VLOOKUP(O518,T_KHID,2,FALSE),0))</f>
        <v/>
      </c>
      <c r="Q518" s="11" t="n"/>
      <c r="R518" s="11" t="n"/>
      <c r="S518" s="10">
        <f>IF(AND(Q518="",R518=""),"",IFERROR(INDEX(T_LIBAT,MATCH(Q518,L_PER,0),MATCH(R518,L_JENIS,0)),0))</f>
        <v/>
      </c>
      <c r="T518" s="11" t="n"/>
      <c r="U518" s="11" t="n"/>
      <c r="V518" s="10">
        <f>IF(AND(T518="",U518=""),"",IFERROR(INDEX(T_CAPAI,MATCH(T518,L_PER,0),MATCH(U518,L_KED,0)),0))</f>
        <v/>
      </c>
      <c r="W518" s="17">
        <f>IF(OR(B518="",E518="",COUNTA(F518,H518,J518:M518,O518,Q518:R518,T518:U518)=0),"",SUM(G518,I518,N518,P518,S518,V518))</f>
        <v/>
      </c>
      <c r="X518" s="18">
        <f>IF(W518="","",IF(Murid!F518="TL","TL",ROUND(W518/110*100,2)))</f>
        <v/>
      </c>
    </row>
    <row r="519">
      <c r="A519" s="15">
        <f>Murid!A519</f>
        <v/>
      </c>
      <c r="B519" s="15">
        <f>IF(Murid!B519="","",Murid!B519)</f>
        <v/>
      </c>
      <c r="C519" s="16">
        <f>IF(Murid!C519="","",Murid!C519)</f>
        <v/>
      </c>
      <c r="D519" s="15">
        <f>IF(Murid!E519="","",Murid!E519)</f>
        <v/>
      </c>
      <c r="E519" s="11" t="n"/>
      <c r="F519" s="11" t="n"/>
      <c r="G519" s="10">
        <f>IF(F519="","",IFERROR(VLOOKUP(F519,T_JSP,2,FALSE),0))</f>
        <v/>
      </c>
      <c r="H519" s="11" t="n"/>
      <c r="I519" s="17">
        <f>IF(H519="","",IF(H519&gt;=12,40,ROUND(H519*3.33,2)))</f>
        <v/>
      </c>
      <c r="J519" s="11" t="n"/>
      <c r="K519" s="11" t="n"/>
      <c r="L519" s="11" t="n"/>
      <c r="M519" s="11" t="n"/>
      <c r="N519" s="10">
        <f>IF(COUNTA(J519:M519)=0,"",MIN(10,SUMPRODUCT((COUNTIF(J519:M519,L_KOM)&gt;0)*S_KOM)))</f>
        <v/>
      </c>
      <c r="O519" s="11" t="n"/>
      <c r="P519" s="10">
        <f>IF(O519="","",IFERROR(VLOOKUP(O519,T_KHID,2,FALSE),0))</f>
        <v/>
      </c>
      <c r="Q519" s="11" t="n"/>
      <c r="R519" s="11" t="n"/>
      <c r="S519" s="10">
        <f>IF(AND(Q519="",R519=""),"",IFERROR(INDEX(T_LIBAT,MATCH(Q519,L_PER,0),MATCH(R519,L_JENIS,0)),0))</f>
        <v/>
      </c>
      <c r="T519" s="11" t="n"/>
      <c r="U519" s="11" t="n"/>
      <c r="V519" s="10">
        <f>IF(AND(T519="",U519=""),"",IFERROR(INDEX(T_CAPAI,MATCH(T519,L_PER,0),MATCH(U519,L_KED,0)),0))</f>
        <v/>
      </c>
      <c r="W519" s="17">
        <f>IF(OR(B519="",E519="",COUNTA(F519,H519,J519:M519,O519,Q519:R519,T519:U519)=0),"",SUM(G519,I519,N519,P519,S519,V519))</f>
        <v/>
      </c>
      <c r="X519" s="18">
        <f>IF(W519="","",IF(Murid!F519="TL","TL",ROUND(W519/110*100,2)))</f>
        <v/>
      </c>
    </row>
    <row r="520">
      <c r="A520" s="15">
        <f>Murid!A520</f>
        <v/>
      </c>
      <c r="B520" s="15">
        <f>IF(Murid!B520="","",Murid!B520)</f>
        <v/>
      </c>
      <c r="C520" s="16">
        <f>IF(Murid!C520="","",Murid!C520)</f>
        <v/>
      </c>
      <c r="D520" s="15">
        <f>IF(Murid!E520="","",Murid!E520)</f>
        <v/>
      </c>
      <c r="E520" s="11" t="n"/>
      <c r="F520" s="11" t="n"/>
      <c r="G520" s="10">
        <f>IF(F520="","",IFERROR(VLOOKUP(F520,T_JSP,2,FALSE),0))</f>
        <v/>
      </c>
      <c r="H520" s="11" t="n"/>
      <c r="I520" s="17">
        <f>IF(H520="","",IF(H520&gt;=12,40,ROUND(H520*3.33,2)))</f>
        <v/>
      </c>
      <c r="J520" s="11" t="n"/>
      <c r="K520" s="11" t="n"/>
      <c r="L520" s="11" t="n"/>
      <c r="M520" s="11" t="n"/>
      <c r="N520" s="10">
        <f>IF(COUNTA(J520:M520)=0,"",MIN(10,SUMPRODUCT((COUNTIF(J520:M520,L_KOM)&gt;0)*S_KOM)))</f>
        <v/>
      </c>
      <c r="O520" s="11" t="n"/>
      <c r="P520" s="10">
        <f>IF(O520="","",IFERROR(VLOOKUP(O520,T_KHID,2,FALSE),0))</f>
        <v/>
      </c>
      <c r="Q520" s="11" t="n"/>
      <c r="R520" s="11" t="n"/>
      <c r="S520" s="10">
        <f>IF(AND(Q520="",R520=""),"",IFERROR(INDEX(T_LIBAT,MATCH(Q520,L_PER,0),MATCH(R520,L_JENIS,0)),0))</f>
        <v/>
      </c>
      <c r="T520" s="11" t="n"/>
      <c r="U520" s="11" t="n"/>
      <c r="V520" s="10">
        <f>IF(AND(T520="",U520=""),"",IFERROR(INDEX(T_CAPAI,MATCH(T520,L_PER,0),MATCH(U520,L_KED,0)),0))</f>
        <v/>
      </c>
      <c r="W520" s="17">
        <f>IF(OR(B520="",E520="",COUNTA(F520,H520,J520:M520,O520,Q520:R520,T520:U520)=0),"",SUM(G520,I520,N520,P520,S520,V520))</f>
        <v/>
      </c>
      <c r="X520" s="18">
        <f>IF(W520="","",IF(Murid!F520="TL","TL",ROUND(W520/110*100,2)))</f>
        <v/>
      </c>
    </row>
    <row r="521">
      <c r="A521" s="15">
        <f>Murid!A521</f>
        <v/>
      </c>
      <c r="B521" s="15">
        <f>IF(Murid!B521="","",Murid!B521)</f>
        <v/>
      </c>
      <c r="C521" s="16">
        <f>IF(Murid!C521="","",Murid!C521)</f>
        <v/>
      </c>
      <c r="D521" s="15">
        <f>IF(Murid!E521="","",Murid!E521)</f>
        <v/>
      </c>
      <c r="E521" s="11" t="n"/>
      <c r="F521" s="11" t="n"/>
      <c r="G521" s="10">
        <f>IF(F521="","",IFERROR(VLOOKUP(F521,T_JSP,2,FALSE),0))</f>
        <v/>
      </c>
      <c r="H521" s="11" t="n"/>
      <c r="I521" s="17">
        <f>IF(H521="","",IF(H521&gt;=12,40,ROUND(H521*3.33,2)))</f>
        <v/>
      </c>
      <c r="J521" s="11" t="n"/>
      <c r="K521" s="11" t="n"/>
      <c r="L521" s="11" t="n"/>
      <c r="M521" s="11" t="n"/>
      <c r="N521" s="10">
        <f>IF(COUNTA(J521:M521)=0,"",MIN(10,SUMPRODUCT((COUNTIF(J521:M521,L_KOM)&gt;0)*S_KOM)))</f>
        <v/>
      </c>
      <c r="O521" s="11" t="n"/>
      <c r="P521" s="10">
        <f>IF(O521="","",IFERROR(VLOOKUP(O521,T_KHID,2,FALSE),0))</f>
        <v/>
      </c>
      <c r="Q521" s="11" t="n"/>
      <c r="R521" s="11" t="n"/>
      <c r="S521" s="10">
        <f>IF(AND(Q521="",R521=""),"",IFERROR(INDEX(T_LIBAT,MATCH(Q521,L_PER,0),MATCH(R521,L_JENIS,0)),0))</f>
        <v/>
      </c>
      <c r="T521" s="11" t="n"/>
      <c r="U521" s="11" t="n"/>
      <c r="V521" s="10">
        <f>IF(AND(T521="",U521=""),"",IFERROR(INDEX(T_CAPAI,MATCH(T521,L_PER,0),MATCH(U521,L_KED,0)),0))</f>
        <v/>
      </c>
      <c r="W521" s="17">
        <f>IF(OR(B521="",E521="",COUNTA(F521,H521,J521:M521,O521,Q521:R521,T521:U521)=0),"",SUM(G521,I521,N521,P521,S521,V521))</f>
        <v/>
      </c>
      <c r="X521" s="18">
        <f>IF(W521="","",IF(Murid!F521="TL","TL",ROUND(W521/110*100,2)))</f>
        <v/>
      </c>
    </row>
    <row r="522">
      <c r="A522" s="15">
        <f>Murid!A522</f>
        <v/>
      </c>
      <c r="B522" s="15">
        <f>IF(Murid!B522="","",Murid!B522)</f>
        <v/>
      </c>
      <c r="C522" s="16">
        <f>IF(Murid!C522="","",Murid!C522)</f>
        <v/>
      </c>
      <c r="D522" s="15">
        <f>IF(Murid!E522="","",Murid!E522)</f>
        <v/>
      </c>
      <c r="E522" s="11" t="n"/>
      <c r="F522" s="11" t="n"/>
      <c r="G522" s="10">
        <f>IF(F522="","",IFERROR(VLOOKUP(F522,T_JSP,2,FALSE),0))</f>
        <v/>
      </c>
      <c r="H522" s="11" t="n"/>
      <c r="I522" s="17">
        <f>IF(H522="","",IF(H522&gt;=12,40,ROUND(H522*3.33,2)))</f>
        <v/>
      </c>
      <c r="J522" s="11" t="n"/>
      <c r="K522" s="11" t="n"/>
      <c r="L522" s="11" t="n"/>
      <c r="M522" s="11" t="n"/>
      <c r="N522" s="10">
        <f>IF(COUNTA(J522:M522)=0,"",MIN(10,SUMPRODUCT((COUNTIF(J522:M522,L_KOM)&gt;0)*S_KOM)))</f>
        <v/>
      </c>
      <c r="O522" s="11" t="n"/>
      <c r="P522" s="10">
        <f>IF(O522="","",IFERROR(VLOOKUP(O522,T_KHID,2,FALSE),0))</f>
        <v/>
      </c>
      <c r="Q522" s="11" t="n"/>
      <c r="R522" s="11" t="n"/>
      <c r="S522" s="10">
        <f>IF(AND(Q522="",R522=""),"",IFERROR(INDEX(T_LIBAT,MATCH(Q522,L_PER,0),MATCH(R522,L_JENIS,0)),0))</f>
        <v/>
      </c>
      <c r="T522" s="11" t="n"/>
      <c r="U522" s="11" t="n"/>
      <c r="V522" s="10">
        <f>IF(AND(T522="",U522=""),"",IFERROR(INDEX(T_CAPAI,MATCH(T522,L_PER,0),MATCH(U522,L_KED,0)),0))</f>
        <v/>
      </c>
      <c r="W522" s="17">
        <f>IF(OR(B522="",E522="",COUNTA(F522,H522,J522:M522,O522,Q522:R522,T522:U522)=0),"",SUM(G522,I522,N522,P522,S522,V522))</f>
        <v/>
      </c>
      <c r="X522" s="18">
        <f>IF(W522="","",IF(Murid!F522="TL","TL",ROUND(W522/110*100,2)))</f>
        <v/>
      </c>
    </row>
    <row r="523">
      <c r="A523" s="15">
        <f>Murid!A523</f>
        <v/>
      </c>
      <c r="B523" s="15">
        <f>IF(Murid!B523="","",Murid!B523)</f>
        <v/>
      </c>
      <c r="C523" s="16">
        <f>IF(Murid!C523="","",Murid!C523)</f>
        <v/>
      </c>
      <c r="D523" s="15">
        <f>IF(Murid!E523="","",Murid!E523)</f>
        <v/>
      </c>
      <c r="E523" s="11" t="n"/>
      <c r="F523" s="11" t="n"/>
      <c r="G523" s="10">
        <f>IF(F523="","",IFERROR(VLOOKUP(F523,T_JSP,2,FALSE),0))</f>
        <v/>
      </c>
      <c r="H523" s="11" t="n"/>
      <c r="I523" s="17">
        <f>IF(H523="","",IF(H523&gt;=12,40,ROUND(H523*3.33,2)))</f>
        <v/>
      </c>
      <c r="J523" s="11" t="n"/>
      <c r="K523" s="11" t="n"/>
      <c r="L523" s="11" t="n"/>
      <c r="M523" s="11" t="n"/>
      <c r="N523" s="10">
        <f>IF(COUNTA(J523:M523)=0,"",MIN(10,SUMPRODUCT((COUNTIF(J523:M523,L_KOM)&gt;0)*S_KOM)))</f>
        <v/>
      </c>
      <c r="O523" s="11" t="n"/>
      <c r="P523" s="10">
        <f>IF(O523="","",IFERROR(VLOOKUP(O523,T_KHID,2,FALSE),0))</f>
        <v/>
      </c>
      <c r="Q523" s="11" t="n"/>
      <c r="R523" s="11" t="n"/>
      <c r="S523" s="10">
        <f>IF(AND(Q523="",R523=""),"",IFERROR(INDEX(T_LIBAT,MATCH(Q523,L_PER,0),MATCH(R523,L_JENIS,0)),0))</f>
        <v/>
      </c>
      <c r="T523" s="11" t="n"/>
      <c r="U523" s="11" t="n"/>
      <c r="V523" s="10">
        <f>IF(AND(T523="",U523=""),"",IFERROR(INDEX(T_CAPAI,MATCH(T523,L_PER,0),MATCH(U523,L_KED,0)),0))</f>
        <v/>
      </c>
      <c r="W523" s="17">
        <f>IF(OR(B523="",E523="",COUNTA(F523,H523,J523:M523,O523,Q523:R523,T523:U523)=0),"",SUM(G523,I523,N523,P523,S523,V523))</f>
        <v/>
      </c>
      <c r="X523" s="18">
        <f>IF(W523="","",IF(Murid!F523="TL","TL",ROUND(W523/110*100,2)))</f>
        <v/>
      </c>
    </row>
    <row r="524">
      <c r="A524" s="15">
        <f>Murid!A524</f>
        <v/>
      </c>
      <c r="B524" s="15">
        <f>IF(Murid!B524="","",Murid!B524)</f>
        <v/>
      </c>
      <c r="C524" s="16">
        <f>IF(Murid!C524="","",Murid!C524)</f>
        <v/>
      </c>
      <c r="D524" s="15">
        <f>IF(Murid!E524="","",Murid!E524)</f>
        <v/>
      </c>
      <c r="E524" s="11" t="n"/>
      <c r="F524" s="11" t="n"/>
      <c r="G524" s="10">
        <f>IF(F524="","",IFERROR(VLOOKUP(F524,T_JSP,2,FALSE),0))</f>
        <v/>
      </c>
      <c r="H524" s="11" t="n"/>
      <c r="I524" s="17">
        <f>IF(H524="","",IF(H524&gt;=12,40,ROUND(H524*3.33,2)))</f>
        <v/>
      </c>
      <c r="J524" s="11" t="n"/>
      <c r="K524" s="11" t="n"/>
      <c r="L524" s="11" t="n"/>
      <c r="M524" s="11" t="n"/>
      <c r="N524" s="10">
        <f>IF(COUNTA(J524:M524)=0,"",MIN(10,SUMPRODUCT((COUNTIF(J524:M524,L_KOM)&gt;0)*S_KOM)))</f>
        <v/>
      </c>
      <c r="O524" s="11" t="n"/>
      <c r="P524" s="10">
        <f>IF(O524="","",IFERROR(VLOOKUP(O524,T_KHID,2,FALSE),0))</f>
        <v/>
      </c>
      <c r="Q524" s="11" t="n"/>
      <c r="R524" s="11" t="n"/>
      <c r="S524" s="10">
        <f>IF(AND(Q524="",R524=""),"",IFERROR(INDEX(T_LIBAT,MATCH(Q524,L_PER,0),MATCH(R524,L_JENIS,0)),0))</f>
        <v/>
      </c>
      <c r="T524" s="11" t="n"/>
      <c r="U524" s="11" t="n"/>
      <c r="V524" s="10">
        <f>IF(AND(T524="",U524=""),"",IFERROR(INDEX(T_CAPAI,MATCH(T524,L_PER,0),MATCH(U524,L_KED,0)),0))</f>
        <v/>
      </c>
      <c r="W524" s="17">
        <f>IF(OR(B524="",E524="",COUNTA(F524,H524,J524:M524,O524,Q524:R524,T524:U524)=0),"",SUM(G524,I524,N524,P524,S524,V524))</f>
        <v/>
      </c>
      <c r="X524" s="18">
        <f>IF(W524="","",IF(Murid!F524="TL","TL",ROUND(W524/110*100,2)))</f>
        <v/>
      </c>
    </row>
    <row r="525">
      <c r="A525" s="15">
        <f>Murid!A525</f>
        <v/>
      </c>
      <c r="B525" s="15">
        <f>IF(Murid!B525="","",Murid!B525)</f>
        <v/>
      </c>
      <c r="C525" s="16">
        <f>IF(Murid!C525="","",Murid!C525)</f>
        <v/>
      </c>
      <c r="D525" s="15">
        <f>IF(Murid!E525="","",Murid!E525)</f>
        <v/>
      </c>
      <c r="E525" s="11" t="n"/>
      <c r="F525" s="11" t="n"/>
      <c r="G525" s="10">
        <f>IF(F525="","",IFERROR(VLOOKUP(F525,T_JSP,2,FALSE),0))</f>
        <v/>
      </c>
      <c r="H525" s="11" t="n"/>
      <c r="I525" s="17">
        <f>IF(H525="","",IF(H525&gt;=12,40,ROUND(H525*3.33,2)))</f>
        <v/>
      </c>
      <c r="J525" s="11" t="n"/>
      <c r="K525" s="11" t="n"/>
      <c r="L525" s="11" t="n"/>
      <c r="M525" s="11" t="n"/>
      <c r="N525" s="10">
        <f>IF(COUNTA(J525:M525)=0,"",MIN(10,SUMPRODUCT((COUNTIF(J525:M525,L_KOM)&gt;0)*S_KOM)))</f>
        <v/>
      </c>
      <c r="O525" s="11" t="n"/>
      <c r="P525" s="10">
        <f>IF(O525="","",IFERROR(VLOOKUP(O525,T_KHID,2,FALSE),0))</f>
        <v/>
      </c>
      <c r="Q525" s="11" t="n"/>
      <c r="R525" s="11" t="n"/>
      <c r="S525" s="10">
        <f>IF(AND(Q525="",R525=""),"",IFERROR(INDEX(T_LIBAT,MATCH(Q525,L_PER,0),MATCH(R525,L_JENIS,0)),0))</f>
        <v/>
      </c>
      <c r="T525" s="11" t="n"/>
      <c r="U525" s="11" t="n"/>
      <c r="V525" s="10">
        <f>IF(AND(T525="",U525=""),"",IFERROR(INDEX(T_CAPAI,MATCH(T525,L_PER,0),MATCH(U525,L_KED,0)),0))</f>
        <v/>
      </c>
      <c r="W525" s="17">
        <f>IF(OR(B525="",E525="",COUNTA(F525,H525,J525:M525,O525,Q525:R525,T525:U525)=0),"",SUM(G525,I525,N525,P525,S525,V525))</f>
        <v/>
      </c>
      <c r="X525" s="18">
        <f>IF(W525="","",IF(Murid!F525="TL","TL",ROUND(W525/110*100,2)))</f>
        <v/>
      </c>
    </row>
    <row r="526">
      <c r="A526" s="15">
        <f>Murid!A526</f>
        <v/>
      </c>
      <c r="B526" s="15">
        <f>IF(Murid!B526="","",Murid!B526)</f>
        <v/>
      </c>
      <c r="C526" s="16">
        <f>IF(Murid!C526="","",Murid!C526)</f>
        <v/>
      </c>
      <c r="D526" s="15">
        <f>IF(Murid!E526="","",Murid!E526)</f>
        <v/>
      </c>
      <c r="E526" s="11" t="n"/>
      <c r="F526" s="11" t="n"/>
      <c r="G526" s="10">
        <f>IF(F526="","",IFERROR(VLOOKUP(F526,T_JSP,2,FALSE),0))</f>
        <v/>
      </c>
      <c r="H526" s="11" t="n"/>
      <c r="I526" s="17">
        <f>IF(H526="","",IF(H526&gt;=12,40,ROUND(H526*3.33,2)))</f>
        <v/>
      </c>
      <c r="J526" s="11" t="n"/>
      <c r="K526" s="11" t="n"/>
      <c r="L526" s="11" t="n"/>
      <c r="M526" s="11" t="n"/>
      <c r="N526" s="10">
        <f>IF(COUNTA(J526:M526)=0,"",MIN(10,SUMPRODUCT((COUNTIF(J526:M526,L_KOM)&gt;0)*S_KOM)))</f>
        <v/>
      </c>
      <c r="O526" s="11" t="n"/>
      <c r="P526" s="10">
        <f>IF(O526="","",IFERROR(VLOOKUP(O526,T_KHID,2,FALSE),0))</f>
        <v/>
      </c>
      <c r="Q526" s="11" t="n"/>
      <c r="R526" s="11" t="n"/>
      <c r="S526" s="10">
        <f>IF(AND(Q526="",R526=""),"",IFERROR(INDEX(T_LIBAT,MATCH(Q526,L_PER,0),MATCH(R526,L_JENIS,0)),0))</f>
        <v/>
      </c>
      <c r="T526" s="11" t="n"/>
      <c r="U526" s="11" t="n"/>
      <c r="V526" s="10">
        <f>IF(AND(T526="",U526=""),"",IFERROR(INDEX(T_CAPAI,MATCH(T526,L_PER,0),MATCH(U526,L_KED,0)),0))</f>
        <v/>
      </c>
      <c r="W526" s="17">
        <f>IF(OR(B526="",E526="",COUNTA(F526,H526,J526:M526,O526,Q526:R526,T526:U526)=0),"",SUM(G526,I526,N526,P526,S526,V526))</f>
        <v/>
      </c>
      <c r="X526" s="18">
        <f>IF(W526="","",IF(Murid!F526="TL","TL",ROUND(W526/110*100,2)))</f>
        <v/>
      </c>
    </row>
    <row r="527">
      <c r="A527" s="15">
        <f>Murid!A527</f>
        <v/>
      </c>
      <c r="B527" s="15">
        <f>IF(Murid!B527="","",Murid!B527)</f>
        <v/>
      </c>
      <c r="C527" s="16">
        <f>IF(Murid!C527="","",Murid!C527)</f>
        <v/>
      </c>
      <c r="D527" s="15">
        <f>IF(Murid!E527="","",Murid!E527)</f>
        <v/>
      </c>
      <c r="E527" s="11" t="n"/>
      <c r="F527" s="11" t="n"/>
      <c r="G527" s="10">
        <f>IF(F527="","",IFERROR(VLOOKUP(F527,T_JSP,2,FALSE),0))</f>
        <v/>
      </c>
      <c r="H527" s="11" t="n"/>
      <c r="I527" s="17">
        <f>IF(H527="","",IF(H527&gt;=12,40,ROUND(H527*3.33,2)))</f>
        <v/>
      </c>
      <c r="J527" s="11" t="n"/>
      <c r="K527" s="11" t="n"/>
      <c r="L527" s="11" t="n"/>
      <c r="M527" s="11" t="n"/>
      <c r="N527" s="10">
        <f>IF(COUNTA(J527:M527)=0,"",MIN(10,SUMPRODUCT((COUNTIF(J527:M527,L_KOM)&gt;0)*S_KOM)))</f>
        <v/>
      </c>
      <c r="O527" s="11" t="n"/>
      <c r="P527" s="10">
        <f>IF(O527="","",IFERROR(VLOOKUP(O527,T_KHID,2,FALSE),0))</f>
        <v/>
      </c>
      <c r="Q527" s="11" t="n"/>
      <c r="R527" s="11" t="n"/>
      <c r="S527" s="10">
        <f>IF(AND(Q527="",R527=""),"",IFERROR(INDEX(T_LIBAT,MATCH(Q527,L_PER,0),MATCH(R527,L_JENIS,0)),0))</f>
        <v/>
      </c>
      <c r="T527" s="11" t="n"/>
      <c r="U527" s="11" t="n"/>
      <c r="V527" s="10">
        <f>IF(AND(T527="",U527=""),"",IFERROR(INDEX(T_CAPAI,MATCH(T527,L_PER,0),MATCH(U527,L_KED,0)),0))</f>
        <v/>
      </c>
      <c r="W527" s="17">
        <f>IF(OR(B527="",E527="",COUNTA(F527,H527,J527:M527,O527,Q527:R527,T527:U527)=0),"",SUM(G527,I527,N527,P527,S527,V527))</f>
        <v/>
      </c>
      <c r="X527" s="18">
        <f>IF(W527="","",IF(Murid!F527="TL","TL",ROUND(W527/110*100,2)))</f>
        <v/>
      </c>
    </row>
    <row r="528">
      <c r="A528" s="15">
        <f>Murid!A528</f>
        <v/>
      </c>
      <c r="B528" s="15">
        <f>IF(Murid!B528="","",Murid!B528)</f>
        <v/>
      </c>
      <c r="C528" s="16">
        <f>IF(Murid!C528="","",Murid!C528)</f>
        <v/>
      </c>
      <c r="D528" s="15">
        <f>IF(Murid!E528="","",Murid!E528)</f>
        <v/>
      </c>
      <c r="E528" s="11" t="n"/>
      <c r="F528" s="11" t="n"/>
      <c r="G528" s="10">
        <f>IF(F528="","",IFERROR(VLOOKUP(F528,T_JSP,2,FALSE),0))</f>
        <v/>
      </c>
      <c r="H528" s="11" t="n"/>
      <c r="I528" s="17">
        <f>IF(H528="","",IF(H528&gt;=12,40,ROUND(H528*3.33,2)))</f>
        <v/>
      </c>
      <c r="J528" s="11" t="n"/>
      <c r="K528" s="11" t="n"/>
      <c r="L528" s="11" t="n"/>
      <c r="M528" s="11" t="n"/>
      <c r="N528" s="10">
        <f>IF(COUNTA(J528:M528)=0,"",MIN(10,SUMPRODUCT((COUNTIF(J528:M528,L_KOM)&gt;0)*S_KOM)))</f>
        <v/>
      </c>
      <c r="O528" s="11" t="n"/>
      <c r="P528" s="10">
        <f>IF(O528="","",IFERROR(VLOOKUP(O528,T_KHID,2,FALSE),0))</f>
        <v/>
      </c>
      <c r="Q528" s="11" t="n"/>
      <c r="R528" s="11" t="n"/>
      <c r="S528" s="10">
        <f>IF(AND(Q528="",R528=""),"",IFERROR(INDEX(T_LIBAT,MATCH(Q528,L_PER,0),MATCH(R528,L_JENIS,0)),0))</f>
        <v/>
      </c>
      <c r="T528" s="11" t="n"/>
      <c r="U528" s="11" t="n"/>
      <c r="V528" s="10">
        <f>IF(AND(T528="",U528=""),"",IFERROR(INDEX(T_CAPAI,MATCH(T528,L_PER,0),MATCH(U528,L_KED,0)),0))</f>
        <v/>
      </c>
      <c r="W528" s="17">
        <f>IF(OR(B528="",E528="",COUNTA(F528,H528,J528:M528,O528,Q528:R528,T528:U528)=0),"",SUM(G528,I528,N528,P528,S528,V528))</f>
        <v/>
      </c>
      <c r="X528" s="18">
        <f>IF(W528="","",IF(Murid!F528="TL","TL",ROUND(W528/110*100,2)))</f>
        <v/>
      </c>
    </row>
    <row r="529">
      <c r="A529" s="15">
        <f>Murid!A529</f>
        <v/>
      </c>
      <c r="B529" s="15">
        <f>IF(Murid!B529="","",Murid!B529)</f>
        <v/>
      </c>
      <c r="C529" s="16">
        <f>IF(Murid!C529="","",Murid!C529)</f>
        <v/>
      </c>
      <c r="D529" s="15">
        <f>IF(Murid!E529="","",Murid!E529)</f>
        <v/>
      </c>
      <c r="E529" s="11" t="n"/>
      <c r="F529" s="11" t="n"/>
      <c r="G529" s="10">
        <f>IF(F529="","",IFERROR(VLOOKUP(F529,T_JSP,2,FALSE),0))</f>
        <v/>
      </c>
      <c r="H529" s="11" t="n"/>
      <c r="I529" s="17">
        <f>IF(H529="","",IF(H529&gt;=12,40,ROUND(H529*3.33,2)))</f>
        <v/>
      </c>
      <c r="J529" s="11" t="n"/>
      <c r="K529" s="11" t="n"/>
      <c r="L529" s="11" t="n"/>
      <c r="M529" s="11" t="n"/>
      <c r="N529" s="10">
        <f>IF(COUNTA(J529:M529)=0,"",MIN(10,SUMPRODUCT((COUNTIF(J529:M529,L_KOM)&gt;0)*S_KOM)))</f>
        <v/>
      </c>
      <c r="O529" s="11" t="n"/>
      <c r="P529" s="10">
        <f>IF(O529="","",IFERROR(VLOOKUP(O529,T_KHID,2,FALSE),0))</f>
        <v/>
      </c>
      <c r="Q529" s="11" t="n"/>
      <c r="R529" s="11" t="n"/>
      <c r="S529" s="10">
        <f>IF(AND(Q529="",R529=""),"",IFERROR(INDEX(T_LIBAT,MATCH(Q529,L_PER,0),MATCH(R529,L_JENIS,0)),0))</f>
        <v/>
      </c>
      <c r="T529" s="11" t="n"/>
      <c r="U529" s="11" t="n"/>
      <c r="V529" s="10">
        <f>IF(AND(T529="",U529=""),"",IFERROR(INDEX(T_CAPAI,MATCH(T529,L_PER,0),MATCH(U529,L_KED,0)),0))</f>
        <v/>
      </c>
      <c r="W529" s="17">
        <f>IF(OR(B529="",E529="",COUNTA(F529,H529,J529:M529,O529,Q529:R529,T529:U529)=0),"",SUM(G529,I529,N529,P529,S529,V529))</f>
        <v/>
      </c>
      <c r="X529" s="18">
        <f>IF(W529="","",IF(Murid!F529="TL","TL",ROUND(W529/110*100,2)))</f>
        <v/>
      </c>
    </row>
    <row r="530">
      <c r="A530" s="15">
        <f>Murid!A530</f>
        <v/>
      </c>
      <c r="B530" s="15">
        <f>IF(Murid!B530="","",Murid!B530)</f>
        <v/>
      </c>
      <c r="C530" s="16">
        <f>IF(Murid!C530="","",Murid!C530)</f>
        <v/>
      </c>
      <c r="D530" s="15">
        <f>IF(Murid!E530="","",Murid!E530)</f>
        <v/>
      </c>
      <c r="E530" s="11" t="n"/>
      <c r="F530" s="11" t="n"/>
      <c r="G530" s="10">
        <f>IF(F530="","",IFERROR(VLOOKUP(F530,T_JSP,2,FALSE),0))</f>
        <v/>
      </c>
      <c r="H530" s="11" t="n"/>
      <c r="I530" s="17">
        <f>IF(H530="","",IF(H530&gt;=12,40,ROUND(H530*3.33,2)))</f>
        <v/>
      </c>
      <c r="J530" s="11" t="n"/>
      <c r="K530" s="11" t="n"/>
      <c r="L530" s="11" t="n"/>
      <c r="M530" s="11" t="n"/>
      <c r="N530" s="10">
        <f>IF(COUNTA(J530:M530)=0,"",MIN(10,SUMPRODUCT((COUNTIF(J530:M530,L_KOM)&gt;0)*S_KOM)))</f>
        <v/>
      </c>
      <c r="O530" s="11" t="n"/>
      <c r="P530" s="10">
        <f>IF(O530="","",IFERROR(VLOOKUP(O530,T_KHID,2,FALSE),0))</f>
        <v/>
      </c>
      <c r="Q530" s="11" t="n"/>
      <c r="R530" s="11" t="n"/>
      <c r="S530" s="10">
        <f>IF(AND(Q530="",R530=""),"",IFERROR(INDEX(T_LIBAT,MATCH(Q530,L_PER,0),MATCH(R530,L_JENIS,0)),0))</f>
        <v/>
      </c>
      <c r="T530" s="11" t="n"/>
      <c r="U530" s="11" t="n"/>
      <c r="V530" s="10">
        <f>IF(AND(T530="",U530=""),"",IFERROR(INDEX(T_CAPAI,MATCH(T530,L_PER,0),MATCH(U530,L_KED,0)),0))</f>
        <v/>
      </c>
      <c r="W530" s="17">
        <f>IF(OR(B530="",E530="",COUNTA(F530,H530,J530:M530,O530,Q530:R530,T530:U530)=0),"",SUM(G530,I530,N530,P530,S530,V530))</f>
        <v/>
      </c>
      <c r="X530" s="18">
        <f>IF(W530="","",IF(Murid!F530="TL","TL",ROUND(W530/110*100,2)))</f>
        <v/>
      </c>
    </row>
    <row r="531">
      <c r="A531" s="15">
        <f>Murid!A531</f>
        <v/>
      </c>
      <c r="B531" s="15">
        <f>IF(Murid!B531="","",Murid!B531)</f>
        <v/>
      </c>
      <c r="C531" s="16">
        <f>IF(Murid!C531="","",Murid!C531)</f>
        <v/>
      </c>
      <c r="D531" s="15">
        <f>IF(Murid!E531="","",Murid!E531)</f>
        <v/>
      </c>
      <c r="E531" s="11" t="n"/>
      <c r="F531" s="11" t="n"/>
      <c r="G531" s="10">
        <f>IF(F531="","",IFERROR(VLOOKUP(F531,T_JSP,2,FALSE),0))</f>
        <v/>
      </c>
      <c r="H531" s="11" t="n"/>
      <c r="I531" s="17">
        <f>IF(H531="","",IF(H531&gt;=12,40,ROUND(H531*3.33,2)))</f>
        <v/>
      </c>
      <c r="J531" s="11" t="n"/>
      <c r="K531" s="11" t="n"/>
      <c r="L531" s="11" t="n"/>
      <c r="M531" s="11" t="n"/>
      <c r="N531" s="10">
        <f>IF(COUNTA(J531:M531)=0,"",MIN(10,SUMPRODUCT((COUNTIF(J531:M531,L_KOM)&gt;0)*S_KOM)))</f>
        <v/>
      </c>
      <c r="O531" s="11" t="n"/>
      <c r="P531" s="10">
        <f>IF(O531="","",IFERROR(VLOOKUP(O531,T_KHID,2,FALSE),0))</f>
        <v/>
      </c>
      <c r="Q531" s="11" t="n"/>
      <c r="R531" s="11" t="n"/>
      <c r="S531" s="10">
        <f>IF(AND(Q531="",R531=""),"",IFERROR(INDEX(T_LIBAT,MATCH(Q531,L_PER,0),MATCH(R531,L_JENIS,0)),0))</f>
        <v/>
      </c>
      <c r="T531" s="11" t="n"/>
      <c r="U531" s="11" t="n"/>
      <c r="V531" s="10">
        <f>IF(AND(T531="",U531=""),"",IFERROR(INDEX(T_CAPAI,MATCH(T531,L_PER,0),MATCH(U531,L_KED,0)),0))</f>
        <v/>
      </c>
      <c r="W531" s="17">
        <f>IF(OR(B531="",E531="",COUNTA(F531,H531,J531:M531,O531,Q531:R531,T531:U531)=0),"",SUM(G531,I531,N531,P531,S531,V531))</f>
        <v/>
      </c>
      <c r="X531" s="18">
        <f>IF(W531="","",IF(Murid!F531="TL","TL",ROUND(W531/110*100,2)))</f>
        <v/>
      </c>
    </row>
    <row r="532">
      <c r="A532" s="15">
        <f>Murid!A532</f>
        <v/>
      </c>
      <c r="B532" s="15">
        <f>IF(Murid!B532="","",Murid!B532)</f>
        <v/>
      </c>
      <c r="C532" s="16">
        <f>IF(Murid!C532="","",Murid!C532)</f>
        <v/>
      </c>
      <c r="D532" s="15">
        <f>IF(Murid!E532="","",Murid!E532)</f>
        <v/>
      </c>
      <c r="E532" s="11" t="n"/>
      <c r="F532" s="11" t="n"/>
      <c r="G532" s="10">
        <f>IF(F532="","",IFERROR(VLOOKUP(F532,T_JSP,2,FALSE),0))</f>
        <v/>
      </c>
      <c r="H532" s="11" t="n"/>
      <c r="I532" s="17">
        <f>IF(H532="","",IF(H532&gt;=12,40,ROUND(H532*3.33,2)))</f>
        <v/>
      </c>
      <c r="J532" s="11" t="n"/>
      <c r="K532" s="11" t="n"/>
      <c r="L532" s="11" t="n"/>
      <c r="M532" s="11" t="n"/>
      <c r="N532" s="10">
        <f>IF(COUNTA(J532:M532)=0,"",MIN(10,SUMPRODUCT((COUNTIF(J532:M532,L_KOM)&gt;0)*S_KOM)))</f>
        <v/>
      </c>
      <c r="O532" s="11" t="n"/>
      <c r="P532" s="10">
        <f>IF(O532="","",IFERROR(VLOOKUP(O532,T_KHID,2,FALSE),0))</f>
        <v/>
      </c>
      <c r="Q532" s="11" t="n"/>
      <c r="R532" s="11" t="n"/>
      <c r="S532" s="10">
        <f>IF(AND(Q532="",R532=""),"",IFERROR(INDEX(T_LIBAT,MATCH(Q532,L_PER,0),MATCH(R532,L_JENIS,0)),0))</f>
        <v/>
      </c>
      <c r="T532" s="11" t="n"/>
      <c r="U532" s="11" t="n"/>
      <c r="V532" s="10">
        <f>IF(AND(T532="",U532=""),"",IFERROR(INDEX(T_CAPAI,MATCH(T532,L_PER,0),MATCH(U532,L_KED,0)),0))</f>
        <v/>
      </c>
      <c r="W532" s="17">
        <f>IF(OR(B532="",E532="",COUNTA(F532,H532,J532:M532,O532,Q532:R532,T532:U532)=0),"",SUM(G532,I532,N532,P532,S532,V532))</f>
        <v/>
      </c>
      <c r="X532" s="18">
        <f>IF(W532="","",IF(Murid!F532="TL","TL",ROUND(W532/110*100,2)))</f>
        <v/>
      </c>
    </row>
    <row r="533">
      <c r="A533" s="15">
        <f>Murid!A533</f>
        <v/>
      </c>
      <c r="B533" s="15">
        <f>IF(Murid!B533="","",Murid!B533)</f>
        <v/>
      </c>
      <c r="C533" s="16">
        <f>IF(Murid!C533="","",Murid!C533)</f>
        <v/>
      </c>
      <c r="D533" s="15">
        <f>IF(Murid!E533="","",Murid!E533)</f>
        <v/>
      </c>
      <c r="E533" s="11" t="n"/>
      <c r="F533" s="11" t="n"/>
      <c r="G533" s="10">
        <f>IF(F533="","",IFERROR(VLOOKUP(F533,T_JSP,2,FALSE),0))</f>
        <v/>
      </c>
      <c r="H533" s="11" t="n"/>
      <c r="I533" s="17">
        <f>IF(H533="","",IF(H533&gt;=12,40,ROUND(H533*3.33,2)))</f>
        <v/>
      </c>
      <c r="J533" s="11" t="n"/>
      <c r="K533" s="11" t="n"/>
      <c r="L533" s="11" t="n"/>
      <c r="M533" s="11" t="n"/>
      <c r="N533" s="10">
        <f>IF(COUNTA(J533:M533)=0,"",MIN(10,SUMPRODUCT((COUNTIF(J533:M533,L_KOM)&gt;0)*S_KOM)))</f>
        <v/>
      </c>
      <c r="O533" s="11" t="n"/>
      <c r="P533" s="10">
        <f>IF(O533="","",IFERROR(VLOOKUP(O533,T_KHID,2,FALSE),0))</f>
        <v/>
      </c>
      <c r="Q533" s="11" t="n"/>
      <c r="R533" s="11" t="n"/>
      <c r="S533" s="10">
        <f>IF(AND(Q533="",R533=""),"",IFERROR(INDEX(T_LIBAT,MATCH(Q533,L_PER,0),MATCH(R533,L_JENIS,0)),0))</f>
        <v/>
      </c>
      <c r="T533" s="11" t="n"/>
      <c r="U533" s="11" t="n"/>
      <c r="V533" s="10">
        <f>IF(AND(T533="",U533=""),"",IFERROR(INDEX(T_CAPAI,MATCH(T533,L_PER,0),MATCH(U533,L_KED,0)),0))</f>
        <v/>
      </c>
      <c r="W533" s="17">
        <f>IF(OR(B533="",E533="",COUNTA(F533,H533,J533:M533,O533,Q533:R533,T533:U533)=0),"",SUM(G533,I533,N533,P533,S533,V533))</f>
        <v/>
      </c>
      <c r="X533" s="18">
        <f>IF(W533="","",IF(Murid!F533="TL","TL",ROUND(W533/110*100,2)))</f>
        <v/>
      </c>
    </row>
    <row r="534">
      <c r="A534" s="15">
        <f>Murid!A534</f>
        <v/>
      </c>
      <c r="B534" s="15">
        <f>IF(Murid!B534="","",Murid!B534)</f>
        <v/>
      </c>
      <c r="C534" s="16">
        <f>IF(Murid!C534="","",Murid!C534)</f>
        <v/>
      </c>
      <c r="D534" s="15">
        <f>IF(Murid!E534="","",Murid!E534)</f>
        <v/>
      </c>
      <c r="E534" s="11" t="n"/>
      <c r="F534" s="11" t="n"/>
      <c r="G534" s="10">
        <f>IF(F534="","",IFERROR(VLOOKUP(F534,T_JSP,2,FALSE),0))</f>
        <v/>
      </c>
      <c r="H534" s="11" t="n"/>
      <c r="I534" s="17">
        <f>IF(H534="","",IF(H534&gt;=12,40,ROUND(H534*3.33,2)))</f>
        <v/>
      </c>
      <c r="J534" s="11" t="n"/>
      <c r="K534" s="11" t="n"/>
      <c r="L534" s="11" t="n"/>
      <c r="M534" s="11" t="n"/>
      <c r="N534" s="10">
        <f>IF(COUNTA(J534:M534)=0,"",MIN(10,SUMPRODUCT((COUNTIF(J534:M534,L_KOM)&gt;0)*S_KOM)))</f>
        <v/>
      </c>
      <c r="O534" s="11" t="n"/>
      <c r="P534" s="10">
        <f>IF(O534="","",IFERROR(VLOOKUP(O534,T_KHID,2,FALSE),0))</f>
        <v/>
      </c>
      <c r="Q534" s="11" t="n"/>
      <c r="R534" s="11" t="n"/>
      <c r="S534" s="10">
        <f>IF(AND(Q534="",R534=""),"",IFERROR(INDEX(T_LIBAT,MATCH(Q534,L_PER,0),MATCH(R534,L_JENIS,0)),0))</f>
        <v/>
      </c>
      <c r="T534" s="11" t="n"/>
      <c r="U534" s="11" t="n"/>
      <c r="V534" s="10">
        <f>IF(AND(T534="",U534=""),"",IFERROR(INDEX(T_CAPAI,MATCH(T534,L_PER,0),MATCH(U534,L_KED,0)),0))</f>
        <v/>
      </c>
      <c r="W534" s="17">
        <f>IF(OR(B534="",E534="",COUNTA(F534,H534,J534:M534,O534,Q534:R534,T534:U534)=0),"",SUM(G534,I534,N534,P534,S534,V534))</f>
        <v/>
      </c>
      <c r="X534" s="18">
        <f>IF(W534="","",IF(Murid!F534="TL","TL",ROUND(W534/110*100,2)))</f>
        <v/>
      </c>
    </row>
    <row r="535">
      <c r="A535" s="15">
        <f>Murid!A535</f>
        <v/>
      </c>
      <c r="B535" s="15">
        <f>IF(Murid!B535="","",Murid!B535)</f>
        <v/>
      </c>
      <c r="C535" s="16">
        <f>IF(Murid!C535="","",Murid!C535)</f>
        <v/>
      </c>
      <c r="D535" s="15">
        <f>IF(Murid!E535="","",Murid!E535)</f>
        <v/>
      </c>
      <c r="E535" s="11" t="n"/>
      <c r="F535" s="11" t="n"/>
      <c r="G535" s="10">
        <f>IF(F535="","",IFERROR(VLOOKUP(F535,T_JSP,2,FALSE),0))</f>
        <v/>
      </c>
      <c r="H535" s="11" t="n"/>
      <c r="I535" s="17">
        <f>IF(H535="","",IF(H535&gt;=12,40,ROUND(H535*3.33,2)))</f>
        <v/>
      </c>
      <c r="J535" s="11" t="n"/>
      <c r="K535" s="11" t="n"/>
      <c r="L535" s="11" t="n"/>
      <c r="M535" s="11" t="n"/>
      <c r="N535" s="10">
        <f>IF(COUNTA(J535:M535)=0,"",MIN(10,SUMPRODUCT((COUNTIF(J535:M535,L_KOM)&gt;0)*S_KOM)))</f>
        <v/>
      </c>
      <c r="O535" s="11" t="n"/>
      <c r="P535" s="10">
        <f>IF(O535="","",IFERROR(VLOOKUP(O535,T_KHID,2,FALSE),0))</f>
        <v/>
      </c>
      <c r="Q535" s="11" t="n"/>
      <c r="R535" s="11" t="n"/>
      <c r="S535" s="10">
        <f>IF(AND(Q535="",R535=""),"",IFERROR(INDEX(T_LIBAT,MATCH(Q535,L_PER,0),MATCH(R535,L_JENIS,0)),0))</f>
        <v/>
      </c>
      <c r="T535" s="11" t="n"/>
      <c r="U535" s="11" t="n"/>
      <c r="V535" s="10">
        <f>IF(AND(T535="",U535=""),"",IFERROR(INDEX(T_CAPAI,MATCH(T535,L_PER,0),MATCH(U535,L_KED,0)),0))</f>
        <v/>
      </c>
      <c r="W535" s="17">
        <f>IF(OR(B535="",E535="",COUNTA(F535,H535,J535:M535,O535,Q535:R535,T535:U535)=0),"",SUM(G535,I535,N535,P535,S535,V535))</f>
        <v/>
      </c>
      <c r="X535" s="18">
        <f>IF(W535="","",IF(Murid!F535="TL","TL",ROUND(W535/110*100,2)))</f>
        <v/>
      </c>
    </row>
    <row r="536">
      <c r="A536" s="15">
        <f>Murid!A536</f>
        <v/>
      </c>
      <c r="B536" s="15">
        <f>IF(Murid!B536="","",Murid!B536)</f>
        <v/>
      </c>
      <c r="C536" s="16">
        <f>IF(Murid!C536="","",Murid!C536)</f>
        <v/>
      </c>
      <c r="D536" s="15">
        <f>IF(Murid!E536="","",Murid!E536)</f>
        <v/>
      </c>
      <c r="E536" s="11" t="n"/>
      <c r="F536" s="11" t="n"/>
      <c r="G536" s="10">
        <f>IF(F536="","",IFERROR(VLOOKUP(F536,T_JSP,2,FALSE),0))</f>
        <v/>
      </c>
      <c r="H536" s="11" t="n"/>
      <c r="I536" s="17">
        <f>IF(H536="","",IF(H536&gt;=12,40,ROUND(H536*3.33,2)))</f>
        <v/>
      </c>
      <c r="J536" s="11" t="n"/>
      <c r="K536" s="11" t="n"/>
      <c r="L536" s="11" t="n"/>
      <c r="M536" s="11" t="n"/>
      <c r="N536" s="10">
        <f>IF(COUNTA(J536:M536)=0,"",MIN(10,SUMPRODUCT((COUNTIF(J536:M536,L_KOM)&gt;0)*S_KOM)))</f>
        <v/>
      </c>
      <c r="O536" s="11" t="n"/>
      <c r="P536" s="10">
        <f>IF(O536="","",IFERROR(VLOOKUP(O536,T_KHID,2,FALSE),0))</f>
        <v/>
      </c>
      <c r="Q536" s="11" t="n"/>
      <c r="R536" s="11" t="n"/>
      <c r="S536" s="10">
        <f>IF(AND(Q536="",R536=""),"",IFERROR(INDEX(T_LIBAT,MATCH(Q536,L_PER,0),MATCH(R536,L_JENIS,0)),0))</f>
        <v/>
      </c>
      <c r="T536" s="11" t="n"/>
      <c r="U536" s="11" t="n"/>
      <c r="V536" s="10">
        <f>IF(AND(T536="",U536=""),"",IFERROR(INDEX(T_CAPAI,MATCH(T536,L_PER,0),MATCH(U536,L_KED,0)),0))</f>
        <v/>
      </c>
      <c r="W536" s="17">
        <f>IF(OR(B536="",E536="",COUNTA(F536,H536,J536:M536,O536,Q536:R536,T536:U536)=0),"",SUM(G536,I536,N536,P536,S536,V536))</f>
        <v/>
      </c>
      <c r="X536" s="18">
        <f>IF(W536="","",IF(Murid!F536="TL","TL",ROUND(W536/110*100,2)))</f>
        <v/>
      </c>
    </row>
    <row r="537">
      <c r="A537" s="15">
        <f>Murid!A537</f>
        <v/>
      </c>
      <c r="B537" s="15">
        <f>IF(Murid!B537="","",Murid!B537)</f>
        <v/>
      </c>
      <c r="C537" s="16">
        <f>IF(Murid!C537="","",Murid!C537)</f>
        <v/>
      </c>
      <c r="D537" s="15">
        <f>IF(Murid!E537="","",Murid!E537)</f>
        <v/>
      </c>
      <c r="E537" s="11" t="n"/>
      <c r="F537" s="11" t="n"/>
      <c r="G537" s="10">
        <f>IF(F537="","",IFERROR(VLOOKUP(F537,T_JSP,2,FALSE),0))</f>
        <v/>
      </c>
      <c r="H537" s="11" t="n"/>
      <c r="I537" s="17">
        <f>IF(H537="","",IF(H537&gt;=12,40,ROUND(H537*3.33,2)))</f>
        <v/>
      </c>
      <c r="J537" s="11" t="n"/>
      <c r="K537" s="11" t="n"/>
      <c r="L537" s="11" t="n"/>
      <c r="M537" s="11" t="n"/>
      <c r="N537" s="10">
        <f>IF(COUNTA(J537:M537)=0,"",MIN(10,SUMPRODUCT((COUNTIF(J537:M537,L_KOM)&gt;0)*S_KOM)))</f>
        <v/>
      </c>
      <c r="O537" s="11" t="n"/>
      <c r="P537" s="10">
        <f>IF(O537="","",IFERROR(VLOOKUP(O537,T_KHID,2,FALSE),0))</f>
        <v/>
      </c>
      <c r="Q537" s="11" t="n"/>
      <c r="R537" s="11" t="n"/>
      <c r="S537" s="10">
        <f>IF(AND(Q537="",R537=""),"",IFERROR(INDEX(T_LIBAT,MATCH(Q537,L_PER,0),MATCH(R537,L_JENIS,0)),0))</f>
        <v/>
      </c>
      <c r="T537" s="11" t="n"/>
      <c r="U537" s="11" t="n"/>
      <c r="V537" s="10">
        <f>IF(AND(T537="",U537=""),"",IFERROR(INDEX(T_CAPAI,MATCH(T537,L_PER,0),MATCH(U537,L_KED,0)),0))</f>
        <v/>
      </c>
      <c r="W537" s="17">
        <f>IF(OR(B537="",E537="",COUNTA(F537,H537,J537:M537,O537,Q537:R537,T537:U537)=0),"",SUM(G537,I537,N537,P537,S537,V537))</f>
        <v/>
      </c>
      <c r="X537" s="18">
        <f>IF(W537="","",IF(Murid!F537="TL","TL",ROUND(W537/110*100,2)))</f>
        <v/>
      </c>
    </row>
    <row r="538">
      <c r="A538" s="15">
        <f>Murid!A538</f>
        <v/>
      </c>
      <c r="B538" s="15">
        <f>IF(Murid!B538="","",Murid!B538)</f>
        <v/>
      </c>
      <c r="C538" s="16">
        <f>IF(Murid!C538="","",Murid!C538)</f>
        <v/>
      </c>
      <c r="D538" s="15">
        <f>IF(Murid!E538="","",Murid!E538)</f>
        <v/>
      </c>
      <c r="E538" s="11" t="n"/>
      <c r="F538" s="11" t="n"/>
      <c r="G538" s="10">
        <f>IF(F538="","",IFERROR(VLOOKUP(F538,T_JSP,2,FALSE),0))</f>
        <v/>
      </c>
      <c r="H538" s="11" t="n"/>
      <c r="I538" s="17">
        <f>IF(H538="","",IF(H538&gt;=12,40,ROUND(H538*3.33,2)))</f>
        <v/>
      </c>
      <c r="J538" s="11" t="n"/>
      <c r="K538" s="11" t="n"/>
      <c r="L538" s="11" t="n"/>
      <c r="M538" s="11" t="n"/>
      <c r="N538" s="10">
        <f>IF(COUNTA(J538:M538)=0,"",MIN(10,SUMPRODUCT((COUNTIF(J538:M538,L_KOM)&gt;0)*S_KOM)))</f>
        <v/>
      </c>
      <c r="O538" s="11" t="n"/>
      <c r="P538" s="10">
        <f>IF(O538="","",IFERROR(VLOOKUP(O538,T_KHID,2,FALSE),0))</f>
        <v/>
      </c>
      <c r="Q538" s="11" t="n"/>
      <c r="R538" s="11" t="n"/>
      <c r="S538" s="10">
        <f>IF(AND(Q538="",R538=""),"",IFERROR(INDEX(T_LIBAT,MATCH(Q538,L_PER,0),MATCH(R538,L_JENIS,0)),0))</f>
        <v/>
      </c>
      <c r="T538" s="11" t="n"/>
      <c r="U538" s="11" t="n"/>
      <c r="V538" s="10">
        <f>IF(AND(T538="",U538=""),"",IFERROR(INDEX(T_CAPAI,MATCH(T538,L_PER,0),MATCH(U538,L_KED,0)),0))</f>
        <v/>
      </c>
      <c r="W538" s="17">
        <f>IF(OR(B538="",E538="",COUNTA(F538,H538,J538:M538,O538,Q538:R538,T538:U538)=0),"",SUM(G538,I538,N538,P538,S538,V538))</f>
        <v/>
      </c>
      <c r="X538" s="18">
        <f>IF(W538="","",IF(Murid!F538="TL","TL",ROUND(W538/110*100,2)))</f>
        <v/>
      </c>
    </row>
    <row r="539">
      <c r="A539" s="15">
        <f>Murid!A539</f>
        <v/>
      </c>
      <c r="B539" s="15">
        <f>IF(Murid!B539="","",Murid!B539)</f>
        <v/>
      </c>
      <c r="C539" s="16">
        <f>IF(Murid!C539="","",Murid!C539)</f>
        <v/>
      </c>
      <c r="D539" s="15">
        <f>IF(Murid!E539="","",Murid!E539)</f>
        <v/>
      </c>
      <c r="E539" s="11" t="n"/>
      <c r="F539" s="11" t="n"/>
      <c r="G539" s="10">
        <f>IF(F539="","",IFERROR(VLOOKUP(F539,T_JSP,2,FALSE),0))</f>
        <v/>
      </c>
      <c r="H539" s="11" t="n"/>
      <c r="I539" s="17">
        <f>IF(H539="","",IF(H539&gt;=12,40,ROUND(H539*3.33,2)))</f>
        <v/>
      </c>
      <c r="J539" s="11" t="n"/>
      <c r="K539" s="11" t="n"/>
      <c r="L539" s="11" t="n"/>
      <c r="M539" s="11" t="n"/>
      <c r="N539" s="10">
        <f>IF(COUNTA(J539:M539)=0,"",MIN(10,SUMPRODUCT((COUNTIF(J539:M539,L_KOM)&gt;0)*S_KOM)))</f>
        <v/>
      </c>
      <c r="O539" s="11" t="n"/>
      <c r="P539" s="10">
        <f>IF(O539="","",IFERROR(VLOOKUP(O539,T_KHID,2,FALSE),0))</f>
        <v/>
      </c>
      <c r="Q539" s="11" t="n"/>
      <c r="R539" s="11" t="n"/>
      <c r="S539" s="10">
        <f>IF(AND(Q539="",R539=""),"",IFERROR(INDEX(T_LIBAT,MATCH(Q539,L_PER,0),MATCH(R539,L_JENIS,0)),0))</f>
        <v/>
      </c>
      <c r="T539" s="11" t="n"/>
      <c r="U539" s="11" t="n"/>
      <c r="V539" s="10">
        <f>IF(AND(T539="",U539=""),"",IFERROR(INDEX(T_CAPAI,MATCH(T539,L_PER,0),MATCH(U539,L_KED,0)),0))</f>
        <v/>
      </c>
      <c r="W539" s="17">
        <f>IF(OR(B539="",E539="",COUNTA(F539,H539,J539:M539,O539,Q539:R539,T539:U539)=0),"",SUM(G539,I539,N539,P539,S539,V539))</f>
        <v/>
      </c>
      <c r="X539" s="18">
        <f>IF(W539="","",IF(Murid!F539="TL","TL",ROUND(W539/110*100,2)))</f>
        <v/>
      </c>
    </row>
    <row r="540">
      <c r="A540" s="15">
        <f>Murid!A540</f>
        <v/>
      </c>
      <c r="B540" s="15">
        <f>IF(Murid!B540="","",Murid!B540)</f>
        <v/>
      </c>
      <c r="C540" s="16">
        <f>IF(Murid!C540="","",Murid!C540)</f>
        <v/>
      </c>
      <c r="D540" s="15">
        <f>IF(Murid!E540="","",Murid!E540)</f>
        <v/>
      </c>
      <c r="E540" s="11" t="n"/>
      <c r="F540" s="11" t="n"/>
      <c r="G540" s="10">
        <f>IF(F540="","",IFERROR(VLOOKUP(F540,T_JSP,2,FALSE),0))</f>
        <v/>
      </c>
      <c r="H540" s="11" t="n"/>
      <c r="I540" s="17">
        <f>IF(H540="","",IF(H540&gt;=12,40,ROUND(H540*3.33,2)))</f>
        <v/>
      </c>
      <c r="J540" s="11" t="n"/>
      <c r="K540" s="11" t="n"/>
      <c r="L540" s="11" t="n"/>
      <c r="M540" s="11" t="n"/>
      <c r="N540" s="10">
        <f>IF(COUNTA(J540:M540)=0,"",MIN(10,SUMPRODUCT((COUNTIF(J540:M540,L_KOM)&gt;0)*S_KOM)))</f>
        <v/>
      </c>
      <c r="O540" s="11" t="n"/>
      <c r="P540" s="10">
        <f>IF(O540="","",IFERROR(VLOOKUP(O540,T_KHID,2,FALSE),0))</f>
        <v/>
      </c>
      <c r="Q540" s="11" t="n"/>
      <c r="R540" s="11" t="n"/>
      <c r="S540" s="10">
        <f>IF(AND(Q540="",R540=""),"",IFERROR(INDEX(T_LIBAT,MATCH(Q540,L_PER,0),MATCH(R540,L_JENIS,0)),0))</f>
        <v/>
      </c>
      <c r="T540" s="11" t="n"/>
      <c r="U540" s="11" t="n"/>
      <c r="V540" s="10">
        <f>IF(AND(T540="",U540=""),"",IFERROR(INDEX(T_CAPAI,MATCH(T540,L_PER,0),MATCH(U540,L_KED,0)),0))</f>
        <v/>
      </c>
      <c r="W540" s="17">
        <f>IF(OR(B540="",E540="",COUNTA(F540,H540,J540:M540,O540,Q540:R540,T540:U540)=0),"",SUM(G540,I540,N540,P540,S540,V540))</f>
        <v/>
      </c>
      <c r="X540" s="18">
        <f>IF(W540="","",IF(Murid!F540="TL","TL",ROUND(W540/110*100,2)))</f>
        <v/>
      </c>
    </row>
    <row r="541">
      <c r="A541" s="15">
        <f>Murid!A541</f>
        <v/>
      </c>
      <c r="B541" s="15">
        <f>IF(Murid!B541="","",Murid!B541)</f>
        <v/>
      </c>
      <c r="C541" s="16">
        <f>IF(Murid!C541="","",Murid!C541)</f>
        <v/>
      </c>
      <c r="D541" s="15">
        <f>IF(Murid!E541="","",Murid!E541)</f>
        <v/>
      </c>
      <c r="E541" s="11" t="n"/>
      <c r="F541" s="11" t="n"/>
      <c r="G541" s="10">
        <f>IF(F541="","",IFERROR(VLOOKUP(F541,T_JSP,2,FALSE),0))</f>
        <v/>
      </c>
      <c r="H541" s="11" t="n"/>
      <c r="I541" s="17">
        <f>IF(H541="","",IF(H541&gt;=12,40,ROUND(H541*3.33,2)))</f>
        <v/>
      </c>
      <c r="J541" s="11" t="n"/>
      <c r="K541" s="11" t="n"/>
      <c r="L541" s="11" t="n"/>
      <c r="M541" s="11" t="n"/>
      <c r="N541" s="10">
        <f>IF(COUNTA(J541:M541)=0,"",MIN(10,SUMPRODUCT((COUNTIF(J541:M541,L_KOM)&gt;0)*S_KOM)))</f>
        <v/>
      </c>
      <c r="O541" s="11" t="n"/>
      <c r="P541" s="10">
        <f>IF(O541="","",IFERROR(VLOOKUP(O541,T_KHID,2,FALSE),0))</f>
        <v/>
      </c>
      <c r="Q541" s="11" t="n"/>
      <c r="R541" s="11" t="n"/>
      <c r="S541" s="10">
        <f>IF(AND(Q541="",R541=""),"",IFERROR(INDEX(T_LIBAT,MATCH(Q541,L_PER,0),MATCH(R541,L_JENIS,0)),0))</f>
        <v/>
      </c>
      <c r="T541" s="11" t="n"/>
      <c r="U541" s="11" t="n"/>
      <c r="V541" s="10">
        <f>IF(AND(T541="",U541=""),"",IFERROR(INDEX(T_CAPAI,MATCH(T541,L_PER,0),MATCH(U541,L_KED,0)),0))</f>
        <v/>
      </c>
      <c r="W541" s="17">
        <f>IF(OR(B541="",E541="",COUNTA(F541,H541,J541:M541,O541,Q541:R541,T541:U541)=0),"",SUM(G541,I541,N541,P541,S541,V541))</f>
        <v/>
      </c>
      <c r="X541" s="18">
        <f>IF(W541="","",IF(Murid!F541="TL","TL",ROUND(W541/110*100,2)))</f>
        <v/>
      </c>
    </row>
    <row r="542">
      <c r="A542" s="15">
        <f>Murid!A542</f>
        <v/>
      </c>
      <c r="B542" s="15">
        <f>IF(Murid!B542="","",Murid!B542)</f>
        <v/>
      </c>
      <c r="C542" s="16">
        <f>IF(Murid!C542="","",Murid!C542)</f>
        <v/>
      </c>
      <c r="D542" s="15">
        <f>IF(Murid!E542="","",Murid!E542)</f>
        <v/>
      </c>
      <c r="E542" s="11" t="n"/>
      <c r="F542" s="11" t="n"/>
      <c r="G542" s="10">
        <f>IF(F542="","",IFERROR(VLOOKUP(F542,T_JSP,2,FALSE),0))</f>
        <v/>
      </c>
      <c r="H542" s="11" t="n"/>
      <c r="I542" s="17">
        <f>IF(H542="","",IF(H542&gt;=12,40,ROUND(H542*3.33,2)))</f>
        <v/>
      </c>
      <c r="J542" s="11" t="n"/>
      <c r="K542" s="11" t="n"/>
      <c r="L542" s="11" t="n"/>
      <c r="M542" s="11" t="n"/>
      <c r="N542" s="10">
        <f>IF(COUNTA(J542:M542)=0,"",MIN(10,SUMPRODUCT((COUNTIF(J542:M542,L_KOM)&gt;0)*S_KOM)))</f>
        <v/>
      </c>
      <c r="O542" s="11" t="n"/>
      <c r="P542" s="10">
        <f>IF(O542="","",IFERROR(VLOOKUP(O542,T_KHID,2,FALSE),0))</f>
        <v/>
      </c>
      <c r="Q542" s="11" t="n"/>
      <c r="R542" s="11" t="n"/>
      <c r="S542" s="10">
        <f>IF(AND(Q542="",R542=""),"",IFERROR(INDEX(T_LIBAT,MATCH(Q542,L_PER,0),MATCH(R542,L_JENIS,0)),0))</f>
        <v/>
      </c>
      <c r="T542" s="11" t="n"/>
      <c r="U542" s="11" t="n"/>
      <c r="V542" s="10">
        <f>IF(AND(T542="",U542=""),"",IFERROR(INDEX(T_CAPAI,MATCH(T542,L_PER,0),MATCH(U542,L_KED,0)),0))</f>
        <v/>
      </c>
      <c r="W542" s="17">
        <f>IF(OR(B542="",E542="",COUNTA(F542,H542,J542:M542,O542,Q542:R542,T542:U542)=0),"",SUM(G542,I542,N542,P542,S542,V542))</f>
        <v/>
      </c>
      <c r="X542" s="18">
        <f>IF(W542="","",IF(Murid!F542="TL","TL",ROUND(W542/110*100,2)))</f>
        <v/>
      </c>
    </row>
    <row r="543">
      <c r="A543" s="15">
        <f>Murid!A543</f>
        <v/>
      </c>
      <c r="B543" s="15">
        <f>IF(Murid!B543="","",Murid!B543)</f>
        <v/>
      </c>
      <c r="C543" s="16">
        <f>IF(Murid!C543="","",Murid!C543)</f>
        <v/>
      </c>
      <c r="D543" s="15">
        <f>IF(Murid!E543="","",Murid!E543)</f>
        <v/>
      </c>
      <c r="E543" s="11" t="n"/>
      <c r="F543" s="11" t="n"/>
      <c r="G543" s="10">
        <f>IF(F543="","",IFERROR(VLOOKUP(F543,T_JSP,2,FALSE),0))</f>
        <v/>
      </c>
      <c r="H543" s="11" t="n"/>
      <c r="I543" s="17">
        <f>IF(H543="","",IF(H543&gt;=12,40,ROUND(H543*3.33,2)))</f>
        <v/>
      </c>
      <c r="J543" s="11" t="n"/>
      <c r="K543" s="11" t="n"/>
      <c r="L543" s="11" t="n"/>
      <c r="M543" s="11" t="n"/>
      <c r="N543" s="10">
        <f>IF(COUNTA(J543:M543)=0,"",MIN(10,SUMPRODUCT((COUNTIF(J543:M543,L_KOM)&gt;0)*S_KOM)))</f>
        <v/>
      </c>
      <c r="O543" s="11" t="n"/>
      <c r="P543" s="10">
        <f>IF(O543="","",IFERROR(VLOOKUP(O543,T_KHID,2,FALSE),0))</f>
        <v/>
      </c>
      <c r="Q543" s="11" t="n"/>
      <c r="R543" s="11" t="n"/>
      <c r="S543" s="10">
        <f>IF(AND(Q543="",R543=""),"",IFERROR(INDEX(T_LIBAT,MATCH(Q543,L_PER,0),MATCH(R543,L_JENIS,0)),0))</f>
        <v/>
      </c>
      <c r="T543" s="11" t="n"/>
      <c r="U543" s="11" t="n"/>
      <c r="V543" s="10">
        <f>IF(AND(T543="",U543=""),"",IFERROR(INDEX(T_CAPAI,MATCH(T543,L_PER,0),MATCH(U543,L_KED,0)),0))</f>
        <v/>
      </c>
      <c r="W543" s="17">
        <f>IF(OR(B543="",E543="",COUNTA(F543,H543,J543:M543,O543,Q543:R543,T543:U543)=0),"",SUM(G543,I543,N543,P543,S543,V543))</f>
        <v/>
      </c>
      <c r="X543" s="18">
        <f>IF(W543="","",IF(Murid!F543="TL","TL",ROUND(W543/110*100,2)))</f>
        <v/>
      </c>
    </row>
    <row r="544">
      <c r="A544" s="15">
        <f>Murid!A544</f>
        <v/>
      </c>
      <c r="B544" s="15">
        <f>IF(Murid!B544="","",Murid!B544)</f>
        <v/>
      </c>
      <c r="C544" s="16">
        <f>IF(Murid!C544="","",Murid!C544)</f>
        <v/>
      </c>
      <c r="D544" s="15">
        <f>IF(Murid!E544="","",Murid!E544)</f>
        <v/>
      </c>
      <c r="E544" s="11" t="n"/>
      <c r="F544" s="11" t="n"/>
      <c r="G544" s="10">
        <f>IF(F544="","",IFERROR(VLOOKUP(F544,T_JSP,2,FALSE),0))</f>
        <v/>
      </c>
      <c r="H544" s="11" t="n"/>
      <c r="I544" s="17">
        <f>IF(H544="","",IF(H544&gt;=12,40,ROUND(H544*3.33,2)))</f>
        <v/>
      </c>
      <c r="J544" s="11" t="n"/>
      <c r="K544" s="11" t="n"/>
      <c r="L544" s="11" t="n"/>
      <c r="M544" s="11" t="n"/>
      <c r="N544" s="10">
        <f>IF(COUNTA(J544:M544)=0,"",MIN(10,SUMPRODUCT((COUNTIF(J544:M544,L_KOM)&gt;0)*S_KOM)))</f>
        <v/>
      </c>
      <c r="O544" s="11" t="n"/>
      <c r="P544" s="10">
        <f>IF(O544="","",IFERROR(VLOOKUP(O544,T_KHID,2,FALSE),0))</f>
        <v/>
      </c>
      <c r="Q544" s="11" t="n"/>
      <c r="R544" s="11" t="n"/>
      <c r="S544" s="10">
        <f>IF(AND(Q544="",R544=""),"",IFERROR(INDEX(T_LIBAT,MATCH(Q544,L_PER,0),MATCH(R544,L_JENIS,0)),0))</f>
        <v/>
      </c>
      <c r="T544" s="11" t="n"/>
      <c r="U544" s="11" t="n"/>
      <c r="V544" s="10">
        <f>IF(AND(T544="",U544=""),"",IFERROR(INDEX(T_CAPAI,MATCH(T544,L_PER,0),MATCH(U544,L_KED,0)),0))</f>
        <v/>
      </c>
      <c r="W544" s="17">
        <f>IF(OR(B544="",E544="",COUNTA(F544,H544,J544:M544,O544,Q544:R544,T544:U544)=0),"",SUM(G544,I544,N544,P544,S544,V544))</f>
        <v/>
      </c>
      <c r="X544" s="18">
        <f>IF(W544="","",IF(Murid!F544="TL","TL",ROUND(W544/110*100,2)))</f>
        <v/>
      </c>
    </row>
    <row r="545">
      <c r="A545" s="15">
        <f>Murid!A545</f>
        <v/>
      </c>
      <c r="B545" s="15">
        <f>IF(Murid!B545="","",Murid!B545)</f>
        <v/>
      </c>
      <c r="C545" s="16">
        <f>IF(Murid!C545="","",Murid!C545)</f>
        <v/>
      </c>
      <c r="D545" s="15">
        <f>IF(Murid!E545="","",Murid!E545)</f>
        <v/>
      </c>
      <c r="E545" s="11" t="n"/>
      <c r="F545" s="11" t="n"/>
      <c r="G545" s="10">
        <f>IF(F545="","",IFERROR(VLOOKUP(F545,T_JSP,2,FALSE),0))</f>
        <v/>
      </c>
      <c r="H545" s="11" t="n"/>
      <c r="I545" s="17">
        <f>IF(H545="","",IF(H545&gt;=12,40,ROUND(H545*3.33,2)))</f>
        <v/>
      </c>
      <c r="J545" s="11" t="n"/>
      <c r="K545" s="11" t="n"/>
      <c r="L545" s="11" t="n"/>
      <c r="M545" s="11" t="n"/>
      <c r="N545" s="10">
        <f>IF(COUNTA(J545:M545)=0,"",MIN(10,SUMPRODUCT((COUNTIF(J545:M545,L_KOM)&gt;0)*S_KOM)))</f>
        <v/>
      </c>
      <c r="O545" s="11" t="n"/>
      <c r="P545" s="10">
        <f>IF(O545="","",IFERROR(VLOOKUP(O545,T_KHID,2,FALSE),0))</f>
        <v/>
      </c>
      <c r="Q545" s="11" t="n"/>
      <c r="R545" s="11" t="n"/>
      <c r="S545" s="10">
        <f>IF(AND(Q545="",R545=""),"",IFERROR(INDEX(T_LIBAT,MATCH(Q545,L_PER,0),MATCH(R545,L_JENIS,0)),0))</f>
        <v/>
      </c>
      <c r="T545" s="11" t="n"/>
      <c r="U545" s="11" t="n"/>
      <c r="V545" s="10">
        <f>IF(AND(T545="",U545=""),"",IFERROR(INDEX(T_CAPAI,MATCH(T545,L_PER,0),MATCH(U545,L_KED,0)),0))</f>
        <v/>
      </c>
      <c r="W545" s="17">
        <f>IF(OR(B545="",E545="",COUNTA(F545,H545,J545:M545,O545,Q545:R545,T545:U545)=0),"",SUM(G545,I545,N545,P545,S545,V545))</f>
        <v/>
      </c>
      <c r="X545" s="18">
        <f>IF(W545="","",IF(Murid!F545="TL","TL",ROUND(W545/110*100,2)))</f>
        <v/>
      </c>
    </row>
    <row r="546">
      <c r="A546" s="15">
        <f>Murid!A546</f>
        <v/>
      </c>
      <c r="B546" s="15">
        <f>IF(Murid!B546="","",Murid!B546)</f>
        <v/>
      </c>
      <c r="C546" s="16">
        <f>IF(Murid!C546="","",Murid!C546)</f>
        <v/>
      </c>
      <c r="D546" s="15">
        <f>IF(Murid!E546="","",Murid!E546)</f>
        <v/>
      </c>
      <c r="E546" s="11" t="n"/>
      <c r="F546" s="11" t="n"/>
      <c r="G546" s="10">
        <f>IF(F546="","",IFERROR(VLOOKUP(F546,T_JSP,2,FALSE),0))</f>
        <v/>
      </c>
      <c r="H546" s="11" t="n"/>
      <c r="I546" s="17">
        <f>IF(H546="","",IF(H546&gt;=12,40,ROUND(H546*3.33,2)))</f>
        <v/>
      </c>
      <c r="J546" s="11" t="n"/>
      <c r="K546" s="11" t="n"/>
      <c r="L546" s="11" t="n"/>
      <c r="M546" s="11" t="n"/>
      <c r="N546" s="10">
        <f>IF(COUNTA(J546:M546)=0,"",MIN(10,SUMPRODUCT((COUNTIF(J546:M546,L_KOM)&gt;0)*S_KOM)))</f>
        <v/>
      </c>
      <c r="O546" s="11" t="n"/>
      <c r="P546" s="10">
        <f>IF(O546="","",IFERROR(VLOOKUP(O546,T_KHID,2,FALSE),0))</f>
        <v/>
      </c>
      <c r="Q546" s="11" t="n"/>
      <c r="R546" s="11" t="n"/>
      <c r="S546" s="10">
        <f>IF(AND(Q546="",R546=""),"",IFERROR(INDEX(T_LIBAT,MATCH(Q546,L_PER,0),MATCH(R546,L_JENIS,0)),0))</f>
        <v/>
      </c>
      <c r="T546" s="11" t="n"/>
      <c r="U546" s="11" t="n"/>
      <c r="V546" s="10">
        <f>IF(AND(T546="",U546=""),"",IFERROR(INDEX(T_CAPAI,MATCH(T546,L_PER,0),MATCH(U546,L_KED,0)),0))</f>
        <v/>
      </c>
      <c r="W546" s="17">
        <f>IF(OR(B546="",E546="",COUNTA(F546,H546,J546:M546,O546,Q546:R546,T546:U546)=0),"",SUM(G546,I546,N546,P546,S546,V546))</f>
        <v/>
      </c>
      <c r="X546" s="18">
        <f>IF(W546="","",IF(Murid!F546="TL","TL",ROUND(W546/110*100,2)))</f>
        <v/>
      </c>
    </row>
    <row r="547">
      <c r="A547" s="15">
        <f>Murid!A547</f>
        <v/>
      </c>
      <c r="B547" s="15">
        <f>IF(Murid!B547="","",Murid!B547)</f>
        <v/>
      </c>
      <c r="C547" s="16">
        <f>IF(Murid!C547="","",Murid!C547)</f>
        <v/>
      </c>
      <c r="D547" s="15">
        <f>IF(Murid!E547="","",Murid!E547)</f>
        <v/>
      </c>
      <c r="E547" s="11" t="n"/>
      <c r="F547" s="11" t="n"/>
      <c r="G547" s="10">
        <f>IF(F547="","",IFERROR(VLOOKUP(F547,T_JSP,2,FALSE),0))</f>
        <v/>
      </c>
      <c r="H547" s="11" t="n"/>
      <c r="I547" s="17">
        <f>IF(H547="","",IF(H547&gt;=12,40,ROUND(H547*3.33,2)))</f>
        <v/>
      </c>
      <c r="J547" s="11" t="n"/>
      <c r="K547" s="11" t="n"/>
      <c r="L547" s="11" t="n"/>
      <c r="M547" s="11" t="n"/>
      <c r="N547" s="10">
        <f>IF(COUNTA(J547:M547)=0,"",MIN(10,SUMPRODUCT((COUNTIF(J547:M547,L_KOM)&gt;0)*S_KOM)))</f>
        <v/>
      </c>
      <c r="O547" s="11" t="n"/>
      <c r="P547" s="10">
        <f>IF(O547="","",IFERROR(VLOOKUP(O547,T_KHID,2,FALSE),0))</f>
        <v/>
      </c>
      <c r="Q547" s="11" t="n"/>
      <c r="R547" s="11" t="n"/>
      <c r="S547" s="10">
        <f>IF(AND(Q547="",R547=""),"",IFERROR(INDEX(T_LIBAT,MATCH(Q547,L_PER,0),MATCH(R547,L_JENIS,0)),0))</f>
        <v/>
      </c>
      <c r="T547" s="11" t="n"/>
      <c r="U547" s="11" t="n"/>
      <c r="V547" s="10">
        <f>IF(AND(T547="",U547=""),"",IFERROR(INDEX(T_CAPAI,MATCH(T547,L_PER,0),MATCH(U547,L_KED,0)),0))</f>
        <v/>
      </c>
      <c r="W547" s="17">
        <f>IF(OR(B547="",E547="",COUNTA(F547,H547,J547:M547,O547,Q547:R547,T547:U547)=0),"",SUM(G547,I547,N547,P547,S547,V547))</f>
        <v/>
      </c>
      <c r="X547" s="18">
        <f>IF(W547="","",IF(Murid!F547="TL","TL",ROUND(W547/110*100,2)))</f>
        <v/>
      </c>
    </row>
    <row r="548">
      <c r="A548" s="15">
        <f>Murid!A548</f>
        <v/>
      </c>
      <c r="B548" s="15">
        <f>IF(Murid!B548="","",Murid!B548)</f>
        <v/>
      </c>
      <c r="C548" s="16">
        <f>IF(Murid!C548="","",Murid!C548)</f>
        <v/>
      </c>
      <c r="D548" s="15">
        <f>IF(Murid!E548="","",Murid!E548)</f>
        <v/>
      </c>
      <c r="E548" s="11" t="n"/>
      <c r="F548" s="11" t="n"/>
      <c r="G548" s="10">
        <f>IF(F548="","",IFERROR(VLOOKUP(F548,T_JSP,2,FALSE),0))</f>
        <v/>
      </c>
      <c r="H548" s="11" t="n"/>
      <c r="I548" s="17">
        <f>IF(H548="","",IF(H548&gt;=12,40,ROUND(H548*3.33,2)))</f>
        <v/>
      </c>
      <c r="J548" s="11" t="n"/>
      <c r="K548" s="11" t="n"/>
      <c r="L548" s="11" t="n"/>
      <c r="M548" s="11" t="n"/>
      <c r="N548" s="10">
        <f>IF(COUNTA(J548:M548)=0,"",MIN(10,SUMPRODUCT((COUNTIF(J548:M548,L_KOM)&gt;0)*S_KOM)))</f>
        <v/>
      </c>
      <c r="O548" s="11" t="n"/>
      <c r="P548" s="10">
        <f>IF(O548="","",IFERROR(VLOOKUP(O548,T_KHID,2,FALSE),0))</f>
        <v/>
      </c>
      <c r="Q548" s="11" t="n"/>
      <c r="R548" s="11" t="n"/>
      <c r="S548" s="10">
        <f>IF(AND(Q548="",R548=""),"",IFERROR(INDEX(T_LIBAT,MATCH(Q548,L_PER,0),MATCH(R548,L_JENIS,0)),0))</f>
        <v/>
      </c>
      <c r="T548" s="11" t="n"/>
      <c r="U548" s="11" t="n"/>
      <c r="V548" s="10">
        <f>IF(AND(T548="",U548=""),"",IFERROR(INDEX(T_CAPAI,MATCH(T548,L_PER,0),MATCH(U548,L_KED,0)),0))</f>
        <v/>
      </c>
      <c r="W548" s="17">
        <f>IF(OR(B548="",E548="",COUNTA(F548,H548,J548:M548,O548,Q548:R548,T548:U548)=0),"",SUM(G548,I548,N548,P548,S548,V548))</f>
        <v/>
      </c>
      <c r="X548" s="18">
        <f>IF(W548="","",IF(Murid!F548="TL","TL",ROUND(W548/110*100,2)))</f>
        <v/>
      </c>
    </row>
    <row r="549">
      <c r="A549" s="15">
        <f>Murid!A549</f>
        <v/>
      </c>
      <c r="B549" s="15">
        <f>IF(Murid!B549="","",Murid!B549)</f>
        <v/>
      </c>
      <c r="C549" s="16">
        <f>IF(Murid!C549="","",Murid!C549)</f>
        <v/>
      </c>
      <c r="D549" s="15">
        <f>IF(Murid!E549="","",Murid!E549)</f>
        <v/>
      </c>
      <c r="E549" s="11" t="n"/>
      <c r="F549" s="11" t="n"/>
      <c r="G549" s="10">
        <f>IF(F549="","",IFERROR(VLOOKUP(F549,T_JSP,2,FALSE),0))</f>
        <v/>
      </c>
      <c r="H549" s="11" t="n"/>
      <c r="I549" s="17">
        <f>IF(H549="","",IF(H549&gt;=12,40,ROUND(H549*3.33,2)))</f>
        <v/>
      </c>
      <c r="J549" s="11" t="n"/>
      <c r="K549" s="11" t="n"/>
      <c r="L549" s="11" t="n"/>
      <c r="M549" s="11" t="n"/>
      <c r="N549" s="10">
        <f>IF(COUNTA(J549:M549)=0,"",MIN(10,SUMPRODUCT((COUNTIF(J549:M549,L_KOM)&gt;0)*S_KOM)))</f>
        <v/>
      </c>
      <c r="O549" s="11" t="n"/>
      <c r="P549" s="10">
        <f>IF(O549="","",IFERROR(VLOOKUP(O549,T_KHID,2,FALSE),0))</f>
        <v/>
      </c>
      <c r="Q549" s="11" t="n"/>
      <c r="R549" s="11" t="n"/>
      <c r="S549" s="10">
        <f>IF(AND(Q549="",R549=""),"",IFERROR(INDEX(T_LIBAT,MATCH(Q549,L_PER,0),MATCH(R549,L_JENIS,0)),0))</f>
        <v/>
      </c>
      <c r="T549" s="11" t="n"/>
      <c r="U549" s="11" t="n"/>
      <c r="V549" s="10">
        <f>IF(AND(T549="",U549=""),"",IFERROR(INDEX(T_CAPAI,MATCH(T549,L_PER,0),MATCH(U549,L_KED,0)),0))</f>
        <v/>
      </c>
      <c r="W549" s="17">
        <f>IF(OR(B549="",E549="",COUNTA(F549,H549,J549:M549,O549,Q549:R549,T549:U549)=0),"",SUM(G549,I549,N549,P549,S549,V549))</f>
        <v/>
      </c>
      <c r="X549" s="18">
        <f>IF(W549="","",IF(Murid!F549="TL","TL",ROUND(W549/110*100,2)))</f>
        <v/>
      </c>
    </row>
    <row r="550">
      <c r="A550" s="15">
        <f>Murid!A550</f>
        <v/>
      </c>
      <c r="B550" s="15">
        <f>IF(Murid!B550="","",Murid!B550)</f>
        <v/>
      </c>
      <c r="C550" s="16">
        <f>IF(Murid!C550="","",Murid!C550)</f>
        <v/>
      </c>
      <c r="D550" s="15">
        <f>IF(Murid!E550="","",Murid!E550)</f>
        <v/>
      </c>
      <c r="E550" s="11" t="n"/>
      <c r="F550" s="11" t="n"/>
      <c r="G550" s="10">
        <f>IF(F550="","",IFERROR(VLOOKUP(F550,T_JSP,2,FALSE),0))</f>
        <v/>
      </c>
      <c r="H550" s="11" t="n"/>
      <c r="I550" s="17">
        <f>IF(H550="","",IF(H550&gt;=12,40,ROUND(H550*3.33,2)))</f>
        <v/>
      </c>
      <c r="J550" s="11" t="n"/>
      <c r="K550" s="11" t="n"/>
      <c r="L550" s="11" t="n"/>
      <c r="M550" s="11" t="n"/>
      <c r="N550" s="10">
        <f>IF(COUNTA(J550:M550)=0,"",MIN(10,SUMPRODUCT((COUNTIF(J550:M550,L_KOM)&gt;0)*S_KOM)))</f>
        <v/>
      </c>
      <c r="O550" s="11" t="n"/>
      <c r="P550" s="10">
        <f>IF(O550="","",IFERROR(VLOOKUP(O550,T_KHID,2,FALSE),0))</f>
        <v/>
      </c>
      <c r="Q550" s="11" t="n"/>
      <c r="R550" s="11" t="n"/>
      <c r="S550" s="10">
        <f>IF(AND(Q550="",R550=""),"",IFERROR(INDEX(T_LIBAT,MATCH(Q550,L_PER,0),MATCH(R550,L_JENIS,0)),0))</f>
        <v/>
      </c>
      <c r="T550" s="11" t="n"/>
      <c r="U550" s="11" t="n"/>
      <c r="V550" s="10">
        <f>IF(AND(T550="",U550=""),"",IFERROR(INDEX(T_CAPAI,MATCH(T550,L_PER,0),MATCH(U550,L_KED,0)),0))</f>
        <v/>
      </c>
      <c r="W550" s="17">
        <f>IF(OR(B550="",E550="",COUNTA(F550,H550,J550:M550,O550,Q550:R550,T550:U550)=0),"",SUM(G550,I550,N550,P550,S550,V550))</f>
        <v/>
      </c>
      <c r="X550" s="18">
        <f>IF(W550="","",IF(Murid!F550="TL","TL",ROUND(W550/110*100,2)))</f>
        <v/>
      </c>
    </row>
    <row r="551">
      <c r="A551" s="15">
        <f>Murid!A551</f>
        <v/>
      </c>
      <c r="B551" s="15">
        <f>IF(Murid!B551="","",Murid!B551)</f>
        <v/>
      </c>
      <c r="C551" s="16">
        <f>IF(Murid!C551="","",Murid!C551)</f>
        <v/>
      </c>
      <c r="D551" s="15">
        <f>IF(Murid!E551="","",Murid!E551)</f>
        <v/>
      </c>
      <c r="E551" s="11" t="n"/>
      <c r="F551" s="11" t="n"/>
      <c r="G551" s="10">
        <f>IF(F551="","",IFERROR(VLOOKUP(F551,T_JSP,2,FALSE),0))</f>
        <v/>
      </c>
      <c r="H551" s="11" t="n"/>
      <c r="I551" s="17">
        <f>IF(H551="","",IF(H551&gt;=12,40,ROUND(H551*3.33,2)))</f>
        <v/>
      </c>
      <c r="J551" s="11" t="n"/>
      <c r="K551" s="11" t="n"/>
      <c r="L551" s="11" t="n"/>
      <c r="M551" s="11" t="n"/>
      <c r="N551" s="10">
        <f>IF(COUNTA(J551:M551)=0,"",MIN(10,SUMPRODUCT((COUNTIF(J551:M551,L_KOM)&gt;0)*S_KOM)))</f>
        <v/>
      </c>
      <c r="O551" s="11" t="n"/>
      <c r="P551" s="10">
        <f>IF(O551="","",IFERROR(VLOOKUP(O551,T_KHID,2,FALSE),0))</f>
        <v/>
      </c>
      <c r="Q551" s="11" t="n"/>
      <c r="R551" s="11" t="n"/>
      <c r="S551" s="10">
        <f>IF(AND(Q551="",R551=""),"",IFERROR(INDEX(T_LIBAT,MATCH(Q551,L_PER,0),MATCH(R551,L_JENIS,0)),0))</f>
        <v/>
      </c>
      <c r="T551" s="11" t="n"/>
      <c r="U551" s="11" t="n"/>
      <c r="V551" s="10">
        <f>IF(AND(T551="",U551=""),"",IFERROR(INDEX(T_CAPAI,MATCH(T551,L_PER,0),MATCH(U551,L_KED,0)),0))</f>
        <v/>
      </c>
      <c r="W551" s="17">
        <f>IF(OR(B551="",E551="",COUNTA(F551,H551,J551:M551,O551,Q551:R551,T551:U551)=0),"",SUM(G551,I551,N551,P551,S551,V551))</f>
        <v/>
      </c>
      <c r="X551" s="18">
        <f>IF(W551="","",IF(Murid!F551="TL","TL",ROUND(W551/110*100,2)))</f>
        <v/>
      </c>
    </row>
    <row r="552">
      <c r="A552" s="15">
        <f>Murid!A552</f>
        <v/>
      </c>
      <c r="B552" s="15">
        <f>IF(Murid!B552="","",Murid!B552)</f>
        <v/>
      </c>
      <c r="C552" s="16">
        <f>IF(Murid!C552="","",Murid!C552)</f>
        <v/>
      </c>
      <c r="D552" s="15">
        <f>IF(Murid!E552="","",Murid!E552)</f>
        <v/>
      </c>
      <c r="E552" s="11" t="n"/>
      <c r="F552" s="11" t="n"/>
      <c r="G552" s="10">
        <f>IF(F552="","",IFERROR(VLOOKUP(F552,T_JSP,2,FALSE),0))</f>
        <v/>
      </c>
      <c r="H552" s="11" t="n"/>
      <c r="I552" s="17">
        <f>IF(H552="","",IF(H552&gt;=12,40,ROUND(H552*3.33,2)))</f>
        <v/>
      </c>
      <c r="J552" s="11" t="n"/>
      <c r="K552" s="11" t="n"/>
      <c r="L552" s="11" t="n"/>
      <c r="M552" s="11" t="n"/>
      <c r="N552" s="10">
        <f>IF(COUNTA(J552:M552)=0,"",MIN(10,SUMPRODUCT((COUNTIF(J552:M552,L_KOM)&gt;0)*S_KOM)))</f>
        <v/>
      </c>
      <c r="O552" s="11" t="n"/>
      <c r="P552" s="10">
        <f>IF(O552="","",IFERROR(VLOOKUP(O552,T_KHID,2,FALSE),0))</f>
        <v/>
      </c>
      <c r="Q552" s="11" t="n"/>
      <c r="R552" s="11" t="n"/>
      <c r="S552" s="10">
        <f>IF(AND(Q552="",R552=""),"",IFERROR(INDEX(T_LIBAT,MATCH(Q552,L_PER,0),MATCH(R552,L_JENIS,0)),0))</f>
        <v/>
      </c>
      <c r="T552" s="11" t="n"/>
      <c r="U552" s="11" t="n"/>
      <c r="V552" s="10">
        <f>IF(AND(T552="",U552=""),"",IFERROR(INDEX(T_CAPAI,MATCH(T552,L_PER,0),MATCH(U552,L_KED,0)),0))</f>
        <v/>
      </c>
      <c r="W552" s="17">
        <f>IF(OR(B552="",E552="",COUNTA(F552,H552,J552:M552,O552,Q552:R552,T552:U552)=0),"",SUM(G552,I552,N552,P552,S552,V552))</f>
        <v/>
      </c>
      <c r="X552" s="18">
        <f>IF(W552="","",IF(Murid!F552="TL","TL",ROUND(W552/110*100,2)))</f>
        <v/>
      </c>
    </row>
    <row r="553">
      <c r="A553" s="15">
        <f>Murid!A553</f>
        <v/>
      </c>
      <c r="B553" s="15">
        <f>IF(Murid!B553="","",Murid!B553)</f>
        <v/>
      </c>
      <c r="C553" s="16">
        <f>IF(Murid!C553="","",Murid!C553)</f>
        <v/>
      </c>
      <c r="D553" s="15">
        <f>IF(Murid!E553="","",Murid!E553)</f>
        <v/>
      </c>
      <c r="E553" s="11" t="n"/>
      <c r="F553" s="11" t="n"/>
      <c r="G553" s="10">
        <f>IF(F553="","",IFERROR(VLOOKUP(F553,T_JSP,2,FALSE),0))</f>
        <v/>
      </c>
      <c r="H553" s="11" t="n"/>
      <c r="I553" s="17">
        <f>IF(H553="","",IF(H553&gt;=12,40,ROUND(H553*3.33,2)))</f>
        <v/>
      </c>
      <c r="J553" s="11" t="n"/>
      <c r="K553" s="11" t="n"/>
      <c r="L553" s="11" t="n"/>
      <c r="M553" s="11" t="n"/>
      <c r="N553" s="10">
        <f>IF(COUNTA(J553:M553)=0,"",MIN(10,SUMPRODUCT((COUNTIF(J553:M553,L_KOM)&gt;0)*S_KOM)))</f>
        <v/>
      </c>
      <c r="O553" s="11" t="n"/>
      <c r="P553" s="10">
        <f>IF(O553="","",IFERROR(VLOOKUP(O553,T_KHID,2,FALSE),0))</f>
        <v/>
      </c>
      <c r="Q553" s="11" t="n"/>
      <c r="R553" s="11" t="n"/>
      <c r="S553" s="10">
        <f>IF(AND(Q553="",R553=""),"",IFERROR(INDEX(T_LIBAT,MATCH(Q553,L_PER,0),MATCH(R553,L_JENIS,0)),0))</f>
        <v/>
      </c>
      <c r="T553" s="11" t="n"/>
      <c r="U553" s="11" t="n"/>
      <c r="V553" s="10">
        <f>IF(AND(T553="",U553=""),"",IFERROR(INDEX(T_CAPAI,MATCH(T553,L_PER,0),MATCH(U553,L_KED,0)),0))</f>
        <v/>
      </c>
      <c r="W553" s="17">
        <f>IF(OR(B553="",E553="",COUNTA(F553,H553,J553:M553,O553,Q553:R553,T553:U553)=0),"",SUM(G553,I553,N553,P553,S553,V553))</f>
        <v/>
      </c>
      <c r="X553" s="18">
        <f>IF(W553="","",IF(Murid!F553="TL","TL",ROUND(W553/110*100,2)))</f>
        <v/>
      </c>
    </row>
    <row r="554">
      <c r="A554" s="15">
        <f>Murid!A554</f>
        <v/>
      </c>
      <c r="B554" s="15">
        <f>IF(Murid!B554="","",Murid!B554)</f>
        <v/>
      </c>
      <c r="C554" s="16">
        <f>IF(Murid!C554="","",Murid!C554)</f>
        <v/>
      </c>
      <c r="D554" s="15">
        <f>IF(Murid!E554="","",Murid!E554)</f>
        <v/>
      </c>
      <c r="E554" s="11" t="n"/>
      <c r="F554" s="11" t="n"/>
      <c r="G554" s="10">
        <f>IF(F554="","",IFERROR(VLOOKUP(F554,T_JSP,2,FALSE),0))</f>
        <v/>
      </c>
      <c r="H554" s="11" t="n"/>
      <c r="I554" s="17">
        <f>IF(H554="","",IF(H554&gt;=12,40,ROUND(H554*3.33,2)))</f>
        <v/>
      </c>
      <c r="J554" s="11" t="n"/>
      <c r="K554" s="11" t="n"/>
      <c r="L554" s="11" t="n"/>
      <c r="M554" s="11" t="n"/>
      <c r="N554" s="10">
        <f>IF(COUNTA(J554:M554)=0,"",MIN(10,SUMPRODUCT((COUNTIF(J554:M554,L_KOM)&gt;0)*S_KOM)))</f>
        <v/>
      </c>
      <c r="O554" s="11" t="n"/>
      <c r="P554" s="10">
        <f>IF(O554="","",IFERROR(VLOOKUP(O554,T_KHID,2,FALSE),0))</f>
        <v/>
      </c>
      <c r="Q554" s="11" t="n"/>
      <c r="R554" s="11" t="n"/>
      <c r="S554" s="10">
        <f>IF(AND(Q554="",R554=""),"",IFERROR(INDEX(T_LIBAT,MATCH(Q554,L_PER,0),MATCH(R554,L_JENIS,0)),0))</f>
        <v/>
      </c>
      <c r="T554" s="11" t="n"/>
      <c r="U554" s="11" t="n"/>
      <c r="V554" s="10">
        <f>IF(AND(T554="",U554=""),"",IFERROR(INDEX(T_CAPAI,MATCH(T554,L_PER,0),MATCH(U554,L_KED,0)),0))</f>
        <v/>
      </c>
      <c r="W554" s="17">
        <f>IF(OR(B554="",E554="",COUNTA(F554,H554,J554:M554,O554,Q554:R554,T554:U554)=0),"",SUM(G554,I554,N554,P554,S554,V554))</f>
        <v/>
      </c>
      <c r="X554" s="18">
        <f>IF(W554="","",IF(Murid!F554="TL","TL",ROUND(W554/110*100,2)))</f>
        <v/>
      </c>
    </row>
    <row r="555">
      <c r="A555" s="15">
        <f>Murid!A555</f>
        <v/>
      </c>
      <c r="B555" s="15">
        <f>IF(Murid!B555="","",Murid!B555)</f>
        <v/>
      </c>
      <c r="C555" s="16">
        <f>IF(Murid!C555="","",Murid!C555)</f>
        <v/>
      </c>
      <c r="D555" s="15">
        <f>IF(Murid!E555="","",Murid!E555)</f>
        <v/>
      </c>
      <c r="E555" s="11" t="n"/>
      <c r="F555" s="11" t="n"/>
      <c r="G555" s="10">
        <f>IF(F555="","",IFERROR(VLOOKUP(F555,T_JSP,2,FALSE),0))</f>
        <v/>
      </c>
      <c r="H555" s="11" t="n"/>
      <c r="I555" s="17">
        <f>IF(H555="","",IF(H555&gt;=12,40,ROUND(H555*3.33,2)))</f>
        <v/>
      </c>
      <c r="J555" s="11" t="n"/>
      <c r="K555" s="11" t="n"/>
      <c r="L555" s="11" t="n"/>
      <c r="M555" s="11" t="n"/>
      <c r="N555" s="10">
        <f>IF(COUNTA(J555:M555)=0,"",MIN(10,SUMPRODUCT((COUNTIF(J555:M555,L_KOM)&gt;0)*S_KOM)))</f>
        <v/>
      </c>
      <c r="O555" s="11" t="n"/>
      <c r="P555" s="10">
        <f>IF(O555="","",IFERROR(VLOOKUP(O555,T_KHID,2,FALSE),0))</f>
        <v/>
      </c>
      <c r="Q555" s="11" t="n"/>
      <c r="R555" s="11" t="n"/>
      <c r="S555" s="10">
        <f>IF(AND(Q555="",R555=""),"",IFERROR(INDEX(T_LIBAT,MATCH(Q555,L_PER,0),MATCH(R555,L_JENIS,0)),0))</f>
        <v/>
      </c>
      <c r="T555" s="11" t="n"/>
      <c r="U555" s="11" t="n"/>
      <c r="V555" s="10">
        <f>IF(AND(T555="",U555=""),"",IFERROR(INDEX(T_CAPAI,MATCH(T555,L_PER,0),MATCH(U555,L_KED,0)),0))</f>
        <v/>
      </c>
      <c r="W555" s="17">
        <f>IF(OR(B555="",E555="",COUNTA(F555,H555,J555:M555,O555,Q555:R555,T555:U555)=0),"",SUM(G555,I555,N555,P555,S555,V555))</f>
        <v/>
      </c>
      <c r="X555" s="18">
        <f>IF(W555="","",IF(Murid!F555="TL","TL",ROUND(W555/110*100,2)))</f>
        <v/>
      </c>
    </row>
    <row r="556">
      <c r="A556" s="15">
        <f>Murid!A556</f>
        <v/>
      </c>
      <c r="B556" s="15">
        <f>IF(Murid!B556="","",Murid!B556)</f>
        <v/>
      </c>
      <c r="C556" s="16">
        <f>IF(Murid!C556="","",Murid!C556)</f>
        <v/>
      </c>
      <c r="D556" s="15">
        <f>IF(Murid!E556="","",Murid!E556)</f>
        <v/>
      </c>
      <c r="E556" s="11" t="n"/>
      <c r="F556" s="11" t="n"/>
      <c r="G556" s="10">
        <f>IF(F556="","",IFERROR(VLOOKUP(F556,T_JSP,2,FALSE),0))</f>
        <v/>
      </c>
      <c r="H556" s="11" t="n"/>
      <c r="I556" s="17">
        <f>IF(H556="","",IF(H556&gt;=12,40,ROUND(H556*3.33,2)))</f>
        <v/>
      </c>
      <c r="J556" s="11" t="n"/>
      <c r="K556" s="11" t="n"/>
      <c r="L556" s="11" t="n"/>
      <c r="M556" s="11" t="n"/>
      <c r="N556" s="10">
        <f>IF(COUNTA(J556:M556)=0,"",MIN(10,SUMPRODUCT((COUNTIF(J556:M556,L_KOM)&gt;0)*S_KOM)))</f>
        <v/>
      </c>
      <c r="O556" s="11" t="n"/>
      <c r="P556" s="10">
        <f>IF(O556="","",IFERROR(VLOOKUP(O556,T_KHID,2,FALSE),0))</f>
        <v/>
      </c>
      <c r="Q556" s="11" t="n"/>
      <c r="R556" s="11" t="n"/>
      <c r="S556" s="10">
        <f>IF(AND(Q556="",R556=""),"",IFERROR(INDEX(T_LIBAT,MATCH(Q556,L_PER,0),MATCH(R556,L_JENIS,0)),0))</f>
        <v/>
      </c>
      <c r="T556" s="11" t="n"/>
      <c r="U556" s="11" t="n"/>
      <c r="V556" s="10">
        <f>IF(AND(T556="",U556=""),"",IFERROR(INDEX(T_CAPAI,MATCH(T556,L_PER,0),MATCH(U556,L_KED,0)),0))</f>
        <v/>
      </c>
      <c r="W556" s="17">
        <f>IF(OR(B556="",E556="",COUNTA(F556,H556,J556:M556,O556,Q556:R556,T556:U556)=0),"",SUM(G556,I556,N556,P556,S556,V556))</f>
        <v/>
      </c>
      <c r="X556" s="18">
        <f>IF(W556="","",IF(Murid!F556="TL","TL",ROUND(W556/110*100,2)))</f>
        <v/>
      </c>
    </row>
    <row r="557">
      <c r="A557" s="15">
        <f>Murid!A557</f>
        <v/>
      </c>
      <c r="B557" s="15">
        <f>IF(Murid!B557="","",Murid!B557)</f>
        <v/>
      </c>
      <c r="C557" s="16">
        <f>IF(Murid!C557="","",Murid!C557)</f>
        <v/>
      </c>
      <c r="D557" s="15">
        <f>IF(Murid!E557="","",Murid!E557)</f>
        <v/>
      </c>
      <c r="E557" s="11" t="n"/>
      <c r="F557" s="11" t="n"/>
      <c r="G557" s="10">
        <f>IF(F557="","",IFERROR(VLOOKUP(F557,T_JSP,2,FALSE),0))</f>
        <v/>
      </c>
      <c r="H557" s="11" t="n"/>
      <c r="I557" s="17">
        <f>IF(H557="","",IF(H557&gt;=12,40,ROUND(H557*3.33,2)))</f>
        <v/>
      </c>
      <c r="J557" s="11" t="n"/>
      <c r="K557" s="11" t="n"/>
      <c r="L557" s="11" t="n"/>
      <c r="M557" s="11" t="n"/>
      <c r="N557" s="10">
        <f>IF(COUNTA(J557:M557)=0,"",MIN(10,SUMPRODUCT((COUNTIF(J557:M557,L_KOM)&gt;0)*S_KOM)))</f>
        <v/>
      </c>
      <c r="O557" s="11" t="n"/>
      <c r="P557" s="10">
        <f>IF(O557="","",IFERROR(VLOOKUP(O557,T_KHID,2,FALSE),0))</f>
        <v/>
      </c>
      <c r="Q557" s="11" t="n"/>
      <c r="R557" s="11" t="n"/>
      <c r="S557" s="10">
        <f>IF(AND(Q557="",R557=""),"",IFERROR(INDEX(T_LIBAT,MATCH(Q557,L_PER,0),MATCH(R557,L_JENIS,0)),0))</f>
        <v/>
      </c>
      <c r="T557" s="11" t="n"/>
      <c r="U557" s="11" t="n"/>
      <c r="V557" s="10">
        <f>IF(AND(T557="",U557=""),"",IFERROR(INDEX(T_CAPAI,MATCH(T557,L_PER,0),MATCH(U557,L_KED,0)),0))</f>
        <v/>
      </c>
      <c r="W557" s="17">
        <f>IF(OR(B557="",E557="",COUNTA(F557,H557,J557:M557,O557,Q557:R557,T557:U557)=0),"",SUM(G557,I557,N557,P557,S557,V557))</f>
        <v/>
      </c>
      <c r="X557" s="18">
        <f>IF(W557="","",IF(Murid!F557="TL","TL",ROUND(W557/110*100,2)))</f>
        <v/>
      </c>
    </row>
    <row r="558">
      <c r="A558" s="15">
        <f>Murid!A558</f>
        <v/>
      </c>
      <c r="B558" s="15">
        <f>IF(Murid!B558="","",Murid!B558)</f>
        <v/>
      </c>
      <c r="C558" s="16">
        <f>IF(Murid!C558="","",Murid!C558)</f>
        <v/>
      </c>
      <c r="D558" s="15">
        <f>IF(Murid!E558="","",Murid!E558)</f>
        <v/>
      </c>
      <c r="E558" s="11" t="n"/>
      <c r="F558" s="11" t="n"/>
      <c r="G558" s="10">
        <f>IF(F558="","",IFERROR(VLOOKUP(F558,T_JSP,2,FALSE),0))</f>
        <v/>
      </c>
      <c r="H558" s="11" t="n"/>
      <c r="I558" s="17">
        <f>IF(H558="","",IF(H558&gt;=12,40,ROUND(H558*3.33,2)))</f>
        <v/>
      </c>
      <c r="J558" s="11" t="n"/>
      <c r="K558" s="11" t="n"/>
      <c r="L558" s="11" t="n"/>
      <c r="M558" s="11" t="n"/>
      <c r="N558" s="10">
        <f>IF(COUNTA(J558:M558)=0,"",MIN(10,SUMPRODUCT((COUNTIF(J558:M558,L_KOM)&gt;0)*S_KOM)))</f>
        <v/>
      </c>
      <c r="O558" s="11" t="n"/>
      <c r="P558" s="10">
        <f>IF(O558="","",IFERROR(VLOOKUP(O558,T_KHID,2,FALSE),0))</f>
        <v/>
      </c>
      <c r="Q558" s="11" t="n"/>
      <c r="R558" s="11" t="n"/>
      <c r="S558" s="10">
        <f>IF(AND(Q558="",R558=""),"",IFERROR(INDEX(T_LIBAT,MATCH(Q558,L_PER,0),MATCH(R558,L_JENIS,0)),0))</f>
        <v/>
      </c>
      <c r="T558" s="11" t="n"/>
      <c r="U558" s="11" t="n"/>
      <c r="V558" s="10">
        <f>IF(AND(T558="",U558=""),"",IFERROR(INDEX(T_CAPAI,MATCH(T558,L_PER,0),MATCH(U558,L_KED,0)),0))</f>
        <v/>
      </c>
      <c r="W558" s="17">
        <f>IF(OR(B558="",E558="",COUNTA(F558,H558,J558:M558,O558,Q558:R558,T558:U558)=0),"",SUM(G558,I558,N558,P558,S558,V558))</f>
        <v/>
      </c>
      <c r="X558" s="18">
        <f>IF(W558="","",IF(Murid!F558="TL","TL",ROUND(W558/110*100,2)))</f>
        <v/>
      </c>
    </row>
    <row r="559">
      <c r="A559" s="15">
        <f>Murid!A559</f>
        <v/>
      </c>
      <c r="B559" s="15">
        <f>IF(Murid!B559="","",Murid!B559)</f>
        <v/>
      </c>
      <c r="C559" s="16">
        <f>IF(Murid!C559="","",Murid!C559)</f>
        <v/>
      </c>
      <c r="D559" s="15">
        <f>IF(Murid!E559="","",Murid!E559)</f>
        <v/>
      </c>
      <c r="E559" s="11" t="n"/>
      <c r="F559" s="11" t="n"/>
      <c r="G559" s="10">
        <f>IF(F559="","",IFERROR(VLOOKUP(F559,T_JSP,2,FALSE),0))</f>
        <v/>
      </c>
      <c r="H559" s="11" t="n"/>
      <c r="I559" s="17">
        <f>IF(H559="","",IF(H559&gt;=12,40,ROUND(H559*3.33,2)))</f>
        <v/>
      </c>
      <c r="J559" s="11" t="n"/>
      <c r="K559" s="11" t="n"/>
      <c r="L559" s="11" t="n"/>
      <c r="M559" s="11" t="n"/>
      <c r="N559" s="10">
        <f>IF(COUNTA(J559:M559)=0,"",MIN(10,SUMPRODUCT((COUNTIF(J559:M559,L_KOM)&gt;0)*S_KOM)))</f>
        <v/>
      </c>
      <c r="O559" s="11" t="n"/>
      <c r="P559" s="10">
        <f>IF(O559="","",IFERROR(VLOOKUP(O559,T_KHID,2,FALSE),0))</f>
        <v/>
      </c>
      <c r="Q559" s="11" t="n"/>
      <c r="R559" s="11" t="n"/>
      <c r="S559" s="10">
        <f>IF(AND(Q559="",R559=""),"",IFERROR(INDEX(T_LIBAT,MATCH(Q559,L_PER,0),MATCH(R559,L_JENIS,0)),0))</f>
        <v/>
      </c>
      <c r="T559" s="11" t="n"/>
      <c r="U559" s="11" t="n"/>
      <c r="V559" s="10">
        <f>IF(AND(T559="",U559=""),"",IFERROR(INDEX(T_CAPAI,MATCH(T559,L_PER,0),MATCH(U559,L_KED,0)),0))</f>
        <v/>
      </c>
      <c r="W559" s="17">
        <f>IF(OR(B559="",E559="",COUNTA(F559,H559,J559:M559,O559,Q559:R559,T559:U559)=0),"",SUM(G559,I559,N559,P559,S559,V559))</f>
        <v/>
      </c>
      <c r="X559" s="18">
        <f>IF(W559="","",IF(Murid!F559="TL","TL",ROUND(W559/110*100,2)))</f>
        <v/>
      </c>
    </row>
    <row r="560">
      <c r="A560" s="15">
        <f>Murid!A560</f>
        <v/>
      </c>
      <c r="B560" s="15">
        <f>IF(Murid!B560="","",Murid!B560)</f>
        <v/>
      </c>
      <c r="C560" s="16">
        <f>IF(Murid!C560="","",Murid!C560)</f>
        <v/>
      </c>
      <c r="D560" s="15">
        <f>IF(Murid!E560="","",Murid!E560)</f>
        <v/>
      </c>
      <c r="E560" s="11" t="n"/>
      <c r="F560" s="11" t="n"/>
      <c r="G560" s="10">
        <f>IF(F560="","",IFERROR(VLOOKUP(F560,T_JSP,2,FALSE),0))</f>
        <v/>
      </c>
      <c r="H560" s="11" t="n"/>
      <c r="I560" s="17">
        <f>IF(H560="","",IF(H560&gt;=12,40,ROUND(H560*3.33,2)))</f>
        <v/>
      </c>
      <c r="J560" s="11" t="n"/>
      <c r="K560" s="11" t="n"/>
      <c r="L560" s="11" t="n"/>
      <c r="M560" s="11" t="n"/>
      <c r="N560" s="10">
        <f>IF(COUNTA(J560:M560)=0,"",MIN(10,SUMPRODUCT((COUNTIF(J560:M560,L_KOM)&gt;0)*S_KOM)))</f>
        <v/>
      </c>
      <c r="O560" s="11" t="n"/>
      <c r="P560" s="10">
        <f>IF(O560="","",IFERROR(VLOOKUP(O560,T_KHID,2,FALSE),0))</f>
        <v/>
      </c>
      <c r="Q560" s="11" t="n"/>
      <c r="R560" s="11" t="n"/>
      <c r="S560" s="10">
        <f>IF(AND(Q560="",R560=""),"",IFERROR(INDEX(T_LIBAT,MATCH(Q560,L_PER,0),MATCH(R560,L_JENIS,0)),0))</f>
        <v/>
      </c>
      <c r="T560" s="11" t="n"/>
      <c r="U560" s="11" t="n"/>
      <c r="V560" s="10">
        <f>IF(AND(T560="",U560=""),"",IFERROR(INDEX(T_CAPAI,MATCH(T560,L_PER,0),MATCH(U560,L_KED,0)),0))</f>
        <v/>
      </c>
      <c r="W560" s="17">
        <f>IF(OR(B560="",E560="",COUNTA(F560,H560,J560:M560,O560,Q560:R560,T560:U560)=0),"",SUM(G560,I560,N560,P560,S560,V560))</f>
        <v/>
      </c>
      <c r="X560" s="18">
        <f>IF(W560="","",IF(Murid!F560="TL","TL",ROUND(W560/110*100,2)))</f>
        <v/>
      </c>
    </row>
    <row r="561">
      <c r="A561" s="15">
        <f>Murid!A561</f>
        <v/>
      </c>
      <c r="B561" s="15">
        <f>IF(Murid!B561="","",Murid!B561)</f>
        <v/>
      </c>
      <c r="C561" s="16">
        <f>IF(Murid!C561="","",Murid!C561)</f>
        <v/>
      </c>
      <c r="D561" s="15">
        <f>IF(Murid!E561="","",Murid!E561)</f>
        <v/>
      </c>
      <c r="E561" s="11" t="n"/>
      <c r="F561" s="11" t="n"/>
      <c r="G561" s="10">
        <f>IF(F561="","",IFERROR(VLOOKUP(F561,T_JSP,2,FALSE),0))</f>
        <v/>
      </c>
      <c r="H561" s="11" t="n"/>
      <c r="I561" s="17">
        <f>IF(H561="","",IF(H561&gt;=12,40,ROUND(H561*3.33,2)))</f>
        <v/>
      </c>
      <c r="J561" s="11" t="n"/>
      <c r="K561" s="11" t="n"/>
      <c r="L561" s="11" t="n"/>
      <c r="M561" s="11" t="n"/>
      <c r="N561" s="10">
        <f>IF(COUNTA(J561:M561)=0,"",MIN(10,SUMPRODUCT((COUNTIF(J561:M561,L_KOM)&gt;0)*S_KOM)))</f>
        <v/>
      </c>
      <c r="O561" s="11" t="n"/>
      <c r="P561" s="10">
        <f>IF(O561="","",IFERROR(VLOOKUP(O561,T_KHID,2,FALSE),0))</f>
        <v/>
      </c>
      <c r="Q561" s="11" t="n"/>
      <c r="R561" s="11" t="n"/>
      <c r="S561" s="10">
        <f>IF(AND(Q561="",R561=""),"",IFERROR(INDEX(T_LIBAT,MATCH(Q561,L_PER,0),MATCH(R561,L_JENIS,0)),0))</f>
        <v/>
      </c>
      <c r="T561" s="11" t="n"/>
      <c r="U561" s="11" t="n"/>
      <c r="V561" s="10">
        <f>IF(AND(T561="",U561=""),"",IFERROR(INDEX(T_CAPAI,MATCH(T561,L_PER,0),MATCH(U561,L_KED,0)),0))</f>
        <v/>
      </c>
      <c r="W561" s="17">
        <f>IF(OR(B561="",E561="",COUNTA(F561,H561,J561:M561,O561,Q561:R561,T561:U561)=0),"",SUM(G561,I561,N561,P561,S561,V561))</f>
        <v/>
      </c>
      <c r="X561" s="18">
        <f>IF(W561="","",IF(Murid!F561="TL","TL",ROUND(W561/110*100,2)))</f>
        <v/>
      </c>
    </row>
    <row r="562">
      <c r="A562" s="15">
        <f>Murid!A562</f>
        <v/>
      </c>
      <c r="B562" s="15">
        <f>IF(Murid!B562="","",Murid!B562)</f>
        <v/>
      </c>
      <c r="C562" s="16">
        <f>IF(Murid!C562="","",Murid!C562)</f>
        <v/>
      </c>
      <c r="D562" s="15">
        <f>IF(Murid!E562="","",Murid!E562)</f>
        <v/>
      </c>
      <c r="E562" s="11" t="n"/>
      <c r="F562" s="11" t="n"/>
      <c r="G562" s="10">
        <f>IF(F562="","",IFERROR(VLOOKUP(F562,T_JSP,2,FALSE),0))</f>
        <v/>
      </c>
      <c r="H562" s="11" t="n"/>
      <c r="I562" s="17">
        <f>IF(H562="","",IF(H562&gt;=12,40,ROUND(H562*3.33,2)))</f>
        <v/>
      </c>
      <c r="J562" s="11" t="n"/>
      <c r="K562" s="11" t="n"/>
      <c r="L562" s="11" t="n"/>
      <c r="M562" s="11" t="n"/>
      <c r="N562" s="10">
        <f>IF(COUNTA(J562:M562)=0,"",MIN(10,SUMPRODUCT((COUNTIF(J562:M562,L_KOM)&gt;0)*S_KOM)))</f>
        <v/>
      </c>
      <c r="O562" s="11" t="n"/>
      <c r="P562" s="10">
        <f>IF(O562="","",IFERROR(VLOOKUP(O562,T_KHID,2,FALSE),0))</f>
        <v/>
      </c>
      <c r="Q562" s="11" t="n"/>
      <c r="R562" s="11" t="n"/>
      <c r="S562" s="10">
        <f>IF(AND(Q562="",R562=""),"",IFERROR(INDEX(T_LIBAT,MATCH(Q562,L_PER,0),MATCH(R562,L_JENIS,0)),0))</f>
        <v/>
      </c>
      <c r="T562" s="11" t="n"/>
      <c r="U562" s="11" t="n"/>
      <c r="V562" s="10">
        <f>IF(AND(T562="",U562=""),"",IFERROR(INDEX(T_CAPAI,MATCH(T562,L_PER,0),MATCH(U562,L_KED,0)),0))</f>
        <v/>
      </c>
      <c r="W562" s="17">
        <f>IF(OR(B562="",E562="",COUNTA(F562,H562,J562:M562,O562,Q562:R562,T562:U562)=0),"",SUM(G562,I562,N562,P562,S562,V562))</f>
        <v/>
      </c>
      <c r="X562" s="18">
        <f>IF(W562="","",IF(Murid!F562="TL","TL",ROUND(W562/110*100,2)))</f>
        <v/>
      </c>
    </row>
    <row r="563">
      <c r="A563" s="15">
        <f>Murid!A563</f>
        <v/>
      </c>
      <c r="B563" s="15">
        <f>IF(Murid!B563="","",Murid!B563)</f>
        <v/>
      </c>
      <c r="C563" s="16">
        <f>IF(Murid!C563="","",Murid!C563)</f>
        <v/>
      </c>
      <c r="D563" s="15">
        <f>IF(Murid!E563="","",Murid!E563)</f>
        <v/>
      </c>
      <c r="E563" s="11" t="n"/>
      <c r="F563" s="11" t="n"/>
      <c r="G563" s="10">
        <f>IF(F563="","",IFERROR(VLOOKUP(F563,T_JSP,2,FALSE),0))</f>
        <v/>
      </c>
      <c r="H563" s="11" t="n"/>
      <c r="I563" s="17">
        <f>IF(H563="","",IF(H563&gt;=12,40,ROUND(H563*3.33,2)))</f>
        <v/>
      </c>
      <c r="J563" s="11" t="n"/>
      <c r="K563" s="11" t="n"/>
      <c r="L563" s="11" t="n"/>
      <c r="M563" s="11" t="n"/>
      <c r="N563" s="10">
        <f>IF(COUNTA(J563:M563)=0,"",MIN(10,SUMPRODUCT((COUNTIF(J563:M563,L_KOM)&gt;0)*S_KOM)))</f>
        <v/>
      </c>
      <c r="O563" s="11" t="n"/>
      <c r="P563" s="10">
        <f>IF(O563="","",IFERROR(VLOOKUP(O563,T_KHID,2,FALSE),0))</f>
        <v/>
      </c>
      <c r="Q563" s="11" t="n"/>
      <c r="R563" s="11" t="n"/>
      <c r="S563" s="10">
        <f>IF(AND(Q563="",R563=""),"",IFERROR(INDEX(T_LIBAT,MATCH(Q563,L_PER,0),MATCH(R563,L_JENIS,0)),0))</f>
        <v/>
      </c>
      <c r="T563" s="11" t="n"/>
      <c r="U563" s="11" t="n"/>
      <c r="V563" s="10">
        <f>IF(AND(T563="",U563=""),"",IFERROR(INDEX(T_CAPAI,MATCH(T563,L_PER,0),MATCH(U563,L_KED,0)),0))</f>
        <v/>
      </c>
      <c r="W563" s="17">
        <f>IF(OR(B563="",E563="",COUNTA(F563,H563,J563:M563,O563,Q563:R563,T563:U563)=0),"",SUM(G563,I563,N563,P563,S563,V563))</f>
        <v/>
      </c>
      <c r="X563" s="18">
        <f>IF(W563="","",IF(Murid!F563="TL","TL",ROUND(W563/110*100,2)))</f>
        <v/>
      </c>
    </row>
    <row r="564">
      <c r="A564" s="15">
        <f>Murid!A564</f>
        <v/>
      </c>
      <c r="B564" s="15">
        <f>IF(Murid!B564="","",Murid!B564)</f>
        <v/>
      </c>
      <c r="C564" s="16">
        <f>IF(Murid!C564="","",Murid!C564)</f>
        <v/>
      </c>
      <c r="D564" s="15">
        <f>IF(Murid!E564="","",Murid!E564)</f>
        <v/>
      </c>
      <c r="E564" s="11" t="n"/>
      <c r="F564" s="11" t="n"/>
      <c r="G564" s="10">
        <f>IF(F564="","",IFERROR(VLOOKUP(F564,T_JSP,2,FALSE),0))</f>
        <v/>
      </c>
      <c r="H564" s="11" t="n"/>
      <c r="I564" s="17">
        <f>IF(H564="","",IF(H564&gt;=12,40,ROUND(H564*3.33,2)))</f>
        <v/>
      </c>
      <c r="J564" s="11" t="n"/>
      <c r="K564" s="11" t="n"/>
      <c r="L564" s="11" t="n"/>
      <c r="M564" s="11" t="n"/>
      <c r="N564" s="10">
        <f>IF(COUNTA(J564:M564)=0,"",MIN(10,SUMPRODUCT((COUNTIF(J564:M564,L_KOM)&gt;0)*S_KOM)))</f>
        <v/>
      </c>
      <c r="O564" s="11" t="n"/>
      <c r="P564" s="10">
        <f>IF(O564="","",IFERROR(VLOOKUP(O564,T_KHID,2,FALSE),0))</f>
        <v/>
      </c>
      <c r="Q564" s="11" t="n"/>
      <c r="R564" s="11" t="n"/>
      <c r="S564" s="10">
        <f>IF(AND(Q564="",R564=""),"",IFERROR(INDEX(T_LIBAT,MATCH(Q564,L_PER,0),MATCH(R564,L_JENIS,0)),0))</f>
        <v/>
      </c>
      <c r="T564" s="11" t="n"/>
      <c r="U564" s="11" t="n"/>
      <c r="V564" s="10">
        <f>IF(AND(T564="",U564=""),"",IFERROR(INDEX(T_CAPAI,MATCH(T564,L_PER,0),MATCH(U564,L_KED,0)),0))</f>
        <v/>
      </c>
      <c r="W564" s="17">
        <f>IF(OR(B564="",E564="",COUNTA(F564,H564,J564:M564,O564,Q564:R564,T564:U564)=0),"",SUM(G564,I564,N564,P564,S564,V564))</f>
        <v/>
      </c>
      <c r="X564" s="18">
        <f>IF(W564="","",IF(Murid!F564="TL","TL",ROUND(W564/110*100,2)))</f>
        <v/>
      </c>
    </row>
    <row r="565">
      <c r="A565" s="15">
        <f>Murid!A565</f>
        <v/>
      </c>
      <c r="B565" s="15">
        <f>IF(Murid!B565="","",Murid!B565)</f>
        <v/>
      </c>
      <c r="C565" s="16">
        <f>IF(Murid!C565="","",Murid!C565)</f>
        <v/>
      </c>
      <c r="D565" s="15">
        <f>IF(Murid!E565="","",Murid!E565)</f>
        <v/>
      </c>
      <c r="E565" s="11" t="n"/>
      <c r="F565" s="11" t="n"/>
      <c r="G565" s="10">
        <f>IF(F565="","",IFERROR(VLOOKUP(F565,T_JSP,2,FALSE),0))</f>
        <v/>
      </c>
      <c r="H565" s="11" t="n"/>
      <c r="I565" s="17">
        <f>IF(H565="","",IF(H565&gt;=12,40,ROUND(H565*3.33,2)))</f>
        <v/>
      </c>
      <c r="J565" s="11" t="n"/>
      <c r="K565" s="11" t="n"/>
      <c r="L565" s="11" t="n"/>
      <c r="M565" s="11" t="n"/>
      <c r="N565" s="10">
        <f>IF(COUNTA(J565:M565)=0,"",MIN(10,SUMPRODUCT((COUNTIF(J565:M565,L_KOM)&gt;0)*S_KOM)))</f>
        <v/>
      </c>
      <c r="O565" s="11" t="n"/>
      <c r="P565" s="10">
        <f>IF(O565="","",IFERROR(VLOOKUP(O565,T_KHID,2,FALSE),0))</f>
        <v/>
      </c>
      <c r="Q565" s="11" t="n"/>
      <c r="R565" s="11" t="n"/>
      <c r="S565" s="10">
        <f>IF(AND(Q565="",R565=""),"",IFERROR(INDEX(T_LIBAT,MATCH(Q565,L_PER,0),MATCH(R565,L_JENIS,0)),0))</f>
        <v/>
      </c>
      <c r="T565" s="11" t="n"/>
      <c r="U565" s="11" t="n"/>
      <c r="V565" s="10">
        <f>IF(AND(T565="",U565=""),"",IFERROR(INDEX(T_CAPAI,MATCH(T565,L_PER,0),MATCH(U565,L_KED,0)),0))</f>
        <v/>
      </c>
      <c r="W565" s="17">
        <f>IF(OR(B565="",E565="",COUNTA(F565,H565,J565:M565,O565,Q565:R565,T565:U565)=0),"",SUM(G565,I565,N565,P565,S565,V565))</f>
        <v/>
      </c>
      <c r="X565" s="18">
        <f>IF(W565="","",IF(Murid!F565="TL","TL",ROUND(W565/110*100,2)))</f>
        <v/>
      </c>
    </row>
    <row r="566">
      <c r="A566" s="15">
        <f>Murid!A566</f>
        <v/>
      </c>
      <c r="B566" s="15">
        <f>IF(Murid!B566="","",Murid!B566)</f>
        <v/>
      </c>
      <c r="C566" s="16">
        <f>IF(Murid!C566="","",Murid!C566)</f>
        <v/>
      </c>
      <c r="D566" s="15">
        <f>IF(Murid!E566="","",Murid!E566)</f>
        <v/>
      </c>
      <c r="E566" s="11" t="n"/>
      <c r="F566" s="11" t="n"/>
      <c r="G566" s="10">
        <f>IF(F566="","",IFERROR(VLOOKUP(F566,T_JSP,2,FALSE),0))</f>
        <v/>
      </c>
      <c r="H566" s="11" t="n"/>
      <c r="I566" s="17">
        <f>IF(H566="","",IF(H566&gt;=12,40,ROUND(H566*3.33,2)))</f>
        <v/>
      </c>
      <c r="J566" s="11" t="n"/>
      <c r="K566" s="11" t="n"/>
      <c r="L566" s="11" t="n"/>
      <c r="M566" s="11" t="n"/>
      <c r="N566" s="10">
        <f>IF(COUNTA(J566:M566)=0,"",MIN(10,SUMPRODUCT((COUNTIF(J566:M566,L_KOM)&gt;0)*S_KOM)))</f>
        <v/>
      </c>
      <c r="O566" s="11" t="n"/>
      <c r="P566" s="10">
        <f>IF(O566="","",IFERROR(VLOOKUP(O566,T_KHID,2,FALSE),0))</f>
        <v/>
      </c>
      <c r="Q566" s="11" t="n"/>
      <c r="R566" s="11" t="n"/>
      <c r="S566" s="10">
        <f>IF(AND(Q566="",R566=""),"",IFERROR(INDEX(T_LIBAT,MATCH(Q566,L_PER,0),MATCH(R566,L_JENIS,0)),0))</f>
        <v/>
      </c>
      <c r="T566" s="11" t="n"/>
      <c r="U566" s="11" t="n"/>
      <c r="V566" s="10">
        <f>IF(AND(T566="",U566=""),"",IFERROR(INDEX(T_CAPAI,MATCH(T566,L_PER,0),MATCH(U566,L_KED,0)),0))</f>
        <v/>
      </c>
      <c r="W566" s="17">
        <f>IF(OR(B566="",E566="",COUNTA(F566,H566,J566:M566,O566,Q566:R566,T566:U566)=0),"",SUM(G566,I566,N566,P566,S566,V566))</f>
        <v/>
      </c>
      <c r="X566" s="18">
        <f>IF(W566="","",IF(Murid!F566="TL","TL",ROUND(W566/110*100,2)))</f>
        <v/>
      </c>
    </row>
    <row r="567">
      <c r="A567" s="15">
        <f>Murid!A567</f>
        <v/>
      </c>
      <c r="B567" s="15">
        <f>IF(Murid!B567="","",Murid!B567)</f>
        <v/>
      </c>
      <c r="C567" s="16">
        <f>IF(Murid!C567="","",Murid!C567)</f>
        <v/>
      </c>
      <c r="D567" s="15">
        <f>IF(Murid!E567="","",Murid!E567)</f>
        <v/>
      </c>
      <c r="E567" s="11" t="n"/>
      <c r="F567" s="11" t="n"/>
      <c r="G567" s="10">
        <f>IF(F567="","",IFERROR(VLOOKUP(F567,T_JSP,2,FALSE),0))</f>
        <v/>
      </c>
      <c r="H567" s="11" t="n"/>
      <c r="I567" s="17">
        <f>IF(H567="","",IF(H567&gt;=12,40,ROUND(H567*3.33,2)))</f>
        <v/>
      </c>
      <c r="J567" s="11" t="n"/>
      <c r="K567" s="11" t="n"/>
      <c r="L567" s="11" t="n"/>
      <c r="M567" s="11" t="n"/>
      <c r="N567" s="10">
        <f>IF(COUNTA(J567:M567)=0,"",MIN(10,SUMPRODUCT((COUNTIF(J567:M567,L_KOM)&gt;0)*S_KOM)))</f>
        <v/>
      </c>
      <c r="O567" s="11" t="n"/>
      <c r="P567" s="10">
        <f>IF(O567="","",IFERROR(VLOOKUP(O567,T_KHID,2,FALSE),0))</f>
        <v/>
      </c>
      <c r="Q567" s="11" t="n"/>
      <c r="R567" s="11" t="n"/>
      <c r="S567" s="10">
        <f>IF(AND(Q567="",R567=""),"",IFERROR(INDEX(T_LIBAT,MATCH(Q567,L_PER,0),MATCH(R567,L_JENIS,0)),0))</f>
        <v/>
      </c>
      <c r="T567" s="11" t="n"/>
      <c r="U567" s="11" t="n"/>
      <c r="V567" s="10">
        <f>IF(AND(T567="",U567=""),"",IFERROR(INDEX(T_CAPAI,MATCH(T567,L_PER,0),MATCH(U567,L_KED,0)),0))</f>
        <v/>
      </c>
      <c r="W567" s="17">
        <f>IF(OR(B567="",E567="",COUNTA(F567,H567,J567:M567,O567,Q567:R567,T567:U567)=0),"",SUM(G567,I567,N567,P567,S567,V567))</f>
        <v/>
      </c>
      <c r="X567" s="18">
        <f>IF(W567="","",IF(Murid!F567="TL","TL",ROUND(W567/110*100,2)))</f>
        <v/>
      </c>
    </row>
    <row r="568">
      <c r="A568" s="15">
        <f>Murid!A568</f>
        <v/>
      </c>
      <c r="B568" s="15">
        <f>IF(Murid!B568="","",Murid!B568)</f>
        <v/>
      </c>
      <c r="C568" s="16">
        <f>IF(Murid!C568="","",Murid!C568)</f>
        <v/>
      </c>
      <c r="D568" s="15">
        <f>IF(Murid!E568="","",Murid!E568)</f>
        <v/>
      </c>
      <c r="E568" s="11" t="n"/>
      <c r="F568" s="11" t="n"/>
      <c r="G568" s="10">
        <f>IF(F568="","",IFERROR(VLOOKUP(F568,T_JSP,2,FALSE),0))</f>
        <v/>
      </c>
      <c r="H568" s="11" t="n"/>
      <c r="I568" s="17">
        <f>IF(H568="","",IF(H568&gt;=12,40,ROUND(H568*3.33,2)))</f>
        <v/>
      </c>
      <c r="J568" s="11" t="n"/>
      <c r="K568" s="11" t="n"/>
      <c r="L568" s="11" t="n"/>
      <c r="M568" s="11" t="n"/>
      <c r="N568" s="10">
        <f>IF(COUNTA(J568:M568)=0,"",MIN(10,SUMPRODUCT((COUNTIF(J568:M568,L_KOM)&gt;0)*S_KOM)))</f>
        <v/>
      </c>
      <c r="O568" s="11" t="n"/>
      <c r="P568" s="10">
        <f>IF(O568="","",IFERROR(VLOOKUP(O568,T_KHID,2,FALSE),0))</f>
        <v/>
      </c>
      <c r="Q568" s="11" t="n"/>
      <c r="R568" s="11" t="n"/>
      <c r="S568" s="10">
        <f>IF(AND(Q568="",R568=""),"",IFERROR(INDEX(T_LIBAT,MATCH(Q568,L_PER,0),MATCH(R568,L_JENIS,0)),0))</f>
        <v/>
      </c>
      <c r="T568" s="11" t="n"/>
      <c r="U568" s="11" t="n"/>
      <c r="V568" s="10">
        <f>IF(AND(T568="",U568=""),"",IFERROR(INDEX(T_CAPAI,MATCH(T568,L_PER,0),MATCH(U568,L_KED,0)),0))</f>
        <v/>
      </c>
      <c r="W568" s="17">
        <f>IF(OR(B568="",E568="",COUNTA(F568,H568,J568:M568,O568,Q568:R568,T568:U568)=0),"",SUM(G568,I568,N568,P568,S568,V568))</f>
        <v/>
      </c>
      <c r="X568" s="18">
        <f>IF(W568="","",IF(Murid!F568="TL","TL",ROUND(W568/110*100,2)))</f>
        <v/>
      </c>
    </row>
    <row r="569">
      <c r="A569" s="15">
        <f>Murid!A569</f>
        <v/>
      </c>
      <c r="B569" s="15">
        <f>IF(Murid!B569="","",Murid!B569)</f>
        <v/>
      </c>
      <c r="C569" s="16">
        <f>IF(Murid!C569="","",Murid!C569)</f>
        <v/>
      </c>
      <c r="D569" s="15">
        <f>IF(Murid!E569="","",Murid!E569)</f>
        <v/>
      </c>
      <c r="E569" s="11" t="n"/>
      <c r="F569" s="11" t="n"/>
      <c r="G569" s="10">
        <f>IF(F569="","",IFERROR(VLOOKUP(F569,T_JSP,2,FALSE),0))</f>
        <v/>
      </c>
      <c r="H569" s="11" t="n"/>
      <c r="I569" s="17">
        <f>IF(H569="","",IF(H569&gt;=12,40,ROUND(H569*3.33,2)))</f>
        <v/>
      </c>
      <c r="J569" s="11" t="n"/>
      <c r="K569" s="11" t="n"/>
      <c r="L569" s="11" t="n"/>
      <c r="M569" s="11" t="n"/>
      <c r="N569" s="10">
        <f>IF(COUNTA(J569:M569)=0,"",MIN(10,SUMPRODUCT((COUNTIF(J569:M569,L_KOM)&gt;0)*S_KOM)))</f>
        <v/>
      </c>
      <c r="O569" s="11" t="n"/>
      <c r="P569" s="10">
        <f>IF(O569="","",IFERROR(VLOOKUP(O569,T_KHID,2,FALSE),0))</f>
        <v/>
      </c>
      <c r="Q569" s="11" t="n"/>
      <c r="R569" s="11" t="n"/>
      <c r="S569" s="10">
        <f>IF(AND(Q569="",R569=""),"",IFERROR(INDEX(T_LIBAT,MATCH(Q569,L_PER,0),MATCH(R569,L_JENIS,0)),0))</f>
        <v/>
      </c>
      <c r="T569" s="11" t="n"/>
      <c r="U569" s="11" t="n"/>
      <c r="V569" s="10">
        <f>IF(AND(T569="",U569=""),"",IFERROR(INDEX(T_CAPAI,MATCH(T569,L_PER,0),MATCH(U569,L_KED,0)),0))</f>
        <v/>
      </c>
      <c r="W569" s="17">
        <f>IF(OR(B569="",E569="",COUNTA(F569,H569,J569:M569,O569,Q569:R569,T569:U569)=0),"",SUM(G569,I569,N569,P569,S569,V569))</f>
        <v/>
      </c>
      <c r="X569" s="18">
        <f>IF(W569="","",IF(Murid!F569="TL","TL",ROUND(W569/110*100,2)))</f>
        <v/>
      </c>
    </row>
    <row r="570">
      <c r="A570" s="15">
        <f>Murid!A570</f>
        <v/>
      </c>
      <c r="B570" s="15">
        <f>IF(Murid!B570="","",Murid!B570)</f>
        <v/>
      </c>
      <c r="C570" s="16">
        <f>IF(Murid!C570="","",Murid!C570)</f>
        <v/>
      </c>
      <c r="D570" s="15">
        <f>IF(Murid!E570="","",Murid!E570)</f>
        <v/>
      </c>
      <c r="E570" s="11" t="n"/>
      <c r="F570" s="11" t="n"/>
      <c r="G570" s="10">
        <f>IF(F570="","",IFERROR(VLOOKUP(F570,T_JSP,2,FALSE),0))</f>
        <v/>
      </c>
      <c r="H570" s="11" t="n"/>
      <c r="I570" s="17">
        <f>IF(H570="","",IF(H570&gt;=12,40,ROUND(H570*3.33,2)))</f>
        <v/>
      </c>
      <c r="J570" s="11" t="n"/>
      <c r="K570" s="11" t="n"/>
      <c r="L570" s="11" t="n"/>
      <c r="M570" s="11" t="n"/>
      <c r="N570" s="10">
        <f>IF(COUNTA(J570:M570)=0,"",MIN(10,SUMPRODUCT((COUNTIF(J570:M570,L_KOM)&gt;0)*S_KOM)))</f>
        <v/>
      </c>
      <c r="O570" s="11" t="n"/>
      <c r="P570" s="10">
        <f>IF(O570="","",IFERROR(VLOOKUP(O570,T_KHID,2,FALSE),0))</f>
        <v/>
      </c>
      <c r="Q570" s="11" t="n"/>
      <c r="R570" s="11" t="n"/>
      <c r="S570" s="10">
        <f>IF(AND(Q570="",R570=""),"",IFERROR(INDEX(T_LIBAT,MATCH(Q570,L_PER,0),MATCH(R570,L_JENIS,0)),0))</f>
        <v/>
      </c>
      <c r="T570" s="11" t="n"/>
      <c r="U570" s="11" t="n"/>
      <c r="V570" s="10">
        <f>IF(AND(T570="",U570=""),"",IFERROR(INDEX(T_CAPAI,MATCH(T570,L_PER,0),MATCH(U570,L_KED,0)),0))</f>
        <v/>
      </c>
      <c r="W570" s="17">
        <f>IF(OR(B570="",E570="",COUNTA(F570,H570,J570:M570,O570,Q570:R570,T570:U570)=0),"",SUM(G570,I570,N570,P570,S570,V570))</f>
        <v/>
      </c>
      <c r="X570" s="18">
        <f>IF(W570="","",IF(Murid!F570="TL","TL",ROUND(W570/110*100,2)))</f>
        <v/>
      </c>
    </row>
    <row r="571">
      <c r="A571" s="15">
        <f>Murid!A571</f>
        <v/>
      </c>
      <c r="B571" s="15">
        <f>IF(Murid!B571="","",Murid!B571)</f>
        <v/>
      </c>
      <c r="C571" s="16">
        <f>IF(Murid!C571="","",Murid!C571)</f>
        <v/>
      </c>
      <c r="D571" s="15">
        <f>IF(Murid!E571="","",Murid!E571)</f>
        <v/>
      </c>
      <c r="E571" s="11" t="n"/>
      <c r="F571" s="11" t="n"/>
      <c r="G571" s="10">
        <f>IF(F571="","",IFERROR(VLOOKUP(F571,T_JSP,2,FALSE),0))</f>
        <v/>
      </c>
      <c r="H571" s="11" t="n"/>
      <c r="I571" s="17">
        <f>IF(H571="","",IF(H571&gt;=12,40,ROUND(H571*3.33,2)))</f>
        <v/>
      </c>
      <c r="J571" s="11" t="n"/>
      <c r="K571" s="11" t="n"/>
      <c r="L571" s="11" t="n"/>
      <c r="M571" s="11" t="n"/>
      <c r="N571" s="10">
        <f>IF(COUNTA(J571:M571)=0,"",MIN(10,SUMPRODUCT((COUNTIF(J571:M571,L_KOM)&gt;0)*S_KOM)))</f>
        <v/>
      </c>
      <c r="O571" s="11" t="n"/>
      <c r="P571" s="10">
        <f>IF(O571="","",IFERROR(VLOOKUP(O571,T_KHID,2,FALSE),0))</f>
        <v/>
      </c>
      <c r="Q571" s="11" t="n"/>
      <c r="R571" s="11" t="n"/>
      <c r="S571" s="10">
        <f>IF(AND(Q571="",R571=""),"",IFERROR(INDEX(T_LIBAT,MATCH(Q571,L_PER,0),MATCH(R571,L_JENIS,0)),0))</f>
        <v/>
      </c>
      <c r="T571" s="11" t="n"/>
      <c r="U571" s="11" t="n"/>
      <c r="V571" s="10">
        <f>IF(AND(T571="",U571=""),"",IFERROR(INDEX(T_CAPAI,MATCH(T571,L_PER,0),MATCH(U571,L_KED,0)),0))</f>
        <v/>
      </c>
      <c r="W571" s="17">
        <f>IF(OR(B571="",E571="",COUNTA(F571,H571,J571:M571,O571,Q571:R571,T571:U571)=0),"",SUM(G571,I571,N571,P571,S571,V571))</f>
        <v/>
      </c>
      <c r="X571" s="18">
        <f>IF(W571="","",IF(Murid!F571="TL","TL",ROUND(W571/110*100,2)))</f>
        <v/>
      </c>
    </row>
    <row r="572">
      <c r="A572" s="15">
        <f>Murid!A572</f>
        <v/>
      </c>
      <c r="B572" s="15">
        <f>IF(Murid!B572="","",Murid!B572)</f>
        <v/>
      </c>
      <c r="C572" s="16">
        <f>IF(Murid!C572="","",Murid!C572)</f>
        <v/>
      </c>
      <c r="D572" s="15">
        <f>IF(Murid!E572="","",Murid!E572)</f>
        <v/>
      </c>
      <c r="E572" s="11" t="n"/>
      <c r="F572" s="11" t="n"/>
      <c r="G572" s="10">
        <f>IF(F572="","",IFERROR(VLOOKUP(F572,T_JSP,2,FALSE),0))</f>
        <v/>
      </c>
      <c r="H572" s="11" t="n"/>
      <c r="I572" s="17">
        <f>IF(H572="","",IF(H572&gt;=12,40,ROUND(H572*3.33,2)))</f>
        <v/>
      </c>
      <c r="J572" s="11" t="n"/>
      <c r="K572" s="11" t="n"/>
      <c r="L572" s="11" t="n"/>
      <c r="M572" s="11" t="n"/>
      <c r="N572" s="10">
        <f>IF(COUNTA(J572:M572)=0,"",MIN(10,SUMPRODUCT((COUNTIF(J572:M572,L_KOM)&gt;0)*S_KOM)))</f>
        <v/>
      </c>
      <c r="O572" s="11" t="n"/>
      <c r="P572" s="10">
        <f>IF(O572="","",IFERROR(VLOOKUP(O572,T_KHID,2,FALSE),0))</f>
        <v/>
      </c>
      <c r="Q572" s="11" t="n"/>
      <c r="R572" s="11" t="n"/>
      <c r="S572" s="10">
        <f>IF(AND(Q572="",R572=""),"",IFERROR(INDEX(T_LIBAT,MATCH(Q572,L_PER,0),MATCH(R572,L_JENIS,0)),0))</f>
        <v/>
      </c>
      <c r="T572" s="11" t="n"/>
      <c r="U572" s="11" t="n"/>
      <c r="V572" s="10">
        <f>IF(AND(T572="",U572=""),"",IFERROR(INDEX(T_CAPAI,MATCH(T572,L_PER,0),MATCH(U572,L_KED,0)),0))</f>
        <v/>
      </c>
      <c r="W572" s="17">
        <f>IF(OR(B572="",E572="",COUNTA(F572,H572,J572:M572,O572,Q572:R572,T572:U572)=0),"",SUM(G572,I572,N572,P572,S572,V572))</f>
        <v/>
      </c>
      <c r="X572" s="18">
        <f>IF(W572="","",IF(Murid!F572="TL","TL",ROUND(W572/110*100,2)))</f>
        <v/>
      </c>
    </row>
    <row r="573">
      <c r="A573" s="15">
        <f>Murid!A573</f>
        <v/>
      </c>
      <c r="B573" s="15">
        <f>IF(Murid!B573="","",Murid!B573)</f>
        <v/>
      </c>
      <c r="C573" s="16">
        <f>IF(Murid!C573="","",Murid!C573)</f>
        <v/>
      </c>
      <c r="D573" s="15">
        <f>IF(Murid!E573="","",Murid!E573)</f>
        <v/>
      </c>
      <c r="E573" s="11" t="n"/>
      <c r="F573" s="11" t="n"/>
      <c r="G573" s="10">
        <f>IF(F573="","",IFERROR(VLOOKUP(F573,T_JSP,2,FALSE),0))</f>
        <v/>
      </c>
      <c r="H573" s="11" t="n"/>
      <c r="I573" s="17">
        <f>IF(H573="","",IF(H573&gt;=12,40,ROUND(H573*3.33,2)))</f>
        <v/>
      </c>
      <c r="J573" s="11" t="n"/>
      <c r="K573" s="11" t="n"/>
      <c r="L573" s="11" t="n"/>
      <c r="M573" s="11" t="n"/>
      <c r="N573" s="10">
        <f>IF(COUNTA(J573:M573)=0,"",MIN(10,SUMPRODUCT((COUNTIF(J573:M573,L_KOM)&gt;0)*S_KOM)))</f>
        <v/>
      </c>
      <c r="O573" s="11" t="n"/>
      <c r="P573" s="10">
        <f>IF(O573="","",IFERROR(VLOOKUP(O573,T_KHID,2,FALSE),0))</f>
        <v/>
      </c>
      <c r="Q573" s="11" t="n"/>
      <c r="R573" s="11" t="n"/>
      <c r="S573" s="10">
        <f>IF(AND(Q573="",R573=""),"",IFERROR(INDEX(T_LIBAT,MATCH(Q573,L_PER,0),MATCH(R573,L_JENIS,0)),0))</f>
        <v/>
      </c>
      <c r="T573" s="11" t="n"/>
      <c r="U573" s="11" t="n"/>
      <c r="V573" s="10">
        <f>IF(AND(T573="",U573=""),"",IFERROR(INDEX(T_CAPAI,MATCH(T573,L_PER,0),MATCH(U573,L_KED,0)),0))</f>
        <v/>
      </c>
      <c r="W573" s="17">
        <f>IF(OR(B573="",E573="",COUNTA(F573,H573,J573:M573,O573,Q573:R573,T573:U573)=0),"",SUM(G573,I573,N573,P573,S573,V573))</f>
        <v/>
      </c>
      <c r="X573" s="18">
        <f>IF(W573="","",IF(Murid!F573="TL","TL",ROUND(W573/110*100,2)))</f>
        <v/>
      </c>
    </row>
    <row r="574">
      <c r="A574" s="15">
        <f>Murid!A574</f>
        <v/>
      </c>
      <c r="B574" s="15">
        <f>IF(Murid!B574="","",Murid!B574)</f>
        <v/>
      </c>
      <c r="C574" s="16">
        <f>IF(Murid!C574="","",Murid!C574)</f>
        <v/>
      </c>
      <c r="D574" s="15">
        <f>IF(Murid!E574="","",Murid!E574)</f>
        <v/>
      </c>
      <c r="E574" s="11" t="n"/>
      <c r="F574" s="11" t="n"/>
      <c r="G574" s="10">
        <f>IF(F574="","",IFERROR(VLOOKUP(F574,T_JSP,2,FALSE),0))</f>
        <v/>
      </c>
      <c r="H574" s="11" t="n"/>
      <c r="I574" s="17">
        <f>IF(H574="","",IF(H574&gt;=12,40,ROUND(H574*3.33,2)))</f>
        <v/>
      </c>
      <c r="J574" s="11" t="n"/>
      <c r="K574" s="11" t="n"/>
      <c r="L574" s="11" t="n"/>
      <c r="M574" s="11" t="n"/>
      <c r="N574" s="10">
        <f>IF(COUNTA(J574:M574)=0,"",MIN(10,SUMPRODUCT((COUNTIF(J574:M574,L_KOM)&gt;0)*S_KOM)))</f>
        <v/>
      </c>
      <c r="O574" s="11" t="n"/>
      <c r="P574" s="10">
        <f>IF(O574="","",IFERROR(VLOOKUP(O574,T_KHID,2,FALSE),0))</f>
        <v/>
      </c>
      <c r="Q574" s="11" t="n"/>
      <c r="R574" s="11" t="n"/>
      <c r="S574" s="10">
        <f>IF(AND(Q574="",R574=""),"",IFERROR(INDEX(T_LIBAT,MATCH(Q574,L_PER,0),MATCH(R574,L_JENIS,0)),0))</f>
        <v/>
      </c>
      <c r="T574" s="11" t="n"/>
      <c r="U574" s="11" t="n"/>
      <c r="V574" s="10">
        <f>IF(AND(T574="",U574=""),"",IFERROR(INDEX(T_CAPAI,MATCH(T574,L_PER,0),MATCH(U574,L_KED,0)),0))</f>
        <v/>
      </c>
      <c r="W574" s="17">
        <f>IF(OR(B574="",E574="",COUNTA(F574,H574,J574:M574,O574,Q574:R574,T574:U574)=0),"",SUM(G574,I574,N574,P574,S574,V574))</f>
        <v/>
      </c>
      <c r="X574" s="18">
        <f>IF(W574="","",IF(Murid!F574="TL","TL",ROUND(W574/110*100,2)))</f>
        <v/>
      </c>
    </row>
    <row r="575">
      <c r="A575" s="15">
        <f>Murid!A575</f>
        <v/>
      </c>
      <c r="B575" s="15">
        <f>IF(Murid!B575="","",Murid!B575)</f>
        <v/>
      </c>
      <c r="C575" s="16">
        <f>IF(Murid!C575="","",Murid!C575)</f>
        <v/>
      </c>
      <c r="D575" s="15">
        <f>IF(Murid!E575="","",Murid!E575)</f>
        <v/>
      </c>
      <c r="E575" s="11" t="n"/>
      <c r="F575" s="11" t="n"/>
      <c r="G575" s="10">
        <f>IF(F575="","",IFERROR(VLOOKUP(F575,T_JSP,2,FALSE),0))</f>
        <v/>
      </c>
      <c r="H575" s="11" t="n"/>
      <c r="I575" s="17">
        <f>IF(H575="","",IF(H575&gt;=12,40,ROUND(H575*3.33,2)))</f>
        <v/>
      </c>
      <c r="J575" s="11" t="n"/>
      <c r="K575" s="11" t="n"/>
      <c r="L575" s="11" t="n"/>
      <c r="M575" s="11" t="n"/>
      <c r="N575" s="10">
        <f>IF(COUNTA(J575:M575)=0,"",MIN(10,SUMPRODUCT((COUNTIF(J575:M575,L_KOM)&gt;0)*S_KOM)))</f>
        <v/>
      </c>
      <c r="O575" s="11" t="n"/>
      <c r="P575" s="10">
        <f>IF(O575="","",IFERROR(VLOOKUP(O575,T_KHID,2,FALSE),0))</f>
        <v/>
      </c>
      <c r="Q575" s="11" t="n"/>
      <c r="R575" s="11" t="n"/>
      <c r="S575" s="10">
        <f>IF(AND(Q575="",R575=""),"",IFERROR(INDEX(T_LIBAT,MATCH(Q575,L_PER,0),MATCH(R575,L_JENIS,0)),0))</f>
        <v/>
      </c>
      <c r="T575" s="11" t="n"/>
      <c r="U575" s="11" t="n"/>
      <c r="V575" s="10">
        <f>IF(AND(T575="",U575=""),"",IFERROR(INDEX(T_CAPAI,MATCH(T575,L_PER,0),MATCH(U575,L_KED,0)),0))</f>
        <v/>
      </c>
      <c r="W575" s="17">
        <f>IF(OR(B575="",E575="",COUNTA(F575,H575,J575:M575,O575,Q575:R575,T575:U575)=0),"",SUM(G575,I575,N575,P575,S575,V575))</f>
        <v/>
      </c>
      <c r="X575" s="18">
        <f>IF(W575="","",IF(Murid!F575="TL","TL",ROUND(W575/110*100,2)))</f>
        <v/>
      </c>
    </row>
    <row r="576">
      <c r="A576" s="15">
        <f>Murid!A576</f>
        <v/>
      </c>
      <c r="B576" s="15">
        <f>IF(Murid!B576="","",Murid!B576)</f>
        <v/>
      </c>
      <c r="C576" s="16">
        <f>IF(Murid!C576="","",Murid!C576)</f>
        <v/>
      </c>
      <c r="D576" s="15">
        <f>IF(Murid!E576="","",Murid!E576)</f>
        <v/>
      </c>
      <c r="E576" s="11" t="n"/>
      <c r="F576" s="11" t="n"/>
      <c r="G576" s="10">
        <f>IF(F576="","",IFERROR(VLOOKUP(F576,T_JSP,2,FALSE),0))</f>
        <v/>
      </c>
      <c r="H576" s="11" t="n"/>
      <c r="I576" s="17">
        <f>IF(H576="","",IF(H576&gt;=12,40,ROUND(H576*3.33,2)))</f>
        <v/>
      </c>
      <c r="J576" s="11" t="n"/>
      <c r="K576" s="11" t="n"/>
      <c r="L576" s="11" t="n"/>
      <c r="M576" s="11" t="n"/>
      <c r="N576" s="10">
        <f>IF(COUNTA(J576:M576)=0,"",MIN(10,SUMPRODUCT((COUNTIF(J576:M576,L_KOM)&gt;0)*S_KOM)))</f>
        <v/>
      </c>
      <c r="O576" s="11" t="n"/>
      <c r="P576" s="10">
        <f>IF(O576="","",IFERROR(VLOOKUP(O576,T_KHID,2,FALSE),0))</f>
        <v/>
      </c>
      <c r="Q576" s="11" t="n"/>
      <c r="R576" s="11" t="n"/>
      <c r="S576" s="10">
        <f>IF(AND(Q576="",R576=""),"",IFERROR(INDEX(T_LIBAT,MATCH(Q576,L_PER,0),MATCH(R576,L_JENIS,0)),0))</f>
        <v/>
      </c>
      <c r="T576" s="11" t="n"/>
      <c r="U576" s="11" t="n"/>
      <c r="V576" s="10">
        <f>IF(AND(T576="",U576=""),"",IFERROR(INDEX(T_CAPAI,MATCH(T576,L_PER,0),MATCH(U576,L_KED,0)),0))</f>
        <v/>
      </c>
      <c r="W576" s="17">
        <f>IF(OR(B576="",E576="",COUNTA(F576,H576,J576:M576,O576,Q576:R576,T576:U576)=0),"",SUM(G576,I576,N576,P576,S576,V576))</f>
        <v/>
      </c>
      <c r="X576" s="18">
        <f>IF(W576="","",IF(Murid!F576="TL","TL",ROUND(W576/110*100,2)))</f>
        <v/>
      </c>
    </row>
    <row r="577">
      <c r="A577" s="15">
        <f>Murid!A577</f>
        <v/>
      </c>
      <c r="B577" s="15">
        <f>IF(Murid!B577="","",Murid!B577)</f>
        <v/>
      </c>
      <c r="C577" s="16">
        <f>IF(Murid!C577="","",Murid!C577)</f>
        <v/>
      </c>
      <c r="D577" s="15">
        <f>IF(Murid!E577="","",Murid!E577)</f>
        <v/>
      </c>
      <c r="E577" s="11" t="n"/>
      <c r="F577" s="11" t="n"/>
      <c r="G577" s="10">
        <f>IF(F577="","",IFERROR(VLOOKUP(F577,T_JSP,2,FALSE),0))</f>
        <v/>
      </c>
      <c r="H577" s="11" t="n"/>
      <c r="I577" s="17">
        <f>IF(H577="","",IF(H577&gt;=12,40,ROUND(H577*3.33,2)))</f>
        <v/>
      </c>
      <c r="J577" s="11" t="n"/>
      <c r="K577" s="11" t="n"/>
      <c r="L577" s="11" t="n"/>
      <c r="M577" s="11" t="n"/>
      <c r="N577" s="10">
        <f>IF(COUNTA(J577:M577)=0,"",MIN(10,SUMPRODUCT((COUNTIF(J577:M577,L_KOM)&gt;0)*S_KOM)))</f>
        <v/>
      </c>
      <c r="O577" s="11" t="n"/>
      <c r="P577" s="10">
        <f>IF(O577="","",IFERROR(VLOOKUP(O577,T_KHID,2,FALSE),0))</f>
        <v/>
      </c>
      <c r="Q577" s="11" t="n"/>
      <c r="R577" s="11" t="n"/>
      <c r="S577" s="10">
        <f>IF(AND(Q577="",R577=""),"",IFERROR(INDEX(T_LIBAT,MATCH(Q577,L_PER,0),MATCH(R577,L_JENIS,0)),0))</f>
        <v/>
      </c>
      <c r="T577" s="11" t="n"/>
      <c r="U577" s="11" t="n"/>
      <c r="V577" s="10">
        <f>IF(AND(T577="",U577=""),"",IFERROR(INDEX(T_CAPAI,MATCH(T577,L_PER,0),MATCH(U577,L_KED,0)),0))</f>
        <v/>
      </c>
      <c r="W577" s="17">
        <f>IF(OR(B577="",E577="",COUNTA(F577,H577,J577:M577,O577,Q577:R577,T577:U577)=0),"",SUM(G577,I577,N577,P577,S577,V577))</f>
        <v/>
      </c>
      <c r="X577" s="18">
        <f>IF(W577="","",IF(Murid!F577="TL","TL",ROUND(W577/110*100,2)))</f>
        <v/>
      </c>
    </row>
    <row r="578">
      <c r="A578" s="15">
        <f>Murid!A578</f>
        <v/>
      </c>
      <c r="B578" s="15">
        <f>IF(Murid!B578="","",Murid!B578)</f>
        <v/>
      </c>
      <c r="C578" s="16">
        <f>IF(Murid!C578="","",Murid!C578)</f>
        <v/>
      </c>
      <c r="D578" s="15">
        <f>IF(Murid!E578="","",Murid!E578)</f>
        <v/>
      </c>
      <c r="E578" s="11" t="n"/>
      <c r="F578" s="11" t="n"/>
      <c r="G578" s="10">
        <f>IF(F578="","",IFERROR(VLOOKUP(F578,T_JSP,2,FALSE),0))</f>
        <v/>
      </c>
      <c r="H578" s="11" t="n"/>
      <c r="I578" s="17">
        <f>IF(H578="","",IF(H578&gt;=12,40,ROUND(H578*3.33,2)))</f>
        <v/>
      </c>
      <c r="J578" s="11" t="n"/>
      <c r="K578" s="11" t="n"/>
      <c r="L578" s="11" t="n"/>
      <c r="M578" s="11" t="n"/>
      <c r="N578" s="10">
        <f>IF(COUNTA(J578:M578)=0,"",MIN(10,SUMPRODUCT((COUNTIF(J578:M578,L_KOM)&gt;0)*S_KOM)))</f>
        <v/>
      </c>
      <c r="O578" s="11" t="n"/>
      <c r="P578" s="10">
        <f>IF(O578="","",IFERROR(VLOOKUP(O578,T_KHID,2,FALSE),0))</f>
        <v/>
      </c>
      <c r="Q578" s="11" t="n"/>
      <c r="R578" s="11" t="n"/>
      <c r="S578" s="10">
        <f>IF(AND(Q578="",R578=""),"",IFERROR(INDEX(T_LIBAT,MATCH(Q578,L_PER,0),MATCH(R578,L_JENIS,0)),0))</f>
        <v/>
      </c>
      <c r="T578" s="11" t="n"/>
      <c r="U578" s="11" t="n"/>
      <c r="V578" s="10">
        <f>IF(AND(T578="",U578=""),"",IFERROR(INDEX(T_CAPAI,MATCH(T578,L_PER,0),MATCH(U578,L_KED,0)),0))</f>
        <v/>
      </c>
      <c r="W578" s="17">
        <f>IF(OR(B578="",E578="",COUNTA(F578,H578,J578:M578,O578,Q578:R578,T578:U578)=0),"",SUM(G578,I578,N578,P578,S578,V578))</f>
        <v/>
      </c>
      <c r="X578" s="18">
        <f>IF(W578="","",IF(Murid!F578="TL","TL",ROUND(W578/110*100,2)))</f>
        <v/>
      </c>
    </row>
    <row r="579">
      <c r="A579" s="15">
        <f>Murid!A579</f>
        <v/>
      </c>
      <c r="B579" s="15">
        <f>IF(Murid!B579="","",Murid!B579)</f>
        <v/>
      </c>
      <c r="C579" s="16">
        <f>IF(Murid!C579="","",Murid!C579)</f>
        <v/>
      </c>
      <c r="D579" s="15">
        <f>IF(Murid!E579="","",Murid!E579)</f>
        <v/>
      </c>
      <c r="E579" s="11" t="n"/>
      <c r="F579" s="11" t="n"/>
      <c r="G579" s="10">
        <f>IF(F579="","",IFERROR(VLOOKUP(F579,T_JSP,2,FALSE),0))</f>
        <v/>
      </c>
      <c r="H579" s="11" t="n"/>
      <c r="I579" s="17">
        <f>IF(H579="","",IF(H579&gt;=12,40,ROUND(H579*3.33,2)))</f>
        <v/>
      </c>
      <c r="J579" s="11" t="n"/>
      <c r="K579" s="11" t="n"/>
      <c r="L579" s="11" t="n"/>
      <c r="M579" s="11" t="n"/>
      <c r="N579" s="10">
        <f>IF(COUNTA(J579:M579)=0,"",MIN(10,SUMPRODUCT((COUNTIF(J579:M579,L_KOM)&gt;0)*S_KOM)))</f>
        <v/>
      </c>
      <c r="O579" s="11" t="n"/>
      <c r="P579" s="10">
        <f>IF(O579="","",IFERROR(VLOOKUP(O579,T_KHID,2,FALSE),0))</f>
        <v/>
      </c>
      <c r="Q579" s="11" t="n"/>
      <c r="R579" s="11" t="n"/>
      <c r="S579" s="10">
        <f>IF(AND(Q579="",R579=""),"",IFERROR(INDEX(T_LIBAT,MATCH(Q579,L_PER,0),MATCH(R579,L_JENIS,0)),0))</f>
        <v/>
      </c>
      <c r="T579" s="11" t="n"/>
      <c r="U579" s="11" t="n"/>
      <c r="V579" s="10">
        <f>IF(AND(T579="",U579=""),"",IFERROR(INDEX(T_CAPAI,MATCH(T579,L_PER,0),MATCH(U579,L_KED,0)),0))</f>
        <v/>
      </c>
      <c r="W579" s="17">
        <f>IF(OR(B579="",E579="",COUNTA(F579,H579,J579:M579,O579,Q579:R579,T579:U579)=0),"",SUM(G579,I579,N579,P579,S579,V579))</f>
        <v/>
      </c>
      <c r="X579" s="18">
        <f>IF(W579="","",IF(Murid!F579="TL","TL",ROUND(W579/110*100,2)))</f>
        <v/>
      </c>
    </row>
    <row r="580">
      <c r="A580" s="15">
        <f>Murid!A580</f>
        <v/>
      </c>
      <c r="B580" s="15">
        <f>IF(Murid!B580="","",Murid!B580)</f>
        <v/>
      </c>
      <c r="C580" s="16">
        <f>IF(Murid!C580="","",Murid!C580)</f>
        <v/>
      </c>
      <c r="D580" s="15">
        <f>IF(Murid!E580="","",Murid!E580)</f>
        <v/>
      </c>
      <c r="E580" s="11" t="n"/>
      <c r="F580" s="11" t="n"/>
      <c r="G580" s="10">
        <f>IF(F580="","",IFERROR(VLOOKUP(F580,T_JSP,2,FALSE),0))</f>
        <v/>
      </c>
      <c r="H580" s="11" t="n"/>
      <c r="I580" s="17">
        <f>IF(H580="","",IF(H580&gt;=12,40,ROUND(H580*3.33,2)))</f>
        <v/>
      </c>
      <c r="J580" s="11" t="n"/>
      <c r="K580" s="11" t="n"/>
      <c r="L580" s="11" t="n"/>
      <c r="M580" s="11" t="n"/>
      <c r="N580" s="10">
        <f>IF(COUNTA(J580:M580)=0,"",MIN(10,SUMPRODUCT((COUNTIF(J580:M580,L_KOM)&gt;0)*S_KOM)))</f>
        <v/>
      </c>
      <c r="O580" s="11" t="n"/>
      <c r="P580" s="10">
        <f>IF(O580="","",IFERROR(VLOOKUP(O580,T_KHID,2,FALSE),0))</f>
        <v/>
      </c>
      <c r="Q580" s="11" t="n"/>
      <c r="R580" s="11" t="n"/>
      <c r="S580" s="10">
        <f>IF(AND(Q580="",R580=""),"",IFERROR(INDEX(T_LIBAT,MATCH(Q580,L_PER,0),MATCH(R580,L_JENIS,0)),0))</f>
        <v/>
      </c>
      <c r="T580" s="11" t="n"/>
      <c r="U580" s="11" t="n"/>
      <c r="V580" s="10">
        <f>IF(AND(T580="",U580=""),"",IFERROR(INDEX(T_CAPAI,MATCH(T580,L_PER,0),MATCH(U580,L_KED,0)),0))</f>
        <v/>
      </c>
      <c r="W580" s="17">
        <f>IF(OR(B580="",E580="",COUNTA(F580,H580,J580:M580,O580,Q580:R580,T580:U580)=0),"",SUM(G580,I580,N580,P580,S580,V580))</f>
        <v/>
      </c>
      <c r="X580" s="18">
        <f>IF(W580="","",IF(Murid!F580="TL","TL",ROUND(W580/110*100,2)))</f>
        <v/>
      </c>
    </row>
    <row r="581">
      <c r="A581" s="15">
        <f>Murid!A581</f>
        <v/>
      </c>
      <c r="B581" s="15">
        <f>IF(Murid!B581="","",Murid!B581)</f>
        <v/>
      </c>
      <c r="C581" s="16">
        <f>IF(Murid!C581="","",Murid!C581)</f>
        <v/>
      </c>
      <c r="D581" s="15">
        <f>IF(Murid!E581="","",Murid!E581)</f>
        <v/>
      </c>
      <c r="E581" s="11" t="n"/>
      <c r="F581" s="11" t="n"/>
      <c r="G581" s="10">
        <f>IF(F581="","",IFERROR(VLOOKUP(F581,T_JSP,2,FALSE),0))</f>
        <v/>
      </c>
      <c r="H581" s="11" t="n"/>
      <c r="I581" s="17">
        <f>IF(H581="","",IF(H581&gt;=12,40,ROUND(H581*3.33,2)))</f>
        <v/>
      </c>
      <c r="J581" s="11" t="n"/>
      <c r="K581" s="11" t="n"/>
      <c r="L581" s="11" t="n"/>
      <c r="M581" s="11" t="n"/>
      <c r="N581" s="10">
        <f>IF(COUNTA(J581:M581)=0,"",MIN(10,SUMPRODUCT((COUNTIF(J581:M581,L_KOM)&gt;0)*S_KOM)))</f>
        <v/>
      </c>
      <c r="O581" s="11" t="n"/>
      <c r="P581" s="10">
        <f>IF(O581="","",IFERROR(VLOOKUP(O581,T_KHID,2,FALSE),0))</f>
        <v/>
      </c>
      <c r="Q581" s="11" t="n"/>
      <c r="R581" s="11" t="n"/>
      <c r="S581" s="10">
        <f>IF(AND(Q581="",R581=""),"",IFERROR(INDEX(T_LIBAT,MATCH(Q581,L_PER,0),MATCH(R581,L_JENIS,0)),0))</f>
        <v/>
      </c>
      <c r="T581" s="11" t="n"/>
      <c r="U581" s="11" t="n"/>
      <c r="V581" s="10">
        <f>IF(AND(T581="",U581=""),"",IFERROR(INDEX(T_CAPAI,MATCH(T581,L_PER,0),MATCH(U581,L_KED,0)),0))</f>
        <v/>
      </c>
      <c r="W581" s="17">
        <f>IF(OR(B581="",E581="",COUNTA(F581,H581,J581:M581,O581,Q581:R581,T581:U581)=0),"",SUM(G581,I581,N581,P581,S581,V581))</f>
        <v/>
      </c>
      <c r="X581" s="18">
        <f>IF(W581="","",IF(Murid!F581="TL","TL",ROUND(W581/110*100,2)))</f>
        <v/>
      </c>
    </row>
    <row r="582">
      <c r="A582" s="15">
        <f>Murid!A582</f>
        <v/>
      </c>
      <c r="B582" s="15">
        <f>IF(Murid!B582="","",Murid!B582)</f>
        <v/>
      </c>
      <c r="C582" s="16">
        <f>IF(Murid!C582="","",Murid!C582)</f>
        <v/>
      </c>
      <c r="D582" s="15">
        <f>IF(Murid!E582="","",Murid!E582)</f>
        <v/>
      </c>
      <c r="E582" s="11" t="n"/>
      <c r="F582" s="11" t="n"/>
      <c r="G582" s="10">
        <f>IF(F582="","",IFERROR(VLOOKUP(F582,T_JSP,2,FALSE),0))</f>
        <v/>
      </c>
      <c r="H582" s="11" t="n"/>
      <c r="I582" s="17">
        <f>IF(H582="","",IF(H582&gt;=12,40,ROUND(H582*3.33,2)))</f>
        <v/>
      </c>
      <c r="J582" s="11" t="n"/>
      <c r="K582" s="11" t="n"/>
      <c r="L582" s="11" t="n"/>
      <c r="M582" s="11" t="n"/>
      <c r="N582" s="10">
        <f>IF(COUNTA(J582:M582)=0,"",MIN(10,SUMPRODUCT((COUNTIF(J582:M582,L_KOM)&gt;0)*S_KOM)))</f>
        <v/>
      </c>
      <c r="O582" s="11" t="n"/>
      <c r="P582" s="10">
        <f>IF(O582="","",IFERROR(VLOOKUP(O582,T_KHID,2,FALSE),0))</f>
        <v/>
      </c>
      <c r="Q582" s="11" t="n"/>
      <c r="R582" s="11" t="n"/>
      <c r="S582" s="10">
        <f>IF(AND(Q582="",R582=""),"",IFERROR(INDEX(T_LIBAT,MATCH(Q582,L_PER,0),MATCH(R582,L_JENIS,0)),0))</f>
        <v/>
      </c>
      <c r="T582" s="11" t="n"/>
      <c r="U582" s="11" t="n"/>
      <c r="V582" s="10">
        <f>IF(AND(T582="",U582=""),"",IFERROR(INDEX(T_CAPAI,MATCH(T582,L_PER,0),MATCH(U582,L_KED,0)),0))</f>
        <v/>
      </c>
      <c r="W582" s="17">
        <f>IF(OR(B582="",E582="",COUNTA(F582,H582,J582:M582,O582,Q582:R582,T582:U582)=0),"",SUM(G582,I582,N582,P582,S582,V582))</f>
        <v/>
      </c>
      <c r="X582" s="18">
        <f>IF(W582="","",IF(Murid!F582="TL","TL",ROUND(W582/110*100,2)))</f>
        <v/>
      </c>
    </row>
    <row r="583">
      <c r="A583" s="15">
        <f>Murid!A583</f>
        <v/>
      </c>
      <c r="B583" s="15">
        <f>IF(Murid!B583="","",Murid!B583)</f>
        <v/>
      </c>
      <c r="C583" s="16">
        <f>IF(Murid!C583="","",Murid!C583)</f>
        <v/>
      </c>
      <c r="D583" s="15">
        <f>IF(Murid!E583="","",Murid!E583)</f>
        <v/>
      </c>
      <c r="E583" s="11" t="n"/>
      <c r="F583" s="11" t="n"/>
      <c r="G583" s="10">
        <f>IF(F583="","",IFERROR(VLOOKUP(F583,T_JSP,2,FALSE),0))</f>
        <v/>
      </c>
      <c r="H583" s="11" t="n"/>
      <c r="I583" s="17">
        <f>IF(H583="","",IF(H583&gt;=12,40,ROUND(H583*3.33,2)))</f>
        <v/>
      </c>
      <c r="J583" s="11" t="n"/>
      <c r="K583" s="11" t="n"/>
      <c r="L583" s="11" t="n"/>
      <c r="M583" s="11" t="n"/>
      <c r="N583" s="10">
        <f>IF(COUNTA(J583:M583)=0,"",MIN(10,SUMPRODUCT((COUNTIF(J583:M583,L_KOM)&gt;0)*S_KOM)))</f>
        <v/>
      </c>
      <c r="O583" s="11" t="n"/>
      <c r="P583" s="10">
        <f>IF(O583="","",IFERROR(VLOOKUP(O583,T_KHID,2,FALSE),0))</f>
        <v/>
      </c>
      <c r="Q583" s="11" t="n"/>
      <c r="R583" s="11" t="n"/>
      <c r="S583" s="10">
        <f>IF(AND(Q583="",R583=""),"",IFERROR(INDEX(T_LIBAT,MATCH(Q583,L_PER,0),MATCH(R583,L_JENIS,0)),0))</f>
        <v/>
      </c>
      <c r="T583" s="11" t="n"/>
      <c r="U583" s="11" t="n"/>
      <c r="V583" s="10">
        <f>IF(AND(T583="",U583=""),"",IFERROR(INDEX(T_CAPAI,MATCH(T583,L_PER,0),MATCH(U583,L_KED,0)),0))</f>
        <v/>
      </c>
      <c r="W583" s="17">
        <f>IF(OR(B583="",E583="",COUNTA(F583,H583,J583:M583,O583,Q583:R583,T583:U583)=0),"",SUM(G583,I583,N583,P583,S583,V583))</f>
        <v/>
      </c>
      <c r="X583" s="18">
        <f>IF(W583="","",IF(Murid!F583="TL","TL",ROUND(W583/110*100,2)))</f>
        <v/>
      </c>
    </row>
    <row r="584">
      <c r="A584" s="15">
        <f>Murid!A584</f>
        <v/>
      </c>
      <c r="B584" s="15">
        <f>IF(Murid!B584="","",Murid!B584)</f>
        <v/>
      </c>
      <c r="C584" s="16">
        <f>IF(Murid!C584="","",Murid!C584)</f>
        <v/>
      </c>
      <c r="D584" s="15">
        <f>IF(Murid!E584="","",Murid!E584)</f>
        <v/>
      </c>
      <c r="E584" s="11" t="n"/>
      <c r="F584" s="11" t="n"/>
      <c r="G584" s="10">
        <f>IF(F584="","",IFERROR(VLOOKUP(F584,T_JSP,2,FALSE),0))</f>
        <v/>
      </c>
      <c r="H584" s="11" t="n"/>
      <c r="I584" s="17">
        <f>IF(H584="","",IF(H584&gt;=12,40,ROUND(H584*3.33,2)))</f>
        <v/>
      </c>
      <c r="J584" s="11" t="n"/>
      <c r="K584" s="11" t="n"/>
      <c r="L584" s="11" t="n"/>
      <c r="M584" s="11" t="n"/>
      <c r="N584" s="10">
        <f>IF(COUNTA(J584:M584)=0,"",MIN(10,SUMPRODUCT((COUNTIF(J584:M584,L_KOM)&gt;0)*S_KOM)))</f>
        <v/>
      </c>
      <c r="O584" s="11" t="n"/>
      <c r="P584" s="10">
        <f>IF(O584="","",IFERROR(VLOOKUP(O584,T_KHID,2,FALSE),0))</f>
        <v/>
      </c>
      <c r="Q584" s="11" t="n"/>
      <c r="R584" s="11" t="n"/>
      <c r="S584" s="10">
        <f>IF(AND(Q584="",R584=""),"",IFERROR(INDEX(T_LIBAT,MATCH(Q584,L_PER,0),MATCH(R584,L_JENIS,0)),0))</f>
        <v/>
      </c>
      <c r="T584" s="11" t="n"/>
      <c r="U584" s="11" t="n"/>
      <c r="V584" s="10">
        <f>IF(AND(T584="",U584=""),"",IFERROR(INDEX(T_CAPAI,MATCH(T584,L_PER,0),MATCH(U584,L_KED,0)),0))</f>
        <v/>
      </c>
      <c r="W584" s="17">
        <f>IF(OR(B584="",E584="",COUNTA(F584,H584,J584:M584,O584,Q584:R584,T584:U584)=0),"",SUM(G584,I584,N584,P584,S584,V584))</f>
        <v/>
      </c>
      <c r="X584" s="18">
        <f>IF(W584="","",IF(Murid!F584="TL","TL",ROUND(W584/110*100,2)))</f>
        <v/>
      </c>
    </row>
    <row r="585">
      <c r="A585" s="15">
        <f>Murid!A585</f>
        <v/>
      </c>
      <c r="B585" s="15">
        <f>IF(Murid!B585="","",Murid!B585)</f>
        <v/>
      </c>
      <c r="C585" s="16">
        <f>IF(Murid!C585="","",Murid!C585)</f>
        <v/>
      </c>
      <c r="D585" s="15">
        <f>IF(Murid!E585="","",Murid!E585)</f>
        <v/>
      </c>
      <c r="E585" s="11" t="n"/>
      <c r="F585" s="11" t="n"/>
      <c r="G585" s="10">
        <f>IF(F585="","",IFERROR(VLOOKUP(F585,T_JSP,2,FALSE),0))</f>
        <v/>
      </c>
      <c r="H585" s="11" t="n"/>
      <c r="I585" s="17">
        <f>IF(H585="","",IF(H585&gt;=12,40,ROUND(H585*3.33,2)))</f>
        <v/>
      </c>
      <c r="J585" s="11" t="n"/>
      <c r="K585" s="11" t="n"/>
      <c r="L585" s="11" t="n"/>
      <c r="M585" s="11" t="n"/>
      <c r="N585" s="10">
        <f>IF(COUNTA(J585:M585)=0,"",MIN(10,SUMPRODUCT((COUNTIF(J585:M585,L_KOM)&gt;0)*S_KOM)))</f>
        <v/>
      </c>
      <c r="O585" s="11" t="n"/>
      <c r="P585" s="10">
        <f>IF(O585="","",IFERROR(VLOOKUP(O585,T_KHID,2,FALSE),0))</f>
        <v/>
      </c>
      <c r="Q585" s="11" t="n"/>
      <c r="R585" s="11" t="n"/>
      <c r="S585" s="10">
        <f>IF(AND(Q585="",R585=""),"",IFERROR(INDEX(T_LIBAT,MATCH(Q585,L_PER,0),MATCH(R585,L_JENIS,0)),0))</f>
        <v/>
      </c>
      <c r="T585" s="11" t="n"/>
      <c r="U585" s="11" t="n"/>
      <c r="V585" s="10">
        <f>IF(AND(T585="",U585=""),"",IFERROR(INDEX(T_CAPAI,MATCH(T585,L_PER,0),MATCH(U585,L_KED,0)),0))</f>
        <v/>
      </c>
      <c r="W585" s="17">
        <f>IF(OR(B585="",E585="",COUNTA(F585,H585,J585:M585,O585,Q585:R585,T585:U585)=0),"",SUM(G585,I585,N585,P585,S585,V585))</f>
        <v/>
      </c>
      <c r="X585" s="18">
        <f>IF(W585="","",IF(Murid!F585="TL","TL",ROUND(W585/110*100,2)))</f>
        <v/>
      </c>
    </row>
    <row r="586">
      <c r="A586" s="15">
        <f>Murid!A586</f>
        <v/>
      </c>
      <c r="B586" s="15">
        <f>IF(Murid!B586="","",Murid!B586)</f>
        <v/>
      </c>
      <c r="C586" s="16">
        <f>IF(Murid!C586="","",Murid!C586)</f>
        <v/>
      </c>
      <c r="D586" s="15">
        <f>IF(Murid!E586="","",Murid!E586)</f>
        <v/>
      </c>
      <c r="E586" s="11" t="n"/>
      <c r="F586" s="11" t="n"/>
      <c r="G586" s="10">
        <f>IF(F586="","",IFERROR(VLOOKUP(F586,T_JSP,2,FALSE),0))</f>
        <v/>
      </c>
      <c r="H586" s="11" t="n"/>
      <c r="I586" s="17">
        <f>IF(H586="","",IF(H586&gt;=12,40,ROUND(H586*3.33,2)))</f>
        <v/>
      </c>
      <c r="J586" s="11" t="n"/>
      <c r="K586" s="11" t="n"/>
      <c r="L586" s="11" t="n"/>
      <c r="M586" s="11" t="n"/>
      <c r="N586" s="10">
        <f>IF(COUNTA(J586:M586)=0,"",MIN(10,SUMPRODUCT((COUNTIF(J586:M586,L_KOM)&gt;0)*S_KOM)))</f>
        <v/>
      </c>
      <c r="O586" s="11" t="n"/>
      <c r="P586" s="10">
        <f>IF(O586="","",IFERROR(VLOOKUP(O586,T_KHID,2,FALSE),0))</f>
        <v/>
      </c>
      <c r="Q586" s="11" t="n"/>
      <c r="R586" s="11" t="n"/>
      <c r="S586" s="10">
        <f>IF(AND(Q586="",R586=""),"",IFERROR(INDEX(T_LIBAT,MATCH(Q586,L_PER,0),MATCH(R586,L_JENIS,0)),0))</f>
        <v/>
      </c>
      <c r="T586" s="11" t="n"/>
      <c r="U586" s="11" t="n"/>
      <c r="V586" s="10">
        <f>IF(AND(T586="",U586=""),"",IFERROR(INDEX(T_CAPAI,MATCH(T586,L_PER,0),MATCH(U586,L_KED,0)),0))</f>
        <v/>
      </c>
      <c r="W586" s="17">
        <f>IF(OR(B586="",E586="",COUNTA(F586,H586,J586:M586,O586,Q586:R586,T586:U586)=0),"",SUM(G586,I586,N586,P586,S586,V586))</f>
        <v/>
      </c>
      <c r="X586" s="18">
        <f>IF(W586="","",IF(Murid!F586="TL","TL",ROUND(W586/110*100,2)))</f>
        <v/>
      </c>
    </row>
    <row r="587">
      <c r="A587" s="15">
        <f>Murid!A587</f>
        <v/>
      </c>
      <c r="B587" s="15">
        <f>IF(Murid!B587="","",Murid!B587)</f>
        <v/>
      </c>
      <c r="C587" s="16">
        <f>IF(Murid!C587="","",Murid!C587)</f>
        <v/>
      </c>
      <c r="D587" s="15">
        <f>IF(Murid!E587="","",Murid!E587)</f>
        <v/>
      </c>
      <c r="E587" s="11" t="n"/>
      <c r="F587" s="11" t="n"/>
      <c r="G587" s="10">
        <f>IF(F587="","",IFERROR(VLOOKUP(F587,T_JSP,2,FALSE),0))</f>
        <v/>
      </c>
      <c r="H587" s="11" t="n"/>
      <c r="I587" s="17">
        <f>IF(H587="","",IF(H587&gt;=12,40,ROUND(H587*3.33,2)))</f>
        <v/>
      </c>
      <c r="J587" s="11" t="n"/>
      <c r="K587" s="11" t="n"/>
      <c r="L587" s="11" t="n"/>
      <c r="M587" s="11" t="n"/>
      <c r="N587" s="10">
        <f>IF(COUNTA(J587:M587)=0,"",MIN(10,SUMPRODUCT((COUNTIF(J587:M587,L_KOM)&gt;0)*S_KOM)))</f>
        <v/>
      </c>
      <c r="O587" s="11" t="n"/>
      <c r="P587" s="10">
        <f>IF(O587="","",IFERROR(VLOOKUP(O587,T_KHID,2,FALSE),0))</f>
        <v/>
      </c>
      <c r="Q587" s="11" t="n"/>
      <c r="R587" s="11" t="n"/>
      <c r="S587" s="10">
        <f>IF(AND(Q587="",R587=""),"",IFERROR(INDEX(T_LIBAT,MATCH(Q587,L_PER,0),MATCH(R587,L_JENIS,0)),0))</f>
        <v/>
      </c>
      <c r="T587" s="11" t="n"/>
      <c r="U587" s="11" t="n"/>
      <c r="V587" s="10">
        <f>IF(AND(T587="",U587=""),"",IFERROR(INDEX(T_CAPAI,MATCH(T587,L_PER,0),MATCH(U587,L_KED,0)),0))</f>
        <v/>
      </c>
      <c r="W587" s="17">
        <f>IF(OR(B587="",E587="",COUNTA(F587,H587,J587:M587,O587,Q587:R587,T587:U587)=0),"",SUM(G587,I587,N587,P587,S587,V587))</f>
        <v/>
      </c>
      <c r="X587" s="18">
        <f>IF(W587="","",IF(Murid!F587="TL","TL",ROUND(W587/110*100,2)))</f>
        <v/>
      </c>
    </row>
    <row r="588">
      <c r="A588" s="15">
        <f>Murid!A588</f>
        <v/>
      </c>
      <c r="B588" s="15">
        <f>IF(Murid!B588="","",Murid!B588)</f>
        <v/>
      </c>
      <c r="C588" s="16">
        <f>IF(Murid!C588="","",Murid!C588)</f>
        <v/>
      </c>
      <c r="D588" s="15">
        <f>IF(Murid!E588="","",Murid!E588)</f>
        <v/>
      </c>
      <c r="E588" s="11" t="n"/>
      <c r="F588" s="11" t="n"/>
      <c r="G588" s="10">
        <f>IF(F588="","",IFERROR(VLOOKUP(F588,T_JSP,2,FALSE),0))</f>
        <v/>
      </c>
      <c r="H588" s="11" t="n"/>
      <c r="I588" s="17">
        <f>IF(H588="","",IF(H588&gt;=12,40,ROUND(H588*3.33,2)))</f>
        <v/>
      </c>
      <c r="J588" s="11" t="n"/>
      <c r="K588" s="11" t="n"/>
      <c r="L588" s="11" t="n"/>
      <c r="M588" s="11" t="n"/>
      <c r="N588" s="10">
        <f>IF(COUNTA(J588:M588)=0,"",MIN(10,SUMPRODUCT((COUNTIF(J588:M588,L_KOM)&gt;0)*S_KOM)))</f>
        <v/>
      </c>
      <c r="O588" s="11" t="n"/>
      <c r="P588" s="10">
        <f>IF(O588="","",IFERROR(VLOOKUP(O588,T_KHID,2,FALSE),0))</f>
        <v/>
      </c>
      <c r="Q588" s="11" t="n"/>
      <c r="R588" s="11" t="n"/>
      <c r="S588" s="10">
        <f>IF(AND(Q588="",R588=""),"",IFERROR(INDEX(T_LIBAT,MATCH(Q588,L_PER,0),MATCH(R588,L_JENIS,0)),0))</f>
        <v/>
      </c>
      <c r="T588" s="11" t="n"/>
      <c r="U588" s="11" t="n"/>
      <c r="V588" s="10">
        <f>IF(AND(T588="",U588=""),"",IFERROR(INDEX(T_CAPAI,MATCH(T588,L_PER,0),MATCH(U588,L_KED,0)),0))</f>
        <v/>
      </c>
      <c r="W588" s="17">
        <f>IF(OR(B588="",E588="",COUNTA(F588,H588,J588:M588,O588,Q588:R588,T588:U588)=0),"",SUM(G588,I588,N588,P588,S588,V588))</f>
        <v/>
      </c>
      <c r="X588" s="18">
        <f>IF(W588="","",IF(Murid!F588="TL","TL",ROUND(W588/110*100,2)))</f>
        <v/>
      </c>
    </row>
    <row r="589">
      <c r="A589" s="15">
        <f>Murid!A589</f>
        <v/>
      </c>
      <c r="B589" s="15">
        <f>IF(Murid!B589="","",Murid!B589)</f>
        <v/>
      </c>
      <c r="C589" s="16">
        <f>IF(Murid!C589="","",Murid!C589)</f>
        <v/>
      </c>
      <c r="D589" s="15">
        <f>IF(Murid!E589="","",Murid!E589)</f>
        <v/>
      </c>
      <c r="E589" s="11" t="n"/>
      <c r="F589" s="11" t="n"/>
      <c r="G589" s="10">
        <f>IF(F589="","",IFERROR(VLOOKUP(F589,T_JSP,2,FALSE),0))</f>
        <v/>
      </c>
      <c r="H589" s="11" t="n"/>
      <c r="I589" s="17">
        <f>IF(H589="","",IF(H589&gt;=12,40,ROUND(H589*3.33,2)))</f>
        <v/>
      </c>
      <c r="J589" s="11" t="n"/>
      <c r="K589" s="11" t="n"/>
      <c r="L589" s="11" t="n"/>
      <c r="M589" s="11" t="n"/>
      <c r="N589" s="10">
        <f>IF(COUNTA(J589:M589)=0,"",MIN(10,SUMPRODUCT((COUNTIF(J589:M589,L_KOM)&gt;0)*S_KOM)))</f>
        <v/>
      </c>
      <c r="O589" s="11" t="n"/>
      <c r="P589" s="10">
        <f>IF(O589="","",IFERROR(VLOOKUP(O589,T_KHID,2,FALSE),0))</f>
        <v/>
      </c>
      <c r="Q589" s="11" t="n"/>
      <c r="R589" s="11" t="n"/>
      <c r="S589" s="10">
        <f>IF(AND(Q589="",R589=""),"",IFERROR(INDEX(T_LIBAT,MATCH(Q589,L_PER,0),MATCH(R589,L_JENIS,0)),0))</f>
        <v/>
      </c>
      <c r="T589" s="11" t="n"/>
      <c r="U589" s="11" t="n"/>
      <c r="V589" s="10">
        <f>IF(AND(T589="",U589=""),"",IFERROR(INDEX(T_CAPAI,MATCH(T589,L_PER,0),MATCH(U589,L_KED,0)),0))</f>
        <v/>
      </c>
      <c r="W589" s="17">
        <f>IF(OR(B589="",E589="",COUNTA(F589,H589,J589:M589,O589,Q589:R589,T589:U589)=0),"",SUM(G589,I589,N589,P589,S589,V589))</f>
        <v/>
      </c>
      <c r="X589" s="18">
        <f>IF(W589="","",IF(Murid!F589="TL","TL",ROUND(W589/110*100,2)))</f>
        <v/>
      </c>
    </row>
    <row r="590">
      <c r="A590" s="15">
        <f>Murid!A590</f>
        <v/>
      </c>
      <c r="B590" s="15">
        <f>IF(Murid!B590="","",Murid!B590)</f>
        <v/>
      </c>
      <c r="C590" s="16">
        <f>IF(Murid!C590="","",Murid!C590)</f>
        <v/>
      </c>
      <c r="D590" s="15">
        <f>IF(Murid!E590="","",Murid!E590)</f>
        <v/>
      </c>
      <c r="E590" s="11" t="n"/>
      <c r="F590" s="11" t="n"/>
      <c r="G590" s="10">
        <f>IF(F590="","",IFERROR(VLOOKUP(F590,T_JSP,2,FALSE),0))</f>
        <v/>
      </c>
      <c r="H590" s="11" t="n"/>
      <c r="I590" s="17">
        <f>IF(H590="","",IF(H590&gt;=12,40,ROUND(H590*3.33,2)))</f>
        <v/>
      </c>
      <c r="J590" s="11" t="n"/>
      <c r="K590" s="11" t="n"/>
      <c r="L590" s="11" t="n"/>
      <c r="M590" s="11" t="n"/>
      <c r="N590" s="10">
        <f>IF(COUNTA(J590:M590)=0,"",MIN(10,SUMPRODUCT((COUNTIF(J590:M590,L_KOM)&gt;0)*S_KOM)))</f>
        <v/>
      </c>
      <c r="O590" s="11" t="n"/>
      <c r="P590" s="10">
        <f>IF(O590="","",IFERROR(VLOOKUP(O590,T_KHID,2,FALSE),0))</f>
        <v/>
      </c>
      <c r="Q590" s="11" t="n"/>
      <c r="R590" s="11" t="n"/>
      <c r="S590" s="10">
        <f>IF(AND(Q590="",R590=""),"",IFERROR(INDEX(T_LIBAT,MATCH(Q590,L_PER,0),MATCH(R590,L_JENIS,0)),0))</f>
        <v/>
      </c>
      <c r="T590" s="11" t="n"/>
      <c r="U590" s="11" t="n"/>
      <c r="V590" s="10">
        <f>IF(AND(T590="",U590=""),"",IFERROR(INDEX(T_CAPAI,MATCH(T590,L_PER,0),MATCH(U590,L_KED,0)),0))</f>
        <v/>
      </c>
      <c r="W590" s="17">
        <f>IF(OR(B590="",E590="",COUNTA(F590,H590,J590:M590,O590,Q590:R590,T590:U590)=0),"",SUM(G590,I590,N590,P590,S590,V590))</f>
        <v/>
      </c>
      <c r="X590" s="18">
        <f>IF(W590="","",IF(Murid!F590="TL","TL",ROUND(W590/110*100,2)))</f>
        <v/>
      </c>
    </row>
    <row r="591">
      <c r="A591" s="15">
        <f>Murid!A591</f>
        <v/>
      </c>
      <c r="B591" s="15">
        <f>IF(Murid!B591="","",Murid!B591)</f>
        <v/>
      </c>
      <c r="C591" s="16">
        <f>IF(Murid!C591="","",Murid!C591)</f>
        <v/>
      </c>
      <c r="D591" s="15">
        <f>IF(Murid!E591="","",Murid!E591)</f>
        <v/>
      </c>
      <c r="E591" s="11" t="n"/>
      <c r="F591" s="11" t="n"/>
      <c r="G591" s="10">
        <f>IF(F591="","",IFERROR(VLOOKUP(F591,T_JSP,2,FALSE),0))</f>
        <v/>
      </c>
      <c r="H591" s="11" t="n"/>
      <c r="I591" s="17">
        <f>IF(H591="","",IF(H591&gt;=12,40,ROUND(H591*3.33,2)))</f>
        <v/>
      </c>
      <c r="J591" s="11" t="n"/>
      <c r="K591" s="11" t="n"/>
      <c r="L591" s="11" t="n"/>
      <c r="M591" s="11" t="n"/>
      <c r="N591" s="10">
        <f>IF(COUNTA(J591:M591)=0,"",MIN(10,SUMPRODUCT((COUNTIF(J591:M591,L_KOM)&gt;0)*S_KOM)))</f>
        <v/>
      </c>
      <c r="O591" s="11" t="n"/>
      <c r="P591" s="10">
        <f>IF(O591="","",IFERROR(VLOOKUP(O591,T_KHID,2,FALSE),0))</f>
        <v/>
      </c>
      <c r="Q591" s="11" t="n"/>
      <c r="R591" s="11" t="n"/>
      <c r="S591" s="10">
        <f>IF(AND(Q591="",R591=""),"",IFERROR(INDEX(T_LIBAT,MATCH(Q591,L_PER,0),MATCH(R591,L_JENIS,0)),0))</f>
        <v/>
      </c>
      <c r="T591" s="11" t="n"/>
      <c r="U591" s="11" t="n"/>
      <c r="V591" s="10">
        <f>IF(AND(T591="",U591=""),"",IFERROR(INDEX(T_CAPAI,MATCH(T591,L_PER,0),MATCH(U591,L_KED,0)),0))</f>
        <v/>
      </c>
      <c r="W591" s="17">
        <f>IF(OR(B591="",E591="",COUNTA(F591,H591,J591:M591,O591,Q591:R591,T591:U591)=0),"",SUM(G591,I591,N591,P591,S591,V591))</f>
        <v/>
      </c>
      <c r="X591" s="18">
        <f>IF(W591="","",IF(Murid!F591="TL","TL",ROUND(W591/110*100,2)))</f>
        <v/>
      </c>
    </row>
    <row r="592">
      <c r="A592" s="15">
        <f>Murid!A592</f>
        <v/>
      </c>
      <c r="B592" s="15">
        <f>IF(Murid!B592="","",Murid!B592)</f>
        <v/>
      </c>
      <c r="C592" s="16">
        <f>IF(Murid!C592="","",Murid!C592)</f>
        <v/>
      </c>
      <c r="D592" s="15">
        <f>IF(Murid!E592="","",Murid!E592)</f>
        <v/>
      </c>
      <c r="E592" s="11" t="n"/>
      <c r="F592" s="11" t="n"/>
      <c r="G592" s="10">
        <f>IF(F592="","",IFERROR(VLOOKUP(F592,T_JSP,2,FALSE),0))</f>
        <v/>
      </c>
      <c r="H592" s="11" t="n"/>
      <c r="I592" s="17">
        <f>IF(H592="","",IF(H592&gt;=12,40,ROUND(H592*3.33,2)))</f>
        <v/>
      </c>
      <c r="J592" s="11" t="n"/>
      <c r="K592" s="11" t="n"/>
      <c r="L592" s="11" t="n"/>
      <c r="M592" s="11" t="n"/>
      <c r="N592" s="10">
        <f>IF(COUNTA(J592:M592)=0,"",MIN(10,SUMPRODUCT((COUNTIF(J592:M592,L_KOM)&gt;0)*S_KOM)))</f>
        <v/>
      </c>
      <c r="O592" s="11" t="n"/>
      <c r="P592" s="10">
        <f>IF(O592="","",IFERROR(VLOOKUP(O592,T_KHID,2,FALSE),0))</f>
        <v/>
      </c>
      <c r="Q592" s="11" t="n"/>
      <c r="R592" s="11" t="n"/>
      <c r="S592" s="10">
        <f>IF(AND(Q592="",R592=""),"",IFERROR(INDEX(T_LIBAT,MATCH(Q592,L_PER,0),MATCH(R592,L_JENIS,0)),0))</f>
        <v/>
      </c>
      <c r="T592" s="11" t="n"/>
      <c r="U592" s="11" t="n"/>
      <c r="V592" s="10">
        <f>IF(AND(T592="",U592=""),"",IFERROR(INDEX(T_CAPAI,MATCH(T592,L_PER,0),MATCH(U592,L_KED,0)),0))</f>
        <v/>
      </c>
      <c r="W592" s="17">
        <f>IF(OR(B592="",E592="",COUNTA(F592,H592,J592:M592,O592,Q592:R592,T592:U592)=0),"",SUM(G592,I592,N592,P592,S592,V592))</f>
        <v/>
      </c>
      <c r="X592" s="18">
        <f>IF(W592="","",IF(Murid!F592="TL","TL",ROUND(W592/110*100,2)))</f>
        <v/>
      </c>
    </row>
    <row r="593">
      <c r="A593" s="15">
        <f>Murid!A593</f>
        <v/>
      </c>
      <c r="B593" s="15">
        <f>IF(Murid!B593="","",Murid!B593)</f>
        <v/>
      </c>
      <c r="C593" s="16">
        <f>IF(Murid!C593="","",Murid!C593)</f>
        <v/>
      </c>
      <c r="D593" s="15">
        <f>IF(Murid!E593="","",Murid!E593)</f>
        <v/>
      </c>
      <c r="E593" s="11" t="n"/>
      <c r="F593" s="11" t="n"/>
      <c r="G593" s="10">
        <f>IF(F593="","",IFERROR(VLOOKUP(F593,T_JSP,2,FALSE),0))</f>
        <v/>
      </c>
      <c r="H593" s="11" t="n"/>
      <c r="I593" s="17">
        <f>IF(H593="","",IF(H593&gt;=12,40,ROUND(H593*3.33,2)))</f>
        <v/>
      </c>
      <c r="J593" s="11" t="n"/>
      <c r="K593" s="11" t="n"/>
      <c r="L593" s="11" t="n"/>
      <c r="M593" s="11" t="n"/>
      <c r="N593" s="10">
        <f>IF(COUNTA(J593:M593)=0,"",MIN(10,SUMPRODUCT((COUNTIF(J593:M593,L_KOM)&gt;0)*S_KOM)))</f>
        <v/>
      </c>
      <c r="O593" s="11" t="n"/>
      <c r="P593" s="10">
        <f>IF(O593="","",IFERROR(VLOOKUP(O593,T_KHID,2,FALSE),0))</f>
        <v/>
      </c>
      <c r="Q593" s="11" t="n"/>
      <c r="R593" s="11" t="n"/>
      <c r="S593" s="10">
        <f>IF(AND(Q593="",R593=""),"",IFERROR(INDEX(T_LIBAT,MATCH(Q593,L_PER,0),MATCH(R593,L_JENIS,0)),0))</f>
        <v/>
      </c>
      <c r="T593" s="11" t="n"/>
      <c r="U593" s="11" t="n"/>
      <c r="V593" s="10">
        <f>IF(AND(T593="",U593=""),"",IFERROR(INDEX(T_CAPAI,MATCH(T593,L_PER,0),MATCH(U593,L_KED,0)),0))</f>
        <v/>
      </c>
      <c r="W593" s="17">
        <f>IF(OR(B593="",E593="",COUNTA(F593,H593,J593:M593,O593,Q593:R593,T593:U593)=0),"",SUM(G593,I593,N593,P593,S593,V593))</f>
        <v/>
      </c>
      <c r="X593" s="18">
        <f>IF(W593="","",IF(Murid!F593="TL","TL",ROUND(W593/110*100,2)))</f>
        <v/>
      </c>
    </row>
    <row r="594">
      <c r="A594" s="15">
        <f>Murid!A594</f>
        <v/>
      </c>
      <c r="B594" s="15">
        <f>IF(Murid!B594="","",Murid!B594)</f>
        <v/>
      </c>
      <c r="C594" s="16">
        <f>IF(Murid!C594="","",Murid!C594)</f>
        <v/>
      </c>
      <c r="D594" s="15">
        <f>IF(Murid!E594="","",Murid!E594)</f>
        <v/>
      </c>
      <c r="E594" s="11" t="n"/>
      <c r="F594" s="11" t="n"/>
      <c r="G594" s="10">
        <f>IF(F594="","",IFERROR(VLOOKUP(F594,T_JSP,2,FALSE),0))</f>
        <v/>
      </c>
      <c r="H594" s="11" t="n"/>
      <c r="I594" s="17">
        <f>IF(H594="","",IF(H594&gt;=12,40,ROUND(H594*3.33,2)))</f>
        <v/>
      </c>
      <c r="J594" s="11" t="n"/>
      <c r="K594" s="11" t="n"/>
      <c r="L594" s="11" t="n"/>
      <c r="M594" s="11" t="n"/>
      <c r="N594" s="10">
        <f>IF(COUNTA(J594:M594)=0,"",MIN(10,SUMPRODUCT((COUNTIF(J594:M594,L_KOM)&gt;0)*S_KOM)))</f>
        <v/>
      </c>
      <c r="O594" s="11" t="n"/>
      <c r="P594" s="10">
        <f>IF(O594="","",IFERROR(VLOOKUP(O594,T_KHID,2,FALSE),0))</f>
        <v/>
      </c>
      <c r="Q594" s="11" t="n"/>
      <c r="R594" s="11" t="n"/>
      <c r="S594" s="10">
        <f>IF(AND(Q594="",R594=""),"",IFERROR(INDEX(T_LIBAT,MATCH(Q594,L_PER,0),MATCH(R594,L_JENIS,0)),0))</f>
        <v/>
      </c>
      <c r="T594" s="11" t="n"/>
      <c r="U594" s="11" t="n"/>
      <c r="V594" s="10">
        <f>IF(AND(T594="",U594=""),"",IFERROR(INDEX(T_CAPAI,MATCH(T594,L_PER,0),MATCH(U594,L_KED,0)),0))</f>
        <v/>
      </c>
      <c r="W594" s="17">
        <f>IF(OR(B594="",E594="",COUNTA(F594,H594,J594:M594,O594,Q594:R594,T594:U594)=0),"",SUM(G594,I594,N594,P594,S594,V594))</f>
        <v/>
      </c>
      <c r="X594" s="18">
        <f>IF(W594="","",IF(Murid!F594="TL","TL",ROUND(W594/110*100,2)))</f>
        <v/>
      </c>
    </row>
    <row r="595">
      <c r="A595" s="15">
        <f>Murid!A595</f>
        <v/>
      </c>
      <c r="B595" s="15">
        <f>IF(Murid!B595="","",Murid!B595)</f>
        <v/>
      </c>
      <c r="C595" s="16">
        <f>IF(Murid!C595="","",Murid!C595)</f>
        <v/>
      </c>
      <c r="D595" s="15">
        <f>IF(Murid!E595="","",Murid!E595)</f>
        <v/>
      </c>
      <c r="E595" s="11" t="n"/>
      <c r="F595" s="11" t="n"/>
      <c r="G595" s="10">
        <f>IF(F595="","",IFERROR(VLOOKUP(F595,T_JSP,2,FALSE),0))</f>
        <v/>
      </c>
      <c r="H595" s="11" t="n"/>
      <c r="I595" s="17">
        <f>IF(H595="","",IF(H595&gt;=12,40,ROUND(H595*3.33,2)))</f>
        <v/>
      </c>
      <c r="J595" s="11" t="n"/>
      <c r="K595" s="11" t="n"/>
      <c r="L595" s="11" t="n"/>
      <c r="M595" s="11" t="n"/>
      <c r="N595" s="10">
        <f>IF(COUNTA(J595:M595)=0,"",MIN(10,SUMPRODUCT((COUNTIF(J595:M595,L_KOM)&gt;0)*S_KOM)))</f>
        <v/>
      </c>
      <c r="O595" s="11" t="n"/>
      <c r="P595" s="10">
        <f>IF(O595="","",IFERROR(VLOOKUP(O595,T_KHID,2,FALSE),0))</f>
        <v/>
      </c>
      <c r="Q595" s="11" t="n"/>
      <c r="R595" s="11" t="n"/>
      <c r="S595" s="10">
        <f>IF(AND(Q595="",R595=""),"",IFERROR(INDEX(T_LIBAT,MATCH(Q595,L_PER,0),MATCH(R595,L_JENIS,0)),0))</f>
        <v/>
      </c>
      <c r="T595" s="11" t="n"/>
      <c r="U595" s="11" t="n"/>
      <c r="V595" s="10">
        <f>IF(AND(T595="",U595=""),"",IFERROR(INDEX(T_CAPAI,MATCH(T595,L_PER,0),MATCH(U595,L_KED,0)),0))</f>
        <v/>
      </c>
      <c r="W595" s="17">
        <f>IF(OR(B595="",E595="",COUNTA(F595,H595,J595:M595,O595,Q595:R595,T595:U595)=0),"",SUM(G595,I595,N595,P595,S595,V595))</f>
        <v/>
      </c>
      <c r="X595" s="18">
        <f>IF(W595="","",IF(Murid!F595="TL","TL",ROUND(W595/110*100,2)))</f>
        <v/>
      </c>
    </row>
    <row r="596">
      <c r="A596" s="15">
        <f>Murid!A596</f>
        <v/>
      </c>
      <c r="B596" s="15">
        <f>IF(Murid!B596="","",Murid!B596)</f>
        <v/>
      </c>
      <c r="C596" s="16">
        <f>IF(Murid!C596="","",Murid!C596)</f>
        <v/>
      </c>
      <c r="D596" s="15">
        <f>IF(Murid!E596="","",Murid!E596)</f>
        <v/>
      </c>
      <c r="E596" s="11" t="n"/>
      <c r="F596" s="11" t="n"/>
      <c r="G596" s="10">
        <f>IF(F596="","",IFERROR(VLOOKUP(F596,T_JSP,2,FALSE),0))</f>
        <v/>
      </c>
      <c r="H596" s="11" t="n"/>
      <c r="I596" s="17">
        <f>IF(H596="","",IF(H596&gt;=12,40,ROUND(H596*3.33,2)))</f>
        <v/>
      </c>
      <c r="J596" s="11" t="n"/>
      <c r="K596" s="11" t="n"/>
      <c r="L596" s="11" t="n"/>
      <c r="M596" s="11" t="n"/>
      <c r="N596" s="10">
        <f>IF(COUNTA(J596:M596)=0,"",MIN(10,SUMPRODUCT((COUNTIF(J596:M596,L_KOM)&gt;0)*S_KOM)))</f>
        <v/>
      </c>
      <c r="O596" s="11" t="n"/>
      <c r="P596" s="10">
        <f>IF(O596="","",IFERROR(VLOOKUP(O596,T_KHID,2,FALSE),0))</f>
        <v/>
      </c>
      <c r="Q596" s="11" t="n"/>
      <c r="R596" s="11" t="n"/>
      <c r="S596" s="10">
        <f>IF(AND(Q596="",R596=""),"",IFERROR(INDEX(T_LIBAT,MATCH(Q596,L_PER,0),MATCH(R596,L_JENIS,0)),0))</f>
        <v/>
      </c>
      <c r="T596" s="11" t="n"/>
      <c r="U596" s="11" t="n"/>
      <c r="V596" s="10">
        <f>IF(AND(T596="",U596=""),"",IFERROR(INDEX(T_CAPAI,MATCH(T596,L_PER,0),MATCH(U596,L_KED,0)),0))</f>
        <v/>
      </c>
      <c r="W596" s="17">
        <f>IF(OR(B596="",E596="",COUNTA(F596,H596,J596:M596,O596,Q596:R596,T596:U596)=0),"",SUM(G596,I596,N596,P596,S596,V596))</f>
        <v/>
      </c>
      <c r="X596" s="18">
        <f>IF(W596="","",IF(Murid!F596="TL","TL",ROUND(W596/110*100,2)))</f>
        <v/>
      </c>
    </row>
    <row r="597">
      <c r="A597" s="15">
        <f>Murid!A597</f>
        <v/>
      </c>
      <c r="B597" s="15">
        <f>IF(Murid!B597="","",Murid!B597)</f>
        <v/>
      </c>
      <c r="C597" s="16">
        <f>IF(Murid!C597="","",Murid!C597)</f>
        <v/>
      </c>
      <c r="D597" s="15">
        <f>IF(Murid!E597="","",Murid!E597)</f>
        <v/>
      </c>
      <c r="E597" s="11" t="n"/>
      <c r="F597" s="11" t="n"/>
      <c r="G597" s="10">
        <f>IF(F597="","",IFERROR(VLOOKUP(F597,T_JSP,2,FALSE),0))</f>
        <v/>
      </c>
      <c r="H597" s="11" t="n"/>
      <c r="I597" s="17">
        <f>IF(H597="","",IF(H597&gt;=12,40,ROUND(H597*3.33,2)))</f>
        <v/>
      </c>
      <c r="J597" s="11" t="n"/>
      <c r="K597" s="11" t="n"/>
      <c r="L597" s="11" t="n"/>
      <c r="M597" s="11" t="n"/>
      <c r="N597" s="10">
        <f>IF(COUNTA(J597:M597)=0,"",MIN(10,SUMPRODUCT((COUNTIF(J597:M597,L_KOM)&gt;0)*S_KOM)))</f>
        <v/>
      </c>
      <c r="O597" s="11" t="n"/>
      <c r="P597" s="10">
        <f>IF(O597="","",IFERROR(VLOOKUP(O597,T_KHID,2,FALSE),0))</f>
        <v/>
      </c>
      <c r="Q597" s="11" t="n"/>
      <c r="R597" s="11" t="n"/>
      <c r="S597" s="10">
        <f>IF(AND(Q597="",R597=""),"",IFERROR(INDEX(T_LIBAT,MATCH(Q597,L_PER,0),MATCH(R597,L_JENIS,0)),0))</f>
        <v/>
      </c>
      <c r="T597" s="11" t="n"/>
      <c r="U597" s="11" t="n"/>
      <c r="V597" s="10">
        <f>IF(AND(T597="",U597=""),"",IFERROR(INDEX(T_CAPAI,MATCH(T597,L_PER,0),MATCH(U597,L_KED,0)),0))</f>
        <v/>
      </c>
      <c r="W597" s="17">
        <f>IF(OR(B597="",E597="",COUNTA(F597,H597,J597:M597,O597,Q597:R597,T597:U597)=0),"",SUM(G597,I597,N597,P597,S597,V597))</f>
        <v/>
      </c>
      <c r="X597" s="18">
        <f>IF(W597="","",IF(Murid!F597="TL","TL",ROUND(W597/110*100,2)))</f>
        <v/>
      </c>
    </row>
    <row r="598">
      <c r="A598" s="15">
        <f>Murid!A598</f>
        <v/>
      </c>
      <c r="B598" s="15">
        <f>IF(Murid!B598="","",Murid!B598)</f>
        <v/>
      </c>
      <c r="C598" s="16">
        <f>IF(Murid!C598="","",Murid!C598)</f>
        <v/>
      </c>
      <c r="D598" s="15">
        <f>IF(Murid!E598="","",Murid!E598)</f>
        <v/>
      </c>
      <c r="E598" s="11" t="n"/>
      <c r="F598" s="11" t="n"/>
      <c r="G598" s="10">
        <f>IF(F598="","",IFERROR(VLOOKUP(F598,T_JSP,2,FALSE),0))</f>
        <v/>
      </c>
      <c r="H598" s="11" t="n"/>
      <c r="I598" s="17">
        <f>IF(H598="","",IF(H598&gt;=12,40,ROUND(H598*3.33,2)))</f>
        <v/>
      </c>
      <c r="J598" s="11" t="n"/>
      <c r="K598" s="11" t="n"/>
      <c r="L598" s="11" t="n"/>
      <c r="M598" s="11" t="n"/>
      <c r="N598" s="10">
        <f>IF(COUNTA(J598:M598)=0,"",MIN(10,SUMPRODUCT((COUNTIF(J598:M598,L_KOM)&gt;0)*S_KOM)))</f>
        <v/>
      </c>
      <c r="O598" s="11" t="n"/>
      <c r="P598" s="10">
        <f>IF(O598="","",IFERROR(VLOOKUP(O598,T_KHID,2,FALSE),0))</f>
        <v/>
      </c>
      <c r="Q598" s="11" t="n"/>
      <c r="R598" s="11" t="n"/>
      <c r="S598" s="10">
        <f>IF(AND(Q598="",R598=""),"",IFERROR(INDEX(T_LIBAT,MATCH(Q598,L_PER,0),MATCH(R598,L_JENIS,0)),0))</f>
        <v/>
      </c>
      <c r="T598" s="11" t="n"/>
      <c r="U598" s="11" t="n"/>
      <c r="V598" s="10">
        <f>IF(AND(T598="",U598=""),"",IFERROR(INDEX(T_CAPAI,MATCH(T598,L_PER,0),MATCH(U598,L_KED,0)),0))</f>
        <v/>
      </c>
      <c r="W598" s="17">
        <f>IF(OR(B598="",E598="",COUNTA(F598,H598,J598:M598,O598,Q598:R598,T598:U598)=0),"",SUM(G598,I598,N598,P598,S598,V598))</f>
        <v/>
      </c>
      <c r="X598" s="18">
        <f>IF(W598="","",IF(Murid!F598="TL","TL",ROUND(W598/110*100,2)))</f>
        <v/>
      </c>
    </row>
    <row r="599">
      <c r="A599" s="15">
        <f>Murid!A599</f>
        <v/>
      </c>
      <c r="B599" s="15">
        <f>IF(Murid!B599="","",Murid!B599)</f>
        <v/>
      </c>
      <c r="C599" s="16">
        <f>IF(Murid!C599="","",Murid!C599)</f>
        <v/>
      </c>
      <c r="D599" s="15">
        <f>IF(Murid!E599="","",Murid!E599)</f>
        <v/>
      </c>
      <c r="E599" s="11" t="n"/>
      <c r="F599" s="11" t="n"/>
      <c r="G599" s="10">
        <f>IF(F599="","",IFERROR(VLOOKUP(F599,T_JSP,2,FALSE),0))</f>
        <v/>
      </c>
      <c r="H599" s="11" t="n"/>
      <c r="I599" s="17">
        <f>IF(H599="","",IF(H599&gt;=12,40,ROUND(H599*3.33,2)))</f>
        <v/>
      </c>
      <c r="J599" s="11" t="n"/>
      <c r="K599" s="11" t="n"/>
      <c r="L599" s="11" t="n"/>
      <c r="M599" s="11" t="n"/>
      <c r="N599" s="10">
        <f>IF(COUNTA(J599:M599)=0,"",MIN(10,SUMPRODUCT((COUNTIF(J599:M599,L_KOM)&gt;0)*S_KOM)))</f>
        <v/>
      </c>
      <c r="O599" s="11" t="n"/>
      <c r="P599" s="10">
        <f>IF(O599="","",IFERROR(VLOOKUP(O599,T_KHID,2,FALSE),0))</f>
        <v/>
      </c>
      <c r="Q599" s="11" t="n"/>
      <c r="R599" s="11" t="n"/>
      <c r="S599" s="10">
        <f>IF(AND(Q599="",R599=""),"",IFERROR(INDEX(T_LIBAT,MATCH(Q599,L_PER,0),MATCH(R599,L_JENIS,0)),0))</f>
        <v/>
      </c>
      <c r="T599" s="11" t="n"/>
      <c r="U599" s="11" t="n"/>
      <c r="V599" s="10">
        <f>IF(AND(T599="",U599=""),"",IFERROR(INDEX(T_CAPAI,MATCH(T599,L_PER,0),MATCH(U599,L_KED,0)),0))</f>
        <v/>
      </c>
      <c r="W599" s="17">
        <f>IF(OR(B599="",E599="",COUNTA(F599,H599,J599:M599,O599,Q599:R599,T599:U599)=0),"",SUM(G599,I599,N599,P599,S599,V599))</f>
        <v/>
      </c>
      <c r="X599" s="18">
        <f>IF(W599="","",IF(Murid!F599="TL","TL",ROUND(W599/110*100,2)))</f>
        <v/>
      </c>
    </row>
    <row r="600">
      <c r="A600" s="15">
        <f>Murid!A600</f>
        <v/>
      </c>
      <c r="B600" s="15">
        <f>IF(Murid!B600="","",Murid!B600)</f>
        <v/>
      </c>
      <c r="C600" s="16">
        <f>IF(Murid!C600="","",Murid!C600)</f>
        <v/>
      </c>
      <c r="D600" s="15">
        <f>IF(Murid!E600="","",Murid!E600)</f>
        <v/>
      </c>
      <c r="E600" s="11" t="n"/>
      <c r="F600" s="11" t="n"/>
      <c r="G600" s="10">
        <f>IF(F600="","",IFERROR(VLOOKUP(F600,T_JSP,2,FALSE),0))</f>
        <v/>
      </c>
      <c r="H600" s="11" t="n"/>
      <c r="I600" s="17">
        <f>IF(H600="","",IF(H600&gt;=12,40,ROUND(H600*3.33,2)))</f>
        <v/>
      </c>
      <c r="J600" s="11" t="n"/>
      <c r="K600" s="11" t="n"/>
      <c r="L600" s="11" t="n"/>
      <c r="M600" s="11" t="n"/>
      <c r="N600" s="10">
        <f>IF(COUNTA(J600:M600)=0,"",MIN(10,SUMPRODUCT((COUNTIF(J600:M600,L_KOM)&gt;0)*S_KOM)))</f>
        <v/>
      </c>
      <c r="O600" s="11" t="n"/>
      <c r="P600" s="10">
        <f>IF(O600="","",IFERROR(VLOOKUP(O600,T_KHID,2,FALSE),0))</f>
        <v/>
      </c>
      <c r="Q600" s="11" t="n"/>
      <c r="R600" s="11" t="n"/>
      <c r="S600" s="10">
        <f>IF(AND(Q600="",R600=""),"",IFERROR(INDEX(T_LIBAT,MATCH(Q600,L_PER,0),MATCH(R600,L_JENIS,0)),0))</f>
        <v/>
      </c>
      <c r="T600" s="11" t="n"/>
      <c r="U600" s="11" t="n"/>
      <c r="V600" s="10">
        <f>IF(AND(T600="",U600=""),"",IFERROR(INDEX(T_CAPAI,MATCH(T600,L_PER,0),MATCH(U600,L_KED,0)),0))</f>
        <v/>
      </c>
      <c r="W600" s="17">
        <f>IF(OR(B600="",E600="",COUNTA(F600,H600,J600:M600,O600,Q600:R600,T600:U600)=0),"",SUM(G600,I600,N600,P600,S600,V600))</f>
        <v/>
      </c>
      <c r="X600" s="18">
        <f>IF(W600="","",IF(Murid!F600="TL","TL",ROUND(W600/110*100,2)))</f>
        <v/>
      </c>
    </row>
    <row r="601">
      <c r="A601" s="15">
        <f>Murid!A601</f>
        <v/>
      </c>
      <c r="B601" s="15">
        <f>IF(Murid!B601="","",Murid!B601)</f>
        <v/>
      </c>
      <c r="C601" s="16">
        <f>IF(Murid!C601="","",Murid!C601)</f>
        <v/>
      </c>
      <c r="D601" s="15">
        <f>IF(Murid!E601="","",Murid!E601)</f>
        <v/>
      </c>
      <c r="E601" s="11" t="n"/>
      <c r="F601" s="11" t="n"/>
      <c r="G601" s="10">
        <f>IF(F601="","",IFERROR(VLOOKUP(F601,T_JSP,2,FALSE),0))</f>
        <v/>
      </c>
      <c r="H601" s="11" t="n"/>
      <c r="I601" s="17">
        <f>IF(H601="","",IF(H601&gt;=12,40,ROUND(H601*3.33,2)))</f>
        <v/>
      </c>
      <c r="J601" s="11" t="n"/>
      <c r="K601" s="11" t="n"/>
      <c r="L601" s="11" t="n"/>
      <c r="M601" s="11" t="n"/>
      <c r="N601" s="10">
        <f>IF(COUNTA(J601:M601)=0,"",MIN(10,SUMPRODUCT((COUNTIF(J601:M601,L_KOM)&gt;0)*S_KOM)))</f>
        <v/>
      </c>
      <c r="O601" s="11" t="n"/>
      <c r="P601" s="10">
        <f>IF(O601="","",IFERROR(VLOOKUP(O601,T_KHID,2,FALSE),0))</f>
        <v/>
      </c>
      <c r="Q601" s="11" t="n"/>
      <c r="R601" s="11" t="n"/>
      <c r="S601" s="10">
        <f>IF(AND(Q601="",R601=""),"",IFERROR(INDEX(T_LIBAT,MATCH(Q601,L_PER,0),MATCH(R601,L_JENIS,0)),0))</f>
        <v/>
      </c>
      <c r="T601" s="11" t="n"/>
      <c r="U601" s="11" t="n"/>
      <c r="V601" s="10">
        <f>IF(AND(T601="",U601=""),"",IFERROR(INDEX(T_CAPAI,MATCH(T601,L_PER,0),MATCH(U601,L_KED,0)),0))</f>
        <v/>
      </c>
      <c r="W601" s="17">
        <f>IF(OR(B601="",E601="",COUNTA(F601,H601,J601:M601,O601,Q601:R601,T601:U601)=0),"",SUM(G601,I601,N601,P601,S601,V601))</f>
        <v/>
      </c>
      <c r="X601" s="18">
        <f>IF(W601="","",IF(Murid!F601="TL","TL",ROUND(W601/110*100,2)))</f>
        <v/>
      </c>
    </row>
    <row r="602">
      <c r="A602" s="15">
        <f>Murid!A602</f>
        <v/>
      </c>
      <c r="B602" s="15">
        <f>IF(Murid!B602="","",Murid!B602)</f>
        <v/>
      </c>
      <c r="C602" s="16">
        <f>IF(Murid!C602="","",Murid!C602)</f>
        <v/>
      </c>
      <c r="D602" s="15">
        <f>IF(Murid!E602="","",Murid!E602)</f>
        <v/>
      </c>
      <c r="E602" s="11" t="n"/>
      <c r="F602" s="11" t="n"/>
      <c r="G602" s="10">
        <f>IF(F602="","",IFERROR(VLOOKUP(F602,T_JSP,2,FALSE),0))</f>
        <v/>
      </c>
      <c r="H602" s="11" t="n"/>
      <c r="I602" s="17">
        <f>IF(H602="","",IF(H602&gt;=12,40,ROUND(H602*3.33,2)))</f>
        <v/>
      </c>
      <c r="J602" s="11" t="n"/>
      <c r="K602" s="11" t="n"/>
      <c r="L602" s="11" t="n"/>
      <c r="M602" s="11" t="n"/>
      <c r="N602" s="10">
        <f>IF(COUNTA(J602:M602)=0,"",MIN(10,SUMPRODUCT((COUNTIF(J602:M602,L_KOM)&gt;0)*S_KOM)))</f>
        <v/>
      </c>
      <c r="O602" s="11" t="n"/>
      <c r="P602" s="10">
        <f>IF(O602="","",IFERROR(VLOOKUP(O602,T_KHID,2,FALSE),0))</f>
        <v/>
      </c>
      <c r="Q602" s="11" t="n"/>
      <c r="R602" s="11" t="n"/>
      <c r="S602" s="10">
        <f>IF(AND(Q602="",R602=""),"",IFERROR(INDEX(T_LIBAT,MATCH(Q602,L_PER,0),MATCH(R602,L_JENIS,0)),0))</f>
        <v/>
      </c>
      <c r="T602" s="11" t="n"/>
      <c r="U602" s="11" t="n"/>
      <c r="V602" s="10">
        <f>IF(AND(T602="",U602=""),"",IFERROR(INDEX(T_CAPAI,MATCH(T602,L_PER,0),MATCH(U602,L_KED,0)),0))</f>
        <v/>
      </c>
      <c r="W602" s="17">
        <f>IF(OR(B602="",E602="",COUNTA(F602,H602,J602:M602,O602,Q602:R602,T602:U602)=0),"",SUM(G602,I602,N602,P602,S602,V602))</f>
        <v/>
      </c>
      <c r="X602" s="18">
        <f>IF(W602="","",IF(Murid!F602="TL","TL",ROUND(W602/110*100,2)))</f>
        <v/>
      </c>
    </row>
    <row r="603">
      <c r="A603" s="15">
        <f>Murid!A603</f>
        <v/>
      </c>
      <c r="B603" s="15">
        <f>IF(Murid!B603="","",Murid!B603)</f>
        <v/>
      </c>
      <c r="C603" s="16">
        <f>IF(Murid!C603="","",Murid!C603)</f>
        <v/>
      </c>
      <c r="D603" s="15">
        <f>IF(Murid!E603="","",Murid!E603)</f>
        <v/>
      </c>
      <c r="E603" s="11" t="n"/>
      <c r="F603" s="11" t="n"/>
      <c r="G603" s="10">
        <f>IF(F603="","",IFERROR(VLOOKUP(F603,T_JSP,2,FALSE),0))</f>
        <v/>
      </c>
      <c r="H603" s="11" t="n"/>
      <c r="I603" s="17">
        <f>IF(H603="","",IF(H603&gt;=12,40,ROUND(H603*3.33,2)))</f>
        <v/>
      </c>
      <c r="J603" s="11" t="n"/>
      <c r="K603" s="11" t="n"/>
      <c r="L603" s="11" t="n"/>
      <c r="M603" s="11" t="n"/>
      <c r="N603" s="10">
        <f>IF(COUNTA(J603:M603)=0,"",MIN(10,SUMPRODUCT((COUNTIF(J603:M603,L_KOM)&gt;0)*S_KOM)))</f>
        <v/>
      </c>
      <c r="O603" s="11" t="n"/>
      <c r="P603" s="10">
        <f>IF(O603="","",IFERROR(VLOOKUP(O603,T_KHID,2,FALSE),0))</f>
        <v/>
      </c>
      <c r="Q603" s="11" t="n"/>
      <c r="R603" s="11" t="n"/>
      <c r="S603" s="10">
        <f>IF(AND(Q603="",R603=""),"",IFERROR(INDEX(T_LIBAT,MATCH(Q603,L_PER,0),MATCH(R603,L_JENIS,0)),0))</f>
        <v/>
      </c>
      <c r="T603" s="11" t="n"/>
      <c r="U603" s="11" t="n"/>
      <c r="V603" s="10">
        <f>IF(AND(T603="",U603=""),"",IFERROR(INDEX(T_CAPAI,MATCH(T603,L_PER,0),MATCH(U603,L_KED,0)),0))</f>
        <v/>
      </c>
      <c r="W603" s="17">
        <f>IF(OR(B603="",E603="",COUNTA(F603,H603,J603:M603,O603,Q603:R603,T603:U603)=0),"",SUM(G603,I603,N603,P603,S603,V603))</f>
        <v/>
      </c>
      <c r="X603" s="18">
        <f>IF(W603="","",IF(Murid!F603="TL","TL",ROUND(W603/110*100,2)))</f>
        <v/>
      </c>
    </row>
    <row r="604">
      <c r="A604" s="15">
        <f>Murid!A604</f>
        <v/>
      </c>
      <c r="B604" s="15">
        <f>IF(Murid!B604="","",Murid!B604)</f>
        <v/>
      </c>
      <c r="C604" s="16">
        <f>IF(Murid!C604="","",Murid!C604)</f>
        <v/>
      </c>
      <c r="D604" s="15">
        <f>IF(Murid!E604="","",Murid!E604)</f>
        <v/>
      </c>
      <c r="E604" s="11" t="n"/>
      <c r="F604" s="11" t="n"/>
      <c r="G604" s="10">
        <f>IF(F604="","",IFERROR(VLOOKUP(F604,T_JSP,2,FALSE),0))</f>
        <v/>
      </c>
      <c r="H604" s="11" t="n"/>
      <c r="I604" s="17">
        <f>IF(H604="","",IF(H604&gt;=12,40,ROUND(H604*3.33,2)))</f>
        <v/>
      </c>
      <c r="J604" s="11" t="n"/>
      <c r="K604" s="11" t="n"/>
      <c r="L604" s="11" t="n"/>
      <c r="M604" s="11" t="n"/>
      <c r="N604" s="10">
        <f>IF(COUNTA(J604:M604)=0,"",MIN(10,SUMPRODUCT((COUNTIF(J604:M604,L_KOM)&gt;0)*S_KOM)))</f>
        <v/>
      </c>
      <c r="O604" s="11" t="n"/>
      <c r="P604" s="10">
        <f>IF(O604="","",IFERROR(VLOOKUP(O604,T_KHID,2,FALSE),0))</f>
        <v/>
      </c>
      <c r="Q604" s="11" t="n"/>
      <c r="R604" s="11" t="n"/>
      <c r="S604" s="10">
        <f>IF(AND(Q604="",R604=""),"",IFERROR(INDEX(T_LIBAT,MATCH(Q604,L_PER,0),MATCH(R604,L_JENIS,0)),0))</f>
        <v/>
      </c>
      <c r="T604" s="11" t="n"/>
      <c r="U604" s="11" t="n"/>
      <c r="V604" s="10">
        <f>IF(AND(T604="",U604=""),"",IFERROR(INDEX(T_CAPAI,MATCH(T604,L_PER,0),MATCH(U604,L_KED,0)),0))</f>
        <v/>
      </c>
      <c r="W604" s="17">
        <f>IF(OR(B604="",E604="",COUNTA(F604,H604,J604:M604,O604,Q604:R604,T604:U604)=0),"",SUM(G604,I604,N604,P604,S604,V604))</f>
        <v/>
      </c>
      <c r="X604" s="18">
        <f>IF(W604="","",IF(Murid!F604="TL","TL",ROUND(W604/110*100,2)))</f>
        <v/>
      </c>
    </row>
    <row r="605">
      <c r="A605" s="15">
        <f>Murid!A605</f>
        <v/>
      </c>
      <c r="B605" s="15">
        <f>IF(Murid!B605="","",Murid!B605)</f>
        <v/>
      </c>
      <c r="C605" s="16">
        <f>IF(Murid!C605="","",Murid!C605)</f>
        <v/>
      </c>
      <c r="D605" s="15">
        <f>IF(Murid!E605="","",Murid!E605)</f>
        <v/>
      </c>
      <c r="E605" s="11" t="n"/>
      <c r="F605" s="11" t="n"/>
      <c r="G605" s="10">
        <f>IF(F605="","",IFERROR(VLOOKUP(F605,T_JSP,2,FALSE),0))</f>
        <v/>
      </c>
      <c r="H605" s="11" t="n"/>
      <c r="I605" s="17">
        <f>IF(H605="","",IF(H605&gt;=12,40,ROUND(H605*3.33,2)))</f>
        <v/>
      </c>
      <c r="J605" s="11" t="n"/>
      <c r="K605" s="11" t="n"/>
      <c r="L605" s="11" t="n"/>
      <c r="M605" s="11" t="n"/>
      <c r="N605" s="10">
        <f>IF(COUNTA(J605:M605)=0,"",MIN(10,SUMPRODUCT((COUNTIF(J605:M605,L_KOM)&gt;0)*S_KOM)))</f>
        <v/>
      </c>
      <c r="O605" s="11" t="n"/>
      <c r="P605" s="10">
        <f>IF(O605="","",IFERROR(VLOOKUP(O605,T_KHID,2,FALSE),0))</f>
        <v/>
      </c>
      <c r="Q605" s="11" t="n"/>
      <c r="R605" s="11" t="n"/>
      <c r="S605" s="10">
        <f>IF(AND(Q605="",R605=""),"",IFERROR(INDEX(T_LIBAT,MATCH(Q605,L_PER,0),MATCH(R605,L_JENIS,0)),0))</f>
        <v/>
      </c>
      <c r="T605" s="11" t="n"/>
      <c r="U605" s="11" t="n"/>
      <c r="V605" s="10">
        <f>IF(AND(T605="",U605=""),"",IFERROR(INDEX(T_CAPAI,MATCH(T605,L_PER,0),MATCH(U605,L_KED,0)),0))</f>
        <v/>
      </c>
      <c r="W605" s="17">
        <f>IF(OR(B605="",E605="",COUNTA(F605,H605,J605:M605,O605,Q605:R605,T605:U605)=0),"",SUM(G605,I605,N605,P605,S605,V605))</f>
        <v/>
      </c>
      <c r="X605" s="18">
        <f>IF(W605="","",IF(Murid!F605="TL","TL",ROUND(W605/110*100,2)))</f>
        <v/>
      </c>
    </row>
    <row r="606">
      <c r="A606" s="15">
        <f>Murid!A606</f>
        <v/>
      </c>
      <c r="B606" s="15">
        <f>IF(Murid!B606="","",Murid!B606)</f>
        <v/>
      </c>
      <c r="C606" s="16">
        <f>IF(Murid!C606="","",Murid!C606)</f>
        <v/>
      </c>
      <c r="D606" s="15">
        <f>IF(Murid!E606="","",Murid!E606)</f>
        <v/>
      </c>
      <c r="E606" s="11" t="n"/>
      <c r="F606" s="11" t="n"/>
      <c r="G606" s="10">
        <f>IF(F606="","",IFERROR(VLOOKUP(F606,T_JSP,2,FALSE),0))</f>
        <v/>
      </c>
      <c r="H606" s="11" t="n"/>
      <c r="I606" s="17">
        <f>IF(H606="","",IF(H606&gt;=12,40,ROUND(H606*3.33,2)))</f>
        <v/>
      </c>
      <c r="J606" s="11" t="n"/>
      <c r="K606" s="11" t="n"/>
      <c r="L606" s="11" t="n"/>
      <c r="M606" s="11" t="n"/>
      <c r="N606" s="10">
        <f>IF(COUNTA(J606:M606)=0,"",MIN(10,SUMPRODUCT((COUNTIF(J606:M606,L_KOM)&gt;0)*S_KOM)))</f>
        <v/>
      </c>
      <c r="O606" s="11" t="n"/>
      <c r="P606" s="10">
        <f>IF(O606="","",IFERROR(VLOOKUP(O606,T_KHID,2,FALSE),0))</f>
        <v/>
      </c>
      <c r="Q606" s="11" t="n"/>
      <c r="R606" s="11" t="n"/>
      <c r="S606" s="10">
        <f>IF(AND(Q606="",R606=""),"",IFERROR(INDEX(T_LIBAT,MATCH(Q606,L_PER,0),MATCH(R606,L_JENIS,0)),0))</f>
        <v/>
      </c>
      <c r="T606" s="11" t="n"/>
      <c r="U606" s="11" t="n"/>
      <c r="V606" s="10">
        <f>IF(AND(T606="",U606=""),"",IFERROR(INDEX(T_CAPAI,MATCH(T606,L_PER,0),MATCH(U606,L_KED,0)),0))</f>
        <v/>
      </c>
      <c r="W606" s="17">
        <f>IF(OR(B606="",E606="",COUNTA(F606,H606,J606:M606,O606,Q606:R606,T606:U606)=0),"",SUM(G606,I606,N606,P606,S606,V606))</f>
        <v/>
      </c>
      <c r="X606" s="18">
        <f>IF(W606="","",IF(Murid!F606="TL","TL",ROUND(W606/110*100,2)))</f>
        <v/>
      </c>
    </row>
    <row r="607">
      <c r="A607" s="15">
        <f>Murid!A607</f>
        <v/>
      </c>
      <c r="B607" s="15">
        <f>IF(Murid!B607="","",Murid!B607)</f>
        <v/>
      </c>
      <c r="C607" s="16">
        <f>IF(Murid!C607="","",Murid!C607)</f>
        <v/>
      </c>
      <c r="D607" s="15">
        <f>IF(Murid!E607="","",Murid!E607)</f>
        <v/>
      </c>
      <c r="E607" s="11" t="n"/>
      <c r="F607" s="11" t="n"/>
      <c r="G607" s="10">
        <f>IF(F607="","",IFERROR(VLOOKUP(F607,T_JSP,2,FALSE),0))</f>
        <v/>
      </c>
      <c r="H607" s="11" t="n"/>
      <c r="I607" s="17">
        <f>IF(H607="","",IF(H607&gt;=12,40,ROUND(H607*3.33,2)))</f>
        <v/>
      </c>
      <c r="J607" s="11" t="n"/>
      <c r="K607" s="11" t="n"/>
      <c r="L607" s="11" t="n"/>
      <c r="M607" s="11" t="n"/>
      <c r="N607" s="10">
        <f>IF(COUNTA(J607:M607)=0,"",MIN(10,SUMPRODUCT((COUNTIF(J607:M607,L_KOM)&gt;0)*S_KOM)))</f>
        <v/>
      </c>
      <c r="O607" s="11" t="n"/>
      <c r="P607" s="10">
        <f>IF(O607="","",IFERROR(VLOOKUP(O607,T_KHID,2,FALSE),0))</f>
        <v/>
      </c>
      <c r="Q607" s="11" t="n"/>
      <c r="R607" s="11" t="n"/>
      <c r="S607" s="10">
        <f>IF(AND(Q607="",R607=""),"",IFERROR(INDEX(T_LIBAT,MATCH(Q607,L_PER,0),MATCH(R607,L_JENIS,0)),0))</f>
        <v/>
      </c>
      <c r="T607" s="11" t="n"/>
      <c r="U607" s="11" t="n"/>
      <c r="V607" s="10">
        <f>IF(AND(T607="",U607=""),"",IFERROR(INDEX(T_CAPAI,MATCH(T607,L_PER,0),MATCH(U607,L_KED,0)),0))</f>
        <v/>
      </c>
      <c r="W607" s="17">
        <f>IF(OR(B607="",E607="",COUNTA(F607,H607,J607:M607,O607,Q607:R607,T607:U607)=0),"",SUM(G607,I607,N607,P607,S607,V607))</f>
        <v/>
      </c>
      <c r="X607" s="18">
        <f>IF(W607="","",IF(Murid!F607="TL","TL",ROUND(W607/110*100,2)))</f>
        <v/>
      </c>
    </row>
    <row r="608">
      <c r="A608" s="15">
        <f>Murid!A608</f>
        <v/>
      </c>
      <c r="B608" s="15">
        <f>IF(Murid!B608="","",Murid!B608)</f>
        <v/>
      </c>
      <c r="C608" s="16">
        <f>IF(Murid!C608="","",Murid!C608)</f>
        <v/>
      </c>
      <c r="D608" s="15">
        <f>IF(Murid!E608="","",Murid!E608)</f>
        <v/>
      </c>
      <c r="E608" s="11" t="n"/>
      <c r="F608" s="11" t="n"/>
      <c r="G608" s="10">
        <f>IF(F608="","",IFERROR(VLOOKUP(F608,T_JSP,2,FALSE),0))</f>
        <v/>
      </c>
      <c r="H608" s="11" t="n"/>
      <c r="I608" s="17">
        <f>IF(H608="","",IF(H608&gt;=12,40,ROUND(H608*3.33,2)))</f>
        <v/>
      </c>
      <c r="J608" s="11" t="n"/>
      <c r="K608" s="11" t="n"/>
      <c r="L608" s="11" t="n"/>
      <c r="M608" s="11" t="n"/>
      <c r="N608" s="10">
        <f>IF(COUNTA(J608:M608)=0,"",MIN(10,SUMPRODUCT((COUNTIF(J608:M608,L_KOM)&gt;0)*S_KOM)))</f>
        <v/>
      </c>
      <c r="O608" s="11" t="n"/>
      <c r="P608" s="10">
        <f>IF(O608="","",IFERROR(VLOOKUP(O608,T_KHID,2,FALSE),0))</f>
        <v/>
      </c>
      <c r="Q608" s="11" t="n"/>
      <c r="R608" s="11" t="n"/>
      <c r="S608" s="10">
        <f>IF(AND(Q608="",R608=""),"",IFERROR(INDEX(T_LIBAT,MATCH(Q608,L_PER,0),MATCH(R608,L_JENIS,0)),0))</f>
        <v/>
      </c>
      <c r="T608" s="11" t="n"/>
      <c r="U608" s="11" t="n"/>
      <c r="V608" s="10">
        <f>IF(AND(T608="",U608=""),"",IFERROR(INDEX(T_CAPAI,MATCH(T608,L_PER,0),MATCH(U608,L_KED,0)),0))</f>
        <v/>
      </c>
      <c r="W608" s="17">
        <f>IF(OR(B608="",E608="",COUNTA(F608,H608,J608:M608,O608,Q608:R608,T608:U608)=0),"",SUM(G608,I608,N608,P608,S608,V608))</f>
        <v/>
      </c>
      <c r="X608" s="18">
        <f>IF(W608="","",IF(Murid!F608="TL","TL",ROUND(W608/110*100,2)))</f>
        <v/>
      </c>
    </row>
    <row r="609">
      <c r="A609" s="15">
        <f>Murid!A609</f>
        <v/>
      </c>
      <c r="B609" s="15">
        <f>IF(Murid!B609="","",Murid!B609)</f>
        <v/>
      </c>
      <c r="C609" s="16">
        <f>IF(Murid!C609="","",Murid!C609)</f>
        <v/>
      </c>
      <c r="D609" s="15">
        <f>IF(Murid!E609="","",Murid!E609)</f>
        <v/>
      </c>
      <c r="E609" s="11" t="n"/>
      <c r="F609" s="11" t="n"/>
      <c r="G609" s="10">
        <f>IF(F609="","",IFERROR(VLOOKUP(F609,T_JSP,2,FALSE),0))</f>
        <v/>
      </c>
      <c r="H609" s="11" t="n"/>
      <c r="I609" s="17">
        <f>IF(H609="","",IF(H609&gt;=12,40,ROUND(H609*3.33,2)))</f>
        <v/>
      </c>
      <c r="J609" s="11" t="n"/>
      <c r="K609" s="11" t="n"/>
      <c r="L609" s="11" t="n"/>
      <c r="M609" s="11" t="n"/>
      <c r="N609" s="10">
        <f>IF(COUNTA(J609:M609)=0,"",MIN(10,SUMPRODUCT((COUNTIF(J609:M609,L_KOM)&gt;0)*S_KOM)))</f>
        <v/>
      </c>
      <c r="O609" s="11" t="n"/>
      <c r="P609" s="10">
        <f>IF(O609="","",IFERROR(VLOOKUP(O609,T_KHID,2,FALSE),0))</f>
        <v/>
      </c>
      <c r="Q609" s="11" t="n"/>
      <c r="R609" s="11" t="n"/>
      <c r="S609" s="10">
        <f>IF(AND(Q609="",R609=""),"",IFERROR(INDEX(T_LIBAT,MATCH(Q609,L_PER,0),MATCH(R609,L_JENIS,0)),0))</f>
        <v/>
      </c>
      <c r="T609" s="11" t="n"/>
      <c r="U609" s="11" t="n"/>
      <c r="V609" s="10">
        <f>IF(AND(T609="",U609=""),"",IFERROR(INDEX(T_CAPAI,MATCH(T609,L_PER,0),MATCH(U609,L_KED,0)),0))</f>
        <v/>
      </c>
      <c r="W609" s="17">
        <f>IF(OR(B609="",E609="",COUNTA(F609,H609,J609:M609,O609,Q609:R609,T609:U609)=0),"",SUM(G609,I609,N609,P609,S609,V609))</f>
        <v/>
      </c>
      <c r="X609" s="18">
        <f>IF(W609="","",IF(Murid!F609="TL","TL",ROUND(W609/110*100,2)))</f>
        <v/>
      </c>
    </row>
    <row r="610">
      <c r="A610" s="15">
        <f>Murid!A610</f>
        <v/>
      </c>
      <c r="B610" s="15">
        <f>IF(Murid!B610="","",Murid!B610)</f>
        <v/>
      </c>
      <c r="C610" s="16">
        <f>IF(Murid!C610="","",Murid!C610)</f>
        <v/>
      </c>
      <c r="D610" s="15">
        <f>IF(Murid!E610="","",Murid!E610)</f>
        <v/>
      </c>
      <c r="E610" s="11" t="n"/>
      <c r="F610" s="11" t="n"/>
      <c r="G610" s="10">
        <f>IF(F610="","",IFERROR(VLOOKUP(F610,T_JSP,2,FALSE),0))</f>
        <v/>
      </c>
      <c r="H610" s="11" t="n"/>
      <c r="I610" s="17">
        <f>IF(H610="","",IF(H610&gt;=12,40,ROUND(H610*3.33,2)))</f>
        <v/>
      </c>
      <c r="J610" s="11" t="n"/>
      <c r="K610" s="11" t="n"/>
      <c r="L610" s="11" t="n"/>
      <c r="M610" s="11" t="n"/>
      <c r="N610" s="10">
        <f>IF(COUNTA(J610:M610)=0,"",MIN(10,SUMPRODUCT((COUNTIF(J610:M610,L_KOM)&gt;0)*S_KOM)))</f>
        <v/>
      </c>
      <c r="O610" s="11" t="n"/>
      <c r="P610" s="10">
        <f>IF(O610="","",IFERROR(VLOOKUP(O610,T_KHID,2,FALSE),0))</f>
        <v/>
      </c>
      <c r="Q610" s="11" t="n"/>
      <c r="R610" s="11" t="n"/>
      <c r="S610" s="10">
        <f>IF(AND(Q610="",R610=""),"",IFERROR(INDEX(T_LIBAT,MATCH(Q610,L_PER,0),MATCH(R610,L_JENIS,0)),0))</f>
        <v/>
      </c>
      <c r="T610" s="11" t="n"/>
      <c r="U610" s="11" t="n"/>
      <c r="V610" s="10">
        <f>IF(AND(T610="",U610=""),"",IFERROR(INDEX(T_CAPAI,MATCH(T610,L_PER,0),MATCH(U610,L_KED,0)),0))</f>
        <v/>
      </c>
      <c r="W610" s="17">
        <f>IF(OR(B610="",E610="",COUNTA(F610,H610,J610:M610,O610,Q610:R610,T610:U610)=0),"",SUM(G610,I610,N610,P610,S610,V610))</f>
        <v/>
      </c>
      <c r="X610" s="18">
        <f>IF(W610="","",IF(Murid!F610="TL","TL",ROUND(W610/110*100,2)))</f>
        <v/>
      </c>
    </row>
    <row r="611">
      <c r="A611" s="15">
        <f>Murid!A611</f>
        <v/>
      </c>
      <c r="B611" s="15">
        <f>IF(Murid!B611="","",Murid!B611)</f>
        <v/>
      </c>
      <c r="C611" s="16">
        <f>IF(Murid!C611="","",Murid!C611)</f>
        <v/>
      </c>
      <c r="D611" s="15">
        <f>IF(Murid!E611="","",Murid!E611)</f>
        <v/>
      </c>
      <c r="E611" s="11" t="n"/>
      <c r="F611" s="11" t="n"/>
      <c r="G611" s="10">
        <f>IF(F611="","",IFERROR(VLOOKUP(F611,T_JSP,2,FALSE),0))</f>
        <v/>
      </c>
      <c r="H611" s="11" t="n"/>
      <c r="I611" s="17">
        <f>IF(H611="","",IF(H611&gt;=12,40,ROUND(H611*3.33,2)))</f>
        <v/>
      </c>
      <c r="J611" s="11" t="n"/>
      <c r="K611" s="11" t="n"/>
      <c r="L611" s="11" t="n"/>
      <c r="M611" s="11" t="n"/>
      <c r="N611" s="10">
        <f>IF(COUNTA(J611:M611)=0,"",MIN(10,SUMPRODUCT((COUNTIF(J611:M611,L_KOM)&gt;0)*S_KOM)))</f>
        <v/>
      </c>
      <c r="O611" s="11" t="n"/>
      <c r="P611" s="10">
        <f>IF(O611="","",IFERROR(VLOOKUP(O611,T_KHID,2,FALSE),0))</f>
        <v/>
      </c>
      <c r="Q611" s="11" t="n"/>
      <c r="R611" s="11" t="n"/>
      <c r="S611" s="10">
        <f>IF(AND(Q611="",R611=""),"",IFERROR(INDEX(T_LIBAT,MATCH(Q611,L_PER,0),MATCH(R611,L_JENIS,0)),0))</f>
        <v/>
      </c>
      <c r="T611" s="11" t="n"/>
      <c r="U611" s="11" t="n"/>
      <c r="V611" s="10">
        <f>IF(AND(T611="",U611=""),"",IFERROR(INDEX(T_CAPAI,MATCH(T611,L_PER,0),MATCH(U611,L_KED,0)),0))</f>
        <v/>
      </c>
      <c r="W611" s="17">
        <f>IF(OR(B611="",E611="",COUNTA(F611,H611,J611:M611,O611,Q611:R611,T611:U611)=0),"",SUM(G611,I611,N611,P611,S611,V611))</f>
        <v/>
      </c>
      <c r="X611" s="18">
        <f>IF(W611="","",IF(Murid!F611="TL","TL",ROUND(W611/110*100,2)))</f>
        <v/>
      </c>
    </row>
    <row r="612">
      <c r="A612" s="15">
        <f>Murid!A612</f>
        <v/>
      </c>
      <c r="B612" s="15">
        <f>IF(Murid!B612="","",Murid!B612)</f>
        <v/>
      </c>
      <c r="C612" s="16">
        <f>IF(Murid!C612="","",Murid!C612)</f>
        <v/>
      </c>
      <c r="D612" s="15">
        <f>IF(Murid!E612="","",Murid!E612)</f>
        <v/>
      </c>
      <c r="E612" s="11" t="n"/>
      <c r="F612" s="11" t="n"/>
      <c r="G612" s="10">
        <f>IF(F612="","",IFERROR(VLOOKUP(F612,T_JSP,2,FALSE),0))</f>
        <v/>
      </c>
      <c r="H612" s="11" t="n"/>
      <c r="I612" s="17">
        <f>IF(H612="","",IF(H612&gt;=12,40,ROUND(H612*3.33,2)))</f>
        <v/>
      </c>
      <c r="J612" s="11" t="n"/>
      <c r="K612" s="11" t="n"/>
      <c r="L612" s="11" t="n"/>
      <c r="M612" s="11" t="n"/>
      <c r="N612" s="10">
        <f>IF(COUNTA(J612:M612)=0,"",MIN(10,SUMPRODUCT((COUNTIF(J612:M612,L_KOM)&gt;0)*S_KOM)))</f>
        <v/>
      </c>
      <c r="O612" s="11" t="n"/>
      <c r="P612" s="10">
        <f>IF(O612="","",IFERROR(VLOOKUP(O612,T_KHID,2,FALSE),0))</f>
        <v/>
      </c>
      <c r="Q612" s="11" t="n"/>
      <c r="R612" s="11" t="n"/>
      <c r="S612" s="10">
        <f>IF(AND(Q612="",R612=""),"",IFERROR(INDEX(T_LIBAT,MATCH(Q612,L_PER,0),MATCH(R612,L_JENIS,0)),0))</f>
        <v/>
      </c>
      <c r="T612" s="11" t="n"/>
      <c r="U612" s="11" t="n"/>
      <c r="V612" s="10">
        <f>IF(AND(T612="",U612=""),"",IFERROR(INDEX(T_CAPAI,MATCH(T612,L_PER,0),MATCH(U612,L_KED,0)),0))</f>
        <v/>
      </c>
      <c r="W612" s="17">
        <f>IF(OR(B612="",E612="",COUNTA(F612,H612,J612:M612,O612,Q612:R612,T612:U612)=0),"",SUM(G612,I612,N612,P612,S612,V612))</f>
        <v/>
      </c>
      <c r="X612" s="18">
        <f>IF(W612="","",IF(Murid!F612="TL","TL",ROUND(W612/110*100,2)))</f>
        <v/>
      </c>
    </row>
    <row r="613">
      <c r="A613" s="15">
        <f>Murid!A613</f>
        <v/>
      </c>
      <c r="B613" s="15">
        <f>IF(Murid!B613="","",Murid!B613)</f>
        <v/>
      </c>
      <c r="C613" s="16">
        <f>IF(Murid!C613="","",Murid!C613)</f>
        <v/>
      </c>
      <c r="D613" s="15">
        <f>IF(Murid!E613="","",Murid!E613)</f>
        <v/>
      </c>
      <c r="E613" s="11" t="n"/>
      <c r="F613" s="11" t="n"/>
      <c r="G613" s="10">
        <f>IF(F613="","",IFERROR(VLOOKUP(F613,T_JSP,2,FALSE),0))</f>
        <v/>
      </c>
      <c r="H613" s="11" t="n"/>
      <c r="I613" s="17">
        <f>IF(H613="","",IF(H613&gt;=12,40,ROUND(H613*3.33,2)))</f>
        <v/>
      </c>
      <c r="J613" s="11" t="n"/>
      <c r="K613" s="11" t="n"/>
      <c r="L613" s="11" t="n"/>
      <c r="M613" s="11" t="n"/>
      <c r="N613" s="10">
        <f>IF(COUNTA(J613:M613)=0,"",MIN(10,SUMPRODUCT((COUNTIF(J613:M613,L_KOM)&gt;0)*S_KOM)))</f>
        <v/>
      </c>
      <c r="O613" s="11" t="n"/>
      <c r="P613" s="10">
        <f>IF(O613="","",IFERROR(VLOOKUP(O613,T_KHID,2,FALSE),0))</f>
        <v/>
      </c>
      <c r="Q613" s="11" t="n"/>
      <c r="R613" s="11" t="n"/>
      <c r="S613" s="10">
        <f>IF(AND(Q613="",R613=""),"",IFERROR(INDEX(T_LIBAT,MATCH(Q613,L_PER,0),MATCH(R613,L_JENIS,0)),0))</f>
        <v/>
      </c>
      <c r="T613" s="11" t="n"/>
      <c r="U613" s="11" t="n"/>
      <c r="V613" s="10">
        <f>IF(AND(T613="",U613=""),"",IFERROR(INDEX(T_CAPAI,MATCH(T613,L_PER,0),MATCH(U613,L_KED,0)),0))</f>
        <v/>
      </c>
      <c r="W613" s="17">
        <f>IF(OR(B613="",E613="",COUNTA(F613,H613,J613:M613,O613,Q613:R613,T613:U613)=0),"",SUM(G613,I613,N613,P613,S613,V613))</f>
        <v/>
      </c>
      <c r="X613" s="18">
        <f>IF(W613="","",IF(Murid!F613="TL","TL",ROUND(W613/110*100,2)))</f>
        <v/>
      </c>
    </row>
    <row r="614">
      <c r="A614" s="15">
        <f>Murid!A614</f>
        <v/>
      </c>
      <c r="B614" s="15">
        <f>IF(Murid!B614="","",Murid!B614)</f>
        <v/>
      </c>
      <c r="C614" s="16">
        <f>IF(Murid!C614="","",Murid!C614)</f>
        <v/>
      </c>
      <c r="D614" s="15">
        <f>IF(Murid!E614="","",Murid!E614)</f>
        <v/>
      </c>
      <c r="E614" s="11" t="n"/>
      <c r="F614" s="11" t="n"/>
      <c r="G614" s="10">
        <f>IF(F614="","",IFERROR(VLOOKUP(F614,T_JSP,2,FALSE),0))</f>
        <v/>
      </c>
      <c r="H614" s="11" t="n"/>
      <c r="I614" s="17">
        <f>IF(H614="","",IF(H614&gt;=12,40,ROUND(H614*3.33,2)))</f>
        <v/>
      </c>
      <c r="J614" s="11" t="n"/>
      <c r="K614" s="11" t="n"/>
      <c r="L614" s="11" t="n"/>
      <c r="M614" s="11" t="n"/>
      <c r="N614" s="10">
        <f>IF(COUNTA(J614:M614)=0,"",MIN(10,SUMPRODUCT((COUNTIF(J614:M614,L_KOM)&gt;0)*S_KOM)))</f>
        <v/>
      </c>
      <c r="O614" s="11" t="n"/>
      <c r="P614" s="10">
        <f>IF(O614="","",IFERROR(VLOOKUP(O614,T_KHID,2,FALSE),0))</f>
        <v/>
      </c>
      <c r="Q614" s="11" t="n"/>
      <c r="R614" s="11" t="n"/>
      <c r="S614" s="10">
        <f>IF(AND(Q614="",R614=""),"",IFERROR(INDEX(T_LIBAT,MATCH(Q614,L_PER,0),MATCH(R614,L_JENIS,0)),0))</f>
        <v/>
      </c>
      <c r="T614" s="11" t="n"/>
      <c r="U614" s="11" t="n"/>
      <c r="V614" s="10">
        <f>IF(AND(T614="",U614=""),"",IFERROR(INDEX(T_CAPAI,MATCH(T614,L_PER,0),MATCH(U614,L_KED,0)),0))</f>
        <v/>
      </c>
      <c r="W614" s="17">
        <f>IF(OR(B614="",E614="",COUNTA(F614,H614,J614:M614,O614,Q614:R614,T614:U614)=0),"",SUM(G614,I614,N614,P614,S614,V614))</f>
        <v/>
      </c>
      <c r="X614" s="18">
        <f>IF(W614="","",IF(Murid!F614="TL","TL",ROUND(W614/110*100,2)))</f>
        <v/>
      </c>
    </row>
    <row r="615">
      <c r="A615" s="15">
        <f>Murid!A615</f>
        <v/>
      </c>
      <c r="B615" s="15">
        <f>IF(Murid!B615="","",Murid!B615)</f>
        <v/>
      </c>
      <c r="C615" s="16">
        <f>IF(Murid!C615="","",Murid!C615)</f>
        <v/>
      </c>
      <c r="D615" s="15">
        <f>IF(Murid!E615="","",Murid!E615)</f>
        <v/>
      </c>
      <c r="E615" s="11" t="n"/>
      <c r="F615" s="11" t="n"/>
      <c r="G615" s="10">
        <f>IF(F615="","",IFERROR(VLOOKUP(F615,T_JSP,2,FALSE),0))</f>
        <v/>
      </c>
      <c r="H615" s="11" t="n"/>
      <c r="I615" s="17">
        <f>IF(H615="","",IF(H615&gt;=12,40,ROUND(H615*3.33,2)))</f>
        <v/>
      </c>
      <c r="J615" s="11" t="n"/>
      <c r="K615" s="11" t="n"/>
      <c r="L615" s="11" t="n"/>
      <c r="M615" s="11" t="n"/>
      <c r="N615" s="10">
        <f>IF(COUNTA(J615:M615)=0,"",MIN(10,SUMPRODUCT((COUNTIF(J615:M615,L_KOM)&gt;0)*S_KOM)))</f>
        <v/>
      </c>
      <c r="O615" s="11" t="n"/>
      <c r="P615" s="10">
        <f>IF(O615="","",IFERROR(VLOOKUP(O615,T_KHID,2,FALSE),0))</f>
        <v/>
      </c>
      <c r="Q615" s="11" t="n"/>
      <c r="R615" s="11" t="n"/>
      <c r="S615" s="10">
        <f>IF(AND(Q615="",R615=""),"",IFERROR(INDEX(T_LIBAT,MATCH(Q615,L_PER,0),MATCH(R615,L_JENIS,0)),0))</f>
        <v/>
      </c>
      <c r="T615" s="11" t="n"/>
      <c r="U615" s="11" t="n"/>
      <c r="V615" s="10">
        <f>IF(AND(T615="",U615=""),"",IFERROR(INDEX(T_CAPAI,MATCH(T615,L_PER,0),MATCH(U615,L_KED,0)),0))</f>
        <v/>
      </c>
      <c r="W615" s="17">
        <f>IF(OR(B615="",E615="",COUNTA(F615,H615,J615:M615,O615,Q615:R615,T615:U615)=0),"",SUM(G615,I615,N615,P615,S615,V615))</f>
        <v/>
      </c>
      <c r="X615" s="18">
        <f>IF(W615="","",IF(Murid!F615="TL","TL",ROUND(W615/110*100,2)))</f>
        <v/>
      </c>
    </row>
    <row r="616">
      <c r="A616" s="15">
        <f>Murid!A616</f>
        <v/>
      </c>
      <c r="B616" s="15">
        <f>IF(Murid!B616="","",Murid!B616)</f>
        <v/>
      </c>
      <c r="C616" s="16">
        <f>IF(Murid!C616="","",Murid!C616)</f>
        <v/>
      </c>
      <c r="D616" s="15">
        <f>IF(Murid!E616="","",Murid!E616)</f>
        <v/>
      </c>
      <c r="E616" s="11" t="n"/>
      <c r="F616" s="11" t="n"/>
      <c r="G616" s="10">
        <f>IF(F616="","",IFERROR(VLOOKUP(F616,T_JSP,2,FALSE),0))</f>
        <v/>
      </c>
      <c r="H616" s="11" t="n"/>
      <c r="I616" s="17">
        <f>IF(H616="","",IF(H616&gt;=12,40,ROUND(H616*3.33,2)))</f>
        <v/>
      </c>
      <c r="J616" s="11" t="n"/>
      <c r="K616" s="11" t="n"/>
      <c r="L616" s="11" t="n"/>
      <c r="M616" s="11" t="n"/>
      <c r="N616" s="10">
        <f>IF(COUNTA(J616:M616)=0,"",MIN(10,SUMPRODUCT((COUNTIF(J616:M616,L_KOM)&gt;0)*S_KOM)))</f>
        <v/>
      </c>
      <c r="O616" s="11" t="n"/>
      <c r="P616" s="10">
        <f>IF(O616="","",IFERROR(VLOOKUP(O616,T_KHID,2,FALSE),0))</f>
        <v/>
      </c>
      <c r="Q616" s="11" t="n"/>
      <c r="R616" s="11" t="n"/>
      <c r="S616" s="10">
        <f>IF(AND(Q616="",R616=""),"",IFERROR(INDEX(T_LIBAT,MATCH(Q616,L_PER,0),MATCH(R616,L_JENIS,0)),0))</f>
        <v/>
      </c>
      <c r="T616" s="11" t="n"/>
      <c r="U616" s="11" t="n"/>
      <c r="V616" s="10">
        <f>IF(AND(T616="",U616=""),"",IFERROR(INDEX(T_CAPAI,MATCH(T616,L_PER,0),MATCH(U616,L_KED,0)),0))</f>
        <v/>
      </c>
      <c r="W616" s="17">
        <f>IF(OR(B616="",E616="",COUNTA(F616,H616,J616:M616,O616,Q616:R616,T616:U616)=0),"",SUM(G616,I616,N616,P616,S616,V616))</f>
        <v/>
      </c>
      <c r="X616" s="18">
        <f>IF(W616="","",IF(Murid!F616="TL","TL",ROUND(W616/110*100,2)))</f>
        <v/>
      </c>
    </row>
    <row r="617">
      <c r="A617" s="15">
        <f>Murid!A617</f>
        <v/>
      </c>
      <c r="B617" s="15">
        <f>IF(Murid!B617="","",Murid!B617)</f>
        <v/>
      </c>
      <c r="C617" s="16">
        <f>IF(Murid!C617="","",Murid!C617)</f>
        <v/>
      </c>
      <c r="D617" s="15">
        <f>IF(Murid!E617="","",Murid!E617)</f>
        <v/>
      </c>
      <c r="E617" s="11" t="n"/>
      <c r="F617" s="11" t="n"/>
      <c r="G617" s="10">
        <f>IF(F617="","",IFERROR(VLOOKUP(F617,T_JSP,2,FALSE),0))</f>
        <v/>
      </c>
      <c r="H617" s="11" t="n"/>
      <c r="I617" s="17">
        <f>IF(H617="","",IF(H617&gt;=12,40,ROUND(H617*3.33,2)))</f>
        <v/>
      </c>
      <c r="J617" s="11" t="n"/>
      <c r="K617" s="11" t="n"/>
      <c r="L617" s="11" t="n"/>
      <c r="M617" s="11" t="n"/>
      <c r="N617" s="10">
        <f>IF(COUNTA(J617:M617)=0,"",MIN(10,SUMPRODUCT((COUNTIF(J617:M617,L_KOM)&gt;0)*S_KOM)))</f>
        <v/>
      </c>
      <c r="O617" s="11" t="n"/>
      <c r="P617" s="10">
        <f>IF(O617="","",IFERROR(VLOOKUP(O617,T_KHID,2,FALSE),0))</f>
        <v/>
      </c>
      <c r="Q617" s="11" t="n"/>
      <c r="R617" s="11" t="n"/>
      <c r="S617" s="10">
        <f>IF(AND(Q617="",R617=""),"",IFERROR(INDEX(T_LIBAT,MATCH(Q617,L_PER,0),MATCH(R617,L_JENIS,0)),0))</f>
        <v/>
      </c>
      <c r="T617" s="11" t="n"/>
      <c r="U617" s="11" t="n"/>
      <c r="V617" s="10">
        <f>IF(AND(T617="",U617=""),"",IFERROR(INDEX(T_CAPAI,MATCH(T617,L_PER,0),MATCH(U617,L_KED,0)),0))</f>
        <v/>
      </c>
      <c r="W617" s="17">
        <f>IF(OR(B617="",E617="",COUNTA(F617,H617,J617:M617,O617,Q617:R617,T617:U617)=0),"",SUM(G617,I617,N617,P617,S617,V617))</f>
        <v/>
      </c>
      <c r="X617" s="18">
        <f>IF(W617="","",IF(Murid!F617="TL","TL",ROUND(W617/110*100,2)))</f>
        <v/>
      </c>
    </row>
    <row r="618">
      <c r="A618" s="15">
        <f>Murid!A618</f>
        <v/>
      </c>
      <c r="B618" s="15">
        <f>IF(Murid!B618="","",Murid!B618)</f>
        <v/>
      </c>
      <c r="C618" s="16">
        <f>IF(Murid!C618="","",Murid!C618)</f>
        <v/>
      </c>
      <c r="D618" s="15">
        <f>IF(Murid!E618="","",Murid!E618)</f>
        <v/>
      </c>
      <c r="E618" s="11" t="n"/>
      <c r="F618" s="11" t="n"/>
      <c r="G618" s="10">
        <f>IF(F618="","",IFERROR(VLOOKUP(F618,T_JSP,2,FALSE),0))</f>
        <v/>
      </c>
      <c r="H618" s="11" t="n"/>
      <c r="I618" s="17">
        <f>IF(H618="","",IF(H618&gt;=12,40,ROUND(H618*3.33,2)))</f>
        <v/>
      </c>
      <c r="J618" s="11" t="n"/>
      <c r="K618" s="11" t="n"/>
      <c r="L618" s="11" t="n"/>
      <c r="M618" s="11" t="n"/>
      <c r="N618" s="10">
        <f>IF(COUNTA(J618:M618)=0,"",MIN(10,SUMPRODUCT((COUNTIF(J618:M618,L_KOM)&gt;0)*S_KOM)))</f>
        <v/>
      </c>
      <c r="O618" s="11" t="n"/>
      <c r="P618" s="10">
        <f>IF(O618="","",IFERROR(VLOOKUP(O618,T_KHID,2,FALSE),0))</f>
        <v/>
      </c>
      <c r="Q618" s="11" t="n"/>
      <c r="R618" s="11" t="n"/>
      <c r="S618" s="10">
        <f>IF(AND(Q618="",R618=""),"",IFERROR(INDEX(T_LIBAT,MATCH(Q618,L_PER,0),MATCH(R618,L_JENIS,0)),0))</f>
        <v/>
      </c>
      <c r="T618" s="11" t="n"/>
      <c r="U618" s="11" t="n"/>
      <c r="V618" s="10">
        <f>IF(AND(T618="",U618=""),"",IFERROR(INDEX(T_CAPAI,MATCH(T618,L_PER,0),MATCH(U618,L_KED,0)),0))</f>
        <v/>
      </c>
      <c r="W618" s="17">
        <f>IF(OR(B618="",E618="",COUNTA(F618,H618,J618:M618,O618,Q618:R618,T618:U618)=0),"",SUM(G618,I618,N618,P618,S618,V618))</f>
        <v/>
      </c>
      <c r="X618" s="18">
        <f>IF(W618="","",IF(Murid!F618="TL","TL",ROUND(W618/110*100,2)))</f>
        <v/>
      </c>
    </row>
    <row r="619">
      <c r="A619" s="15">
        <f>Murid!A619</f>
        <v/>
      </c>
      <c r="B619" s="15">
        <f>IF(Murid!B619="","",Murid!B619)</f>
        <v/>
      </c>
      <c r="C619" s="16">
        <f>IF(Murid!C619="","",Murid!C619)</f>
        <v/>
      </c>
      <c r="D619" s="15">
        <f>IF(Murid!E619="","",Murid!E619)</f>
        <v/>
      </c>
      <c r="E619" s="11" t="n"/>
      <c r="F619" s="11" t="n"/>
      <c r="G619" s="10">
        <f>IF(F619="","",IFERROR(VLOOKUP(F619,T_JSP,2,FALSE),0))</f>
        <v/>
      </c>
      <c r="H619" s="11" t="n"/>
      <c r="I619" s="17">
        <f>IF(H619="","",IF(H619&gt;=12,40,ROUND(H619*3.33,2)))</f>
        <v/>
      </c>
      <c r="J619" s="11" t="n"/>
      <c r="K619" s="11" t="n"/>
      <c r="L619" s="11" t="n"/>
      <c r="M619" s="11" t="n"/>
      <c r="N619" s="10">
        <f>IF(COUNTA(J619:M619)=0,"",MIN(10,SUMPRODUCT((COUNTIF(J619:M619,L_KOM)&gt;0)*S_KOM)))</f>
        <v/>
      </c>
      <c r="O619" s="11" t="n"/>
      <c r="P619" s="10">
        <f>IF(O619="","",IFERROR(VLOOKUP(O619,T_KHID,2,FALSE),0))</f>
        <v/>
      </c>
      <c r="Q619" s="11" t="n"/>
      <c r="R619" s="11" t="n"/>
      <c r="S619" s="10">
        <f>IF(AND(Q619="",R619=""),"",IFERROR(INDEX(T_LIBAT,MATCH(Q619,L_PER,0),MATCH(R619,L_JENIS,0)),0))</f>
        <v/>
      </c>
      <c r="T619" s="11" t="n"/>
      <c r="U619" s="11" t="n"/>
      <c r="V619" s="10">
        <f>IF(AND(T619="",U619=""),"",IFERROR(INDEX(T_CAPAI,MATCH(T619,L_PER,0),MATCH(U619,L_KED,0)),0))</f>
        <v/>
      </c>
      <c r="W619" s="17">
        <f>IF(OR(B619="",E619="",COUNTA(F619,H619,J619:M619,O619,Q619:R619,T619:U619)=0),"",SUM(G619,I619,N619,P619,S619,V619))</f>
        <v/>
      </c>
      <c r="X619" s="18">
        <f>IF(W619="","",IF(Murid!F619="TL","TL",ROUND(W619/110*100,2)))</f>
        <v/>
      </c>
    </row>
    <row r="620">
      <c r="A620" s="15">
        <f>Murid!A620</f>
        <v/>
      </c>
      <c r="B620" s="15">
        <f>IF(Murid!B620="","",Murid!B620)</f>
        <v/>
      </c>
      <c r="C620" s="16">
        <f>IF(Murid!C620="","",Murid!C620)</f>
        <v/>
      </c>
      <c r="D620" s="15">
        <f>IF(Murid!E620="","",Murid!E620)</f>
        <v/>
      </c>
      <c r="E620" s="11" t="n"/>
      <c r="F620" s="11" t="n"/>
      <c r="G620" s="10">
        <f>IF(F620="","",IFERROR(VLOOKUP(F620,T_JSP,2,FALSE),0))</f>
        <v/>
      </c>
      <c r="H620" s="11" t="n"/>
      <c r="I620" s="17">
        <f>IF(H620="","",IF(H620&gt;=12,40,ROUND(H620*3.33,2)))</f>
        <v/>
      </c>
      <c r="J620" s="11" t="n"/>
      <c r="K620" s="11" t="n"/>
      <c r="L620" s="11" t="n"/>
      <c r="M620" s="11" t="n"/>
      <c r="N620" s="10">
        <f>IF(COUNTA(J620:M620)=0,"",MIN(10,SUMPRODUCT((COUNTIF(J620:M620,L_KOM)&gt;0)*S_KOM)))</f>
        <v/>
      </c>
      <c r="O620" s="11" t="n"/>
      <c r="P620" s="10">
        <f>IF(O620="","",IFERROR(VLOOKUP(O620,T_KHID,2,FALSE),0))</f>
        <v/>
      </c>
      <c r="Q620" s="11" t="n"/>
      <c r="R620" s="11" t="n"/>
      <c r="S620" s="10">
        <f>IF(AND(Q620="",R620=""),"",IFERROR(INDEX(T_LIBAT,MATCH(Q620,L_PER,0),MATCH(R620,L_JENIS,0)),0))</f>
        <v/>
      </c>
      <c r="T620" s="11" t="n"/>
      <c r="U620" s="11" t="n"/>
      <c r="V620" s="10">
        <f>IF(AND(T620="",U620=""),"",IFERROR(INDEX(T_CAPAI,MATCH(T620,L_PER,0),MATCH(U620,L_KED,0)),0))</f>
        <v/>
      </c>
      <c r="W620" s="17">
        <f>IF(OR(B620="",E620="",COUNTA(F620,H620,J620:M620,O620,Q620:R620,T620:U620)=0),"",SUM(G620,I620,N620,P620,S620,V620))</f>
        <v/>
      </c>
      <c r="X620" s="18">
        <f>IF(W620="","",IF(Murid!F620="TL","TL",ROUND(W620/110*100,2)))</f>
        <v/>
      </c>
    </row>
    <row r="621">
      <c r="A621" s="15">
        <f>Murid!A621</f>
        <v/>
      </c>
      <c r="B621" s="15">
        <f>IF(Murid!B621="","",Murid!B621)</f>
        <v/>
      </c>
      <c r="C621" s="16">
        <f>IF(Murid!C621="","",Murid!C621)</f>
        <v/>
      </c>
      <c r="D621" s="15">
        <f>IF(Murid!E621="","",Murid!E621)</f>
        <v/>
      </c>
      <c r="E621" s="11" t="n"/>
      <c r="F621" s="11" t="n"/>
      <c r="G621" s="10">
        <f>IF(F621="","",IFERROR(VLOOKUP(F621,T_JSP,2,FALSE),0))</f>
        <v/>
      </c>
      <c r="H621" s="11" t="n"/>
      <c r="I621" s="17">
        <f>IF(H621="","",IF(H621&gt;=12,40,ROUND(H621*3.33,2)))</f>
        <v/>
      </c>
      <c r="J621" s="11" t="n"/>
      <c r="K621" s="11" t="n"/>
      <c r="L621" s="11" t="n"/>
      <c r="M621" s="11" t="n"/>
      <c r="N621" s="10">
        <f>IF(COUNTA(J621:M621)=0,"",MIN(10,SUMPRODUCT((COUNTIF(J621:M621,L_KOM)&gt;0)*S_KOM)))</f>
        <v/>
      </c>
      <c r="O621" s="11" t="n"/>
      <c r="P621" s="10">
        <f>IF(O621="","",IFERROR(VLOOKUP(O621,T_KHID,2,FALSE),0))</f>
        <v/>
      </c>
      <c r="Q621" s="11" t="n"/>
      <c r="R621" s="11" t="n"/>
      <c r="S621" s="10">
        <f>IF(AND(Q621="",R621=""),"",IFERROR(INDEX(T_LIBAT,MATCH(Q621,L_PER,0),MATCH(R621,L_JENIS,0)),0))</f>
        <v/>
      </c>
      <c r="T621" s="11" t="n"/>
      <c r="U621" s="11" t="n"/>
      <c r="V621" s="10">
        <f>IF(AND(T621="",U621=""),"",IFERROR(INDEX(T_CAPAI,MATCH(T621,L_PER,0),MATCH(U621,L_KED,0)),0))</f>
        <v/>
      </c>
      <c r="W621" s="17">
        <f>IF(OR(B621="",E621="",COUNTA(F621,H621,J621:M621,O621,Q621:R621,T621:U621)=0),"",SUM(G621,I621,N621,P621,S621,V621))</f>
        <v/>
      </c>
      <c r="X621" s="18">
        <f>IF(W621="","",IF(Murid!F621="TL","TL",ROUND(W621/110*100,2)))</f>
        <v/>
      </c>
    </row>
    <row r="622">
      <c r="A622" s="15">
        <f>Murid!A622</f>
        <v/>
      </c>
      <c r="B622" s="15">
        <f>IF(Murid!B622="","",Murid!B622)</f>
        <v/>
      </c>
      <c r="C622" s="16">
        <f>IF(Murid!C622="","",Murid!C622)</f>
        <v/>
      </c>
      <c r="D622" s="15">
        <f>IF(Murid!E622="","",Murid!E622)</f>
        <v/>
      </c>
      <c r="E622" s="11" t="n"/>
      <c r="F622" s="11" t="n"/>
      <c r="G622" s="10">
        <f>IF(F622="","",IFERROR(VLOOKUP(F622,T_JSP,2,FALSE),0))</f>
        <v/>
      </c>
      <c r="H622" s="11" t="n"/>
      <c r="I622" s="17">
        <f>IF(H622="","",IF(H622&gt;=12,40,ROUND(H622*3.33,2)))</f>
        <v/>
      </c>
      <c r="J622" s="11" t="n"/>
      <c r="K622" s="11" t="n"/>
      <c r="L622" s="11" t="n"/>
      <c r="M622" s="11" t="n"/>
      <c r="N622" s="10">
        <f>IF(COUNTA(J622:M622)=0,"",MIN(10,SUMPRODUCT((COUNTIF(J622:M622,L_KOM)&gt;0)*S_KOM)))</f>
        <v/>
      </c>
      <c r="O622" s="11" t="n"/>
      <c r="P622" s="10">
        <f>IF(O622="","",IFERROR(VLOOKUP(O622,T_KHID,2,FALSE),0))</f>
        <v/>
      </c>
      <c r="Q622" s="11" t="n"/>
      <c r="R622" s="11" t="n"/>
      <c r="S622" s="10">
        <f>IF(AND(Q622="",R622=""),"",IFERROR(INDEX(T_LIBAT,MATCH(Q622,L_PER,0),MATCH(R622,L_JENIS,0)),0))</f>
        <v/>
      </c>
      <c r="T622" s="11" t="n"/>
      <c r="U622" s="11" t="n"/>
      <c r="V622" s="10">
        <f>IF(AND(T622="",U622=""),"",IFERROR(INDEX(T_CAPAI,MATCH(T622,L_PER,0),MATCH(U622,L_KED,0)),0))</f>
        <v/>
      </c>
      <c r="W622" s="17">
        <f>IF(OR(B622="",E622="",COUNTA(F622,H622,J622:M622,O622,Q622:R622,T622:U622)=0),"",SUM(G622,I622,N622,P622,S622,V622))</f>
        <v/>
      </c>
      <c r="X622" s="18">
        <f>IF(W622="","",IF(Murid!F622="TL","TL",ROUND(W622/110*100,2)))</f>
        <v/>
      </c>
    </row>
    <row r="623">
      <c r="A623" s="15">
        <f>Murid!A623</f>
        <v/>
      </c>
      <c r="B623" s="15">
        <f>IF(Murid!B623="","",Murid!B623)</f>
        <v/>
      </c>
      <c r="C623" s="16">
        <f>IF(Murid!C623="","",Murid!C623)</f>
        <v/>
      </c>
      <c r="D623" s="15">
        <f>IF(Murid!E623="","",Murid!E623)</f>
        <v/>
      </c>
      <c r="E623" s="11" t="n"/>
      <c r="F623" s="11" t="n"/>
      <c r="G623" s="10">
        <f>IF(F623="","",IFERROR(VLOOKUP(F623,T_JSP,2,FALSE),0))</f>
        <v/>
      </c>
      <c r="H623" s="11" t="n"/>
      <c r="I623" s="17">
        <f>IF(H623="","",IF(H623&gt;=12,40,ROUND(H623*3.33,2)))</f>
        <v/>
      </c>
      <c r="J623" s="11" t="n"/>
      <c r="K623" s="11" t="n"/>
      <c r="L623" s="11" t="n"/>
      <c r="M623" s="11" t="n"/>
      <c r="N623" s="10">
        <f>IF(COUNTA(J623:M623)=0,"",MIN(10,SUMPRODUCT((COUNTIF(J623:M623,L_KOM)&gt;0)*S_KOM)))</f>
        <v/>
      </c>
      <c r="O623" s="11" t="n"/>
      <c r="P623" s="10">
        <f>IF(O623="","",IFERROR(VLOOKUP(O623,T_KHID,2,FALSE),0))</f>
        <v/>
      </c>
      <c r="Q623" s="11" t="n"/>
      <c r="R623" s="11" t="n"/>
      <c r="S623" s="10">
        <f>IF(AND(Q623="",R623=""),"",IFERROR(INDEX(T_LIBAT,MATCH(Q623,L_PER,0),MATCH(R623,L_JENIS,0)),0))</f>
        <v/>
      </c>
      <c r="T623" s="11" t="n"/>
      <c r="U623" s="11" t="n"/>
      <c r="V623" s="10">
        <f>IF(AND(T623="",U623=""),"",IFERROR(INDEX(T_CAPAI,MATCH(T623,L_PER,0),MATCH(U623,L_KED,0)),0))</f>
        <v/>
      </c>
      <c r="W623" s="17">
        <f>IF(OR(B623="",E623="",COUNTA(F623,H623,J623:M623,O623,Q623:R623,T623:U623)=0),"",SUM(G623,I623,N623,P623,S623,V623))</f>
        <v/>
      </c>
      <c r="X623" s="18">
        <f>IF(W623="","",IF(Murid!F623="TL","TL",ROUND(W623/110*100,2)))</f>
        <v/>
      </c>
    </row>
    <row r="624">
      <c r="A624" s="15">
        <f>Murid!A624</f>
        <v/>
      </c>
      <c r="B624" s="15">
        <f>IF(Murid!B624="","",Murid!B624)</f>
        <v/>
      </c>
      <c r="C624" s="16">
        <f>IF(Murid!C624="","",Murid!C624)</f>
        <v/>
      </c>
      <c r="D624" s="15">
        <f>IF(Murid!E624="","",Murid!E624)</f>
        <v/>
      </c>
      <c r="E624" s="11" t="n"/>
      <c r="F624" s="11" t="n"/>
      <c r="G624" s="10">
        <f>IF(F624="","",IFERROR(VLOOKUP(F624,T_JSP,2,FALSE),0))</f>
        <v/>
      </c>
      <c r="H624" s="11" t="n"/>
      <c r="I624" s="17">
        <f>IF(H624="","",IF(H624&gt;=12,40,ROUND(H624*3.33,2)))</f>
        <v/>
      </c>
      <c r="J624" s="11" t="n"/>
      <c r="K624" s="11" t="n"/>
      <c r="L624" s="11" t="n"/>
      <c r="M624" s="11" t="n"/>
      <c r="N624" s="10">
        <f>IF(COUNTA(J624:M624)=0,"",MIN(10,SUMPRODUCT((COUNTIF(J624:M624,L_KOM)&gt;0)*S_KOM)))</f>
        <v/>
      </c>
      <c r="O624" s="11" t="n"/>
      <c r="P624" s="10">
        <f>IF(O624="","",IFERROR(VLOOKUP(O624,T_KHID,2,FALSE),0))</f>
        <v/>
      </c>
      <c r="Q624" s="11" t="n"/>
      <c r="R624" s="11" t="n"/>
      <c r="S624" s="10">
        <f>IF(AND(Q624="",R624=""),"",IFERROR(INDEX(T_LIBAT,MATCH(Q624,L_PER,0),MATCH(R624,L_JENIS,0)),0))</f>
        <v/>
      </c>
      <c r="T624" s="11" t="n"/>
      <c r="U624" s="11" t="n"/>
      <c r="V624" s="10">
        <f>IF(AND(T624="",U624=""),"",IFERROR(INDEX(T_CAPAI,MATCH(T624,L_PER,0),MATCH(U624,L_KED,0)),0))</f>
        <v/>
      </c>
      <c r="W624" s="17">
        <f>IF(OR(B624="",E624="",COUNTA(F624,H624,J624:M624,O624,Q624:R624,T624:U624)=0),"",SUM(G624,I624,N624,P624,S624,V624))</f>
        <v/>
      </c>
      <c r="X624" s="18">
        <f>IF(W624="","",IF(Murid!F624="TL","TL",ROUND(W624/110*100,2)))</f>
        <v/>
      </c>
    </row>
    <row r="625">
      <c r="A625" s="15">
        <f>Murid!A625</f>
        <v/>
      </c>
      <c r="B625" s="15">
        <f>IF(Murid!B625="","",Murid!B625)</f>
        <v/>
      </c>
      <c r="C625" s="16">
        <f>IF(Murid!C625="","",Murid!C625)</f>
        <v/>
      </c>
      <c r="D625" s="15">
        <f>IF(Murid!E625="","",Murid!E625)</f>
        <v/>
      </c>
      <c r="E625" s="11" t="n"/>
      <c r="F625" s="11" t="n"/>
      <c r="G625" s="10">
        <f>IF(F625="","",IFERROR(VLOOKUP(F625,T_JSP,2,FALSE),0))</f>
        <v/>
      </c>
      <c r="H625" s="11" t="n"/>
      <c r="I625" s="17">
        <f>IF(H625="","",IF(H625&gt;=12,40,ROUND(H625*3.33,2)))</f>
        <v/>
      </c>
      <c r="J625" s="11" t="n"/>
      <c r="K625" s="11" t="n"/>
      <c r="L625" s="11" t="n"/>
      <c r="M625" s="11" t="n"/>
      <c r="N625" s="10">
        <f>IF(COUNTA(J625:M625)=0,"",MIN(10,SUMPRODUCT((COUNTIF(J625:M625,L_KOM)&gt;0)*S_KOM)))</f>
        <v/>
      </c>
      <c r="O625" s="11" t="n"/>
      <c r="P625" s="10">
        <f>IF(O625="","",IFERROR(VLOOKUP(O625,T_KHID,2,FALSE),0))</f>
        <v/>
      </c>
      <c r="Q625" s="11" t="n"/>
      <c r="R625" s="11" t="n"/>
      <c r="S625" s="10">
        <f>IF(AND(Q625="",R625=""),"",IFERROR(INDEX(T_LIBAT,MATCH(Q625,L_PER,0),MATCH(R625,L_JENIS,0)),0))</f>
        <v/>
      </c>
      <c r="T625" s="11" t="n"/>
      <c r="U625" s="11" t="n"/>
      <c r="V625" s="10">
        <f>IF(AND(T625="",U625=""),"",IFERROR(INDEX(T_CAPAI,MATCH(T625,L_PER,0),MATCH(U625,L_KED,0)),0))</f>
        <v/>
      </c>
      <c r="W625" s="17">
        <f>IF(OR(B625="",E625="",COUNTA(F625,H625,J625:M625,O625,Q625:R625,T625:U625)=0),"",SUM(G625,I625,N625,P625,S625,V625))</f>
        <v/>
      </c>
      <c r="X625" s="18">
        <f>IF(W625="","",IF(Murid!F625="TL","TL",ROUND(W625/110*100,2)))</f>
        <v/>
      </c>
    </row>
    <row r="626">
      <c r="A626" s="15">
        <f>Murid!A626</f>
        <v/>
      </c>
      <c r="B626" s="15">
        <f>IF(Murid!B626="","",Murid!B626)</f>
        <v/>
      </c>
      <c r="C626" s="16">
        <f>IF(Murid!C626="","",Murid!C626)</f>
        <v/>
      </c>
      <c r="D626" s="15">
        <f>IF(Murid!E626="","",Murid!E626)</f>
        <v/>
      </c>
      <c r="E626" s="11" t="n"/>
      <c r="F626" s="11" t="n"/>
      <c r="G626" s="10">
        <f>IF(F626="","",IFERROR(VLOOKUP(F626,T_JSP,2,FALSE),0))</f>
        <v/>
      </c>
      <c r="H626" s="11" t="n"/>
      <c r="I626" s="17">
        <f>IF(H626="","",IF(H626&gt;=12,40,ROUND(H626*3.33,2)))</f>
        <v/>
      </c>
      <c r="J626" s="11" t="n"/>
      <c r="K626" s="11" t="n"/>
      <c r="L626" s="11" t="n"/>
      <c r="M626" s="11" t="n"/>
      <c r="N626" s="10">
        <f>IF(COUNTA(J626:M626)=0,"",MIN(10,SUMPRODUCT((COUNTIF(J626:M626,L_KOM)&gt;0)*S_KOM)))</f>
        <v/>
      </c>
      <c r="O626" s="11" t="n"/>
      <c r="P626" s="10">
        <f>IF(O626="","",IFERROR(VLOOKUP(O626,T_KHID,2,FALSE),0))</f>
        <v/>
      </c>
      <c r="Q626" s="11" t="n"/>
      <c r="R626" s="11" t="n"/>
      <c r="S626" s="10">
        <f>IF(AND(Q626="",R626=""),"",IFERROR(INDEX(T_LIBAT,MATCH(Q626,L_PER,0),MATCH(R626,L_JENIS,0)),0))</f>
        <v/>
      </c>
      <c r="T626" s="11" t="n"/>
      <c r="U626" s="11" t="n"/>
      <c r="V626" s="10">
        <f>IF(AND(T626="",U626=""),"",IFERROR(INDEX(T_CAPAI,MATCH(T626,L_PER,0),MATCH(U626,L_KED,0)),0))</f>
        <v/>
      </c>
      <c r="W626" s="17">
        <f>IF(OR(B626="",E626="",COUNTA(F626,H626,J626:M626,O626,Q626:R626,T626:U626)=0),"",SUM(G626,I626,N626,P626,S626,V626))</f>
        <v/>
      </c>
      <c r="X626" s="18">
        <f>IF(W626="","",IF(Murid!F626="TL","TL",ROUND(W626/110*100,2)))</f>
        <v/>
      </c>
    </row>
    <row r="627">
      <c r="A627" s="15">
        <f>Murid!A627</f>
        <v/>
      </c>
      <c r="B627" s="15">
        <f>IF(Murid!B627="","",Murid!B627)</f>
        <v/>
      </c>
      <c r="C627" s="16">
        <f>IF(Murid!C627="","",Murid!C627)</f>
        <v/>
      </c>
      <c r="D627" s="15">
        <f>IF(Murid!E627="","",Murid!E627)</f>
        <v/>
      </c>
      <c r="E627" s="11" t="n"/>
      <c r="F627" s="11" t="n"/>
      <c r="G627" s="10">
        <f>IF(F627="","",IFERROR(VLOOKUP(F627,T_JSP,2,FALSE),0))</f>
        <v/>
      </c>
      <c r="H627" s="11" t="n"/>
      <c r="I627" s="17">
        <f>IF(H627="","",IF(H627&gt;=12,40,ROUND(H627*3.33,2)))</f>
        <v/>
      </c>
      <c r="J627" s="11" t="n"/>
      <c r="K627" s="11" t="n"/>
      <c r="L627" s="11" t="n"/>
      <c r="M627" s="11" t="n"/>
      <c r="N627" s="10">
        <f>IF(COUNTA(J627:M627)=0,"",MIN(10,SUMPRODUCT((COUNTIF(J627:M627,L_KOM)&gt;0)*S_KOM)))</f>
        <v/>
      </c>
      <c r="O627" s="11" t="n"/>
      <c r="P627" s="10">
        <f>IF(O627="","",IFERROR(VLOOKUP(O627,T_KHID,2,FALSE),0))</f>
        <v/>
      </c>
      <c r="Q627" s="11" t="n"/>
      <c r="R627" s="11" t="n"/>
      <c r="S627" s="10">
        <f>IF(AND(Q627="",R627=""),"",IFERROR(INDEX(T_LIBAT,MATCH(Q627,L_PER,0),MATCH(R627,L_JENIS,0)),0))</f>
        <v/>
      </c>
      <c r="T627" s="11" t="n"/>
      <c r="U627" s="11" t="n"/>
      <c r="V627" s="10">
        <f>IF(AND(T627="",U627=""),"",IFERROR(INDEX(T_CAPAI,MATCH(T627,L_PER,0),MATCH(U627,L_KED,0)),0))</f>
        <v/>
      </c>
      <c r="W627" s="17">
        <f>IF(OR(B627="",E627="",COUNTA(F627,H627,J627:M627,O627,Q627:R627,T627:U627)=0),"",SUM(G627,I627,N627,P627,S627,V627))</f>
        <v/>
      </c>
      <c r="X627" s="18">
        <f>IF(W627="","",IF(Murid!F627="TL","TL",ROUND(W627/110*100,2)))</f>
        <v/>
      </c>
    </row>
    <row r="628">
      <c r="A628" s="15">
        <f>Murid!A628</f>
        <v/>
      </c>
      <c r="B628" s="15">
        <f>IF(Murid!B628="","",Murid!B628)</f>
        <v/>
      </c>
      <c r="C628" s="16">
        <f>IF(Murid!C628="","",Murid!C628)</f>
        <v/>
      </c>
      <c r="D628" s="15">
        <f>IF(Murid!E628="","",Murid!E628)</f>
        <v/>
      </c>
      <c r="E628" s="11" t="n"/>
      <c r="F628" s="11" t="n"/>
      <c r="G628" s="10">
        <f>IF(F628="","",IFERROR(VLOOKUP(F628,T_JSP,2,FALSE),0))</f>
        <v/>
      </c>
      <c r="H628" s="11" t="n"/>
      <c r="I628" s="17">
        <f>IF(H628="","",IF(H628&gt;=12,40,ROUND(H628*3.33,2)))</f>
        <v/>
      </c>
      <c r="J628" s="11" t="n"/>
      <c r="K628" s="11" t="n"/>
      <c r="L628" s="11" t="n"/>
      <c r="M628" s="11" t="n"/>
      <c r="N628" s="10">
        <f>IF(COUNTA(J628:M628)=0,"",MIN(10,SUMPRODUCT((COUNTIF(J628:M628,L_KOM)&gt;0)*S_KOM)))</f>
        <v/>
      </c>
      <c r="O628" s="11" t="n"/>
      <c r="P628" s="10">
        <f>IF(O628="","",IFERROR(VLOOKUP(O628,T_KHID,2,FALSE),0))</f>
        <v/>
      </c>
      <c r="Q628" s="11" t="n"/>
      <c r="R628" s="11" t="n"/>
      <c r="S628" s="10">
        <f>IF(AND(Q628="",R628=""),"",IFERROR(INDEX(T_LIBAT,MATCH(Q628,L_PER,0),MATCH(R628,L_JENIS,0)),0))</f>
        <v/>
      </c>
      <c r="T628" s="11" t="n"/>
      <c r="U628" s="11" t="n"/>
      <c r="V628" s="10">
        <f>IF(AND(T628="",U628=""),"",IFERROR(INDEX(T_CAPAI,MATCH(T628,L_PER,0),MATCH(U628,L_KED,0)),0))</f>
        <v/>
      </c>
      <c r="W628" s="17">
        <f>IF(OR(B628="",E628="",COUNTA(F628,H628,J628:M628,O628,Q628:R628,T628:U628)=0),"",SUM(G628,I628,N628,P628,S628,V628))</f>
        <v/>
      </c>
      <c r="X628" s="18">
        <f>IF(W628="","",IF(Murid!F628="TL","TL",ROUND(W628/110*100,2)))</f>
        <v/>
      </c>
    </row>
    <row r="629">
      <c r="A629" s="15">
        <f>Murid!A629</f>
        <v/>
      </c>
      <c r="B629" s="15">
        <f>IF(Murid!B629="","",Murid!B629)</f>
        <v/>
      </c>
      <c r="C629" s="16">
        <f>IF(Murid!C629="","",Murid!C629)</f>
        <v/>
      </c>
      <c r="D629" s="15">
        <f>IF(Murid!E629="","",Murid!E629)</f>
        <v/>
      </c>
      <c r="E629" s="11" t="n"/>
      <c r="F629" s="11" t="n"/>
      <c r="G629" s="10">
        <f>IF(F629="","",IFERROR(VLOOKUP(F629,T_JSP,2,FALSE),0))</f>
        <v/>
      </c>
      <c r="H629" s="11" t="n"/>
      <c r="I629" s="17">
        <f>IF(H629="","",IF(H629&gt;=12,40,ROUND(H629*3.33,2)))</f>
        <v/>
      </c>
      <c r="J629" s="11" t="n"/>
      <c r="K629" s="11" t="n"/>
      <c r="L629" s="11" t="n"/>
      <c r="M629" s="11" t="n"/>
      <c r="N629" s="10">
        <f>IF(COUNTA(J629:M629)=0,"",MIN(10,SUMPRODUCT((COUNTIF(J629:M629,L_KOM)&gt;0)*S_KOM)))</f>
        <v/>
      </c>
      <c r="O629" s="11" t="n"/>
      <c r="P629" s="10">
        <f>IF(O629="","",IFERROR(VLOOKUP(O629,T_KHID,2,FALSE),0))</f>
        <v/>
      </c>
      <c r="Q629" s="11" t="n"/>
      <c r="R629" s="11" t="n"/>
      <c r="S629" s="10">
        <f>IF(AND(Q629="",R629=""),"",IFERROR(INDEX(T_LIBAT,MATCH(Q629,L_PER,0),MATCH(R629,L_JENIS,0)),0))</f>
        <v/>
      </c>
      <c r="T629" s="11" t="n"/>
      <c r="U629" s="11" t="n"/>
      <c r="V629" s="10">
        <f>IF(AND(T629="",U629=""),"",IFERROR(INDEX(T_CAPAI,MATCH(T629,L_PER,0),MATCH(U629,L_KED,0)),0))</f>
        <v/>
      </c>
      <c r="W629" s="17">
        <f>IF(OR(B629="",E629="",COUNTA(F629,H629,J629:M629,O629,Q629:R629,T629:U629)=0),"",SUM(G629,I629,N629,P629,S629,V629))</f>
        <v/>
      </c>
      <c r="X629" s="18">
        <f>IF(W629="","",IF(Murid!F629="TL","TL",ROUND(W629/110*100,2)))</f>
        <v/>
      </c>
    </row>
    <row r="630">
      <c r="A630" s="15">
        <f>Murid!A630</f>
        <v/>
      </c>
      <c r="B630" s="15">
        <f>IF(Murid!B630="","",Murid!B630)</f>
        <v/>
      </c>
      <c r="C630" s="16">
        <f>IF(Murid!C630="","",Murid!C630)</f>
        <v/>
      </c>
      <c r="D630" s="15">
        <f>IF(Murid!E630="","",Murid!E630)</f>
        <v/>
      </c>
      <c r="E630" s="11" t="n"/>
      <c r="F630" s="11" t="n"/>
      <c r="G630" s="10">
        <f>IF(F630="","",IFERROR(VLOOKUP(F630,T_JSP,2,FALSE),0))</f>
        <v/>
      </c>
      <c r="H630" s="11" t="n"/>
      <c r="I630" s="17">
        <f>IF(H630="","",IF(H630&gt;=12,40,ROUND(H630*3.33,2)))</f>
        <v/>
      </c>
      <c r="J630" s="11" t="n"/>
      <c r="K630" s="11" t="n"/>
      <c r="L630" s="11" t="n"/>
      <c r="M630" s="11" t="n"/>
      <c r="N630" s="10">
        <f>IF(COUNTA(J630:M630)=0,"",MIN(10,SUMPRODUCT((COUNTIF(J630:M630,L_KOM)&gt;0)*S_KOM)))</f>
        <v/>
      </c>
      <c r="O630" s="11" t="n"/>
      <c r="P630" s="10">
        <f>IF(O630="","",IFERROR(VLOOKUP(O630,T_KHID,2,FALSE),0))</f>
        <v/>
      </c>
      <c r="Q630" s="11" t="n"/>
      <c r="R630" s="11" t="n"/>
      <c r="S630" s="10">
        <f>IF(AND(Q630="",R630=""),"",IFERROR(INDEX(T_LIBAT,MATCH(Q630,L_PER,0),MATCH(R630,L_JENIS,0)),0))</f>
        <v/>
      </c>
      <c r="T630" s="11" t="n"/>
      <c r="U630" s="11" t="n"/>
      <c r="V630" s="10">
        <f>IF(AND(T630="",U630=""),"",IFERROR(INDEX(T_CAPAI,MATCH(T630,L_PER,0),MATCH(U630,L_KED,0)),0))</f>
        <v/>
      </c>
      <c r="W630" s="17">
        <f>IF(OR(B630="",E630="",COUNTA(F630,H630,J630:M630,O630,Q630:R630,T630:U630)=0),"",SUM(G630,I630,N630,P630,S630,V630))</f>
        <v/>
      </c>
      <c r="X630" s="18">
        <f>IF(W630="","",IF(Murid!F630="TL","TL",ROUND(W630/110*100,2)))</f>
        <v/>
      </c>
    </row>
    <row r="631">
      <c r="A631" s="15">
        <f>Murid!A631</f>
        <v/>
      </c>
      <c r="B631" s="15">
        <f>IF(Murid!B631="","",Murid!B631)</f>
        <v/>
      </c>
      <c r="C631" s="16">
        <f>IF(Murid!C631="","",Murid!C631)</f>
        <v/>
      </c>
      <c r="D631" s="15">
        <f>IF(Murid!E631="","",Murid!E631)</f>
        <v/>
      </c>
      <c r="E631" s="11" t="n"/>
      <c r="F631" s="11" t="n"/>
      <c r="G631" s="10">
        <f>IF(F631="","",IFERROR(VLOOKUP(F631,T_JSP,2,FALSE),0))</f>
        <v/>
      </c>
      <c r="H631" s="11" t="n"/>
      <c r="I631" s="17">
        <f>IF(H631="","",IF(H631&gt;=12,40,ROUND(H631*3.33,2)))</f>
        <v/>
      </c>
      <c r="J631" s="11" t="n"/>
      <c r="K631" s="11" t="n"/>
      <c r="L631" s="11" t="n"/>
      <c r="M631" s="11" t="n"/>
      <c r="N631" s="10">
        <f>IF(COUNTA(J631:M631)=0,"",MIN(10,SUMPRODUCT((COUNTIF(J631:M631,L_KOM)&gt;0)*S_KOM)))</f>
        <v/>
      </c>
      <c r="O631" s="11" t="n"/>
      <c r="P631" s="10">
        <f>IF(O631="","",IFERROR(VLOOKUP(O631,T_KHID,2,FALSE),0))</f>
        <v/>
      </c>
      <c r="Q631" s="11" t="n"/>
      <c r="R631" s="11" t="n"/>
      <c r="S631" s="10">
        <f>IF(AND(Q631="",R631=""),"",IFERROR(INDEX(T_LIBAT,MATCH(Q631,L_PER,0),MATCH(R631,L_JENIS,0)),0))</f>
        <v/>
      </c>
      <c r="T631" s="11" t="n"/>
      <c r="U631" s="11" t="n"/>
      <c r="V631" s="10">
        <f>IF(AND(T631="",U631=""),"",IFERROR(INDEX(T_CAPAI,MATCH(T631,L_PER,0),MATCH(U631,L_KED,0)),0))</f>
        <v/>
      </c>
      <c r="W631" s="17">
        <f>IF(OR(B631="",E631="",COUNTA(F631,H631,J631:M631,O631,Q631:R631,T631:U631)=0),"",SUM(G631,I631,N631,P631,S631,V631))</f>
        <v/>
      </c>
      <c r="X631" s="18">
        <f>IF(W631="","",IF(Murid!F631="TL","TL",ROUND(W631/110*100,2)))</f>
        <v/>
      </c>
    </row>
    <row r="632">
      <c r="A632" s="15">
        <f>Murid!A632</f>
        <v/>
      </c>
      <c r="B632" s="15">
        <f>IF(Murid!B632="","",Murid!B632)</f>
        <v/>
      </c>
      <c r="C632" s="16">
        <f>IF(Murid!C632="","",Murid!C632)</f>
        <v/>
      </c>
      <c r="D632" s="15">
        <f>IF(Murid!E632="","",Murid!E632)</f>
        <v/>
      </c>
      <c r="E632" s="11" t="n"/>
      <c r="F632" s="11" t="n"/>
      <c r="G632" s="10">
        <f>IF(F632="","",IFERROR(VLOOKUP(F632,T_JSP,2,FALSE),0))</f>
        <v/>
      </c>
      <c r="H632" s="11" t="n"/>
      <c r="I632" s="17">
        <f>IF(H632="","",IF(H632&gt;=12,40,ROUND(H632*3.33,2)))</f>
        <v/>
      </c>
      <c r="J632" s="11" t="n"/>
      <c r="K632" s="11" t="n"/>
      <c r="L632" s="11" t="n"/>
      <c r="M632" s="11" t="n"/>
      <c r="N632" s="10">
        <f>IF(COUNTA(J632:M632)=0,"",MIN(10,SUMPRODUCT((COUNTIF(J632:M632,L_KOM)&gt;0)*S_KOM)))</f>
        <v/>
      </c>
      <c r="O632" s="11" t="n"/>
      <c r="P632" s="10">
        <f>IF(O632="","",IFERROR(VLOOKUP(O632,T_KHID,2,FALSE),0))</f>
        <v/>
      </c>
      <c r="Q632" s="11" t="n"/>
      <c r="R632" s="11" t="n"/>
      <c r="S632" s="10">
        <f>IF(AND(Q632="",R632=""),"",IFERROR(INDEX(T_LIBAT,MATCH(Q632,L_PER,0),MATCH(R632,L_JENIS,0)),0))</f>
        <v/>
      </c>
      <c r="T632" s="11" t="n"/>
      <c r="U632" s="11" t="n"/>
      <c r="V632" s="10">
        <f>IF(AND(T632="",U632=""),"",IFERROR(INDEX(T_CAPAI,MATCH(T632,L_PER,0),MATCH(U632,L_KED,0)),0))</f>
        <v/>
      </c>
      <c r="W632" s="17">
        <f>IF(OR(B632="",E632="",COUNTA(F632,H632,J632:M632,O632,Q632:R632,T632:U632)=0),"",SUM(G632,I632,N632,P632,S632,V632))</f>
        <v/>
      </c>
      <c r="X632" s="18">
        <f>IF(W632="","",IF(Murid!F632="TL","TL",ROUND(W632/110*100,2)))</f>
        <v/>
      </c>
    </row>
    <row r="633">
      <c r="A633" s="15">
        <f>Murid!A633</f>
        <v/>
      </c>
      <c r="B633" s="15">
        <f>IF(Murid!B633="","",Murid!B633)</f>
        <v/>
      </c>
      <c r="C633" s="16">
        <f>IF(Murid!C633="","",Murid!C633)</f>
        <v/>
      </c>
      <c r="D633" s="15">
        <f>IF(Murid!E633="","",Murid!E633)</f>
        <v/>
      </c>
      <c r="E633" s="11" t="n"/>
      <c r="F633" s="11" t="n"/>
      <c r="G633" s="10">
        <f>IF(F633="","",IFERROR(VLOOKUP(F633,T_JSP,2,FALSE),0))</f>
        <v/>
      </c>
      <c r="H633" s="11" t="n"/>
      <c r="I633" s="17">
        <f>IF(H633="","",IF(H633&gt;=12,40,ROUND(H633*3.33,2)))</f>
        <v/>
      </c>
      <c r="J633" s="11" t="n"/>
      <c r="K633" s="11" t="n"/>
      <c r="L633" s="11" t="n"/>
      <c r="M633" s="11" t="n"/>
      <c r="N633" s="10">
        <f>IF(COUNTA(J633:M633)=0,"",MIN(10,SUMPRODUCT((COUNTIF(J633:M633,L_KOM)&gt;0)*S_KOM)))</f>
        <v/>
      </c>
      <c r="O633" s="11" t="n"/>
      <c r="P633" s="10">
        <f>IF(O633="","",IFERROR(VLOOKUP(O633,T_KHID,2,FALSE),0))</f>
        <v/>
      </c>
      <c r="Q633" s="11" t="n"/>
      <c r="R633" s="11" t="n"/>
      <c r="S633" s="10">
        <f>IF(AND(Q633="",R633=""),"",IFERROR(INDEX(T_LIBAT,MATCH(Q633,L_PER,0),MATCH(R633,L_JENIS,0)),0))</f>
        <v/>
      </c>
      <c r="T633" s="11" t="n"/>
      <c r="U633" s="11" t="n"/>
      <c r="V633" s="10">
        <f>IF(AND(T633="",U633=""),"",IFERROR(INDEX(T_CAPAI,MATCH(T633,L_PER,0),MATCH(U633,L_KED,0)),0))</f>
        <v/>
      </c>
      <c r="W633" s="17">
        <f>IF(OR(B633="",E633="",COUNTA(F633,H633,J633:M633,O633,Q633:R633,T633:U633)=0),"",SUM(G633,I633,N633,P633,S633,V633))</f>
        <v/>
      </c>
      <c r="X633" s="18">
        <f>IF(W633="","",IF(Murid!F633="TL","TL",ROUND(W633/110*100,2)))</f>
        <v/>
      </c>
    </row>
    <row r="634">
      <c r="A634" s="15">
        <f>Murid!A634</f>
        <v/>
      </c>
      <c r="B634" s="15">
        <f>IF(Murid!B634="","",Murid!B634)</f>
        <v/>
      </c>
      <c r="C634" s="16">
        <f>IF(Murid!C634="","",Murid!C634)</f>
        <v/>
      </c>
      <c r="D634" s="15">
        <f>IF(Murid!E634="","",Murid!E634)</f>
        <v/>
      </c>
      <c r="E634" s="11" t="n"/>
      <c r="F634" s="11" t="n"/>
      <c r="G634" s="10">
        <f>IF(F634="","",IFERROR(VLOOKUP(F634,T_JSP,2,FALSE),0))</f>
        <v/>
      </c>
      <c r="H634" s="11" t="n"/>
      <c r="I634" s="17">
        <f>IF(H634="","",IF(H634&gt;=12,40,ROUND(H634*3.33,2)))</f>
        <v/>
      </c>
      <c r="J634" s="11" t="n"/>
      <c r="K634" s="11" t="n"/>
      <c r="L634" s="11" t="n"/>
      <c r="M634" s="11" t="n"/>
      <c r="N634" s="10">
        <f>IF(COUNTA(J634:M634)=0,"",MIN(10,SUMPRODUCT((COUNTIF(J634:M634,L_KOM)&gt;0)*S_KOM)))</f>
        <v/>
      </c>
      <c r="O634" s="11" t="n"/>
      <c r="P634" s="10">
        <f>IF(O634="","",IFERROR(VLOOKUP(O634,T_KHID,2,FALSE),0))</f>
        <v/>
      </c>
      <c r="Q634" s="11" t="n"/>
      <c r="R634" s="11" t="n"/>
      <c r="S634" s="10">
        <f>IF(AND(Q634="",R634=""),"",IFERROR(INDEX(T_LIBAT,MATCH(Q634,L_PER,0),MATCH(R634,L_JENIS,0)),0))</f>
        <v/>
      </c>
      <c r="T634" s="11" t="n"/>
      <c r="U634" s="11" t="n"/>
      <c r="V634" s="10">
        <f>IF(AND(T634="",U634=""),"",IFERROR(INDEX(T_CAPAI,MATCH(T634,L_PER,0),MATCH(U634,L_KED,0)),0))</f>
        <v/>
      </c>
      <c r="W634" s="17">
        <f>IF(OR(B634="",E634="",COUNTA(F634,H634,J634:M634,O634,Q634:R634,T634:U634)=0),"",SUM(G634,I634,N634,P634,S634,V634))</f>
        <v/>
      </c>
      <c r="X634" s="18">
        <f>IF(W634="","",IF(Murid!F634="TL","TL",ROUND(W634/110*100,2)))</f>
        <v/>
      </c>
    </row>
    <row r="635">
      <c r="A635" s="15">
        <f>Murid!A635</f>
        <v/>
      </c>
      <c r="B635" s="15">
        <f>IF(Murid!B635="","",Murid!B635)</f>
        <v/>
      </c>
      <c r="C635" s="16">
        <f>IF(Murid!C635="","",Murid!C635)</f>
        <v/>
      </c>
      <c r="D635" s="15">
        <f>IF(Murid!E635="","",Murid!E635)</f>
        <v/>
      </c>
      <c r="E635" s="11" t="n"/>
      <c r="F635" s="11" t="n"/>
      <c r="G635" s="10">
        <f>IF(F635="","",IFERROR(VLOOKUP(F635,T_JSP,2,FALSE),0))</f>
        <v/>
      </c>
      <c r="H635" s="11" t="n"/>
      <c r="I635" s="17">
        <f>IF(H635="","",IF(H635&gt;=12,40,ROUND(H635*3.33,2)))</f>
        <v/>
      </c>
      <c r="J635" s="11" t="n"/>
      <c r="K635" s="11" t="n"/>
      <c r="L635" s="11" t="n"/>
      <c r="M635" s="11" t="n"/>
      <c r="N635" s="10">
        <f>IF(COUNTA(J635:M635)=0,"",MIN(10,SUMPRODUCT((COUNTIF(J635:M635,L_KOM)&gt;0)*S_KOM)))</f>
        <v/>
      </c>
      <c r="O635" s="11" t="n"/>
      <c r="P635" s="10">
        <f>IF(O635="","",IFERROR(VLOOKUP(O635,T_KHID,2,FALSE),0))</f>
        <v/>
      </c>
      <c r="Q635" s="11" t="n"/>
      <c r="R635" s="11" t="n"/>
      <c r="S635" s="10">
        <f>IF(AND(Q635="",R635=""),"",IFERROR(INDEX(T_LIBAT,MATCH(Q635,L_PER,0),MATCH(R635,L_JENIS,0)),0))</f>
        <v/>
      </c>
      <c r="T635" s="11" t="n"/>
      <c r="U635" s="11" t="n"/>
      <c r="V635" s="10">
        <f>IF(AND(T635="",U635=""),"",IFERROR(INDEX(T_CAPAI,MATCH(T635,L_PER,0),MATCH(U635,L_KED,0)),0))</f>
        <v/>
      </c>
      <c r="W635" s="17">
        <f>IF(OR(B635="",E635="",COUNTA(F635,H635,J635:M635,O635,Q635:R635,T635:U635)=0),"",SUM(G635,I635,N635,P635,S635,V635))</f>
        <v/>
      </c>
      <c r="X635" s="18">
        <f>IF(W635="","",IF(Murid!F635="TL","TL",ROUND(W635/110*100,2)))</f>
        <v/>
      </c>
    </row>
    <row r="636">
      <c r="A636" s="15">
        <f>Murid!A636</f>
        <v/>
      </c>
      <c r="B636" s="15">
        <f>IF(Murid!B636="","",Murid!B636)</f>
        <v/>
      </c>
      <c r="C636" s="16">
        <f>IF(Murid!C636="","",Murid!C636)</f>
        <v/>
      </c>
      <c r="D636" s="15">
        <f>IF(Murid!E636="","",Murid!E636)</f>
        <v/>
      </c>
      <c r="E636" s="11" t="n"/>
      <c r="F636" s="11" t="n"/>
      <c r="G636" s="10">
        <f>IF(F636="","",IFERROR(VLOOKUP(F636,T_JSP,2,FALSE),0))</f>
        <v/>
      </c>
      <c r="H636" s="11" t="n"/>
      <c r="I636" s="17">
        <f>IF(H636="","",IF(H636&gt;=12,40,ROUND(H636*3.33,2)))</f>
        <v/>
      </c>
      <c r="J636" s="11" t="n"/>
      <c r="K636" s="11" t="n"/>
      <c r="L636" s="11" t="n"/>
      <c r="M636" s="11" t="n"/>
      <c r="N636" s="10">
        <f>IF(COUNTA(J636:M636)=0,"",MIN(10,SUMPRODUCT((COUNTIF(J636:M636,L_KOM)&gt;0)*S_KOM)))</f>
        <v/>
      </c>
      <c r="O636" s="11" t="n"/>
      <c r="P636" s="10">
        <f>IF(O636="","",IFERROR(VLOOKUP(O636,T_KHID,2,FALSE),0))</f>
        <v/>
      </c>
      <c r="Q636" s="11" t="n"/>
      <c r="R636" s="11" t="n"/>
      <c r="S636" s="10">
        <f>IF(AND(Q636="",R636=""),"",IFERROR(INDEX(T_LIBAT,MATCH(Q636,L_PER,0),MATCH(R636,L_JENIS,0)),0))</f>
        <v/>
      </c>
      <c r="T636" s="11" t="n"/>
      <c r="U636" s="11" t="n"/>
      <c r="V636" s="10">
        <f>IF(AND(T636="",U636=""),"",IFERROR(INDEX(T_CAPAI,MATCH(T636,L_PER,0),MATCH(U636,L_KED,0)),0))</f>
        <v/>
      </c>
      <c r="W636" s="17">
        <f>IF(OR(B636="",E636="",COUNTA(F636,H636,J636:M636,O636,Q636:R636,T636:U636)=0),"",SUM(G636,I636,N636,P636,S636,V636))</f>
        <v/>
      </c>
      <c r="X636" s="18">
        <f>IF(W636="","",IF(Murid!F636="TL","TL",ROUND(W636/110*100,2)))</f>
        <v/>
      </c>
    </row>
    <row r="637">
      <c r="A637" s="15">
        <f>Murid!A637</f>
        <v/>
      </c>
      <c r="B637" s="15">
        <f>IF(Murid!B637="","",Murid!B637)</f>
        <v/>
      </c>
      <c r="C637" s="16">
        <f>IF(Murid!C637="","",Murid!C637)</f>
        <v/>
      </c>
      <c r="D637" s="15">
        <f>IF(Murid!E637="","",Murid!E637)</f>
        <v/>
      </c>
      <c r="E637" s="11" t="n"/>
      <c r="F637" s="11" t="n"/>
      <c r="G637" s="10">
        <f>IF(F637="","",IFERROR(VLOOKUP(F637,T_JSP,2,FALSE),0))</f>
        <v/>
      </c>
      <c r="H637" s="11" t="n"/>
      <c r="I637" s="17">
        <f>IF(H637="","",IF(H637&gt;=12,40,ROUND(H637*3.33,2)))</f>
        <v/>
      </c>
      <c r="J637" s="11" t="n"/>
      <c r="K637" s="11" t="n"/>
      <c r="L637" s="11" t="n"/>
      <c r="M637" s="11" t="n"/>
      <c r="N637" s="10">
        <f>IF(COUNTA(J637:M637)=0,"",MIN(10,SUMPRODUCT((COUNTIF(J637:M637,L_KOM)&gt;0)*S_KOM)))</f>
        <v/>
      </c>
      <c r="O637" s="11" t="n"/>
      <c r="P637" s="10">
        <f>IF(O637="","",IFERROR(VLOOKUP(O637,T_KHID,2,FALSE),0))</f>
        <v/>
      </c>
      <c r="Q637" s="11" t="n"/>
      <c r="R637" s="11" t="n"/>
      <c r="S637" s="10">
        <f>IF(AND(Q637="",R637=""),"",IFERROR(INDEX(T_LIBAT,MATCH(Q637,L_PER,0),MATCH(R637,L_JENIS,0)),0))</f>
        <v/>
      </c>
      <c r="T637" s="11" t="n"/>
      <c r="U637" s="11" t="n"/>
      <c r="V637" s="10">
        <f>IF(AND(T637="",U637=""),"",IFERROR(INDEX(T_CAPAI,MATCH(T637,L_PER,0),MATCH(U637,L_KED,0)),0))</f>
        <v/>
      </c>
      <c r="W637" s="17">
        <f>IF(OR(B637="",E637="",COUNTA(F637,H637,J637:M637,O637,Q637:R637,T637:U637)=0),"",SUM(G637,I637,N637,P637,S637,V637))</f>
        <v/>
      </c>
      <c r="X637" s="18">
        <f>IF(W637="","",IF(Murid!F637="TL","TL",ROUND(W637/110*100,2)))</f>
        <v/>
      </c>
    </row>
    <row r="638">
      <c r="A638" s="15">
        <f>Murid!A638</f>
        <v/>
      </c>
      <c r="B638" s="15">
        <f>IF(Murid!B638="","",Murid!B638)</f>
        <v/>
      </c>
      <c r="C638" s="16">
        <f>IF(Murid!C638="","",Murid!C638)</f>
        <v/>
      </c>
      <c r="D638" s="15">
        <f>IF(Murid!E638="","",Murid!E638)</f>
        <v/>
      </c>
      <c r="E638" s="11" t="n"/>
      <c r="F638" s="11" t="n"/>
      <c r="G638" s="10">
        <f>IF(F638="","",IFERROR(VLOOKUP(F638,T_JSP,2,FALSE),0))</f>
        <v/>
      </c>
      <c r="H638" s="11" t="n"/>
      <c r="I638" s="17">
        <f>IF(H638="","",IF(H638&gt;=12,40,ROUND(H638*3.33,2)))</f>
        <v/>
      </c>
      <c r="J638" s="11" t="n"/>
      <c r="K638" s="11" t="n"/>
      <c r="L638" s="11" t="n"/>
      <c r="M638" s="11" t="n"/>
      <c r="N638" s="10">
        <f>IF(COUNTA(J638:M638)=0,"",MIN(10,SUMPRODUCT((COUNTIF(J638:M638,L_KOM)&gt;0)*S_KOM)))</f>
        <v/>
      </c>
      <c r="O638" s="11" t="n"/>
      <c r="P638" s="10">
        <f>IF(O638="","",IFERROR(VLOOKUP(O638,T_KHID,2,FALSE),0))</f>
        <v/>
      </c>
      <c r="Q638" s="11" t="n"/>
      <c r="R638" s="11" t="n"/>
      <c r="S638" s="10">
        <f>IF(AND(Q638="",R638=""),"",IFERROR(INDEX(T_LIBAT,MATCH(Q638,L_PER,0),MATCH(R638,L_JENIS,0)),0))</f>
        <v/>
      </c>
      <c r="T638" s="11" t="n"/>
      <c r="U638" s="11" t="n"/>
      <c r="V638" s="10">
        <f>IF(AND(T638="",U638=""),"",IFERROR(INDEX(T_CAPAI,MATCH(T638,L_PER,0),MATCH(U638,L_KED,0)),0))</f>
        <v/>
      </c>
      <c r="W638" s="17">
        <f>IF(OR(B638="",E638="",COUNTA(F638,H638,J638:M638,O638,Q638:R638,T638:U638)=0),"",SUM(G638,I638,N638,P638,S638,V638))</f>
        <v/>
      </c>
      <c r="X638" s="18">
        <f>IF(W638="","",IF(Murid!F638="TL","TL",ROUND(W638/110*100,2)))</f>
        <v/>
      </c>
    </row>
    <row r="639">
      <c r="A639" s="15">
        <f>Murid!A639</f>
        <v/>
      </c>
      <c r="B639" s="15">
        <f>IF(Murid!B639="","",Murid!B639)</f>
        <v/>
      </c>
      <c r="C639" s="16">
        <f>IF(Murid!C639="","",Murid!C639)</f>
        <v/>
      </c>
      <c r="D639" s="15">
        <f>IF(Murid!E639="","",Murid!E639)</f>
        <v/>
      </c>
      <c r="E639" s="11" t="n"/>
      <c r="F639" s="11" t="n"/>
      <c r="G639" s="10">
        <f>IF(F639="","",IFERROR(VLOOKUP(F639,T_JSP,2,FALSE),0))</f>
        <v/>
      </c>
      <c r="H639" s="11" t="n"/>
      <c r="I639" s="17">
        <f>IF(H639="","",IF(H639&gt;=12,40,ROUND(H639*3.33,2)))</f>
        <v/>
      </c>
      <c r="J639" s="11" t="n"/>
      <c r="K639" s="11" t="n"/>
      <c r="L639" s="11" t="n"/>
      <c r="M639" s="11" t="n"/>
      <c r="N639" s="10">
        <f>IF(COUNTA(J639:M639)=0,"",MIN(10,SUMPRODUCT((COUNTIF(J639:M639,L_KOM)&gt;0)*S_KOM)))</f>
        <v/>
      </c>
      <c r="O639" s="11" t="n"/>
      <c r="P639" s="10">
        <f>IF(O639="","",IFERROR(VLOOKUP(O639,T_KHID,2,FALSE),0))</f>
        <v/>
      </c>
      <c r="Q639" s="11" t="n"/>
      <c r="R639" s="11" t="n"/>
      <c r="S639" s="10">
        <f>IF(AND(Q639="",R639=""),"",IFERROR(INDEX(T_LIBAT,MATCH(Q639,L_PER,0),MATCH(R639,L_JENIS,0)),0))</f>
        <v/>
      </c>
      <c r="T639" s="11" t="n"/>
      <c r="U639" s="11" t="n"/>
      <c r="V639" s="10">
        <f>IF(AND(T639="",U639=""),"",IFERROR(INDEX(T_CAPAI,MATCH(T639,L_PER,0),MATCH(U639,L_KED,0)),0))</f>
        <v/>
      </c>
      <c r="W639" s="17">
        <f>IF(OR(B639="",E639="",COUNTA(F639,H639,J639:M639,O639,Q639:R639,T639:U639)=0),"",SUM(G639,I639,N639,P639,S639,V639))</f>
        <v/>
      </c>
      <c r="X639" s="18">
        <f>IF(W639="","",IF(Murid!F639="TL","TL",ROUND(W639/110*100,2)))</f>
        <v/>
      </c>
    </row>
    <row r="640">
      <c r="A640" s="15">
        <f>Murid!A640</f>
        <v/>
      </c>
      <c r="B640" s="15">
        <f>IF(Murid!B640="","",Murid!B640)</f>
        <v/>
      </c>
      <c r="C640" s="16">
        <f>IF(Murid!C640="","",Murid!C640)</f>
        <v/>
      </c>
      <c r="D640" s="15">
        <f>IF(Murid!E640="","",Murid!E640)</f>
        <v/>
      </c>
      <c r="E640" s="11" t="n"/>
      <c r="F640" s="11" t="n"/>
      <c r="G640" s="10">
        <f>IF(F640="","",IFERROR(VLOOKUP(F640,T_JSP,2,FALSE),0))</f>
        <v/>
      </c>
      <c r="H640" s="11" t="n"/>
      <c r="I640" s="17">
        <f>IF(H640="","",IF(H640&gt;=12,40,ROUND(H640*3.33,2)))</f>
        <v/>
      </c>
      <c r="J640" s="11" t="n"/>
      <c r="K640" s="11" t="n"/>
      <c r="L640" s="11" t="n"/>
      <c r="M640" s="11" t="n"/>
      <c r="N640" s="10">
        <f>IF(COUNTA(J640:M640)=0,"",MIN(10,SUMPRODUCT((COUNTIF(J640:M640,L_KOM)&gt;0)*S_KOM)))</f>
        <v/>
      </c>
      <c r="O640" s="11" t="n"/>
      <c r="P640" s="10">
        <f>IF(O640="","",IFERROR(VLOOKUP(O640,T_KHID,2,FALSE),0))</f>
        <v/>
      </c>
      <c r="Q640" s="11" t="n"/>
      <c r="R640" s="11" t="n"/>
      <c r="S640" s="10">
        <f>IF(AND(Q640="",R640=""),"",IFERROR(INDEX(T_LIBAT,MATCH(Q640,L_PER,0),MATCH(R640,L_JENIS,0)),0))</f>
        <v/>
      </c>
      <c r="T640" s="11" t="n"/>
      <c r="U640" s="11" t="n"/>
      <c r="V640" s="10">
        <f>IF(AND(T640="",U640=""),"",IFERROR(INDEX(T_CAPAI,MATCH(T640,L_PER,0),MATCH(U640,L_KED,0)),0))</f>
        <v/>
      </c>
      <c r="W640" s="17">
        <f>IF(OR(B640="",E640="",COUNTA(F640,H640,J640:M640,O640,Q640:R640,T640:U640)=0),"",SUM(G640,I640,N640,P640,S640,V640))</f>
        <v/>
      </c>
      <c r="X640" s="18">
        <f>IF(W640="","",IF(Murid!F640="TL","TL",ROUND(W640/110*100,2)))</f>
        <v/>
      </c>
    </row>
    <row r="641">
      <c r="A641" s="15">
        <f>Murid!A641</f>
        <v/>
      </c>
      <c r="B641" s="15">
        <f>IF(Murid!B641="","",Murid!B641)</f>
        <v/>
      </c>
      <c r="C641" s="16">
        <f>IF(Murid!C641="","",Murid!C641)</f>
        <v/>
      </c>
      <c r="D641" s="15">
        <f>IF(Murid!E641="","",Murid!E641)</f>
        <v/>
      </c>
      <c r="E641" s="11" t="n"/>
      <c r="F641" s="11" t="n"/>
      <c r="G641" s="10">
        <f>IF(F641="","",IFERROR(VLOOKUP(F641,T_JSP,2,FALSE),0))</f>
        <v/>
      </c>
      <c r="H641" s="11" t="n"/>
      <c r="I641" s="17">
        <f>IF(H641="","",IF(H641&gt;=12,40,ROUND(H641*3.33,2)))</f>
        <v/>
      </c>
      <c r="J641" s="11" t="n"/>
      <c r="K641" s="11" t="n"/>
      <c r="L641" s="11" t="n"/>
      <c r="M641" s="11" t="n"/>
      <c r="N641" s="10">
        <f>IF(COUNTA(J641:M641)=0,"",MIN(10,SUMPRODUCT((COUNTIF(J641:M641,L_KOM)&gt;0)*S_KOM)))</f>
        <v/>
      </c>
      <c r="O641" s="11" t="n"/>
      <c r="P641" s="10">
        <f>IF(O641="","",IFERROR(VLOOKUP(O641,T_KHID,2,FALSE),0))</f>
        <v/>
      </c>
      <c r="Q641" s="11" t="n"/>
      <c r="R641" s="11" t="n"/>
      <c r="S641" s="10">
        <f>IF(AND(Q641="",R641=""),"",IFERROR(INDEX(T_LIBAT,MATCH(Q641,L_PER,0),MATCH(R641,L_JENIS,0)),0))</f>
        <v/>
      </c>
      <c r="T641" s="11" t="n"/>
      <c r="U641" s="11" t="n"/>
      <c r="V641" s="10">
        <f>IF(AND(T641="",U641=""),"",IFERROR(INDEX(T_CAPAI,MATCH(T641,L_PER,0),MATCH(U641,L_KED,0)),0))</f>
        <v/>
      </c>
      <c r="W641" s="17">
        <f>IF(OR(B641="",E641="",COUNTA(F641,H641,J641:M641,O641,Q641:R641,T641:U641)=0),"",SUM(G641,I641,N641,P641,S641,V641))</f>
        <v/>
      </c>
      <c r="X641" s="18">
        <f>IF(W641="","",IF(Murid!F641="TL","TL",ROUND(W641/110*100,2)))</f>
        <v/>
      </c>
    </row>
    <row r="642">
      <c r="A642" s="15">
        <f>Murid!A642</f>
        <v/>
      </c>
      <c r="B642" s="15">
        <f>IF(Murid!B642="","",Murid!B642)</f>
        <v/>
      </c>
      <c r="C642" s="16">
        <f>IF(Murid!C642="","",Murid!C642)</f>
        <v/>
      </c>
      <c r="D642" s="15">
        <f>IF(Murid!E642="","",Murid!E642)</f>
        <v/>
      </c>
      <c r="E642" s="11" t="n"/>
      <c r="F642" s="11" t="n"/>
      <c r="G642" s="10">
        <f>IF(F642="","",IFERROR(VLOOKUP(F642,T_JSP,2,FALSE),0))</f>
        <v/>
      </c>
      <c r="H642" s="11" t="n"/>
      <c r="I642" s="17">
        <f>IF(H642="","",IF(H642&gt;=12,40,ROUND(H642*3.33,2)))</f>
        <v/>
      </c>
      <c r="J642" s="11" t="n"/>
      <c r="K642" s="11" t="n"/>
      <c r="L642" s="11" t="n"/>
      <c r="M642" s="11" t="n"/>
      <c r="N642" s="10">
        <f>IF(COUNTA(J642:M642)=0,"",MIN(10,SUMPRODUCT((COUNTIF(J642:M642,L_KOM)&gt;0)*S_KOM)))</f>
        <v/>
      </c>
      <c r="O642" s="11" t="n"/>
      <c r="P642" s="10">
        <f>IF(O642="","",IFERROR(VLOOKUP(O642,T_KHID,2,FALSE),0))</f>
        <v/>
      </c>
      <c r="Q642" s="11" t="n"/>
      <c r="R642" s="11" t="n"/>
      <c r="S642" s="10">
        <f>IF(AND(Q642="",R642=""),"",IFERROR(INDEX(T_LIBAT,MATCH(Q642,L_PER,0),MATCH(R642,L_JENIS,0)),0))</f>
        <v/>
      </c>
      <c r="T642" s="11" t="n"/>
      <c r="U642" s="11" t="n"/>
      <c r="V642" s="10">
        <f>IF(AND(T642="",U642=""),"",IFERROR(INDEX(T_CAPAI,MATCH(T642,L_PER,0),MATCH(U642,L_KED,0)),0))</f>
        <v/>
      </c>
      <c r="W642" s="17">
        <f>IF(OR(B642="",E642="",COUNTA(F642,H642,J642:M642,O642,Q642:R642,T642:U642)=0),"",SUM(G642,I642,N642,P642,S642,V642))</f>
        <v/>
      </c>
      <c r="X642" s="18">
        <f>IF(W642="","",IF(Murid!F642="TL","TL",ROUND(W642/110*100,2)))</f>
        <v/>
      </c>
    </row>
    <row r="643">
      <c r="A643" s="15">
        <f>Murid!A643</f>
        <v/>
      </c>
      <c r="B643" s="15">
        <f>IF(Murid!B643="","",Murid!B643)</f>
        <v/>
      </c>
      <c r="C643" s="16">
        <f>IF(Murid!C643="","",Murid!C643)</f>
        <v/>
      </c>
      <c r="D643" s="15">
        <f>IF(Murid!E643="","",Murid!E643)</f>
        <v/>
      </c>
      <c r="E643" s="11" t="n"/>
      <c r="F643" s="11" t="n"/>
      <c r="G643" s="10">
        <f>IF(F643="","",IFERROR(VLOOKUP(F643,T_JSP,2,FALSE),0))</f>
        <v/>
      </c>
      <c r="H643" s="11" t="n"/>
      <c r="I643" s="17">
        <f>IF(H643="","",IF(H643&gt;=12,40,ROUND(H643*3.33,2)))</f>
        <v/>
      </c>
      <c r="J643" s="11" t="n"/>
      <c r="K643" s="11" t="n"/>
      <c r="L643" s="11" t="n"/>
      <c r="M643" s="11" t="n"/>
      <c r="N643" s="10">
        <f>IF(COUNTA(J643:M643)=0,"",MIN(10,SUMPRODUCT((COUNTIF(J643:M643,L_KOM)&gt;0)*S_KOM)))</f>
        <v/>
      </c>
      <c r="O643" s="11" t="n"/>
      <c r="P643" s="10">
        <f>IF(O643="","",IFERROR(VLOOKUP(O643,T_KHID,2,FALSE),0))</f>
        <v/>
      </c>
      <c r="Q643" s="11" t="n"/>
      <c r="R643" s="11" t="n"/>
      <c r="S643" s="10">
        <f>IF(AND(Q643="",R643=""),"",IFERROR(INDEX(T_LIBAT,MATCH(Q643,L_PER,0),MATCH(R643,L_JENIS,0)),0))</f>
        <v/>
      </c>
      <c r="T643" s="11" t="n"/>
      <c r="U643" s="11" t="n"/>
      <c r="V643" s="10">
        <f>IF(AND(T643="",U643=""),"",IFERROR(INDEX(T_CAPAI,MATCH(T643,L_PER,0),MATCH(U643,L_KED,0)),0))</f>
        <v/>
      </c>
      <c r="W643" s="17">
        <f>IF(OR(B643="",E643="",COUNTA(F643,H643,J643:M643,O643,Q643:R643,T643:U643)=0),"",SUM(G643,I643,N643,P643,S643,V643))</f>
        <v/>
      </c>
      <c r="X643" s="18">
        <f>IF(W643="","",IF(Murid!F643="TL","TL",ROUND(W643/110*100,2)))</f>
        <v/>
      </c>
    </row>
    <row r="644">
      <c r="A644" s="15">
        <f>Murid!A644</f>
        <v/>
      </c>
      <c r="B644" s="15">
        <f>IF(Murid!B644="","",Murid!B644)</f>
        <v/>
      </c>
      <c r="C644" s="16">
        <f>IF(Murid!C644="","",Murid!C644)</f>
        <v/>
      </c>
      <c r="D644" s="15">
        <f>IF(Murid!E644="","",Murid!E644)</f>
        <v/>
      </c>
      <c r="E644" s="11" t="n"/>
      <c r="F644" s="11" t="n"/>
      <c r="G644" s="10">
        <f>IF(F644="","",IFERROR(VLOOKUP(F644,T_JSP,2,FALSE),0))</f>
        <v/>
      </c>
      <c r="H644" s="11" t="n"/>
      <c r="I644" s="17">
        <f>IF(H644="","",IF(H644&gt;=12,40,ROUND(H644*3.33,2)))</f>
        <v/>
      </c>
      <c r="J644" s="11" t="n"/>
      <c r="K644" s="11" t="n"/>
      <c r="L644" s="11" t="n"/>
      <c r="M644" s="11" t="n"/>
      <c r="N644" s="10">
        <f>IF(COUNTA(J644:M644)=0,"",MIN(10,SUMPRODUCT((COUNTIF(J644:M644,L_KOM)&gt;0)*S_KOM)))</f>
        <v/>
      </c>
      <c r="O644" s="11" t="n"/>
      <c r="P644" s="10">
        <f>IF(O644="","",IFERROR(VLOOKUP(O644,T_KHID,2,FALSE),0))</f>
        <v/>
      </c>
      <c r="Q644" s="11" t="n"/>
      <c r="R644" s="11" t="n"/>
      <c r="S644" s="10">
        <f>IF(AND(Q644="",R644=""),"",IFERROR(INDEX(T_LIBAT,MATCH(Q644,L_PER,0),MATCH(R644,L_JENIS,0)),0))</f>
        <v/>
      </c>
      <c r="T644" s="11" t="n"/>
      <c r="U644" s="11" t="n"/>
      <c r="V644" s="10">
        <f>IF(AND(T644="",U644=""),"",IFERROR(INDEX(T_CAPAI,MATCH(T644,L_PER,0),MATCH(U644,L_KED,0)),0))</f>
        <v/>
      </c>
      <c r="W644" s="17">
        <f>IF(OR(B644="",E644="",COUNTA(F644,H644,J644:M644,O644,Q644:R644,T644:U644)=0),"",SUM(G644,I644,N644,P644,S644,V644))</f>
        <v/>
      </c>
      <c r="X644" s="18">
        <f>IF(W644="","",IF(Murid!F644="TL","TL",ROUND(W644/110*100,2)))</f>
        <v/>
      </c>
    </row>
    <row r="645">
      <c r="A645" s="15">
        <f>Murid!A645</f>
        <v/>
      </c>
      <c r="B645" s="15">
        <f>IF(Murid!B645="","",Murid!B645)</f>
        <v/>
      </c>
      <c r="C645" s="16">
        <f>IF(Murid!C645="","",Murid!C645)</f>
        <v/>
      </c>
      <c r="D645" s="15">
        <f>IF(Murid!E645="","",Murid!E645)</f>
        <v/>
      </c>
      <c r="E645" s="11" t="n"/>
      <c r="F645" s="11" t="n"/>
      <c r="G645" s="10">
        <f>IF(F645="","",IFERROR(VLOOKUP(F645,T_JSP,2,FALSE),0))</f>
        <v/>
      </c>
      <c r="H645" s="11" t="n"/>
      <c r="I645" s="17">
        <f>IF(H645="","",IF(H645&gt;=12,40,ROUND(H645*3.33,2)))</f>
        <v/>
      </c>
      <c r="J645" s="11" t="n"/>
      <c r="K645" s="11" t="n"/>
      <c r="L645" s="11" t="n"/>
      <c r="M645" s="11" t="n"/>
      <c r="N645" s="10">
        <f>IF(COUNTA(J645:M645)=0,"",MIN(10,SUMPRODUCT((COUNTIF(J645:M645,L_KOM)&gt;0)*S_KOM)))</f>
        <v/>
      </c>
      <c r="O645" s="11" t="n"/>
      <c r="P645" s="10">
        <f>IF(O645="","",IFERROR(VLOOKUP(O645,T_KHID,2,FALSE),0))</f>
        <v/>
      </c>
      <c r="Q645" s="11" t="n"/>
      <c r="R645" s="11" t="n"/>
      <c r="S645" s="10">
        <f>IF(AND(Q645="",R645=""),"",IFERROR(INDEX(T_LIBAT,MATCH(Q645,L_PER,0),MATCH(R645,L_JENIS,0)),0))</f>
        <v/>
      </c>
      <c r="T645" s="11" t="n"/>
      <c r="U645" s="11" t="n"/>
      <c r="V645" s="10">
        <f>IF(AND(T645="",U645=""),"",IFERROR(INDEX(T_CAPAI,MATCH(T645,L_PER,0),MATCH(U645,L_KED,0)),0))</f>
        <v/>
      </c>
      <c r="W645" s="17">
        <f>IF(OR(B645="",E645="",COUNTA(F645,H645,J645:M645,O645,Q645:R645,T645:U645)=0),"",SUM(G645,I645,N645,P645,S645,V645))</f>
        <v/>
      </c>
      <c r="X645" s="18">
        <f>IF(W645="","",IF(Murid!F645="TL","TL",ROUND(W645/110*100,2)))</f>
        <v/>
      </c>
    </row>
    <row r="646">
      <c r="A646" s="15">
        <f>Murid!A646</f>
        <v/>
      </c>
      <c r="B646" s="15">
        <f>IF(Murid!B646="","",Murid!B646)</f>
        <v/>
      </c>
      <c r="C646" s="16">
        <f>IF(Murid!C646="","",Murid!C646)</f>
        <v/>
      </c>
      <c r="D646" s="15">
        <f>IF(Murid!E646="","",Murid!E646)</f>
        <v/>
      </c>
      <c r="E646" s="11" t="n"/>
      <c r="F646" s="11" t="n"/>
      <c r="G646" s="10">
        <f>IF(F646="","",IFERROR(VLOOKUP(F646,T_JSP,2,FALSE),0))</f>
        <v/>
      </c>
      <c r="H646" s="11" t="n"/>
      <c r="I646" s="17">
        <f>IF(H646="","",IF(H646&gt;=12,40,ROUND(H646*3.33,2)))</f>
        <v/>
      </c>
      <c r="J646" s="11" t="n"/>
      <c r="K646" s="11" t="n"/>
      <c r="L646" s="11" t="n"/>
      <c r="M646" s="11" t="n"/>
      <c r="N646" s="10">
        <f>IF(COUNTA(J646:M646)=0,"",MIN(10,SUMPRODUCT((COUNTIF(J646:M646,L_KOM)&gt;0)*S_KOM)))</f>
        <v/>
      </c>
      <c r="O646" s="11" t="n"/>
      <c r="P646" s="10">
        <f>IF(O646="","",IFERROR(VLOOKUP(O646,T_KHID,2,FALSE),0))</f>
        <v/>
      </c>
      <c r="Q646" s="11" t="n"/>
      <c r="R646" s="11" t="n"/>
      <c r="S646" s="10">
        <f>IF(AND(Q646="",R646=""),"",IFERROR(INDEX(T_LIBAT,MATCH(Q646,L_PER,0),MATCH(R646,L_JENIS,0)),0))</f>
        <v/>
      </c>
      <c r="T646" s="11" t="n"/>
      <c r="U646" s="11" t="n"/>
      <c r="V646" s="10">
        <f>IF(AND(T646="",U646=""),"",IFERROR(INDEX(T_CAPAI,MATCH(T646,L_PER,0),MATCH(U646,L_KED,0)),0))</f>
        <v/>
      </c>
      <c r="W646" s="17">
        <f>IF(OR(B646="",E646="",COUNTA(F646,H646,J646:M646,O646,Q646:R646,T646:U646)=0),"",SUM(G646,I646,N646,P646,S646,V646))</f>
        <v/>
      </c>
      <c r="X646" s="18">
        <f>IF(W646="","",IF(Murid!F646="TL","TL",ROUND(W646/110*100,2)))</f>
        <v/>
      </c>
    </row>
    <row r="647">
      <c r="A647" s="15">
        <f>Murid!A647</f>
        <v/>
      </c>
      <c r="B647" s="15">
        <f>IF(Murid!B647="","",Murid!B647)</f>
        <v/>
      </c>
      <c r="C647" s="16">
        <f>IF(Murid!C647="","",Murid!C647)</f>
        <v/>
      </c>
      <c r="D647" s="15">
        <f>IF(Murid!E647="","",Murid!E647)</f>
        <v/>
      </c>
      <c r="E647" s="11" t="n"/>
      <c r="F647" s="11" t="n"/>
      <c r="G647" s="10">
        <f>IF(F647="","",IFERROR(VLOOKUP(F647,T_JSP,2,FALSE),0))</f>
        <v/>
      </c>
      <c r="H647" s="11" t="n"/>
      <c r="I647" s="17">
        <f>IF(H647="","",IF(H647&gt;=12,40,ROUND(H647*3.33,2)))</f>
        <v/>
      </c>
      <c r="J647" s="11" t="n"/>
      <c r="K647" s="11" t="n"/>
      <c r="L647" s="11" t="n"/>
      <c r="M647" s="11" t="n"/>
      <c r="N647" s="10">
        <f>IF(COUNTA(J647:M647)=0,"",MIN(10,SUMPRODUCT((COUNTIF(J647:M647,L_KOM)&gt;0)*S_KOM)))</f>
        <v/>
      </c>
      <c r="O647" s="11" t="n"/>
      <c r="P647" s="10">
        <f>IF(O647="","",IFERROR(VLOOKUP(O647,T_KHID,2,FALSE),0))</f>
        <v/>
      </c>
      <c r="Q647" s="11" t="n"/>
      <c r="R647" s="11" t="n"/>
      <c r="S647" s="10">
        <f>IF(AND(Q647="",R647=""),"",IFERROR(INDEX(T_LIBAT,MATCH(Q647,L_PER,0),MATCH(R647,L_JENIS,0)),0))</f>
        <v/>
      </c>
      <c r="T647" s="11" t="n"/>
      <c r="U647" s="11" t="n"/>
      <c r="V647" s="10">
        <f>IF(AND(T647="",U647=""),"",IFERROR(INDEX(T_CAPAI,MATCH(T647,L_PER,0),MATCH(U647,L_KED,0)),0))</f>
        <v/>
      </c>
      <c r="W647" s="17">
        <f>IF(OR(B647="",E647="",COUNTA(F647,H647,J647:M647,O647,Q647:R647,T647:U647)=0),"",SUM(G647,I647,N647,P647,S647,V647))</f>
        <v/>
      </c>
      <c r="X647" s="18">
        <f>IF(W647="","",IF(Murid!F647="TL","TL",ROUND(W647/110*100,2)))</f>
        <v/>
      </c>
    </row>
    <row r="648">
      <c r="A648" s="15">
        <f>Murid!A648</f>
        <v/>
      </c>
      <c r="B648" s="15">
        <f>IF(Murid!B648="","",Murid!B648)</f>
        <v/>
      </c>
      <c r="C648" s="16">
        <f>IF(Murid!C648="","",Murid!C648)</f>
        <v/>
      </c>
      <c r="D648" s="15">
        <f>IF(Murid!E648="","",Murid!E648)</f>
        <v/>
      </c>
      <c r="E648" s="11" t="n"/>
      <c r="F648" s="11" t="n"/>
      <c r="G648" s="10">
        <f>IF(F648="","",IFERROR(VLOOKUP(F648,T_JSP,2,FALSE),0))</f>
        <v/>
      </c>
      <c r="H648" s="11" t="n"/>
      <c r="I648" s="17">
        <f>IF(H648="","",IF(H648&gt;=12,40,ROUND(H648*3.33,2)))</f>
        <v/>
      </c>
      <c r="J648" s="11" t="n"/>
      <c r="K648" s="11" t="n"/>
      <c r="L648" s="11" t="n"/>
      <c r="M648" s="11" t="n"/>
      <c r="N648" s="10">
        <f>IF(COUNTA(J648:M648)=0,"",MIN(10,SUMPRODUCT((COUNTIF(J648:M648,L_KOM)&gt;0)*S_KOM)))</f>
        <v/>
      </c>
      <c r="O648" s="11" t="n"/>
      <c r="P648" s="10">
        <f>IF(O648="","",IFERROR(VLOOKUP(O648,T_KHID,2,FALSE),0))</f>
        <v/>
      </c>
      <c r="Q648" s="11" t="n"/>
      <c r="R648" s="11" t="n"/>
      <c r="S648" s="10">
        <f>IF(AND(Q648="",R648=""),"",IFERROR(INDEX(T_LIBAT,MATCH(Q648,L_PER,0),MATCH(R648,L_JENIS,0)),0))</f>
        <v/>
      </c>
      <c r="T648" s="11" t="n"/>
      <c r="U648" s="11" t="n"/>
      <c r="V648" s="10">
        <f>IF(AND(T648="",U648=""),"",IFERROR(INDEX(T_CAPAI,MATCH(T648,L_PER,0),MATCH(U648,L_KED,0)),0))</f>
        <v/>
      </c>
      <c r="W648" s="17">
        <f>IF(OR(B648="",E648="",COUNTA(F648,H648,J648:M648,O648,Q648:R648,T648:U648)=0),"",SUM(G648,I648,N648,P648,S648,V648))</f>
        <v/>
      </c>
      <c r="X648" s="18">
        <f>IF(W648="","",IF(Murid!F648="TL","TL",ROUND(W648/110*100,2)))</f>
        <v/>
      </c>
    </row>
    <row r="649">
      <c r="A649" s="15">
        <f>Murid!A649</f>
        <v/>
      </c>
      <c r="B649" s="15">
        <f>IF(Murid!B649="","",Murid!B649)</f>
        <v/>
      </c>
      <c r="C649" s="16">
        <f>IF(Murid!C649="","",Murid!C649)</f>
        <v/>
      </c>
      <c r="D649" s="15">
        <f>IF(Murid!E649="","",Murid!E649)</f>
        <v/>
      </c>
      <c r="E649" s="11" t="n"/>
      <c r="F649" s="11" t="n"/>
      <c r="G649" s="10">
        <f>IF(F649="","",IFERROR(VLOOKUP(F649,T_JSP,2,FALSE),0))</f>
        <v/>
      </c>
      <c r="H649" s="11" t="n"/>
      <c r="I649" s="17">
        <f>IF(H649="","",IF(H649&gt;=12,40,ROUND(H649*3.33,2)))</f>
        <v/>
      </c>
      <c r="J649" s="11" t="n"/>
      <c r="K649" s="11" t="n"/>
      <c r="L649" s="11" t="n"/>
      <c r="M649" s="11" t="n"/>
      <c r="N649" s="10">
        <f>IF(COUNTA(J649:M649)=0,"",MIN(10,SUMPRODUCT((COUNTIF(J649:M649,L_KOM)&gt;0)*S_KOM)))</f>
        <v/>
      </c>
      <c r="O649" s="11" t="n"/>
      <c r="P649" s="10">
        <f>IF(O649="","",IFERROR(VLOOKUP(O649,T_KHID,2,FALSE),0))</f>
        <v/>
      </c>
      <c r="Q649" s="11" t="n"/>
      <c r="R649" s="11" t="n"/>
      <c r="S649" s="10">
        <f>IF(AND(Q649="",R649=""),"",IFERROR(INDEX(T_LIBAT,MATCH(Q649,L_PER,0),MATCH(R649,L_JENIS,0)),0))</f>
        <v/>
      </c>
      <c r="T649" s="11" t="n"/>
      <c r="U649" s="11" t="n"/>
      <c r="V649" s="10">
        <f>IF(AND(T649="",U649=""),"",IFERROR(INDEX(T_CAPAI,MATCH(T649,L_PER,0),MATCH(U649,L_KED,0)),0))</f>
        <v/>
      </c>
      <c r="W649" s="17">
        <f>IF(OR(B649="",E649="",COUNTA(F649,H649,J649:M649,O649,Q649:R649,T649:U649)=0),"",SUM(G649,I649,N649,P649,S649,V649))</f>
        <v/>
      </c>
      <c r="X649" s="18">
        <f>IF(W649="","",IF(Murid!F649="TL","TL",ROUND(W649/110*100,2)))</f>
        <v/>
      </c>
    </row>
    <row r="650">
      <c r="A650" s="15">
        <f>Murid!A650</f>
        <v/>
      </c>
      <c r="B650" s="15">
        <f>IF(Murid!B650="","",Murid!B650)</f>
        <v/>
      </c>
      <c r="C650" s="16">
        <f>IF(Murid!C650="","",Murid!C650)</f>
        <v/>
      </c>
      <c r="D650" s="15">
        <f>IF(Murid!E650="","",Murid!E650)</f>
        <v/>
      </c>
      <c r="E650" s="11" t="n"/>
      <c r="F650" s="11" t="n"/>
      <c r="G650" s="10">
        <f>IF(F650="","",IFERROR(VLOOKUP(F650,T_JSP,2,FALSE),0))</f>
        <v/>
      </c>
      <c r="H650" s="11" t="n"/>
      <c r="I650" s="17">
        <f>IF(H650="","",IF(H650&gt;=12,40,ROUND(H650*3.33,2)))</f>
        <v/>
      </c>
      <c r="J650" s="11" t="n"/>
      <c r="K650" s="11" t="n"/>
      <c r="L650" s="11" t="n"/>
      <c r="M650" s="11" t="n"/>
      <c r="N650" s="10">
        <f>IF(COUNTA(J650:M650)=0,"",MIN(10,SUMPRODUCT((COUNTIF(J650:M650,L_KOM)&gt;0)*S_KOM)))</f>
        <v/>
      </c>
      <c r="O650" s="11" t="n"/>
      <c r="P650" s="10">
        <f>IF(O650="","",IFERROR(VLOOKUP(O650,T_KHID,2,FALSE),0))</f>
        <v/>
      </c>
      <c r="Q650" s="11" t="n"/>
      <c r="R650" s="11" t="n"/>
      <c r="S650" s="10">
        <f>IF(AND(Q650="",R650=""),"",IFERROR(INDEX(T_LIBAT,MATCH(Q650,L_PER,0),MATCH(R650,L_JENIS,0)),0))</f>
        <v/>
      </c>
      <c r="T650" s="11" t="n"/>
      <c r="U650" s="11" t="n"/>
      <c r="V650" s="10">
        <f>IF(AND(T650="",U650=""),"",IFERROR(INDEX(T_CAPAI,MATCH(T650,L_PER,0),MATCH(U650,L_KED,0)),0))</f>
        <v/>
      </c>
      <c r="W650" s="17">
        <f>IF(OR(B650="",E650="",COUNTA(F650,H650,J650:M650,O650,Q650:R650,T650:U650)=0),"",SUM(G650,I650,N650,P650,S650,V650))</f>
        <v/>
      </c>
      <c r="X650" s="18">
        <f>IF(W650="","",IF(Murid!F650="TL","TL",ROUND(W650/110*100,2)))</f>
        <v/>
      </c>
    </row>
    <row r="651">
      <c r="A651" s="15">
        <f>Murid!A651</f>
        <v/>
      </c>
      <c r="B651" s="15">
        <f>IF(Murid!B651="","",Murid!B651)</f>
        <v/>
      </c>
      <c r="C651" s="16">
        <f>IF(Murid!C651="","",Murid!C651)</f>
        <v/>
      </c>
      <c r="D651" s="15">
        <f>IF(Murid!E651="","",Murid!E651)</f>
        <v/>
      </c>
      <c r="E651" s="11" t="n"/>
      <c r="F651" s="11" t="n"/>
      <c r="G651" s="10">
        <f>IF(F651="","",IFERROR(VLOOKUP(F651,T_JSP,2,FALSE),0))</f>
        <v/>
      </c>
      <c r="H651" s="11" t="n"/>
      <c r="I651" s="17">
        <f>IF(H651="","",IF(H651&gt;=12,40,ROUND(H651*3.33,2)))</f>
        <v/>
      </c>
      <c r="J651" s="11" t="n"/>
      <c r="K651" s="11" t="n"/>
      <c r="L651" s="11" t="n"/>
      <c r="M651" s="11" t="n"/>
      <c r="N651" s="10">
        <f>IF(COUNTA(J651:M651)=0,"",MIN(10,SUMPRODUCT((COUNTIF(J651:M651,L_KOM)&gt;0)*S_KOM)))</f>
        <v/>
      </c>
      <c r="O651" s="11" t="n"/>
      <c r="P651" s="10">
        <f>IF(O651="","",IFERROR(VLOOKUP(O651,T_KHID,2,FALSE),0))</f>
        <v/>
      </c>
      <c r="Q651" s="11" t="n"/>
      <c r="R651" s="11" t="n"/>
      <c r="S651" s="10">
        <f>IF(AND(Q651="",R651=""),"",IFERROR(INDEX(T_LIBAT,MATCH(Q651,L_PER,0),MATCH(R651,L_JENIS,0)),0))</f>
        <v/>
      </c>
      <c r="T651" s="11" t="n"/>
      <c r="U651" s="11" t="n"/>
      <c r="V651" s="10">
        <f>IF(AND(T651="",U651=""),"",IFERROR(INDEX(T_CAPAI,MATCH(T651,L_PER,0),MATCH(U651,L_KED,0)),0))</f>
        <v/>
      </c>
      <c r="W651" s="17">
        <f>IF(OR(B651="",E651="",COUNTA(F651,H651,J651:M651,O651,Q651:R651,T651:U651)=0),"",SUM(G651,I651,N651,P651,S651,V651))</f>
        <v/>
      </c>
      <c r="X651" s="18">
        <f>IF(W651="","",IF(Murid!F651="TL","TL",ROUND(W651/110*100,2)))</f>
        <v/>
      </c>
    </row>
    <row r="652">
      <c r="A652" s="15">
        <f>Murid!A652</f>
        <v/>
      </c>
      <c r="B652" s="15">
        <f>IF(Murid!B652="","",Murid!B652)</f>
        <v/>
      </c>
      <c r="C652" s="16">
        <f>IF(Murid!C652="","",Murid!C652)</f>
        <v/>
      </c>
      <c r="D652" s="15">
        <f>IF(Murid!E652="","",Murid!E652)</f>
        <v/>
      </c>
      <c r="E652" s="11" t="n"/>
      <c r="F652" s="11" t="n"/>
      <c r="G652" s="10">
        <f>IF(F652="","",IFERROR(VLOOKUP(F652,T_JSP,2,FALSE),0))</f>
        <v/>
      </c>
      <c r="H652" s="11" t="n"/>
      <c r="I652" s="17">
        <f>IF(H652="","",IF(H652&gt;=12,40,ROUND(H652*3.33,2)))</f>
        <v/>
      </c>
      <c r="J652" s="11" t="n"/>
      <c r="K652" s="11" t="n"/>
      <c r="L652" s="11" t="n"/>
      <c r="M652" s="11" t="n"/>
      <c r="N652" s="10">
        <f>IF(COUNTA(J652:M652)=0,"",MIN(10,SUMPRODUCT((COUNTIF(J652:M652,L_KOM)&gt;0)*S_KOM)))</f>
        <v/>
      </c>
      <c r="O652" s="11" t="n"/>
      <c r="P652" s="10">
        <f>IF(O652="","",IFERROR(VLOOKUP(O652,T_KHID,2,FALSE),0))</f>
        <v/>
      </c>
      <c r="Q652" s="11" t="n"/>
      <c r="R652" s="11" t="n"/>
      <c r="S652" s="10">
        <f>IF(AND(Q652="",R652=""),"",IFERROR(INDEX(T_LIBAT,MATCH(Q652,L_PER,0),MATCH(R652,L_JENIS,0)),0))</f>
        <v/>
      </c>
      <c r="T652" s="11" t="n"/>
      <c r="U652" s="11" t="n"/>
      <c r="V652" s="10">
        <f>IF(AND(T652="",U652=""),"",IFERROR(INDEX(T_CAPAI,MATCH(T652,L_PER,0),MATCH(U652,L_KED,0)),0))</f>
        <v/>
      </c>
      <c r="W652" s="17">
        <f>IF(OR(B652="",E652="",COUNTA(F652,H652,J652:M652,O652,Q652:R652,T652:U652)=0),"",SUM(G652,I652,N652,P652,S652,V652))</f>
        <v/>
      </c>
      <c r="X652" s="18">
        <f>IF(W652="","",IF(Murid!F652="TL","TL",ROUND(W652/110*100,2)))</f>
        <v/>
      </c>
    </row>
    <row r="653">
      <c r="A653" s="15">
        <f>Murid!A653</f>
        <v/>
      </c>
      <c r="B653" s="15">
        <f>IF(Murid!B653="","",Murid!B653)</f>
        <v/>
      </c>
      <c r="C653" s="16">
        <f>IF(Murid!C653="","",Murid!C653)</f>
        <v/>
      </c>
      <c r="D653" s="15">
        <f>IF(Murid!E653="","",Murid!E653)</f>
        <v/>
      </c>
      <c r="E653" s="11" t="n"/>
      <c r="F653" s="11" t="n"/>
      <c r="G653" s="10">
        <f>IF(F653="","",IFERROR(VLOOKUP(F653,T_JSP,2,FALSE),0))</f>
        <v/>
      </c>
      <c r="H653" s="11" t="n"/>
      <c r="I653" s="17">
        <f>IF(H653="","",IF(H653&gt;=12,40,ROUND(H653*3.33,2)))</f>
        <v/>
      </c>
      <c r="J653" s="11" t="n"/>
      <c r="K653" s="11" t="n"/>
      <c r="L653" s="11" t="n"/>
      <c r="M653" s="11" t="n"/>
      <c r="N653" s="10">
        <f>IF(COUNTA(J653:M653)=0,"",MIN(10,SUMPRODUCT((COUNTIF(J653:M653,L_KOM)&gt;0)*S_KOM)))</f>
        <v/>
      </c>
      <c r="O653" s="11" t="n"/>
      <c r="P653" s="10">
        <f>IF(O653="","",IFERROR(VLOOKUP(O653,T_KHID,2,FALSE),0))</f>
        <v/>
      </c>
      <c r="Q653" s="11" t="n"/>
      <c r="R653" s="11" t="n"/>
      <c r="S653" s="10">
        <f>IF(AND(Q653="",R653=""),"",IFERROR(INDEX(T_LIBAT,MATCH(Q653,L_PER,0),MATCH(R653,L_JENIS,0)),0))</f>
        <v/>
      </c>
      <c r="T653" s="11" t="n"/>
      <c r="U653" s="11" t="n"/>
      <c r="V653" s="10">
        <f>IF(AND(T653="",U653=""),"",IFERROR(INDEX(T_CAPAI,MATCH(T653,L_PER,0),MATCH(U653,L_KED,0)),0))</f>
        <v/>
      </c>
      <c r="W653" s="17">
        <f>IF(OR(B653="",E653="",COUNTA(F653,H653,J653:M653,O653,Q653:R653,T653:U653)=0),"",SUM(G653,I653,N653,P653,S653,V653))</f>
        <v/>
      </c>
      <c r="X653" s="18">
        <f>IF(W653="","",IF(Murid!F653="TL","TL",ROUND(W653/110*100,2)))</f>
        <v/>
      </c>
    </row>
    <row r="654">
      <c r="A654" s="15">
        <f>Murid!A654</f>
        <v/>
      </c>
      <c r="B654" s="15">
        <f>IF(Murid!B654="","",Murid!B654)</f>
        <v/>
      </c>
      <c r="C654" s="16">
        <f>IF(Murid!C654="","",Murid!C654)</f>
        <v/>
      </c>
      <c r="D654" s="15">
        <f>IF(Murid!E654="","",Murid!E654)</f>
        <v/>
      </c>
      <c r="E654" s="11" t="n"/>
      <c r="F654" s="11" t="n"/>
      <c r="G654" s="10">
        <f>IF(F654="","",IFERROR(VLOOKUP(F654,T_JSP,2,FALSE),0))</f>
        <v/>
      </c>
      <c r="H654" s="11" t="n"/>
      <c r="I654" s="17">
        <f>IF(H654="","",IF(H654&gt;=12,40,ROUND(H654*3.33,2)))</f>
        <v/>
      </c>
      <c r="J654" s="11" t="n"/>
      <c r="K654" s="11" t="n"/>
      <c r="L654" s="11" t="n"/>
      <c r="M654" s="11" t="n"/>
      <c r="N654" s="10">
        <f>IF(COUNTA(J654:M654)=0,"",MIN(10,SUMPRODUCT((COUNTIF(J654:M654,L_KOM)&gt;0)*S_KOM)))</f>
        <v/>
      </c>
      <c r="O654" s="11" t="n"/>
      <c r="P654" s="10">
        <f>IF(O654="","",IFERROR(VLOOKUP(O654,T_KHID,2,FALSE),0))</f>
        <v/>
      </c>
      <c r="Q654" s="11" t="n"/>
      <c r="R654" s="11" t="n"/>
      <c r="S654" s="10">
        <f>IF(AND(Q654="",R654=""),"",IFERROR(INDEX(T_LIBAT,MATCH(Q654,L_PER,0),MATCH(R654,L_JENIS,0)),0))</f>
        <v/>
      </c>
      <c r="T654" s="11" t="n"/>
      <c r="U654" s="11" t="n"/>
      <c r="V654" s="10">
        <f>IF(AND(T654="",U654=""),"",IFERROR(INDEX(T_CAPAI,MATCH(T654,L_PER,0),MATCH(U654,L_KED,0)),0))</f>
        <v/>
      </c>
      <c r="W654" s="17">
        <f>IF(OR(B654="",E654="",COUNTA(F654,H654,J654:M654,O654,Q654:R654,T654:U654)=0),"",SUM(G654,I654,N654,P654,S654,V654))</f>
        <v/>
      </c>
      <c r="X654" s="18">
        <f>IF(W654="","",IF(Murid!F654="TL","TL",ROUND(W654/110*100,2)))</f>
        <v/>
      </c>
    </row>
    <row r="655">
      <c r="A655" s="15">
        <f>Murid!A655</f>
        <v/>
      </c>
      <c r="B655" s="15">
        <f>IF(Murid!B655="","",Murid!B655)</f>
        <v/>
      </c>
      <c r="C655" s="16">
        <f>IF(Murid!C655="","",Murid!C655)</f>
        <v/>
      </c>
      <c r="D655" s="15">
        <f>IF(Murid!E655="","",Murid!E655)</f>
        <v/>
      </c>
      <c r="E655" s="11" t="n"/>
      <c r="F655" s="11" t="n"/>
      <c r="G655" s="10">
        <f>IF(F655="","",IFERROR(VLOOKUP(F655,T_JSP,2,FALSE),0))</f>
        <v/>
      </c>
      <c r="H655" s="11" t="n"/>
      <c r="I655" s="17">
        <f>IF(H655="","",IF(H655&gt;=12,40,ROUND(H655*3.33,2)))</f>
        <v/>
      </c>
      <c r="J655" s="11" t="n"/>
      <c r="K655" s="11" t="n"/>
      <c r="L655" s="11" t="n"/>
      <c r="M655" s="11" t="n"/>
      <c r="N655" s="10">
        <f>IF(COUNTA(J655:M655)=0,"",MIN(10,SUMPRODUCT((COUNTIF(J655:M655,L_KOM)&gt;0)*S_KOM)))</f>
        <v/>
      </c>
      <c r="O655" s="11" t="n"/>
      <c r="P655" s="10">
        <f>IF(O655="","",IFERROR(VLOOKUP(O655,T_KHID,2,FALSE),0))</f>
        <v/>
      </c>
      <c r="Q655" s="11" t="n"/>
      <c r="R655" s="11" t="n"/>
      <c r="S655" s="10">
        <f>IF(AND(Q655="",R655=""),"",IFERROR(INDEX(T_LIBAT,MATCH(Q655,L_PER,0),MATCH(R655,L_JENIS,0)),0))</f>
        <v/>
      </c>
      <c r="T655" s="11" t="n"/>
      <c r="U655" s="11" t="n"/>
      <c r="V655" s="10">
        <f>IF(AND(T655="",U655=""),"",IFERROR(INDEX(T_CAPAI,MATCH(T655,L_PER,0),MATCH(U655,L_KED,0)),0))</f>
        <v/>
      </c>
      <c r="W655" s="17">
        <f>IF(OR(B655="",E655="",COUNTA(F655,H655,J655:M655,O655,Q655:R655,T655:U655)=0),"",SUM(G655,I655,N655,P655,S655,V655))</f>
        <v/>
      </c>
      <c r="X655" s="18">
        <f>IF(W655="","",IF(Murid!F655="TL","TL",ROUND(W655/110*100,2)))</f>
        <v/>
      </c>
    </row>
    <row r="656">
      <c r="A656" s="15">
        <f>Murid!A656</f>
        <v/>
      </c>
      <c r="B656" s="15">
        <f>IF(Murid!B656="","",Murid!B656)</f>
        <v/>
      </c>
      <c r="C656" s="16">
        <f>IF(Murid!C656="","",Murid!C656)</f>
        <v/>
      </c>
      <c r="D656" s="15">
        <f>IF(Murid!E656="","",Murid!E656)</f>
        <v/>
      </c>
      <c r="E656" s="11" t="n"/>
      <c r="F656" s="11" t="n"/>
      <c r="G656" s="10">
        <f>IF(F656="","",IFERROR(VLOOKUP(F656,T_JSP,2,FALSE),0))</f>
        <v/>
      </c>
      <c r="H656" s="11" t="n"/>
      <c r="I656" s="17">
        <f>IF(H656="","",IF(H656&gt;=12,40,ROUND(H656*3.33,2)))</f>
        <v/>
      </c>
      <c r="J656" s="11" t="n"/>
      <c r="K656" s="11" t="n"/>
      <c r="L656" s="11" t="n"/>
      <c r="M656" s="11" t="n"/>
      <c r="N656" s="10">
        <f>IF(COUNTA(J656:M656)=0,"",MIN(10,SUMPRODUCT((COUNTIF(J656:M656,L_KOM)&gt;0)*S_KOM)))</f>
        <v/>
      </c>
      <c r="O656" s="11" t="n"/>
      <c r="P656" s="10">
        <f>IF(O656="","",IFERROR(VLOOKUP(O656,T_KHID,2,FALSE),0))</f>
        <v/>
      </c>
      <c r="Q656" s="11" t="n"/>
      <c r="R656" s="11" t="n"/>
      <c r="S656" s="10">
        <f>IF(AND(Q656="",R656=""),"",IFERROR(INDEX(T_LIBAT,MATCH(Q656,L_PER,0),MATCH(R656,L_JENIS,0)),0))</f>
        <v/>
      </c>
      <c r="T656" s="11" t="n"/>
      <c r="U656" s="11" t="n"/>
      <c r="V656" s="10">
        <f>IF(AND(T656="",U656=""),"",IFERROR(INDEX(T_CAPAI,MATCH(T656,L_PER,0),MATCH(U656,L_KED,0)),0))</f>
        <v/>
      </c>
      <c r="W656" s="17">
        <f>IF(OR(B656="",E656="",COUNTA(F656,H656,J656:M656,O656,Q656:R656,T656:U656)=0),"",SUM(G656,I656,N656,P656,S656,V656))</f>
        <v/>
      </c>
      <c r="X656" s="18">
        <f>IF(W656="","",IF(Murid!F656="TL","TL",ROUND(W656/110*100,2)))</f>
        <v/>
      </c>
    </row>
    <row r="657">
      <c r="A657" s="15">
        <f>Murid!A657</f>
        <v/>
      </c>
      <c r="B657" s="15">
        <f>IF(Murid!B657="","",Murid!B657)</f>
        <v/>
      </c>
      <c r="C657" s="16">
        <f>IF(Murid!C657="","",Murid!C657)</f>
        <v/>
      </c>
      <c r="D657" s="15">
        <f>IF(Murid!E657="","",Murid!E657)</f>
        <v/>
      </c>
      <c r="E657" s="11" t="n"/>
      <c r="F657" s="11" t="n"/>
      <c r="G657" s="10">
        <f>IF(F657="","",IFERROR(VLOOKUP(F657,T_JSP,2,FALSE),0))</f>
        <v/>
      </c>
      <c r="H657" s="11" t="n"/>
      <c r="I657" s="17">
        <f>IF(H657="","",IF(H657&gt;=12,40,ROUND(H657*3.33,2)))</f>
        <v/>
      </c>
      <c r="J657" s="11" t="n"/>
      <c r="K657" s="11" t="n"/>
      <c r="L657" s="11" t="n"/>
      <c r="M657" s="11" t="n"/>
      <c r="N657" s="10">
        <f>IF(COUNTA(J657:M657)=0,"",MIN(10,SUMPRODUCT((COUNTIF(J657:M657,L_KOM)&gt;0)*S_KOM)))</f>
        <v/>
      </c>
      <c r="O657" s="11" t="n"/>
      <c r="P657" s="10">
        <f>IF(O657="","",IFERROR(VLOOKUP(O657,T_KHID,2,FALSE),0))</f>
        <v/>
      </c>
      <c r="Q657" s="11" t="n"/>
      <c r="R657" s="11" t="n"/>
      <c r="S657" s="10">
        <f>IF(AND(Q657="",R657=""),"",IFERROR(INDEX(T_LIBAT,MATCH(Q657,L_PER,0),MATCH(R657,L_JENIS,0)),0))</f>
        <v/>
      </c>
      <c r="T657" s="11" t="n"/>
      <c r="U657" s="11" t="n"/>
      <c r="V657" s="10">
        <f>IF(AND(T657="",U657=""),"",IFERROR(INDEX(T_CAPAI,MATCH(T657,L_PER,0),MATCH(U657,L_KED,0)),0))</f>
        <v/>
      </c>
      <c r="W657" s="17">
        <f>IF(OR(B657="",E657="",COUNTA(F657,H657,J657:M657,O657,Q657:R657,T657:U657)=0),"",SUM(G657,I657,N657,P657,S657,V657))</f>
        <v/>
      </c>
      <c r="X657" s="18">
        <f>IF(W657="","",IF(Murid!F657="TL","TL",ROUND(W657/110*100,2)))</f>
        <v/>
      </c>
    </row>
    <row r="658">
      <c r="A658" s="15">
        <f>Murid!A658</f>
        <v/>
      </c>
      <c r="B658" s="15">
        <f>IF(Murid!B658="","",Murid!B658)</f>
        <v/>
      </c>
      <c r="C658" s="16">
        <f>IF(Murid!C658="","",Murid!C658)</f>
        <v/>
      </c>
      <c r="D658" s="15">
        <f>IF(Murid!E658="","",Murid!E658)</f>
        <v/>
      </c>
      <c r="E658" s="11" t="n"/>
      <c r="F658" s="11" t="n"/>
      <c r="G658" s="10">
        <f>IF(F658="","",IFERROR(VLOOKUP(F658,T_JSP,2,FALSE),0))</f>
        <v/>
      </c>
      <c r="H658" s="11" t="n"/>
      <c r="I658" s="17">
        <f>IF(H658="","",IF(H658&gt;=12,40,ROUND(H658*3.33,2)))</f>
        <v/>
      </c>
      <c r="J658" s="11" t="n"/>
      <c r="K658" s="11" t="n"/>
      <c r="L658" s="11" t="n"/>
      <c r="M658" s="11" t="n"/>
      <c r="N658" s="10">
        <f>IF(COUNTA(J658:M658)=0,"",MIN(10,SUMPRODUCT((COUNTIF(J658:M658,L_KOM)&gt;0)*S_KOM)))</f>
        <v/>
      </c>
      <c r="O658" s="11" t="n"/>
      <c r="P658" s="10">
        <f>IF(O658="","",IFERROR(VLOOKUP(O658,T_KHID,2,FALSE),0))</f>
        <v/>
      </c>
      <c r="Q658" s="11" t="n"/>
      <c r="R658" s="11" t="n"/>
      <c r="S658" s="10">
        <f>IF(AND(Q658="",R658=""),"",IFERROR(INDEX(T_LIBAT,MATCH(Q658,L_PER,0),MATCH(R658,L_JENIS,0)),0))</f>
        <v/>
      </c>
      <c r="T658" s="11" t="n"/>
      <c r="U658" s="11" t="n"/>
      <c r="V658" s="10">
        <f>IF(AND(T658="",U658=""),"",IFERROR(INDEX(T_CAPAI,MATCH(T658,L_PER,0),MATCH(U658,L_KED,0)),0))</f>
        <v/>
      </c>
      <c r="W658" s="17">
        <f>IF(OR(B658="",E658="",COUNTA(F658,H658,J658:M658,O658,Q658:R658,T658:U658)=0),"",SUM(G658,I658,N658,P658,S658,V658))</f>
        <v/>
      </c>
      <c r="X658" s="18">
        <f>IF(W658="","",IF(Murid!F658="TL","TL",ROUND(W658/110*100,2)))</f>
        <v/>
      </c>
    </row>
    <row r="659">
      <c r="A659" s="15">
        <f>Murid!A659</f>
        <v/>
      </c>
      <c r="B659" s="15">
        <f>IF(Murid!B659="","",Murid!B659)</f>
        <v/>
      </c>
      <c r="C659" s="16">
        <f>IF(Murid!C659="","",Murid!C659)</f>
        <v/>
      </c>
      <c r="D659" s="15">
        <f>IF(Murid!E659="","",Murid!E659)</f>
        <v/>
      </c>
      <c r="E659" s="11" t="n"/>
      <c r="F659" s="11" t="n"/>
      <c r="G659" s="10">
        <f>IF(F659="","",IFERROR(VLOOKUP(F659,T_JSP,2,FALSE),0))</f>
        <v/>
      </c>
      <c r="H659" s="11" t="n"/>
      <c r="I659" s="17">
        <f>IF(H659="","",IF(H659&gt;=12,40,ROUND(H659*3.33,2)))</f>
        <v/>
      </c>
      <c r="J659" s="11" t="n"/>
      <c r="K659" s="11" t="n"/>
      <c r="L659" s="11" t="n"/>
      <c r="M659" s="11" t="n"/>
      <c r="N659" s="10">
        <f>IF(COUNTA(J659:M659)=0,"",MIN(10,SUMPRODUCT((COUNTIF(J659:M659,L_KOM)&gt;0)*S_KOM)))</f>
        <v/>
      </c>
      <c r="O659" s="11" t="n"/>
      <c r="P659" s="10">
        <f>IF(O659="","",IFERROR(VLOOKUP(O659,T_KHID,2,FALSE),0))</f>
        <v/>
      </c>
      <c r="Q659" s="11" t="n"/>
      <c r="R659" s="11" t="n"/>
      <c r="S659" s="10">
        <f>IF(AND(Q659="",R659=""),"",IFERROR(INDEX(T_LIBAT,MATCH(Q659,L_PER,0),MATCH(R659,L_JENIS,0)),0))</f>
        <v/>
      </c>
      <c r="T659" s="11" t="n"/>
      <c r="U659" s="11" t="n"/>
      <c r="V659" s="10">
        <f>IF(AND(T659="",U659=""),"",IFERROR(INDEX(T_CAPAI,MATCH(T659,L_PER,0),MATCH(U659,L_KED,0)),0))</f>
        <v/>
      </c>
      <c r="W659" s="17">
        <f>IF(OR(B659="",E659="",COUNTA(F659,H659,J659:M659,O659,Q659:R659,T659:U659)=0),"",SUM(G659,I659,N659,P659,S659,V659))</f>
        <v/>
      </c>
      <c r="X659" s="18">
        <f>IF(W659="","",IF(Murid!F659="TL","TL",ROUND(W659/110*100,2)))</f>
        <v/>
      </c>
    </row>
    <row r="660">
      <c r="A660" s="15">
        <f>Murid!A660</f>
        <v/>
      </c>
      <c r="B660" s="15">
        <f>IF(Murid!B660="","",Murid!B660)</f>
        <v/>
      </c>
      <c r="C660" s="16">
        <f>IF(Murid!C660="","",Murid!C660)</f>
        <v/>
      </c>
      <c r="D660" s="15">
        <f>IF(Murid!E660="","",Murid!E660)</f>
        <v/>
      </c>
      <c r="E660" s="11" t="n"/>
      <c r="F660" s="11" t="n"/>
      <c r="G660" s="10">
        <f>IF(F660="","",IFERROR(VLOOKUP(F660,T_JSP,2,FALSE),0))</f>
        <v/>
      </c>
      <c r="H660" s="11" t="n"/>
      <c r="I660" s="17">
        <f>IF(H660="","",IF(H660&gt;=12,40,ROUND(H660*3.33,2)))</f>
        <v/>
      </c>
      <c r="J660" s="11" t="n"/>
      <c r="K660" s="11" t="n"/>
      <c r="L660" s="11" t="n"/>
      <c r="M660" s="11" t="n"/>
      <c r="N660" s="10">
        <f>IF(COUNTA(J660:M660)=0,"",MIN(10,SUMPRODUCT((COUNTIF(J660:M660,L_KOM)&gt;0)*S_KOM)))</f>
        <v/>
      </c>
      <c r="O660" s="11" t="n"/>
      <c r="P660" s="10">
        <f>IF(O660="","",IFERROR(VLOOKUP(O660,T_KHID,2,FALSE),0))</f>
        <v/>
      </c>
      <c r="Q660" s="11" t="n"/>
      <c r="R660" s="11" t="n"/>
      <c r="S660" s="10">
        <f>IF(AND(Q660="",R660=""),"",IFERROR(INDEX(T_LIBAT,MATCH(Q660,L_PER,0),MATCH(R660,L_JENIS,0)),0))</f>
        <v/>
      </c>
      <c r="T660" s="11" t="n"/>
      <c r="U660" s="11" t="n"/>
      <c r="V660" s="10">
        <f>IF(AND(T660="",U660=""),"",IFERROR(INDEX(T_CAPAI,MATCH(T660,L_PER,0),MATCH(U660,L_KED,0)),0))</f>
        <v/>
      </c>
      <c r="W660" s="17">
        <f>IF(OR(B660="",E660="",COUNTA(F660,H660,J660:M660,O660,Q660:R660,T660:U660)=0),"",SUM(G660,I660,N660,P660,S660,V660))</f>
        <v/>
      </c>
      <c r="X660" s="18">
        <f>IF(W660="","",IF(Murid!F660="TL","TL",ROUND(W660/110*100,2)))</f>
        <v/>
      </c>
    </row>
    <row r="661">
      <c r="A661" s="15">
        <f>Murid!A661</f>
        <v/>
      </c>
      <c r="B661" s="15">
        <f>IF(Murid!B661="","",Murid!B661)</f>
        <v/>
      </c>
      <c r="C661" s="16">
        <f>IF(Murid!C661="","",Murid!C661)</f>
        <v/>
      </c>
      <c r="D661" s="15">
        <f>IF(Murid!E661="","",Murid!E661)</f>
        <v/>
      </c>
      <c r="E661" s="11" t="n"/>
      <c r="F661" s="11" t="n"/>
      <c r="G661" s="10">
        <f>IF(F661="","",IFERROR(VLOOKUP(F661,T_JSP,2,FALSE),0))</f>
        <v/>
      </c>
      <c r="H661" s="11" t="n"/>
      <c r="I661" s="17">
        <f>IF(H661="","",IF(H661&gt;=12,40,ROUND(H661*3.33,2)))</f>
        <v/>
      </c>
      <c r="J661" s="11" t="n"/>
      <c r="K661" s="11" t="n"/>
      <c r="L661" s="11" t="n"/>
      <c r="M661" s="11" t="n"/>
      <c r="N661" s="10">
        <f>IF(COUNTA(J661:M661)=0,"",MIN(10,SUMPRODUCT((COUNTIF(J661:M661,L_KOM)&gt;0)*S_KOM)))</f>
        <v/>
      </c>
      <c r="O661" s="11" t="n"/>
      <c r="P661" s="10">
        <f>IF(O661="","",IFERROR(VLOOKUP(O661,T_KHID,2,FALSE),0))</f>
        <v/>
      </c>
      <c r="Q661" s="11" t="n"/>
      <c r="R661" s="11" t="n"/>
      <c r="S661" s="10">
        <f>IF(AND(Q661="",R661=""),"",IFERROR(INDEX(T_LIBAT,MATCH(Q661,L_PER,0),MATCH(R661,L_JENIS,0)),0))</f>
        <v/>
      </c>
      <c r="T661" s="11" t="n"/>
      <c r="U661" s="11" t="n"/>
      <c r="V661" s="10">
        <f>IF(AND(T661="",U661=""),"",IFERROR(INDEX(T_CAPAI,MATCH(T661,L_PER,0),MATCH(U661,L_KED,0)),0))</f>
        <v/>
      </c>
      <c r="W661" s="17">
        <f>IF(OR(B661="",E661="",COUNTA(F661,H661,J661:M661,O661,Q661:R661,T661:U661)=0),"",SUM(G661,I661,N661,P661,S661,V661))</f>
        <v/>
      </c>
      <c r="X661" s="18">
        <f>IF(W661="","",IF(Murid!F661="TL","TL",ROUND(W661/110*100,2)))</f>
        <v/>
      </c>
    </row>
    <row r="662">
      <c r="A662" s="15">
        <f>Murid!A662</f>
        <v/>
      </c>
      <c r="B662" s="15">
        <f>IF(Murid!B662="","",Murid!B662)</f>
        <v/>
      </c>
      <c r="C662" s="16">
        <f>IF(Murid!C662="","",Murid!C662)</f>
        <v/>
      </c>
      <c r="D662" s="15">
        <f>IF(Murid!E662="","",Murid!E662)</f>
        <v/>
      </c>
      <c r="E662" s="11" t="n"/>
      <c r="F662" s="11" t="n"/>
      <c r="G662" s="10">
        <f>IF(F662="","",IFERROR(VLOOKUP(F662,T_JSP,2,FALSE),0))</f>
        <v/>
      </c>
      <c r="H662" s="11" t="n"/>
      <c r="I662" s="17">
        <f>IF(H662="","",IF(H662&gt;=12,40,ROUND(H662*3.33,2)))</f>
        <v/>
      </c>
      <c r="J662" s="11" t="n"/>
      <c r="K662" s="11" t="n"/>
      <c r="L662" s="11" t="n"/>
      <c r="M662" s="11" t="n"/>
      <c r="N662" s="10">
        <f>IF(COUNTA(J662:M662)=0,"",MIN(10,SUMPRODUCT((COUNTIF(J662:M662,L_KOM)&gt;0)*S_KOM)))</f>
        <v/>
      </c>
      <c r="O662" s="11" t="n"/>
      <c r="P662" s="10">
        <f>IF(O662="","",IFERROR(VLOOKUP(O662,T_KHID,2,FALSE),0))</f>
        <v/>
      </c>
      <c r="Q662" s="11" t="n"/>
      <c r="R662" s="11" t="n"/>
      <c r="S662" s="10">
        <f>IF(AND(Q662="",R662=""),"",IFERROR(INDEX(T_LIBAT,MATCH(Q662,L_PER,0),MATCH(R662,L_JENIS,0)),0))</f>
        <v/>
      </c>
      <c r="T662" s="11" t="n"/>
      <c r="U662" s="11" t="n"/>
      <c r="V662" s="10">
        <f>IF(AND(T662="",U662=""),"",IFERROR(INDEX(T_CAPAI,MATCH(T662,L_PER,0),MATCH(U662,L_KED,0)),0))</f>
        <v/>
      </c>
      <c r="W662" s="17">
        <f>IF(OR(B662="",E662="",COUNTA(F662,H662,J662:M662,O662,Q662:R662,T662:U662)=0),"",SUM(G662,I662,N662,P662,S662,V662))</f>
        <v/>
      </c>
      <c r="X662" s="18">
        <f>IF(W662="","",IF(Murid!F662="TL","TL",ROUND(W662/110*100,2)))</f>
        <v/>
      </c>
    </row>
    <row r="663">
      <c r="A663" s="15">
        <f>Murid!A663</f>
        <v/>
      </c>
      <c r="B663" s="15">
        <f>IF(Murid!B663="","",Murid!B663)</f>
        <v/>
      </c>
      <c r="C663" s="16">
        <f>IF(Murid!C663="","",Murid!C663)</f>
        <v/>
      </c>
      <c r="D663" s="15">
        <f>IF(Murid!E663="","",Murid!E663)</f>
        <v/>
      </c>
      <c r="E663" s="11" t="n"/>
      <c r="F663" s="11" t="n"/>
      <c r="G663" s="10">
        <f>IF(F663="","",IFERROR(VLOOKUP(F663,T_JSP,2,FALSE),0))</f>
        <v/>
      </c>
      <c r="H663" s="11" t="n"/>
      <c r="I663" s="17">
        <f>IF(H663="","",IF(H663&gt;=12,40,ROUND(H663*3.33,2)))</f>
        <v/>
      </c>
      <c r="J663" s="11" t="n"/>
      <c r="K663" s="11" t="n"/>
      <c r="L663" s="11" t="n"/>
      <c r="M663" s="11" t="n"/>
      <c r="N663" s="10">
        <f>IF(COUNTA(J663:M663)=0,"",MIN(10,SUMPRODUCT((COUNTIF(J663:M663,L_KOM)&gt;0)*S_KOM)))</f>
        <v/>
      </c>
      <c r="O663" s="11" t="n"/>
      <c r="P663" s="10">
        <f>IF(O663="","",IFERROR(VLOOKUP(O663,T_KHID,2,FALSE),0))</f>
        <v/>
      </c>
      <c r="Q663" s="11" t="n"/>
      <c r="R663" s="11" t="n"/>
      <c r="S663" s="10">
        <f>IF(AND(Q663="",R663=""),"",IFERROR(INDEX(T_LIBAT,MATCH(Q663,L_PER,0),MATCH(R663,L_JENIS,0)),0))</f>
        <v/>
      </c>
      <c r="T663" s="11" t="n"/>
      <c r="U663" s="11" t="n"/>
      <c r="V663" s="10">
        <f>IF(AND(T663="",U663=""),"",IFERROR(INDEX(T_CAPAI,MATCH(T663,L_PER,0),MATCH(U663,L_KED,0)),0))</f>
        <v/>
      </c>
      <c r="W663" s="17">
        <f>IF(OR(B663="",E663="",COUNTA(F663,H663,J663:M663,O663,Q663:R663,T663:U663)=0),"",SUM(G663,I663,N663,P663,S663,V663))</f>
        <v/>
      </c>
      <c r="X663" s="18">
        <f>IF(W663="","",IF(Murid!F663="TL","TL",ROUND(W663/110*100,2)))</f>
        <v/>
      </c>
    </row>
    <row r="664">
      <c r="A664" s="15">
        <f>Murid!A664</f>
        <v/>
      </c>
      <c r="B664" s="15">
        <f>IF(Murid!B664="","",Murid!B664)</f>
        <v/>
      </c>
      <c r="C664" s="16">
        <f>IF(Murid!C664="","",Murid!C664)</f>
        <v/>
      </c>
      <c r="D664" s="15">
        <f>IF(Murid!E664="","",Murid!E664)</f>
        <v/>
      </c>
      <c r="E664" s="11" t="n"/>
      <c r="F664" s="11" t="n"/>
      <c r="G664" s="10">
        <f>IF(F664="","",IFERROR(VLOOKUP(F664,T_JSP,2,FALSE),0))</f>
        <v/>
      </c>
      <c r="H664" s="11" t="n"/>
      <c r="I664" s="17">
        <f>IF(H664="","",IF(H664&gt;=12,40,ROUND(H664*3.33,2)))</f>
        <v/>
      </c>
      <c r="J664" s="11" t="n"/>
      <c r="K664" s="11" t="n"/>
      <c r="L664" s="11" t="n"/>
      <c r="M664" s="11" t="n"/>
      <c r="N664" s="10">
        <f>IF(COUNTA(J664:M664)=0,"",MIN(10,SUMPRODUCT((COUNTIF(J664:M664,L_KOM)&gt;0)*S_KOM)))</f>
        <v/>
      </c>
      <c r="O664" s="11" t="n"/>
      <c r="P664" s="10">
        <f>IF(O664="","",IFERROR(VLOOKUP(O664,T_KHID,2,FALSE),0))</f>
        <v/>
      </c>
      <c r="Q664" s="11" t="n"/>
      <c r="R664" s="11" t="n"/>
      <c r="S664" s="10">
        <f>IF(AND(Q664="",R664=""),"",IFERROR(INDEX(T_LIBAT,MATCH(Q664,L_PER,0),MATCH(R664,L_JENIS,0)),0))</f>
        <v/>
      </c>
      <c r="T664" s="11" t="n"/>
      <c r="U664" s="11" t="n"/>
      <c r="V664" s="10">
        <f>IF(AND(T664="",U664=""),"",IFERROR(INDEX(T_CAPAI,MATCH(T664,L_PER,0),MATCH(U664,L_KED,0)),0))</f>
        <v/>
      </c>
      <c r="W664" s="17">
        <f>IF(OR(B664="",E664="",COUNTA(F664,H664,J664:M664,O664,Q664:R664,T664:U664)=0),"",SUM(G664,I664,N664,P664,S664,V664))</f>
        <v/>
      </c>
      <c r="X664" s="18">
        <f>IF(W664="","",IF(Murid!F664="TL","TL",ROUND(W664/110*100,2)))</f>
        <v/>
      </c>
    </row>
    <row r="665">
      <c r="A665" s="15">
        <f>Murid!A665</f>
        <v/>
      </c>
      <c r="B665" s="15">
        <f>IF(Murid!B665="","",Murid!B665)</f>
        <v/>
      </c>
      <c r="C665" s="16">
        <f>IF(Murid!C665="","",Murid!C665)</f>
        <v/>
      </c>
      <c r="D665" s="15">
        <f>IF(Murid!E665="","",Murid!E665)</f>
        <v/>
      </c>
      <c r="E665" s="11" t="n"/>
      <c r="F665" s="11" t="n"/>
      <c r="G665" s="10">
        <f>IF(F665="","",IFERROR(VLOOKUP(F665,T_JSP,2,FALSE),0))</f>
        <v/>
      </c>
      <c r="H665" s="11" t="n"/>
      <c r="I665" s="17">
        <f>IF(H665="","",IF(H665&gt;=12,40,ROUND(H665*3.33,2)))</f>
        <v/>
      </c>
      <c r="J665" s="11" t="n"/>
      <c r="K665" s="11" t="n"/>
      <c r="L665" s="11" t="n"/>
      <c r="M665" s="11" t="n"/>
      <c r="N665" s="10">
        <f>IF(COUNTA(J665:M665)=0,"",MIN(10,SUMPRODUCT((COUNTIF(J665:M665,L_KOM)&gt;0)*S_KOM)))</f>
        <v/>
      </c>
      <c r="O665" s="11" t="n"/>
      <c r="P665" s="10">
        <f>IF(O665="","",IFERROR(VLOOKUP(O665,T_KHID,2,FALSE),0))</f>
        <v/>
      </c>
      <c r="Q665" s="11" t="n"/>
      <c r="R665" s="11" t="n"/>
      <c r="S665" s="10">
        <f>IF(AND(Q665="",R665=""),"",IFERROR(INDEX(T_LIBAT,MATCH(Q665,L_PER,0),MATCH(R665,L_JENIS,0)),0))</f>
        <v/>
      </c>
      <c r="T665" s="11" t="n"/>
      <c r="U665" s="11" t="n"/>
      <c r="V665" s="10">
        <f>IF(AND(T665="",U665=""),"",IFERROR(INDEX(T_CAPAI,MATCH(T665,L_PER,0),MATCH(U665,L_KED,0)),0))</f>
        <v/>
      </c>
      <c r="W665" s="17">
        <f>IF(OR(B665="",E665="",COUNTA(F665,H665,J665:M665,O665,Q665:R665,T665:U665)=0),"",SUM(G665,I665,N665,P665,S665,V665))</f>
        <v/>
      </c>
      <c r="X665" s="18">
        <f>IF(W665="","",IF(Murid!F665="TL","TL",ROUND(W665/110*100,2)))</f>
        <v/>
      </c>
    </row>
    <row r="666">
      <c r="A666" s="15">
        <f>Murid!A666</f>
        <v/>
      </c>
      <c r="B666" s="15">
        <f>IF(Murid!B666="","",Murid!B666)</f>
        <v/>
      </c>
      <c r="C666" s="16">
        <f>IF(Murid!C666="","",Murid!C666)</f>
        <v/>
      </c>
      <c r="D666" s="15">
        <f>IF(Murid!E666="","",Murid!E666)</f>
        <v/>
      </c>
      <c r="E666" s="11" t="n"/>
      <c r="F666" s="11" t="n"/>
      <c r="G666" s="10">
        <f>IF(F666="","",IFERROR(VLOOKUP(F666,T_JSP,2,FALSE),0))</f>
        <v/>
      </c>
      <c r="H666" s="11" t="n"/>
      <c r="I666" s="17">
        <f>IF(H666="","",IF(H666&gt;=12,40,ROUND(H666*3.33,2)))</f>
        <v/>
      </c>
      <c r="J666" s="11" t="n"/>
      <c r="K666" s="11" t="n"/>
      <c r="L666" s="11" t="n"/>
      <c r="M666" s="11" t="n"/>
      <c r="N666" s="10">
        <f>IF(COUNTA(J666:M666)=0,"",MIN(10,SUMPRODUCT((COUNTIF(J666:M666,L_KOM)&gt;0)*S_KOM)))</f>
        <v/>
      </c>
      <c r="O666" s="11" t="n"/>
      <c r="P666" s="10">
        <f>IF(O666="","",IFERROR(VLOOKUP(O666,T_KHID,2,FALSE),0))</f>
        <v/>
      </c>
      <c r="Q666" s="11" t="n"/>
      <c r="R666" s="11" t="n"/>
      <c r="S666" s="10">
        <f>IF(AND(Q666="",R666=""),"",IFERROR(INDEX(T_LIBAT,MATCH(Q666,L_PER,0),MATCH(R666,L_JENIS,0)),0))</f>
        <v/>
      </c>
      <c r="T666" s="11" t="n"/>
      <c r="U666" s="11" t="n"/>
      <c r="V666" s="10">
        <f>IF(AND(T666="",U666=""),"",IFERROR(INDEX(T_CAPAI,MATCH(T666,L_PER,0),MATCH(U666,L_KED,0)),0))</f>
        <v/>
      </c>
      <c r="W666" s="17">
        <f>IF(OR(B666="",E666="",COUNTA(F666,H666,J666:M666,O666,Q666:R666,T666:U666)=0),"",SUM(G666,I666,N666,P666,S666,V666))</f>
        <v/>
      </c>
      <c r="X666" s="18">
        <f>IF(W666="","",IF(Murid!F666="TL","TL",ROUND(W666/110*100,2)))</f>
        <v/>
      </c>
    </row>
    <row r="667">
      <c r="A667" s="15">
        <f>Murid!A667</f>
        <v/>
      </c>
      <c r="B667" s="15">
        <f>IF(Murid!B667="","",Murid!B667)</f>
        <v/>
      </c>
      <c r="C667" s="16">
        <f>IF(Murid!C667="","",Murid!C667)</f>
        <v/>
      </c>
      <c r="D667" s="15">
        <f>IF(Murid!E667="","",Murid!E667)</f>
        <v/>
      </c>
      <c r="E667" s="11" t="n"/>
      <c r="F667" s="11" t="n"/>
      <c r="G667" s="10">
        <f>IF(F667="","",IFERROR(VLOOKUP(F667,T_JSP,2,FALSE),0))</f>
        <v/>
      </c>
      <c r="H667" s="11" t="n"/>
      <c r="I667" s="17">
        <f>IF(H667="","",IF(H667&gt;=12,40,ROUND(H667*3.33,2)))</f>
        <v/>
      </c>
      <c r="J667" s="11" t="n"/>
      <c r="K667" s="11" t="n"/>
      <c r="L667" s="11" t="n"/>
      <c r="M667" s="11" t="n"/>
      <c r="N667" s="10">
        <f>IF(COUNTA(J667:M667)=0,"",MIN(10,SUMPRODUCT((COUNTIF(J667:M667,L_KOM)&gt;0)*S_KOM)))</f>
        <v/>
      </c>
      <c r="O667" s="11" t="n"/>
      <c r="P667" s="10">
        <f>IF(O667="","",IFERROR(VLOOKUP(O667,T_KHID,2,FALSE),0))</f>
        <v/>
      </c>
      <c r="Q667" s="11" t="n"/>
      <c r="R667" s="11" t="n"/>
      <c r="S667" s="10">
        <f>IF(AND(Q667="",R667=""),"",IFERROR(INDEX(T_LIBAT,MATCH(Q667,L_PER,0),MATCH(R667,L_JENIS,0)),0))</f>
        <v/>
      </c>
      <c r="T667" s="11" t="n"/>
      <c r="U667" s="11" t="n"/>
      <c r="V667" s="10">
        <f>IF(AND(T667="",U667=""),"",IFERROR(INDEX(T_CAPAI,MATCH(T667,L_PER,0),MATCH(U667,L_KED,0)),0))</f>
        <v/>
      </c>
      <c r="W667" s="17">
        <f>IF(OR(B667="",E667="",COUNTA(F667,H667,J667:M667,O667,Q667:R667,T667:U667)=0),"",SUM(G667,I667,N667,P667,S667,V667))</f>
        <v/>
      </c>
      <c r="X667" s="18">
        <f>IF(W667="","",IF(Murid!F667="TL","TL",ROUND(W667/110*100,2)))</f>
        <v/>
      </c>
    </row>
    <row r="668">
      <c r="A668" s="15">
        <f>Murid!A668</f>
        <v/>
      </c>
      <c r="B668" s="15">
        <f>IF(Murid!B668="","",Murid!B668)</f>
        <v/>
      </c>
      <c r="C668" s="16">
        <f>IF(Murid!C668="","",Murid!C668)</f>
        <v/>
      </c>
      <c r="D668" s="15">
        <f>IF(Murid!E668="","",Murid!E668)</f>
        <v/>
      </c>
      <c r="E668" s="11" t="n"/>
      <c r="F668" s="11" t="n"/>
      <c r="G668" s="10">
        <f>IF(F668="","",IFERROR(VLOOKUP(F668,T_JSP,2,FALSE),0))</f>
        <v/>
      </c>
      <c r="H668" s="11" t="n"/>
      <c r="I668" s="17">
        <f>IF(H668="","",IF(H668&gt;=12,40,ROUND(H668*3.33,2)))</f>
        <v/>
      </c>
      <c r="J668" s="11" t="n"/>
      <c r="K668" s="11" t="n"/>
      <c r="L668" s="11" t="n"/>
      <c r="M668" s="11" t="n"/>
      <c r="N668" s="10">
        <f>IF(COUNTA(J668:M668)=0,"",MIN(10,SUMPRODUCT((COUNTIF(J668:M668,L_KOM)&gt;0)*S_KOM)))</f>
        <v/>
      </c>
      <c r="O668" s="11" t="n"/>
      <c r="P668" s="10">
        <f>IF(O668="","",IFERROR(VLOOKUP(O668,T_KHID,2,FALSE),0))</f>
        <v/>
      </c>
      <c r="Q668" s="11" t="n"/>
      <c r="R668" s="11" t="n"/>
      <c r="S668" s="10">
        <f>IF(AND(Q668="",R668=""),"",IFERROR(INDEX(T_LIBAT,MATCH(Q668,L_PER,0),MATCH(R668,L_JENIS,0)),0))</f>
        <v/>
      </c>
      <c r="T668" s="11" t="n"/>
      <c r="U668" s="11" t="n"/>
      <c r="V668" s="10">
        <f>IF(AND(T668="",U668=""),"",IFERROR(INDEX(T_CAPAI,MATCH(T668,L_PER,0),MATCH(U668,L_KED,0)),0))</f>
        <v/>
      </c>
      <c r="W668" s="17">
        <f>IF(OR(B668="",E668="",COUNTA(F668,H668,J668:M668,O668,Q668:R668,T668:U668)=0),"",SUM(G668,I668,N668,P668,S668,V668))</f>
        <v/>
      </c>
      <c r="X668" s="18">
        <f>IF(W668="","",IF(Murid!F668="TL","TL",ROUND(W668/110*100,2)))</f>
        <v/>
      </c>
    </row>
    <row r="669">
      <c r="A669" s="15">
        <f>Murid!A669</f>
        <v/>
      </c>
      <c r="B669" s="15">
        <f>IF(Murid!B669="","",Murid!B669)</f>
        <v/>
      </c>
      <c r="C669" s="16">
        <f>IF(Murid!C669="","",Murid!C669)</f>
        <v/>
      </c>
      <c r="D669" s="15">
        <f>IF(Murid!E669="","",Murid!E669)</f>
        <v/>
      </c>
      <c r="E669" s="11" t="n"/>
      <c r="F669" s="11" t="n"/>
      <c r="G669" s="10">
        <f>IF(F669="","",IFERROR(VLOOKUP(F669,T_JSP,2,FALSE),0))</f>
        <v/>
      </c>
      <c r="H669" s="11" t="n"/>
      <c r="I669" s="17">
        <f>IF(H669="","",IF(H669&gt;=12,40,ROUND(H669*3.33,2)))</f>
        <v/>
      </c>
      <c r="J669" s="11" t="n"/>
      <c r="K669" s="11" t="n"/>
      <c r="L669" s="11" t="n"/>
      <c r="M669" s="11" t="n"/>
      <c r="N669" s="10">
        <f>IF(COUNTA(J669:M669)=0,"",MIN(10,SUMPRODUCT((COUNTIF(J669:M669,L_KOM)&gt;0)*S_KOM)))</f>
        <v/>
      </c>
      <c r="O669" s="11" t="n"/>
      <c r="P669" s="10">
        <f>IF(O669="","",IFERROR(VLOOKUP(O669,T_KHID,2,FALSE),0))</f>
        <v/>
      </c>
      <c r="Q669" s="11" t="n"/>
      <c r="R669" s="11" t="n"/>
      <c r="S669" s="10">
        <f>IF(AND(Q669="",R669=""),"",IFERROR(INDEX(T_LIBAT,MATCH(Q669,L_PER,0),MATCH(R669,L_JENIS,0)),0))</f>
        <v/>
      </c>
      <c r="T669" s="11" t="n"/>
      <c r="U669" s="11" t="n"/>
      <c r="V669" s="10">
        <f>IF(AND(T669="",U669=""),"",IFERROR(INDEX(T_CAPAI,MATCH(T669,L_PER,0),MATCH(U669,L_KED,0)),0))</f>
        <v/>
      </c>
      <c r="W669" s="17">
        <f>IF(OR(B669="",E669="",COUNTA(F669,H669,J669:M669,O669,Q669:R669,T669:U669)=0),"",SUM(G669,I669,N669,P669,S669,V669))</f>
        <v/>
      </c>
      <c r="X669" s="18">
        <f>IF(W669="","",IF(Murid!F669="TL","TL",ROUND(W669/110*100,2)))</f>
        <v/>
      </c>
    </row>
    <row r="670">
      <c r="A670" s="15">
        <f>Murid!A670</f>
        <v/>
      </c>
      <c r="B670" s="15">
        <f>IF(Murid!B670="","",Murid!B670)</f>
        <v/>
      </c>
      <c r="C670" s="16">
        <f>IF(Murid!C670="","",Murid!C670)</f>
        <v/>
      </c>
      <c r="D670" s="15">
        <f>IF(Murid!E670="","",Murid!E670)</f>
        <v/>
      </c>
      <c r="E670" s="11" t="n"/>
      <c r="F670" s="11" t="n"/>
      <c r="G670" s="10">
        <f>IF(F670="","",IFERROR(VLOOKUP(F670,T_JSP,2,FALSE),0))</f>
        <v/>
      </c>
      <c r="H670" s="11" t="n"/>
      <c r="I670" s="17">
        <f>IF(H670="","",IF(H670&gt;=12,40,ROUND(H670*3.33,2)))</f>
        <v/>
      </c>
      <c r="J670" s="11" t="n"/>
      <c r="K670" s="11" t="n"/>
      <c r="L670" s="11" t="n"/>
      <c r="M670" s="11" t="n"/>
      <c r="N670" s="10">
        <f>IF(COUNTA(J670:M670)=0,"",MIN(10,SUMPRODUCT((COUNTIF(J670:M670,L_KOM)&gt;0)*S_KOM)))</f>
        <v/>
      </c>
      <c r="O670" s="11" t="n"/>
      <c r="P670" s="10">
        <f>IF(O670="","",IFERROR(VLOOKUP(O670,T_KHID,2,FALSE),0))</f>
        <v/>
      </c>
      <c r="Q670" s="11" t="n"/>
      <c r="R670" s="11" t="n"/>
      <c r="S670" s="10">
        <f>IF(AND(Q670="",R670=""),"",IFERROR(INDEX(T_LIBAT,MATCH(Q670,L_PER,0),MATCH(R670,L_JENIS,0)),0))</f>
        <v/>
      </c>
      <c r="T670" s="11" t="n"/>
      <c r="U670" s="11" t="n"/>
      <c r="V670" s="10">
        <f>IF(AND(T670="",U670=""),"",IFERROR(INDEX(T_CAPAI,MATCH(T670,L_PER,0),MATCH(U670,L_KED,0)),0))</f>
        <v/>
      </c>
      <c r="W670" s="17">
        <f>IF(OR(B670="",E670="",COUNTA(F670,H670,J670:M670,O670,Q670:R670,T670:U670)=0),"",SUM(G670,I670,N670,P670,S670,V670))</f>
        <v/>
      </c>
      <c r="X670" s="18">
        <f>IF(W670="","",IF(Murid!F670="TL","TL",ROUND(W670/110*100,2)))</f>
        <v/>
      </c>
    </row>
    <row r="671">
      <c r="A671" s="15">
        <f>Murid!A671</f>
        <v/>
      </c>
      <c r="B671" s="15">
        <f>IF(Murid!B671="","",Murid!B671)</f>
        <v/>
      </c>
      <c r="C671" s="16">
        <f>IF(Murid!C671="","",Murid!C671)</f>
        <v/>
      </c>
      <c r="D671" s="15">
        <f>IF(Murid!E671="","",Murid!E671)</f>
        <v/>
      </c>
      <c r="E671" s="11" t="n"/>
      <c r="F671" s="11" t="n"/>
      <c r="G671" s="10">
        <f>IF(F671="","",IFERROR(VLOOKUP(F671,T_JSP,2,FALSE),0))</f>
        <v/>
      </c>
      <c r="H671" s="11" t="n"/>
      <c r="I671" s="17">
        <f>IF(H671="","",IF(H671&gt;=12,40,ROUND(H671*3.33,2)))</f>
        <v/>
      </c>
      <c r="J671" s="11" t="n"/>
      <c r="K671" s="11" t="n"/>
      <c r="L671" s="11" t="n"/>
      <c r="M671" s="11" t="n"/>
      <c r="N671" s="10">
        <f>IF(COUNTA(J671:M671)=0,"",MIN(10,SUMPRODUCT((COUNTIF(J671:M671,L_KOM)&gt;0)*S_KOM)))</f>
        <v/>
      </c>
      <c r="O671" s="11" t="n"/>
      <c r="P671" s="10">
        <f>IF(O671="","",IFERROR(VLOOKUP(O671,T_KHID,2,FALSE),0))</f>
        <v/>
      </c>
      <c r="Q671" s="11" t="n"/>
      <c r="R671" s="11" t="n"/>
      <c r="S671" s="10">
        <f>IF(AND(Q671="",R671=""),"",IFERROR(INDEX(T_LIBAT,MATCH(Q671,L_PER,0),MATCH(R671,L_JENIS,0)),0))</f>
        <v/>
      </c>
      <c r="T671" s="11" t="n"/>
      <c r="U671" s="11" t="n"/>
      <c r="V671" s="10">
        <f>IF(AND(T671="",U671=""),"",IFERROR(INDEX(T_CAPAI,MATCH(T671,L_PER,0),MATCH(U671,L_KED,0)),0))</f>
        <v/>
      </c>
      <c r="W671" s="17">
        <f>IF(OR(B671="",E671="",COUNTA(F671,H671,J671:M671,O671,Q671:R671,T671:U671)=0),"",SUM(G671,I671,N671,P671,S671,V671))</f>
        <v/>
      </c>
      <c r="X671" s="18">
        <f>IF(W671="","",IF(Murid!F671="TL","TL",ROUND(W671/110*100,2)))</f>
        <v/>
      </c>
    </row>
    <row r="672">
      <c r="A672" s="15">
        <f>Murid!A672</f>
        <v/>
      </c>
      <c r="B672" s="15">
        <f>IF(Murid!B672="","",Murid!B672)</f>
        <v/>
      </c>
      <c r="C672" s="16">
        <f>IF(Murid!C672="","",Murid!C672)</f>
        <v/>
      </c>
      <c r="D672" s="15">
        <f>IF(Murid!E672="","",Murid!E672)</f>
        <v/>
      </c>
      <c r="E672" s="11" t="n"/>
      <c r="F672" s="11" t="n"/>
      <c r="G672" s="10">
        <f>IF(F672="","",IFERROR(VLOOKUP(F672,T_JSP,2,FALSE),0))</f>
        <v/>
      </c>
      <c r="H672" s="11" t="n"/>
      <c r="I672" s="17">
        <f>IF(H672="","",IF(H672&gt;=12,40,ROUND(H672*3.33,2)))</f>
        <v/>
      </c>
      <c r="J672" s="11" t="n"/>
      <c r="K672" s="11" t="n"/>
      <c r="L672" s="11" t="n"/>
      <c r="M672" s="11" t="n"/>
      <c r="N672" s="10">
        <f>IF(COUNTA(J672:M672)=0,"",MIN(10,SUMPRODUCT((COUNTIF(J672:M672,L_KOM)&gt;0)*S_KOM)))</f>
        <v/>
      </c>
      <c r="O672" s="11" t="n"/>
      <c r="P672" s="10">
        <f>IF(O672="","",IFERROR(VLOOKUP(O672,T_KHID,2,FALSE),0))</f>
        <v/>
      </c>
      <c r="Q672" s="11" t="n"/>
      <c r="R672" s="11" t="n"/>
      <c r="S672" s="10">
        <f>IF(AND(Q672="",R672=""),"",IFERROR(INDEX(T_LIBAT,MATCH(Q672,L_PER,0),MATCH(R672,L_JENIS,0)),0))</f>
        <v/>
      </c>
      <c r="T672" s="11" t="n"/>
      <c r="U672" s="11" t="n"/>
      <c r="V672" s="10">
        <f>IF(AND(T672="",U672=""),"",IFERROR(INDEX(T_CAPAI,MATCH(T672,L_PER,0),MATCH(U672,L_KED,0)),0))</f>
        <v/>
      </c>
      <c r="W672" s="17">
        <f>IF(OR(B672="",E672="",COUNTA(F672,H672,J672:M672,O672,Q672:R672,T672:U672)=0),"",SUM(G672,I672,N672,P672,S672,V672))</f>
        <v/>
      </c>
      <c r="X672" s="18">
        <f>IF(W672="","",IF(Murid!F672="TL","TL",ROUND(W672/110*100,2)))</f>
        <v/>
      </c>
    </row>
    <row r="673">
      <c r="A673" s="15">
        <f>Murid!A673</f>
        <v/>
      </c>
      <c r="B673" s="15">
        <f>IF(Murid!B673="","",Murid!B673)</f>
        <v/>
      </c>
      <c r="C673" s="16">
        <f>IF(Murid!C673="","",Murid!C673)</f>
        <v/>
      </c>
      <c r="D673" s="15">
        <f>IF(Murid!E673="","",Murid!E673)</f>
        <v/>
      </c>
      <c r="E673" s="11" t="n"/>
      <c r="F673" s="11" t="n"/>
      <c r="G673" s="10">
        <f>IF(F673="","",IFERROR(VLOOKUP(F673,T_JSP,2,FALSE),0))</f>
        <v/>
      </c>
      <c r="H673" s="11" t="n"/>
      <c r="I673" s="17">
        <f>IF(H673="","",IF(H673&gt;=12,40,ROUND(H673*3.33,2)))</f>
        <v/>
      </c>
      <c r="J673" s="11" t="n"/>
      <c r="K673" s="11" t="n"/>
      <c r="L673" s="11" t="n"/>
      <c r="M673" s="11" t="n"/>
      <c r="N673" s="10">
        <f>IF(COUNTA(J673:M673)=0,"",MIN(10,SUMPRODUCT((COUNTIF(J673:M673,L_KOM)&gt;0)*S_KOM)))</f>
        <v/>
      </c>
      <c r="O673" s="11" t="n"/>
      <c r="P673" s="10">
        <f>IF(O673="","",IFERROR(VLOOKUP(O673,T_KHID,2,FALSE),0))</f>
        <v/>
      </c>
      <c r="Q673" s="11" t="n"/>
      <c r="R673" s="11" t="n"/>
      <c r="S673" s="10">
        <f>IF(AND(Q673="",R673=""),"",IFERROR(INDEX(T_LIBAT,MATCH(Q673,L_PER,0),MATCH(R673,L_JENIS,0)),0))</f>
        <v/>
      </c>
      <c r="T673" s="11" t="n"/>
      <c r="U673" s="11" t="n"/>
      <c r="V673" s="10">
        <f>IF(AND(T673="",U673=""),"",IFERROR(INDEX(T_CAPAI,MATCH(T673,L_PER,0),MATCH(U673,L_KED,0)),0))</f>
        <v/>
      </c>
      <c r="W673" s="17">
        <f>IF(OR(B673="",E673="",COUNTA(F673,H673,J673:M673,O673,Q673:R673,T673:U673)=0),"",SUM(G673,I673,N673,P673,S673,V673))</f>
        <v/>
      </c>
      <c r="X673" s="18">
        <f>IF(W673="","",IF(Murid!F673="TL","TL",ROUND(W673/110*100,2)))</f>
        <v/>
      </c>
    </row>
    <row r="674">
      <c r="A674" s="15">
        <f>Murid!A674</f>
        <v/>
      </c>
      <c r="B674" s="15">
        <f>IF(Murid!B674="","",Murid!B674)</f>
        <v/>
      </c>
      <c r="C674" s="16">
        <f>IF(Murid!C674="","",Murid!C674)</f>
        <v/>
      </c>
      <c r="D674" s="15">
        <f>IF(Murid!E674="","",Murid!E674)</f>
        <v/>
      </c>
      <c r="E674" s="11" t="n"/>
      <c r="F674" s="11" t="n"/>
      <c r="G674" s="10">
        <f>IF(F674="","",IFERROR(VLOOKUP(F674,T_JSP,2,FALSE),0))</f>
        <v/>
      </c>
      <c r="H674" s="11" t="n"/>
      <c r="I674" s="17">
        <f>IF(H674="","",IF(H674&gt;=12,40,ROUND(H674*3.33,2)))</f>
        <v/>
      </c>
      <c r="J674" s="11" t="n"/>
      <c r="K674" s="11" t="n"/>
      <c r="L674" s="11" t="n"/>
      <c r="M674" s="11" t="n"/>
      <c r="N674" s="10">
        <f>IF(COUNTA(J674:M674)=0,"",MIN(10,SUMPRODUCT((COUNTIF(J674:M674,L_KOM)&gt;0)*S_KOM)))</f>
        <v/>
      </c>
      <c r="O674" s="11" t="n"/>
      <c r="P674" s="10">
        <f>IF(O674="","",IFERROR(VLOOKUP(O674,T_KHID,2,FALSE),0))</f>
        <v/>
      </c>
      <c r="Q674" s="11" t="n"/>
      <c r="R674" s="11" t="n"/>
      <c r="S674" s="10">
        <f>IF(AND(Q674="",R674=""),"",IFERROR(INDEX(T_LIBAT,MATCH(Q674,L_PER,0),MATCH(R674,L_JENIS,0)),0))</f>
        <v/>
      </c>
      <c r="T674" s="11" t="n"/>
      <c r="U674" s="11" t="n"/>
      <c r="V674" s="10">
        <f>IF(AND(T674="",U674=""),"",IFERROR(INDEX(T_CAPAI,MATCH(T674,L_PER,0),MATCH(U674,L_KED,0)),0))</f>
        <v/>
      </c>
      <c r="W674" s="17">
        <f>IF(OR(B674="",E674="",COUNTA(F674,H674,J674:M674,O674,Q674:R674,T674:U674)=0),"",SUM(G674,I674,N674,P674,S674,V674))</f>
        <v/>
      </c>
      <c r="X674" s="18">
        <f>IF(W674="","",IF(Murid!F674="TL","TL",ROUND(W674/110*100,2)))</f>
        <v/>
      </c>
    </row>
    <row r="675">
      <c r="A675" s="15">
        <f>Murid!A675</f>
        <v/>
      </c>
      <c r="B675" s="15">
        <f>IF(Murid!B675="","",Murid!B675)</f>
        <v/>
      </c>
      <c r="C675" s="16">
        <f>IF(Murid!C675="","",Murid!C675)</f>
        <v/>
      </c>
      <c r="D675" s="15">
        <f>IF(Murid!E675="","",Murid!E675)</f>
        <v/>
      </c>
      <c r="E675" s="11" t="n"/>
      <c r="F675" s="11" t="n"/>
      <c r="G675" s="10">
        <f>IF(F675="","",IFERROR(VLOOKUP(F675,T_JSP,2,FALSE),0))</f>
        <v/>
      </c>
      <c r="H675" s="11" t="n"/>
      <c r="I675" s="17">
        <f>IF(H675="","",IF(H675&gt;=12,40,ROUND(H675*3.33,2)))</f>
        <v/>
      </c>
      <c r="J675" s="11" t="n"/>
      <c r="K675" s="11" t="n"/>
      <c r="L675" s="11" t="n"/>
      <c r="M675" s="11" t="n"/>
      <c r="N675" s="10">
        <f>IF(COUNTA(J675:M675)=0,"",MIN(10,SUMPRODUCT((COUNTIF(J675:M675,L_KOM)&gt;0)*S_KOM)))</f>
        <v/>
      </c>
      <c r="O675" s="11" t="n"/>
      <c r="P675" s="10">
        <f>IF(O675="","",IFERROR(VLOOKUP(O675,T_KHID,2,FALSE),0))</f>
        <v/>
      </c>
      <c r="Q675" s="11" t="n"/>
      <c r="R675" s="11" t="n"/>
      <c r="S675" s="10">
        <f>IF(AND(Q675="",R675=""),"",IFERROR(INDEX(T_LIBAT,MATCH(Q675,L_PER,0),MATCH(R675,L_JENIS,0)),0))</f>
        <v/>
      </c>
      <c r="T675" s="11" t="n"/>
      <c r="U675" s="11" t="n"/>
      <c r="V675" s="10">
        <f>IF(AND(T675="",U675=""),"",IFERROR(INDEX(T_CAPAI,MATCH(T675,L_PER,0),MATCH(U675,L_KED,0)),0))</f>
        <v/>
      </c>
      <c r="W675" s="17">
        <f>IF(OR(B675="",E675="",COUNTA(F675,H675,J675:M675,O675,Q675:R675,T675:U675)=0),"",SUM(G675,I675,N675,P675,S675,V675))</f>
        <v/>
      </c>
      <c r="X675" s="18">
        <f>IF(W675="","",IF(Murid!F675="TL","TL",ROUND(W675/110*100,2)))</f>
        <v/>
      </c>
    </row>
    <row r="676">
      <c r="A676" s="15">
        <f>Murid!A676</f>
        <v/>
      </c>
      <c r="B676" s="15">
        <f>IF(Murid!B676="","",Murid!B676)</f>
        <v/>
      </c>
      <c r="C676" s="16">
        <f>IF(Murid!C676="","",Murid!C676)</f>
        <v/>
      </c>
      <c r="D676" s="15">
        <f>IF(Murid!E676="","",Murid!E676)</f>
        <v/>
      </c>
      <c r="E676" s="11" t="n"/>
      <c r="F676" s="11" t="n"/>
      <c r="G676" s="10">
        <f>IF(F676="","",IFERROR(VLOOKUP(F676,T_JSP,2,FALSE),0))</f>
        <v/>
      </c>
      <c r="H676" s="11" t="n"/>
      <c r="I676" s="17">
        <f>IF(H676="","",IF(H676&gt;=12,40,ROUND(H676*3.33,2)))</f>
        <v/>
      </c>
      <c r="J676" s="11" t="n"/>
      <c r="K676" s="11" t="n"/>
      <c r="L676" s="11" t="n"/>
      <c r="M676" s="11" t="n"/>
      <c r="N676" s="10">
        <f>IF(COUNTA(J676:M676)=0,"",MIN(10,SUMPRODUCT((COUNTIF(J676:M676,L_KOM)&gt;0)*S_KOM)))</f>
        <v/>
      </c>
      <c r="O676" s="11" t="n"/>
      <c r="P676" s="10">
        <f>IF(O676="","",IFERROR(VLOOKUP(O676,T_KHID,2,FALSE),0))</f>
        <v/>
      </c>
      <c r="Q676" s="11" t="n"/>
      <c r="R676" s="11" t="n"/>
      <c r="S676" s="10">
        <f>IF(AND(Q676="",R676=""),"",IFERROR(INDEX(T_LIBAT,MATCH(Q676,L_PER,0),MATCH(R676,L_JENIS,0)),0))</f>
        <v/>
      </c>
      <c r="T676" s="11" t="n"/>
      <c r="U676" s="11" t="n"/>
      <c r="V676" s="10">
        <f>IF(AND(T676="",U676=""),"",IFERROR(INDEX(T_CAPAI,MATCH(T676,L_PER,0),MATCH(U676,L_KED,0)),0))</f>
        <v/>
      </c>
      <c r="W676" s="17">
        <f>IF(OR(B676="",E676="",COUNTA(F676,H676,J676:M676,O676,Q676:R676,T676:U676)=0),"",SUM(G676,I676,N676,P676,S676,V676))</f>
        <v/>
      </c>
      <c r="X676" s="18">
        <f>IF(W676="","",IF(Murid!F676="TL","TL",ROUND(W676/110*100,2)))</f>
        <v/>
      </c>
    </row>
    <row r="677">
      <c r="A677" s="15">
        <f>Murid!A677</f>
        <v/>
      </c>
      <c r="B677" s="15">
        <f>IF(Murid!B677="","",Murid!B677)</f>
        <v/>
      </c>
      <c r="C677" s="16">
        <f>IF(Murid!C677="","",Murid!C677)</f>
        <v/>
      </c>
      <c r="D677" s="15">
        <f>IF(Murid!E677="","",Murid!E677)</f>
        <v/>
      </c>
      <c r="E677" s="11" t="n"/>
      <c r="F677" s="11" t="n"/>
      <c r="G677" s="10">
        <f>IF(F677="","",IFERROR(VLOOKUP(F677,T_JSP,2,FALSE),0))</f>
        <v/>
      </c>
      <c r="H677" s="11" t="n"/>
      <c r="I677" s="17">
        <f>IF(H677="","",IF(H677&gt;=12,40,ROUND(H677*3.33,2)))</f>
        <v/>
      </c>
      <c r="J677" s="11" t="n"/>
      <c r="K677" s="11" t="n"/>
      <c r="L677" s="11" t="n"/>
      <c r="M677" s="11" t="n"/>
      <c r="N677" s="10">
        <f>IF(COUNTA(J677:M677)=0,"",MIN(10,SUMPRODUCT((COUNTIF(J677:M677,L_KOM)&gt;0)*S_KOM)))</f>
        <v/>
      </c>
      <c r="O677" s="11" t="n"/>
      <c r="P677" s="10">
        <f>IF(O677="","",IFERROR(VLOOKUP(O677,T_KHID,2,FALSE),0))</f>
        <v/>
      </c>
      <c r="Q677" s="11" t="n"/>
      <c r="R677" s="11" t="n"/>
      <c r="S677" s="10">
        <f>IF(AND(Q677="",R677=""),"",IFERROR(INDEX(T_LIBAT,MATCH(Q677,L_PER,0),MATCH(R677,L_JENIS,0)),0))</f>
        <v/>
      </c>
      <c r="T677" s="11" t="n"/>
      <c r="U677" s="11" t="n"/>
      <c r="V677" s="10">
        <f>IF(AND(T677="",U677=""),"",IFERROR(INDEX(T_CAPAI,MATCH(T677,L_PER,0),MATCH(U677,L_KED,0)),0))</f>
        <v/>
      </c>
      <c r="W677" s="17">
        <f>IF(OR(B677="",E677="",COUNTA(F677,H677,J677:M677,O677,Q677:R677,T677:U677)=0),"",SUM(G677,I677,N677,P677,S677,V677))</f>
        <v/>
      </c>
      <c r="X677" s="18">
        <f>IF(W677="","",IF(Murid!F677="TL","TL",ROUND(W677/110*100,2)))</f>
        <v/>
      </c>
    </row>
    <row r="678">
      <c r="A678" s="15">
        <f>Murid!A678</f>
        <v/>
      </c>
      <c r="B678" s="15">
        <f>IF(Murid!B678="","",Murid!B678)</f>
        <v/>
      </c>
      <c r="C678" s="16">
        <f>IF(Murid!C678="","",Murid!C678)</f>
        <v/>
      </c>
      <c r="D678" s="15">
        <f>IF(Murid!E678="","",Murid!E678)</f>
        <v/>
      </c>
      <c r="E678" s="11" t="n"/>
      <c r="F678" s="11" t="n"/>
      <c r="G678" s="10">
        <f>IF(F678="","",IFERROR(VLOOKUP(F678,T_JSP,2,FALSE),0))</f>
        <v/>
      </c>
      <c r="H678" s="11" t="n"/>
      <c r="I678" s="17">
        <f>IF(H678="","",IF(H678&gt;=12,40,ROUND(H678*3.33,2)))</f>
        <v/>
      </c>
      <c r="J678" s="11" t="n"/>
      <c r="K678" s="11" t="n"/>
      <c r="L678" s="11" t="n"/>
      <c r="M678" s="11" t="n"/>
      <c r="N678" s="10">
        <f>IF(COUNTA(J678:M678)=0,"",MIN(10,SUMPRODUCT((COUNTIF(J678:M678,L_KOM)&gt;0)*S_KOM)))</f>
        <v/>
      </c>
      <c r="O678" s="11" t="n"/>
      <c r="P678" s="10">
        <f>IF(O678="","",IFERROR(VLOOKUP(O678,T_KHID,2,FALSE),0))</f>
        <v/>
      </c>
      <c r="Q678" s="11" t="n"/>
      <c r="R678" s="11" t="n"/>
      <c r="S678" s="10">
        <f>IF(AND(Q678="",R678=""),"",IFERROR(INDEX(T_LIBAT,MATCH(Q678,L_PER,0),MATCH(R678,L_JENIS,0)),0))</f>
        <v/>
      </c>
      <c r="T678" s="11" t="n"/>
      <c r="U678" s="11" t="n"/>
      <c r="V678" s="10">
        <f>IF(AND(T678="",U678=""),"",IFERROR(INDEX(T_CAPAI,MATCH(T678,L_PER,0),MATCH(U678,L_KED,0)),0))</f>
        <v/>
      </c>
      <c r="W678" s="17">
        <f>IF(OR(B678="",E678="",COUNTA(F678,H678,J678:M678,O678,Q678:R678,T678:U678)=0),"",SUM(G678,I678,N678,P678,S678,V678))</f>
        <v/>
      </c>
      <c r="X678" s="18">
        <f>IF(W678="","",IF(Murid!F678="TL","TL",ROUND(W678/110*100,2)))</f>
        <v/>
      </c>
    </row>
    <row r="679">
      <c r="A679" s="15">
        <f>Murid!A679</f>
        <v/>
      </c>
      <c r="B679" s="15">
        <f>IF(Murid!B679="","",Murid!B679)</f>
        <v/>
      </c>
      <c r="C679" s="16">
        <f>IF(Murid!C679="","",Murid!C679)</f>
        <v/>
      </c>
      <c r="D679" s="15">
        <f>IF(Murid!E679="","",Murid!E679)</f>
        <v/>
      </c>
      <c r="E679" s="11" t="n"/>
      <c r="F679" s="11" t="n"/>
      <c r="G679" s="10">
        <f>IF(F679="","",IFERROR(VLOOKUP(F679,T_JSP,2,FALSE),0))</f>
        <v/>
      </c>
      <c r="H679" s="11" t="n"/>
      <c r="I679" s="17">
        <f>IF(H679="","",IF(H679&gt;=12,40,ROUND(H679*3.33,2)))</f>
        <v/>
      </c>
      <c r="J679" s="11" t="n"/>
      <c r="K679" s="11" t="n"/>
      <c r="L679" s="11" t="n"/>
      <c r="M679" s="11" t="n"/>
      <c r="N679" s="10">
        <f>IF(COUNTA(J679:M679)=0,"",MIN(10,SUMPRODUCT((COUNTIF(J679:M679,L_KOM)&gt;0)*S_KOM)))</f>
        <v/>
      </c>
      <c r="O679" s="11" t="n"/>
      <c r="P679" s="10">
        <f>IF(O679="","",IFERROR(VLOOKUP(O679,T_KHID,2,FALSE),0))</f>
        <v/>
      </c>
      <c r="Q679" s="11" t="n"/>
      <c r="R679" s="11" t="n"/>
      <c r="S679" s="10">
        <f>IF(AND(Q679="",R679=""),"",IFERROR(INDEX(T_LIBAT,MATCH(Q679,L_PER,0),MATCH(R679,L_JENIS,0)),0))</f>
        <v/>
      </c>
      <c r="T679" s="11" t="n"/>
      <c r="U679" s="11" t="n"/>
      <c r="V679" s="10">
        <f>IF(AND(T679="",U679=""),"",IFERROR(INDEX(T_CAPAI,MATCH(T679,L_PER,0),MATCH(U679,L_KED,0)),0))</f>
        <v/>
      </c>
      <c r="W679" s="17">
        <f>IF(OR(B679="",E679="",COUNTA(F679,H679,J679:M679,O679,Q679:R679,T679:U679)=0),"",SUM(G679,I679,N679,P679,S679,V679))</f>
        <v/>
      </c>
      <c r="X679" s="18">
        <f>IF(W679="","",IF(Murid!F679="TL","TL",ROUND(W679/110*100,2)))</f>
        <v/>
      </c>
    </row>
    <row r="680">
      <c r="A680" s="15">
        <f>Murid!A680</f>
        <v/>
      </c>
      <c r="B680" s="15">
        <f>IF(Murid!B680="","",Murid!B680)</f>
        <v/>
      </c>
      <c r="C680" s="16">
        <f>IF(Murid!C680="","",Murid!C680)</f>
        <v/>
      </c>
      <c r="D680" s="15">
        <f>IF(Murid!E680="","",Murid!E680)</f>
        <v/>
      </c>
      <c r="E680" s="11" t="n"/>
      <c r="F680" s="11" t="n"/>
      <c r="G680" s="10">
        <f>IF(F680="","",IFERROR(VLOOKUP(F680,T_JSP,2,FALSE),0))</f>
        <v/>
      </c>
      <c r="H680" s="11" t="n"/>
      <c r="I680" s="17">
        <f>IF(H680="","",IF(H680&gt;=12,40,ROUND(H680*3.33,2)))</f>
        <v/>
      </c>
      <c r="J680" s="11" t="n"/>
      <c r="K680" s="11" t="n"/>
      <c r="L680" s="11" t="n"/>
      <c r="M680" s="11" t="n"/>
      <c r="N680" s="10">
        <f>IF(COUNTA(J680:M680)=0,"",MIN(10,SUMPRODUCT((COUNTIF(J680:M680,L_KOM)&gt;0)*S_KOM)))</f>
        <v/>
      </c>
      <c r="O680" s="11" t="n"/>
      <c r="P680" s="10">
        <f>IF(O680="","",IFERROR(VLOOKUP(O680,T_KHID,2,FALSE),0))</f>
        <v/>
      </c>
      <c r="Q680" s="11" t="n"/>
      <c r="R680" s="11" t="n"/>
      <c r="S680" s="10">
        <f>IF(AND(Q680="",R680=""),"",IFERROR(INDEX(T_LIBAT,MATCH(Q680,L_PER,0),MATCH(R680,L_JENIS,0)),0))</f>
        <v/>
      </c>
      <c r="T680" s="11" t="n"/>
      <c r="U680" s="11" t="n"/>
      <c r="V680" s="10">
        <f>IF(AND(T680="",U680=""),"",IFERROR(INDEX(T_CAPAI,MATCH(T680,L_PER,0),MATCH(U680,L_KED,0)),0))</f>
        <v/>
      </c>
      <c r="W680" s="17">
        <f>IF(OR(B680="",E680="",COUNTA(F680,H680,J680:M680,O680,Q680:R680,T680:U680)=0),"",SUM(G680,I680,N680,P680,S680,V680))</f>
        <v/>
      </c>
      <c r="X680" s="18">
        <f>IF(W680="","",IF(Murid!F680="TL","TL",ROUND(W680/110*100,2)))</f>
        <v/>
      </c>
    </row>
    <row r="681">
      <c r="A681" s="15">
        <f>Murid!A681</f>
        <v/>
      </c>
      <c r="B681" s="15">
        <f>IF(Murid!B681="","",Murid!B681)</f>
        <v/>
      </c>
      <c r="C681" s="16">
        <f>IF(Murid!C681="","",Murid!C681)</f>
        <v/>
      </c>
      <c r="D681" s="15">
        <f>IF(Murid!E681="","",Murid!E681)</f>
        <v/>
      </c>
      <c r="E681" s="11" t="n"/>
      <c r="F681" s="11" t="n"/>
      <c r="G681" s="10">
        <f>IF(F681="","",IFERROR(VLOOKUP(F681,T_JSP,2,FALSE),0))</f>
        <v/>
      </c>
      <c r="H681" s="11" t="n"/>
      <c r="I681" s="17">
        <f>IF(H681="","",IF(H681&gt;=12,40,ROUND(H681*3.33,2)))</f>
        <v/>
      </c>
      <c r="J681" s="11" t="n"/>
      <c r="K681" s="11" t="n"/>
      <c r="L681" s="11" t="n"/>
      <c r="M681" s="11" t="n"/>
      <c r="N681" s="10">
        <f>IF(COUNTA(J681:M681)=0,"",MIN(10,SUMPRODUCT((COUNTIF(J681:M681,L_KOM)&gt;0)*S_KOM)))</f>
        <v/>
      </c>
      <c r="O681" s="11" t="n"/>
      <c r="P681" s="10">
        <f>IF(O681="","",IFERROR(VLOOKUP(O681,T_KHID,2,FALSE),0))</f>
        <v/>
      </c>
      <c r="Q681" s="11" t="n"/>
      <c r="R681" s="11" t="n"/>
      <c r="S681" s="10">
        <f>IF(AND(Q681="",R681=""),"",IFERROR(INDEX(T_LIBAT,MATCH(Q681,L_PER,0),MATCH(R681,L_JENIS,0)),0))</f>
        <v/>
      </c>
      <c r="T681" s="11" t="n"/>
      <c r="U681" s="11" t="n"/>
      <c r="V681" s="10">
        <f>IF(AND(T681="",U681=""),"",IFERROR(INDEX(T_CAPAI,MATCH(T681,L_PER,0),MATCH(U681,L_KED,0)),0))</f>
        <v/>
      </c>
      <c r="W681" s="17">
        <f>IF(OR(B681="",E681="",COUNTA(F681,H681,J681:M681,O681,Q681:R681,T681:U681)=0),"",SUM(G681,I681,N681,P681,S681,V681))</f>
        <v/>
      </c>
      <c r="X681" s="18">
        <f>IF(W681="","",IF(Murid!F681="TL","TL",ROUND(W681/110*100,2)))</f>
        <v/>
      </c>
    </row>
    <row r="682">
      <c r="A682" s="15">
        <f>Murid!A682</f>
        <v/>
      </c>
      <c r="B682" s="15">
        <f>IF(Murid!B682="","",Murid!B682)</f>
        <v/>
      </c>
      <c r="C682" s="16">
        <f>IF(Murid!C682="","",Murid!C682)</f>
        <v/>
      </c>
      <c r="D682" s="15">
        <f>IF(Murid!E682="","",Murid!E682)</f>
        <v/>
      </c>
      <c r="E682" s="11" t="n"/>
      <c r="F682" s="11" t="n"/>
      <c r="G682" s="10">
        <f>IF(F682="","",IFERROR(VLOOKUP(F682,T_JSP,2,FALSE),0))</f>
        <v/>
      </c>
      <c r="H682" s="11" t="n"/>
      <c r="I682" s="17">
        <f>IF(H682="","",IF(H682&gt;=12,40,ROUND(H682*3.33,2)))</f>
        <v/>
      </c>
      <c r="J682" s="11" t="n"/>
      <c r="K682" s="11" t="n"/>
      <c r="L682" s="11" t="n"/>
      <c r="M682" s="11" t="n"/>
      <c r="N682" s="10">
        <f>IF(COUNTA(J682:M682)=0,"",MIN(10,SUMPRODUCT((COUNTIF(J682:M682,L_KOM)&gt;0)*S_KOM)))</f>
        <v/>
      </c>
      <c r="O682" s="11" t="n"/>
      <c r="P682" s="10">
        <f>IF(O682="","",IFERROR(VLOOKUP(O682,T_KHID,2,FALSE),0))</f>
        <v/>
      </c>
      <c r="Q682" s="11" t="n"/>
      <c r="R682" s="11" t="n"/>
      <c r="S682" s="10">
        <f>IF(AND(Q682="",R682=""),"",IFERROR(INDEX(T_LIBAT,MATCH(Q682,L_PER,0),MATCH(R682,L_JENIS,0)),0))</f>
        <v/>
      </c>
      <c r="T682" s="11" t="n"/>
      <c r="U682" s="11" t="n"/>
      <c r="V682" s="10">
        <f>IF(AND(T682="",U682=""),"",IFERROR(INDEX(T_CAPAI,MATCH(T682,L_PER,0),MATCH(U682,L_KED,0)),0))</f>
        <v/>
      </c>
      <c r="W682" s="17">
        <f>IF(OR(B682="",E682="",COUNTA(F682,H682,J682:M682,O682,Q682:R682,T682:U682)=0),"",SUM(G682,I682,N682,P682,S682,V682))</f>
        <v/>
      </c>
      <c r="X682" s="18">
        <f>IF(W682="","",IF(Murid!F682="TL","TL",ROUND(W682/110*100,2)))</f>
        <v/>
      </c>
    </row>
    <row r="683">
      <c r="A683" s="15">
        <f>Murid!A683</f>
        <v/>
      </c>
      <c r="B683" s="15">
        <f>IF(Murid!B683="","",Murid!B683)</f>
        <v/>
      </c>
      <c r="C683" s="16">
        <f>IF(Murid!C683="","",Murid!C683)</f>
        <v/>
      </c>
      <c r="D683" s="15">
        <f>IF(Murid!E683="","",Murid!E683)</f>
        <v/>
      </c>
      <c r="E683" s="11" t="n"/>
      <c r="F683" s="11" t="n"/>
      <c r="G683" s="10">
        <f>IF(F683="","",IFERROR(VLOOKUP(F683,T_JSP,2,FALSE),0))</f>
        <v/>
      </c>
      <c r="H683" s="11" t="n"/>
      <c r="I683" s="17">
        <f>IF(H683="","",IF(H683&gt;=12,40,ROUND(H683*3.33,2)))</f>
        <v/>
      </c>
      <c r="J683" s="11" t="n"/>
      <c r="K683" s="11" t="n"/>
      <c r="L683" s="11" t="n"/>
      <c r="M683" s="11" t="n"/>
      <c r="N683" s="10">
        <f>IF(COUNTA(J683:M683)=0,"",MIN(10,SUMPRODUCT((COUNTIF(J683:M683,L_KOM)&gt;0)*S_KOM)))</f>
        <v/>
      </c>
      <c r="O683" s="11" t="n"/>
      <c r="P683" s="10">
        <f>IF(O683="","",IFERROR(VLOOKUP(O683,T_KHID,2,FALSE),0))</f>
        <v/>
      </c>
      <c r="Q683" s="11" t="n"/>
      <c r="R683" s="11" t="n"/>
      <c r="S683" s="10">
        <f>IF(AND(Q683="",R683=""),"",IFERROR(INDEX(T_LIBAT,MATCH(Q683,L_PER,0),MATCH(R683,L_JENIS,0)),0))</f>
        <v/>
      </c>
      <c r="T683" s="11" t="n"/>
      <c r="U683" s="11" t="n"/>
      <c r="V683" s="10">
        <f>IF(AND(T683="",U683=""),"",IFERROR(INDEX(T_CAPAI,MATCH(T683,L_PER,0),MATCH(U683,L_KED,0)),0))</f>
        <v/>
      </c>
      <c r="W683" s="17">
        <f>IF(OR(B683="",E683="",COUNTA(F683,H683,J683:M683,O683,Q683:R683,T683:U683)=0),"",SUM(G683,I683,N683,P683,S683,V683))</f>
        <v/>
      </c>
      <c r="X683" s="18">
        <f>IF(W683="","",IF(Murid!F683="TL","TL",ROUND(W683/110*100,2)))</f>
        <v/>
      </c>
    </row>
    <row r="684">
      <c r="A684" s="15">
        <f>Murid!A684</f>
        <v/>
      </c>
      <c r="B684" s="15">
        <f>IF(Murid!B684="","",Murid!B684)</f>
        <v/>
      </c>
      <c r="C684" s="16">
        <f>IF(Murid!C684="","",Murid!C684)</f>
        <v/>
      </c>
      <c r="D684" s="15">
        <f>IF(Murid!E684="","",Murid!E684)</f>
        <v/>
      </c>
      <c r="E684" s="11" t="n"/>
      <c r="F684" s="11" t="n"/>
      <c r="G684" s="10">
        <f>IF(F684="","",IFERROR(VLOOKUP(F684,T_JSP,2,FALSE),0))</f>
        <v/>
      </c>
      <c r="H684" s="11" t="n"/>
      <c r="I684" s="17">
        <f>IF(H684="","",IF(H684&gt;=12,40,ROUND(H684*3.33,2)))</f>
        <v/>
      </c>
      <c r="J684" s="11" t="n"/>
      <c r="K684" s="11" t="n"/>
      <c r="L684" s="11" t="n"/>
      <c r="M684" s="11" t="n"/>
      <c r="N684" s="10">
        <f>IF(COUNTA(J684:M684)=0,"",MIN(10,SUMPRODUCT((COUNTIF(J684:M684,L_KOM)&gt;0)*S_KOM)))</f>
        <v/>
      </c>
      <c r="O684" s="11" t="n"/>
      <c r="P684" s="10">
        <f>IF(O684="","",IFERROR(VLOOKUP(O684,T_KHID,2,FALSE),0))</f>
        <v/>
      </c>
      <c r="Q684" s="11" t="n"/>
      <c r="R684" s="11" t="n"/>
      <c r="S684" s="10">
        <f>IF(AND(Q684="",R684=""),"",IFERROR(INDEX(T_LIBAT,MATCH(Q684,L_PER,0),MATCH(R684,L_JENIS,0)),0))</f>
        <v/>
      </c>
      <c r="T684" s="11" t="n"/>
      <c r="U684" s="11" t="n"/>
      <c r="V684" s="10">
        <f>IF(AND(T684="",U684=""),"",IFERROR(INDEX(T_CAPAI,MATCH(T684,L_PER,0),MATCH(U684,L_KED,0)),0))</f>
        <v/>
      </c>
      <c r="W684" s="17">
        <f>IF(OR(B684="",E684="",COUNTA(F684,H684,J684:M684,O684,Q684:R684,T684:U684)=0),"",SUM(G684,I684,N684,P684,S684,V684))</f>
        <v/>
      </c>
      <c r="X684" s="18">
        <f>IF(W684="","",IF(Murid!F684="TL","TL",ROUND(W684/110*100,2)))</f>
        <v/>
      </c>
    </row>
    <row r="685">
      <c r="A685" s="15">
        <f>Murid!A685</f>
        <v/>
      </c>
      <c r="B685" s="15">
        <f>IF(Murid!B685="","",Murid!B685)</f>
        <v/>
      </c>
      <c r="C685" s="16">
        <f>IF(Murid!C685="","",Murid!C685)</f>
        <v/>
      </c>
      <c r="D685" s="15">
        <f>IF(Murid!E685="","",Murid!E685)</f>
        <v/>
      </c>
      <c r="E685" s="11" t="n"/>
      <c r="F685" s="11" t="n"/>
      <c r="G685" s="10">
        <f>IF(F685="","",IFERROR(VLOOKUP(F685,T_JSP,2,FALSE),0))</f>
        <v/>
      </c>
      <c r="H685" s="11" t="n"/>
      <c r="I685" s="17">
        <f>IF(H685="","",IF(H685&gt;=12,40,ROUND(H685*3.33,2)))</f>
        <v/>
      </c>
      <c r="J685" s="11" t="n"/>
      <c r="K685" s="11" t="n"/>
      <c r="L685" s="11" t="n"/>
      <c r="M685" s="11" t="n"/>
      <c r="N685" s="10">
        <f>IF(COUNTA(J685:M685)=0,"",MIN(10,SUMPRODUCT((COUNTIF(J685:M685,L_KOM)&gt;0)*S_KOM)))</f>
        <v/>
      </c>
      <c r="O685" s="11" t="n"/>
      <c r="P685" s="10">
        <f>IF(O685="","",IFERROR(VLOOKUP(O685,T_KHID,2,FALSE),0))</f>
        <v/>
      </c>
      <c r="Q685" s="11" t="n"/>
      <c r="R685" s="11" t="n"/>
      <c r="S685" s="10">
        <f>IF(AND(Q685="",R685=""),"",IFERROR(INDEX(T_LIBAT,MATCH(Q685,L_PER,0),MATCH(R685,L_JENIS,0)),0))</f>
        <v/>
      </c>
      <c r="T685" s="11" t="n"/>
      <c r="U685" s="11" t="n"/>
      <c r="V685" s="10">
        <f>IF(AND(T685="",U685=""),"",IFERROR(INDEX(T_CAPAI,MATCH(T685,L_PER,0),MATCH(U685,L_KED,0)),0))</f>
        <v/>
      </c>
      <c r="W685" s="17">
        <f>IF(OR(B685="",E685="",COUNTA(F685,H685,J685:M685,O685,Q685:R685,T685:U685)=0),"",SUM(G685,I685,N685,P685,S685,V685))</f>
        <v/>
      </c>
      <c r="X685" s="18">
        <f>IF(W685="","",IF(Murid!F685="TL","TL",ROUND(W685/110*100,2)))</f>
        <v/>
      </c>
    </row>
    <row r="686">
      <c r="A686" s="15">
        <f>Murid!A686</f>
        <v/>
      </c>
      <c r="B686" s="15">
        <f>IF(Murid!B686="","",Murid!B686)</f>
        <v/>
      </c>
      <c r="C686" s="16">
        <f>IF(Murid!C686="","",Murid!C686)</f>
        <v/>
      </c>
      <c r="D686" s="15">
        <f>IF(Murid!E686="","",Murid!E686)</f>
        <v/>
      </c>
      <c r="E686" s="11" t="n"/>
      <c r="F686" s="11" t="n"/>
      <c r="G686" s="10">
        <f>IF(F686="","",IFERROR(VLOOKUP(F686,T_JSP,2,FALSE),0))</f>
        <v/>
      </c>
      <c r="H686" s="11" t="n"/>
      <c r="I686" s="17">
        <f>IF(H686="","",IF(H686&gt;=12,40,ROUND(H686*3.33,2)))</f>
        <v/>
      </c>
      <c r="J686" s="11" t="n"/>
      <c r="K686" s="11" t="n"/>
      <c r="L686" s="11" t="n"/>
      <c r="M686" s="11" t="n"/>
      <c r="N686" s="10">
        <f>IF(COUNTA(J686:M686)=0,"",MIN(10,SUMPRODUCT((COUNTIF(J686:M686,L_KOM)&gt;0)*S_KOM)))</f>
        <v/>
      </c>
      <c r="O686" s="11" t="n"/>
      <c r="P686" s="10">
        <f>IF(O686="","",IFERROR(VLOOKUP(O686,T_KHID,2,FALSE),0))</f>
        <v/>
      </c>
      <c r="Q686" s="11" t="n"/>
      <c r="R686" s="11" t="n"/>
      <c r="S686" s="10">
        <f>IF(AND(Q686="",R686=""),"",IFERROR(INDEX(T_LIBAT,MATCH(Q686,L_PER,0),MATCH(R686,L_JENIS,0)),0))</f>
        <v/>
      </c>
      <c r="T686" s="11" t="n"/>
      <c r="U686" s="11" t="n"/>
      <c r="V686" s="10">
        <f>IF(AND(T686="",U686=""),"",IFERROR(INDEX(T_CAPAI,MATCH(T686,L_PER,0),MATCH(U686,L_KED,0)),0))</f>
        <v/>
      </c>
      <c r="W686" s="17">
        <f>IF(OR(B686="",E686="",COUNTA(F686,H686,J686:M686,O686,Q686:R686,T686:U686)=0),"",SUM(G686,I686,N686,P686,S686,V686))</f>
        <v/>
      </c>
      <c r="X686" s="18">
        <f>IF(W686="","",IF(Murid!F686="TL","TL",ROUND(W686/110*100,2)))</f>
        <v/>
      </c>
    </row>
    <row r="687">
      <c r="A687" s="15">
        <f>Murid!A687</f>
        <v/>
      </c>
      <c r="B687" s="15">
        <f>IF(Murid!B687="","",Murid!B687)</f>
        <v/>
      </c>
      <c r="C687" s="16">
        <f>IF(Murid!C687="","",Murid!C687)</f>
        <v/>
      </c>
      <c r="D687" s="15">
        <f>IF(Murid!E687="","",Murid!E687)</f>
        <v/>
      </c>
      <c r="E687" s="11" t="n"/>
      <c r="F687" s="11" t="n"/>
      <c r="G687" s="10">
        <f>IF(F687="","",IFERROR(VLOOKUP(F687,T_JSP,2,FALSE),0))</f>
        <v/>
      </c>
      <c r="H687" s="11" t="n"/>
      <c r="I687" s="17">
        <f>IF(H687="","",IF(H687&gt;=12,40,ROUND(H687*3.33,2)))</f>
        <v/>
      </c>
      <c r="J687" s="11" t="n"/>
      <c r="K687" s="11" t="n"/>
      <c r="L687" s="11" t="n"/>
      <c r="M687" s="11" t="n"/>
      <c r="N687" s="10">
        <f>IF(COUNTA(J687:M687)=0,"",MIN(10,SUMPRODUCT((COUNTIF(J687:M687,L_KOM)&gt;0)*S_KOM)))</f>
        <v/>
      </c>
      <c r="O687" s="11" t="n"/>
      <c r="P687" s="10">
        <f>IF(O687="","",IFERROR(VLOOKUP(O687,T_KHID,2,FALSE),0))</f>
        <v/>
      </c>
      <c r="Q687" s="11" t="n"/>
      <c r="R687" s="11" t="n"/>
      <c r="S687" s="10">
        <f>IF(AND(Q687="",R687=""),"",IFERROR(INDEX(T_LIBAT,MATCH(Q687,L_PER,0),MATCH(R687,L_JENIS,0)),0))</f>
        <v/>
      </c>
      <c r="T687" s="11" t="n"/>
      <c r="U687" s="11" t="n"/>
      <c r="V687" s="10">
        <f>IF(AND(T687="",U687=""),"",IFERROR(INDEX(T_CAPAI,MATCH(T687,L_PER,0),MATCH(U687,L_KED,0)),0))</f>
        <v/>
      </c>
      <c r="W687" s="17">
        <f>IF(OR(B687="",E687="",COUNTA(F687,H687,J687:M687,O687,Q687:R687,T687:U687)=0),"",SUM(G687,I687,N687,P687,S687,V687))</f>
        <v/>
      </c>
      <c r="X687" s="18">
        <f>IF(W687="","",IF(Murid!F687="TL","TL",ROUND(W687/110*100,2)))</f>
        <v/>
      </c>
    </row>
    <row r="688">
      <c r="A688" s="15">
        <f>Murid!A688</f>
        <v/>
      </c>
      <c r="B688" s="15">
        <f>IF(Murid!B688="","",Murid!B688)</f>
        <v/>
      </c>
      <c r="C688" s="16">
        <f>IF(Murid!C688="","",Murid!C688)</f>
        <v/>
      </c>
      <c r="D688" s="15">
        <f>IF(Murid!E688="","",Murid!E688)</f>
        <v/>
      </c>
      <c r="E688" s="11" t="n"/>
      <c r="F688" s="11" t="n"/>
      <c r="G688" s="10">
        <f>IF(F688="","",IFERROR(VLOOKUP(F688,T_JSP,2,FALSE),0))</f>
        <v/>
      </c>
      <c r="H688" s="11" t="n"/>
      <c r="I688" s="17">
        <f>IF(H688="","",IF(H688&gt;=12,40,ROUND(H688*3.33,2)))</f>
        <v/>
      </c>
      <c r="J688" s="11" t="n"/>
      <c r="K688" s="11" t="n"/>
      <c r="L688" s="11" t="n"/>
      <c r="M688" s="11" t="n"/>
      <c r="N688" s="10">
        <f>IF(COUNTA(J688:M688)=0,"",MIN(10,SUMPRODUCT((COUNTIF(J688:M688,L_KOM)&gt;0)*S_KOM)))</f>
        <v/>
      </c>
      <c r="O688" s="11" t="n"/>
      <c r="P688" s="10">
        <f>IF(O688="","",IFERROR(VLOOKUP(O688,T_KHID,2,FALSE),0))</f>
        <v/>
      </c>
      <c r="Q688" s="11" t="n"/>
      <c r="R688" s="11" t="n"/>
      <c r="S688" s="10">
        <f>IF(AND(Q688="",R688=""),"",IFERROR(INDEX(T_LIBAT,MATCH(Q688,L_PER,0),MATCH(R688,L_JENIS,0)),0))</f>
        <v/>
      </c>
      <c r="T688" s="11" t="n"/>
      <c r="U688" s="11" t="n"/>
      <c r="V688" s="10">
        <f>IF(AND(T688="",U688=""),"",IFERROR(INDEX(T_CAPAI,MATCH(T688,L_PER,0),MATCH(U688,L_KED,0)),0))</f>
        <v/>
      </c>
      <c r="W688" s="17">
        <f>IF(OR(B688="",E688="",COUNTA(F688,H688,J688:M688,O688,Q688:R688,T688:U688)=0),"",SUM(G688,I688,N688,P688,S688,V688))</f>
        <v/>
      </c>
      <c r="X688" s="18">
        <f>IF(W688="","",IF(Murid!F688="TL","TL",ROUND(W688/110*100,2)))</f>
        <v/>
      </c>
    </row>
    <row r="689">
      <c r="A689" s="15">
        <f>Murid!A689</f>
        <v/>
      </c>
      <c r="B689" s="15">
        <f>IF(Murid!B689="","",Murid!B689)</f>
        <v/>
      </c>
      <c r="C689" s="16">
        <f>IF(Murid!C689="","",Murid!C689)</f>
        <v/>
      </c>
      <c r="D689" s="15">
        <f>IF(Murid!E689="","",Murid!E689)</f>
        <v/>
      </c>
      <c r="E689" s="11" t="n"/>
      <c r="F689" s="11" t="n"/>
      <c r="G689" s="10">
        <f>IF(F689="","",IFERROR(VLOOKUP(F689,T_JSP,2,FALSE),0))</f>
        <v/>
      </c>
      <c r="H689" s="11" t="n"/>
      <c r="I689" s="17">
        <f>IF(H689="","",IF(H689&gt;=12,40,ROUND(H689*3.33,2)))</f>
        <v/>
      </c>
      <c r="J689" s="11" t="n"/>
      <c r="K689" s="11" t="n"/>
      <c r="L689" s="11" t="n"/>
      <c r="M689" s="11" t="n"/>
      <c r="N689" s="10">
        <f>IF(COUNTA(J689:M689)=0,"",MIN(10,SUMPRODUCT((COUNTIF(J689:M689,L_KOM)&gt;0)*S_KOM)))</f>
        <v/>
      </c>
      <c r="O689" s="11" t="n"/>
      <c r="P689" s="10">
        <f>IF(O689="","",IFERROR(VLOOKUP(O689,T_KHID,2,FALSE),0))</f>
        <v/>
      </c>
      <c r="Q689" s="11" t="n"/>
      <c r="R689" s="11" t="n"/>
      <c r="S689" s="10">
        <f>IF(AND(Q689="",R689=""),"",IFERROR(INDEX(T_LIBAT,MATCH(Q689,L_PER,0),MATCH(R689,L_JENIS,0)),0))</f>
        <v/>
      </c>
      <c r="T689" s="11" t="n"/>
      <c r="U689" s="11" t="n"/>
      <c r="V689" s="10">
        <f>IF(AND(T689="",U689=""),"",IFERROR(INDEX(T_CAPAI,MATCH(T689,L_PER,0),MATCH(U689,L_KED,0)),0))</f>
        <v/>
      </c>
      <c r="W689" s="17">
        <f>IF(OR(B689="",E689="",COUNTA(F689,H689,J689:M689,O689,Q689:R689,T689:U689)=0),"",SUM(G689,I689,N689,P689,S689,V689))</f>
        <v/>
      </c>
      <c r="X689" s="18">
        <f>IF(W689="","",IF(Murid!F689="TL","TL",ROUND(W689/110*100,2)))</f>
        <v/>
      </c>
    </row>
    <row r="690">
      <c r="A690" s="15">
        <f>Murid!A690</f>
        <v/>
      </c>
      <c r="B690" s="15">
        <f>IF(Murid!B690="","",Murid!B690)</f>
        <v/>
      </c>
      <c r="C690" s="16">
        <f>IF(Murid!C690="","",Murid!C690)</f>
        <v/>
      </c>
      <c r="D690" s="15">
        <f>IF(Murid!E690="","",Murid!E690)</f>
        <v/>
      </c>
      <c r="E690" s="11" t="n"/>
      <c r="F690" s="11" t="n"/>
      <c r="G690" s="10">
        <f>IF(F690="","",IFERROR(VLOOKUP(F690,T_JSP,2,FALSE),0))</f>
        <v/>
      </c>
      <c r="H690" s="11" t="n"/>
      <c r="I690" s="17">
        <f>IF(H690="","",IF(H690&gt;=12,40,ROUND(H690*3.33,2)))</f>
        <v/>
      </c>
      <c r="J690" s="11" t="n"/>
      <c r="K690" s="11" t="n"/>
      <c r="L690" s="11" t="n"/>
      <c r="M690" s="11" t="n"/>
      <c r="N690" s="10">
        <f>IF(COUNTA(J690:M690)=0,"",MIN(10,SUMPRODUCT((COUNTIF(J690:M690,L_KOM)&gt;0)*S_KOM)))</f>
        <v/>
      </c>
      <c r="O690" s="11" t="n"/>
      <c r="P690" s="10">
        <f>IF(O690="","",IFERROR(VLOOKUP(O690,T_KHID,2,FALSE),0))</f>
        <v/>
      </c>
      <c r="Q690" s="11" t="n"/>
      <c r="R690" s="11" t="n"/>
      <c r="S690" s="10">
        <f>IF(AND(Q690="",R690=""),"",IFERROR(INDEX(T_LIBAT,MATCH(Q690,L_PER,0),MATCH(R690,L_JENIS,0)),0))</f>
        <v/>
      </c>
      <c r="T690" s="11" t="n"/>
      <c r="U690" s="11" t="n"/>
      <c r="V690" s="10">
        <f>IF(AND(T690="",U690=""),"",IFERROR(INDEX(T_CAPAI,MATCH(T690,L_PER,0),MATCH(U690,L_KED,0)),0))</f>
        <v/>
      </c>
      <c r="W690" s="17">
        <f>IF(OR(B690="",E690="",COUNTA(F690,H690,J690:M690,O690,Q690:R690,T690:U690)=0),"",SUM(G690,I690,N690,P690,S690,V690))</f>
        <v/>
      </c>
      <c r="X690" s="18">
        <f>IF(W690="","",IF(Murid!F690="TL","TL",ROUND(W690/110*100,2)))</f>
        <v/>
      </c>
    </row>
    <row r="691">
      <c r="A691" s="15">
        <f>Murid!A691</f>
        <v/>
      </c>
      <c r="B691" s="15">
        <f>IF(Murid!B691="","",Murid!B691)</f>
        <v/>
      </c>
      <c r="C691" s="16">
        <f>IF(Murid!C691="","",Murid!C691)</f>
        <v/>
      </c>
      <c r="D691" s="15">
        <f>IF(Murid!E691="","",Murid!E691)</f>
        <v/>
      </c>
      <c r="E691" s="11" t="n"/>
      <c r="F691" s="11" t="n"/>
      <c r="G691" s="10">
        <f>IF(F691="","",IFERROR(VLOOKUP(F691,T_JSP,2,FALSE),0))</f>
        <v/>
      </c>
      <c r="H691" s="11" t="n"/>
      <c r="I691" s="17">
        <f>IF(H691="","",IF(H691&gt;=12,40,ROUND(H691*3.33,2)))</f>
        <v/>
      </c>
      <c r="J691" s="11" t="n"/>
      <c r="K691" s="11" t="n"/>
      <c r="L691" s="11" t="n"/>
      <c r="M691" s="11" t="n"/>
      <c r="N691" s="10">
        <f>IF(COUNTA(J691:M691)=0,"",MIN(10,SUMPRODUCT((COUNTIF(J691:M691,L_KOM)&gt;0)*S_KOM)))</f>
        <v/>
      </c>
      <c r="O691" s="11" t="n"/>
      <c r="P691" s="10">
        <f>IF(O691="","",IFERROR(VLOOKUP(O691,T_KHID,2,FALSE),0))</f>
        <v/>
      </c>
      <c r="Q691" s="11" t="n"/>
      <c r="R691" s="11" t="n"/>
      <c r="S691" s="10">
        <f>IF(AND(Q691="",R691=""),"",IFERROR(INDEX(T_LIBAT,MATCH(Q691,L_PER,0),MATCH(R691,L_JENIS,0)),0))</f>
        <v/>
      </c>
      <c r="T691" s="11" t="n"/>
      <c r="U691" s="11" t="n"/>
      <c r="V691" s="10">
        <f>IF(AND(T691="",U691=""),"",IFERROR(INDEX(T_CAPAI,MATCH(T691,L_PER,0),MATCH(U691,L_KED,0)),0))</f>
        <v/>
      </c>
      <c r="W691" s="17">
        <f>IF(OR(B691="",E691="",COUNTA(F691,H691,J691:M691,O691,Q691:R691,T691:U691)=0),"",SUM(G691,I691,N691,P691,S691,V691))</f>
        <v/>
      </c>
      <c r="X691" s="18">
        <f>IF(W691="","",IF(Murid!F691="TL","TL",ROUND(W691/110*100,2)))</f>
        <v/>
      </c>
    </row>
    <row r="692">
      <c r="A692" s="15">
        <f>Murid!A692</f>
        <v/>
      </c>
      <c r="B692" s="15">
        <f>IF(Murid!B692="","",Murid!B692)</f>
        <v/>
      </c>
      <c r="C692" s="16">
        <f>IF(Murid!C692="","",Murid!C692)</f>
        <v/>
      </c>
      <c r="D692" s="15">
        <f>IF(Murid!E692="","",Murid!E692)</f>
        <v/>
      </c>
      <c r="E692" s="11" t="n"/>
      <c r="F692" s="11" t="n"/>
      <c r="G692" s="10">
        <f>IF(F692="","",IFERROR(VLOOKUP(F692,T_JSP,2,FALSE),0))</f>
        <v/>
      </c>
      <c r="H692" s="11" t="n"/>
      <c r="I692" s="17">
        <f>IF(H692="","",IF(H692&gt;=12,40,ROUND(H692*3.33,2)))</f>
        <v/>
      </c>
      <c r="J692" s="11" t="n"/>
      <c r="K692" s="11" t="n"/>
      <c r="L692" s="11" t="n"/>
      <c r="M692" s="11" t="n"/>
      <c r="N692" s="10">
        <f>IF(COUNTA(J692:M692)=0,"",MIN(10,SUMPRODUCT((COUNTIF(J692:M692,L_KOM)&gt;0)*S_KOM)))</f>
        <v/>
      </c>
      <c r="O692" s="11" t="n"/>
      <c r="P692" s="10">
        <f>IF(O692="","",IFERROR(VLOOKUP(O692,T_KHID,2,FALSE),0))</f>
        <v/>
      </c>
      <c r="Q692" s="11" t="n"/>
      <c r="R692" s="11" t="n"/>
      <c r="S692" s="10">
        <f>IF(AND(Q692="",R692=""),"",IFERROR(INDEX(T_LIBAT,MATCH(Q692,L_PER,0),MATCH(R692,L_JENIS,0)),0))</f>
        <v/>
      </c>
      <c r="T692" s="11" t="n"/>
      <c r="U692" s="11" t="n"/>
      <c r="V692" s="10">
        <f>IF(AND(T692="",U692=""),"",IFERROR(INDEX(T_CAPAI,MATCH(T692,L_PER,0),MATCH(U692,L_KED,0)),0))</f>
        <v/>
      </c>
      <c r="W692" s="17">
        <f>IF(OR(B692="",E692="",COUNTA(F692,H692,J692:M692,O692,Q692:R692,T692:U692)=0),"",SUM(G692,I692,N692,P692,S692,V692))</f>
        <v/>
      </c>
      <c r="X692" s="18">
        <f>IF(W692="","",IF(Murid!F692="TL","TL",ROUND(W692/110*100,2)))</f>
        <v/>
      </c>
    </row>
    <row r="693">
      <c r="A693" s="15">
        <f>Murid!A693</f>
        <v/>
      </c>
      <c r="B693" s="15">
        <f>IF(Murid!B693="","",Murid!B693)</f>
        <v/>
      </c>
      <c r="C693" s="16">
        <f>IF(Murid!C693="","",Murid!C693)</f>
        <v/>
      </c>
      <c r="D693" s="15">
        <f>IF(Murid!E693="","",Murid!E693)</f>
        <v/>
      </c>
      <c r="E693" s="11" t="n"/>
      <c r="F693" s="11" t="n"/>
      <c r="G693" s="10">
        <f>IF(F693="","",IFERROR(VLOOKUP(F693,T_JSP,2,FALSE),0))</f>
        <v/>
      </c>
      <c r="H693" s="11" t="n"/>
      <c r="I693" s="17">
        <f>IF(H693="","",IF(H693&gt;=12,40,ROUND(H693*3.33,2)))</f>
        <v/>
      </c>
      <c r="J693" s="11" t="n"/>
      <c r="K693" s="11" t="n"/>
      <c r="L693" s="11" t="n"/>
      <c r="M693" s="11" t="n"/>
      <c r="N693" s="10">
        <f>IF(COUNTA(J693:M693)=0,"",MIN(10,SUMPRODUCT((COUNTIF(J693:M693,L_KOM)&gt;0)*S_KOM)))</f>
        <v/>
      </c>
      <c r="O693" s="11" t="n"/>
      <c r="P693" s="10">
        <f>IF(O693="","",IFERROR(VLOOKUP(O693,T_KHID,2,FALSE),0))</f>
        <v/>
      </c>
      <c r="Q693" s="11" t="n"/>
      <c r="R693" s="11" t="n"/>
      <c r="S693" s="10">
        <f>IF(AND(Q693="",R693=""),"",IFERROR(INDEX(T_LIBAT,MATCH(Q693,L_PER,0),MATCH(R693,L_JENIS,0)),0))</f>
        <v/>
      </c>
      <c r="T693" s="11" t="n"/>
      <c r="U693" s="11" t="n"/>
      <c r="V693" s="10">
        <f>IF(AND(T693="",U693=""),"",IFERROR(INDEX(T_CAPAI,MATCH(T693,L_PER,0),MATCH(U693,L_KED,0)),0))</f>
        <v/>
      </c>
      <c r="W693" s="17">
        <f>IF(OR(B693="",E693="",COUNTA(F693,H693,J693:M693,O693,Q693:R693,T693:U693)=0),"",SUM(G693,I693,N693,P693,S693,V693))</f>
        <v/>
      </c>
      <c r="X693" s="18">
        <f>IF(W693="","",IF(Murid!F693="TL","TL",ROUND(W693/110*100,2)))</f>
        <v/>
      </c>
    </row>
    <row r="694">
      <c r="A694" s="15">
        <f>Murid!A694</f>
        <v/>
      </c>
      <c r="B694" s="15">
        <f>IF(Murid!B694="","",Murid!B694)</f>
        <v/>
      </c>
      <c r="C694" s="16">
        <f>IF(Murid!C694="","",Murid!C694)</f>
        <v/>
      </c>
      <c r="D694" s="15">
        <f>IF(Murid!E694="","",Murid!E694)</f>
        <v/>
      </c>
      <c r="E694" s="11" t="n"/>
      <c r="F694" s="11" t="n"/>
      <c r="G694" s="10">
        <f>IF(F694="","",IFERROR(VLOOKUP(F694,T_JSP,2,FALSE),0))</f>
        <v/>
      </c>
      <c r="H694" s="11" t="n"/>
      <c r="I694" s="17">
        <f>IF(H694="","",IF(H694&gt;=12,40,ROUND(H694*3.33,2)))</f>
        <v/>
      </c>
      <c r="J694" s="11" t="n"/>
      <c r="K694" s="11" t="n"/>
      <c r="L694" s="11" t="n"/>
      <c r="M694" s="11" t="n"/>
      <c r="N694" s="10">
        <f>IF(COUNTA(J694:M694)=0,"",MIN(10,SUMPRODUCT((COUNTIF(J694:M694,L_KOM)&gt;0)*S_KOM)))</f>
        <v/>
      </c>
      <c r="O694" s="11" t="n"/>
      <c r="P694" s="10">
        <f>IF(O694="","",IFERROR(VLOOKUP(O694,T_KHID,2,FALSE),0))</f>
        <v/>
      </c>
      <c r="Q694" s="11" t="n"/>
      <c r="R694" s="11" t="n"/>
      <c r="S694" s="10">
        <f>IF(AND(Q694="",R694=""),"",IFERROR(INDEX(T_LIBAT,MATCH(Q694,L_PER,0),MATCH(R694,L_JENIS,0)),0))</f>
        <v/>
      </c>
      <c r="T694" s="11" t="n"/>
      <c r="U694" s="11" t="n"/>
      <c r="V694" s="10">
        <f>IF(AND(T694="",U694=""),"",IFERROR(INDEX(T_CAPAI,MATCH(T694,L_PER,0),MATCH(U694,L_KED,0)),0))</f>
        <v/>
      </c>
      <c r="W694" s="17">
        <f>IF(OR(B694="",E694="",COUNTA(F694,H694,J694:M694,O694,Q694:R694,T694:U694)=0),"",SUM(G694,I694,N694,P694,S694,V694))</f>
        <v/>
      </c>
      <c r="X694" s="18">
        <f>IF(W694="","",IF(Murid!F694="TL","TL",ROUND(W694/110*100,2)))</f>
        <v/>
      </c>
    </row>
    <row r="695">
      <c r="A695" s="15">
        <f>Murid!A695</f>
        <v/>
      </c>
      <c r="B695" s="15">
        <f>IF(Murid!B695="","",Murid!B695)</f>
        <v/>
      </c>
      <c r="C695" s="16">
        <f>IF(Murid!C695="","",Murid!C695)</f>
        <v/>
      </c>
      <c r="D695" s="15">
        <f>IF(Murid!E695="","",Murid!E695)</f>
        <v/>
      </c>
      <c r="E695" s="11" t="n"/>
      <c r="F695" s="11" t="n"/>
      <c r="G695" s="10">
        <f>IF(F695="","",IFERROR(VLOOKUP(F695,T_JSP,2,FALSE),0))</f>
        <v/>
      </c>
      <c r="H695" s="11" t="n"/>
      <c r="I695" s="17">
        <f>IF(H695="","",IF(H695&gt;=12,40,ROUND(H695*3.33,2)))</f>
        <v/>
      </c>
      <c r="J695" s="11" t="n"/>
      <c r="K695" s="11" t="n"/>
      <c r="L695" s="11" t="n"/>
      <c r="M695" s="11" t="n"/>
      <c r="N695" s="10">
        <f>IF(COUNTA(J695:M695)=0,"",MIN(10,SUMPRODUCT((COUNTIF(J695:M695,L_KOM)&gt;0)*S_KOM)))</f>
        <v/>
      </c>
      <c r="O695" s="11" t="n"/>
      <c r="P695" s="10">
        <f>IF(O695="","",IFERROR(VLOOKUP(O695,T_KHID,2,FALSE),0))</f>
        <v/>
      </c>
      <c r="Q695" s="11" t="n"/>
      <c r="R695" s="11" t="n"/>
      <c r="S695" s="10">
        <f>IF(AND(Q695="",R695=""),"",IFERROR(INDEX(T_LIBAT,MATCH(Q695,L_PER,0),MATCH(R695,L_JENIS,0)),0))</f>
        <v/>
      </c>
      <c r="T695" s="11" t="n"/>
      <c r="U695" s="11" t="n"/>
      <c r="V695" s="10">
        <f>IF(AND(T695="",U695=""),"",IFERROR(INDEX(T_CAPAI,MATCH(T695,L_PER,0),MATCH(U695,L_KED,0)),0))</f>
        <v/>
      </c>
      <c r="W695" s="17">
        <f>IF(OR(B695="",E695="",COUNTA(F695,H695,J695:M695,O695,Q695:R695,T695:U695)=0),"",SUM(G695,I695,N695,P695,S695,V695))</f>
        <v/>
      </c>
      <c r="X695" s="18">
        <f>IF(W695="","",IF(Murid!F695="TL","TL",ROUND(W695/110*100,2)))</f>
        <v/>
      </c>
    </row>
    <row r="696">
      <c r="A696" s="15">
        <f>Murid!A696</f>
        <v/>
      </c>
      <c r="B696" s="15">
        <f>IF(Murid!B696="","",Murid!B696)</f>
        <v/>
      </c>
      <c r="C696" s="16">
        <f>IF(Murid!C696="","",Murid!C696)</f>
        <v/>
      </c>
      <c r="D696" s="15">
        <f>IF(Murid!E696="","",Murid!E696)</f>
        <v/>
      </c>
      <c r="E696" s="11" t="n"/>
      <c r="F696" s="11" t="n"/>
      <c r="G696" s="10">
        <f>IF(F696="","",IFERROR(VLOOKUP(F696,T_JSP,2,FALSE),0))</f>
        <v/>
      </c>
      <c r="H696" s="11" t="n"/>
      <c r="I696" s="17">
        <f>IF(H696="","",IF(H696&gt;=12,40,ROUND(H696*3.33,2)))</f>
        <v/>
      </c>
      <c r="J696" s="11" t="n"/>
      <c r="K696" s="11" t="n"/>
      <c r="L696" s="11" t="n"/>
      <c r="M696" s="11" t="n"/>
      <c r="N696" s="10">
        <f>IF(COUNTA(J696:M696)=0,"",MIN(10,SUMPRODUCT((COUNTIF(J696:M696,L_KOM)&gt;0)*S_KOM)))</f>
        <v/>
      </c>
      <c r="O696" s="11" t="n"/>
      <c r="P696" s="10">
        <f>IF(O696="","",IFERROR(VLOOKUP(O696,T_KHID,2,FALSE),0))</f>
        <v/>
      </c>
      <c r="Q696" s="11" t="n"/>
      <c r="R696" s="11" t="n"/>
      <c r="S696" s="10">
        <f>IF(AND(Q696="",R696=""),"",IFERROR(INDEX(T_LIBAT,MATCH(Q696,L_PER,0),MATCH(R696,L_JENIS,0)),0))</f>
        <v/>
      </c>
      <c r="T696" s="11" t="n"/>
      <c r="U696" s="11" t="n"/>
      <c r="V696" s="10">
        <f>IF(AND(T696="",U696=""),"",IFERROR(INDEX(T_CAPAI,MATCH(T696,L_PER,0),MATCH(U696,L_KED,0)),0))</f>
        <v/>
      </c>
      <c r="W696" s="17">
        <f>IF(OR(B696="",E696="",COUNTA(F696,H696,J696:M696,O696,Q696:R696,T696:U696)=0),"",SUM(G696,I696,N696,P696,S696,V696))</f>
        <v/>
      </c>
      <c r="X696" s="18">
        <f>IF(W696="","",IF(Murid!F696="TL","TL",ROUND(W696/110*100,2)))</f>
        <v/>
      </c>
    </row>
    <row r="697">
      <c r="A697" s="15">
        <f>Murid!A697</f>
        <v/>
      </c>
      <c r="B697" s="15">
        <f>IF(Murid!B697="","",Murid!B697)</f>
        <v/>
      </c>
      <c r="C697" s="16">
        <f>IF(Murid!C697="","",Murid!C697)</f>
        <v/>
      </c>
      <c r="D697" s="15">
        <f>IF(Murid!E697="","",Murid!E697)</f>
        <v/>
      </c>
      <c r="E697" s="11" t="n"/>
      <c r="F697" s="11" t="n"/>
      <c r="G697" s="10">
        <f>IF(F697="","",IFERROR(VLOOKUP(F697,T_JSP,2,FALSE),0))</f>
        <v/>
      </c>
      <c r="H697" s="11" t="n"/>
      <c r="I697" s="17">
        <f>IF(H697="","",IF(H697&gt;=12,40,ROUND(H697*3.33,2)))</f>
        <v/>
      </c>
      <c r="J697" s="11" t="n"/>
      <c r="K697" s="11" t="n"/>
      <c r="L697" s="11" t="n"/>
      <c r="M697" s="11" t="n"/>
      <c r="N697" s="10">
        <f>IF(COUNTA(J697:M697)=0,"",MIN(10,SUMPRODUCT((COUNTIF(J697:M697,L_KOM)&gt;0)*S_KOM)))</f>
        <v/>
      </c>
      <c r="O697" s="11" t="n"/>
      <c r="P697" s="10">
        <f>IF(O697="","",IFERROR(VLOOKUP(O697,T_KHID,2,FALSE),0))</f>
        <v/>
      </c>
      <c r="Q697" s="11" t="n"/>
      <c r="R697" s="11" t="n"/>
      <c r="S697" s="10">
        <f>IF(AND(Q697="",R697=""),"",IFERROR(INDEX(T_LIBAT,MATCH(Q697,L_PER,0),MATCH(R697,L_JENIS,0)),0))</f>
        <v/>
      </c>
      <c r="T697" s="11" t="n"/>
      <c r="U697" s="11" t="n"/>
      <c r="V697" s="10">
        <f>IF(AND(T697="",U697=""),"",IFERROR(INDEX(T_CAPAI,MATCH(T697,L_PER,0),MATCH(U697,L_KED,0)),0))</f>
        <v/>
      </c>
      <c r="W697" s="17">
        <f>IF(OR(B697="",E697="",COUNTA(F697,H697,J697:M697,O697,Q697:R697,T697:U697)=0),"",SUM(G697,I697,N697,P697,S697,V697))</f>
        <v/>
      </c>
      <c r="X697" s="18">
        <f>IF(W697="","",IF(Murid!F697="TL","TL",ROUND(W697/110*100,2)))</f>
        <v/>
      </c>
    </row>
    <row r="698">
      <c r="A698" s="15">
        <f>Murid!A698</f>
        <v/>
      </c>
      <c r="B698" s="15">
        <f>IF(Murid!B698="","",Murid!B698)</f>
        <v/>
      </c>
      <c r="C698" s="16">
        <f>IF(Murid!C698="","",Murid!C698)</f>
        <v/>
      </c>
      <c r="D698" s="15">
        <f>IF(Murid!E698="","",Murid!E698)</f>
        <v/>
      </c>
      <c r="E698" s="11" t="n"/>
      <c r="F698" s="11" t="n"/>
      <c r="G698" s="10">
        <f>IF(F698="","",IFERROR(VLOOKUP(F698,T_JSP,2,FALSE),0))</f>
        <v/>
      </c>
      <c r="H698" s="11" t="n"/>
      <c r="I698" s="17">
        <f>IF(H698="","",IF(H698&gt;=12,40,ROUND(H698*3.33,2)))</f>
        <v/>
      </c>
      <c r="J698" s="11" t="n"/>
      <c r="K698" s="11" t="n"/>
      <c r="L698" s="11" t="n"/>
      <c r="M698" s="11" t="n"/>
      <c r="N698" s="10">
        <f>IF(COUNTA(J698:M698)=0,"",MIN(10,SUMPRODUCT((COUNTIF(J698:M698,L_KOM)&gt;0)*S_KOM)))</f>
        <v/>
      </c>
      <c r="O698" s="11" t="n"/>
      <c r="P698" s="10">
        <f>IF(O698="","",IFERROR(VLOOKUP(O698,T_KHID,2,FALSE),0))</f>
        <v/>
      </c>
      <c r="Q698" s="11" t="n"/>
      <c r="R698" s="11" t="n"/>
      <c r="S698" s="10">
        <f>IF(AND(Q698="",R698=""),"",IFERROR(INDEX(T_LIBAT,MATCH(Q698,L_PER,0),MATCH(R698,L_JENIS,0)),0))</f>
        <v/>
      </c>
      <c r="T698" s="11" t="n"/>
      <c r="U698" s="11" t="n"/>
      <c r="V698" s="10">
        <f>IF(AND(T698="",U698=""),"",IFERROR(INDEX(T_CAPAI,MATCH(T698,L_PER,0),MATCH(U698,L_KED,0)),0))</f>
        <v/>
      </c>
      <c r="W698" s="17">
        <f>IF(OR(B698="",E698="",COUNTA(F698,H698,J698:M698,O698,Q698:R698,T698:U698)=0),"",SUM(G698,I698,N698,P698,S698,V698))</f>
        <v/>
      </c>
      <c r="X698" s="18">
        <f>IF(W698="","",IF(Murid!F698="TL","TL",ROUND(W698/110*100,2)))</f>
        <v/>
      </c>
    </row>
    <row r="699">
      <c r="A699" s="15">
        <f>Murid!A699</f>
        <v/>
      </c>
      <c r="B699" s="15">
        <f>IF(Murid!B699="","",Murid!B699)</f>
        <v/>
      </c>
      <c r="C699" s="16">
        <f>IF(Murid!C699="","",Murid!C699)</f>
        <v/>
      </c>
      <c r="D699" s="15">
        <f>IF(Murid!E699="","",Murid!E699)</f>
        <v/>
      </c>
      <c r="E699" s="11" t="n"/>
      <c r="F699" s="11" t="n"/>
      <c r="G699" s="10">
        <f>IF(F699="","",IFERROR(VLOOKUP(F699,T_JSP,2,FALSE),0))</f>
        <v/>
      </c>
      <c r="H699" s="11" t="n"/>
      <c r="I699" s="17">
        <f>IF(H699="","",IF(H699&gt;=12,40,ROUND(H699*3.33,2)))</f>
        <v/>
      </c>
      <c r="J699" s="11" t="n"/>
      <c r="K699" s="11" t="n"/>
      <c r="L699" s="11" t="n"/>
      <c r="M699" s="11" t="n"/>
      <c r="N699" s="10">
        <f>IF(COUNTA(J699:M699)=0,"",MIN(10,SUMPRODUCT((COUNTIF(J699:M699,L_KOM)&gt;0)*S_KOM)))</f>
        <v/>
      </c>
      <c r="O699" s="11" t="n"/>
      <c r="P699" s="10">
        <f>IF(O699="","",IFERROR(VLOOKUP(O699,T_KHID,2,FALSE),0))</f>
        <v/>
      </c>
      <c r="Q699" s="11" t="n"/>
      <c r="R699" s="11" t="n"/>
      <c r="S699" s="10">
        <f>IF(AND(Q699="",R699=""),"",IFERROR(INDEX(T_LIBAT,MATCH(Q699,L_PER,0),MATCH(R699,L_JENIS,0)),0))</f>
        <v/>
      </c>
      <c r="T699" s="11" t="n"/>
      <c r="U699" s="11" t="n"/>
      <c r="V699" s="10">
        <f>IF(AND(T699="",U699=""),"",IFERROR(INDEX(T_CAPAI,MATCH(T699,L_PER,0),MATCH(U699,L_KED,0)),0))</f>
        <v/>
      </c>
      <c r="W699" s="17">
        <f>IF(OR(B699="",E699="",COUNTA(F699,H699,J699:M699,O699,Q699:R699,T699:U699)=0),"",SUM(G699,I699,N699,P699,S699,V699))</f>
        <v/>
      </c>
      <c r="X699" s="18">
        <f>IF(W699="","",IF(Murid!F699="TL","TL",ROUND(W699/110*100,2)))</f>
        <v/>
      </c>
    </row>
    <row r="700">
      <c r="A700" s="15">
        <f>Murid!A700</f>
        <v/>
      </c>
      <c r="B700" s="15">
        <f>IF(Murid!B700="","",Murid!B700)</f>
        <v/>
      </c>
      <c r="C700" s="16">
        <f>IF(Murid!C700="","",Murid!C700)</f>
        <v/>
      </c>
      <c r="D700" s="15">
        <f>IF(Murid!E700="","",Murid!E700)</f>
        <v/>
      </c>
      <c r="E700" s="11" t="n"/>
      <c r="F700" s="11" t="n"/>
      <c r="G700" s="10">
        <f>IF(F700="","",IFERROR(VLOOKUP(F700,T_JSP,2,FALSE),0))</f>
        <v/>
      </c>
      <c r="H700" s="11" t="n"/>
      <c r="I700" s="17">
        <f>IF(H700="","",IF(H700&gt;=12,40,ROUND(H700*3.33,2)))</f>
        <v/>
      </c>
      <c r="J700" s="11" t="n"/>
      <c r="K700" s="11" t="n"/>
      <c r="L700" s="11" t="n"/>
      <c r="M700" s="11" t="n"/>
      <c r="N700" s="10">
        <f>IF(COUNTA(J700:M700)=0,"",MIN(10,SUMPRODUCT((COUNTIF(J700:M700,L_KOM)&gt;0)*S_KOM)))</f>
        <v/>
      </c>
      <c r="O700" s="11" t="n"/>
      <c r="P700" s="10">
        <f>IF(O700="","",IFERROR(VLOOKUP(O700,T_KHID,2,FALSE),0))</f>
        <v/>
      </c>
      <c r="Q700" s="11" t="n"/>
      <c r="R700" s="11" t="n"/>
      <c r="S700" s="10">
        <f>IF(AND(Q700="",R700=""),"",IFERROR(INDEX(T_LIBAT,MATCH(Q700,L_PER,0),MATCH(R700,L_JENIS,0)),0))</f>
        <v/>
      </c>
      <c r="T700" s="11" t="n"/>
      <c r="U700" s="11" t="n"/>
      <c r="V700" s="10">
        <f>IF(AND(T700="",U700=""),"",IFERROR(INDEX(T_CAPAI,MATCH(T700,L_PER,0),MATCH(U700,L_KED,0)),0))</f>
        <v/>
      </c>
      <c r="W700" s="17">
        <f>IF(OR(B700="",E700="",COUNTA(F700,H700,J700:M700,O700,Q700:R700,T700:U700)=0),"",SUM(G700,I700,N700,P700,S700,V700))</f>
        <v/>
      </c>
      <c r="X700" s="18">
        <f>IF(W700="","",IF(Murid!F700="TL","TL",ROUND(W700/110*100,2)))</f>
        <v/>
      </c>
    </row>
    <row r="701">
      <c r="A701" s="15">
        <f>Murid!A701</f>
        <v/>
      </c>
      <c r="B701" s="15">
        <f>IF(Murid!B701="","",Murid!B701)</f>
        <v/>
      </c>
      <c r="C701" s="16">
        <f>IF(Murid!C701="","",Murid!C701)</f>
        <v/>
      </c>
      <c r="D701" s="15">
        <f>IF(Murid!E701="","",Murid!E701)</f>
        <v/>
      </c>
      <c r="E701" s="11" t="n"/>
      <c r="F701" s="11" t="n"/>
      <c r="G701" s="10">
        <f>IF(F701="","",IFERROR(VLOOKUP(F701,T_JSP,2,FALSE),0))</f>
        <v/>
      </c>
      <c r="H701" s="11" t="n"/>
      <c r="I701" s="17">
        <f>IF(H701="","",IF(H701&gt;=12,40,ROUND(H701*3.33,2)))</f>
        <v/>
      </c>
      <c r="J701" s="11" t="n"/>
      <c r="K701" s="11" t="n"/>
      <c r="L701" s="11" t="n"/>
      <c r="M701" s="11" t="n"/>
      <c r="N701" s="10">
        <f>IF(COUNTA(J701:M701)=0,"",MIN(10,SUMPRODUCT((COUNTIF(J701:M701,L_KOM)&gt;0)*S_KOM)))</f>
        <v/>
      </c>
      <c r="O701" s="11" t="n"/>
      <c r="P701" s="10">
        <f>IF(O701="","",IFERROR(VLOOKUP(O701,T_KHID,2,FALSE),0))</f>
        <v/>
      </c>
      <c r="Q701" s="11" t="n"/>
      <c r="R701" s="11" t="n"/>
      <c r="S701" s="10">
        <f>IF(AND(Q701="",R701=""),"",IFERROR(INDEX(T_LIBAT,MATCH(Q701,L_PER,0),MATCH(R701,L_JENIS,0)),0))</f>
        <v/>
      </c>
      <c r="T701" s="11" t="n"/>
      <c r="U701" s="11" t="n"/>
      <c r="V701" s="10">
        <f>IF(AND(T701="",U701=""),"",IFERROR(INDEX(T_CAPAI,MATCH(T701,L_PER,0),MATCH(U701,L_KED,0)),0))</f>
        <v/>
      </c>
      <c r="W701" s="17">
        <f>IF(OR(B701="",E701="",COUNTA(F701,H701,J701:M701,O701,Q701:R701,T701:U701)=0),"",SUM(G701,I701,N701,P701,S701,V701))</f>
        <v/>
      </c>
      <c r="X701" s="18">
        <f>IF(W701="","",IF(Murid!F701="TL","TL",ROUND(W701/110*100,2)))</f>
        <v/>
      </c>
    </row>
    <row r="702">
      <c r="A702" s="15">
        <f>Murid!A702</f>
        <v/>
      </c>
      <c r="B702" s="15">
        <f>IF(Murid!B702="","",Murid!B702)</f>
        <v/>
      </c>
      <c r="C702" s="16">
        <f>IF(Murid!C702="","",Murid!C702)</f>
        <v/>
      </c>
      <c r="D702" s="15">
        <f>IF(Murid!E702="","",Murid!E702)</f>
        <v/>
      </c>
      <c r="E702" s="11" t="n"/>
      <c r="F702" s="11" t="n"/>
      <c r="G702" s="10">
        <f>IF(F702="","",IFERROR(VLOOKUP(F702,T_JSP,2,FALSE),0))</f>
        <v/>
      </c>
      <c r="H702" s="11" t="n"/>
      <c r="I702" s="17">
        <f>IF(H702="","",IF(H702&gt;=12,40,ROUND(H702*3.33,2)))</f>
        <v/>
      </c>
      <c r="J702" s="11" t="n"/>
      <c r="K702" s="11" t="n"/>
      <c r="L702" s="11" t="n"/>
      <c r="M702" s="11" t="n"/>
      <c r="N702" s="10">
        <f>IF(COUNTA(J702:M702)=0,"",MIN(10,SUMPRODUCT((COUNTIF(J702:M702,L_KOM)&gt;0)*S_KOM)))</f>
        <v/>
      </c>
      <c r="O702" s="11" t="n"/>
      <c r="P702" s="10">
        <f>IF(O702="","",IFERROR(VLOOKUP(O702,T_KHID,2,FALSE),0))</f>
        <v/>
      </c>
      <c r="Q702" s="11" t="n"/>
      <c r="R702" s="11" t="n"/>
      <c r="S702" s="10">
        <f>IF(AND(Q702="",R702=""),"",IFERROR(INDEX(T_LIBAT,MATCH(Q702,L_PER,0),MATCH(R702,L_JENIS,0)),0))</f>
        <v/>
      </c>
      <c r="T702" s="11" t="n"/>
      <c r="U702" s="11" t="n"/>
      <c r="V702" s="10">
        <f>IF(AND(T702="",U702=""),"",IFERROR(INDEX(T_CAPAI,MATCH(T702,L_PER,0),MATCH(U702,L_KED,0)),0))</f>
        <v/>
      </c>
      <c r="W702" s="17">
        <f>IF(OR(B702="",E702="",COUNTA(F702,H702,J702:M702,O702,Q702:R702,T702:U702)=0),"",SUM(G702,I702,N702,P702,S702,V702))</f>
        <v/>
      </c>
      <c r="X702" s="18">
        <f>IF(W702="","",IF(Murid!F702="TL","TL",ROUND(W702/110*100,2)))</f>
        <v/>
      </c>
    </row>
    <row r="703">
      <c r="A703" s="15">
        <f>Murid!A703</f>
        <v/>
      </c>
      <c r="B703" s="15">
        <f>IF(Murid!B703="","",Murid!B703)</f>
        <v/>
      </c>
      <c r="C703" s="16">
        <f>IF(Murid!C703="","",Murid!C703)</f>
        <v/>
      </c>
      <c r="D703" s="15">
        <f>IF(Murid!E703="","",Murid!E703)</f>
        <v/>
      </c>
      <c r="E703" s="11" t="n"/>
      <c r="F703" s="11" t="n"/>
      <c r="G703" s="10">
        <f>IF(F703="","",IFERROR(VLOOKUP(F703,T_JSP,2,FALSE),0))</f>
        <v/>
      </c>
      <c r="H703" s="11" t="n"/>
      <c r="I703" s="17">
        <f>IF(H703="","",IF(H703&gt;=12,40,ROUND(H703*3.33,2)))</f>
        <v/>
      </c>
      <c r="J703" s="11" t="n"/>
      <c r="K703" s="11" t="n"/>
      <c r="L703" s="11" t="n"/>
      <c r="M703" s="11" t="n"/>
      <c r="N703" s="10">
        <f>IF(COUNTA(J703:M703)=0,"",MIN(10,SUMPRODUCT((COUNTIF(J703:M703,L_KOM)&gt;0)*S_KOM)))</f>
        <v/>
      </c>
      <c r="O703" s="11" t="n"/>
      <c r="P703" s="10">
        <f>IF(O703="","",IFERROR(VLOOKUP(O703,T_KHID,2,FALSE),0))</f>
        <v/>
      </c>
      <c r="Q703" s="11" t="n"/>
      <c r="R703" s="11" t="n"/>
      <c r="S703" s="10">
        <f>IF(AND(Q703="",R703=""),"",IFERROR(INDEX(T_LIBAT,MATCH(Q703,L_PER,0),MATCH(R703,L_JENIS,0)),0))</f>
        <v/>
      </c>
      <c r="T703" s="11" t="n"/>
      <c r="U703" s="11" t="n"/>
      <c r="V703" s="10">
        <f>IF(AND(T703="",U703=""),"",IFERROR(INDEX(T_CAPAI,MATCH(T703,L_PER,0),MATCH(U703,L_KED,0)),0))</f>
        <v/>
      </c>
      <c r="W703" s="17">
        <f>IF(OR(B703="",E703="",COUNTA(F703,H703,J703:M703,O703,Q703:R703,T703:U703)=0),"",SUM(G703,I703,N703,P703,S703,V703))</f>
        <v/>
      </c>
      <c r="X703" s="18">
        <f>IF(W703="","",IF(Murid!F703="TL","TL",ROUND(W703/110*100,2)))</f>
        <v/>
      </c>
    </row>
    <row r="704">
      <c r="A704" s="15">
        <f>Murid!A704</f>
        <v/>
      </c>
      <c r="B704" s="15">
        <f>IF(Murid!B704="","",Murid!B704)</f>
        <v/>
      </c>
      <c r="C704" s="16">
        <f>IF(Murid!C704="","",Murid!C704)</f>
        <v/>
      </c>
      <c r="D704" s="15">
        <f>IF(Murid!E704="","",Murid!E704)</f>
        <v/>
      </c>
      <c r="E704" s="11" t="n"/>
      <c r="F704" s="11" t="n"/>
      <c r="G704" s="10">
        <f>IF(F704="","",IFERROR(VLOOKUP(F704,T_JSP,2,FALSE),0))</f>
        <v/>
      </c>
      <c r="H704" s="11" t="n"/>
      <c r="I704" s="17">
        <f>IF(H704="","",IF(H704&gt;=12,40,ROUND(H704*3.33,2)))</f>
        <v/>
      </c>
      <c r="J704" s="11" t="n"/>
      <c r="K704" s="11" t="n"/>
      <c r="L704" s="11" t="n"/>
      <c r="M704" s="11" t="n"/>
      <c r="N704" s="10">
        <f>IF(COUNTA(J704:M704)=0,"",MIN(10,SUMPRODUCT((COUNTIF(J704:M704,L_KOM)&gt;0)*S_KOM)))</f>
        <v/>
      </c>
      <c r="O704" s="11" t="n"/>
      <c r="P704" s="10">
        <f>IF(O704="","",IFERROR(VLOOKUP(O704,T_KHID,2,FALSE),0))</f>
        <v/>
      </c>
      <c r="Q704" s="11" t="n"/>
      <c r="R704" s="11" t="n"/>
      <c r="S704" s="10">
        <f>IF(AND(Q704="",R704=""),"",IFERROR(INDEX(T_LIBAT,MATCH(Q704,L_PER,0),MATCH(R704,L_JENIS,0)),0))</f>
        <v/>
      </c>
      <c r="T704" s="11" t="n"/>
      <c r="U704" s="11" t="n"/>
      <c r="V704" s="10">
        <f>IF(AND(T704="",U704=""),"",IFERROR(INDEX(T_CAPAI,MATCH(T704,L_PER,0),MATCH(U704,L_KED,0)),0))</f>
        <v/>
      </c>
      <c r="W704" s="17">
        <f>IF(OR(B704="",E704="",COUNTA(F704,H704,J704:M704,O704,Q704:R704,T704:U704)=0),"",SUM(G704,I704,N704,P704,S704,V704))</f>
        <v/>
      </c>
      <c r="X704" s="18">
        <f>IF(W704="","",IF(Murid!F704="TL","TL",ROUND(W704/110*100,2)))</f>
        <v/>
      </c>
    </row>
    <row r="705">
      <c r="A705" s="15">
        <f>Murid!A705</f>
        <v/>
      </c>
      <c r="B705" s="15">
        <f>IF(Murid!B705="","",Murid!B705)</f>
        <v/>
      </c>
      <c r="C705" s="16">
        <f>IF(Murid!C705="","",Murid!C705)</f>
        <v/>
      </c>
      <c r="D705" s="15">
        <f>IF(Murid!E705="","",Murid!E705)</f>
        <v/>
      </c>
      <c r="E705" s="11" t="n"/>
      <c r="F705" s="11" t="n"/>
      <c r="G705" s="10">
        <f>IF(F705="","",IFERROR(VLOOKUP(F705,T_JSP,2,FALSE),0))</f>
        <v/>
      </c>
      <c r="H705" s="11" t="n"/>
      <c r="I705" s="17">
        <f>IF(H705="","",IF(H705&gt;=12,40,ROUND(H705*3.33,2)))</f>
        <v/>
      </c>
      <c r="J705" s="11" t="n"/>
      <c r="K705" s="11" t="n"/>
      <c r="L705" s="11" t="n"/>
      <c r="M705" s="11" t="n"/>
      <c r="N705" s="10">
        <f>IF(COUNTA(J705:M705)=0,"",MIN(10,SUMPRODUCT((COUNTIF(J705:M705,L_KOM)&gt;0)*S_KOM)))</f>
        <v/>
      </c>
      <c r="O705" s="11" t="n"/>
      <c r="P705" s="10">
        <f>IF(O705="","",IFERROR(VLOOKUP(O705,T_KHID,2,FALSE),0))</f>
        <v/>
      </c>
      <c r="Q705" s="11" t="n"/>
      <c r="R705" s="11" t="n"/>
      <c r="S705" s="10">
        <f>IF(AND(Q705="",R705=""),"",IFERROR(INDEX(T_LIBAT,MATCH(Q705,L_PER,0),MATCH(R705,L_JENIS,0)),0))</f>
        <v/>
      </c>
      <c r="T705" s="11" t="n"/>
      <c r="U705" s="11" t="n"/>
      <c r="V705" s="10">
        <f>IF(AND(T705="",U705=""),"",IFERROR(INDEX(T_CAPAI,MATCH(T705,L_PER,0),MATCH(U705,L_KED,0)),0))</f>
        <v/>
      </c>
      <c r="W705" s="17">
        <f>IF(OR(B705="",E705="",COUNTA(F705,H705,J705:M705,O705,Q705:R705,T705:U705)=0),"",SUM(G705,I705,N705,P705,S705,V705))</f>
        <v/>
      </c>
      <c r="X705" s="18">
        <f>IF(W705="","",IF(Murid!F705="TL","TL",ROUND(W705/110*100,2)))</f>
        <v/>
      </c>
    </row>
    <row r="706">
      <c r="A706" s="15">
        <f>Murid!A706</f>
        <v/>
      </c>
      <c r="B706" s="15">
        <f>IF(Murid!B706="","",Murid!B706)</f>
        <v/>
      </c>
      <c r="C706" s="16">
        <f>IF(Murid!C706="","",Murid!C706)</f>
        <v/>
      </c>
      <c r="D706" s="15">
        <f>IF(Murid!E706="","",Murid!E706)</f>
        <v/>
      </c>
      <c r="E706" s="11" t="n"/>
      <c r="F706" s="11" t="n"/>
      <c r="G706" s="10">
        <f>IF(F706="","",IFERROR(VLOOKUP(F706,T_JSP,2,FALSE),0))</f>
        <v/>
      </c>
      <c r="H706" s="11" t="n"/>
      <c r="I706" s="17">
        <f>IF(H706="","",IF(H706&gt;=12,40,ROUND(H706*3.33,2)))</f>
        <v/>
      </c>
      <c r="J706" s="11" t="n"/>
      <c r="K706" s="11" t="n"/>
      <c r="L706" s="11" t="n"/>
      <c r="M706" s="11" t="n"/>
      <c r="N706" s="10">
        <f>IF(COUNTA(J706:M706)=0,"",MIN(10,SUMPRODUCT((COUNTIF(J706:M706,L_KOM)&gt;0)*S_KOM)))</f>
        <v/>
      </c>
      <c r="O706" s="11" t="n"/>
      <c r="P706" s="10">
        <f>IF(O706="","",IFERROR(VLOOKUP(O706,T_KHID,2,FALSE),0))</f>
        <v/>
      </c>
      <c r="Q706" s="11" t="n"/>
      <c r="R706" s="11" t="n"/>
      <c r="S706" s="10">
        <f>IF(AND(Q706="",R706=""),"",IFERROR(INDEX(T_LIBAT,MATCH(Q706,L_PER,0),MATCH(R706,L_JENIS,0)),0))</f>
        <v/>
      </c>
      <c r="T706" s="11" t="n"/>
      <c r="U706" s="11" t="n"/>
      <c r="V706" s="10">
        <f>IF(AND(T706="",U706=""),"",IFERROR(INDEX(T_CAPAI,MATCH(T706,L_PER,0),MATCH(U706,L_KED,0)),0))</f>
        <v/>
      </c>
      <c r="W706" s="17">
        <f>IF(OR(B706="",E706="",COUNTA(F706,H706,J706:M706,O706,Q706:R706,T706:U706)=0),"",SUM(G706,I706,N706,P706,S706,V706))</f>
        <v/>
      </c>
      <c r="X706" s="18">
        <f>IF(W706="","",IF(Murid!F706="TL","TL",ROUND(W706/110*100,2)))</f>
        <v/>
      </c>
    </row>
    <row r="707">
      <c r="A707" s="15">
        <f>Murid!A707</f>
        <v/>
      </c>
      <c r="B707" s="15">
        <f>IF(Murid!B707="","",Murid!B707)</f>
        <v/>
      </c>
      <c r="C707" s="16">
        <f>IF(Murid!C707="","",Murid!C707)</f>
        <v/>
      </c>
      <c r="D707" s="15">
        <f>IF(Murid!E707="","",Murid!E707)</f>
        <v/>
      </c>
      <c r="E707" s="11" t="n"/>
      <c r="F707" s="11" t="n"/>
      <c r="G707" s="10">
        <f>IF(F707="","",IFERROR(VLOOKUP(F707,T_JSP,2,FALSE),0))</f>
        <v/>
      </c>
      <c r="H707" s="11" t="n"/>
      <c r="I707" s="17">
        <f>IF(H707="","",IF(H707&gt;=12,40,ROUND(H707*3.33,2)))</f>
        <v/>
      </c>
      <c r="J707" s="11" t="n"/>
      <c r="K707" s="11" t="n"/>
      <c r="L707" s="11" t="n"/>
      <c r="M707" s="11" t="n"/>
      <c r="N707" s="10">
        <f>IF(COUNTA(J707:M707)=0,"",MIN(10,SUMPRODUCT((COUNTIF(J707:M707,L_KOM)&gt;0)*S_KOM)))</f>
        <v/>
      </c>
      <c r="O707" s="11" t="n"/>
      <c r="P707" s="10">
        <f>IF(O707="","",IFERROR(VLOOKUP(O707,T_KHID,2,FALSE),0))</f>
        <v/>
      </c>
      <c r="Q707" s="11" t="n"/>
      <c r="R707" s="11" t="n"/>
      <c r="S707" s="10">
        <f>IF(AND(Q707="",R707=""),"",IFERROR(INDEX(T_LIBAT,MATCH(Q707,L_PER,0),MATCH(R707,L_JENIS,0)),0))</f>
        <v/>
      </c>
      <c r="T707" s="11" t="n"/>
      <c r="U707" s="11" t="n"/>
      <c r="V707" s="10">
        <f>IF(AND(T707="",U707=""),"",IFERROR(INDEX(T_CAPAI,MATCH(T707,L_PER,0),MATCH(U707,L_KED,0)),0))</f>
        <v/>
      </c>
      <c r="W707" s="17">
        <f>IF(OR(B707="",E707="",COUNTA(F707,H707,J707:M707,O707,Q707:R707,T707:U707)=0),"",SUM(G707,I707,N707,P707,S707,V707))</f>
        <v/>
      </c>
      <c r="X707" s="18">
        <f>IF(W707="","",IF(Murid!F707="TL","TL",ROUND(W707/110*100,2)))</f>
        <v/>
      </c>
    </row>
    <row r="708">
      <c r="A708" s="15">
        <f>Murid!A708</f>
        <v/>
      </c>
      <c r="B708" s="15">
        <f>IF(Murid!B708="","",Murid!B708)</f>
        <v/>
      </c>
      <c r="C708" s="16">
        <f>IF(Murid!C708="","",Murid!C708)</f>
        <v/>
      </c>
      <c r="D708" s="15">
        <f>IF(Murid!E708="","",Murid!E708)</f>
        <v/>
      </c>
      <c r="E708" s="11" t="n"/>
      <c r="F708" s="11" t="n"/>
      <c r="G708" s="10">
        <f>IF(F708="","",IFERROR(VLOOKUP(F708,T_JSP,2,FALSE),0))</f>
        <v/>
      </c>
      <c r="H708" s="11" t="n"/>
      <c r="I708" s="17">
        <f>IF(H708="","",IF(H708&gt;=12,40,ROUND(H708*3.33,2)))</f>
        <v/>
      </c>
      <c r="J708" s="11" t="n"/>
      <c r="K708" s="11" t="n"/>
      <c r="L708" s="11" t="n"/>
      <c r="M708" s="11" t="n"/>
      <c r="N708" s="10">
        <f>IF(COUNTA(J708:M708)=0,"",MIN(10,SUMPRODUCT((COUNTIF(J708:M708,L_KOM)&gt;0)*S_KOM)))</f>
        <v/>
      </c>
      <c r="O708" s="11" t="n"/>
      <c r="P708" s="10">
        <f>IF(O708="","",IFERROR(VLOOKUP(O708,T_KHID,2,FALSE),0))</f>
        <v/>
      </c>
      <c r="Q708" s="11" t="n"/>
      <c r="R708" s="11" t="n"/>
      <c r="S708" s="10">
        <f>IF(AND(Q708="",R708=""),"",IFERROR(INDEX(T_LIBAT,MATCH(Q708,L_PER,0),MATCH(R708,L_JENIS,0)),0))</f>
        <v/>
      </c>
      <c r="T708" s="11" t="n"/>
      <c r="U708" s="11" t="n"/>
      <c r="V708" s="10">
        <f>IF(AND(T708="",U708=""),"",IFERROR(INDEX(T_CAPAI,MATCH(T708,L_PER,0),MATCH(U708,L_KED,0)),0))</f>
        <v/>
      </c>
      <c r="W708" s="17">
        <f>IF(OR(B708="",E708="",COUNTA(F708,H708,J708:M708,O708,Q708:R708,T708:U708)=0),"",SUM(G708,I708,N708,P708,S708,V708))</f>
        <v/>
      </c>
      <c r="X708" s="18">
        <f>IF(W708="","",IF(Murid!F708="TL","TL",ROUND(W708/110*100,2)))</f>
        <v/>
      </c>
    </row>
    <row r="709">
      <c r="A709" s="15">
        <f>Murid!A709</f>
        <v/>
      </c>
      <c r="B709" s="15">
        <f>IF(Murid!B709="","",Murid!B709)</f>
        <v/>
      </c>
      <c r="C709" s="16">
        <f>IF(Murid!C709="","",Murid!C709)</f>
        <v/>
      </c>
      <c r="D709" s="15">
        <f>IF(Murid!E709="","",Murid!E709)</f>
        <v/>
      </c>
      <c r="E709" s="11" t="n"/>
      <c r="F709" s="11" t="n"/>
      <c r="G709" s="10">
        <f>IF(F709="","",IFERROR(VLOOKUP(F709,T_JSP,2,FALSE),0))</f>
        <v/>
      </c>
      <c r="H709" s="11" t="n"/>
      <c r="I709" s="17">
        <f>IF(H709="","",IF(H709&gt;=12,40,ROUND(H709*3.33,2)))</f>
        <v/>
      </c>
      <c r="J709" s="11" t="n"/>
      <c r="K709" s="11" t="n"/>
      <c r="L709" s="11" t="n"/>
      <c r="M709" s="11" t="n"/>
      <c r="N709" s="10">
        <f>IF(COUNTA(J709:M709)=0,"",MIN(10,SUMPRODUCT((COUNTIF(J709:M709,L_KOM)&gt;0)*S_KOM)))</f>
        <v/>
      </c>
      <c r="O709" s="11" t="n"/>
      <c r="P709" s="10">
        <f>IF(O709="","",IFERROR(VLOOKUP(O709,T_KHID,2,FALSE),0))</f>
        <v/>
      </c>
      <c r="Q709" s="11" t="n"/>
      <c r="R709" s="11" t="n"/>
      <c r="S709" s="10">
        <f>IF(AND(Q709="",R709=""),"",IFERROR(INDEX(T_LIBAT,MATCH(Q709,L_PER,0),MATCH(R709,L_JENIS,0)),0))</f>
        <v/>
      </c>
      <c r="T709" s="11" t="n"/>
      <c r="U709" s="11" t="n"/>
      <c r="V709" s="10">
        <f>IF(AND(T709="",U709=""),"",IFERROR(INDEX(T_CAPAI,MATCH(T709,L_PER,0),MATCH(U709,L_KED,0)),0))</f>
        <v/>
      </c>
      <c r="W709" s="17">
        <f>IF(OR(B709="",E709="",COUNTA(F709,H709,J709:M709,O709,Q709:R709,T709:U709)=0),"",SUM(G709,I709,N709,P709,S709,V709))</f>
        <v/>
      </c>
      <c r="X709" s="18">
        <f>IF(W709="","",IF(Murid!F709="TL","TL",ROUND(W709/110*100,2)))</f>
        <v/>
      </c>
    </row>
    <row r="710">
      <c r="A710" s="15">
        <f>Murid!A710</f>
        <v/>
      </c>
      <c r="B710" s="15">
        <f>IF(Murid!B710="","",Murid!B710)</f>
        <v/>
      </c>
      <c r="C710" s="16">
        <f>IF(Murid!C710="","",Murid!C710)</f>
        <v/>
      </c>
      <c r="D710" s="15">
        <f>IF(Murid!E710="","",Murid!E710)</f>
        <v/>
      </c>
      <c r="E710" s="11" t="n"/>
      <c r="F710" s="11" t="n"/>
      <c r="G710" s="10">
        <f>IF(F710="","",IFERROR(VLOOKUP(F710,T_JSP,2,FALSE),0))</f>
        <v/>
      </c>
      <c r="H710" s="11" t="n"/>
      <c r="I710" s="17">
        <f>IF(H710="","",IF(H710&gt;=12,40,ROUND(H710*3.33,2)))</f>
        <v/>
      </c>
      <c r="J710" s="11" t="n"/>
      <c r="K710" s="11" t="n"/>
      <c r="L710" s="11" t="n"/>
      <c r="M710" s="11" t="n"/>
      <c r="N710" s="10">
        <f>IF(COUNTA(J710:M710)=0,"",MIN(10,SUMPRODUCT((COUNTIF(J710:M710,L_KOM)&gt;0)*S_KOM)))</f>
        <v/>
      </c>
      <c r="O710" s="11" t="n"/>
      <c r="P710" s="10">
        <f>IF(O710="","",IFERROR(VLOOKUP(O710,T_KHID,2,FALSE),0))</f>
        <v/>
      </c>
      <c r="Q710" s="11" t="n"/>
      <c r="R710" s="11" t="n"/>
      <c r="S710" s="10">
        <f>IF(AND(Q710="",R710=""),"",IFERROR(INDEX(T_LIBAT,MATCH(Q710,L_PER,0),MATCH(R710,L_JENIS,0)),0))</f>
        <v/>
      </c>
      <c r="T710" s="11" t="n"/>
      <c r="U710" s="11" t="n"/>
      <c r="V710" s="10">
        <f>IF(AND(T710="",U710=""),"",IFERROR(INDEX(T_CAPAI,MATCH(T710,L_PER,0),MATCH(U710,L_KED,0)),0))</f>
        <v/>
      </c>
      <c r="W710" s="17">
        <f>IF(OR(B710="",E710="",COUNTA(F710,H710,J710:M710,O710,Q710:R710,T710:U710)=0),"",SUM(G710,I710,N710,P710,S710,V710))</f>
        <v/>
      </c>
      <c r="X710" s="18">
        <f>IF(W710="","",IF(Murid!F710="TL","TL",ROUND(W710/110*100,2)))</f>
        <v/>
      </c>
    </row>
    <row r="711">
      <c r="A711" s="15">
        <f>Murid!A711</f>
        <v/>
      </c>
      <c r="B711" s="15">
        <f>IF(Murid!B711="","",Murid!B711)</f>
        <v/>
      </c>
      <c r="C711" s="16">
        <f>IF(Murid!C711="","",Murid!C711)</f>
        <v/>
      </c>
      <c r="D711" s="15">
        <f>IF(Murid!E711="","",Murid!E711)</f>
        <v/>
      </c>
      <c r="E711" s="11" t="n"/>
      <c r="F711" s="11" t="n"/>
      <c r="G711" s="10">
        <f>IF(F711="","",IFERROR(VLOOKUP(F711,T_JSP,2,FALSE),0))</f>
        <v/>
      </c>
      <c r="H711" s="11" t="n"/>
      <c r="I711" s="17">
        <f>IF(H711="","",IF(H711&gt;=12,40,ROUND(H711*3.33,2)))</f>
        <v/>
      </c>
      <c r="J711" s="11" t="n"/>
      <c r="K711" s="11" t="n"/>
      <c r="L711" s="11" t="n"/>
      <c r="M711" s="11" t="n"/>
      <c r="N711" s="10">
        <f>IF(COUNTA(J711:M711)=0,"",MIN(10,SUMPRODUCT((COUNTIF(J711:M711,L_KOM)&gt;0)*S_KOM)))</f>
        <v/>
      </c>
      <c r="O711" s="11" t="n"/>
      <c r="P711" s="10">
        <f>IF(O711="","",IFERROR(VLOOKUP(O711,T_KHID,2,FALSE),0))</f>
        <v/>
      </c>
      <c r="Q711" s="11" t="n"/>
      <c r="R711" s="11" t="n"/>
      <c r="S711" s="10">
        <f>IF(AND(Q711="",R711=""),"",IFERROR(INDEX(T_LIBAT,MATCH(Q711,L_PER,0),MATCH(R711,L_JENIS,0)),0))</f>
        <v/>
      </c>
      <c r="T711" s="11" t="n"/>
      <c r="U711" s="11" t="n"/>
      <c r="V711" s="10">
        <f>IF(AND(T711="",U711=""),"",IFERROR(INDEX(T_CAPAI,MATCH(T711,L_PER,0),MATCH(U711,L_KED,0)),0))</f>
        <v/>
      </c>
      <c r="W711" s="17">
        <f>IF(OR(B711="",E711="",COUNTA(F711,H711,J711:M711,O711,Q711:R711,T711:U711)=0),"",SUM(G711,I711,N711,P711,S711,V711))</f>
        <v/>
      </c>
      <c r="X711" s="18">
        <f>IF(W711="","",IF(Murid!F711="TL","TL",ROUND(W711/110*100,2)))</f>
        <v/>
      </c>
    </row>
    <row r="712">
      <c r="A712" s="15">
        <f>Murid!A712</f>
        <v/>
      </c>
      <c r="B712" s="15">
        <f>IF(Murid!B712="","",Murid!B712)</f>
        <v/>
      </c>
      <c r="C712" s="16">
        <f>IF(Murid!C712="","",Murid!C712)</f>
        <v/>
      </c>
      <c r="D712" s="15">
        <f>IF(Murid!E712="","",Murid!E712)</f>
        <v/>
      </c>
      <c r="E712" s="11" t="n"/>
      <c r="F712" s="11" t="n"/>
      <c r="G712" s="10">
        <f>IF(F712="","",IFERROR(VLOOKUP(F712,T_JSP,2,FALSE),0))</f>
        <v/>
      </c>
      <c r="H712" s="11" t="n"/>
      <c r="I712" s="17">
        <f>IF(H712="","",IF(H712&gt;=12,40,ROUND(H712*3.33,2)))</f>
        <v/>
      </c>
      <c r="J712" s="11" t="n"/>
      <c r="K712" s="11" t="n"/>
      <c r="L712" s="11" t="n"/>
      <c r="M712" s="11" t="n"/>
      <c r="N712" s="10">
        <f>IF(COUNTA(J712:M712)=0,"",MIN(10,SUMPRODUCT((COUNTIF(J712:M712,L_KOM)&gt;0)*S_KOM)))</f>
        <v/>
      </c>
      <c r="O712" s="11" t="n"/>
      <c r="P712" s="10">
        <f>IF(O712="","",IFERROR(VLOOKUP(O712,T_KHID,2,FALSE),0))</f>
        <v/>
      </c>
      <c r="Q712" s="11" t="n"/>
      <c r="R712" s="11" t="n"/>
      <c r="S712" s="10">
        <f>IF(AND(Q712="",R712=""),"",IFERROR(INDEX(T_LIBAT,MATCH(Q712,L_PER,0),MATCH(R712,L_JENIS,0)),0))</f>
        <v/>
      </c>
      <c r="T712" s="11" t="n"/>
      <c r="U712" s="11" t="n"/>
      <c r="V712" s="10">
        <f>IF(AND(T712="",U712=""),"",IFERROR(INDEX(T_CAPAI,MATCH(T712,L_PER,0),MATCH(U712,L_KED,0)),0))</f>
        <v/>
      </c>
      <c r="W712" s="17">
        <f>IF(OR(B712="",E712="",COUNTA(F712,H712,J712:M712,O712,Q712:R712,T712:U712)=0),"",SUM(G712,I712,N712,P712,S712,V712))</f>
        <v/>
      </c>
      <c r="X712" s="18">
        <f>IF(W712="","",IF(Murid!F712="TL","TL",ROUND(W712/110*100,2)))</f>
        <v/>
      </c>
    </row>
    <row r="713">
      <c r="A713" s="15">
        <f>Murid!A713</f>
        <v/>
      </c>
      <c r="B713" s="15">
        <f>IF(Murid!B713="","",Murid!B713)</f>
        <v/>
      </c>
      <c r="C713" s="16">
        <f>IF(Murid!C713="","",Murid!C713)</f>
        <v/>
      </c>
      <c r="D713" s="15">
        <f>IF(Murid!E713="","",Murid!E713)</f>
        <v/>
      </c>
      <c r="E713" s="11" t="n"/>
      <c r="F713" s="11" t="n"/>
      <c r="G713" s="10">
        <f>IF(F713="","",IFERROR(VLOOKUP(F713,T_JSP,2,FALSE),0))</f>
        <v/>
      </c>
      <c r="H713" s="11" t="n"/>
      <c r="I713" s="17">
        <f>IF(H713="","",IF(H713&gt;=12,40,ROUND(H713*3.33,2)))</f>
        <v/>
      </c>
      <c r="J713" s="11" t="n"/>
      <c r="K713" s="11" t="n"/>
      <c r="L713" s="11" t="n"/>
      <c r="M713" s="11" t="n"/>
      <c r="N713" s="10">
        <f>IF(COUNTA(J713:M713)=0,"",MIN(10,SUMPRODUCT((COUNTIF(J713:M713,L_KOM)&gt;0)*S_KOM)))</f>
        <v/>
      </c>
      <c r="O713" s="11" t="n"/>
      <c r="P713" s="10">
        <f>IF(O713="","",IFERROR(VLOOKUP(O713,T_KHID,2,FALSE),0))</f>
        <v/>
      </c>
      <c r="Q713" s="11" t="n"/>
      <c r="R713" s="11" t="n"/>
      <c r="S713" s="10">
        <f>IF(AND(Q713="",R713=""),"",IFERROR(INDEX(T_LIBAT,MATCH(Q713,L_PER,0),MATCH(R713,L_JENIS,0)),0))</f>
        <v/>
      </c>
      <c r="T713" s="11" t="n"/>
      <c r="U713" s="11" t="n"/>
      <c r="V713" s="10">
        <f>IF(AND(T713="",U713=""),"",IFERROR(INDEX(T_CAPAI,MATCH(T713,L_PER,0),MATCH(U713,L_KED,0)),0))</f>
        <v/>
      </c>
      <c r="W713" s="17">
        <f>IF(OR(B713="",E713="",COUNTA(F713,H713,J713:M713,O713,Q713:R713,T713:U713)=0),"",SUM(G713,I713,N713,P713,S713,V713))</f>
        <v/>
      </c>
      <c r="X713" s="18">
        <f>IF(W713="","",IF(Murid!F713="TL","TL",ROUND(W713/110*100,2)))</f>
        <v/>
      </c>
    </row>
    <row r="714">
      <c r="A714" s="15">
        <f>Murid!A714</f>
        <v/>
      </c>
      <c r="B714" s="15">
        <f>IF(Murid!B714="","",Murid!B714)</f>
        <v/>
      </c>
      <c r="C714" s="16">
        <f>IF(Murid!C714="","",Murid!C714)</f>
        <v/>
      </c>
      <c r="D714" s="15">
        <f>IF(Murid!E714="","",Murid!E714)</f>
        <v/>
      </c>
      <c r="E714" s="11" t="n"/>
      <c r="F714" s="11" t="n"/>
      <c r="G714" s="10">
        <f>IF(F714="","",IFERROR(VLOOKUP(F714,T_JSP,2,FALSE),0))</f>
        <v/>
      </c>
      <c r="H714" s="11" t="n"/>
      <c r="I714" s="17">
        <f>IF(H714="","",IF(H714&gt;=12,40,ROUND(H714*3.33,2)))</f>
        <v/>
      </c>
      <c r="J714" s="11" t="n"/>
      <c r="K714" s="11" t="n"/>
      <c r="L714" s="11" t="n"/>
      <c r="M714" s="11" t="n"/>
      <c r="N714" s="10">
        <f>IF(COUNTA(J714:M714)=0,"",MIN(10,SUMPRODUCT((COUNTIF(J714:M714,L_KOM)&gt;0)*S_KOM)))</f>
        <v/>
      </c>
      <c r="O714" s="11" t="n"/>
      <c r="P714" s="10">
        <f>IF(O714="","",IFERROR(VLOOKUP(O714,T_KHID,2,FALSE),0))</f>
        <v/>
      </c>
      <c r="Q714" s="11" t="n"/>
      <c r="R714" s="11" t="n"/>
      <c r="S714" s="10">
        <f>IF(AND(Q714="",R714=""),"",IFERROR(INDEX(T_LIBAT,MATCH(Q714,L_PER,0),MATCH(R714,L_JENIS,0)),0))</f>
        <v/>
      </c>
      <c r="T714" s="11" t="n"/>
      <c r="U714" s="11" t="n"/>
      <c r="V714" s="10">
        <f>IF(AND(T714="",U714=""),"",IFERROR(INDEX(T_CAPAI,MATCH(T714,L_PER,0),MATCH(U714,L_KED,0)),0))</f>
        <v/>
      </c>
      <c r="W714" s="17">
        <f>IF(OR(B714="",E714="",COUNTA(F714,H714,J714:M714,O714,Q714:R714,T714:U714)=0),"",SUM(G714,I714,N714,P714,S714,V714))</f>
        <v/>
      </c>
      <c r="X714" s="18">
        <f>IF(W714="","",IF(Murid!F714="TL","TL",ROUND(W714/110*100,2)))</f>
        <v/>
      </c>
    </row>
    <row r="715">
      <c r="A715" s="15">
        <f>Murid!A715</f>
        <v/>
      </c>
      <c r="B715" s="15">
        <f>IF(Murid!B715="","",Murid!B715)</f>
        <v/>
      </c>
      <c r="C715" s="16">
        <f>IF(Murid!C715="","",Murid!C715)</f>
        <v/>
      </c>
      <c r="D715" s="15">
        <f>IF(Murid!E715="","",Murid!E715)</f>
        <v/>
      </c>
      <c r="E715" s="11" t="n"/>
      <c r="F715" s="11" t="n"/>
      <c r="G715" s="10">
        <f>IF(F715="","",IFERROR(VLOOKUP(F715,T_JSP,2,FALSE),0))</f>
        <v/>
      </c>
      <c r="H715" s="11" t="n"/>
      <c r="I715" s="17">
        <f>IF(H715="","",IF(H715&gt;=12,40,ROUND(H715*3.33,2)))</f>
        <v/>
      </c>
      <c r="J715" s="11" t="n"/>
      <c r="K715" s="11" t="n"/>
      <c r="L715" s="11" t="n"/>
      <c r="M715" s="11" t="n"/>
      <c r="N715" s="10">
        <f>IF(COUNTA(J715:M715)=0,"",MIN(10,SUMPRODUCT((COUNTIF(J715:M715,L_KOM)&gt;0)*S_KOM)))</f>
        <v/>
      </c>
      <c r="O715" s="11" t="n"/>
      <c r="P715" s="10">
        <f>IF(O715="","",IFERROR(VLOOKUP(O715,T_KHID,2,FALSE),0))</f>
        <v/>
      </c>
      <c r="Q715" s="11" t="n"/>
      <c r="R715" s="11" t="n"/>
      <c r="S715" s="10">
        <f>IF(AND(Q715="",R715=""),"",IFERROR(INDEX(T_LIBAT,MATCH(Q715,L_PER,0),MATCH(R715,L_JENIS,0)),0))</f>
        <v/>
      </c>
      <c r="T715" s="11" t="n"/>
      <c r="U715" s="11" t="n"/>
      <c r="V715" s="10">
        <f>IF(AND(T715="",U715=""),"",IFERROR(INDEX(T_CAPAI,MATCH(T715,L_PER,0),MATCH(U715,L_KED,0)),0))</f>
        <v/>
      </c>
      <c r="W715" s="17">
        <f>IF(OR(B715="",E715="",COUNTA(F715,H715,J715:M715,O715,Q715:R715,T715:U715)=0),"",SUM(G715,I715,N715,P715,S715,V715))</f>
        <v/>
      </c>
      <c r="X715" s="18">
        <f>IF(W715="","",IF(Murid!F715="TL","TL",ROUND(W715/110*100,2)))</f>
        <v/>
      </c>
    </row>
    <row r="716">
      <c r="A716" s="15">
        <f>Murid!A716</f>
        <v/>
      </c>
      <c r="B716" s="15">
        <f>IF(Murid!B716="","",Murid!B716)</f>
        <v/>
      </c>
      <c r="C716" s="16">
        <f>IF(Murid!C716="","",Murid!C716)</f>
        <v/>
      </c>
      <c r="D716" s="15">
        <f>IF(Murid!E716="","",Murid!E716)</f>
        <v/>
      </c>
      <c r="E716" s="11" t="n"/>
      <c r="F716" s="11" t="n"/>
      <c r="G716" s="10">
        <f>IF(F716="","",IFERROR(VLOOKUP(F716,T_JSP,2,FALSE),0))</f>
        <v/>
      </c>
      <c r="H716" s="11" t="n"/>
      <c r="I716" s="17">
        <f>IF(H716="","",IF(H716&gt;=12,40,ROUND(H716*3.33,2)))</f>
        <v/>
      </c>
      <c r="J716" s="11" t="n"/>
      <c r="K716" s="11" t="n"/>
      <c r="L716" s="11" t="n"/>
      <c r="M716" s="11" t="n"/>
      <c r="N716" s="10">
        <f>IF(COUNTA(J716:M716)=0,"",MIN(10,SUMPRODUCT((COUNTIF(J716:M716,L_KOM)&gt;0)*S_KOM)))</f>
        <v/>
      </c>
      <c r="O716" s="11" t="n"/>
      <c r="P716" s="10">
        <f>IF(O716="","",IFERROR(VLOOKUP(O716,T_KHID,2,FALSE),0))</f>
        <v/>
      </c>
      <c r="Q716" s="11" t="n"/>
      <c r="R716" s="11" t="n"/>
      <c r="S716" s="10">
        <f>IF(AND(Q716="",R716=""),"",IFERROR(INDEX(T_LIBAT,MATCH(Q716,L_PER,0),MATCH(R716,L_JENIS,0)),0))</f>
        <v/>
      </c>
      <c r="T716" s="11" t="n"/>
      <c r="U716" s="11" t="n"/>
      <c r="V716" s="10">
        <f>IF(AND(T716="",U716=""),"",IFERROR(INDEX(T_CAPAI,MATCH(T716,L_PER,0),MATCH(U716,L_KED,0)),0))</f>
        <v/>
      </c>
      <c r="W716" s="17">
        <f>IF(OR(B716="",E716="",COUNTA(F716,H716,J716:M716,O716,Q716:R716,T716:U716)=0),"",SUM(G716,I716,N716,P716,S716,V716))</f>
        <v/>
      </c>
      <c r="X716" s="18">
        <f>IF(W716="","",IF(Murid!F716="TL","TL",ROUND(W716/110*100,2)))</f>
        <v/>
      </c>
    </row>
    <row r="717">
      <c r="A717" s="15">
        <f>Murid!A717</f>
        <v/>
      </c>
      <c r="B717" s="15">
        <f>IF(Murid!B717="","",Murid!B717)</f>
        <v/>
      </c>
      <c r="C717" s="16">
        <f>IF(Murid!C717="","",Murid!C717)</f>
        <v/>
      </c>
      <c r="D717" s="15">
        <f>IF(Murid!E717="","",Murid!E717)</f>
        <v/>
      </c>
      <c r="E717" s="11" t="n"/>
      <c r="F717" s="11" t="n"/>
      <c r="G717" s="10">
        <f>IF(F717="","",IFERROR(VLOOKUP(F717,T_JSP,2,FALSE),0))</f>
        <v/>
      </c>
      <c r="H717" s="11" t="n"/>
      <c r="I717" s="17">
        <f>IF(H717="","",IF(H717&gt;=12,40,ROUND(H717*3.33,2)))</f>
        <v/>
      </c>
      <c r="J717" s="11" t="n"/>
      <c r="K717" s="11" t="n"/>
      <c r="L717" s="11" t="n"/>
      <c r="M717" s="11" t="n"/>
      <c r="N717" s="10">
        <f>IF(COUNTA(J717:M717)=0,"",MIN(10,SUMPRODUCT((COUNTIF(J717:M717,L_KOM)&gt;0)*S_KOM)))</f>
        <v/>
      </c>
      <c r="O717" s="11" t="n"/>
      <c r="P717" s="10">
        <f>IF(O717="","",IFERROR(VLOOKUP(O717,T_KHID,2,FALSE),0))</f>
        <v/>
      </c>
      <c r="Q717" s="11" t="n"/>
      <c r="R717" s="11" t="n"/>
      <c r="S717" s="10">
        <f>IF(AND(Q717="",R717=""),"",IFERROR(INDEX(T_LIBAT,MATCH(Q717,L_PER,0),MATCH(R717,L_JENIS,0)),0))</f>
        <v/>
      </c>
      <c r="T717" s="11" t="n"/>
      <c r="U717" s="11" t="n"/>
      <c r="V717" s="10">
        <f>IF(AND(T717="",U717=""),"",IFERROR(INDEX(T_CAPAI,MATCH(T717,L_PER,0),MATCH(U717,L_KED,0)),0))</f>
        <v/>
      </c>
      <c r="W717" s="17">
        <f>IF(OR(B717="",E717="",COUNTA(F717,H717,J717:M717,O717,Q717:R717,T717:U717)=0),"",SUM(G717,I717,N717,P717,S717,V717))</f>
        <v/>
      </c>
      <c r="X717" s="18">
        <f>IF(W717="","",IF(Murid!F717="TL","TL",ROUND(W717/110*100,2)))</f>
        <v/>
      </c>
    </row>
    <row r="718">
      <c r="A718" s="15">
        <f>Murid!A718</f>
        <v/>
      </c>
      <c r="B718" s="15">
        <f>IF(Murid!B718="","",Murid!B718)</f>
        <v/>
      </c>
      <c r="C718" s="16">
        <f>IF(Murid!C718="","",Murid!C718)</f>
        <v/>
      </c>
      <c r="D718" s="15">
        <f>IF(Murid!E718="","",Murid!E718)</f>
        <v/>
      </c>
      <c r="E718" s="11" t="n"/>
      <c r="F718" s="11" t="n"/>
      <c r="G718" s="10">
        <f>IF(F718="","",IFERROR(VLOOKUP(F718,T_JSP,2,FALSE),0))</f>
        <v/>
      </c>
      <c r="H718" s="11" t="n"/>
      <c r="I718" s="17">
        <f>IF(H718="","",IF(H718&gt;=12,40,ROUND(H718*3.33,2)))</f>
        <v/>
      </c>
      <c r="J718" s="11" t="n"/>
      <c r="K718" s="11" t="n"/>
      <c r="L718" s="11" t="n"/>
      <c r="M718" s="11" t="n"/>
      <c r="N718" s="10">
        <f>IF(COUNTA(J718:M718)=0,"",MIN(10,SUMPRODUCT((COUNTIF(J718:M718,L_KOM)&gt;0)*S_KOM)))</f>
        <v/>
      </c>
      <c r="O718" s="11" t="n"/>
      <c r="P718" s="10">
        <f>IF(O718="","",IFERROR(VLOOKUP(O718,T_KHID,2,FALSE),0))</f>
        <v/>
      </c>
      <c r="Q718" s="11" t="n"/>
      <c r="R718" s="11" t="n"/>
      <c r="S718" s="10">
        <f>IF(AND(Q718="",R718=""),"",IFERROR(INDEX(T_LIBAT,MATCH(Q718,L_PER,0),MATCH(R718,L_JENIS,0)),0))</f>
        <v/>
      </c>
      <c r="T718" s="11" t="n"/>
      <c r="U718" s="11" t="n"/>
      <c r="V718" s="10">
        <f>IF(AND(T718="",U718=""),"",IFERROR(INDEX(T_CAPAI,MATCH(T718,L_PER,0),MATCH(U718,L_KED,0)),0))</f>
        <v/>
      </c>
      <c r="W718" s="17">
        <f>IF(OR(B718="",E718="",COUNTA(F718,H718,J718:M718,O718,Q718:R718,T718:U718)=0),"",SUM(G718,I718,N718,P718,S718,V718))</f>
        <v/>
      </c>
      <c r="X718" s="18">
        <f>IF(W718="","",IF(Murid!F718="TL","TL",ROUND(W718/110*100,2)))</f>
        <v/>
      </c>
    </row>
    <row r="719">
      <c r="A719" s="15">
        <f>Murid!A719</f>
        <v/>
      </c>
      <c r="B719" s="15">
        <f>IF(Murid!B719="","",Murid!B719)</f>
        <v/>
      </c>
      <c r="C719" s="16">
        <f>IF(Murid!C719="","",Murid!C719)</f>
        <v/>
      </c>
      <c r="D719" s="15">
        <f>IF(Murid!E719="","",Murid!E719)</f>
        <v/>
      </c>
      <c r="E719" s="11" t="n"/>
      <c r="F719" s="11" t="n"/>
      <c r="G719" s="10">
        <f>IF(F719="","",IFERROR(VLOOKUP(F719,T_JSP,2,FALSE),0))</f>
        <v/>
      </c>
      <c r="H719" s="11" t="n"/>
      <c r="I719" s="17">
        <f>IF(H719="","",IF(H719&gt;=12,40,ROUND(H719*3.33,2)))</f>
        <v/>
      </c>
      <c r="J719" s="11" t="n"/>
      <c r="K719" s="11" t="n"/>
      <c r="L719" s="11" t="n"/>
      <c r="M719" s="11" t="n"/>
      <c r="N719" s="10">
        <f>IF(COUNTA(J719:M719)=0,"",MIN(10,SUMPRODUCT((COUNTIF(J719:M719,L_KOM)&gt;0)*S_KOM)))</f>
        <v/>
      </c>
      <c r="O719" s="11" t="n"/>
      <c r="P719" s="10">
        <f>IF(O719="","",IFERROR(VLOOKUP(O719,T_KHID,2,FALSE),0))</f>
        <v/>
      </c>
      <c r="Q719" s="11" t="n"/>
      <c r="R719" s="11" t="n"/>
      <c r="S719" s="10">
        <f>IF(AND(Q719="",R719=""),"",IFERROR(INDEX(T_LIBAT,MATCH(Q719,L_PER,0),MATCH(R719,L_JENIS,0)),0))</f>
        <v/>
      </c>
      <c r="T719" s="11" t="n"/>
      <c r="U719" s="11" t="n"/>
      <c r="V719" s="10">
        <f>IF(AND(T719="",U719=""),"",IFERROR(INDEX(T_CAPAI,MATCH(T719,L_PER,0),MATCH(U719,L_KED,0)),0))</f>
        <v/>
      </c>
      <c r="W719" s="17">
        <f>IF(OR(B719="",E719="",COUNTA(F719,H719,J719:M719,O719,Q719:R719,T719:U719)=0),"",SUM(G719,I719,N719,P719,S719,V719))</f>
        <v/>
      </c>
      <c r="X719" s="18">
        <f>IF(W719="","",IF(Murid!F719="TL","TL",ROUND(W719/110*100,2)))</f>
        <v/>
      </c>
    </row>
    <row r="720">
      <c r="A720" s="15">
        <f>Murid!A720</f>
        <v/>
      </c>
      <c r="B720" s="15">
        <f>IF(Murid!B720="","",Murid!B720)</f>
        <v/>
      </c>
      <c r="C720" s="16">
        <f>IF(Murid!C720="","",Murid!C720)</f>
        <v/>
      </c>
      <c r="D720" s="15">
        <f>IF(Murid!E720="","",Murid!E720)</f>
        <v/>
      </c>
      <c r="E720" s="11" t="n"/>
      <c r="F720" s="11" t="n"/>
      <c r="G720" s="10">
        <f>IF(F720="","",IFERROR(VLOOKUP(F720,T_JSP,2,FALSE),0))</f>
        <v/>
      </c>
      <c r="H720" s="11" t="n"/>
      <c r="I720" s="17">
        <f>IF(H720="","",IF(H720&gt;=12,40,ROUND(H720*3.33,2)))</f>
        <v/>
      </c>
      <c r="J720" s="11" t="n"/>
      <c r="K720" s="11" t="n"/>
      <c r="L720" s="11" t="n"/>
      <c r="M720" s="11" t="n"/>
      <c r="N720" s="10">
        <f>IF(COUNTA(J720:M720)=0,"",MIN(10,SUMPRODUCT((COUNTIF(J720:M720,L_KOM)&gt;0)*S_KOM)))</f>
        <v/>
      </c>
      <c r="O720" s="11" t="n"/>
      <c r="P720" s="10">
        <f>IF(O720="","",IFERROR(VLOOKUP(O720,T_KHID,2,FALSE),0))</f>
        <v/>
      </c>
      <c r="Q720" s="11" t="n"/>
      <c r="R720" s="11" t="n"/>
      <c r="S720" s="10">
        <f>IF(AND(Q720="",R720=""),"",IFERROR(INDEX(T_LIBAT,MATCH(Q720,L_PER,0),MATCH(R720,L_JENIS,0)),0))</f>
        <v/>
      </c>
      <c r="T720" s="11" t="n"/>
      <c r="U720" s="11" t="n"/>
      <c r="V720" s="10">
        <f>IF(AND(T720="",U720=""),"",IFERROR(INDEX(T_CAPAI,MATCH(T720,L_PER,0),MATCH(U720,L_KED,0)),0))</f>
        <v/>
      </c>
      <c r="W720" s="17">
        <f>IF(OR(B720="",E720="",COUNTA(F720,H720,J720:M720,O720,Q720:R720,T720:U720)=0),"",SUM(G720,I720,N720,P720,S720,V720))</f>
        <v/>
      </c>
      <c r="X720" s="18">
        <f>IF(W720="","",IF(Murid!F720="TL","TL",ROUND(W720/110*100,2)))</f>
        <v/>
      </c>
    </row>
    <row r="721">
      <c r="A721" s="15">
        <f>Murid!A721</f>
        <v/>
      </c>
      <c r="B721" s="15">
        <f>IF(Murid!B721="","",Murid!B721)</f>
        <v/>
      </c>
      <c r="C721" s="16">
        <f>IF(Murid!C721="","",Murid!C721)</f>
        <v/>
      </c>
      <c r="D721" s="15">
        <f>IF(Murid!E721="","",Murid!E721)</f>
        <v/>
      </c>
      <c r="E721" s="11" t="n"/>
      <c r="F721" s="11" t="n"/>
      <c r="G721" s="10">
        <f>IF(F721="","",IFERROR(VLOOKUP(F721,T_JSP,2,FALSE),0))</f>
        <v/>
      </c>
      <c r="H721" s="11" t="n"/>
      <c r="I721" s="17">
        <f>IF(H721="","",IF(H721&gt;=12,40,ROUND(H721*3.33,2)))</f>
        <v/>
      </c>
      <c r="J721" s="11" t="n"/>
      <c r="K721" s="11" t="n"/>
      <c r="L721" s="11" t="n"/>
      <c r="M721" s="11" t="n"/>
      <c r="N721" s="10">
        <f>IF(COUNTA(J721:M721)=0,"",MIN(10,SUMPRODUCT((COUNTIF(J721:M721,L_KOM)&gt;0)*S_KOM)))</f>
        <v/>
      </c>
      <c r="O721" s="11" t="n"/>
      <c r="P721" s="10">
        <f>IF(O721="","",IFERROR(VLOOKUP(O721,T_KHID,2,FALSE),0))</f>
        <v/>
      </c>
      <c r="Q721" s="11" t="n"/>
      <c r="R721" s="11" t="n"/>
      <c r="S721" s="10">
        <f>IF(AND(Q721="",R721=""),"",IFERROR(INDEX(T_LIBAT,MATCH(Q721,L_PER,0),MATCH(R721,L_JENIS,0)),0))</f>
        <v/>
      </c>
      <c r="T721" s="11" t="n"/>
      <c r="U721" s="11" t="n"/>
      <c r="V721" s="10">
        <f>IF(AND(T721="",U721=""),"",IFERROR(INDEX(T_CAPAI,MATCH(T721,L_PER,0),MATCH(U721,L_KED,0)),0))</f>
        <v/>
      </c>
      <c r="W721" s="17">
        <f>IF(OR(B721="",E721="",COUNTA(F721,H721,J721:M721,O721,Q721:R721,T721:U721)=0),"",SUM(G721,I721,N721,P721,S721,V721))</f>
        <v/>
      </c>
      <c r="X721" s="18">
        <f>IF(W721="","",IF(Murid!F721="TL","TL",ROUND(W721/110*100,2)))</f>
        <v/>
      </c>
    </row>
    <row r="722">
      <c r="A722" s="15">
        <f>Murid!A722</f>
        <v/>
      </c>
      <c r="B722" s="15">
        <f>IF(Murid!B722="","",Murid!B722)</f>
        <v/>
      </c>
      <c r="C722" s="16">
        <f>IF(Murid!C722="","",Murid!C722)</f>
        <v/>
      </c>
      <c r="D722" s="15">
        <f>IF(Murid!E722="","",Murid!E722)</f>
        <v/>
      </c>
      <c r="E722" s="11" t="n"/>
      <c r="F722" s="11" t="n"/>
      <c r="G722" s="10">
        <f>IF(F722="","",IFERROR(VLOOKUP(F722,T_JSP,2,FALSE),0))</f>
        <v/>
      </c>
      <c r="H722" s="11" t="n"/>
      <c r="I722" s="17">
        <f>IF(H722="","",IF(H722&gt;=12,40,ROUND(H722*3.33,2)))</f>
        <v/>
      </c>
      <c r="J722" s="11" t="n"/>
      <c r="K722" s="11" t="n"/>
      <c r="L722" s="11" t="n"/>
      <c r="M722" s="11" t="n"/>
      <c r="N722" s="10">
        <f>IF(COUNTA(J722:M722)=0,"",MIN(10,SUMPRODUCT((COUNTIF(J722:M722,L_KOM)&gt;0)*S_KOM)))</f>
        <v/>
      </c>
      <c r="O722" s="11" t="n"/>
      <c r="P722" s="10">
        <f>IF(O722="","",IFERROR(VLOOKUP(O722,T_KHID,2,FALSE),0))</f>
        <v/>
      </c>
      <c r="Q722" s="11" t="n"/>
      <c r="R722" s="11" t="n"/>
      <c r="S722" s="10">
        <f>IF(AND(Q722="",R722=""),"",IFERROR(INDEX(T_LIBAT,MATCH(Q722,L_PER,0),MATCH(R722,L_JENIS,0)),0))</f>
        <v/>
      </c>
      <c r="T722" s="11" t="n"/>
      <c r="U722" s="11" t="n"/>
      <c r="V722" s="10">
        <f>IF(AND(T722="",U722=""),"",IFERROR(INDEX(T_CAPAI,MATCH(T722,L_PER,0),MATCH(U722,L_KED,0)),0))</f>
        <v/>
      </c>
      <c r="W722" s="17">
        <f>IF(OR(B722="",E722="",COUNTA(F722,H722,J722:M722,O722,Q722:R722,T722:U722)=0),"",SUM(G722,I722,N722,P722,S722,V722))</f>
        <v/>
      </c>
      <c r="X722" s="18">
        <f>IF(W722="","",IF(Murid!F722="TL","TL",ROUND(W722/110*100,2)))</f>
        <v/>
      </c>
    </row>
    <row r="723">
      <c r="A723" s="15">
        <f>Murid!A723</f>
        <v/>
      </c>
      <c r="B723" s="15">
        <f>IF(Murid!B723="","",Murid!B723)</f>
        <v/>
      </c>
      <c r="C723" s="16">
        <f>IF(Murid!C723="","",Murid!C723)</f>
        <v/>
      </c>
      <c r="D723" s="15">
        <f>IF(Murid!E723="","",Murid!E723)</f>
        <v/>
      </c>
      <c r="E723" s="11" t="n"/>
      <c r="F723" s="11" t="n"/>
      <c r="G723" s="10">
        <f>IF(F723="","",IFERROR(VLOOKUP(F723,T_JSP,2,FALSE),0))</f>
        <v/>
      </c>
      <c r="H723" s="11" t="n"/>
      <c r="I723" s="17">
        <f>IF(H723="","",IF(H723&gt;=12,40,ROUND(H723*3.33,2)))</f>
        <v/>
      </c>
      <c r="J723" s="11" t="n"/>
      <c r="K723" s="11" t="n"/>
      <c r="L723" s="11" t="n"/>
      <c r="M723" s="11" t="n"/>
      <c r="N723" s="10">
        <f>IF(COUNTA(J723:M723)=0,"",MIN(10,SUMPRODUCT((COUNTIF(J723:M723,L_KOM)&gt;0)*S_KOM)))</f>
        <v/>
      </c>
      <c r="O723" s="11" t="n"/>
      <c r="P723" s="10">
        <f>IF(O723="","",IFERROR(VLOOKUP(O723,T_KHID,2,FALSE),0))</f>
        <v/>
      </c>
      <c r="Q723" s="11" t="n"/>
      <c r="R723" s="11" t="n"/>
      <c r="S723" s="10">
        <f>IF(AND(Q723="",R723=""),"",IFERROR(INDEX(T_LIBAT,MATCH(Q723,L_PER,0),MATCH(R723,L_JENIS,0)),0))</f>
        <v/>
      </c>
      <c r="T723" s="11" t="n"/>
      <c r="U723" s="11" t="n"/>
      <c r="V723" s="10">
        <f>IF(AND(T723="",U723=""),"",IFERROR(INDEX(T_CAPAI,MATCH(T723,L_PER,0),MATCH(U723,L_KED,0)),0))</f>
        <v/>
      </c>
      <c r="W723" s="17">
        <f>IF(OR(B723="",E723="",COUNTA(F723,H723,J723:M723,O723,Q723:R723,T723:U723)=0),"",SUM(G723,I723,N723,P723,S723,V723))</f>
        <v/>
      </c>
      <c r="X723" s="18">
        <f>IF(W723="","",IF(Murid!F723="TL","TL",ROUND(W723/110*100,2)))</f>
        <v/>
      </c>
    </row>
    <row r="724">
      <c r="A724" s="15">
        <f>Murid!A724</f>
        <v/>
      </c>
      <c r="B724" s="15">
        <f>IF(Murid!B724="","",Murid!B724)</f>
        <v/>
      </c>
      <c r="C724" s="16">
        <f>IF(Murid!C724="","",Murid!C724)</f>
        <v/>
      </c>
      <c r="D724" s="15">
        <f>IF(Murid!E724="","",Murid!E724)</f>
        <v/>
      </c>
      <c r="E724" s="11" t="n"/>
      <c r="F724" s="11" t="n"/>
      <c r="G724" s="10">
        <f>IF(F724="","",IFERROR(VLOOKUP(F724,T_JSP,2,FALSE),0))</f>
        <v/>
      </c>
      <c r="H724" s="11" t="n"/>
      <c r="I724" s="17">
        <f>IF(H724="","",IF(H724&gt;=12,40,ROUND(H724*3.33,2)))</f>
        <v/>
      </c>
      <c r="J724" s="11" t="n"/>
      <c r="K724" s="11" t="n"/>
      <c r="L724" s="11" t="n"/>
      <c r="M724" s="11" t="n"/>
      <c r="N724" s="10">
        <f>IF(COUNTA(J724:M724)=0,"",MIN(10,SUMPRODUCT((COUNTIF(J724:M724,L_KOM)&gt;0)*S_KOM)))</f>
        <v/>
      </c>
      <c r="O724" s="11" t="n"/>
      <c r="P724" s="10">
        <f>IF(O724="","",IFERROR(VLOOKUP(O724,T_KHID,2,FALSE),0))</f>
        <v/>
      </c>
      <c r="Q724" s="11" t="n"/>
      <c r="R724" s="11" t="n"/>
      <c r="S724" s="10">
        <f>IF(AND(Q724="",R724=""),"",IFERROR(INDEX(T_LIBAT,MATCH(Q724,L_PER,0),MATCH(R724,L_JENIS,0)),0))</f>
        <v/>
      </c>
      <c r="T724" s="11" t="n"/>
      <c r="U724" s="11" t="n"/>
      <c r="V724" s="10">
        <f>IF(AND(T724="",U724=""),"",IFERROR(INDEX(T_CAPAI,MATCH(T724,L_PER,0),MATCH(U724,L_KED,0)),0))</f>
        <v/>
      </c>
      <c r="W724" s="17">
        <f>IF(OR(B724="",E724="",COUNTA(F724,H724,J724:M724,O724,Q724:R724,T724:U724)=0),"",SUM(G724,I724,N724,P724,S724,V724))</f>
        <v/>
      </c>
      <c r="X724" s="18">
        <f>IF(W724="","",IF(Murid!F724="TL","TL",ROUND(W724/110*100,2)))</f>
        <v/>
      </c>
    </row>
    <row r="725">
      <c r="A725" s="15">
        <f>Murid!A725</f>
        <v/>
      </c>
      <c r="B725" s="15">
        <f>IF(Murid!B725="","",Murid!B725)</f>
        <v/>
      </c>
      <c r="C725" s="16">
        <f>IF(Murid!C725="","",Murid!C725)</f>
        <v/>
      </c>
      <c r="D725" s="15">
        <f>IF(Murid!E725="","",Murid!E725)</f>
        <v/>
      </c>
      <c r="E725" s="11" t="n"/>
      <c r="F725" s="11" t="n"/>
      <c r="G725" s="10">
        <f>IF(F725="","",IFERROR(VLOOKUP(F725,T_JSP,2,FALSE),0))</f>
        <v/>
      </c>
      <c r="H725" s="11" t="n"/>
      <c r="I725" s="17">
        <f>IF(H725="","",IF(H725&gt;=12,40,ROUND(H725*3.33,2)))</f>
        <v/>
      </c>
      <c r="J725" s="11" t="n"/>
      <c r="K725" s="11" t="n"/>
      <c r="L725" s="11" t="n"/>
      <c r="M725" s="11" t="n"/>
      <c r="N725" s="10">
        <f>IF(COUNTA(J725:M725)=0,"",MIN(10,SUMPRODUCT((COUNTIF(J725:M725,L_KOM)&gt;0)*S_KOM)))</f>
        <v/>
      </c>
      <c r="O725" s="11" t="n"/>
      <c r="P725" s="10">
        <f>IF(O725="","",IFERROR(VLOOKUP(O725,T_KHID,2,FALSE),0))</f>
        <v/>
      </c>
      <c r="Q725" s="11" t="n"/>
      <c r="R725" s="11" t="n"/>
      <c r="S725" s="10">
        <f>IF(AND(Q725="",R725=""),"",IFERROR(INDEX(T_LIBAT,MATCH(Q725,L_PER,0),MATCH(R725,L_JENIS,0)),0))</f>
        <v/>
      </c>
      <c r="T725" s="11" t="n"/>
      <c r="U725" s="11" t="n"/>
      <c r="V725" s="10">
        <f>IF(AND(T725="",U725=""),"",IFERROR(INDEX(T_CAPAI,MATCH(T725,L_PER,0),MATCH(U725,L_KED,0)),0))</f>
        <v/>
      </c>
      <c r="W725" s="17">
        <f>IF(OR(B725="",E725="",COUNTA(F725,H725,J725:M725,O725,Q725:R725,T725:U725)=0),"",SUM(G725,I725,N725,P725,S725,V725))</f>
        <v/>
      </c>
      <c r="X725" s="18">
        <f>IF(W725="","",IF(Murid!F725="TL","TL",ROUND(W725/110*100,2)))</f>
        <v/>
      </c>
    </row>
    <row r="726">
      <c r="A726" s="15">
        <f>Murid!A726</f>
        <v/>
      </c>
      <c r="B726" s="15">
        <f>IF(Murid!B726="","",Murid!B726)</f>
        <v/>
      </c>
      <c r="C726" s="16">
        <f>IF(Murid!C726="","",Murid!C726)</f>
        <v/>
      </c>
      <c r="D726" s="15">
        <f>IF(Murid!E726="","",Murid!E726)</f>
        <v/>
      </c>
      <c r="E726" s="11" t="n"/>
      <c r="F726" s="11" t="n"/>
      <c r="G726" s="10">
        <f>IF(F726="","",IFERROR(VLOOKUP(F726,T_JSP,2,FALSE),0))</f>
        <v/>
      </c>
      <c r="H726" s="11" t="n"/>
      <c r="I726" s="17">
        <f>IF(H726="","",IF(H726&gt;=12,40,ROUND(H726*3.33,2)))</f>
        <v/>
      </c>
      <c r="J726" s="11" t="n"/>
      <c r="K726" s="11" t="n"/>
      <c r="L726" s="11" t="n"/>
      <c r="M726" s="11" t="n"/>
      <c r="N726" s="10">
        <f>IF(COUNTA(J726:M726)=0,"",MIN(10,SUMPRODUCT((COUNTIF(J726:M726,L_KOM)&gt;0)*S_KOM)))</f>
        <v/>
      </c>
      <c r="O726" s="11" t="n"/>
      <c r="P726" s="10">
        <f>IF(O726="","",IFERROR(VLOOKUP(O726,T_KHID,2,FALSE),0))</f>
        <v/>
      </c>
      <c r="Q726" s="11" t="n"/>
      <c r="R726" s="11" t="n"/>
      <c r="S726" s="10">
        <f>IF(AND(Q726="",R726=""),"",IFERROR(INDEX(T_LIBAT,MATCH(Q726,L_PER,0),MATCH(R726,L_JENIS,0)),0))</f>
        <v/>
      </c>
      <c r="T726" s="11" t="n"/>
      <c r="U726" s="11" t="n"/>
      <c r="V726" s="10">
        <f>IF(AND(T726="",U726=""),"",IFERROR(INDEX(T_CAPAI,MATCH(T726,L_PER,0),MATCH(U726,L_KED,0)),0))</f>
        <v/>
      </c>
      <c r="W726" s="17">
        <f>IF(OR(B726="",E726="",COUNTA(F726,H726,J726:M726,O726,Q726:R726,T726:U726)=0),"",SUM(G726,I726,N726,P726,S726,V726))</f>
        <v/>
      </c>
      <c r="X726" s="18">
        <f>IF(W726="","",IF(Murid!F726="TL","TL",ROUND(W726/110*100,2)))</f>
        <v/>
      </c>
    </row>
    <row r="727">
      <c r="A727" s="15">
        <f>Murid!A727</f>
        <v/>
      </c>
      <c r="B727" s="15">
        <f>IF(Murid!B727="","",Murid!B727)</f>
        <v/>
      </c>
      <c r="C727" s="16">
        <f>IF(Murid!C727="","",Murid!C727)</f>
        <v/>
      </c>
      <c r="D727" s="15">
        <f>IF(Murid!E727="","",Murid!E727)</f>
        <v/>
      </c>
      <c r="E727" s="11" t="n"/>
      <c r="F727" s="11" t="n"/>
      <c r="G727" s="10">
        <f>IF(F727="","",IFERROR(VLOOKUP(F727,T_JSP,2,FALSE),0))</f>
        <v/>
      </c>
      <c r="H727" s="11" t="n"/>
      <c r="I727" s="17">
        <f>IF(H727="","",IF(H727&gt;=12,40,ROUND(H727*3.33,2)))</f>
        <v/>
      </c>
      <c r="J727" s="11" t="n"/>
      <c r="K727" s="11" t="n"/>
      <c r="L727" s="11" t="n"/>
      <c r="M727" s="11" t="n"/>
      <c r="N727" s="10">
        <f>IF(COUNTA(J727:M727)=0,"",MIN(10,SUMPRODUCT((COUNTIF(J727:M727,L_KOM)&gt;0)*S_KOM)))</f>
        <v/>
      </c>
      <c r="O727" s="11" t="n"/>
      <c r="P727" s="10">
        <f>IF(O727="","",IFERROR(VLOOKUP(O727,T_KHID,2,FALSE),0))</f>
        <v/>
      </c>
      <c r="Q727" s="11" t="n"/>
      <c r="R727" s="11" t="n"/>
      <c r="S727" s="10">
        <f>IF(AND(Q727="",R727=""),"",IFERROR(INDEX(T_LIBAT,MATCH(Q727,L_PER,0),MATCH(R727,L_JENIS,0)),0))</f>
        <v/>
      </c>
      <c r="T727" s="11" t="n"/>
      <c r="U727" s="11" t="n"/>
      <c r="V727" s="10">
        <f>IF(AND(T727="",U727=""),"",IFERROR(INDEX(T_CAPAI,MATCH(T727,L_PER,0),MATCH(U727,L_KED,0)),0))</f>
        <v/>
      </c>
      <c r="W727" s="17">
        <f>IF(OR(B727="",E727="",COUNTA(F727,H727,J727:M727,O727,Q727:R727,T727:U727)=0),"",SUM(G727,I727,N727,P727,S727,V727))</f>
        <v/>
      </c>
      <c r="X727" s="18">
        <f>IF(W727="","",IF(Murid!F727="TL","TL",ROUND(W727/110*100,2)))</f>
        <v/>
      </c>
    </row>
    <row r="728">
      <c r="A728" s="15">
        <f>Murid!A728</f>
        <v/>
      </c>
      <c r="B728" s="15">
        <f>IF(Murid!B728="","",Murid!B728)</f>
        <v/>
      </c>
      <c r="C728" s="16">
        <f>IF(Murid!C728="","",Murid!C728)</f>
        <v/>
      </c>
      <c r="D728" s="15">
        <f>IF(Murid!E728="","",Murid!E728)</f>
        <v/>
      </c>
      <c r="E728" s="11" t="n"/>
      <c r="F728" s="11" t="n"/>
      <c r="G728" s="10">
        <f>IF(F728="","",IFERROR(VLOOKUP(F728,T_JSP,2,FALSE),0))</f>
        <v/>
      </c>
      <c r="H728" s="11" t="n"/>
      <c r="I728" s="17">
        <f>IF(H728="","",IF(H728&gt;=12,40,ROUND(H728*3.33,2)))</f>
        <v/>
      </c>
      <c r="J728" s="11" t="n"/>
      <c r="K728" s="11" t="n"/>
      <c r="L728" s="11" t="n"/>
      <c r="M728" s="11" t="n"/>
      <c r="N728" s="10">
        <f>IF(COUNTA(J728:M728)=0,"",MIN(10,SUMPRODUCT((COUNTIF(J728:M728,L_KOM)&gt;0)*S_KOM)))</f>
        <v/>
      </c>
      <c r="O728" s="11" t="n"/>
      <c r="P728" s="10">
        <f>IF(O728="","",IFERROR(VLOOKUP(O728,T_KHID,2,FALSE),0))</f>
        <v/>
      </c>
      <c r="Q728" s="11" t="n"/>
      <c r="R728" s="11" t="n"/>
      <c r="S728" s="10">
        <f>IF(AND(Q728="",R728=""),"",IFERROR(INDEX(T_LIBAT,MATCH(Q728,L_PER,0),MATCH(R728,L_JENIS,0)),0))</f>
        <v/>
      </c>
      <c r="T728" s="11" t="n"/>
      <c r="U728" s="11" t="n"/>
      <c r="V728" s="10">
        <f>IF(AND(T728="",U728=""),"",IFERROR(INDEX(T_CAPAI,MATCH(T728,L_PER,0),MATCH(U728,L_KED,0)),0))</f>
        <v/>
      </c>
      <c r="W728" s="17">
        <f>IF(OR(B728="",E728="",COUNTA(F728,H728,J728:M728,O728,Q728:R728,T728:U728)=0),"",SUM(G728,I728,N728,P728,S728,V728))</f>
        <v/>
      </c>
      <c r="X728" s="18">
        <f>IF(W728="","",IF(Murid!F728="TL","TL",ROUND(W728/110*100,2)))</f>
        <v/>
      </c>
    </row>
    <row r="729">
      <c r="A729" s="15">
        <f>Murid!A729</f>
        <v/>
      </c>
      <c r="B729" s="15">
        <f>IF(Murid!B729="","",Murid!B729)</f>
        <v/>
      </c>
      <c r="C729" s="16">
        <f>IF(Murid!C729="","",Murid!C729)</f>
        <v/>
      </c>
      <c r="D729" s="15">
        <f>IF(Murid!E729="","",Murid!E729)</f>
        <v/>
      </c>
      <c r="E729" s="11" t="n"/>
      <c r="F729" s="11" t="n"/>
      <c r="G729" s="10">
        <f>IF(F729="","",IFERROR(VLOOKUP(F729,T_JSP,2,FALSE),0))</f>
        <v/>
      </c>
      <c r="H729" s="11" t="n"/>
      <c r="I729" s="17">
        <f>IF(H729="","",IF(H729&gt;=12,40,ROUND(H729*3.33,2)))</f>
        <v/>
      </c>
      <c r="J729" s="11" t="n"/>
      <c r="K729" s="11" t="n"/>
      <c r="L729" s="11" t="n"/>
      <c r="M729" s="11" t="n"/>
      <c r="N729" s="10">
        <f>IF(COUNTA(J729:M729)=0,"",MIN(10,SUMPRODUCT((COUNTIF(J729:M729,L_KOM)&gt;0)*S_KOM)))</f>
        <v/>
      </c>
      <c r="O729" s="11" t="n"/>
      <c r="P729" s="10">
        <f>IF(O729="","",IFERROR(VLOOKUP(O729,T_KHID,2,FALSE),0))</f>
        <v/>
      </c>
      <c r="Q729" s="11" t="n"/>
      <c r="R729" s="11" t="n"/>
      <c r="S729" s="10">
        <f>IF(AND(Q729="",R729=""),"",IFERROR(INDEX(T_LIBAT,MATCH(Q729,L_PER,0),MATCH(R729,L_JENIS,0)),0))</f>
        <v/>
      </c>
      <c r="T729" s="11" t="n"/>
      <c r="U729" s="11" t="n"/>
      <c r="V729" s="10">
        <f>IF(AND(T729="",U729=""),"",IFERROR(INDEX(T_CAPAI,MATCH(T729,L_PER,0),MATCH(U729,L_KED,0)),0))</f>
        <v/>
      </c>
      <c r="W729" s="17">
        <f>IF(OR(B729="",E729="",COUNTA(F729,H729,J729:M729,O729,Q729:R729,T729:U729)=0),"",SUM(G729,I729,N729,P729,S729,V729))</f>
        <v/>
      </c>
      <c r="X729" s="18">
        <f>IF(W729="","",IF(Murid!F729="TL","TL",ROUND(W729/110*100,2)))</f>
        <v/>
      </c>
    </row>
    <row r="730">
      <c r="A730" s="15">
        <f>Murid!A730</f>
        <v/>
      </c>
      <c r="B730" s="15">
        <f>IF(Murid!B730="","",Murid!B730)</f>
        <v/>
      </c>
      <c r="C730" s="16">
        <f>IF(Murid!C730="","",Murid!C730)</f>
        <v/>
      </c>
      <c r="D730" s="15">
        <f>IF(Murid!E730="","",Murid!E730)</f>
        <v/>
      </c>
      <c r="E730" s="11" t="n"/>
      <c r="F730" s="11" t="n"/>
      <c r="G730" s="10">
        <f>IF(F730="","",IFERROR(VLOOKUP(F730,T_JSP,2,FALSE),0))</f>
        <v/>
      </c>
      <c r="H730" s="11" t="n"/>
      <c r="I730" s="17">
        <f>IF(H730="","",IF(H730&gt;=12,40,ROUND(H730*3.33,2)))</f>
        <v/>
      </c>
      <c r="J730" s="11" t="n"/>
      <c r="K730" s="11" t="n"/>
      <c r="L730" s="11" t="n"/>
      <c r="M730" s="11" t="n"/>
      <c r="N730" s="10">
        <f>IF(COUNTA(J730:M730)=0,"",MIN(10,SUMPRODUCT((COUNTIF(J730:M730,L_KOM)&gt;0)*S_KOM)))</f>
        <v/>
      </c>
      <c r="O730" s="11" t="n"/>
      <c r="P730" s="10">
        <f>IF(O730="","",IFERROR(VLOOKUP(O730,T_KHID,2,FALSE),0))</f>
        <v/>
      </c>
      <c r="Q730" s="11" t="n"/>
      <c r="R730" s="11" t="n"/>
      <c r="S730" s="10">
        <f>IF(AND(Q730="",R730=""),"",IFERROR(INDEX(T_LIBAT,MATCH(Q730,L_PER,0),MATCH(R730,L_JENIS,0)),0))</f>
        <v/>
      </c>
      <c r="T730" s="11" t="n"/>
      <c r="U730" s="11" t="n"/>
      <c r="V730" s="10">
        <f>IF(AND(T730="",U730=""),"",IFERROR(INDEX(T_CAPAI,MATCH(T730,L_PER,0),MATCH(U730,L_KED,0)),0))</f>
        <v/>
      </c>
      <c r="W730" s="17">
        <f>IF(OR(B730="",E730="",COUNTA(F730,H730,J730:M730,O730,Q730:R730,T730:U730)=0),"",SUM(G730,I730,N730,P730,S730,V730))</f>
        <v/>
      </c>
      <c r="X730" s="18">
        <f>IF(W730="","",IF(Murid!F730="TL","TL",ROUND(W730/110*100,2)))</f>
        <v/>
      </c>
    </row>
    <row r="731">
      <c r="A731" s="15">
        <f>Murid!A731</f>
        <v/>
      </c>
      <c r="B731" s="15">
        <f>IF(Murid!B731="","",Murid!B731)</f>
        <v/>
      </c>
      <c r="C731" s="16">
        <f>IF(Murid!C731="","",Murid!C731)</f>
        <v/>
      </c>
      <c r="D731" s="15">
        <f>IF(Murid!E731="","",Murid!E731)</f>
        <v/>
      </c>
      <c r="E731" s="11" t="n"/>
      <c r="F731" s="11" t="n"/>
      <c r="G731" s="10">
        <f>IF(F731="","",IFERROR(VLOOKUP(F731,T_JSP,2,FALSE),0))</f>
        <v/>
      </c>
      <c r="H731" s="11" t="n"/>
      <c r="I731" s="17">
        <f>IF(H731="","",IF(H731&gt;=12,40,ROUND(H731*3.33,2)))</f>
        <v/>
      </c>
      <c r="J731" s="11" t="n"/>
      <c r="K731" s="11" t="n"/>
      <c r="L731" s="11" t="n"/>
      <c r="M731" s="11" t="n"/>
      <c r="N731" s="10">
        <f>IF(COUNTA(J731:M731)=0,"",MIN(10,SUMPRODUCT((COUNTIF(J731:M731,L_KOM)&gt;0)*S_KOM)))</f>
        <v/>
      </c>
      <c r="O731" s="11" t="n"/>
      <c r="P731" s="10">
        <f>IF(O731="","",IFERROR(VLOOKUP(O731,T_KHID,2,FALSE),0))</f>
        <v/>
      </c>
      <c r="Q731" s="11" t="n"/>
      <c r="R731" s="11" t="n"/>
      <c r="S731" s="10">
        <f>IF(AND(Q731="",R731=""),"",IFERROR(INDEX(T_LIBAT,MATCH(Q731,L_PER,0),MATCH(R731,L_JENIS,0)),0))</f>
        <v/>
      </c>
      <c r="T731" s="11" t="n"/>
      <c r="U731" s="11" t="n"/>
      <c r="V731" s="10">
        <f>IF(AND(T731="",U731=""),"",IFERROR(INDEX(T_CAPAI,MATCH(T731,L_PER,0),MATCH(U731,L_KED,0)),0))</f>
        <v/>
      </c>
      <c r="W731" s="17">
        <f>IF(OR(B731="",E731="",COUNTA(F731,H731,J731:M731,O731,Q731:R731,T731:U731)=0),"",SUM(G731,I731,N731,P731,S731,V731))</f>
        <v/>
      </c>
      <c r="X731" s="18">
        <f>IF(W731="","",IF(Murid!F731="TL","TL",ROUND(W731/110*100,2)))</f>
        <v/>
      </c>
    </row>
    <row r="732">
      <c r="A732" s="15">
        <f>Murid!A732</f>
        <v/>
      </c>
      <c r="B732" s="15">
        <f>IF(Murid!B732="","",Murid!B732)</f>
        <v/>
      </c>
      <c r="C732" s="16">
        <f>IF(Murid!C732="","",Murid!C732)</f>
        <v/>
      </c>
      <c r="D732" s="15">
        <f>IF(Murid!E732="","",Murid!E732)</f>
        <v/>
      </c>
      <c r="E732" s="11" t="n"/>
      <c r="F732" s="11" t="n"/>
      <c r="G732" s="10">
        <f>IF(F732="","",IFERROR(VLOOKUP(F732,T_JSP,2,FALSE),0))</f>
        <v/>
      </c>
      <c r="H732" s="11" t="n"/>
      <c r="I732" s="17">
        <f>IF(H732="","",IF(H732&gt;=12,40,ROUND(H732*3.33,2)))</f>
        <v/>
      </c>
      <c r="J732" s="11" t="n"/>
      <c r="K732" s="11" t="n"/>
      <c r="L732" s="11" t="n"/>
      <c r="M732" s="11" t="n"/>
      <c r="N732" s="10">
        <f>IF(COUNTA(J732:M732)=0,"",MIN(10,SUMPRODUCT((COUNTIF(J732:M732,L_KOM)&gt;0)*S_KOM)))</f>
        <v/>
      </c>
      <c r="O732" s="11" t="n"/>
      <c r="P732" s="10">
        <f>IF(O732="","",IFERROR(VLOOKUP(O732,T_KHID,2,FALSE),0))</f>
        <v/>
      </c>
      <c r="Q732" s="11" t="n"/>
      <c r="R732" s="11" t="n"/>
      <c r="S732" s="10">
        <f>IF(AND(Q732="",R732=""),"",IFERROR(INDEX(T_LIBAT,MATCH(Q732,L_PER,0),MATCH(R732,L_JENIS,0)),0))</f>
        <v/>
      </c>
      <c r="T732" s="11" t="n"/>
      <c r="U732" s="11" t="n"/>
      <c r="V732" s="10">
        <f>IF(AND(T732="",U732=""),"",IFERROR(INDEX(T_CAPAI,MATCH(T732,L_PER,0),MATCH(U732,L_KED,0)),0))</f>
        <v/>
      </c>
      <c r="W732" s="17">
        <f>IF(OR(B732="",E732="",COUNTA(F732,H732,J732:M732,O732,Q732:R732,T732:U732)=0),"",SUM(G732,I732,N732,P732,S732,V732))</f>
        <v/>
      </c>
      <c r="X732" s="18">
        <f>IF(W732="","",IF(Murid!F732="TL","TL",ROUND(W732/110*100,2)))</f>
        <v/>
      </c>
    </row>
    <row r="733">
      <c r="A733" s="15">
        <f>Murid!A733</f>
        <v/>
      </c>
      <c r="B733" s="15">
        <f>IF(Murid!B733="","",Murid!B733)</f>
        <v/>
      </c>
      <c r="C733" s="16">
        <f>IF(Murid!C733="","",Murid!C733)</f>
        <v/>
      </c>
      <c r="D733" s="15">
        <f>IF(Murid!E733="","",Murid!E733)</f>
        <v/>
      </c>
      <c r="E733" s="11" t="n"/>
      <c r="F733" s="11" t="n"/>
      <c r="G733" s="10">
        <f>IF(F733="","",IFERROR(VLOOKUP(F733,T_JSP,2,FALSE),0))</f>
        <v/>
      </c>
      <c r="H733" s="11" t="n"/>
      <c r="I733" s="17">
        <f>IF(H733="","",IF(H733&gt;=12,40,ROUND(H733*3.33,2)))</f>
        <v/>
      </c>
      <c r="J733" s="11" t="n"/>
      <c r="K733" s="11" t="n"/>
      <c r="L733" s="11" t="n"/>
      <c r="M733" s="11" t="n"/>
      <c r="N733" s="10">
        <f>IF(COUNTA(J733:M733)=0,"",MIN(10,SUMPRODUCT((COUNTIF(J733:M733,L_KOM)&gt;0)*S_KOM)))</f>
        <v/>
      </c>
      <c r="O733" s="11" t="n"/>
      <c r="P733" s="10">
        <f>IF(O733="","",IFERROR(VLOOKUP(O733,T_KHID,2,FALSE),0))</f>
        <v/>
      </c>
      <c r="Q733" s="11" t="n"/>
      <c r="R733" s="11" t="n"/>
      <c r="S733" s="10">
        <f>IF(AND(Q733="",R733=""),"",IFERROR(INDEX(T_LIBAT,MATCH(Q733,L_PER,0),MATCH(R733,L_JENIS,0)),0))</f>
        <v/>
      </c>
      <c r="T733" s="11" t="n"/>
      <c r="U733" s="11" t="n"/>
      <c r="V733" s="10">
        <f>IF(AND(T733="",U733=""),"",IFERROR(INDEX(T_CAPAI,MATCH(T733,L_PER,0),MATCH(U733,L_KED,0)),0))</f>
        <v/>
      </c>
      <c r="W733" s="17">
        <f>IF(OR(B733="",E733="",COUNTA(F733,H733,J733:M733,O733,Q733:R733,T733:U733)=0),"",SUM(G733,I733,N733,P733,S733,V733))</f>
        <v/>
      </c>
      <c r="X733" s="18">
        <f>IF(W733="","",IF(Murid!F733="TL","TL",ROUND(W733/110*100,2)))</f>
        <v/>
      </c>
    </row>
    <row r="734">
      <c r="A734" s="15">
        <f>Murid!A734</f>
        <v/>
      </c>
      <c r="B734" s="15">
        <f>IF(Murid!B734="","",Murid!B734)</f>
        <v/>
      </c>
      <c r="C734" s="16">
        <f>IF(Murid!C734="","",Murid!C734)</f>
        <v/>
      </c>
      <c r="D734" s="15">
        <f>IF(Murid!E734="","",Murid!E734)</f>
        <v/>
      </c>
      <c r="E734" s="11" t="n"/>
      <c r="F734" s="11" t="n"/>
      <c r="G734" s="10">
        <f>IF(F734="","",IFERROR(VLOOKUP(F734,T_JSP,2,FALSE),0))</f>
        <v/>
      </c>
      <c r="H734" s="11" t="n"/>
      <c r="I734" s="17">
        <f>IF(H734="","",IF(H734&gt;=12,40,ROUND(H734*3.33,2)))</f>
        <v/>
      </c>
      <c r="J734" s="11" t="n"/>
      <c r="K734" s="11" t="n"/>
      <c r="L734" s="11" t="n"/>
      <c r="M734" s="11" t="n"/>
      <c r="N734" s="10">
        <f>IF(COUNTA(J734:M734)=0,"",MIN(10,SUMPRODUCT((COUNTIF(J734:M734,L_KOM)&gt;0)*S_KOM)))</f>
        <v/>
      </c>
      <c r="O734" s="11" t="n"/>
      <c r="P734" s="10">
        <f>IF(O734="","",IFERROR(VLOOKUP(O734,T_KHID,2,FALSE),0))</f>
        <v/>
      </c>
      <c r="Q734" s="11" t="n"/>
      <c r="R734" s="11" t="n"/>
      <c r="S734" s="10">
        <f>IF(AND(Q734="",R734=""),"",IFERROR(INDEX(T_LIBAT,MATCH(Q734,L_PER,0),MATCH(R734,L_JENIS,0)),0))</f>
        <v/>
      </c>
      <c r="T734" s="11" t="n"/>
      <c r="U734" s="11" t="n"/>
      <c r="V734" s="10">
        <f>IF(AND(T734="",U734=""),"",IFERROR(INDEX(T_CAPAI,MATCH(T734,L_PER,0),MATCH(U734,L_KED,0)),0))</f>
        <v/>
      </c>
      <c r="W734" s="17">
        <f>IF(OR(B734="",E734="",COUNTA(F734,H734,J734:M734,O734,Q734:R734,T734:U734)=0),"",SUM(G734,I734,N734,P734,S734,V734))</f>
        <v/>
      </c>
      <c r="X734" s="18">
        <f>IF(W734="","",IF(Murid!F734="TL","TL",ROUND(W734/110*100,2)))</f>
        <v/>
      </c>
    </row>
    <row r="735">
      <c r="A735" s="15">
        <f>Murid!A735</f>
        <v/>
      </c>
      <c r="B735" s="15">
        <f>IF(Murid!B735="","",Murid!B735)</f>
        <v/>
      </c>
      <c r="C735" s="16">
        <f>IF(Murid!C735="","",Murid!C735)</f>
        <v/>
      </c>
      <c r="D735" s="15">
        <f>IF(Murid!E735="","",Murid!E735)</f>
        <v/>
      </c>
      <c r="E735" s="11" t="n"/>
      <c r="F735" s="11" t="n"/>
      <c r="G735" s="10">
        <f>IF(F735="","",IFERROR(VLOOKUP(F735,T_JSP,2,FALSE),0))</f>
        <v/>
      </c>
      <c r="H735" s="11" t="n"/>
      <c r="I735" s="17">
        <f>IF(H735="","",IF(H735&gt;=12,40,ROUND(H735*3.33,2)))</f>
        <v/>
      </c>
      <c r="J735" s="11" t="n"/>
      <c r="K735" s="11" t="n"/>
      <c r="L735" s="11" t="n"/>
      <c r="M735" s="11" t="n"/>
      <c r="N735" s="10">
        <f>IF(COUNTA(J735:M735)=0,"",MIN(10,SUMPRODUCT((COUNTIF(J735:M735,L_KOM)&gt;0)*S_KOM)))</f>
        <v/>
      </c>
      <c r="O735" s="11" t="n"/>
      <c r="P735" s="10">
        <f>IF(O735="","",IFERROR(VLOOKUP(O735,T_KHID,2,FALSE),0))</f>
        <v/>
      </c>
      <c r="Q735" s="11" t="n"/>
      <c r="R735" s="11" t="n"/>
      <c r="S735" s="10">
        <f>IF(AND(Q735="",R735=""),"",IFERROR(INDEX(T_LIBAT,MATCH(Q735,L_PER,0),MATCH(R735,L_JENIS,0)),0))</f>
        <v/>
      </c>
      <c r="T735" s="11" t="n"/>
      <c r="U735" s="11" t="n"/>
      <c r="V735" s="10">
        <f>IF(AND(T735="",U735=""),"",IFERROR(INDEX(T_CAPAI,MATCH(T735,L_PER,0),MATCH(U735,L_KED,0)),0))</f>
        <v/>
      </c>
      <c r="W735" s="17">
        <f>IF(OR(B735="",E735="",COUNTA(F735,H735,J735:M735,O735,Q735:R735,T735:U735)=0),"",SUM(G735,I735,N735,P735,S735,V735))</f>
        <v/>
      </c>
      <c r="X735" s="18">
        <f>IF(W735="","",IF(Murid!F735="TL","TL",ROUND(W735/110*100,2)))</f>
        <v/>
      </c>
    </row>
    <row r="736">
      <c r="A736" s="15">
        <f>Murid!A736</f>
        <v/>
      </c>
      <c r="B736" s="15">
        <f>IF(Murid!B736="","",Murid!B736)</f>
        <v/>
      </c>
      <c r="C736" s="16">
        <f>IF(Murid!C736="","",Murid!C736)</f>
        <v/>
      </c>
      <c r="D736" s="15">
        <f>IF(Murid!E736="","",Murid!E736)</f>
        <v/>
      </c>
      <c r="E736" s="11" t="n"/>
      <c r="F736" s="11" t="n"/>
      <c r="G736" s="10">
        <f>IF(F736="","",IFERROR(VLOOKUP(F736,T_JSP,2,FALSE),0))</f>
        <v/>
      </c>
      <c r="H736" s="11" t="n"/>
      <c r="I736" s="17">
        <f>IF(H736="","",IF(H736&gt;=12,40,ROUND(H736*3.33,2)))</f>
        <v/>
      </c>
      <c r="J736" s="11" t="n"/>
      <c r="K736" s="11" t="n"/>
      <c r="L736" s="11" t="n"/>
      <c r="M736" s="11" t="n"/>
      <c r="N736" s="10">
        <f>IF(COUNTA(J736:M736)=0,"",MIN(10,SUMPRODUCT((COUNTIF(J736:M736,L_KOM)&gt;0)*S_KOM)))</f>
        <v/>
      </c>
      <c r="O736" s="11" t="n"/>
      <c r="P736" s="10">
        <f>IF(O736="","",IFERROR(VLOOKUP(O736,T_KHID,2,FALSE),0))</f>
        <v/>
      </c>
      <c r="Q736" s="11" t="n"/>
      <c r="R736" s="11" t="n"/>
      <c r="S736" s="10">
        <f>IF(AND(Q736="",R736=""),"",IFERROR(INDEX(T_LIBAT,MATCH(Q736,L_PER,0),MATCH(R736,L_JENIS,0)),0))</f>
        <v/>
      </c>
      <c r="T736" s="11" t="n"/>
      <c r="U736" s="11" t="n"/>
      <c r="V736" s="10">
        <f>IF(AND(T736="",U736=""),"",IFERROR(INDEX(T_CAPAI,MATCH(T736,L_PER,0),MATCH(U736,L_KED,0)),0))</f>
        <v/>
      </c>
      <c r="W736" s="17">
        <f>IF(OR(B736="",E736="",COUNTA(F736,H736,J736:M736,O736,Q736:R736,T736:U736)=0),"",SUM(G736,I736,N736,P736,S736,V736))</f>
        <v/>
      </c>
      <c r="X736" s="18">
        <f>IF(W736="","",IF(Murid!F736="TL","TL",ROUND(W736/110*100,2)))</f>
        <v/>
      </c>
    </row>
    <row r="737">
      <c r="A737" s="15">
        <f>Murid!A737</f>
        <v/>
      </c>
      <c r="B737" s="15">
        <f>IF(Murid!B737="","",Murid!B737)</f>
        <v/>
      </c>
      <c r="C737" s="16">
        <f>IF(Murid!C737="","",Murid!C737)</f>
        <v/>
      </c>
      <c r="D737" s="15">
        <f>IF(Murid!E737="","",Murid!E737)</f>
        <v/>
      </c>
      <c r="E737" s="11" t="n"/>
      <c r="F737" s="11" t="n"/>
      <c r="G737" s="10">
        <f>IF(F737="","",IFERROR(VLOOKUP(F737,T_JSP,2,FALSE),0))</f>
        <v/>
      </c>
      <c r="H737" s="11" t="n"/>
      <c r="I737" s="17">
        <f>IF(H737="","",IF(H737&gt;=12,40,ROUND(H737*3.33,2)))</f>
        <v/>
      </c>
      <c r="J737" s="11" t="n"/>
      <c r="K737" s="11" t="n"/>
      <c r="L737" s="11" t="n"/>
      <c r="M737" s="11" t="n"/>
      <c r="N737" s="10">
        <f>IF(COUNTA(J737:M737)=0,"",MIN(10,SUMPRODUCT((COUNTIF(J737:M737,L_KOM)&gt;0)*S_KOM)))</f>
        <v/>
      </c>
      <c r="O737" s="11" t="n"/>
      <c r="P737" s="10">
        <f>IF(O737="","",IFERROR(VLOOKUP(O737,T_KHID,2,FALSE),0))</f>
        <v/>
      </c>
      <c r="Q737" s="11" t="n"/>
      <c r="R737" s="11" t="n"/>
      <c r="S737" s="10">
        <f>IF(AND(Q737="",R737=""),"",IFERROR(INDEX(T_LIBAT,MATCH(Q737,L_PER,0),MATCH(R737,L_JENIS,0)),0))</f>
        <v/>
      </c>
      <c r="T737" s="11" t="n"/>
      <c r="U737" s="11" t="n"/>
      <c r="V737" s="10">
        <f>IF(AND(T737="",U737=""),"",IFERROR(INDEX(T_CAPAI,MATCH(T737,L_PER,0),MATCH(U737,L_KED,0)),0))</f>
        <v/>
      </c>
      <c r="W737" s="17">
        <f>IF(OR(B737="",E737="",COUNTA(F737,H737,J737:M737,O737,Q737:R737,T737:U737)=0),"",SUM(G737,I737,N737,P737,S737,V737))</f>
        <v/>
      </c>
      <c r="X737" s="18">
        <f>IF(W737="","",IF(Murid!F737="TL","TL",ROUND(W737/110*100,2)))</f>
        <v/>
      </c>
    </row>
    <row r="738">
      <c r="A738" s="15">
        <f>Murid!A738</f>
        <v/>
      </c>
      <c r="B738" s="15">
        <f>IF(Murid!B738="","",Murid!B738)</f>
        <v/>
      </c>
      <c r="C738" s="16">
        <f>IF(Murid!C738="","",Murid!C738)</f>
        <v/>
      </c>
      <c r="D738" s="15">
        <f>IF(Murid!E738="","",Murid!E738)</f>
        <v/>
      </c>
      <c r="E738" s="11" t="n"/>
      <c r="F738" s="11" t="n"/>
      <c r="G738" s="10">
        <f>IF(F738="","",IFERROR(VLOOKUP(F738,T_JSP,2,FALSE),0))</f>
        <v/>
      </c>
      <c r="H738" s="11" t="n"/>
      <c r="I738" s="17">
        <f>IF(H738="","",IF(H738&gt;=12,40,ROUND(H738*3.33,2)))</f>
        <v/>
      </c>
      <c r="J738" s="11" t="n"/>
      <c r="K738" s="11" t="n"/>
      <c r="L738" s="11" t="n"/>
      <c r="M738" s="11" t="n"/>
      <c r="N738" s="10">
        <f>IF(COUNTA(J738:M738)=0,"",MIN(10,SUMPRODUCT((COUNTIF(J738:M738,L_KOM)&gt;0)*S_KOM)))</f>
        <v/>
      </c>
      <c r="O738" s="11" t="n"/>
      <c r="P738" s="10">
        <f>IF(O738="","",IFERROR(VLOOKUP(O738,T_KHID,2,FALSE),0))</f>
        <v/>
      </c>
      <c r="Q738" s="11" t="n"/>
      <c r="R738" s="11" t="n"/>
      <c r="S738" s="10">
        <f>IF(AND(Q738="",R738=""),"",IFERROR(INDEX(T_LIBAT,MATCH(Q738,L_PER,0),MATCH(R738,L_JENIS,0)),0))</f>
        <v/>
      </c>
      <c r="T738" s="11" t="n"/>
      <c r="U738" s="11" t="n"/>
      <c r="V738" s="10">
        <f>IF(AND(T738="",U738=""),"",IFERROR(INDEX(T_CAPAI,MATCH(T738,L_PER,0),MATCH(U738,L_KED,0)),0))</f>
        <v/>
      </c>
      <c r="W738" s="17">
        <f>IF(OR(B738="",E738="",COUNTA(F738,H738,J738:M738,O738,Q738:R738,T738:U738)=0),"",SUM(G738,I738,N738,P738,S738,V738))</f>
        <v/>
      </c>
      <c r="X738" s="18">
        <f>IF(W738="","",IF(Murid!F738="TL","TL",ROUND(W738/110*100,2)))</f>
        <v/>
      </c>
    </row>
    <row r="739">
      <c r="A739" s="15">
        <f>Murid!A739</f>
        <v/>
      </c>
      <c r="B739" s="15">
        <f>IF(Murid!B739="","",Murid!B739)</f>
        <v/>
      </c>
      <c r="C739" s="16">
        <f>IF(Murid!C739="","",Murid!C739)</f>
        <v/>
      </c>
      <c r="D739" s="15">
        <f>IF(Murid!E739="","",Murid!E739)</f>
        <v/>
      </c>
      <c r="E739" s="11" t="n"/>
      <c r="F739" s="11" t="n"/>
      <c r="G739" s="10">
        <f>IF(F739="","",IFERROR(VLOOKUP(F739,T_JSP,2,FALSE),0))</f>
        <v/>
      </c>
      <c r="H739" s="11" t="n"/>
      <c r="I739" s="17">
        <f>IF(H739="","",IF(H739&gt;=12,40,ROUND(H739*3.33,2)))</f>
        <v/>
      </c>
      <c r="J739" s="11" t="n"/>
      <c r="K739" s="11" t="n"/>
      <c r="L739" s="11" t="n"/>
      <c r="M739" s="11" t="n"/>
      <c r="N739" s="10">
        <f>IF(COUNTA(J739:M739)=0,"",MIN(10,SUMPRODUCT((COUNTIF(J739:M739,L_KOM)&gt;0)*S_KOM)))</f>
        <v/>
      </c>
      <c r="O739" s="11" t="n"/>
      <c r="P739" s="10">
        <f>IF(O739="","",IFERROR(VLOOKUP(O739,T_KHID,2,FALSE),0))</f>
        <v/>
      </c>
      <c r="Q739" s="11" t="n"/>
      <c r="R739" s="11" t="n"/>
      <c r="S739" s="10">
        <f>IF(AND(Q739="",R739=""),"",IFERROR(INDEX(T_LIBAT,MATCH(Q739,L_PER,0),MATCH(R739,L_JENIS,0)),0))</f>
        <v/>
      </c>
      <c r="T739" s="11" t="n"/>
      <c r="U739" s="11" t="n"/>
      <c r="V739" s="10">
        <f>IF(AND(T739="",U739=""),"",IFERROR(INDEX(T_CAPAI,MATCH(T739,L_PER,0),MATCH(U739,L_KED,0)),0))</f>
        <v/>
      </c>
      <c r="W739" s="17">
        <f>IF(OR(B739="",E739="",COUNTA(F739,H739,J739:M739,O739,Q739:R739,T739:U739)=0),"",SUM(G739,I739,N739,P739,S739,V739))</f>
        <v/>
      </c>
      <c r="X739" s="18">
        <f>IF(W739="","",IF(Murid!F739="TL","TL",ROUND(W739/110*100,2)))</f>
        <v/>
      </c>
    </row>
    <row r="740">
      <c r="A740" s="15">
        <f>Murid!A740</f>
        <v/>
      </c>
      <c r="B740" s="15">
        <f>IF(Murid!B740="","",Murid!B740)</f>
        <v/>
      </c>
      <c r="C740" s="16">
        <f>IF(Murid!C740="","",Murid!C740)</f>
        <v/>
      </c>
      <c r="D740" s="15">
        <f>IF(Murid!E740="","",Murid!E740)</f>
        <v/>
      </c>
      <c r="E740" s="11" t="n"/>
      <c r="F740" s="11" t="n"/>
      <c r="G740" s="10">
        <f>IF(F740="","",IFERROR(VLOOKUP(F740,T_JSP,2,FALSE),0))</f>
        <v/>
      </c>
      <c r="H740" s="11" t="n"/>
      <c r="I740" s="17">
        <f>IF(H740="","",IF(H740&gt;=12,40,ROUND(H740*3.33,2)))</f>
        <v/>
      </c>
      <c r="J740" s="11" t="n"/>
      <c r="K740" s="11" t="n"/>
      <c r="L740" s="11" t="n"/>
      <c r="M740" s="11" t="n"/>
      <c r="N740" s="10">
        <f>IF(COUNTA(J740:M740)=0,"",MIN(10,SUMPRODUCT((COUNTIF(J740:M740,L_KOM)&gt;0)*S_KOM)))</f>
        <v/>
      </c>
      <c r="O740" s="11" t="n"/>
      <c r="P740" s="10">
        <f>IF(O740="","",IFERROR(VLOOKUP(O740,T_KHID,2,FALSE),0))</f>
        <v/>
      </c>
      <c r="Q740" s="11" t="n"/>
      <c r="R740" s="11" t="n"/>
      <c r="S740" s="10">
        <f>IF(AND(Q740="",R740=""),"",IFERROR(INDEX(T_LIBAT,MATCH(Q740,L_PER,0),MATCH(R740,L_JENIS,0)),0))</f>
        <v/>
      </c>
      <c r="T740" s="11" t="n"/>
      <c r="U740" s="11" t="n"/>
      <c r="V740" s="10">
        <f>IF(AND(T740="",U740=""),"",IFERROR(INDEX(T_CAPAI,MATCH(T740,L_PER,0),MATCH(U740,L_KED,0)),0))</f>
        <v/>
      </c>
      <c r="W740" s="17">
        <f>IF(OR(B740="",E740="",COUNTA(F740,H740,J740:M740,O740,Q740:R740,T740:U740)=0),"",SUM(G740,I740,N740,P740,S740,V740))</f>
        <v/>
      </c>
      <c r="X740" s="18">
        <f>IF(W740="","",IF(Murid!F740="TL","TL",ROUND(W740/110*100,2)))</f>
        <v/>
      </c>
    </row>
    <row r="741">
      <c r="A741" s="15">
        <f>Murid!A741</f>
        <v/>
      </c>
      <c r="B741" s="15">
        <f>IF(Murid!B741="","",Murid!B741)</f>
        <v/>
      </c>
      <c r="C741" s="16">
        <f>IF(Murid!C741="","",Murid!C741)</f>
        <v/>
      </c>
      <c r="D741" s="15">
        <f>IF(Murid!E741="","",Murid!E741)</f>
        <v/>
      </c>
      <c r="E741" s="11" t="n"/>
      <c r="F741" s="11" t="n"/>
      <c r="G741" s="10">
        <f>IF(F741="","",IFERROR(VLOOKUP(F741,T_JSP,2,FALSE),0))</f>
        <v/>
      </c>
      <c r="H741" s="11" t="n"/>
      <c r="I741" s="17">
        <f>IF(H741="","",IF(H741&gt;=12,40,ROUND(H741*3.33,2)))</f>
        <v/>
      </c>
      <c r="J741" s="11" t="n"/>
      <c r="K741" s="11" t="n"/>
      <c r="L741" s="11" t="n"/>
      <c r="M741" s="11" t="n"/>
      <c r="N741" s="10">
        <f>IF(COUNTA(J741:M741)=0,"",MIN(10,SUMPRODUCT((COUNTIF(J741:M741,L_KOM)&gt;0)*S_KOM)))</f>
        <v/>
      </c>
      <c r="O741" s="11" t="n"/>
      <c r="P741" s="10">
        <f>IF(O741="","",IFERROR(VLOOKUP(O741,T_KHID,2,FALSE),0))</f>
        <v/>
      </c>
      <c r="Q741" s="11" t="n"/>
      <c r="R741" s="11" t="n"/>
      <c r="S741" s="10">
        <f>IF(AND(Q741="",R741=""),"",IFERROR(INDEX(T_LIBAT,MATCH(Q741,L_PER,0),MATCH(R741,L_JENIS,0)),0))</f>
        <v/>
      </c>
      <c r="T741" s="11" t="n"/>
      <c r="U741" s="11" t="n"/>
      <c r="V741" s="10">
        <f>IF(AND(T741="",U741=""),"",IFERROR(INDEX(T_CAPAI,MATCH(T741,L_PER,0),MATCH(U741,L_KED,0)),0))</f>
        <v/>
      </c>
      <c r="W741" s="17">
        <f>IF(OR(B741="",E741="",COUNTA(F741,H741,J741:M741,O741,Q741:R741,T741:U741)=0),"",SUM(G741,I741,N741,P741,S741,V741))</f>
        <v/>
      </c>
      <c r="X741" s="18">
        <f>IF(W741="","",IF(Murid!F741="TL","TL",ROUND(W741/110*100,2)))</f>
        <v/>
      </c>
    </row>
    <row r="742">
      <c r="A742" s="15">
        <f>Murid!A742</f>
        <v/>
      </c>
      <c r="B742" s="15">
        <f>IF(Murid!B742="","",Murid!B742)</f>
        <v/>
      </c>
      <c r="C742" s="16">
        <f>IF(Murid!C742="","",Murid!C742)</f>
        <v/>
      </c>
      <c r="D742" s="15">
        <f>IF(Murid!E742="","",Murid!E742)</f>
        <v/>
      </c>
      <c r="E742" s="11" t="n"/>
      <c r="F742" s="11" t="n"/>
      <c r="G742" s="10">
        <f>IF(F742="","",IFERROR(VLOOKUP(F742,T_JSP,2,FALSE),0))</f>
        <v/>
      </c>
      <c r="H742" s="11" t="n"/>
      <c r="I742" s="17">
        <f>IF(H742="","",IF(H742&gt;=12,40,ROUND(H742*3.33,2)))</f>
        <v/>
      </c>
      <c r="J742" s="11" t="n"/>
      <c r="K742" s="11" t="n"/>
      <c r="L742" s="11" t="n"/>
      <c r="M742" s="11" t="n"/>
      <c r="N742" s="10">
        <f>IF(COUNTA(J742:M742)=0,"",MIN(10,SUMPRODUCT((COUNTIF(J742:M742,L_KOM)&gt;0)*S_KOM)))</f>
        <v/>
      </c>
      <c r="O742" s="11" t="n"/>
      <c r="P742" s="10">
        <f>IF(O742="","",IFERROR(VLOOKUP(O742,T_KHID,2,FALSE),0))</f>
        <v/>
      </c>
      <c r="Q742" s="11" t="n"/>
      <c r="R742" s="11" t="n"/>
      <c r="S742" s="10">
        <f>IF(AND(Q742="",R742=""),"",IFERROR(INDEX(T_LIBAT,MATCH(Q742,L_PER,0),MATCH(R742,L_JENIS,0)),0))</f>
        <v/>
      </c>
      <c r="T742" s="11" t="n"/>
      <c r="U742" s="11" t="n"/>
      <c r="V742" s="10">
        <f>IF(AND(T742="",U742=""),"",IFERROR(INDEX(T_CAPAI,MATCH(T742,L_PER,0),MATCH(U742,L_KED,0)),0))</f>
        <v/>
      </c>
      <c r="W742" s="17">
        <f>IF(OR(B742="",E742="",COUNTA(F742,H742,J742:M742,O742,Q742:R742,T742:U742)=0),"",SUM(G742,I742,N742,P742,S742,V742))</f>
        <v/>
      </c>
      <c r="X742" s="18">
        <f>IF(W742="","",IF(Murid!F742="TL","TL",ROUND(W742/110*100,2)))</f>
        <v/>
      </c>
    </row>
    <row r="743">
      <c r="A743" s="15">
        <f>Murid!A743</f>
        <v/>
      </c>
      <c r="B743" s="15">
        <f>IF(Murid!B743="","",Murid!B743)</f>
        <v/>
      </c>
      <c r="C743" s="16">
        <f>IF(Murid!C743="","",Murid!C743)</f>
        <v/>
      </c>
      <c r="D743" s="15">
        <f>IF(Murid!E743="","",Murid!E743)</f>
        <v/>
      </c>
      <c r="E743" s="11" t="n"/>
      <c r="F743" s="11" t="n"/>
      <c r="G743" s="10">
        <f>IF(F743="","",IFERROR(VLOOKUP(F743,T_JSP,2,FALSE),0))</f>
        <v/>
      </c>
      <c r="H743" s="11" t="n"/>
      <c r="I743" s="17">
        <f>IF(H743="","",IF(H743&gt;=12,40,ROUND(H743*3.33,2)))</f>
        <v/>
      </c>
      <c r="J743" s="11" t="n"/>
      <c r="K743" s="11" t="n"/>
      <c r="L743" s="11" t="n"/>
      <c r="M743" s="11" t="n"/>
      <c r="N743" s="10">
        <f>IF(COUNTA(J743:M743)=0,"",MIN(10,SUMPRODUCT((COUNTIF(J743:M743,L_KOM)&gt;0)*S_KOM)))</f>
        <v/>
      </c>
      <c r="O743" s="11" t="n"/>
      <c r="P743" s="10">
        <f>IF(O743="","",IFERROR(VLOOKUP(O743,T_KHID,2,FALSE),0))</f>
        <v/>
      </c>
      <c r="Q743" s="11" t="n"/>
      <c r="R743" s="11" t="n"/>
      <c r="S743" s="10">
        <f>IF(AND(Q743="",R743=""),"",IFERROR(INDEX(T_LIBAT,MATCH(Q743,L_PER,0),MATCH(R743,L_JENIS,0)),0))</f>
        <v/>
      </c>
      <c r="T743" s="11" t="n"/>
      <c r="U743" s="11" t="n"/>
      <c r="V743" s="10">
        <f>IF(AND(T743="",U743=""),"",IFERROR(INDEX(T_CAPAI,MATCH(T743,L_PER,0),MATCH(U743,L_KED,0)),0))</f>
        <v/>
      </c>
      <c r="W743" s="17">
        <f>IF(OR(B743="",E743="",COUNTA(F743,H743,J743:M743,O743,Q743:R743,T743:U743)=0),"",SUM(G743,I743,N743,P743,S743,V743))</f>
        <v/>
      </c>
      <c r="X743" s="18">
        <f>IF(W743="","",IF(Murid!F743="TL","TL",ROUND(W743/110*100,2)))</f>
        <v/>
      </c>
    </row>
    <row r="744">
      <c r="A744" s="15">
        <f>Murid!A744</f>
        <v/>
      </c>
      <c r="B744" s="15">
        <f>IF(Murid!B744="","",Murid!B744)</f>
        <v/>
      </c>
      <c r="C744" s="16">
        <f>IF(Murid!C744="","",Murid!C744)</f>
        <v/>
      </c>
      <c r="D744" s="15">
        <f>IF(Murid!E744="","",Murid!E744)</f>
        <v/>
      </c>
      <c r="E744" s="11" t="n"/>
      <c r="F744" s="11" t="n"/>
      <c r="G744" s="10">
        <f>IF(F744="","",IFERROR(VLOOKUP(F744,T_JSP,2,FALSE),0))</f>
        <v/>
      </c>
      <c r="H744" s="11" t="n"/>
      <c r="I744" s="17">
        <f>IF(H744="","",IF(H744&gt;=12,40,ROUND(H744*3.33,2)))</f>
        <v/>
      </c>
      <c r="J744" s="11" t="n"/>
      <c r="K744" s="11" t="n"/>
      <c r="L744" s="11" t="n"/>
      <c r="M744" s="11" t="n"/>
      <c r="N744" s="10">
        <f>IF(COUNTA(J744:M744)=0,"",MIN(10,SUMPRODUCT((COUNTIF(J744:M744,L_KOM)&gt;0)*S_KOM)))</f>
        <v/>
      </c>
      <c r="O744" s="11" t="n"/>
      <c r="P744" s="10">
        <f>IF(O744="","",IFERROR(VLOOKUP(O744,T_KHID,2,FALSE),0))</f>
        <v/>
      </c>
      <c r="Q744" s="11" t="n"/>
      <c r="R744" s="11" t="n"/>
      <c r="S744" s="10">
        <f>IF(AND(Q744="",R744=""),"",IFERROR(INDEX(T_LIBAT,MATCH(Q744,L_PER,0),MATCH(R744,L_JENIS,0)),0))</f>
        <v/>
      </c>
      <c r="T744" s="11" t="n"/>
      <c r="U744" s="11" t="n"/>
      <c r="V744" s="10">
        <f>IF(AND(T744="",U744=""),"",IFERROR(INDEX(T_CAPAI,MATCH(T744,L_PER,0),MATCH(U744,L_KED,0)),0))</f>
        <v/>
      </c>
      <c r="W744" s="17">
        <f>IF(OR(B744="",E744="",COUNTA(F744,H744,J744:M744,O744,Q744:R744,T744:U744)=0),"",SUM(G744,I744,N744,P744,S744,V744))</f>
        <v/>
      </c>
      <c r="X744" s="18">
        <f>IF(W744="","",IF(Murid!F744="TL","TL",ROUND(W744/110*100,2)))</f>
        <v/>
      </c>
    </row>
    <row r="745">
      <c r="A745" s="15">
        <f>Murid!A745</f>
        <v/>
      </c>
      <c r="B745" s="15">
        <f>IF(Murid!B745="","",Murid!B745)</f>
        <v/>
      </c>
      <c r="C745" s="16">
        <f>IF(Murid!C745="","",Murid!C745)</f>
        <v/>
      </c>
      <c r="D745" s="15">
        <f>IF(Murid!E745="","",Murid!E745)</f>
        <v/>
      </c>
      <c r="E745" s="11" t="n"/>
      <c r="F745" s="11" t="n"/>
      <c r="G745" s="10">
        <f>IF(F745="","",IFERROR(VLOOKUP(F745,T_JSP,2,FALSE),0))</f>
        <v/>
      </c>
      <c r="H745" s="11" t="n"/>
      <c r="I745" s="17">
        <f>IF(H745="","",IF(H745&gt;=12,40,ROUND(H745*3.33,2)))</f>
        <v/>
      </c>
      <c r="J745" s="11" t="n"/>
      <c r="K745" s="11" t="n"/>
      <c r="L745" s="11" t="n"/>
      <c r="M745" s="11" t="n"/>
      <c r="N745" s="10">
        <f>IF(COUNTA(J745:M745)=0,"",MIN(10,SUMPRODUCT((COUNTIF(J745:M745,L_KOM)&gt;0)*S_KOM)))</f>
        <v/>
      </c>
      <c r="O745" s="11" t="n"/>
      <c r="P745" s="10">
        <f>IF(O745="","",IFERROR(VLOOKUP(O745,T_KHID,2,FALSE),0))</f>
        <v/>
      </c>
      <c r="Q745" s="11" t="n"/>
      <c r="R745" s="11" t="n"/>
      <c r="S745" s="10">
        <f>IF(AND(Q745="",R745=""),"",IFERROR(INDEX(T_LIBAT,MATCH(Q745,L_PER,0),MATCH(R745,L_JENIS,0)),0))</f>
        <v/>
      </c>
      <c r="T745" s="11" t="n"/>
      <c r="U745" s="11" t="n"/>
      <c r="V745" s="10">
        <f>IF(AND(T745="",U745=""),"",IFERROR(INDEX(T_CAPAI,MATCH(T745,L_PER,0),MATCH(U745,L_KED,0)),0))</f>
        <v/>
      </c>
      <c r="W745" s="17">
        <f>IF(OR(B745="",E745="",COUNTA(F745,H745,J745:M745,O745,Q745:R745,T745:U745)=0),"",SUM(G745,I745,N745,P745,S745,V745))</f>
        <v/>
      </c>
      <c r="X745" s="18">
        <f>IF(W745="","",IF(Murid!F745="TL","TL",ROUND(W745/110*100,2)))</f>
        <v/>
      </c>
    </row>
    <row r="746">
      <c r="A746" s="15">
        <f>Murid!A746</f>
        <v/>
      </c>
      <c r="B746" s="15">
        <f>IF(Murid!B746="","",Murid!B746)</f>
        <v/>
      </c>
      <c r="C746" s="16">
        <f>IF(Murid!C746="","",Murid!C746)</f>
        <v/>
      </c>
      <c r="D746" s="15">
        <f>IF(Murid!E746="","",Murid!E746)</f>
        <v/>
      </c>
      <c r="E746" s="11" t="n"/>
      <c r="F746" s="11" t="n"/>
      <c r="G746" s="10">
        <f>IF(F746="","",IFERROR(VLOOKUP(F746,T_JSP,2,FALSE),0))</f>
        <v/>
      </c>
      <c r="H746" s="11" t="n"/>
      <c r="I746" s="17">
        <f>IF(H746="","",IF(H746&gt;=12,40,ROUND(H746*3.33,2)))</f>
        <v/>
      </c>
      <c r="J746" s="11" t="n"/>
      <c r="K746" s="11" t="n"/>
      <c r="L746" s="11" t="n"/>
      <c r="M746" s="11" t="n"/>
      <c r="N746" s="10">
        <f>IF(COUNTA(J746:M746)=0,"",MIN(10,SUMPRODUCT((COUNTIF(J746:M746,L_KOM)&gt;0)*S_KOM)))</f>
        <v/>
      </c>
      <c r="O746" s="11" t="n"/>
      <c r="P746" s="10">
        <f>IF(O746="","",IFERROR(VLOOKUP(O746,T_KHID,2,FALSE),0))</f>
        <v/>
      </c>
      <c r="Q746" s="11" t="n"/>
      <c r="R746" s="11" t="n"/>
      <c r="S746" s="10">
        <f>IF(AND(Q746="",R746=""),"",IFERROR(INDEX(T_LIBAT,MATCH(Q746,L_PER,0),MATCH(R746,L_JENIS,0)),0))</f>
        <v/>
      </c>
      <c r="T746" s="11" t="n"/>
      <c r="U746" s="11" t="n"/>
      <c r="V746" s="10">
        <f>IF(AND(T746="",U746=""),"",IFERROR(INDEX(T_CAPAI,MATCH(T746,L_PER,0),MATCH(U746,L_KED,0)),0))</f>
        <v/>
      </c>
      <c r="W746" s="17">
        <f>IF(OR(B746="",E746="",COUNTA(F746,H746,J746:M746,O746,Q746:R746,T746:U746)=0),"",SUM(G746,I746,N746,P746,S746,V746))</f>
        <v/>
      </c>
      <c r="X746" s="18">
        <f>IF(W746="","",IF(Murid!F746="TL","TL",ROUND(W746/110*100,2)))</f>
        <v/>
      </c>
    </row>
    <row r="747">
      <c r="A747" s="15">
        <f>Murid!A747</f>
        <v/>
      </c>
      <c r="B747" s="15">
        <f>IF(Murid!B747="","",Murid!B747)</f>
        <v/>
      </c>
      <c r="C747" s="16">
        <f>IF(Murid!C747="","",Murid!C747)</f>
        <v/>
      </c>
      <c r="D747" s="15">
        <f>IF(Murid!E747="","",Murid!E747)</f>
        <v/>
      </c>
      <c r="E747" s="11" t="n"/>
      <c r="F747" s="11" t="n"/>
      <c r="G747" s="10">
        <f>IF(F747="","",IFERROR(VLOOKUP(F747,T_JSP,2,FALSE),0))</f>
        <v/>
      </c>
      <c r="H747" s="11" t="n"/>
      <c r="I747" s="17">
        <f>IF(H747="","",IF(H747&gt;=12,40,ROUND(H747*3.33,2)))</f>
        <v/>
      </c>
      <c r="J747" s="11" t="n"/>
      <c r="K747" s="11" t="n"/>
      <c r="L747" s="11" t="n"/>
      <c r="M747" s="11" t="n"/>
      <c r="N747" s="10">
        <f>IF(COUNTA(J747:M747)=0,"",MIN(10,SUMPRODUCT((COUNTIF(J747:M747,L_KOM)&gt;0)*S_KOM)))</f>
        <v/>
      </c>
      <c r="O747" s="11" t="n"/>
      <c r="P747" s="10">
        <f>IF(O747="","",IFERROR(VLOOKUP(O747,T_KHID,2,FALSE),0))</f>
        <v/>
      </c>
      <c r="Q747" s="11" t="n"/>
      <c r="R747" s="11" t="n"/>
      <c r="S747" s="10">
        <f>IF(AND(Q747="",R747=""),"",IFERROR(INDEX(T_LIBAT,MATCH(Q747,L_PER,0),MATCH(R747,L_JENIS,0)),0))</f>
        <v/>
      </c>
      <c r="T747" s="11" t="n"/>
      <c r="U747" s="11" t="n"/>
      <c r="V747" s="10">
        <f>IF(AND(T747="",U747=""),"",IFERROR(INDEX(T_CAPAI,MATCH(T747,L_PER,0),MATCH(U747,L_KED,0)),0))</f>
        <v/>
      </c>
      <c r="W747" s="17">
        <f>IF(OR(B747="",E747="",COUNTA(F747,H747,J747:M747,O747,Q747:R747,T747:U747)=0),"",SUM(G747,I747,N747,P747,S747,V747))</f>
        <v/>
      </c>
      <c r="X747" s="18">
        <f>IF(W747="","",IF(Murid!F747="TL","TL",ROUND(W747/110*100,2)))</f>
        <v/>
      </c>
    </row>
    <row r="748">
      <c r="A748" s="15">
        <f>Murid!A748</f>
        <v/>
      </c>
      <c r="B748" s="15">
        <f>IF(Murid!B748="","",Murid!B748)</f>
        <v/>
      </c>
      <c r="C748" s="16">
        <f>IF(Murid!C748="","",Murid!C748)</f>
        <v/>
      </c>
      <c r="D748" s="15">
        <f>IF(Murid!E748="","",Murid!E748)</f>
        <v/>
      </c>
      <c r="E748" s="11" t="n"/>
      <c r="F748" s="11" t="n"/>
      <c r="G748" s="10">
        <f>IF(F748="","",IFERROR(VLOOKUP(F748,T_JSP,2,FALSE),0))</f>
        <v/>
      </c>
      <c r="H748" s="11" t="n"/>
      <c r="I748" s="17">
        <f>IF(H748="","",IF(H748&gt;=12,40,ROUND(H748*3.33,2)))</f>
        <v/>
      </c>
      <c r="J748" s="11" t="n"/>
      <c r="K748" s="11" t="n"/>
      <c r="L748" s="11" t="n"/>
      <c r="M748" s="11" t="n"/>
      <c r="N748" s="10">
        <f>IF(COUNTA(J748:M748)=0,"",MIN(10,SUMPRODUCT((COUNTIF(J748:M748,L_KOM)&gt;0)*S_KOM)))</f>
        <v/>
      </c>
      <c r="O748" s="11" t="n"/>
      <c r="P748" s="10">
        <f>IF(O748="","",IFERROR(VLOOKUP(O748,T_KHID,2,FALSE),0))</f>
        <v/>
      </c>
      <c r="Q748" s="11" t="n"/>
      <c r="R748" s="11" t="n"/>
      <c r="S748" s="10">
        <f>IF(AND(Q748="",R748=""),"",IFERROR(INDEX(T_LIBAT,MATCH(Q748,L_PER,0),MATCH(R748,L_JENIS,0)),0))</f>
        <v/>
      </c>
      <c r="T748" s="11" t="n"/>
      <c r="U748" s="11" t="n"/>
      <c r="V748" s="10">
        <f>IF(AND(T748="",U748=""),"",IFERROR(INDEX(T_CAPAI,MATCH(T748,L_PER,0),MATCH(U748,L_KED,0)),0))</f>
        <v/>
      </c>
      <c r="W748" s="17">
        <f>IF(OR(B748="",E748="",COUNTA(F748,H748,J748:M748,O748,Q748:R748,T748:U748)=0),"",SUM(G748,I748,N748,P748,S748,V748))</f>
        <v/>
      </c>
      <c r="X748" s="18">
        <f>IF(W748="","",IF(Murid!F748="TL","TL",ROUND(W748/110*100,2)))</f>
        <v/>
      </c>
    </row>
    <row r="749">
      <c r="A749" s="15">
        <f>Murid!A749</f>
        <v/>
      </c>
      <c r="B749" s="15">
        <f>IF(Murid!B749="","",Murid!B749)</f>
        <v/>
      </c>
      <c r="C749" s="16">
        <f>IF(Murid!C749="","",Murid!C749)</f>
        <v/>
      </c>
      <c r="D749" s="15">
        <f>IF(Murid!E749="","",Murid!E749)</f>
        <v/>
      </c>
      <c r="E749" s="11" t="n"/>
      <c r="F749" s="11" t="n"/>
      <c r="G749" s="10">
        <f>IF(F749="","",IFERROR(VLOOKUP(F749,T_JSP,2,FALSE),0))</f>
        <v/>
      </c>
      <c r="H749" s="11" t="n"/>
      <c r="I749" s="17">
        <f>IF(H749="","",IF(H749&gt;=12,40,ROUND(H749*3.33,2)))</f>
        <v/>
      </c>
      <c r="J749" s="11" t="n"/>
      <c r="K749" s="11" t="n"/>
      <c r="L749" s="11" t="n"/>
      <c r="M749" s="11" t="n"/>
      <c r="N749" s="10">
        <f>IF(COUNTA(J749:M749)=0,"",MIN(10,SUMPRODUCT((COUNTIF(J749:M749,L_KOM)&gt;0)*S_KOM)))</f>
        <v/>
      </c>
      <c r="O749" s="11" t="n"/>
      <c r="P749" s="10">
        <f>IF(O749="","",IFERROR(VLOOKUP(O749,T_KHID,2,FALSE),0))</f>
        <v/>
      </c>
      <c r="Q749" s="11" t="n"/>
      <c r="R749" s="11" t="n"/>
      <c r="S749" s="10">
        <f>IF(AND(Q749="",R749=""),"",IFERROR(INDEX(T_LIBAT,MATCH(Q749,L_PER,0),MATCH(R749,L_JENIS,0)),0))</f>
        <v/>
      </c>
      <c r="T749" s="11" t="n"/>
      <c r="U749" s="11" t="n"/>
      <c r="V749" s="10">
        <f>IF(AND(T749="",U749=""),"",IFERROR(INDEX(T_CAPAI,MATCH(T749,L_PER,0),MATCH(U749,L_KED,0)),0))</f>
        <v/>
      </c>
      <c r="W749" s="17">
        <f>IF(OR(B749="",E749="",COUNTA(F749,H749,J749:M749,O749,Q749:R749,T749:U749)=0),"",SUM(G749,I749,N749,P749,S749,V749))</f>
        <v/>
      </c>
      <c r="X749" s="18">
        <f>IF(W749="","",IF(Murid!F749="TL","TL",ROUND(W749/110*100,2)))</f>
        <v/>
      </c>
    </row>
    <row r="750">
      <c r="A750" s="15">
        <f>Murid!A750</f>
        <v/>
      </c>
      <c r="B750" s="15">
        <f>IF(Murid!B750="","",Murid!B750)</f>
        <v/>
      </c>
      <c r="C750" s="16">
        <f>IF(Murid!C750="","",Murid!C750)</f>
        <v/>
      </c>
      <c r="D750" s="15">
        <f>IF(Murid!E750="","",Murid!E750)</f>
        <v/>
      </c>
      <c r="E750" s="11" t="n"/>
      <c r="F750" s="11" t="n"/>
      <c r="G750" s="10">
        <f>IF(F750="","",IFERROR(VLOOKUP(F750,T_JSP,2,FALSE),0))</f>
        <v/>
      </c>
      <c r="H750" s="11" t="n"/>
      <c r="I750" s="17">
        <f>IF(H750="","",IF(H750&gt;=12,40,ROUND(H750*3.33,2)))</f>
        <v/>
      </c>
      <c r="J750" s="11" t="n"/>
      <c r="K750" s="11" t="n"/>
      <c r="L750" s="11" t="n"/>
      <c r="M750" s="11" t="n"/>
      <c r="N750" s="10">
        <f>IF(COUNTA(J750:M750)=0,"",MIN(10,SUMPRODUCT((COUNTIF(J750:M750,L_KOM)&gt;0)*S_KOM)))</f>
        <v/>
      </c>
      <c r="O750" s="11" t="n"/>
      <c r="P750" s="10">
        <f>IF(O750="","",IFERROR(VLOOKUP(O750,T_KHID,2,FALSE),0))</f>
        <v/>
      </c>
      <c r="Q750" s="11" t="n"/>
      <c r="R750" s="11" t="n"/>
      <c r="S750" s="10">
        <f>IF(AND(Q750="",R750=""),"",IFERROR(INDEX(T_LIBAT,MATCH(Q750,L_PER,0),MATCH(R750,L_JENIS,0)),0))</f>
        <v/>
      </c>
      <c r="T750" s="11" t="n"/>
      <c r="U750" s="11" t="n"/>
      <c r="V750" s="10">
        <f>IF(AND(T750="",U750=""),"",IFERROR(INDEX(T_CAPAI,MATCH(T750,L_PER,0),MATCH(U750,L_KED,0)),0))</f>
        <v/>
      </c>
      <c r="W750" s="17">
        <f>IF(OR(B750="",E750="",COUNTA(F750,H750,J750:M750,O750,Q750:R750,T750:U750)=0),"",SUM(G750,I750,N750,P750,S750,V750))</f>
        <v/>
      </c>
      <c r="X750" s="18">
        <f>IF(W750="","",IF(Murid!F750="TL","TL",ROUND(W750/110*100,2)))</f>
        <v/>
      </c>
    </row>
    <row r="751">
      <c r="A751" s="15">
        <f>Murid!A751</f>
        <v/>
      </c>
      <c r="B751" s="15">
        <f>IF(Murid!B751="","",Murid!B751)</f>
        <v/>
      </c>
      <c r="C751" s="16">
        <f>IF(Murid!C751="","",Murid!C751)</f>
        <v/>
      </c>
      <c r="D751" s="15">
        <f>IF(Murid!E751="","",Murid!E751)</f>
        <v/>
      </c>
      <c r="E751" s="11" t="n"/>
      <c r="F751" s="11" t="n"/>
      <c r="G751" s="10">
        <f>IF(F751="","",IFERROR(VLOOKUP(F751,T_JSP,2,FALSE),0))</f>
        <v/>
      </c>
      <c r="H751" s="11" t="n"/>
      <c r="I751" s="17">
        <f>IF(H751="","",IF(H751&gt;=12,40,ROUND(H751*3.33,2)))</f>
        <v/>
      </c>
      <c r="J751" s="11" t="n"/>
      <c r="K751" s="11" t="n"/>
      <c r="L751" s="11" t="n"/>
      <c r="M751" s="11" t="n"/>
      <c r="N751" s="10">
        <f>IF(COUNTA(J751:M751)=0,"",MIN(10,SUMPRODUCT((COUNTIF(J751:M751,L_KOM)&gt;0)*S_KOM)))</f>
        <v/>
      </c>
      <c r="O751" s="11" t="n"/>
      <c r="P751" s="10">
        <f>IF(O751="","",IFERROR(VLOOKUP(O751,T_KHID,2,FALSE),0))</f>
        <v/>
      </c>
      <c r="Q751" s="11" t="n"/>
      <c r="R751" s="11" t="n"/>
      <c r="S751" s="10">
        <f>IF(AND(Q751="",R751=""),"",IFERROR(INDEX(T_LIBAT,MATCH(Q751,L_PER,0),MATCH(R751,L_JENIS,0)),0))</f>
        <v/>
      </c>
      <c r="T751" s="11" t="n"/>
      <c r="U751" s="11" t="n"/>
      <c r="V751" s="10">
        <f>IF(AND(T751="",U751=""),"",IFERROR(INDEX(T_CAPAI,MATCH(T751,L_PER,0),MATCH(U751,L_KED,0)),0))</f>
        <v/>
      </c>
      <c r="W751" s="17">
        <f>IF(OR(B751="",E751="",COUNTA(F751,H751,J751:M751,O751,Q751:R751,T751:U751)=0),"",SUM(G751,I751,N751,P751,S751,V751))</f>
        <v/>
      </c>
      <c r="X751" s="18">
        <f>IF(W751="","",IF(Murid!F751="TL","TL",ROUND(W751/110*100,2)))</f>
        <v/>
      </c>
    </row>
    <row r="752">
      <c r="A752" s="15">
        <f>Murid!A752</f>
        <v/>
      </c>
      <c r="B752" s="15">
        <f>IF(Murid!B752="","",Murid!B752)</f>
        <v/>
      </c>
      <c r="C752" s="16">
        <f>IF(Murid!C752="","",Murid!C752)</f>
        <v/>
      </c>
      <c r="D752" s="15">
        <f>IF(Murid!E752="","",Murid!E752)</f>
        <v/>
      </c>
      <c r="E752" s="11" t="n"/>
      <c r="F752" s="11" t="n"/>
      <c r="G752" s="10">
        <f>IF(F752="","",IFERROR(VLOOKUP(F752,T_JSP,2,FALSE),0))</f>
        <v/>
      </c>
      <c r="H752" s="11" t="n"/>
      <c r="I752" s="17">
        <f>IF(H752="","",IF(H752&gt;=12,40,ROUND(H752*3.33,2)))</f>
        <v/>
      </c>
      <c r="J752" s="11" t="n"/>
      <c r="K752" s="11" t="n"/>
      <c r="L752" s="11" t="n"/>
      <c r="M752" s="11" t="n"/>
      <c r="N752" s="10">
        <f>IF(COUNTA(J752:M752)=0,"",MIN(10,SUMPRODUCT((COUNTIF(J752:M752,L_KOM)&gt;0)*S_KOM)))</f>
        <v/>
      </c>
      <c r="O752" s="11" t="n"/>
      <c r="P752" s="10">
        <f>IF(O752="","",IFERROR(VLOOKUP(O752,T_KHID,2,FALSE),0))</f>
        <v/>
      </c>
      <c r="Q752" s="11" t="n"/>
      <c r="R752" s="11" t="n"/>
      <c r="S752" s="10">
        <f>IF(AND(Q752="",R752=""),"",IFERROR(INDEX(T_LIBAT,MATCH(Q752,L_PER,0),MATCH(R752,L_JENIS,0)),0))</f>
        <v/>
      </c>
      <c r="T752" s="11" t="n"/>
      <c r="U752" s="11" t="n"/>
      <c r="V752" s="10">
        <f>IF(AND(T752="",U752=""),"",IFERROR(INDEX(T_CAPAI,MATCH(T752,L_PER,0),MATCH(U752,L_KED,0)),0))</f>
        <v/>
      </c>
      <c r="W752" s="17">
        <f>IF(OR(B752="",E752="",COUNTA(F752,H752,J752:M752,O752,Q752:R752,T752:U752)=0),"",SUM(G752,I752,N752,P752,S752,V752))</f>
        <v/>
      </c>
      <c r="X752" s="18">
        <f>IF(W752="","",IF(Murid!F752="TL","TL",ROUND(W752/110*100,2)))</f>
        <v/>
      </c>
    </row>
    <row r="753">
      <c r="A753" s="15">
        <f>Murid!A753</f>
        <v/>
      </c>
      <c r="B753" s="15">
        <f>IF(Murid!B753="","",Murid!B753)</f>
        <v/>
      </c>
      <c r="C753" s="16">
        <f>IF(Murid!C753="","",Murid!C753)</f>
        <v/>
      </c>
      <c r="D753" s="15">
        <f>IF(Murid!E753="","",Murid!E753)</f>
        <v/>
      </c>
      <c r="E753" s="11" t="n"/>
      <c r="F753" s="11" t="n"/>
      <c r="G753" s="10">
        <f>IF(F753="","",IFERROR(VLOOKUP(F753,T_JSP,2,FALSE),0))</f>
        <v/>
      </c>
      <c r="H753" s="11" t="n"/>
      <c r="I753" s="17">
        <f>IF(H753="","",IF(H753&gt;=12,40,ROUND(H753*3.33,2)))</f>
        <v/>
      </c>
      <c r="J753" s="11" t="n"/>
      <c r="K753" s="11" t="n"/>
      <c r="L753" s="11" t="n"/>
      <c r="M753" s="11" t="n"/>
      <c r="N753" s="10">
        <f>IF(COUNTA(J753:M753)=0,"",MIN(10,SUMPRODUCT((COUNTIF(J753:M753,L_KOM)&gt;0)*S_KOM)))</f>
        <v/>
      </c>
      <c r="O753" s="11" t="n"/>
      <c r="P753" s="10">
        <f>IF(O753="","",IFERROR(VLOOKUP(O753,T_KHID,2,FALSE),0))</f>
        <v/>
      </c>
      <c r="Q753" s="11" t="n"/>
      <c r="R753" s="11" t="n"/>
      <c r="S753" s="10">
        <f>IF(AND(Q753="",R753=""),"",IFERROR(INDEX(T_LIBAT,MATCH(Q753,L_PER,0),MATCH(R753,L_JENIS,0)),0))</f>
        <v/>
      </c>
      <c r="T753" s="11" t="n"/>
      <c r="U753" s="11" t="n"/>
      <c r="V753" s="10">
        <f>IF(AND(T753="",U753=""),"",IFERROR(INDEX(T_CAPAI,MATCH(T753,L_PER,0),MATCH(U753,L_KED,0)),0))</f>
        <v/>
      </c>
      <c r="W753" s="17">
        <f>IF(OR(B753="",E753="",COUNTA(F753,H753,J753:M753,O753,Q753:R753,T753:U753)=0),"",SUM(G753,I753,N753,P753,S753,V753))</f>
        <v/>
      </c>
      <c r="X753" s="18">
        <f>IF(W753="","",IF(Murid!F753="TL","TL",ROUND(W753/110*100,2)))</f>
        <v/>
      </c>
    </row>
    <row r="754">
      <c r="A754" s="15">
        <f>Murid!A754</f>
        <v/>
      </c>
      <c r="B754" s="15">
        <f>IF(Murid!B754="","",Murid!B754)</f>
        <v/>
      </c>
      <c r="C754" s="16">
        <f>IF(Murid!C754="","",Murid!C754)</f>
        <v/>
      </c>
      <c r="D754" s="15">
        <f>IF(Murid!E754="","",Murid!E754)</f>
        <v/>
      </c>
      <c r="E754" s="11" t="n"/>
      <c r="F754" s="11" t="n"/>
      <c r="G754" s="10">
        <f>IF(F754="","",IFERROR(VLOOKUP(F754,T_JSP,2,FALSE),0))</f>
        <v/>
      </c>
      <c r="H754" s="11" t="n"/>
      <c r="I754" s="17">
        <f>IF(H754="","",IF(H754&gt;=12,40,ROUND(H754*3.33,2)))</f>
        <v/>
      </c>
      <c r="J754" s="11" t="n"/>
      <c r="K754" s="11" t="n"/>
      <c r="L754" s="11" t="n"/>
      <c r="M754" s="11" t="n"/>
      <c r="N754" s="10">
        <f>IF(COUNTA(J754:M754)=0,"",MIN(10,SUMPRODUCT((COUNTIF(J754:M754,L_KOM)&gt;0)*S_KOM)))</f>
        <v/>
      </c>
      <c r="O754" s="11" t="n"/>
      <c r="P754" s="10">
        <f>IF(O754="","",IFERROR(VLOOKUP(O754,T_KHID,2,FALSE),0))</f>
        <v/>
      </c>
      <c r="Q754" s="11" t="n"/>
      <c r="R754" s="11" t="n"/>
      <c r="S754" s="10">
        <f>IF(AND(Q754="",R754=""),"",IFERROR(INDEX(T_LIBAT,MATCH(Q754,L_PER,0),MATCH(R754,L_JENIS,0)),0))</f>
        <v/>
      </c>
      <c r="T754" s="11" t="n"/>
      <c r="U754" s="11" t="n"/>
      <c r="V754" s="10">
        <f>IF(AND(T754="",U754=""),"",IFERROR(INDEX(T_CAPAI,MATCH(T754,L_PER,0),MATCH(U754,L_KED,0)),0))</f>
        <v/>
      </c>
      <c r="W754" s="17">
        <f>IF(OR(B754="",E754="",COUNTA(F754,H754,J754:M754,O754,Q754:R754,T754:U754)=0),"",SUM(G754,I754,N754,P754,S754,V754))</f>
        <v/>
      </c>
      <c r="X754" s="18">
        <f>IF(W754="","",IF(Murid!F754="TL","TL",ROUND(W754/110*100,2)))</f>
        <v/>
      </c>
    </row>
    <row r="755">
      <c r="A755" s="15">
        <f>Murid!A755</f>
        <v/>
      </c>
      <c r="B755" s="15">
        <f>IF(Murid!B755="","",Murid!B755)</f>
        <v/>
      </c>
      <c r="C755" s="16">
        <f>IF(Murid!C755="","",Murid!C755)</f>
        <v/>
      </c>
      <c r="D755" s="15">
        <f>IF(Murid!E755="","",Murid!E755)</f>
        <v/>
      </c>
      <c r="E755" s="11" t="n"/>
      <c r="F755" s="11" t="n"/>
      <c r="G755" s="10">
        <f>IF(F755="","",IFERROR(VLOOKUP(F755,T_JSP,2,FALSE),0))</f>
        <v/>
      </c>
      <c r="H755" s="11" t="n"/>
      <c r="I755" s="17">
        <f>IF(H755="","",IF(H755&gt;=12,40,ROUND(H755*3.33,2)))</f>
        <v/>
      </c>
      <c r="J755" s="11" t="n"/>
      <c r="K755" s="11" t="n"/>
      <c r="L755" s="11" t="n"/>
      <c r="M755" s="11" t="n"/>
      <c r="N755" s="10">
        <f>IF(COUNTA(J755:M755)=0,"",MIN(10,SUMPRODUCT((COUNTIF(J755:M755,L_KOM)&gt;0)*S_KOM)))</f>
        <v/>
      </c>
      <c r="O755" s="11" t="n"/>
      <c r="P755" s="10">
        <f>IF(O755="","",IFERROR(VLOOKUP(O755,T_KHID,2,FALSE),0))</f>
        <v/>
      </c>
      <c r="Q755" s="11" t="n"/>
      <c r="R755" s="11" t="n"/>
      <c r="S755" s="10">
        <f>IF(AND(Q755="",R755=""),"",IFERROR(INDEX(T_LIBAT,MATCH(Q755,L_PER,0),MATCH(R755,L_JENIS,0)),0))</f>
        <v/>
      </c>
      <c r="T755" s="11" t="n"/>
      <c r="U755" s="11" t="n"/>
      <c r="V755" s="10">
        <f>IF(AND(T755="",U755=""),"",IFERROR(INDEX(T_CAPAI,MATCH(T755,L_PER,0),MATCH(U755,L_KED,0)),0))</f>
        <v/>
      </c>
      <c r="W755" s="17">
        <f>IF(OR(B755="",E755="",COUNTA(F755,H755,J755:M755,O755,Q755:R755,T755:U755)=0),"",SUM(G755,I755,N755,P755,S755,V755))</f>
        <v/>
      </c>
      <c r="X755" s="18">
        <f>IF(W755="","",IF(Murid!F755="TL","TL",ROUND(W755/110*100,2)))</f>
        <v/>
      </c>
    </row>
    <row r="756">
      <c r="A756" s="15">
        <f>Murid!A756</f>
        <v/>
      </c>
      <c r="B756" s="15">
        <f>IF(Murid!B756="","",Murid!B756)</f>
        <v/>
      </c>
      <c r="C756" s="16">
        <f>IF(Murid!C756="","",Murid!C756)</f>
        <v/>
      </c>
      <c r="D756" s="15">
        <f>IF(Murid!E756="","",Murid!E756)</f>
        <v/>
      </c>
      <c r="E756" s="11" t="n"/>
      <c r="F756" s="11" t="n"/>
      <c r="G756" s="10">
        <f>IF(F756="","",IFERROR(VLOOKUP(F756,T_JSP,2,FALSE),0))</f>
        <v/>
      </c>
      <c r="H756" s="11" t="n"/>
      <c r="I756" s="17">
        <f>IF(H756="","",IF(H756&gt;=12,40,ROUND(H756*3.33,2)))</f>
        <v/>
      </c>
      <c r="J756" s="11" t="n"/>
      <c r="K756" s="11" t="n"/>
      <c r="L756" s="11" t="n"/>
      <c r="M756" s="11" t="n"/>
      <c r="N756" s="10">
        <f>IF(COUNTA(J756:M756)=0,"",MIN(10,SUMPRODUCT((COUNTIF(J756:M756,L_KOM)&gt;0)*S_KOM)))</f>
        <v/>
      </c>
      <c r="O756" s="11" t="n"/>
      <c r="P756" s="10">
        <f>IF(O756="","",IFERROR(VLOOKUP(O756,T_KHID,2,FALSE),0))</f>
        <v/>
      </c>
      <c r="Q756" s="11" t="n"/>
      <c r="R756" s="11" t="n"/>
      <c r="S756" s="10">
        <f>IF(AND(Q756="",R756=""),"",IFERROR(INDEX(T_LIBAT,MATCH(Q756,L_PER,0),MATCH(R756,L_JENIS,0)),0))</f>
        <v/>
      </c>
      <c r="T756" s="11" t="n"/>
      <c r="U756" s="11" t="n"/>
      <c r="V756" s="10">
        <f>IF(AND(T756="",U756=""),"",IFERROR(INDEX(T_CAPAI,MATCH(T756,L_PER,0),MATCH(U756,L_KED,0)),0))</f>
        <v/>
      </c>
      <c r="W756" s="17">
        <f>IF(OR(B756="",E756="",COUNTA(F756,H756,J756:M756,O756,Q756:R756,T756:U756)=0),"",SUM(G756,I756,N756,P756,S756,V756))</f>
        <v/>
      </c>
      <c r="X756" s="18">
        <f>IF(W756="","",IF(Murid!F756="TL","TL",ROUND(W756/110*100,2)))</f>
        <v/>
      </c>
    </row>
    <row r="757">
      <c r="A757" s="15">
        <f>Murid!A757</f>
        <v/>
      </c>
      <c r="B757" s="15">
        <f>IF(Murid!B757="","",Murid!B757)</f>
        <v/>
      </c>
      <c r="C757" s="16">
        <f>IF(Murid!C757="","",Murid!C757)</f>
        <v/>
      </c>
      <c r="D757" s="15">
        <f>IF(Murid!E757="","",Murid!E757)</f>
        <v/>
      </c>
      <c r="E757" s="11" t="n"/>
      <c r="F757" s="11" t="n"/>
      <c r="G757" s="10">
        <f>IF(F757="","",IFERROR(VLOOKUP(F757,T_JSP,2,FALSE),0))</f>
        <v/>
      </c>
      <c r="H757" s="11" t="n"/>
      <c r="I757" s="17">
        <f>IF(H757="","",IF(H757&gt;=12,40,ROUND(H757*3.33,2)))</f>
        <v/>
      </c>
      <c r="J757" s="11" t="n"/>
      <c r="K757" s="11" t="n"/>
      <c r="L757" s="11" t="n"/>
      <c r="M757" s="11" t="n"/>
      <c r="N757" s="10">
        <f>IF(COUNTA(J757:M757)=0,"",MIN(10,SUMPRODUCT((COUNTIF(J757:M757,L_KOM)&gt;0)*S_KOM)))</f>
        <v/>
      </c>
      <c r="O757" s="11" t="n"/>
      <c r="P757" s="10">
        <f>IF(O757="","",IFERROR(VLOOKUP(O757,T_KHID,2,FALSE),0))</f>
        <v/>
      </c>
      <c r="Q757" s="11" t="n"/>
      <c r="R757" s="11" t="n"/>
      <c r="S757" s="10">
        <f>IF(AND(Q757="",R757=""),"",IFERROR(INDEX(T_LIBAT,MATCH(Q757,L_PER,0),MATCH(R757,L_JENIS,0)),0))</f>
        <v/>
      </c>
      <c r="T757" s="11" t="n"/>
      <c r="U757" s="11" t="n"/>
      <c r="V757" s="10">
        <f>IF(AND(T757="",U757=""),"",IFERROR(INDEX(T_CAPAI,MATCH(T757,L_PER,0),MATCH(U757,L_KED,0)),0))</f>
        <v/>
      </c>
      <c r="W757" s="17">
        <f>IF(OR(B757="",E757="",COUNTA(F757,H757,J757:M757,O757,Q757:R757,T757:U757)=0),"",SUM(G757,I757,N757,P757,S757,V757))</f>
        <v/>
      </c>
      <c r="X757" s="18">
        <f>IF(W757="","",IF(Murid!F757="TL","TL",ROUND(W757/110*100,2)))</f>
        <v/>
      </c>
    </row>
    <row r="758">
      <c r="A758" s="15">
        <f>Murid!A758</f>
        <v/>
      </c>
      <c r="B758" s="15">
        <f>IF(Murid!B758="","",Murid!B758)</f>
        <v/>
      </c>
      <c r="C758" s="16">
        <f>IF(Murid!C758="","",Murid!C758)</f>
        <v/>
      </c>
      <c r="D758" s="15">
        <f>IF(Murid!E758="","",Murid!E758)</f>
        <v/>
      </c>
      <c r="E758" s="11" t="n"/>
      <c r="F758" s="11" t="n"/>
      <c r="G758" s="10">
        <f>IF(F758="","",IFERROR(VLOOKUP(F758,T_JSP,2,FALSE),0))</f>
        <v/>
      </c>
      <c r="H758" s="11" t="n"/>
      <c r="I758" s="17">
        <f>IF(H758="","",IF(H758&gt;=12,40,ROUND(H758*3.33,2)))</f>
        <v/>
      </c>
      <c r="J758" s="11" t="n"/>
      <c r="K758" s="11" t="n"/>
      <c r="L758" s="11" t="n"/>
      <c r="M758" s="11" t="n"/>
      <c r="N758" s="10">
        <f>IF(COUNTA(J758:M758)=0,"",MIN(10,SUMPRODUCT((COUNTIF(J758:M758,L_KOM)&gt;0)*S_KOM)))</f>
        <v/>
      </c>
      <c r="O758" s="11" t="n"/>
      <c r="P758" s="10">
        <f>IF(O758="","",IFERROR(VLOOKUP(O758,T_KHID,2,FALSE),0))</f>
        <v/>
      </c>
      <c r="Q758" s="11" t="n"/>
      <c r="R758" s="11" t="n"/>
      <c r="S758" s="10">
        <f>IF(AND(Q758="",R758=""),"",IFERROR(INDEX(T_LIBAT,MATCH(Q758,L_PER,0),MATCH(R758,L_JENIS,0)),0))</f>
        <v/>
      </c>
      <c r="T758" s="11" t="n"/>
      <c r="U758" s="11" t="n"/>
      <c r="V758" s="10">
        <f>IF(AND(T758="",U758=""),"",IFERROR(INDEX(T_CAPAI,MATCH(T758,L_PER,0),MATCH(U758,L_KED,0)),0))</f>
        <v/>
      </c>
      <c r="W758" s="17">
        <f>IF(OR(B758="",E758="",COUNTA(F758,H758,J758:M758,O758,Q758:R758,T758:U758)=0),"",SUM(G758,I758,N758,P758,S758,V758))</f>
        <v/>
      </c>
      <c r="X758" s="18">
        <f>IF(W758="","",IF(Murid!F758="TL","TL",ROUND(W758/110*100,2)))</f>
        <v/>
      </c>
    </row>
    <row r="759">
      <c r="A759" s="15">
        <f>Murid!A759</f>
        <v/>
      </c>
      <c r="B759" s="15">
        <f>IF(Murid!B759="","",Murid!B759)</f>
        <v/>
      </c>
      <c r="C759" s="16">
        <f>IF(Murid!C759="","",Murid!C759)</f>
        <v/>
      </c>
      <c r="D759" s="15">
        <f>IF(Murid!E759="","",Murid!E759)</f>
        <v/>
      </c>
      <c r="E759" s="11" t="n"/>
      <c r="F759" s="11" t="n"/>
      <c r="G759" s="10">
        <f>IF(F759="","",IFERROR(VLOOKUP(F759,T_JSP,2,FALSE),0))</f>
        <v/>
      </c>
      <c r="H759" s="11" t="n"/>
      <c r="I759" s="17">
        <f>IF(H759="","",IF(H759&gt;=12,40,ROUND(H759*3.33,2)))</f>
        <v/>
      </c>
      <c r="J759" s="11" t="n"/>
      <c r="K759" s="11" t="n"/>
      <c r="L759" s="11" t="n"/>
      <c r="M759" s="11" t="n"/>
      <c r="N759" s="10">
        <f>IF(COUNTA(J759:M759)=0,"",MIN(10,SUMPRODUCT((COUNTIF(J759:M759,L_KOM)&gt;0)*S_KOM)))</f>
        <v/>
      </c>
      <c r="O759" s="11" t="n"/>
      <c r="P759" s="10">
        <f>IF(O759="","",IFERROR(VLOOKUP(O759,T_KHID,2,FALSE),0))</f>
        <v/>
      </c>
      <c r="Q759" s="11" t="n"/>
      <c r="R759" s="11" t="n"/>
      <c r="S759" s="10">
        <f>IF(AND(Q759="",R759=""),"",IFERROR(INDEX(T_LIBAT,MATCH(Q759,L_PER,0),MATCH(R759,L_JENIS,0)),0))</f>
        <v/>
      </c>
      <c r="T759" s="11" t="n"/>
      <c r="U759" s="11" t="n"/>
      <c r="V759" s="10">
        <f>IF(AND(T759="",U759=""),"",IFERROR(INDEX(T_CAPAI,MATCH(T759,L_PER,0),MATCH(U759,L_KED,0)),0))</f>
        <v/>
      </c>
      <c r="W759" s="17">
        <f>IF(OR(B759="",E759="",COUNTA(F759,H759,J759:M759,O759,Q759:R759,T759:U759)=0),"",SUM(G759,I759,N759,P759,S759,V759))</f>
        <v/>
      </c>
      <c r="X759" s="18">
        <f>IF(W759="","",IF(Murid!F759="TL","TL",ROUND(W759/110*100,2)))</f>
        <v/>
      </c>
    </row>
    <row r="760">
      <c r="A760" s="15">
        <f>Murid!A760</f>
        <v/>
      </c>
      <c r="B760" s="15">
        <f>IF(Murid!B760="","",Murid!B760)</f>
        <v/>
      </c>
      <c r="C760" s="16">
        <f>IF(Murid!C760="","",Murid!C760)</f>
        <v/>
      </c>
      <c r="D760" s="15">
        <f>IF(Murid!E760="","",Murid!E760)</f>
        <v/>
      </c>
      <c r="E760" s="11" t="n"/>
      <c r="F760" s="11" t="n"/>
      <c r="G760" s="10">
        <f>IF(F760="","",IFERROR(VLOOKUP(F760,T_JSP,2,FALSE),0))</f>
        <v/>
      </c>
      <c r="H760" s="11" t="n"/>
      <c r="I760" s="17">
        <f>IF(H760="","",IF(H760&gt;=12,40,ROUND(H760*3.33,2)))</f>
        <v/>
      </c>
      <c r="J760" s="11" t="n"/>
      <c r="K760" s="11" t="n"/>
      <c r="L760" s="11" t="n"/>
      <c r="M760" s="11" t="n"/>
      <c r="N760" s="10">
        <f>IF(COUNTA(J760:M760)=0,"",MIN(10,SUMPRODUCT((COUNTIF(J760:M760,L_KOM)&gt;0)*S_KOM)))</f>
        <v/>
      </c>
      <c r="O760" s="11" t="n"/>
      <c r="P760" s="10">
        <f>IF(O760="","",IFERROR(VLOOKUP(O760,T_KHID,2,FALSE),0))</f>
        <v/>
      </c>
      <c r="Q760" s="11" t="n"/>
      <c r="R760" s="11" t="n"/>
      <c r="S760" s="10">
        <f>IF(AND(Q760="",R760=""),"",IFERROR(INDEX(T_LIBAT,MATCH(Q760,L_PER,0),MATCH(R760,L_JENIS,0)),0))</f>
        <v/>
      </c>
      <c r="T760" s="11" t="n"/>
      <c r="U760" s="11" t="n"/>
      <c r="V760" s="10">
        <f>IF(AND(T760="",U760=""),"",IFERROR(INDEX(T_CAPAI,MATCH(T760,L_PER,0),MATCH(U760,L_KED,0)),0))</f>
        <v/>
      </c>
      <c r="W760" s="17">
        <f>IF(OR(B760="",E760="",COUNTA(F760,H760,J760:M760,O760,Q760:R760,T760:U760)=0),"",SUM(G760,I760,N760,P760,S760,V760))</f>
        <v/>
      </c>
      <c r="X760" s="18">
        <f>IF(W760="","",IF(Murid!F760="TL","TL",ROUND(W760/110*100,2)))</f>
        <v/>
      </c>
    </row>
    <row r="761">
      <c r="A761" s="15">
        <f>Murid!A761</f>
        <v/>
      </c>
      <c r="B761" s="15">
        <f>IF(Murid!B761="","",Murid!B761)</f>
        <v/>
      </c>
      <c r="C761" s="16">
        <f>IF(Murid!C761="","",Murid!C761)</f>
        <v/>
      </c>
      <c r="D761" s="15">
        <f>IF(Murid!E761="","",Murid!E761)</f>
        <v/>
      </c>
      <c r="E761" s="11" t="n"/>
      <c r="F761" s="11" t="n"/>
      <c r="G761" s="10">
        <f>IF(F761="","",IFERROR(VLOOKUP(F761,T_JSP,2,FALSE),0))</f>
        <v/>
      </c>
      <c r="H761" s="11" t="n"/>
      <c r="I761" s="17">
        <f>IF(H761="","",IF(H761&gt;=12,40,ROUND(H761*3.33,2)))</f>
        <v/>
      </c>
      <c r="J761" s="11" t="n"/>
      <c r="K761" s="11" t="n"/>
      <c r="L761" s="11" t="n"/>
      <c r="M761" s="11" t="n"/>
      <c r="N761" s="10">
        <f>IF(COUNTA(J761:M761)=0,"",MIN(10,SUMPRODUCT((COUNTIF(J761:M761,L_KOM)&gt;0)*S_KOM)))</f>
        <v/>
      </c>
      <c r="O761" s="11" t="n"/>
      <c r="P761" s="10">
        <f>IF(O761="","",IFERROR(VLOOKUP(O761,T_KHID,2,FALSE),0))</f>
        <v/>
      </c>
      <c r="Q761" s="11" t="n"/>
      <c r="R761" s="11" t="n"/>
      <c r="S761" s="10">
        <f>IF(AND(Q761="",R761=""),"",IFERROR(INDEX(T_LIBAT,MATCH(Q761,L_PER,0),MATCH(R761,L_JENIS,0)),0))</f>
        <v/>
      </c>
      <c r="T761" s="11" t="n"/>
      <c r="U761" s="11" t="n"/>
      <c r="V761" s="10">
        <f>IF(AND(T761="",U761=""),"",IFERROR(INDEX(T_CAPAI,MATCH(T761,L_PER,0),MATCH(U761,L_KED,0)),0))</f>
        <v/>
      </c>
      <c r="W761" s="17">
        <f>IF(OR(B761="",E761="",COUNTA(F761,H761,J761:M761,O761,Q761:R761,T761:U761)=0),"",SUM(G761,I761,N761,P761,S761,V761))</f>
        <v/>
      </c>
      <c r="X761" s="18">
        <f>IF(W761="","",IF(Murid!F761="TL","TL",ROUND(W761/110*100,2)))</f>
        <v/>
      </c>
    </row>
    <row r="762">
      <c r="A762" s="15">
        <f>Murid!A762</f>
        <v/>
      </c>
      <c r="B762" s="15">
        <f>IF(Murid!B762="","",Murid!B762)</f>
        <v/>
      </c>
      <c r="C762" s="16">
        <f>IF(Murid!C762="","",Murid!C762)</f>
        <v/>
      </c>
      <c r="D762" s="15">
        <f>IF(Murid!E762="","",Murid!E762)</f>
        <v/>
      </c>
      <c r="E762" s="11" t="n"/>
      <c r="F762" s="11" t="n"/>
      <c r="G762" s="10">
        <f>IF(F762="","",IFERROR(VLOOKUP(F762,T_JSP,2,FALSE),0))</f>
        <v/>
      </c>
      <c r="H762" s="11" t="n"/>
      <c r="I762" s="17">
        <f>IF(H762="","",IF(H762&gt;=12,40,ROUND(H762*3.33,2)))</f>
        <v/>
      </c>
      <c r="J762" s="11" t="n"/>
      <c r="K762" s="11" t="n"/>
      <c r="L762" s="11" t="n"/>
      <c r="M762" s="11" t="n"/>
      <c r="N762" s="10">
        <f>IF(COUNTA(J762:M762)=0,"",MIN(10,SUMPRODUCT((COUNTIF(J762:M762,L_KOM)&gt;0)*S_KOM)))</f>
        <v/>
      </c>
      <c r="O762" s="11" t="n"/>
      <c r="P762" s="10">
        <f>IF(O762="","",IFERROR(VLOOKUP(O762,T_KHID,2,FALSE),0))</f>
        <v/>
      </c>
      <c r="Q762" s="11" t="n"/>
      <c r="R762" s="11" t="n"/>
      <c r="S762" s="10">
        <f>IF(AND(Q762="",R762=""),"",IFERROR(INDEX(T_LIBAT,MATCH(Q762,L_PER,0),MATCH(R762,L_JENIS,0)),0))</f>
        <v/>
      </c>
      <c r="T762" s="11" t="n"/>
      <c r="U762" s="11" t="n"/>
      <c r="V762" s="10">
        <f>IF(AND(T762="",U762=""),"",IFERROR(INDEX(T_CAPAI,MATCH(T762,L_PER,0),MATCH(U762,L_KED,0)),0))</f>
        <v/>
      </c>
      <c r="W762" s="17">
        <f>IF(OR(B762="",E762="",COUNTA(F762,H762,J762:M762,O762,Q762:R762,T762:U762)=0),"",SUM(G762,I762,N762,P762,S762,V762))</f>
        <v/>
      </c>
      <c r="X762" s="18">
        <f>IF(W762="","",IF(Murid!F762="TL","TL",ROUND(W762/110*100,2)))</f>
        <v/>
      </c>
    </row>
    <row r="763">
      <c r="A763" s="15">
        <f>Murid!A763</f>
        <v/>
      </c>
      <c r="B763" s="15">
        <f>IF(Murid!B763="","",Murid!B763)</f>
        <v/>
      </c>
      <c r="C763" s="16">
        <f>IF(Murid!C763="","",Murid!C763)</f>
        <v/>
      </c>
      <c r="D763" s="15">
        <f>IF(Murid!E763="","",Murid!E763)</f>
        <v/>
      </c>
      <c r="E763" s="11" t="n"/>
      <c r="F763" s="11" t="n"/>
      <c r="G763" s="10">
        <f>IF(F763="","",IFERROR(VLOOKUP(F763,T_JSP,2,FALSE),0))</f>
        <v/>
      </c>
      <c r="H763" s="11" t="n"/>
      <c r="I763" s="17">
        <f>IF(H763="","",IF(H763&gt;=12,40,ROUND(H763*3.33,2)))</f>
        <v/>
      </c>
      <c r="J763" s="11" t="n"/>
      <c r="K763" s="11" t="n"/>
      <c r="L763" s="11" t="n"/>
      <c r="M763" s="11" t="n"/>
      <c r="N763" s="10">
        <f>IF(COUNTA(J763:M763)=0,"",MIN(10,SUMPRODUCT((COUNTIF(J763:M763,L_KOM)&gt;0)*S_KOM)))</f>
        <v/>
      </c>
      <c r="O763" s="11" t="n"/>
      <c r="P763" s="10">
        <f>IF(O763="","",IFERROR(VLOOKUP(O763,T_KHID,2,FALSE),0))</f>
        <v/>
      </c>
      <c r="Q763" s="11" t="n"/>
      <c r="R763" s="11" t="n"/>
      <c r="S763" s="10">
        <f>IF(AND(Q763="",R763=""),"",IFERROR(INDEX(T_LIBAT,MATCH(Q763,L_PER,0),MATCH(R763,L_JENIS,0)),0))</f>
        <v/>
      </c>
      <c r="T763" s="11" t="n"/>
      <c r="U763" s="11" t="n"/>
      <c r="V763" s="10">
        <f>IF(AND(T763="",U763=""),"",IFERROR(INDEX(T_CAPAI,MATCH(T763,L_PER,0),MATCH(U763,L_KED,0)),0))</f>
        <v/>
      </c>
      <c r="W763" s="17">
        <f>IF(OR(B763="",E763="",COUNTA(F763,H763,J763:M763,O763,Q763:R763,T763:U763)=0),"",SUM(G763,I763,N763,P763,S763,V763))</f>
        <v/>
      </c>
      <c r="X763" s="18">
        <f>IF(W763="","",IF(Murid!F763="TL","TL",ROUND(W763/110*100,2)))</f>
        <v/>
      </c>
    </row>
    <row r="764">
      <c r="A764" s="15">
        <f>Murid!A764</f>
        <v/>
      </c>
      <c r="B764" s="15">
        <f>IF(Murid!B764="","",Murid!B764)</f>
        <v/>
      </c>
      <c r="C764" s="16">
        <f>IF(Murid!C764="","",Murid!C764)</f>
        <v/>
      </c>
      <c r="D764" s="15">
        <f>IF(Murid!E764="","",Murid!E764)</f>
        <v/>
      </c>
      <c r="E764" s="11" t="n"/>
      <c r="F764" s="11" t="n"/>
      <c r="G764" s="10">
        <f>IF(F764="","",IFERROR(VLOOKUP(F764,T_JSP,2,FALSE),0))</f>
        <v/>
      </c>
      <c r="H764" s="11" t="n"/>
      <c r="I764" s="17">
        <f>IF(H764="","",IF(H764&gt;=12,40,ROUND(H764*3.33,2)))</f>
        <v/>
      </c>
      <c r="J764" s="11" t="n"/>
      <c r="K764" s="11" t="n"/>
      <c r="L764" s="11" t="n"/>
      <c r="M764" s="11" t="n"/>
      <c r="N764" s="10">
        <f>IF(COUNTA(J764:M764)=0,"",MIN(10,SUMPRODUCT((COUNTIF(J764:M764,L_KOM)&gt;0)*S_KOM)))</f>
        <v/>
      </c>
      <c r="O764" s="11" t="n"/>
      <c r="P764" s="10">
        <f>IF(O764="","",IFERROR(VLOOKUP(O764,T_KHID,2,FALSE),0))</f>
        <v/>
      </c>
      <c r="Q764" s="11" t="n"/>
      <c r="R764" s="11" t="n"/>
      <c r="S764" s="10">
        <f>IF(AND(Q764="",R764=""),"",IFERROR(INDEX(T_LIBAT,MATCH(Q764,L_PER,0),MATCH(R764,L_JENIS,0)),0))</f>
        <v/>
      </c>
      <c r="T764" s="11" t="n"/>
      <c r="U764" s="11" t="n"/>
      <c r="V764" s="10">
        <f>IF(AND(T764="",U764=""),"",IFERROR(INDEX(T_CAPAI,MATCH(T764,L_PER,0),MATCH(U764,L_KED,0)),0))</f>
        <v/>
      </c>
      <c r="W764" s="17">
        <f>IF(OR(B764="",E764="",COUNTA(F764,H764,J764:M764,O764,Q764:R764,T764:U764)=0),"",SUM(G764,I764,N764,P764,S764,V764))</f>
        <v/>
      </c>
      <c r="X764" s="18">
        <f>IF(W764="","",IF(Murid!F764="TL","TL",ROUND(W764/110*100,2)))</f>
        <v/>
      </c>
    </row>
    <row r="765">
      <c r="A765" s="15">
        <f>Murid!A765</f>
        <v/>
      </c>
      <c r="B765" s="15">
        <f>IF(Murid!B765="","",Murid!B765)</f>
        <v/>
      </c>
      <c r="C765" s="16">
        <f>IF(Murid!C765="","",Murid!C765)</f>
        <v/>
      </c>
      <c r="D765" s="15">
        <f>IF(Murid!E765="","",Murid!E765)</f>
        <v/>
      </c>
      <c r="E765" s="11" t="n"/>
      <c r="F765" s="11" t="n"/>
      <c r="G765" s="10">
        <f>IF(F765="","",IFERROR(VLOOKUP(F765,T_JSP,2,FALSE),0))</f>
        <v/>
      </c>
      <c r="H765" s="11" t="n"/>
      <c r="I765" s="17">
        <f>IF(H765="","",IF(H765&gt;=12,40,ROUND(H765*3.33,2)))</f>
        <v/>
      </c>
      <c r="J765" s="11" t="n"/>
      <c r="K765" s="11" t="n"/>
      <c r="L765" s="11" t="n"/>
      <c r="M765" s="11" t="n"/>
      <c r="N765" s="10">
        <f>IF(COUNTA(J765:M765)=0,"",MIN(10,SUMPRODUCT((COUNTIF(J765:M765,L_KOM)&gt;0)*S_KOM)))</f>
        <v/>
      </c>
      <c r="O765" s="11" t="n"/>
      <c r="P765" s="10">
        <f>IF(O765="","",IFERROR(VLOOKUP(O765,T_KHID,2,FALSE),0))</f>
        <v/>
      </c>
      <c r="Q765" s="11" t="n"/>
      <c r="R765" s="11" t="n"/>
      <c r="S765" s="10">
        <f>IF(AND(Q765="",R765=""),"",IFERROR(INDEX(T_LIBAT,MATCH(Q765,L_PER,0),MATCH(R765,L_JENIS,0)),0))</f>
        <v/>
      </c>
      <c r="T765" s="11" t="n"/>
      <c r="U765" s="11" t="n"/>
      <c r="V765" s="10">
        <f>IF(AND(T765="",U765=""),"",IFERROR(INDEX(T_CAPAI,MATCH(T765,L_PER,0),MATCH(U765,L_KED,0)),0))</f>
        <v/>
      </c>
      <c r="W765" s="17">
        <f>IF(OR(B765="",E765="",COUNTA(F765,H765,J765:M765,O765,Q765:R765,T765:U765)=0),"",SUM(G765,I765,N765,P765,S765,V765))</f>
        <v/>
      </c>
      <c r="X765" s="18">
        <f>IF(W765="","",IF(Murid!F765="TL","TL",ROUND(W765/110*100,2)))</f>
        <v/>
      </c>
    </row>
    <row r="766">
      <c r="A766" s="15">
        <f>Murid!A766</f>
        <v/>
      </c>
      <c r="B766" s="15">
        <f>IF(Murid!B766="","",Murid!B766)</f>
        <v/>
      </c>
      <c r="C766" s="16">
        <f>IF(Murid!C766="","",Murid!C766)</f>
        <v/>
      </c>
      <c r="D766" s="15">
        <f>IF(Murid!E766="","",Murid!E766)</f>
        <v/>
      </c>
      <c r="E766" s="11" t="n"/>
      <c r="F766" s="11" t="n"/>
      <c r="G766" s="10">
        <f>IF(F766="","",IFERROR(VLOOKUP(F766,T_JSP,2,FALSE),0))</f>
        <v/>
      </c>
      <c r="H766" s="11" t="n"/>
      <c r="I766" s="17">
        <f>IF(H766="","",IF(H766&gt;=12,40,ROUND(H766*3.33,2)))</f>
        <v/>
      </c>
      <c r="J766" s="11" t="n"/>
      <c r="K766" s="11" t="n"/>
      <c r="L766" s="11" t="n"/>
      <c r="M766" s="11" t="n"/>
      <c r="N766" s="10">
        <f>IF(COUNTA(J766:M766)=0,"",MIN(10,SUMPRODUCT((COUNTIF(J766:M766,L_KOM)&gt;0)*S_KOM)))</f>
        <v/>
      </c>
      <c r="O766" s="11" t="n"/>
      <c r="P766" s="10">
        <f>IF(O766="","",IFERROR(VLOOKUP(O766,T_KHID,2,FALSE),0))</f>
        <v/>
      </c>
      <c r="Q766" s="11" t="n"/>
      <c r="R766" s="11" t="n"/>
      <c r="S766" s="10">
        <f>IF(AND(Q766="",R766=""),"",IFERROR(INDEX(T_LIBAT,MATCH(Q766,L_PER,0),MATCH(R766,L_JENIS,0)),0))</f>
        <v/>
      </c>
      <c r="T766" s="11" t="n"/>
      <c r="U766" s="11" t="n"/>
      <c r="V766" s="10">
        <f>IF(AND(T766="",U766=""),"",IFERROR(INDEX(T_CAPAI,MATCH(T766,L_PER,0),MATCH(U766,L_KED,0)),0))</f>
        <v/>
      </c>
      <c r="W766" s="17">
        <f>IF(OR(B766="",E766="",COUNTA(F766,H766,J766:M766,O766,Q766:R766,T766:U766)=0),"",SUM(G766,I766,N766,P766,S766,V766))</f>
        <v/>
      </c>
      <c r="X766" s="18">
        <f>IF(W766="","",IF(Murid!F766="TL","TL",ROUND(W766/110*100,2)))</f>
        <v/>
      </c>
    </row>
    <row r="767">
      <c r="A767" s="15">
        <f>Murid!A767</f>
        <v/>
      </c>
      <c r="B767" s="15">
        <f>IF(Murid!B767="","",Murid!B767)</f>
        <v/>
      </c>
      <c r="C767" s="16">
        <f>IF(Murid!C767="","",Murid!C767)</f>
        <v/>
      </c>
      <c r="D767" s="15">
        <f>IF(Murid!E767="","",Murid!E767)</f>
        <v/>
      </c>
      <c r="E767" s="11" t="n"/>
      <c r="F767" s="11" t="n"/>
      <c r="G767" s="10">
        <f>IF(F767="","",IFERROR(VLOOKUP(F767,T_JSP,2,FALSE),0))</f>
        <v/>
      </c>
      <c r="H767" s="11" t="n"/>
      <c r="I767" s="17">
        <f>IF(H767="","",IF(H767&gt;=12,40,ROUND(H767*3.33,2)))</f>
        <v/>
      </c>
      <c r="J767" s="11" t="n"/>
      <c r="K767" s="11" t="n"/>
      <c r="L767" s="11" t="n"/>
      <c r="M767" s="11" t="n"/>
      <c r="N767" s="10">
        <f>IF(COUNTA(J767:M767)=0,"",MIN(10,SUMPRODUCT((COUNTIF(J767:M767,L_KOM)&gt;0)*S_KOM)))</f>
        <v/>
      </c>
      <c r="O767" s="11" t="n"/>
      <c r="P767" s="10">
        <f>IF(O767="","",IFERROR(VLOOKUP(O767,T_KHID,2,FALSE),0))</f>
        <v/>
      </c>
      <c r="Q767" s="11" t="n"/>
      <c r="R767" s="11" t="n"/>
      <c r="S767" s="10">
        <f>IF(AND(Q767="",R767=""),"",IFERROR(INDEX(T_LIBAT,MATCH(Q767,L_PER,0),MATCH(R767,L_JENIS,0)),0))</f>
        <v/>
      </c>
      <c r="T767" s="11" t="n"/>
      <c r="U767" s="11" t="n"/>
      <c r="V767" s="10">
        <f>IF(AND(T767="",U767=""),"",IFERROR(INDEX(T_CAPAI,MATCH(T767,L_PER,0),MATCH(U767,L_KED,0)),0))</f>
        <v/>
      </c>
      <c r="W767" s="17">
        <f>IF(OR(B767="",E767="",COUNTA(F767,H767,J767:M767,O767,Q767:R767,T767:U767)=0),"",SUM(G767,I767,N767,P767,S767,V767))</f>
        <v/>
      </c>
      <c r="X767" s="18">
        <f>IF(W767="","",IF(Murid!F767="TL","TL",ROUND(W767/110*100,2)))</f>
        <v/>
      </c>
    </row>
    <row r="768">
      <c r="A768" s="15">
        <f>Murid!A768</f>
        <v/>
      </c>
      <c r="B768" s="15">
        <f>IF(Murid!B768="","",Murid!B768)</f>
        <v/>
      </c>
      <c r="C768" s="16">
        <f>IF(Murid!C768="","",Murid!C768)</f>
        <v/>
      </c>
      <c r="D768" s="15">
        <f>IF(Murid!E768="","",Murid!E768)</f>
        <v/>
      </c>
      <c r="E768" s="11" t="n"/>
      <c r="F768" s="11" t="n"/>
      <c r="G768" s="10">
        <f>IF(F768="","",IFERROR(VLOOKUP(F768,T_JSP,2,FALSE),0))</f>
        <v/>
      </c>
      <c r="H768" s="11" t="n"/>
      <c r="I768" s="17">
        <f>IF(H768="","",IF(H768&gt;=12,40,ROUND(H768*3.33,2)))</f>
        <v/>
      </c>
      <c r="J768" s="11" t="n"/>
      <c r="K768" s="11" t="n"/>
      <c r="L768" s="11" t="n"/>
      <c r="M768" s="11" t="n"/>
      <c r="N768" s="10">
        <f>IF(COUNTA(J768:M768)=0,"",MIN(10,SUMPRODUCT((COUNTIF(J768:M768,L_KOM)&gt;0)*S_KOM)))</f>
        <v/>
      </c>
      <c r="O768" s="11" t="n"/>
      <c r="P768" s="10">
        <f>IF(O768="","",IFERROR(VLOOKUP(O768,T_KHID,2,FALSE),0))</f>
        <v/>
      </c>
      <c r="Q768" s="11" t="n"/>
      <c r="R768" s="11" t="n"/>
      <c r="S768" s="10">
        <f>IF(AND(Q768="",R768=""),"",IFERROR(INDEX(T_LIBAT,MATCH(Q768,L_PER,0),MATCH(R768,L_JENIS,0)),0))</f>
        <v/>
      </c>
      <c r="T768" s="11" t="n"/>
      <c r="U768" s="11" t="n"/>
      <c r="V768" s="10">
        <f>IF(AND(T768="",U768=""),"",IFERROR(INDEX(T_CAPAI,MATCH(T768,L_PER,0),MATCH(U768,L_KED,0)),0))</f>
        <v/>
      </c>
      <c r="W768" s="17">
        <f>IF(OR(B768="",E768="",COUNTA(F768,H768,J768:M768,O768,Q768:R768,T768:U768)=0),"",SUM(G768,I768,N768,P768,S768,V768))</f>
        <v/>
      </c>
      <c r="X768" s="18">
        <f>IF(W768="","",IF(Murid!F768="TL","TL",ROUND(W768/110*100,2)))</f>
        <v/>
      </c>
    </row>
    <row r="769">
      <c r="A769" s="15">
        <f>Murid!A769</f>
        <v/>
      </c>
      <c r="B769" s="15">
        <f>IF(Murid!B769="","",Murid!B769)</f>
        <v/>
      </c>
      <c r="C769" s="16">
        <f>IF(Murid!C769="","",Murid!C769)</f>
        <v/>
      </c>
      <c r="D769" s="15">
        <f>IF(Murid!E769="","",Murid!E769)</f>
        <v/>
      </c>
      <c r="E769" s="11" t="n"/>
      <c r="F769" s="11" t="n"/>
      <c r="G769" s="10">
        <f>IF(F769="","",IFERROR(VLOOKUP(F769,T_JSP,2,FALSE),0))</f>
        <v/>
      </c>
      <c r="H769" s="11" t="n"/>
      <c r="I769" s="17">
        <f>IF(H769="","",IF(H769&gt;=12,40,ROUND(H769*3.33,2)))</f>
        <v/>
      </c>
      <c r="J769" s="11" t="n"/>
      <c r="K769" s="11" t="n"/>
      <c r="L769" s="11" t="n"/>
      <c r="M769" s="11" t="n"/>
      <c r="N769" s="10">
        <f>IF(COUNTA(J769:M769)=0,"",MIN(10,SUMPRODUCT((COUNTIF(J769:M769,L_KOM)&gt;0)*S_KOM)))</f>
        <v/>
      </c>
      <c r="O769" s="11" t="n"/>
      <c r="P769" s="10">
        <f>IF(O769="","",IFERROR(VLOOKUP(O769,T_KHID,2,FALSE),0))</f>
        <v/>
      </c>
      <c r="Q769" s="11" t="n"/>
      <c r="R769" s="11" t="n"/>
      <c r="S769" s="10">
        <f>IF(AND(Q769="",R769=""),"",IFERROR(INDEX(T_LIBAT,MATCH(Q769,L_PER,0),MATCH(R769,L_JENIS,0)),0))</f>
        <v/>
      </c>
      <c r="T769" s="11" t="n"/>
      <c r="U769" s="11" t="n"/>
      <c r="V769" s="10">
        <f>IF(AND(T769="",U769=""),"",IFERROR(INDEX(T_CAPAI,MATCH(T769,L_PER,0),MATCH(U769,L_KED,0)),0))</f>
        <v/>
      </c>
      <c r="W769" s="17">
        <f>IF(OR(B769="",E769="",COUNTA(F769,H769,J769:M769,O769,Q769:R769,T769:U769)=0),"",SUM(G769,I769,N769,P769,S769,V769))</f>
        <v/>
      </c>
      <c r="X769" s="18">
        <f>IF(W769="","",IF(Murid!F769="TL","TL",ROUND(W769/110*100,2)))</f>
        <v/>
      </c>
    </row>
    <row r="770">
      <c r="A770" s="15">
        <f>Murid!A770</f>
        <v/>
      </c>
      <c r="B770" s="15">
        <f>IF(Murid!B770="","",Murid!B770)</f>
        <v/>
      </c>
      <c r="C770" s="16">
        <f>IF(Murid!C770="","",Murid!C770)</f>
        <v/>
      </c>
      <c r="D770" s="15">
        <f>IF(Murid!E770="","",Murid!E770)</f>
        <v/>
      </c>
      <c r="E770" s="11" t="n"/>
      <c r="F770" s="11" t="n"/>
      <c r="G770" s="10">
        <f>IF(F770="","",IFERROR(VLOOKUP(F770,T_JSP,2,FALSE),0))</f>
        <v/>
      </c>
      <c r="H770" s="11" t="n"/>
      <c r="I770" s="17">
        <f>IF(H770="","",IF(H770&gt;=12,40,ROUND(H770*3.33,2)))</f>
        <v/>
      </c>
      <c r="J770" s="11" t="n"/>
      <c r="K770" s="11" t="n"/>
      <c r="L770" s="11" t="n"/>
      <c r="M770" s="11" t="n"/>
      <c r="N770" s="10">
        <f>IF(COUNTA(J770:M770)=0,"",MIN(10,SUMPRODUCT((COUNTIF(J770:M770,L_KOM)&gt;0)*S_KOM)))</f>
        <v/>
      </c>
      <c r="O770" s="11" t="n"/>
      <c r="P770" s="10">
        <f>IF(O770="","",IFERROR(VLOOKUP(O770,T_KHID,2,FALSE),0))</f>
        <v/>
      </c>
      <c r="Q770" s="11" t="n"/>
      <c r="R770" s="11" t="n"/>
      <c r="S770" s="10">
        <f>IF(AND(Q770="",R770=""),"",IFERROR(INDEX(T_LIBAT,MATCH(Q770,L_PER,0),MATCH(R770,L_JENIS,0)),0))</f>
        <v/>
      </c>
      <c r="T770" s="11" t="n"/>
      <c r="U770" s="11" t="n"/>
      <c r="V770" s="10">
        <f>IF(AND(T770="",U770=""),"",IFERROR(INDEX(T_CAPAI,MATCH(T770,L_PER,0),MATCH(U770,L_KED,0)),0))</f>
        <v/>
      </c>
      <c r="W770" s="17">
        <f>IF(OR(B770="",E770="",COUNTA(F770,H770,J770:M770,O770,Q770:R770,T770:U770)=0),"",SUM(G770,I770,N770,P770,S770,V770))</f>
        <v/>
      </c>
      <c r="X770" s="18">
        <f>IF(W770="","",IF(Murid!F770="TL","TL",ROUND(W770/110*100,2)))</f>
        <v/>
      </c>
    </row>
    <row r="771">
      <c r="A771" s="15">
        <f>Murid!A771</f>
        <v/>
      </c>
      <c r="B771" s="15">
        <f>IF(Murid!B771="","",Murid!B771)</f>
        <v/>
      </c>
      <c r="C771" s="16">
        <f>IF(Murid!C771="","",Murid!C771)</f>
        <v/>
      </c>
      <c r="D771" s="15">
        <f>IF(Murid!E771="","",Murid!E771)</f>
        <v/>
      </c>
      <c r="E771" s="11" t="n"/>
      <c r="F771" s="11" t="n"/>
      <c r="G771" s="10">
        <f>IF(F771="","",IFERROR(VLOOKUP(F771,T_JSP,2,FALSE),0))</f>
        <v/>
      </c>
      <c r="H771" s="11" t="n"/>
      <c r="I771" s="17">
        <f>IF(H771="","",IF(H771&gt;=12,40,ROUND(H771*3.33,2)))</f>
        <v/>
      </c>
      <c r="J771" s="11" t="n"/>
      <c r="K771" s="11" t="n"/>
      <c r="L771" s="11" t="n"/>
      <c r="M771" s="11" t="n"/>
      <c r="N771" s="10">
        <f>IF(COUNTA(J771:M771)=0,"",MIN(10,SUMPRODUCT((COUNTIF(J771:M771,L_KOM)&gt;0)*S_KOM)))</f>
        <v/>
      </c>
      <c r="O771" s="11" t="n"/>
      <c r="P771" s="10">
        <f>IF(O771="","",IFERROR(VLOOKUP(O771,T_KHID,2,FALSE),0))</f>
        <v/>
      </c>
      <c r="Q771" s="11" t="n"/>
      <c r="R771" s="11" t="n"/>
      <c r="S771" s="10">
        <f>IF(AND(Q771="",R771=""),"",IFERROR(INDEX(T_LIBAT,MATCH(Q771,L_PER,0),MATCH(R771,L_JENIS,0)),0))</f>
        <v/>
      </c>
      <c r="T771" s="11" t="n"/>
      <c r="U771" s="11" t="n"/>
      <c r="V771" s="10">
        <f>IF(AND(T771="",U771=""),"",IFERROR(INDEX(T_CAPAI,MATCH(T771,L_PER,0),MATCH(U771,L_KED,0)),0))</f>
        <v/>
      </c>
      <c r="W771" s="17">
        <f>IF(OR(B771="",E771="",COUNTA(F771,H771,J771:M771,O771,Q771:R771,T771:U771)=0),"",SUM(G771,I771,N771,P771,S771,V771))</f>
        <v/>
      </c>
      <c r="X771" s="18">
        <f>IF(W771="","",IF(Murid!F771="TL","TL",ROUND(W771/110*100,2)))</f>
        <v/>
      </c>
    </row>
    <row r="772">
      <c r="A772" s="15">
        <f>Murid!A772</f>
        <v/>
      </c>
      <c r="B772" s="15">
        <f>IF(Murid!B772="","",Murid!B772)</f>
        <v/>
      </c>
      <c r="C772" s="16">
        <f>IF(Murid!C772="","",Murid!C772)</f>
        <v/>
      </c>
      <c r="D772" s="15">
        <f>IF(Murid!E772="","",Murid!E772)</f>
        <v/>
      </c>
      <c r="E772" s="11" t="n"/>
      <c r="F772" s="11" t="n"/>
      <c r="G772" s="10">
        <f>IF(F772="","",IFERROR(VLOOKUP(F772,T_JSP,2,FALSE),0))</f>
        <v/>
      </c>
      <c r="H772" s="11" t="n"/>
      <c r="I772" s="17">
        <f>IF(H772="","",IF(H772&gt;=12,40,ROUND(H772*3.33,2)))</f>
        <v/>
      </c>
      <c r="J772" s="11" t="n"/>
      <c r="K772" s="11" t="n"/>
      <c r="L772" s="11" t="n"/>
      <c r="M772" s="11" t="n"/>
      <c r="N772" s="10">
        <f>IF(COUNTA(J772:M772)=0,"",MIN(10,SUMPRODUCT((COUNTIF(J772:M772,L_KOM)&gt;0)*S_KOM)))</f>
        <v/>
      </c>
      <c r="O772" s="11" t="n"/>
      <c r="P772" s="10">
        <f>IF(O772="","",IFERROR(VLOOKUP(O772,T_KHID,2,FALSE),0))</f>
        <v/>
      </c>
      <c r="Q772" s="11" t="n"/>
      <c r="R772" s="11" t="n"/>
      <c r="S772" s="10">
        <f>IF(AND(Q772="",R772=""),"",IFERROR(INDEX(T_LIBAT,MATCH(Q772,L_PER,0),MATCH(R772,L_JENIS,0)),0))</f>
        <v/>
      </c>
      <c r="T772" s="11" t="n"/>
      <c r="U772" s="11" t="n"/>
      <c r="V772" s="10">
        <f>IF(AND(T772="",U772=""),"",IFERROR(INDEX(T_CAPAI,MATCH(T772,L_PER,0),MATCH(U772,L_KED,0)),0))</f>
        <v/>
      </c>
      <c r="W772" s="17">
        <f>IF(OR(B772="",E772="",COUNTA(F772,H772,J772:M772,O772,Q772:R772,T772:U772)=0),"",SUM(G772,I772,N772,P772,S772,V772))</f>
        <v/>
      </c>
      <c r="X772" s="18">
        <f>IF(W772="","",IF(Murid!F772="TL","TL",ROUND(W772/110*100,2)))</f>
        <v/>
      </c>
    </row>
    <row r="773">
      <c r="A773" s="15">
        <f>Murid!A773</f>
        <v/>
      </c>
      <c r="B773" s="15">
        <f>IF(Murid!B773="","",Murid!B773)</f>
        <v/>
      </c>
      <c r="C773" s="16">
        <f>IF(Murid!C773="","",Murid!C773)</f>
        <v/>
      </c>
      <c r="D773" s="15">
        <f>IF(Murid!E773="","",Murid!E773)</f>
        <v/>
      </c>
      <c r="E773" s="11" t="n"/>
      <c r="F773" s="11" t="n"/>
      <c r="G773" s="10">
        <f>IF(F773="","",IFERROR(VLOOKUP(F773,T_JSP,2,FALSE),0))</f>
        <v/>
      </c>
      <c r="H773" s="11" t="n"/>
      <c r="I773" s="17">
        <f>IF(H773="","",IF(H773&gt;=12,40,ROUND(H773*3.33,2)))</f>
        <v/>
      </c>
      <c r="J773" s="11" t="n"/>
      <c r="K773" s="11" t="n"/>
      <c r="L773" s="11" t="n"/>
      <c r="M773" s="11" t="n"/>
      <c r="N773" s="10">
        <f>IF(COUNTA(J773:M773)=0,"",MIN(10,SUMPRODUCT((COUNTIF(J773:M773,L_KOM)&gt;0)*S_KOM)))</f>
        <v/>
      </c>
      <c r="O773" s="11" t="n"/>
      <c r="P773" s="10">
        <f>IF(O773="","",IFERROR(VLOOKUP(O773,T_KHID,2,FALSE),0))</f>
        <v/>
      </c>
      <c r="Q773" s="11" t="n"/>
      <c r="R773" s="11" t="n"/>
      <c r="S773" s="10">
        <f>IF(AND(Q773="",R773=""),"",IFERROR(INDEX(T_LIBAT,MATCH(Q773,L_PER,0),MATCH(R773,L_JENIS,0)),0))</f>
        <v/>
      </c>
      <c r="T773" s="11" t="n"/>
      <c r="U773" s="11" t="n"/>
      <c r="V773" s="10">
        <f>IF(AND(T773="",U773=""),"",IFERROR(INDEX(T_CAPAI,MATCH(T773,L_PER,0),MATCH(U773,L_KED,0)),0))</f>
        <v/>
      </c>
      <c r="W773" s="17">
        <f>IF(OR(B773="",E773="",COUNTA(F773,H773,J773:M773,O773,Q773:R773,T773:U773)=0),"",SUM(G773,I773,N773,P773,S773,V773))</f>
        <v/>
      </c>
      <c r="X773" s="18">
        <f>IF(W773="","",IF(Murid!F773="TL","TL",ROUND(W773/110*100,2)))</f>
        <v/>
      </c>
    </row>
    <row r="774">
      <c r="A774" s="15">
        <f>Murid!A774</f>
        <v/>
      </c>
      <c r="B774" s="15">
        <f>IF(Murid!B774="","",Murid!B774)</f>
        <v/>
      </c>
      <c r="C774" s="16">
        <f>IF(Murid!C774="","",Murid!C774)</f>
        <v/>
      </c>
      <c r="D774" s="15">
        <f>IF(Murid!E774="","",Murid!E774)</f>
        <v/>
      </c>
      <c r="E774" s="11" t="n"/>
      <c r="F774" s="11" t="n"/>
      <c r="G774" s="10">
        <f>IF(F774="","",IFERROR(VLOOKUP(F774,T_JSP,2,FALSE),0))</f>
        <v/>
      </c>
      <c r="H774" s="11" t="n"/>
      <c r="I774" s="17">
        <f>IF(H774="","",IF(H774&gt;=12,40,ROUND(H774*3.33,2)))</f>
        <v/>
      </c>
      <c r="J774" s="11" t="n"/>
      <c r="K774" s="11" t="n"/>
      <c r="L774" s="11" t="n"/>
      <c r="M774" s="11" t="n"/>
      <c r="N774" s="10">
        <f>IF(COUNTA(J774:M774)=0,"",MIN(10,SUMPRODUCT((COUNTIF(J774:M774,L_KOM)&gt;0)*S_KOM)))</f>
        <v/>
      </c>
      <c r="O774" s="11" t="n"/>
      <c r="P774" s="10">
        <f>IF(O774="","",IFERROR(VLOOKUP(O774,T_KHID,2,FALSE),0))</f>
        <v/>
      </c>
      <c r="Q774" s="11" t="n"/>
      <c r="R774" s="11" t="n"/>
      <c r="S774" s="10">
        <f>IF(AND(Q774="",R774=""),"",IFERROR(INDEX(T_LIBAT,MATCH(Q774,L_PER,0),MATCH(R774,L_JENIS,0)),0))</f>
        <v/>
      </c>
      <c r="T774" s="11" t="n"/>
      <c r="U774" s="11" t="n"/>
      <c r="V774" s="10">
        <f>IF(AND(T774="",U774=""),"",IFERROR(INDEX(T_CAPAI,MATCH(T774,L_PER,0),MATCH(U774,L_KED,0)),0))</f>
        <v/>
      </c>
      <c r="W774" s="17">
        <f>IF(OR(B774="",E774="",COUNTA(F774,H774,J774:M774,O774,Q774:R774,T774:U774)=0),"",SUM(G774,I774,N774,P774,S774,V774))</f>
        <v/>
      </c>
      <c r="X774" s="18">
        <f>IF(W774="","",IF(Murid!F774="TL","TL",ROUND(W774/110*100,2)))</f>
        <v/>
      </c>
    </row>
    <row r="775">
      <c r="A775" s="15">
        <f>Murid!A775</f>
        <v/>
      </c>
      <c r="B775" s="15">
        <f>IF(Murid!B775="","",Murid!B775)</f>
        <v/>
      </c>
      <c r="C775" s="16">
        <f>IF(Murid!C775="","",Murid!C775)</f>
        <v/>
      </c>
      <c r="D775" s="15">
        <f>IF(Murid!E775="","",Murid!E775)</f>
        <v/>
      </c>
      <c r="E775" s="11" t="n"/>
      <c r="F775" s="11" t="n"/>
      <c r="G775" s="10">
        <f>IF(F775="","",IFERROR(VLOOKUP(F775,T_JSP,2,FALSE),0))</f>
        <v/>
      </c>
      <c r="H775" s="11" t="n"/>
      <c r="I775" s="17">
        <f>IF(H775="","",IF(H775&gt;=12,40,ROUND(H775*3.33,2)))</f>
        <v/>
      </c>
      <c r="J775" s="11" t="n"/>
      <c r="K775" s="11" t="n"/>
      <c r="L775" s="11" t="n"/>
      <c r="M775" s="11" t="n"/>
      <c r="N775" s="10">
        <f>IF(COUNTA(J775:M775)=0,"",MIN(10,SUMPRODUCT((COUNTIF(J775:M775,L_KOM)&gt;0)*S_KOM)))</f>
        <v/>
      </c>
      <c r="O775" s="11" t="n"/>
      <c r="P775" s="10">
        <f>IF(O775="","",IFERROR(VLOOKUP(O775,T_KHID,2,FALSE),0))</f>
        <v/>
      </c>
      <c r="Q775" s="11" t="n"/>
      <c r="R775" s="11" t="n"/>
      <c r="S775" s="10">
        <f>IF(AND(Q775="",R775=""),"",IFERROR(INDEX(T_LIBAT,MATCH(Q775,L_PER,0),MATCH(R775,L_JENIS,0)),0))</f>
        <v/>
      </c>
      <c r="T775" s="11" t="n"/>
      <c r="U775" s="11" t="n"/>
      <c r="V775" s="10">
        <f>IF(AND(T775="",U775=""),"",IFERROR(INDEX(T_CAPAI,MATCH(T775,L_PER,0),MATCH(U775,L_KED,0)),0))</f>
        <v/>
      </c>
      <c r="W775" s="17">
        <f>IF(OR(B775="",E775="",COUNTA(F775,H775,J775:M775,O775,Q775:R775,T775:U775)=0),"",SUM(G775,I775,N775,P775,S775,V775))</f>
        <v/>
      </c>
      <c r="X775" s="18">
        <f>IF(W775="","",IF(Murid!F775="TL","TL",ROUND(W775/110*100,2)))</f>
        <v/>
      </c>
    </row>
    <row r="776">
      <c r="A776" s="15">
        <f>Murid!A776</f>
        <v/>
      </c>
      <c r="B776" s="15">
        <f>IF(Murid!B776="","",Murid!B776)</f>
        <v/>
      </c>
      <c r="C776" s="16">
        <f>IF(Murid!C776="","",Murid!C776)</f>
        <v/>
      </c>
      <c r="D776" s="15">
        <f>IF(Murid!E776="","",Murid!E776)</f>
        <v/>
      </c>
      <c r="E776" s="11" t="n"/>
      <c r="F776" s="11" t="n"/>
      <c r="G776" s="10">
        <f>IF(F776="","",IFERROR(VLOOKUP(F776,T_JSP,2,FALSE),0))</f>
        <v/>
      </c>
      <c r="H776" s="11" t="n"/>
      <c r="I776" s="17">
        <f>IF(H776="","",IF(H776&gt;=12,40,ROUND(H776*3.33,2)))</f>
        <v/>
      </c>
      <c r="J776" s="11" t="n"/>
      <c r="K776" s="11" t="n"/>
      <c r="L776" s="11" t="n"/>
      <c r="M776" s="11" t="n"/>
      <c r="N776" s="10">
        <f>IF(COUNTA(J776:M776)=0,"",MIN(10,SUMPRODUCT((COUNTIF(J776:M776,L_KOM)&gt;0)*S_KOM)))</f>
        <v/>
      </c>
      <c r="O776" s="11" t="n"/>
      <c r="P776" s="10">
        <f>IF(O776="","",IFERROR(VLOOKUP(O776,T_KHID,2,FALSE),0))</f>
        <v/>
      </c>
      <c r="Q776" s="11" t="n"/>
      <c r="R776" s="11" t="n"/>
      <c r="S776" s="10">
        <f>IF(AND(Q776="",R776=""),"",IFERROR(INDEX(T_LIBAT,MATCH(Q776,L_PER,0),MATCH(R776,L_JENIS,0)),0))</f>
        <v/>
      </c>
      <c r="T776" s="11" t="n"/>
      <c r="U776" s="11" t="n"/>
      <c r="V776" s="10">
        <f>IF(AND(T776="",U776=""),"",IFERROR(INDEX(T_CAPAI,MATCH(T776,L_PER,0),MATCH(U776,L_KED,0)),0))</f>
        <v/>
      </c>
      <c r="W776" s="17">
        <f>IF(OR(B776="",E776="",COUNTA(F776,H776,J776:M776,O776,Q776:R776,T776:U776)=0),"",SUM(G776,I776,N776,P776,S776,V776))</f>
        <v/>
      </c>
      <c r="X776" s="18">
        <f>IF(W776="","",IF(Murid!F776="TL","TL",ROUND(W776/110*100,2)))</f>
        <v/>
      </c>
    </row>
    <row r="777">
      <c r="A777" s="15">
        <f>Murid!A777</f>
        <v/>
      </c>
      <c r="B777" s="15">
        <f>IF(Murid!B777="","",Murid!B777)</f>
        <v/>
      </c>
      <c r="C777" s="16">
        <f>IF(Murid!C777="","",Murid!C777)</f>
        <v/>
      </c>
      <c r="D777" s="15">
        <f>IF(Murid!E777="","",Murid!E777)</f>
        <v/>
      </c>
      <c r="E777" s="11" t="n"/>
      <c r="F777" s="11" t="n"/>
      <c r="G777" s="10">
        <f>IF(F777="","",IFERROR(VLOOKUP(F777,T_JSP,2,FALSE),0))</f>
        <v/>
      </c>
      <c r="H777" s="11" t="n"/>
      <c r="I777" s="17">
        <f>IF(H777="","",IF(H777&gt;=12,40,ROUND(H777*3.33,2)))</f>
        <v/>
      </c>
      <c r="J777" s="11" t="n"/>
      <c r="K777" s="11" t="n"/>
      <c r="L777" s="11" t="n"/>
      <c r="M777" s="11" t="n"/>
      <c r="N777" s="10">
        <f>IF(COUNTA(J777:M777)=0,"",MIN(10,SUMPRODUCT((COUNTIF(J777:M777,L_KOM)&gt;0)*S_KOM)))</f>
        <v/>
      </c>
      <c r="O777" s="11" t="n"/>
      <c r="P777" s="10">
        <f>IF(O777="","",IFERROR(VLOOKUP(O777,T_KHID,2,FALSE),0))</f>
        <v/>
      </c>
      <c r="Q777" s="11" t="n"/>
      <c r="R777" s="11" t="n"/>
      <c r="S777" s="10">
        <f>IF(AND(Q777="",R777=""),"",IFERROR(INDEX(T_LIBAT,MATCH(Q777,L_PER,0),MATCH(R777,L_JENIS,0)),0))</f>
        <v/>
      </c>
      <c r="T777" s="11" t="n"/>
      <c r="U777" s="11" t="n"/>
      <c r="V777" s="10">
        <f>IF(AND(T777="",U777=""),"",IFERROR(INDEX(T_CAPAI,MATCH(T777,L_PER,0),MATCH(U777,L_KED,0)),0))</f>
        <v/>
      </c>
      <c r="W777" s="17">
        <f>IF(OR(B777="",E777="",COUNTA(F777,H777,J777:M777,O777,Q777:R777,T777:U777)=0),"",SUM(G777,I777,N777,P777,S777,V777))</f>
        <v/>
      </c>
      <c r="X777" s="18">
        <f>IF(W777="","",IF(Murid!F777="TL","TL",ROUND(W777/110*100,2)))</f>
        <v/>
      </c>
    </row>
    <row r="778">
      <c r="A778" s="15">
        <f>Murid!A778</f>
        <v/>
      </c>
      <c r="B778" s="15">
        <f>IF(Murid!B778="","",Murid!B778)</f>
        <v/>
      </c>
      <c r="C778" s="16">
        <f>IF(Murid!C778="","",Murid!C778)</f>
        <v/>
      </c>
      <c r="D778" s="15">
        <f>IF(Murid!E778="","",Murid!E778)</f>
        <v/>
      </c>
      <c r="E778" s="11" t="n"/>
      <c r="F778" s="11" t="n"/>
      <c r="G778" s="10">
        <f>IF(F778="","",IFERROR(VLOOKUP(F778,T_JSP,2,FALSE),0))</f>
        <v/>
      </c>
      <c r="H778" s="11" t="n"/>
      <c r="I778" s="17">
        <f>IF(H778="","",IF(H778&gt;=12,40,ROUND(H778*3.33,2)))</f>
        <v/>
      </c>
      <c r="J778" s="11" t="n"/>
      <c r="K778" s="11" t="n"/>
      <c r="L778" s="11" t="n"/>
      <c r="M778" s="11" t="n"/>
      <c r="N778" s="10">
        <f>IF(COUNTA(J778:M778)=0,"",MIN(10,SUMPRODUCT((COUNTIF(J778:M778,L_KOM)&gt;0)*S_KOM)))</f>
        <v/>
      </c>
      <c r="O778" s="11" t="n"/>
      <c r="P778" s="10">
        <f>IF(O778="","",IFERROR(VLOOKUP(O778,T_KHID,2,FALSE),0))</f>
        <v/>
      </c>
      <c r="Q778" s="11" t="n"/>
      <c r="R778" s="11" t="n"/>
      <c r="S778" s="10">
        <f>IF(AND(Q778="",R778=""),"",IFERROR(INDEX(T_LIBAT,MATCH(Q778,L_PER,0),MATCH(R778,L_JENIS,0)),0))</f>
        <v/>
      </c>
      <c r="T778" s="11" t="n"/>
      <c r="U778" s="11" t="n"/>
      <c r="V778" s="10">
        <f>IF(AND(T778="",U778=""),"",IFERROR(INDEX(T_CAPAI,MATCH(T778,L_PER,0),MATCH(U778,L_KED,0)),0))</f>
        <v/>
      </c>
      <c r="W778" s="17">
        <f>IF(OR(B778="",E778="",COUNTA(F778,H778,J778:M778,O778,Q778:R778,T778:U778)=0),"",SUM(G778,I778,N778,P778,S778,V778))</f>
        <v/>
      </c>
      <c r="X778" s="18">
        <f>IF(W778="","",IF(Murid!F778="TL","TL",ROUND(W778/110*100,2)))</f>
        <v/>
      </c>
    </row>
    <row r="779">
      <c r="A779" s="15">
        <f>Murid!A779</f>
        <v/>
      </c>
      <c r="B779" s="15">
        <f>IF(Murid!B779="","",Murid!B779)</f>
        <v/>
      </c>
      <c r="C779" s="16">
        <f>IF(Murid!C779="","",Murid!C779)</f>
        <v/>
      </c>
      <c r="D779" s="15">
        <f>IF(Murid!E779="","",Murid!E779)</f>
        <v/>
      </c>
      <c r="E779" s="11" t="n"/>
      <c r="F779" s="11" t="n"/>
      <c r="G779" s="10">
        <f>IF(F779="","",IFERROR(VLOOKUP(F779,T_JSP,2,FALSE),0))</f>
        <v/>
      </c>
      <c r="H779" s="11" t="n"/>
      <c r="I779" s="17">
        <f>IF(H779="","",IF(H779&gt;=12,40,ROUND(H779*3.33,2)))</f>
        <v/>
      </c>
      <c r="J779" s="11" t="n"/>
      <c r="K779" s="11" t="n"/>
      <c r="L779" s="11" t="n"/>
      <c r="M779" s="11" t="n"/>
      <c r="N779" s="10">
        <f>IF(COUNTA(J779:M779)=0,"",MIN(10,SUMPRODUCT((COUNTIF(J779:M779,L_KOM)&gt;0)*S_KOM)))</f>
        <v/>
      </c>
      <c r="O779" s="11" t="n"/>
      <c r="P779" s="10">
        <f>IF(O779="","",IFERROR(VLOOKUP(O779,T_KHID,2,FALSE),0))</f>
        <v/>
      </c>
      <c r="Q779" s="11" t="n"/>
      <c r="R779" s="11" t="n"/>
      <c r="S779" s="10">
        <f>IF(AND(Q779="",R779=""),"",IFERROR(INDEX(T_LIBAT,MATCH(Q779,L_PER,0),MATCH(R779,L_JENIS,0)),0))</f>
        <v/>
      </c>
      <c r="T779" s="11" t="n"/>
      <c r="U779" s="11" t="n"/>
      <c r="V779" s="10">
        <f>IF(AND(T779="",U779=""),"",IFERROR(INDEX(T_CAPAI,MATCH(T779,L_PER,0),MATCH(U779,L_KED,0)),0))</f>
        <v/>
      </c>
      <c r="W779" s="17">
        <f>IF(OR(B779="",E779="",COUNTA(F779,H779,J779:M779,O779,Q779:R779,T779:U779)=0),"",SUM(G779,I779,N779,P779,S779,V779))</f>
        <v/>
      </c>
      <c r="X779" s="18">
        <f>IF(W779="","",IF(Murid!F779="TL","TL",ROUND(W779/110*100,2)))</f>
        <v/>
      </c>
    </row>
    <row r="780">
      <c r="A780" s="15">
        <f>Murid!A780</f>
        <v/>
      </c>
      <c r="B780" s="15">
        <f>IF(Murid!B780="","",Murid!B780)</f>
        <v/>
      </c>
      <c r="C780" s="16">
        <f>IF(Murid!C780="","",Murid!C780)</f>
        <v/>
      </c>
      <c r="D780" s="15">
        <f>IF(Murid!E780="","",Murid!E780)</f>
        <v/>
      </c>
      <c r="E780" s="11" t="n"/>
      <c r="F780" s="11" t="n"/>
      <c r="G780" s="10">
        <f>IF(F780="","",IFERROR(VLOOKUP(F780,T_JSP,2,FALSE),0))</f>
        <v/>
      </c>
      <c r="H780" s="11" t="n"/>
      <c r="I780" s="17">
        <f>IF(H780="","",IF(H780&gt;=12,40,ROUND(H780*3.33,2)))</f>
        <v/>
      </c>
      <c r="J780" s="11" t="n"/>
      <c r="K780" s="11" t="n"/>
      <c r="L780" s="11" t="n"/>
      <c r="M780" s="11" t="n"/>
      <c r="N780" s="10">
        <f>IF(COUNTA(J780:M780)=0,"",MIN(10,SUMPRODUCT((COUNTIF(J780:M780,L_KOM)&gt;0)*S_KOM)))</f>
        <v/>
      </c>
      <c r="O780" s="11" t="n"/>
      <c r="P780" s="10">
        <f>IF(O780="","",IFERROR(VLOOKUP(O780,T_KHID,2,FALSE),0))</f>
        <v/>
      </c>
      <c r="Q780" s="11" t="n"/>
      <c r="R780" s="11" t="n"/>
      <c r="S780" s="10">
        <f>IF(AND(Q780="",R780=""),"",IFERROR(INDEX(T_LIBAT,MATCH(Q780,L_PER,0),MATCH(R780,L_JENIS,0)),0))</f>
        <v/>
      </c>
      <c r="T780" s="11" t="n"/>
      <c r="U780" s="11" t="n"/>
      <c r="V780" s="10">
        <f>IF(AND(T780="",U780=""),"",IFERROR(INDEX(T_CAPAI,MATCH(T780,L_PER,0),MATCH(U780,L_KED,0)),0))</f>
        <v/>
      </c>
      <c r="W780" s="17">
        <f>IF(OR(B780="",E780="",COUNTA(F780,H780,J780:M780,O780,Q780:R780,T780:U780)=0),"",SUM(G780,I780,N780,P780,S780,V780))</f>
        <v/>
      </c>
      <c r="X780" s="18">
        <f>IF(W780="","",IF(Murid!F780="TL","TL",ROUND(W780/110*100,2)))</f>
        <v/>
      </c>
    </row>
    <row r="781">
      <c r="A781" s="15">
        <f>Murid!A781</f>
        <v/>
      </c>
      <c r="B781" s="15">
        <f>IF(Murid!B781="","",Murid!B781)</f>
        <v/>
      </c>
      <c r="C781" s="16">
        <f>IF(Murid!C781="","",Murid!C781)</f>
        <v/>
      </c>
      <c r="D781" s="15">
        <f>IF(Murid!E781="","",Murid!E781)</f>
        <v/>
      </c>
      <c r="E781" s="11" t="n"/>
      <c r="F781" s="11" t="n"/>
      <c r="G781" s="10">
        <f>IF(F781="","",IFERROR(VLOOKUP(F781,T_JSP,2,FALSE),0))</f>
        <v/>
      </c>
      <c r="H781" s="11" t="n"/>
      <c r="I781" s="17">
        <f>IF(H781="","",IF(H781&gt;=12,40,ROUND(H781*3.33,2)))</f>
        <v/>
      </c>
      <c r="J781" s="11" t="n"/>
      <c r="K781" s="11" t="n"/>
      <c r="L781" s="11" t="n"/>
      <c r="M781" s="11" t="n"/>
      <c r="N781" s="10">
        <f>IF(COUNTA(J781:M781)=0,"",MIN(10,SUMPRODUCT((COUNTIF(J781:M781,L_KOM)&gt;0)*S_KOM)))</f>
        <v/>
      </c>
      <c r="O781" s="11" t="n"/>
      <c r="P781" s="10">
        <f>IF(O781="","",IFERROR(VLOOKUP(O781,T_KHID,2,FALSE),0))</f>
        <v/>
      </c>
      <c r="Q781" s="11" t="n"/>
      <c r="R781" s="11" t="n"/>
      <c r="S781" s="10">
        <f>IF(AND(Q781="",R781=""),"",IFERROR(INDEX(T_LIBAT,MATCH(Q781,L_PER,0),MATCH(R781,L_JENIS,0)),0))</f>
        <v/>
      </c>
      <c r="T781" s="11" t="n"/>
      <c r="U781" s="11" t="n"/>
      <c r="V781" s="10">
        <f>IF(AND(T781="",U781=""),"",IFERROR(INDEX(T_CAPAI,MATCH(T781,L_PER,0),MATCH(U781,L_KED,0)),0))</f>
        <v/>
      </c>
      <c r="W781" s="17">
        <f>IF(OR(B781="",E781="",COUNTA(F781,H781,J781:M781,O781,Q781:R781,T781:U781)=0),"",SUM(G781,I781,N781,P781,S781,V781))</f>
        <v/>
      </c>
      <c r="X781" s="18">
        <f>IF(W781="","",IF(Murid!F781="TL","TL",ROUND(W781/110*100,2)))</f>
        <v/>
      </c>
    </row>
    <row r="782">
      <c r="A782" s="15">
        <f>Murid!A782</f>
        <v/>
      </c>
      <c r="B782" s="15">
        <f>IF(Murid!B782="","",Murid!B782)</f>
        <v/>
      </c>
      <c r="C782" s="16">
        <f>IF(Murid!C782="","",Murid!C782)</f>
        <v/>
      </c>
      <c r="D782" s="15">
        <f>IF(Murid!E782="","",Murid!E782)</f>
        <v/>
      </c>
      <c r="E782" s="11" t="n"/>
      <c r="F782" s="11" t="n"/>
      <c r="G782" s="10">
        <f>IF(F782="","",IFERROR(VLOOKUP(F782,T_JSP,2,FALSE),0))</f>
        <v/>
      </c>
      <c r="H782" s="11" t="n"/>
      <c r="I782" s="17">
        <f>IF(H782="","",IF(H782&gt;=12,40,ROUND(H782*3.33,2)))</f>
        <v/>
      </c>
      <c r="J782" s="11" t="n"/>
      <c r="K782" s="11" t="n"/>
      <c r="L782" s="11" t="n"/>
      <c r="M782" s="11" t="n"/>
      <c r="N782" s="10">
        <f>IF(COUNTA(J782:M782)=0,"",MIN(10,SUMPRODUCT((COUNTIF(J782:M782,L_KOM)&gt;0)*S_KOM)))</f>
        <v/>
      </c>
      <c r="O782" s="11" t="n"/>
      <c r="P782" s="10">
        <f>IF(O782="","",IFERROR(VLOOKUP(O782,T_KHID,2,FALSE),0))</f>
        <v/>
      </c>
      <c r="Q782" s="11" t="n"/>
      <c r="R782" s="11" t="n"/>
      <c r="S782" s="10">
        <f>IF(AND(Q782="",R782=""),"",IFERROR(INDEX(T_LIBAT,MATCH(Q782,L_PER,0),MATCH(R782,L_JENIS,0)),0))</f>
        <v/>
      </c>
      <c r="T782" s="11" t="n"/>
      <c r="U782" s="11" t="n"/>
      <c r="V782" s="10">
        <f>IF(AND(T782="",U782=""),"",IFERROR(INDEX(T_CAPAI,MATCH(T782,L_PER,0),MATCH(U782,L_KED,0)),0))</f>
        <v/>
      </c>
      <c r="W782" s="17">
        <f>IF(OR(B782="",E782="",COUNTA(F782,H782,J782:M782,O782,Q782:R782,T782:U782)=0),"",SUM(G782,I782,N782,P782,S782,V782))</f>
        <v/>
      </c>
      <c r="X782" s="18">
        <f>IF(W782="","",IF(Murid!F782="TL","TL",ROUND(W782/110*100,2)))</f>
        <v/>
      </c>
    </row>
    <row r="783">
      <c r="A783" s="15">
        <f>Murid!A783</f>
        <v/>
      </c>
      <c r="B783" s="15">
        <f>IF(Murid!B783="","",Murid!B783)</f>
        <v/>
      </c>
      <c r="C783" s="16">
        <f>IF(Murid!C783="","",Murid!C783)</f>
        <v/>
      </c>
      <c r="D783" s="15">
        <f>IF(Murid!E783="","",Murid!E783)</f>
        <v/>
      </c>
      <c r="E783" s="11" t="n"/>
      <c r="F783" s="11" t="n"/>
      <c r="G783" s="10">
        <f>IF(F783="","",IFERROR(VLOOKUP(F783,T_JSP,2,FALSE),0))</f>
        <v/>
      </c>
      <c r="H783" s="11" t="n"/>
      <c r="I783" s="17">
        <f>IF(H783="","",IF(H783&gt;=12,40,ROUND(H783*3.33,2)))</f>
        <v/>
      </c>
      <c r="J783" s="11" t="n"/>
      <c r="K783" s="11" t="n"/>
      <c r="L783" s="11" t="n"/>
      <c r="M783" s="11" t="n"/>
      <c r="N783" s="10">
        <f>IF(COUNTA(J783:M783)=0,"",MIN(10,SUMPRODUCT((COUNTIF(J783:M783,L_KOM)&gt;0)*S_KOM)))</f>
        <v/>
      </c>
      <c r="O783" s="11" t="n"/>
      <c r="P783" s="10">
        <f>IF(O783="","",IFERROR(VLOOKUP(O783,T_KHID,2,FALSE),0))</f>
        <v/>
      </c>
      <c r="Q783" s="11" t="n"/>
      <c r="R783" s="11" t="n"/>
      <c r="S783" s="10">
        <f>IF(AND(Q783="",R783=""),"",IFERROR(INDEX(T_LIBAT,MATCH(Q783,L_PER,0),MATCH(R783,L_JENIS,0)),0))</f>
        <v/>
      </c>
      <c r="T783" s="11" t="n"/>
      <c r="U783" s="11" t="n"/>
      <c r="V783" s="10">
        <f>IF(AND(T783="",U783=""),"",IFERROR(INDEX(T_CAPAI,MATCH(T783,L_PER,0),MATCH(U783,L_KED,0)),0))</f>
        <v/>
      </c>
      <c r="W783" s="17">
        <f>IF(OR(B783="",E783="",COUNTA(F783,H783,J783:M783,O783,Q783:R783,T783:U783)=0),"",SUM(G783,I783,N783,P783,S783,V783))</f>
        <v/>
      </c>
      <c r="X783" s="18">
        <f>IF(W783="","",IF(Murid!F783="TL","TL",ROUND(W783/110*100,2)))</f>
        <v/>
      </c>
    </row>
    <row r="784">
      <c r="A784" s="15">
        <f>Murid!A784</f>
        <v/>
      </c>
      <c r="B784" s="15">
        <f>IF(Murid!B784="","",Murid!B784)</f>
        <v/>
      </c>
      <c r="C784" s="16">
        <f>IF(Murid!C784="","",Murid!C784)</f>
        <v/>
      </c>
      <c r="D784" s="15">
        <f>IF(Murid!E784="","",Murid!E784)</f>
        <v/>
      </c>
      <c r="E784" s="11" t="n"/>
      <c r="F784" s="11" t="n"/>
      <c r="G784" s="10">
        <f>IF(F784="","",IFERROR(VLOOKUP(F784,T_JSP,2,FALSE),0))</f>
        <v/>
      </c>
      <c r="H784" s="11" t="n"/>
      <c r="I784" s="17">
        <f>IF(H784="","",IF(H784&gt;=12,40,ROUND(H784*3.33,2)))</f>
        <v/>
      </c>
      <c r="J784" s="11" t="n"/>
      <c r="K784" s="11" t="n"/>
      <c r="L784" s="11" t="n"/>
      <c r="M784" s="11" t="n"/>
      <c r="N784" s="10">
        <f>IF(COUNTA(J784:M784)=0,"",MIN(10,SUMPRODUCT((COUNTIF(J784:M784,L_KOM)&gt;0)*S_KOM)))</f>
        <v/>
      </c>
      <c r="O784" s="11" t="n"/>
      <c r="P784" s="10">
        <f>IF(O784="","",IFERROR(VLOOKUP(O784,T_KHID,2,FALSE),0))</f>
        <v/>
      </c>
      <c r="Q784" s="11" t="n"/>
      <c r="R784" s="11" t="n"/>
      <c r="S784" s="10">
        <f>IF(AND(Q784="",R784=""),"",IFERROR(INDEX(T_LIBAT,MATCH(Q784,L_PER,0),MATCH(R784,L_JENIS,0)),0))</f>
        <v/>
      </c>
      <c r="T784" s="11" t="n"/>
      <c r="U784" s="11" t="n"/>
      <c r="V784" s="10">
        <f>IF(AND(T784="",U784=""),"",IFERROR(INDEX(T_CAPAI,MATCH(T784,L_PER,0),MATCH(U784,L_KED,0)),0))</f>
        <v/>
      </c>
      <c r="W784" s="17">
        <f>IF(OR(B784="",E784="",COUNTA(F784,H784,J784:M784,O784,Q784:R784,T784:U784)=0),"",SUM(G784,I784,N784,P784,S784,V784))</f>
        <v/>
      </c>
      <c r="X784" s="18">
        <f>IF(W784="","",IF(Murid!F784="TL","TL",ROUND(W784/110*100,2)))</f>
        <v/>
      </c>
    </row>
    <row r="785">
      <c r="A785" s="15">
        <f>Murid!A785</f>
        <v/>
      </c>
      <c r="B785" s="15">
        <f>IF(Murid!B785="","",Murid!B785)</f>
        <v/>
      </c>
      <c r="C785" s="16">
        <f>IF(Murid!C785="","",Murid!C785)</f>
        <v/>
      </c>
      <c r="D785" s="15">
        <f>IF(Murid!E785="","",Murid!E785)</f>
        <v/>
      </c>
      <c r="E785" s="11" t="n"/>
      <c r="F785" s="11" t="n"/>
      <c r="G785" s="10">
        <f>IF(F785="","",IFERROR(VLOOKUP(F785,T_JSP,2,FALSE),0))</f>
        <v/>
      </c>
      <c r="H785" s="11" t="n"/>
      <c r="I785" s="17">
        <f>IF(H785="","",IF(H785&gt;=12,40,ROUND(H785*3.33,2)))</f>
        <v/>
      </c>
      <c r="J785" s="11" t="n"/>
      <c r="K785" s="11" t="n"/>
      <c r="L785" s="11" t="n"/>
      <c r="M785" s="11" t="n"/>
      <c r="N785" s="10">
        <f>IF(COUNTA(J785:M785)=0,"",MIN(10,SUMPRODUCT((COUNTIF(J785:M785,L_KOM)&gt;0)*S_KOM)))</f>
        <v/>
      </c>
      <c r="O785" s="11" t="n"/>
      <c r="P785" s="10">
        <f>IF(O785="","",IFERROR(VLOOKUP(O785,T_KHID,2,FALSE),0))</f>
        <v/>
      </c>
      <c r="Q785" s="11" t="n"/>
      <c r="R785" s="11" t="n"/>
      <c r="S785" s="10">
        <f>IF(AND(Q785="",R785=""),"",IFERROR(INDEX(T_LIBAT,MATCH(Q785,L_PER,0),MATCH(R785,L_JENIS,0)),0))</f>
        <v/>
      </c>
      <c r="T785" s="11" t="n"/>
      <c r="U785" s="11" t="n"/>
      <c r="V785" s="10">
        <f>IF(AND(T785="",U785=""),"",IFERROR(INDEX(T_CAPAI,MATCH(T785,L_PER,0),MATCH(U785,L_KED,0)),0))</f>
        <v/>
      </c>
      <c r="W785" s="17">
        <f>IF(OR(B785="",E785="",COUNTA(F785,H785,J785:M785,O785,Q785:R785,T785:U785)=0),"",SUM(G785,I785,N785,P785,S785,V785))</f>
        <v/>
      </c>
      <c r="X785" s="18">
        <f>IF(W785="","",IF(Murid!F785="TL","TL",ROUND(W785/110*100,2)))</f>
        <v/>
      </c>
    </row>
    <row r="786">
      <c r="A786" s="15">
        <f>Murid!A786</f>
        <v/>
      </c>
      <c r="B786" s="15">
        <f>IF(Murid!B786="","",Murid!B786)</f>
        <v/>
      </c>
      <c r="C786" s="16">
        <f>IF(Murid!C786="","",Murid!C786)</f>
        <v/>
      </c>
      <c r="D786" s="15">
        <f>IF(Murid!E786="","",Murid!E786)</f>
        <v/>
      </c>
      <c r="E786" s="11" t="n"/>
      <c r="F786" s="11" t="n"/>
      <c r="G786" s="10">
        <f>IF(F786="","",IFERROR(VLOOKUP(F786,T_JSP,2,FALSE),0))</f>
        <v/>
      </c>
      <c r="H786" s="11" t="n"/>
      <c r="I786" s="17">
        <f>IF(H786="","",IF(H786&gt;=12,40,ROUND(H786*3.33,2)))</f>
        <v/>
      </c>
      <c r="J786" s="11" t="n"/>
      <c r="K786" s="11" t="n"/>
      <c r="L786" s="11" t="n"/>
      <c r="M786" s="11" t="n"/>
      <c r="N786" s="10">
        <f>IF(COUNTA(J786:M786)=0,"",MIN(10,SUMPRODUCT((COUNTIF(J786:M786,L_KOM)&gt;0)*S_KOM)))</f>
        <v/>
      </c>
      <c r="O786" s="11" t="n"/>
      <c r="P786" s="10">
        <f>IF(O786="","",IFERROR(VLOOKUP(O786,T_KHID,2,FALSE),0))</f>
        <v/>
      </c>
      <c r="Q786" s="11" t="n"/>
      <c r="R786" s="11" t="n"/>
      <c r="S786" s="10">
        <f>IF(AND(Q786="",R786=""),"",IFERROR(INDEX(T_LIBAT,MATCH(Q786,L_PER,0),MATCH(R786,L_JENIS,0)),0))</f>
        <v/>
      </c>
      <c r="T786" s="11" t="n"/>
      <c r="U786" s="11" t="n"/>
      <c r="V786" s="10">
        <f>IF(AND(T786="",U786=""),"",IFERROR(INDEX(T_CAPAI,MATCH(T786,L_PER,0),MATCH(U786,L_KED,0)),0))</f>
        <v/>
      </c>
      <c r="W786" s="17">
        <f>IF(OR(B786="",E786="",COUNTA(F786,H786,J786:M786,O786,Q786:R786,T786:U786)=0),"",SUM(G786,I786,N786,P786,S786,V786))</f>
        <v/>
      </c>
      <c r="X786" s="18">
        <f>IF(W786="","",IF(Murid!F786="TL","TL",ROUND(W786/110*100,2)))</f>
        <v/>
      </c>
    </row>
    <row r="787">
      <c r="A787" s="15">
        <f>Murid!A787</f>
        <v/>
      </c>
      <c r="B787" s="15">
        <f>IF(Murid!B787="","",Murid!B787)</f>
        <v/>
      </c>
      <c r="C787" s="16">
        <f>IF(Murid!C787="","",Murid!C787)</f>
        <v/>
      </c>
      <c r="D787" s="15">
        <f>IF(Murid!E787="","",Murid!E787)</f>
        <v/>
      </c>
      <c r="E787" s="11" t="n"/>
      <c r="F787" s="11" t="n"/>
      <c r="G787" s="10">
        <f>IF(F787="","",IFERROR(VLOOKUP(F787,T_JSP,2,FALSE),0))</f>
        <v/>
      </c>
      <c r="H787" s="11" t="n"/>
      <c r="I787" s="17">
        <f>IF(H787="","",IF(H787&gt;=12,40,ROUND(H787*3.33,2)))</f>
        <v/>
      </c>
      <c r="J787" s="11" t="n"/>
      <c r="K787" s="11" t="n"/>
      <c r="L787" s="11" t="n"/>
      <c r="M787" s="11" t="n"/>
      <c r="N787" s="10">
        <f>IF(COUNTA(J787:M787)=0,"",MIN(10,SUMPRODUCT((COUNTIF(J787:M787,L_KOM)&gt;0)*S_KOM)))</f>
        <v/>
      </c>
      <c r="O787" s="11" t="n"/>
      <c r="P787" s="10">
        <f>IF(O787="","",IFERROR(VLOOKUP(O787,T_KHID,2,FALSE),0))</f>
        <v/>
      </c>
      <c r="Q787" s="11" t="n"/>
      <c r="R787" s="11" t="n"/>
      <c r="S787" s="10">
        <f>IF(AND(Q787="",R787=""),"",IFERROR(INDEX(T_LIBAT,MATCH(Q787,L_PER,0),MATCH(R787,L_JENIS,0)),0))</f>
        <v/>
      </c>
      <c r="T787" s="11" t="n"/>
      <c r="U787" s="11" t="n"/>
      <c r="V787" s="10">
        <f>IF(AND(T787="",U787=""),"",IFERROR(INDEX(T_CAPAI,MATCH(T787,L_PER,0),MATCH(U787,L_KED,0)),0))</f>
        <v/>
      </c>
      <c r="W787" s="17">
        <f>IF(OR(B787="",E787="",COUNTA(F787,H787,J787:M787,O787,Q787:R787,T787:U787)=0),"",SUM(G787,I787,N787,P787,S787,V787))</f>
        <v/>
      </c>
      <c r="X787" s="18">
        <f>IF(W787="","",IF(Murid!F787="TL","TL",ROUND(W787/110*100,2)))</f>
        <v/>
      </c>
    </row>
    <row r="788">
      <c r="A788" s="15">
        <f>Murid!A788</f>
        <v/>
      </c>
      <c r="B788" s="15">
        <f>IF(Murid!B788="","",Murid!B788)</f>
        <v/>
      </c>
      <c r="C788" s="16">
        <f>IF(Murid!C788="","",Murid!C788)</f>
        <v/>
      </c>
      <c r="D788" s="15">
        <f>IF(Murid!E788="","",Murid!E788)</f>
        <v/>
      </c>
      <c r="E788" s="11" t="n"/>
      <c r="F788" s="11" t="n"/>
      <c r="G788" s="10">
        <f>IF(F788="","",IFERROR(VLOOKUP(F788,T_JSP,2,FALSE),0))</f>
        <v/>
      </c>
      <c r="H788" s="11" t="n"/>
      <c r="I788" s="17">
        <f>IF(H788="","",IF(H788&gt;=12,40,ROUND(H788*3.33,2)))</f>
        <v/>
      </c>
      <c r="J788" s="11" t="n"/>
      <c r="K788" s="11" t="n"/>
      <c r="L788" s="11" t="n"/>
      <c r="M788" s="11" t="n"/>
      <c r="N788" s="10">
        <f>IF(COUNTA(J788:M788)=0,"",MIN(10,SUMPRODUCT((COUNTIF(J788:M788,L_KOM)&gt;0)*S_KOM)))</f>
        <v/>
      </c>
      <c r="O788" s="11" t="n"/>
      <c r="P788" s="10">
        <f>IF(O788="","",IFERROR(VLOOKUP(O788,T_KHID,2,FALSE),0))</f>
        <v/>
      </c>
      <c r="Q788" s="11" t="n"/>
      <c r="R788" s="11" t="n"/>
      <c r="S788" s="10">
        <f>IF(AND(Q788="",R788=""),"",IFERROR(INDEX(T_LIBAT,MATCH(Q788,L_PER,0),MATCH(R788,L_JENIS,0)),0))</f>
        <v/>
      </c>
      <c r="T788" s="11" t="n"/>
      <c r="U788" s="11" t="n"/>
      <c r="V788" s="10">
        <f>IF(AND(T788="",U788=""),"",IFERROR(INDEX(T_CAPAI,MATCH(T788,L_PER,0),MATCH(U788,L_KED,0)),0))</f>
        <v/>
      </c>
      <c r="W788" s="17">
        <f>IF(OR(B788="",E788="",COUNTA(F788,H788,J788:M788,O788,Q788:R788,T788:U788)=0),"",SUM(G788,I788,N788,P788,S788,V788))</f>
        <v/>
      </c>
      <c r="X788" s="18">
        <f>IF(W788="","",IF(Murid!F788="TL","TL",ROUND(W788/110*100,2)))</f>
        <v/>
      </c>
    </row>
    <row r="789">
      <c r="A789" s="15">
        <f>Murid!A789</f>
        <v/>
      </c>
      <c r="B789" s="15">
        <f>IF(Murid!B789="","",Murid!B789)</f>
        <v/>
      </c>
      <c r="C789" s="16">
        <f>IF(Murid!C789="","",Murid!C789)</f>
        <v/>
      </c>
      <c r="D789" s="15">
        <f>IF(Murid!E789="","",Murid!E789)</f>
        <v/>
      </c>
      <c r="E789" s="11" t="n"/>
      <c r="F789" s="11" t="n"/>
      <c r="G789" s="10">
        <f>IF(F789="","",IFERROR(VLOOKUP(F789,T_JSP,2,FALSE),0))</f>
        <v/>
      </c>
      <c r="H789" s="11" t="n"/>
      <c r="I789" s="17">
        <f>IF(H789="","",IF(H789&gt;=12,40,ROUND(H789*3.33,2)))</f>
        <v/>
      </c>
      <c r="J789" s="11" t="n"/>
      <c r="K789" s="11" t="n"/>
      <c r="L789" s="11" t="n"/>
      <c r="M789" s="11" t="n"/>
      <c r="N789" s="10">
        <f>IF(COUNTA(J789:M789)=0,"",MIN(10,SUMPRODUCT((COUNTIF(J789:M789,L_KOM)&gt;0)*S_KOM)))</f>
        <v/>
      </c>
      <c r="O789" s="11" t="n"/>
      <c r="P789" s="10">
        <f>IF(O789="","",IFERROR(VLOOKUP(O789,T_KHID,2,FALSE),0))</f>
        <v/>
      </c>
      <c r="Q789" s="11" t="n"/>
      <c r="R789" s="11" t="n"/>
      <c r="S789" s="10">
        <f>IF(AND(Q789="",R789=""),"",IFERROR(INDEX(T_LIBAT,MATCH(Q789,L_PER,0),MATCH(R789,L_JENIS,0)),0))</f>
        <v/>
      </c>
      <c r="T789" s="11" t="n"/>
      <c r="U789" s="11" t="n"/>
      <c r="V789" s="10">
        <f>IF(AND(T789="",U789=""),"",IFERROR(INDEX(T_CAPAI,MATCH(T789,L_PER,0),MATCH(U789,L_KED,0)),0))</f>
        <v/>
      </c>
      <c r="W789" s="17">
        <f>IF(OR(B789="",E789="",COUNTA(F789,H789,J789:M789,O789,Q789:R789,T789:U789)=0),"",SUM(G789,I789,N789,P789,S789,V789))</f>
        <v/>
      </c>
      <c r="X789" s="18">
        <f>IF(W789="","",IF(Murid!F789="TL","TL",ROUND(W789/110*100,2)))</f>
        <v/>
      </c>
    </row>
    <row r="790">
      <c r="A790" s="15">
        <f>Murid!A790</f>
        <v/>
      </c>
      <c r="B790" s="15">
        <f>IF(Murid!B790="","",Murid!B790)</f>
        <v/>
      </c>
      <c r="C790" s="16">
        <f>IF(Murid!C790="","",Murid!C790)</f>
        <v/>
      </c>
      <c r="D790" s="15">
        <f>IF(Murid!E790="","",Murid!E790)</f>
        <v/>
      </c>
      <c r="E790" s="11" t="n"/>
      <c r="F790" s="11" t="n"/>
      <c r="G790" s="10">
        <f>IF(F790="","",IFERROR(VLOOKUP(F790,T_JSP,2,FALSE),0))</f>
        <v/>
      </c>
      <c r="H790" s="11" t="n"/>
      <c r="I790" s="17">
        <f>IF(H790="","",IF(H790&gt;=12,40,ROUND(H790*3.33,2)))</f>
        <v/>
      </c>
      <c r="J790" s="11" t="n"/>
      <c r="K790" s="11" t="n"/>
      <c r="L790" s="11" t="n"/>
      <c r="M790" s="11" t="n"/>
      <c r="N790" s="10">
        <f>IF(COUNTA(J790:M790)=0,"",MIN(10,SUMPRODUCT((COUNTIF(J790:M790,L_KOM)&gt;0)*S_KOM)))</f>
        <v/>
      </c>
      <c r="O790" s="11" t="n"/>
      <c r="P790" s="10">
        <f>IF(O790="","",IFERROR(VLOOKUP(O790,T_KHID,2,FALSE),0))</f>
        <v/>
      </c>
      <c r="Q790" s="11" t="n"/>
      <c r="R790" s="11" t="n"/>
      <c r="S790" s="10">
        <f>IF(AND(Q790="",R790=""),"",IFERROR(INDEX(T_LIBAT,MATCH(Q790,L_PER,0),MATCH(R790,L_JENIS,0)),0))</f>
        <v/>
      </c>
      <c r="T790" s="11" t="n"/>
      <c r="U790" s="11" t="n"/>
      <c r="V790" s="10">
        <f>IF(AND(T790="",U790=""),"",IFERROR(INDEX(T_CAPAI,MATCH(T790,L_PER,0),MATCH(U790,L_KED,0)),0))</f>
        <v/>
      </c>
      <c r="W790" s="17">
        <f>IF(OR(B790="",E790="",COUNTA(F790,H790,J790:M790,O790,Q790:R790,T790:U790)=0),"",SUM(G790,I790,N790,P790,S790,V790))</f>
        <v/>
      </c>
      <c r="X790" s="18">
        <f>IF(W790="","",IF(Murid!F790="TL","TL",ROUND(W790/110*100,2)))</f>
        <v/>
      </c>
    </row>
    <row r="791">
      <c r="A791" s="15">
        <f>Murid!A791</f>
        <v/>
      </c>
      <c r="B791" s="15">
        <f>IF(Murid!B791="","",Murid!B791)</f>
        <v/>
      </c>
      <c r="C791" s="16">
        <f>IF(Murid!C791="","",Murid!C791)</f>
        <v/>
      </c>
      <c r="D791" s="15">
        <f>IF(Murid!E791="","",Murid!E791)</f>
        <v/>
      </c>
      <c r="E791" s="11" t="n"/>
      <c r="F791" s="11" t="n"/>
      <c r="G791" s="10">
        <f>IF(F791="","",IFERROR(VLOOKUP(F791,T_JSP,2,FALSE),0))</f>
        <v/>
      </c>
      <c r="H791" s="11" t="n"/>
      <c r="I791" s="17">
        <f>IF(H791="","",IF(H791&gt;=12,40,ROUND(H791*3.33,2)))</f>
        <v/>
      </c>
      <c r="J791" s="11" t="n"/>
      <c r="K791" s="11" t="n"/>
      <c r="L791" s="11" t="n"/>
      <c r="M791" s="11" t="n"/>
      <c r="N791" s="10">
        <f>IF(COUNTA(J791:M791)=0,"",MIN(10,SUMPRODUCT((COUNTIF(J791:M791,L_KOM)&gt;0)*S_KOM)))</f>
        <v/>
      </c>
      <c r="O791" s="11" t="n"/>
      <c r="P791" s="10">
        <f>IF(O791="","",IFERROR(VLOOKUP(O791,T_KHID,2,FALSE),0))</f>
        <v/>
      </c>
      <c r="Q791" s="11" t="n"/>
      <c r="R791" s="11" t="n"/>
      <c r="S791" s="10">
        <f>IF(AND(Q791="",R791=""),"",IFERROR(INDEX(T_LIBAT,MATCH(Q791,L_PER,0),MATCH(R791,L_JENIS,0)),0))</f>
        <v/>
      </c>
      <c r="T791" s="11" t="n"/>
      <c r="U791" s="11" t="n"/>
      <c r="V791" s="10">
        <f>IF(AND(T791="",U791=""),"",IFERROR(INDEX(T_CAPAI,MATCH(T791,L_PER,0),MATCH(U791,L_KED,0)),0))</f>
        <v/>
      </c>
      <c r="W791" s="17">
        <f>IF(OR(B791="",E791="",COUNTA(F791,H791,J791:M791,O791,Q791:R791,T791:U791)=0),"",SUM(G791,I791,N791,P791,S791,V791))</f>
        <v/>
      </c>
      <c r="X791" s="18">
        <f>IF(W791="","",IF(Murid!F791="TL","TL",ROUND(W791/110*100,2)))</f>
        <v/>
      </c>
    </row>
    <row r="792">
      <c r="A792" s="15">
        <f>Murid!A792</f>
        <v/>
      </c>
      <c r="B792" s="15">
        <f>IF(Murid!B792="","",Murid!B792)</f>
        <v/>
      </c>
      <c r="C792" s="16">
        <f>IF(Murid!C792="","",Murid!C792)</f>
        <v/>
      </c>
      <c r="D792" s="15">
        <f>IF(Murid!E792="","",Murid!E792)</f>
        <v/>
      </c>
      <c r="E792" s="11" t="n"/>
      <c r="F792" s="11" t="n"/>
      <c r="G792" s="10">
        <f>IF(F792="","",IFERROR(VLOOKUP(F792,T_JSP,2,FALSE),0))</f>
        <v/>
      </c>
      <c r="H792" s="11" t="n"/>
      <c r="I792" s="17">
        <f>IF(H792="","",IF(H792&gt;=12,40,ROUND(H792*3.33,2)))</f>
        <v/>
      </c>
      <c r="J792" s="11" t="n"/>
      <c r="K792" s="11" t="n"/>
      <c r="L792" s="11" t="n"/>
      <c r="M792" s="11" t="n"/>
      <c r="N792" s="10">
        <f>IF(COUNTA(J792:M792)=0,"",MIN(10,SUMPRODUCT((COUNTIF(J792:M792,L_KOM)&gt;0)*S_KOM)))</f>
        <v/>
      </c>
      <c r="O792" s="11" t="n"/>
      <c r="P792" s="10">
        <f>IF(O792="","",IFERROR(VLOOKUP(O792,T_KHID,2,FALSE),0))</f>
        <v/>
      </c>
      <c r="Q792" s="11" t="n"/>
      <c r="R792" s="11" t="n"/>
      <c r="S792" s="10">
        <f>IF(AND(Q792="",R792=""),"",IFERROR(INDEX(T_LIBAT,MATCH(Q792,L_PER,0),MATCH(R792,L_JENIS,0)),0))</f>
        <v/>
      </c>
      <c r="T792" s="11" t="n"/>
      <c r="U792" s="11" t="n"/>
      <c r="V792" s="10">
        <f>IF(AND(T792="",U792=""),"",IFERROR(INDEX(T_CAPAI,MATCH(T792,L_PER,0),MATCH(U792,L_KED,0)),0))</f>
        <v/>
      </c>
      <c r="W792" s="17">
        <f>IF(OR(B792="",E792="",COUNTA(F792,H792,J792:M792,O792,Q792:R792,T792:U792)=0),"",SUM(G792,I792,N792,P792,S792,V792))</f>
        <v/>
      </c>
      <c r="X792" s="18">
        <f>IF(W792="","",IF(Murid!F792="TL","TL",ROUND(W792/110*100,2)))</f>
        <v/>
      </c>
    </row>
    <row r="793">
      <c r="A793" s="15">
        <f>Murid!A793</f>
        <v/>
      </c>
      <c r="B793" s="15">
        <f>IF(Murid!B793="","",Murid!B793)</f>
        <v/>
      </c>
      <c r="C793" s="16">
        <f>IF(Murid!C793="","",Murid!C793)</f>
        <v/>
      </c>
      <c r="D793" s="15">
        <f>IF(Murid!E793="","",Murid!E793)</f>
        <v/>
      </c>
      <c r="E793" s="11" t="n"/>
      <c r="F793" s="11" t="n"/>
      <c r="G793" s="10">
        <f>IF(F793="","",IFERROR(VLOOKUP(F793,T_JSP,2,FALSE),0))</f>
        <v/>
      </c>
      <c r="H793" s="11" t="n"/>
      <c r="I793" s="17">
        <f>IF(H793="","",IF(H793&gt;=12,40,ROUND(H793*3.33,2)))</f>
        <v/>
      </c>
      <c r="J793" s="11" t="n"/>
      <c r="K793" s="11" t="n"/>
      <c r="L793" s="11" t="n"/>
      <c r="M793" s="11" t="n"/>
      <c r="N793" s="10">
        <f>IF(COUNTA(J793:M793)=0,"",MIN(10,SUMPRODUCT((COUNTIF(J793:M793,L_KOM)&gt;0)*S_KOM)))</f>
        <v/>
      </c>
      <c r="O793" s="11" t="n"/>
      <c r="P793" s="10">
        <f>IF(O793="","",IFERROR(VLOOKUP(O793,T_KHID,2,FALSE),0))</f>
        <v/>
      </c>
      <c r="Q793" s="11" t="n"/>
      <c r="R793" s="11" t="n"/>
      <c r="S793" s="10">
        <f>IF(AND(Q793="",R793=""),"",IFERROR(INDEX(T_LIBAT,MATCH(Q793,L_PER,0),MATCH(R793,L_JENIS,0)),0))</f>
        <v/>
      </c>
      <c r="T793" s="11" t="n"/>
      <c r="U793" s="11" t="n"/>
      <c r="V793" s="10">
        <f>IF(AND(T793="",U793=""),"",IFERROR(INDEX(T_CAPAI,MATCH(T793,L_PER,0),MATCH(U793,L_KED,0)),0))</f>
        <v/>
      </c>
      <c r="W793" s="17">
        <f>IF(OR(B793="",E793="",COUNTA(F793,H793,J793:M793,O793,Q793:R793,T793:U793)=0),"",SUM(G793,I793,N793,P793,S793,V793))</f>
        <v/>
      </c>
      <c r="X793" s="18">
        <f>IF(W793="","",IF(Murid!F793="TL","TL",ROUND(W793/110*100,2)))</f>
        <v/>
      </c>
    </row>
    <row r="794">
      <c r="A794" s="15">
        <f>Murid!A794</f>
        <v/>
      </c>
      <c r="B794" s="15">
        <f>IF(Murid!B794="","",Murid!B794)</f>
        <v/>
      </c>
      <c r="C794" s="16">
        <f>IF(Murid!C794="","",Murid!C794)</f>
        <v/>
      </c>
      <c r="D794" s="15">
        <f>IF(Murid!E794="","",Murid!E794)</f>
        <v/>
      </c>
      <c r="E794" s="11" t="n"/>
      <c r="F794" s="11" t="n"/>
      <c r="G794" s="10">
        <f>IF(F794="","",IFERROR(VLOOKUP(F794,T_JSP,2,FALSE),0))</f>
        <v/>
      </c>
      <c r="H794" s="11" t="n"/>
      <c r="I794" s="17">
        <f>IF(H794="","",IF(H794&gt;=12,40,ROUND(H794*3.33,2)))</f>
        <v/>
      </c>
      <c r="J794" s="11" t="n"/>
      <c r="K794" s="11" t="n"/>
      <c r="L794" s="11" t="n"/>
      <c r="M794" s="11" t="n"/>
      <c r="N794" s="10">
        <f>IF(COUNTA(J794:M794)=0,"",MIN(10,SUMPRODUCT((COUNTIF(J794:M794,L_KOM)&gt;0)*S_KOM)))</f>
        <v/>
      </c>
      <c r="O794" s="11" t="n"/>
      <c r="P794" s="10">
        <f>IF(O794="","",IFERROR(VLOOKUP(O794,T_KHID,2,FALSE),0))</f>
        <v/>
      </c>
      <c r="Q794" s="11" t="n"/>
      <c r="R794" s="11" t="n"/>
      <c r="S794" s="10">
        <f>IF(AND(Q794="",R794=""),"",IFERROR(INDEX(T_LIBAT,MATCH(Q794,L_PER,0),MATCH(R794,L_JENIS,0)),0))</f>
        <v/>
      </c>
      <c r="T794" s="11" t="n"/>
      <c r="U794" s="11" t="n"/>
      <c r="V794" s="10">
        <f>IF(AND(T794="",U794=""),"",IFERROR(INDEX(T_CAPAI,MATCH(T794,L_PER,0),MATCH(U794,L_KED,0)),0))</f>
        <v/>
      </c>
      <c r="W794" s="17">
        <f>IF(OR(B794="",E794="",COUNTA(F794,H794,J794:M794,O794,Q794:R794,T794:U794)=0),"",SUM(G794,I794,N794,P794,S794,V794))</f>
        <v/>
      </c>
      <c r="X794" s="18">
        <f>IF(W794="","",IF(Murid!F794="TL","TL",ROUND(W794/110*100,2)))</f>
        <v/>
      </c>
    </row>
    <row r="795">
      <c r="A795" s="15">
        <f>Murid!A795</f>
        <v/>
      </c>
      <c r="B795" s="15">
        <f>IF(Murid!B795="","",Murid!B795)</f>
        <v/>
      </c>
      <c r="C795" s="16">
        <f>IF(Murid!C795="","",Murid!C795)</f>
        <v/>
      </c>
      <c r="D795" s="15">
        <f>IF(Murid!E795="","",Murid!E795)</f>
        <v/>
      </c>
      <c r="E795" s="11" t="n"/>
      <c r="F795" s="11" t="n"/>
      <c r="G795" s="10">
        <f>IF(F795="","",IFERROR(VLOOKUP(F795,T_JSP,2,FALSE),0))</f>
        <v/>
      </c>
      <c r="H795" s="11" t="n"/>
      <c r="I795" s="17">
        <f>IF(H795="","",IF(H795&gt;=12,40,ROUND(H795*3.33,2)))</f>
        <v/>
      </c>
      <c r="J795" s="11" t="n"/>
      <c r="K795" s="11" t="n"/>
      <c r="L795" s="11" t="n"/>
      <c r="M795" s="11" t="n"/>
      <c r="N795" s="10">
        <f>IF(COUNTA(J795:M795)=0,"",MIN(10,SUMPRODUCT((COUNTIF(J795:M795,L_KOM)&gt;0)*S_KOM)))</f>
        <v/>
      </c>
      <c r="O795" s="11" t="n"/>
      <c r="P795" s="10">
        <f>IF(O795="","",IFERROR(VLOOKUP(O795,T_KHID,2,FALSE),0))</f>
        <v/>
      </c>
      <c r="Q795" s="11" t="n"/>
      <c r="R795" s="11" t="n"/>
      <c r="S795" s="10">
        <f>IF(AND(Q795="",R795=""),"",IFERROR(INDEX(T_LIBAT,MATCH(Q795,L_PER,0),MATCH(R795,L_JENIS,0)),0))</f>
        <v/>
      </c>
      <c r="T795" s="11" t="n"/>
      <c r="U795" s="11" t="n"/>
      <c r="V795" s="10">
        <f>IF(AND(T795="",U795=""),"",IFERROR(INDEX(T_CAPAI,MATCH(T795,L_PER,0),MATCH(U795,L_KED,0)),0))</f>
        <v/>
      </c>
      <c r="W795" s="17">
        <f>IF(OR(B795="",E795="",COUNTA(F795,H795,J795:M795,O795,Q795:R795,T795:U795)=0),"",SUM(G795,I795,N795,P795,S795,V795))</f>
        <v/>
      </c>
      <c r="X795" s="18">
        <f>IF(W795="","",IF(Murid!F795="TL","TL",ROUND(W795/110*100,2)))</f>
        <v/>
      </c>
    </row>
    <row r="796">
      <c r="A796" s="15">
        <f>Murid!A796</f>
        <v/>
      </c>
      <c r="B796" s="15">
        <f>IF(Murid!B796="","",Murid!B796)</f>
        <v/>
      </c>
      <c r="C796" s="16">
        <f>IF(Murid!C796="","",Murid!C796)</f>
        <v/>
      </c>
      <c r="D796" s="15">
        <f>IF(Murid!E796="","",Murid!E796)</f>
        <v/>
      </c>
      <c r="E796" s="11" t="n"/>
      <c r="F796" s="11" t="n"/>
      <c r="G796" s="10">
        <f>IF(F796="","",IFERROR(VLOOKUP(F796,T_JSP,2,FALSE),0))</f>
        <v/>
      </c>
      <c r="H796" s="11" t="n"/>
      <c r="I796" s="17">
        <f>IF(H796="","",IF(H796&gt;=12,40,ROUND(H796*3.33,2)))</f>
        <v/>
      </c>
      <c r="J796" s="11" t="n"/>
      <c r="K796" s="11" t="n"/>
      <c r="L796" s="11" t="n"/>
      <c r="M796" s="11" t="n"/>
      <c r="N796" s="10">
        <f>IF(COUNTA(J796:M796)=0,"",MIN(10,SUMPRODUCT((COUNTIF(J796:M796,L_KOM)&gt;0)*S_KOM)))</f>
        <v/>
      </c>
      <c r="O796" s="11" t="n"/>
      <c r="P796" s="10">
        <f>IF(O796="","",IFERROR(VLOOKUP(O796,T_KHID,2,FALSE),0))</f>
        <v/>
      </c>
      <c r="Q796" s="11" t="n"/>
      <c r="R796" s="11" t="n"/>
      <c r="S796" s="10">
        <f>IF(AND(Q796="",R796=""),"",IFERROR(INDEX(T_LIBAT,MATCH(Q796,L_PER,0),MATCH(R796,L_JENIS,0)),0))</f>
        <v/>
      </c>
      <c r="T796" s="11" t="n"/>
      <c r="U796" s="11" t="n"/>
      <c r="V796" s="10">
        <f>IF(AND(T796="",U796=""),"",IFERROR(INDEX(T_CAPAI,MATCH(T796,L_PER,0),MATCH(U796,L_KED,0)),0))</f>
        <v/>
      </c>
      <c r="W796" s="17">
        <f>IF(OR(B796="",E796="",COUNTA(F796,H796,J796:M796,O796,Q796:R796,T796:U796)=0),"",SUM(G796,I796,N796,P796,S796,V796))</f>
        <v/>
      </c>
      <c r="X796" s="18">
        <f>IF(W796="","",IF(Murid!F796="TL","TL",ROUND(W796/110*100,2)))</f>
        <v/>
      </c>
    </row>
    <row r="797">
      <c r="A797" s="15">
        <f>Murid!A797</f>
        <v/>
      </c>
      <c r="B797" s="15">
        <f>IF(Murid!B797="","",Murid!B797)</f>
        <v/>
      </c>
      <c r="C797" s="16">
        <f>IF(Murid!C797="","",Murid!C797)</f>
        <v/>
      </c>
      <c r="D797" s="15">
        <f>IF(Murid!E797="","",Murid!E797)</f>
        <v/>
      </c>
      <c r="E797" s="11" t="n"/>
      <c r="F797" s="11" t="n"/>
      <c r="G797" s="10">
        <f>IF(F797="","",IFERROR(VLOOKUP(F797,T_JSP,2,FALSE),0))</f>
        <v/>
      </c>
      <c r="H797" s="11" t="n"/>
      <c r="I797" s="17">
        <f>IF(H797="","",IF(H797&gt;=12,40,ROUND(H797*3.33,2)))</f>
        <v/>
      </c>
      <c r="J797" s="11" t="n"/>
      <c r="K797" s="11" t="n"/>
      <c r="L797" s="11" t="n"/>
      <c r="M797" s="11" t="n"/>
      <c r="N797" s="10">
        <f>IF(COUNTA(J797:M797)=0,"",MIN(10,SUMPRODUCT((COUNTIF(J797:M797,L_KOM)&gt;0)*S_KOM)))</f>
        <v/>
      </c>
      <c r="O797" s="11" t="n"/>
      <c r="P797" s="10">
        <f>IF(O797="","",IFERROR(VLOOKUP(O797,T_KHID,2,FALSE),0))</f>
        <v/>
      </c>
      <c r="Q797" s="11" t="n"/>
      <c r="R797" s="11" t="n"/>
      <c r="S797" s="10">
        <f>IF(AND(Q797="",R797=""),"",IFERROR(INDEX(T_LIBAT,MATCH(Q797,L_PER,0),MATCH(R797,L_JENIS,0)),0))</f>
        <v/>
      </c>
      <c r="T797" s="11" t="n"/>
      <c r="U797" s="11" t="n"/>
      <c r="V797" s="10">
        <f>IF(AND(T797="",U797=""),"",IFERROR(INDEX(T_CAPAI,MATCH(T797,L_PER,0),MATCH(U797,L_KED,0)),0))</f>
        <v/>
      </c>
      <c r="W797" s="17">
        <f>IF(OR(B797="",E797="",COUNTA(F797,H797,J797:M797,O797,Q797:R797,T797:U797)=0),"",SUM(G797,I797,N797,P797,S797,V797))</f>
        <v/>
      </c>
      <c r="X797" s="18">
        <f>IF(W797="","",IF(Murid!F797="TL","TL",ROUND(W797/110*100,2)))</f>
        <v/>
      </c>
    </row>
    <row r="798">
      <c r="A798" s="15">
        <f>Murid!A798</f>
        <v/>
      </c>
      <c r="B798" s="15">
        <f>IF(Murid!B798="","",Murid!B798)</f>
        <v/>
      </c>
      <c r="C798" s="16">
        <f>IF(Murid!C798="","",Murid!C798)</f>
        <v/>
      </c>
      <c r="D798" s="15">
        <f>IF(Murid!E798="","",Murid!E798)</f>
        <v/>
      </c>
      <c r="E798" s="11" t="n"/>
      <c r="F798" s="11" t="n"/>
      <c r="G798" s="10">
        <f>IF(F798="","",IFERROR(VLOOKUP(F798,T_JSP,2,FALSE),0))</f>
        <v/>
      </c>
      <c r="H798" s="11" t="n"/>
      <c r="I798" s="17">
        <f>IF(H798="","",IF(H798&gt;=12,40,ROUND(H798*3.33,2)))</f>
        <v/>
      </c>
      <c r="J798" s="11" t="n"/>
      <c r="K798" s="11" t="n"/>
      <c r="L798" s="11" t="n"/>
      <c r="M798" s="11" t="n"/>
      <c r="N798" s="10">
        <f>IF(COUNTA(J798:M798)=0,"",MIN(10,SUMPRODUCT((COUNTIF(J798:M798,L_KOM)&gt;0)*S_KOM)))</f>
        <v/>
      </c>
      <c r="O798" s="11" t="n"/>
      <c r="P798" s="10">
        <f>IF(O798="","",IFERROR(VLOOKUP(O798,T_KHID,2,FALSE),0))</f>
        <v/>
      </c>
      <c r="Q798" s="11" t="n"/>
      <c r="R798" s="11" t="n"/>
      <c r="S798" s="10">
        <f>IF(AND(Q798="",R798=""),"",IFERROR(INDEX(T_LIBAT,MATCH(Q798,L_PER,0),MATCH(R798,L_JENIS,0)),0))</f>
        <v/>
      </c>
      <c r="T798" s="11" t="n"/>
      <c r="U798" s="11" t="n"/>
      <c r="V798" s="10">
        <f>IF(AND(T798="",U798=""),"",IFERROR(INDEX(T_CAPAI,MATCH(T798,L_PER,0),MATCH(U798,L_KED,0)),0))</f>
        <v/>
      </c>
      <c r="W798" s="17">
        <f>IF(OR(B798="",E798="",COUNTA(F798,H798,J798:M798,O798,Q798:R798,T798:U798)=0),"",SUM(G798,I798,N798,P798,S798,V798))</f>
        <v/>
      </c>
      <c r="X798" s="18">
        <f>IF(W798="","",IF(Murid!F798="TL","TL",ROUND(W798/110*100,2)))</f>
        <v/>
      </c>
    </row>
    <row r="799">
      <c r="A799" s="15">
        <f>Murid!A799</f>
        <v/>
      </c>
      <c r="B799" s="15">
        <f>IF(Murid!B799="","",Murid!B799)</f>
        <v/>
      </c>
      <c r="C799" s="16">
        <f>IF(Murid!C799="","",Murid!C799)</f>
        <v/>
      </c>
      <c r="D799" s="15">
        <f>IF(Murid!E799="","",Murid!E799)</f>
        <v/>
      </c>
      <c r="E799" s="11" t="n"/>
      <c r="F799" s="11" t="n"/>
      <c r="G799" s="10">
        <f>IF(F799="","",IFERROR(VLOOKUP(F799,T_JSP,2,FALSE),0))</f>
        <v/>
      </c>
      <c r="H799" s="11" t="n"/>
      <c r="I799" s="17">
        <f>IF(H799="","",IF(H799&gt;=12,40,ROUND(H799*3.33,2)))</f>
        <v/>
      </c>
      <c r="J799" s="11" t="n"/>
      <c r="K799" s="11" t="n"/>
      <c r="L799" s="11" t="n"/>
      <c r="M799" s="11" t="n"/>
      <c r="N799" s="10">
        <f>IF(COUNTA(J799:M799)=0,"",MIN(10,SUMPRODUCT((COUNTIF(J799:M799,L_KOM)&gt;0)*S_KOM)))</f>
        <v/>
      </c>
      <c r="O799" s="11" t="n"/>
      <c r="P799" s="10">
        <f>IF(O799="","",IFERROR(VLOOKUP(O799,T_KHID,2,FALSE),0))</f>
        <v/>
      </c>
      <c r="Q799" s="11" t="n"/>
      <c r="R799" s="11" t="n"/>
      <c r="S799" s="10">
        <f>IF(AND(Q799="",R799=""),"",IFERROR(INDEX(T_LIBAT,MATCH(Q799,L_PER,0),MATCH(R799,L_JENIS,0)),0))</f>
        <v/>
      </c>
      <c r="T799" s="11" t="n"/>
      <c r="U799" s="11" t="n"/>
      <c r="V799" s="10">
        <f>IF(AND(T799="",U799=""),"",IFERROR(INDEX(T_CAPAI,MATCH(T799,L_PER,0),MATCH(U799,L_KED,0)),0))</f>
        <v/>
      </c>
      <c r="W799" s="17">
        <f>IF(OR(B799="",E799="",COUNTA(F799,H799,J799:M799,O799,Q799:R799,T799:U799)=0),"",SUM(G799,I799,N799,P799,S799,V799))</f>
        <v/>
      </c>
      <c r="X799" s="18">
        <f>IF(W799="","",IF(Murid!F799="TL","TL",ROUND(W799/110*100,2)))</f>
        <v/>
      </c>
    </row>
    <row r="800">
      <c r="A800" s="15">
        <f>Murid!A800</f>
        <v/>
      </c>
      <c r="B800" s="15">
        <f>IF(Murid!B800="","",Murid!B800)</f>
        <v/>
      </c>
      <c r="C800" s="16">
        <f>IF(Murid!C800="","",Murid!C800)</f>
        <v/>
      </c>
      <c r="D800" s="15">
        <f>IF(Murid!E800="","",Murid!E800)</f>
        <v/>
      </c>
      <c r="E800" s="11" t="n"/>
      <c r="F800" s="11" t="n"/>
      <c r="G800" s="10">
        <f>IF(F800="","",IFERROR(VLOOKUP(F800,T_JSP,2,FALSE),0))</f>
        <v/>
      </c>
      <c r="H800" s="11" t="n"/>
      <c r="I800" s="17">
        <f>IF(H800="","",IF(H800&gt;=12,40,ROUND(H800*3.33,2)))</f>
        <v/>
      </c>
      <c r="J800" s="11" t="n"/>
      <c r="K800" s="11" t="n"/>
      <c r="L800" s="11" t="n"/>
      <c r="M800" s="11" t="n"/>
      <c r="N800" s="10">
        <f>IF(COUNTA(J800:M800)=0,"",MIN(10,SUMPRODUCT((COUNTIF(J800:M800,L_KOM)&gt;0)*S_KOM)))</f>
        <v/>
      </c>
      <c r="O800" s="11" t="n"/>
      <c r="P800" s="10">
        <f>IF(O800="","",IFERROR(VLOOKUP(O800,T_KHID,2,FALSE),0))</f>
        <v/>
      </c>
      <c r="Q800" s="11" t="n"/>
      <c r="R800" s="11" t="n"/>
      <c r="S800" s="10">
        <f>IF(AND(Q800="",R800=""),"",IFERROR(INDEX(T_LIBAT,MATCH(Q800,L_PER,0),MATCH(R800,L_JENIS,0)),0))</f>
        <v/>
      </c>
      <c r="T800" s="11" t="n"/>
      <c r="U800" s="11" t="n"/>
      <c r="V800" s="10">
        <f>IF(AND(T800="",U800=""),"",IFERROR(INDEX(T_CAPAI,MATCH(T800,L_PER,0),MATCH(U800,L_KED,0)),0))</f>
        <v/>
      </c>
      <c r="W800" s="17">
        <f>IF(OR(B800="",E800="",COUNTA(F800,H800,J800:M800,O800,Q800:R800,T800:U800)=0),"",SUM(G800,I800,N800,P800,S800,V800))</f>
        <v/>
      </c>
      <c r="X800" s="18">
        <f>IF(W800="","",IF(Murid!F800="TL","TL",ROUND(W800/110*100,2)))</f>
        <v/>
      </c>
    </row>
    <row r="801">
      <c r="A801" s="15">
        <f>Murid!A801</f>
        <v/>
      </c>
      <c r="B801" s="15">
        <f>IF(Murid!B801="","",Murid!B801)</f>
        <v/>
      </c>
      <c r="C801" s="16">
        <f>IF(Murid!C801="","",Murid!C801)</f>
        <v/>
      </c>
      <c r="D801" s="15">
        <f>IF(Murid!E801="","",Murid!E801)</f>
        <v/>
      </c>
      <c r="E801" s="11" t="n"/>
      <c r="F801" s="11" t="n"/>
      <c r="G801" s="10">
        <f>IF(F801="","",IFERROR(VLOOKUP(F801,T_JSP,2,FALSE),0))</f>
        <v/>
      </c>
      <c r="H801" s="11" t="n"/>
      <c r="I801" s="17">
        <f>IF(H801="","",IF(H801&gt;=12,40,ROUND(H801*3.33,2)))</f>
        <v/>
      </c>
      <c r="J801" s="11" t="n"/>
      <c r="K801" s="11" t="n"/>
      <c r="L801" s="11" t="n"/>
      <c r="M801" s="11" t="n"/>
      <c r="N801" s="10">
        <f>IF(COUNTA(J801:M801)=0,"",MIN(10,SUMPRODUCT((COUNTIF(J801:M801,L_KOM)&gt;0)*S_KOM)))</f>
        <v/>
      </c>
      <c r="O801" s="11" t="n"/>
      <c r="P801" s="10">
        <f>IF(O801="","",IFERROR(VLOOKUP(O801,T_KHID,2,FALSE),0))</f>
        <v/>
      </c>
      <c r="Q801" s="11" t="n"/>
      <c r="R801" s="11" t="n"/>
      <c r="S801" s="10">
        <f>IF(AND(Q801="",R801=""),"",IFERROR(INDEX(T_LIBAT,MATCH(Q801,L_PER,0),MATCH(R801,L_JENIS,0)),0))</f>
        <v/>
      </c>
      <c r="T801" s="11" t="n"/>
      <c r="U801" s="11" t="n"/>
      <c r="V801" s="10">
        <f>IF(AND(T801="",U801=""),"",IFERROR(INDEX(T_CAPAI,MATCH(T801,L_PER,0),MATCH(U801,L_KED,0)),0))</f>
        <v/>
      </c>
      <c r="W801" s="17">
        <f>IF(OR(B801="",E801="",COUNTA(F801,H801,J801:M801,O801,Q801:R801,T801:U801)=0),"",SUM(G801,I801,N801,P801,S801,V801))</f>
        <v/>
      </c>
      <c r="X801" s="18">
        <f>IF(W801="","",IF(Murid!F801="TL","TL",ROUND(W801/110*100,2)))</f>
        <v/>
      </c>
    </row>
    <row r="802">
      <c r="A802" s="15">
        <f>Murid!A802</f>
        <v/>
      </c>
      <c r="B802" s="15">
        <f>IF(Murid!B802="","",Murid!B802)</f>
        <v/>
      </c>
      <c r="C802" s="16">
        <f>IF(Murid!C802="","",Murid!C802)</f>
        <v/>
      </c>
      <c r="D802" s="15">
        <f>IF(Murid!E802="","",Murid!E802)</f>
        <v/>
      </c>
      <c r="E802" s="11" t="n"/>
      <c r="F802" s="11" t="n"/>
      <c r="G802" s="10">
        <f>IF(F802="","",IFERROR(VLOOKUP(F802,T_JSP,2,FALSE),0))</f>
        <v/>
      </c>
      <c r="H802" s="11" t="n"/>
      <c r="I802" s="17">
        <f>IF(H802="","",IF(H802&gt;=12,40,ROUND(H802*3.33,2)))</f>
        <v/>
      </c>
      <c r="J802" s="11" t="n"/>
      <c r="K802" s="11" t="n"/>
      <c r="L802" s="11" t="n"/>
      <c r="M802" s="11" t="n"/>
      <c r="N802" s="10">
        <f>IF(COUNTA(J802:M802)=0,"",MIN(10,SUMPRODUCT((COUNTIF(J802:M802,L_KOM)&gt;0)*S_KOM)))</f>
        <v/>
      </c>
      <c r="O802" s="11" t="n"/>
      <c r="P802" s="10">
        <f>IF(O802="","",IFERROR(VLOOKUP(O802,T_KHID,2,FALSE),0))</f>
        <v/>
      </c>
      <c r="Q802" s="11" t="n"/>
      <c r="R802" s="11" t="n"/>
      <c r="S802" s="10">
        <f>IF(AND(Q802="",R802=""),"",IFERROR(INDEX(T_LIBAT,MATCH(Q802,L_PER,0),MATCH(R802,L_JENIS,0)),0))</f>
        <v/>
      </c>
      <c r="T802" s="11" t="n"/>
      <c r="U802" s="11" t="n"/>
      <c r="V802" s="10">
        <f>IF(AND(T802="",U802=""),"",IFERROR(INDEX(T_CAPAI,MATCH(T802,L_PER,0),MATCH(U802,L_KED,0)),0))</f>
        <v/>
      </c>
      <c r="W802" s="17">
        <f>IF(OR(B802="",E802="",COUNTA(F802,H802,J802:M802,O802,Q802:R802,T802:U802)=0),"",SUM(G802,I802,N802,P802,S802,V802))</f>
        <v/>
      </c>
      <c r="X802" s="18">
        <f>IF(W802="","",IF(Murid!F802="TL","TL",ROUND(W802/110*100,2)))</f>
        <v/>
      </c>
    </row>
    <row r="803">
      <c r="A803" s="15">
        <f>Murid!A803</f>
        <v/>
      </c>
      <c r="B803" s="15">
        <f>IF(Murid!B803="","",Murid!B803)</f>
        <v/>
      </c>
      <c r="C803" s="16">
        <f>IF(Murid!C803="","",Murid!C803)</f>
        <v/>
      </c>
      <c r="D803" s="15">
        <f>IF(Murid!E803="","",Murid!E803)</f>
        <v/>
      </c>
      <c r="E803" s="11" t="n"/>
      <c r="F803" s="11" t="n"/>
      <c r="G803" s="10">
        <f>IF(F803="","",IFERROR(VLOOKUP(F803,T_JSP,2,FALSE),0))</f>
        <v/>
      </c>
      <c r="H803" s="11" t="n"/>
      <c r="I803" s="17">
        <f>IF(H803="","",IF(H803&gt;=12,40,ROUND(H803*3.33,2)))</f>
        <v/>
      </c>
      <c r="J803" s="11" t="n"/>
      <c r="K803" s="11" t="n"/>
      <c r="L803" s="11" t="n"/>
      <c r="M803" s="11" t="n"/>
      <c r="N803" s="10">
        <f>IF(COUNTA(J803:M803)=0,"",MIN(10,SUMPRODUCT((COUNTIF(J803:M803,L_KOM)&gt;0)*S_KOM)))</f>
        <v/>
      </c>
      <c r="O803" s="11" t="n"/>
      <c r="P803" s="10">
        <f>IF(O803="","",IFERROR(VLOOKUP(O803,T_KHID,2,FALSE),0))</f>
        <v/>
      </c>
      <c r="Q803" s="11" t="n"/>
      <c r="R803" s="11" t="n"/>
      <c r="S803" s="10">
        <f>IF(AND(Q803="",R803=""),"",IFERROR(INDEX(T_LIBAT,MATCH(Q803,L_PER,0),MATCH(R803,L_JENIS,0)),0))</f>
        <v/>
      </c>
      <c r="T803" s="11" t="n"/>
      <c r="U803" s="11" t="n"/>
      <c r="V803" s="10">
        <f>IF(AND(T803="",U803=""),"",IFERROR(INDEX(T_CAPAI,MATCH(T803,L_PER,0),MATCH(U803,L_KED,0)),0))</f>
        <v/>
      </c>
      <c r="W803" s="17">
        <f>IF(OR(B803="",E803="",COUNTA(F803,H803,J803:M803,O803,Q803:R803,T803:U803)=0),"",SUM(G803,I803,N803,P803,S803,V803))</f>
        <v/>
      </c>
      <c r="X803" s="18">
        <f>IF(W803="","",IF(Murid!F803="TL","TL",ROUND(W803/110*100,2)))</f>
        <v/>
      </c>
    </row>
    <row r="804">
      <c r="A804" s="15">
        <f>Murid!A804</f>
        <v/>
      </c>
      <c r="B804" s="15">
        <f>IF(Murid!B804="","",Murid!B804)</f>
        <v/>
      </c>
      <c r="C804" s="16">
        <f>IF(Murid!C804="","",Murid!C804)</f>
        <v/>
      </c>
      <c r="D804" s="15">
        <f>IF(Murid!E804="","",Murid!E804)</f>
        <v/>
      </c>
      <c r="E804" s="11" t="n"/>
      <c r="F804" s="11" t="n"/>
      <c r="G804" s="10">
        <f>IF(F804="","",IFERROR(VLOOKUP(F804,T_JSP,2,FALSE),0))</f>
        <v/>
      </c>
      <c r="H804" s="11" t="n"/>
      <c r="I804" s="17">
        <f>IF(H804="","",IF(H804&gt;=12,40,ROUND(H804*3.33,2)))</f>
        <v/>
      </c>
      <c r="J804" s="11" t="n"/>
      <c r="K804" s="11" t="n"/>
      <c r="L804" s="11" t="n"/>
      <c r="M804" s="11" t="n"/>
      <c r="N804" s="10">
        <f>IF(COUNTA(J804:M804)=0,"",MIN(10,SUMPRODUCT((COUNTIF(J804:M804,L_KOM)&gt;0)*S_KOM)))</f>
        <v/>
      </c>
      <c r="O804" s="11" t="n"/>
      <c r="P804" s="10">
        <f>IF(O804="","",IFERROR(VLOOKUP(O804,T_KHID,2,FALSE),0))</f>
        <v/>
      </c>
      <c r="Q804" s="11" t="n"/>
      <c r="R804" s="11" t="n"/>
      <c r="S804" s="10">
        <f>IF(AND(Q804="",R804=""),"",IFERROR(INDEX(T_LIBAT,MATCH(Q804,L_PER,0),MATCH(R804,L_JENIS,0)),0))</f>
        <v/>
      </c>
      <c r="T804" s="11" t="n"/>
      <c r="U804" s="11" t="n"/>
      <c r="V804" s="10">
        <f>IF(AND(T804="",U804=""),"",IFERROR(INDEX(T_CAPAI,MATCH(T804,L_PER,0),MATCH(U804,L_KED,0)),0))</f>
        <v/>
      </c>
      <c r="W804" s="17">
        <f>IF(OR(B804="",E804="",COUNTA(F804,H804,J804:M804,O804,Q804:R804,T804:U804)=0),"",SUM(G804,I804,N804,P804,S804,V804))</f>
        <v/>
      </c>
      <c r="X804" s="18">
        <f>IF(W804="","",IF(Murid!F804="TL","TL",ROUND(W804/110*100,2)))</f>
        <v/>
      </c>
    </row>
    <row r="805">
      <c r="A805" s="15">
        <f>Murid!A805</f>
        <v/>
      </c>
      <c r="B805" s="15">
        <f>IF(Murid!B805="","",Murid!B805)</f>
        <v/>
      </c>
      <c r="C805" s="16">
        <f>IF(Murid!C805="","",Murid!C805)</f>
        <v/>
      </c>
      <c r="D805" s="15">
        <f>IF(Murid!E805="","",Murid!E805)</f>
        <v/>
      </c>
      <c r="E805" s="11" t="n"/>
      <c r="F805" s="11" t="n"/>
      <c r="G805" s="10">
        <f>IF(F805="","",IFERROR(VLOOKUP(F805,T_JSP,2,FALSE),0))</f>
        <v/>
      </c>
      <c r="H805" s="11" t="n"/>
      <c r="I805" s="17">
        <f>IF(H805="","",IF(H805&gt;=12,40,ROUND(H805*3.33,2)))</f>
        <v/>
      </c>
      <c r="J805" s="11" t="n"/>
      <c r="K805" s="11" t="n"/>
      <c r="L805" s="11" t="n"/>
      <c r="M805" s="11" t="n"/>
      <c r="N805" s="10">
        <f>IF(COUNTA(J805:M805)=0,"",MIN(10,SUMPRODUCT((COUNTIF(J805:M805,L_KOM)&gt;0)*S_KOM)))</f>
        <v/>
      </c>
      <c r="O805" s="11" t="n"/>
      <c r="P805" s="10">
        <f>IF(O805="","",IFERROR(VLOOKUP(O805,T_KHID,2,FALSE),0))</f>
        <v/>
      </c>
      <c r="Q805" s="11" t="n"/>
      <c r="R805" s="11" t="n"/>
      <c r="S805" s="10">
        <f>IF(AND(Q805="",R805=""),"",IFERROR(INDEX(T_LIBAT,MATCH(Q805,L_PER,0),MATCH(R805,L_JENIS,0)),0))</f>
        <v/>
      </c>
      <c r="T805" s="11" t="n"/>
      <c r="U805" s="11" t="n"/>
      <c r="V805" s="10">
        <f>IF(AND(T805="",U805=""),"",IFERROR(INDEX(T_CAPAI,MATCH(T805,L_PER,0),MATCH(U805,L_KED,0)),0))</f>
        <v/>
      </c>
      <c r="W805" s="17">
        <f>IF(OR(B805="",E805="",COUNTA(F805,H805,J805:M805,O805,Q805:R805,T805:U805)=0),"",SUM(G805,I805,N805,P805,S805,V805))</f>
        <v/>
      </c>
      <c r="X805" s="18">
        <f>IF(W805="","",IF(Murid!F805="TL","TL",ROUND(W805/110*100,2)))</f>
        <v/>
      </c>
    </row>
    <row r="806">
      <c r="A806" s="15">
        <f>Murid!A806</f>
        <v/>
      </c>
      <c r="B806" s="15">
        <f>IF(Murid!B806="","",Murid!B806)</f>
        <v/>
      </c>
      <c r="C806" s="16">
        <f>IF(Murid!C806="","",Murid!C806)</f>
        <v/>
      </c>
      <c r="D806" s="15">
        <f>IF(Murid!E806="","",Murid!E806)</f>
        <v/>
      </c>
      <c r="E806" s="11" t="n"/>
      <c r="F806" s="11" t="n"/>
      <c r="G806" s="10">
        <f>IF(F806="","",IFERROR(VLOOKUP(F806,T_JSP,2,FALSE),0))</f>
        <v/>
      </c>
      <c r="H806" s="11" t="n"/>
      <c r="I806" s="17">
        <f>IF(H806="","",IF(H806&gt;=12,40,ROUND(H806*3.33,2)))</f>
        <v/>
      </c>
      <c r="J806" s="11" t="n"/>
      <c r="K806" s="11" t="n"/>
      <c r="L806" s="11" t="n"/>
      <c r="M806" s="11" t="n"/>
      <c r="N806" s="10">
        <f>IF(COUNTA(J806:M806)=0,"",MIN(10,SUMPRODUCT((COUNTIF(J806:M806,L_KOM)&gt;0)*S_KOM)))</f>
        <v/>
      </c>
      <c r="O806" s="11" t="n"/>
      <c r="P806" s="10">
        <f>IF(O806="","",IFERROR(VLOOKUP(O806,T_KHID,2,FALSE),0))</f>
        <v/>
      </c>
      <c r="Q806" s="11" t="n"/>
      <c r="R806" s="11" t="n"/>
      <c r="S806" s="10">
        <f>IF(AND(Q806="",R806=""),"",IFERROR(INDEX(T_LIBAT,MATCH(Q806,L_PER,0),MATCH(R806,L_JENIS,0)),0))</f>
        <v/>
      </c>
      <c r="T806" s="11" t="n"/>
      <c r="U806" s="11" t="n"/>
      <c r="V806" s="10">
        <f>IF(AND(T806="",U806=""),"",IFERROR(INDEX(T_CAPAI,MATCH(T806,L_PER,0),MATCH(U806,L_KED,0)),0))</f>
        <v/>
      </c>
      <c r="W806" s="17">
        <f>IF(OR(B806="",E806="",COUNTA(F806,H806,J806:M806,O806,Q806:R806,T806:U806)=0),"",SUM(G806,I806,N806,P806,S806,V806))</f>
        <v/>
      </c>
      <c r="X806" s="18">
        <f>IF(W806="","",IF(Murid!F806="TL","TL",ROUND(W806/110*100,2)))</f>
        <v/>
      </c>
    </row>
    <row r="807">
      <c r="A807" s="15">
        <f>Murid!A807</f>
        <v/>
      </c>
      <c r="B807" s="15">
        <f>IF(Murid!B807="","",Murid!B807)</f>
        <v/>
      </c>
      <c r="C807" s="16">
        <f>IF(Murid!C807="","",Murid!C807)</f>
        <v/>
      </c>
      <c r="D807" s="15">
        <f>IF(Murid!E807="","",Murid!E807)</f>
        <v/>
      </c>
      <c r="E807" s="11" t="n"/>
      <c r="F807" s="11" t="n"/>
      <c r="G807" s="10">
        <f>IF(F807="","",IFERROR(VLOOKUP(F807,T_JSP,2,FALSE),0))</f>
        <v/>
      </c>
      <c r="H807" s="11" t="n"/>
      <c r="I807" s="17">
        <f>IF(H807="","",IF(H807&gt;=12,40,ROUND(H807*3.33,2)))</f>
        <v/>
      </c>
      <c r="J807" s="11" t="n"/>
      <c r="K807" s="11" t="n"/>
      <c r="L807" s="11" t="n"/>
      <c r="M807" s="11" t="n"/>
      <c r="N807" s="10">
        <f>IF(COUNTA(J807:M807)=0,"",MIN(10,SUMPRODUCT((COUNTIF(J807:M807,L_KOM)&gt;0)*S_KOM)))</f>
        <v/>
      </c>
      <c r="O807" s="11" t="n"/>
      <c r="P807" s="10">
        <f>IF(O807="","",IFERROR(VLOOKUP(O807,T_KHID,2,FALSE),0))</f>
        <v/>
      </c>
      <c r="Q807" s="11" t="n"/>
      <c r="R807" s="11" t="n"/>
      <c r="S807" s="10">
        <f>IF(AND(Q807="",R807=""),"",IFERROR(INDEX(T_LIBAT,MATCH(Q807,L_PER,0),MATCH(R807,L_JENIS,0)),0))</f>
        <v/>
      </c>
      <c r="T807" s="11" t="n"/>
      <c r="U807" s="11" t="n"/>
      <c r="V807" s="10">
        <f>IF(AND(T807="",U807=""),"",IFERROR(INDEX(T_CAPAI,MATCH(T807,L_PER,0),MATCH(U807,L_KED,0)),0))</f>
        <v/>
      </c>
      <c r="W807" s="17">
        <f>IF(OR(B807="",E807="",COUNTA(F807,H807,J807:M807,O807,Q807:R807,T807:U807)=0),"",SUM(G807,I807,N807,P807,S807,V807))</f>
        <v/>
      </c>
      <c r="X807" s="18">
        <f>IF(W807="","",IF(Murid!F807="TL","TL",ROUND(W807/110*100,2)))</f>
        <v/>
      </c>
    </row>
    <row r="808">
      <c r="A808" s="15">
        <f>Murid!A808</f>
        <v/>
      </c>
      <c r="B808" s="15">
        <f>IF(Murid!B808="","",Murid!B808)</f>
        <v/>
      </c>
      <c r="C808" s="16">
        <f>IF(Murid!C808="","",Murid!C808)</f>
        <v/>
      </c>
      <c r="D808" s="15">
        <f>IF(Murid!E808="","",Murid!E808)</f>
        <v/>
      </c>
      <c r="E808" s="11" t="n"/>
      <c r="F808" s="11" t="n"/>
      <c r="G808" s="10">
        <f>IF(F808="","",IFERROR(VLOOKUP(F808,T_JSP,2,FALSE),0))</f>
        <v/>
      </c>
      <c r="H808" s="11" t="n"/>
      <c r="I808" s="17">
        <f>IF(H808="","",IF(H808&gt;=12,40,ROUND(H808*3.33,2)))</f>
        <v/>
      </c>
      <c r="J808" s="11" t="n"/>
      <c r="K808" s="11" t="n"/>
      <c r="L808" s="11" t="n"/>
      <c r="M808" s="11" t="n"/>
      <c r="N808" s="10">
        <f>IF(COUNTA(J808:M808)=0,"",MIN(10,SUMPRODUCT((COUNTIF(J808:M808,L_KOM)&gt;0)*S_KOM)))</f>
        <v/>
      </c>
      <c r="O808" s="11" t="n"/>
      <c r="P808" s="10">
        <f>IF(O808="","",IFERROR(VLOOKUP(O808,T_KHID,2,FALSE),0))</f>
        <v/>
      </c>
      <c r="Q808" s="11" t="n"/>
      <c r="R808" s="11" t="n"/>
      <c r="S808" s="10">
        <f>IF(AND(Q808="",R808=""),"",IFERROR(INDEX(T_LIBAT,MATCH(Q808,L_PER,0),MATCH(R808,L_JENIS,0)),0))</f>
        <v/>
      </c>
      <c r="T808" s="11" t="n"/>
      <c r="U808" s="11" t="n"/>
      <c r="V808" s="10">
        <f>IF(AND(T808="",U808=""),"",IFERROR(INDEX(T_CAPAI,MATCH(T808,L_PER,0),MATCH(U808,L_KED,0)),0))</f>
        <v/>
      </c>
      <c r="W808" s="17">
        <f>IF(OR(B808="",E808="",COUNTA(F808,H808,J808:M808,O808,Q808:R808,T808:U808)=0),"",SUM(G808,I808,N808,P808,S808,V808))</f>
        <v/>
      </c>
      <c r="X808" s="18">
        <f>IF(W808="","",IF(Murid!F808="TL","TL",ROUND(W808/110*100,2)))</f>
        <v/>
      </c>
    </row>
    <row r="809">
      <c r="A809" s="15">
        <f>Murid!A809</f>
        <v/>
      </c>
      <c r="B809" s="15">
        <f>IF(Murid!B809="","",Murid!B809)</f>
        <v/>
      </c>
      <c r="C809" s="16">
        <f>IF(Murid!C809="","",Murid!C809)</f>
        <v/>
      </c>
      <c r="D809" s="15">
        <f>IF(Murid!E809="","",Murid!E809)</f>
        <v/>
      </c>
      <c r="E809" s="11" t="n"/>
      <c r="F809" s="11" t="n"/>
      <c r="G809" s="10">
        <f>IF(F809="","",IFERROR(VLOOKUP(F809,T_JSP,2,FALSE),0))</f>
        <v/>
      </c>
      <c r="H809" s="11" t="n"/>
      <c r="I809" s="17">
        <f>IF(H809="","",IF(H809&gt;=12,40,ROUND(H809*3.33,2)))</f>
        <v/>
      </c>
      <c r="J809" s="11" t="n"/>
      <c r="K809" s="11" t="n"/>
      <c r="L809" s="11" t="n"/>
      <c r="M809" s="11" t="n"/>
      <c r="N809" s="10">
        <f>IF(COUNTA(J809:M809)=0,"",MIN(10,SUMPRODUCT((COUNTIF(J809:M809,L_KOM)&gt;0)*S_KOM)))</f>
        <v/>
      </c>
      <c r="O809" s="11" t="n"/>
      <c r="P809" s="10">
        <f>IF(O809="","",IFERROR(VLOOKUP(O809,T_KHID,2,FALSE),0))</f>
        <v/>
      </c>
      <c r="Q809" s="11" t="n"/>
      <c r="R809" s="11" t="n"/>
      <c r="S809" s="10">
        <f>IF(AND(Q809="",R809=""),"",IFERROR(INDEX(T_LIBAT,MATCH(Q809,L_PER,0),MATCH(R809,L_JENIS,0)),0))</f>
        <v/>
      </c>
      <c r="T809" s="11" t="n"/>
      <c r="U809" s="11" t="n"/>
      <c r="V809" s="10">
        <f>IF(AND(T809="",U809=""),"",IFERROR(INDEX(T_CAPAI,MATCH(T809,L_PER,0),MATCH(U809,L_KED,0)),0))</f>
        <v/>
      </c>
      <c r="W809" s="17">
        <f>IF(OR(B809="",E809="",COUNTA(F809,H809,J809:M809,O809,Q809:R809,T809:U809)=0),"",SUM(G809,I809,N809,P809,S809,V809))</f>
        <v/>
      </c>
      <c r="X809" s="18">
        <f>IF(W809="","",IF(Murid!F809="TL","TL",ROUND(W809/110*100,2)))</f>
        <v/>
      </c>
    </row>
    <row r="810">
      <c r="A810" s="15">
        <f>Murid!A810</f>
        <v/>
      </c>
      <c r="B810" s="15">
        <f>IF(Murid!B810="","",Murid!B810)</f>
        <v/>
      </c>
      <c r="C810" s="16">
        <f>IF(Murid!C810="","",Murid!C810)</f>
        <v/>
      </c>
      <c r="D810" s="15">
        <f>IF(Murid!E810="","",Murid!E810)</f>
        <v/>
      </c>
      <c r="E810" s="11" t="n"/>
      <c r="F810" s="11" t="n"/>
      <c r="G810" s="10">
        <f>IF(F810="","",IFERROR(VLOOKUP(F810,T_JSP,2,FALSE),0))</f>
        <v/>
      </c>
      <c r="H810" s="11" t="n"/>
      <c r="I810" s="17">
        <f>IF(H810="","",IF(H810&gt;=12,40,ROUND(H810*3.33,2)))</f>
        <v/>
      </c>
      <c r="J810" s="11" t="n"/>
      <c r="K810" s="11" t="n"/>
      <c r="L810" s="11" t="n"/>
      <c r="M810" s="11" t="n"/>
      <c r="N810" s="10">
        <f>IF(COUNTA(J810:M810)=0,"",MIN(10,SUMPRODUCT((COUNTIF(J810:M810,L_KOM)&gt;0)*S_KOM)))</f>
        <v/>
      </c>
      <c r="O810" s="11" t="n"/>
      <c r="P810" s="10">
        <f>IF(O810="","",IFERROR(VLOOKUP(O810,T_KHID,2,FALSE),0))</f>
        <v/>
      </c>
      <c r="Q810" s="11" t="n"/>
      <c r="R810" s="11" t="n"/>
      <c r="S810" s="10">
        <f>IF(AND(Q810="",R810=""),"",IFERROR(INDEX(T_LIBAT,MATCH(Q810,L_PER,0),MATCH(R810,L_JENIS,0)),0))</f>
        <v/>
      </c>
      <c r="T810" s="11" t="n"/>
      <c r="U810" s="11" t="n"/>
      <c r="V810" s="10">
        <f>IF(AND(T810="",U810=""),"",IFERROR(INDEX(T_CAPAI,MATCH(T810,L_PER,0),MATCH(U810,L_KED,0)),0))</f>
        <v/>
      </c>
      <c r="W810" s="17">
        <f>IF(OR(B810="",E810="",COUNTA(F810,H810,J810:M810,O810,Q810:R810,T810:U810)=0),"",SUM(G810,I810,N810,P810,S810,V810))</f>
        <v/>
      </c>
      <c r="X810" s="18">
        <f>IF(W810="","",IF(Murid!F810="TL","TL",ROUND(W810/110*100,2)))</f>
        <v/>
      </c>
    </row>
    <row r="811">
      <c r="A811" s="15">
        <f>Murid!A811</f>
        <v/>
      </c>
      <c r="B811" s="15">
        <f>IF(Murid!B811="","",Murid!B811)</f>
        <v/>
      </c>
      <c r="C811" s="16">
        <f>IF(Murid!C811="","",Murid!C811)</f>
        <v/>
      </c>
      <c r="D811" s="15">
        <f>IF(Murid!E811="","",Murid!E811)</f>
        <v/>
      </c>
      <c r="E811" s="11" t="n"/>
      <c r="F811" s="11" t="n"/>
      <c r="G811" s="10">
        <f>IF(F811="","",IFERROR(VLOOKUP(F811,T_JSP,2,FALSE),0))</f>
        <v/>
      </c>
      <c r="H811" s="11" t="n"/>
      <c r="I811" s="17">
        <f>IF(H811="","",IF(H811&gt;=12,40,ROUND(H811*3.33,2)))</f>
        <v/>
      </c>
      <c r="J811" s="11" t="n"/>
      <c r="K811" s="11" t="n"/>
      <c r="L811" s="11" t="n"/>
      <c r="M811" s="11" t="n"/>
      <c r="N811" s="10">
        <f>IF(COUNTA(J811:M811)=0,"",MIN(10,SUMPRODUCT((COUNTIF(J811:M811,L_KOM)&gt;0)*S_KOM)))</f>
        <v/>
      </c>
      <c r="O811" s="11" t="n"/>
      <c r="P811" s="10">
        <f>IF(O811="","",IFERROR(VLOOKUP(O811,T_KHID,2,FALSE),0))</f>
        <v/>
      </c>
      <c r="Q811" s="11" t="n"/>
      <c r="R811" s="11" t="n"/>
      <c r="S811" s="10">
        <f>IF(AND(Q811="",R811=""),"",IFERROR(INDEX(T_LIBAT,MATCH(Q811,L_PER,0),MATCH(R811,L_JENIS,0)),0))</f>
        <v/>
      </c>
      <c r="T811" s="11" t="n"/>
      <c r="U811" s="11" t="n"/>
      <c r="V811" s="10">
        <f>IF(AND(T811="",U811=""),"",IFERROR(INDEX(T_CAPAI,MATCH(T811,L_PER,0),MATCH(U811,L_KED,0)),0))</f>
        <v/>
      </c>
      <c r="W811" s="17">
        <f>IF(OR(B811="",E811="",COUNTA(F811,H811,J811:M811,O811,Q811:R811,T811:U811)=0),"",SUM(G811,I811,N811,P811,S811,V811))</f>
        <v/>
      </c>
      <c r="X811" s="18">
        <f>IF(W811="","",IF(Murid!F811="TL","TL",ROUND(W811/110*100,2)))</f>
        <v/>
      </c>
    </row>
    <row r="812">
      <c r="A812" s="15">
        <f>Murid!A812</f>
        <v/>
      </c>
      <c r="B812" s="15">
        <f>IF(Murid!B812="","",Murid!B812)</f>
        <v/>
      </c>
      <c r="C812" s="16">
        <f>IF(Murid!C812="","",Murid!C812)</f>
        <v/>
      </c>
      <c r="D812" s="15">
        <f>IF(Murid!E812="","",Murid!E812)</f>
        <v/>
      </c>
      <c r="E812" s="11" t="n"/>
      <c r="F812" s="11" t="n"/>
      <c r="G812" s="10">
        <f>IF(F812="","",IFERROR(VLOOKUP(F812,T_JSP,2,FALSE),0))</f>
        <v/>
      </c>
      <c r="H812" s="11" t="n"/>
      <c r="I812" s="17">
        <f>IF(H812="","",IF(H812&gt;=12,40,ROUND(H812*3.33,2)))</f>
        <v/>
      </c>
      <c r="J812" s="11" t="n"/>
      <c r="K812" s="11" t="n"/>
      <c r="L812" s="11" t="n"/>
      <c r="M812" s="11" t="n"/>
      <c r="N812" s="10">
        <f>IF(COUNTA(J812:M812)=0,"",MIN(10,SUMPRODUCT((COUNTIF(J812:M812,L_KOM)&gt;0)*S_KOM)))</f>
        <v/>
      </c>
      <c r="O812" s="11" t="n"/>
      <c r="P812" s="10">
        <f>IF(O812="","",IFERROR(VLOOKUP(O812,T_KHID,2,FALSE),0))</f>
        <v/>
      </c>
      <c r="Q812" s="11" t="n"/>
      <c r="R812" s="11" t="n"/>
      <c r="S812" s="10">
        <f>IF(AND(Q812="",R812=""),"",IFERROR(INDEX(T_LIBAT,MATCH(Q812,L_PER,0),MATCH(R812,L_JENIS,0)),0))</f>
        <v/>
      </c>
      <c r="T812" s="11" t="n"/>
      <c r="U812" s="11" t="n"/>
      <c r="V812" s="10">
        <f>IF(AND(T812="",U812=""),"",IFERROR(INDEX(T_CAPAI,MATCH(T812,L_PER,0),MATCH(U812,L_KED,0)),0))</f>
        <v/>
      </c>
      <c r="W812" s="17">
        <f>IF(OR(B812="",E812="",COUNTA(F812,H812,J812:M812,O812,Q812:R812,T812:U812)=0),"",SUM(G812,I812,N812,P812,S812,V812))</f>
        <v/>
      </c>
      <c r="X812" s="18">
        <f>IF(W812="","",IF(Murid!F812="TL","TL",ROUND(W812/110*100,2)))</f>
        <v/>
      </c>
    </row>
    <row r="813">
      <c r="A813" s="15">
        <f>Murid!A813</f>
        <v/>
      </c>
      <c r="B813" s="15">
        <f>IF(Murid!B813="","",Murid!B813)</f>
        <v/>
      </c>
      <c r="C813" s="16">
        <f>IF(Murid!C813="","",Murid!C813)</f>
        <v/>
      </c>
      <c r="D813" s="15">
        <f>IF(Murid!E813="","",Murid!E813)</f>
        <v/>
      </c>
      <c r="E813" s="11" t="n"/>
      <c r="F813" s="11" t="n"/>
      <c r="G813" s="10">
        <f>IF(F813="","",IFERROR(VLOOKUP(F813,T_JSP,2,FALSE),0))</f>
        <v/>
      </c>
      <c r="H813" s="11" t="n"/>
      <c r="I813" s="17">
        <f>IF(H813="","",IF(H813&gt;=12,40,ROUND(H813*3.33,2)))</f>
        <v/>
      </c>
      <c r="J813" s="11" t="n"/>
      <c r="K813" s="11" t="n"/>
      <c r="L813" s="11" t="n"/>
      <c r="M813" s="11" t="n"/>
      <c r="N813" s="10">
        <f>IF(COUNTA(J813:M813)=0,"",MIN(10,SUMPRODUCT((COUNTIF(J813:M813,L_KOM)&gt;0)*S_KOM)))</f>
        <v/>
      </c>
      <c r="O813" s="11" t="n"/>
      <c r="P813" s="10">
        <f>IF(O813="","",IFERROR(VLOOKUP(O813,T_KHID,2,FALSE),0))</f>
        <v/>
      </c>
      <c r="Q813" s="11" t="n"/>
      <c r="R813" s="11" t="n"/>
      <c r="S813" s="10">
        <f>IF(AND(Q813="",R813=""),"",IFERROR(INDEX(T_LIBAT,MATCH(Q813,L_PER,0),MATCH(R813,L_JENIS,0)),0))</f>
        <v/>
      </c>
      <c r="T813" s="11" t="n"/>
      <c r="U813" s="11" t="n"/>
      <c r="V813" s="10">
        <f>IF(AND(T813="",U813=""),"",IFERROR(INDEX(T_CAPAI,MATCH(T813,L_PER,0),MATCH(U813,L_KED,0)),0))</f>
        <v/>
      </c>
      <c r="W813" s="17">
        <f>IF(OR(B813="",E813="",COUNTA(F813,H813,J813:M813,O813,Q813:R813,T813:U813)=0),"",SUM(G813,I813,N813,P813,S813,V813))</f>
        <v/>
      </c>
      <c r="X813" s="18">
        <f>IF(W813="","",IF(Murid!F813="TL","TL",ROUND(W813/110*100,2)))</f>
        <v/>
      </c>
    </row>
    <row r="814">
      <c r="A814" s="15">
        <f>Murid!A814</f>
        <v/>
      </c>
      <c r="B814" s="15">
        <f>IF(Murid!B814="","",Murid!B814)</f>
        <v/>
      </c>
      <c r="C814" s="16">
        <f>IF(Murid!C814="","",Murid!C814)</f>
        <v/>
      </c>
      <c r="D814" s="15">
        <f>IF(Murid!E814="","",Murid!E814)</f>
        <v/>
      </c>
      <c r="E814" s="11" t="n"/>
      <c r="F814" s="11" t="n"/>
      <c r="G814" s="10">
        <f>IF(F814="","",IFERROR(VLOOKUP(F814,T_JSP,2,FALSE),0))</f>
        <v/>
      </c>
      <c r="H814" s="11" t="n"/>
      <c r="I814" s="17">
        <f>IF(H814="","",IF(H814&gt;=12,40,ROUND(H814*3.33,2)))</f>
        <v/>
      </c>
      <c r="J814" s="11" t="n"/>
      <c r="K814" s="11" t="n"/>
      <c r="L814" s="11" t="n"/>
      <c r="M814" s="11" t="n"/>
      <c r="N814" s="10">
        <f>IF(COUNTA(J814:M814)=0,"",MIN(10,SUMPRODUCT((COUNTIF(J814:M814,L_KOM)&gt;0)*S_KOM)))</f>
        <v/>
      </c>
      <c r="O814" s="11" t="n"/>
      <c r="P814" s="10">
        <f>IF(O814="","",IFERROR(VLOOKUP(O814,T_KHID,2,FALSE),0))</f>
        <v/>
      </c>
      <c r="Q814" s="11" t="n"/>
      <c r="R814" s="11" t="n"/>
      <c r="S814" s="10">
        <f>IF(AND(Q814="",R814=""),"",IFERROR(INDEX(T_LIBAT,MATCH(Q814,L_PER,0),MATCH(R814,L_JENIS,0)),0))</f>
        <v/>
      </c>
      <c r="T814" s="11" t="n"/>
      <c r="U814" s="11" t="n"/>
      <c r="V814" s="10">
        <f>IF(AND(T814="",U814=""),"",IFERROR(INDEX(T_CAPAI,MATCH(T814,L_PER,0),MATCH(U814,L_KED,0)),0))</f>
        <v/>
      </c>
      <c r="W814" s="17">
        <f>IF(OR(B814="",E814="",COUNTA(F814,H814,J814:M814,O814,Q814:R814,T814:U814)=0),"",SUM(G814,I814,N814,P814,S814,V814))</f>
        <v/>
      </c>
      <c r="X814" s="18">
        <f>IF(W814="","",IF(Murid!F814="TL","TL",ROUND(W814/110*100,2)))</f>
        <v/>
      </c>
    </row>
    <row r="815">
      <c r="A815" s="15">
        <f>Murid!A815</f>
        <v/>
      </c>
      <c r="B815" s="15">
        <f>IF(Murid!B815="","",Murid!B815)</f>
        <v/>
      </c>
      <c r="C815" s="16">
        <f>IF(Murid!C815="","",Murid!C815)</f>
        <v/>
      </c>
      <c r="D815" s="15">
        <f>IF(Murid!E815="","",Murid!E815)</f>
        <v/>
      </c>
      <c r="E815" s="11" t="n"/>
      <c r="F815" s="11" t="n"/>
      <c r="G815" s="10">
        <f>IF(F815="","",IFERROR(VLOOKUP(F815,T_JSP,2,FALSE),0))</f>
        <v/>
      </c>
      <c r="H815" s="11" t="n"/>
      <c r="I815" s="17">
        <f>IF(H815="","",IF(H815&gt;=12,40,ROUND(H815*3.33,2)))</f>
        <v/>
      </c>
      <c r="J815" s="11" t="n"/>
      <c r="K815" s="11" t="n"/>
      <c r="L815" s="11" t="n"/>
      <c r="M815" s="11" t="n"/>
      <c r="N815" s="10">
        <f>IF(COUNTA(J815:M815)=0,"",MIN(10,SUMPRODUCT((COUNTIF(J815:M815,L_KOM)&gt;0)*S_KOM)))</f>
        <v/>
      </c>
      <c r="O815" s="11" t="n"/>
      <c r="P815" s="10">
        <f>IF(O815="","",IFERROR(VLOOKUP(O815,T_KHID,2,FALSE),0))</f>
        <v/>
      </c>
      <c r="Q815" s="11" t="n"/>
      <c r="R815" s="11" t="n"/>
      <c r="S815" s="10">
        <f>IF(AND(Q815="",R815=""),"",IFERROR(INDEX(T_LIBAT,MATCH(Q815,L_PER,0),MATCH(R815,L_JENIS,0)),0))</f>
        <v/>
      </c>
      <c r="T815" s="11" t="n"/>
      <c r="U815" s="11" t="n"/>
      <c r="V815" s="10">
        <f>IF(AND(T815="",U815=""),"",IFERROR(INDEX(T_CAPAI,MATCH(T815,L_PER,0),MATCH(U815,L_KED,0)),0))</f>
        <v/>
      </c>
      <c r="W815" s="17">
        <f>IF(OR(B815="",E815="",COUNTA(F815,H815,J815:M815,O815,Q815:R815,T815:U815)=0),"",SUM(G815,I815,N815,P815,S815,V815))</f>
        <v/>
      </c>
      <c r="X815" s="18">
        <f>IF(W815="","",IF(Murid!F815="TL","TL",ROUND(W815/110*100,2)))</f>
        <v/>
      </c>
    </row>
    <row r="816">
      <c r="A816" s="15">
        <f>Murid!A816</f>
        <v/>
      </c>
      <c r="B816" s="15">
        <f>IF(Murid!B816="","",Murid!B816)</f>
        <v/>
      </c>
      <c r="C816" s="16">
        <f>IF(Murid!C816="","",Murid!C816)</f>
        <v/>
      </c>
      <c r="D816" s="15">
        <f>IF(Murid!E816="","",Murid!E816)</f>
        <v/>
      </c>
      <c r="E816" s="11" t="n"/>
      <c r="F816" s="11" t="n"/>
      <c r="G816" s="10">
        <f>IF(F816="","",IFERROR(VLOOKUP(F816,T_JSP,2,FALSE),0))</f>
        <v/>
      </c>
      <c r="H816" s="11" t="n"/>
      <c r="I816" s="17">
        <f>IF(H816="","",IF(H816&gt;=12,40,ROUND(H816*3.33,2)))</f>
        <v/>
      </c>
      <c r="J816" s="11" t="n"/>
      <c r="K816" s="11" t="n"/>
      <c r="L816" s="11" t="n"/>
      <c r="M816" s="11" t="n"/>
      <c r="N816" s="10">
        <f>IF(COUNTA(J816:M816)=0,"",MIN(10,SUMPRODUCT((COUNTIF(J816:M816,L_KOM)&gt;0)*S_KOM)))</f>
        <v/>
      </c>
      <c r="O816" s="11" t="n"/>
      <c r="P816" s="10">
        <f>IF(O816="","",IFERROR(VLOOKUP(O816,T_KHID,2,FALSE),0))</f>
        <v/>
      </c>
      <c r="Q816" s="11" t="n"/>
      <c r="R816" s="11" t="n"/>
      <c r="S816" s="10">
        <f>IF(AND(Q816="",R816=""),"",IFERROR(INDEX(T_LIBAT,MATCH(Q816,L_PER,0),MATCH(R816,L_JENIS,0)),0))</f>
        <v/>
      </c>
      <c r="T816" s="11" t="n"/>
      <c r="U816" s="11" t="n"/>
      <c r="V816" s="10">
        <f>IF(AND(T816="",U816=""),"",IFERROR(INDEX(T_CAPAI,MATCH(T816,L_PER,0),MATCH(U816,L_KED,0)),0))</f>
        <v/>
      </c>
      <c r="W816" s="17">
        <f>IF(OR(B816="",E816="",COUNTA(F816,H816,J816:M816,O816,Q816:R816,T816:U816)=0),"",SUM(G816,I816,N816,P816,S816,V816))</f>
        <v/>
      </c>
      <c r="X816" s="18">
        <f>IF(W816="","",IF(Murid!F816="TL","TL",ROUND(W816/110*100,2)))</f>
        <v/>
      </c>
    </row>
    <row r="817">
      <c r="A817" s="15">
        <f>Murid!A817</f>
        <v/>
      </c>
      <c r="B817" s="15">
        <f>IF(Murid!B817="","",Murid!B817)</f>
        <v/>
      </c>
      <c r="C817" s="16">
        <f>IF(Murid!C817="","",Murid!C817)</f>
        <v/>
      </c>
      <c r="D817" s="15">
        <f>IF(Murid!E817="","",Murid!E817)</f>
        <v/>
      </c>
      <c r="E817" s="11" t="n"/>
      <c r="F817" s="11" t="n"/>
      <c r="G817" s="10">
        <f>IF(F817="","",IFERROR(VLOOKUP(F817,T_JSP,2,FALSE),0))</f>
        <v/>
      </c>
      <c r="H817" s="11" t="n"/>
      <c r="I817" s="17">
        <f>IF(H817="","",IF(H817&gt;=12,40,ROUND(H817*3.33,2)))</f>
        <v/>
      </c>
      <c r="J817" s="11" t="n"/>
      <c r="K817" s="11" t="n"/>
      <c r="L817" s="11" t="n"/>
      <c r="M817" s="11" t="n"/>
      <c r="N817" s="10">
        <f>IF(COUNTA(J817:M817)=0,"",MIN(10,SUMPRODUCT((COUNTIF(J817:M817,L_KOM)&gt;0)*S_KOM)))</f>
        <v/>
      </c>
      <c r="O817" s="11" t="n"/>
      <c r="P817" s="10">
        <f>IF(O817="","",IFERROR(VLOOKUP(O817,T_KHID,2,FALSE),0))</f>
        <v/>
      </c>
      <c r="Q817" s="11" t="n"/>
      <c r="R817" s="11" t="n"/>
      <c r="S817" s="10">
        <f>IF(AND(Q817="",R817=""),"",IFERROR(INDEX(T_LIBAT,MATCH(Q817,L_PER,0),MATCH(R817,L_JENIS,0)),0))</f>
        <v/>
      </c>
      <c r="T817" s="11" t="n"/>
      <c r="U817" s="11" t="n"/>
      <c r="V817" s="10">
        <f>IF(AND(T817="",U817=""),"",IFERROR(INDEX(T_CAPAI,MATCH(T817,L_PER,0),MATCH(U817,L_KED,0)),0))</f>
        <v/>
      </c>
      <c r="W817" s="17">
        <f>IF(OR(B817="",E817="",COUNTA(F817,H817,J817:M817,O817,Q817:R817,T817:U817)=0),"",SUM(G817,I817,N817,P817,S817,V817))</f>
        <v/>
      </c>
      <c r="X817" s="18">
        <f>IF(W817="","",IF(Murid!F817="TL","TL",ROUND(W817/110*100,2)))</f>
        <v/>
      </c>
    </row>
    <row r="818">
      <c r="A818" s="15">
        <f>Murid!A818</f>
        <v/>
      </c>
      <c r="B818" s="15">
        <f>IF(Murid!B818="","",Murid!B818)</f>
        <v/>
      </c>
      <c r="C818" s="16">
        <f>IF(Murid!C818="","",Murid!C818)</f>
        <v/>
      </c>
      <c r="D818" s="15">
        <f>IF(Murid!E818="","",Murid!E818)</f>
        <v/>
      </c>
      <c r="E818" s="11" t="n"/>
      <c r="F818" s="11" t="n"/>
      <c r="G818" s="10">
        <f>IF(F818="","",IFERROR(VLOOKUP(F818,T_JSP,2,FALSE),0))</f>
        <v/>
      </c>
      <c r="H818" s="11" t="n"/>
      <c r="I818" s="17">
        <f>IF(H818="","",IF(H818&gt;=12,40,ROUND(H818*3.33,2)))</f>
        <v/>
      </c>
      <c r="J818" s="11" t="n"/>
      <c r="K818" s="11" t="n"/>
      <c r="L818" s="11" t="n"/>
      <c r="M818" s="11" t="n"/>
      <c r="N818" s="10">
        <f>IF(COUNTA(J818:M818)=0,"",MIN(10,SUMPRODUCT((COUNTIF(J818:M818,L_KOM)&gt;0)*S_KOM)))</f>
        <v/>
      </c>
      <c r="O818" s="11" t="n"/>
      <c r="P818" s="10">
        <f>IF(O818="","",IFERROR(VLOOKUP(O818,T_KHID,2,FALSE),0))</f>
        <v/>
      </c>
      <c r="Q818" s="11" t="n"/>
      <c r="R818" s="11" t="n"/>
      <c r="S818" s="10">
        <f>IF(AND(Q818="",R818=""),"",IFERROR(INDEX(T_LIBAT,MATCH(Q818,L_PER,0),MATCH(R818,L_JENIS,0)),0))</f>
        <v/>
      </c>
      <c r="T818" s="11" t="n"/>
      <c r="U818" s="11" t="n"/>
      <c r="V818" s="10">
        <f>IF(AND(T818="",U818=""),"",IFERROR(INDEX(T_CAPAI,MATCH(T818,L_PER,0),MATCH(U818,L_KED,0)),0))</f>
        <v/>
      </c>
      <c r="W818" s="17">
        <f>IF(OR(B818="",E818="",COUNTA(F818,H818,J818:M818,O818,Q818:R818,T818:U818)=0),"",SUM(G818,I818,N818,P818,S818,V818))</f>
        <v/>
      </c>
      <c r="X818" s="18">
        <f>IF(W818="","",IF(Murid!F818="TL","TL",ROUND(W818/110*100,2)))</f>
        <v/>
      </c>
    </row>
    <row r="819">
      <c r="A819" s="15">
        <f>Murid!A819</f>
        <v/>
      </c>
      <c r="B819" s="15">
        <f>IF(Murid!B819="","",Murid!B819)</f>
        <v/>
      </c>
      <c r="C819" s="16">
        <f>IF(Murid!C819="","",Murid!C819)</f>
        <v/>
      </c>
      <c r="D819" s="15">
        <f>IF(Murid!E819="","",Murid!E819)</f>
        <v/>
      </c>
      <c r="E819" s="11" t="n"/>
      <c r="F819" s="11" t="n"/>
      <c r="G819" s="10">
        <f>IF(F819="","",IFERROR(VLOOKUP(F819,T_JSP,2,FALSE),0))</f>
        <v/>
      </c>
      <c r="H819" s="11" t="n"/>
      <c r="I819" s="17">
        <f>IF(H819="","",IF(H819&gt;=12,40,ROUND(H819*3.33,2)))</f>
        <v/>
      </c>
      <c r="J819" s="11" t="n"/>
      <c r="K819" s="11" t="n"/>
      <c r="L819" s="11" t="n"/>
      <c r="M819" s="11" t="n"/>
      <c r="N819" s="10">
        <f>IF(COUNTA(J819:M819)=0,"",MIN(10,SUMPRODUCT((COUNTIF(J819:M819,L_KOM)&gt;0)*S_KOM)))</f>
        <v/>
      </c>
      <c r="O819" s="11" t="n"/>
      <c r="P819" s="10">
        <f>IF(O819="","",IFERROR(VLOOKUP(O819,T_KHID,2,FALSE),0))</f>
        <v/>
      </c>
      <c r="Q819" s="11" t="n"/>
      <c r="R819" s="11" t="n"/>
      <c r="S819" s="10">
        <f>IF(AND(Q819="",R819=""),"",IFERROR(INDEX(T_LIBAT,MATCH(Q819,L_PER,0),MATCH(R819,L_JENIS,0)),0))</f>
        <v/>
      </c>
      <c r="T819" s="11" t="n"/>
      <c r="U819" s="11" t="n"/>
      <c r="V819" s="10">
        <f>IF(AND(T819="",U819=""),"",IFERROR(INDEX(T_CAPAI,MATCH(T819,L_PER,0),MATCH(U819,L_KED,0)),0))</f>
        <v/>
      </c>
      <c r="W819" s="17">
        <f>IF(OR(B819="",E819="",COUNTA(F819,H819,J819:M819,O819,Q819:R819,T819:U819)=0),"",SUM(G819,I819,N819,P819,S819,V819))</f>
        <v/>
      </c>
      <c r="X819" s="18">
        <f>IF(W819="","",IF(Murid!F819="TL","TL",ROUND(W819/110*100,2)))</f>
        <v/>
      </c>
    </row>
    <row r="820">
      <c r="A820" s="15">
        <f>Murid!A820</f>
        <v/>
      </c>
      <c r="B820" s="15">
        <f>IF(Murid!B820="","",Murid!B820)</f>
        <v/>
      </c>
      <c r="C820" s="16">
        <f>IF(Murid!C820="","",Murid!C820)</f>
        <v/>
      </c>
      <c r="D820" s="15">
        <f>IF(Murid!E820="","",Murid!E820)</f>
        <v/>
      </c>
      <c r="E820" s="11" t="n"/>
      <c r="F820" s="11" t="n"/>
      <c r="G820" s="10">
        <f>IF(F820="","",IFERROR(VLOOKUP(F820,T_JSP,2,FALSE),0))</f>
        <v/>
      </c>
      <c r="H820" s="11" t="n"/>
      <c r="I820" s="17">
        <f>IF(H820="","",IF(H820&gt;=12,40,ROUND(H820*3.33,2)))</f>
        <v/>
      </c>
      <c r="J820" s="11" t="n"/>
      <c r="K820" s="11" t="n"/>
      <c r="L820" s="11" t="n"/>
      <c r="M820" s="11" t="n"/>
      <c r="N820" s="10">
        <f>IF(COUNTA(J820:M820)=0,"",MIN(10,SUMPRODUCT((COUNTIF(J820:M820,L_KOM)&gt;0)*S_KOM)))</f>
        <v/>
      </c>
      <c r="O820" s="11" t="n"/>
      <c r="P820" s="10">
        <f>IF(O820="","",IFERROR(VLOOKUP(O820,T_KHID,2,FALSE),0))</f>
        <v/>
      </c>
      <c r="Q820" s="11" t="n"/>
      <c r="R820" s="11" t="n"/>
      <c r="S820" s="10">
        <f>IF(AND(Q820="",R820=""),"",IFERROR(INDEX(T_LIBAT,MATCH(Q820,L_PER,0),MATCH(R820,L_JENIS,0)),0))</f>
        <v/>
      </c>
      <c r="T820" s="11" t="n"/>
      <c r="U820" s="11" t="n"/>
      <c r="V820" s="10">
        <f>IF(AND(T820="",U820=""),"",IFERROR(INDEX(T_CAPAI,MATCH(T820,L_PER,0),MATCH(U820,L_KED,0)),0))</f>
        <v/>
      </c>
      <c r="W820" s="17">
        <f>IF(OR(B820="",E820="",COUNTA(F820,H820,J820:M820,O820,Q820:R820,T820:U820)=0),"",SUM(G820,I820,N820,P820,S820,V820))</f>
        <v/>
      </c>
      <c r="X820" s="18">
        <f>IF(W820="","",IF(Murid!F820="TL","TL",ROUND(W820/110*100,2)))</f>
        <v/>
      </c>
    </row>
    <row r="821">
      <c r="A821" s="15">
        <f>Murid!A821</f>
        <v/>
      </c>
      <c r="B821" s="15">
        <f>IF(Murid!B821="","",Murid!B821)</f>
        <v/>
      </c>
      <c r="C821" s="16">
        <f>IF(Murid!C821="","",Murid!C821)</f>
        <v/>
      </c>
      <c r="D821" s="15">
        <f>IF(Murid!E821="","",Murid!E821)</f>
        <v/>
      </c>
      <c r="E821" s="11" t="n"/>
      <c r="F821" s="11" t="n"/>
      <c r="G821" s="10">
        <f>IF(F821="","",IFERROR(VLOOKUP(F821,T_JSP,2,FALSE),0))</f>
        <v/>
      </c>
      <c r="H821" s="11" t="n"/>
      <c r="I821" s="17">
        <f>IF(H821="","",IF(H821&gt;=12,40,ROUND(H821*3.33,2)))</f>
        <v/>
      </c>
      <c r="J821" s="11" t="n"/>
      <c r="K821" s="11" t="n"/>
      <c r="L821" s="11" t="n"/>
      <c r="M821" s="11" t="n"/>
      <c r="N821" s="10">
        <f>IF(COUNTA(J821:M821)=0,"",MIN(10,SUMPRODUCT((COUNTIF(J821:M821,L_KOM)&gt;0)*S_KOM)))</f>
        <v/>
      </c>
      <c r="O821" s="11" t="n"/>
      <c r="P821" s="10">
        <f>IF(O821="","",IFERROR(VLOOKUP(O821,T_KHID,2,FALSE),0))</f>
        <v/>
      </c>
      <c r="Q821" s="11" t="n"/>
      <c r="R821" s="11" t="n"/>
      <c r="S821" s="10">
        <f>IF(AND(Q821="",R821=""),"",IFERROR(INDEX(T_LIBAT,MATCH(Q821,L_PER,0),MATCH(R821,L_JENIS,0)),0))</f>
        <v/>
      </c>
      <c r="T821" s="11" t="n"/>
      <c r="U821" s="11" t="n"/>
      <c r="V821" s="10">
        <f>IF(AND(T821="",U821=""),"",IFERROR(INDEX(T_CAPAI,MATCH(T821,L_PER,0),MATCH(U821,L_KED,0)),0))</f>
        <v/>
      </c>
      <c r="W821" s="17">
        <f>IF(OR(B821="",E821="",COUNTA(F821,H821,J821:M821,O821,Q821:R821,T821:U821)=0),"",SUM(G821,I821,N821,P821,S821,V821))</f>
        <v/>
      </c>
      <c r="X821" s="18">
        <f>IF(W821="","",IF(Murid!F821="TL","TL",ROUND(W821/110*100,2)))</f>
        <v/>
      </c>
    </row>
    <row r="822">
      <c r="A822" s="15">
        <f>Murid!A822</f>
        <v/>
      </c>
      <c r="B822" s="15">
        <f>IF(Murid!B822="","",Murid!B822)</f>
        <v/>
      </c>
      <c r="C822" s="16">
        <f>IF(Murid!C822="","",Murid!C822)</f>
        <v/>
      </c>
      <c r="D822" s="15">
        <f>IF(Murid!E822="","",Murid!E822)</f>
        <v/>
      </c>
      <c r="E822" s="11" t="n"/>
      <c r="F822" s="11" t="n"/>
      <c r="G822" s="10">
        <f>IF(F822="","",IFERROR(VLOOKUP(F822,T_JSP,2,FALSE),0))</f>
        <v/>
      </c>
      <c r="H822" s="11" t="n"/>
      <c r="I822" s="17">
        <f>IF(H822="","",IF(H822&gt;=12,40,ROUND(H822*3.33,2)))</f>
        <v/>
      </c>
      <c r="J822" s="11" t="n"/>
      <c r="K822" s="11" t="n"/>
      <c r="L822" s="11" t="n"/>
      <c r="M822" s="11" t="n"/>
      <c r="N822" s="10">
        <f>IF(COUNTA(J822:M822)=0,"",MIN(10,SUMPRODUCT((COUNTIF(J822:M822,L_KOM)&gt;0)*S_KOM)))</f>
        <v/>
      </c>
      <c r="O822" s="11" t="n"/>
      <c r="P822" s="10">
        <f>IF(O822="","",IFERROR(VLOOKUP(O822,T_KHID,2,FALSE),0))</f>
        <v/>
      </c>
      <c r="Q822" s="11" t="n"/>
      <c r="R822" s="11" t="n"/>
      <c r="S822" s="10">
        <f>IF(AND(Q822="",R822=""),"",IFERROR(INDEX(T_LIBAT,MATCH(Q822,L_PER,0),MATCH(R822,L_JENIS,0)),0))</f>
        <v/>
      </c>
      <c r="T822" s="11" t="n"/>
      <c r="U822" s="11" t="n"/>
      <c r="V822" s="10">
        <f>IF(AND(T822="",U822=""),"",IFERROR(INDEX(T_CAPAI,MATCH(T822,L_PER,0),MATCH(U822,L_KED,0)),0))</f>
        <v/>
      </c>
      <c r="W822" s="17">
        <f>IF(OR(B822="",E822="",COUNTA(F822,H822,J822:M822,O822,Q822:R822,T822:U822)=0),"",SUM(G822,I822,N822,P822,S822,V822))</f>
        <v/>
      </c>
      <c r="X822" s="18">
        <f>IF(W822="","",IF(Murid!F822="TL","TL",ROUND(W822/110*100,2)))</f>
        <v/>
      </c>
    </row>
    <row r="823">
      <c r="A823" s="15">
        <f>Murid!A823</f>
        <v/>
      </c>
      <c r="B823" s="15">
        <f>IF(Murid!B823="","",Murid!B823)</f>
        <v/>
      </c>
      <c r="C823" s="16">
        <f>IF(Murid!C823="","",Murid!C823)</f>
        <v/>
      </c>
      <c r="D823" s="15">
        <f>IF(Murid!E823="","",Murid!E823)</f>
        <v/>
      </c>
      <c r="E823" s="11" t="n"/>
      <c r="F823" s="11" t="n"/>
      <c r="G823" s="10">
        <f>IF(F823="","",IFERROR(VLOOKUP(F823,T_JSP,2,FALSE),0))</f>
        <v/>
      </c>
      <c r="H823" s="11" t="n"/>
      <c r="I823" s="17">
        <f>IF(H823="","",IF(H823&gt;=12,40,ROUND(H823*3.33,2)))</f>
        <v/>
      </c>
      <c r="J823" s="11" t="n"/>
      <c r="K823" s="11" t="n"/>
      <c r="L823" s="11" t="n"/>
      <c r="M823" s="11" t="n"/>
      <c r="N823" s="10">
        <f>IF(COUNTA(J823:M823)=0,"",MIN(10,SUMPRODUCT((COUNTIF(J823:M823,L_KOM)&gt;0)*S_KOM)))</f>
        <v/>
      </c>
      <c r="O823" s="11" t="n"/>
      <c r="P823" s="10">
        <f>IF(O823="","",IFERROR(VLOOKUP(O823,T_KHID,2,FALSE),0))</f>
        <v/>
      </c>
      <c r="Q823" s="11" t="n"/>
      <c r="R823" s="11" t="n"/>
      <c r="S823" s="10">
        <f>IF(AND(Q823="",R823=""),"",IFERROR(INDEX(T_LIBAT,MATCH(Q823,L_PER,0),MATCH(R823,L_JENIS,0)),0))</f>
        <v/>
      </c>
      <c r="T823" s="11" t="n"/>
      <c r="U823" s="11" t="n"/>
      <c r="V823" s="10">
        <f>IF(AND(T823="",U823=""),"",IFERROR(INDEX(T_CAPAI,MATCH(T823,L_PER,0),MATCH(U823,L_KED,0)),0))</f>
        <v/>
      </c>
      <c r="W823" s="17">
        <f>IF(OR(B823="",E823="",COUNTA(F823,H823,J823:M823,O823,Q823:R823,T823:U823)=0),"",SUM(G823,I823,N823,P823,S823,V823))</f>
        <v/>
      </c>
      <c r="X823" s="18">
        <f>IF(W823="","",IF(Murid!F823="TL","TL",ROUND(W823/110*100,2)))</f>
        <v/>
      </c>
    </row>
    <row r="824">
      <c r="A824" s="15">
        <f>Murid!A824</f>
        <v/>
      </c>
      <c r="B824" s="15">
        <f>IF(Murid!B824="","",Murid!B824)</f>
        <v/>
      </c>
      <c r="C824" s="16">
        <f>IF(Murid!C824="","",Murid!C824)</f>
        <v/>
      </c>
      <c r="D824" s="15">
        <f>IF(Murid!E824="","",Murid!E824)</f>
        <v/>
      </c>
      <c r="E824" s="11" t="n"/>
      <c r="F824" s="11" t="n"/>
      <c r="G824" s="10">
        <f>IF(F824="","",IFERROR(VLOOKUP(F824,T_JSP,2,FALSE),0))</f>
        <v/>
      </c>
      <c r="H824" s="11" t="n"/>
      <c r="I824" s="17">
        <f>IF(H824="","",IF(H824&gt;=12,40,ROUND(H824*3.33,2)))</f>
        <v/>
      </c>
      <c r="J824" s="11" t="n"/>
      <c r="K824" s="11" t="n"/>
      <c r="L824" s="11" t="n"/>
      <c r="M824" s="11" t="n"/>
      <c r="N824" s="10">
        <f>IF(COUNTA(J824:M824)=0,"",MIN(10,SUMPRODUCT((COUNTIF(J824:M824,L_KOM)&gt;0)*S_KOM)))</f>
        <v/>
      </c>
      <c r="O824" s="11" t="n"/>
      <c r="P824" s="10">
        <f>IF(O824="","",IFERROR(VLOOKUP(O824,T_KHID,2,FALSE),0))</f>
        <v/>
      </c>
      <c r="Q824" s="11" t="n"/>
      <c r="R824" s="11" t="n"/>
      <c r="S824" s="10">
        <f>IF(AND(Q824="",R824=""),"",IFERROR(INDEX(T_LIBAT,MATCH(Q824,L_PER,0),MATCH(R824,L_JENIS,0)),0))</f>
        <v/>
      </c>
      <c r="T824" s="11" t="n"/>
      <c r="U824" s="11" t="n"/>
      <c r="V824" s="10">
        <f>IF(AND(T824="",U824=""),"",IFERROR(INDEX(T_CAPAI,MATCH(T824,L_PER,0),MATCH(U824,L_KED,0)),0))</f>
        <v/>
      </c>
      <c r="W824" s="17">
        <f>IF(OR(B824="",E824="",COUNTA(F824,H824,J824:M824,O824,Q824:R824,T824:U824)=0),"",SUM(G824,I824,N824,P824,S824,V824))</f>
        <v/>
      </c>
      <c r="X824" s="18">
        <f>IF(W824="","",IF(Murid!F824="TL","TL",ROUND(W824/110*100,2)))</f>
        <v/>
      </c>
    </row>
    <row r="825">
      <c r="A825" s="15">
        <f>Murid!A825</f>
        <v/>
      </c>
      <c r="B825" s="15">
        <f>IF(Murid!B825="","",Murid!B825)</f>
        <v/>
      </c>
      <c r="C825" s="16">
        <f>IF(Murid!C825="","",Murid!C825)</f>
        <v/>
      </c>
      <c r="D825" s="15">
        <f>IF(Murid!E825="","",Murid!E825)</f>
        <v/>
      </c>
      <c r="E825" s="11" t="n"/>
      <c r="F825" s="11" t="n"/>
      <c r="G825" s="10">
        <f>IF(F825="","",IFERROR(VLOOKUP(F825,T_JSP,2,FALSE),0))</f>
        <v/>
      </c>
      <c r="H825" s="11" t="n"/>
      <c r="I825" s="17">
        <f>IF(H825="","",IF(H825&gt;=12,40,ROUND(H825*3.33,2)))</f>
        <v/>
      </c>
      <c r="J825" s="11" t="n"/>
      <c r="K825" s="11" t="n"/>
      <c r="L825" s="11" t="n"/>
      <c r="M825" s="11" t="n"/>
      <c r="N825" s="10">
        <f>IF(COUNTA(J825:M825)=0,"",MIN(10,SUMPRODUCT((COUNTIF(J825:M825,L_KOM)&gt;0)*S_KOM)))</f>
        <v/>
      </c>
      <c r="O825" s="11" t="n"/>
      <c r="P825" s="10">
        <f>IF(O825="","",IFERROR(VLOOKUP(O825,T_KHID,2,FALSE),0))</f>
        <v/>
      </c>
      <c r="Q825" s="11" t="n"/>
      <c r="R825" s="11" t="n"/>
      <c r="S825" s="10">
        <f>IF(AND(Q825="",R825=""),"",IFERROR(INDEX(T_LIBAT,MATCH(Q825,L_PER,0),MATCH(R825,L_JENIS,0)),0))</f>
        <v/>
      </c>
      <c r="T825" s="11" t="n"/>
      <c r="U825" s="11" t="n"/>
      <c r="V825" s="10">
        <f>IF(AND(T825="",U825=""),"",IFERROR(INDEX(T_CAPAI,MATCH(T825,L_PER,0),MATCH(U825,L_KED,0)),0))</f>
        <v/>
      </c>
      <c r="W825" s="17">
        <f>IF(OR(B825="",E825="",COUNTA(F825,H825,J825:M825,O825,Q825:R825,T825:U825)=0),"",SUM(G825,I825,N825,P825,S825,V825))</f>
        <v/>
      </c>
      <c r="X825" s="18">
        <f>IF(W825="","",IF(Murid!F825="TL","TL",ROUND(W825/110*100,2)))</f>
        <v/>
      </c>
    </row>
    <row r="826">
      <c r="A826" s="15">
        <f>Murid!A826</f>
        <v/>
      </c>
      <c r="B826" s="15">
        <f>IF(Murid!B826="","",Murid!B826)</f>
        <v/>
      </c>
      <c r="C826" s="16">
        <f>IF(Murid!C826="","",Murid!C826)</f>
        <v/>
      </c>
      <c r="D826" s="15">
        <f>IF(Murid!E826="","",Murid!E826)</f>
        <v/>
      </c>
      <c r="E826" s="11" t="n"/>
      <c r="F826" s="11" t="n"/>
      <c r="G826" s="10">
        <f>IF(F826="","",IFERROR(VLOOKUP(F826,T_JSP,2,FALSE),0))</f>
        <v/>
      </c>
      <c r="H826" s="11" t="n"/>
      <c r="I826" s="17">
        <f>IF(H826="","",IF(H826&gt;=12,40,ROUND(H826*3.33,2)))</f>
        <v/>
      </c>
      <c r="J826" s="11" t="n"/>
      <c r="K826" s="11" t="n"/>
      <c r="L826" s="11" t="n"/>
      <c r="M826" s="11" t="n"/>
      <c r="N826" s="10">
        <f>IF(COUNTA(J826:M826)=0,"",MIN(10,SUMPRODUCT((COUNTIF(J826:M826,L_KOM)&gt;0)*S_KOM)))</f>
        <v/>
      </c>
      <c r="O826" s="11" t="n"/>
      <c r="P826" s="10">
        <f>IF(O826="","",IFERROR(VLOOKUP(O826,T_KHID,2,FALSE),0))</f>
        <v/>
      </c>
      <c r="Q826" s="11" t="n"/>
      <c r="R826" s="11" t="n"/>
      <c r="S826" s="10">
        <f>IF(AND(Q826="",R826=""),"",IFERROR(INDEX(T_LIBAT,MATCH(Q826,L_PER,0),MATCH(R826,L_JENIS,0)),0))</f>
        <v/>
      </c>
      <c r="T826" s="11" t="n"/>
      <c r="U826" s="11" t="n"/>
      <c r="V826" s="10">
        <f>IF(AND(T826="",U826=""),"",IFERROR(INDEX(T_CAPAI,MATCH(T826,L_PER,0),MATCH(U826,L_KED,0)),0))</f>
        <v/>
      </c>
      <c r="W826" s="17">
        <f>IF(OR(B826="",E826="",COUNTA(F826,H826,J826:M826,O826,Q826:R826,T826:U826)=0),"",SUM(G826,I826,N826,P826,S826,V826))</f>
        <v/>
      </c>
      <c r="X826" s="18">
        <f>IF(W826="","",IF(Murid!F826="TL","TL",ROUND(W826/110*100,2)))</f>
        <v/>
      </c>
    </row>
    <row r="827">
      <c r="A827" s="15">
        <f>Murid!A827</f>
        <v/>
      </c>
      <c r="B827" s="15">
        <f>IF(Murid!B827="","",Murid!B827)</f>
        <v/>
      </c>
      <c r="C827" s="16">
        <f>IF(Murid!C827="","",Murid!C827)</f>
        <v/>
      </c>
      <c r="D827" s="15">
        <f>IF(Murid!E827="","",Murid!E827)</f>
        <v/>
      </c>
      <c r="E827" s="11" t="n"/>
      <c r="F827" s="11" t="n"/>
      <c r="G827" s="10">
        <f>IF(F827="","",IFERROR(VLOOKUP(F827,T_JSP,2,FALSE),0))</f>
        <v/>
      </c>
      <c r="H827" s="11" t="n"/>
      <c r="I827" s="17">
        <f>IF(H827="","",IF(H827&gt;=12,40,ROUND(H827*3.33,2)))</f>
        <v/>
      </c>
      <c r="J827" s="11" t="n"/>
      <c r="K827" s="11" t="n"/>
      <c r="L827" s="11" t="n"/>
      <c r="M827" s="11" t="n"/>
      <c r="N827" s="10">
        <f>IF(COUNTA(J827:M827)=0,"",MIN(10,SUMPRODUCT((COUNTIF(J827:M827,L_KOM)&gt;0)*S_KOM)))</f>
        <v/>
      </c>
      <c r="O827" s="11" t="n"/>
      <c r="P827" s="10">
        <f>IF(O827="","",IFERROR(VLOOKUP(O827,T_KHID,2,FALSE),0))</f>
        <v/>
      </c>
      <c r="Q827" s="11" t="n"/>
      <c r="R827" s="11" t="n"/>
      <c r="S827" s="10">
        <f>IF(AND(Q827="",R827=""),"",IFERROR(INDEX(T_LIBAT,MATCH(Q827,L_PER,0),MATCH(R827,L_JENIS,0)),0))</f>
        <v/>
      </c>
      <c r="T827" s="11" t="n"/>
      <c r="U827" s="11" t="n"/>
      <c r="V827" s="10">
        <f>IF(AND(T827="",U827=""),"",IFERROR(INDEX(T_CAPAI,MATCH(T827,L_PER,0),MATCH(U827,L_KED,0)),0))</f>
        <v/>
      </c>
      <c r="W827" s="17">
        <f>IF(OR(B827="",E827="",COUNTA(F827,H827,J827:M827,O827,Q827:R827,T827:U827)=0),"",SUM(G827,I827,N827,P827,S827,V827))</f>
        <v/>
      </c>
      <c r="X827" s="18">
        <f>IF(W827="","",IF(Murid!F827="TL","TL",ROUND(W827/110*100,2)))</f>
        <v/>
      </c>
    </row>
    <row r="828">
      <c r="A828" s="15">
        <f>Murid!A828</f>
        <v/>
      </c>
      <c r="B828" s="15">
        <f>IF(Murid!B828="","",Murid!B828)</f>
        <v/>
      </c>
      <c r="C828" s="16">
        <f>IF(Murid!C828="","",Murid!C828)</f>
        <v/>
      </c>
      <c r="D828" s="15">
        <f>IF(Murid!E828="","",Murid!E828)</f>
        <v/>
      </c>
      <c r="E828" s="11" t="n"/>
      <c r="F828" s="11" t="n"/>
      <c r="G828" s="10">
        <f>IF(F828="","",IFERROR(VLOOKUP(F828,T_JSP,2,FALSE),0))</f>
        <v/>
      </c>
      <c r="H828" s="11" t="n"/>
      <c r="I828" s="17">
        <f>IF(H828="","",IF(H828&gt;=12,40,ROUND(H828*3.33,2)))</f>
        <v/>
      </c>
      <c r="J828" s="11" t="n"/>
      <c r="K828" s="11" t="n"/>
      <c r="L828" s="11" t="n"/>
      <c r="M828" s="11" t="n"/>
      <c r="N828" s="10">
        <f>IF(COUNTA(J828:M828)=0,"",MIN(10,SUMPRODUCT((COUNTIF(J828:M828,L_KOM)&gt;0)*S_KOM)))</f>
        <v/>
      </c>
      <c r="O828" s="11" t="n"/>
      <c r="P828" s="10">
        <f>IF(O828="","",IFERROR(VLOOKUP(O828,T_KHID,2,FALSE),0))</f>
        <v/>
      </c>
      <c r="Q828" s="11" t="n"/>
      <c r="R828" s="11" t="n"/>
      <c r="S828" s="10">
        <f>IF(AND(Q828="",R828=""),"",IFERROR(INDEX(T_LIBAT,MATCH(Q828,L_PER,0),MATCH(R828,L_JENIS,0)),0))</f>
        <v/>
      </c>
      <c r="T828" s="11" t="n"/>
      <c r="U828" s="11" t="n"/>
      <c r="V828" s="10">
        <f>IF(AND(T828="",U828=""),"",IFERROR(INDEX(T_CAPAI,MATCH(T828,L_PER,0),MATCH(U828,L_KED,0)),0))</f>
        <v/>
      </c>
      <c r="W828" s="17">
        <f>IF(OR(B828="",E828="",COUNTA(F828,H828,J828:M828,O828,Q828:R828,T828:U828)=0),"",SUM(G828,I828,N828,P828,S828,V828))</f>
        <v/>
      </c>
      <c r="X828" s="18">
        <f>IF(W828="","",IF(Murid!F828="TL","TL",ROUND(W828/110*100,2)))</f>
        <v/>
      </c>
    </row>
    <row r="829">
      <c r="A829" s="15">
        <f>Murid!A829</f>
        <v/>
      </c>
      <c r="B829" s="15">
        <f>IF(Murid!B829="","",Murid!B829)</f>
        <v/>
      </c>
      <c r="C829" s="16">
        <f>IF(Murid!C829="","",Murid!C829)</f>
        <v/>
      </c>
      <c r="D829" s="15">
        <f>IF(Murid!E829="","",Murid!E829)</f>
        <v/>
      </c>
      <c r="E829" s="11" t="n"/>
      <c r="F829" s="11" t="n"/>
      <c r="G829" s="10">
        <f>IF(F829="","",IFERROR(VLOOKUP(F829,T_JSP,2,FALSE),0))</f>
        <v/>
      </c>
      <c r="H829" s="11" t="n"/>
      <c r="I829" s="17">
        <f>IF(H829="","",IF(H829&gt;=12,40,ROUND(H829*3.33,2)))</f>
        <v/>
      </c>
      <c r="J829" s="11" t="n"/>
      <c r="K829" s="11" t="n"/>
      <c r="L829" s="11" t="n"/>
      <c r="M829" s="11" t="n"/>
      <c r="N829" s="10">
        <f>IF(COUNTA(J829:M829)=0,"",MIN(10,SUMPRODUCT((COUNTIF(J829:M829,L_KOM)&gt;0)*S_KOM)))</f>
        <v/>
      </c>
      <c r="O829" s="11" t="n"/>
      <c r="P829" s="10">
        <f>IF(O829="","",IFERROR(VLOOKUP(O829,T_KHID,2,FALSE),0))</f>
        <v/>
      </c>
      <c r="Q829" s="11" t="n"/>
      <c r="R829" s="11" t="n"/>
      <c r="S829" s="10">
        <f>IF(AND(Q829="",R829=""),"",IFERROR(INDEX(T_LIBAT,MATCH(Q829,L_PER,0),MATCH(R829,L_JENIS,0)),0))</f>
        <v/>
      </c>
      <c r="T829" s="11" t="n"/>
      <c r="U829" s="11" t="n"/>
      <c r="V829" s="10">
        <f>IF(AND(T829="",U829=""),"",IFERROR(INDEX(T_CAPAI,MATCH(T829,L_PER,0),MATCH(U829,L_KED,0)),0))</f>
        <v/>
      </c>
      <c r="W829" s="17">
        <f>IF(OR(B829="",E829="",COUNTA(F829,H829,J829:M829,O829,Q829:R829,T829:U829)=0),"",SUM(G829,I829,N829,P829,S829,V829))</f>
        <v/>
      </c>
      <c r="X829" s="18">
        <f>IF(W829="","",IF(Murid!F829="TL","TL",ROUND(W829/110*100,2)))</f>
        <v/>
      </c>
    </row>
    <row r="830">
      <c r="A830" s="15">
        <f>Murid!A830</f>
        <v/>
      </c>
      <c r="B830" s="15">
        <f>IF(Murid!B830="","",Murid!B830)</f>
        <v/>
      </c>
      <c r="C830" s="16">
        <f>IF(Murid!C830="","",Murid!C830)</f>
        <v/>
      </c>
      <c r="D830" s="15">
        <f>IF(Murid!E830="","",Murid!E830)</f>
        <v/>
      </c>
      <c r="E830" s="11" t="n"/>
      <c r="F830" s="11" t="n"/>
      <c r="G830" s="10">
        <f>IF(F830="","",IFERROR(VLOOKUP(F830,T_JSP,2,FALSE),0))</f>
        <v/>
      </c>
      <c r="H830" s="11" t="n"/>
      <c r="I830" s="17">
        <f>IF(H830="","",IF(H830&gt;=12,40,ROUND(H830*3.33,2)))</f>
        <v/>
      </c>
      <c r="J830" s="11" t="n"/>
      <c r="K830" s="11" t="n"/>
      <c r="L830" s="11" t="n"/>
      <c r="M830" s="11" t="n"/>
      <c r="N830" s="10">
        <f>IF(COUNTA(J830:M830)=0,"",MIN(10,SUMPRODUCT((COUNTIF(J830:M830,L_KOM)&gt;0)*S_KOM)))</f>
        <v/>
      </c>
      <c r="O830" s="11" t="n"/>
      <c r="P830" s="10">
        <f>IF(O830="","",IFERROR(VLOOKUP(O830,T_KHID,2,FALSE),0))</f>
        <v/>
      </c>
      <c r="Q830" s="11" t="n"/>
      <c r="R830" s="11" t="n"/>
      <c r="S830" s="10">
        <f>IF(AND(Q830="",R830=""),"",IFERROR(INDEX(T_LIBAT,MATCH(Q830,L_PER,0),MATCH(R830,L_JENIS,0)),0))</f>
        <v/>
      </c>
      <c r="T830" s="11" t="n"/>
      <c r="U830" s="11" t="n"/>
      <c r="V830" s="10">
        <f>IF(AND(T830="",U830=""),"",IFERROR(INDEX(T_CAPAI,MATCH(T830,L_PER,0),MATCH(U830,L_KED,0)),0))</f>
        <v/>
      </c>
      <c r="W830" s="17">
        <f>IF(OR(B830="",E830="",COUNTA(F830,H830,J830:M830,O830,Q830:R830,T830:U830)=0),"",SUM(G830,I830,N830,P830,S830,V830))</f>
        <v/>
      </c>
      <c r="X830" s="18">
        <f>IF(W830="","",IF(Murid!F830="TL","TL",ROUND(W830/110*100,2)))</f>
        <v/>
      </c>
    </row>
    <row r="831">
      <c r="A831" s="15">
        <f>Murid!A831</f>
        <v/>
      </c>
      <c r="B831" s="15">
        <f>IF(Murid!B831="","",Murid!B831)</f>
        <v/>
      </c>
      <c r="C831" s="16">
        <f>IF(Murid!C831="","",Murid!C831)</f>
        <v/>
      </c>
      <c r="D831" s="15">
        <f>IF(Murid!E831="","",Murid!E831)</f>
        <v/>
      </c>
      <c r="E831" s="11" t="n"/>
      <c r="F831" s="11" t="n"/>
      <c r="G831" s="10">
        <f>IF(F831="","",IFERROR(VLOOKUP(F831,T_JSP,2,FALSE),0))</f>
        <v/>
      </c>
      <c r="H831" s="11" t="n"/>
      <c r="I831" s="17">
        <f>IF(H831="","",IF(H831&gt;=12,40,ROUND(H831*3.33,2)))</f>
        <v/>
      </c>
      <c r="J831" s="11" t="n"/>
      <c r="K831" s="11" t="n"/>
      <c r="L831" s="11" t="n"/>
      <c r="M831" s="11" t="n"/>
      <c r="N831" s="10">
        <f>IF(COUNTA(J831:M831)=0,"",MIN(10,SUMPRODUCT((COUNTIF(J831:M831,L_KOM)&gt;0)*S_KOM)))</f>
        <v/>
      </c>
      <c r="O831" s="11" t="n"/>
      <c r="P831" s="10">
        <f>IF(O831="","",IFERROR(VLOOKUP(O831,T_KHID,2,FALSE),0))</f>
        <v/>
      </c>
      <c r="Q831" s="11" t="n"/>
      <c r="R831" s="11" t="n"/>
      <c r="S831" s="10">
        <f>IF(AND(Q831="",R831=""),"",IFERROR(INDEX(T_LIBAT,MATCH(Q831,L_PER,0),MATCH(R831,L_JENIS,0)),0))</f>
        <v/>
      </c>
      <c r="T831" s="11" t="n"/>
      <c r="U831" s="11" t="n"/>
      <c r="V831" s="10">
        <f>IF(AND(T831="",U831=""),"",IFERROR(INDEX(T_CAPAI,MATCH(T831,L_PER,0),MATCH(U831,L_KED,0)),0))</f>
        <v/>
      </c>
      <c r="W831" s="17">
        <f>IF(OR(B831="",E831="",COUNTA(F831,H831,J831:M831,O831,Q831:R831,T831:U831)=0),"",SUM(G831,I831,N831,P831,S831,V831))</f>
        <v/>
      </c>
      <c r="X831" s="18">
        <f>IF(W831="","",IF(Murid!F831="TL","TL",ROUND(W831/110*100,2)))</f>
        <v/>
      </c>
    </row>
    <row r="832">
      <c r="A832" s="15">
        <f>Murid!A832</f>
        <v/>
      </c>
      <c r="B832" s="15">
        <f>IF(Murid!B832="","",Murid!B832)</f>
        <v/>
      </c>
      <c r="C832" s="16">
        <f>IF(Murid!C832="","",Murid!C832)</f>
        <v/>
      </c>
      <c r="D832" s="15">
        <f>IF(Murid!E832="","",Murid!E832)</f>
        <v/>
      </c>
      <c r="E832" s="11" t="n"/>
      <c r="F832" s="11" t="n"/>
      <c r="G832" s="10">
        <f>IF(F832="","",IFERROR(VLOOKUP(F832,T_JSP,2,FALSE),0))</f>
        <v/>
      </c>
      <c r="H832" s="11" t="n"/>
      <c r="I832" s="17">
        <f>IF(H832="","",IF(H832&gt;=12,40,ROUND(H832*3.33,2)))</f>
        <v/>
      </c>
      <c r="J832" s="11" t="n"/>
      <c r="K832" s="11" t="n"/>
      <c r="L832" s="11" t="n"/>
      <c r="M832" s="11" t="n"/>
      <c r="N832" s="10">
        <f>IF(COUNTA(J832:M832)=0,"",MIN(10,SUMPRODUCT((COUNTIF(J832:M832,L_KOM)&gt;0)*S_KOM)))</f>
        <v/>
      </c>
      <c r="O832" s="11" t="n"/>
      <c r="P832" s="10">
        <f>IF(O832="","",IFERROR(VLOOKUP(O832,T_KHID,2,FALSE),0))</f>
        <v/>
      </c>
      <c r="Q832" s="11" t="n"/>
      <c r="R832" s="11" t="n"/>
      <c r="S832" s="10">
        <f>IF(AND(Q832="",R832=""),"",IFERROR(INDEX(T_LIBAT,MATCH(Q832,L_PER,0),MATCH(R832,L_JENIS,0)),0))</f>
        <v/>
      </c>
      <c r="T832" s="11" t="n"/>
      <c r="U832" s="11" t="n"/>
      <c r="V832" s="10">
        <f>IF(AND(T832="",U832=""),"",IFERROR(INDEX(T_CAPAI,MATCH(T832,L_PER,0),MATCH(U832,L_KED,0)),0))</f>
        <v/>
      </c>
      <c r="W832" s="17">
        <f>IF(OR(B832="",E832="",COUNTA(F832,H832,J832:M832,O832,Q832:R832,T832:U832)=0),"",SUM(G832,I832,N832,P832,S832,V832))</f>
        <v/>
      </c>
      <c r="X832" s="18">
        <f>IF(W832="","",IF(Murid!F832="TL","TL",ROUND(W832/110*100,2)))</f>
        <v/>
      </c>
    </row>
    <row r="833">
      <c r="A833" s="15">
        <f>Murid!A833</f>
        <v/>
      </c>
      <c r="B833" s="15">
        <f>IF(Murid!B833="","",Murid!B833)</f>
        <v/>
      </c>
      <c r="C833" s="16">
        <f>IF(Murid!C833="","",Murid!C833)</f>
        <v/>
      </c>
      <c r="D833" s="15">
        <f>IF(Murid!E833="","",Murid!E833)</f>
        <v/>
      </c>
      <c r="E833" s="11" t="n"/>
      <c r="F833" s="11" t="n"/>
      <c r="G833" s="10">
        <f>IF(F833="","",IFERROR(VLOOKUP(F833,T_JSP,2,FALSE),0))</f>
        <v/>
      </c>
      <c r="H833" s="11" t="n"/>
      <c r="I833" s="17">
        <f>IF(H833="","",IF(H833&gt;=12,40,ROUND(H833*3.33,2)))</f>
        <v/>
      </c>
      <c r="J833" s="11" t="n"/>
      <c r="K833" s="11" t="n"/>
      <c r="L833" s="11" t="n"/>
      <c r="M833" s="11" t="n"/>
      <c r="N833" s="10">
        <f>IF(COUNTA(J833:M833)=0,"",MIN(10,SUMPRODUCT((COUNTIF(J833:M833,L_KOM)&gt;0)*S_KOM)))</f>
        <v/>
      </c>
      <c r="O833" s="11" t="n"/>
      <c r="P833" s="10">
        <f>IF(O833="","",IFERROR(VLOOKUP(O833,T_KHID,2,FALSE),0))</f>
        <v/>
      </c>
      <c r="Q833" s="11" t="n"/>
      <c r="R833" s="11" t="n"/>
      <c r="S833" s="10">
        <f>IF(AND(Q833="",R833=""),"",IFERROR(INDEX(T_LIBAT,MATCH(Q833,L_PER,0),MATCH(R833,L_JENIS,0)),0))</f>
        <v/>
      </c>
      <c r="T833" s="11" t="n"/>
      <c r="U833" s="11" t="n"/>
      <c r="V833" s="10">
        <f>IF(AND(T833="",U833=""),"",IFERROR(INDEX(T_CAPAI,MATCH(T833,L_PER,0),MATCH(U833,L_KED,0)),0))</f>
        <v/>
      </c>
      <c r="W833" s="17">
        <f>IF(OR(B833="",E833="",COUNTA(F833,H833,J833:M833,O833,Q833:R833,T833:U833)=0),"",SUM(G833,I833,N833,P833,S833,V833))</f>
        <v/>
      </c>
      <c r="X833" s="18">
        <f>IF(W833="","",IF(Murid!F833="TL","TL",ROUND(W833/110*100,2)))</f>
        <v/>
      </c>
    </row>
    <row r="834">
      <c r="A834" s="15">
        <f>Murid!A834</f>
        <v/>
      </c>
      <c r="B834" s="15">
        <f>IF(Murid!B834="","",Murid!B834)</f>
        <v/>
      </c>
      <c r="C834" s="16">
        <f>IF(Murid!C834="","",Murid!C834)</f>
        <v/>
      </c>
      <c r="D834" s="15">
        <f>IF(Murid!E834="","",Murid!E834)</f>
        <v/>
      </c>
      <c r="E834" s="11" t="n"/>
      <c r="F834" s="11" t="n"/>
      <c r="G834" s="10">
        <f>IF(F834="","",IFERROR(VLOOKUP(F834,T_JSP,2,FALSE),0))</f>
        <v/>
      </c>
      <c r="H834" s="11" t="n"/>
      <c r="I834" s="17">
        <f>IF(H834="","",IF(H834&gt;=12,40,ROUND(H834*3.33,2)))</f>
        <v/>
      </c>
      <c r="J834" s="11" t="n"/>
      <c r="K834" s="11" t="n"/>
      <c r="L834" s="11" t="n"/>
      <c r="M834" s="11" t="n"/>
      <c r="N834" s="10">
        <f>IF(COUNTA(J834:M834)=0,"",MIN(10,SUMPRODUCT((COUNTIF(J834:M834,L_KOM)&gt;0)*S_KOM)))</f>
        <v/>
      </c>
      <c r="O834" s="11" t="n"/>
      <c r="P834" s="10">
        <f>IF(O834="","",IFERROR(VLOOKUP(O834,T_KHID,2,FALSE),0))</f>
        <v/>
      </c>
      <c r="Q834" s="11" t="n"/>
      <c r="R834" s="11" t="n"/>
      <c r="S834" s="10">
        <f>IF(AND(Q834="",R834=""),"",IFERROR(INDEX(T_LIBAT,MATCH(Q834,L_PER,0),MATCH(R834,L_JENIS,0)),0))</f>
        <v/>
      </c>
      <c r="T834" s="11" t="n"/>
      <c r="U834" s="11" t="n"/>
      <c r="V834" s="10">
        <f>IF(AND(T834="",U834=""),"",IFERROR(INDEX(T_CAPAI,MATCH(T834,L_PER,0),MATCH(U834,L_KED,0)),0))</f>
        <v/>
      </c>
      <c r="W834" s="17">
        <f>IF(OR(B834="",E834="",COUNTA(F834,H834,J834:M834,O834,Q834:R834,T834:U834)=0),"",SUM(G834,I834,N834,P834,S834,V834))</f>
        <v/>
      </c>
      <c r="X834" s="18">
        <f>IF(W834="","",IF(Murid!F834="TL","TL",ROUND(W834/110*100,2)))</f>
        <v/>
      </c>
    </row>
    <row r="835">
      <c r="A835" s="15">
        <f>Murid!A835</f>
        <v/>
      </c>
      <c r="B835" s="15">
        <f>IF(Murid!B835="","",Murid!B835)</f>
        <v/>
      </c>
      <c r="C835" s="16">
        <f>IF(Murid!C835="","",Murid!C835)</f>
        <v/>
      </c>
      <c r="D835" s="15">
        <f>IF(Murid!E835="","",Murid!E835)</f>
        <v/>
      </c>
      <c r="E835" s="11" t="n"/>
      <c r="F835" s="11" t="n"/>
      <c r="G835" s="10">
        <f>IF(F835="","",IFERROR(VLOOKUP(F835,T_JSP,2,FALSE),0))</f>
        <v/>
      </c>
      <c r="H835" s="11" t="n"/>
      <c r="I835" s="17">
        <f>IF(H835="","",IF(H835&gt;=12,40,ROUND(H835*3.33,2)))</f>
        <v/>
      </c>
      <c r="J835" s="11" t="n"/>
      <c r="K835" s="11" t="n"/>
      <c r="L835" s="11" t="n"/>
      <c r="M835" s="11" t="n"/>
      <c r="N835" s="10">
        <f>IF(COUNTA(J835:M835)=0,"",MIN(10,SUMPRODUCT((COUNTIF(J835:M835,L_KOM)&gt;0)*S_KOM)))</f>
        <v/>
      </c>
      <c r="O835" s="11" t="n"/>
      <c r="P835" s="10">
        <f>IF(O835="","",IFERROR(VLOOKUP(O835,T_KHID,2,FALSE),0))</f>
        <v/>
      </c>
      <c r="Q835" s="11" t="n"/>
      <c r="R835" s="11" t="n"/>
      <c r="S835" s="10">
        <f>IF(AND(Q835="",R835=""),"",IFERROR(INDEX(T_LIBAT,MATCH(Q835,L_PER,0),MATCH(R835,L_JENIS,0)),0))</f>
        <v/>
      </c>
      <c r="T835" s="11" t="n"/>
      <c r="U835" s="11" t="n"/>
      <c r="V835" s="10">
        <f>IF(AND(T835="",U835=""),"",IFERROR(INDEX(T_CAPAI,MATCH(T835,L_PER,0),MATCH(U835,L_KED,0)),0))</f>
        <v/>
      </c>
      <c r="W835" s="17">
        <f>IF(OR(B835="",E835="",COUNTA(F835,H835,J835:M835,O835,Q835:R835,T835:U835)=0),"",SUM(G835,I835,N835,P835,S835,V835))</f>
        <v/>
      </c>
      <c r="X835" s="18">
        <f>IF(W835="","",IF(Murid!F835="TL","TL",ROUND(W835/110*100,2)))</f>
        <v/>
      </c>
    </row>
    <row r="836">
      <c r="A836" s="15">
        <f>Murid!A836</f>
        <v/>
      </c>
      <c r="B836" s="15">
        <f>IF(Murid!B836="","",Murid!B836)</f>
        <v/>
      </c>
      <c r="C836" s="16">
        <f>IF(Murid!C836="","",Murid!C836)</f>
        <v/>
      </c>
      <c r="D836" s="15">
        <f>IF(Murid!E836="","",Murid!E836)</f>
        <v/>
      </c>
      <c r="E836" s="11" t="n"/>
      <c r="F836" s="11" t="n"/>
      <c r="G836" s="10">
        <f>IF(F836="","",IFERROR(VLOOKUP(F836,T_JSP,2,FALSE),0))</f>
        <v/>
      </c>
      <c r="H836" s="11" t="n"/>
      <c r="I836" s="17">
        <f>IF(H836="","",IF(H836&gt;=12,40,ROUND(H836*3.33,2)))</f>
        <v/>
      </c>
      <c r="J836" s="11" t="n"/>
      <c r="K836" s="11" t="n"/>
      <c r="L836" s="11" t="n"/>
      <c r="M836" s="11" t="n"/>
      <c r="N836" s="10">
        <f>IF(COUNTA(J836:M836)=0,"",MIN(10,SUMPRODUCT((COUNTIF(J836:M836,L_KOM)&gt;0)*S_KOM)))</f>
        <v/>
      </c>
      <c r="O836" s="11" t="n"/>
      <c r="P836" s="10">
        <f>IF(O836="","",IFERROR(VLOOKUP(O836,T_KHID,2,FALSE),0))</f>
        <v/>
      </c>
      <c r="Q836" s="11" t="n"/>
      <c r="R836" s="11" t="n"/>
      <c r="S836" s="10">
        <f>IF(AND(Q836="",R836=""),"",IFERROR(INDEX(T_LIBAT,MATCH(Q836,L_PER,0),MATCH(R836,L_JENIS,0)),0))</f>
        <v/>
      </c>
      <c r="T836" s="11" t="n"/>
      <c r="U836" s="11" t="n"/>
      <c r="V836" s="10">
        <f>IF(AND(T836="",U836=""),"",IFERROR(INDEX(T_CAPAI,MATCH(T836,L_PER,0),MATCH(U836,L_KED,0)),0))</f>
        <v/>
      </c>
      <c r="W836" s="17">
        <f>IF(OR(B836="",E836="",COUNTA(F836,H836,J836:M836,O836,Q836:R836,T836:U836)=0),"",SUM(G836,I836,N836,P836,S836,V836))</f>
        <v/>
      </c>
      <c r="X836" s="18">
        <f>IF(W836="","",IF(Murid!F836="TL","TL",ROUND(W836/110*100,2)))</f>
        <v/>
      </c>
    </row>
    <row r="837">
      <c r="A837" s="15">
        <f>Murid!A837</f>
        <v/>
      </c>
      <c r="B837" s="15">
        <f>IF(Murid!B837="","",Murid!B837)</f>
        <v/>
      </c>
      <c r="C837" s="16">
        <f>IF(Murid!C837="","",Murid!C837)</f>
        <v/>
      </c>
      <c r="D837" s="15">
        <f>IF(Murid!E837="","",Murid!E837)</f>
        <v/>
      </c>
      <c r="E837" s="11" t="n"/>
      <c r="F837" s="11" t="n"/>
      <c r="G837" s="10">
        <f>IF(F837="","",IFERROR(VLOOKUP(F837,T_JSP,2,FALSE),0))</f>
        <v/>
      </c>
      <c r="H837" s="11" t="n"/>
      <c r="I837" s="17">
        <f>IF(H837="","",IF(H837&gt;=12,40,ROUND(H837*3.33,2)))</f>
        <v/>
      </c>
      <c r="J837" s="11" t="n"/>
      <c r="K837" s="11" t="n"/>
      <c r="L837" s="11" t="n"/>
      <c r="M837" s="11" t="n"/>
      <c r="N837" s="10">
        <f>IF(COUNTA(J837:M837)=0,"",MIN(10,SUMPRODUCT((COUNTIF(J837:M837,L_KOM)&gt;0)*S_KOM)))</f>
        <v/>
      </c>
      <c r="O837" s="11" t="n"/>
      <c r="P837" s="10">
        <f>IF(O837="","",IFERROR(VLOOKUP(O837,T_KHID,2,FALSE),0))</f>
        <v/>
      </c>
      <c r="Q837" s="11" t="n"/>
      <c r="R837" s="11" t="n"/>
      <c r="S837" s="10">
        <f>IF(AND(Q837="",R837=""),"",IFERROR(INDEX(T_LIBAT,MATCH(Q837,L_PER,0),MATCH(R837,L_JENIS,0)),0))</f>
        <v/>
      </c>
      <c r="T837" s="11" t="n"/>
      <c r="U837" s="11" t="n"/>
      <c r="V837" s="10">
        <f>IF(AND(T837="",U837=""),"",IFERROR(INDEX(T_CAPAI,MATCH(T837,L_PER,0),MATCH(U837,L_KED,0)),0))</f>
        <v/>
      </c>
      <c r="W837" s="17">
        <f>IF(OR(B837="",E837="",COUNTA(F837,H837,J837:M837,O837,Q837:R837,T837:U837)=0),"",SUM(G837,I837,N837,P837,S837,V837))</f>
        <v/>
      </c>
      <c r="X837" s="18">
        <f>IF(W837="","",IF(Murid!F837="TL","TL",ROUND(W837/110*100,2)))</f>
        <v/>
      </c>
    </row>
    <row r="838">
      <c r="A838" s="15">
        <f>Murid!A838</f>
        <v/>
      </c>
      <c r="B838" s="15">
        <f>IF(Murid!B838="","",Murid!B838)</f>
        <v/>
      </c>
      <c r="C838" s="16">
        <f>IF(Murid!C838="","",Murid!C838)</f>
        <v/>
      </c>
      <c r="D838" s="15">
        <f>IF(Murid!E838="","",Murid!E838)</f>
        <v/>
      </c>
      <c r="E838" s="11" t="n"/>
      <c r="F838" s="11" t="n"/>
      <c r="G838" s="10">
        <f>IF(F838="","",IFERROR(VLOOKUP(F838,T_JSP,2,FALSE),0))</f>
        <v/>
      </c>
      <c r="H838" s="11" t="n"/>
      <c r="I838" s="17">
        <f>IF(H838="","",IF(H838&gt;=12,40,ROUND(H838*3.33,2)))</f>
        <v/>
      </c>
      <c r="J838" s="11" t="n"/>
      <c r="K838" s="11" t="n"/>
      <c r="L838" s="11" t="n"/>
      <c r="M838" s="11" t="n"/>
      <c r="N838" s="10">
        <f>IF(COUNTA(J838:M838)=0,"",MIN(10,SUMPRODUCT((COUNTIF(J838:M838,L_KOM)&gt;0)*S_KOM)))</f>
        <v/>
      </c>
      <c r="O838" s="11" t="n"/>
      <c r="P838" s="10">
        <f>IF(O838="","",IFERROR(VLOOKUP(O838,T_KHID,2,FALSE),0))</f>
        <v/>
      </c>
      <c r="Q838" s="11" t="n"/>
      <c r="R838" s="11" t="n"/>
      <c r="S838" s="10">
        <f>IF(AND(Q838="",R838=""),"",IFERROR(INDEX(T_LIBAT,MATCH(Q838,L_PER,0),MATCH(R838,L_JENIS,0)),0))</f>
        <v/>
      </c>
      <c r="T838" s="11" t="n"/>
      <c r="U838" s="11" t="n"/>
      <c r="V838" s="10">
        <f>IF(AND(T838="",U838=""),"",IFERROR(INDEX(T_CAPAI,MATCH(T838,L_PER,0),MATCH(U838,L_KED,0)),0))</f>
        <v/>
      </c>
      <c r="W838" s="17">
        <f>IF(OR(B838="",E838="",COUNTA(F838,H838,J838:M838,O838,Q838:R838,T838:U838)=0),"",SUM(G838,I838,N838,P838,S838,V838))</f>
        <v/>
      </c>
      <c r="X838" s="18">
        <f>IF(W838="","",IF(Murid!F838="TL","TL",ROUND(W838/110*100,2)))</f>
        <v/>
      </c>
    </row>
    <row r="839">
      <c r="A839" s="15">
        <f>Murid!A839</f>
        <v/>
      </c>
      <c r="B839" s="15">
        <f>IF(Murid!B839="","",Murid!B839)</f>
        <v/>
      </c>
      <c r="C839" s="16">
        <f>IF(Murid!C839="","",Murid!C839)</f>
        <v/>
      </c>
      <c r="D839" s="15">
        <f>IF(Murid!E839="","",Murid!E839)</f>
        <v/>
      </c>
      <c r="E839" s="11" t="n"/>
      <c r="F839" s="11" t="n"/>
      <c r="G839" s="10">
        <f>IF(F839="","",IFERROR(VLOOKUP(F839,T_JSP,2,FALSE),0))</f>
        <v/>
      </c>
      <c r="H839" s="11" t="n"/>
      <c r="I839" s="17">
        <f>IF(H839="","",IF(H839&gt;=12,40,ROUND(H839*3.33,2)))</f>
        <v/>
      </c>
      <c r="J839" s="11" t="n"/>
      <c r="K839" s="11" t="n"/>
      <c r="L839" s="11" t="n"/>
      <c r="M839" s="11" t="n"/>
      <c r="N839" s="10">
        <f>IF(COUNTA(J839:M839)=0,"",MIN(10,SUMPRODUCT((COUNTIF(J839:M839,L_KOM)&gt;0)*S_KOM)))</f>
        <v/>
      </c>
      <c r="O839" s="11" t="n"/>
      <c r="P839" s="10">
        <f>IF(O839="","",IFERROR(VLOOKUP(O839,T_KHID,2,FALSE),0))</f>
        <v/>
      </c>
      <c r="Q839" s="11" t="n"/>
      <c r="R839" s="11" t="n"/>
      <c r="S839" s="10">
        <f>IF(AND(Q839="",R839=""),"",IFERROR(INDEX(T_LIBAT,MATCH(Q839,L_PER,0),MATCH(R839,L_JENIS,0)),0))</f>
        <v/>
      </c>
      <c r="T839" s="11" t="n"/>
      <c r="U839" s="11" t="n"/>
      <c r="V839" s="10">
        <f>IF(AND(T839="",U839=""),"",IFERROR(INDEX(T_CAPAI,MATCH(T839,L_PER,0),MATCH(U839,L_KED,0)),0))</f>
        <v/>
      </c>
      <c r="W839" s="17">
        <f>IF(OR(B839="",E839="",COUNTA(F839,H839,J839:M839,O839,Q839:R839,T839:U839)=0),"",SUM(G839,I839,N839,P839,S839,V839))</f>
        <v/>
      </c>
      <c r="X839" s="18">
        <f>IF(W839="","",IF(Murid!F839="TL","TL",ROUND(W839/110*100,2)))</f>
        <v/>
      </c>
    </row>
    <row r="840">
      <c r="A840" s="15">
        <f>Murid!A840</f>
        <v/>
      </c>
      <c r="B840" s="15">
        <f>IF(Murid!B840="","",Murid!B840)</f>
        <v/>
      </c>
      <c r="C840" s="16">
        <f>IF(Murid!C840="","",Murid!C840)</f>
        <v/>
      </c>
      <c r="D840" s="15">
        <f>IF(Murid!E840="","",Murid!E840)</f>
        <v/>
      </c>
      <c r="E840" s="11" t="n"/>
      <c r="F840" s="11" t="n"/>
      <c r="G840" s="10">
        <f>IF(F840="","",IFERROR(VLOOKUP(F840,T_JSP,2,FALSE),0))</f>
        <v/>
      </c>
      <c r="H840" s="11" t="n"/>
      <c r="I840" s="17">
        <f>IF(H840="","",IF(H840&gt;=12,40,ROUND(H840*3.33,2)))</f>
        <v/>
      </c>
      <c r="J840" s="11" t="n"/>
      <c r="K840" s="11" t="n"/>
      <c r="L840" s="11" t="n"/>
      <c r="M840" s="11" t="n"/>
      <c r="N840" s="10">
        <f>IF(COUNTA(J840:M840)=0,"",MIN(10,SUMPRODUCT((COUNTIF(J840:M840,L_KOM)&gt;0)*S_KOM)))</f>
        <v/>
      </c>
      <c r="O840" s="11" t="n"/>
      <c r="P840" s="10">
        <f>IF(O840="","",IFERROR(VLOOKUP(O840,T_KHID,2,FALSE),0))</f>
        <v/>
      </c>
      <c r="Q840" s="11" t="n"/>
      <c r="R840" s="11" t="n"/>
      <c r="S840" s="10">
        <f>IF(AND(Q840="",R840=""),"",IFERROR(INDEX(T_LIBAT,MATCH(Q840,L_PER,0),MATCH(R840,L_JENIS,0)),0))</f>
        <v/>
      </c>
      <c r="T840" s="11" t="n"/>
      <c r="U840" s="11" t="n"/>
      <c r="V840" s="10">
        <f>IF(AND(T840="",U840=""),"",IFERROR(INDEX(T_CAPAI,MATCH(T840,L_PER,0),MATCH(U840,L_KED,0)),0))</f>
        <v/>
      </c>
      <c r="W840" s="17">
        <f>IF(OR(B840="",E840="",COUNTA(F840,H840,J840:M840,O840,Q840:R840,T840:U840)=0),"",SUM(G840,I840,N840,P840,S840,V840))</f>
        <v/>
      </c>
      <c r="X840" s="18">
        <f>IF(W840="","",IF(Murid!F840="TL","TL",ROUND(W840/110*100,2)))</f>
        <v/>
      </c>
    </row>
    <row r="841">
      <c r="A841" s="15">
        <f>Murid!A841</f>
        <v/>
      </c>
      <c r="B841" s="15">
        <f>IF(Murid!B841="","",Murid!B841)</f>
        <v/>
      </c>
      <c r="C841" s="16">
        <f>IF(Murid!C841="","",Murid!C841)</f>
        <v/>
      </c>
      <c r="D841" s="15">
        <f>IF(Murid!E841="","",Murid!E841)</f>
        <v/>
      </c>
      <c r="E841" s="11" t="n"/>
      <c r="F841" s="11" t="n"/>
      <c r="G841" s="10">
        <f>IF(F841="","",IFERROR(VLOOKUP(F841,T_JSP,2,FALSE),0))</f>
        <v/>
      </c>
      <c r="H841" s="11" t="n"/>
      <c r="I841" s="17">
        <f>IF(H841="","",IF(H841&gt;=12,40,ROUND(H841*3.33,2)))</f>
        <v/>
      </c>
      <c r="J841" s="11" t="n"/>
      <c r="K841" s="11" t="n"/>
      <c r="L841" s="11" t="n"/>
      <c r="M841" s="11" t="n"/>
      <c r="N841" s="10">
        <f>IF(COUNTA(J841:M841)=0,"",MIN(10,SUMPRODUCT((COUNTIF(J841:M841,L_KOM)&gt;0)*S_KOM)))</f>
        <v/>
      </c>
      <c r="O841" s="11" t="n"/>
      <c r="P841" s="10">
        <f>IF(O841="","",IFERROR(VLOOKUP(O841,T_KHID,2,FALSE),0))</f>
        <v/>
      </c>
      <c r="Q841" s="11" t="n"/>
      <c r="R841" s="11" t="n"/>
      <c r="S841" s="10">
        <f>IF(AND(Q841="",R841=""),"",IFERROR(INDEX(T_LIBAT,MATCH(Q841,L_PER,0),MATCH(R841,L_JENIS,0)),0))</f>
        <v/>
      </c>
      <c r="T841" s="11" t="n"/>
      <c r="U841" s="11" t="n"/>
      <c r="V841" s="10">
        <f>IF(AND(T841="",U841=""),"",IFERROR(INDEX(T_CAPAI,MATCH(T841,L_PER,0),MATCH(U841,L_KED,0)),0))</f>
        <v/>
      </c>
      <c r="W841" s="17">
        <f>IF(OR(B841="",E841="",COUNTA(F841,H841,J841:M841,O841,Q841:R841,T841:U841)=0),"",SUM(G841,I841,N841,P841,S841,V841))</f>
        <v/>
      </c>
      <c r="X841" s="18">
        <f>IF(W841="","",IF(Murid!F841="TL","TL",ROUND(W841/110*100,2)))</f>
        <v/>
      </c>
    </row>
    <row r="842">
      <c r="A842" s="15">
        <f>Murid!A842</f>
        <v/>
      </c>
      <c r="B842" s="15">
        <f>IF(Murid!B842="","",Murid!B842)</f>
        <v/>
      </c>
      <c r="C842" s="16">
        <f>IF(Murid!C842="","",Murid!C842)</f>
        <v/>
      </c>
      <c r="D842" s="15">
        <f>IF(Murid!E842="","",Murid!E842)</f>
        <v/>
      </c>
      <c r="E842" s="11" t="n"/>
      <c r="F842" s="11" t="n"/>
      <c r="G842" s="10">
        <f>IF(F842="","",IFERROR(VLOOKUP(F842,T_JSP,2,FALSE),0))</f>
        <v/>
      </c>
      <c r="H842" s="11" t="n"/>
      <c r="I842" s="17">
        <f>IF(H842="","",IF(H842&gt;=12,40,ROUND(H842*3.33,2)))</f>
        <v/>
      </c>
      <c r="J842" s="11" t="n"/>
      <c r="K842" s="11" t="n"/>
      <c r="L842" s="11" t="n"/>
      <c r="M842" s="11" t="n"/>
      <c r="N842" s="10">
        <f>IF(COUNTA(J842:M842)=0,"",MIN(10,SUMPRODUCT((COUNTIF(J842:M842,L_KOM)&gt;0)*S_KOM)))</f>
        <v/>
      </c>
      <c r="O842" s="11" t="n"/>
      <c r="P842" s="10">
        <f>IF(O842="","",IFERROR(VLOOKUP(O842,T_KHID,2,FALSE),0))</f>
        <v/>
      </c>
      <c r="Q842" s="11" t="n"/>
      <c r="R842" s="11" t="n"/>
      <c r="S842" s="10">
        <f>IF(AND(Q842="",R842=""),"",IFERROR(INDEX(T_LIBAT,MATCH(Q842,L_PER,0),MATCH(R842,L_JENIS,0)),0))</f>
        <v/>
      </c>
      <c r="T842" s="11" t="n"/>
      <c r="U842" s="11" t="n"/>
      <c r="V842" s="10">
        <f>IF(AND(T842="",U842=""),"",IFERROR(INDEX(T_CAPAI,MATCH(T842,L_PER,0),MATCH(U842,L_KED,0)),0))</f>
        <v/>
      </c>
      <c r="W842" s="17">
        <f>IF(OR(B842="",E842="",COUNTA(F842,H842,J842:M842,O842,Q842:R842,T842:U842)=0),"",SUM(G842,I842,N842,P842,S842,V842))</f>
        <v/>
      </c>
      <c r="X842" s="18">
        <f>IF(W842="","",IF(Murid!F842="TL","TL",ROUND(W842/110*100,2)))</f>
        <v/>
      </c>
    </row>
    <row r="843">
      <c r="A843" s="15">
        <f>Murid!A843</f>
        <v/>
      </c>
      <c r="B843" s="15">
        <f>IF(Murid!B843="","",Murid!B843)</f>
        <v/>
      </c>
      <c r="C843" s="16">
        <f>IF(Murid!C843="","",Murid!C843)</f>
        <v/>
      </c>
      <c r="D843" s="15">
        <f>IF(Murid!E843="","",Murid!E843)</f>
        <v/>
      </c>
      <c r="E843" s="11" t="n"/>
      <c r="F843" s="11" t="n"/>
      <c r="G843" s="10">
        <f>IF(F843="","",IFERROR(VLOOKUP(F843,T_JSP,2,FALSE),0))</f>
        <v/>
      </c>
      <c r="H843" s="11" t="n"/>
      <c r="I843" s="17">
        <f>IF(H843="","",IF(H843&gt;=12,40,ROUND(H843*3.33,2)))</f>
        <v/>
      </c>
      <c r="J843" s="11" t="n"/>
      <c r="K843" s="11" t="n"/>
      <c r="L843" s="11" t="n"/>
      <c r="M843" s="11" t="n"/>
      <c r="N843" s="10">
        <f>IF(COUNTA(J843:M843)=0,"",MIN(10,SUMPRODUCT((COUNTIF(J843:M843,L_KOM)&gt;0)*S_KOM)))</f>
        <v/>
      </c>
      <c r="O843" s="11" t="n"/>
      <c r="P843" s="10">
        <f>IF(O843="","",IFERROR(VLOOKUP(O843,T_KHID,2,FALSE),0))</f>
        <v/>
      </c>
      <c r="Q843" s="11" t="n"/>
      <c r="R843" s="11" t="n"/>
      <c r="S843" s="10">
        <f>IF(AND(Q843="",R843=""),"",IFERROR(INDEX(T_LIBAT,MATCH(Q843,L_PER,0),MATCH(R843,L_JENIS,0)),0))</f>
        <v/>
      </c>
      <c r="T843" s="11" t="n"/>
      <c r="U843" s="11" t="n"/>
      <c r="V843" s="10">
        <f>IF(AND(T843="",U843=""),"",IFERROR(INDEX(T_CAPAI,MATCH(T843,L_PER,0),MATCH(U843,L_KED,0)),0))</f>
        <v/>
      </c>
      <c r="W843" s="17">
        <f>IF(OR(B843="",E843="",COUNTA(F843,H843,J843:M843,O843,Q843:R843,T843:U843)=0),"",SUM(G843,I843,N843,P843,S843,V843))</f>
        <v/>
      </c>
      <c r="X843" s="18">
        <f>IF(W843="","",IF(Murid!F843="TL","TL",ROUND(W843/110*100,2)))</f>
        <v/>
      </c>
    </row>
    <row r="844">
      <c r="A844" s="15">
        <f>Murid!A844</f>
        <v/>
      </c>
      <c r="B844" s="15">
        <f>IF(Murid!B844="","",Murid!B844)</f>
        <v/>
      </c>
      <c r="C844" s="16">
        <f>IF(Murid!C844="","",Murid!C844)</f>
        <v/>
      </c>
      <c r="D844" s="15">
        <f>IF(Murid!E844="","",Murid!E844)</f>
        <v/>
      </c>
      <c r="E844" s="11" t="n"/>
      <c r="F844" s="11" t="n"/>
      <c r="G844" s="10">
        <f>IF(F844="","",IFERROR(VLOOKUP(F844,T_JSP,2,FALSE),0))</f>
        <v/>
      </c>
      <c r="H844" s="11" t="n"/>
      <c r="I844" s="17">
        <f>IF(H844="","",IF(H844&gt;=12,40,ROUND(H844*3.33,2)))</f>
        <v/>
      </c>
      <c r="J844" s="11" t="n"/>
      <c r="K844" s="11" t="n"/>
      <c r="L844" s="11" t="n"/>
      <c r="M844" s="11" t="n"/>
      <c r="N844" s="10">
        <f>IF(COUNTA(J844:M844)=0,"",MIN(10,SUMPRODUCT((COUNTIF(J844:M844,L_KOM)&gt;0)*S_KOM)))</f>
        <v/>
      </c>
      <c r="O844" s="11" t="n"/>
      <c r="P844" s="10">
        <f>IF(O844="","",IFERROR(VLOOKUP(O844,T_KHID,2,FALSE),0))</f>
        <v/>
      </c>
      <c r="Q844" s="11" t="n"/>
      <c r="R844" s="11" t="n"/>
      <c r="S844" s="10">
        <f>IF(AND(Q844="",R844=""),"",IFERROR(INDEX(T_LIBAT,MATCH(Q844,L_PER,0),MATCH(R844,L_JENIS,0)),0))</f>
        <v/>
      </c>
      <c r="T844" s="11" t="n"/>
      <c r="U844" s="11" t="n"/>
      <c r="V844" s="10">
        <f>IF(AND(T844="",U844=""),"",IFERROR(INDEX(T_CAPAI,MATCH(T844,L_PER,0),MATCH(U844,L_KED,0)),0))</f>
        <v/>
      </c>
      <c r="W844" s="17">
        <f>IF(OR(B844="",E844="",COUNTA(F844,H844,J844:M844,O844,Q844:R844,T844:U844)=0),"",SUM(G844,I844,N844,P844,S844,V844))</f>
        <v/>
      </c>
      <c r="X844" s="18">
        <f>IF(W844="","",IF(Murid!F844="TL","TL",ROUND(W844/110*100,2)))</f>
        <v/>
      </c>
    </row>
    <row r="845">
      <c r="A845" s="15">
        <f>Murid!A845</f>
        <v/>
      </c>
      <c r="B845" s="15">
        <f>IF(Murid!B845="","",Murid!B845)</f>
        <v/>
      </c>
      <c r="C845" s="16">
        <f>IF(Murid!C845="","",Murid!C845)</f>
        <v/>
      </c>
      <c r="D845" s="15">
        <f>IF(Murid!E845="","",Murid!E845)</f>
        <v/>
      </c>
      <c r="E845" s="11" t="n"/>
      <c r="F845" s="11" t="n"/>
      <c r="G845" s="10">
        <f>IF(F845="","",IFERROR(VLOOKUP(F845,T_JSP,2,FALSE),0))</f>
        <v/>
      </c>
      <c r="H845" s="11" t="n"/>
      <c r="I845" s="17">
        <f>IF(H845="","",IF(H845&gt;=12,40,ROUND(H845*3.33,2)))</f>
        <v/>
      </c>
      <c r="J845" s="11" t="n"/>
      <c r="K845" s="11" t="n"/>
      <c r="L845" s="11" t="n"/>
      <c r="M845" s="11" t="n"/>
      <c r="N845" s="10">
        <f>IF(COUNTA(J845:M845)=0,"",MIN(10,SUMPRODUCT((COUNTIF(J845:M845,L_KOM)&gt;0)*S_KOM)))</f>
        <v/>
      </c>
      <c r="O845" s="11" t="n"/>
      <c r="P845" s="10">
        <f>IF(O845="","",IFERROR(VLOOKUP(O845,T_KHID,2,FALSE),0))</f>
        <v/>
      </c>
      <c r="Q845" s="11" t="n"/>
      <c r="R845" s="11" t="n"/>
      <c r="S845" s="10">
        <f>IF(AND(Q845="",R845=""),"",IFERROR(INDEX(T_LIBAT,MATCH(Q845,L_PER,0),MATCH(R845,L_JENIS,0)),0))</f>
        <v/>
      </c>
      <c r="T845" s="11" t="n"/>
      <c r="U845" s="11" t="n"/>
      <c r="V845" s="10">
        <f>IF(AND(T845="",U845=""),"",IFERROR(INDEX(T_CAPAI,MATCH(T845,L_PER,0),MATCH(U845,L_KED,0)),0))</f>
        <v/>
      </c>
      <c r="W845" s="17">
        <f>IF(OR(B845="",E845="",COUNTA(F845,H845,J845:M845,O845,Q845:R845,T845:U845)=0),"",SUM(G845,I845,N845,P845,S845,V845))</f>
        <v/>
      </c>
      <c r="X845" s="18">
        <f>IF(W845="","",IF(Murid!F845="TL","TL",ROUND(W845/110*100,2)))</f>
        <v/>
      </c>
    </row>
    <row r="846">
      <c r="A846" s="15">
        <f>Murid!A846</f>
        <v/>
      </c>
      <c r="B846" s="15">
        <f>IF(Murid!B846="","",Murid!B846)</f>
        <v/>
      </c>
      <c r="C846" s="16">
        <f>IF(Murid!C846="","",Murid!C846)</f>
        <v/>
      </c>
      <c r="D846" s="15">
        <f>IF(Murid!E846="","",Murid!E846)</f>
        <v/>
      </c>
      <c r="E846" s="11" t="n"/>
      <c r="F846" s="11" t="n"/>
      <c r="G846" s="10">
        <f>IF(F846="","",IFERROR(VLOOKUP(F846,T_JSP,2,FALSE),0))</f>
        <v/>
      </c>
      <c r="H846" s="11" t="n"/>
      <c r="I846" s="17">
        <f>IF(H846="","",IF(H846&gt;=12,40,ROUND(H846*3.33,2)))</f>
        <v/>
      </c>
      <c r="J846" s="11" t="n"/>
      <c r="K846" s="11" t="n"/>
      <c r="L846" s="11" t="n"/>
      <c r="M846" s="11" t="n"/>
      <c r="N846" s="10">
        <f>IF(COUNTA(J846:M846)=0,"",MIN(10,SUMPRODUCT((COUNTIF(J846:M846,L_KOM)&gt;0)*S_KOM)))</f>
        <v/>
      </c>
      <c r="O846" s="11" t="n"/>
      <c r="P846" s="10">
        <f>IF(O846="","",IFERROR(VLOOKUP(O846,T_KHID,2,FALSE),0))</f>
        <v/>
      </c>
      <c r="Q846" s="11" t="n"/>
      <c r="R846" s="11" t="n"/>
      <c r="S846" s="10">
        <f>IF(AND(Q846="",R846=""),"",IFERROR(INDEX(T_LIBAT,MATCH(Q846,L_PER,0),MATCH(R846,L_JENIS,0)),0))</f>
        <v/>
      </c>
      <c r="T846" s="11" t="n"/>
      <c r="U846" s="11" t="n"/>
      <c r="V846" s="10">
        <f>IF(AND(T846="",U846=""),"",IFERROR(INDEX(T_CAPAI,MATCH(T846,L_PER,0),MATCH(U846,L_KED,0)),0))</f>
        <v/>
      </c>
      <c r="W846" s="17">
        <f>IF(OR(B846="",E846="",COUNTA(F846,H846,J846:M846,O846,Q846:R846,T846:U846)=0),"",SUM(G846,I846,N846,P846,S846,V846))</f>
        <v/>
      </c>
      <c r="X846" s="18">
        <f>IF(W846="","",IF(Murid!F846="TL","TL",ROUND(W846/110*100,2)))</f>
        <v/>
      </c>
    </row>
    <row r="847">
      <c r="A847" s="15">
        <f>Murid!A847</f>
        <v/>
      </c>
      <c r="B847" s="15">
        <f>IF(Murid!B847="","",Murid!B847)</f>
        <v/>
      </c>
      <c r="C847" s="16">
        <f>IF(Murid!C847="","",Murid!C847)</f>
        <v/>
      </c>
      <c r="D847" s="15">
        <f>IF(Murid!E847="","",Murid!E847)</f>
        <v/>
      </c>
      <c r="E847" s="11" t="n"/>
      <c r="F847" s="11" t="n"/>
      <c r="G847" s="10">
        <f>IF(F847="","",IFERROR(VLOOKUP(F847,T_JSP,2,FALSE),0))</f>
        <v/>
      </c>
      <c r="H847" s="11" t="n"/>
      <c r="I847" s="17">
        <f>IF(H847="","",IF(H847&gt;=12,40,ROUND(H847*3.33,2)))</f>
        <v/>
      </c>
      <c r="J847" s="11" t="n"/>
      <c r="K847" s="11" t="n"/>
      <c r="L847" s="11" t="n"/>
      <c r="M847" s="11" t="n"/>
      <c r="N847" s="10">
        <f>IF(COUNTA(J847:M847)=0,"",MIN(10,SUMPRODUCT((COUNTIF(J847:M847,L_KOM)&gt;0)*S_KOM)))</f>
        <v/>
      </c>
      <c r="O847" s="11" t="n"/>
      <c r="P847" s="10">
        <f>IF(O847="","",IFERROR(VLOOKUP(O847,T_KHID,2,FALSE),0))</f>
        <v/>
      </c>
      <c r="Q847" s="11" t="n"/>
      <c r="R847" s="11" t="n"/>
      <c r="S847" s="10">
        <f>IF(AND(Q847="",R847=""),"",IFERROR(INDEX(T_LIBAT,MATCH(Q847,L_PER,0),MATCH(R847,L_JENIS,0)),0))</f>
        <v/>
      </c>
      <c r="T847" s="11" t="n"/>
      <c r="U847" s="11" t="n"/>
      <c r="V847" s="10">
        <f>IF(AND(T847="",U847=""),"",IFERROR(INDEX(T_CAPAI,MATCH(T847,L_PER,0),MATCH(U847,L_KED,0)),0))</f>
        <v/>
      </c>
      <c r="W847" s="17">
        <f>IF(OR(B847="",E847="",COUNTA(F847,H847,J847:M847,O847,Q847:R847,T847:U847)=0),"",SUM(G847,I847,N847,P847,S847,V847))</f>
        <v/>
      </c>
      <c r="X847" s="18">
        <f>IF(W847="","",IF(Murid!F847="TL","TL",ROUND(W847/110*100,2)))</f>
        <v/>
      </c>
    </row>
    <row r="848">
      <c r="A848" s="15">
        <f>Murid!A848</f>
        <v/>
      </c>
      <c r="B848" s="15">
        <f>IF(Murid!B848="","",Murid!B848)</f>
        <v/>
      </c>
      <c r="C848" s="16">
        <f>IF(Murid!C848="","",Murid!C848)</f>
        <v/>
      </c>
      <c r="D848" s="15">
        <f>IF(Murid!E848="","",Murid!E848)</f>
        <v/>
      </c>
      <c r="E848" s="11" t="n"/>
      <c r="F848" s="11" t="n"/>
      <c r="G848" s="10">
        <f>IF(F848="","",IFERROR(VLOOKUP(F848,T_JSP,2,FALSE),0))</f>
        <v/>
      </c>
      <c r="H848" s="11" t="n"/>
      <c r="I848" s="17">
        <f>IF(H848="","",IF(H848&gt;=12,40,ROUND(H848*3.33,2)))</f>
        <v/>
      </c>
      <c r="J848" s="11" t="n"/>
      <c r="K848" s="11" t="n"/>
      <c r="L848" s="11" t="n"/>
      <c r="M848" s="11" t="n"/>
      <c r="N848" s="10">
        <f>IF(COUNTA(J848:M848)=0,"",MIN(10,SUMPRODUCT((COUNTIF(J848:M848,L_KOM)&gt;0)*S_KOM)))</f>
        <v/>
      </c>
      <c r="O848" s="11" t="n"/>
      <c r="P848" s="10">
        <f>IF(O848="","",IFERROR(VLOOKUP(O848,T_KHID,2,FALSE),0))</f>
        <v/>
      </c>
      <c r="Q848" s="11" t="n"/>
      <c r="R848" s="11" t="n"/>
      <c r="S848" s="10">
        <f>IF(AND(Q848="",R848=""),"",IFERROR(INDEX(T_LIBAT,MATCH(Q848,L_PER,0),MATCH(R848,L_JENIS,0)),0))</f>
        <v/>
      </c>
      <c r="T848" s="11" t="n"/>
      <c r="U848" s="11" t="n"/>
      <c r="V848" s="10">
        <f>IF(AND(T848="",U848=""),"",IFERROR(INDEX(T_CAPAI,MATCH(T848,L_PER,0),MATCH(U848,L_KED,0)),0))</f>
        <v/>
      </c>
      <c r="W848" s="17">
        <f>IF(OR(B848="",E848="",COUNTA(F848,H848,J848:M848,O848,Q848:R848,T848:U848)=0),"",SUM(G848,I848,N848,P848,S848,V848))</f>
        <v/>
      </c>
      <c r="X848" s="18">
        <f>IF(W848="","",IF(Murid!F848="TL","TL",ROUND(W848/110*100,2)))</f>
        <v/>
      </c>
    </row>
    <row r="849">
      <c r="A849" s="15">
        <f>Murid!A849</f>
        <v/>
      </c>
      <c r="B849" s="15">
        <f>IF(Murid!B849="","",Murid!B849)</f>
        <v/>
      </c>
      <c r="C849" s="16">
        <f>IF(Murid!C849="","",Murid!C849)</f>
        <v/>
      </c>
      <c r="D849" s="15">
        <f>IF(Murid!E849="","",Murid!E849)</f>
        <v/>
      </c>
      <c r="E849" s="11" t="n"/>
      <c r="F849" s="11" t="n"/>
      <c r="G849" s="10">
        <f>IF(F849="","",IFERROR(VLOOKUP(F849,T_JSP,2,FALSE),0))</f>
        <v/>
      </c>
      <c r="H849" s="11" t="n"/>
      <c r="I849" s="17">
        <f>IF(H849="","",IF(H849&gt;=12,40,ROUND(H849*3.33,2)))</f>
        <v/>
      </c>
      <c r="J849" s="11" t="n"/>
      <c r="K849" s="11" t="n"/>
      <c r="L849" s="11" t="n"/>
      <c r="M849" s="11" t="n"/>
      <c r="N849" s="10">
        <f>IF(COUNTA(J849:M849)=0,"",MIN(10,SUMPRODUCT((COUNTIF(J849:M849,L_KOM)&gt;0)*S_KOM)))</f>
        <v/>
      </c>
      <c r="O849" s="11" t="n"/>
      <c r="P849" s="10">
        <f>IF(O849="","",IFERROR(VLOOKUP(O849,T_KHID,2,FALSE),0))</f>
        <v/>
      </c>
      <c r="Q849" s="11" t="n"/>
      <c r="R849" s="11" t="n"/>
      <c r="S849" s="10">
        <f>IF(AND(Q849="",R849=""),"",IFERROR(INDEX(T_LIBAT,MATCH(Q849,L_PER,0),MATCH(R849,L_JENIS,0)),0))</f>
        <v/>
      </c>
      <c r="T849" s="11" t="n"/>
      <c r="U849" s="11" t="n"/>
      <c r="V849" s="10">
        <f>IF(AND(T849="",U849=""),"",IFERROR(INDEX(T_CAPAI,MATCH(T849,L_PER,0),MATCH(U849,L_KED,0)),0))</f>
        <v/>
      </c>
      <c r="W849" s="17">
        <f>IF(OR(B849="",E849="",COUNTA(F849,H849,J849:M849,O849,Q849:R849,T849:U849)=0),"",SUM(G849,I849,N849,P849,S849,V849))</f>
        <v/>
      </c>
      <c r="X849" s="18">
        <f>IF(W849="","",IF(Murid!F849="TL","TL",ROUND(W849/110*100,2)))</f>
        <v/>
      </c>
    </row>
    <row r="850">
      <c r="A850" s="15">
        <f>Murid!A850</f>
        <v/>
      </c>
      <c r="B850" s="15">
        <f>IF(Murid!B850="","",Murid!B850)</f>
        <v/>
      </c>
      <c r="C850" s="16">
        <f>IF(Murid!C850="","",Murid!C850)</f>
        <v/>
      </c>
      <c r="D850" s="15">
        <f>IF(Murid!E850="","",Murid!E850)</f>
        <v/>
      </c>
      <c r="E850" s="11" t="n"/>
      <c r="F850" s="11" t="n"/>
      <c r="G850" s="10">
        <f>IF(F850="","",IFERROR(VLOOKUP(F850,T_JSP,2,FALSE),0))</f>
        <v/>
      </c>
      <c r="H850" s="11" t="n"/>
      <c r="I850" s="17">
        <f>IF(H850="","",IF(H850&gt;=12,40,ROUND(H850*3.33,2)))</f>
        <v/>
      </c>
      <c r="J850" s="11" t="n"/>
      <c r="K850" s="11" t="n"/>
      <c r="L850" s="11" t="n"/>
      <c r="M850" s="11" t="n"/>
      <c r="N850" s="10">
        <f>IF(COUNTA(J850:M850)=0,"",MIN(10,SUMPRODUCT((COUNTIF(J850:M850,L_KOM)&gt;0)*S_KOM)))</f>
        <v/>
      </c>
      <c r="O850" s="11" t="n"/>
      <c r="P850" s="10">
        <f>IF(O850="","",IFERROR(VLOOKUP(O850,T_KHID,2,FALSE),0))</f>
        <v/>
      </c>
      <c r="Q850" s="11" t="n"/>
      <c r="R850" s="11" t="n"/>
      <c r="S850" s="10">
        <f>IF(AND(Q850="",R850=""),"",IFERROR(INDEX(T_LIBAT,MATCH(Q850,L_PER,0),MATCH(R850,L_JENIS,0)),0))</f>
        <v/>
      </c>
      <c r="T850" s="11" t="n"/>
      <c r="U850" s="11" t="n"/>
      <c r="V850" s="10">
        <f>IF(AND(T850="",U850=""),"",IFERROR(INDEX(T_CAPAI,MATCH(T850,L_PER,0),MATCH(U850,L_KED,0)),0))</f>
        <v/>
      </c>
      <c r="W850" s="17">
        <f>IF(OR(B850="",E850="",COUNTA(F850,H850,J850:M850,O850,Q850:R850,T850:U850)=0),"",SUM(G850,I850,N850,P850,S850,V850))</f>
        <v/>
      </c>
      <c r="X850" s="18">
        <f>IF(W850="","",IF(Murid!F850="TL","TL",ROUND(W850/110*100,2)))</f>
        <v/>
      </c>
    </row>
    <row r="851">
      <c r="A851" s="15">
        <f>Murid!A851</f>
        <v/>
      </c>
      <c r="B851" s="15">
        <f>IF(Murid!B851="","",Murid!B851)</f>
        <v/>
      </c>
      <c r="C851" s="16">
        <f>IF(Murid!C851="","",Murid!C851)</f>
        <v/>
      </c>
      <c r="D851" s="15">
        <f>IF(Murid!E851="","",Murid!E851)</f>
        <v/>
      </c>
      <c r="E851" s="11" t="n"/>
      <c r="F851" s="11" t="n"/>
      <c r="G851" s="10">
        <f>IF(F851="","",IFERROR(VLOOKUP(F851,T_JSP,2,FALSE),0))</f>
        <v/>
      </c>
      <c r="H851" s="11" t="n"/>
      <c r="I851" s="17">
        <f>IF(H851="","",IF(H851&gt;=12,40,ROUND(H851*3.33,2)))</f>
        <v/>
      </c>
      <c r="J851" s="11" t="n"/>
      <c r="K851" s="11" t="n"/>
      <c r="L851" s="11" t="n"/>
      <c r="M851" s="11" t="n"/>
      <c r="N851" s="10">
        <f>IF(COUNTA(J851:M851)=0,"",MIN(10,SUMPRODUCT((COUNTIF(J851:M851,L_KOM)&gt;0)*S_KOM)))</f>
        <v/>
      </c>
      <c r="O851" s="11" t="n"/>
      <c r="P851" s="10">
        <f>IF(O851="","",IFERROR(VLOOKUP(O851,T_KHID,2,FALSE),0))</f>
        <v/>
      </c>
      <c r="Q851" s="11" t="n"/>
      <c r="R851" s="11" t="n"/>
      <c r="S851" s="10">
        <f>IF(AND(Q851="",R851=""),"",IFERROR(INDEX(T_LIBAT,MATCH(Q851,L_PER,0),MATCH(R851,L_JENIS,0)),0))</f>
        <v/>
      </c>
      <c r="T851" s="11" t="n"/>
      <c r="U851" s="11" t="n"/>
      <c r="V851" s="10">
        <f>IF(AND(T851="",U851=""),"",IFERROR(INDEX(T_CAPAI,MATCH(T851,L_PER,0),MATCH(U851,L_KED,0)),0))</f>
        <v/>
      </c>
      <c r="W851" s="17">
        <f>IF(OR(B851="",E851="",COUNTA(F851,H851,J851:M851,O851,Q851:R851,T851:U851)=0),"",SUM(G851,I851,N851,P851,S851,V851))</f>
        <v/>
      </c>
      <c r="X851" s="18">
        <f>IF(W851="","",IF(Murid!F851="TL","TL",ROUND(W851/110*100,2)))</f>
        <v/>
      </c>
    </row>
    <row r="852">
      <c r="A852" s="15">
        <f>Murid!A852</f>
        <v/>
      </c>
      <c r="B852" s="15">
        <f>IF(Murid!B852="","",Murid!B852)</f>
        <v/>
      </c>
      <c r="C852" s="16">
        <f>IF(Murid!C852="","",Murid!C852)</f>
        <v/>
      </c>
      <c r="D852" s="15">
        <f>IF(Murid!E852="","",Murid!E852)</f>
        <v/>
      </c>
      <c r="E852" s="11" t="n"/>
      <c r="F852" s="11" t="n"/>
      <c r="G852" s="10">
        <f>IF(F852="","",IFERROR(VLOOKUP(F852,T_JSP,2,FALSE),0))</f>
        <v/>
      </c>
      <c r="H852" s="11" t="n"/>
      <c r="I852" s="17">
        <f>IF(H852="","",IF(H852&gt;=12,40,ROUND(H852*3.33,2)))</f>
        <v/>
      </c>
      <c r="J852" s="11" t="n"/>
      <c r="K852" s="11" t="n"/>
      <c r="L852" s="11" t="n"/>
      <c r="M852" s="11" t="n"/>
      <c r="N852" s="10">
        <f>IF(COUNTA(J852:M852)=0,"",MIN(10,SUMPRODUCT((COUNTIF(J852:M852,L_KOM)&gt;0)*S_KOM)))</f>
        <v/>
      </c>
      <c r="O852" s="11" t="n"/>
      <c r="P852" s="10">
        <f>IF(O852="","",IFERROR(VLOOKUP(O852,T_KHID,2,FALSE),0))</f>
        <v/>
      </c>
      <c r="Q852" s="11" t="n"/>
      <c r="R852" s="11" t="n"/>
      <c r="S852" s="10">
        <f>IF(AND(Q852="",R852=""),"",IFERROR(INDEX(T_LIBAT,MATCH(Q852,L_PER,0),MATCH(R852,L_JENIS,0)),0))</f>
        <v/>
      </c>
      <c r="T852" s="11" t="n"/>
      <c r="U852" s="11" t="n"/>
      <c r="V852" s="10">
        <f>IF(AND(T852="",U852=""),"",IFERROR(INDEX(T_CAPAI,MATCH(T852,L_PER,0),MATCH(U852,L_KED,0)),0))</f>
        <v/>
      </c>
      <c r="W852" s="17">
        <f>IF(OR(B852="",E852="",COUNTA(F852,H852,J852:M852,O852,Q852:R852,T852:U852)=0),"",SUM(G852,I852,N852,P852,S852,V852))</f>
        <v/>
      </c>
      <c r="X852" s="18">
        <f>IF(W852="","",IF(Murid!F852="TL","TL",ROUND(W852/110*100,2)))</f>
        <v/>
      </c>
    </row>
    <row r="853">
      <c r="A853" s="15">
        <f>Murid!A853</f>
        <v/>
      </c>
      <c r="B853" s="15">
        <f>IF(Murid!B853="","",Murid!B853)</f>
        <v/>
      </c>
      <c r="C853" s="16">
        <f>IF(Murid!C853="","",Murid!C853)</f>
        <v/>
      </c>
      <c r="D853" s="15">
        <f>IF(Murid!E853="","",Murid!E853)</f>
        <v/>
      </c>
      <c r="E853" s="11" t="n"/>
      <c r="F853" s="11" t="n"/>
      <c r="G853" s="10">
        <f>IF(F853="","",IFERROR(VLOOKUP(F853,T_JSP,2,FALSE),0))</f>
        <v/>
      </c>
      <c r="H853" s="11" t="n"/>
      <c r="I853" s="17">
        <f>IF(H853="","",IF(H853&gt;=12,40,ROUND(H853*3.33,2)))</f>
        <v/>
      </c>
      <c r="J853" s="11" t="n"/>
      <c r="K853" s="11" t="n"/>
      <c r="L853" s="11" t="n"/>
      <c r="M853" s="11" t="n"/>
      <c r="N853" s="10">
        <f>IF(COUNTA(J853:M853)=0,"",MIN(10,SUMPRODUCT((COUNTIF(J853:M853,L_KOM)&gt;0)*S_KOM)))</f>
        <v/>
      </c>
      <c r="O853" s="11" t="n"/>
      <c r="P853" s="10">
        <f>IF(O853="","",IFERROR(VLOOKUP(O853,T_KHID,2,FALSE),0))</f>
        <v/>
      </c>
      <c r="Q853" s="11" t="n"/>
      <c r="R853" s="11" t="n"/>
      <c r="S853" s="10">
        <f>IF(AND(Q853="",R853=""),"",IFERROR(INDEX(T_LIBAT,MATCH(Q853,L_PER,0),MATCH(R853,L_JENIS,0)),0))</f>
        <v/>
      </c>
      <c r="T853" s="11" t="n"/>
      <c r="U853" s="11" t="n"/>
      <c r="V853" s="10">
        <f>IF(AND(T853="",U853=""),"",IFERROR(INDEX(T_CAPAI,MATCH(T853,L_PER,0),MATCH(U853,L_KED,0)),0))</f>
        <v/>
      </c>
      <c r="W853" s="17">
        <f>IF(OR(B853="",E853="",COUNTA(F853,H853,J853:M853,O853,Q853:R853,T853:U853)=0),"",SUM(G853,I853,N853,P853,S853,V853))</f>
        <v/>
      </c>
      <c r="X853" s="18">
        <f>IF(W853="","",IF(Murid!F853="TL","TL",ROUND(W853/110*100,2)))</f>
        <v/>
      </c>
    </row>
    <row r="854">
      <c r="A854" s="15">
        <f>Murid!A854</f>
        <v/>
      </c>
      <c r="B854" s="15">
        <f>IF(Murid!B854="","",Murid!B854)</f>
        <v/>
      </c>
      <c r="C854" s="16">
        <f>IF(Murid!C854="","",Murid!C854)</f>
        <v/>
      </c>
      <c r="D854" s="15">
        <f>IF(Murid!E854="","",Murid!E854)</f>
        <v/>
      </c>
      <c r="E854" s="11" t="n"/>
      <c r="F854" s="11" t="n"/>
      <c r="G854" s="10">
        <f>IF(F854="","",IFERROR(VLOOKUP(F854,T_JSP,2,FALSE),0))</f>
        <v/>
      </c>
      <c r="H854" s="11" t="n"/>
      <c r="I854" s="17">
        <f>IF(H854="","",IF(H854&gt;=12,40,ROUND(H854*3.33,2)))</f>
        <v/>
      </c>
      <c r="J854" s="11" t="n"/>
      <c r="K854" s="11" t="n"/>
      <c r="L854" s="11" t="n"/>
      <c r="M854" s="11" t="n"/>
      <c r="N854" s="10">
        <f>IF(COUNTA(J854:M854)=0,"",MIN(10,SUMPRODUCT((COUNTIF(J854:M854,L_KOM)&gt;0)*S_KOM)))</f>
        <v/>
      </c>
      <c r="O854" s="11" t="n"/>
      <c r="P854" s="10">
        <f>IF(O854="","",IFERROR(VLOOKUP(O854,T_KHID,2,FALSE),0))</f>
        <v/>
      </c>
      <c r="Q854" s="11" t="n"/>
      <c r="R854" s="11" t="n"/>
      <c r="S854" s="10">
        <f>IF(AND(Q854="",R854=""),"",IFERROR(INDEX(T_LIBAT,MATCH(Q854,L_PER,0),MATCH(R854,L_JENIS,0)),0))</f>
        <v/>
      </c>
      <c r="T854" s="11" t="n"/>
      <c r="U854" s="11" t="n"/>
      <c r="V854" s="10">
        <f>IF(AND(T854="",U854=""),"",IFERROR(INDEX(T_CAPAI,MATCH(T854,L_PER,0),MATCH(U854,L_KED,0)),0))</f>
        <v/>
      </c>
      <c r="W854" s="17">
        <f>IF(OR(B854="",E854="",COUNTA(F854,H854,J854:M854,O854,Q854:R854,T854:U854)=0),"",SUM(G854,I854,N854,P854,S854,V854))</f>
        <v/>
      </c>
      <c r="X854" s="18">
        <f>IF(W854="","",IF(Murid!F854="TL","TL",ROUND(W854/110*100,2)))</f>
        <v/>
      </c>
    </row>
    <row r="855">
      <c r="A855" s="15">
        <f>Murid!A855</f>
        <v/>
      </c>
      <c r="B855" s="15">
        <f>IF(Murid!B855="","",Murid!B855)</f>
        <v/>
      </c>
      <c r="C855" s="16">
        <f>IF(Murid!C855="","",Murid!C855)</f>
        <v/>
      </c>
      <c r="D855" s="15">
        <f>IF(Murid!E855="","",Murid!E855)</f>
        <v/>
      </c>
      <c r="E855" s="11" t="n"/>
      <c r="F855" s="11" t="n"/>
      <c r="G855" s="10">
        <f>IF(F855="","",IFERROR(VLOOKUP(F855,T_JSP,2,FALSE),0))</f>
        <v/>
      </c>
      <c r="H855" s="11" t="n"/>
      <c r="I855" s="17">
        <f>IF(H855="","",IF(H855&gt;=12,40,ROUND(H855*3.33,2)))</f>
        <v/>
      </c>
      <c r="J855" s="11" t="n"/>
      <c r="K855" s="11" t="n"/>
      <c r="L855" s="11" t="n"/>
      <c r="M855" s="11" t="n"/>
      <c r="N855" s="10">
        <f>IF(COUNTA(J855:M855)=0,"",MIN(10,SUMPRODUCT((COUNTIF(J855:M855,L_KOM)&gt;0)*S_KOM)))</f>
        <v/>
      </c>
      <c r="O855" s="11" t="n"/>
      <c r="P855" s="10">
        <f>IF(O855="","",IFERROR(VLOOKUP(O855,T_KHID,2,FALSE),0))</f>
        <v/>
      </c>
      <c r="Q855" s="11" t="n"/>
      <c r="R855" s="11" t="n"/>
      <c r="S855" s="10">
        <f>IF(AND(Q855="",R855=""),"",IFERROR(INDEX(T_LIBAT,MATCH(Q855,L_PER,0),MATCH(R855,L_JENIS,0)),0))</f>
        <v/>
      </c>
      <c r="T855" s="11" t="n"/>
      <c r="U855" s="11" t="n"/>
      <c r="V855" s="10">
        <f>IF(AND(T855="",U855=""),"",IFERROR(INDEX(T_CAPAI,MATCH(T855,L_PER,0),MATCH(U855,L_KED,0)),0))</f>
        <v/>
      </c>
      <c r="W855" s="17">
        <f>IF(OR(B855="",E855="",COUNTA(F855,H855,J855:M855,O855,Q855:R855,T855:U855)=0),"",SUM(G855,I855,N855,P855,S855,V855))</f>
        <v/>
      </c>
      <c r="X855" s="18">
        <f>IF(W855="","",IF(Murid!F855="TL","TL",ROUND(W855/110*100,2)))</f>
        <v/>
      </c>
    </row>
    <row r="856">
      <c r="A856" s="15">
        <f>Murid!A856</f>
        <v/>
      </c>
      <c r="B856" s="15">
        <f>IF(Murid!B856="","",Murid!B856)</f>
        <v/>
      </c>
      <c r="C856" s="16">
        <f>IF(Murid!C856="","",Murid!C856)</f>
        <v/>
      </c>
      <c r="D856" s="15">
        <f>IF(Murid!E856="","",Murid!E856)</f>
        <v/>
      </c>
      <c r="E856" s="11" t="n"/>
      <c r="F856" s="11" t="n"/>
      <c r="G856" s="10">
        <f>IF(F856="","",IFERROR(VLOOKUP(F856,T_JSP,2,FALSE),0))</f>
        <v/>
      </c>
      <c r="H856" s="11" t="n"/>
      <c r="I856" s="17">
        <f>IF(H856="","",IF(H856&gt;=12,40,ROUND(H856*3.33,2)))</f>
        <v/>
      </c>
      <c r="J856" s="11" t="n"/>
      <c r="K856" s="11" t="n"/>
      <c r="L856" s="11" t="n"/>
      <c r="M856" s="11" t="n"/>
      <c r="N856" s="10">
        <f>IF(COUNTA(J856:M856)=0,"",MIN(10,SUMPRODUCT((COUNTIF(J856:M856,L_KOM)&gt;0)*S_KOM)))</f>
        <v/>
      </c>
      <c r="O856" s="11" t="n"/>
      <c r="P856" s="10">
        <f>IF(O856="","",IFERROR(VLOOKUP(O856,T_KHID,2,FALSE),0))</f>
        <v/>
      </c>
      <c r="Q856" s="11" t="n"/>
      <c r="R856" s="11" t="n"/>
      <c r="S856" s="10">
        <f>IF(AND(Q856="",R856=""),"",IFERROR(INDEX(T_LIBAT,MATCH(Q856,L_PER,0),MATCH(R856,L_JENIS,0)),0))</f>
        <v/>
      </c>
      <c r="T856" s="11" t="n"/>
      <c r="U856" s="11" t="n"/>
      <c r="V856" s="10">
        <f>IF(AND(T856="",U856=""),"",IFERROR(INDEX(T_CAPAI,MATCH(T856,L_PER,0),MATCH(U856,L_KED,0)),0))</f>
        <v/>
      </c>
      <c r="W856" s="17">
        <f>IF(OR(B856="",E856="",COUNTA(F856,H856,J856:M856,O856,Q856:R856,T856:U856)=0),"",SUM(G856,I856,N856,P856,S856,V856))</f>
        <v/>
      </c>
      <c r="X856" s="18">
        <f>IF(W856="","",IF(Murid!F856="TL","TL",ROUND(W856/110*100,2)))</f>
        <v/>
      </c>
    </row>
    <row r="857">
      <c r="A857" s="15">
        <f>Murid!A857</f>
        <v/>
      </c>
      <c r="B857" s="15">
        <f>IF(Murid!B857="","",Murid!B857)</f>
        <v/>
      </c>
      <c r="C857" s="16">
        <f>IF(Murid!C857="","",Murid!C857)</f>
        <v/>
      </c>
      <c r="D857" s="15">
        <f>IF(Murid!E857="","",Murid!E857)</f>
        <v/>
      </c>
      <c r="E857" s="11" t="n"/>
      <c r="F857" s="11" t="n"/>
      <c r="G857" s="10">
        <f>IF(F857="","",IFERROR(VLOOKUP(F857,T_JSP,2,FALSE),0))</f>
        <v/>
      </c>
      <c r="H857" s="11" t="n"/>
      <c r="I857" s="17">
        <f>IF(H857="","",IF(H857&gt;=12,40,ROUND(H857*3.33,2)))</f>
        <v/>
      </c>
      <c r="J857" s="11" t="n"/>
      <c r="K857" s="11" t="n"/>
      <c r="L857" s="11" t="n"/>
      <c r="M857" s="11" t="n"/>
      <c r="N857" s="10">
        <f>IF(COUNTA(J857:M857)=0,"",MIN(10,SUMPRODUCT((COUNTIF(J857:M857,L_KOM)&gt;0)*S_KOM)))</f>
        <v/>
      </c>
      <c r="O857" s="11" t="n"/>
      <c r="P857" s="10">
        <f>IF(O857="","",IFERROR(VLOOKUP(O857,T_KHID,2,FALSE),0))</f>
        <v/>
      </c>
      <c r="Q857" s="11" t="n"/>
      <c r="R857" s="11" t="n"/>
      <c r="S857" s="10">
        <f>IF(AND(Q857="",R857=""),"",IFERROR(INDEX(T_LIBAT,MATCH(Q857,L_PER,0),MATCH(R857,L_JENIS,0)),0))</f>
        <v/>
      </c>
      <c r="T857" s="11" t="n"/>
      <c r="U857" s="11" t="n"/>
      <c r="V857" s="10">
        <f>IF(AND(T857="",U857=""),"",IFERROR(INDEX(T_CAPAI,MATCH(T857,L_PER,0),MATCH(U857,L_KED,0)),0))</f>
        <v/>
      </c>
      <c r="W857" s="17">
        <f>IF(OR(B857="",E857="",COUNTA(F857,H857,J857:M857,O857,Q857:R857,T857:U857)=0),"",SUM(G857,I857,N857,P857,S857,V857))</f>
        <v/>
      </c>
      <c r="X857" s="18">
        <f>IF(W857="","",IF(Murid!F857="TL","TL",ROUND(W857/110*100,2)))</f>
        <v/>
      </c>
    </row>
    <row r="858">
      <c r="A858" s="15">
        <f>Murid!A858</f>
        <v/>
      </c>
      <c r="B858" s="15">
        <f>IF(Murid!B858="","",Murid!B858)</f>
        <v/>
      </c>
      <c r="C858" s="16">
        <f>IF(Murid!C858="","",Murid!C858)</f>
        <v/>
      </c>
      <c r="D858" s="15">
        <f>IF(Murid!E858="","",Murid!E858)</f>
        <v/>
      </c>
      <c r="E858" s="11" t="n"/>
      <c r="F858" s="11" t="n"/>
      <c r="G858" s="10">
        <f>IF(F858="","",IFERROR(VLOOKUP(F858,T_JSP,2,FALSE),0))</f>
        <v/>
      </c>
      <c r="H858" s="11" t="n"/>
      <c r="I858" s="17">
        <f>IF(H858="","",IF(H858&gt;=12,40,ROUND(H858*3.33,2)))</f>
        <v/>
      </c>
      <c r="J858" s="11" t="n"/>
      <c r="K858" s="11" t="n"/>
      <c r="L858" s="11" t="n"/>
      <c r="M858" s="11" t="n"/>
      <c r="N858" s="10">
        <f>IF(COUNTA(J858:M858)=0,"",MIN(10,SUMPRODUCT((COUNTIF(J858:M858,L_KOM)&gt;0)*S_KOM)))</f>
        <v/>
      </c>
      <c r="O858" s="11" t="n"/>
      <c r="P858" s="10">
        <f>IF(O858="","",IFERROR(VLOOKUP(O858,T_KHID,2,FALSE),0))</f>
        <v/>
      </c>
      <c r="Q858" s="11" t="n"/>
      <c r="R858" s="11" t="n"/>
      <c r="S858" s="10">
        <f>IF(AND(Q858="",R858=""),"",IFERROR(INDEX(T_LIBAT,MATCH(Q858,L_PER,0),MATCH(R858,L_JENIS,0)),0))</f>
        <v/>
      </c>
      <c r="T858" s="11" t="n"/>
      <c r="U858" s="11" t="n"/>
      <c r="V858" s="10">
        <f>IF(AND(T858="",U858=""),"",IFERROR(INDEX(T_CAPAI,MATCH(T858,L_PER,0),MATCH(U858,L_KED,0)),0))</f>
        <v/>
      </c>
      <c r="W858" s="17">
        <f>IF(OR(B858="",E858="",COUNTA(F858,H858,J858:M858,O858,Q858:R858,T858:U858)=0),"",SUM(G858,I858,N858,P858,S858,V858))</f>
        <v/>
      </c>
      <c r="X858" s="18">
        <f>IF(W858="","",IF(Murid!F858="TL","TL",ROUND(W858/110*100,2)))</f>
        <v/>
      </c>
    </row>
    <row r="859">
      <c r="A859" s="15">
        <f>Murid!A859</f>
        <v/>
      </c>
      <c r="B859" s="15">
        <f>IF(Murid!B859="","",Murid!B859)</f>
        <v/>
      </c>
      <c r="C859" s="16">
        <f>IF(Murid!C859="","",Murid!C859)</f>
        <v/>
      </c>
      <c r="D859" s="15">
        <f>IF(Murid!E859="","",Murid!E859)</f>
        <v/>
      </c>
      <c r="E859" s="11" t="n"/>
      <c r="F859" s="11" t="n"/>
      <c r="G859" s="10">
        <f>IF(F859="","",IFERROR(VLOOKUP(F859,T_JSP,2,FALSE),0))</f>
        <v/>
      </c>
      <c r="H859" s="11" t="n"/>
      <c r="I859" s="17">
        <f>IF(H859="","",IF(H859&gt;=12,40,ROUND(H859*3.33,2)))</f>
        <v/>
      </c>
      <c r="J859" s="11" t="n"/>
      <c r="K859" s="11" t="n"/>
      <c r="L859" s="11" t="n"/>
      <c r="M859" s="11" t="n"/>
      <c r="N859" s="10">
        <f>IF(COUNTA(J859:M859)=0,"",MIN(10,SUMPRODUCT((COUNTIF(J859:M859,L_KOM)&gt;0)*S_KOM)))</f>
        <v/>
      </c>
      <c r="O859" s="11" t="n"/>
      <c r="P859" s="10">
        <f>IF(O859="","",IFERROR(VLOOKUP(O859,T_KHID,2,FALSE),0))</f>
        <v/>
      </c>
      <c r="Q859" s="11" t="n"/>
      <c r="R859" s="11" t="n"/>
      <c r="S859" s="10">
        <f>IF(AND(Q859="",R859=""),"",IFERROR(INDEX(T_LIBAT,MATCH(Q859,L_PER,0),MATCH(R859,L_JENIS,0)),0))</f>
        <v/>
      </c>
      <c r="T859" s="11" t="n"/>
      <c r="U859" s="11" t="n"/>
      <c r="V859" s="10">
        <f>IF(AND(T859="",U859=""),"",IFERROR(INDEX(T_CAPAI,MATCH(T859,L_PER,0),MATCH(U859,L_KED,0)),0))</f>
        <v/>
      </c>
      <c r="W859" s="17">
        <f>IF(OR(B859="",E859="",COUNTA(F859,H859,J859:M859,O859,Q859:R859,T859:U859)=0),"",SUM(G859,I859,N859,P859,S859,V859))</f>
        <v/>
      </c>
      <c r="X859" s="18">
        <f>IF(W859="","",IF(Murid!F859="TL","TL",ROUND(W859/110*100,2)))</f>
        <v/>
      </c>
    </row>
    <row r="860">
      <c r="A860" s="15">
        <f>Murid!A860</f>
        <v/>
      </c>
      <c r="B860" s="15">
        <f>IF(Murid!B860="","",Murid!B860)</f>
        <v/>
      </c>
      <c r="C860" s="16">
        <f>IF(Murid!C860="","",Murid!C860)</f>
        <v/>
      </c>
      <c r="D860" s="15">
        <f>IF(Murid!E860="","",Murid!E860)</f>
        <v/>
      </c>
      <c r="E860" s="11" t="n"/>
      <c r="F860" s="11" t="n"/>
      <c r="G860" s="10">
        <f>IF(F860="","",IFERROR(VLOOKUP(F860,T_JSP,2,FALSE),0))</f>
        <v/>
      </c>
      <c r="H860" s="11" t="n"/>
      <c r="I860" s="17">
        <f>IF(H860="","",IF(H860&gt;=12,40,ROUND(H860*3.33,2)))</f>
        <v/>
      </c>
      <c r="J860" s="11" t="n"/>
      <c r="K860" s="11" t="n"/>
      <c r="L860" s="11" t="n"/>
      <c r="M860" s="11" t="n"/>
      <c r="N860" s="10">
        <f>IF(COUNTA(J860:M860)=0,"",MIN(10,SUMPRODUCT((COUNTIF(J860:M860,L_KOM)&gt;0)*S_KOM)))</f>
        <v/>
      </c>
      <c r="O860" s="11" t="n"/>
      <c r="P860" s="10">
        <f>IF(O860="","",IFERROR(VLOOKUP(O860,T_KHID,2,FALSE),0))</f>
        <v/>
      </c>
      <c r="Q860" s="11" t="n"/>
      <c r="R860" s="11" t="n"/>
      <c r="S860" s="10">
        <f>IF(AND(Q860="",R860=""),"",IFERROR(INDEX(T_LIBAT,MATCH(Q860,L_PER,0),MATCH(R860,L_JENIS,0)),0))</f>
        <v/>
      </c>
      <c r="T860" s="11" t="n"/>
      <c r="U860" s="11" t="n"/>
      <c r="V860" s="10">
        <f>IF(AND(T860="",U860=""),"",IFERROR(INDEX(T_CAPAI,MATCH(T860,L_PER,0),MATCH(U860,L_KED,0)),0))</f>
        <v/>
      </c>
      <c r="W860" s="17">
        <f>IF(OR(B860="",E860="",COUNTA(F860,H860,J860:M860,O860,Q860:R860,T860:U860)=0),"",SUM(G860,I860,N860,P860,S860,V860))</f>
        <v/>
      </c>
      <c r="X860" s="18">
        <f>IF(W860="","",IF(Murid!F860="TL","TL",ROUND(W860/110*100,2)))</f>
        <v/>
      </c>
    </row>
    <row r="861">
      <c r="A861" s="15">
        <f>Murid!A861</f>
        <v/>
      </c>
      <c r="B861" s="15">
        <f>IF(Murid!B861="","",Murid!B861)</f>
        <v/>
      </c>
      <c r="C861" s="16">
        <f>IF(Murid!C861="","",Murid!C861)</f>
        <v/>
      </c>
      <c r="D861" s="15">
        <f>IF(Murid!E861="","",Murid!E861)</f>
        <v/>
      </c>
      <c r="E861" s="11" t="n"/>
      <c r="F861" s="11" t="n"/>
      <c r="G861" s="10">
        <f>IF(F861="","",IFERROR(VLOOKUP(F861,T_JSP,2,FALSE),0))</f>
        <v/>
      </c>
      <c r="H861" s="11" t="n"/>
      <c r="I861" s="17">
        <f>IF(H861="","",IF(H861&gt;=12,40,ROUND(H861*3.33,2)))</f>
        <v/>
      </c>
      <c r="J861" s="11" t="n"/>
      <c r="K861" s="11" t="n"/>
      <c r="L861" s="11" t="n"/>
      <c r="M861" s="11" t="n"/>
      <c r="N861" s="10">
        <f>IF(COUNTA(J861:M861)=0,"",MIN(10,SUMPRODUCT((COUNTIF(J861:M861,L_KOM)&gt;0)*S_KOM)))</f>
        <v/>
      </c>
      <c r="O861" s="11" t="n"/>
      <c r="P861" s="10">
        <f>IF(O861="","",IFERROR(VLOOKUP(O861,T_KHID,2,FALSE),0))</f>
        <v/>
      </c>
      <c r="Q861" s="11" t="n"/>
      <c r="R861" s="11" t="n"/>
      <c r="S861" s="10">
        <f>IF(AND(Q861="",R861=""),"",IFERROR(INDEX(T_LIBAT,MATCH(Q861,L_PER,0),MATCH(R861,L_JENIS,0)),0))</f>
        <v/>
      </c>
      <c r="T861" s="11" t="n"/>
      <c r="U861" s="11" t="n"/>
      <c r="V861" s="10">
        <f>IF(AND(T861="",U861=""),"",IFERROR(INDEX(T_CAPAI,MATCH(T861,L_PER,0),MATCH(U861,L_KED,0)),0))</f>
        <v/>
      </c>
      <c r="W861" s="17">
        <f>IF(OR(B861="",E861="",COUNTA(F861,H861,J861:M861,O861,Q861:R861,T861:U861)=0),"",SUM(G861,I861,N861,P861,S861,V861))</f>
        <v/>
      </c>
      <c r="X861" s="18">
        <f>IF(W861="","",IF(Murid!F861="TL","TL",ROUND(W861/110*100,2)))</f>
        <v/>
      </c>
    </row>
    <row r="862">
      <c r="A862" s="15">
        <f>Murid!A862</f>
        <v/>
      </c>
      <c r="B862" s="15">
        <f>IF(Murid!B862="","",Murid!B862)</f>
        <v/>
      </c>
      <c r="C862" s="16">
        <f>IF(Murid!C862="","",Murid!C862)</f>
        <v/>
      </c>
      <c r="D862" s="15">
        <f>IF(Murid!E862="","",Murid!E862)</f>
        <v/>
      </c>
      <c r="E862" s="11" t="n"/>
      <c r="F862" s="11" t="n"/>
      <c r="G862" s="10">
        <f>IF(F862="","",IFERROR(VLOOKUP(F862,T_JSP,2,FALSE),0))</f>
        <v/>
      </c>
      <c r="H862" s="11" t="n"/>
      <c r="I862" s="17">
        <f>IF(H862="","",IF(H862&gt;=12,40,ROUND(H862*3.33,2)))</f>
        <v/>
      </c>
      <c r="J862" s="11" t="n"/>
      <c r="K862" s="11" t="n"/>
      <c r="L862" s="11" t="n"/>
      <c r="M862" s="11" t="n"/>
      <c r="N862" s="10">
        <f>IF(COUNTA(J862:M862)=0,"",MIN(10,SUMPRODUCT((COUNTIF(J862:M862,L_KOM)&gt;0)*S_KOM)))</f>
        <v/>
      </c>
      <c r="O862" s="11" t="n"/>
      <c r="P862" s="10">
        <f>IF(O862="","",IFERROR(VLOOKUP(O862,T_KHID,2,FALSE),0))</f>
        <v/>
      </c>
      <c r="Q862" s="11" t="n"/>
      <c r="R862" s="11" t="n"/>
      <c r="S862" s="10">
        <f>IF(AND(Q862="",R862=""),"",IFERROR(INDEX(T_LIBAT,MATCH(Q862,L_PER,0),MATCH(R862,L_JENIS,0)),0))</f>
        <v/>
      </c>
      <c r="T862" s="11" t="n"/>
      <c r="U862" s="11" t="n"/>
      <c r="V862" s="10">
        <f>IF(AND(T862="",U862=""),"",IFERROR(INDEX(T_CAPAI,MATCH(T862,L_PER,0),MATCH(U862,L_KED,0)),0))</f>
        <v/>
      </c>
      <c r="W862" s="17">
        <f>IF(OR(B862="",E862="",COUNTA(F862,H862,J862:M862,O862,Q862:R862,T862:U862)=0),"",SUM(G862,I862,N862,P862,S862,V862))</f>
        <v/>
      </c>
      <c r="X862" s="18">
        <f>IF(W862="","",IF(Murid!F862="TL","TL",ROUND(W862/110*100,2)))</f>
        <v/>
      </c>
    </row>
    <row r="863">
      <c r="A863" s="15">
        <f>Murid!A863</f>
        <v/>
      </c>
      <c r="B863" s="15">
        <f>IF(Murid!B863="","",Murid!B863)</f>
        <v/>
      </c>
      <c r="C863" s="16">
        <f>IF(Murid!C863="","",Murid!C863)</f>
        <v/>
      </c>
      <c r="D863" s="15">
        <f>IF(Murid!E863="","",Murid!E863)</f>
        <v/>
      </c>
      <c r="E863" s="11" t="n"/>
      <c r="F863" s="11" t="n"/>
      <c r="G863" s="10">
        <f>IF(F863="","",IFERROR(VLOOKUP(F863,T_JSP,2,FALSE),0))</f>
        <v/>
      </c>
      <c r="H863" s="11" t="n"/>
      <c r="I863" s="17">
        <f>IF(H863="","",IF(H863&gt;=12,40,ROUND(H863*3.33,2)))</f>
        <v/>
      </c>
      <c r="J863" s="11" t="n"/>
      <c r="K863" s="11" t="n"/>
      <c r="L863" s="11" t="n"/>
      <c r="M863" s="11" t="n"/>
      <c r="N863" s="10">
        <f>IF(COUNTA(J863:M863)=0,"",MIN(10,SUMPRODUCT((COUNTIF(J863:M863,L_KOM)&gt;0)*S_KOM)))</f>
        <v/>
      </c>
      <c r="O863" s="11" t="n"/>
      <c r="P863" s="10">
        <f>IF(O863="","",IFERROR(VLOOKUP(O863,T_KHID,2,FALSE),0))</f>
        <v/>
      </c>
      <c r="Q863" s="11" t="n"/>
      <c r="R863" s="11" t="n"/>
      <c r="S863" s="10">
        <f>IF(AND(Q863="",R863=""),"",IFERROR(INDEX(T_LIBAT,MATCH(Q863,L_PER,0),MATCH(R863,L_JENIS,0)),0))</f>
        <v/>
      </c>
      <c r="T863" s="11" t="n"/>
      <c r="U863" s="11" t="n"/>
      <c r="V863" s="10">
        <f>IF(AND(T863="",U863=""),"",IFERROR(INDEX(T_CAPAI,MATCH(T863,L_PER,0),MATCH(U863,L_KED,0)),0))</f>
        <v/>
      </c>
      <c r="W863" s="17">
        <f>IF(OR(B863="",E863="",COUNTA(F863,H863,J863:M863,O863,Q863:R863,T863:U863)=0),"",SUM(G863,I863,N863,P863,S863,V863))</f>
        <v/>
      </c>
      <c r="X863" s="18">
        <f>IF(W863="","",IF(Murid!F863="TL","TL",ROUND(W863/110*100,2)))</f>
        <v/>
      </c>
    </row>
    <row r="864">
      <c r="A864" s="15">
        <f>Murid!A864</f>
        <v/>
      </c>
      <c r="B864" s="15">
        <f>IF(Murid!B864="","",Murid!B864)</f>
        <v/>
      </c>
      <c r="C864" s="16">
        <f>IF(Murid!C864="","",Murid!C864)</f>
        <v/>
      </c>
      <c r="D864" s="15">
        <f>IF(Murid!E864="","",Murid!E864)</f>
        <v/>
      </c>
      <c r="E864" s="11" t="n"/>
      <c r="F864" s="11" t="n"/>
      <c r="G864" s="10">
        <f>IF(F864="","",IFERROR(VLOOKUP(F864,T_JSP,2,FALSE),0))</f>
        <v/>
      </c>
      <c r="H864" s="11" t="n"/>
      <c r="I864" s="17">
        <f>IF(H864="","",IF(H864&gt;=12,40,ROUND(H864*3.33,2)))</f>
        <v/>
      </c>
      <c r="J864" s="11" t="n"/>
      <c r="K864" s="11" t="n"/>
      <c r="L864" s="11" t="n"/>
      <c r="M864" s="11" t="n"/>
      <c r="N864" s="10">
        <f>IF(COUNTA(J864:M864)=0,"",MIN(10,SUMPRODUCT((COUNTIF(J864:M864,L_KOM)&gt;0)*S_KOM)))</f>
        <v/>
      </c>
      <c r="O864" s="11" t="n"/>
      <c r="P864" s="10">
        <f>IF(O864="","",IFERROR(VLOOKUP(O864,T_KHID,2,FALSE),0))</f>
        <v/>
      </c>
      <c r="Q864" s="11" t="n"/>
      <c r="R864" s="11" t="n"/>
      <c r="S864" s="10">
        <f>IF(AND(Q864="",R864=""),"",IFERROR(INDEX(T_LIBAT,MATCH(Q864,L_PER,0),MATCH(R864,L_JENIS,0)),0))</f>
        <v/>
      </c>
      <c r="T864" s="11" t="n"/>
      <c r="U864" s="11" t="n"/>
      <c r="V864" s="10">
        <f>IF(AND(T864="",U864=""),"",IFERROR(INDEX(T_CAPAI,MATCH(T864,L_PER,0),MATCH(U864,L_KED,0)),0))</f>
        <v/>
      </c>
      <c r="W864" s="17">
        <f>IF(OR(B864="",E864="",COUNTA(F864,H864,J864:M864,O864,Q864:R864,T864:U864)=0),"",SUM(G864,I864,N864,P864,S864,V864))</f>
        <v/>
      </c>
      <c r="X864" s="18">
        <f>IF(W864="","",IF(Murid!F864="TL","TL",ROUND(W864/110*100,2)))</f>
        <v/>
      </c>
    </row>
    <row r="865">
      <c r="A865" s="15">
        <f>Murid!A865</f>
        <v/>
      </c>
      <c r="B865" s="15">
        <f>IF(Murid!B865="","",Murid!B865)</f>
        <v/>
      </c>
      <c r="C865" s="16">
        <f>IF(Murid!C865="","",Murid!C865)</f>
        <v/>
      </c>
      <c r="D865" s="15">
        <f>IF(Murid!E865="","",Murid!E865)</f>
        <v/>
      </c>
      <c r="E865" s="11" t="n"/>
      <c r="F865" s="11" t="n"/>
      <c r="G865" s="10">
        <f>IF(F865="","",IFERROR(VLOOKUP(F865,T_JSP,2,FALSE),0))</f>
        <v/>
      </c>
      <c r="H865" s="11" t="n"/>
      <c r="I865" s="17">
        <f>IF(H865="","",IF(H865&gt;=12,40,ROUND(H865*3.33,2)))</f>
        <v/>
      </c>
      <c r="J865" s="11" t="n"/>
      <c r="K865" s="11" t="n"/>
      <c r="L865" s="11" t="n"/>
      <c r="M865" s="11" t="n"/>
      <c r="N865" s="10">
        <f>IF(COUNTA(J865:M865)=0,"",MIN(10,SUMPRODUCT((COUNTIF(J865:M865,L_KOM)&gt;0)*S_KOM)))</f>
        <v/>
      </c>
      <c r="O865" s="11" t="n"/>
      <c r="P865" s="10">
        <f>IF(O865="","",IFERROR(VLOOKUP(O865,T_KHID,2,FALSE),0))</f>
        <v/>
      </c>
      <c r="Q865" s="11" t="n"/>
      <c r="R865" s="11" t="n"/>
      <c r="S865" s="10">
        <f>IF(AND(Q865="",R865=""),"",IFERROR(INDEX(T_LIBAT,MATCH(Q865,L_PER,0),MATCH(R865,L_JENIS,0)),0))</f>
        <v/>
      </c>
      <c r="T865" s="11" t="n"/>
      <c r="U865" s="11" t="n"/>
      <c r="V865" s="10">
        <f>IF(AND(T865="",U865=""),"",IFERROR(INDEX(T_CAPAI,MATCH(T865,L_PER,0),MATCH(U865,L_KED,0)),0))</f>
        <v/>
      </c>
      <c r="W865" s="17">
        <f>IF(OR(B865="",E865="",COUNTA(F865,H865,J865:M865,O865,Q865:R865,T865:U865)=0),"",SUM(G865,I865,N865,P865,S865,V865))</f>
        <v/>
      </c>
      <c r="X865" s="18">
        <f>IF(W865="","",IF(Murid!F865="TL","TL",ROUND(W865/110*100,2)))</f>
        <v/>
      </c>
    </row>
    <row r="866">
      <c r="A866" s="15">
        <f>Murid!A866</f>
        <v/>
      </c>
      <c r="B866" s="15">
        <f>IF(Murid!B866="","",Murid!B866)</f>
        <v/>
      </c>
      <c r="C866" s="16">
        <f>IF(Murid!C866="","",Murid!C866)</f>
        <v/>
      </c>
      <c r="D866" s="15">
        <f>IF(Murid!E866="","",Murid!E866)</f>
        <v/>
      </c>
      <c r="E866" s="11" t="n"/>
      <c r="F866" s="11" t="n"/>
      <c r="G866" s="10">
        <f>IF(F866="","",IFERROR(VLOOKUP(F866,T_JSP,2,FALSE),0))</f>
        <v/>
      </c>
      <c r="H866" s="11" t="n"/>
      <c r="I866" s="17">
        <f>IF(H866="","",IF(H866&gt;=12,40,ROUND(H866*3.33,2)))</f>
        <v/>
      </c>
      <c r="J866" s="11" t="n"/>
      <c r="K866" s="11" t="n"/>
      <c r="L866" s="11" t="n"/>
      <c r="M866" s="11" t="n"/>
      <c r="N866" s="10">
        <f>IF(COUNTA(J866:M866)=0,"",MIN(10,SUMPRODUCT((COUNTIF(J866:M866,L_KOM)&gt;0)*S_KOM)))</f>
        <v/>
      </c>
      <c r="O866" s="11" t="n"/>
      <c r="P866" s="10">
        <f>IF(O866="","",IFERROR(VLOOKUP(O866,T_KHID,2,FALSE),0))</f>
        <v/>
      </c>
      <c r="Q866" s="11" t="n"/>
      <c r="R866" s="11" t="n"/>
      <c r="S866" s="10">
        <f>IF(AND(Q866="",R866=""),"",IFERROR(INDEX(T_LIBAT,MATCH(Q866,L_PER,0),MATCH(R866,L_JENIS,0)),0))</f>
        <v/>
      </c>
      <c r="T866" s="11" t="n"/>
      <c r="U866" s="11" t="n"/>
      <c r="V866" s="10">
        <f>IF(AND(T866="",U866=""),"",IFERROR(INDEX(T_CAPAI,MATCH(T866,L_PER,0),MATCH(U866,L_KED,0)),0))</f>
        <v/>
      </c>
      <c r="W866" s="17">
        <f>IF(OR(B866="",E866="",COUNTA(F866,H866,J866:M866,O866,Q866:R866,T866:U866)=0),"",SUM(G866,I866,N866,P866,S866,V866))</f>
        <v/>
      </c>
      <c r="X866" s="18">
        <f>IF(W866="","",IF(Murid!F866="TL","TL",ROUND(W866/110*100,2)))</f>
        <v/>
      </c>
    </row>
    <row r="867">
      <c r="A867" s="15">
        <f>Murid!A867</f>
        <v/>
      </c>
      <c r="B867" s="15">
        <f>IF(Murid!B867="","",Murid!B867)</f>
        <v/>
      </c>
      <c r="C867" s="16">
        <f>IF(Murid!C867="","",Murid!C867)</f>
        <v/>
      </c>
      <c r="D867" s="15">
        <f>IF(Murid!E867="","",Murid!E867)</f>
        <v/>
      </c>
      <c r="E867" s="11" t="n"/>
      <c r="F867" s="11" t="n"/>
      <c r="G867" s="10">
        <f>IF(F867="","",IFERROR(VLOOKUP(F867,T_JSP,2,FALSE),0))</f>
        <v/>
      </c>
      <c r="H867" s="11" t="n"/>
      <c r="I867" s="17">
        <f>IF(H867="","",IF(H867&gt;=12,40,ROUND(H867*3.33,2)))</f>
        <v/>
      </c>
      <c r="J867" s="11" t="n"/>
      <c r="K867" s="11" t="n"/>
      <c r="L867" s="11" t="n"/>
      <c r="M867" s="11" t="n"/>
      <c r="N867" s="10">
        <f>IF(COUNTA(J867:M867)=0,"",MIN(10,SUMPRODUCT((COUNTIF(J867:M867,L_KOM)&gt;0)*S_KOM)))</f>
        <v/>
      </c>
      <c r="O867" s="11" t="n"/>
      <c r="P867" s="10">
        <f>IF(O867="","",IFERROR(VLOOKUP(O867,T_KHID,2,FALSE),0))</f>
        <v/>
      </c>
      <c r="Q867" s="11" t="n"/>
      <c r="R867" s="11" t="n"/>
      <c r="S867" s="10">
        <f>IF(AND(Q867="",R867=""),"",IFERROR(INDEX(T_LIBAT,MATCH(Q867,L_PER,0),MATCH(R867,L_JENIS,0)),0))</f>
        <v/>
      </c>
      <c r="T867" s="11" t="n"/>
      <c r="U867" s="11" t="n"/>
      <c r="V867" s="10">
        <f>IF(AND(T867="",U867=""),"",IFERROR(INDEX(T_CAPAI,MATCH(T867,L_PER,0),MATCH(U867,L_KED,0)),0))</f>
        <v/>
      </c>
      <c r="W867" s="17">
        <f>IF(OR(B867="",E867="",COUNTA(F867,H867,J867:M867,O867,Q867:R867,T867:U867)=0),"",SUM(G867,I867,N867,P867,S867,V867))</f>
        <v/>
      </c>
      <c r="X867" s="18">
        <f>IF(W867="","",IF(Murid!F867="TL","TL",ROUND(W867/110*100,2)))</f>
        <v/>
      </c>
    </row>
    <row r="868">
      <c r="A868" s="15">
        <f>Murid!A868</f>
        <v/>
      </c>
      <c r="B868" s="15">
        <f>IF(Murid!B868="","",Murid!B868)</f>
        <v/>
      </c>
      <c r="C868" s="16">
        <f>IF(Murid!C868="","",Murid!C868)</f>
        <v/>
      </c>
      <c r="D868" s="15">
        <f>IF(Murid!E868="","",Murid!E868)</f>
        <v/>
      </c>
      <c r="E868" s="11" t="n"/>
      <c r="F868" s="11" t="n"/>
      <c r="G868" s="10">
        <f>IF(F868="","",IFERROR(VLOOKUP(F868,T_JSP,2,FALSE),0))</f>
        <v/>
      </c>
      <c r="H868" s="11" t="n"/>
      <c r="I868" s="17">
        <f>IF(H868="","",IF(H868&gt;=12,40,ROUND(H868*3.33,2)))</f>
        <v/>
      </c>
      <c r="J868" s="11" t="n"/>
      <c r="K868" s="11" t="n"/>
      <c r="L868" s="11" t="n"/>
      <c r="M868" s="11" t="n"/>
      <c r="N868" s="10">
        <f>IF(COUNTA(J868:M868)=0,"",MIN(10,SUMPRODUCT((COUNTIF(J868:M868,L_KOM)&gt;0)*S_KOM)))</f>
        <v/>
      </c>
      <c r="O868" s="11" t="n"/>
      <c r="P868" s="10">
        <f>IF(O868="","",IFERROR(VLOOKUP(O868,T_KHID,2,FALSE),0))</f>
        <v/>
      </c>
      <c r="Q868" s="11" t="n"/>
      <c r="R868" s="11" t="n"/>
      <c r="S868" s="10">
        <f>IF(AND(Q868="",R868=""),"",IFERROR(INDEX(T_LIBAT,MATCH(Q868,L_PER,0),MATCH(R868,L_JENIS,0)),0))</f>
        <v/>
      </c>
      <c r="T868" s="11" t="n"/>
      <c r="U868" s="11" t="n"/>
      <c r="V868" s="10">
        <f>IF(AND(T868="",U868=""),"",IFERROR(INDEX(T_CAPAI,MATCH(T868,L_PER,0),MATCH(U868,L_KED,0)),0))</f>
        <v/>
      </c>
      <c r="W868" s="17">
        <f>IF(OR(B868="",E868="",COUNTA(F868,H868,J868:M868,O868,Q868:R868,T868:U868)=0),"",SUM(G868,I868,N868,P868,S868,V868))</f>
        <v/>
      </c>
      <c r="X868" s="18">
        <f>IF(W868="","",IF(Murid!F868="TL","TL",ROUND(W868/110*100,2)))</f>
        <v/>
      </c>
    </row>
    <row r="869">
      <c r="A869" s="15">
        <f>Murid!A869</f>
        <v/>
      </c>
      <c r="B869" s="15">
        <f>IF(Murid!B869="","",Murid!B869)</f>
        <v/>
      </c>
      <c r="C869" s="16">
        <f>IF(Murid!C869="","",Murid!C869)</f>
        <v/>
      </c>
      <c r="D869" s="15">
        <f>IF(Murid!E869="","",Murid!E869)</f>
        <v/>
      </c>
      <c r="E869" s="11" t="n"/>
      <c r="F869" s="11" t="n"/>
      <c r="G869" s="10">
        <f>IF(F869="","",IFERROR(VLOOKUP(F869,T_JSP,2,FALSE),0))</f>
        <v/>
      </c>
      <c r="H869" s="11" t="n"/>
      <c r="I869" s="17">
        <f>IF(H869="","",IF(H869&gt;=12,40,ROUND(H869*3.33,2)))</f>
        <v/>
      </c>
      <c r="J869" s="11" t="n"/>
      <c r="K869" s="11" t="n"/>
      <c r="L869" s="11" t="n"/>
      <c r="M869" s="11" t="n"/>
      <c r="N869" s="10">
        <f>IF(COUNTA(J869:M869)=0,"",MIN(10,SUMPRODUCT((COUNTIF(J869:M869,L_KOM)&gt;0)*S_KOM)))</f>
        <v/>
      </c>
      <c r="O869" s="11" t="n"/>
      <c r="P869" s="10">
        <f>IF(O869="","",IFERROR(VLOOKUP(O869,T_KHID,2,FALSE),0))</f>
        <v/>
      </c>
      <c r="Q869" s="11" t="n"/>
      <c r="R869" s="11" t="n"/>
      <c r="S869" s="10">
        <f>IF(AND(Q869="",R869=""),"",IFERROR(INDEX(T_LIBAT,MATCH(Q869,L_PER,0),MATCH(R869,L_JENIS,0)),0))</f>
        <v/>
      </c>
      <c r="T869" s="11" t="n"/>
      <c r="U869" s="11" t="n"/>
      <c r="V869" s="10">
        <f>IF(AND(T869="",U869=""),"",IFERROR(INDEX(T_CAPAI,MATCH(T869,L_PER,0),MATCH(U869,L_KED,0)),0))</f>
        <v/>
      </c>
      <c r="W869" s="17">
        <f>IF(OR(B869="",E869="",COUNTA(F869,H869,J869:M869,O869,Q869:R869,T869:U869)=0),"",SUM(G869,I869,N869,P869,S869,V869))</f>
        <v/>
      </c>
      <c r="X869" s="18">
        <f>IF(W869="","",IF(Murid!F869="TL","TL",ROUND(W869/110*100,2)))</f>
        <v/>
      </c>
    </row>
    <row r="870">
      <c r="A870" s="15">
        <f>Murid!A870</f>
        <v/>
      </c>
      <c r="B870" s="15">
        <f>IF(Murid!B870="","",Murid!B870)</f>
        <v/>
      </c>
      <c r="C870" s="16">
        <f>IF(Murid!C870="","",Murid!C870)</f>
        <v/>
      </c>
      <c r="D870" s="15">
        <f>IF(Murid!E870="","",Murid!E870)</f>
        <v/>
      </c>
      <c r="E870" s="11" t="n"/>
      <c r="F870" s="11" t="n"/>
      <c r="G870" s="10">
        <f>IF(F870="","",IFERROR(VLOOKUP(F870,T_JSP,2,FALSE),0))</f>
        <v/>
      </c>
      <c r="H870" s="11" t="n"/>
      <c r="I870" s="17">
        <f>IF(H870="","",IF(H870&gt;=12,40,ROUND(H870*3.33,2)))</f>
        <v/>
      </c>
      <c r="J870" s="11" t="n"/>
      <c r="K870" s="11" t="n"/>
      <c r="L870" s="11" t="n"/>
      <c r="M870" s="11" t="n"/>
      <c r="N870" s="10">
        <f>IF(COUNTA(J870:M870)=0,"",MIN(10,SUMPRODUCT((COUNTIF(J870:M870,L_KOM)&gt;0)*S_KOM)))</f>
        <v/>
      </c>
      <c r="O870" s="11" t="n"/>
      <c r="P870" s="10">
        <f>IF(O870="","",IFERROR(VLOOKUP(O870,T_KHID,2,FALSE),0))</f>
        <v/>
      </c>
      <c r="Q870" s="11" t="n"/>
      <c r="R870" s="11" t="n"/>
      <c r="S870" s="10">
        <f>IF(AND(Q870="",R870=""),"",IFERROR(INDEX(T_LIBAT,MATCH(Q870,L_PER,0),MATCH(R870,L_JENIS,0)),0))</f>
        <v/>
      </c>
      <c r="T870" s="11" t="n"/>
      <c r="U870" s="11" t="n"/>
      <c r="V870" s="10">
        <f>IF(AND(T870="",U870=""),"",IFERROR(INDEX(T_CAPAI,MATCH(T870,L_PER,0),MATCH(U870,L_KED,0)),0))</f>
        <v/>
      </c>
      <c r="W870" s="17">
        <f>IF(OR(B870="",E870="",COUNTA(F870,H870,J870:M870,O870,Q870:R870,T870:U870)=0),"",SUM(G870,I870,N870,P870,S870,V870))</f>
        <v/>
      </c>
      <c r="X870" s="18">
        <f>IF(W870="","",IF(Murid!F870="TL","TL",ROUND(W870/110*100,2)))</f>
        <v/>
      </c>
    </row>
    <row r="871">
      <c r="A871" s="15">
        <f>Murid!A871</f>
        <v/>
      </c>
      <c r="B871" s="15">
        <f>IF(Murid!B871="","",Murid!B871)</f>
        <v/>
      </c>
      <c r="C871" s="16">
        <f>IF(Murid!C871="","",Murid!C871)</f>
        <v/>
      </c>
      <c r="D871" s="15">
        <f>IF(Murid!E871="","",Murid!E871)</f>
        <v/>
      </c>
      <c r="E871" s="11" t="n"/>
      <c r="F871" s="11" t="n"/>
      <c r="G871" s="10">
        <f>IF(F871="","",IFERROR(VLOOKUP(F871,T_JSP,2,FALSE),0))</f>
        <v/>
      </c>
      <c r="H871" s="11" t="n"/>
      <c r="I871" s="17">
        <f>IF(H871="","",IF(H871&gt;=12,40,ROUND(H871*3.33,2)))</f>
        <v/>
      </c>
      <c r="J871" s="11" t="n"/>
      <c r="K871" s="11" t="n"/>
      <c r="L871" s="11" t="n"/>
      <c r="M871" s="11" t="n"/>
      <c r="N871" s="10">
        <f>IF(COUNTA(J871:M871)=0,"",MIN(10,SUMPRODUCT((COUNTIF(J871:M871,L_KOM)&gt;0)*S_KOM)))</f>
        <v/>
      </c>
      <c r="O871" s="11" t="n"/>
      <c r="P871" s="10">
        <f>IF(O871="","",IFERROR(VLOOKUP(O871,T_KHID,2,FALSE),0))</f>
        <v/>
      </c>
      <c r="Q871" s="11" t="n"/>
      <c r="R871" s="11" t="n"/>
      <c r="S871" s="10">
        <f>IF(AND(Q871="",R871=""),"",IFERROR(INDEX(T_LIBAT,MATCH(Q871,L_PER,0),MATCH(R871,L_JENIS,0)),0))</f>
        <v/>
      </c>
      <c r="T871" s="11" t="n"/>
      <c r="U871" s="11" t="n"/>
      <c r="V871" s="10">
        <f>IF(AND(T871="",U871=""),"",IFERROR(INDEX(T_CAPAI,MATCH(T871,L_PER,0),MATCH(U871,L_KED,0)),0))</f>
        <v/>
      </c>
      <c r="W871" s="17">
        <f>IF(OR(B871="",E871="",COUNTA(F871,H871,J871:M871,O871,Q871:R871,T871:U871)=0),"",SUM(G871,I871,N871,P871,S871,V871))</f>
        <v/>
      </c>
      <c r="X871" s="18">
        <f>IF(W871="","",IF(Murid!F871="TL","TL",ROUND(W871/110*100,2)))</f>
        <v/>
      </c>
    </row>
    <row r="872">
      <c r="A872" s="15">
        <f>Murid!A872</f>
        <v/>
      </c>
      <c r="B872" s="15">
        <f>IF(Murid!B872="","",Murid!B872)</f>
        <v/>
      </c>
      <c r="C872" s="16">
        <f>IF(Murid!C872="","",Murid!C872)</f>
        <v/>
      </c>
      <c r="D872" s="15">
        <f>IF(Murid!E872="","",Murid!E872)</f>
        <v/>
      </c>
      <c r="E872" s="11" t="n"/>
      <c r="F872" s="11" t="n"/>
      <c r="G872" s="10">
        <f>IF(F872="","",IFERROR(VLOOKUP(F872,T_JSP,2,FALSE),0))</f>
        <v/>
      </c>
      <c r="H872" s="11" t="n"/>
      <c r="I872" s="17">
        <f>IF(H872="","",IF(H872&gt;=12,40,ROUND(H872*3.33,2)))</f>
        <v/>
      </c>
      <c r="J872" s="11" t="n"/>
      <c r="K872" s="11" t="n"/>
      <c r="L872" s="11" t="n"/>
      <c r="M872" s="11" t="n"/>
      <c r="N872" s="10">
        <f>IF(COUNTA(J872:M872)=0,"",MIN(10,SUMPRODUCT((COUNTIF(J872:M872,L_KOM)&gt;0)*S_KOM)))</f>
        <v/>
      </c>
      <c r="O872" s="11" t="n"/>
      <c r="P872" s="10">
        <f>IF(O872="","",IFERROR(VLOOKUP(O872,T_KHID,2,FALSE),0))</f>
        <v/>
      </c>
      <c r="Q872" s="11" t="n"/>
      <c r="R872" s="11" t="n"/>
      <c r="S872" s="10">
        <f>IF(AND(Q872="",R872=""),"",IFERROR(INDEX(T_LIBAT,MATCH(Q872,L_PER,0),MATCH(R872,L_JENIS,0)),0))</f>
        <v/>
      </c>
      <c r="T872" s="11" t="n"/>
      <c r="U872" s="11" t="n"/>
      <c r="V872" s="10">
        <f>IF(AND(T872="",U872=""),"",IFERROR(INDEX(T_CAPAI,MATCH(T872,L_PER,0),MATCH(U872,L_KED,0)),0))</f>
        <v/>
      </c>
      <c r="W872" s="17">
        <f>IF(OR(B872="",E872="",COUNTA(F872,H872,J872:M872,O872,Q872:R872,T872:U872)=0),"",SUM(G872,I872,N872,P872,S872,V872))</f>
        <v/>
      </c>
      <c r="X872" s="18">
        <f>IF(W872="","",IF(Murid!F872="TL","TL",ROUND(W872/110*100,2)))</f>
        <v/>
      </c>
    </row>
    <row r="873">
      <c r="A873" s="15">
        <f>Murid!A873</f>
        <v/>
      </c>
      <c r="B873" s="15">
        <f>IF(Murid!B873="","",Murid!B873)</f>
        <v/>
      </c>
      <c r="C873" s="16">
        <f>IF(Murid!C873="","",Murid!C873)</f>
        <v/>
      </c>
      <c r="D873" s="15">
        <f>IF(Murid!E873="","",Murid!E873)</f>
        <v/>
      </c>
      <c r="E873" s="11" t="n"/>
      <c r="F873" s="11" t="n"/>
      <c r="G873" s="10">
        <f>IF(F873="","",IFERROR(VLOOKUP(F873,T_JSP,2,FALSE),0))</f>
        <v/>
      </c>
      <c r="H873" s="11" t="n"/>
      <c r="I873" s="17">
        <f>IF(H873="","",IF(H873&gt;=12,40,ROUND(H873*3.33,2)))</f>
        <v/>
      </c>
      <c r="J873" s="11" t="n"/>
      <c r="K873" s="11" t="n"/>
      <c r="L873" s="11" t="n"/>
      <c r="M873" s="11" t="n"/>
      <c r="N873" s="10">
        <f>IF(COUNTA(J873:M873)=0,"",MIN(10,SUMPRODUCT((COUNTIF(J873:M873,L_KOM)&gt;0)*S_KOM)))</f>
        <v/>
      </c>
      <c r="O873" s="11" t="n"/>
      <c r="P873" s="10">
        <f>IF(O873="","",IFERROR(VLOOKUP(O873,T_KHID,2,FALSE),0))</f>
        <v/>
      </c>
      <c r="Q873" s="11" t="n"/>
      <c r="R873" s="11" t="n"/>
      <c r="S873" s="10">
        <f>IF(AND(Q873="",R873=""),"",IFERROR(INDEX(T_LIBAT,MATCH(Q873,L_PER,0),MATCH(R873,L_JENIS,0)),0))</f>
        <v/>
      </c>
      <c r="T873" s="11" t="n"/>
      <c r="U873" s="11" t="n"/>
      <c r="V873" s="10">
        <f>IF(AND(T873="",U873=""),"",IFERROR(INDEX(T_CAPAI,MATCH(T873,L_PER,0),MATCH(U873,L_KED,0)),0))</f>
        <v/>
      </c>
      <c r="W873" s="17">
        <f>IF(OR(B873="",E873="",COUNTA(F873,H873,J873:M873,O873,Q873:R873,T873:U873)=0),"",SUM(G873,I873,N873,P873,S873,V873))</f>
        <v/>
      </c>
      <c r="X873" s="18">
        <f>IF(W873="","",IF(Murid!F873="TL","TL",ROUND(W873/110*100,2)))</f>
        <v/>
      </c>
    </row>
    <row r="874">
      <c r="A874" s="15">
        <f>Murid!A874</f>
        <v/>
      </c>
      <c r="B874" s="15">
        <f>IF(Murid!B874="","",Murid!B874)</f>
        <v/>
      </c>
      <c r="C874" s="16">
        <f>IF(Murid!C874="","",Murid!C874)</f>
        <v/>
      </c>
      <c r="D874" s="15">
        <f>IF(Murid!E874="","",Murid!E874)</f>
        <v/>
      </c>
      <c r="E874" s="11" t="n"/>
      <c r="F874" s="11" t="n"/>
      <c r="G874" s="10">
        <f>IF(F874="","",IFERROR(VLOOKUP(F874,T_JSP,2,FALSE),0))</f>
        <v/>
      </c>
      <c r="H874" s="11" t="n"/>
      <c r="I874" s="17">
        <f>IF(H874="","",IF(H874&gt;=12,40,ROUND(H874*3.33,2)))</f>
        <v/>
      </c>
      <c r="J874" s="11" t="n"/>
      <c r="K874" s="11" t="n"/>
      <c r="L874" s="11" t="n"/>
      <c r="M874" s="11" t="n"/>
      <c r="N874" s="10">
        <f>IF(COUNTA(J874:M874)=0,"",MIN(10,SUMPRODUCT((COUNTIF(J874:M874,L_KOM)&gt;0)*S_KOM)))</f>
        <v/>
      </c>
      <c r="O874" s="11" t="n"/>
      <c r="P874" s="10">
        <f>IF(O874="","",IFERROR(VLOOKUP(O874,T_KHID,2,FALSE),0))</f>
        <v/>
      </c>
      <c r="Q874" s="11" t="n"/>
      <c r="R874" s="11" t="n"/>
      <c r="S874" s="10">
        <f>IF(AND(Q874="",R874=""),"",IFERROR(INDEX(T_LIBAT,MATCH(Q874,L_PER,0),MATCH(R874,L_JENIS,0)),0))</f>
        <v/>
      </c>
      <c r="T874" s="11" t="n"/>
      <c r="U874" s="11" t="n"/>
      <c r="V874" s="10">
        <f>IF(AND(T874="",U874=""),"",IFERROR(INDEX(T_CAPAI,MATCH(T874,L_PER,0),MATCH(U874,L_KED,0)),0))</f>
        <v/>
      </c>
      <c r="W874" s="17">
        <f>IF(OR(B874="",E874="",COUNTA(F874,H874,J874:M874,O874,Q874:R874,T874:U874)=0),"",SUM(G874,I874,N874,P874,S874,V874))</f>
        <v/>
      </c>
      <c r="X874" s="18">
        <f>IF(W874="","",IF(Murid!F874="TL","TL",ROUND(W874/110*100,2)))</f>
        <v/>
      </c>
    </row>
    <row r="875">
      <c r="A875" s="15">
        <f>Murid!A875</f>
        <v/>
      </c>
      <c r="B875" s="15">
        <f>IF(Murid!B875="","",Murid!B875)</f>
        <v/>
      </c>
      <c r="C875" s="16">
        <f>IF(Murid!C875="","",Murid!C875)</f>
        <v/>
      </c>
      <c r="D875" s="15">
        <f>IF(Murid!E875="","",Murid!E875)</f>
        <v/>
      </c>
      <c r="E875" s="11" t="n"/>
      <c r="F875" s="11" t="n"/>
      <c r="G875" s="10">
        <f>IF(F875="","",IFERROR(VLOOKUP(F875,T_JSP,2,FALSE),0))</f>
        <v/>
      </c>
      <c r="H875" s="11" t="n"/>
      <c r="I875" s="17">
        <f>IF(H875="","",IF(H875&gt;=12,40,ROUND(H875*3.33,2)))</f>
        <v/>
      </c>
      <c r="J875" s="11" t="n"/>
      <c r="K875" s="11" t="n"/>
      <c r="L875" s="11" t="n"/>
      <c r="M875" s="11" t="n"/>
      <c r="N875" s="10">
        <f>IF(COUNTA(J875:M875)=0,"",MIN(10,SUMPRODUCT((COUNTIF(J875:M875,L_KOM)&gt;0)*S_KOM)))</f>
        <v/>
      </c>
      <c r="O875" s="11" t="n"/>
      <c r="P875" s="10">
        <f>IF(O875="","",IFERROR(VLOOKUP(O875,T_KHID,2,FALSE),0))</f>
        <v/>
      </c>
      <c r="Q875" s="11" t="n"/>
      <c r="R875" s="11" t="n"/>
      <c r="S875" s="10">
        <f>IF(AND(Q875="",R875=""),"",IFERROR(INDEX(T_LIBAT,MATCH(Q875,L_PER,0),MATCH(R875,L_JENIS,0)),0))</f>
        <v/>
      </c>
      <c r="T875" s="11" t="n"/>
      <c r="U875" s="11" t="n"/>
      <c r="V875" s="10">
        <f>IF(AND(T875="",U875=""),"",IFERROR(INDEX(T_CAPAI,MATCH(T875,L_PER,0),MATCH(U875,L_KED,0)),0))</f>
        <v/>
      </c>
      <c r="W875" s="17">
        <f>IF(OR(B875="",E875="",COUNTA(F875,H875,J875:M875,O875,Q875:R875,T875:U875)=0),"",SUM(G875,I875,N875,P875,S875,V875))</f>
        <v/>
      </c>
      <c r="X875" s="18">
        <f>IF(W875="","",IF(Murid!F875="TL","TL",ROUND(W875/110*100,2)))</f>
        <v/>
      </c>
    </row>
    <row r="876">
      <c r="A876" s="15">
        <f>Murid!A876</f>
        <v/>
      </c>
      <c r="B876" s="15">
        <f>IF(Murid!B876="","",Murid!B876)</f>
        <v/>
      </c>
      <c r="C876" s="16">
        <f>IF(Murid!C876="","",Murid!C876)</f>
        <v/>
      </c>
      <c r="D876" s="15">
        <f>IF(Murid!E876="","",Murid!E876)</f>
        <v/>
      </c>
      <c r="E876" s="11" t="n"/>
      <c r="F876" s="11" t="n"/>
      <c r="G876" s="10">
        <f>IF(F876="","",IFERROR(VLOOKUP(F876,T_JSP,2,FALSE),0))</f>
        <v/>
      </c>
      <c r="H876" s="11" t="n"/>
      <c r="I876" s="17">
        <f>IF(H876="","",IF(H876&gt;=12,40,ROUND(H876*3.33,2)))</f>
        <v/>
      </c>
      <c r="J876" s="11" t="n"/>
      <c r="K876" s="11" t="n"/>
      <c r="L876" s="11" t="n"/>
      <c r="M876" s="11" t="n"/>
      <c r="N876" s="10">
        <f>IF(COUNTA(J876:M876)=0,"",MIN(10,SUMPRODUCT((COUNTIF(J876:M876,L_KOM)&gt;0)*S_KOM)))</f>
        <v/>
      </c>
      <c r="O876" s="11" t="n"/>
      <c r="P876" s="10">
        <f>IF(O876="","",IFERROR(VLOOKUP(O876,T_KHID,2,FALSE),0))</f>
        <v/>
      </c>
      <c r="Q876" s="11" t="n"/>
      <c r="R876" s="11" t="n"/>
      <c r="S876" s="10">
        <f>IF(AND(Q876="",R876=""),"",IFERROR(INDEX(T_LIBAT,MATCH(Q876,L_PER,0),MATCH(R876,L_JENIS,0)),0))</f>
        <v/>
      </c>
      <c r="T876" s="11" t="n"/>
      <c r="U876" s="11" t="n"/>
      <c r="V876" s="10">
        <f>IF(AND(T876="",U876=""),"",IFERROR(INDEX(T_CAPAI,MATCH(T876,L_PER,0),MATCH(U876,L_KED,0)),0))</f>
        <v/>
      </c>
      <c r="W876" s="17">
        <f>IF(OR(B876="",E876="",COUNTA(F876,H876,J876:M876,O876,Q876:R876,T876:U876)=0),"",SUM(G876,I876,N876,P876,S876,V876))</f>
        <v/>
      </c>
      <c r="X876" s="18">
        <f>IF(W876="","",IF(Murid!F876="TL","TL",ROUND(W876/110*100,2)))</f>
        <v/>
      </c>
    </row>
    <row r="877">
      <c r="A877" s="15">
        <f>Murid!A877</f>
        <v/>
      </c>
      <c r="B877" s="15">
        <f>IF(Murid!B877="","",Murid!B877)</f>
        <v/>
      </c>
      <c r="C877" s="16">
        <f>IF(Murid!C877="","",Murid!C877)</f>
        <v/>
      </c>
      <c r="D877" s="15">
        <f>IF(Murid!E877="","",Murid!E877)</f>
        <v/>
      </c>
      <c r="E877" s="11" t="n"/>
      <c r="F877" s="11" t="n"/>
      <c r="G877" s="10">
        <f>IF(F877="","",IFERROR(VLOOKUP(F877,T_JSP,2,FALSE),0))</f>
        <v/>
      </c>
      <c r="H877" s="11" t="n"/>
      <c r="I877" s="17">
        <f>IF(H877="","",IF(H877&gt;=12,40,ROUND(H877*3.33,2)))</f>
        <v/>
      </c>
      <c r="J877" s="11" t="n"/>
      <c r="K877" s="11" t="n"/>
      <c r="L877" s="11" t="n"/>
      <c r="M877" s="11" t="n"/>
      <c r="N877" s="10">
        <f>IF(COUNTA(J877:M877)=0,"",MIN(10,SUMPRODUCT((COUNTIF(J877:M877,L_KOM)&gt;0)*S_KOM)))</f>
        <v/>
      </c>
      <c r="O877" s="11" t="n"/>
      <c r="P877" s="10">
        <f>IF(O877="","",IFERROR(VLOOKUP(O877,T_KHID,2,FALSE),0))</f>
        <v/>
      </c>
      <c r="Q877" s="11" t="n"/>
      <c r="R877" s="11" t="n"/>
      <c r="S877" s="10">
        <f>IF(AND(Q877="",R877=""),"",IFERROR(INDEX(T_LIBAT,MATCH(Q877,L_PER,0),MATCH(R877,L_JENIS,0)),0))</f>
        <v/>
      </c>
      <c r="T877" s="11" t="n"/>
      <c r="U877" s="11" t="n"/>
      <c r="V877" s="10">
        <f>IF(AND(T877="",U877=""),"",IFERROR(INDEX(T_CAPAI,MATCH(T877,L_PER,0),MATCH(U877,L_KED,0)),0))</f>
        <v/>
      </c>
      <c r="W877" s="17">
        <f>IF(OR(B877="",E877="",COUNTA(F877,H877,J877:M877,O877,Q877:R877,T877:U877)=0),"",SUM(G877,I877,N877,P877,S877,V877))</f>
        <v/>
      </c>
      <c r="X877" s="18">
        <f>IF(W877="","",IF(Murid!F877="TL","TL",ROUND(W877/110*100,2)))</f>
        <v/>
      </c>
    </row>
    <row r="878">
      <c r="A878" s="15">
        <f>Murid!A878</f>
        <v/>
      </c>
      <c r="B878" s="15">
        <f>IF(Murid!B878="","",Murid!B878)</f>
        <v/>
      </c>
      <c r="C878" s="16">
        <f>IF(Murid!C878="","",Murid!C878)</f>
        <v/>
      </c>
      <c r="D878" s="15">
        <f>IF(Murid!E878="","",Murid!E878)</f>
        <v/>
      </c>
      <c r="E878" s="11" t="n"/>
      <c r="F878" s="11" t="n"/>
      <c r="G878" s="10">
        <f>IF(F878="","",IFERROR(VLOOKUP(F878,T_JSP,2,FALSE),0))</f>
        <v/>
      </c>
      <c r="H878" s="11" t="n"/>
      <c r="I878" s="17">
        <f>IF(H878="","",IF(H878&gt;=12,40,ROUND(H878*3.33,2)))</f>
        <v/>
      </c>
      <c r="J878" s="11" t="n"/>
      <c r="K878" s="11" t="n"/>
      <c r="L878" s="11" t="n"/>
      <c r="M878" s="11" t="n"/>
      <c r="N878" s="10">
        <f>IF(COUNTA(J878:M878)=0,"",MIN(10,SUMPRODUCT((COUNTIF(J878:M878,L_KOM)&gt;0)*S_KOM)))</f>
        <v/>
      </c>
      <c r="O878" s="11" t="n"/>
      <c r="P878" s="10">
        <f>IF(O878="","",IFERROR(VLOOKUP(O878,T_KHID,2,FALSE),0))</f>
        <v/>
      </c>
      <c r="Q878" s="11" t="n"/>
      <c r="R878" s="11" t="n"/>
      <c r="S878" s="10">
        <f>IF(AND(Q878="",R878=""),"",IFERROR(INDEX(T_LIBAT,MATCH(Q878,L_PER,0),MATCH(R878,L_JENIS,0)),0))</f>
        <v/>
      </c>
      <c r="T878" s="11" t="n"/>
      <c r="U878" s="11" t="n"/>
      <c r="V878" s="10">
        <f>IF(AND(T878="",U878=""),"",IFERROR(INDEX(T_CAPAI,MATCH(T878,L_PER,0),MATCH(U878,L_KED,0)),0))</f>
        <v/>
      </c>
      <c r="W878" s="17">
        <f>IF(OR(B878="",E878="",COUNTA(F878,H878,J878:M878,O878,Q878:R878,T878:U878)=0),"",SUM(G878,I878,N878,P878,S878,V878))</f>
        <v/>
      </c>
      <c r="X878" s="18">
        <f>IF(W878="","",IF(Murid!F878="TL","TL",ROUND(W878/110*100,2)))</f>
        <v/>
      </c>
    </row>
    <row r="879">
      <c r="A879" s="15">
        <f>Murid!A879</f>
        <v/>
      </c>
      <c r="B879" s="15">
        <f>IF(Murid!B879="","",Murid!B879)</f>
        <v/>
      </c>
      <c r="C879" s="16">
        <f>IF(Murid!C879="","",Murid!C879)</f>
        <v/>
      </c>
      <c r="D879" s="15">
        <f>IF(Murid!E879="","",Murid!E879)</f>
        <v/>
      </c>
      <c r="E879" s="11" t="n"/>
      <c r="F879" s="11" t="n"/>
      <c r="G879" s="10">
        <f>IF(F879="","",IFERROR(VLOOKUP(F879,T_JSP,2,FALSE),0))</f>
        <v/>
      </c>
      <c r="H879" s="11" t="n"/>
      <c r="I879" s="17">
        <f>IF(H879="","",IF(H879&gt;=12,40,ROUND(H879*3.33,2)))</f>
        <v/>
      </c>
      <c r="J879" s="11" t="n"/>
      <c r="K879" s="11" t="n"/>
      <c r="L879" s="11" t="n"/>
      <c r="M879" s="11" t="n"/>
      <c r="N879" s="10">
        <f>IF(COUNTA(J879:M879)=0,"",MIN(10,SUMPRODUCT((COUNTIF(J879:M879,L_KOM)&gt;0)*S_KOM)))</f>
        <v/>
      </c>
      <c r="O879" s="11" t="n"/>
      <c r="P879" s="10">
        <f>IF(O879="","",IFERROR(VLOOKUP(O879,T_KHID,2,FALSE),0))</f>
        <v/>
      </c>
      <c r="Q879" s="11" t="n"/>
      <c r="R879" s="11" t="n"/>
      <c r="S879" s="10">
        <f>IF(AND(Q879="",R879=""),"",IFERROR(INDEX(T_LIBAT,MATCH(Q879,L_PER,0),MATCH(R879,L_JENIS,0)),0))</f>
        <v/>
      </c>
      <c r="T879" s="11" t="n"/>
      <c r="U879" s="11" t="n"/>
      <c r="V879" s="10">
        <f>IF(AND(T879="",U879=""),"",IFERROR(INDEX(T_CAPAI,MATCH(T879,L_PER,0),MATCH(U879,L_KED,0)),0))</f>
        <v/>
      </c>
      <c r="W879" s="17">
        <f>IF(OR(B879="",E879="",COUNTA(F879,H879,J879:M879,O879,Q879:R879,T879:U879)=0),"",SUM(G879,I879,N879,P879,S879,V879))</f>
        <v/>
      </c>
      <c r="X879" s="18">
        <f>IF(W879="","",IF(Murid!F879="TL","TL",ROUND(W879/110*100,2)))</f>
        <v/>
      </c>
    </row>
    <row r="880">
      <c r="A880" s="15">
        <f>Murid!A880</f>
        <v/>
      </c>
      <c r="B880" s="15">
        <f>IF(Murid!B880="","",Murid!B880)</f>
        <v/>
      </c>
      <c r="C880" s="16">
        <f>IF(Murid!C880="","",Murid!C880)</f>
        <v/>
      </c>
      <c r="D880" s="15">
        <f>IF(Murid!E880="","",Murid!E880)</f>
        <v/>
      </c>
      <c r="E880" s="11" t="n"/>
      <c r="F880" s="11" t="n"/>
      <c r="G880" s="10">
        <f>IF(F880="","",IFERROR(VLOOKUP(F880,T_JSP,2,FALSE),0))</f>
        <v/>
      </c>
      <c r="H880" s="11" t="n"/>
      <c r="I880" s="17">
        <f>IF(H880="","",IF(H880&gt;=12,40,ROUND(H880*3.33,2)))</f>
        <v/>
      </c>
      <c r="J880" s="11" t="n"/>
      <c r="K880" s="11" t="n"/>
      <c r="L880" s="11" t="n"/>
      <c r="M880" s="11" t="n"/>
      <c r="N880" s="10">
        <f>IF(COUNTA(J880:M880)=0,"",MIN(10,SUMPRODUCT((COUNTIF(J880:M880,L_KOM)&gt;0)*S_KOM)))</f>
        <v/>
      </c>
      <c r="O880" s="11" t="n"/>
      <c r="P880" s="10">
        <f>IF(O880="","",IFERROR(VLOOKUP(O880,T_KHID,2,FALSE),0))</f>
        <v/>
      </c>
      <c r="Q880" s="11" t="n"/>
      <c r="R880" s="11" t="n"/>
      <c r="S880" s="10">
        <f>IF(AND(Q880="",R880=""),"",IFERROR(INDEX(T_LIBAT,MATCH(Q880,L_PER,0),MATCH(R880,L_JENIS,0)),0))</f>
        <v/>
      </c>
      <c r="T880" s="11" t="n"/>
      <c r="U880" s="11" t="n"/>
      <c r="V880" s="10">
        <f>IF(AND(T880="",U880=""),"",IFERROR(INDEX(T_CAPAI,MATCH(T880,L_PER,0),MATCH(U880,L_KED,0)),0))</f>
        <v/>
      </c>
      <c r="W880" s="17">
        <f>IF(OR(B880="",E880="",COUNTA(F880,H880,J880:M880,O880,Q880:R880,T880:U880)=0),"",SUM(G880,I880,N880,P880,S880,V880))</f>
        <v/>
      </c>
      <c r="X880" s="18">
        <f>IF(W880="","",IF(Murid!F880="TL","TL",ROUND(W880/110*100,2)))</f>
        <v/>
      </c>
    </row>
    <row r="881">
      <c r="A881" s="15">
        <f>Murid!A881</f>
        <v/>
      </c>
      <c r="B881" s="15">
        <f>IF(Murid!B881="","",Murid!B881)</f>
        <v/>
      </c>
      <c r="C881" s="16">
        <f>IF(Murid!C881="","",Murid!C881)</f>
        <v/>
      </c>
      <c r="D881" s="15">
        <f>IF(Murid!E881="","",Murid!E881)</f>
        <v/>
      </c>
      <c r="E881" s="11" t="n"/>
      <c r="F881" s="11" t="n"/>
      <c r="G881" s="10">
        <f>IF(F881="","",IFERROR(VLOOKUP(F881,T_JSP,2,FALSE),0))</f>
        <v/>
      </c>
      <c r="H881" s="11" t="n"/>
      <c r="I881" s="17">
        <f>IF(H881="","",IF(H881&gt;=12,40,ROUND(H881*3.33,2)))</f>
        <v/>
      </c>
      <c r="J881" s="11" t="n"/>
      <c r="K881" s="11" t="n"/>
      <c r="L881" s="11" t="n"/>
      <c r="M881" s="11" t="n"/>
      <c r="N881" s="10">
        <f>IF(COUNTA(J881:M881)=0,"",MIN(10,SUMPRODUCT((COUNTIF(J881:M881,L_KOM)&gt;0)*S_KOM)))</f>
        <v/>
      </c>
      <c r="O881" s="11" t="n"/>
      <c r="P881" s="10">
        <f>IF(O881="","",IFERROR(VLOOKUP(O881,T_KHID,2,FALSE),0))</f>
        <v/>
      </c>
      <c r="Q881" s="11" t="n"/>
      <c r="R881" s="11" t="n"/>
      <c r="S881" s="10">
        <f>IF(AND(Q881="",R881=""),"",IFERROR(INDEX(T_LIBAT,MATCH(Q881,L_PER,0),MATCH(R881,L_JENIS,0)),0))</f>
        <v/>
      </c>
      <c r="T881" s="11" t="n"/>
      <c r="U881" s="11" t="n"/>
      <c r="V881" s="10">
        <f>IF(AND(T881="",U881=""),"",IFERROR(INDEX(T_CAPAI,MATCH(T881,L_PER,0),MATCH(U881,L_KED,0)),0))</f>
        <v/>
      </c>
      <c r="W881" s="17">
        <f>IF(OR(B881="",E881="",COUNTA(F881,H881,J881:M881,O881,Q881:R881,T881:U881)=0),"",SUM(G881,I881,N881,P881,S881,V881))</f>
        <v/>
      </c>
      <c r="X881" s="18">
        <f>IF(W881="","",IF(Murid!F881="TL","TL",ROUND(W881/110*100,2)))</f>
        <v/>
      </c>
    </row>
    <row r="882">
      <c r="A882" s="15">
        <f>Murid!A882</f>
        <v/>
      </c>
      <c r="B882" s="15">
        <f>IF(Murid!B882="","",Murid!B882)</f>
        <v/>
      </c>
      <c r="C882" s="16">
        <f>IF(Murid!C882="","",Murid!C882)</f>
        <v/>
      </c>
      <c r="D882" s="15">
        <f>IF(Murid!E882="","",Murid!E882)</f>
        <v/>
      </c>
      <c r="E882" s="11" t="n"/>
      <c r="F882" s="11" t="n"/>
      <c r="G882" s="10">
        <f>IF(F882="","",IFERROR(VLOOKUP(F882,T_JSP,2,FALSE),0))</f>
        <v/>
      </c>
      <c r="H882" s="11" t="n"/>
      <c r="I882" s="17">
        <f>IF(H882="","",IF(H882&gt;=12,40,ROUND(H882*3.33,2)))</f>
        <v/>
      </c>
      <c r="J882" s="11" t="n"/>
      <c r="K882" s="11" t="n"/>
      <c r="L882" s="11" t="n"/>
      <c r="M882" s="11" t="n"/>
      <c r="N882" s="10">
        <f>IF(COUNTA(J882:M882)=0,"",MIN(10,SUMPRODUCT((COUNTIF(J882:M882,L_KOM)&gt;0)*S_KOM)))</f>
        <v/>
      </c>
      <c r="O882" s="11" t="n"/>
      <c r="P882" s="10">
        <f>IF(O882="","",IFERROR(VLOOKUP(O882,T_KHID,2,FALSE),0))</f>
        <v/>
      </c>
      <c r="Q882" s="11" t="n"/>
      <c r="R882" s="11" t="n"/>
      <c r="S882" s="10">
        <f>IF(AND(Q882="",R882=""),"",IFERROR(INDEX(T_LIBAT,MATCH(Q882,L_PER,0),MATCH(R882,L_JENIS,0)),0))</f>
        <v/>
      </c>
      <c r="T882" s="11" t="n"/>
      <c r="U882" s="11" t="n"/>
      <c r="V882" s="10">
        <f>IF(AND(T882="",U882=""),"",IFERROR(INDEX(T_CAPAI,MATCH(T882,L_PER,0),MATCH(U882,L_KED,0)),0))</f>
        <v/>
      </c>
      <c r="W882" s="17">
        <f>IF(OR(B882="",E882="",COUNTA(F882,H882,J882:M882,O882,Q882:R882,T882:U882)=0),"",SUM(G882,I882,N882,P882,S882,V882))</f>
        <v/>
      </c>
      <c r="X882" s="18">
        <f>IF(W882="","",IF(Murid!F882="TL","TL",ROUND(W882/110*100,2)))</f>
        <v/>
      </c>
    </row>
    <row r="883">
      <c r="A883" s="15">
        <f>Murid!A883</f>
        <v/>
      </c>
      <c r="B883" s="15">
        <f>IF(Murid!B883="","",Murid!B883)</f>
        <v/>
      </c>
      <c r="C883" s="16">
        <f>IF(Murid!C883="","",Murid!C883)</f>
        <v/>
      </c>
      <c r="D883" s="15">
        <f>IF(Murid!E883="","",Murid!E883)</f>
        <v/>
      </c>
      <c r="E883" s="11" t="n"/>
      <c r="F883" s="11" t="n"/>
      <c r="G883" s="10">
        <f>IF(F883="","",IFERROR(VLOOKUP(F883,T_JSP,2,FALSE),0))</f>
        <v/>
      </c>
      <c r="H883" s="11" t="n"/>
      <c r="I883" s="17">
        <f>IF(H883="","",IF(H883&gt;=12,40,ROUND(H883*3.33,2)))</f>
        <v/>
      </c>
      <c r="J883" s="11" t="n"/>
      <c r="K883" s="11" t="n"/>
      <c r="L883" s="11" t="n"/>
      <c r="M883" s="11" t="n"/>
      <c r="N883" s="10">
        <f>IF(COUNTA(J883:M883)=0,"",MIN(10,SUMPRODUCT((COUNTIF(J883:M883,L_KOM)&gt;0)*S_KOM)))</f>
        <v/>
      </c>
      <c r="O883" s="11" t="n"/>
      <c r="P883" s="10">
        <f>IF(O883="","",IFERROR(VLOOKUP(O883,T_KHID,2,FALSE),0))</f>
        <v/>
      </c>
      <c r="Q883" s="11" t="n"/>
      <c r="R883" s="11" t="n"/>
      <c r="S883" s="10">
        <f>IF(AND(Q883="",R883=""),"",IFERROR(INDEX(T_LIBAT,MATCH(Q883,L_PER,0),MATCH(R883,L_JENIS,0)),0))</f>
        <v/>
      </c>
      <c r="T883" s="11" t="n"/>
      <c r="U883" s="11" t="n"/>
      <c r="V883" s="10">
        <f>IF(AND(T883="",U883=""),"",IFERROR(INDEX(T_CAPAI,MATCH(T883,L_PER,0),MATCH(U883,L_KED,0)),0))</f>
        <v/>
      </c>
      <c r="W883" s="17">
        <f>IF(OR(B883="",E883="",COUNTA(F883,H883,J883:M883,O883,Q883:R883,T883:U883)=0),"",SUM(G883,I883,N883,P883,S883,V883))</f>
        <v/>
      </c>
      <c r="X883" s="18">
        <f>IF(W883="","",IF(Murid!F883="TL","TL",ROUND(W883/110*100,2)))</f>
        <v/>
      </c>
    </row>
    <row r="884">
      <c r="A884" s="15">
        <f>Murid!A884</f>
        <v/>
      </c>
      <c r="B884" s="15">
        <f>IF(Murid!B884="","",Murid!B884)</f>
        <v/>
      </c>
      <c r="C884" s="16">
        <f>IF(Murid!C884="","",Murid!C884)</f>
        <v/>
      </c>
      <c r="D884" s="15">
        <f>IF(Murid!E884="","",Murid!E884)</f>
        <v/>
      </c>
      <c r="E884" s="11" t="n"/>
      <c r="F884" s="11" t="n"/>
      <c r="G884" s="10">
        <f>IF(F884="","",IFERROR(VLOOKUP(F884,T_JSP,2,FALSE),0))</f>
        <v/>
      </c>
      <c r="H884" s="11" t="n"/>
      <c r="I884" s="17">
        <f>IF(H884="","",IF(H884&gt;=12,40,ROUND(H884*3.33,2)))</f>
        <v/>
      </c>
      <c r="J884" s="11" t="n"/>
      <c r="K884" s="11" t="n"/>
      <c r="L884" s="11" t="n"/>
      <c r="M884" s="11" t="n"/>
      <c r="N884" s="10">
        <f>IF(COUNTA(J884:M884)=0,"",MIN(10,SUMPRODUCT((COUNTIF(J884:M884,L_KOM)&gt;0)*S_KOM)))</f>
        <v/>
      </c>
      <c r="O884" s="11" t="n"/>
      <c r="P884" s="10">
        <f>IF(O884="","",IFERROR(VLOOKUP(O884,T_KHID,2,FALSE),0))</f>
        <v/>
      </c>
      <c r="Q884" s="11" t="n"/>
      <c r="R884" s="11" t="n"/>
      <c r="S884" s="10">
        <f>IF(AND(Q884="",R884=""),"",IFERROR(INDEX(T_LIBAT,MATCH(Q884,L_PER,0),MATCH(R884,L_JENIS,0)),0))</f>
        <v/>
      </c>
      <c r="T884" s="11" t="n"/>
      <c r="U884" s="11" t="n"/>
      <c r="V884" s="10">
        <f>IF(AND(T884="",U884=""),"",IFERROR(INDEX(T_CAPAI,MATCH(T884,L_PER,0),MATCH(U884,L_KED,0)),0))</f>
        <v/>
      </c>
      <c r="W884" s="17">
        <f>IF(OR(B884="",E884="",COUNTA(F884,H884,J884:M884,O884,Q884:R884,T884:U884)=0),"",SUM(G884,I884,N884,P884,S884,V884))</f>
        <v/>
      </c>
      <c r="X884" s="18">
        <f>IF(W884="","",IF(Murid!F884="TL","TL",ROUND(W884/110*100,2)))</f>
        <v/>
      </c>
    </row>
    <row r="885">
      <c r="A885" s="15">
        <f>Murid!A885</f>
        <v/>
      </c>
      <c r="B885" s="15">
        <f>IF(Murid!B885="","",Murid!B885)</f>
        <v/>
      </c>
      <c r="C885" s="16">
        <f>IF(Murid!C885="","",Murid!C885)</f>
        <v/>
      </c>
      <c r="D885" s="15">
        <f>IF(Murid!E885="","",Murid!E885)</f>
        <v/>
      </c>
      <c r="E885" s="11" t="n"/>
      <c r="F885" s="11" t="n"/>
      <c r="G885" s="10">
        <f>IF(F885="","",IFERROR(VLOOKUP(F885,T_JSP,2,FALSE),0))</f>
        <v/>
      </c>
      <c r="H885" s="11" t="n"/>
      <c r="I885" s="17">
        <f>IF(H885="","",IF(H885&gt;=12,40,ROUND(H885*3.33,2)))</f>
        <v/>
      </c>
      <c r="J885" s="11" t="n"/>
      <c r="K885" s="11" t="n"/>
      <c r="L885" s="11" t="n"/>
      <c r="M885" s="11" t="n"/>
      <c r="N885" s="10">
        <f>IF(COUNTA(J885:M885)=0,"",MIN(10,SUMPRODUCT((COUNTIF(J885:M885,L_KOM)&gt;0)*S_KOM)))</f>
        <v/>
      </c>
      <c r="O885" s="11" t="n"/>
      <c r="P885" s="10">
        <f>IF(O885="","",IFERROR(VLOOKUP(O885,T_KHID,2,FALSE),0))</f>
        <v/>
      </c>
      <c r="Q885" s="11" t="n"/>
      <c r="R885" s="11" t="n"/>
      <c r="S885" s="10">
        <f>IF(AND(Q885="",R885=""),"",IFERROR(INDEX(T_LIBAT,MATCH(Q885,L_PER,0),MATCH(R885,L_JENIS,0)),0))</f>
        <v/>
      </c>
      <c r="T885" s="11" t="n"/>
      <c r="U885" s="11" t="n"/>
      <c r="V885" s="10">
        <f>IF(AND(T885="",U885=""),"",IFERROR(INDEX(T_CAPAI,MATCH(T885,L_PER,0),MATCH(U885,L_KED,0)),0))</f>
        <v/>
      </c>
      <c r="W885" s="17">
        <f>IF(OR(B885="",E885="",COUNTA(F885,H885,J885:M885,O885,Q885:R885,T885:U885)=0),"",SUM(G885,I885,N885,P885,S885,V885))</f>
        <v/>
      </c>
      <c r="X885" s="18">
        <f>IF(W885="","",IF(Murid!F885="TL","TL",ROUND(W885/110*100,2)))</f>
        <v/>
      </c>
    </row>
    <row r="886">
      <c r="A886" s="15">
        <f>Murid!A886</f>
        <v/>
      </c>
      <c r="B886" s="15">
        <f>IF(Murid!B886="","",Murid!B886)</f>
        <v/>
      </c>
      <c r="C886" s="16">
        <f>IF(Murid!C886="","",Murid!C886)</f>
        <v/>
      </c>
      <c r="D886" s="15">
        <f>IF(Murid!E886="","",Murid!E886)</f>
        <v/>
      </c>
      <c r="E886" s="11" t="n"/>
      <c r="F886" s="11" t="n"/>
      <c r="G886" s="10">
        <f>IF(F886="","",IFERROR(VLOOKUP(F886,T_JSP,2,FALSE),0))</f>
        <v/>
      </c>
      <c r="H886" s="11" t="n"/>
      <c r="I886" s="17">
        <f>IF(H886="","",IF(H886&gt;=12,40,ROUND(H886*3.33,2)))</f>
        <v/>
      </c>
      <c r="J886" s="11" t="n"/>
      <c r="K886" s="11" t="n"/>
      <c r="L886" s="11" t="n"/>
      <c r="M886" s="11" t="n"/>
      <c r="N886" s="10">
        <f>IF(COUNTA(J886:M886)=0,"",MIN(10,SUMPRODUCT((COUNTIF(J886:M886,L_KOM)&gt;0)*S_KOM)))</f>
        <v/>
      </c>
      <c r="O886" s="11" t="n"/>
      <c r="P886" s="10">
        <f>IF(O886="","",IFERROR(VLOOKUP(O886,T_KHID,2,FALSE),0))</f>
        <v/>
      </c>
      <c r="Q886" s="11" t="n"/>
      <c r="R886" s="11" t="n"/>
      <c r="S886" s="10">
        <f>IF(AND(Q886="",R886=""),"",IFERROR(INDEX(T_LIBAT,MATCH(Q886,L_PER,0),MATCH(R886,L_JENIS,0)),0))</f>
        <v/>
      </c>
      <c r="T886" s="11" t="n"/>
      <c r="U886" s="11" t="n"/>
      <c r="V886" s="10">
        <f>IF(AND(T886="",U886=""),"",IFERROR(INDEX(T_CAPAI,MATCH(T886,L_PER,0),MATCH(U886,L_KED,0)),0))</f>
        <v/>
      </c>
      <c r="W886" s="17">
        <f>IF(OR(B886="",E886="",COUNTA(F886,H886,J886:M886,O886,Q886:R886,T886:U886)=0),"",SUM(G886,I886,N886,P886,S886,V886))</f>
        <v/>
      </c>
      <c r="X886" s="18">
        <f>IF(W886="","",IF(Murid!F886="TL","TL",ROUND(W886/110*100,2)))</f>
        <v/>
      </c>
    </row>
    <row r="887">
      <c r="A887" s="15">
        <f>Murid!A887</f>
        <v/>
      </c>
      <c r="B887" s="15">
        <f>IF(Murid!B887="","",Murid!B887)</f>
        <v/>
      </c>
      <c r="C887" s="16">
        <f>IF(Murid!C887="","",Murid!C887)</f>
        <v/>
      </c>
      <c r="D887" s="15">
        <f>IF(Murid!E887="","",Murid!E887)</f>
        <v/>
      </c>
      <c r="E887" s="11" t="n"/>
      <c r="F887" s="11" t="n"/>
      <c r="G887" s="10">
        <f>IF(F887="","",IFERROR(VLOOKUP(F887,T_JSP,2,FALSE),0))</f>
        <v/>
      </c>
      <c r="H887" s="11" t="n"/>
      <c r="I887" s="17">
        <f>IF(H887="","",IF(H887&gt;=12,40,ROUND(H887*3.33,2)))</f>
        <v/>
      </c>
      <c r="J887" s="11" t="n"/>
      <c r="K887" s="11" t="n"/>
      <c r="L887" s="11" t="n"/>
      <c r="M887" s="11" t="n"/>
      <c r="N887" s="10">
        <f>IF(COUNTA(J887:M887)=0,"",MIN(10,SUMPRODUCT((COUNTIF(J887:M887,L_KOM)&gt;0)*S_KOM)))</f>
        <v/>
      </c>
      <c r="O887" s="11" t="n"/>
      <c r="P887" s="10">
        <f>IF(O887="","",IFERROR(VLOOKUP(O887,T_KHID,2,FALSE),0))</f>
        <v/>
      </c>
      <c r="Q887" s="11" t="n"/>
      <c r="R887" s="11" t="n"/>
      <c r="S887" s="10">
        <f>IF(AND(Q887="",R887=""),"",IFERROR(INDEX(T_LIBAT,MATCH(Q887,L_PER,0),MATCH(R887,L_JENIS,0)),0))</f>
        <v/>
      </c>
      <c r="T887" s="11" t="n"/>
      <c r="U887" s="11" t="n"/>
      <c r="V887" s="10">
        <f>IF(AND(T887="",U887=""),"",IFERROR(INDEX(T_CAPAI,MATCH(T887,L_PER,0),MATCH(U887,L_KED,0)),0))</f>
        <v/>
      </c>
      <c r="W887" s="17">
        <f>IF(OR(B887="",E887="",COUNTA(F887,H887,J887:M887,O887,Q887:R887,T887:U887)=0),"",SUM(G887,I887,N887,P887,S887,V887))</f>
        <v/>
      </c>
      <c r="X887" s="18">
        <f>IF(W887="","",IF(Murid!F887="TL","TL",ROUND(W887/110*100,2)))</f>
        <v/>
      </c>
    </row>
    <row r="888">
      <c r="A888" s="15">
        <f>Murid!A888</f>
        <v/>
      </c>
      <c r="B888" s="15">
        <f>IF(Murid!B888="","",Murid!B888)</f>
        <v/>
      </c>
      <c r="C888" s="16">
        <f>IF(Murid!C888="","",Murid!C888)</f>
        <v/>
      </c>
      <c r="D888" s="15">
        <f>IF(Murid!E888="","",Murid!E888)</f>
        <v/>
      </c>
      <c r="E888" s="11" t="n"/>
      <c r="F888" s="11" t="n"/>
      <c r="G888" s="10">
        <f>IF(F888="","",IFERROR(VLOOKUP(F888,T_JSP,2,FALSE),0))</f>
        <v/>
      </c>
      <c r="H888" s="11" t="n"/>
      <c r="I888" s="17">
        <f>IF(H888="","",IF(H888&gt;=12,40,ROUND(H888*3.33,2)))</f>
        <v/>
      </c>
      <c r="J888" s="11" t="n"/>
      <c r="K888" s="11" t="n"/>
      <c r="L888" s="11" t="n"/>
      <c r="M888" s="11" t="n"/>
      <c r="N888" s="10">
        <f>IF(COUNTA(J888:M888)=0,"",MIN(10,SUMPRODUCT((COUNTIF(J888:M888,L_KOM)&gt;0)*S_KOM)))</f>
        <v/>
      </c>
      <c r="O888" s="11" t="n"/>
      <c r="P888" s="10">
        <f>IF(O888="","",IFERROR(VLOOKUP(O888,T_KHID,2,FALSE),0))</f>
        <v/>
      </c>
      <c r="Q888" s="11" t="n"/>
      <c r="R888" s="11" t="n"/>
      <c r="S888" s="10">
        <f>IF(AND(Q888="",R888=""),"",IFERROR(INDEX(T_LIBAT,MATCH(Q888,L_PER,0),MATCH(R888,L_JENIS,0)),0))</f>
        <v/>
      </c>
      <c r="T888" s="11" t="n"/>
      <c r="U888" s="11" t="n"/>
      <c r="V888" s="10">
        <f>IF(AND(T888="",U888=""),"",IFERROR(INDEX(T_CAPAI,MATCH(T888,L_PER,0),MATCH(U888,L_KED,0)),0))</f>
        <v/>
      </c>
      <c r="W888" s="17">
        <f>IF(OR(B888="",E888="",COUNTA(F888,H888,J888:M888,O888,Q888:R888,T888:U888)=0),"",SUM(G888,I888,N888,P888,S888,V888))</f>
        <v/>
      </c>
      <c r="X888" s="18">
        <f>IF(W888="","",IF(Murid!F888="TL","TL",ROUND(W888/110*100,2)))</f>
        <v/>
      </c>
    </row>
    <row r="889">
      <c r="A889" s="15">
        <f>Murid!A889</f>
        <v/>
      </c>
      <c r="B889" s="15">
        <f>IF(Murid!B889="","",Murid!B889)</f>
        <v/>
      </c>
      <c r="C889" s="16">
        <f>IF(Murid!C889="","",Murid!C889)</f>
        <v/>
      </c>
      <c r="D889" s="15">
        <f>IF(Murid!E889="","",Murid!E889)</f>
        <v/>
      </c>
      <c r="E889" s="11" t="n"/>
      <c r="F889" s="11" t="n"/>
      <c r="G889" s="10">
        <f>IF(F889="","",IFERROR(VLOOKUP(F889,T_JSP,2,FALSE),0))</f>
        <v/>
      </c>
      <c r="H889" s="11" t="n"/>
      <c r="I889" s="17">
        <f>IF(H889="","",IF(H889&gt;=12,40,ROUND(H889*3.33,2)))</f>
        <v/>
      </c>
      <c r="J889" s="11" t="n"/>
      <c r="K889" s="11" t="n"/>
      <c r="L889" s="11" t="n"/>
      <c r="M889" s="11" t="n"/>
      <c r="N889" s="10">
        <f>IF(COUNTA(J889:M889)=0,"",MIN(10,SUMPRODUCT((COUNTIF(J889:M889,L_KOM)&gt;0)*S_KOM)))</f>
        <v/>
      </c>
      <c r="O889" s="11" t="n"/>
      <c r="P889" s="10">
        <f>IF(O889="","",IFERROR(VLOOKUP(O889,T_KHID,2,FALSE),0))</f>
        <v/>
      </c>
      <c r="Q889" s="11" t="n"/>
      <c r="R889" s="11" t="n"/>
      <c r="S889" s="10">
        <f>IF(AND(Q889="",R889=""),"",IFERROR(INDEX(T_LIBAT,MATCH(Q889,L_PER,0),MATCH(R889,L_JENIS,0)),0))</f>
        <v/>
      </c>
      <c r="T889" s="11" t="n"/>
      <c r="U889" s="11" t="n"/>
      <c r="V889" s="10">
        <f>IF(AND(T889="",U889=""),"",IFERROR(INDEX(T_CAPAI,MATCH(T889,L_PER,0),MATCH(U889,L_KED,0)),0))</f>
        <v/>
      </c>
      <c r="W889" s="17">
        <f>IF(OR(B889="",E889="",COUNTA(F889,H889,J889:M889,O889,Q889:R889,T889:U889)=0),"",SUM(G889,I889,N889,P889,S889,V889))</f>
        <v/>
      </c>
      <c r="X889" s="18">
        <f>IF(W889="","",IF(Murid!F889="TL","TL",ROUND(W889/110*100,2)))</f>
        <v/>
      </c>
    </row>
    <row r="890">
      <c r="A890" s="15">
        <f>Murid!A890</f>
        <v/>
      </c>
      <c r="B890" s="15">
        <f>IF(Murid!B890="","",Murid!B890)</f>
        <v/>
      </c>
      <c r="C890" s="16">
        <f>IF(Murid!C890="","",Murid!C890)</f>
        <v/>
      </c>
      <c r="D890" s="15">
        <f>IF(Murid!E890="","",Murid!E890)</f>
        <v/>
      </c>
      <c r="E890" s="11" t="n"/>
      <c r="F890" s="11" t="n"/>
      <c r="G890" s="10">
        <f>IF(F890="","",IFERROR(VLOOKUP(F890,T_JSP,2,FALSE),0))</f>
        <v/>
      </c>
      <c r="H890" s="11" t="n"/>
      <c r="I890" s="17">
        <f>IF(H890="","",IF(H890&gt;=12,40,ROUND(H890*3.33,2)))</f>
        <v/>
      </c>
      <c r="J890" s="11" t="n"/>
      <c r="K890" s="11" t="n"/>
      <c r="L890" s="11" t="n"/>
      <c r="M890" s="11" t="n"/>
      <c r="N890" s="10">
        <f>IF(COUNTA(J890:M890)=0,"",MIN(10,SUMPRODUCT((COUNTIF(J890:M890,L_KOM)&gt;0)*S_KOM)))</f>
        <v/>
      </c>
      <c r="O890" s="11" t="n"/>
      <c r="P890" s="10">
        <f>IF(O890="","",IFERROR(VLOOKUP(O890,T_KHID,2,FALSE),0))</f>
        <v/>
      </c>
      <c r="Q890" s="11" t="n"/>
      <c r="R890" s="11" t="n"/>
      <c r="S890" s="10">
        <f>IF(AND(Q890="",R890=""),"",IFERROR(INDEX(T_LIBAT,MATCH(Q890,L_PER,0),MATCH(R890,L_JENIS,0)),0))</f>
        <v/>
      </c>
      <c r="T890" s="11" t="n"/>
      <c r="U890" s="11" t="n"/>
      <c r="V890" s="10">
        <f>IF(AND(T890="",U890=""),"",IFERROR(INDEX(T_CAPAI,MATCH(T890,L_PER,0),MATCH(U890,L_KED,0)),0))</f>
        <v/>
      </c>
      <c r="W890" s="17">
        <f>IF(OR(B890="",E890="",COUNTA(F890,H890,J890:M890,O890,Q890:R890,T890:U890)=0),"",SUM(G890,I890,N890,P890,S890,V890))</f>
        <v/>
      </c>
      <c r="X890" s="18">
        <f>IF(W890="","",IF(Murid!F890="TL","TL",ROUND(W890/110*100,2)))</f>
        <v/>
      </c>
    </row>
    <row r="891">
      <c r="A891" s="15">
        <f>Murid!A891</f>
        <v/>
      </c>
      <c r="B891" s="15">
        <f>IF(Murid!B891="","",Murid!B891)</f>
        <v/>
      </c>
      <c r="C891" s="16">
        <f>IF(Murid!C891="","",Murid!C891)</f>
        <v/>
      </c>
      <c r="D891" s="15">
        <f>IF(Murid!E891="","",Murid!E891)</f>
        <v/>
      </c>
      <c r="E891" s="11" t="n"/>
      <c r="F891" s="11" t="n"/>
      <c r="G891" s="10">
        <f>IF(F891="","",IFERROR(VLOOKUP(F891,T_JSP,2,FALSE),0))</f>
        <v/>
      </c>
      <c r="H891" s="11" t="n"/>
      <c r="I891" s="17">
        <f>IF(H891="","",IF(H891&gt;=12,40,ROUND(H891*3.33,2)))</f>
        <v/>
      </c>
      <c r="J891" s="11" t="n"/>
      <c r="K891" s="11" t="n"/>
      <c r="L891" s="11" t="n"/>
      <c r="M891" s="11" t="n"/>
      <c r="N891" s="10">
        <f>IF(COUNTA(J891:M891)=0,"",MIN(10,SUMPRODUCT((COUNTIF(J891:M891,L_KOM)&gt;0)*S_KOM)))</f>
        <v/>
      </c>
      <c r="O891" s="11" t="n"/>
      <c r="P891" s="10">
        <f>IF(O891="","",IFERROR(VLOOKUP(O891,T_KHID,2,FALSE),0))</f>
        <v/>
      </c>
      <c r="Q891" s="11" t="n"/>
      <c r="R891" s="11" t="n"/>
      <c r="S891" s="10">
        <f>IF(AND(Q891="",R891=""),"",IFERROR(INDEX(T_LIBAT,MATCH(Q891,L_PER,0),MATCH(R891,L_JENIS,0)),0))</f>
        <v/>
      </c>
      <c r="T891" s="11" t="n"/>
      <c r="U891" s="11" t="n"/>
      <c r="V891" s="10">
        <f>IF(AND(T891="",U891=""),"",IFERROR(INDEX(T_CAPAI,MATCH(T891,L_PER,0),MATCH(U891,L_KED,0)),0))</f>
        <v/>
      </c>
      <c r="W891" s="17">
        <f>IF(OR(B891="",E891="",COUNTA(F891,H891,J891:M891,O891,Q891:R891,T891:U891)=0),"",SUM(G891,I891,N891,P891,S891,V891))</f>
        <v/>
      </c>
      <c r="X891" s="18">
        <f>IF(W891="","",IF(Murid!F891="TL","TL",ROUND(W891/110*100,2)))</f>
        <v/>
      </c>
    </row>
    <row r="892">
      <c r="A892" s="15">
        <f>Murid!A892</f>
        <v/>
      </c>
      <c r="B892" s="15">
        <f>IF(Murid!B892="","",Murid!B892)</f>
        <v/>
      </c>
      <c r="C892" s="16">
        <f>IF(Murid!C892="","",Murid!C892)</f>
        <v/>
      </c>
      <c r="D892" s="15">
        <f>IF(Murid!E892="","",Murid!E892)</f>
        <v/>
      </c>
      <c r="E892" s="11" t="n"/>
      <c r="F892" s="11" t="n"/>
      <c r="G892" s="10">
        <f>IF(F892="","",IFERROR(VLOOKUP(F892,T_JSP,2,FALSE),0))</f>
        <v/>
      </c>
      <c r="H892" s="11" t="n"/>
      <c r="I892" s="17">
        <f>IF(H892="","",IF(H892&gt;=12,40,ROUND(H892*3.33,2)))</f>
        <v/>
      </c>
      <c r="J892" s="11" t="n"/>
      <c r="K892" s="11" t="n"/>
      <c r="L892" s="11" t="n"/>
      <c r="M892" s="11" t="n"/>
      <c r="N892" s="10">
        <f>IF(COUNTA(J892:M892)=0,"",MIN(10,SUMPRODUCT((COUNTIF(J892:M892,L_KOM)&gt;0)*S_KOM)))</f>
        <v/>
      </c>
      <c r="O892" s="11" t="n"/>
      <c r="P892" s="10">
        <f>IF(O892="","",IFERROR(VLOOKUP(O892,T_KHID,2,FALSE),0))</f>
        <v/>
      </c>
      <c r="Q892" s="11" t="n"/>
      <c r="R892" s="11" t="n"/>
      <c r="S892" s="10">
        <f>IF(AND(Q892="",R892=""),"",IFERROR(INDEX(T_LIBAT,MATCH(Q892,L_PER,0),MATCH(R892,L_JENIS,0)),0))</f>
        <v/>
      </c>
      <c r="T892" s="11" t="n"/>
      <c r="U892" s="11" t="n"/>
      <c r="V892" s="10">
        <f>IF(AND(T892="",U892=""),"",IFERROR(INDEX(T_CAPAI,MATCH(T892,L_PER,0),MATCH(U892,L_KED,0)),0))</f>
        <v/>
      </c>
      <c r="W892" s="17">
        <f>IF(OR(B892="",E892="",COUNTA(F892,H892,J892:M892,O892,Q892:R892,T892:U892)=0),"",SUM(G892,I892,N892,P892,S892,V892))</f>
        <v/>
      </c>
      <c r="X892" s="18">
        <f>IF(W892="","",IF(Murid!F892="TL","TL",ROUND(W892/110*100,2)))</f>
        <v/>
      </c>
    </row>
    <row r="893">
      <c r="A893" s="15">
        <f>Murid!A893</f>
        <v/>
      </c>
      <c r="B893" s="15">
        <f>IF(Murid!B893="","",Murid!B893)</f>
        <v/>
      </c>
      <c r="C893" s="16">
        <f>IF(Murid!C893="","",Murid!C893)</f>
        <v/>
      </c>
      <c r="D893" s="15">
        <f>IF(Murid!E893="","",Murid!E893)</f>
        <v/>
      </c>
      <c r="E893" s="11" t="n"/>
      <c r="F893" s="11" t="n"/>
      <c r="G893" s="10">
        <f>IF(F893="","",IFERROR(VLOOKUP(F893,T_JSP,2,FALSE),0))</f>
        <v/>
      </c>
      <c r="H893" s="11" t="n"/>
      <c r="I893" s="17">
        <f>IF(H893="","",IF(H893&gt;=12,40,ROUND(H893*3.33,2)))</f>
        <v/>
      </c>
      <c r="J893" s="11" t="n"/>
      <c r="K893" s="11" t="n"/>
      <c r="L893" s="11" t="n"/>
      <c r="M893" s="11" t="n"/>
      <c r="N893" s="10">
        <f>IF(COUNTA(J893:M893)=0,"",MIN(10,SUMPRODUCT((COUNTIF(J893:M893,L_KOM)&gt;0)*S_KOM)))</f>
        <v/>
      </c>
      <c r="O893" s="11" t="n"/>
      <c r="P893" s="10">
        <f>IF(O893="","",IFERROR(VLOOKUP(O893,T_KHID,2,FALSE),0))</f>
        <v/>
      </c>
      <c r="Q893" s="11" t="n"/>
      <c r="R893" s="11" t="n"/>
      <c r="S893" s="10">
        <f>IF(AND(Q893="",R893=""),"",IFERROR(INDEX(T_LIBAT,MATCH(Q893,L_PER,0),MATCH(R893,L_JENIS,0)),0))</f>
        <v/>
      </c>
      <c r="T893" s="11" t="n"/>
      <c r="U893" s="11" t="n"/>
      <c r="V893" s="10">
        <f>IF(AND(T893="",U893=""),"",IFERROR(INDEX(T_CAPAI,MATCH(T893,L_PER,0),MATCH(U893,L_KED,0)),0))</f>
        <v/>
      </c>
      <c r="W893" s="17">
        <f>IF(OR(B893="",E893="",COUNTA(F893,H893,J893:M893,O893,Q893:R893,T893:U893)=0),"",SUM(G893,I893,N893,P893,S893,V893))</f>
        <v/>
      </c>
      <c r="X893" s="18">
        <f>IF(W893="","",IF(Murid!F893="TL","TL",ROUND(W893/110*100,2)))</f>
        <v/>
      </c>
    </row>
    <row r="894">
      <c r="A894" s="15">
        <f>Murid!A894</f>
        <v/>
      </c>
      <c r="B894" s="15">
        <f>IF(Murid!B894="","",Murid!B894)</f>
        <v/>
      </c>
      <c r="C894" s="16">
        <f>IF(Murid!C894="","",Murid!C894)</f>
        <v/>
      </c>
      <c r="D894" s="15">
        <f>IF(Murid!E894="","",Murid!E894)</f>
        <v/>
      </c>
      <c r="E894" s="11" t="n"/>
      <c r="F894" s="11" t="n"/>
      <c r="G894" s="10">
        <f>IF(F894="","",IFERROR(VLOOKUP(F894,T_JSP,2,FALSE),0))</f>
        <v/>
      </c>
      <c r="H894" s="11" t="n"/>
      <c r="I894" s="17">
        <f>IF(H894="","",IF(H894&gt;=12,40,ROUND(H894*3.33,2)))</f>
        <v/>
      </c>
      <c r="J894" s="11" t="n"/>
      <c r="K894" s="11" t="n"/>
      <c r="L894" s="11" t="n"/>
      <c r="M894" s="11" t="n"/>
      <c r="N894" s="10">
        <f>IF(COUNTA(J894:M894)=0,"",MIN(10,SUMPRODUCT((COUNTIF(J894:M894,L_KOM)&gt;0)*S_KOM)))</f>
        <v/>
      </c>
      <c r="O894" s="11" t="n"/>
      <c r="P894" s="10">
        <f>IF(O894="","",IFERROR(VLOOKUP(O894,T_KHID,2,FALSE),0))</f>
        <v/>
      </c>
      <c r="Q894" s="11" t="n"/>
      <c r="R894" s="11" t="n"/>
      <c r="S894" s="10">
        <f>IF(AND(Q894="",R894=""),"",IFERROR(INDEX(T_LIBAT,MATCH(Q894,L_PER,0),MATCH(R894,L_JENIS,0)),0))</f>
        <v/>
      </c>
      <c r="T894" s="11" t="n"/>
      <c r="U894" s="11" t="n"/>
      <c r="V894" s="10">
        <f>IF(AND(T894="",U894=""),"",IFERROR(INDEX(T_CAPAI,MATCH(T894,L_PER,0),MATCH(U894,L_KED,0)),0))</f>
        <v/>
      </c>
      <c r="W894" s="17">
        <f>IF(OR(B894="",E894="",COUNTA(F894,H894,J894:M894,O894,Q894:R894,T894:U894)=0),"",SUM(G894,I894,N894,P894,S894,V894))</f>
        <v/>
      </c>
      <c r="X894" s="18">
        <f>IF(W894="","",IF(Murid!F894="TL","TL",ROUND(W894/110*100,2)))</f>
        <v/>
      </c>
    </row>
    <row r="895">
      <c r="A895" s="15">
        <f>Murid!A895</f>
        <v/>
      </c>
      <c r="B895" s="15">
        <f>IF(Murid!B895="","",Murid!B895)</f>
        <v/>
      </c>
      <c r="C895" s="16">
        <f>IF(Murid!C895="","",Murid!C895)</f>
        <v/>
      </c>
      <c r="D895" s="15">
        <f>IF(Murid!E895="","",Murid!E895)</f>
        <v/>
      </c>
      <c r="E895" s="11" t="n"/>
      <c r="F895" s="11" t="n"/>
      <c r="G895" s="10">
        <f>IF(F895="","",IFERROR(VLOOKUP(F895,T_JSP,2,FALSE),0))</f>
        <v/>
      </c>
      <c r="H895" s="11" t="n"/>
      <c r="I895" s="17">
        <f>IF(H895="","",IF(H895&gt;=12,40,ROUND(H895*3.33,2)))</f>
        <v/>
      </c>
      <c r="J895" s="11" t="n"/>
      <c r="K895" s="11" t="n"/>
      <c r="L895" s="11" t="n"/>
      <c r="M895" s="11" t="n"/>
      <c r="N895" s="10">
        <f>IF(COUNTA(J895:M895)=0,"",MIN(10,SUMPRODUCT((COUNTIF(J895:M895,L_KOM)&gt;0)*S_KOM)))</f>
        <v/>
      </c>
      <c r="O895" s="11" t="n"/>
      <c r="P895" s="10">
        <f>IF(O895="","",IFERROR(VLOOKUP(O895,T_KHID,2,FALSE),0))</f>
        <v/>
      </c>
      <c r="Q895" s="11" t="n"/>
      <c r="R895" s="11" t="n"/>
      <c r="S895" s="10">
        <f>IF(AND(Q895="",R895=""),"",IFERROR(INDEX(T_LIBAT,MATCH(Q895,L_PER,0),MATCH(R895,L_JENIS,0)),0))</f>
        <v/>
      </c>
      <c r="T895" s="11" t="n"/>
      <c r="U895" s="11" t="n"/>
      <c r="V895" s="10">
        <f>IF(AND(T895="",U895=""),"",IFERROR(INDEX(T_CAPAI,MATCH(T895,L_PER,0),MATCH(U895,L_KED,0)),0))</f>
        <v/>
      </c>
      <c r="W895" s="17">
        <f>IF(OR(B895="",E895="",COUNTA(F895,H895,J895:M895,O895,Q895:R895,T895:U895)=0),"",SUM(G895,I895,N895,P895,S895,V895))</f>
        <v/>
      </c>
      <c r="X895" s="18">
        <f>IF(W895="","",IF(Murid!F895="TL","TL",ROUND(W895/110*100,2)))</f>
        <v/>
      </c>
    </row>
    <row r="896">
      <c r="A896" s="15">
        <f>Murid!A896</f>
        <v/>
      </c>
      <c r="B896" s="15">
        <f>IF(Murid!B896="","",Murid!B896)</f>
        <v/>
      </c>
      <c r="C896" s="16">
        <f>IF(Murid!C896="","",Murid!C896)</f>
        <v/>
      </c>
      <c r="D896" s="15">
        <f>IF(Murid!E896="","",Murid!E896)</f>
        <v/>
      </c>
      <c r="E896" s="11" t="n"/>
      <c r="F896" s="11" t="n"/>
      <c r="G896" s="10">
        <f>IF(F896="","",IFERROR(VLOOKUP(F896,T_JSP,2,FALSE),0))</f>
        <v/>
      </c>
      <c r="H896" s="11" t="n"/>
      <c r="I896" s="17">
        <f>IF(H896="","",IF(H896&gt;=12,40,ROUND(H896*3.33,2)))</f>
        <v/>
      </c>
      <c r="J896" s="11" t="n"/>
      <c r="K896" s="11" t="n"/>
      <c r="L896" s="11" t="n"/>
      <c r="M896" s="11" t="n"/>
      <c r="N896" s="10">
        <f>IF(COUNTA(J896:M896)=0,"",MIN(10,SUMPRODUCT((COUNTIF(J896:M896,L_KOM)&gt;0)*S_KOM)))</f>
        <v/>
      </c>
      <c r="O896" s="11" t="n"/>
      <c r="P896" s="10">
        <f>IF(O896="","",IFERROR(VLOOKUP(O896,T_KHID,2,FALSE),0))</f>
        <v/>
      </c>
      <c r="Q896" s="11" t="n"/>
      <c r="R896" s="11" t="n"/>
      <c r="S896" s="10">
        <f>IF(AND(Q896="",R896=""),"",IFERROR(INDEX(T_LIBAT,MATCH(Q896,L_PER,0),MATCH(R896,L_JENIS,0)),0))</f>
        <v/>
      </c>
      <c r="T896" s="11" t="n"/>
      <c r="U896" s="11" t="n"/>
      <c r="V896" s="10">
        <f>IF(AND(T896="",U896=""),"",IFERROR(INDEX(T_CAPAI,MATCH(T896,L_PER,0),MATCH(U896,L_KED,0)),0))</f>
        <v/>
      </c>
      <c r="W896" s="17">
        <f>IF(OR(B896="",E896="",COUNTA(F896,H896,J896:M896,O896,Q896:R896,T896:U896)=0),"",SUM(G896,I896,N896,P896,S896,V896))</f>
        <v/>
      </c>
      <c r="X896" s="18">
        <f>IF(W896="","",IF(Murid!F896="TL","TL",ROUND(W896/110*100,2)))</f>
        <v/>
      </c>
    </row>
    <row r="897">
      <c r="A897" s="15">
        <f>Murid!A897</f>
        <v/>
      </c>
      <c r="B897" s="15">
        <f>IF(Murid!B897="","",Murid!B897)</f>
        <v/>
      </c>
      <c r="C897" s="16">
        <f>IF(Murid!C897="","",Murid!C897)</f>
        <v/>
      </c>
      <c r="D897" s="15">
        <f>IF(Murid!E897="","",Murid!E897)</f>
        <v/>
      </c>
      <c r="E897" s="11" t="n"/>
      <c r="F897" s="11" t="n"/>
      <c r="G897" s="10">
        <f>IF(F897="","",IFERROR(VLOOKUP(F897,T_JSP,2,FALSE),0))</f>
        <v/>
      </c>
      <c r="H897" s="11" t="n"/>
      <c r="I897" s="17">
        <f>IF(H897="","",IF(H897&gt;=12,40,ROUND(H897*3.33,2)))</f>
        <v/>
      </c>
      <c r="J897" s="11" t="n"/>
      <c r="K897" s="11" t="n"/>
      <c r="L897" s="11" t="n"/>
      <c r="M897" s="11" t="n"/>
      <c r="N897" s="10">
        <f>IF(COUNTA(J897:M897)=0,"",MIN(10,SUMPRODUCT((COUNTIF(J897:M897,L_KOM)&gt;0)*S_KOM)))</f>
        <v/>
      </c>
      <c r="O897" s="11" t="n"/>
      <c r="P897" s="10">
        <f>IF(O897="","",IFERROR(VLOOKUP(O897,T_KHID,2,FALSE),0))</f>
        <v/>
      </c>
      <c r="Q897" s="11" t="n"/>
      <c r="R897" s="11" t="n"/>
      <c r="S897" s="10">
        <f>IF(AND(Q897="",R897=""),"",IFERROR(INDEX(T_LIBAT,MATCH(Q897,L_PER,0),MATCH(R897,L_JENIS,0)),0))</f>
        <v/>
      </c>
      <c r="T897" s="11" t="n"/>
      <c r="U897" s="11" t="n"/>
      <c r="V897" s="10">
        <f>IF(AND(T897="",U897=""),"",IFERROR(INDEX(T_CAPAI,MATCH(T897,L_PER,0),MATCH(U897,L_KED,0)),0))</f>
        <v/>
      </c>
      <c r="W897" s="17">
        <f>IF(OR(B897="",E897="",COUNTA(F897,H897,J897:M897,O897,Q897:R897,T897:U897)=0),"",SUM(G897,I897,N897,P897,S897,V897))</f>
        <v/>
      </c>
      <c r="X897" s="18">
        <f>IF(W897="","",IF(Murid!F897="TL","TL",ROUND(W897/110*100,2)))</f>
        <v/>
      </c>
    </row>
    <row r="898">
      <c r="A898" s="15">
        <f>Murid!A898</f>
        <v/>
      </c>
      <c r="B898" s="15">
        <f>IF(Murid!B898="","",Murid!B898)</f>
        <v/>
      </c>
      <c r="C898" s="16">
        <f>IF(Murid!C898="","",Murid!C898)</f>
        <v/>
      </c>
      <c r="D898" s="15">
        <f>IF(Murid!E898="","",Murid!E898)</f>
        <v/>
      </c>
      <c r="E898" s="11" t="n"/>
      <c r="F898" s="11" t="n"/>
      <c r="G898" s="10">
        <f>IF(F898="","",IFERROR(VLOOKUP(F898,T_JSP,2,FALSE),0))</f>
        <v/>
      </c>
      <c r="H898" s="11" t="n"/>
      <c r="I898" s="17">
        <f>IF(H898="","",IF(H898&gt;=12,40,ROUND(H898*3.33,2)))</f>
        <v/>
      </c>
      <c r="J898" s="11" t="n"/>
      <c r="K898" s="11" t="n"/>
      <c r="L898" s="11" t="n"/>
      <c r="M898" s="11" t="n"/>
      <c r="N898" s="10">
        <f>IF(COUNTA(J898:M898)=0,"",MIN(10,SUMPRODUCT((COUNTIF(J898:M898,L_KOM)&gt;0)*S_KOM)))</f>
        <v/>
      </c>
      <c r="O898" s="11" t="n"/>
      <c r="P898" s="10">
        <f>IF(O898="","",IFERROR(VLOOKUP(O898,T_KHID,2,FALSE),0))</f>
        <v/>
      </c>
      <c r="Q898" s="11" t="n"/>
      <c r="R898" s="11" t="n"/>
      <c r="S898" s="10">
        <f>IF(AND(Q898="",R898=""),"",IFERROR(INDEX(T_LIBAT,MATCH(Q898,L_PER,0),MATCH(R898,L_JENIS,0)),0))</f>
        <v/>
      </c>
      <c r="T898" s="11" t="n"/>
      <c r="U898" s="11" t="n"/>
      <c r="V898" s="10">
        <f>IF(AND(T898="",U898=""),"",IFERROR(INDEX(T_CAPAI,MATCH(T898,L_PER,0),MATCH(U898,L_KED,0)),0))</f>
        <v/>
      </c>
      <c r="W898" s="17">
        <f>IF(OR(B898="",E898="",COUNTA(F898,H898,J898:M898,O898,Q898:R898,T898:U898)=0),"",SUM(G898,I898,N898,P898,S898,V898))</f>
        <v/>
      </c>
      <c r="X898" s="18">
        <f>IF(W898="","",IF(Murid!F898="TL","TL",ROUND(W898/110*100,2)))</f>
        <v/>
      </c>
    </row>
    <row r="899">
      <c r="A899" s="15">
        <f>Murid!A899</f>
        <v/>
      </c>
      <c r="B899" s="15">
        <f>IF(Murid!B899="","",Murid!B899)</f>
        <v/>
      </c>
      <c r="C899" s="16">
        <f>IF(Murid!C899="","",Murid!C899)</f>
        <v/>
      </c>
      <c r="D899" s="15">
        <f>IF(Murid!E899="","",Murid!E899)</f>
        <v/>
      </c>
      <c r="E899" s="11" t="n"/>
      <c r="F899" s="11" t="n"/>
      <c r="G899" s="10">
        <f>IF(F899="","",IFERROR(VLOOKUP(F899,T_JSP,2,FALSE),0))</f>
        <v/>
      </c>
      <c r="H899" s="11" t="n"/>
      <c r="I899" s="17">
        <f>IF(H899="","",IF(H899&gt;=12,40,ROUND(H899*3.33,2)))</f>
        <v/>
      </c>
      <c r="J899" s="11" t="n"/>
      <c r="K899" s="11" t="n"/>
      <c r="L899" s="11" t="n"/>
      <c r="M899" s="11" t="n"/>
      <c r="N899" s="10">
        <f>IF(COUNTA(J899:M899)=0,"",MIN(10,SUMPRODUCT((COUNTIF(J899:M899,L_KOM)&gt;0)*S_KOM)))</f>
        <v/>
      </c>
      <c r="O899" s="11" t="n"/>
      <c r="P899" s="10">
        <f>IF(O899="","",IFERROR(VLOOKUP(O899,T_KHID,2,FALSE),0))</f>
        <v/>
      </c>
      <c r="Q899" s="11" t="n"/>
      <c r="R899" s="11" t="n"/>
      <c r="S899" s="10">
        <f>IF(AND(Q899="",R899=""),"",IFERROR(INDEX(T_LIBAT,MATCH(Q899,L_PER,0),MATCH(R899,L_JENIS,0)),0))</f>
        <v/>
      </c>
      <c r="T899" s="11" t="n"/>
      <c r="U899" s="11" t="n"/>
      <c r="V899" s="10">
        <f>IF(AND(T899="",U899=""),"",IFERROR(INDEX(T_CAPAI,MATCH(T899,L_PER,0),MATCH(U899,L_KED,0)),0))</f>
        <v/>
      </c>
      <c r="W899" s="17">
        <f>IF(OR(B899="",E899="",COUNTA(F899,H899,J899:M899,O899,Q899:R899,T899:U899)=0),"",SUM(G899,I899,N899,P899,S899,V899))</f>
        <v/>
      </c>
      <c r="X899" s="18">
        <f>IF(W899="","",IF(Murid!F899="TL","TL",ROUND(W899/110*100,2)))</f>
        <v/>
      </c>
    </row>
    <row r="900">
      <c r="A900" s="15">
        <f>Murid!A900</f>
        <v/>
      </c>
      <c r="B900" s="15">
        <f>IF(Murid!B900="","",Murid!B900)</f>
        <v/>
      </c>
      <c r="C900" s="16">
        <f>IF(Murid!C900="","",Murid!C900)</f>
        <v/>
      </c>
      <c r="D900" s="15">
        <f>IF(Murid!E900="","",Murid!E900)</f>
        <v/>
      </c>
      <c r="E900" s="11" t="n"/>
      <c r="F900" s="11" t="n"/>
      <c r="G900" s="10">
        <f>IF(F900="","",IFERROR(VLOOKUP(F900,T_JSP,2,FALSE),0))</f>
        <v/>
      </c>
      <c r="H900" s="11" t="n"/>
      <c r="I900" s="17">
        <f>IF(H900="","",IF(H900&gt;=12,40,ROUND(H900*3.33,2)))</f>
        <v/>
      </c>
      <c r="J900" s="11" t="n"/>
      <c r="K900" s="11" t="n"/>
      <c r="L900" s="11" t="n"/>
      <c r="M900" s="11" t="n"/>
      <c r="N900" s="10">
        <f>IF(COUNTA(J900:M900)=0,"",MIN(10,SUMPRODUCT((COUNTIF(J900:M900,L_KOM)&gt;0)*S_KOM)))</f>
        <v/>
      </c>
      <c r="O900" s="11" t="n"/>
      <c r="P900" s="10">
        <f>IF(O900="","",IFERROR(VLOOKUP(O900,T_KHID,2,FALSE),0))</f>
        <v/>
      </c>
      <c r="Q900" s="11" t="n"/>
      <c r="R900" s="11" t="n"/>
      <c r="S900" s="10">
        <f>IF(AND(Q900="",R900=""),"",IFERROR(INDEX(T_LIBAT,MATCH(Q900,L_PER,0),MATCH(R900,L_JENIS,0)),0))</f>
        <v/>
      </c>
      <c r="T900" s="11" t="n"/>
      <c r="U900" s="11" t="n"/>
      <c r="V900" s="10">
        <f>IF(AND(T900="",U900=""),"",IFERROR(INDEX(T_CAPAI,MATCH(T900,L_PER,0),MATCH(U900,L_KED,0)),0))</f>
        <v/>
      </c>
      <c r="W900" s="17">
        <f>IF(OR(B900="",E900="",COUNTA(F900,H900,J900:M900,O900,Q900:R900,T900:U900)=0),"",SUM(G900,I900,N900,P900,S900,V900))</f>
        <v/>
      </c>
      <c r="X900" s="18">
        <f>IF(W900="","",IF(Murid!F900="TL","TL",ROUND(W900/110*100,2)))</f>
        <v/>
      </c>
    </row>
    <row r="901">
      <c r="A901" s="15">
        <f>Murid!A901</f>
        <v/>
      </c>
      <c r="B901" s="15">
        <f>IF(Murid!B901="","",Murid!B901)</f>
        <v/>
      </c>
      <c r="C901" s="16">
        <f>IF(Murid!C901="","",Murid!C901)</f>
        <v/>
      </c>
      <c r="D901" s="15">
        <f>IF(Murid!E901="","",Murid!E901)</f>
        <v/>
      </c>
      <c r="E901" s="11" t="n"/>
      <c r="F901" s="11" t="n"/>
      <c r="G901" s="10">
        <f>IF(F901="","",IFERROR(VLOOKUP(F901,T_JSP,2,FALSE),0))</f>
        <v/>
      </c>
      <c r="H901" s="11" t="n"/>
      <c r="I901" s="17">
        <f>IF(H901="","",IF(H901&gt;=12,40,ROUND(H901*3.33,2)))</f>
        <v/>
      </c>
      <c r="J901" s="11" t="n"/>
      <c r="K901" s="11" t="n"/>
      <c r="L901" s="11" t="n"/>
      <c r="M901" s="11" t="n"/>
      <c r="N901" s="10">
        <f>IF(COUNTA(J901:M901)=0,"",MIN(10,SUMPRODUCT((COUNTIF(J901:M901,L_KOM)&gt;0)*S_KOM)))</f>
        <v/>
      </c>
      <c r="O901" s="11" t="n"/>
      <c r="P901" s="10">
        <f>IF(O901="","",IFERROR(VLOOKUP(O901,T_KHID,2,FALSE),0))</f>
        <v/>
      </c>
      <c r="Q901" s="11" t="n"/>
      <c r="R901" s="11" t="n"/>
      <c r="S901" s="10">
        <f>IF(AND(Q901="",R901=""),"",IFERROR(INDEX(T_LIBAT,MATCH(Q901,L_PER,0),MATCH(R901,L_JENIS,0)),0))</f>
        <v/>
      </c>
      <c r="T901" s="11" t="n"/>
      <c r="U901" s="11" t="n"/>
      <c r="V901" s="10">
        <f>IF(AND(T901="",U901=""),"",IFERROR(INDEX(T_CAPAI,MATCH(T901,L_PER,0),MATCH(U901,L_KED,0)),0))</f>
        <v/>
      </c>
      <c r="W901" s="17">
        <f>IF(OR(B901="",E901="",COUNTA(F901,H901,J901:M901,O901,Q901:R901,T901:U901)=0),"",SUM(G901,I901,N901,P901,S901,V901))</f>
        <v/>
      </c>
      <c r="X901" s="18">
        <f>IF(W901="","",IF(Murid!F901="TL","TL",ROUND(W901/110*100,2)))</f>
        <v/>
      </c>
    </row>
    <row r="902">
      <c r="A902" s="15">
        <f>Murid!A902</f>
        <v/>
      </c>
      <c r="B902" s="15">
        <f>IF(Murid!B902="","",Murid!B902)</f>
        <v/>
      </c>
      <c r="C902" s="16">
        <f>IF(Murid!C902="","",Murid!C902)</f>
        <v/>
      </c>
      <c r="D902" s="15">
        <f>IF(Murid!E902="","",Murid!E902)</f>
        <v/>
      </c>
      <c r="E902" s="11" t="n"/>
      <c r="F902" s="11" t="n"/>
      <c r="G902" s="10">
        <f>IF(F902="","",IFERROR(VLOOKUP(F902,T_JSP,2,FALSE),0))</f>
        <v/>
      </c>
      <c r="H902" s="11" t="n"/>
      <c r="I902" s="17">
        <f>IF(H902="","",IF(H902&gt;=12,40,ROUND(H902*3.33,2)))</f>
        <v/>
      </c>
      <c r="J902" s="11" t="n"/>
      <c r="K902" s="11" t="n"/>
      <c r="L902" s="11" t="n"/>
      <c r="M902" s="11" t="n"/>
      <c r="N902" s="10">
        <f>IF(COUNTA(J902:M902)=0,"",MIN(10,SUMPRODUCT((COUNTIF(J902:M902,L_KOM)&gt;0)*S_KOM)))</f>
        <v/>
      </c>
      <c r="O902" s="11" t="n"/>
      <c r="P902" s="10">
        <f>IF(O902="","",IFERROR(VLOOKUP(O902,T_KHID,2,FALSE),0))</f>
        <v/>
      </c>
      <c r="Q902" s="11" t="n"/>
      <c r="R902" s="11" t="n"/>
      <c r="S902" s="10">
        <f>IF(AND(Q902="",R902=""),"",IFERROR(INDEX(T_LIBAT,MATCH(Q902,L_PER,0),MATCH(R902,L_JENIS,0)),0))</f>
        <v/>
      </c>
      <c r="T902" s="11" t="n"/>
      <c r="U902" s="11" t="n"/>
      <c r="V902" s="10">
        <f>IF(AND(T902="",U902=""),"",IFERROR(INDEX(T_CAPAI,MATCH(T902,L_PER,0),MATCH(U902,L_KED,0)),0))</f>
        <v/>
      </c>
      <c r="W902" s="17">
        <f>IF(OR(B902="",E902="",COUNTA(F902,H902,J902:M902,O902,Q902:R902,T902:U902)=0),"",SUM(G902,I902,N902,P902,S902,V902))</f>
        <v/>
      </c>
      <c r="X902" s="18">
        <f>IF(W902="","",IF(Murid!F902="TL","TL",ROUND(W902/110*100,2)))</f>
        <v/>
      </c>
    </row>
    <row r="903">
      <c r="A903" s="15">
        <f>Murid!A903</f>
        <v/>
      </c>
      <c r="B903" s="15">
        <f>IF(Murid!B903="","",Murid!B903)</f>
        <v/>
      </c>
      <c r="C903" s="16">
        <f>IF(Murid!C903="","",Murid!C903)</f>
        <v/>
      </c>
      <c r="D903" s="15">
        <f>IF(Murid!E903="","",Murid!E903)</f>
        <v/>
      </c>
      <c r="E903" s="11" t="n"/>
      <c r="F903" s="11" t="n"/>
      <c r="G903" s="10">
        <f>IF(F903="","",IFERROR(VLOOKUP(F903,T_JSP,2,FALSE),0))</f>
        <v/>
      </c>
      <c r="H903" s="11" t="n"/>
      <c r="I903" s="17">
        <f>IF(H903="","",IF(H903&gt;=12,40,ROUND(H903*3.33,2)))</f>
        <v/>
      </c>
      <c r="J903" s="11" t="n"/>
      <c r="K903" s="11" t="n"/>
      <c r="L903" s="11" t="n"/>
      <c r="M903" s="11" t="n"/>
      <c r="N903" s="10">
        <f>IF(COUNTA(J903:M903)=0,"",MIN(10,SUMPRODUCT((COUNTIF(J903:M903,L_KOM)&gt;0)*S_KOM)))</f>
        <v/>
      </c>
      <c r="O903" s="11" t="n"/>
      <c r="P903" s="10">
        <f>IF(O903="","",IFERROR(VLOOKUP(O903,T_KHID,2,FALSE),0))</f>
        <v/>
      </c>
      <c r="Q903" s="11" t="n"/>
      <c r="R903" s="11" t="n"/>
      <c r="S903" s="10">
        <f>IF(AND(Q903="",R903=""),"",IFERROR(INDEX(T_LIBAT,MATCH(Q903,L_PER,0),MATCH(R903,L_JENIS,0)),0))</f>
        <v/>
      </c>
      <c r="T903" s="11" t="n"/>
      <c r="U903" s="11" t="n"/>
      <c r="V903" s="10">
        <f>IF(AND(T903="",U903=""),"",IFERROR(INDEX(T_CAPAI,MATCH(T903,L_PER,0),MATCH(U903,L_KED,0)),0))</f>
        <v/>
      </c>
      <c r="W903" s="17">
        <f>IF(OR(B903="",E903="",COUNTA(F903,H903,J903:M903,O903,Q903:R903,T903:U903)=0),"",SUM(G903,I903,N903,P903,S903,V903))</f>
        <v/>
      </c>
      <c r="X903" s="18">
        <f>IF(W903="","",IF(Murid!F903="TL","TL",ROUND(W903/110*100,2)))</f>
        <v/>
      </c>
    </row>
    <row r="904">
      <c r="A904" s="15">
        <f>Murid!A904</f>
        <v/>
      </c>
      <c r="B904" s="15">
        <f>IF(Murid!B904="","",Murid!B904)</f>
        <v/>
      </c>
      <c r="C904" s="16">
        <f>IF(Murid!C904="","",Murid!C904)</f>
        <v/>
      </c>
      <c r="D904" s="15">
        <f>IF(Murid!E904="","",Murid!E904)</f>
        <v/>
      </c>
      <c r="E904" s="11" t="n"/>
      <c r="F904" s="11" t="n"/>
      <c r="G904" s="10">
        <f>IF(F904="","",IFERROR(VLOOKUP(F904,T_JSP,2,FALSE),0))</f>
        <v/>
      </c>
      <c r="H904" s="11" t="n"/>
      <c r="I904" s="17">
        <f>IF(H904="","",IF(H904&gt;=12,40,ROUND(H904*3.33,2)))</f>
        <v/>
      </c>
      <c r="J904" s="11" t="n"/>
      <c r="K904" s="11" t="n"/>
      <c r="L904" s="11" t="n"/>
      <c r="M904" s="11" t="n"/>
      <c r="N904" s="10">
        <f>IF(COUNTA(J904:M904)=0,"",MIN(10,SUMPRODUCT((COUNTIF(J904:M904,L_KOM)&gt;0)*S_KOM)))</f>
        <v/>
      </c>
      <c r="O904" s="11" t="n"/>
      <c r="P904" s="10">
        <f>IF(O904="","",IFERROR(VLOOKUP(O904,T_KHID,2,FALSE),0))</f>
        <v/>
      </c>
      <c r="Q904" s="11" t="n"/>
      <c r="R904" s="11" t="n"/>
      <c r="S904" s="10">
        <f>IF(AND(Q904="",R904=""),"",IFERROR(INDEX(T_LIBAT,MATCH(Q904,L_PER,0),MATCH(R904,L_JENIS,0)),0))</f>
        <v/>
      </c>
      <c r="T904" s="11" t="n"/>
      <c r="U904" s="11" t="n"/>
      <c r="V904" s="10">
        <f>IF(AND(T904="",U904=""),"",IFERROR(INDEX(T_CAPAI,MATCH(T904,L_PER,0),MATCH(U904,L_KED,0)),0))</f>
        <v/>
      </c>
      <c r="W904" s="17">
        <f>IF(OR(B904="",E904="",COUNTA(F904,H904,J904:M904,O904,Q904:R904,T904:U904)=0),"",SUM(G904,I904,N904,P904,S904,V904))</f>
        <v/>
      </c>
      <c r="X904" s="18">
        <f>IF(W904="","",IF(Murid!F904="TL","TL",ROUND(W904/110*100,2)))</f>
        <v/>
      </c>
    </row>
    <row r="905">
      <c r="A905" s="15">
        <f>Murid!A905</f>
        <v/>
      </c>
      <c r="B905" s="15">
        <f>IF(Murid!B905="","",Murid!B905)</f>
        <v/>
      </c>
      <c r="C905" s="16">
        <f>IF(Murid!C905="","",Murid!C905)</f>
        <v/>
      </c>
      <c r="D905" s="15">
        <f>IF(Murid!E905="","",Murid!E905)</f>
        <v/>
      </c>
      <c r="E905" s="11" t="n"/>
      <c r="F905" s="11" t="n"/>
      <c r="G905" s="10">
        <f>IF(F905="","",IFERROR(VLOOKUP(F905,T_JSP,2,FALSE),0))</f>
        <v/>
      </c>
      <c r="H905" s="11" t="n"/>
      <c r="I905" s="17">
        <f>IF(H905="","",IF(H905&gt;=12,40,ROUND(H905*3.33,2)))</f>
        <v/>
      </c>
      <c r="J905" s="11" t="n"/>
      <c r="K905" s="11" t="n"/>
      <c r="L905" s="11" t="n"/>
      <c r="M905" s="11" t="n"/>
      <c r="N905" s="10">
        <f>IF(COUNTA(J905:M905)=0,"",MIN(10,SUMPRODUCT((COUNTIF(J905:M905,L_KOM)&gt;0)*S_KOM)))</f>
        <v/>
      </c>
      <c r="O905" s="11" t="n"/>
      <c r="P905" s="10">
        <f>IF(O905="","",IFERROR(VLOOKUP(O905,T_KHID,2,FALSE),0))</f>
        <v/>
      </c>
      <c r="Q905" s="11" t="n"/>
      <c r="R905" s="11" t="n"/>
      <c r="S905" s="10">
        <f>IF(AND(Q905="",R905=""),"",IFERROR(INDEX(T_LIBAT,MATCH(Q905,L_PER,0),MATCH(R905,L_JENIS,0)),0))</f>
        <v/>
      </c>
      <c r="T905" s="11" t="n"/>
      <c r="U905" s="11" t="n"/>
      <c r="V905" s="10">
        <f>IF(AND(T905="",U905=""),"",IFERROR(INDEX(T_CAPAI,MATCH(T905,L_PER,0),MATCH(U905,L_KED,0)),0))</f>
        <v/>
      </c>
      <c r="W905" s="17">
        <f>IF(OR(B905="",E905="",COUNTA(F905,H905,J905:M905,O905,Q905:R905,T905:U905)=0),"",SUM(G905,I905,N905,P905,S905,V905))</f>
        <v/>
      </c>
      <c r="X905" s="18">
        <f>IF(W905="","",IF(Murid!F905="TL","TL",ROUND(W905/110*100,2)))</f>
        <v/>
      </c>
    </row>
    <row r="906">
      <c r="A906" s="15">
        <f>Murid!A906</f>
        <v/>
      </c>
      <c r="B906" s="15">
        <f>IF(Murid!B906="","",Murid!B906)</f>
        <v/>
      </c>
      <c r="C906" s="16">
        <f>IF(Murid!C906="","",Murid!C906)</f>
        <v/>
      </c>
      <c r="D906" s="15">
        <f>IF(Murid!E906="","",Murid!E906)</f>
        <v/>
      </c>
      <c r="E906" s="11" t="n"/>
      <c r="F906" s="11" t="n"/>
      <c r="G906" s="10">
        <f>IF(F906="","",IFERROR(VLOOKUP(F906,T_JSP,2,FALSE),0))</f>
        <v/>
      </c>
      <c r="H906" s="11" t="n"/>
      <c r="I906" s="17">
        <f>IF(H906="","",IF(H906&gt;=12,40,ROUND(H906*3.33,2)))</f>
        <v/>
      </c>
      <c r="J906" s="11" t="n"/>
      <c r="K906" s="11" t="n"/>
      <c r="L906" s="11" t="n"/>
      <c r="M906" s="11" t="n"/>
      <c r="N906" s="10">
        <f>IF(COUNTA(J906:M906)=0,"",MIN(10,SUMPRODUCT((COUNTIF(J906:M906,L_KOM)&gt;0)*S_KOM)))</f>
        <v/>
      </c>
      <c r="O906" s="11" t="n"/>
      <c r="P906" s="10">
        <f>IF(O906="","",IFERROR(VLOOKUP(O906,T_KHID,2,FALSE),0))</f>
        <v/>
      </c>
      <c r="Q906" s="11" t="n"/>
      <c r="R906" s="11" t="n"/>
      <c r="S906" s="10">
        <f>IF(AND(Q906="",R906=""),"",IFERROR(INDEX(T_LIBAT,MATCH(Q906,L_PER,0),MATCH(R906,L_JENIS,0)),0))</f>
        <v/>
      </c>
      <c r="T906" s="11" t="n"/>
      <c r="U906" s="11" t="n"/>
      <c r="V906" s="10">
        <f>IF(AND(T906="",U906=""),"",IFERROR(INDEX(T_CAPAI,MATCH(T906,L_PER,0),MATCH(U906,L_KED,0)),0))</f>
        <v/>
      </c>
      <c r="W906" s="17">
        <f>IF(OR(B906="",E906="",COUNTA(F906,H906,J906:M906,O906,Q906:R906,T906:U906)=0),"",SUM(G906,I906,N906,P906,S906,V906))</f>
        <v/>
      </c>
      <c r="X906" s="18">
        <f>IF(W906="","",IF(Murid!F906="TL","TL",ROUND(W906/110*100,2)))</f>
        <v/>
      </c>
    </row>
    <row r="907">
      <c r="A907" s="15">
        <f>Murid!A907</f>
        <v/>
      </c>
      <c r="B907" s="15">
        <f>IF(Murid!B907="","",Murid!B907)</f>
        <v/>
      </c>
      <c r="C907" s="16">
        <f>IF(Murid!C907="","",Murid!C907)</f>
        <v/>
      </c>
      <c r="D907" s="15">
        <f>IF(Murid!E907="","",Murid!E907)</f>
        <v/>
      </c>
      <c r="E907" s="11" t="n"/>
      <c r="F907" s="11" t="n"/>
      <c r="G907" s="10">
        <f>IF(F907="","",IFERROR(VLOOKUP(F907,T_JSP,2,FALSE),0))</f>
        <v/>
      </c>
      <c r="H907" s="11" t="n"/>
      <c r="I907" s="17">
        <f>IF(H907="","",IF(H907&gt;=12,40,ROUND(H907*3.33,2)))</f>
        <v/>
      </c>
      <c r="J907" s="11" t="n"/>
      <c r="K907" s="11" t="n"/>
      <c r="L907" s="11" t="n"/>
      <c r="M907" s="11" t="n"/>
      <c r="N907" s="10">
        <f>IF(COUNTA(J907:M907)=0,"",MIN(10,SUMPRODUCT((COUNTIF(J907:M907,L_KOM)&gt;0)*S_KOM)))</f>
        <v/>
      </c>
      <c r="O907" s="11" t="n"/>
      <c r="P907" s="10">
        <f>IF(O907="","",IFERROR(VLOOKUP(O907,T_KHID,2,FALSE),0))</f>
        <v/>
      </c>
      <c r="Q907" s="11" t="n"/>
      <c r="R907" s="11" t="n"/>
      <c r="S907" s="10">
        <f>IF(AND(Q907="",R907=""),"",IFERROR(INDEX(T_LIBAT,MATCH(Q907,L_PER,0),MATCH(R907,L_JENIS,0)),0))</f>
        <v/>
      </c>
      <c r="T907" s="11" t="n"/>
      <c r="U907" s="11" t="n"/>
      <c r="V907" s="10">
        <f>IF(AND(T907="",U907=""),"",IFERROR(INDEX(T_CAPAI,MATCH(T907,L_PER,0),MATCH(U907,L_KED,0)),0))</f>
        <v/>
      </c>
      <c r="W907" s="17">
        <f>IF(OR(B907="",E907="",COUNTA(F907,H907,J907:M907,O907,Q907:R907,T907:U907)=0),"",SUM(G907,I907,N907,P907,S907,V907))</f>
        <v/>
      </c>
      <c r="X907" s="18">
        <f>IF(W907="","",IF(Murid!F907="TL","TL",ROUND(W907/110*100,2)))</f>
        <v/>
      </c>
    </row>
    <row r="908">
      <c r="A908" s="15">
        <f>Murid!A908</f>
        <v/>
      </c>
      <c r="B908" s="15">
        <f>IF(Murid!B908="","",Murid!B908)</f>
        <v/>
      </c>
      <c r="C908" s="16">
        <f>IF(Murid!C908="","",Murid!C908)</f>
        <v/>
      </c>
      <c r="D908" s="15">
        <f>IF(Murid!E908="","",Murid!E908)</f>
        <v/>
      </c>
      <c r="E908" s="11" t="n"/>
      <c r="F908" s="11" t="n"/>
      <c r="G908" s="10">
        <f>IF(F908="","",IFERROR(VLOOKUP(F908,T_JSP,2,FALSE),0))</f>
        <v/>
      </c>
      <c r="H908" s="11" t="n"/>
      <c r="I908" s="17">
        <f>IF(H908="","",IF(H908&gt;=12,40,ROUND(H908*3.33,2)))</f>
        <v/>
      </c>
      <c r="J908" s="11" t="n"/>
      <c r="K908" s="11" t="n"/>
      <c r="L908" s="11" t="n"/>
      <c r="M908" s="11" t="n"/>
      <c r="N908" s="10">
        <f>IF(COUNTA(J908:M908)=0,"",MIN(10,SUMPRODUCT((COUNTIF(J908:M908,L_KOM)&gt;0)*S_KOM)))</f>
        <v/>
      </c>
      <c r="O908" s="11" t="n"/>
      <c r="P908" s="10">
        <f>IF(O908="","",IFERROR(VLOOKUP(O908,T_KHID,2,FALSE),0))</f>
        <v/>
      </c>
      <c r="Q908" s="11" t="n"/>
      <c r="R908" s="11" t="n"/>
      <c r="S908" s="10">
        <f>IF(AND(Q908="",R908=""),"",IFERROR(INDEX(T_LIBAT,MATCH(Q908,L_PER,0),MATCH(R908,L_JENIS,0)),0))</f>
        <v/>
      </c>
      <c r="T908" s="11" t="n"/>
      <c r="U908" s="11" t="n"/>
      <c r="V908" s="10">
        <f>IF(AND(T908="",U908=""),"",IFERROR(INDEX(T_CAPAI,MATCH(T908,L_PER,0),MATCH(U908,L_KED,0)),0))</f>
        <v/>
      </c>
      <c r="W908" s="17">
        <f>IF(OR(B908="",E908="",COUNTA(F908,H908,J908:M908,O908,Q908:R908,T908:U908)=0),"",SUM(G908,I908,N908,P908,S908,V908))</f>
        <v/>
      </c>
      <c r="X908" s="18">
        <f>IF(W908="","",IF(Murid!F908="TL","TL",ROUND(W908/110*100,2)))</f>
        <v/>
      </c>
    </row>
    <row r="909">
      <c r="A909" s="15">
        <f>Murid!A909</f>
        <v/>
      </c>
      <c r="B909" s="15">
        <f>IF(Murid!B909="","",Murid!B909)</f>
        <v/>
      </c>
      <c r="C909" s="16">
        <f>IF(Murid!C909="","",Murid!C909)</f>
        <v/>
      </c>
      <c r="D909" s="15">
        <f>IF(Murid!E909="","",Murid!E909)</f>
        <v/>
      </c>
      <c r="E909" s="11" t="n"/>
      <c r="F909" s="11" t="n"/>
      <c r="G909" s="10">
        <f>IF(F909="","",IFERROR(VLOOKUP(F909,T_JSP,2,FALSE),0))</f>
        <v/>
      </c>
      <c r="H909" s="11" t="n"/>
      <c r="I909" s="17">
        <f>IF(H909="","",IF(H909&gt;=12,40,ROUND(H909*3.33,2)))</f>
        <v/>
      </c>
      <c r="J909" s="11" t="n"/>
      <c r="K909" s="11" t="n"/>
      <c r="L909" s="11" t="n"/>
      <c r="M909" s="11" t="n"/>
      <c r="N909" s="10">
        <f>IF(COUNTA(J909:M909)=0,"",MIN(10,SUMPRODUCT((COUNTIF(J909:M909,L_KOM)&gt;0)*S_KOM)))</f>
        <v/>
      </c>
      <c r="O909" s="11" t="n"/>
      <c r="P909" s="10">
        <f>IF(O909="","",IFERROR(VLOOKUP(O909,T_KHID,2,FALSE),0))</f>
        <v/>
      </c>
      <c r="Q909" s="11" t="n"/>
      <c r="R909" s="11" t="n"/>
      <c r="S909" s="10">
        <f>IF(AND(Q909="",R909=""),"",IFERROR(INDEX(T_LIBAT,MATCH(Q909,L_PER,0),MATCH(R909,L_JENIS,0)),0))</f>
        <v/>
      </c>
      <c r="T909" s="11" t="n"/>
      <c r="U909" s="11" t="n"/>
      <c r="V909" s="10">
        <f>IF(AND(T909="",U909=""),"",IFERROR(INDEX(T_CAPAI,MATCH(T909,L_PER,0),MATCH(U909,L_KED,0)),0))</f>
        <v/>
      </c>
      <c r="W909" s="17">
        <f>IF(OR(B909="",E909="",COUNTA(F909,H909,J909:M909,O909,Q909:R909,T909:U909)=0),"",SUM(G909,I909,N909,P909,S909,V909))</f>
        <v/>
      </c>
      <c r="X909" s="18">
        <f>IF(W909="","",IF(Murid!F909="TL","TL",ROUND(W909/110*100,2)))</f>
        <v/>
      </c>
    </row>
    <row r="910">
      <c r="A910" s="15">
        <f>Murid!A910</f>
        <v/>
      </c>
      <c r="B910" s="15">
        <f>IF(Murid!B910="","",Murid!B910)</f>
        <v/>
      </c>
      <c r="C910" s="16">
        <f>IF(Murid!C910="","",Murid!C910)</f>
        <v/>
      </c>
      <c r="D910" s="15">
        <f>IF(Murid!E910="","",Murid!E910)</f>
        <v/>
      </c>
      <c r="E910" s="11" t="n"/>
      <c r="F910" s="11" t="n"/>
      <c r="G910" s="10">
        <f>IF(F910="","",IFERROR(VLOOKUP(F910,T_JSP,2,FALSE),0))</f>
        <v/>
      </c>
      <c r="H910" s="11" t="n"/>
      <c r="I910" s="17">
        <f>IF(H910="","",IF(H910&gt;=12,40,ROUND(H910*3.33,2)))</f>
        <v/>
      </c>
      <c r="J910" s="11" t="n"/>
      <c r="K910" s="11" t="n"/>
      <c r="L910" s="11" t="n"/>
      <c r="M910" s="11" t="n"/>
      <c r="N910" s="10">
        <f>IF(COUNTA(J910:M910)=0,"",MIN(10,SUMPRODUCT((COUNTIF(J910:M910,L_KOM)&gt;0)*S_KOM)))</f>
        <v/>
      </c>
      <c r="O910" s="11" t="n"/>
      <c r="P910" s="10">
        <f>IF(O910="","",IFERROR(VLOOKUP(O910,T_KHID,2,FALSE),0))</f>
        <v/>
      </c>
      <c r="Q910" s="11" t="n"/>
      <c r="R910" s="11" t="n"/>
      <c r="S910" s="10">
        <f>IF(AND(Q910="",R910=""),"",IFERROR(INDEX(T_LIBAT,MATCH(Q910,L_PER,0),MATCH(R910,L_JENIS,0)),0))</f>
        <v/>
      </c>
      <c r="T910" s="11" t="n"/>
      <c r="U910" s="11" t="n"/>
      <c r="V910" s="10">
        <f>IF(AND(T910="",U910=""),"",IFERROR(INDEX(T_CAPAI,MATCH(T910,L_PER,0),MATCH(U910,L_KED,0)),0))</f>
        <v/>
      </c>
      <c r="W910" s="17">
        <f>IF(OR(B910="",E910="",COUNTA(F910,H910,J910:M910,O910,Q910:R910,T910:U910)=0),"",SUM(G910,I910,N910,P910,S910,V910))</f>
        <v/>
      </c>
      <c r="X910" s="18">
        <f>IF(W910="","",IF(Murid!F910="TL","TL",ROUND(W910/110*100,2)))</f>
        <v/>
      </c>
    </row>
    <row r="911">
      <c r="A911" s="15">
        <f>Murid!A911</f>
        <v/>
      </c>
      <c r="B911" s="15">
        <f>IF(Murid!B911="","",Murid!B911)</f>
        <v/>
      </c>
      <c r="C911" s="16">
        <f>IF(Murid!C911="","",Murid!C911)</f>
        <v/>
      </c>
      <c r="D911" s="15">
        <f>IF(Murid!E911="","",Murid!E911)</f>
        <v/>
      </c>
      <c r="E911" s="11" t="n"/>
      <c r="F911" s="11" t="n"/>
      <c r="G911" s="10">
        <f>IF(F911="","",IFERROR(VLOOKUP(F911,T_JSP,2,FALSE),0))</f>
        <v/>
      </c>
      <c r="H911" s="11" t="n"/>
      <c r="I911" s="17">
        <f>IF(H911="","",IF(H911&gt;=12,40,ROUND(H911*3.33,2)))</f>
        <v/>
      </c>
      <c r="J911" s="11" t="n"/>
      <c r="K911" s="11" t="n"/>
      <c r="L911" s="11" t="n"/>
      <c r="M911" s="11" t="n"/>
      <c r="N911" s="10">
        <f>IF(COUNTA(J911:M911)=0,"",MIN(10,SUMPRODUCT((COUNTIF(J911:M911,L_KOM)&gt;0)*S_KOM)))</f>
        <v/>
      </c>
      <c r="O911" s="11" t="n"/>
      <c r="P911" s="10">
        <f>IF(O911="","",IFERROR(VLOOKUP(O911,T_KHID,2,FALSE),0))</f>
        <v/>
      </c>
      <c r="Q911" s="11" t="n"/>
      <c r="R911" s="11" t="n"/>
      <c r="S911" s="10">
        <f>IF(AND(Q911="",R911=""),"",IFERROR(INDEX(T_LIBAT,MATCH(Q911,L_PER,0),MATCH(R911,L_JENIS,0)),0))</f>
        <v/>
      </c>
      <c r="T911" s="11" t="n"/>
      <c r="U911" s="11" t="n"/>
      <c r="V911" s="10">
        <f>IF(AND(T911="",U911=""),"",IFERROR(INDEX(T_CAPAI,MATCH(T911,L_PER,0),MATCH(U911,L_KED,0)),0))</f>
        <v/>
      </c>
      <c r="W911" s="17">
        <f>IF(OR(B911="",E911="",COUNTA(F911,H911,J911:M911,O911,Q911:R911,T911:U911)=0),"",SUM(G911,I911,N911,P911,S911,V911))</f>
        <v/>
      </c>
      <c r="X911" s="18">
        <f>IF(W911="","",IF(Murid!F911="TL","TL",ROUND(W911/110*100,2)))</f>
        <v/>
      </c>
    </row>
    <row r="912">
      <c r="A912" s="15">
        <f>Murid!A912</f>
        <v/>
      </c>
      <c r="B912" s="15">
        <f>IF(Murid!B912="","",Murid!B912)</f>
        <v/>
      </c>
      <c r="C912" s="16">
        <f>IF(Murid!C912="","",Murid!C912)</f>
        <v/>
      </c>
      <c r="D912" s="15">
        <f>IF(Murid!E912="","",Murid!E912)</f>
        <v/>
      </c>
      <c r="E912" s="11" t="n"/>
      <c r="F912" s="11" t="n"/>
      <c r="G912" s="10">
        <f>IF(F912="","",IFERROR(VLOOKUP(F912,T_JSP,2,FALSE),0))</f>
        <v/>
      </c>
      <c r="H912" s="11" t="n"/>
      <c r="I912" s="17">
        <f>IF(H912="","",IF(H912&gt;=12,40,ROUND(H912*3.33,2)))</f>
        <v/>
      </c>
      <c r="J912" s="11" t="n"/>
      <c r="K912" s="11" t="n"/>
      <c r="L912" s="11" t="n"/>
      <c r="M912" s="11" t="n"/>
      <c r="N912" s="10">
        <f>IF(COUNTA(J912:M912)=0,"",MIN(10,SUMPRODUCT((COUNTIF(J912:M912,L_KOM)&gt;0)*S_KOM)))</f>
        <v/>
      </c>
      <c r="O912" s="11" t="n"/>
      <c r="P912" s="10">
        <f>IF(O912="","",IFERROR(VLOOKUP(O912,T_KHID,2,FALSE),0))</f>
        <v/>
      </c>
      <c r="Q912" s="11" t="n"/>
      <c r="R912" s="11" t="n"/>
      <c r="S912" s="10">
        <f>IF(AND(Q912="",R912=""),"",IFERROR(INDEX(T_LIBAT,MATCH(Q912,L_PER,0),MATCH(R912,L_JENIS,0)),0))</f>
        <v/>
      </c>
      <c r="T912" s="11" t="n"/>
      <c r="U912" s="11" t="n"/>
      <c r="V912" s="10">
        <f>IF(AND(T912="",U912=""),"",IFERROR(INDEX(T_CAPAI,MATCH(T912,L_PER,0),MATCH(U912,L_KED,0)),0))</f>
        <v/>
      </c>
      <c r="W912" s="17">
        <f>IF(OR(B912="",E912="",COUNTA(F912,H912,J912:M912,O912,Q912:R912,T912:U912)=0),"",SUM(G912,I912,N912,P912,S912,V912))</f>
        <v/>
      </c>
      <c r="X912" s="18">
        <f>IF(W912="","",IF(Murid!F912="TL","TL",ROUND(W912/110*100,2)))</f>
        <v/>
      </c>
    </row>
    <row r="913">
      <c r="A913" s="15">
        <f>Murid!A913</f>
        <v/>
      </c>
      <c r="B913" s="15">
        <f>IF(Murid!B913="","",Murid!B913)</f>
        <v/>
      </c>
      <c r="C913" s="16">
        <f>IF(Murid!C913="","",Murid!C913)</f>
        <v/>
      </c>
      <c r="D913" s="15">
        <f>IF(Murid!E913="","",Murid!E913)</f>
        <v/>
      </c>
      <c r="E913" s="11" t="n"/>
      <c r="F913" s="11" t="n"/>
      <c r="G913" s="10">
        <f>IF(F913="","",IFERROR(VLOOKUP(F913,T_JSP,2,FALSE),0))</f>
        <v/>
      </c>
      <c r="H913" s="11" t="n"/>
      <c r="I913" s="17">
        <f>IF(H913="","",IF(H913&gt;=12,40,ROUND(H913*3.33,2)))</f>
        <v/>
      </c>
      <c r="J913" s="11" t="n"/>
      <c r="K913" s="11" t="n"/>
      <c r="L913" s="11" t="n"/>
      <c r="M913" s="11" t="n"/>
      <c r="N913" s="10">
        <f>IF(COUNTA(J913:M913)=0,"",MIN(10,SUMPRODUCT((COUNTIF(J913:M913,L_KOM)&gt;0)*S_KOM)))</f>
        <v/>
      </c>
      <c r="O913" s="11" t="n"/>
      <c r="P913" s="10">
        <f>IF(O913="","",IFERROR(VLOOKUP(O913,T_KHID,2,FALSE),0))</f>
        <v/>
      </c>
      <c r="Q913" s="11" t="n"/>
      <c r="R913" s="11" t="n"/>
      <c r="S913" s="10">
        <f>IF(AND(Q913="",R913=""),"",IFERROR(INDEX(T_LIBAT,MATCH(Q913,L_PER,0),MATCH(R913,L_JENIS,0)),0))</f>
        <v/>
      </c>
      <c r="T913" s="11" t="n"/>
      <c r="U913" s="11" t="n"/>
      <c r="V913" s="10">
        <f>IF(AND(T913="",U913=""),"",IFERROR(INDEX(T_CAPAI,MATCH(T913,L_PER,0),MATCH(U913,L_KED,0)),0))</f>
        <v/>
      </c>
      <c r="W913" s="17">
        <f>IF(OR(B913="",E913="",COUNTA(F913,H913,J913:M913,O913,Q913:R913,T913:U913)=0),"",SUM(G913,I913,N913,P913,S913,V913))</f>
        <v/>
      </c>
      <c r="X913" s="18">
        <f>IF(W913="","",IF(Murid!F913="TL","TL",ROUND(W913/110*100,2)))</f>
        <v/>
      </c>
    </row>
    <row r="914">
      <c r="A914" s="15">
        <f>Murid!A914</f>
        <v/>
      </c>
      <c r="B914" s="15">
        <f>IF(Murid!B914="","",Murid!B914)</f>
        <v/>
      </c>
      <c r="C914" s="16">
        <f>IF(Murid!C914="","",Murid!C914)</f>
        <v/>
      </c>
      <c r="D914" s="15">
        <f>IF(Murid!E914="","",Murid!E914)</f>
        <v/>
      </c>
      <c r="E914" s="11" t="n"/>
      <c r="F914" s="11" t="n"/>
      <c r="G914" s="10">
        <f>IF(F914="","",IFERROR(VLOOKUP(F914,T_JSP,2,FALSE),0))</f>
        <v/>
      </c>
      <c r="H914" s="11" t="n"/>
      <c r="I914" s="17">
        <f>IF(H914="","",IF(H914&gt;=12,40,ROUND(H914*3.33,2)))</f>
        <v/>
      </c>
      <c r="J914" s="11" t="n"/>
      <c r="K914" s="11" t="n"/>
      <c r="L914" s="11" t="n"/>
      <c r="M914" s="11" t="n"/>
      <c r="N914" s="10">
        <f>IF(COUNTA(J914:M914)=0,"",MIN(10,SUMPRODUCT((COUNTIF(J914:M914,L_KOM)&gt;0)*S_KOM)))</f>
        <v/>
      </c>
      <c r="O914" s="11" t="n"/>
      <c r="P914" s="10">
        <f>IF(O914="","",IFERROR(VLOOKUP(O914,T_KHID,2,FALSE),0))</f>
        <v/>
      </c>
      <c r="Q914" s="11" t="n"/>
      <c r="R914" s="11" t="n"/>
      <c r="S914" s="10">
        <f>IF(AND(Q914="",R914=""),"",IFERROR(INDEX(T_LIBAT,MATCH(Q914,L_PER,0),MATCH(R914,L_JENIS,0)),0))</f>
        <v/>
      </c>
      <c r="T914" s="11" t="n"/>
      <c r="U914" s="11" t="n"/>
      <c r="V914" s="10">
        <f>IF(AND(T914="",U914=""),"",IFERROR(INDEX(T_CAPAI,MATCH(T914,L_PER,0),MATCH(U914,L_KED,0)),0))</f>
        <v/>
      </c>
      <c r="W914" s="17">
        <f>IF(OR(B914="",E914="",COUNTA(F914,H914,J914:M914,O914,Q914:R914,T914:U914)=0),"",SUM(G914,I914,N914,P914,S914,V914))</f>
        <v/>
      </c>
      <c r="X914" s="18">
        <f>IF(W914="","",IF(Murid!F914="TL","TL",ROUND(W914/110*100,2)))</f>
        <v/>
      </c>
    </row>
    <row r="915">
      <c r="A915" s="15">
        <f>Murid!A915</f>
        <v/>
      </c>
      <c r="B915" s="15">
        <f>IF(Murid!B915="","",Murid!B915)</f>
        <v/>
      </c>
      <c r="C915" s="16">
        <f>IF(Murid!C915="","",Murid!C915)</f>
        <v/>
      </c>
      <c r="D915" s="15">
        <f>IF(Murid!E915="","",Murid!E915)</f>
        <v/>
      </c>
      <c r="E915" s="11" t="n"/>
      <c r="F915" s="11" t="n"/>
      <c r="G915" s="10">
        <f>IF(F915="","",IFERROR(VLOOKUP(F915,T_JSP,2,FALSE),0))</f>
        <v/>
      </c>
      <c r="H915" s="11" t="n"/>
      <c r="I915" s="17">
        <f>IF(H915="","",IF(H915&gt;=12,40,ROUND(H915*3.33,2)))</f>
        <v/>
      </c>
      <c r="J915" s="11" t="n"/>
      <c r="K915" s="11" t="n"/>
      <c r="L915" s="11" t="n"/>
      <c r="M915" s="11" t="n"/>
      <c r="N915" s="10">
        <f>IF(COUNTA(J915:M915)=0,"",MIN(10,SUMPRODUCT((COUNTIF(J915:M915,L_KOM)&gt;0)*S_KOM)))</f>
        <v/>
      </c>
      <c r="O915" s="11" t="n"/>
      <c r="P915" s="10">
        <f>IF(O915="","",IFERROR(VLOOKUP(O915,T_KHID,2,FALSE),0))</f>
        <v/>
      </c>
      <c r="Q915" s="11" t="n"/>
      <c r="R915" s="11" t="n"/>
      <c r="S915" s="10">
        <f>IF(AND(Q915="",R915=""),"",IFERROR(INDEX(T_LIBAT,MATCH(Q915,L_PER,0),MATCH(R915,L_JENIS,0)),0))</f>
        <v/>
      </c>
      <c r="T915" s="11" t="n"/>
      <c r="U915" s="11" t="n"/>
      <c r="V915" s="10">
        <f>IF(AND(T915="",U915=""),"",IFERROR(INDEX(T_CAPAI,MATCH(T915,L_PER,0),MATCH(U915,L_KED,0)),0))</f>
        <v/>
      </c>
      <c r="W915" s="17">
        <f>IF(OR(B915="",E915="",COUNTA(F915,H915,J915:M915,O915,Q915:R915,T915:U915)=0),"",SUM(G915,I915,N915,P915,S915,V915))</f>
        <v/>
      </c>
      <c r="X915" s="18">
        <f>IF(W915="","",IF(Murid!F915="TL","TL",ROUND(W915/110*100,2)))</f>
        <v/>
      </c>
    </row>
    <row r="916">
      <c r="A916" s="15">
        <f>Murid!A916</f>
        <v/>
      </c>
      <c r="B916" s="15">
        <f>IF(Murid!B916="","",Murid!B916)</f>
        <v/>
      </c>
      <c r="C916" s="16">
        <f>IF(Murid!C916="","",Murid!C916)</f>
        <v/>
      </c>
      <c r="D916" s="15">
        <f>IF(Murid!E916="","",Murid!E916)</f>
        <v/>
      </c>
      <c r="E916" s="11" t="n"/>
      <c r="F916" s="11" t="n"/>
      <c r="G916" s="10">
        <f>IF(F916="","",IFERROR(VLOOKUP(F916,T_JSP,2,FALSE),0))</f>
        <v/>
      </c>
      <c r="H916" s="11" t="n"/>
      <c r="I916" s="17">
        <f>IF(H916="","",IF(H916&gt;=12,40,ROUND(H916*3.33,2)))</f>
        <v/>
      </c>
      <c r="J916" s="11" t="n"/>
      <c r="K916" s="11" t="n"/>
      <c r="L916" s="11" t="n"/>
      <c r="M916" s="11" t="n"/>
      <c r="N916" s="10">
        <f>IF(COUNTA(J916:M916)=0,"",MIN(10,SUMPRODUCT((COUNTIF(J916:M916,L_KOM)&gt;0)*S_KOM)))</f>
        <v/>
      </c>
      <c r="O916" s="11" t="n"/>
      <c r="P916" s="10">
        <f>IF(O916="","",IFERROR(VLOOKUP(O916,T_KHID,2,FALSE),0))</f>
        <v/>
      </c>
      <c r="Q916" s="11" t="n"/>
      <c r="R916" s="11" t="n"/>
      <c r="S916" s="10">
        <f>IF(AND(Q916="",R916=""),"",IFERROR(INDEX(T_LIBAT,MATCH(Q916,L_PER,0),MATCH(R916,L_JENIS,0)),0))</f>
        <v/>
      </c>
      <c r="T916" s="11" t="n"/>
      <c r="U916" s="11" t="n"/>
      <c r="V916" s="10">
        <f>IF(AND(T916="",U916=""),"",IFERROR(INDEX(T_CAPAI,MATCH(T916,L_PER,0),MATCH(U916,L_KED,0)),0))</f>
        <v/>
      </c>
      <c r="W916" s="17">
        <f>IF(OR(B916="",E916="",COUNTA(F916,H916,J916:M916,O916,Q916:R916,T916:U916)=0),"",SUM(G916,I916,N916,P916,S916,V916))</f>
        <v/>
      </c>
      <c r="X916" s="18">
        <f>IF(W916="","",IF(Murid!F916="TL","TL",ROUND(W916/110*100,2)))</f>
        <v/>
      </c>
    </row>
    <row r="917">
      <c r="A917" s="15">
        <f>Murid!A917</f>
        <v/>
      </c>
      <c r="B917" s="15">
        <f>IF(Murid!B917="","",Murid!B917)</f>
        <v/>
      </c>
      <c r="C917" s="16">
        <f>IF(Murid!C917="","",Murid!C917)</f>
        <v/>
      </c>
      <c r="D917" s="15">
        <f>IF(Murid!E917="","",Murid!E917)</f>
        <v/>
      </c>
      <c r="E917" s="11" t="n"/>
      <c r="F917" s="11" t="n"/>
      <c r="G917" s="10">
        <f>IF(F917="","",IFERROR(VLOOKUP(F917,T_JSP,2,FALSE),0))</f>
        <v/>
      </c>
      <c r="H917" s="11" t="n"/>
      <c r="I917" s="17">
        <f>IF(H917="","",IF(H917&gt;=12,40,ROUND(H917*3.33,2)))</f>
        <v/>
      </c>
      <c r="J917" s="11" t="n"/>
      <c r="K917" s="11" t="n"/>
      <c r="L917" s="11" t="n"/>
      <c r="M917" s="11" t="n"/>
      <c r="N917" s="10">
        <f>IF(COUNTA(J917:M917)=0,"",MIN(10,SUMPRODUCT((COUNTIF(J917:M917,L_KOM)&gt;0)*S_KOM)))</f>
        <v/>
      </c>
      <c r="O917" s="11" t="n"/>
      <c r="P917" s="10">
        <f>IF(O917="","",IFERROR(VLOOKUP(O917,T_KHID,2,FALSE),0))</f>
        <v/>
      </c>
      <c r="Q917" s="11" t="n"/>
      <c r="R917" s="11" t="n"/>
      <c r="S917" s="10">
        <f>IF(AND(Q917="",R917=""),"",IFERROR(INDEX(T_LIBAT,MATCH(Q917,L_PER,0),MATCH(R917,L_JENIS,0)),0))</f>
        <v/>
      </c>
      <c r="T917" s="11" t="n"/>
      <c r="U917" s="11" t="n"/>
      <c r="V917" s="10">
        <f>IF(AND(T917="",U917=""),"",IFERROR(INDEX(T_CAPAI,MATCH(T917,L_PER,0),MATCH(U917,L_KED,0)),0))</f>
        <v/>
      </c>
      <c r="W917" s="17">
        <f>IF(OR(B917="",E917="",COUNTA(F917,H917,J917:M917,O917,Q917:R917,T917:U917)=0),"",SUM(G917,I917,N917,P917,S917,V917))</f>
        <v/>
      </c>
      <c r="X917" s="18">
        <f>IF(W917="","",IF(Murid!F917="TL","TL",ROUND(W917/110*100,2)))</f>
        <v/>
      </c>
    </row>
    <row r="918">
      <c r="A918" s="15">
        <f>Murid!A918</f>
        <v/>
      </c>
      <c r="B918" s="15">
        <f>IF(Murid!B918="","",Murid!B918)</f>
        <v/>
      </c>
      <c r="C918" s="16">
        <f>IF(Murid!C918="","",Murid!C918)</f>
        <v/>
      </c>
      <c r="D918" s="15">
        <f>IF(Murid!E918="","",Murid!E918)</f>
        <v/>
      </c>
      <c r="E918" s="11" t="n"/>
      <c r="F918" s="11" t="n"/>
      <c r="G918" s="10">
        <f>IF(F918="","",IFERROR(VLOOKUP(F918,T_JSP,2,FALSE),0))</f>
        <v/>
      </c>
      <c r="H918" s="11" t="n"/>
      <c r="I918" s="17">
        <f>IF(H918="","",IF(H918&gt;=12,40,ROUND(H918*3.33,2)))</f>
        <v/>
      </c>
      <c r="J918" s="11" t="n"/>
      <c r="K918" s="11" t="n"/>
      <c r="L918" s="11" t="n"/>
      <c r="M918" s="11" t="n"/>
      <c r="N918" s="10">
        <f>IF(COUNTA(J918:M918)=0,"",MIN(10,SUMPRODUCT((COUNTIF(J918:M918,L_KOM)&gt;0)*S_KOM)))</f>
        <v/>
      </c>
      <c r="O918" s="11" t="n"/>
      <c r="P918" s="10">
        <f>IF(O918="","",IFERROR(VLOOKUP(O918,T_KHID,2,FALSE),0))</f>
        <v/>
      </c>
      <c r="Q918" s="11" t="n"/>
      <c r="R918" s="11" t="n"/>
      <c r="S918" s="10">
        <f>IF(AND(Q918="",R918=""),"",IFERROR(INDEX(T_LIBAT,MATCH(Q918,L_PER,0),MATCH(R918,L_JENIS,0)),0))</f>
        <v/>
      </c>
      <c r="T918" s="11" t="n"/>
      <c r="U918" s="11" t="n"/>
      <c r="V918" s="10">
        <f>IF(AND(T918="",U918=""),"",IFERROR(INDEX(T_CAPAI,MATCH(T918,L_PER,0),MATCH(U918,L_KED,0)),0))</f>
        <v/>
      </c>
      <c r="W918" s="17">
        <f>IF(OR(B918="",E918="",COUNTA(F918,H918,J918:M918,O918,Q918:R918,T918:U918)=0),"",SUM(G918,I918,N918,P918,S918,V918))</f>
        <v/>
      </c>
      <c r="X918" s="18">
        <f>IF(W918="","",IF(Murid!F918="TL","TL",ROUND(W918/110*100,2)))</f>
        <v/>
      </c>
    </row>
    <row r="919">
      <c r="A919" s="15">
        <f>Murid!A919</f>
        <v/>
      </c>
      <c r="B919" s="15">
        <f>IF(Murid!B919="","",Murid!B919)</f>
        <v/>
      </c>
      <c r="C919" s="16">
        <f>IF(Murid!C919="","",Murid!C919)</f>
        <v/>
      </c>
      <c r="D919" s="15">
        <f>IF(Murid!E919="","",Murid!E919)</f>
        <v/>
      </c>
      <c r="E919" s="11" t="n"/>
      <c r="F919" s="11" t="n"/>
      <c r="G919" s="10">
        <f>IF(F919="","",IFERROR(VLOOKUP(F919,T_JSP,2,FALSE),0))</f>
        <v/>
      </c>
      <c r="H919" s="11" t="n"/>
      <c r="I919" s="17">
        <f>IF(H919="","",IF(H919&gt;=12,40,ROUND(H919*3.33,2)))</f>
        <v/>
      </c>
      <c r="J919" s="11" t="n"/>
      <c r="K919" s="11" t="n"/>
      <c r="L919" s="11" t="n"/>
      <c r="M919" s="11" t="n"/>
      <c r="N919" s="10">
        <f>IF(COUNTA(J919:M919)=0,"",MIN(10,SUMPRODUCT((COUNTIF(J919:M919,L_KOM)&gt;0)*S_KOM)))</f>
        <v/>
      </c>
      <c r="O919" s="11" t="n"/>
      <c r="P919" s="10">
        <f>IF(O919="","",IFERROR(VLOOKUP(O919,T_KHID,2,FALSE),0))</f>
        <v/>
      </c>
      <c r="Q919" s="11" t="n"/>
      <c r="R919" s="11" t="n"/>
      <c r="S919" s="10">
        <f>IF(AND(Q919="",R919=""),"",IFERROR(INDEX(T_LIBAT,MATCH(Q919,L_PER,0),MATCH(R919,L_JENIS,0)),0))</f>
        <v/>
      </c>
      <c r="T919" s="11" t="n"/>
      <c r="U919" s="11" t="n"/>
      <c r="V919" s="10">
        <f>IF(AND(T919="",U919=""),"",IFERROR(INDEX(T_CAPAI,MATCH(T919,L_PER,0),MATCH(U919,L_KED,0)),0))</f>
        <v/>
      </c>
      <c r="W919" s="17">
        <f>IF(OR(B919="",E919="",COUNTA(F919,H919,J919:M919,O919,Q919:R919,T919:U919)=0),"",SUM(G919,I919,N919,P919,S919,V919))</f>
        <v/>
      </c>
      <c r="X919" s="18">
        <f>IF(W919="","",IF(Murid!F919="TL","TL",ROUND(W919/110*100,2)))</f>
        <v/>
      </c>
    </row>
    <row r="920">
      <c r="A920" s="15">
        <f>Murid!A920</f>
        <v/>
      </c>
      <c r="B920" s="15">
        <f>IF(Murid!B920="","",Murid!B920)</f>
        <v/>
      </c>
      <c r="C920" s="16">
        <f>IF(Murid!C920="","",Murid!C920)</f>
        <v/>
      </c>
      <c r="D920" s="15">
        <f>IF(Murid!E920="","",Murid!E920)</f>
        <v/>
      </c>
      <c r="E920" s="11" t="n"/>
      <c r="F920" s="11" t="n"/>
      <c r="G920" s="10">
        <f>IF(F920="","",IFERROR(VLOOKUP(F920,T_JSP,2,FALSE),0))</f>
        <v/>
      </c>
      <c r="H920" s="11" t="n"/>
      <c r="I920" s="17">
        <f>IF(H920="","",IF(H920&gt;=12,40,ROUND(H920*3.33,2)))</f>
        <v/>
      </c>
      <c r="J920" s="11" t="n"/>
      <c r="K920" s="11" t="n"/>
      <c r="L920" s="11" t="n"/>
      <c r="M920" s="11" t="n"/>
      <c r="N920" s="10">
        <f>IF(COUNTA(J920:M920)=0,"",MIN(10,SUMPRODUCT((COUNTIF(J920:M920,L_KOM)&gt;0)*S_KOM)))</f>
        <v/>
      </c>
      <c r="O920" s="11" t="n"/>
      <c r="P920" s="10">
        <f>IF(O920="","",IFERROR(VLOOKUP(O920,T_KHID,2,FALSE),0))</f>
        <v/>
      </c>
      <c r="Q920" s="11" t="n"/>
      <c r="R920" s="11" t="n"/>
      <c r="S920" s="10">
        <f>IF(AND(Q920="",R920=""),"",IFERROR(INDEX(T_LIBAT,MATCH(Q920,L_PER,0),MATCH(R920,L_JENIS,0)),0))</f>
        <v/>
      </c>
      <c r="T920" s="11" t="n"/>
      <c r="U920" s="11" t="n"/>
      <c r="V920" s="10">
        <f>IF(AND(T920="",U920=""),"",IFERROR(INDEX(T_CAPAI,MATCH(T920,L_PER,0),MATCH(U920,L_KED,0)),0))</f>
        <v/>
      </c>
      <c r="W920" s="17">
        <f>IF(OR(B920="",E920="",COUNTA(F920,H920,J920:M920,O920,Q920:R920,T920:U920)=0),"",SUM(G920,I920,N920,P920,S920,V920))</f>
        <v/>
      </c>
      <c r="X920" s="18">
        <f>IF(W920="","",IF(Murid!F920="TL","TL",ROUND(W920/110*100,2)))</f>
        <v/>
      </c>
    </row>
    <row r="921">
      <c r="A921" s="15">
        <f>Murid!A921</f>
        <v/>
      </c>
      <c r="B921" s="15">
        <f>IF(Murid!B921="","",Murid!B921)</f>
        <v/>
      </c>
      <c r="C921" s="16">
        <f>IF(Murid!C921="","",Murid!C921)</f>
        <v/>
      </c>
      <c r="D921" s="15">
        <f>IF(Murid!E921="","",Murid!E921)</f>
        <v/>
      </c>
      <c r="E921" s="11" t="n"/>
      <c r="F921" s="11" t="n"/>
      <c r="G921" s="10">
        <f>IF(F921="","",IFERROR(VLOOKUP(F921,T_JSP,2,FALSE),0))</f>
        <v/>
      </c>
      <c r="H921" s="11" t="n"/>
      <c r="I921" s="17">
        <f>IF(H921="","",IF(H921&gt;=12,40,ROUND(H921*3.33,2)))</f>
        <v/>
      </c>
      <c r="J921" s="11" t="n"/>
      <c r="K921" s="11" t="n"/>
      <c r="L921" s="11" t="n"/>
      <c r="M921" s="11" t="n"/>
      <c r="N921" s="10">
        <f>IF(COUNTA(J921:M921)=0,"",MIN(10,SUMPRODUCT((COUNTIF(J921:M921,L_KOM)&gt;0)*S_KOM)))</f>
        <v/>
      </c>
      <c r="O921" s="11" t="n"/>
      <c r="P921" s="10">
        <f>IF(O921="","",IFERROR(VLOOKUP(O921,T_KHID,2,FALSE),0))</f>
        <v/>
      </c>
      <c r="Q921" s="11" t="n"/>
      <c r="R921" s="11" t="n"/>
      <c r="S921" s="10">
        <f>IF(AND(Q921="",R921=""),"",IFERROR(INDEX(T_LIBAT,MATCH(Q921,L_PER,0),MATCH(R921,L_JENIS,0)),0))</f>
        <v/>
      </c>
      <c r="T921" s="11" t="n"/>
      <c r="U921" s="11" t="n"/>
      <c r="V921" s="10">
        <f>IF(AND(T921="",U921=""),"",IFERROR(INDEX(T_CAPAI,MATCH(T921,L_PER,0),MATCH(U921,L_KED,0)),0))</f>
        <v/>
      </c>
      <c r="W921" s="17">
        <f>IF(OR(B921="",E921="",COUNTA(F921,H921,J921:M921,O921,Q921:R921,T921:U921)=0),"",SUM(G921,I921,N921,P921,S921,V921))</f>
        <v/>
      </c>
      <c r="X921" s="18">
        <f>IF(W921="","",IF(Murid!F921="TL","TL",ROUND(W921/110*100,2)))</f>
        <v/>
      </c>
    </row>
    <row r="922">
      <c r="A922" s="15">
        <f>Murid!A922</f>
        <v/>
      </c>
      <c r="B922" s="15">
        <f>IF(Murid!B922="","",Murid!B922)</f>
        <v/>
      </c>
      <c r="C922" s="16">
        <f>IF(Murid!C922="","",Murid!C922)</f>
        <v/>
      </c>
      <c r="D922" s="15">
        <f>IF(Murid!E922="","",Murid!E922)</f>
        <v/>
      </c>
      <c r="E922" s="11" t="n"/>
      <c r="F922" s="11" t="n"/>
      <c r="G922" s="10">
        <f>IF(F922="","",IFERROR(VLOOKUP(F922,T_JSP,2,FALSE),0))</f>
        <v/>
      </c>
      <c r="H922" s="11" t="n"/>
      <c r="I922" s="17">
        <f>IF(H922="","",IF(H922&gt;=12,40,ROUND(H922*3.33,2)))</f>
        <v/>
      </c>
      <c r="J922" s="11" t="n"/>
      <c r="K922" s="11" t="n"/>
      <c r="L922" s="11" t="n"/>
      <c r="M922" s="11" t="n"/>
      <c r="N922" s="10">
        <f>IF(COUNTA(J922:M922)=0,"",MIN(10,SUMPRODUCT((COUNTIF(J922:M922,L_KOM)&gt;0)*S_KOM)))</f>
        <v/>
      </c>
      <c r="O922" s="11" t="n"/>
      <c r="P922" s="10">
        <f>IF(O922="","",IFERROR(VLOOKUP(O922,T_KHID,2,FALSE),0))</f>
        <v/>
      </c>
      <c r="Q922" s="11" t="n"/>
      <c r="R922" s="11" t="n"/>
      <c r="S922" s="10">
        <f>IF(AND(Q922="",R922=""),"",IFERROR(INDEX(T_LIBAT,MATCH(Q922,L_PER,0),MATCH(R922,L_JENIS,0)),0))</f>
        <v/>
      </c>
      <c r="T922" s="11" t="n"/>
      <c r="U922" s="11" t="n"/>
      <c r="V922" s="10">
        <f>IF(AND(T922="",U922=""),"",IFERROR(INDEX(T_CAPAI,MATCH(T922,L_PER,0),MATCH(U922,L_KED,0)),0))</f>
        <v/>
      </c>
      <c r="W922" s="17">
        <f>IF(OR(B922="",E922="",COUNTA(F922,H922,J922:M922,O922,Q922:R922,T922:U922)=0),"",SUM(G922,I922,N922,P922,S922,V922))</f>
        <v/>
      </c>
      <c r="X922" s="18">
        <f>IF(W922="","",IF(Murid!F922="TL","TL",ROUND(W922/110*100,2)))</f>
        <v/>
      </c>
    </row>
    <row r="923">
      <c r="A923" s="15">
        <f>Murid!A923</f>
        <v/>
      </c>
      <c r="B923" s="15">
        <f>IF(Murid!B923="","",Murid!B923)</f>
        <v/>
      </c>
      <c r="C923" s="16">
        <f>IF(Murid!C923="","",Murid!C923)</f>
        <v/>
      </c>
      <c r="D923" s="15">
        <f>IF(Murid!E923="","",Murid!E923)</f>
        <v/>
      </c>
      <c r="E923" s="11" t="n"/>
      <c r="F923" s="11" t="n"/>
      <c r="G923" s="10">
        <f>IF(F923="","",IFERROR(VLOOKUP(F923,T_JSP,2,FALSE),0))</f>
        <v/>
      </c>
      <c r="H923" s="11" t="n"/>
      <c r="I923" s="17">
        <f>IF(H923="","",IF(H923&gt;=12,40,ROUND(H923*3.33,2)))</f>
        <v/>
      </c>
      <c r="J923" s="11" t="n"/>
      <c r="K923" s="11" t="n"/>
      <c r="L923" s="11" t="n"/>
      <c r="M923" s="11" t="n"/>
      <c r="N923" s="10">
        <f>IF(COUNTA(J923:M923)=0,"",MIN(10,SUMPRODUCT((COUNTIF(J923:M923,L_KOM)&gt;0)*S_KOM)))</f>
        <v/>
      </c>
      <c r="O923" s="11" t="n"/>
      <c r="P923" s="10">
        <f>IF(O923="","",IFERROR(VLOOKUP(O923,T_KHID,2,FALSE),0))</f>
        <v/>
      </c>
      <c r="Q923" s="11" t="n"/>
      <c r="R923" s="11" t="n"/>
      <c r="S923" s="10">
        <f>IF(AND(Q923="",R923=""),"",IFERROR(INDEX(T_LIBAT,MATCH(Q923,L_PER,0),MATCH(R923,L_JENIS,0)),0))</f>
        <v/>
      </c>
      <c r="T923" s="11" t="n"/>
      <c r="U923" s="11" t="n"/>
      <c r="V923" s="10">
        <f>IF(AND(T923="",U923=""),"",IFERROR(INDEX(T_CAPAI,MATCH(T923,L_PER,0),MATCH(U923,L_KED,0)),0))</f>
        <v/>
      </c>
      <c r="W923" s="17">
        <f>IF(OR(B923="",E923="",COUNTA(F923,H923,J923:M923,O923,Q923:R923,T923:U923)=0),"",SUM(G923,I923,N923,P923,S923,V923))</f>
        <v/>
      </c>
      <c r="X923" s="18">
        <f>IF(W923="","",IF(Murid!F923="TL","TL",ROUND(W923/110*100,2)))</f>
        <v/>
      </c>
    </row>
    <row r="924">
      <c r="A924" s="15">
        <f>Murid!A924</f>
        <v/>
      </c>
      <c r="B924" s="15">
        <f>IF(Murid!B924="","",Murid!B924)</f>
        <v/>
      </c>
      <c r="C924" s="16">
        <f>IF(Murid!C924="","",Murid!C924)</f>
        <v/>
      </c>
      <c r="D924" s="15">
        <f>IF(Murid!E924="","",Murid!E924)</f>
        <v/>
      </c>
      <c r="E924" s="11" t="n"/>
      <c r="F924" s="11" t="n"/>
      <c r="G924" s="10">
        <f>IF(F924="","",IFERROR(VLOOKUP(F924,T_JSP,2,FALSE),0))</f>
        <v/>
      </c>
      <c r="H924" s="11" t="n"/>
      <c r="I924" s="17">
        <f>IF(H924="","",IF(H924&gt;=12,40,ROUND(H924*3.33,2)))</f>
        <v/>
      </c>
      <c r="J924" s="11" t="n"/>
      <c r="K924" s="11" t="n"/>
      <c r="L924" s="11" t="n"/>
      <c r="M924" s="11" t="n"/>
      <c r="N924" s="10">
        <f>IF(COUNTA(J924:M924)=0,"",MIN(10,SUMPRODUCT((COUNTIF(J924:M924,L_KOM)&gt;0)*S_KOM)))</f>
        <v/>
      </c>
      <c r="O924" s="11" t="n"/>
      <c r="P924" s="10">
        <f>IF(O924="","",IFERROR(VLOOKUP(O924,T_KHID,2,FALSE),0))</f>
        <v/>
      </c>
      <c r="Q924" s="11" t="n"/>
      <c r="R924" s="11" t="n"/>
      <c r="S924" s="10">
        <f>IF(AND(Q924="",R924=""),"",IFERROR(INDEX(T_LIBAT,MATCH(Q924,L_PER,0),MATCH(R924,L_JENIS,0)),0))</f>
        <v/>
      </c>
      <c r="T924" s="11" t="n"/>
      <c r="U924" s="11" t="n"/>
      <c r="V924" s="10">
        <f>IF(AND(T924="",U924=""),"",IFERROR(INDEX(T_CAPAI,MATCH(T924,L_PER,0),MATCH(U924,L_KED,0)),0))</f>
        <v/>
      </c>
      <c r="W924" s="17">
        <f>IF(OR(B924="",E924="",COUNTA(F924,H924,J924:M924,O924,Q924:R924,T924:U924)=0),"",SUM(G924,I924,N924,P924,S924,V924))</f>
        <v/>
      </c>
      <c r="X924" s="18">
        <f>IF(W924="","",IF(Murid!F924="TL","TL",ROUND(W924/110*100,2)))</f>
        <v/>
      </c>
    </row>
    <row r="925">
      <c r="A925" s="15">
        <f>Murid!A925</f>
        <v/>
      </c>
      <c r="B925" s="15">
        <f>IF(Murid!B925="","",Murid!B925)</f>
        <v/>
      </c>
      <c r="C925" s="16">
        <f>IF(Murid!C925="","",Murid!C925)</f>
        <v/>
      </c>
      <c r="D925" s="15">
        <f>IF(Murid!E925="","",Murid!E925)</f>
        <v/>
      </c>
      <c r="E925" s="11" t="n"/>
      <c r="F925" s="11" t="n"/>
      <c r="G925" s="10">
        <f>IF(F925="","",IFERROR(VLOOKUP(F925,T_JSP,2,FALSE),0))</f>
        <v/>
      </c>
      <c r="H925" s="11" t="n"/>
      <c r="I925" s="17">
        <f>IF(H925="","",IF(H925&gt;=12,40,ROUND(H925*3.33,2)))</f>
        <v/>
      </c>
      <c r="J925" s="11" t="n"/>
      <c r="K925" s="11" t="n"/>
      <c r="L925" s="11" t="n"/>
      <c r="M925" s="11" t="n"/>
      <c r="N925" s="10">
        <f>IF(COUNTA(J925:M925)=0,"",MIN(10,SUMPRODUCT((COUNTIF(J925:M925,L_KOM)&gt;0)*S_KOM)))</f>
        <v/>
      </c>
      <c r="O925" s="11" t="n"/>
      <c r="P925" s="10">
        <f>IF(O925="","",IFERROR(VLOOKUP(O925,T_KHID,2,FALSE),0))</f>
        <v/>
      </c>
      <c r="Q925" s="11" t="n"/>
      <c r="R925" s="11" t="n"/>
      <c r="S925" s="10">
        <f>IF(AND(Q925="",R925=""),"",IFERROR(INDEX(T_LIBAT,MATCH(Q925,L_PER,0),MATCH(R925,L_JENIS,0)),0))</f>
        <v/>
      </c>
      <c r="T925" s="11" t="n"/>
      <c r="U925" s="11" t="n"/>
      <c r="V925" s="10">
        <f>IF(AND(T925="",U925=""),"",IFERROR(INDEX(T_CAPAI,MATCH(T925,L_PER,0),MATCH(U925,L_KED,0)),0))</f>
        <v/>
      </c>
      <c r="W925" s="17">
        <f>IF(OR(B925="",E925="",COUNTA(F925,H925,J925:M925,O925,Q925:R925,T925:U925)=0),"",SUM(G925,I925,N925,P925,S925,V925))</f>
        <v/>
      </c>
      <c r="X925" s="18">
        <f>IF(W925="","",IF(Murid!F925="TL","TL",ROUND(W925/110*100,2)))</f>
        <v/>
      </c>
    </row>
    <row r="926">
      <c r="A926" s="15">
        <f>Murid!A926</f>
        <v/>
      </c>
      <c r="B926" s="15">
        <f>IF(Murid!B926="","",Murid!B926)</f>
        <v/>
      </c>
      <c r="C926" s="16">
        <f>IF(Murid!C926="","",Murid!C926)</f>
        <v/>
      </c>
      <c r="D926" s="15">
        <f>IF(Murid!E926="","",Murid!E926)</f>
        <v/>
      </c>
      <c r="E926" s="11" t="n"/>
      <c r="F926" s="11" t="n"/>
      <c r="G926" s="10">
        <f>IF(F926="","",IFERROR(VLOOKUP(F926,T_JSP,2,FALSE),0))</f>
        <v/>
      </c>
      <c r="H926" s="11" t="n"/>
      <c r="I926" s="17">
        <f>IF(H926="","",IF(H926&gt;=12,40,ROUND(H926*3.33,2)))</f>
        <v/>
      </c>
      <c r="J926" s="11" t="n"/>
      <c r="K926" s="11" t="n"/>
      <c r="L926" s="11" t="n"/>
      <c r="M926" s="11" t="n"/>
      <c r="N926" s="10">
        <f>IF(COUNTA(J926:M926)=0,"",MIN(10,SUMPRODUCT((COUNTIF(J926:M926,L_KOM)&gt;0)*S_KOM)))</f>
        <v/>
      </c>
      <c r="O926" s="11" t="n"/>
      <c r="P926" s="10">
        <f>IF(O926="","",IFERROR(VLOOKUP(O926,T_KHID,2,FALSE),0))</f>
        <v/>
      </c>
      <c r="Q926" s="11" t="n"/>
      <c r="R926" s="11" t="n"/>
      <c r="S926" s="10">
        <f>IF(AND(Q926="",R926=""),"",IFERROR(INDEX(T_LIBAT,MATCH(Q926,L_PER,0),MATCH(R926,L_JENIS,0)),0))</f>
        <v/>
      </c>
      <c r="T926" s="11" t="n"/>
      <c r="U926" s="11" t="n"/>
      <c r="V926" s="10">
        <f>IF(AND(T926="",U926=""),"",IFERROR(INDEX(T_CAPAI,MATCH(T926,L_PER,0),MATCH(U926,L_KED,0)),0))</f>
        <v/>
      </c>
      <c r="W926" s="17">
        <f>IF(OR(B926="",E926="",COUNTA(F926,H926,J926:M926,O926,Q926:R926,T926:U926)=0),"",SUM(G926,I926,N926,P926,S926,V926))</f>
        <v/>
      </c>
      <c r="X926" s="18">
        <f>IF(W926="","",IF(Murid!F926="TL","TL",ROUND(W926/110*100,2)))</f>
        <v/>
      </c>
    </row>
    <row r="927">
      <c r="A927" s="15">
        <f>Murid!A927</f>
        <v/>
      </c>
      <c r="B927" s="15">
        <f>IF(Murid!B927="","",Murid!B927)</f>
        <v/>
      </c>
      <c r="C927" s="16">
        <f>IF(Murid!C927="","",Murid!C927)</f>
        <v/>
      </c>
      <c r="D927" s="15">
        <f>IF(Murid!E927="","",Murid!E927)</f>
        <v/>
      </c>
      <c r="E927" s="11" t="n"/>
      <c r="F927" s="11" t="n"/>
      <c r="G927" s="10">
        <f>IF(F927="","",IFERROR(VLOOKUP(F927,T_JSP,2,FALSE),0))</f>
        <v/>
      </c>
      <c r="H927" s="11" t="n"/>
      <c r="I927" s="17">
        <f>IF(H927="","",IF(H927&gt;=12,40,ROUND(H927*3.33,2)))</f>
        <v/>
      </c>
      <c r="J927" s="11" t="n"/>
      <c r="K927" s="11" t="n"/>
      <c r="L927" s="11" t="n"/>
      <c r="M927" s="11" t="n"/>
      <c r="N927" s="10">
        <f>IF(COUNTA(J927:M927)=0,"",MIN(10,SUMPRODUCT((COUNTIF(J927:M927,L_KOM)&gt;0)*S_KOM)))</f>
        <v/>
      </c>
      <c r="O927" s="11" t="n"/>
      <c r="P927" s="10">
        <f>IF(O927="","",IFERROR(VLOOKUP(O927,T_KHID,2,FALSE),0))</f>
        <v/>
      </c>
      <c r="Q927" s="11" t="n"/>
      <c r="R927" s="11" t="n"/>
      <c r="S927" s="10">
        <f>IF(AND(Q927="",R927=""),"",IFERROR(INDEX(T_LIBAT,MATCH(Q927,L_PER,0),MATCH(R927,L_JENIS,0)),0))</f>
        <v/>
      </c>
      <c r="T927" s="11" t="n"/>
      <c r="U927" s="11" t="n"/>
      <c r="V927" s="10">
        <f>IF(AND(T927="",U927=""),"",IFERROR(INDEX(T_CAPAI,MATCH(T927,L_PER,0),MATCH(U927,L_KED,0)),0))</f>
        <v/>
      </c>
      <c r="W927" s="17">
        <f>IF(OR(B927="",E927="",COUNTA(F927,H927,J927:M927,O927,Q927:R927,T927:U927)=0),"",SUM(G927,I927,N927,P927,S927,V927))</f>
        <v/>
      </c>
      <c r="X927" s="18">
        <f>IF(W927="","",IF(Murid!F927="TL","TL",ROUND(W927/110*100,2)))</f>
        <v/>
      </c>
    </row>
    <row r="928">
      <c r="A928" s="15">
        <f>Murid!A928</f>
        <v/>
      </c>
      <c r="B928" s="15">
        <f>IF(Murid!B928="","",Murid!B928)</f>
        <v/>
      </c>
      <c r="C928" s="16">
        <f>IF(Murid!C928="","",Murid!C928)</f>
        <v/>
      </c>
      <c r="D928" s="15">
        <f>IF(Murid!E928="","",Murid!E928)</f>
        <v/>
      </c>
      <c r="E928" s="11" t="n"/>
      <c r="F928" s="11" t="n"/>
      <c r="G928" s="10">
        <f>IF(F928="","",IFERROR(VLOOKUP(F928,T_JSP,2,FALSE),0))</f>
        <v/>
      </c>
      <c r="H928" s="11" t="n"/>
      <c r="I928" s="17">
        <f>IF(H928="","",IF(H928&gt;=12,40,ROUND(H928*3.33,2)))</f>
        <v/>
      </c>
      <c r="J928" s="11" t="n"/>
      <c r="K928" s="11" t="n"/>
      <c r="L928" s="11" t="n"/>
      <c r="M928" s="11" t="n"/>
      <c r="N928" s="10">
        <f>IF(COUNTA(J928:M928)=0,"",MIN(10,SUMPRODUCT((COUNTIF(J928:M928,L_KOM)&gt;0)*S_KOM)))</f>
        <v/>
      </c>
      <c r="O928" s="11" t="n"/>
      <c r="P928" s="10">
        <f>IF(O928="","",IFERROR(VLOOKUP(O928,T_KHID,2,FALSE),0))</f>
        <v/>
      </c>
      <c r="Q928" s="11" t="n"/>
      <c r="R928" s="11" t="n"/>
      <c r="S928" s="10">
        <f>IF(AND(Q928="",R928=""),"",IFERROR(INDEX(T_LIBAT,MATCH(Q928,L_PER,0),MATCH(R928,L_JENIS,0)),0))</f>
        <v/>
      </c>
      <c r="T928" s="11" t="n"/>
      <c r="U928" s="11" t="n"/>
      <c r="V928" s="10">
        <f>IF(AND(T928="",U928=""),"",IFERROR(INDEX(T_CAPAI,MATCH(T928,L_PER,0),MATCH(U928,L_KED,0)),0))</f>
        <v/>
      </c>
      <c r="W928" s="17">
        <f>IF(OR(B928="",E928="",COUNTA(F928,H928,J928:M928,O928,Q928:R928,T928:U928)=0),"",SUM(G928,I928,N928,P928,S928,V928))</f>
        <v/>
      </c>
      <c r="X928" s="18">
        <f>IF(W928="","",IF(Murid!F928="TL","TL",ROUND(W928/110*100,2)))</f>
        <v/>
      </c>
    </row>
    <row r="929">
      <c r="A929" s="15">
        <f>Murid!A929</f>
        <v/>
      </c>
      <c r="B929" s="15">
        <f>IF(Murid!B929="","",Murid!B929)</f>
        <v/>
      </c>
      <c r="C929" s="16">
        <f>IF(Murid!C929="","",Murid!C929)</f>
        <v/>
      </c>
      <c r="D929" s="15">
        <f>IF(Murid!E929="","",Murid!E929)</f>
        <v/>
      </c>
      <c r="E929" s="11" t="n"/>
      <c r="F929" s="11" t="n"/>
      <c r="G929" s="10">
        <f>IF(F929="","",IFERROR(VLOOKUP(F929,T_JSP,2,FALSE),0))</f>
        <v/>
      </c>
      <c r="H929" s="11" t="n"/>
      <c r="I929" s="17">
        <f>IF(H929="","",IF(H929&gt;=12,40,ROUND(H929*3.33,2)))</f>
        <v/>
      </c>
      <c r="J929" s="11" t="n"/>
      <c r="K929" s="11" t="n"/>
      <c r="L929" s="11" t="n"/>
      <c r="M929" s="11" t="n"/>
      <c r="N929" s="10">
        <f>IF(COUNTA(J929:M929)=0,"",MIN(10,SUMPRODUCT((COUNTIF(J929:M929,L_KOM)&gt;0)*S_KOM)))</f>
        <v/>
      </c>
      <c r="O929" s="11" t="n"/>
      <c r="P929" s="10">
        <f>IF(O929="","",IFERROR(VLOOKUP(O929,T_KHID,2,FALSE),0))</f>
        <v/>
      </c>
      <c r="Q929" s="11" t="n"/>
      <c r="R929" s="11" t="n"/>
      <c r="S929" s="10">
        <f>IF(AND(Q929="",R929=""),"",IFERROR(INDEX(T_LIBAT,MATCH(Q929,L_PER,0),MATCH(R929,L_JENIS,0)),0))</f>
        <v/>
      </c>
      <c r="T929" s="11" t="n"/>
      <c r="U929" s="11" t="n"/>
      <c r="V929" s="10">
        <f>IF(AND(T929="",U929=""),"",IFERROR(INDEX(T_CAPAI,MATCH(T929,L_PER,0),MATCH(U929,L_KED,0)),0))</f>
        <v/>
      </c>
      <c r="W929" s="17">
        <f>IF(OR(B929="",E929="",COUNTA(F929,H929,J929:M929,O929,Q929:R929,T929:U929)=0),"",SUM(G929,I929,N929,P929,S929,V929))</f>
        <v/>
      </c>
      <c r="X929" s="18">
        <f>IF(W929="","",IF(Murid!F929="TL","TL",ROUND(W929/110*100,2)))</f>
        <v/>
      </c>
    </row>
    <row r="930">
      <c r="A930" s="15">
        <f>Murid!A930</f>
        <v/>
      </c>
      <c r="B930" s="15">
        <f>IF(Murid!B930="","",Murid!B930)</f>
        <v/>
      </c>
      <c r="C930" s="16">
        <f>IF(Murid!C930="","",Murid!C930)</f>
        <v/>
      </c>
      <c r="D930" s="15">
        <f>IF(Murid!E930="","",Murid!E930)</f>
        <v/>
      </c>
      <c r="E930" s="11" t="n"/>
      <c r="F930" s="11" t="n"/>
      <c r="G930" s="10">
        <f>IF(F930="","",IFERROR(VLOOKUP(F930,T_JSP,2,FALSE),0))</f>
        <v/>
      </c>
      <c r="H930" s="11" t="n"/>
      <c r="I930" s="17">
        <f>IF(H930="","",IF(H930&gt;=12,40,ROUND(H930*3.33,2)))</f>
        <v/>
      </c>
      <c r="J930" s="11" t="n"/>
      <c r="K930" s="11" t="n"/>
      <c r="L930" s="11" t="n"/>
      <c r="M930" s="11" t="n"/>
      <c r="N930" s="10">
        <f>IF(COUNTA(J930:M930)=0,"",MIN(10,SUMPRODUCT((COUNTIF(J930:M930,L_KOM)&gt;0)*S_KOM)))</f>
        <v/>
      </c>
      <c r="O930" s="11" t="n"/>
      <c r="P930" s="10">
        <f>IF(O930="","",IFERROR(VLOOKUP(O930,T_KHID,2,FALSE),0))</f>
        <v/>
      </c>
      <c r="Q930" s="11" t="n"/>
      <c r="R930" s="11" t="n"/>
      <c r="S930" s="10">
        <f>IF(AND(Q930="",R930=""),"",IFERROR(INDEX(T_LIBAT,MATCH(Q930,L_PER,0),MATCH(R930,L_JENIS,0)),0))</f>
        <v/>
      </c>
      <c r="T930" s="11" t="n"/>
      <c r="U930" s="11" t="n"/>
      <c r="V930" s="10">
        <f>IF(AND(T930="",U930=""),"",IFERROR(INDEX(T_CAPAI,MATCH(T930,L_PER,0),MATCH(U930,L_KED,0)),0))</f>
        <v/>
      </c>
      <c r="W930" s="17">
        <f>IF(OR(B930="",E930="",COUNTA(F930,H930,J930:M930,O930,Q930:R930,T930:U930)=0),"",SUM(G930,I930,N930,P930,S930,V930))</f>
        <v/>
      </c>
      <c r="X930" s="18">
        <f>IF(W930="","",IF(Murid!F930="TL","TL",ROUND(W930/110*100,2)))</f>
        <v/>
      </c>
    </row>
    <row r="931">
      <c r="A931" s="15">
        <f>Murid!A931</f>
        <v/>
      </c>
      <c r="B931" s="15">
        <f>IF(Murid!B931="","",Murid!B931)</f>
        <v/>
      </c>
      <c r="C931" s="16">
        <f>IF(Murid!C931="","",Murid!C931)</f>
        <v/>
      </c>
      <c r="D931" s="15">
        <f>IF(Murid!E931="","",Murid!E931)</f>
        <v/>
      </c>
      <c r="E931" s="11" t="n"/>
      <c r="F931" s="11" t="n"/>
      <c r="G931" s="10">
        <f>IF(F931="","",IFERROR(VLOOKUP(F931,T_JSP,2,FALSE),0))</f>
        <v/>
      </c>
      <c r="H931" s="11" t="n"/>
      <c r="I931" s="17">
        <f>IF(H931="","",IF(H931&gt;=12,40,ROUND(H931*3.33,2)))</f>
        <v/>
      </c>
      <c r="J931" s="11" t="n"/>
      <c r="K931" s="11" t="n"/>
      <c r="L931" s="11" t="n"/>
      <c r="M931" s="11" t="n"/>
      <c r="N931" s="10">
        <f>IF(COUNTA(J931:M931)=0,"",MIN(10,SUMPRODUCT((COUNTIF(J931:M931,L_KOM)&gt;0)*S_KOM)))</f>
        <v/>
      </c>
      <c r="O931" s="11" t="n"/>
      <c r="P931" s="10">
        <f>IF(O931="","",IFERROR(VLOOKUP(O931,T_KHID,2,FALSE),0))</f>
        <v/>
      </c>
      <c r="Q931" s="11" t="n"/>
      <c r="R931" s="11" t="n"/>
      <c r="S931" s="10">
        <f>IF(AND(Q931="",R931=""),"",IFERROR(INDEX(T_LIBAT,MATCH(Q931,L_PER,0),MATCH(R931,L_JENIS,0)),0))</f>
        <v/>
      </c>
      <c r="T931" s="11" t="n"/>
      <c r="U931" s="11" t="n"/>
      <c r="V931" s="10">
        <f>IF(AND(T931="",U931=""),"",IFERROR(INDEX(T_CAPAI,MATCH(T931,L_PER,0),MATCH(U931,L_KED,0)),0))</f>
        <v/>
      </c>
      <c r="W931" s="17">
        <f>IF(OR(B931="",E931="",COUNTA(F931,H931,J931:M931,O931,Q931:R931,T931:U931)=0),"",SUM(G931,I931,N931,P931,S931,V931))</f>
        <v/>
      </c>
      <c r="X931" s="18">
        <f>IF(W931="","",IF(Murid!F931="TL","TL",ROUND(W931/110*100,2)))</f>
        <v/>
      </c>
    </row>
    <row r="932">
      <c r="A932" s="15">
        <f>Murid!A932</f>
        <v/>
      </c>
      <c r="B932" s="15">
        <f>IF(Murid!B932="","",Murid!B932)</f>
        <v/>
      </c>
      <c r="C932" s="16">
        <f>IF(Murid!C932="","",Murid!C932)</f>
        <v/>
      </c>
      <c r="D932" s="15">
        <f>IF(Murid!E932="","",Murid!E932)</f>
        <v/>
      </c>
      <c r="E932" s="11" t="n"/>
      <c r="F932" s="11" t="n"/>
      <c r="G932" s="10">
        <f>IF(F932="","",IFERROR(VLOOKUP(F932,T_JSP,2,FALSE),0))</f>
        <v/>
      </c>
      <c r="H932" s="11" t="n"/>
      <c r="I932" s="17">
        <f>IF(H932="","",IF(H932&gt;=12,40,ROUND(H932*3.33,2)))</f>
        <v/>
      </c>
      <c r="J932" s="11" t="n"/>
      <c r="K932" s="11" t="n"/>
      <c r="L932" s="11" t="n"/>
      <c r="M932" s="11" t="n"/>
      <c r="N932" s="10">
        <f>IF(COUNTA(J932:M932)=0,"",MIN(10,SUMPRODUCT((COUNTIF(J932:M932,L_KOM)&gt;0)*S_KOM)))</f>
        <v/>
      </c>
      <c r="O932" s="11" t="n"/>
      <c r="P932" s="10">
        <f>IF(O932="","",IFERROR(VLOOKUP(O932,T_KHID,2,FALSE),0))</f>
        <v/>
      </c>
      <c r="Q932" s="11" t="n"/>
      <c r="R932" s="11" t="n"/>
      <c r="S932" s="10">
        <f>IF(AND(Q932="",R932=""),"",IFERROR(INDEX(T_LIBAT,MATCH(Q932,L_PER,0),MATCH(R932,L_JENIS,0)),0))</f>
        <v/>
      </c>
      <c r="T932" s="11" t="n"/>
      <c r="U932" s="11" t="n"/>
      <c r="V932" s="10">
        <f>IF(AND(T932="",U932=""),"",IFERROR(INDEX(T_CAPAI,MATCH(T932,L_PER,0),MATCH(U932,L_KED,0)),0))</f>
        <v/>
      </c>
      <c r="W932" s="17">
        <f>IF(OR(B932="",E932="",COUNTA(F932,H932,J932:M932,O932,Q932:R932,T932:U932)=0),"",SUM(G932,I932,N932,P932,S932,V932))</f>
        <v/>
      </c>
      <c r="X932" s="18">
        <f>IF(W932="","",IF(Murid!F932="TL","TL",ROUND(W932/110*100,2)))</f>
        <v/>
      </c>
    </row>
    <row r="933">
      <c r="A933" s="15">
        <f>Murid!A933</f>
        <v/>
      </c>
      <c r="B933" s="15">
        <f>IF(Murid!B933="","",Murid!B933)</f>
        <v/>
      </c>
      <c r="C933" s="16">
        <f>IF(Murid!C933="","",Murid!C933)</f>
        <v/>
      </c>
      <c r="D933" s="15">
        <f>IF(Murid!E933="","",Murid!E933)</f>
        <v/>
      </c>
      <c r="E933" s="11" t="n"/>
      <c r="F933" s="11" t="n"/>
      <c r="G933" s="10">
        <f>IF(F933="","",IFERROR(VLOOKUP(F933,T_JSP,2,FALSE),0))</f>
        <v/>
      </c>
      <c r="H933" s="11" t="n"/>
      <c r="I933" s="17">
        <f>IF(H933="","",IF(H933&gt;=12,40,ROUND(H933*3.33,2)))</f>
        <v/>
      </c>
      <c r="J933" s="11" t="n"/>
      <c r="K933" s="11" t="n"/>
      <c r="L933" s="11" t="n"/>
      <c r="M933" s="11" t="n"/>
      <c r="N933" s="10">
        <f>IF(COUNTA(J933:M933)=0,"",MIN(10,SUMPRODUCT((COUNTIF(J933:M933,L_KOM)&gt;0)*S_KOM)))</f>
        <v/>
      </c>
      <c r="O933" s="11" t="n"/>
      <c r="P933" s="10">
        <f>IF(O933="","",IFERROR(VLOOKUP(O933,T_KHID,2,FALSE),0))</f>
        <v/>
      </c>
      <c r="Q933" s="11" t="n"/>
      <c r="R933" s="11" t="n"/>
      <c r="S933" s="10">
        <f>IF(AND(Q933="",R933=""),"",IFERROR(INDEX(T_LIBAT,MATCH(Q933,L_PER,0),MATCH(R933,L_JENIS,0)),0))</f>
        <v/>
      </c>
      <c r="T933" s="11" t="n"/>
      <c r="U933" s="11" t="n"/>
      <c r="V933" s="10">
        <f>IF(AND(T933="",U933=""),"",IFERROR(INDEX(T_CAPAI,MATCH(T933,L_PER,0),MATCH(U933,L_KED,0)),0))</f>
        <v/>
      </c>
      <c r="W933" s="17">
        <f>IF(OR(B933="",E933="",COUNTA(F933,H933,J933:M933,O933,Q933:R933,T933:U933)=0),"",SUM(G933,I933,N933,P933,S933,V933))</f>
        <v/>
      </c>
      <c r="X933" s="18">
        <f>IF(W933="","",IF(Murid!F933="TL","TL",ROUND(W933/110*100,2)))</f>
        <v/>
      </c>
    </row>
    <row r="934">
      <c r="A934" s="15">
        <f>Murid!A934</f>
        <v/>
      </c>
      <c r="B934" s="15">
        <f>IF(Murid!B934="","",Murid!B934)</f>
        <v/>
      </c>
      <c r="C934" s="16">
        <f>IF(Murid!C934="","",Murid!C934)</f>
        <v/>
      </c>
      <c r="D934" s="15">
        <f>IF(Murid!E934="","",Murid!E934)</f>
        <v/>
      </c>
      <c r="E934" s="11" t="n"/>
      <c r="F934" s="11" t="n"/>
      <c r="G934" s="10">
        <f>IF(F934="","",IFERROR(VLOOKUP(F934,T_JSP,2,FALSE),0))</f>
        <v/>
      </c>
      <c r="H934" s="11" t="n"/>
      <c r="I934" s="17">
        <f>IF(H934="","",IF(H934&gt;=12,40,ROUND(H934*3.33,2)))</f>
        <v/>
      </c>
      <c r="J934" s="11" t="n"/>
      <c r="K934" s="11" t="n"/>
      <c r="L934" s="11" t="n"/>
      <c r="M934" s="11" t="n"/>
      <c r="N934" s="10">
        <f>IF(COUNTA(J934:M934)=0,"",MIN(10,SUMPRODUCT((COUNTIF(J934:M934,L_KOM)&gt;0)*S_KOM)))</f>
        <v/>
      </c>
      <c r="O934" s="11" t="n"/>
      <c r="P934" s="10">
        <f>IF(O934="","",IFERROR(VLOOKUP(O934,T_KHID,2,FALSE),0))</f>
        <v/>
      </c>
      <c r="Q934" s="11" t="n"/>
      <c r="R934" s="11" t="n"/>
      <c r="S934" s="10">
        <f>IF(AND(Q934="",R934=""),"",IFERROR(INDEX(T_LIBAT,MATCH(Q934,L_PER,0),MATCH(R934,L_JENIS,0)),0))</f>
        <v/>
      </c>
      <c r="T934" s="11" t="n"/>
      <c r="U934" s="11" t="n"/>
      <c r="V934" s="10">
        <f>IF(AND(T934="",U934=""),"",IFERROR(INDEX(T_CAPAI,MATCH(T934,L_PER,0),MATCH(U934,L_KED,0)),0))</f>
        <v/>
      </c>
      <c r="W934" s="17">
        <f>IF(OR(B934="",E934="",COUNTA(F934,H934,J934:M934,O934,Q934:R934,T934:U934)=0),"",SUM(G934,I934,N934,P934,S934,V934))</f>
        <v/>
      </c>
      <c r="X934" s="18">
        <f>IF(W934="","",IF(Murid!F934="TL","TL",ROUND(W934/110*100,2)))</f>
        <v/>
      </c>
    </row>
    <row r="935">
      <c r="A935" s="15">
        <f>Murid!A935</f>
        <v/>
      </c>
      <c r="B935" s="15">
        <f>IF(Murid!B935="","",Murid!B935)</f>
        <v/>
      </c>
      <c r="C935" s="16">
        <f>IF(Murid!C935="","",Murid!C935)</f>
        <v/>
      </c>
      <c r="D935" s="15">
        <f>IF(Murid!E935="","",Murid!E935)</f>
        <v/>
      </c>
      <c r="E935" s="11" t="n"/>
      <c r="F935" s="11" t="n"/>
      <c r="G935" s="10">
        <f>IF(F935="","",IFERROR(VLOOKUP(F935,T_JSP,2,FALSE),0))</f>
        <v/>
      </c>
      <c r="H935" s="11" t="n"/>
      <c r="I935" s="17">
        <f>IF(H935="","",IF(H935&gt;=12,40,ROUND(H935*3.33,2)))</f>
        <v/>
      </c>
      <c r="J935" s="11" t="n"/>
      <c r="K935" s="11" t="n"/>
      <c r="L935" s="11" t="n"/>
      <c r="M935" s="11" t="n"/>
      <c r="N935" s="10">
        <f>IF(COUNTA(J935:M935)=0,"",MIN(10,SUMPRODUCT((COUNTIF(J935:M935,L_KOM)&gt;0)*S_KOM)))</f>
        <v/>
      </c>
      <c r="O935" s="11" t="n"/>
      <c r="P935" s="10">
        <f>IF(O935="","",IFERROR(VLOOKUP(O935,T_KHID,2,FALSE),0))</f>
        <v/>
      </c>
      <c r="Q935" s="11" t="n"/>
      <c r="R935" s="11" t="n"/>
      <c r="S935" s="10">
        <f>IF(AND(Q935="",R935=""),"",IFERROR(INDEX(T_LIBAT,MATCH(Q935,L_PER,0),MATCH(R935,L_JENIS,0)),0))</f>
        <v/>
      </c>
      <c r="T935" s="11" t="n"/>
      <c r="U935" s="11" t="n"/>
      <c r="V935" s="10">
        <f>IF(AND(T935="",U935=""),"",IFERROR(INDEX(T_CAPAI,MATCH(T935,L_PER,0),MATCH(U935,L_KED,0)),0))</f>
        <v/>
      </c>
      <c r="W935" s="17">
        <f>IF(OR(B935="",E935="",COUNTA(F935,H935,J935:M935,O935,Q935:R935,T935:U935)=0),"",SUM(G935,I935,N935,P935,S935,V935))</f>
        <v/>
      </c>
      <c r="X935" s="18">
        <f>IF(W935="","",IF(Murid!F935="TL","TL",ROUND(W935/110*100,2)))</f>
        <v/>
      </c>
    </row>
    <row r="936">
      <c r="A936" s="15">
        <f>Murid!A936</f>
        <v/>
      </c>
      <c r="B936" s="15">
        <f>IF(Murid!B936="","",Murid!B936)</f>
        <v/>
      </c>
      <c r="C936" s="16">
        <f>IF(Murid!C936="","",Murid!C936)</f>
        <v/>
      </c>
      <c r="D936" s="15">
        <f>IF(Murid!E936="","",Murid!E936)</f>
        <v/>
      </c>
      <c r="E936" s="11" t="n"/>
      <c r="F936" s="11" t="n"/>
      <c r="G936" s="10">
        <f>IF(F936="","",IFERROR(VLOOKUP(F936,T_JSP,2,FALSE),0))</f>
        <v/>
      </c>
      <c r="H936" s="11" t="n"/>
      <c r="I936" s="17">
        <f>IF(H936="","",IF(H936&gt;=12,40,ROUND(H936*3.33,2)))</f>
        <v/>
      </c>
      <c r="J936" s="11" t="n"/>
      <c r="K936" s="11" t="n"/>
      <c r="L936" s="11" t="n"/>
      <c r="M936" s="11" t="n"/>
      <c r="N936" s="10">
        <f>IF(COUNTA(J936:M936)=0,"",MIN(10,SUMPRODUCT((COUNTIF(J936:M936,L_KOM)&gt;0)*S_KOM)))</f>
        <v/>
      </c>
      <c r="O936" s="11" t="n"/>
      <c r="P936" s="10">
        <f>IF(O936="","",IFERROR(VLOOKUP(O936,T_KHID,2,FALSE),0))</f>
        <v/>
      </c>
      <c r="Q936" s="11" t="n"/>
      <c r="R936" s="11" t="n"/>
      <c r="S936" s="10">
        <f>IF(AND(Q936="",R936=""),"",IFERROR(INDEX(T_LIBAT,MATCH(Q936,L_PER,0),MATCH(R936,L_JENIS,0)),0))</f>
        <v/>
      </c>
      <c r="T936" s="11" t="n"/>
      <c r="U936" s="11" t="n"/>
      <c r="V936" s="10">
        <f>IF(AND(T936="",U936=""),"",IFERROR(INDEX(T_CAPAI,MATCH(T936,L_PER,0),MATCH(U936,L_KED,0)),0))</f>
        <v/>
      </c>
      <c r="W936" s="17">
        <f>IF(OR(B936="",E936="",COUNTA(F936,H936,J936:M936,O936,Q936:R936,T936:U936)=0),"",SUM(G936,I936,N936,P936,S936,V936))</f>
        <v/>
      </c>
      <c r="X936" s="18">
        <f>IF(W936="","",IF(Murid!F936="TL","TL",ROUND(W936/110*100,2)))</f>
        <v/>
      </c>
    </row>
    <row r="937">
      <c r="A937" s="15">
        <f>Murid!A937</f>
        <v/>
      </c>
      <c r="B937" s="15">
        <f>IF(Murid!B937="","",Murid!B937)</f>
        <v/>
      </c>
      <c r="C937" s="16">
        <f>IF(Murid!C937="","",Murid!C937)</f>
        <v/>
      </c>
      <c r="D937" s="15">
        <f>IF(Murid!E937="","",Murid!E937)</f>
        <v/>
      </c>
      <c r="E937" s="11" t="n"/>
      <c r="F937" s="11" t="n"/>
      <c r="G937" s="10">
        <f>IF(F937="","",IFERROR(VLOOKUP(F937,T_JSP,2,FALSE),0))</f>
        <v/>
      </c>
      <c r="H937" s="11" t="n"/>
      <c r="I937" s="17">
        <f>IF(H937="","",IF(H937&gt;=12,40,ROUND(H937*3.33,2)))</f>
        <v/>
      </c>
      <c r="J937" s="11" t="n"/>
      <c r="K937" s="11" t="n"/>
      <c r="L937" s="11" t="n"/>
      <c r="M937" s="11" t="n"/>
      <c r="N937" s="10">
        <f>IF(COUNTA(J937:M937)=0,"",MIN(10,SUMPRODUCT((COUNTIF(J937:M937,L_KOM)&gt;0)*S_KOM)))</f>
        <v/>
      </c>
      <c r="O937" s="11" t="n"/>
      <c r="P937" s="10">
        <f>IF(O937="","",IFERROR(VLOOKUP(O937,T_KHID,2,FALSE),0))</f>
        <v/>
      </c>
      <c r="Q937" s="11" t="n"/>
      <c r="R937" s="11" t="n"/>
      <c r="S937" s="10">
        <f>IF(AND(Q937="",R937=""),"",IFERROR(INDEX(T_LIBAT,MATCH(Q937,L_PER,0),MATCH(R937,L_JENIS,0)),0))</f>
        <v/>
      </c>
      <c r="T937" s="11" t="n"/>
      <c r="U937" s="11" t="n"/>
      <c r="V937" s="10">
        <f>IF(AND(T937="",U937=""),"",IFERROR(INDEX(T_CAPAI,MATCH(T937,L_PER,0),MATCH(U937,L_KED,0)),0))</f>
        <v/>
      </c>
      <c r="W937" s="17">
        <f>IF(OR(B937="",E937="",COUNTA(F937,H937,J937:M937,O937,Q937:R937,T937:U937)=0),"",SUM(G937,I937,N937,P937,S937,V937))</f>
        <v/>
      </c>
      <c r="X937" s="18">
        <f>IF(W937="","",IF(Murid!F937="TL","TL",ROUND(W937/110*100,2)))</f>
        <v/>
      </c>
    </row>
    <row r="938">
      <c r="A938" s="15">
        <f>Murid!A938</f>
        <v/>
      </c>
      <c r="B938" s="15">
        <f>IF(Murid!B938="","",Murid!B938)</f>
        <v/>
      </c>
      <c r="C938" s="16">
        <f>IF(Murid!C938="","",Murid!C938)</f>
        <v/>
      </c>
      <c r="D938" s="15">
        <f>IF(Murid!E938="","",Murid!E938)</f>
        <v/>
      </c>
      <c r="E938" s="11" t="n"/>
      <c r="F938" s="11" t="n"/>
      <c r="G938" s="10">
        <f>IF(F938="","",IFERROR(VLOOKUP(F938,T_JSP,2,FALSE),0))</f>
        <v/>
      </c>
      <c r="H938" s="11" t="n"/>
      <c r="I938" s="17">
        <f>IF(H938="","",IF(H938&gt;=12,40,ROUND(H938*3.33,2)))</f>
        <v/>
      </c>
      <c r="J938" s="11" t="n"/>
      <c r="K938" s="11" t="n"/>
      <c r="L938" s="11" t="n"/>
      <c r="M938" s="11" t="n"/>
      <c r="N938" s="10">
        <f>IF(COUNTA(J938:M938)=0,"",MIN(10,SUMPRODUCT((COUNTIF(J938:M938,L_KOM)&gt;0)*S_KOM)))</f>
        <v/>
      </c>
      <c r="O938" s="11" t="n"/>
      <c r="P938" s="10">
        <f>IF(O938="","",IFERROR(VLOOKUP(O938,T_KHID,2,FALSE),0))</f>
        <v/>
      </c>
      <c r="Q938" s="11" t="n"/>
      <c r="R938" s="11" t="n"/>
      <c r="S938" s="10">
        <f>IF(AND(Q938="",R938=""),"",IFERROR(INDEX(T_LIBAT,MATCH(Q938,L_PER,0),MATCH(R938,L_JENIS,0)),0))</f>
        <v/>
      </c>
      <c r="T938" s="11" t="n"/>
      <c r="U938" s="11" t="n"/>
      <c r="V938" s="10">
        <f>IF(AND(T938="",U938=""),"",IFERROR(INDEX(T_CAPAI,MATCH(T938,L_PER,0),MATCH(U938,L_KED,0)),0))</f>
        <v/>
      </c>
      <c r="W938" s="17">
        <f>IF(OR(B938="",E938="",COUNTA(F938,H938,J938:M938,O938,Q938:R938,T938:U938)=0),"",SUM(G938,I938,N938,P938,S938,V938))</f>
        <v/>
      </c>
      <c r="X938" s="18">
        <f>IF(W938="","",IF(Murid!F938="TL","TL",ROUND(W938/110*100,2)))</f>
        <v/>
      </c>
    </row>
    <row r="939">
      <c r="A939" s="15">
        <f>Murid!A939</f>
        <v/>
      </c>
      <c r="B939" s="15">
        <f>IF(Murid!B939="","",Murid!B939)</f>
        <v/>
      </c>
      <c r="C939" s="16">
        <f>IF(Murid!C939="","",Murid!C939)</f>
        <v/>
      </c>
      <c r="D939" s="15">
        <f>IF(Murid!E939="","",Murid!E939)</f>
        <v/>
      </c>
      <c r="E939" s="11" t="n"/>
      <c r="F939" s="11" t="n"/>
      <c r="G939" s="10">
        <f>IF(F939="","",IFERROR(VLOOKUP(F939,T_JSP,2,FALSE),0))</f>
        <v/>
      </c>
      <c r="H939" s="11" t="n"/>
      <c r="I939" s="17">
        <f>IF(H939="","",IF(H939&gt;=12,40,ROUND(H939*3.33,2)))</f>
        <v/>
      </c>
      <c r="J939" s="11" t="n"/>
      <c r="K939" s="11" t="n"/>
      <c r="L939" s="11" t="n"/>
      <c r="M939" s="11" t="n"/>
      <c r="N939" s="10">
        <f>IF(COUNTA(J939:M939)=0,"",MIN(10,SUMPRODUCT((COUNTIF(J939:M939,L_KOM)&gt;0)*S_KOM)))</f>
        <v/>
      </c>
      <c r="O939" s="11" t="n"/>
      <c r="P939" s="10">
        <f>IF(O939="","",IFERROR(VLOOKUP(O939,T_KHID,2,FALSE),0))</f>
        <v/>
      </c>
      <c r="Q939" s="11" t="n"/>
      <c r="R939" s="11" t="n"/>
      <c r="S939" s="10">
        <f>IF(AND(Q939="",R939=""),"",IFERROR(INDEX(T_LIBAT,MATCH(Q939,L_PER,0),MATCH(R939,L_JENIS,0)),0))</f>
        <v/>
      </c>
      <c r="T939" s="11" t="n"/>
      <c r="U939" s="11" t="n"/>
      <c r="V939" s="10">
        <f>IF(AND(T939="",U939=""),"",IFERROR(INDEX(T_CAPAI,MATCH(T939,L_PER,0),MATCH(U939,L_KED,0)),0))</f>
        <v/>
      </c>
      <c r="W939" s="17">
        <f>IF(OR(B939="",E939="",COUNTA(F939,H939,J939:M939,O939,Q939:R939,T939:U939)=0),"",SUM(G939,I939,N939,P939,S939,V939))</f>
        <v/>
      </c>
      <c r="X939" s="18">
        <f>IF(W939="","",IF(Murid!F939="TL","TL",ROUND(W939/110*100,2)))</f>
        <v/>
      </c>
    </row>
    <row r="940">
      <c r="A940" s="15">
        <f>Murid!A940</f>
        <v/>
      </c>
      <c r="B940" s="15">
        <f>IF(Murid!B940="","",Murid!B940)</f>
        <v/>
      </c>
      <c r="C940" s="16">
        <f>IF(Murid!C940="","",Murid!C940)</f>
        <v/>
      </c>
      <c r="D940" s="15">
        <f>IF(Murid!E940="","",Murid!E940)</f>
        <v/>
      </c>
      <c r="E940" s="11" t="n"/>
      <c r="F940" s="11" t="n"/>
      <c r="G940" s="10">
        <f>IF(F940="","",IFERROR(VLOOKUP(F940,T_JSP,2,FALSE),0))</f>
        <v/>
      </c>
      <c r="H940" s="11" t="n"/>
      <c r="I940" s="17">
        <f>IF(H940="","",IF(H940&gt;=12,40,ROUND(H940*3.33,2)))</f>
        <v/>
      </c>
      <c r="J940" s="11" t="n"/>
      <c r="K940" s="11" t="n"/>
      <c r="L940" s="11" t="n"/>
      <c r="M940" s="11" t="n"/>
      <c r="N940" s="10">
        <f>IF(COUNTA(J940:M940)=0,"",MIN(10,SUMPRODUCT((COUNTIF(J940:M940,L_KOM)&gt;0)*S_KOM)))</f>
        <v/>
      </c>
      <c r="O940" s="11" t="n"/>
      <c r="P940" s="10">
        <f>IF(O940="","",IFERROR(VLOOKUP(O940,T_KHID,2,FALSE),0))</f>
        <v/>
      </c>
      <c r="Q940" s="11" t="n"/>
      <c r="R940" s="11" t="n"/>
      <c r="S940" s="10">
        <f>IF(AND(Q940="",R940=""),"",IFERROR(INDEX(T_LIBAT,MATCH(Q940,L_PER,0),MATCH(R940,L_JENIS,0)),0))</f>
        <v/>
      </c>
      <c r="T940" s="11" t="n"/>
      <c r="U940" s="11" t="n"/>
      <c r="V940" s="10">
        <f>IF(AND(T940="",U940=""),"",IFERROR(INDEX(T_CAPAI,MATCH(T940,L_PER,0),MATCH(U940,L_KED,0)),0))</f>
        <v/>
      </c>
      <c r="W940" s="17">
        <f>IF(OR(B940="",E940="",COUNTA(F940,H940,J940:M940,O940,Q940:R940,T940:U940)=0),"",SUM(G940,I940,N940,P940,S940,V940))</f>
        <v/>
      </c>
      <c r="X940" s="18">
        <f>IF(W940="","",IF(Murid!F940="TL","TL",ROUND(W940/110*100,2)))</f>
        <v/>
      </c>
    </row>
    <row r="941">
      <c r="A941" s="15">
        <f>Murid!A941</f>
        <v/>
      </c>
      <c r="B941" s="15">
        <f>IF(Murid!B941="","",Murid!B941)</f>
        <v/>
      </c>
      <c r="C941" s="16">
        <f>IF(Murid!C941="","",Murid!C941)</f>
        <v/>
      </c>
      <c r="D941" s="15">
        <f>IF(Murid!E941="","",Murid!E941)</f>
        <v/>
      </c>
      <c r="E941" s="11" t="n"/>
      <c r="F941" s="11" t="n"/>
      <c r="G941" s="10">
        <f>IF(F941="","",IFERROR(VLOOKUP(F941,T_JSP,2,FALSE),0))</f>
        <v/>
      </c>
      <c r="H941" s="11" t="n"/>
      <c r="I941" s="17">
        <f>IF(H941="","",IF(H941&gt;=12,40,ROUND(H941*3.33,2)))</f>
        <v/>
      </c>
      <c r="J941" s="11" t="n"/>
      <c r="K941" s="11" t="n"/>
      <c r="L941" s="11" t="n"/>
      <c r="M941" s="11" t="n"/>
      <c r="N941" s="10">
        <f>IF(COUNTA(J941:M941)=0,"",MIN(10,SUMPRODUCT((COUNTIF(J941:M941,L_KOM)&gt;0)*S_KOM)))</f>
        <v/>
      </c>
      <c r="O941" s="11" t="n"/>
      <c r="P941" s="10">
        <f>IF(O941="","",IFERROR(VLOOKUP(O941,T_KHID,2,FALSE),0))</f>
        <v/>
      </c>
      <c r="Q941" s="11" t="n"/>
      <c r="R941" s="11" t="n"/>
      <c r="S941" s="10">
        <f>IF(AND(Q941="",R941=""),"",IFERROR(INDEX(T_LIBAT,MATCH(Q941,L_PER,0),MATCH(R941,L_JENIS,0)),0))</f>
        <v/>
      </c>
      <c r="T941" s="11" t="n"/>
      <c r="U941" s="11" t="n"/>
      <c r="V941" s="10">
        <f>IF(AND(T941="",U941=""),"",IFERROR(INDEX(T_CAPAI,MATCH(T941,L_PER,0),MATCH(U941,L_KED,0)),0))</f>
        <v/>
      </c>
      <c r="W941" s="17">
        <f>IF(OR(B941="",E941="",COUNTA(F941,H941,J941:M941,O941,Q941:R941,T941:U941)=0),"",SUM(G941,I941,N941,P941,S941,V941))</f>
        <v/>
      </c>
      <c r="X941" s="18">
        <f>IF(W941="","",IF(Murid!F941="TL","TL",ROUND(W941/110*100,2)))</f>
        <v/>
      </c>
    </row>
    <row r="942">
      <c r="A942" s="15">
        <f>Murid!A942</f>
        <v/>
      </c>
      <c r="B942" s="15">
        <f>IF(Murid!B942="","",Murid!B942)</f>
        <v/>
      </c>
      <c r="C942" s="16">
        <f>IF(Murid!C942="","",Murid!C942)</f>
        <v/>
      </c>
      <c r="D942" s="15">
        <f>IF(Murid!E942="","",Murid!E942)</f>
        <v/>
      </c>
      <c r="E942" s="11" t="n"/>
      <c r="F942" s="11" t="n"/>
      <c r="G942" s="10">
        <f>IF(F942="","",IFERROR(VLOOKUP(F942,T_JSP,2,FALSE),0))</f>
        <v/>
      </c>
      <c r="H942" s="11" t="n"/>
      <c r="I942" s="17">
        <f>IF(H942="","",IF(H942&gt;=12,40,ROUND(H942*3.33,2)))</f>
        <v/>
      </c>
      <c r="J942" s="11" t="n"/>
      <c r="K942" s="11" t="n"/>
      <c r="L942" s="11" t="n"/>
      <c r="M942" s="11" t="n"/>
      <c r="N942" s="10">
        <f>IF(COUNTA(J942:M942)=0,"",MIN(10,SUMPRODUCT((COUNTIF(J942:M942,L_KOM)&gt;0)*S_KOM)))</f>
        <v/>
      </c>
      <c r="O942" s="11" t="n"/>
      <c r="P942" s="10">
        <f>IF(O942="","",IFERROR(VLOOKUP(O942,T_KHID,2,FALSE),0))</f>
        <v/>
      </c>
      <c r="Q942" s="11" t="n"/>
      <c r="R942" s="11" t="n"/>
      <c r="S942" s="10">
        <f>IF(AND(Q942="",R942=""),"",IFERROR(INDEX(T_LIBAT,MATCH(Q942,L_PER,0),MATCH(R942,L_JENIS,0)),0))</f>
        <v/>
      </c>
      <c r="T942" s="11" t="n"/>
      <c r="U942" s="11" t="n"/>
      <c r="V942" s="10">
        <f>IF(AND(T942="",U942=""),"",IFERROR(INDEX(T_CAPAI,MATCH(T942,L_PER,0),MATCH(U942,L_KED,0)),0))</f>
        <v/>
      </c>
      <c r="W942" s="17">
        <f>IF(OR(B942="",E942="",COUNTA(F942,H942,J942:M942,O942,Q942:R942,T942:U942)=0),"",SUM(G942,I942,N942,P942,S942,V942))</f>
        <v/>
      </c>
      <c r="X942" s="18">
        <f>IF(W942="","",IF(Murid!F942="TL","TL",ROUND(W942/110*100,2)))</f>
        <v/>
      </c>
    </row>
    <row r="943">
      <c r="A943" s="15">
        <f>Murid!A943</f>
        <v/>
      </c>
      <c r="B943" s="15">
        <f>IF(Murid!B943="","",Murid!B943)</f>
        <v/>
      </c>
      <c r="C943" s="16">
        <f>IF(Murid!C943="","",Murid!C943)</f>
        <v/>
      </c>
      <c r="D943" s="15">
        <f>IF(Murid!E943="","",Murid!E943)</f>
        <v/>
      </c>
      <c r="E943" s="11" t="n"/>
      <c r="F943" s="11" t="n"/>
      <c r="G943" s="10">
        <f>IF(F943="","",IFERROR(VLOOKUP(F943,T_JSP,2,FALSE),0))</f>
        <v/>
      </c>
      <c r="H943" s="11" t="n"/>
      <c r="I943" s="17">
        <f>IF(H943="","",IF(H943&gt;=12,40,ROUND(H943*3.33,2)))</f>
        <v/>
      </c>
      <c r="J943" s="11" t="n"/>
      <c r="K943" s="11" t="n"/>
      <c r="L943" s="11" t="n"/>
      <c r="M943" s="11" t="n"/>
      <c r="N943" s="10">
        <f>IF(COUNTA(J943:M943)=0,"",MIN(10,SUMPRODUCT((COUNTIF(J943:M943,L_KOM)&gt;0)*S_KOM)))</f>
        <v/>
      </c>
      <c r="O943" s="11" t="n"/>
      <c r="P943" s="10">
        <f>IF(O943="","",IFERROR(VLOOKUP(O943,T_KHID,2,FALSE),0))</f>
        <v/>
      </c>
      <c r="Q943" s="11" t="n"/>
      <c r="R943" s="11" t="n"/>
      <c r="S943" s="10">
        <f>IF(AND(Q943="",R943=""),"",IFERROR(INDEX(T_LIBAT,MATCH(Q943,L_PER,0),MATCH(R943,L_JENIS,0)),0))</f>
        <v/>
      </c>
      <c r="T943" s="11" t="n"/>
      <c r="U943" s="11" t="n"/>
      <c r="V943" s="10">
        <f>IF(AND(T943="",U943=""),"",IFERROR(INDEX(T_CAPAI,MATCH(T943,L_PER,0),MATCH(U943,L_KED,0)),0))</f>
        <v/>
      </c>
      <c r="W943" s="17">
        <f>IF(OR(B943="",E943="",COUNTA(F943,H943,J943:M943,O943,Q943:R943,T943:U943)=0),"",SUM(G943,I943,N943,P943,S943,V943))</f>
        <v/>
      </c>
      <c r="X943" s="18">
        <f>IF(W943="","",IF(Murid!F943="TL","TL",ROUND(W943/110*100,2)))</f>
        <v/>
      </c>
    </row>
    <row r="944">
      <c r="A944" s="15">
        <f>Murid!A944</f>
        <v/>
      </c>
      <c r="B944" s="15">
        <f>IF(Murid!B944="","",Murid!B944)</f>
        <v/>
      </c>
      <c r="C944" s="16">
        <f>IF(Murid!C944="","",Murid!C944)</f>
        <v/>
      </c>
      <c r="D944" s="15">
        <f>IF(Murid!E944="","",Murid!E944)</f>
        <v/>
      </c>
      <c r="E944" s="11" t="n"/>
      <c r="F944" s="11" t="n"/>
      <c r="G944" s="10">
        <f>IF(F944="","",IFERROR(VLOOKUP(F944,T_JSP,2,FALSE),0))</f>
        <v/>
      </c>
      <c r="H944" s="11" t="n"/>
      <c r="I944" s="17">
        <f>IF(H944="","",IF(H944&gt;=12,40,ROUND(H944*3.33,2)))</f>
        <v/>
      </c>
      <c r="J944" s="11" t="n"/>
      <c r="K944" s="11" t="n"/>
      <c r="L944" s="11" t="n"/>
      <c r="M944" s="11" t="n"/>
      <c r="N944" s="10">
        <f>IF(COUNTA(J944:M944)=0,"",MIN(10,SUMPRODUCT((COUNTIF(J944:M944,L_KOM)&gt;0)*S_KOM)))</f>
        <v/>
      </c>
      <c r="O944" s="11" t="n"/>
      <c r="P944" s="10">
        <f>IF(O944="","",IFERROR(VLOOKUP(O944,T_KHID,2,FALSE),0))</f>
        <v/>
      </c>
      <c r="Q944" s="11" t="n"/>
      <c r="R944" s="11" t="n"/>
      <c r="S944" s="10">
        <f>IF(AND(Q944="",R944=""),"",IFERROR(INDEX(T_LIBAT,MATCH(Q944,L_PER,0),MATCH(R944,L_JENIS,0)),0))</f>
        <v/>
      </c>
      <c r="T944" s="11" t="n"/>
      <c r="U944" s="11" t="n"/>
      <c r="V944" s="10">
        <f>IF(AND(T944="",U944=""),"",IFERROR(INDEX(T_CAPAI,MATCH(T944,L_PER,0),MATCH(U944,L_KED,0)),0))</f>
        <v/>
      </c>
      <c r="W944" s="17">
        <f>IF(OR(B944="",E944="",COUNTA(F944,H944,J944:M944,O944,Q944:R944,T944:U944)=0),"",SUM(G944,I944,N944,P944,S944,V944))</f>
        <v/>
      </c>
      <c r="X944" s="18">
        <f>IF(W944="","",IF(Murid!F944="TL","TL",ROUND(W944/110*100,2)))</f>
        <v/>
      </c>
    </row>
    <row r="945">
      <c r="A945" s="15">
        <f>Murid!A945</f>
        <v/>
      </c>
      <c r="B945" s="15">
        <f>IF(Murid!B945="","",Murid!B945)</f>
        <v/>
      </c>
      <c r="C945" s="16">
        <f>IF(Murid!C945="","",Murid!C945)</f>
        <v/>
      </c>
      <c r="D945" s="15">
        <f>IF(Murid!E945="","",Murid!E945)</f>
        <v/>
      </c>
      <c r="E945" s="11" t="n"/>
      <c r="F945" s="11" t="n"/>
      <c r="G945" s="10">
        <f>IF(F945="","",IFERROR(VLOOKUP(F945,T_JSP,2,FALSE),0))</f>
        <v/>
      </c>
      <c r="H945" s="11" t="n"/>
      <c r="I945" s="17">
        <f>IF(H945="","",IF(H945&gt;=12,40,ROUND(H945*3.33,2)))</f>
        <v/>
      </c>
      <c r="J945" s="11" t="n"/>
      <c r="K945" s="11" t="n"/>
      <c r="L945" s="11" t="n"/>
      <c r="M945" s="11" t="n"/>
      <c r="N945" s="10">
        <f>IF(COUNTA(J945:M945)=0,"",MIN(10,SUMPRODUCT((COUNTIF(J945:M945,L_KOM)&gt;0)*S_KOM)))</f>
        <v/>
      </c>
      <c r="O945" s="11" t="n"/>
      <c r="P945" s="10">
        <f>IF(O945="","",IFERROR(VLOOKUP(O945,T_KHID,2,FALSE),0))</f>
        <v/>
      </c>
      <c r="Q945" s="11" t="n"/>
      <c r="R945" s="11" t="n"/>
      <c r="S945" s="10">
        <f>IF(AND(Q945="",R945=""),"",IFERROR(INDEX(T_LIBAT,MATCH(Q945,L_PER,0),MATCH(R945,L_JENIS,0)),0))</f>
        <v/>
      </c>
      <c r="T945" s="11" t="n"/>
      <c r="U945" s="11" t="n"/>
      <c r="V945" s="10">
        <f>IF(AND(T945="",U945=""),"",IFERROR(INDEX(T_CAPAI,MATCH(T945,L_PER,0),MATCH(U945,L_KED,0)),0))</f>
        <v/>
      </c>
      <c r="W945" s="17">
        <f>IF(OR(B945="",E945="",COUNTA(F945,H945,J945:M945,O945,Q945:R945,T945:U945)=0),"",SUM(G945,I945,N945,P945,S945,V945))</f>
        <v/>
      </c>
      <c r="X945" s="18">
        <f>IF(W945="","",IF(Murid!F945="TL","TL",ROUND(W945/110*100,2)))</f>
        <v/>
      </c>
    </row>
    <row r="946">
      <c r="A946" s="15">
        <f>Murid!A946</f>
        <v/>
      </c>
      <c r="B946" s="15">
        <f>IF(Murid!B946="","",Murid!B946)</f>
        <v/>
      </c>
      <c r="C946" s="16">
        <f>IF(Murid!C946="","",Murid!C946)</f>
        <v/>
      </c>
      <c r="D946" s="15">
        <f>IF(Murid!E946="","",Murid!E946)</f>
        <v/>
      </c>
      <c r="E946" s="11" t="n"/>
      <c r="F946" s="11" t="n"/>
      <c r="G946" s="10">
        <f>IF(F946="","",IFERROR(VLOOKUP(F946,T_JSP,2,FALSE),0))</f>
        <v/>
      </c>
      <c r="H946" s="11" t="n"/>
      <c r="I946" s="17">
        <f>IF(H946="","",IF(H946&gt;=12,40,ROUND(H946*3.33,2)))</f>
        <v/>
      </c>
      <c r="J946" s="11" t="n"/>
      <c r="K946" s="11" t="n"/>
      <c r="L946" s="11" t="n"/>
      <c r="M946" s="11" t="n"/>
      <c r="N946" s="10">
        <f>IF(COUNTA(J946:M946)=0,"",MIN(10,SUMPRODUCT((COUNTIF(J946:M946,L_KOM)&gt;0)*S_KOM)))</f>
        <v/>
      </c>
      <c r="O946" s="11" t="n"/>
      <c r="P946" s="10">
        <f>IF(O946="","",IFERROR(VLOOKUP(O946,T_KHID,2,FALSE),0))</f>
        <v/>
      </c>
      <c r="Q946" s="11" t="n"/>
      <c r="R946" s="11" t="n"/>
      <c r="S946" s="10">
        <f>IF(AND(Q946="",R946=""),"",IFERROR(INDEX(T_LIBAT,MATCH(Q946,L_PER,0),MATCH(R946,L_JENIS,0)),0))</f>
        <v/>
      </c>
      <c r="T946" s="11" t="n"/>
      <c r="U946" s="11" t="n"/>
      <c r="V946" s="10">
        <f>IF(AND(T946="",U946=""),"",IFERROR(INDEX(T_CAPAI,MATCH(T946,L_PER,0),MATCH(U946,L_KED,0)),0))</f>
        <v/>
      </c>
      <c r="W946" s="17">
        <f>IF(OR(B946="",E946="",COUNTA(F946,H946,J946:M946,O946,Q946:R946,T946:U946)=0),"",SUM(G946,I946,N946,P946,S946,V946))</f>
        <v/>
      </c>
      <c r="X946" s="18">
        <f>IF(W946="","",IF(Murid!F946="TL","TL",ROUND(W946/110*100,2)))</f>
        <v/>
      </c>
    </row>
    <row r="947">
      <c r="A947" s="15">
        <f>Murid!A947</f>
        <v/>
      </c>
      <c r="B947" s="15">
        <f>IF(Murid!B947="","",Murid!B947)</f>
        <v/>
      </c>
      <c r="C947" s="16">
        <f>IF(Murid!C947="","",Murid!C947)</f>
        <v/>
      </c>
      <c r="D947" s="15">
        <f>IF(Murid!E947="","",Murid!E947)</f>
        <v/>
      </c>
      <c r="E947" s="11" t="n"/>
      <c r="F947" s="11" t="n"/>
      <c r="G947" s="10">
        <f>IF(F947="","",IFERROR(VLOOKUP(F947,T_JSP,2,FALSE),0))</f>
        <v/>
      </c>
      <c r="H947" s="11" t="n"/>
      <c r="I947" s="17">
        <f>IF(H947="","",IF(H947&gt;=12,40,ROUND(H947*3.33,2)))</f>
        <v/>
      </c>
      <c r="J947" s="11" t="n"/>
      <c r="K947" s="11" t="n"/>
      <c r="L947" s="11" t="n"/>
      <c r="M947" s="11" t="n"/>
      <c r="N947" s="10">
        <f>IF(COUNTA(J947:M947)=0,"",MIN(10,SUMPRODUCT((COUNTIF(J947:M947,L_KOM)&gt;0)*S_KOM)))</f>
        <v/>
      </c>
      <c r="O947" s="11" t="n"/>
      <c r="P947" s="10">
        <f>IF(O947="","",IFERROR(VLOOKUP(O947,T_KHID,2,FALSE),0))</f>
        <v/>
      </c>
      <c r="Q947" s="11" t="n"/>
      <c r="R947" s="11" t="n"/>
      <c r="S947" s="10">
        <f>IF(AND(Q947="",R947=""),"",IFERROR(INDEX(T_LIBAT,MATCH(Q947,L_PER,0),MATCH(R947,L_JENIS,0)),0))</f>
        <v/>
      </c>
      <c r="T947" s="11" t="n"/>
      <c r="U947" s="11" t="n"/>
      <c r="V947" s="10">
        <f>IF(AND(T947="",U947=""),"",IFERROR(INDEX(T_CAPAI,MATCH(T947,L_PER,0),MATCH(U947,L_KED,0)),0))</f>
        <v/>
      </c>
      <c r="W947" s="17">
        <f>IF(OR(B947="",E947="",COUNTA(F947,H947,J947:M947,O947,Q947:R947,T947:U947)=0),"",SUM(G947,I947,N947,P947,S947,V947))</f>
        <v/>
      </c>
      <c r="X947" s="18">
        <f>IF(W947="","",IF(Murid!F947="TL","TL",ROUND(W947/110*100,2)))</f>
        <v/>
      </c>
    </row>
    <row r="948">
      <c r="A948" s="15">
        <f>Murid!A948</f>
        <v/>
      </c>
      <c r="B948" s="15">
        <f>IF(Murid!B948="","",Murid!B948)</f>
        <v/>
      </c>
      <c r="C948" s="16">
        <f>IF(Murid!C948="","",Murid!C948)</f>
        <v/>
      </c>
      <c r="D948" s="15">
        <f>IF(Murid!E948="","",Murid!E948)</f>
        <v/>
      </c>
      <c r="E948" s="11" t="n"/>
      <c r="F948" s="11" t="n"/>
      <c r="G948" s="10">
        <f>IF(F948="","",IFERROR(VLOOKUP(F948,T_JSP,2,FALSE),0))</f>
        <v/>
      </c>
      <c r="H948" s="11" t="n"/>
      <c r="I948" s="17">
        <f>IF(H948="","",IF(H948&gt;=12,40,ROUND(H948*3.33,2)))</f>
        <v/>
      </c>
      <c r="J948" s="11" t="n"/>
      <c r="K948" s="11" t="n"/>
      <c r="L948" s="11" t="n"/>
      <c r="M948" s="11" t="n"/>
      <c r="N948" s="10">
        <f>IF(COUNTA(J948:M948)=0,"",MIN(10,SUMPRODUCT((COUNTIF(J948:M948,L_KOM)&gt;0)*S_KOM)))</f>
        <v/>
      </c>
      <c r="O948" s="11" t="n"/>
      <c r="P948" s="10">
        <f>IF(O948="","",IFERROR(VLOOKUP(O948,T_KHID,2,FALSE),0))</f>
        <v/>
      </c>
      <c r="Q948" s="11" t="n"/>
      <c r="R948" s="11" t="n"/>
      <c r="S948" s="10">
        <f>IF(AND(Q948="",R948=""),"",IFERROR(INDEX(T_LIBAT,MATCH(Q948,L_PER,0),MATCH(R948,L_JENIS,0)),0))</f>
        <v/>
      </c>
      <c r="T948" s="11" t="n"/>
      <c r="U948" s="11" t="n"/>
      <c r="V948" s="10">
        <f>IF(AND(T948="",U948=""),"",IFERROR(INDEX(T_CAPAI,MATCH(T948,L_PER,0),MATCH(U948,L_KED,0)),0))</f>
        <v/>
      </c>
      <c r="W948" s="17">
        <f>IF(OR(B948="",E948="",COUNTA(F948,H948,J948:M948,O948,Q948:R948,T948:U948)=0),"",SUM(G948,I948,N948,P948,S948,V948))</f>
        <v/>
      </c>
      <c r="X948" s="18">
        <f>IF(W948="","",IF(Murid!F948="TL","TL",ROUND(W948/110*100,2)))</f>
        <v/>
      </c>
    </row>
    <row r="949">
      <c r="A949" s="15">
        <f>Murid!A949</f>
        <v/>
      </c>
      <c r="B949" s="15">
        <f>IF(Murid!B949="","",Murid!B949)</f>
        <v/>
      </c>
      <c r="C949" s="16">
        <f>IF(Murid!C949="","",Murid!C949)</f>
        <v/>
      </c>
      <c r="D949" s="15">
        <f>IF(Murid!E949="","",Murid!E949)</f>
        <v/>
      </c>
      <c r="E949" s="11" t="n"/>
      <c r="F949" s="11" t="n"/>
      <c r="G949" s="10">
        <f>IF(F949="","",IFERROR(VLOOKUP(F949,T_JSP,2,FALSE),0))</f>
        <v/>
      </c>
      <c r="H949" s="11" t="n"/>
      <c r="I949" s="17">
        <f>IF(H949="","",IF(H949&gt;=12,40,ROUND(H949*3.33,2)))</f>
        <v/>
      </c>
      <c r="J949" s="11" t="n"/>
      <c r="K949" s="11" t="n"/>
      <c r="L949" s="11" t="n"/>
      <c r="M949" s="11" t="n"/>
      <c r="N949" s="10">
        <f>IF(COUNTA(J949:M949)=0,"",MIN(10,SUMPRODUCT((COUNTIF(J949:M949,L_KOM)&gt;0)*S_KOM)))</f>
        <v/>
      </c>
      <c r="O949" s="11" t="n"/>
      <c r="P949" s="10">
        <f>IF(O949="","",IFERROR(VLOOKUP(O949,T_KHID,2,FALSE),0))</f>
        <v/>
      </c>
      <c r="Q949" s="11" t="n"/>
      <c r="R949" s="11" t="n"/>
      <c r="S949" s="10">
        <f>IF(AND(Q949="",R949=""),"",IFERROR(INDEX(T_LIBAT,MATCH(Q949,L_PER,0),MATCH(R949,L_JENIS,0)),0))</f>
        <v/>
      </c>
      <c r="T949" s="11" t="n"/>
      <c r="U949" s="11" t="n"/>
      <c r="V949" s="10">
        <f>IF(AND(T949="",U949=""),"",IFERROR(INDEX(T_CAPAI,MATCH(T949,L_PER,0),MATCH(U949,L_KED,0)),0))</f>
        <v/>
      </c>
      <c r="W949" s="17">
        <f>IF(OR(B949="",E949="",COUNTA(F949,H949,J949:M949,O949,Q949:R949,T949:U949)=0),"",SUM(G949,I949,N949,P949,S949,V949))</f>
        <v/>
      </c>
      <c r="X949" s="18">
        <f>IF(W949="","",IF(Murid!F949="TL","TL",ROUND(W949/110*100,2)))</f>
        <v/>
      </c>
    </row>
    <row r="950">
      <c r="A950" s="15">
        <f>Murid!A950</f>
        <v/>
      </c>
      <c r="B950" s="15">
        <f>IF(Murid!B950="","",Murid!B950)</f>
        <v/>
      </c>
      <c r="C950" s="16">
        <f>IF(Murid!C950="","",Murid!C950)</f>
        <v/>
      </c>
      <c r="D950" s="15">
        <f>IF(Murid!E950="","",Murid!E950)</f>
        <v/>
      </c>
      <c r="E950" s="11" t="n"/>
      <c r="F950" s="11" t="n"/>
      <c r="G950" s="10">
        <f>IF(F950="","",IFERROR(VLOOKUP(F950,T_JSP,2,FALSE),0))</f>
        <v/>
      </c>
      <c r="H950" s="11" t="n"/>
      <c r="I950" s="17">
        <f>IF(H950="","",IF(H950&gt;=12,40,ROUND(H950*3.33,2)))</f>
        <v/>
      </c>
      <c r="J950" s="11" t="n"/>
      <c r="K950" s="11" t="n"/>
      <c r="L950" s="11" t="n"/>
      <c r="M950" s="11" t="n"/>
      <c r="N950" s="10">
        <f>IF(COUNTA(J950:M950)=0,"",MIN(10,SUMPRODUCT((COUNTIF(J950:M950,L_KOM)&gt;0)*S_KOM)))</f>
        <v/>
      </c>
      <c r="O950" s="11" t="n"/>
      <c r="P950" s="10">
        <f>IF(O950="","",IFERROR(VLOOKUP(O950,T_KHID,2,FALSE),0))</f>
        <v/>
      </c>
      <c r="Q950" s="11" t="n"/>
      <c r="R950" s="11" t="n"/>
      <c r="S950" s="10">
        <f>IF(AND(Q950="",R950=""),"",IFERROR(INDEX(T_LIBAT,MATCH(Q950,L_PER,0),MATCH(R950,L_JENIS,0)),0))</f>
        <v/>
      </c>
      <c r="T950" s="11" t="n"/>
      <c r="U950" s="11" t="n"/>
      <c r="V950" s="10">
        <f>IF(AND(T950="",U950=""),"",IFERROR(INDEX(T_CAPAI,MATCH(T950,L_PER,0),MATCH(U950,L_KED,0)),0))</f>
        <v/>
      </c>
      <c r="W950" s="17">
        <f>IF(OR(B950="",E950="",COUNTA(F950,H950,J950:M950,O950,Q950:R950,T950:U950)=0),"",SUM(G950,I950,N950,P950,S950,V950))</f>
        <v/>
      </c>
      <c r="X950" s="18">
        <f>IF(W950="","",IF(Murid!F950="TL","TL",ROUND(W950/110*100,2)))</f>
        <v/>
      </c>
    </row>
    <row r="951">
      <c r="A951" s="15">
        <f>Murid!A951</f>
        <v/>
      </c>
      <c r="B951" s="15">
        <f>IF(Murid!B951="","",Murid!B951)</f>
        <v/>
      </c>
      <c r="C951" s="16">
        <f>IF(Murid!C951="","",Murid!C951)</f>
        <v/>
      </c>
      <c r="D951" s="15">
        <f>IF(Murid!E951="","",Murid!E951)</f>
        <v/>
      </c>
      <c r="E951" s="11" t="n"/>
      <c r="F951" s="11" t="n"/>
      <c r="G951" s="10">
        <f>IF(F951="","",IFERROR(VLOOKUP(F951,T_JSP,2,FALSE),0))</f>
        <v/>
      </c>
      <c r="H951" s="11" t="n"/>
      <c r="I951" s="17">
        <f>IF(H951="","",IF(H951&gt;=12,40,ROUND(H951*3.33,2)))</f>
        <v/>
      </c>
      <c r="J951" s="11" t="n"/>
      <c r="K951" s="11" t="n"/>
      <c r="L951" s="11" t="n"/>
      <c r="M951" s="11" t="n"/>
      <c r="N951" s="10">
        <f>IF(COUNTA(J951:M951)=0,"",MIN(10,SUMPRODUCT((COUNTIF(J951:M951,L_KOM)&gt;0)*S_KOM)))</f>
        <v/>
      </c>
      <c r="O951" s="11" t="n"/>
      <c r="P951" s="10">
        <f>IF(O951="","",IFERROR(VLOOKUP(O951,T_KHID,2,FALSE),0))</f>
        <v/>
      </c>
      <c r="Q951" s="11" t="n"/>
      <c r="R951" s="11" t="n"/>
      <c r="S951" s="10">
        <f>IF(AND(Q951="",R951=""),"",IFERROR(INDEX(T_LIBAT,MATCH(Q951,L_PER,0),MATCH(R951,L_JENIS,0)),0))</f>
        <v/>
      </c>
      <c r="T951" s="11" t="n"/>
      <c r="U951" s="11" t="n"/>
      <c r="V951" s="10">
        <f>IF(AND(T951="",U951=""),"",IFERROR(INDEX(T_CAPAI,MATCH(T951,L_PER,0),MATCH(U951,L_KED,0)),0))</f>
        <v/>
      </c>
      <c r="W951" s="17">
        <f>IF(OR(B951="",E951="",COUNTA(F951,H951,J951:M951,O951,Q951:R951,T951:U951)=0),"",SUM(G951,I951,N951,P951,S951,V951))</f>
        <v/>
      </c>
      <c r="X951" s="18">
        <f>IF(W951="","",IF(Murid!F951="TL","TL",ROUND(W951/110*100,2)))</f>
        <v/>
      </c>
    </row>
    <row r="952">
      <c r="A952" s="15">
        <f>Murid!A952</f>
        <v/>
      </c>
      <c r="B952" s="15">
        <f>IF(Murid!B952="","",Murid!B952)</f>
        <v/>
      </c>
      <c r="C952" s="16">
        <f>IF(Murid!C952="","",Murid!C952)</f>
        <v/>
      </c>
      <c r="D952" s="15">
        <f>IF(Murid!E952="","",Murid!E952)</f>
        <v/>
      </c>
      <c r="E952" s="11" t="n"/>
      <c r="F952" s="11" t="n"/>
      <c r="G952" s="10">
        <f>IF(F952="","",IFERROR(VLOOKUP(F952,T_JSP,2,FALSE),0))</f>
        <v/>
      </c>
      <c r="H952" s="11" t="n"/>
      <c r="I952" s="17">
        <f>IF(H952="","",IF(H952&gt;=12,40,ROUND(H952*3.33,2)))</f>
        <v/>
      </c>
      <c r="J952" s="11" t="n"/>
      <c r="K952" s="11" t="n"/>
      <c r="L952" s="11" t="n"/>
      <c r="M952" s="11" t="n"/>
      <c r="N952" s="10">
        <f>IF(COUNTA(J952:M952)=0,"",MIN(10,SUMPRODUCT((COUNTIF(J952:M952,L_KOM)&gt;0)*S_KOM)))</f>
        <v/>
      </c>
      <c r="O952" s="11" t="n"/>
      <c r="P952" s="10">
        <f>IF(O952="","",IFERROR(VLOOKUP(O952,T_KHID,2,FALSE),0))</f>
        <v/>
      </c>
      <c r="Q952" s="11" t="n"/>
      <c r="R952" s="11" t="n"/>
      <c r="S952" s="10">
        <f>IF(AND(Q952="",R952=""),"",IFERROR(INDEX(T_LIBAT,MATCH(Q952,L_PER,0),MATCH(R952,L_JENIS,0)),0))</f>
        <v/>
      </c>
      <c r="T952" s="11" t="n"/>
      <c r="U952" s="11" t="n"/>
      <c r="V952" s="10">
        <f>IF(AND(T952="",U952=""),"",IFERROR(INDEX(T_CAPAI,MATCH(T952,L_PER,0),MATCH(U952,L_KED,0)),0))</f>
        <v/>
      </c>
      <c r="W952" s="17">
        <f>IF(OR(B952="",E952="",COUNTA(F952,H952,J952:M952,O952,Q952:R952,T952:U952)=0),"",SUM(G952,I952,N952,P952,S952,V952))</f>
        <v/>
      </c>
      <c r="X952" s="18">
        <f>IF(W952="","",IF(Murid!F952="TL","TL",ROUND(W952/110*100,2)))</f>
        <v/>
      </c>
    </row>
    <row r="953">
      <c r="A953" s="15">
        <f>Murid!A953</f>
        <v/>
      </c>
      <c r="B953" s="15">
        <f>IF(Murid!B953="","",Murid!B953)</f>
        <v/>
      </c>
      <c r="C953" s="16">
        <f>IF(Murid!C953="","",Murid!C953)</f>
        <v/>
      </c>
      <c r="D953" s="15">
        <f>IF(Murid!E953="","",Murid!E953)</f>
        <v/>
      </c>
      <c r="E953" s="11" t="n"/>
      <c r="F953" s="11" t="n"/>
      <c r="G953" s="10">
        <f>IF(F953="","",IFERROR(VLOOKUP(F953,T_JSP,2,FALSE),0))</f>
        <v/>
      </c>
      <c r="H953" s="11" t="n"/>
      <c r="I953" s="17">
        <f>IF(H953="","",IF(H953&gt;=12,40,ROUND(H953*3.33,2)))</f>
        <v/>
      </c>
      <c r="J953" s="11" t="n"/>
      <c r="K953" s="11" t="n"/>
      <c r="L953" s="11" t="n"/>
      <c r="M953" s="11" t="n"/>
      <c r="N953" s="10">
        <f>IF(COUNTA(J953:M953)=0,"",MIN(10,SUMPRODUCT((COUNTIF(J953:M953,L_KOM)&gt;0)*S_KOM)))</f>
        <v/>
      </c>
      <c r="O953" s="11" t="n"/>
      <c r="P953" s="10">
        <f>IF(O953="","",IFERROR(VLOOKUP(O953,T_KHID,2,FALSE),0))</f>
        <v/>
      </c>
      <c r="Q953" s="11" t="n"/>
      <c r="R953" s="11" t="n"/>
      <c r="S953" s="10">
        <f>IF(AND(Q953="",R953=""),"",IFERROR(INDEX(T_LIBAT,MATCH(Q953,L_PER,0),MATCH(R953,L_JENIS,0)),0))</f>
        <v/>
      </c>
      <c r="T953" s="11" t="n"/>
      <c r="U953" s="11" t="n"/>
      <c r="V953" s="10">
        <f>IF(AND(T953="",U953=""),"",IFERROR(INDEX(T_CAPAI,MATCH(T953,L_PER,0),MATCH(U953,L_KED,0)),0))</f>
        <v/>
      </c>
      <c r="W953" s="17">
        <f>IF(OR(B953="",E953="",COUNTA(F953,H953,J953:M953,O953,Q953:R953,T953:U953)=0),"",SUM(G953,I953,N953,P953,S953,V953))</f>
        <v/>
      </c>
      <c r="X953" s="18">
        <f>IF(W953="","",IF(Murid!F953="TL","TL",ROUND(W953/110*100,2)))</f>
        <v/>
      </c>
    </row>
    <row r="954">
      <c r="A954" s="15">
        <f>Murid!A954</f>
        <v/>
      </c>
      <c r="B954" s="15">
        <f>IF(Murid!B954="","",Murid!B954)</f>
        <v/>
      </c>
      <c r="C954" s="16">
        <f>IF(Murid!C954="","",Murid!C954)</f>
        <v/>
      </c>
      <c r="D954" s="15">
        <f>IF(Murid!E954="","",Murid!E954)</f>
        <v/>
      </c>
      <c r="E954" s="11" t="n"/>
      <c r="F954" s="11" t="n"/>
      <c r="G954" s="10">
        <f>IF(F954="","",IFERROR(VLOOKUP(F954,T_JSP,2,FALSE),0))</f>
        <v/>
      </c>
      <c r="H954" s="11" t="n"/>
      <c r="I954" s="17">
        <f>IF(H954="","",IF(H954&gt;=12,40,ROUND(H954*3.33,2)))</f>
        <v/>
      </c>
      <c r="J954" s="11" t="n"/>
      <c r="K954" s="11" t="n"/>
      <c r="L954" s="11" t="n"/>
      <c r="M954" s="11" t="n"/>
      <c r="N954" s="10">
        <f>IF(COUNTA(J954:M954)=0,"",MIN(10,SUMPRODUCT((COUNTIF(J954:M954,L_KOM)&gt;0)*S_KOM)))</f>
        <v/>
      </c>
      <c r="O954" s="11" t="n"/>
      <c r="P954" s="10">
        <f>IF(O954="","",IFERROR(VLOOKUP(O954,T_KHID,2,FALSE),0))</f>
        <v/>
      </c>
      <c r="Q954" s="11" t="n"/>
      <c r="R954" s="11" t="n"/>
      <c r="S954" s="10">
        <f>IF(AND(Q954="",R954=""),"",IFERROR(INDEX(T_LIBAT,MATCH(Q954,L_PER,0),MATCH(R954,L_JENIS,0)),0))</f>
        <v/>
      </c>
      <c r="T954" s="11" t="n"/>
      <c r="U954" s="11" t="n"/>
      <c r="V954" s="10">
        <f>IF(AND(T954="",U954=""),"",IFERROR(INDEX(T_CAPAI,MATCH(T954,L_PER,0),MATCH(U954,L_KED,0)),0))</f>
        <v/>
      </c>
      <c r="W954" s="17">
        <f>IF(OR(B954="",E954="",COUNTA(F954,H954,J954:M954,O954,Q954:R954,T954:U954)=0),"",SUM(G954,I954,N954,P954,S954,V954))</f>
        <v/>
      </c>
      <c r="X954" s="18">
        <f>IF(W954="","",IF(Murid!F954="TL","TL",ROUND(W954/110*100,2)))</f>
        <v/>
      </c>
    </row>
    <row r="955">
      <c r="A955" s="15">
        <f>Murid!A955</f>
        <v/>
      </c>
      <c r="B955" s="15">
        <f>IF(Murid!B955="","",Murid!B955)</f>
        <v/>
      </c>
      <c r="C955" s="16">
        <f>IF(Murid!C955="","",Murid!C955)</f>
        <v/>
      </c>
      <c r="D955" s="15">
        <f>IF(Murid!E955="","",Murid!E955)</f>
        <v/>
      </c>
      <c r="E955" s="11" t="n"/>
      <c r="F955" s="11" t="n"/>
      <c r="G955" s="10">
        <f>IF(F955="","",IFERROR(VLOOKUP(F955,T_JSP,2,FALSE),0))</f>
        <v/>
      </c>
      <c r="H955" s="11" t="n"/>
      <c r="I955" s="17">
        <f>IF(H955="","",IF(H955&gt;=12,40,ROUND(H955*3.33,2)))</f>
        <v/>
      </c>
      <c r="J955" s="11" t="n"/>
      <c r="K955" s="11" t="n"/>
      <c r="L955" s="11" t="n"/>
      <c r="M955" s="11" t="n"/>
      <c r="N955" s="10">
        <f>IF(COUNTA(J955:M955)=0,"",MIN(10,SUMPRODUCT((COUNTIF(J955:M955,L_KOM)&gt;0)*S_KOM)))</f>
        <v/>
      </c>
      <c r="O955" s="11" t="n"/>
      <c r="P955" s="10">
        <f>IF(O955="","",IFERROR(VLOOKUP(O955,T_KHID,2,FALSE),0))</f>
        <v/>
      </c>
      <c r="Q955" s="11" t="n"/>
      <c r="R955" s="11" t="n"/>
      <c r="S955" s="10">
        <f>IF(AND(Q955="",R955=""),"",IFERROR(INDEX(T_LIBAT,MATCH(Q955,L_PER,0),MATCH(R955,L_JENIS,0)),0))</f>
        <v/>
      </c>
      <c r="T955" s="11" t="n"/>
      <c r="U955" s="11" t="n"/>
      <c r="V955" s="10">
        <f>IF(AND(T955="",U955=""),"",IFERROR(INDEX(T_CAPAI,MATCH(T955,L_PER,0),MATCH(U955,L_KED,0)),0))</f>
        <v/>
      </c>
      <c r="W955" s="17">
        <f>IF(OR(B955="",E955="",COUNTA(F955,H955,J955:M955,O955,Q955:R955,T955:U955)=0),"",SUM(G955,I955,N955,P955,S955,V955))</f>
        <v/>
      </c>
      <c r="X955" s="18">
        <f>IF(W955="","",IF(Murid!F955="TL","TL",ROUND(W955/110*100,2)))</f>
        <v/>
      </c>
    </row>
    <row r="956">
      <c r="A956" s="15">
        <f>Murid!A956</f>
        <v/>
      </c>
      <c r="B956" s="15">
        <f>IF(Murid!B956="","",Murid!B956)</f>
        <v/>
      </c>
      <c r="C956" s="16">
        <f>IF(Murid!C956="","",Murid!C956)</f>
        <v/>
      </c>
      <c r="D956" s="15">
        <f>IF(Murid!E956="","",Murid!E956)</f>
        <v/>
      </c>
      <c r="E956" s="11" t="n"/>
      <c r="F956" s="11" t="n"/>
      <c r="G956" s="10">
        <f>IF(F956="","",IFERROR(VLOOKUP(F956,T_JSP,2,FALSE),0))</f>
        <v/>
      </c>
      <c r="H956" s="11" t="n"/>
      <c r="I956" s="17">
        <f>IF(H956="","",IF(H956&gt;=12,40,ROUND(H956*3.33,2)))</f>
        <v/>
      </c>
      <c r="J956" s="11" t="n"/>
      <c r="K956" s="11" t="n"/>
      <c r="L956" s="11" t="n"/>
      <c r="M956" s="11" t="n"/>
      <c r="N956" s="10">
        <f>IF(COUNTA(J956:M956)=0,"",MIN(10,SUMPRODUCT((COUNTIF(J956:M956,L_KOM)&gt;0)*S_KOM)))</f>
        <v/>
      </c>
      <c r="O956" s="11" t="n"/>
      <c r="P956" s="10">
        <f>IF(O956="","",IFERROR(VLOOKUP(O956,T_KHID,2,FALSE),0))</f>
        <v/>
      </c>
      <c r="Q956" s="11" t="n"/>
      <c r="R956" s="11" t="n"/>
      <c r="S956" s="10">
        <f>IF(AND(Q956="",R956=""),"",IFERROR(INDEX(T_LIBAT,MATCH(Q956,L_PER,0),MATCH(R956,L_JENIS,0)),0))</f>
        <v/>
      </c>
      <c r="T956" s="11" t="n"/>
      <c r="U956" s="11" t="n"/>
      <c r="V956" s="10">
        <f>IF(AND(T956="",U956=""),"",IFERROR(INDEX(T_CAPAI,MATCH(T956,L_PER,0),MATCH(U956,L_KED,0)),0))</f>
        <v/>
      </c>
      <c r="W956" s="17">
        <f>IF(OR(B956="",E956="",COUNTA(F956,H956,J956:M956,O956,Q956:R956,T956:U956)=0),"",SUM(G956,I956,N956,P956,S956,V956))</f>
        <v/>
      </c>
      <c r="X956" s="18">
        <f>IF(W956="","",IF(Murid!F956="TL","TL",ROUND(W956/110*100,2)))</f>
        <v/>
      </c>
    </row>
    <row r="957">
      <c r="A957" s="15">
        <f>Murid!A957</f>
        <v/>
      </c>
      <c r="B957" s="15">
        <f>IF(Murid!B957="","",Murid!B957)</f>
        <v/>
      </c>
      <c r="C957" s="16">
        <f>IF(Murid!C957="","",Murid!C957)</f>
        <v/>
      </c>
      <c r="D957" s="15">
        <f>IF(Murid!E957="","",Murid!E957)</f>
        <v/>
      </c>
      <c r="E957" s="11" t="n"/>
      <c r="F957" s="11" t="n"/>
      <c r="G957" s="10">
        <f>IF(F957="","",IFERROR(VLOOKUP(F957,T_JSP,2,FALSE),0))</f>
        <v/>
      </c>
      <c r="H957" s="11" t="n"/>
      <c r="I957" s="17">
        <f>IF(H957="","",IF(H957&gt;=12,40,ROUND(H957*3.33,2)))</f>
        <v/>
      </c>
      <c r="J957" s="11" t="n"/>
      <c r="K957" s="11" t="n"/>
      <c r="L957" s="11" t="n"/>
      <c r="M957" s="11" t="n"/>
      <c r="N957" s="10">
        <f>IF(COUNTA(J957:M957)=0,"",MIN(10,SUMPRODUCT((COUNTIF(J957:M957,L_KOM)&gt;0)*S_KOM)))</f>
        <v/>
      </c>
      <c r="O957" s="11" t="n"/>
      <c r="P957" s="10">
        <f>IF(O957="","",IFERROR(VLOOKUP(O957,T_KHID,2,FALSE),0))</f>
        <v/>
      </c>
      <c r="Q957" s="11" t="n"/>
      <c r="R957" s="11" t="n"/>
      <c r="S957" s="10">
        <f>IF(AND(Q957="",R957=""),"",IFERROR(INDEX(T_LIBAT,MATCH(Q957,L_PER,0),MATCH(R957,L_JENIS,0)),0))</f>
        <v/>
      </c>
      <c r="T957" s="11" t="n"/>
      <c r="U957" s="11" t="n"/>
      <c r="V957" s="10">
        <f>IF(AND(T957="",U957=""),"",IFERROR(INDEX(T_CAPAI,MATCH(T957,L_PER,0),MATCH(U957,L_KED,0)),0))</f>
        <v/>
      </c>
      <c r="W957" s="17">
        <f>IF(OR(B957="",E957="",COUNTA(F957,H957,J957:M957,O957,Q957:R957,T957:U957)=0),"",SUM(G957,I957,N957,P957,S957,V957))</f>
        <v/>
      </c>
      <c r="X957" s="18">
        <f>IF(W957="","",IF(Murid!F957="TL","TL",ROUND(W957/110*100,2)))</f>
        <v/>
      </c>
    </row>
    <row r="958">
      <c r="A958" s="15">
        <f>Murid!A958</f>
        <v/>
      </c>
      <c r="B958" s="15">
        <f>IF(Murid!B958="","",Murid!B958)</f>
        <v/>
      </c>
      <c r="C958" s="16">
        <f>IF(Murid!C958="","",Murid!C958)</f>
        <v/>
      </c>
      <c r="D958" s="15">
        <f>IF(Murid!E958="","",Murid!E958)</f>
        <v/>
      </c>
      <c r="E958" s="11" t="n"/>
      <c r="F958" s="11" t="n"/>
      <c r="G958" s="10">
        <f>IF(F958="","",IFERROR(VLOOKUP(F958,T_JSP,2,FALSE),0))</f>
        <v/>
      </c>
      <c r="H958" s="11" t="n"/>
      <c r="I958" s="17">
        <f>IF(H958="","",IF(H958&gt;=12,40,ROUND(H958*3.33,2)))</f>
        <v/>
      </c>
      <c r="J958" s="11" t="n"/>
      <c r="K958" s="11" t="n"/>
      <c r="L958" s="11" t="n"/>
      <c r="M958" s="11" t="n"/>
      <c r="N958" s="10">
        <f>IF(COUNTA(J958:M958)=0,"",MIN(10,SUMPRODUCT((COUNTIF(J958:M958,L_KOM)&gt;0)*S_KOM)))</f>
        <v/>
      </c>
      <c r="O958" s="11" t="n"/>
      <c r="P958" s="10">
        <f>IF(O958="","",IFERROR(VLOOKUP(O958,T_KHID,2,FALSE),0))</f>
        <v/>
      </c>
      <c r="Q958" s="11" t="n"/>
      <c r="R958" s="11" t="n"/>
      <c r="S958" s="10">
        <f>IF(AND(Q958="",R958=""),"",IFERROR(INDEX(T_LIBAT,MATCH(Q958,L_PER,0),MATCH(R958,L_JENIS,0)),0))</f>
        <v/>
      </c>
      <c r="T958" s="11" t="n"/>
      <c r="U958" s="11" t="n"/>
      <c r="V958" s="10">
        <f>IF(AND(T958="",U958=""),"",IFERROR(INDEX(T_CAPAI,MATCH(T958,L_PER,0),MATCH(U958,L_KED,0)),0))</f>
        <v/>
      </c>
      <c r="W958" s="17">
        <f>IF(OR(B958="",E958="",COUNTA(F958,H958,J958:M958,O958,Q958:R958,T958:U958)=0),"",SUM(G958,I958,N958,P958,S958,V958))</f>
        <v/>
      </c>
      <c r="X958" s="18">
        <f>IF(W958="","",IF(Murid!F958="TL","TL",ROUND(W958/110*100,2)))</f>
        <v/>
      </c>
    </row>
    <row r="959">
      <c r="A959" s="15">
        <f>Murid!A959</f>
        <v/>
      </c>
      <c r="B959" s="15">
        <f>IF(Murid!B959="","",Murid!B959)</f>
        <v/>
      </c>
      <c r="C959" s="16">
        <f>IF(Murid!C959="","",Murid!C959)</f>
        <v/>
      </c>
      <c r="D959" s="15">
        <f>IF(Murid!E959="","",Murid!E959)</f>
        <v/>
      </c>
      <c r="E959" s="11" t="n"/>
      <c r="F959" s="11" t="n"/>
      <c r="G959" s="10">
        <f>IF(F959="","",IFERROR(VLOOKUP(F959,T_JSP,2,FALSE),0))</f>
        <v/>
      </c>
      <c r="H959" s="11" t="n"/>
      <c r="I959" s="17">
        <f>IF(H959="","",IF(H959&gt;=12,40,ROUND(H959*3.33,2)))</f>
        <v/>
      </c>
      <c r="J959" s="11" t="n"/>
      <c r="K959" s="11" t="n"/>
      <c r="L959" s="11" t="n"/>
      <c r="M959" s="11" t="n"/>
      <c r="N959" s="10">
        <f>IF(COUNTA(J959:M959)=0,"",MIN(10,SUMPRODUCT((COUNTIF(J959:M959,L_KOM)&gt;0)*S_KOM)))</f>
        <v/>
      </c>
      <c r="O959" s="11" t="n"/>
      <c r="P959" s="10">
        <f>IF(O959="","",IFERROR(VLOOKUP(O959,T_KHID,2,FALSE),0))</f>
        <v/>
      </c>
      <c r="Q959" s="11" t="n"/>
      <c r="R959" s="11" t="n"/>
      <c r="S959" s="10">
        <f>IF(AND(Q959="",R959=""),"",IFERROR(INDEX(T_LIBAT,MATCH(Q959,L_PER,0),MATCH(R959,L_JENIS,0)),0))</f>
        <v/>
      </c>
      <c r="T959" s="11" t="n"/>
      <c r="U959" s="11" t="n"/>
      <c r="V959" s="10">
        <f>IF(AND(T959="",U959=""),"",IFERROR(INDEX(T_CAPAI,MATCH(T959,L_PER,0),MATCH(U959,L_KED,0)),0))</f>
        <v/>
      </c>
      <c r="W959" s="17">
        <f>IF(OR(B959="",E959="",COUNTA(F959,H959,J959:M959,O959,Q959:R959,T959:U959)=0),"",SUM(G959,I959,N959,P959,S959,V959))</f>
        <v/>
      </c>
      <c r="X959" s="18">
        <f>IF(W959="","",IF(Murid!F959="TL","TL",ROUND(W959/110*100,2)))</f>
        <v/>
      </c>
    </row>
    <row r="960">
      <c r="A960" s="15">
        <f>Murid!A960</f>
        <v/>
      </c>
      <c r="B960" s="15">
        <f>IF(Murid!B960="","",Murid!B960)</f>
        <v/>
      </c>
      <c r="C960" s="16">
        <f>IF(Murid!C960="","",Murid!C960)</f>
        <v/>
      </c>
      <c r="D960" s="15">
        <f>IF(Murid!E960="","",Murid!E960)</f>
        <v/>
      </c>
      <c r="E960" s="11" t="n"/>
      <c r="F960" s="11" t="n"/>
      <c r="G960" s="10">
        <f>IF(F960="","",IFERROR(VLOOKUP(F960,T_JSP,2,FALSE),0))</f>
        <v/>
      </c>
      <c r="H960" s="11" t="n"/>
      <c r="I960" s="17">
        <f>IF(H960="","",IF(H960&gt;=12,40,ROUND(H960*3.33,2)))</f>
        <v/>
      </c>
      <c r="J960" s="11" t="n"/>
      <c r="K960" s="11" t="n"/>
      <c r="L960" s="11" t="n"/>
      <c r="M960" s="11" t="n"/>
      <c r="N960" s="10">
        <f>IF(COUNTA(J960:M960)=0,"",MIN(10,SUMPRODUCT((COUNTIF(J960:M960,L_KOM)&gt;0)*S_KOM)))</f>
        <v/>
      </c>
      <c r="O960" s="11" t="n"/>
      <c r="P960" s="10">
        <f>IF(O960="","",IFERROR(VLOOKUP(O960,T_KHID,2,FALSE),0))</f>
        <v/>
      </c>
      <c r="Q960" s="11" t="n"/>
      <c r="R960" s="11" t="n"/>
      <c r="S960" s="10">
        <f>IF(AND(Q960="",R960=""),"",IFERROR(INDEX(T_LIBAT,MATCH(Q960,L_PER,0),MATCH(R960,L_JENIS,0)),0))</f>
        <v/>
      </c>
      <c r="T960" s="11" t="n"/>
      <c r="U960" s="11" t="n"/>
      <c r="V960" s="10">
        <f>IF(AND(T960="",U960=""),"",IFERROR(INDEX(T_CAPAI,MATCH(T960,L_PER,0),MATCH(U960,L_KED,0)),0))</f>
        <v/>
      </c>
      <c r="W960" s="17">
        <f>IF(OR(B960="",E960="",COUNTA(F960,H960,J960:M960,O960,Q960:R960,T960:U960)=0),"",SUM(G960,I960,N960,P960,S960,V960))</f>
        <v/>
      </c>
      <c r="X960" s="18">
        <f>IF(W960="","",IF(Murid!F960="TL","TL",ROUND(W960/110*100,2)))</f>
        <v/>
      </c>
    </row>
    <row r="961">
      <c r="A961" s="15">
        <f>Murid!A961</f>
        <v/>
      </c>
      <c r="B961" s="15">
        <f>IF(Murid!B961="","",Murid!B961)</f>
        <v/>
      </c>
      <c r="C961" s="16">
        <f>IF(Murid!C961="","",Murid!C961)</f>
        <v/>
      </c>
      <c r="D961" s="15">
        <f>IF(Murid!E961="","",Murid!E961)</f>
        <v/>
      </c>
      <c r="E961" s="11" t="n"/>
      <c r="F961" s="11" t="n"/>
      <c r="G961" s="10">
        <f>IF(F961="","",IFERROR(VLOOKUP(F961,T_JSP,2,FALSE),0))</f>
        <v/>
      </c>
      <c r="H961" s="11" t="n"/>
      <c r="I961" s="17">
        <f>IF(H961="","",IF(H961&gt;=12,40,ROUND(H961*3.33,2)))</f>
        <v/>
      </c>
      <c r="J961" s="11" t="n"/>
      <c r="K961" s="11" t="n"/>
      <c r="L961" s="11" t="n"/>
      <c r="M961" s="11" t="n"/>
      <c r="N961" s="10">
        <f>IF(COUNTA(J961:M961)=0,"",MIN(10,SUMPRODUCT((COUNTIF(J961:M961,L_KOM)&gt;0)*S_KOM)))</f>
        <v/>
      </c>
      <c r="O961" s="11" t="n"/>
      <c r="P961" s="10">
        <f>IF(O961="","",IFERROR(VLOOKUP(O961,T_KHID,2,FALSE),0))</f>
        <v/>
      </c>
      <c r="Q961" s="11" t="n"/>
      <c r="R961" s="11" t="n"/>
      <c r="S961" s="10">
        <f>IF(AND(Q961="",R961=""),"",IFERROR(INDEX(T_LIBAT,MATCH(Q961,L_PER,0),MATCH(R961,L_JENIS,0)),0))</f>
        <v/>
      </c>
      <c r="T961" s="11" t="n"/>
      <c r="U961" s="11" t="n"/>
      <c r="V961" s="10">
        <f>IF(AND(T961="",U961=""),"",IFERROR(INDEX(T_CAPAI,MATCH(T961,L_PER,0),MATCH(U961,L_KED,0)),0))</f>
        <v/>
      </c>
      <c r="W961" s="17">
        <f>IF(OR(B961="",E961="",COUNTA(F961,H961,J961:M961,O961,Q961:R961,T961:U961)=0),"",SUM(G961,I961,N961,P961,S961,V961))</f>
        <v/>
      </c>
      <c r="X961" s="18">
        <f>IF(W961="","",IF(Murid!F961="TL","TL",ROUND(W961/110*100,2)))</f>
        <v/>
      </c>
    </row>
    <row r="962">
      <c r="A962" s="15">
        <f>Murid!A962</f>
        <v/>
      </c>
      <c r="B962" s="15">
        <f>IF(Murid!B962="","",Murid!B962)</f>
        <v/>
      </c>
      <c r="C962" s="16">
        <f>IF(Murid!C962="","",Murid!C962)</f>
        <v/>
      </c>
      <c r="D962" s="15">
        <f>IF(Murid!E962="","",Murid!E962)</f>
        <v/>
      </c>
      <c r="E962" s="11" t="n"/>
      <c r="F962" s="11" t="n"/>
      <c r="G962" s="10">
        <f>IF(F962="","",IFERROR(VLOOKUP(F962,T_JSP,2,FALSE),0))</f>
        <v/>
      </c>
      <c r="H962" s="11" t="n"/>
      <c r="I962" s="17">
        <f>IF(H962="","",IF(H962&gt;=12,40,ROUND(H962*3.33,2)))</f>
        <v/>
      </c>
      <c r="J962" s="11" t="n"/>
      <c r="K962" s="11" t="n"/>
      <c r="L962" s="11" t="n"/>
      <c r="M962" s="11" t="n"/>
      <c r="N962" s="10">
        <f>IF(COUNTA(J962:M962)=0,"",MIN(10,SUMPRODUCT((COUNTIF(J962:M962,L_KOM)&gt;0)*S_KOM)))</f>
        <v/>
      </c>
      <c r="O962" s="11" t="n"/>
      <c r="P962" s="10">
        <f>IF(O962="","",IFERROR(VLOOKUP(O962,T_KHID,2,FALSE),0))</f>
        <v/>
      </c>
      <c r="Q962" s="11" t="n"/>
      <c r="R962" s="11" t="n"/>
      <c r="S962" s="10">
        <f>IF(AND(Q962="",R962=""),"",IFERROR(INDEX(T_LIBAT,MATCH(Q962,L_PER,0),MATCH(R962,L_JENIS,0)),0))</f>
        <v/>
      </c>
      <c r="T962" s="11" t="n"/>
      <c r="U962" s="11" t="n"/>
      <c r="V962" s="10">
        <f>IF(AND(T962="",U962=""),"",IFERROR(INDEX(T_CAPAI,MATCH(T962,L_PER,0),MATCH(U962,L_KED,0)),0))</f>
        <v/>
      </c>
      <c r="W962" s="17">
        <f>IF(OR(B962="",E962="",COUNTA(F962,H962,J962:M962,O962,Q962:R962,T962:U962)=0),"",SUM(G962,I962,N962,P962,S962,V962))</f>
        <v/>
      </c>
      <c r="X962" s="18">
        <f>IF(W962="","",IF(Murid!F962="TL","TL",ROUND(W962/110*100,2)))</f>
        <v/>
      </c>
    </row>
    <row r="963">
      <c r="A963" s="15">
        <f>Murid!A963</f>
        <v/>
      </c>
      <c r="B963" s="15">
        <f>IF(Murid!B963="","",Murid!B963)</f>
        <v/>
      </c>
      <c r="C963" s="16">
        <f>IF(Murid!C963="","",Murid!C963)</f>
        <v/>
      </c>
      <c r="D963" s="15">
        <f>IF(Murid!E963="","",Murid!E963)</f>
        <v/>
      </c>
      <c r="E963" s="11" t="n"/>
      <c r="F963" s="11" t="n"/>
      <c r="G963" s="10">
        <f>IF(F963="","",IFERROR(VLOOKUP(F963,T_JSP,2,FALSE),0))</f>
        <v/>
      </c>
      <c r="H963" s="11" t="n"/>
      <c r="I963" s="17">
        <f>IF(H963="","",IF(H963&gt;=12,40,ROUND(H963*3.33,2)))</f>
        <v/>
      </c>
      <c r="J963" s="11" t="n"/>
      <c r="K963" s="11" t="n"/>
      <c r="L963" s="11" t="n"/>
      <c r="M963" s="11" t="n"/>
      <c r="N963" s="10">
        <f>IF(COUNTA(J963:M963)=0,"",MIN(10,SUMPRODUCT((COUNTIF(J963:M963,L_KOM)&gt;0)*S_KOM)))</f>
        <v/>
      </c>
      <c r="O963" s="11" t="n"/>
      <c r="P963" s="10">
        <f>IF(O963="","",IFERROR(VLOOKUP(O963,T_KHID,2,FALSE),0))</f>
        <v/>
      </c>
      <c r="Q963" s="11" t="n"/>
      <c r="R963" s="11" t="n"/>
      <c r="S963" s="10">
        <f>IF(AND(Q963="",R963=""),"",IFERROR(INDEX(T_LIBAT,MATCH(Q963,L_PER,0),MATCH(R963,L_JENIS,0)),0))</f>
        <v/>
      </c>
      <c r="T963" s="11" t="n"/>
      <c r="U963" s="11" t="n"/>
      <c r="V963" s="10">
        <f>IF(AND(T963="",U963=""),"",IFERROR(INDEX(T_CAPAI,MATCH(T963,L_PER,0),MATCH(U963,L_KED,0)),0))</f>
        <v/>
      </c>
      <c r="W963" s="17">
        <f>IF(OR(B963="",E963="",COUNTA(F963,H963,J963:M963,O963,Q963:R963,T963:U963)=0),"",SUM(G963,I963,N963,P963,S963,V963))</f>
        <v/>
      </c>
      <c r="X963" s="18">
        <f>IF(W963="","",IF(Murid!F963="TL","TL",ROUND(W963/110*100,2)))</f>
        <v/>
      </c>
    </row>
    <row r="964">
      <c r="A964" s="15">
        <f>Murid!A964</f>
        <v/>
      </c>
      <c r="B964" s="15">
        <f>IF(Murid!B964="","",Murid!B964)</f>
        <v/>
      </c>
      <c r="C964" s="16">
        <f>IF(Murid!C964="","",Murid!C964)</f>
        <v/>
      </c>
      <c r="D964" s="15">
        <f>IF(Murid!E964="","",Murid!E964)</f>
        <v/>
      </c>
      <c r="E964" s="11" t="n"/>
      <c r="F964" s="11" t="n"/>
      <c r="G964" s="10">
        <f>IF(F964="","",IFERROR(VLOOKUP(F964,T_JSP,2,FALSE),0))</f>
        <v/>
      </c>
      <c r="H964" s="11" t="n"/>
      <c r="I964" s="17">
        <f>IF(H964="","",IF(H964&gt;=12,40,ROUND(H964*3.33,2)))</f>
        <v/>
      </c>
      <c r="J964" s="11" t="n"/>
      <c r="K964" s="11" t="n"/>
      <c r="L964" s="11" t="n"/>
      <c r="M964" s="11" t="n"/>
      <c r="N964" s="10">
        <f>IF(COUNTA(J964:M964)=0,"",MIN(10,SUMPRODUCT((COUNTIF(J964:M964,L_KOM)&gt;0)*S_KOM)))</f>
        <v/>
      </c>
      <c r="O964" s="11" t="n"/>
      <c r="P964" s="10">
        <f>IF(O964="","",IFERROR(VLOOKUP(O964,T_KHID,2,FALSE),0))</f>
        <v/>
      </c>
      <c r="Q964" s="11" t="n"/>
      <c r="R964" s="11" t="n"/>
      <c r="S964" s="10">
        <f>IF(AND(Q964="",R964=""),"",IFERROR(INDEX(T_LIBAT,MATCH(Q964,L_PER,0),MATCH(R964,L_JENIS,0)),0))</f>
        <v/>
      </c>
      <c r="T964" s="11" t="n"/>
      <c r="U964" s="11" t="n"/>
      <c r="V964" s="10">
        <f>IF(AND(T964="",U964=""),"",IFERROR(INDEX(T_CAPAI,MATCH(T964,L_PER,0),MATCH(U964,L_KED,0)),0))</f>
        <v/>
      </c>
      <c r="W964" s="17">
        <f>IF(OR(B964="",E964="",COUNTA(F964,H964,J964:M964,O964,Q964:R964,T964:U964)=0),"",SUM(G964,I964,N964,P964,S964,V964))</f>
        <v/>
      </c>
      <c r="X964" s="18">
        <f>IF(W964="","",IF(Murid!F964="TL","TL",ROUND(W964/110*100,2)))</f>
        <v/>
      </c>
    </row>
    <row r="965">
      <c r="A965" s="15">
        <f>Murid!A965</f>
        <v/>
      </c>
      <c r="B965" s="15">
        <f>IF(Murid!B965="","",Murid!B965)</f>
        <v/>
      </c>
      <c r="C965" s="16">
        <f>IF(Murid!C965="","",Murid!C965)</f>
        <v/>
      </c>
      <c r="D965" s="15">
        <f>IF(Murid!E965="","",Murid!E965)</f>
        <v/>
      </c>
      <c r="E965" s="11" t="n"/>
      <c r="F965" s="11" t="n"/>
      <c r="G965" s="10">
        <f>IF(F965="","",IFERROR(VLOOKUP(F965,T_JSP,2,FALSE),0))</f>
        <v/>
      </c>
      <c r="H965" s="11" t="n"/>
      <c r="I965" s="17">
        <f>IF(H965="","",IF(H965&gt;=12,40,ROUND(H965*3.33,2)))</f>
        <v/>
      </c>
      <c r="J965" s="11" t="n"/>
      <c r="K965" s="11" t="n"/>
      <c r="L965" s="11" t="n"/>
      <c r="M965" s="11" t="n"/>
      <c r="N965" s="10">
        <f>IF(COUNTA(J965:M965)=0,"",MIN(10,SUMPRODUCT((COUNTIF(J965:M965,L_KOM)&gt;0)*S_KOM)))</f>
        <v/>
      </c>
      <c r="O965" s="11" t="n"/>
      <c r="P965" s="10">
        <f>IF(O965="","",IFERROR(VLOOKUP(O965,T_KHID,2,FALSE),0))</f>
        <v/>
      </c>
      <c r="Q965" s="11" t="n"/>
      <c r="R965" s="11" t="n"/>
      <c r="S965" s="10">
        <f>IF(AND(Q965="",R965=""),"",IFERROR(INDEX(T_LIBAT,MATCH(Q965,L_PER,0),MATCH(R965,L_JENIS,0)),0))</f>
        <v/>
      </c>
      <c r="T965" s="11" t="n"/>
      <c r="U965" s="11" t="n"/>
      <c r="V965" s="10">
        <f>IF(AND(T965="",U965=""),"",IFERROR(INDEX(T_CAPAI,MATCH(T965,L_PER,0),MATCH(U965,L_KED,0)),0))</f>
        <v/>
      </c>
      <c r="W965" s="17">
        <f>IF(OR(B965="",E965="",COUNTA(F965,H965,J965:M965,O965,Q965:R965,T965:U965)=0),"",SUM(G965,I965,N965,P965,S965,V965))</f>
        <v/>
      </c>
      <c r="X965" s="18">
        <f>IF(W965="","",IF(Murid!F965="TL","TL",ROUND(W965/110*100,2)))</f>
        <v/>
      </c>
    </row>
    <row r="966">
      <c r="A966" s="15">
        <f>Murid!A966</f>
        <v/>
      </c>
      <c r="B966" s="15">
        <f>IF(Murid!B966="","",Murid!B966)</f>
        <v/>
      </c>
      <c r="C966" s="16">
        <f>IF(Murid!C966="","",Murid!C966)</f>
        <v/>
      </c>
      <c r="D966" s="15">
        <f>IF(Murid!E966="","",Murid!E966)</f>
        <v/>
      </c>
      <c r="E966" s="11" t="n"/>
      <c r="F966" s="11" t="n"/>
      <c r="G966" s="10">
        <f>IF(F966="","",IFERROR(VLOOKUP(F966,T_JSP,2,FALSE),0))</f>
        <v/>
      </c>
      <c r="H966" s="11" t="n"/>
      <c r="I966" s="17">
        <f>IF(H966="","",IF(H966&gt;=12,40,ROUND(H966*3.33,2)))</f>
        <v/>
      </c>
      <c r="J966" s="11" t="n"/>
      <c r="K966" s="11" t="n"/>
      <c r="L966" s="11" t="n"/>
      <c r="M966" s="11" t="n"/>
      <c r="N966" s="10">
        <f>IF(COUNTA(J966:M966)=0,"",MIN(10,SUMPRODUCT((COUNTIF(J966:M966,L_KOM)&gt;0)*S_KOM)))</f>
        <v/>
      </c>
      <c r="O966" s="11" t="n"/>
      <c r="P966" s="10">
        <f>IF(O966="","",IFERROR(VLOOKUP(O966,T_KHID,2,FALSE),0))</f>
        <v/>
      </c>
      <c r="Q966" s="11" t="n"/>
      <c r="R966" s="11" t="n"/>
      <c r="S966" s="10">
        <f>IF(AND(Q966="",R966=""),"",IFERROR(INDEX(T_LIBAT,MATCH(Q966,L_PER,0),MATCH(R966,L_JENIS,0)),0))</f>
        <v/>
      </c>
      <c r="T966" s="11" t="n"/>
      <c r="U966" s="11" t="n"/>
      <c r="V966" s="10">
        <f>IF(AND(T966="",U966=""),"",IFERROR(INDEX(T_CAPAI,MATCH(T966,L_PER,0),MATCH(U966,L_KED,0)),0))</f>
        <v/>
      </c>
      <c r="W966" s="17">
        <f>IF(OR(B966="",E966="",COUNTA(F966,H966,J966:M966,O966,Q966:R966,T966:U966)=0),"",SUM(G966,I966,N966,P966,S966,V966))</f>
        <v/>
      </c>
      <c r="X966" s="18">
        <f>IF(W966="","",IF(Murid!F966="TL","TL",ROUND(W966/110*100,2)))</f>
        <v/>
      </c>
    </row>
    <row r="967">
      <c r="A967" s="15">
        <f>Murid!A967</f>
        <v/>
      </c>
      <c r="B967" s="15">
        <f>IF(Murid!B967="","",Murid!B967)</f>
        <v/>
      </c>
      <c r="C967" s="16">
        <f>IF(Murid!C967="","",Murid!C967)</f>
        <v/>
      </c>
      <c r="D967" s="15">
        <f>IF(Murid!E967="","",Murid!E967)</f>
        <v/>
      </c>
      <c r="E967" s="11" t="n"/>
      <c r="F967" s="11" t="n"/>
      <c r="G967" s="10">
        <f>IF(F967="","",IFERROR(VLOOKUP(F967,T_JSP,2,FALSE),0))</f>
        <v/>
      </c>
      <c r="H967" s="11" t="n"/>
      <c r="I967" s="17">
        <f>IF(H967="","",IF(H967&gt;=12,40,ROUND(H967*3.33,2)))</f>
        <v/>
      </c>
      <c r="J967" s="11" t="n"/>
      <c r="K967" s="11" t="n"/>
      <c r="L967" s="11" t="n"/>
      <c r="M967" s="11" t="n"/>
      <c r="N967" s="10">
        <f>IF(COUNTA(J967:M967)=0,"",MIN(10,SUMPRODUCT((COUNTIF(J967:M967,L_KOM)&gt;0)*S_KOM)))</f>
        <v/>
      </c>
      <c r="O967" s="11" t="n"/>
      <c r="P967" s="10">
        <f>IF(O967="","",IFERROR(VLOOKUP(O967,T_KHID,2,FALSE),0))</f>
        <v/>
      </c>
      <c r="Q967" s="11" t="n"/>
      <c r="R967" s="11" t="n"/>
      <c r="S967" s="10">
        <f>IF(AND(Q967="",R967=""),"",IFERROR(INDEX(T_LIBAT,MATCH(Q967,L_PER,0),MATCH(R967,L_JENIS,0)),0))</f>
        <v/>
      </c>
      <c r="T967" s="11" t="n"/>
      <c r="U967" s="11" t="n"/>
      <c r="V967" s="10">
        <f>IF(AND(T967="",U967=""),"",IFERROR(INDEX(T_CAPAI,MATCH(T967,L_PER,0),MATCH(U967,L_KED,0)),0))</f>
        <v/>
      </c>
      <c r="W967" s="17">
        <f>IF(OR(B967="",E967="",COUNTA(F967,H967,J967:M967,O967,Q967:R967,T967:U967)=0),"",SUM(G967,I967,N967,P967,S967,V967))</f>
        <v/>
      </c>
      <c r="X967" s="18">
        <f>IF(W967="","",IF(Murid!F967="TL","TL",ROUND(W967/110*100,2)))</f>
        <v/>
      </c>
    </row>
    <row r="968">
      <c r="A968" s="15">
        <f>Murid!A968</f>
        <v/>
      </c>
      <c r="B968" s="15">
        <f>IF(Murid!B968="","",Murid!B968)</f>
        <v/>
      </c>
      <c r="C968" s="16">
        <f>IF(Murid!C968="","",Murid!C968)</f>
        <v/>
      </c>
      <c r="D968" s="15">
        <f>IF(Murid!E968="","",Murid!E968)</f>
        <v/>
      </c>
      <c r="E968" s="11" t="n"/>
      <c r="F968" s="11" t="n"/>
      <c r="G968" s="10">
        <f>IF(F968="","",IFERROR(VLOOKUP(F968,T_JSP,2,FALSE),0))</f>
        <v/>
      </c>
      <c r="H968" s="11" t="n"/>
      <c r="I968" s="17">
        <f>IF(H968="","",IF(H968&gt;=12,40,ROUND(H968*3.33,2)))</f>
        <v/>
      </c>
      <c r="J968" s="11" t="n"/>
      <c r="K968" s="11" t="n"/>
      <c r="L968" s="11" t="n"/>
      <c r="M968" s="11" t="n"/>
      <c r="N968" s="10">
        <f>IF(COUNTA(J968:M968)=0,"",MIN(10,SUMPRODUCT((COUNTIF(J968:M968,L_KOM)&gt;0)*S_KOM)))</f>
        <v/>
      </c>
      <c r="O968" s="11" t="n"/>
      <c r="P968" s="10">
        <f>IF(O968="","",IFERROR(VLOOKUP(O968,T_KHID,2,FALSE),0))</f>
        <v/>
      </c>
      <c r="Q968" s="11" t="n"/>
      <c r="R968" s="11" t="n"/>
      <c r="S968" s="10">
        <f>IF(AND(Q968="",R968=""),"",IFERROR(INDEX(T_LIBAT,MATCH(Q968,L_PER,0),MATCH(R968,L_JENIS,0)),0))</f>
        <v/>
      </c>
      <c r="T968" s="11" t="n"/>
      <c r="U968" s="11" t="n"/>
      <c r="V968" s="10">
        <f>IF(AND(T968="",U968=""),"",IFERROR(INDEX(T_CAPAI,MATCH(T968,L_PER,0),MATCH(U968,L_KED,0)),0))</f>
        <v/>
      </c>
      <c r="W968" s="17">
        <f>IF(OR(B968="",E968="",COUNTA(F968,H968,J968:M968,O968,Q968:R968,T968:U968)=0),"",SUM(G968,I968,N968,P968,S968,V968))</f>
        <v/>
      </c>
      <c r="X968" s="18">
        <f>IF(W968="","",IF(Murid!F968="TL","TL",ROUND(W968/110*100,2)))</f>
        <v/>
      </c>
    </row>
    <row r="969">
      <c r="A969" s="15">
        <f>Murid!A969</f>
        <v/>
      </c>
      <c r="B969" s="15">
        <f>IF(Murid!B969="","",Murid!B969)</f>
        <v/>
      </c>
      <c r="C969" s="16">
        <f>IF(Murid!C969="","",Murid!C969)</f>
        <v/>
      </c>
      <c r="D969" s="15">
        <f>IF(Murid!E969="","",Murid!E969)</f>
        <v/>
      </c>
      <c r="E969" s="11" t="n"/>
      <c r="F969" s="11" t="n"/>
      <c r="G969" s="10">
        <f>IF(F969="","",IFERROR(VLOOKUP(F969,T_JSP,2,FALSE),0))</f>
        <v/>
      </c>
      <c r="H969" s="11" t="n"/>
      <c r="I969" s="17">
        <f>IF(H969="","",IF(H969&gt;=12,40,ROUND(H969*3.33,2)))</f>
        <v/>
      </c>
      <c r="J969" s="11" t="n"/>
      <c r="K969" s="11" t="n"/>
      <c r="L969" s="11" t="n"/>
      <c r="M969" s="11" t="n"/>
      <c r="N969" s="10">
        <f>IF(COUNTA(J969:M969)=0,"",MIN(10,SUMPRODUCT((COUNTIF(J969:M969,L_KOM)&gt;0)*S_KOM)))</f>
        <v/>
      </c>
      <c r="O969" s="11" t="n"/>
      <c r="P969" s="10">
        <f>IF(O969="","",IFERROR(VLOOKUP(O969,T_KHID,2,FALSE),0))</f>
        <v/>
      </c>
      <c r="Q969" s="11" t="n"/>
      <c r="R969" s="11" t="n"/>
      <c r="S969" s="10">
        <f>IF(AND(Q969="",R969=""),"",IFERROR(INDEX(T_LIBAT,MATCH(Q969,L_PER,0),MATCH(R969,L_JENIS,0)),0))</f>
        <v/>
      </c>
      <c r="T969" s="11" t="n"/>
      <c r="U969" s="11" t="n"/>
      <c r="V969" s="10">
        <f>IF(AND(T969="",U969=""),"",IFERROR(INDEX(T_CAPAI,MATCH(T969,L_PER,0),MATCH(U969,L_KED,0)),0))</f>
        <v/>
      </c>
      <c r="W969" s="17">
        <f>IF(OR(B969="",E969="",COUNTA(F969,H969,J969:M969,O969,Q969:R969,T969:U969)=0),"",SUM(G969,I969,N969,P969,S969,V969))</f>
        <v/>
      </c>
      <c r="X969" s="18">
        <f>IF(W969="","",IF(Murid!F969="TL","TL",ROUND(W969/110*100,2)))</f>
        <v/>
      </c>
    </row>
    <row r="970">
      <c r="A970" s="15">
        <f>Murid!A970</f>
        <v/>
      </c>
      <c r="B970" s="15">
        <f>IF(Murid!B970="","",Murid!B970)</f>
        <v/>
      </c>
      <c r="C970" s="16">
        <f>IF(Murid!C970="","",Murid!C970)</f>
        <v/>
      </c>
      <c r="D970" s="15">
        <f>IF(Murid!E970="","",Murid!E970)</f>
        <v/>
      </c>
      <c r="E970" s="11" t="n"/>
      <c r="F970" s="11" t="n"/>
      <c r="G970" s="10">
        <f>IF(F970="","",IFERROR(VLOOKUP(F970,T_JSP,2,FALSE),0))</f>
        <v/>
      </c>
      <c r="H970" s="11" t="n"/>
      <c r="I970" s="17">
        <f>IF(H970="","",IF(H970&gt;=12,40,ROUND(H970*3.33,2)))</f>
        <v/>
      </c>
      <c r="J970" s="11" t="n"/>
      <c r="K970" s="11" t="n"/>
      <c r="L970" s="11" t="n"/>
      <c r="M970" s="11" t="n"/>
      <c r="N970" s="10">
        <f>IF(COUNTA(J970:M970)=0,"",MIN(10,SUMPRODUCT((COUNTIF(J970:M970,L_KOM)&gt;0)*S_KOM)))</f>
        <v/>
      </c>
      <c r="O970" s="11" t="n"/>
      <c r="P970" s="10">
        <f>IF(O970="","",IFERROR(VLOOKUP(O970,T_KHID,2,FALSE),0))</f>
        <v/>
      </c>
      <c r="Q970" s="11" t="n"/>
      <c r="R970" s="11" t="n"/>
      <c r="S970" s="10">
        <f>IF(AND(Q970="",R970=""),"",IFERROR(INDEX(T_LIBAT,MATCH(Q970,L_PER,0),MATCH(R970,L_JENIS,0)),0))</f>
        <v/>
      </c>
      <c r="T970" s="11" t="n"/>
      <c r="U970" s="11" t="n"/>
      <c r="V970" s="10">
        <f>IF(AND(T970="",U970=""),"",IFERROR(INDEX(T_CAPAI,MATCH(T970,L_PER,0),MATCH(U970,L_KED,0)),0))</f>
        <v/>
      </c>
      <c r="W970" s="17">
        <f>IF(OR(B970="",E970="",COUNTA(F970,H970,J970:M970,O970,Q970:R970,T970:U970)=0),"",SUM(G970,I970,N970,P970,S970,V970))</f>
        <v/>
      </c>
      <c r="X970" s="18">
        <f>IF(W970="","",IF(Murid!F970="TL","TL",ROUND(W970/110*100,2)))</f>
        <v/>
      </c>
    </row>
    <row r="971">
      <c r="A971" s="15">
        <f>Murid!A971</f>
        <v/>
      </c>
      <c r="B971" s="15">
        <f>IF(Murid!B971="","",Murid!B971)</f>
        <v/>
      </c>
      <c r="C971" s="16">
        <f>IF(Murid!C971="","",Murid!C971)</f>
        <v/>
      </c>
      <c r="D971" s="15">
        <f>IF(Murid!E971="","",Murid!E971)</f>
        <v/>
      </c>
      <c r="E971" s="11" t="n"/>
      <c r="F971" s="11" t="n"/>
      <c r="G971" s="10">
        <f>IF(F971="","",IFERROR(VLOOKUP(F971,T_JSP,2,FALSE),0))</f>
        <v/>
      </c>
      <c r="H971" s="11" t="n"/>
      <c r="I971" s="17">
        <f>IF(H971="","",IF(H971&gt;=12,40,ROUND(H971*3.33,2)))</f>
        <v/>
      </c>
      <c r="J971" s="11" t="n"/>
      <c r="K971" s="11" t="n"/>
      <c r="L971" s="11" t="n"/>
      <c r="M971" s="11" t="n"/>
      <c r="N971" s="10">
        <f>IF(COUNTA(J971:M971)=0,"",MIN(10,SUMPRODUCT((COUNTIF(J971:M971,L_KOM)&gt;0)*S_KOM)))</f>
        <v/>
      </c>
      <c r="O971" s="11" t="n"/>
      <c r="P971" s="10">
        <f>IF(O971="","",IFERROR(VLOOKUP(O971,T_KHID,2,FALSE),0))</f>
        <v/>
      </c>
      <c r="Q971" s="11" t="n"/>
      <c r="R971" s="11" t="n"/>
      <c r="S971" s="10">
        <f>IF(AND(Q971="",R971=""),"",IFERROR(INDEX(T_LIBAT,MATCH(Q971,L_PER,0),MATCH(R971,L_JENIS,0)),0))</f>
        <v/>
      </c>
      <c r="T971" s="11" t="n"/>
      <c r="U971" s="11" t="n"/>
      <c r="V971" s="10">
        <f>IF(AND(T971="",U971=""),"",IFERROR(INDEX(T_CAPAI,MATCH(T971,L_PER,0),MATCH(U971,L_KED,0)),0))</f>
        <v/>
      </c>
      <c r="W971" s="17">
        <f>IF(OR(B971="",E971="",COUNTA(F971,H971,J971:M971,O971,Q971:R971,T971:U971)=0),"",SUM(G971,I971,N971,P971,S971,V971))</f>
        <v/>
      </c>
      <c r="X971" s="18">
        <f>IF(W971="","",IF(Murid!F971="TL","TL",ROUND(W971/110*100,2)))</f>
        <v/>
      </c>
    </row>
    <row r="972">
      <c r="A972" s="15">
        <f>Murid!A972</f>
        <v/>
      </c>
      <c r="B972" s="15">
        <f>IF(Murid!B972="","",Murid!B972)</f>
        <v/>
      </c>
      <c r="C972" s="16">
        <f>IF(Murid!C972="","",Murid!C972)</f>
        <v/>
      </c>
      <c r="D972" s="15">
        <f>IF(Murid!E972="","",Murid!E972)</f>
        <v/>
      </c>
      <c r="E972" s="11" t="n"/>
      <c r="F972" s="11" t="n"/>
      <c r="G972" s="10">
        <f>IF(F972="","",IFERROR(VLOOKUP(F972,T_JSP,2,FALSE),0))</f>
        <v/>
      </c>
      <c r="H972" s="11" t="n"/>
      <c r="I972" s="17">
        <f>IF(H972="","",IF(H972&gt;=12,40,ROUND(H972*3.33,2)))</f>
        <v/>
      </c>
      <c r="J972" s="11" t="n"/>
      <c r="K972" s="11" t="n"/>
      <c r="L972" s="11" t="n"/>
      <c r="M972" s="11" t="n"/>
      <c r="N972" s="10">
        <f>IF(COUNTA(J972:M972)=0,"",MIN(10,SUMPRODUCT((COUNTIF(J972:M972,L_KOM)&gt;0)*S_KOM)))</f>
        <v/>
      </c>
      <c r="O972" s="11" t="n"/>
      <c r="P972" s="10">
        <f>IF(O972="","",IFERROR(VLOOKUP(O972,T_KHID,2,FALSE),0))</f>
        <v/>
      </c>
      <c r="Q972" s="11" t="n"/>
      <c r="R972" s="11" t="n"/>
      <c r="S972" s="10">
        <f>IF(AND(Q972="",R972=""),"",IFERROR(INDEX(T_LIBAT,MATCH(Q972,L_PER,0),MATCH(R972,L_JENIS,0)),0))</f>
        <v/>
      </c>
      <c r="T972" s="11" t="n"/>
      <c r="U972" s="11" t="n"/>
      <c r="V972" s="10">
        <f>IF(AND(T972="",U972=""),"",IFERROR(INDEX(T_CAPAI,MATCH(T972,L_PER,0),MATCH(U972,L_KED,0)),0))</f>
        <v/>
      </c>
      <c r="W972" s="17">
        <f>IF(OR(B972="",E972="",COUNTA(F972,H972,J972:M972,O972,Q972:R972,T972:U972)=0),"",SUM(G972,I972,N972,P972,S972,V972))</f>
        <v/>
      </c>
      <c r="X972" s="18">
        <f>IF(W972="","",IF(Murid!F972="TL","TL",ROUND(W972/110*100,2)))</f>
        <v/>
      </c>
    </row>
    <row r="973">
      <c r="A973" s="15">
        <f>Murid!A973</f>
        <v/>
      </c>
      <c r="B973" s="15">
        <f>IF(Murid!B973="","",Murid!B973)</f>
        <v/>
      </c>
      <c r="C973" s="16">
        <f>IF(Murid!C973="","",Murid!C973)</f>
        <v/>
      </c>
      <c r="D973" s="15">
        <f>IF(Murid!E973="","",Murid!E973)</f>
        <v/>
      </c>
      <c r="E973" s="11" t="n"/>
      <c r="F973" s="11" t="n"/>
      <c r="G973" s="10">
        <f>IF(F973="","",IFERROR(VLOOKUP(F973,T_JSP,2,FALSE),0))</f>
        <v/>
      </c>
      <c r="H973" s="11" t="n"/>
      <c r="I973" s="17">
        <f>IF(H973="","",IF(H973&gt;=12,40,ROUND(H973*3.33,2)))</f>
        <v/>
      </c>
      <c r="J973" s="11" t="n"/>
      <c r="K973" s="11" t="n"/>
      <c r="L973" s="11" t="n"/>
      <c r="M973" s="11" t="n"/>
      <c r="N973" s="10">
        <f>IF(COUNTA(J973:M973)=0,"",MIN(10,SUMPRODUCT((COUNTIF(J973:M973,L_KOM)&gt;0)*S_KOM)))</f>
        <v/>
      </c>
      <c r="O973" s="11" t="n"/>
      <c r="P973" s="10">
        <f>IF(O973="","",IFERROR(VLOOKUP(O973,T_KHID,2,FALSE),0))</f>
        <v/>
      </c>
      <c r="Q973" s="11" t="n"/>
      <c r="R973" s="11" t="n"/>
      <c r="S973" s="10">
        <f>IF(AND(Q973="",R973=""),"",IFERROR(INDEX(T_LIBAT,MATCH(Q973,L_PER,0),MATCH(R973,L_JENIS,0)),0))</f>
        <v/>
      </c>
      <c r="T973" s="11" t="n"/>
      <c r="U973" s="11" t="n"/>
      <c r="V973" s="10">
        <f>IF(AND(T973="",U973=""),"",IFERROR(INDEX(T_CAPAI,MATCH(T973,L_PER,0),MATCH(U973,L_KED,0)),0))</f>
        <v/>
      </c>
      <c r="W973" s="17">
        <f>IF(OR(B973="",E973="",COUNTA(F973,H973,J973:M973,O973,Q973:R973,T973:U973)=0),"",SUM(G973,I973,N973,P973,S973,V973))</f>
        <v/>
      </c>
      <c r="X973" s="18">
        <f>IF(W973="","",IF(Murid!F973="TL","TL",ROUND(W973/110*100,2)))</f>
        <v/>
      </c>
    </row>
    <row r="974">
      <c r="A974" s="15">
        <f>Murid!A974</f>
        <v/>
      </c>
      <c r="B974" s="15">
        <f>IF(Murid!B974="","",Murid!B974)</f>
        <v/>
      </c>
      <c r="C974" s="16">
        <f>IF(Murid!C974="","",Murid!C974)</f>
        <v/>
      </c>
      <c r="D974" s="15">
        <f>IF(Murid!E974="","",Murid!E974)</f>
        <v/>
      </c>
      <c r="E974" s="11" t="n"/>
      <c r="F974" s="11" t="n"/>
      <c r="G974" s="10">
        <f>IF(F974="","",IFERROR(VLOOKUP(F974,T_JSP,2,FALSE),0))</f>
        <v/>
      </c>
      <c r="H974" s="11" t="n"/>
      <c r="I974" s="17">
        <f>IF(H974="","",IF(H974&gt;=12,40,ROUND(H974*3.33,2)))</f>
        <v/>
      </c>
      <c r="J974" s="11" t="n"/>
      <c r="K974" s="11" t="n"/>
      <c r="L974" s="11" t="n"/>
      <c r="M974" s="11" t="n"/>
      <c r="N974" s="10">
        <f>IF(COUNTA(J974:M974)=0,"",MIN(10,SUMPRODUCT((COUNTIF(J974:M974,L_KOM)&gt;0)*S_KOM)))</f>
        <v/>
      </c>
      <c r="O974" s="11" t="n"/>
      <c r="P974" s="10">
        <f>IF(O974="","",IFERROR(VLOOKUP(O974,T_KHID,2,FALSE),0))</f>
        <v/>
      </c>
      <c r="Q974" s="11" t="n"/>
      <c r="R974" s="11" t="n"/>
      <c r="S974" s="10">
        <f>IF(AND(Q974="",R974=""),"",IFERROR(INDEX(T_LIBAT,MATCH(Q974,L_PER,0),MATCH(R974,L_JENIS,0)),0))</f>
        <v/>
      </c>
      <c r="T974" s="11" t="n"/>
      <c r="U974" s="11" t="n"/>
      <c r="V974" s="10">
        <f>IF(AND(T974="",U974=""),"",IFERROR(INDEX(T_CAPAI,MATCH(T974,L_PER,0),MATCH(U974,L_KED,0)),0))</f>
        <v/>
      </c>
      <c r="W974" s="17">
        <f>IF(OR(B974="",E974="",COUNTA(F974,H974,J974:M974,O974,Q974:R974,T974:U974)=0),"",SUM(G974,I974,N974,P974,S974,V974))</f>
        <v/>
      </c>
      <c r="X974" s="18">
        <f>IF(W974="","",IF(Murid!F974="TL","TL",ROUND(W974/110*100,2)))</f>
        <v/>
      </c>
    </row>
    <row r="975">
      <c r="A975" s="15">
        <f>Murid!A975</f>
        <v/>
      </c>
      <c r="B975" s="15">
        <f>IF(Murid!B975="","",Murid!B975)</f>
        <v/>
      </c>
      <c r="C975" s="16">
        <f>IF(Murid!C975="","",Murid!C975)</f>
        <v/>
      </c>
      <c r="D975" s="15">
        <f>IF(Murid!E975="","",Murid!E975)</f>
        <v/>
      </c>
      <c r="E975" s="11" t="n"/>
      <c r="F975" s="11" t="n"/>
      <c r="G975" s="10">
        <f>IF(F975="","",IFERROR(VLOOKUP(F975,T_JSP,2,FALSE),0))</f>
        <v/>
      </c>
      <c r="H975" s="11" t="n"/>
      <c r="I975" s="17">
        <f>IF(H975="","",IF(H975&gt;=12,40,ROUND(H975*3.33,2)))</f>
        <v/>
      </c>
      <c r="J975" s="11" t="n"/>
      <c r="K975" s="11" t="n"/>
      <c r="L975" s="11" t="n"/>
      <c r="M975" s="11" t="n"/>
      <c r="N975" s="10">
        <f>IF(COUNTA(J975:M975)=0,"",MIN(10,SUMPRODUCT((COUNTIF(J975:M975,L_KOM)&gt;0)*S_KOM)))</f>
        <v/>
      </c>
      <c r="O975" s="11" t="n"/>
      <c r="P975" s="10">
        <f>IF(O975="","",IFERROR(VLOOKUP(O975,T_KHID,2,FALSE),0))</f>
        <v/>
      </c>
      <c r="Q975" s="11" t="n"/>
      <c r="R975" s="11" t="n"/>
      <c r="S975" s="10">
        <f>IF(AND(Q975="",R975=""),"",IFERROR(INDEX(T_LIBAT,MATCH(Q975,L_PER,0),MATCH(R975,L_JENIS,0)),0))</f>
        <v/>
      </c>
      <c r="T975" s="11" t="n"/>
      <c r="U975" s="11" t="n"/>
      <c r="V975" s="10">
        <f>IF(AND(T975="",U975=""),"",IFERROR(INDEX(T_CAPAI,MATCH(T975,L_PER,0),MATCH(U975,L_KED,0)),0))</f>
        <v/>
      </c>
      <c r="W975" s="17">
        <f>IF(OR(B975="",E975="",COUNTA(F975,H975,J975:M975,O975,Q975:R975,T975:U975)=0),"",SUM(G975,I975,N975,P975,S975,V975))</f>
        <v/>
      </c>
      <c r="X975" s="18">
        <f>IF(W975="","",IF(Murid!F975="TL","TL",ROUND(W975/110*100,2)))</f>
        <v/>
      </c>
    </row>
    <row r="976">
      <c r="A976" s="15">
        <f>Murid!A976</f>
        <v/>
      </c>
      <c r="B976" s="15">
        <f>IF(Murid!B976="","",Murid!B976)</f>
        <v/>
      </c>
      <c r="C976" s="16">
        <f>IF(Murid!C976="","",Murid!C976)</f>
        <v/>
      </c>
      <c r="D976" s="15">
        <f>IF(Murid!E976="","",Murid!E976)</f>
        <v/>
      </c>
      <c r="E976" s="11" t="n"/>
      <c r="F976" s="11" t="n"/>
      <c r="G976" s="10">
        <f>IF(F976="","",IFERROR(VLOOKUP(F976,T_JSP,2,FALSE),0))</f>
        <v/>
      </c>
      <c r="H976" s="11" t="n"/>
      <c r="I976" s="17">
        <f>IF(H976="","",IF(H976&gt;=12,40,ROUND(H976*3.33,2)))</f>
        <v/>
      </c>
      <c r="J976" s="11" t="n"/>
      <c r="K976" s="11" t="n"/>
      <c r="L976" s="11" t="n"/>
      <c r="M976" s="11" t="n"/>
      <c r="N976" s="10">
        <f>IF(COUNTA(J976:M976)=0,"",MIN(10,SUMPRODUCT((COUNTIF(J976:M976,L_KOM)&gt;0)*S_KOM)))</f>
        <v/>
      </c>
      <c r="O976" s="11" t="n"/>
      <c r="P976" s="10">
        <f>IF(O976="","",IFERROR(VLOOKUP(O976,T_KHID,2,FALSE),0))</f>
        <v/>
      </c>
      <c r="Q976" s="11" t="n"/>
      <c r="R976" s="11" t="n"/>
      <c r="S976" s="10">
        <f>IF(AND(Q976="",R976=""),"",IFERROR(INDEX(T_LIBAT,MATCH(Q976,L_PER,0),MATCH(R976,L_JENIS,0)),0))</f>
        <v/>
      </c>
      <c r="T976" s="11" t="n"/>
      <c r="U976" s="11" t="n"/>
      <c r="V976" s="10">
        <f>IF(AND(T976="",U976=""),"",IFERROR(INDEX(T_CAPAI,MATCH(T976,L_PER,0),MATCH(U976,L_KED,0)),0))</f>
        <v/>
      </c>
      <c r="W976" s="17">
        <f>IF(OR(B976="",E976="",COUNTA(F976,H976,J976:M976,O976,Q976:R976,T976:U976)=0),"",SUM(G976,I976,N976,P976,S976,V976))</f>
        <v/>
      </c>
      <c r="X976" s="18">
        <f>IF(W976="","",IF(Murid!F976="TL","TL",ROUND(W976/110*100,2)))</f>
        <v/>
      </c>
    </row>
    <row r="977">
      <c r="A977" s="15">
        <f>Murid!A977</f>
        <v/>
      </c>
      <c r="B977" s="15">
        <f>IF(Murid!B977="","",Murid!B977)</f>
        <v/>
      </c>
      <c r="C977" s="16">
        <f>IF(Murid!C977="","",Murid!C977)</f>
        <v/>
      </c>
      <c r="D977" s="15">
        <f>IF(Murid!E977="","",Murid!E977)</f>
        <v/>
      </c>
      <c r="E977" s="11" t="n"/>
      <c r="F977" s="11" t="n"/>
      <c r="G977" s="10">
        <f>IF(F977="","",IFERROR(VLOOKUP(F977,T_JSP,2,FALSE),0))</f>
        <v/>
      </c>
      <c r="H977" s="11" t="n"/>
      <c r="I977" s="17">
        <f>IF(H977="","",IF(H977&gt;=12,40,ROUND(H977*3.33,2)))</f>
        <v/>
      </c>
      <c r="J977" s="11" t="n"/>
      <c r="K977" s="11" t="n"/>
      <c r="L977" s="11" t="n"/>
      <c r="M977" s="11" t="n"/>
      <c r="N977" s="10">
        <f>IF(COUNTA(J977:M977)=0,"",MIN(10,SUMPRODUCT((COUNTIF(J977:M977,L_KOM)&gt;0)*S_KOM)))</f>
        <v/>
      </c>
      <c r="O977" s="11" t="n"/>
      <c r="P977" s="10">
        <f>IF(O977="","",IFERROR(VLOOKUP(O977,T_KHID,2,FALSE),0))</f>
        <v/>
      </c>
      <c r="Q977" s="11" t="n"/>
      <c r="R977" s="11" t="n"/>
      <c r="S977" s="10">
        <f>IF(AND(Q977="",R977=""),"",IFERROR(INDEX(T_LIBAT,MATCH(Q977,L_PER,0),MATCH(R977,L_JENIS,0)),0))</f>
        <v/>
      </c>
      <c r="T977" s="11" t="n"/>
      <c r="U977" s="11" t="n"/>
      <c r="V977" s="10">
        <f>IF(AND(T977="",U977=""),"",IFERROR(INDEX(T_CAPAI,MATCH(T977,L_PER,0),MATCH(U977,L_KED,0)),0))</f>
        <v/>
      </c>
      <c r="W977" s="17">
        <f>IF(OR(B977="",E977="",COUNTA(F977,H977,J977:M977,O977,Q977:R977,T977:U977)=0),"",SUM(G977,I977,N977,P977,S977,V977))</f>
        <v/>
      </c>
      <c r="X977" s="18">
        <f>IF(W977="","",IF(Murid!F977="TL","TL",ROUND(W977/110*100,2)))</f>
        <v/>
      </c>
    </row>
    <row r="978">
      <c r="A978" s="15">
        <f>Murid!A978</f>
        <v/>
      </c>
      <c r="B978" s="15">
        <f>IF(Murid!B978="","",Murid!B978)</f>
        <v/>
      </c>
      <c r="C978" s="16">
        <f>IF(Murid!C978="","",Murid!C978)</f>
        <v/>
      </c>
      <c r="D978" s="15">
        <f>IF(Murid!E978="","",Murid!E978)</f>
        <v/>
      </c>
      <c r="E978" s="11" t="n"/>
      <c r="F978" s="11" t="n"/>
      <c r="G978" s="10">
        <f>IF(F978="","",IFERROR(VLOOKUP(F978,T_JSP,2,FALSE),0))</f>
        <v/>
      </c>
      <c r="H978" s="11" t="n"/>
      <c r="I978" s="17">
        <f>IF(H978="","",IF(H978&gt;=12,40,ROUND(H978*3.33,2)))</f>
        <v/>
      </c>
      <c r="J978" s="11" t="n"/>
      <c r="K978" s="11" t="n"/>
      <c r="L978" s="11" t="n"/>
      <c r="M978" s="11" t="n"/>
      <c r="N978" s="10">
        <f>IF(COUNTA(J978:M978)=0,"",MIN(10,SUMPRODUCT((COUNTIF(J978:M978,L_KOM)&gt;0)*S_KOM)))</f>
        <v/>
      </c>
      <c r="O978" s="11" t="n"/>
      <c r="P978" s="10">
        <f>IF(O978="","",IFERROR(VLOOKUP(O978,T_KHID,2,FALSE),0))</f>
        <v/>
      </c>
      <c r="Q978" s="11" t="n"/>
      <c r="R978" s="11" t="n"/>
      <c r="S978" s="10">
        <f>IF(AND(Q978="",R978=""),"",IFERROR(INDEX(T_LIBAT,MATCH(Q978,L_PER,0),MATCH(R978,L_JENIS,0)),0))</f>
        <v/>
      </c>
      <c r="T978" s="11" t="n"/>
      <c r="U978" s="11" t="n"/>
      <c r="V978" s="10">
        <f>IF(AND(T978="",U978=""),"",IFERROR(INDEX(T_CAPAI,MATCH(T978,L_PER,0),MATCH(U978,L_KED,0)),0))</f>
        <v/>
      </c>
      <c r="W978" s="17">
        <f>IF(OR(B978="",E978="",COUNTA(F978,H978,J978:M978,O978,Q978:R978,T978:U978)=0),"",SUM(G978,I978,N978,P978,S978,V978))</f>
        <v/>
      </c>
      <c r="X978" s="18">
        <f>IF(W978="","",IF(Murid!F978="TL","TL",ROUND(W978/110*100,2)))</f>
        <v/>
      </c>
    </row>
    <row r="979">
      <c r="A979" s="15">
        <f>Murid!A979</f>
        <v/>
      </c>
      <c r="B979" s="15">
        <f>IF(Murid!B979="","",Murid!B979)</f>
        <v/>
      </c>
      <c r="C979" s="16">
        <f>IF(Murid!C979="","",Murid!C979)</f>
        <v/>
      </c>
      <c r="D979" s="15">
        <f>IF(Murid!E979="","",Murid!E979)</f>
        <v/>
      </c>
      <c r="E979" s="11" t="n"/>
      <c r="F979" s="11" t="n"/>
      <c r="G979" s="10">
        <f>IF(F979="","",IFERROR(VLOOKUP(F979,T_JSP,2,FALSE),0))</f>
        <v/>
      </c>
      <c r="H979" s="11" t="n"/>
      <c r="I979" s="17">
        <f>IF(H979="","",IF(H979&gt;=12,40,ROUND(H979*3.33,2)))</f>
        <v/>
      </c>
      <c r="J979" s="11" t="n"/>
      <c r="K979" s="11" t="n"/>
      <c r="L979" s="11" t="n"/>
      <c r="M979" s="11" t="n"/>
      <c r="N979" s="10">
        <f>IF(COUNTA(J979:M979)=0,"",MIN(10,SUMPRODUCT((COUNTIF(J979:M979,L_KOM)&gt;0)*S_KOM)))</f>
        <v/>
      </c>
      <c r="O979" s="11" t="n"/>
      <c r="P979" s="10">
        <f>IF(O979="","",IFERROR(VLOOKUP(O979,T_KHID,2,FALSE),0))</f>
        <v/>
      </c>
      <c r="Q979" s="11" t="n"/>
      <c r="R979" s="11" t="n"/>
      <c r="S979" s="10">
        <f>IF(AND(Q979="",R979=""),"",IFERROR(INDEX(T_LIBAT,MATCH(Q979,L_PER,0),MATCH(R979,L_JENIS,0)),0))</f>
        <v/>
      </c>
      <c r="T979" s="11" t="n"/>
      <c r="U979" s="11" t="n"/>
      <c r="V979" s="10">
        <f>IF(AND(T979="",U979=""),"",IFERROR(INDEX(T_CAPAI,MATCH(T979,L_PER,0),MATCH(U979,L_KED,0)),0))</f>
        <v/>
      </c>
      <c r="W979" s="17">
        <f>IF(OR(B979="",E979="",COUNTA(F979,H979,J979:M979,O979,Q979:R979,T979:U979)=0),"",SUM(G979,I979,N979,P979,S979,V979))</f>
        <v/>
      </c>
      <c r="X979" s="18">
        <f>IF(W979="","",IF(Murid!F979="TL","TL",ROUND(W979/110*100,2)))</f>
        <v/>
      </c>
    </row>
    <row r="980">
      <c r="A980" s="15">
        <f>Murid!A980</f>
        <v/>
      </c>
      <c r="B980" s="15">
        <f>IF(Murid!B980="","",Murid!B980)</f>
        <v/>
      </c>
      <c r="C980" s="16">
        <f>IF(Murid!C980="","",Murid!C980)</f>
        <v/>
      </c>
      <c r="D980" s="15">
        <f>IF(Murid!E980="","",Murid!E980)</f>
        <v/>
      </c>
      <c r="E980" s="11" t="n"/>
      <c r="F980" s="11" t="n"/>
      <c r="G980" s="10">
        <f>IF(F980="","",IFERROR(VLOOKUP(F980,T_JSP,2,FALSE),0))</f>
        <v/>
      </c>
      <c r="H980" s="11" t="n"/>
      <c r="I980" s="17">
        <f>IF(H980="","",IF(H980&gt;=12,40,ROUND(H980*3.33,2)))</f>
        <v/>
      </c>
      <c r="J980" s="11" t="n"/>
      <c r="K980" s="11" t="n"/>
      <c r="L980" s="11" t="n"/>
      <c r="M980" s="11" t="n"/>
      <c r="N980" s="10">
        <f>IF(COUNTA(J980:M980)=0,"",MIN(10,SUMPRODUCT((COUNTIF(J980:M980,L_KOM)&gt;0)*S_KOM)))</f>
        <v/>
      </c>
      <c r="O980" s="11" t="n"/>
      <c r="P980" s="10">
        <f>IF(O980="","",IFERROR(VLOOKUP(O980,T_KHID,2,FALSE),0))</f>
        <v/>
      </c>
      <c r="Q980" s="11" t="n"/>
      <c r="R980" s="11" t="n"/>
      <c r="S980" s="10">
        <f>IF(AND(Q980="",R980=""),"",IFERROR(INDEX(T_LIBAT,MATCH(Q980,L_PER,0),MATCH(R980,L_JENIS,0)),0))</f>
        <v/>
      </c>
      <c r="T980" s="11" t="n"/>
      <c r="U980" s="11" t="n"/>
      <c r="V980" s="10">
        <f>IF(AND(T980="",U980=""),"",IFERROR(INDEX(T_CAPAI,MATCH(T980,L_PER,0),MATCH(U980,L_KED,0)),0))</f>
        <v/>
      </c>
      <c r="W980" s="17">
        <f>IF(OR(B980="",E980="",COUNTA(F980,H980,J980:M980,O980,Q980:R980,T980:U980)=0),"",SUM(G980,I980,N980,P980,S980,V980))</f>
        <v/>
      </c>
      <c r="X980" s="18">
        <f>IF(W980="","",IF(Murid!F980="TL","TL",ROUND(W980/110*100,2)))</f>
        <v/>
      </c>
    </row>
    <row r="981">
      <c r="A981" s="15">
        <f>Murid!A981</f>
        <v/>
      </c>
      <c r="B981" s="15">
        <f>IF(Murid!B981="","",Murid!B981)</f>
        <v/>
      </c>
      <c r="C981" s="16">
        <f>IF(Murid!C981="","",Murid!C981)</f>
        <v/>
      </c>
      <c r="D981" s="15">
        <f>IF(Murid!E981="","",Murid!E981)</f>
        <v/>
      </c>
      <c r="E981" s="11" t="n"/>
      <c r="F981" s="11" t="n"/>
      <c r="G981" s="10">
        <f>IF(F981="","",IFERROR(VLOOKUP(F981,T_JSP,2,FALSE),0))</f>
        <v/>
      </c>
      <c r="H981" s="11" t="n"/>
      <c r="I981" s="17">
        <f>IF(H981="","",IF(H981&gt;=12,40,ROUND(H981*3.33,2)))</f>
        <v/>
      </c>
      <c r="J981" s="11" t="n"/>
      <c r="K981" s="11" t="n"/>
      <c r="L981" s="11" t="n"/>
      <c r="M981" s="11" t="n"/>
      <c r="N981" s="10">
        <f>IF(COUNTA(J981:M981)=0,"",MIN(10,SUMPRODUCT((COUNTIF(J981:M981,L_KOM)&gt;0)*S_KOM)))</f>
        <v/>
      </c>
      <c r="O981" s="11" t="n"/>
      <c r="P981" s="10">
        <f>IF(O981="","",IFERROR(VLOOKUP(O981,T_KHID,2,FALSE),0))</f>
        <v/>
      </c>
      <c r="Q981" s="11" t="n"/>
      <c r="R981" s="11" t="n"/>
      <c r="S981" s="10">
        <f>IF(AND(Q981="",R981=""),"",IFERROR(INDEX(T_LIBAT,MATCH(Q981,L_PER,0),MATCH(R981,L_JENIS,0)),0))</f>
        <v/>
      </c>
      <c r="T981" s="11" t="n"/>
      <c r="U981" s="11" t="n"/>
      <c r="V981" s="10">
        <f>IF(AND(T981="",U981=""),"",IFERROR(INDEX(T_CAPAI,MATCH(T981,L_PER,0),MATCH(U981,L_KED,0)),0))</f>
        <v/>
      </c>
      <c r="W981" s="17">
        <f>IF(OR(B981="",E981="",COUNTA(F981,H981,J981:M981,O981,Q981:R981,T981:U981)=0),"",SUM(G981,I981,N981,P981,S981,V981))</f>
        <v/>
      </c>
      <c r="X981" s="18">
        <f>IF(W981="","",IF(Murid!F981="TL","TL",ROUND(W981/110*100,2)))</f>
        <v/>
      </c>
    </row>
    <row r="982">
      <c r="A982" s="15">
        <f>Murid!A982</f>
        <v/>
      </c>
      <c r="B982" s="15">
        <f>IF(Murid!B982="","",Murid!B982)</f>
        <v/>
      </c>
      <c r="C982" s="16">
        <f>IF(Murid!C982="","",Murid!C982)</f>
        <v/>
      </c>
      <c r="D982" s="15">
        <f>IF(Murid!E982="","",Murid!E982)</f>
        <v/>
      </c>
      <c r="E982" s="11" t="n"/>
      <c r="F982" s="11" t="n"/>
      <c r="G982" s="10">
        <f>IF(F982="","",IFERROR(VLOOKUP(F982,T_JSP,2,FALSE),0))</f>
        <v/>
      </c>
      <c r="H982" s="11" t="n"/>
      <c r="I982" s="17">
        <f>IF(H982="","",IF(H982&gt;=12,40,ROUND(H982*3.33,2)))</f>
        <v/>
      </c>
      <c r="J982" s="11" t="n"/>
      <c r="K982" s="11" t="n"/>
      <c r="L982" s="11" t="n"/>
      <c r="M982" s="11" t="n"/>
      <c r="N982" s="10">
        <f>IF(COUNTA(J982:M982)=0,"",MIN(10,SUMPRODUCT((COUNTIF(J982:M982,L_KOM)&gt;0)*S_KOM)))</f>
        <v/>
      </c>
      <c r="O982" s="11" t="n"/>
      <c r="P982" s="10">
        <f>IF(O982="","",IFERROR(VLOOKUP(O982,T_KHID,2,FALSE),0))</f>
        <v/>
      </c>
      <c r="Q982" s="11" t="n"/>
      <c r="R982" s="11" t="n"/>
      <c r="S982" s="10">
        <f>IF(AND(Q982="",R982=""),"",IFERROR(INDEX(T_LIBAT,MATCH(Q982,L_PER,0),MATCH(R982,L_JENIS,0)),0))</f>
        <v/>
      </c>
      <c r="T982" s="11" t="n"/>
      <c r="U982" s="11" t="n"/>
      <c r="V982" s="10">
        <f>IF(AND(T982="",U982=""),"",IFERROR(INDEX(T_CAPAI,MATCH(T982,L_PER,0),MATCH(U982,L_KED,0)),0))</f>
        <v/>
      </c>
      <c r="W982" s="17">
        <f>IF(OR(B982="",E982="",COUNTA(F982,H982,J982:M982,O982,Q982:R982,T982:U982)=0),"",SUM(G982,I982,N982,P982,S982,V982))</f>
        <v/>
      </c>
      <c r="X982" s="18">
        <f>IF(W982="","",IF(Murid!F982="TL","TL",ROUND(W982/110*100,2)))</f>
        <v/>
      </c>
    </row>
    <row r="983">
      <c r="A983" s="15">
        <f>Murid!A983</f>
        <v/>
      </c>
      <c r="B983" s="15">
        <f>IF(Murid!B983="","",Murid!B983)</f>
        <v/>
      </c>
      <c r="C983" s="16">
        <f>IF(Murid!C983="","",Murid!C983)</f>
        <v/>
      </c>
      <c r="D983" s="15">
        <f>IF(Murid!E983="","",Murid!E983)</f>
        <v/>
      </c>
      <c r="E983" s="11" t="n"/>
      <c r="F983" s="11" t="n"/>
      <c r="G983" s="10">
        <f>IF(F983="","",IFERROR(VLOOKUP(F983,T_JSP,2,FALSE),0))</f>
        <v/>
      </c>
      <c r="H983" s="11" t="n"/>
      <c r="I983" s="17">
        <f>IF(H983="","",IF(H983&gt;=12,40,ROUND(H983*3.33,2)))</f>
        <v/>
      </c>
      <c r="J983" s="11" t="n"/>
      <c r="K983" s="11" t="n"/>
      <c r="L983" s="11" t="n"/>
      <c r="M983" s="11" t="n"/>
      <c r="N983" s="10">
        <f>IF(COUNTA(J983:M983)=0,"",MIN(10,SUMPRODUCT((COUNTIF(J983:M983,L_KOM)&gt;0)*S_KOM)))</f>
        <v/>
      </c>
      <c r="O983" s="11" t="n"/>
      <c r="P983" s="10">
        <f>IF(O983="","",IFERROR(VLOOKUP(O983,T_KHID,2,FALSE),0))</f>
        <v/>
      </c>
      <c r="Q983" s="11" t="n"/>
      <c r="R983" s="11" t="n"/>
      <c r="S983" s="10">
        <f>IF(AND(Q983="",R983=""),"",IFERROR(INDEX(T_LIBAT,MATCH(Q983,L_PER,0),MATCH(R983,L_JENIS,0)),0))</f>
        <v/>
      </c>
      <c r="T983" s="11" t="n"/>
      <c r="U983" s="11" t="n"/>
      <c r="V983" s="10">
        <f>IF(AND(T983="",U983=""),"",IFERROR(INDEX(T_CAPAI,MATCH(T983,L_PER,0),MATCH(U983,L_KED,0)),0))</f>
        <v/>
      </c>
      <c r="W983" s="17">
        <f>IF(OR(B983="",E983="",COUNTA(F983,H983,J983:M983,O983,Q983:R983,T983:U983)=0),"",SUM(G983,I983,N983,P983,S983,V983))</f>
        <v/>
      </c>
      <c r="X983" s="18">
        <f>IF(W983="","",IF(Murid!F983="TL","TL",ROUND(W983/110*100,2)))</f>
        <v/>
      </c>
    </row>
    <row r="984">
      <c r="A984" s="15">
        <f>Murid!A984</f>
        <v/>
      </c>
      <c r="B984" s="15">
        <f>IF(Murid!B984="","",Murid!B984)</f>
        <v/>
      </c>
      <c r="C984" s="16">
        <f>IF(Murid!C984="","",Murid!C984)</f>
        <v/>
      </c>
      <c r="D984" s="15">
        <f>IF(Murid!E984="","",Murid!E984)</f>
        <v/>
      </c>
      <c r="E984" s="11" t="n"/>
      <c r="F984" s="11" t="n"/>
      <c r="G984" s="10">
        <f>IF(F984="","",IFERROR(VLOOKUP(F984,T_JSP,2,FALSE),0))</f>
        <v/>
      </c>
      <c r="H984" s="11" t="n"/>
      <c r="I984" s="17">
        <f>IF(H984="","",IF(H984&gt;=12,40,ROUND(H984*3.33,2)))</f>
        <v/>
      </c>
      <c r="J984" s="11" t="n"/>
      <c r="K984" s="11" t="n"/>
      <c r="L984" s="11" t="n"/>
      <c r="M984" s="11" t="n"/>
      <c r="N984" s="10">
        <f>IF(COUNTA(J984:M984)=0,"",MIN(10,SUMPRODUCT((COUNTIF(J984:M984,L_KOM)&gt;0)*S_KOM)))</f>
        <v/>
      </c>
      <c r="O984" s="11" t="n"/>
      <c r="P984" s="10">
        <f>IF(O984="","",IFERROR(VLOOKUP(O984,T_KHID,2,FALSE),0))</f>
        <v/>
      </c>
      <c r="Q984" s="11" t="n"/>
      <c r="R984" s="11" t="n"/>
      <c r="S984" s="10">
        <f>IF(AND(Q984="",R984=""),"",IFERROR(INDEX(T_LIBAT,MATCH(Q984,L_PER,0),MATCH(R984,L_JENIS,0)),0))</f>
        <v/>
      </c>
      <c r="T984" s="11" t="n"/>
      <c r="U984" s="11" t="n"/>
      <c r="V984" s="10">
        <f>IF(AND(T984="",U984=""),"",IFERROR(INDEX(T_CAPAI,MATCH(T984,L_PER,0),MATCH(U984,L_KED,0)),0))</f>
        <v/>
      </c>
      <c r="W984" s="17">
        <f>IF(OR(B984="",E984="",COUNTA(F984,H984,J984:M984,O984,Q984:R984,T984:U984)=0),"",SUM(G984,I984,N984,P984,S984,V984))</f>
        <v/>
      </c>
      <c r="X984" s="18">
        <f>IF(W984="","",IF(Murid!F984="TL","TL",ROUND(W984/110*100,2)))</f>
        <v/>
      </c>
    </row>
    <row r="985">
      <c r="A985" s="15">
        <f>Murid!A985</f>
        <v/>
      </c>
      <c r="B985" s="15">
        <f>IF(Murid!B985="","",Murid!B985)</f>
        <v/>
      </c>
      <c r="C985" s="16">
        <f>IF(Murid!C985="","",Murid!C985)</f>
        <v/>
      </c>
      <c r="D985" s="15">
        <f>IF(Murid!E985="","",Murid!E985)</f>
        <v/>
      </c>
      <c r="E985" s="11" t="n"/>
      <c r="F985" s="11" t="n"/>
      <c r="G985" s="10">
        <f>IF(F985="","",IFERROR(VLOOKUP(F985,T_JSP,2,FALSE),0))</f>
        <v/>
      </c>
      <c r="H985" s="11" t="n"/>
      <c r="I985" s="17">
        <f>IF(H985="","",IF(H985&gt;=12,40,ROUND(H985*3.33,2)))</f>
        <v/>
      </c>
      <c r="J985" s="11" t="n"/>
      <c r="K985" s="11" t="n"/>
      <c r="L985" s="11" t="n"/>
      <c r="M985" s="11" t="n"/>
      <c r="N985" s="10">
        <f>IF(COUNTA(J985:M985)=0,"",MIN(10,SUMPRODUCT((COUNTIF(J985:M985,L_KOM)&gt;0)*S_KOM)))</f>
        <v/>
      </c>
      <c r="O985" s="11" t="n"/>
      <c r="P985" s="10">
        <f>IF(O985="","",IFERROR(VLOOKUP(O985,T_KHID,2,FALSE),0))</f>
        <v/>
      </c>
      <c r="Q985" s="11" t="n"/>
      <c r="R985" s="11" t="n"/>
      <c r="S985" s="10">
        <f>IF(AND(Q985="",R985=""),"",IFERROR(INDEX(T_LIBAT,MATCH(Q985,L_PER,0),MATCH(R985,L_JENIS,0)),0))</f>
        <v/>
      </c>
      <c r="T985" s="11" t="n"/>
      <c r="U985" s="11" t="n"/>
      <c r="V985" s="10">
        <f>IF(AND(T985="",U985=""),"",IFERROR(INDEX(T_CAPAI,MATCH(T985,L_PER,0),MATCH(U985,L_KED,0)),0))</f>
        <v/>
      </c>
      <c r="W985" s="17">
        <f>IF(OR(B985="",E985="",COUNTA(F985,H985,J985:M985,O985,Q985:R985,T985:U985)=0),"",SUM(G985,I985,N985,P985,S985,V985))</f>
        <v/>
      </c>
      <c r="X985" s="18">
        <f>IF(W985="","",IF(Murid!F985="TL","TL",ROUND(W985/110*100,2)))</f>
        <v/>
      </c>
    </row>
    <row r="986">
      <c r="A986" s="15">
        <f>Murid!A986</f>
        <v/>
      </c>
      <c r="B986" s="15">
        <f>IF(Murid!B986="","",Murid!B986)</f>
        <v/>
      </c>
      <c r="C986" s="16">
        <f>IF(Murid!C986="","",Murid!C986)</f>
        <v/>
      </c>
      <c r="D986" s="15">
        <f>IF(Murid!E986="","",Murid!E986)</f>
        <v/>
      </c>
      <c r="E986" s="11" t="n"/>
      <c r="F986" s="11" t="n"/>
      <c r="G986" s="10">
        <f>IF(F986="","",IFERROR(VLOOKUP(F986,T_JSP,2,FALSE),0))</f>
        <v/>
      </c>
      <c r="H986" s="11" t="n"/>
      <c r="I986" s="17">
        <f>IF(H986="","",IF(H986&gt;=12,40,ROUND(H986*3.33,2)))</f>
        <v/>
      </c>
      <c r="J986" s="11" t="n"/>
      <c r="K986" s="11" t="n"/>
      <c r="L986" s="11" t="n"/>
      <c r="M986" s="11" t="n"/>
      <c r="N986" s="10">
        <f>IF(COUNTA(J986:M986)=0,"",MIN(10,SUMPRODUCT((COUNTIF(J986:M986,L_KOM)&gt;0)*S_KOM)))</f>
        <v/>
      </c>
      <c r="O986" s="11" t="n"/>
      <c r="P986" s="10">
        <f>IF(O986="","",IFERROR(VLOOKUP(O986,T_KHID,2,FALSE),0))</f>
        <v/>
      </c>
      <c r="Q986" s="11" t="n"/>
      <c r="R986" s="11" t="n"/>
      <c r="S986" s="10">
        <f>IF(AND(Q986="",R986=""),"",IFERROR(INDEX(T_LIBAT,MATCH(Q986,L_PER,0),MATCH(R986,L_JENIS,0)),0))</f>
        <v/>
      </c>
      <c r="T986" s="11" t="n"/>
      <c r="U986" s="11" t="n"/>
      <c r="V986" s="10">
        <f>IF(AND(T986="",U986=""),"",IFERROR(INDEX(T_CAPAI,MATCH(T986,L_PER,0),MATCH(U986,L_KED,0)),0))</f>
        <v/>
      </c>
      <c r="W986" s="17">
        <f>IF(OR(B986="",E986="",COUNTA(F986,H986,J986:M986,O986,Q986:R986,T986:U986)=0),"",SUM(G986,I986,N986,P986,S986,V986))</f>
        <v/>
      </c>
      <c r="X986" s="18">
        <f>IF(W986="","",IF(Murid!F986="TL","TL",ROUND(W986/110*100,2)))</f>
        <v/>
      </c>
    </row>
    <row r="987">
      <c r="A987" s="15">
        <f>Murid!A987</f>
        <v/>
      </c>
      <c r="B987" s="15">
        <f>IF(Murid!B987="","",Murid!B987)</f>
        <v/>
      </c>
      <c r="C987" s="16">
        <f>IF(Murid!C987="","",Murid!C987)</f>
        <v/>
      </c>
      <c r="D987" s="15">
        <f>IF(Murid!E987="","",Murid!E987)</f>
        <v/>
      </c>
      <c r="E987" s="11" t="n"/>
      <c r="F987" s="11" t="n"/>
      <c r="G987" s="10">
        <f>IF(F987="","",IFERROR(VLOOKUP(F987,T_JSP,2,FALSE),0))</f>
        <v/>
      </c>
      <c r="H987" s="11" t="n"/>
      <c r="I987" s="17">
        <f>IF(H987="","",IF(H987&gt;=12,40,ROUND(H987*3.33,2)))</f>
        <v/>
      </c>
      <c r="J987" s="11" t="n"/>
      <c r="K987" s="11" t="n"/>
      <c r="L987" s="11" t="n"/>
      <c r="M987" s="11" t="n"/>
      <c r="N987" s="10">
        <f>IF(COUNTA(J987:M987)=0,"",MIN(10,SUMPRODUCT((COUNTIF(J987:M987,L_KOM)&gt;0)*S_KOM)))</f>
        <v/>
      </c>
      <c r="O987" s="11" t="n"/>
      <c r="P987" s="10">
        <f>IF(O987="","",IFERROR(VLOOKUP(O987,T_KHID,2,FALSE),0))</f>
        <v/>
      </c>
      <c r="Q987" s="11" t="n"/>
      <c r="R987" s="11" t="n"/>
      <c r="S987" s="10">
        <f>IF(AND(Q987="",R987=""),"",IFERROR(INDEX(T_LIBAT,MATCH(Q987,L_PER,0),MATCH(R987,L_JENIS,0)),0))</f>
        <v/>
      </c>
      <c r="T987" s="11" t="n"/>
      <c r="U987" s="11" t="n"/>
      <c r="V987" s="10">
        <f>IF(AND(T987="",U987=""),"",IFERROR(INDEX(T_CAPAI,MATCH(T987,L_PER,0),MATCH(U987,L_KED,0)),0))</f>
        <v/>
      </c>
      <c r="W987" s="17">
        <f>IF(OR(B987="",E987="",COUNTA(F987,H987,J987:M987,O987,Q987:R987,T987:U987)=0),"",SUM(G987,I987,N987,P987,S987,V987))</f>
        <v/>
      </c>
      <c r="X987" s="18">
        <f>IF(W987="","",IF(Murid!F987="TL","TL",ROUND(W987/110*100,2)))</f>
        <v/>
      </c>
    </row>
    <row r="988">
      <c r="A988" s="15">
        <f>Murid!A988</f>
        <v/>
      </c>
      <c r="B988" s="15">
        <f>IF(Murid!B988="","",Murid!B988)</f>
        <v/>
      </c>
      <c r="C988" s="16">
        <f>IF(Murid!C988="","",Murid!C988)</f>
        <v/>
      </c>
      <c r="D988" s="15">
        <f>IF(Murid!E988="","",Murid!E988)</f>
        <v/>
      </c>
      <c r="E988" s="11" t="n"/>
      <c r="F988" s="11" t="n"/>
      <c r="G988" s="10">
        <f>IF(F988="","",IFERROR(VLOOKUP(F988,T_JSP,2,FALSE),0))</f>
        <v/>
      </c>
      <c r="H988" s="11" t="n"/>
      <c r="I988" s="17">
        <f>IF(H988="","",IF(H988&gt;=12,40,ROUND(H988*3.33,2)))</f>
        <v/>
      </c>
      <c r="J988" s="11" t="n"/>
      <c r="K988" s="11" t="n"/>
      <c r="L988" s="11" t="n"/>
      <c r="M988" s="11" t="n"/>
      <c r="N988" s="10">
        <f>IF(COUNTA(J988:M988)=0,"",MIN(10,SUMPRODUCT((COUNTIF(J988:M988,L_KOM)&gt;0)*S_KOM)))</f>
        <v/>
      </c>
      <c r="O988" s="11" t="n"/>
      <c r="P988" s="10">
        <f>IF(O988="","",IFERROR(VLOOKUP(O988,T_KHID,2,FALSE),0))</f>
        <v/>
      </c>
      <c r="Q988" s="11" t="n"/>
      <c r="R988" s="11" t="n"/>
      <c r="S988" s="10">
        <f>IF(AND(Q988="",R988=""),"",IFERROR(INDEX(T_LIBAT,MATCH(Q988,L_PER,0),MATCH(R988,L_JENIS,0)),0))</f>
        <v/>
      </c>
      <c r="T988" s="11" t="n"/>
      <c r="U988" s="11" t="n"/>
      <c r="V988" s="10">
        <f>IF(AND(T988="",U988=""),"",IFERROR(INDEX(T_CAPAI,MATCH(T988,L_PER,0),MATCH(U988,L_KED,0)),0))</f>
        <v/>
      </c>
      <c r="W988" s="17">
        <f>IF(OR(B988="",E988="",COUNTA(F988,H988,J988:M988,O988,Q988:R988,T988:U988)=0),"",SUM(G988,I988,N988,P988,S988,V988))</f>
        <v/>
      </c>
      <c r="X988" s="18">
        <f>IF(W988="","",IF(Murid!F988="TL","TL",ROUND(W988/110*100,2)))</f>
        <v/>
      </c>
    </row>
    <row r="989">
      <c r="A989" s="15">
        <f>Murid!A989</f>
        <v/>
      </c>
      <c r="B989" s="15">
        <f>IF(Murid!B989="","",Murid!B989)</f>
        <v/>
      </c>
      <c r="C989" s="16">
        <f>IF(Murid!C989="","",Murid!C989)</f>
        <v/>
      </c>
      <c r="D989" s="15">
        <f>IF(Murid!E989="","",Murid!E989)</f>
        <v/>
      </c>
      <c r="E989" s="11" t="n"/>
      <c r="F989" s="11" t="n"/>
      <c r="G989" s="10">
        <f>IF(F989="","",IFERROR(VLOOKUP(F989,T_JSP,2,FALSE),0))</f>
        <v/>
      </c>
      <c r="H989" s="11" t="n"/>
      <c r="I989" s="17">
        <f>IF(H989="","",IF(H989&gt;=12,40,ROUND(H989*3.33,2)))</f>
        <v/>
      </c>
      <c r="J989" s="11" t="n"/>
      <c r="K989" s="11" t="n"/>
      <c r="L989" s="11" t="n"/>
      <c r="M989" s="11" t="n"/>
      <c r="N989" s="10">
        <f>IF(COUNTA(J989:M989)=0,"",MIN(10,SUMPRODUCT((COUNTIF(J989:M989,L_KOM)&gt;0)*S_KOM)))</f>
        <v/>
      </c>
      <c r="O989" s="11" t="n"/>
      <c r="P989" s="10">
        <f>IF(O989="","",IFERROR(VLOOKUP(O989,T_KHID,2,FALSE),0))</f>
        <v/>
      </c>
      <c r="Q989" s="11" t="n"/>
      <c r="R989" s="11" t="n"/>
      <c r="S989" s="10">
        <f>IF(AND(Q989="",R989=""),"",IFERROR(INDEX(T_LIBAT,MATCH(Q989,L_PER,0),MATCH(R989,L_JENIS,0)),0))</f>
        <v/>
      </c>
      <c r="T989" s="11" t="n"/>
      <c r="U989" s="11" t="n"/>
      <c r="V989" s="10">
        <f>IF(AND(T989="",U989=""),"",IFERROR(INDEX(T_CAPAI,MATCH(T989,L_PER,0),MATCH(U989,L_KED,0)),0))</f>
        <v/>
      </c>
      <c r="W989" s="17">
        <f>IF(OR(B989="",E989="",COUNTA(F989,H989,J989:M989,O989,Q989:R989,T989:U989)=0),"",SUM(G989,I989,N989,P989,S989,V989))</f>
        <v/>
      </c>
      <c r="X989" s="18">
        <f>IF(W989="","",IF(Murid!F989="TL","TL",ROUND(W989/110*100,2)))</f>
        <v/>
      </c>
    </row>
    <row r="990">
      <c r="A990" s="15">
        <f>Murid!A990</f>
        <v/>
      </c>
      <c r="B990" s="15">
        <f>IF(Murid!B990="","",Murid!B990)</f>
        <v/>
      </c>
      <c r="C990" s="16">
        <f>IF(Murid!C990="","",Murid!C990)</f>
        <v/>
      </c>
      <c r="D990" s="15">
        <f>IF(Murid!E990="","",Murid!E990)</f>
        <v/>
      </c>
      <c r="E990" s="11" t="n"/>
      <c r="F990" s="11" t="n"/>
      <c r="G990" s="10">
        <f>IF(F990="","",IFERROR(VLOOKUP(F990,T_JSP,2,FALSE),0))</f>
        <v/>
      </c>
      <c r="H990" s="11" t="n"/>
      <c r="I990" s="17">
        <f>IF(H990="","",IF(H990&gt;=12,40,ROUND(H990*3.33,2)))</f>
        <v/>
      </c>
      <c r="J990" s="11" t="n"/>
      <c r="K990" s="11" t="n"/>
      <c r="L990" s="11" t="n"/>
      <c r="M990" s="11" t="n"/>
      <c r="N990" s="10">
        <f>IF(COUNTA(J990:M990)=0,"",MIN(10,SUMPRODUCT((COUNTIF(J990:M990,L_KOM)&gt;0)*S_KOM)))</f>
        <v/>
      </c>
      <c r="O990" s="11" t="n"/>
      <c r="P990" s="10">
        <f>IF(O990="","",IFERROR(VLOOKUP(O990,T_KHID,2,FALSE),0))</f>
        <v/>
      </c>
      <c r="Q990" s="11" t="n"/>
      <c r="R990" s="11" t="n"/>
      <c r="S990" s="10">
        <f>IF(AND(Q990="",R990=""),"",IFERROR(INDEX(T_LIBAT,MATCH(Q990,L_PER,0),MATCH(R990,L_JENIS,0)),0))</f>
        <v/>
      </c>
      <c r="T990" s="11" t="n"/>
      <c r="U990" s="11" t="n"/>
      <c r="V990" s="10">
        <f>IF(AND(T990="",U990=""),"",IFERROR(INDEX(T_CAPAI,MATCH(T990,L_PER,0),MATCH(U990,L_KED,0)),0))</f>
        <v/>
      </c>
      <c r="W990" s="17">
        <f>IF(OR(B990="",E990="",COUNTA(F990,H990,J990:M990,O990,Q990:R990,T990:U990)=0),"",SUM(G990,I990,N990,P990,S990,V990))</f>
        <v/>
      </c>
      <c r="X990" s="18">
        <f>IF(W990="","",IF(Murid!F990="TL","TL",ROUND(W990/110*100,2)))</f>
        <v/>
      </c>
    </row>
    <row r="991">
      <c r="A991" s="15">
        <f>Murid!A991</f>
        <v/>
      </c>
      <c r="B991" s="15">
        <f>IF(Murid!B991="","",Murid!B991)</f>
        <v/>
      </c>
      <c r="C991" s="16">
        <f>IF(Murid!C991="","",Murid!C991)</f>
        <v/>
      </c>
      <c r="D991" s="15">
        <f>IF(Murid!E991="","",Murid!E991)</f>
        <v/>
      </c>
      <c r="E991" s="11" t="n"/>
      <c r="F991" s="11" t="n"/>
      <c r="G991" s="10">
        <f>IF(F991="","",IFERROR(VLOOKUP(F991,T_JSP,2,FALSE),0))</f>
        <v/>
      </c>
      <c r="H991" s="11" t="n"/>
      <c r="I991" s="17">
        <f>IF(H991="","",IF(H991&gt;=12,40,ROUND(H991*3.33,2)))</f>
        <v/>
      </c>
      <c r="J991" s="11" t="n"/>
      <c r="K991" s="11" t="n"/>
      <c r="L991" s="11" t="n"/>
      <c r="M991" s="11" t="n"/>
      <c r="N991" s="10">
        <f>IF(COUNTA(J991:M991)=0,"",MIN(10,SUMPRODUCT((COUNTIF(J991:M991,L_KOM)&gt;0)*S_KOM)))</f>
        <v/>
      </c>
      <c r="O991" s="11" t="n"/>
      <c r="P991" s="10">
        <f>IF(O991="","",IFERROR(VLOOKUP(O991,T_KHID,2,FALSE),0))</f>
        <v/>
      </c>
      <c r="Q991" s="11" t="n"/>
      <c r="R991" s="11" t="n"/>
      <c r="S991" s="10">
        <f>IF(AND(Q991="",R991=""),"",IFERROR(INDEX(T_LIBAT,MATCH(Q991,L_PER,0),MATCH(R991,L_JENIS,0)),0))</f>
        <v/>
      </c>
      <c r="T991" s="11" t="n"/>
      <c r="U991" s="11" t="n"/>
      <c r="V991" s="10">
        <f>IF(AND(T991="",U991=""),"",IFERROR(INDEX(T_CAPAI,MATCH(T991,L_PER,0),MATCH(U991,L_KED,0)),0))</f>
        <v/>
      </c>
      <c r="W991" s="17">
        <f>IF(OR(B991="",E991="",COUNTA(F991,H991,J991:M991,O991,Q991:R991,T991:U991)=0),"",SUM(G991,I991,N991,P991,S991,V991))</f>
        <v/>
      </c>
      <c r="X991" s="18">
        <f>IF(W991="","",IF(Murid!F991="TL","TL",ROUND(W991/110*100,2)))</f>
        <v/>
      </c>
    </row>
    <row r="992">
      <c r="A992" s="15">
        <f>Murid!A992</f>
        <v/>
      </c>
      <c r="B992" s="15">
        <f>IF(Murid!B992="","",Murid!B992)</f>
        <v/>
      </c>
      <c r="C992" s="16">
        <f>IF(Murid!C992="","",Murid!C992)</f>
        <v/>
      </c>
      <c r="D992" s="15">
        <f>IF(Murid!E992="","",Murid!E992)</f>
        <v/>
      </c>
      <c r="E992" s="11" t="n"/>
      <c r="F992" s="11" t="n"/>
      <c r="G992" s="10">
        <f>IF(F992="","",IFERROR(VLOOKUP(F992,T_JSP,2,FALSE),0))</f>
        <v/>
      </c>
      <c r="H992" s="11" t="n"/>
      <c r="I992" s="17">
        <f>IF(H992="","",IF(H992&gt;=12,40,ROUND(H992*3.33,2)))</f>
        <v/>
      </c>
      <c r="J992" s="11" t="n"/>
      <c r="K992" s="11" t="n"/>
      <c r="L992" s="11" t="n"/>
      <c r="M992" s="11" t="n"/>
      <c r="N992" s="10">
        <f>IF(COUNTA(J992:M992)=0,"",MIN(10,SUMPRODUCT((COUNTIF(J992:M992,L_KOM)&gt;0)*S_KOM)))</f>
        <v/>
      </c>
      <c r="O992" s="11" t="n"/>
      <c r="P992" s="10">
        <f>IF(O992="","",IFERROR(VLOOKUP(O992,T_KHID,2,FALSE),0))</f>
        <v/>
      </c>
      <c r="Q992" s="11" t="n"/>
      <c r="R992" s="11" t="n"/>
      <c r="S992" s="10">
        <f>IF(AND(Q992="",R992=""),"",IFERROR(INDEX(T_LIBAT,MATCH(Q992,L_PER,0),MATCH(R992,L_JENIS,0)),0))</f>
        <v/>
      </c>
      <c r="T992" s="11" t="n"/>
      <c r="U992" s="11" t="n"/>
      <c r="V992" s="10">
        <f>IF(AND(T992="",U992=""),"",IFERROR(INDEX(T_CAPAI,MATCH(T992,L_PER,0),MATCH(U992,L_KED,0)),0))</f>
        <v/>
      </c>
      <c r="W992" s="17">
        <f>IF(OR(B992="",E992="",COUNTA(F992,H992,J992:M992,O992,Q992:R992,T992:U992)=0),"",SUM(G992,I992,N992,P992,S992,V992))</f>
        <v/>
      </c>
      <c r="X992" s="18">
        <f>IF(W992="","",IF(Murid!F992="TL","TL",ROUND(W992/110*100,2)))</f>
        <v/>
      </c>
    </row>
    <row r="993">
      <c r="A993" s="15">
        <f>Murid!A993</f>
        <v/>
      </c>
      <c r="B993" s="15">
        <f>IF(Murid!B993="","",Murid!B993)</f>
        <v/>
      </c>
      <c r="C993" s="16">
        <f>IF(Murid!C993="","",Murid!C993)</f>
        <v/>
      </c>
      <c r="D993" s="15">
        <f>IF(Murid!E993="","",Murid!E993)</f>
        <v/>
      </c>
      <c r="E993" s="11" t="n"/>
      <c r="F993" s="11" t="n"/>
      <c r="G993" s="10">
        <f>IF(F993="","",IFERROR(VLOOKUP(F993,T_JSP,2,FALSE),0))</f>
        <v/>
      </c>
      <c r="H993" s="11" t="n"/>
      <c r="I993" s="17">
        <f>IF(H993="","",IF(H993&gt;=12,40,ROUND(H993*3.33,2)))</f>
        <v/>
      </c>
      <c r="J993" s="11" t="n"/>
      <c r="K993" s="11" t="n"/>
      <c r="L993" s="11" t="n"/>
      <c r="M993" s="11" t="n"/>
      <c r="N993" s="10">
        <f>IF(COUNTA(J993:M993)=0,"",MIN(10,SUMPRODUCT((COUNTIF(J993:M993,L_KOM)&gt;0)*S_KOM)))</f>
        <v/>
      </c>
      <c r="O993" s="11" t="n"/>
      <c r="P993" s="10">
        <f>IF(O993="","",IFERROR(VLOOKUP(O993,T_KHID,2,FALSE),0))</f>
        <v/>
      </c>
      <c r="Q993" s="11" t="n"/>
      <c r="R993" s="11" t="n"/>
      <c r="S993" s="10">
        <f>IF(AND(Q993="",R993=""),"",IFERROR(INDEX(T_LIBAT,MATCH(Q993,L_PER,0),MATCH(R993,L_JENIS,0)),0))</f>
        <v/>
      </c>
      <c r="T993" s="11" t="n"/>
      <c r="U993" s="11" t="n"/>
      <c r="V993" s="10">
        <f>IF(AND(T993="",U993=""),"",IFERROR(INDEX(T_CAPAI,MATCH(T993,L_PER,0),MATCH(U993,L_KED,0)),0))</f>
        <v/>
      </c>
      <c r="W993" s="17">
        <f>IF(OR(B993="",E993="",COUNTA(F993,H993,J993:M993,O993,Q993:R993,T993:U993)=0),"",SUM(G993,I993,N993,P993,S993,V993))</f>
        <v/>
      </c>
      <c r="X993" s="18">
        <f>IF(W993="","",IF(Murid!F993="TL","TL",ROUND(W993/110*100,2)))</f>
        <v/>
      </c>
    </row>
    <row r="994">
      <c r="A994" s="15">
        <f>Murid!A994</f>
        <v/>
      </c>
      <c r="B994" s="15">
        <f>IF(Murid!B994="","",Murid!B994)</f>
        <v/>
      </c>
      <c r="C994" s="16">
        <f>IF(Murid!C994="","",Murid!C994)</f>
        <v/>
      </c>
      <c r="D994" s="15">
        <f>IF(Murid!E994="","",Murid!E994)</f>
        <v/>
      </c>
      <c r="E994" s="11" t="n"/>
      <c r="F994" s="11" t="n"/>
      <c r="G994" s="10">
        <f>IF(F994="","",IFERROR(VLOOKUP(F994,T_JSP,2,FALSE),0))</f>
        <v/>
      </c>
      <c r="H994" s="11" t="n"/>
      <c r="I994" s="17">
        <f>IF(H994="","",IF(H994&gt;=12,40,ROUND(H994*3.33,2)))</f>
        <v/>
      </c>
      <c r="J994" s="11" t="n"/>
      <c r="K994" s="11" t="n"/>
      <c r="L994" s="11" t="n"/>
      <c r="M994" s="11" t="n"/>
      <c r="N994" s="10">
        <f>IF(COUNTA(J994:M994)=0,"",MIN(10,SUMPRODUCT((COUNTIF(J994:M994,L_KOM)&gt;0)*S_KOM)))</f>
        <v/>
      </c>
      <c r="O994" s="11" t="n"/>
      <c r="P994" s="10">
        <f>IF(O994="","",IFERROR(VLOOKUP(O994,T_KHID,2,FALSE),0))</f>
        <v/>
      </c>
      <c r="Q994" s="11" t="n"/>
      <c r="R994" s="11" t="n"/>
      <c r="S994" s="10">
        <f>IF(AND(Q994="",R994=""),"",IFERROR(INDEX(T_LIBAT,MATCH(Q994,L_PER,0),MATCH(R994,L_JENIS,0)),0))</f>
        <v/>
      </c>
      <c r="T994" s="11" t="n"/>
      <c r="U994" s="11" t="n"/>
      <c r="V994" s="10">
        <f>IF(AND(T994="",U994=""),"",IFERROR(INDEX(T_CAPAI,MATCH(T994,L_PER,0),MATCH(U994,L_KED,0)),0))</f>
        <v/>
      </c>
      <c r="W994" s="17">
        <f>IF(OR(B994="",E994="",COUNTA(F994,H994,J994:M994,O994,Q994:R994,T994:U994)=0),"",SUM(G994,I994,N994,P994,S994,V994))</f>
        <v/>
      </c>
      <c r="X994" s="18">
        <f>IF(W994="","",IF(Murid!F994="TL","TL",ROUND(W994/110*100,2)))</f>
        <v/>
      </c>
    </row>
    <row r="995">
      <c r="A995" s="15">
        <f>Murid!A995</f>
        <v/>
      </c>
      <c r="B995" s="15">
        <f>IF(Murid!B995="","",Murid!B995)</f>
        <v/>
      </c>
      <c r="C995" s="16">
        <f>IF(Murid!C995="","",Murid!C995)</f>
        <v/>
      </c>
      <c r="D995" s="15">
        <f>IF(Murid!E995="","",Murid!E995)</f>
        <v/>
      </c>
      <c r="E995" s="11" t="n"/>
      <c r="F995" s="11" t="n"/>
      <c r="G995" s="10">
        <f>IF(F995="","",IFERROR(VLOOKUP(F995,T_JSP,2,FALSE),0))</f>
        <v/>
      </c>
      <c r="H995" s="11" t="n"/>
      <c r="I995" s="17">
        <f>IF(H995="","",IF(H995&gt;=12,40,ROUND(H995*3.33,2)))</f>
        <v/>
      </c>
      <c r="J995" s="11" t="n"/>
      <c r="K995" s="11" t="n"/>
      <c r="L995" s="11" t="n"/>
      <c r="M995" s="11" t="n"/>
      <c r="N995" s="10">
        <f>IF(COUNTA(J995:M995)=0,"",MIN(10,SUMPRODUCT((COUNTIF(J995:M995,L_KOM)&gt;0)*S_KOM)))</f>
        <v/>
      </c>
      <c r="O995" s="11" t="n"/>
      <c r="P995" s="10">
        <f>IF(O995="","",IFERROR(VLOOKUP(O995,T_KHID,2,FALSE),0))</f>
        <v/>
      </c>
      <c r="Q995" s="11" t="n"/>
      <c r="R995" s="11" t="n"/>
      <c r="S995" s="10">
        <f>IF(AND(Q995="",R995=""),"",IFERROR(INDEX(T_LIBAT,MATCH(Q995,L_PER,0),MATCH(R995,L_JENIS,0)),0))</f>
        <v/>
      </c>
      <c r="T995" s="11" t="n"/>
      <c r="U995" s="11" t="n"/>
      <c r="V995" s="10">
        <f>IF(AND(T995="",U995=""),"",IFERROR(INDEX(T_CAPAI,MATCH(T995,L_PER,0),MATCH(U995,L_KED,0)),0))</f>
        <v/>
      </c>
      <c r="W995" s="17">
        <f>IF(OR(B995="",E995="",COUNTA(F995,H995,J995:M995,O995,Q995:R995,T995:U995)=0),"",SUM(G995,I995,N995,P995,S995,V995))</f>
        <v/>
      </c>
      <c r="X995" s="18">
        <f>IF(W995="","",IF(Murid!F995="TL","TL",ROUND(W995/110*100,2)))</f>
        <v/>
      </c>
    </row>
    <row r="996">
      <c r="A996" s="15">
        <f>Murid!A996</f>
        <v/>
      </c>
      <c r="B996" s="15">
        <f>IF(Murid!B996="","",Murid!B996)</f>
        <v/>
      </c>
      <c r="C996" s="16">
        <f>IF(Murid!C996="","",Murid!C996)</f>
        <v/>
      </c>
      <c r="D996" s="15">
        <f>IF(Murid!E996="","",Murid!E996)</f>
        <v/>
      </c>
      <c r="E996" s="11" t="n"/>
      <c r="F996" s="11" t="n"/>
      <c r="G996" s="10">
        <f>IF(F996="","",IFERROR(VLOOKUP(F996,T_JSP,2,FALSE),0))</f>
        <v/>
      </c>
      <c r="H996" s="11" t="n"/>
      <c r="I996" s="17">
        <f>IF(H996="","",IF(H996&gt;=12,40,ROUND(H996*3.33,2)))</f>
        <v/>
      </c>
      <c r="J996" s="11" t="n"/>
      <c r="K996" s="11" t="n"/>
      <c r="L996" s="11" t="n"/>
      <c r="M996" s="11" t="n"/>
      <c r="N996" s="10">
        <f>IF(COUNTA(J996:M996)=0,"",MIN(10,SUMPRODUCT((COUNTIF(J996:M996,L_KOM)&gt;0)*S_KOM)))</f>
        <v/>
      </c>
      <c r="O996" s="11" t="n"/>
      <c r="P996" s="10">
        <f>IF(O996="","",IFERROR(VLOOKUP(O996,T_KHID,2,FALSE),0))</f>
        <v/>
      </c>
      <c r="Q996" s="11" t="n"/>
      <c r="R996" s="11" t="n"/>
      <c r="S996" s="10">
        <f>IF(AND(Q996="",R996=""),"",IFERROR(INDEX(T_LIBAT,MATCH(Q996,L_PER,0),MATCH(R996,L_JENIS,0)),0))</f>
        <v/>
      </c>
      <c r="T996" s="11" t="n"/>
      <c r="U996" s="11" t="n"/>
      <c r="V996" s="10">
        <f>IF(AND(T996="",U996=""),"",IFERROR(INDEX(T_CAPAI,MATCH(T996,L_PER,0),MATCH(U996,L_KED,0)),0))</f>
        <v/>
      </c>
      <c r="W996" s="17">
        <f>IF(OR(B996="",E996="",COUNTA(F996,H996,J996:M996,O996,Q996:R996,T996:U996)=0),"",SUM(G996,I996,N996,P996,S996,V996))</f>
        <v/>
      </c>
      <c r="X996" s="18">
        <f>IF(W996="","",IF(Murid!F996="TL","TL",ROUND(W996/110*100,2)))</f>
        <v/>
      </c>
    </row>
    <row r="997">
      <c r="A997" s="15">
        <f>Murid!A997</f>
        <v/>
      </c>
      <c r="B997" s="15">
        <f>IF(Murid!B997="","",Murid!B997)</f>
        <v/>
      </c>
      <c r="C997" s="16">
        <f>IF(Murid!C997="","",Murid!C997)</f>
        <v/>
      </c>
      <c r="D997" s="15">
        <f>IF(Murid!E997="","",Murid!E997)</f>
        <v/>
      </c>
      <c r="E997" s="11" t="n"/>
      <c r="F997" s="11" t="n"/>
      <c r="G997" s="10">
        <f>IF(F997="","",IFERROR(VLOOKUP(F997,T_JSP,2,FALSE),0))</f>
        <v/>
      </c>
      <c r="H997" s="11" t="n"/>
      <c r="I997" s="17">
        <f>IF(H997="","",IF(H997&gt;=12,40,ROUND(H997*3.33,2)))</f>
        <v/>
      </c>
      <c r="J997" s="11" t="n"/>
      <c r="K997" s="11" t="n"/>
      <c r="L997" s="11" t="n"/>
      <c r="M997" s="11" t="n"/>
      <c r="N997" s="10">
        <f>IF(COUNTA(J997:M997)=0,"",MIN(10,SUMPRODUCT((COUNTIF(J997:M997,L_KOM)&gt;0)*S_KOM)))</f>
        <v/>
      </c>
      <c r="O997" s="11" t="n"/>
      <c r="P997" s="10">
        <f>IF(O997="","",IFERROR(VLOOKUP(O997,T_KHID,2,FALSE),0))</f>
        <v/>
      </c>
      <c r="Q997" s="11" t="n"/>
      <c r="R997" s="11" t="n"/>
      <c r="S997" s="10">
        <f>IF(AND(Q997="",R997=""),"",IFERROR(INDEX(T_LIBAT,MATCH(Q997,L_PER,0),MATCH(R997,L_JENIS,0)),0))</f>
        <v/>
      </c>
      <c r="T997" s="11" t="n"/>
      <c r="U997" s="11" t="n"/>
      <c r="V997" s="10">
        <f>IF(AND(T997="",U997=""),"",IFERROR(INDEX(T_CAPAI,MATCH(T997,L_PER,0),MATCH(U997,L_KED,0)),0))</f>
        <v/>
      </c>
      <c r="W997" s="17">
        <f>IF(OR(B997="",E997="",COUNTA(F997,H997,J997:M997,O997,Q997:R997,T997:U997)=0),"",SUM(G997,I997,N997,P997,S997,V997))</f>
        <v/>
      </c>
      <c r="X997" s="18">
        <f>IF(W997="","",IF(Murid!F997="TL","TL",ROUND(W997/110*100,2)))</f>
        <v/>
      </c>
    </row>
    <row r="998">
      <c r="A998" s="15">
        <f>Murid!A998</f>
        <v/>
      </c>
      <c r="B998" s="15">
        <f>IF(Murid!B998="","",Murid!B998)</f>
        <v/>
      </c>
      <c r="C998" s="16">
        <f>IF(Murid!C998="","",Murid!C998)</f>
        <v/>
      </c>
      <c r="D998" s="15">
        <f>IF(Murid!E998="","",Murid!E998)</f>
        <v/>
      </c>
      <c r="E998" s="11" t="n"/>
      <c r="F998" s="11" t="n"/>
      <c r="G998" s="10">
        <f>IF(F998="","",IFERROR(VLOOKUP(F998,T_JSP,2,FALSE),0))</f>
        <v/>
      </c>
      <c r="H998" s="11" t="n"/>
      <c r="I998" s="17">
        <f>IF(H998="","",IF(H998&gt;=12,40,ROUND(H998*3.33,2)))</f>
        <v/>
      </c>
      <c r="J998" s="11" t="n"/>
      <c r="K998" s="11" t="n"/>
      <c r="L998" s="11" t="n"/>
      <c r="M998" s="11" t="n"/>
      <c r="N998" s="10">
        <f>IF(COUNTA(J998:M998)=0,"",MIN(10,SUMPRODUCT((COUNTIF(J998:M998,L_KOM)&gt;0)*S_KOM)))</f>
        <v/>
      </c>
      <c r="O998" s="11" t="n"/>
      <c r="P998" s="10">
        <f>IF(O998="","",IFERROR(VLOOKUP(O998,T_KHID,2,FALSE),0))</f>
        <v/>
      </c>
      <c r="Q998" s="11" t="n"/>
      <c r="R998" s="11" t="n"/>
      <c r="S998" s="10">
        <f>IF(AND(Q998="",R998=""),"",IFERROR(INDEX(T_LIBAT,MATCH(Q998,L_PER,0),MATCH(R998,L_JENIS,0)),0))</f>
        <v/>
      </c>
      <c r="T998" s="11" t="n"/>
      <c r="U998" s="11" t="n"/>
      <c r="V998" s="10">
        <f>IF(AND(T998="",U998=""),"",IFERROR(INDEX(T_CAPAI,MATCH(T998,L_PER,0),MATCH(U998,L_KED,0)),0))</f>
        <v/>
      </c>
      <c r="W998" s="17">
        <f>IF(OR(B998="",E998="",COUNTA(F998,H998,J998:M998,O998,Q998:R998,T998:U998)=0),"",SUM(G998,I998,N998,P998,S998,V998))</f>
        <v/>
      </c>
      <c r="X998" s="18">
        <f>IF(W998="","",IF(Murid!F998="TL","TL",ROUND(W998/110*100,2)))</f>
        <v/>
      </c>
    </row>
    <row r="999">
      <c r="A999" s="15">
        <f>Murid!A999</f>
        <v/>
      </c>
      <c r="B999" s="15">
        <f>IF(Murid!B999="","",Murid!B999)</f>
        <v/>
      </c>
      <c r="C999" s="16">
        <f>IF(Murid!C999="","",Murid!C999)</f>
        <v/>
      </c>
      <c r="D999" s="15">
        <f>IF(Murid!E999="","",Murid!E999)</f>
        <v/>
      </c>
      <c r="E999" s="11" t="n"/>
      <c r="F999" s="11" t="n"/>
      <c r="G999" s="10">
        <f>IF(F999="","",IFERROR(VLOOKUP(F999,T_JSP,2,FALSE),0))</f>
        <v/>
      </c>
      <c r="H999" s="11" t="n"/>
      <c r="I999" s="17">
        <f>IF(H999="","",IF(H999&gt;=12,40,ROUND(H999*3.33,2)))</f>
        <v/>
      </c>
      <c r="J999" s="11" t="n"/>
      <c r="K999" s="11" t="n"/>
      <c r="L999" s="11" t="n"/>
      <c r="M999" s="11" t="n"/>
      <c r="N999" s="10">
        <f>IF(COUNTA(J999:M999)=0,"",MIN(10,SUMPRODUCT((COUNTIF(J999:M999,L_KOM)&gt;0)*S_KOM)))</f>
        <v/>
      </c>
      <c r="O999" s="11" t="n"/>
      <c r="P999" s="10">
        <f>IF(O999="","",IFERROR(VLOOKUP(O999,T_KHID,2,FALSE),0))</f>
        <v/>
      </c>
      <c r="Q999" s="11" t="n"/>
      <c r="R999" s="11" t="n"/>
      <c r="S999" s="10">
        <f>IF(AND(Q999="",R999=""),"",IFERROR(INDEX(T_LIBAT,MATCH(Q999,L_PER,0),MATCH(R999,L_JENIS,0)),0))</f>
        <v/>
      </c>
      <c r="T999" s="11" t="n"/>
      <c r="U999" s="11" t="n"/>
      <c r="V999" s="10">
        <f>IF(AND(T999="",U999=""),"",IFERROR(INDEX(T_CAPAI,MATCH(T999,L_PER,0),MATCH(U999,L_KED,0)),0))</f>
        <v/>
      </c>
      <c r="W999" s="17">
        <f>IF(OR(B999="",E999="",COUNTA(F999,H999,J999:M999,O999,Q999:R999,T999:U999)=0),"",SUM(G999,I999,N999,P999,S999,V999))</f>
        <v/>
      </c>
      <c r="X999" s="18">
        <f>IF(W999="","",IF(Murid!F999="TL","TL",ROUND(W999/110*100,2)))</f>
        <v/>
      </c>
    </row>
    <row r="1000">
      <c r="A1000" s="15">
        <f>Murid!A1000</f>
        <v/>
      </c>
      <c r="B1000" s="15">
        <f>IF(Murid!B1000="","",Murid!B1000)</f>
        <v/>
      </c>
      <c r="C1000" s="16">
        <f>IF(Murid!C1000="","",Murid!C1000)</f>
        <v/>
      </c>
      <c r="D1000" s="15">
        <f>IF(Murid!E1000="","",Murid!E1000)</f>
        <v/>
      </c>
      <c r="E1000" s="11" t="n"/>
      <c r="F1000" s="11" t="n"/>
      <c r="G1000" s="10">
        <f>IF(F1000="","",IFERROR(VLOOKUP(F1000,T_JSP,2,FALSE),0))</f>
        <v/>
      </c>
      <c r="H1000" s="11" t="n"/>
      <c r="I1000" s="17">
        <f>IF(H1000="","",IF(H1000&gt;=12,40,ROUND(H1000*3.33,2)))</f>
        <v/>
      </c>
      <c r="J1000" s="11" t="n"/>
      <c r="K1000" s="11" t="n"/>
      <c r="L1000" s="11" t="n"/>
      <c r="M1000" s="11" t="n"/>
      <c r="N1000" s="10">
        <f>IF(COUNTA(J1000:M1000)=0,"",MIN(10,SUMPRODUCT((COUNTIF(J1000:M1000,L_KOM)&gt;0)*S_KOM)))</f>
        <v/>
      </c>
      <c r="O1000" s="11" t="n"/>
      <c r="P1000" s="10">
        <f>IF(O1000="","",IFERROR(VLOOKUP(O1000,T_KHID,2,FALSE),0))</f>
        <v/>
      </c>
      <c r="Q1000" s="11" t="n"/>
      <c r="R1000" s="11" t="n"/>
      <c r="S1000" s="10">
        <f>IF(AND(Q1000="",R1000=""),"",IFERROR(INDEX(T_LIBAT,MATCH(Q1000,L_PER,0),MATCH(R1000,L_JENIS,0)),0))</f>
        <v/>
      </c>
      <c r="T1000" s="11" t="n"/>
      <c r="U1000" s="11" t="n"/>
      <c r="V1000" s="10">
        <f>IF(AND(T1000="",U1000=""),"",IFERROR(INDEX(T_CAPAI,MATCH(T1000,L_PER,0),MATCH(U1000,L_KED,0)),0))</f>
        <v/>
      </c>
      <c r="W1000" s="17">
        <f>IF(OR(B1000="",E1000="",COUNTA(F1000,H1000,J1000:M1000,O1000,Q1000:R1000,T1000:U1000)=0),"",SUM(G1000,I1000,N1000,P1000,S1000,V1000))</f>
        <v/>
      </c>
      <c r="X1000" s="18">
        <f>IF(W1000="","",IF(Murid!F1000="TL","TL",ROUND(W1000/110*100,2)))</f>
        <v/>
      </c>
    </row>
    <row r="1001">
      <c r="A1001" s="15">
        <f>Murid!A1001</f>
        <v/>
      </c>
      <c r="B1001" s="15">
        <f>IF(Murid!B1001="","",Murid!B1001)</f>
        <v/>
      </c>
      <c r="C1001" s="16">
        <f>IF(Murid!C1001="","",Murid!C1001)</f>
        <v/>
      </c>
      <c r="D1001" s="15">
        <f>IF(Murid!E1001="","",Murid!E1001)</f>
        <v/>
      </c>
      <c r="E1001" s="11" t="n"/>
      <c r="F1001" s="11" t="n"/>
      <c r="G1001" s="10">
        <f>IF(F1001="","",IFERROR(VLOOKUP(F1001,T_JSP,2,FALSE),0))</f>
        <v/>
      </c>
      <c r="H1001" s="11" t="n"/>
      <c r="I1001" s="17">
        <f>IF(H1001="","",IF(H1001&gt;=12,40,ROUND(H1001*3.33,2)))</f>
        <v/>
      </c>
      <c r="J1001" s="11" t="n"/>
      <c r="K1001" s="11" t="n"/>
      <c r="L1001" s="11" t="n"/>
      <c r="M1001" s="11" t="n"/>
      <c r="N1001" s="10">
        <f>IF(COUNTA(J1001:M1001)=0,"",MIN(10,SUMPRODUCT((COUNTIF(J1001:M1001,L_KOM)&gt;0)*S_KOM)))</f>
        <v/>
      </c>
      <c r="O1001" s="11" t="n"/>
      <c r="P1001" s="10">
        <f>IF(O1001="","",IFERROR(VLOOKUP(O1001,T_KHID,2,FALSE),0))</f>
        <v/>
      </c>
      <c r="Q1001" s="11" t="n"/>
      <c r="R1001" s="11" t="n"/>
      <c r="S1001" s="10">
        <f>IF(AND(Q1001="",R1001=""),"",IFERROR(INDEX(T_LIBAT,MATCH(Q1001,L_PER,0),MATCH(R1001,L_JENIS,0)),0))</f>
        <v/>
      </c>
      <c r="T1001" s="11" t="n"/>
      <c r="U1001" s="11" t="n"/>
      <c r="V1001" s="10">
        <f>IF(AND(T1001="",U1001=""),"",IFERROR(INDEX(T_CAPAI,MATCH(T1001,L_PER,0),MATCH(U1001,L_KED,0)),0))</f>
        <v/>
      </c>
      <c r="W1001" s="17">
        <f>IF(OR(B1001="",E1001="",COUNTA(F1001,H1001,J1001:M1001,O1001,Q1001:R1001,T1001:U1001)=0),"",SUM(G1001,I1001,N1001,P1001,S1001,V1001))</f>
        <v/>
      </c>
      <c r="X1001" s="18">
        <f>IF(W1001="","",IF(Murid!F1001="TL","TL",ROUND(W1001/110*100,2)))</f>
        <v/>
      </c>
    </row>
    <row r="1002">
      <c r="A1002" s="15">
        <f>Murid!A1002</f>
        <v/>
      </c>
      <c r="B1002" s="15">
        <f>IF(Murid!B1002="","",Murid!B1002)</f>
        <v/>
      </c>
      <c r="C1002" s="16">
        <f>IF(Murid!C1002="","",Murid!C1002)</f>
        <v/>
      </c>
      <c r="D1002" s="15">
        <f>IF(Murid!E1002="","",Murid!E1002)</f>
        <v/>
      </c>
      <c r="E1002" s="11" t="n"/>
      <c r="F1002" s="11" t="n"/>
      <c r="G1002" s="10">
        <f>IF(F1002="","",IFERROR(VLOOKUP(F1002,T_JSP,2,FALSE),0))</f>
        <v/>
      </c>
      <c r="H1002" s="11" t="n"/>
      <c r="I1002" s="17">
        <f>IF(H1002="","",IF(H1002&gt;=12,40,ROUND(H1002*3.33,2)))</f>
        <v/>
      </c>
      <c r="J1002" s="11" t="n"/>
      <c r="K1002" s="11" t="n"/>
      <c r="L1002" s="11" t="n"/>
      <c r="M1002" s="11" t="n"/>
      <c r="N1002" s="10">
        <f>IF(COUNTA(J1002:M1002)=0,"",MIN(10,SUMPRODUCT((COUNTIF(J1002:M1002,L_KOM)&gt;0)*S_KOM)))</f>
        <v/>
      </c>
      <c r="O1002" s="11" t="n"/>
      <c r="P1002" s="10">
        <f>IF(O1002="","",IFERROR(VLOOKUP(O1002,T_KHID,2,FALSE),0))</f>
        <v/>
      </c>
      <c r="Q1002" s="11" t="n"/>
      <c r="R1002" s="11" t="n"/>
      <c r="S1002" s="10">
        <f>IF(AND(Q1002="",R1002=""),"",IFERROR(INDEX(T_LIBAT,MATCH(Q1002,L_PER,0),MATCH(R1002,L_JENIS,0)),0))</f>
        <v/>
      </c>
      <c r="T1002" s="11" t="n"/>
      <c r="U1002" s="11" t="n"/>
      <c r="V1002" s="10">
        <f>IF(AND(T1002="",U1002=""),"",IFERROR(INDEX(T_CAPAI,MATCH(T1002,L_PER,0),MATCH(U1002,L_KED,0)),0))</f>
        <v/>
      </c>
      <c r="W1002" s="17">
        <f>IF(OR(B1002="",E1002="",COUNTA(F1002,H1002,J1002:M1002,O1002,Q1002:R1002,T1002:U1002)=0),"",SUM(G1002,I1002,N1002,P1002,S1002,V1002))</f>
        <v/>
      </c>
      <c r="X1002" s="18">
        <f>IF(W1002="","",IF(Murid!F1002="TL","TL",ROUND(W1002/110*100,2)))</f>
        <v/>
      </c>
    </row>
    <row r="1003">
      <c r="A1003" s="15">
        <f>Murid!A1003</f>
        <v/>
      </c>
      <c r="B1003" s="15">
        <f>IF(Murid!B1003="","",Murid!B1003)</f>
        <v/>
      </c>
      <c r="C1003" s="16">
        <f>IF(Murid!C1003="","",Murid!C1003)</f>
        <v/>
      </c>
      <c r="D1003" s="15">
        <f>IF(Murid!E1003="","",Murid!E1003)</f>
        <v/>
      </c>
      <c r="E1003" s="11" t="n"/>
      <c r="F1003" s="11" t="n"/>
      <c r="G1003" s="10">
        <f>IF(F1003="","",IFERROR(VLOOKUP(F1003,T_JSP,2,FALSE),0))</f>
        <v/>
      </c>
      <c r="H1003" s="11" t="n"/>
      <c r="I1003" s="17">
        <f>IF(H1003="","",IF(H1003&gt;=12,40,ROUND(H1003*3.33,2)))</f>
        <v/>
      </c>
      <c r="J1003" s="11" t="n"/>
      <c r="K1003" s="11" t="n"/>
      <c r="L1003" s="11" t="n"/>
      <c r="M1003" s="11" t="n"/>
      <c r="N1003" s="10">
        <f>IF(COUNTA(J1003:M1003)=0,"",MIN(10,SUMPRODUCT((COUNTIF(J1003:M1003,L_KOM)&gt;0)*S_KOM)))</f>
        <v/>
      </c>
      <c r="O1003" s="11" t="n"/>
      <c r="P1003" s="10">
        <f>IF(O1003="","",IFERROR(VLOOKUP(O1003,T_KHID,2,FALSE),0))</f>
        <v/>
      </c>
      <c r="Q1003" s="11" t="n"/>
      <c r="R1003" s="11" t="n"/>
      <c r="S1003" s="10">
        <f>IF(AND(Q1003="",R1003=""),"",IFERROR(INDEX(T_LIBAT,MATCH(Q1003,L_PER,0),MATCH(R1003,L_JENIS,0)),0))</f>
        <v/>
      </c>
      <c r="T1003" s="11" t="n"/>
      <c r="U1003" s="11" t="n"/>
      <c r="V1003" s="10">
        <f>IF(AND(T1003="",U1003=""),"",IFERROR(INDEX(T_CAPAI,MATCH(T1003,L_PER,0),MATCH(U1003,L_KED,0)),0))</f>
        <v/>
      </c>
      <c r="W1003" s="17">
        <f>IF(OR(B1003="",E1003="",COUNTA(F1003,H1003,J1003:M1003,O1003,Q1003:R1003,T1003:U1003)=0),"",SUM(G1003,I1003,N1003,P1003,S1003,V1003))</f>
        <v/>
      </c>
      <c r="X1003" s="18">
        <f>IF(W1003="","",IF(Murid!F1003="TL","TL",ROUND(W1003/110*100,2)))</f>
        <v/>
      </c>
    </row>
    <row r="1004">
      <c r="A1004" s="15">
        <f>Murid!A1004</f>
        <v/>
      </c>
      <c r="B1004" s="15">
        <f>IF(Murid!B1004="","",Murid!B1004)</f>
        <v/>
      </c>
      <c r="C1004" s="16">
        <f>IF(Murid!C1004="","",Murid!C1004)</f>
        <v/>
      </c>
      <c r="D1004" s="15">
        <f>IF(Murid!E1004="","",Murid!E1004)</f>
        <v/>
      </c>
      <c r="E1004" s="11" t="n"/>
      <c r="F1004" s="11" t="n"/>
      <c r="G1004" s="10">
        <f>IF(F1004="","",IFERROR(VLOOKUP(F1004,T_JSP,2,FALSE),0))</f>
        <v/>
      </c>
      <c r="H1004" s="11" t="n"/>
      <c r="I1004" s="17">
        <f>IF(H1004="","",IF(H1004&gt;=12,40,ROUND(H1004*3.33,2)))</f>
        <v/>
      </c>
      <c r="J1004" s="11" t="n"/>
      <c r="K1004" s="11" t="n"/>
      <c r="L1004" s="11" t="n"/>
      <c r="M1004" s="11" t="n"/>
      <c r="N1004" s="10">
        <f>IF(COUNTA(J1004:M1004)=0,"",MIN(10,SUMPRODUCT((COUNTIF(J1004:M1004,L_KOM)&gt;0)*S_KOM)))</f>
        <v/>
      </c>
      <c r="O1004" s="11" t="n"/>
      <c r="P1004" s="10">
        <f>IF(O1004="","",IFERROR(VLOOKUP(O1004,T_KHID,2,FALSE),0))</f>
        <v/>
      </c>
      <c r="Q1004" s="11" t="n"/>
      <c r="R1004" s="11" t="n"/>
      <c r="S1004" s="10">
        <f>IF(AND(Q1004="",R1004=""),"",IFERROR(INDEX(T_LIBAT,MATCH(Q1004,L_PER,0),MATCH(R1004,L_JENIS,0)),0))</f>
        <v/>
      </c>
      <c r="T1004" s="11" t="n"/>
      <c r="U1004" s="11" t="n"/>
      <c r="V1004" s="10">
        <f>IF(AND(T1004="",U1004=""),"",IFERROR(INDEX(T_CAPAI,MATCH(T1004,L_PER,0),MATCH(U1004,L_KED,0)),0))</f>
        <v/>
      </c>
      <c r="W1004" s="17">
        <f>IF(OR(B1004="",E1004="",COUNTA(F1004,H1004,J1004:M1004,O1004,Q1004:R1004,T1004:U1004)=0),"",SUM(G1004,I1004,N1004,P1004,S1004,V1004))</f>
        <v/>
      </c>
      <c r="X1004" s="18">
        <f>IF(W1004="","",IF(Murid!F1004="TL","TL",ROUND(W1004/110*100,2)))</f>
        <v/>
      </c>
    </row>
  </sheetData>
  <autoFilter ref="A4:X1004"/>
  <mergeCells count="7">
    <mergeCell ref="F3:G3"/>
    <mergeCell ref="H3:I3"/>
    <mergeCell ref="O3:P3"/>
    <mergeCell ref="J3:N3"/>
    <mergeCell ref="T3:V3"/>
    <mergeCell ref="W3:X3"/>
    <mergeCell ref="Q3:S3"/>
  </mergeCells>
  <conditionalFormatting sqref="J5:M1004">
    <cfRule type="expression" priority="1" dxfId="0">
      <formula>AND(J5&lt;&gt;"",COUNTIF($J5:$M5,J5)&gt;1)</formula>
    </cfRule>
  </conditionalFormatting>
  <conditionalFormatting sqref="Q5:R1004">
    <cfRule type="expression" priority="2" dxfId="0">
      <formula>AND(COUNTA($Q5:$R5)=1,Q5="")</formula>
    </cfRule>
  </conditionalFormatting>
  <conditionalFormatting sqref="T5:U1004">
    <cfRule type="expression" priority="3" dxfId="0">
      <formula>AND(COUNTA($T5:$U5)=1,T5="")</formula>
    </cfRule>
  </conditionalFormatting>
  <dataValidations count="8">
    <dataValidation sqref="F5:F1004" showDropDown="0" showInputMessage="0" showErrorMessage="1" allowBlank="1" errorTitle="Pilihan tidak sah" error="Pilih jawatan daripada senarai (teks sama seperti MOEIS)." type="list">
      <formula1>=L_JSP</formula1>
    </dataValidation>
    <dataValidation sqref="H5:H1004" showDropDown="0" showInputMessage="0" showErrorMessage="1" allowBlank="1" errorTitle="Nombor tidak sah" error="Masukkan nombor 0 hingga 12." type="whole" operator="between">
      <formula1>0</formula1>
      <formula2>12</formula2>
    </dataValidation>
    <dataValidation sqref="J5:M1004" showDropDown="0" showInputMessage="0" showErrorMessage="1" allowBlank="1" errorTitle="Pilihan tidak sah" error="Pilih komitmen daripada senarai." type="list">
      <formula1>=L_KOM</formula1>
    </dataValidation>
    <dataValidation sqref="O5:O1004" showDropDown="0" showInputMessage="0" showErrorMessage="1" allowBlank="1" errorTitle="Pilihan tidak sah" error="Pilih khidmat sumbangan daripada senarai." type="list">
      <formula1>=L_KHID</formula1>
    </dataValidation>
    <dataValidation sqref="Q5:Q1004" showDropDown="0" showInputMessage="0" showErrorMessage="1" allowBlank="1" errorTitle="Pilihan tidak sah" error="Pilih peringkat daripada senarai." type="list">
      <formula1>=L_PER</formula1>
    </dataValidation>
    <dataValidation sqref="R5:R1004" showDropDown="0" showInputMessage="0" showErrorMessage="1" allowBlank="1" errorTitle="Pilihan tidak sah" error="Pilih jenis pelibatan daripada senarai." type="list">
      <formula1>=L_JENIS</formula1>
    </dataValidation>
    <dataValidation sqref="T5:T1004" showDropDown="0" showInputMessage="0" showErrorMessage="1" allowBlank="1" errorTitle="Pilihan tidak sah" error="Pilih peringkat daripada senarai." type="list">
      <formula1>=L_PER</formula1>
    </dataValidation>
    <dataValidation sqref="U5:U1004" showDropDown="0" showInputMessage="0" showErrorMessage="1" allowBlank="1" errorTitle="Pilihan tidak sah" error="Pilih kedudukan daripada senarai." type="list">
      <formula1>=L_KED</formula1>
    </dataValidation>
  </dataValidation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V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1" customWidth="1" min="4" max="4"/>
    <col width="50" customWidth="1" min="5" max="5"/>
    <col width="7" customWidth="1" min="6" max="6"/>
    <col width="50" customWidth="1" min="7" max="7"/>
    <col width="7"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7" customWidth="1" min="16" max="16"/>
    <col width="12" customWidth="1" min="17" max="17"/>
    <col width="7" customWidth="1" min="18" max="18"/>
    <col width="26" customWidth="1" min="19" max="19"/>
    <col width="7" customWidth="1" min="20" max="20"/>
    <col width="9" customWidth="1" min="21" max="21"/>
    <col width="26" customWidth="1" min="22" max="22"/>
  </cols>
  <sheetData>
    <row r="1">
      <c r="A1" s="1" t="inlineStr">
        <is>
          <t>EKSTRA KURIKULUM (maks. 10)</t>
        </is>
      </c>
    </row>
    <row r="2">
      <c r="A2" s="2" t="inlineStr">
        <is>
          <t>Susunan sama seperti tab Ekstra Kurikulum dalam MOEIS. Khidmat Masyarakat: isi BILANGAN aktiviti (0-5) bagi setiap jenis. Skor Ekstra = skor tertinggi (anggaran).</t>
        </is>
      </c>
    </row>
    <row r="3">
      <c r="E3" s="13" t="inlineStr">
        <is>
          <t>Perkhidmatan</t>
        </is>
      </c>
      <c r="F3" s="14" t="n"/>
      <c r="G3" s="13" t="inlineStr">
        <is>
          <t>Anugerah Khas (maks. 1)</t>
        </is>
      </c>
      <c r="H3" s="14" t="n"/>
      <c r="I3" s="13" t="inlineStr">
        <is>
          <t>Khidmat Masyarakat (bilangan aktiviti, maks. 5)</t>
        </is>
      </c>
      <c r="J3" s="14" t="n"/>
      <c r="K3" s="14" t="n"/>
      <c r="L3" s="14" t="n"/>
      <c r="M3" s="14" t="n"/>
      <c r="N3" s="14" t="n"/>
      <c r="O3" s="14" t="n"/>
      <c r="P3" s="14" t="n"/>
      <c r="Q3" s="13" t="inlineStr">
        <is>
          <t>NILAM</t>
        </is>
      </c>
      <c r="R3" s="14" t="n"/>
      <c r="S3" s="13" t="inlineStr">
        <is>
          <t>TIMSS dan PISA</t>
        </is>
      </c>
      <c r="T3" s="14" t="n"/>
      <c r="U3" s="13" t="inlineStr">
        <is>
          <t>Ekstra</t>
        </is>
      </c>
    </row>
    <row r="4" ht="54" customHeight="1">
      <c r="A4" s="9" t="inlineStr">
        <is>
          <t>Bil</t>
        </is>
      </c>
      <c r="B4" s="9" t="inlineStr">
        <is>
          <t>Nama Murid</t>
        </is>
      </c>
      <c r="C4" s="9" t="inlineStr">
        <is>
          <t>No. MyKad</t>
        </is>
      </c>
      <c r="D4" s="9" t="inlineStr">
        <is>
          <t>Kelas</t>
        </is>
      </c>
      <c r="E4" s="9" t="inlineStr">
        <is>
          <t>Perkhidmatan</t>
        </is>
      </c>
      <c r="F4" s="9" t="inlineStr">
        <is>
          <t>Skor</t>
        </is>
      </c>
      <c r="G4" s="9" t="inlineStr">
        <is>
          <t>Anugerah Khas</t>
        </is>
      </c>
      <c r="H4" s="9" t="inlineStr">
        <is>
          <t>Skor</t>
        </is>
      </c>
      <c r="I4" s="9" t="inlineStr">
        <is>
          <t>KM:
KEJIRANAN/KOMUNITI</t>
        </is>
      </c>
      <c r="J4" s="9" t="inlineStr">
        <is>
          <t>KM:
ALAM SEKITAR</t>
        </is>
      </c>
      <c r="K4" s="9" t="inlineStr">
        <is>
          <t>KM:
BENCANA ALAM</t>
        </is>
      </c>
      <c r="L4" s="9" t="inlineStr">
        <is>
          <t>KM:
KEROHANIAN</t>
        </is>
      </c>
      <c r="M4" s="9" t="inlineStr">
        <is>
          <t>KM:
KHIDMAT JABATAN/AGENSI</t>
        </is>
      </c>
      <c r="N4" s="9" t="inlineStr">
        <is>
          <t>KM:
KEBUDAYAAN/KESENIAN/INTEGRASI</t>
        </is>
      </c>
      <c r="O4" s="9" t="inlineStr">
        <is>
          <t>KM:
INSANIAH</t>
        </is>
      </c>
      <c r="P4" s="9" t="inlineStr">
        <is>
          <t>Skor</t>
        </is>
      </c>
      <c r="Q4" s="9" t="inlineStr">
        <is>
          <t>NILAM</t>
        </is>
      </c>
      <c r="R4" s="9" t="inlineStr">
        <is>
          <t>Skor</t>
        </is>
      </c>
      <c r="S4" s="9" t="inlineStr">
        <is>
          <t>TIMSS / PISA</t>
        </is>
      </c>
      <c r="T4" s="9" t="inlineStr">
        <is>
          <t>Skor</t>
        </is>
      </c>
      <c r="U4" s="9" t="inlineStr">
        <is>
          <t>Skor Ekstra
(10)</t>
        </is>
      </c>
      <c r="V4" s="9" t="inlineStr">
        <is>
          <t>Catatan</t>
        </is>
      </c>
    </row>
    <row r="5">
      <c r="A5" s="15">
        <f>Murid!A5</f>
        <v/>
      </c>
      <c r="B5" s="15">
        <f>IF(Murid!B5="","",Murid!B5)</f>
        <v/>
      </c>
      <c r="C5" s="16">
        <f>IF(Murid!C5="","",Murid!C5)</f>
        <v/>
      </c>
      <c r="D5" s="15">
        <f>IF(Murid!E5="","",Murid!E5)</f>
        <v/>
      </c>
      <c r="E5" s="11" t="n"/>
      <c r="F5" s="10">
        <f>IF(E5="","",IFERROR(VLOOKUP(E5,T_PERK,2,FALSE),0))</f>
        <v/>
      </c>
      <c r="G5" s="11" t="n"/>
      <c r="H5" s="10">
        <f>IF(G5="","",IFERROR(VLOOKUP(G5,T_ANUG,2,FALSE),0))</f>
        <v/>
      </c>
      <c r="I5" s="11" t="n"/>
      <c r="J5" s="11" t="n"/>
      <c r="K5" s="11" t="n"/>
      <c r="L5" s="11" t="n"/>
      <c r="M5" s="11" t="n"/>
      <c r="N5" s="11" t="n"/>
      <c r="O5" s="11" t="n"/>
      <c r="P5" s="10">
        <f>IF(COUNTA(I5:O5)=0,"",MIN(10,SUM(I5:O5)))</f>
        <v/>
      </c>
      <c r="Q5" s="11" t="n"/>
      <c r="R5" s="10">
        <f>IF(Q5="","",IFERROR(VLOOKUP(Q5,T_NILAM,2,FALSE),0))</f>
        <v/>
      </c>
      <c r="S5" s="11" t="n"/>
      <c r="T5" s="10">
        <f>IF(S5="","",IFERROR(VLOOKUP(S5,T_TIMSS,2,FALSE),0))</f>
        <v/>
      </c>
      <c r="U5" s="19">
        <f>IF(COUNT(F5,H5,P5,R5,T5)=0,"",MIN(10,MAX(F5,H5,P5,R5,T5)))</f>
        <v/>
      </c>
      <c r="V5" s="11" t="n"/>
    </row>
    <row r="6">
      <c r="A6" s="15">
        <f>Murid!A6</f>
        <v/>
      </c>
      <c r="B6" s="15">
        <f>IF(Murid!B6="","",Murid!B6)</f>
        <v/>
      </c>
      <c r="C6" s="16">
        <f>IF(Murid!C6="","",Murid!C6)</f>
        <v/>
      </c>
      <c r="D6" s="15">
        <f>IF(Murid!E6="","",Murid!E6)</f>
        <v/>
      </c>
      <c r="E6" s="11" t="n"/>
      <c r="F6" s="10">
        <f>IF(E6="","",IFERROR(VLOOKUP(E6,T_PERK,2,FALSE),0))</f>
        <v/>
      </c>
      <c r="G6" s="11" t="n"/>
      <c r="H6" s="10">
        <f>IF(G6="","",IFERROR(VLOOKUP(G6,T_ANUG,2,FALSE),0))</f>
        <v/>
      </c>
      <c r="I6" s="11" t="n"/>
      <c r="J6" s="11" t="n"/>
      <c r="K6" s="11" t="n"/>
      <c r="L6" s="11" t="n"/>
      <c r="M6" s="11" t="n"/>
      <c r="N6" s="11" t="n"/>
      <c r="O6" s="11" t="n"/>
      <c r="P6" s="10">
        <f>IF(COUNTA(I6:O6)=0,"",MIN(10,SUM(I6:O6)))</f>
        <v/>
      </c>
      <c r="Q6" s="11" t="n"/>
      <c r="R6" s="10">
        <f>IF(Q6="","",IFERROR(VLOOKUP(Q6,T_NILAM,2,FALSE),0))</f>
        <v/>
      </c>
      <c r="S6" s="11" t="n"/>
      <c r="T6" s="10">
        <f>IF(S6="","",IFERROR(VLOOKUP(S6,T_TIMSS,2,FALSE),0))</f>
        <v/>
      </c>
      <c r="U6" s="19">
        <f>IF(COUNT(F6,H6,P6,R6,T6)=0,"",MIN(10,MAX(F6,H6,P6,R6,T6)))</f>
        <v/>
      </c>
      <c r="V6" s="11" t="n"/>
    </row>
    <row r="7">
      <c r="A7" s="15">
        <f>Murid!A7</f>
        <v/>
      </c>
      <c r="B7" s="15">
        <f>IF(Murid!B7="","",Murid!B7)</f>
        <v/>
      </c>
      <c r="C7" s="16">
        <f>IF(Murid!C7="","",Murid!C7)</f>
        <v/>
      </c>
      <c r="D7" s="15">
        <f>IF(Murid!E7="","",Murid!E7)</f>
        <v/>
      </c>
      <c r="E7" s="11" t="n"/>
      <c r="F7" s="10">
        <f>IF(E7="","",IFERROR(VLOOKUP(E7,T_PERK,2,FALSE),0))</f>
        <v/>
      </c>
      <c r="G7" s="11" t="n"/>
      <c r="H7" s="10">
        <f>IF(G7="","",IFERROR(VLOOKUP(G7,T_ANUG,2,FALSE),0))</f>
        <v/>
      </c>
      <c r="I7" s="11" t="n"/>
      <c r="J7" s="11" t="n"/>
      <c r="K7" s="11" t="n"/>
      <c r="L7" s="11" t="n"/>
      <c r="M7" s="11" t="n"/>
      <c r="N7" s="11" t="n"/>
      <c r="O7" s="11" t="n"/>
      <c r="P7" s="10">
        <f>IF(COUNTA(I7:O7)=0,"",MIN(10,SUM(I7:O7)))</f>
        <v/>
      </c>
      <c r="Q7" s="11" t="n"/>
      <c r="R7" s="10">
        <f>IF(Q7="","",IFERROR(VLOOKUP(Q7,T_NILAM,2,FALSE),0))</f>
        <v/>
      </c>
      <c r="S7" s="11" t="n"/>
      <c r="T7" s="10">
        <f>IF(S7="","",IFERROR(VLOOKUP(S7,T_TIMSS,2,FALSE),0))</f>
        <v/>
      </c>
      <c r="U7" s="19">
        <f>IF(COUNT(F7,H7,P7,R7,T7)=0,"",MIN(10,MAX(F7,H7,P7,R7,T7)))</f>
        <v/>
      </c>
      <c r="V7" s="11" t="n"/>
    </row>
    <row r="8">
      <c r="A8" s="15">
        <f>Murid!A8</f>
        <v/>
      </c>
      <c r="B8" s="15">
        <f>IF(Murid!B8="","",Murid!B8)</f>
        <v/>
      </c>
      <c r="C8" s="16">
        <f>IF(Murid!C8="","",Murid!C8)</f>
        <v/>
      </c>
      <c r="D8" s="15">
        <f>IF(Murid!E8="","",Murid!E8)</f>
        <v/>
      </c>
      <c r="E8" s="11" t="n"/>
      <c r="F8" s="10">
        <f>IF(E8="","",IFERROR(VLOOKUP(E8,T_PERK,2,FALSE),0))</f>
        <v/>
      </c>
      <c r="G8" s="11" t="n"/>
      <c r="H8" s="10">
        <f>IF(G8="","",IFERROR(VLOOKUP(G8,T_ANUG,2,FALSE),0))</f>
        <v/>
      </c>
      <c r="I8" s="11" t="n"/>
      <c r="J8" s="11" t="n"/>
      <c r="K8" s="11" t="n"/>
      <c r="L8" s="11" t="n"/>
      <c r="M8" s="11" t="n"/>
      <c r="N8" s="11" t="n"/>
      <c r="O8" s="11" t="n"/>
      <c r="P8" s="10">
        <f>IF(COUNTA(I8:O8)=0,"",MIN(10,SUM(I8:O8)))</f>
        <v/>
      </c>
      <c r="Q8" s="11" t="n"/>
      <c r="R8" s="10">
        <f>IF(Q8="","",IFERROR(VLOOKUP(Q8,T_NILAM,2,FALSE),0))</f>
        <v/>
      </c>
      <c r="S8" s="11" t="n"/>
      <c r="T8" s="10">
        <f>IF(S8="","",IFERROR(VLOOKUP(S8,T_TIMSS,2,FALSE),0))</f>
        <v/>
      </c>
      <c r="U8" s="19">
        <f>IF(COUNT(F8,H8,P8,R8,T8)=0,"",MIN(10,MAX(F8,H8,P8,R8,T8)))</f>
        <v/>
      </c>
      <c r="V8" s="11" t="n"/>
    </row>
    <row r="9">
      <c r="A9" s="15">
        <f>Murid!A9</f>
        <v/>
      </c>
      <c r="B9" s="15">
        <f>IF(Murid!B9="","",Murid!B9)</f>
        <v/>
      </c>
      <c r="C9" s="16">
        <f>IF(Murid!C9="","",Murid!C9)</f>
        <v/>
      </c>
      <c r="D9" s="15">
        <f>IF(Murid!E9="","",Murid!E9)</f>
        <v/>
      </c>
      <c r="E9" s="11" t="n"/>
      <c r="F9" s="10">
        <f>IF(E9="","",IFERROR(VLOOKUP(E9,T_PERK,2,FALSE),0))</f>
        <v/>
      </c>
      <c r="G9" s="11" t="n"/>
      <c r="H9" s="10">
        <f>IF(G9="","",IFERROR(VLOOKUP(G9,T_ANUG,2,FALSE),0))</f>
        <v/>
      </c>
      <c r="I9" s="11" t="n"/>
      <c r="J9" s="11" t="n"/>
      <c r="K9" s="11" t="n"/>
      <c r="L9" s="11" t="n"/>
      <c r="M9" s="11" t="n"/>
      <c r="N9" s="11" t="n"/>
      <c r="O9" s="11" t="n"/>
      <c r="P9" s="10">
        <f>IF(COUNTA(I9:O9)=0,"",MIN(10,SUM(I9:O9)))</f>
        <v/>
      </c>
      <c r="Q9" s="11" t="n"/>
      <c r="R9" s="10">
        <f>IF(Q9="","",IFERROR(VLOOKUP(Q9,T_NILAM,2,FALSE),0))</f>
        <v/>
      </c>
      <c r="S9" s="11" t="n"/>
      <c r="T9" s="10">
        <f>IF(S9="","",IFERROR(VLOOKUP(S9,T_TIMSS,2,FALSE),0))</f>
        <v/>
      </c>
      <c r="U9" s="19">
        <f>IF(COUNT(F9,H9,P9,R9,T9)=0,"",MIN(10,MAX(F9,H9,P9,R9,T9)))</f>
        <v/>
      </c>
      <c r="V9" s="11" t="n"/>
    </row>
    <row r="10">
      <c r="A10" s="15">
        <f>Murid!A10</f>
        <v/>
      </c>
      <c r="B10" s="15">
        <f>IF(Murid!B10="","",Murid!B10)</f>
        <v/>
      </c>
      <c r="C10" s="16">
        <f>IF(Murid!C10="","",Murid!C10)</f>
        <v/>
      </c>
      <c r="D10" s="15">
        <f>IF(Murid!E10="","",Murid!E10)</f>
        <v/>
      </c>
      <c r="E10" s="11" t="n"/>
      <c r="F10" s="10">
        <f>IF(E10="","",IFERROR(VLOOKUP(E10,T_PERK,2,FALSE),0))</f>
        <v/>
      </c>
      <c r="G10" s="11" t="n"/>
      <c r="H10" s="10">
        <f>IF(G10="","",IFERROR(VLOOKUP(G10,T_ANUG,2,FALSE),0))</f>
        <v/>
      </c>
      <c r="I10" s="11" t="n"/>
      <c r="J10" s="11" t="n"/>
      <c r="K10" s="11" t="n"/>
      <c r="L10" s="11" t="n"/>
      <c r="M10" s="11" t="n"/>
      <c r="N10" s="11" t="n"/>
      <c r="O10" s="11" t="n"/>
      <c r="P10" s="10">
        <f>IF(COUNTA(I10:O10)=0,"",MIN(10,SUM(I10:O10)))</f>
        <v/>
      </c>
      <c r="Q10" s="11" t="n"/>
      <c r="R10" s="10">
        <f>IF(Q10="","",IFERROR(VLOOKUP(Q10,T_NILAM,2,FALSE),0))</f>
        <v/>
      </c>
      <c r="S10" s="11" t="n"/>
      <c r="T10" s="10">
        <f>IF(S10="","",IFERROR(VLOOKUP(S10,T_TIMSS,2,FALSE),0))</f>
        <v/>
      </c>
      <c r="U10" s="19">
        <f>IF(COUNT(F10,H10,P10,R10,T10)=0,"",MIN(10,MAX(F10,H10,P10,R10,T10)))</f>
        <v/>
      </c>
      <c r="V10" s="11" t="n"/>
    </row>
    <row r="11">
      <c r="A11" s="15">
        <f>Murid!A11</f>
        <v/>
      </c>
      <c r="B11" s="15">
        <f>IF(Murid!B11="","",Murid!B11)</f>
        <v/>
      </c>
      <c r="C11" s="16">
        <f>IF(Murid!C11="","",Murid!C11)</f>
        <v/>
      </c>
      <c r="D11" s="15">
        <f>IF(Murid!E11="","",Murid!E11)</f>
        <v/>
      </c>
      <c r="E11" s="11" t="n"/>
      <c r="F11" s="10">
        <f>IF(E11="","",IFERROR(VLOOKUP(E11,T_PERK,2,FALSE),0))</f>
        <v/>
      </c>
      <c r="G11" s="11" t="n"/>
      <c r="H11" s="10">
        <f>IF(G11="","",IFERROR(VLOOKUP(G11,T_ANUG,2,FALSE),0))</f>
        <v/>
      </c>
      <c r="I11" s="11" t="n"/>
      <c r="J11" s="11" t="n"/>
      <c r="K11" s="11" t="n"/>
      <c r="L11" s="11" t="n"/>
      <c r="M11" s="11" t="n"/>
      <c r="N11" s="11" t="n"/>
      <c r="O11" s="11" t="n"/>
      <c r="P11" s="10">
        <f>IF(COUNTA(I11:O11)=0,"",MIN(10,SUM(I11:O11)))</f>
        <v/>
      </c>
      <c r="Q11" s="11" t="n"/>
      <c r="R11" s="10">
        <f>IF(Q11="","",IFERROR(VLOOKUP(Q11,T_NILAM,2,FALSE),0))</f>
        <v/>
      </c>
      <c r="S11" s="11" t="n"/>
      <c r="T11" s="10">
        <f>IF(S11="","",IFERROR(VLOOKUP(S11,T_TIMSS,2,FALSE),0))</f>
        <v/>
      </c>
      <c r="U11" s="19">
        <f>IF(COUNT(F11,H11,P11,R11,T11)=0,"",MIN(10,MAX(F11,H11,P11,R11,T11)))</f>
        <v/>
      </c>
      <c r="V11" s="11" t="n"/>
    </row>
    <row r="12">
      <c r="A12" s="15">
        <f>Murid!A12</f>
        <v/>
      </c>
      <c r="B12" s="15">
        <f>IF(Murid!B12="","",Murid!B12)</f>
        <v/>
      </c>
      <c r="C12" s="16">
        <f>IF(Murid!C12="","",Murid!C12)</f>
        <v/>
      </c>
      <c r="D12" s="15">
        <f>IF(Murid!E12="","",Murid!E12)</f>
        <v/>
      </c>
      <c r="E12" s="11" t="n"/>
      <c r="F12" s="10">
        <f>IF(E12="","",IFERROR(VLOOKUP(E12,T_PERK,2,FALSE),0))</f>
        <v/>
      </c>
      <c r="G12" s="11" t="n"/>
      <c r="H12" s="10">
        <f>IF(G12="","",IFERROR(VLOOKUP(G12,T_ANUG,2,FALSE),0))</f>
        <v/>
      </c>
      <c r="I12" s="11" t="n"/>
      <c r="J12" s="11" t="n"/>
      <c r="K12" s="11" t="n"/>
      <c r="L12" s="11" t="n"/>
      <c r="M12" s="11" t="n"/>
      <c r="N12" s="11" t="n"/>
      <c r="O12" s="11" t="n"/>
      <c r="P12" s="10">
        <f>IF(COUNTA(I12:O12)=0,"",MIN(10,SUM(I12:O12)))</f>
        <v/>
      </c>
      <c r="Q12" s="11" t="n"/>
      <c r="R12" s="10">
        <f>IF(Q12="","",IFERROR(VLOOKUP(Q12,T_NILAM,2,FALSE),0))</f>
        <v/>
      </c>
      <c r="S12" s="11" t="n"/>
      <c r="T12" s="10">
        <f>IF(S12="","",IFERROR(VLOOKUP(S12,T_TIMSS,2,FALSE),0))</f>
        <v/>
      </c>
      <c r="U12" s="19">
        <f>IF(COUNT(F12,H12,P12,R12,T12)=0,"",MIN(10,MAX(F12,H12,P12,R12,T12)))</f>
        <v/>
      </c>
      <c r="V12" s="11" t="n"/>
    </row>
    <row r="13">
      <c r="A13" s="15">
        <f>Murid!A13</f>
        <v/>
      </c>
      <c r="B13" s="15">
        <f>IF(Murid!B13="","",Murid!B13)</f>
        <v/>
      </c>
      <c r="C13" s="16">
        <f>IF(Murid!C13="","",Murid!C13)</f>
        <v/>
      </c>
      <c r="D13" s="15">
        <f>IF(Murid!E13="","",Murid!E13)</f>
        <v/>
      </c>
      <c r="E13" s="11" t="n"/>
      <c r="F13" s="10">
        <f>IF(E13="","",IFERROR(VLOOKUP(E13,T_PERK,2,FALSE),0))</f>
        <v/>
      </c>
      <c r="G13" s="11" t="n"/>
      <c r="H13" s="10">
        <f>IF(G13="","",IFERROR(VLOOKUP(G13,T_ANUG,2,FALSE),0))</f>
        <v/>
      </c>
      <c r="I13" s="11" t="n"/>
      <c r="J13" s="11" t="n"/>
      <c r="K13" s="11" t="n"/>
      <c r="L13" s="11" t="n"/>
      <c r="M13" s="11" t="n"/>
      <c r="N13" s="11" t="n"/>
      <c r="O13" s="11" t="n"/>
      <c r="P13" s="10">
        <f>IF(COUNTA(I13:O13)=0,"",MIN(10,SUM(I13:O13)))</f>
        <v/>
      </c>
      <c r="Q13" s="11" t="n"/>
      <c r="R13" s="10">
        <f>IF(Q13="","",IFERROR(VLOOKUP(Q13,T_NILAM,2,FALSE),0))</f>
        <v/>
      </c>
      <c r="S13" s="11" t="n"/>
      <c r="T13" s="10">
        <f>IF(S13="","",IFERROR(VLOOKUP(S13,T_TIMSS,2,FALSE),0))</f>
        <v/>
      </c>
      <c r="U13" s="19">
        <f>IF(COUNT(F13,H13,P13,R13,T13)=0,"",MIN(10,MAX(F13,H13,P13,R13,T13)))</f>
        <v/>
      </c>
      <c r="V13" s="11" t="n"/>
    </row>
    <row r="14">
      <c r="A14" s="15">
        <f>Murid!A14</f>
        <v/>
      </c>
      <c r="B14" s="15">
        <f>IF(Murid!B14="","",Murid!B14)</f>
        <v/>
      </c>
      <c r="C14" s="16">
        <f>IF(Murid!C14="","",Murid!C14)</f>
        <v/>
      </c>
      <c r="D14" s="15">
        <f>IF(Murid!E14="","",Murid!E14)</f>
        <v/>
      </c>
      <c r="E14" s="11" t="n"/>
      <c r="F14" s="10">
        <f>IF(E14="","",IFERROR(VLOOKUP(E14,T_PERK,2,FALSE),0))</f>
        <v/>
      </c>
      <c r="G14" s="11" t="n"/>
      <c r="H14" s="10">
        <f>IF(G14="","",IFERROR(VLOOKUP(G14,T_ANUG,2,FALSE),0))</f>
        <v/>
      </c>
      <c r="I14" s="11" t="n"/>
      <c r="J14" s="11" t="n"/>
      <c r="K14" s="11" t="n"/>
      <c r="L14" s="11" t="n"/>
      <c r="M14" s="11" t="n"/>
      <c r="N14" s="11" t="n"/>
      <c r="O14" s="11" t="n"/>
      <c r="P14" s="10">
        <f>IF(COUNTA(I14:O14)=0,"",MIN(10,SUM(I14:O14)))</f>
        <v/>
      </c>
      <c r="Q14" s="11" t="n"/>
      <c r="R14" s="10">
        <f>IF(Q14="","",IFERROR(VLOOKUP(Q14,T_NILAM,2,FALSE),0))</f>
        <v/>
      </c>
      <c r="S14" s="11" t="n"/>
      <c r="T14" s="10">
        <f>IF(S14="","",IFERROR(VLOOKUP(S14,T_TIMSS,2,FALSE),0))</f>
        <v/>
      </c>
      <c r="U14" s="19">
        <f>IF(COUNT(F14,H14,P14,R14,T14)=0,"",MIN(10,MAX(F14,H14,P14,R14,T14)))</f>
        <v/>
      </c>
      <c r="V14" s="11" t="n"/>
    </row>
    <row r="15">
      <c r="A15" s="15">
        <f>Murid!A15</f>
        <v/>
      </c>
      <c r="B15" s="15">
        <f>IF(Murid!B15="","",Murid!B15)</f>
        <v/>
      </c>
      <c r="C15" s="16">
        <f>IF(Murid!C15="","",Murid!C15)</f>
        <v/>
      </c>
      <c r="D15" s="15">
        <f>IF(Murid!E15="","",Murid!E15)</f>
        <v/>
      </c>
      <c r="E15" s="11" t="n"/>
      <c r="F15" s="10">
        <f>IF(E15="","",IFERROR(VLOOKUP(E15,T_PERK,2,FALSE),0))</f>
        <v/>
      </c>
      <c r="G15" s="11" t="n"/>
      <c r="H15" s="10">
        <f>IF(G15="","",IFERROR(VLOOKUP(G15,T_ANUG,2,FALSE),0))</f>
        <v/>
      </c>
      <c r="I15" s="11" t="n"/>
      <c r="J15" s="11" t="n"/>
      <c r="K15" s="11" t="n"/>
      <c r="L15" s="11" t="n"/>
      <c r="M15" s="11" t="n"/>
      <c r="N15" s="11" t="n"/>
      <c r="O15" s="11" t="n"/>
      <c r="P15" s="10">
        <f>IF(COUNTA(I15:O15)=0,"",MIN(10,SUM(I15:O15)))</f>
        <v/>
      </c>
      <c r="Q15" s="11" t="n"/>
      <c r="R15" s="10">
        <f>IF(Q15="","",IFERROR(VLOOKUP(Q15,T_NILAM,2,FALSE),0))</f>
        <v/>
      </c>
      <c r="S15" s="11" t="n"/>
      <c r="T15" s="10">
        <f>IF(S15="","",IFERROR(VLOOKUP(S15,T_TIMSS,2,FALSE),0))</f>
        <v/>
      </c>
      <c r="U15" s="19">
        <f>IF(COUNT(F15,H15,P15,R15,T15)=0,"",MIN(10,MAX(F15,H15,P15,R15,T15)))</f>
        <v/>
      </c>
      <c r="V15" s="11" t="n"/>
    </row>
    <row r="16">
      <c r="A16" s="15">
        <f>Murid!A16</f>
        <v/>
      </c>
      <c r="B16" s="15">
        <f>IF(Murid!B16="","",Murid!B16)</f>
        <v/>
      </c>
      <c r="C16" s="16">
        <f>IF(Murid!C16="","",Murid!C16)</f>
        <v/>
      </c>
      <c r="D16" s="15">
        <f>IF(Murid!E16="","",Murid!E16)</f>
        <v/>
      </c>
      <c r="E16" s="11" t="n"/>
      <c r="F16" s="10">
        <f>IF(E16="","",IFERROR(VLOOKUP(E16,T_PERK,2,FALSE),0))</f>
        <v/>
      </c>
      <c r="G16" s="11" t="n"/>
      <c r="H16" s="10">
        <f>IF(G16="","",IFERROR(VLOOKUP(G16,T_ANUG,2,FALSE),0))</f>
        <v/>
      </c>
      <c r="I16" s="11" t="n"/>
      <c r="J16" s="11" t="n"/>
      <c r="K16" s="11" t="n"/>
      <c r="L16" s="11" t="n"/>
      <c r="M16" s="11" t="n"/>
      <c r="N16" s="11" t="n"/>
      <c r="O16" s="11" t="n"/>
      <c r="P16" s="10">
        <f>IF(COUNTA(I16:O16)=0,"",MIN(10,SUM(I16:O16)))</f>
        <v/>
      </c>
      <c r="Q16" s="11" t="n"/>
      <c r="R16" s="10">
        <f>IF(Q16="","",IFERROR(VLOOKUP(Q16,T_NILAM,2,FALSE),0))</f>
        <v/>
      </c>
      <c r="S16" s="11" t="n"/>
      <c r="T16" s="10">
        <f>IF(S16="","",IFERROR(VLOOKUP(S16,T_TIMSS,2,FALSE),0))</f>
        <v/>
      </c>
      <c r="U16" s="19">
        <f>IF(COUNT(F16,H16,P16,R16,T16)=0,"",MIN(10,MAX(F16,H16,P16,R16,T16)))</f>
        <v/>
      </c>
      <c r="V16" s="11" t="n"/>
    </row>
    <row r="17">
      <c r="A17" s="15">
        <f>Murid!A17</f>
        <v/>
      </c>
      <c r="B17" s="15">
        <f>IF(Murid!B17="","",Murid!B17)</f>
        <v/>
      </c>
      <c r="C17" s="16">
        <f>IF(Murid!C17="","",Murid!C17)</f>
        <v/>
      </c>
      <c r="D17" s="15">
        <f>IF(Murid!E17="","",Murid!E17)</f>
        <v/>
      </c>
      <c r="E17" s="11" t="n"/>
      <c r="F17" s="10">
        <f>IF(E17="","",IFERROR(VLOOKUP(E17,T_PERK,2,FALSE),0))</f>
        <v/>
      </c>
      <c r="G17" s="11" t="n"/>
      <c r="H17" s="10">
        <f>IF(G17="","",IFERROR(VLOOKUP(G17,T_ANUG,2,FALSE),0))</f>
        <v/>
      </c>
      <c r="I17" s="11" t="n"/>
      <c r="J17" s="11" t="n"/>
      <c r="K17" s="11" t="n"/>
      <c r="L17" s="11" t="n"/>
      <c r="M17" s="11" t="n"/>
      <c r="N17" s="11" t="n"/>
      <c r="O17" s="11" t="n"/>
      <c r="P17" s="10">
        <f>IF(COUNTA(I17:O17)=0,"",MIN(10,SUM(I17:O17)))</f>
        <v/>
      </c>
      <c r="Q17" s="11" t="n"/>
      <c r="R17" s="10">
        <f>IF(Q17="","",IFERROR(VLOOKUP(Q17,T_NILAM,2,FALSE),0))</f>
        <v/>
      </c>
      <c r="S17" s="11" t="n"/>
      <c r="T17" s="10">
        <f>IF(S17="","",IFERROR(VLOOKUP(S17,T_TIMSS,2,FALSE),0))</f>
        <v/>
      </c>
      <c r="U17" s="19">
        <f>IF(COUNT(F17,H17,P17,R17,T17)=0,"",MIN(10,MAX(F17,H17,P17,R17,T17)))</f>
        <v/>
      </c>
      <c r="V17" s="11" t="n"/>
    </row>
    <row r="18">
      <c r="A18" s="15">
        <f>Murid!A18</f>
        <v/>
      </c>
      <c r="B18" s="15">
        <f>IF(Murid!B18="","",Murid!B18)</f>
        <v/>
      </c>
      <c r="C18" s="16">
        <f>IF(Murid!C18="","",Murid!C18)</f>
        <v/>
      </c>
      <c r="D18" s="15">
        <f>IF(Murid!E18="","",Murid!E18)</f>
        <v/>
      </c>
      <c r="E18" s="11" t="n"/>
      <c r="F18" s="10">
        <f>IF(E18="","",IFERROR(VLOOKUP(E18,T_PERK,2,FALSE),0))</f>
        <v/>
      </c>
      <c r="G18" s="11" t="n"/>
      <c r="H18" s="10">
        <f>IF(G18="","",IFERROR(VLOOKUP(G18,T_ANUG,2,FALSE),0))</f>
        <v/>
      </c>
      <c r="I18" s="11" t="n"/>
      <c r="J18" s="11" t="n"/>
      <c r="K18" s="11" t="n"/>
      <c r="L18" s="11" t="n"/>
      <c r="M18" s="11" t="n"/>
      <c r="N18" s="11" t="n"/>
      <c r="O18" s="11" t="n"/>
      <c r="P18" s="10">
        <f>IF(COUNTA(I18:O18)=0,"",MIN(10,SUM(I18:O18)))</f>
        <v/>
      </c>
      <c r="Q18" s="11" t="n"/>
      <c r="R18" s="10">
        <f>IF(Q18="","",IFERROR(VLOOKUP(Q18,T_NILAM,2,FALSE),0))</f>
        <v/>
      </c>
      <c r="S18" s="11" t="n"/>
      <c r="T18" s="10">
        <f>IF(S18="","",IFERROR(VLOOKUP(S18,T_TIMSS,2,FALSE),0))</f>
        <v/>
      </c>
      <c r="U18" s="19">
        <f>IF(COUNT(F18,H18,P18,R18,T18)=0,"",MIN(10,MAX(F18,H18,P18,R18,T18)))</f>
        <v/>
      </c>
      <c r="V18" s="11" t="n"/>
    </row>
    <row r="19">
      <c r="A19" s="15">
        <f>Murid!A19</f>
        <v/>
      </c>
      <c r="B19" s="15">
        <f>IF(Murid!B19="","",Murid!B19)</f>
        <v/>
      </c>
      <c r="C19" s="16">
        <f>IF(Murid!C19="","",Murid!C19)</f>
        <v/>
      </c>
      <c r="D19" s="15">
        <f>IF(Murid!E19="","",Murid!E19)</f>
        <v/>
      </c>
      <c r="E19" s="11" t="n"/>
      <c r="F19" s="10">
        <f>IF(E19="","",IFERROR(VLOOKUP(E19,T_PERK,2,FALSE),0))</f>
        <v/>
      </c>
      <c r="G19" s="11" t="n"/>
      <c r="H19" s="10">
        <f>IF(G19="","",IFERROR(VLOOKUP(G19,T_ANUG,2,FALSE),0))</f>
        <v/>
      </c>
      <c r="I19" s="11" t="n"/>
      <c r="J19" s="11" t="n"/>
      <c r="K19" s="11" t="n"/>
      <c r="L19" s="11" t="n"/>
      <c r="M19" s="11" t="n"/>
      <c r="N19" s="11" t="n"/>
      <c r="O19" s="11" t="n"/>
      <c r="P19" s="10">
        <f>IF(COUNTA(I19:O19)=0,"",MIN(10,SUM(I19:O19)))</f>
        <v/>
      </c>
      <c r="Q19" s="11" t="n"/>
      <c r="R19" s="10">
        <f>IF(Q19="","",IFERROR(VLOOKUP(Q19,T_NILAM,2,FALSE),0))</f>
        <v/>
      </c>
      <c r="S19" s="11" t="n"/>
      <c r="T19" s="10">
        <f>IF(S19="","",IFERROR(VLOOKUP(S19,T_TIMSS,2,FALSE),0))</f>
        <v/>
      </c>
      <c r="U19" s="19">
        <f>IF(COUNT(F19,H19,P19,R19,T19)=0,"",MIN(10,MAX(F19,H19,P19,R19,T19)))</f>
        <v/>
      </c>
      <c r="V19" s="11" t="n"/>
    </row>
    <row r="20">
      <c r="A20" s="15">
        <f>Murid!A20</f>
        <v/>
      </c>
      <c r="B20" s="15">
        <f>IF(Murid!B20="","",Murid!B20)</f>
        <v/>
      </c>
      <c r="C20" s="16">
        <f>IF(Murid!C20="","",Murid!C20)</f>
        <v/>
      </c>
      <c r="D20" s="15">
        <f>IF(Murid!E20="","",Murid!E20)</f>
        <v/>
      </c>
      <c r="E20" s="11" t="n"/>
      <c r="F20" s="10">
        <f>IF(E20="","",IFERROR(VLOOKUP(E20,T_PERK,2,FALSE),0))</f>
        <v/>
      </c>
      <c r="G20" s="11" t="n"/>
      <c r="H20" s="10">
        <f>IF(G20="","",IFERROR(VLOOKUP(G20,T_ANUG,2,FALSE),0))</f>
        <v/>
      </c>
      <c r="I20" s="11" t="n"/>
      <c r="J20" s="11" t="n"/>
      <c r="K20" s="11" t="n"/>
      <c r="L20" s="11" t="n"/>
      <c r="M20" s="11" t="n"/>
      <c r="N20" s="11" t="n"/>
      <c r="O20" s="11" t="n"/>
      <c r="P20" s="10">
        <f>IF(COUNTA(I20:O20)=0,"",MIN(10,SUM(I20:O20)))</f>
        <v/>
      </c>
      <c r="Q20" s="11" t="n"/>
      <c r="R20" s="10">
        <f>IF(Q20="","",IFERROR(VLOOKUP(Q20,T_NILAM,2,FALSE),0))</f>
        <v/>
      </c>
      <c r="S20" s="11" t="n"/>
      <c r="T20" s="10">
        <f>IF(S20="","",IFERROR(VLOOKUP(S20,T_TIMSS,2,FALSE),0))</f>
        <v/>
      </c>
      <c r="U20" s="19">
        <f>IF(COUNT(F20,H20,P20,R20,T20)=0,"",MIN(10,MAX(F20,H20,P20,R20,T20)))</f>
        <v/>
      </c>
      <c r="V20" s="11" t="n"/>
    </row>
    <row r="21">
      <c r="A21" s="15">
        <f>Murid!A21</f>
        <v/>
      </c>
      <c r="B21" s="15">
        <f>IF(Murid!B21="","",Murid!B21)</f>
        <v/>
      </c>
      <c r="C21" s="16">
        <f>IF(Murid!C21="","",Murid!C21)</f>
        <v/>
      </c>
      <c r="D21" s="15">
        <f>IF(Murid!E21="","",Murid!E21)</f>
        <v/>
      </c>
      <c r="E21" s="11" t="n"/>
      <c r="F21" s="10">
        <f>IF(E21="","",IFERROR(VLOOKUP(E21,T_PERK,2,FALSE),0))</f>
        <v/>
      </c>
      <c r="G21" s="11" t="n"/>
      <c r="H21" s="10">
        <f>IF(G21="","",IFERROR(VLOOKUP(G21,T_ANUG,2,FALSE),0))</f>
        <v/>
      </c>
      <c r="I21" s="11" t="n"/>
      <c r="J21" s="11" t="n"/>
      <c r="K21" s="11" t="n"/>
      <c r="L21" s="11" t="n"/>
      <c r="M21" s="11" t="n"/>
      <c r="N21" s="11" t="n"/>
      <c r="O21" s="11" t="n"/>
      <c r="P21" s="10">
        <f>IF(COUNTA(I21:O21)=0,"",MIN(10,SUM(I21:O21)))</f>
        <v/>
      </c>
      <c r="Q21" s="11" t="n"/>
      <c r="R21" s="10">
        <f>IF(Q21="","",IFERROR(VLOOKUP(Q21,T_NILAM,2,FALSE),0))</f>
        <v/>
      </c>
      <c r="S21" s="11" t="n"/>
      <c r="T21" s="10">
        <f>IF(S21="","",IFERROR(VLOOKUP(S21,T_TIMSS,2,FALSE),0))</f>
        <v/>
      </c>
      <c r="U21" s="19">
        <f>IF(COUNT(F21,H21,P21,R21,T21)=0,"",MIN(10,MAX(F21,H21,P21,R21,T21)))</f>
        <v/>
      </c>
      <c r="V21" s="11" t="n"/>
    </row>
    <row r="22">
      <c r="A22" s="15">
        <f>Murid!A22</f>
        <v/>
      </c>
      <c r="B22" s="15">
        <f>IF(Murid!B22="","",Murid!B22)</f>
        <v/>
      </c>
      <c r="C22" s="16">
        <f>IF(Murid!C22="","",Murid!C22)</f>
        <v/>
      </c>
      <c r="D22" s="15">
        <f>IF(Murid!E22="","",Murid!E22)</f>
        <v/>
      </c>
      <c r="E22" s="11" t="n"/>
      <c r="F22" s="10">
        <f>IF(E22="","",IFERROR(VLOOKUP(E22,T_PERK,2,FALSE),0))</f>
        <v/>
      </c>
      <c r="G22" s="11" t="n"/>
      <c r="H22" s="10">
        <f>IF(G22="","",IFERROR(VLOOKUP(G22,T_ANUG,2,FALSE),0))</f>
        <v/>
      </c>
      <c r="I22" s="11" t="n"/>
      <c r="J22" s="11" t="n"/>
      <c r="K22" s="11" t="n"/>
      <c r="L22" s="11" t="n"/>
      <c r="M22" s="11" t="n"/>
      <c r="N22" s="11" t="n"/>
      <c r="O22" s="11" t="n"/>
      <c r="P22" s="10">
        <f>IF(COUNTA(I22:O22)=0,"",MIN(10,SUM(I22:O22)))</f>
        <v/>
      </c>
      <c r="Q22" s="11" t="n"/>
      <c r="R22" s="10">
        <f>IF(Q22="","",IFERROR(VLOOKUP(Q22,T_NILAM,2,FALSE),0))</f>
        <v/>
      </c>
      <c r="S22" s="11" t="n"/>
      <c r="T22" s="10">
        <f>IF(S22="","",IFERROR(VLOOKUP(S22,T_TIMSS,2,FALSE),0))</f>
        <v/>
      </c>
      <c r="U22" s="19">
        <f>IF(COUNT(F22,H22,P22,R22,T22)=0,"",MIN(10,MAX(F22,H22,P22,R22,T22)))</f>
        <v/>
      </c>
      <c r="V22" s="11" t="n"/>
    </row>
    <row r="23">
      <c r="A23" s="15">
        <f>Murid!A23</f>
        <v/>
      </c>
      <c r="B23" s="15">
        <f>IF(Murid!B23="","",Murid!B23)</f>
        <v/>
      </c>
      <c r="C23" s="16">
        <f>IF(Murid!C23="","",Murid!C23)</f>
        <v/>
      </c>
      <c r="D23" s="15">
        <f>IF(Murid!E23="","",Murid!E23)</f>
        <v/>
      </c>
      <c r="E23" s="11" t="n"/>
      <c r="F23" s="10">
        <f>IF(E23="","",IFERROR(VLOOKUP(E23,T_PERK,2,FALSE),0))</f>
        <v/>
      </c>
      <c r="G23" s="11" t="n"/>
      <c r="H23" s="10">
        <f>IF(G23="","",IFERROR(VLOOKUP(G23,T_ANUG,2,FALSE),0))</f>
        <v/>
      </c>
      <c r="I23" s="11" t="n"/>
      <c r="J23" s="11" t="n"/>
      <c r="K23" s="11" t="n"/>
      <c r="L23" s="11" t="n"/>
      <c r="M23" s="11" t="n"/>
      <c r="N23" s="11" t="n"/>
      <c r="O23" s="11" t="n"/>
      <c r="P23" s="10">
        <f>IF(COUNTA(I23:O23)=0,"",MIN(10,SUM(I23:O23)))</f>
        <v/>
      </c>
      <c r="Q23" s="11" t="n"/>
      <c r="R23" s="10">
        <f>IF(Q23="","",IFERROR(VLOOKUP(Q23,T_NILAM,2,FALSE),0))</f>
        <v/>
      </c>
      <c r="S23" s="11" t="n"/>
      <c r="T23" s="10">
        <f>IF(S23="","",IFERROR(VLOOKUP(S23,T_TIMSS,2,FALSE),0))</f>
        <v/>
      </c>
      <c r="U23" s="19">
        <f>IF(COUNT(F23,H23,P23,R23,T23)=0,"",MIN(10,MAX(F23,H23,P23,R23,T23)))</f>
        <v/>
      </c>
      <c r="V23" s="11" t="n"/>
    </row>
    <row r="24">
      <c r="A24" s="15">
        <f>Murid!A24</f>
        <v/>
      </c>
      <c r="B24" s="15">
        <f>IF(Murid!B24="","",Murid!B24)</f>
        <v/>
      </c>
      <c r="C24" s="16">
        <f>IF(Murid!C24="","",Murid!C24)</f>
        <v/>
      </c>
      <c r="D24" s="15">
        <f>IF(Murid!E24="","",Murid!E24)</f>
        <v/>
      </c>
      <c r="E24" s="11" t="n"/>
      <c r="F24" s="10">
        <f>IF(E24="","",IFERROR(VLOOKUP(E24,T_PERK,2,FALSE),0))</f>
        <v/>
      </c>
      <c r="G24" s="11" t="n"/>
      <c r="H24" s="10">
        <f>IF(G24="","",IFERROR(VLOOKUP(G24,T_ANUG,2,FALSE),0))</f>
        <v/>
      </c>
      <c r="I24" s="11" t="n"/>
      <c r="J24" s="11" t="n"/>
      <c r="K24" s="11" t="n"/>
      <c r="L24" s="11" t="n"/>
      <c r="M24" s="11" t="n"/>
      <c r="N24" s="11" t="n"/>
      <c r="O24" s="11" t="n"/>
      <c r="P24" s="10">
        <f>IF(COUNTA(I24:O24)=0,"",MIN(10,SUM(I24:O24)))</f>
        <v/>
      </c>
      <c r="Q24" s="11" t="n"/>
      <c r="R24" s="10">
        <f>IF(Q24="","",IFERROR(VLOOKUP(Q24,T_NILAM,2,FALSE),0))</f>
        <v/>
      </c>
      <c r="S24" s="11" t="n"/>
      <c r="T24" s="10">
        <f>IF(S24="","",IFERROR(VLOOKUP(S24,T_TIMSS,2,FALSE),0))</f>
        <v/>
      </c>
      <c r="U24" s="19">
        <f>IF(COUNT(F24,H24,P24,R24,T24)=0,"",MIN(10,MAX(F24,H24,P24,R24,T24)))</f>
        <v/>
      </c>
      <c r="V24" s="11" t="n"/>
    </row>
    <row r="25">
      <c r="A25" s="15">
        <f>Murid!A25</f>
        <v/>
      </c>
      <c r="B25" s="15">
        <f>IF(Murid!B25="","",Murid!B25)</f>
        <v/>
      </c>
      <c r="C25" s="16">
        <f>IF(Murid!C25="","",Murid!C25)</f>
        <v/>
      </c>
      <c r="D25" s="15">
        <f>IF(Murid!E25="","",Murid!E25)</f>
        <v/>
      </c>
      <c r="E25" s="11" t="n"/>
      <c r="F25" s="10">
        <f>IF(E25="","",IFERROR(VLOOKUP(E25,T_PERK,2,FALSE),0))</f>
        <v/>
      </c>
      <c r="G25" s="11" t="n"/>
      <c r="H25" s="10">
        <f>IF(G25="","",IFERROR(VLOOKUP(G25,T_ANUG,2,FALSE),0))</f>
        <v/>
      </c>
      <c r="I25" s="11" t="n"/>
      <c r="J25" s="11" t="n"/>
      <c r="K25" s="11" t="n"/>
      <c r="L25" s="11" t="n"/>
      <c r="M25" s="11" t="n"/>
      <c r="N25" s="11" t="n"/>
      <c r="O25" s="11" t="n"/>
      <c r="P25" s="10">
        <f>IF(COUNTA(I25:O25)=0,"",MIN(10,SUM(I25:O25)))</f>
        <v/>
      </c>
      <c r="Q25" s="11" t="n"/>
      <c r="R25" s="10">
        <f>IF(Q25="","",IFERROR(VLOOKUP(Q25,T_NILAM,2,FALSE),0))</f>
        <v/>
      </c>
      <c r="S25" s="11" t="n"/>
      <c r="T25" s="10">
        <f>IF(S25="","",IFERROR(VLOOKUP(S25,T_TIMSS,2,FALSE),0))</f>
        <v/>
      </c>
      <c r="U25" s="19">
        <f>IF(COUNT(F25,H25,P25,R25,T25)=0,"",MIN(10,MAX(F25,H25,P25,R25,T25)))</f>
        <v/>
      </c>
      <c r="V25" s="11" t="n"/>
    </row>
    <row r="26">
      <c r="A26" s="15">
        <f>Murid!A26</f>
        <v/>
      </c>
      <c r="B26" s="15">
        <f>IF(Murid!B26="","",Murid!B26)</f>
        <v/>
      </c>
      <c r="C26" s="16">
        <f>IF(Murid!C26="","",Murid!C26)</f>
        <v/>
      </c>
      <c r="D26" s="15">
        <f>IF(Murid!E26="","",Murid!E26)</f>
        <v/>
      </c>
      <c r="E26" s="11" t="n"/>
      <c r="F26" s="10">
        <f>IF(E26="","",IFERROR(VLOOKUP(E26,T_PERK,2,FALSE),0))</f>
        <v/>
      </c>
      <c r="G26" s="11" t="n"/>
      <c r="H26" s="10">
        <f>IF(G26="","",IFERROR(VLOOKUP(G26,T_ANUG,2,FALSE),0))</f>
        <v/>
      </c>
      <c r="I26" s="11" t="n"/>
      <c r="J26" s="11" t="n"/>
      <c r="K26" s="11" t="n"/>
      <c r="L26" s="11" t="n"/>
      <c r="M26" s="11" t="n"/>
      <c r="N26" s="11" t="n"/>
      <c r="O26" s="11" t="n"/>
      <c r="P26" s="10">
        <f>IF(COUNTA(I26:O26)=0,"",MIN(10,SUM(I26:O26)))</f>
        <v/>
      </c>
      <c r="Q26" s="11" t="n"/>
      <c r="R26" s="10">
        <f>IF(Q26="","",IFERROR(VLOOKUP(Q26,T_NILAM,2,FALSE),0))</f>
        <v/>
      </c>
      <c r="S26" s="11" t="n"/>
      <c r="T26" s="10">
        <f>IF(S26="","",IFERROR(VLOOKUP(S26,T_TIMSS,2,FALSE),0))</f>
        <v/>
      </c>
      <c r="U26" s="19">
        <f>IF(COUNT(F26,H26,P26,R26,T26)=0,"",MIN(10,MAX(F26,H26,P26,R26,T26)))</f>
        <v/>
      </c>
      <c r="V26" s="11" t="n"/>
    </row>
    <row r="27">
      <c r="A27" s="15">
        <f>Murid!A27</f>
        <v/>
      </c>
      <c r="B27" s="15">
        <f>IF(Murid!B27="","",Murid!B27)</f>
        <v/>
      </c>
      <c r="C27" s="16">
        <f>IF(Murid!C27="","",Murid!C27)</f>
        <v/>
      </c>
      <c r="D27" s="15">
        <f>IF(Murid!E27="","",Murid!E27)</f>
        <v/>
      </c>
      <c r="E27" s="11" t="n"/>
      <c r="F27" s="10">
        <f>IF(E27="","",IFERROR(VLOOKUP(E27,T_PERK,2,FALSE),0))</f>
        <v/>
      </c>
      <c r="G27" s="11" t="n"/>
      <c r="H27" s="10">
        <f>IF(G27="","",IFERROR(VLOOKUP(G27,T_ANUG,2,FALSE),0))</f>
        <v/>
      </c>
      <c r="I27" s="11" t="n"/>
      <c r="J27" s="11" t="n"/>
      <c r="K27" s="11" t="n"/>
      <c r="L27" s="11" t="n"/>
      <c r="M27" s="11" t="n"/>
      <c r="N27" s="11" t="n"/>
      <c r="O27" s="11" t="n"/>
      <c r="P27" s="10">
        <f>IF(COUNTA(I27:O27)=0,"",MIN(10,SUM(I27:O27)))</f>
        <v/>
      </c>
      <c r="Q27" s="11" t="n"/>
      <c r="R27" s="10">
        <f>IF(Q27="","",IFERROR(VLOOKUP(Q27,T_NILAM,2,FALSE),0))</f>
        <v/>
      </c>
      <c r="S27" s="11" t="n"/>
      <c r="T27" s="10">
        <f>IF(S27="","",IFERROR(VLOOKUP(S27,T_TIMSS,2,FALSE),0))</f>
        <v/>
      </c>
      <c r="U27" s="19">
        <f>IF(COUNT(F27,H27,P27,R27,T27)=0,"",MIN(10,MAX(F27,H27,P27,R27,T27)))</f>
        <v/>
      </c>
      <c r="V27" s="11" t="n"/>
    </row>
    <row r="28">
      <c r="A28" s="15">
        <f>Murid!A28</f>
        <v/>
      </c>
      <c r="B28" s="15">
        <f>IF(Murid!B28="","",Murid!B28)</f>
        <v/>
      </c>
      <c r="C28" s="16">
        <f>IF(Murid!C28="","",Murid!C28)</f>
        <v/>
      </c>
      <c r="D28" s="15">
        <f>IF(Murid!E28="","",Murid!E28)</f>
        <v/>
      </c>
      <c r="E28" s="11" t="n"/>
      <c r="F28" s="10">
        <f>IF(E28="","",IFERROR(VLOOKUP(E28,T_PERK,2,FALSE),0))</f>
        <v/>
      </c>
      <c r="G28" s="11" t="n"/>
      <c r="H28" s="10">
        <f>IF(G28="","",IFERROR(VLOOKUP(G28,T_ANUG,2,FALSE),0))</f>
        <v/>
      </c>
      <c r="I28" s="11" t="n"/>
      <c r="J28" s="11" t="n"/>
      <c r="K28" s="11" t="n"/>
      <c r="L28" s="11" t="n"/>
      <c r="M28" s="11" t="n"/>
      <c r="N28" s="11" t="n"/>
      <c r="O28" s="11" t="n"/>
      <c r="P28" s="10">
        <f>IF(COUNTA(I28:O28)=0,"",MIN(10,SUM(I28:O28)))</f>
        <v/>
      </c>
      <c r="Q28" s="11" t="n"/>
      <c r="R28" s="10">
        <f>IF(Q28="","",IFERROR(VLOOKUP(Q28,T_NILAM,2,FALSE),0))</f>
        <v/>
      </c>
      <c r="S28" s="11" t="n"/>
      <c r="T28" s="10">
        <f>IF(S28="","",IFERROR(VLOOKUP(S28,T_TIMSS,2,FALSE),0))</f>
        <v/>
      </c>
      <c r="U28" s="19">
        <f>IF(COUNT(F28,H28,P28,R28,T28)=0,"",MIN(10,MAX(F28,H28,P28,R28,T28)))</f>
        <v/>
      </c>
      <c r="V28" s="11" t="n"/>
    </row>
    <row r="29">
      <c r="A29" s="15">
        <f>Murid!A29</f>
        <v/>
      </c>
      <c r="B29" s="15">
        <f>IF(Murid!B29="","",Murid!B29)</f>
        <v/>
      </c>
      <c r="C29" s="16">
        <f>IF(Murid!C29="","",Murid!C29)</f>
        <v/>
      </c>
      <c r="D29" s="15">
        <f>IF(Murid!E29="","",Murid!E29)</f>
        <v/>
      </c>
      <c r="E29" s="11" t="n"/>
      <c r="F29" s="10">
        <f>IF(E29="","",IFERROR(VLOOKUP(E29,T_PERK,2,FALSE),0))</f>
        <v/>
      </c>
      <c r="G29" s="11" t="n"/>
      <c r="H29" s="10">
        <f>IF(G29="","",IFERROR(VLOOKUP(G29,T_ANUG,2,FALSE),0))</f>
        <v/>
      </c>
      <c r="I29" s="11" t="n"/>
      <c r="J29" s="11" t="n"/>
      <c r="K29" s="11" t="n"/>
      <c r="L29" s="11" t="n"/>
      <c r="M29" s="11" t="n"/>
      <c r="N29" s="11" t="n"/>
      <c r="O29" s="11" t="n"/>
      <c r="P29" s="10">
        <f>IF(COUNTA(I29:O29)=0,"",MIN(10,SUM(I29:O29)))</f>
        <v/>
      </c>
      <c r="Q29" s="11" t="n"/>
      <c r="R29" s="10">
        <f>IF(Q29="","",IFERROR(VLOOKUP(Q29,T_NILAM,2,FALSE),0))</f>
        <v/>
      </c>
      <c r="S29" s="11" t="n"/>
      <c r="T29" s="10">
        <f>IF(S29="","",IFERROR(VLOOKUP(S29,T_TIMSS,2,FALSE),0))</f>
        <v/>
      </c>
      <c r="U29" s="19">
        <f>IF(COUNT(F29,H29,P29,R29,T29)=0,"",MIN(10,MAX(F29,H29,P29,R29,T29)))</f>
        <v/>
      </c>
      <c r="V29" s="11" t="n"/>
    </row>
    <row r="30">
      <c r="A30" s="15">
        <f>Murid!A30</f>
        <v/>
      </c>
      <c r="B30" s="15">
        <f>IF(Murid!B30="","",Murid!B30)</f>
        <v/>
      </c>
      <c r="C30" s="16">
        <f>IF(Murid!C30="","",Murid!C30)</f>
        <v/>
      </c>
      <c r="D30" s="15">
        <f>IF(Murid!E30="","",Murid!E30)</f>
        <v/>
      </c>
      <c r="E30" s="11" t="n"/>
      <c r="F30" s="10">
        <f>IF(E30="","",IFERROR(VLOOKUP(E30,T_PERK,2,FALSE),0))</f>
        <v/>
      </c>
      <c r="G30" s="11" t="n"/>
      <c r="H30" s="10">
        <f>IF(G30="","",IFERROR(VLOOKUP(G30,T_ANUG,2,FALSE),0))</f>
        <v/>
      </c>
      <c r="I30" s="11" t="n"/>
      <c r="J30" s="11" t="n"/>
      <c r="K30" s="11" t="n"/>
      <c r="L30" s="11" t="n"/>
      <c r="M30" s="11" t="n"/>
      <c r="N30" s="11" t="n"/>
      <c r="O30" s="11" t="n"/>
      <c r="P30" s="10">
        <f>IF(COUNTA(I30:O30)=0,"",MIN(10,SUM(I30:O30)))</f>
        <v/>
      </c>
      <c r="Q30" s="11" t="n"/>
      <c r="R30" s="10">
        <f>IF(Q30="","",IFERROR(VLOOKUP(Q30,T_NILAM,2,FALSE),0))</f>
        <v/>
      </c>
      <c r="S30" s="11" t="n"/>
      <c r="T30" s="10">
        <f>IF(S30="","",IFERROR(VLOOKUP(S30,T_TIMSS,2,FALSE),0))</f>
        <v/>
      </c>
      <c r="U30" s="19">
        <f>IF(COUNT(F30,H30,P30,R30,T30)=0,"",MIN(10,MAX(F30,H30,P30,R30,T30)))</f>
        <v/>
      </c>
      <c r="V30" s="11" t="n"/>
    </row>
    <row r="31">
      <c r="A31" s="15">
        <f>Murid!A31</f>
        <v/>
      </c>
      <c r="B31" s="15">
        <f>IF(Murid!B31="","",Murid!B31)</f>
        <v/>
      </c>
      <c r="C31" s="16">
        <f>IF(Murid!C31="","",Murid!C31)</f>
        <v/>
      </c>
      <c r="D31" s="15">
        <f>IF(Murid!E31="","",Murid!E31)</f>
        <v/>
      </c>
      <c r="E31" s="11" t="n"/>
      <c r="F31" s="10">
        <f>IF(E31="","",IFERROR(VLOOKUP(E31,T_PERK,2,FALSE),0))</f>
        <v/>
      </c>
      <c r="G31" s="11" t="n"/>
      <c r="H31" s="10">
        <f>IF(G31="","",IFERROR(VLOOKUP(G31,T_ANUG,2,FALSE),0))</f>
        <v/>
      </c>
      <c r="I31" s="11" t="n"/>
      <c r="J31" s="11" t="n"/>
      <c r="K31" s="11" t="n"/>
      <c r="L31" s="11" t="n"/>
      <c r="M31" s="11" t="n"/>
      <c r="N31" s="11" t="n"/>
      <c r="O31" s="11" t="n"/>
      <c r="P31" s="10">
        <f>IF(COUNTA(I31:O31)=0,"",MIN(10,SUM(I31:O31)))</f>
        <v/>
      </c>
      <c r="Q31" s="11" t="n"/>
      <c r="R31" s="10">
        <f>IF(Q31="","",IFERROR(VLOOKUP(Q31,T_NILAM,2,FALSE),0))</f>
        <v/>
      </c>
      <c r="S31" s="11" t="n"/>
      <c r="T31" s="10">
        <f>IF(S31="","",IFERROR(VLOOKUP(S31,T_TIMSS,2,FALSE),0))</f>
        <v/>
      </c>
      <c r="U31" s="19">
        <f>IF(COUNT(F31,H31,P31,R31,T31)=0,"",MIN(10,MAX(F31,H31,P31,R31,T31)))</f>
        <v/>
      </c>
      <c r="V31" s="11" t="n"/>
    </row>
    <row r="32">
      <c r="A32" s="15">
        <f>Murid!A32</f>
        <v/>
      </c>
      <c r="B32" s="15">
        <f>IF(Murid!B32="","",Murid!B32)</f>
        <v/>
      </c>
      <c r="C32" s="16">
        <f>IF(Murid!C32="","",Murid!C32)</f>
        <v/>
      </c>
      <c r="D32" s="15">
        <f>IF(Murid!E32="","",Murid!E32)</f>
        <v/>
      </c>
      <c r="E32" s="11" t="n"/>
      <c r="F32" s="10">
        <f>IF(E32="","",IFERROR(VLOOKUP(E32,T_PERK,2,FALSE),0))</f>
        <v/>
      </c>
      <c r="G32" s="11" t="n"/>
      <c r="H32" s="10">
        <f>IF(G32="","",IFERROR(VLOOKUP(G32,T_ANUG,2,FALSE),0))</f>
        <v/>
      </c>
      <c r="I32" s="11" t="n"/>
      <c r="J32" s="11" t="n"/>
      <c r="K32" s="11" t="n"/>
      <c r="L32" s="11" t="n"/>
      <c r="M32" s="11" t="n"/>
      <c r="N32" s="11" t="n"/>
      <c r="O32" s="11" t="n"/>
      <c r="P32" s="10">
        <f>IF(COUNTA(I32:O32)=0,"",MIN(10,SUM(I32:O32)))</f>
        <v/>
      </c>
      <c r="Q32" s="11" t="n"/>
      <c r="R32" s="10">
        <f>IF(Q32="","",IFERROR(VLOOKUP(Q32,T_NILAM,2,FALSE),0))</f>
        <v/>
      </c>
      <c r="S32" s="11" t="n"/>
      <c r="T32" s="10">
        <f>IF(S32="","",IFERROR(VLOOKUP(S32,T_TIMSS,2,FALSE),0))</f>
        <v/>
      </c>
      <c r="U32" s="19">
        <f>IF(COUNT(F32,H32,P32,R32,T32)=0,"",MIN(10,MAX(F32,H32,P32,R32,T32)))</f>
        <v/>
      </c>
      <c r="V32" s="11" t="n"/>
    </row>
    <row r="33">
      <c r="A33" s="15">
        <f>Murid!A33</f>
        <v/>
      </c>
      <c r="B33" s="15">
        <f>IF(Murid!B33="","",Murid!B33)</f>
        <v/>
      </c>
      <c r="C33" s="16">
        <f>IF(Murid!C33="","",Murid!C33)</f>
        <v/>
      </c>
      <c r="D33" s="15">
        <f>IF(Murid!E33="","",Murid!E33)</f>
        <v/>
      </c>
      <c r="E33" s="11" t="n"/>
      <c r="F33" s="10">
        <f>IF(E33="","",IFERROR(VLOOKUP(E33,T_PERK,2,FALSE),0))</f>
        <v/>
      </c>
      <c r="G33" s="11" t="n"/>
      <c r="H33" s="10">
        <f>IF(G33="","",IFERROR(VLOOKUP(G33,T_ANUG,2,FALSE),0))</f>
        <v/>
      </c>
      <c r="I33" s="11" t="n"/>
      <c r="J33" s="11" t="n"/>
      <c r="K33" s="11" t="n"/>
      <c r="L33" s="11" t="n"/>
      <c r="M33" s="11" t="n"/>
      <c r="N33" s="11" t="n"/>
      <c r="O33" s="11" t="n"/>
      <c r="P33" s="10">
        <f>IF(COUNTA(I33:O33)=0,"",MIN(10,SUM(I33:O33)))</f>
        <v/>
      </c>
      <c r="Q33" s="11" t="n"/>
      <c r="R33" s="10">
        <f>IF(Q33="","",IFERROR(VLOOKUP(Q33,T_NILAM,2,FALSE),0))</f>
        <v/>
      </c>
      <c r="S33" s="11" t="n"/>
      <c r="T33" s="10">
        <f>IF(S33="","",IFERROR(VLOOKUP(S33,T_TIMSS,2,FALSE),0))</f>
        <v/>
      </c>
      <c r="U33" s="19">
        <f>IF(COUNT(F33,H33,P33,R33,T33)=0,"",MIN(10,MAX(F33,H33,P33,R33,T33)))</f>
        <v/>
      </c>
      <c r="V33" s="11" t="n"/>
    </row>
    <row r="34">
      <c r="A34" s="15">
        <f>Murid!A34</f>
        <v/>
      </c>
      <c r="B34" s="15">
        <f>IF(Murid!B34="","",Murid!B34)</f>
        <v/>
      </c>
      <c r="C34" s="16">
        <f>IF(Murid!C34="","",Murid!C34)</f>
        <v/>
      </c>
      <c r="D34" s="15">
        <f>IF(Murid!E34="","",Murid!E34)</f>
        <v/>
      </c>
      <c r="E34" s="11" t="n"/>
      <c r="F34" s="10">
        <f>IF(E34="","",IFERROR(VLOOKUP(E34,T_PERK,2,FALSE),0))</f>
        <v/>
      </c>
      <c r="G34" s="11" t="n"/>
      <c r="H34" s="10">
        <f>IF(G34="","",IFERROR(VLOOKUP(G34,T_ANUG,2,FALSE),0))</f>
        <v/>
      </c>
      <c r="I34" s="11" t="n"/>
      <c r="J34" s="11" t="n"/>
      <c r="K34" s="11" t="n"/>
      <c r="L34" s="11" t="n"/>
      <c r="M34" s="11" t="n"/>
      <c r="N34" s="11" t="n"/>
      <c r="O34" s="11" t="n"/>
      <c r="P34" s="10">
        <f>IF(COUNTA(I34:O34)=0,"",MIN(10,SUM(I34:O34)))</f>
        <v/>
      </c>
      <c r="Q34" s="11" t="n"/>
      <c r="R34" s="10">
        <f>IF(Q34="","",IFERROR(VLOOKUP(Q34,T_NILAM,2,FALSE),0))</f>
        <v/>
      </c>
      <c r="S34" s="11" t="n"/>
      <c r="T34" s="10">
        <f>IF(S34="","",IFERROR(VLOOKUP(S34,T_TIMSS,2,FALSE),0))</f>
        <v/>
      </c>
      <c r="U34" s="19">
        <f>IF(COUNT(F34,H34,P34,R34,T34)=0,"",MIN(10,MAX(F34,H34,P34,R34,T34)))</f>
        <v/>
      </c>
      <c r="V34" s="11" t="n"/>
    </row>
    <row r="35">
      <c r="A35" s="15">
        <f>Murid!A35</f>
        <v/>
      </c>
      <c r="B35" s="15">
        <f>IF(Murid!B35="","",Murid!B35)</f>
        <v/>
      </c>
      <c r="C35" s="16">
        <f>IF(Murid!C35="","",Murid!C35)</f>
        <v/>
      </c>
      <c r="D35" s="15">
        <f>IF(Murid!E35="","",Murid!E35)</f>
        <v/>
      </c>
      <c r="E35" s="11" t="n"/>
      <c r="F35" s="10">
        <f>IF(E35="","",IFERROR(VLOOKUP(E35,T_PERK,2,FALSE),0))</f>
        <v/>
      </c>
      <c r="G35" s="11" t="n"/>
      <c r="H35" s="10">
        <f>IF(G35="","",IFERROR(VLOOKUP(G35,T_ANUG,2,FALSE),0))</f>
        <v/>
      </c>
      <c r="I35" s="11" t="n"/>
      <c r="J35" s="11" t="n"/>
      <c r="K35" s="11" t="n"/>
      <c r="L35" s="11" t="n"/>
      <c r="M35" s="11" t="n"/>
      <c r="N35" s="11" t="n"/>
      <c r="O35" s="11" t="n"/>
      <c r="P35" s="10">
        <f>IF(COUNTA(I35:O35)=0,"",MIN(10,SUM(I35:O35)))</f>
        <v/>
      </c>
      <c r="Q35" s="11" t="n"/>
      <c r="R35" s="10">
        <f>IF(Q35="","",IFERROR(VLOOKUP(Q35,T_NILAM,2,FALSE),0))</f>
        <v/>
      </c>
      <c r="S35" s="11" t="n"/>
      <c r="T35" s="10">
        <f>IF(S35="","",IFERROR(VLOOKUP(S35,T_TIMSS,2,FALSE),0))</f>
        <v/>
      </c>
      <c r="U35" s="19">
        <f>IF(COUNT(F35,H35,P35,R35,T35)=0,"",MIN(10,MAX(F35,H35,P35,R35,T35)))</f>
        <v/>
      </c>
      <c r="V35" s="11" t="n"/>
    </row>
    <row r="36">
      <c r="A36" s="15">
        <f>Murid!A36</f>
        <v/>
      </c>
      <c r="B36" s="15">
        <f>IF(Murid!B36="","",Murid!B36)</f>
        <v/>
      </c>
      <c r="C36" s="16">
        <f>IF(Murid!C36="","",Murid!C36)</f>
        <v/>
      </c>
      <c r="D36" s="15">
        <f>IF(Murid!E36="","",Murid!E36)</f>
        <v/>
      </c>
      <c r="E36" s="11" t="n"/>
      <c r="F36" s="10">
        <f>IF(E36="","",IFERROR(VLOOKUP(E36,T_PERK,2,FALSE),0))</f>
        <v/>
      </c>
      <c r="G36" s="11" t="n"/>
      <c r="H36" s="10">
        <f>IF(G36="","",IFERROR(VLOOKUP(G36,T_ANUG,2,FALSE),0))</f>
        <v/>
      </c>
      <c r="I36" s="11" t="n"/>
      <c r="J36" s="11" t="n"/>
      <c r="K36" s="11" t="n"/>
      <c r="L36" s="11" t="n"/>
      <c r="M36" s="11" t="n"/>
      <c r="N36" s="11" t="n"/>
      <c r="O36" s="11" t="n"/>
      <c r="P36" s="10">
        <f>IF(COUNTA(I36:O36)=0,"",MIN(10,SUM(I36:O36)))</f>
        <v/>
      </c>
      <c r="Q36" s="11" t="n"/>
      <c r="R36" s="10">
        <f>IF(Q36="","",IFERROR(VLOOKUP(Q36,T_NILAM,2,FALSE),0))</f>
        <v/>
      </c>
      <c r="S36" s="11" t="n"/>
      <c r="T36" s="10">
        <f>IF(S36="","",IFERROR(VLOOKUP(S36,T_TIMSS,2,FALSE),0))</f>
        <v/>
      </c>
      <c r="U36" s="19">
        <f>IF(COUNT(F36,H36,P36,R36,T36)=0,"",MIN(10,MAX(F36,H36,P36,R36,T36)))</f>
        <v/>
      </c>
      <c r="V36" s="11" t="n"/>
    </row>
    <row r="37">
      <c r="A37" s="15">
        <f>Murid!A37</f>
        <v/>
      </c>
      <c r="B37" s="15">
        <f>IF(Murid!B37="","",Murid!B37)</f>
        <v/>
      </c>
      <c r="C37" s="16">
        <f>IF(Murid!C37="","",Murid!C37)</f>
        <v/>
      </c>
      <c r="D37" s="15">
        <f>IF(Murid!E37="","",Murid!E37)</f>
        <v/>
      </c>
      <c r="E37" s="11" t="n"/>
      <c r="F37" s="10">
        <f>IF(E37="","",IFERROR(VLOOKUP(E37,T_PERK,2,FALSE),0))</f>
        <v/>
      </c>
      <c r="G37" s="11" t="n"/>
      <c r="H37" s="10">
        <f>IF(G37="","",IFERROR(VLOOKUP(G37,T_ANUG,2,FALSE),0))</f>
        <v/>
      </c>
      <c r="I37" s="11" t="n"/>
      <c r="J37" s="11" t="n"/>
      <c r="K37" s="11" t="n"/>
      <c r="L37" s="11" t="n"/>
      <c r="M37" s="11" t="n"/>
      <c r="N37" s="11" t="n"/>
      <c r="O37" s="11" t="n"/>
      <c r="P37" s="10">
        <f>IF(COUNTA(I37:O37)=0,"",MIN(10,SUM(I37:O37)))</f>
        <v/>
      </c>
      <c r="Q37" s="11" t="n"/>
      <c r="R37" s="10">
        <f>IF(Q37="","",IFERROR(VLOOKUP(Q37,T_NILAM,2,FALSE),0))</f>
        <v/>
      </c>
      <c r="S37" s="11" t="n"/>
      <c r="T37" s="10">
        <f>IF(S37="","",IFERROR(VLOOKUP(S37,T_TIMSS,2,FALSE),0))</f>
        <v/>
      </c>
      <c r="U37" s="19">
        <f>IF(COUNT(F37,H37,P37,R37,T37)=0,"",MIN(10,MAX(F37,H37,P37,R37,T37)))</f>
        <v/>
      </c>
      <c r="V37" s="11" t="n"/>
    </row>
    <row r="38">
      <c r="A38" s="15">
        <f>Murid!A38</f>
        <v/>
      </c>
      <c r="B38" s="15">
        <f>IF(Murid!B38="","",Murid!B38)</f>
        <v/>
      </c>
      <c r="C38" s="16">
        <f>IF(Murid!C38="","",Murid!C38)</f>
        <v/>
      </c>
      <c r="D38" s="15">
        <f>IF(Murid!E38="","",Murid!E38)</f>
        <v/>
      </c>
      <c r="E38" s="11" t="n"/>
      <c r="F38" s="10">
        <f>IF(E38="","",IFERROR(VLOOKUP(E38,T_PERK,2,FALSE),0))</f>
        <v/>
      </c>
      <c r="G38" s="11" t="n"/>
      <c r="H38" s="10">
        <f>IF(G38="","",IFERROR(VLOOKUP(G38,T_ANUG,2,FALSE),0))</f>
        <v/>
      </c>
      <c r="I38" s="11" t="n"/>
      <c r="J38" s="11" t="n"/>
      <c r="K38" s="11" t="n"/>
      <c r="L38" s="11" t="n"/>
      <c r="M38" s="11" t="n"/>
      <c r="N38" s="11" t="n"/>
      <c r="O38" s="11" t="n"/>
      <c r="P38" s="10">
        <f>IF(COUNTA(I38:O38)=0,"",MIN(10,SUM(I38:O38)))</f>
        <v/>
      </c>
      <c r="Q38" s="11" t="n"/>
      <c r="R38" s="10">
        <f>IF(Q38="","",IFERROR(VLOOKUP(Q38,T_NILAM,2,FALSE),0))</f>
        <v/>
      </c>
      <c r="S38" s="11" t="n"/>
      <c r="T38" s="10">
        <f>IF(S38="","",IFERROR(VLOOKUP(S38,T_TIMSS,2,FALSE),0))</f>
        <v/>
      </c>
      <c r="U38" s="19">
        <f>IF(COUNT(F38,H38,P38,R38,T38)=0,"",MIN(10,MAX(F38,H38,P38,R38,T38)))</f>
        <v/>
      </c>
      <c r="V38" s="11" t="n"/>
    </row>
    <row r="39">
      <c r="A39" s="15">
        <f>Murid!A39</f>
        <v/>
      </c>
      <c r="B39" s="15">
        <f>IF(Murid!B39="","",Murid!B39)</f>
        <v/>
      </c>
      <c r="C39" s="16">
        <f>IF(Murid!C39="","",Murid!C39)</f>
        <v/>
      </c>
      <c r="D39" s="15">
        <f>IF(Murid!E39="","",Murid!E39)</f>
        <v/>
      </c>
      <c r="E39" s="11" t="n"/>
      <c r="F39" s="10">
        <f>IF(E39="","",IFERROR(VLOOKUP(E39,T_PERK,2,FALSE),0))</f>
        <v/>
      </c>
      <c r="G39" s="11" t="n"/>
      <c r="H39" s="10">
        <f>IF(G39="","",IFERROR(VLOOKUP(G39,T_ANUG,2,FALSE),0))</f>
        <v/>
      </c>
      <c r="I39" s="11" t="n"/>
      <c r="J39" s="11" t="n"/>
      <c r="K39" s="11" t="n"/>
      <c r="L39" s="11" t="n"/>
      <c r="M39" s="11" t="n"/>
      <c r="N39" s="11" t="n"/>
      <c r="O39" s="11" t="n"/>
      <c r="P39" s="10">
        <f>IF(COUNTA(I39:O39)=0,"",MIN(10,SUM(I39:O39)))</f>
        <v/>
      </c>
      <c r="Q39" s="11" t="n"/>
      <c r="R39" s="10">
        <f>IF(Q39="","",IFERROR(VLOOKUP(Q39,T_NILAM,2,FALSE),0))</f>
        <v/>
      </c>
      <c r="S39" s="11" t="n"/>
      <c r="T39" s="10">
        <f>IF(S39="","",IFERROR(VLOOKUP(S39,T_TIMSS,2,FALSE),0))</f>
        <v/>
      </c>
      <c r="U39" s="19">
        <f>IF(COUNT(F39,H39,P39,R39,T39)=0,"",MIN(10,MAX(F39,H39,P39,R39,T39)))</f>
        <v/>
      </c>
      <c r="V39" s="11" t="n"/>
    </row>
    <row r="40">
      <c r="A40" s="15">
        <f>Murid!A40</f>
        <v/>
      </c>
      <c r="B40" s="15">
        <f>IF(Murid!B40="","",Murid!B40)</f>
        <v/>
      </c>
      <c r="C40" s="16">
        <f>IF(Murid!C40="","",Murid!C40)</f>
        <v/>
      </c>
      <c r="D40" s="15">
        <f>IF(Murid!E40="","",Murid!E40)</f>
        <v/>
      </c>
      <c r="E40" s="11" t="n"/>
      <c r="F40" s="10">
        <f>IF(E40="","",IFERROR(VLOOKUP(E40,T_PERK,2,FALSE),0))</f>
        <v/>
      </c>
      <c r="G40" s="11" t="n"/>
      <c r="H40" s="10">
        <f>IF(G40="","",IFERROR(VLOOKUP(G40,T_ANUG,2,FALSE),0))</f>
        <v/>
      </c>
      <c r="I40" s="11" t="n"/>
      <c r="J40" s="11" t="n"/>
      <c r="K40" s="11" t="n"/>
      <c r="L40" s="11" t="n"/>
      <c r="M40" s="11" t="n"/>
      <c r="N40" s="11" t="n"/>
      <c r="O40" s="11" t="n"/>
      <c r="P40" s="10">
        <f>IF(COUNTA(I40:O40)=0,"",MIN(10,SUM(I40:O40)))</f>
        <v/>
      </c>
      <c r="Q40" s="11" t="n"/>
      <c r="R40" s="10">
        <f>IF(Q40="","",IFERROR(VLOOKUP(Q40,T_NILAM,2,FALSE),0))</f>
        <v/>
      </c>
      <c r="S40" s="11" t="n"/>
      <c r="T40" s="10">
        <f>IF(S40="","",IFERROR(VLOOKUP(S40,T_TIMSS,2,FALSE),0))</f>
        <v/>
      </c>
      <c r="U40" s="19">
        <f>IF(COUNT(F40,H40,P40,R40,T40)=0,"",MIN(10,MAX(F40,H40,P40,R40,T40)))</f>
        <v/>
      </c>
      <c r="V40" s="11" t="n"/>
    </row>
    <row r="41">
      <c r="A41" s="15">
        <f>Murid!A41</f>
        <v/>
      </c>
      <c r="B41" s="15">
        <f>IF(Murid!B41="","",Murid!B41)</f>
        <v/>
      </c>
      <c r="C41" s="16">
        <f>IF(Murid!C41="","",Murid!C41)</f>
        <v/>
      </c>
      <c r="D41" s="15">
        <f>IF(Murid!E41="","",Murid!E41)</f>
        <v/>
      </c>
      <c r="E41" s="11" t="n"/>
      <c r="F41" s="10">
        <f>IF(E41="","",IFERROR(VLOOKUP(E41,T_PERK,2,FALSE),0))</f>
        <v/>
      </c>
      <c r="G41" s="11" t="n"/>
      <c r="H41" s="10">
        <f>IF(G41="","",IFERROR(VLOOKUP(G41,T_ANUG,2,FALSE),0))</f>
        <v/>
      </c>
      <c r="I41" s="11" t="n"/>
      <c r="J41" s="11" t="n"/>
      <c r="K41" s="11" t="n"/>
      <c r="L41" s="11" t="n"/>
      <c r="M41" s="11" t="n"/>
      <c r="N41" s="11" t="n"/>
      <c r="O41" s="11" t="n"/>
      <c r="P41" s="10">
        <f>IF(COUNTA(I41:O41)=0,"",MIN(10,SUM(I41:O41)))</f>
        <v/>
      </c>
      <c r="Q41" s="11" t="n"/>
      <c r="R41" s="10">
        <f>IF(Q41="","",IFERROR(VLOOKUP(Q41,T_NILAM,2,FALSE),0))</f>
        <v/>
      </c>
      <c r="S41" s="11" t="n"/>
      <c r="T41" s="10">
        <f>IF(S41="","",IFERROR(VLOOKUP(S41,T_TIMSS,2,FALSE),0))</f>
        <v/>
      </c>
      <c r="U41" s="19">
        <f>IF(COUNT(F41,H41,P41,R41,T41)=0,"",MIN(10,MAX(F41,H41,P41,R41,T41)))</f>
        <v/>
      </c>
      <c r="V41" s="11" t="n"/>
    </row>
    <row r="42">
      <c r="A42" s="15">
        <f>Murid!A42</f>
        <v/>
      </c>
      <c r="B42" s="15">
        <f>IF(Murid!B42="","",Murid!B42)</f>
        <v/>
      </c>
      <c r="C42" s="16">
        <f>IF(Murid!C42="","",Murid!C42)</f>
        <v/>
      </c>
      <c r="D42" s="15">
        <f>IF(Murid!E42="","",Murid!E42)</f>
        <v/>
      </c>
      <c r="E42" s="11" t="n"/>
      <c r="F42" s="10">
        <f>IF(E42="","",IFERROR(VLOOKUP(E42,T_PERK,2,FALSE),0))</f>
        <v/>
      </c>
      <c r="G42" s="11" t="n"/>
      <c r="H42" s="10">
        <f>IF(G42="","",IFERROR(VLOOKUP(G42,T_ANUG,2,FALSE),0))</f>
        <v/>
      </c>
      <c r="I42" s="11" t="n"/>
      <c r="J42" s="11" t="n"/>
      <c r="K42" s="11" t="n"/>
      <c r="L42" s="11" t="n"/>
      <c r="M42" s="11" t="n"/>
      <c r="N42" s="11" t="n"/>
      <c r="O42" s="11" t="n"/>
      <c r="P42" s="10">
        <f>IF(COUNTA(I42:O42)=0,"",MIN(10,SUM(I42:O42)))</f>
        <v/>
      </c>
      <c r="Q42" s="11" t="n"/>
      <c r="R42" s="10">
        <f>IF(Q42="","",IFERROR(VLOOKUP(Q42,T_NILAM,2,FALSE),0))</f>
        <v/>
      </c>
      <c r="S42" s="11" t="n"/>
      <c r="T42" s="10">
        <f>IF(S42="","",IFERROR(VLOOKUP(S42,T_TIMSS,2,FALSE),0))</f>
        <v/>
      </c>
      <c r="U42" s="19">
        <f>IF(COUNT(F42,H42,P42,R42,T42)=0,"",MIN(10,MAX(F42,H42,P42,R42,T42)))</f>
        <v/>
      </c>
      <c r="V42" s="11" t="n"/>
    </row>
    <row r="43">
      <c r="A43" s="15">
        <f>Murid!A43</f>
        <v/>
      </c>
      <c r="B43" s="15">
        <f>IF(Murid!B43="","",Murid!B43)</f>
        <v/>
      </c>
      <c r="C43" s="16">
        <f>IF(Murid!C43="","",Murid!C43)</f>
        <v/>
      </c>
      <c r="D43" s="15">
        <f>IF(Murid!E43="","",Murid!E43)</f>
        <v/>
      </c>
      <c r="E43" s="11" t="n"/>
      <c r="F43" s="10">
        <f>IF(E43="","",IFERROR(VLOOKUP(E43,T_PERK,2,FALSE),0))</f>
        <v/>
      </c>
      <c r="G43" s="11" t="n"/>
      <c r="H43" s="10">
        <f>IF(G43="","",IFERROR(VLOOKUP(G43,T_ANUG,2,FALSE),0))</f>
        <v/>
      </c>
      <c r="I43" s="11" t="n"/>
      <c r="J43" s="11" t="n"/>
      <c r="K43" s="11" t="n"/>
      <c r="L43" s="11" t="n"/>
      <c r="M43" s="11" t="n"/>
      <c r="N43" s="11" t="n"/>
      <c r="O43" s="11" t="n"/>
      <c r="P43" s="10">
        <f>IF(COUNTA(I43:O43)=0,"",MIN(10,SUM(I43:O43)))</f>
        <v/>
      </c>
      <c r="Q43" s="11" t="n"/>
      <c r="R43" s="10">
        <f>IF(Q43="","",IFERROR(VLOOKUP(Q43,T_NILAM,2,FALSE),0))</f>
        <v/>
      </c>
      <c r="S43" s="11" t="n"/>
      <c r="T43" s="10">
        <f>IF(S43="","",IFERROR(VLOOKUP(S43,T_TIMSS,2,FALSE),0))</f>
        <v/>
      </c>
      <c r="U43" s="19">
        <f>IF(COUNT(F43,H43,P43,R43,T43)=0,"",MIN(10,MAX(F43,H43,P43,R43,T43)))</f>
        <v/>
      </c>
      <c r="V43" s="11" t="n"/>
    </row>
    <row r="44">
      <c r="A44" s="15">
        <f>Murid!A44</f>
        <v/>
      </c>
      <c r="B44" s="15">
        <f>IF(Murid!B44="","",Murid!B44)</f>
        <v/>
      </c>
      <c r="C44" s="16">
        <f>IF(Murid!C44="","",Murid!C44)</f>
        <v/>
      </c>
      <c r="D44" s="15">
        <f>IF(Murid!E44="","",Murid!E44)</f>
        <v/>
      </c>
      <c r="E44" s="11" t="n"/>
      <c r="F44" s="10">
        <f>IF(E44="","",IFERROR(VLOOKUP(E44,T_PERK,2,FALSE),0))</f>
        <v/>
      </c>
      <c r="G44" s="11" t="n"/>
      <c r="H44" s="10">
        <f>IF(G44="","",IFERROR(VLOOKUP(G44,T_ANUG,2,FALSE),0))</f>
        <v/>
      </c>
      <c r="I44" s="11" t="n"/>
      <c r="J44" s="11" t="n"/>
      <c r="K44" s="11" t="n"/>
      <c r="L44" s="11" t="n"/>
      <c r="M44" s="11" t="n"/>
      <c r="N44" s="11" t="n"/>
      <c r="O44" s="11" t="n"/>
      <c r="P44" s="10">
        <f>IF(COUNTA(I44:O44)=0,"",MIN(10,SUM(I44:O44)))</f>
        <v/>
      </c>
      <c r="Q44" s="11" t="n"/>
      <c r="R44" s="10">
        <f>IF(Q44="","",IFERROR(VLOOKUP(Q44,T_NILAM,2,FALSE),0))</f>
        <v/>
      </c>
      <c r="S44" s="11" t="n"/>
      <c r="T44" s="10">
        <f>IF(S44="","",IFERROR(VLOOKUP(S44,T_TIMSS,2,FALSE),0))</f>
        <v/>
      </c>
      <c r="U44" s="19">
        <f>IF(COUNT(F44,H44,P44,R44,T44)=0,"",MIN(10,MAX(F44,H44,P44,R44,T44)))</f>
        <v/>
      </c>
      <c r="V44" s="11" t="n"/>
    </row>
    <row r="45">
      <c r="A45" s="15">
        <f>Murid!A45</f>
        <v/>
      </c>
      <c r="B45" s="15">
        <f>IF(Murid!B45="","",Murid!B45)</f>
        <v/>
      </c>
      <c r="C45" s="16">
        <f>IF(Murid!C45="","",Murid!C45)</f>
        <v/>
      </c>
      <c r="D45" s="15">
        <f>IF(Murid!E45="","",Murid!E45)</f>
        <v/>
      </c>
      <c r="E45" s="11" t="n"/>
      <c r="F45" s="10">
        <f>IF(E45="","",IFERROR(VLOOKUP(E45,T_PERK,2,FALSE),0))</f>
        <v/>
      </c>
      <c r="G45" s="11" t="n"/>
      <c r="H45" s="10">
        <f>IF(G45="","",IFERROR(VLOOKUP(G45,T_ANUG,2,FALSE),0))</f>
        <v/>
      </c>
      <c r="I45" s="11" t="n"/>
      <c r="J45" s="11" t="n"/>
      <c r="K45" s="11" t="n"/>
      <c r="L45" s="11" t="n"/>
      <c r="M45" s="11" t="n"/>
      <c r="N45" s="11" t="n"/>
      <c r="O45" s="11" t="n"/>
      <c r="P45" s="10">
        <f>IF(COUNTA(I45:O45)=0,"",MIN(10,SUM(I45:O45)))</f>
        <v/>
      </c>
      <c r="Q45" s="11" t="n"/>
      <c r="R45" s="10">
        <f>IF(Q45="","",IFERROR(VLOOKUP(Q45,T_NILAM,2,FALSE),0))</f>
        <v/>
      </c>
      <c r="S45" s="11" t="n"/>
      <c r="T45" s="10">
        <f>IF(S45="","",IFERROR(VLOOKUP(S45,T_TIMSS,2,FALSE),0))</f>
        <v/>
      </c>
      <c r="U45" s="19">
        <f>IF(COUNT(F45,H45,P45,R45,T45)=0,"",MIN(10,MAX(F45,H45,P45,R45,T45)))</f>
        <v/>
      </c>
      <c r="V45" s="11" t="n"/>
    </row>
    <row r="46">
      <c r="A46" s="15">
        <f>Murid!A46</f>
        <v/>
      </c>
      <c r="B46" s="15">
        <f>IF(Murid!B46="","",Murid!B46)</f>
        <v/>
      </c>
      <c r="C46" s="16">
        <f>IF(Murid!C46="","",Murid!C46)</f>
        <v/>
      </c>
      <c r="D46" s="15">
        <f>IF(Murid!E46="","",Murid!E46)</f>
        <v/>
      </c>
      <c r="E46" s="11" t="n"/>
      <c r="F46" s="10">
        <f>IF(E46="","",IFERROR(VLOOKUP(E46,T_PERK,2,FALSE),0))</f>
        <v/>
      </c>
      <c r="G46" s="11" t="n"/>
      <c r="H46" s="10">
        <f>IF(G46="","",IFERROR(VLOOKUP(G46,T_ANUG,2,FALSE),0))</f>
        <v/>
      </c>
      <c r="I46" s="11" t="n"/>
      <c r="J46" s="11" t="n"/>
      <c r="K46" s="11" t="n"/>
      <c r="L46" s="11" t="n"/>
      <c r="M46" s="11" t="n"/>
      <c r="N46" s="11" t="n"/>
      <c r="O46" s="11" t="n"/>
      <c r="P46" s="10">
        <f>IF(COUNTA(I46:O46)=0,"",MIN(10,SUM(I46:O46)))</f>
        <v/>
      </c>
      <c r="Q46" s="11" t="n"/>
      <c r="R46" s="10">
        <f>IF(Q46="","",IFERROR(VLOOKUP(Q46,T_NILAM,2,FALSE),0))</f>
        <v/>
      </c>
      <c r="S46" s="11" t="n"/>
      <c r="T46" s="10">
        <f>IF(S46="","",IFERROR(VLOOKUP(S46,T_TIMSS,2,FALSE),0))</f>
        <v/>
      </c>
      <c r="U46" s="19">
        <f>IF(COUNT(F46,H46,P46,R46,T46)=0,"",MIN(10,MAX(F46,H46,P46,R46,T46)))</f>
        <v/>
      </c>
      <c r="V46" s="11" t="n"/>
    </row>
    <row r="47">
      <c r="A47" s="15">
        <f>Murid!A47</f>
        <v/>
      </c>
      <c r="B47" s="15">
        <f>IF(Murid!B47="","",Murid!B47)</f>
        <v/>
      </c>
      <c r="C47" s="16">
        <f>IF(Murid!C47="","",Murid!C47)</f>
        <v/>
      </c>
      <c r="D47" s="15">
        <f>IF(Murid!E47="","",Murid!E47)</f>
        <v/>
      </c>
      <c r="E47" s="11" t="n"/>
      <c r="F47" s="10">
        <f>IF(E47="","",IFERROR(VLOOKUP(E47,T_PERK,2,FALSE),0))</f>
        <v/>
      </c>
      <c r="G47" s="11" t="n"/>
      <c r="H47" s="10">
        <f>IF(G47="","",IFERROR(VLOOKUP(G47,T_ANUG,2,FALSE),0))</f>
        <v/>
      </c>
      <c r="I47" s="11" t="n"/>
      <c r="J47" s="11" t="n"/>
      <c r="K47" s="11" t="n"/>
      <c r="L47" s="11" t="n"/>
      <c r="M47" s="11" t="n"/>
      <c r="N47" s="11" t="n"/>
      <c r="O47" s="11" t="n"/>
      <c r="P47" s="10">
        <f>IF(COUNTA(I47:O47)=0,"",MIN(10,SUM(I47:O47)))</f>
        <v/>
      </c>
      <c r="Q47" s="11" t="n"/>
      <c r="R47" s="10">
        <f>IF(Q47="","",IFERROR(VLOOKUP(Q47,T_NILAM,2,FALSE),0))</f>
        <v/>
      </c>
      <c r="S47" s="11" t="n"/>
      <c r="T47" s="10">
        <f>IF(S47="","",IFERROR(VLOOKUP(S47,T_TIMSS,2,FALSE),0))</f>
        <v/>
      </c>
      <c r="U47" s="19">
        <f>IF(COUNT(F47,H47,P47,R47,T47)=0,"",MIN(10,MAX(F47,H47,P47,R47,T47)))</f>
        <v/>
      </c>
      <c r="V47" s="11" t="n"/>
    </row>
    <row r="48">
      <c r="A48" s="15">
        <f>Murid!A48</f>
        <v/>
      </c>
      <c r="B48" s="15">
        <f>IF(Murid!B48="","",Murid!B48)</f>
        <v/>
      </c>
      <c r="C48" s="16">
        <f>IF(Murid!C48="","",Murid!C48)</f>
        <v/>
      </c>
      <c r="D48" s="15">
        <f>IF(Murid!E48="","",Murid!E48)</f>
        <v/>
      </c>
      <c r="E48" s="11" t="n"/>
      <c r="F48" s="10">
        <f>IF(E48="","",IFERROR(VLOOKUP(E48,T_PERK,2,FALSE),0))</f>
        <v/>
      </c>
      <c r="G48" s="11" t="n"/>
      <c r="H48" s="10">
        <f>IF(G48="","",IFERROR(VLOOKUP(G48,T_ANUG,2,FALSE),0))</f>
        <v/>
      </c>
      <c r="I48" s="11" t="n"/>
      <c r="J48" s="11" t="n"/>
      <c r="K48" s="11" t="n"/>
      <c r="L48" s="11" t="n"/>
      <c r="M48" s="11" t="n"/>
      <c r="N48" s="11" t="n"/>
      <c r="O48" s="11" t="n"/>
      <c r="P48" s="10">
        <f>IF(COUNTA(I48:O48)=0,"",MIN(10,SUM(I48:O48)))</f>
        <v/>
      </c>
      <c r="Q48" s="11" t="n"/>
      <c r="R48" s="10">
        <f>IF(Q48="","",IFERROR(VLOOKUP(Q48,T_NILAM,2,FALSE),0))</f>
        <v/>
      </c>
      <c r="S48" s="11" t="n"/>
      <c r="T48" s="10">
        <f>IF(S48="","",IFERROR(VLOOKUP(S48,T_TIMSS,2,FALSE),0))</f>
        <v/>
      </c>
      <c r="U48" s="19">
        <f>IF(COUNT(F48,H48,P48,R48,T48)=0,"",MIN(10,MAX(F48,H48,P48,R48,T48)))</f>
        <v/>
      </c>
      <c r="V48" s="11" t="n"/>
    </row>
    <row r="49">
      <c r="A49" s="15">
        <f>Murid!A49</f>
        <v/>
      </c>
      <c r="B49" s="15">
        <f>IF(Murid!B49="","",Murid!B49)</f>
        <v/>
      </c>
      <c r="C49" s="16">
        <f>IF(Murid!C49="","",Murid!C49)</f>
        <v/>
      </c>
      <c r="D49" s="15">
        <f>IF(Murid!E49="","",Murid!E49)</f>
        <v/>
      </c>
      <c r="E49" s="11" t="n"/>
      <c r="F49" s="10">
        <f>IF(E49="","",IFERROR(VLOOKUP(E49,T_PERK,2,FALSE),0))</f>
        <v/>
      </c>
      <c r="G49" s="11" t="n"/>
      <c r="H49" s="10">
        <f>IF(G49="","",IFERROR(VLOOKUP(G49,T_ANUG,2,FALSE),0))</f>
        <v/>
      </c>
      <c r="I49" s="11" t="n"/>
      <c r="J49" s="11" t="n"/>
      <c r="K49" s="11" t="n"/>
      <c r="L49" s="11" t="n"/>
      <c r="M49" s="11" t="n"/>
      <c r="N49" s="11" t="n"/>
      <c r="O49" s="11" t="n"/>
      <c r="P49" s="10">
        <f>IF(COUNTA(I49:O49)=0,"",MIN(10,SUM(I49:O49)))</f>
        <v/>
      </c>
      <c r="Q49" s="11" t="n"/>
      <c r="R49" s="10">
        <f>IF(Q49="","",IFERROR(VLOOKUP(Q49,T_NILAM,2,FALSE),0))</f>
        <v/>
      </c>
      <c r="S49" s="11" t="n"/>
      <c r="T49" s="10">
        <f>IF(S49="","",IFERROR(VLOOKUP(S49,T_TIMSS,2,FALSE),0))</f>
        <v/>
      </c>
      <c r="U49" s="19">
        <f>IF(COUNT(F49,H49,P49,R49,T49)=0,"",MIN(10,MAX(F49,H49,P49,R49,T49)))</f>
        <v/>
      </c>
      <c r="V49" s="11" t="n"/>
    </row>
    <row r="50">
      <c r="A50" s="15">
        <f>Murid!A50</f>
        <v/>
      </c>
      <c r="B50" s="15">
        <f>IF(Murid!B50="","",Murid!B50)</f>
        <v/>
      </c>
      <c r="C50" s="16">
        <f>IF(Murid!C50="","",Murid!C50)</f>
        <v/>
      </c>
      <c r="D50" s="15">
        <f>IF(Murid!E50="","",Murid!E50)</f>
        <v/>
      </c>
      <c r="E50" s="11" t="n"/>
      <c r="F50" s="10">
        <f>IF(E50="","",IFERROR(VLOOKUP(E50,T_PERK,2,FALSE),0))</f>
        <v/>
      </c>
      <c r="G50" s="11" t="n"/>
      <c r="H50" s="10">
        <f>IF(G50="","",IFERROR(VLOOKUP(G50,T_ANUG,2,FALSE),0))</f>
        <v/>
      </c>
      <c r="I50" s="11" t="n"/>
      <c r="J50" s="11" t="n"/>
      <c r="K50" s="11" t="n"/>
      <c r="L50" s="11" t="n"/>
      <c r="M50" s="11" t="n"/>
      <c r="N50" s="11" t="n"/>
      <c r="O50" s="11" t="n"/>
      <c r="P50" s="10">
        <f>IF(COUNTA(I50:O50)=0,"",MIN(10,SUM(I50:O50)))</f>
        <v/>
      </c>
      <c r="Q50" s="11" t="n"/>
      <c r="R50" s="10">
        <f>IF(Q50="","",IFERROR(VLOOKUP(Q50,T_NILAM,2,FALSE),0))</f>
        <v/>
      </c>
      <c r="S50" s="11" t="n"/>
      <c r="T50" s="10">
        <f>IF(S50="","",IFERROR(VLOOKUP(S50,T_TIMSS,2,FALSE),0))</f>
        <v/>
      </c>
      <c r="U50" s="19">
        <f>IF(COUNT(F50,H50,P50,R50,T50)=0,"",MIN(10,MAX(F50,H50,P50,R50,T50)))</f>
        <v/>
      </c>
      <c r="V50" s="11" t="n"/>
    </row>
    <row r="51">
      <c r="A51" s="15">
        <f>Murid!A51</f>
        <v/>
      </c>
      <c r="B51" s="15">
        <f>IF(Murid!B51="","",Murid!B51)</f>
        <v/>
      </c>
      <c r="C51" s="16">
        <f>IF(Murid!C51="","",Murid!C51)</f>
        <v/>
      </c>
      <c r="D51" s="15">
        <f>IF(Murid!E51="","",Murid!E51)</f>
        <v/>
      </c>
      <c r="E51" s="11" t="n"/>
      <c r="F51" s="10">
        <f>IF(E51="","",IFERROR(VLOOKUP(E51,T_PERK,2,FALSE),0))</f>
        <v/>
      </c>
      <c r="G51" s="11" t="n"/>
      <c r="H51" s="10">
        <f>IF(G51="","",IFERROR(VLOOKUP(G51,T_ANUG,2,FALSE),0))</f>
        <v/>
      </c>
      <c r="I51" s="11" t="n"/>
      <c r="J51" s="11" t="n"/>
      <c r="K51" s="11" t="n"/>
      <c r="L51" s="11" t="n"/>
      <c r="M51" s="11" t="n"/>
      <c r="N51" s="11" t="n"/>
      <c r="O51" s="11" t="n"/>
      <c r="P51" s="10">
        <f>IF(COUNTA(I51:O51)=0,"",MIN(10,SUM(I51:O51)))</f>
        <v/>
      </c>
      <c r="Q51" s="11" t="n"/>
      <c r="R51" s="10">
        <f>IF(Q51="","",IFERROR(VLOOKUP(Q51,T_NILAM,2,FALSE),0))</f>
        <v/>
      </c>
      <c r="S51" s="11" t="n"/>
      <c r="T51" s="10">
        <f>IF(S51="","",IFERROR(VLOOKUP(S51,T_TIMSS,2,FALSE),0))</f>
        <v/>
      </c>
      <c r="U51" s="19">
        <f>IF(COUNT(F51,H51,P51,R51,T51)=0,"",MIN(10,MAX(F51,H51,P51,R51,T51)))</f>
        <v/>
      </c>
      <c r="V51" s="11" t="n"/>
    </row>
    <row r="52">
      <c r="A52" s="15">
        <f>Murid!A52</f>
        <v/>
      </c>
      <c r="B52" s="15">
        <f>IF(Murid!B52="","",Murid!B52)</f>
        <v/>
      </c>
      <c r="C52" s="16">
        <f>IF(Murid!C52="","",Murid!C52)</f>
        <v/>
      </c>
      <c r="D52" s="15">
        <f>IF(Murid!E52="","",Murid!E52)</f>
        <v/>
      </c>
      <c r="E52" s="11" t="n"/>
      <c r="F52" s="10">
        <f>IF(E52="","",IFERROR(VLOOKUP(E52,T_PERK,2,FALSE),0))</f>
        <v/>
      </c>
      <c r="G52" s="11" t="n"/>
      <c r="H52" s="10">
        <f>IF(G52="","",IFERROR(VLOOKUP(G52,T_ANUG,2,FALSE),0))</f>
        <v/>
      </c>
      <c r="I52" s="11" t="n"/>
      <c r="J52" s="11" t="n"/>
      <c r="K52" s="11" t="n"/>
      <c r="L52" s="11" t="n"/>
      <c r="M52" s="11" t="n"/>
      <c r="N52" s="11" t="n"/>
      <c r="O52" s="11" t="n"/>
      <c r="P52" s="10">
        <f>IF(COUNTA(I52:O52)=0,"",MIN(10,SUM(I52:O52)))</f>
        <v/>
      </c>
      <c r="Q52" s="11" t="n"/>
      <c r="R52" s="10">
        <f>IF(Q52="","",IFERROR(VLOOKUP(Q52,T_NILAM,2,FALSE),0))</f>
        <v/>
      </c>
      <c r="S52" s="11" t="n"/>
      <c r="T52" s="10">
        <f>IF(S52="","",IFERROR(VLOOKUP(S52,T_TIMSS,2,FALSE),0))</f>
        <v/>
      </c>
      <c r="U52" s="19">
        <f>IF(COUNT(F52,H52,P52,R52,T52)=0,"",MIN(10,MAX(F52,H52,P52,R52,T52)))</f>
        <v/>
      </c>
      <c r="V52" s="11" t="n"/>
    </row>
    <row r="53">
      <c r="A53" s="15">
        <f>Murid!A53</f>
        <v/>
      </c>
      <c r="B53" s="15">
        <f>IF(Murid!B53="","",Murid!B53)</f>
        <v/>
      </c>
      <c r="C53" s="16">
        <f>IF(Murid!C53="","",Murid!C53)</f>
        <v/>
      </c>
      <c r="D53" s="15">
        <f>IF(Murid!E53="","",Murid!E53)</f>
        <v/>
      </c>
      <c r="E53" s="11" t="n"/>
      <c r="F53" s="10">
        <f>IF(E53="","",IFERROR(VLOOKUP(E53,T_PERK,2,FALSE),0))</f>
        <v/>
      </c>
      <c r="G53" s="11" t="n"/>
      <c r="H53" s="10">
        <f>IF(G53="","",IFERROR(VLOOKUP(G53,T_ANUG,2,FALSE),0))</f>
        <v/>
      </c>
      <c r="I53" s="11" t="n"/>
      <c r="J53" s="11" t="n"/>
      <c r="K53" s="11" t="n"/>
      <c r="L53" s="11" t="n"/>
      <c r="M53" s="11" t="n"/>
      <c r="N53" s="11" t="n"/>
      <c r="O53" s="11" t="n"/>
      <c r="P53" s="10">
        <f>IF(COUNTA(I53:O53)=0,"",MIN(10,SUM(I53:O53)))</f>
        <v/>
      </c>
      <c r="Q53" s="11" t="n"/>
      <c r="R53" s="10">
        <f>IF(Q53="","",IFERROR(VLOOKUP(Q53,T_NILAM,2,FALSE),0))</f>
        <v/>
      </c>
      <c r="S53" s="11" t="n"/>
      <c r="T53" s="10">
        <f>IF(S53="","",IFERROR(VLOOKUP(S53,T_TIMSS,2,FALSE),0))</f>
        <v/>
      </c>
      <c r="U53" s="19">
        <f>IF(COUNT(F53,H53,P53,R53,T53)=0,"",MIN(10,MAX(F53,H53,P53,R53,T53)))</f>
        <v/>
      </c>
      <c r="V53" s="11" t="n"/>
    </row>
    <row r="54">
      <c r="A54" s="15">
        <f>Murid!A54</f>
        <v/>
      </c>
      <c r="B54" s="15">
        <f>IF(Murid!B54="","",Murid!B54)</f>
        <v/>
      </c>
      <c r="C54" s="16">
        <f>IF(Murid!C54="","",Murid!C54)</f>
        <v/>
      </c>
      <c r="D54" s="15">
        <f>IF(Murid!E54="","",Murid!E54)</f>
        <v/>
      </c>
      <c r="E54" s="11" t="n"/>
      <c r="F54" s="10">
        <f>IF(E54="","",IFERROR(VLOOKUP(E54,T_PERK,2,FALSE),0))</f>
        <v/>
      </c>
      <c r="G54" s="11" t="n"/>
      <c r="H54" s="10">
        <f>IF(G54="","",IFERROR(VLOOKUP(G54,T_ANUG,2,FALSE),0))</f>
        <v/>
      </c>
      <c r="I54" s="11" t="n"/>
      <c r="J54" s="11" t="n"/>
      <c r="K54" s="11" t="n"/>
      <c r="L54" s="11" t="n"/>
      <c r="M54" s="11" t="n"/>
      <c r="N54" s="11" t="n"/>
      <c r="O54" s="11" t="n"/>
      <c r="P54" s="10">
        <f>IF(COUNTA(I54:O54)=0,"",MIN(10,SUM(I54:O54)))</f>
        <v/>
      </c>
      <c r="Q54" s="11" t="n"/>
      <c r="R54" s="10">
        <f>IF(Q54="","",IFERROR(VLOOKUP(Q54,T_NILAM,2,FALSE),0))</f>
        <v/>
      </c>
      <c r="S54" s="11" t="n"/>
      <c r="T54" s="10">
        <f>IF(S54="","",IFERROR(VLOOKUP(S54,T_TIMSS,2,FALSE),0))</f>
        <v/>
      </c>
      <c r="U54" s="19">
        <f>IF(COUNT(F54,H54,P54,R54,T54)=0,"",MIN(10,MAX(F54,H54,P54,R54,T54)))</f>
        <v/>
      </c>
      <c r="V54" s="11" t="n"/>
    </row>
    <row r="55">
      <c r="A55" s="15">
        <f>Murid!A55</f>
        <v/>
      </c>
      <c r="B55" s="15">
        <f>IF(Murid!B55="","",Murid!B55)</f>
        <v/>
      </c>
      <c r="C55" s="16">
        <f>IF(Murid!C55="","",Murid!C55)</f>
        <v/>
      </c>
      <c r="D55" s="15">
        <f>IF(Murid!E55="","",Murid!E55)</f>
        <v/>
      </c>
      <c r="E55" s="11" t="n"/>
      <c r="F55" s="10">
        <f>IF(E55="","",IFERROR(VLOOKUP(E55,T_PERK,2,FALSE),0))</f>
        <v/>
      </c>
      <c r="G55" s="11" t="n"/>
      <c r="H55" s="10">
        <f>IF(G55="","",IFERROR(VLOOKUP(G55,T_ANUG,2,FALSE),0))</f>
        <v/>
      </c>
      <c r="I55" s="11" t="n"/>
      <c r="J55" s="11" t="n"/>
      <c r="K55" s="11" t="n"/>
      <c r="L55" s="11" t="n"/>
      <c r="M55" s="11" t="n"/>
      <c r="N55" s="11" t="n"/>
      <c r="O55" s="11" t="n"/>
      <c r="P55" s="10">
        <f>IF(COUNTA(I55:O55)=0,"",MIN(10,SUM(I55:O55)))</f>
        <v/>
      </c>
      <c r="Q55" s="11" t="n"/>
      <c r="R55" s="10">
        <f>IF(Q55="","",IFERROR(VLOOKUP(Q55,T_NILAM,2,FALSE),0))</f>
        <v/>
      </c>
      <c r="S55" s="11" t="n"/>
      <c r="T55" s="10">
        <f>IF(S55="","",IFERROR(VLOOKUP(S55,T_TIMSS,2,FALSE),0))</f>
        <v/>
      </c>
      <c r="U55" s="19">
        <f>IF(COUNT(F55,H55,P55,R55,T55)=0,"",MIN(10,MAX(F55,H55,P55,R55,T55)))</f>
        <v/>
      </c>
      <c r="V55" s="11" t="n"/>
    </row>
    <row r="56">
      <c r="A56" s="15">
        <f>Murid!A56</f>
        <v/>
      </c>
      <c r="B56" s="15">
        <f>IF(Murid!B56="","",Murid!B56)</f>
        <v/>
      </c>
      <c r="C56" s="16">
        <f>IF(Murid!C56="","",Murid!C56)</f>
        <v/>
      </c>
      <c r="D56" s="15">
        <f>IF(Murid!E56="","",Murid!E56)</f>
        <v/>
      </c>
      <c r="E56" s="11" t="n"/>
      <c r="F56" s="10">
        <f>IF(E56="","",IFERROR(VLOOKUP(E56,T_PERK,2,FALSE),0))</f>
        <v/>
      </c>
      <c r="G56" s="11" t="n"/>
      <c r="H56" s="10">
        <f>IF(G56="","",IFERROR(VLOOKUP(G56,T_ANUG,2,FALSE),0))</f>
        <v/>
      </c>
      <c r="I56" s="11" t="n"/>
      <c r="J56" s="11" t="n"/>
      <c r="K56" s="11" t="n"/>
      <c r="L56" s="11" t="n"/>
      <c r="M56" s="11" t="n"/>
      <c r="N56" s="11" t="n"/>
      <c r="O56" s="11" t="n"/>
      <c r="P56" s="10">
        <f>IF(COUNTA(I56:O56)=0,"",MIN(10,SUM(I56:O56)))</f>
        <v/>
      </c>
      <c r="Q56" s="11" t="n"/>
      <c r="R56" s="10">
        <f>IF(Q56="","",IFERROR(VLOOKUP(Q56,T_NILAM,2,FALSE),0))</f>
        <v/>
      </c>
      <c r="S56" s="11" t="n"/>
      <c r="T56" s="10">
        <f>IF(S56="","",IFERROR(VLOOKUP(S56,T_TIMSS,2,FALSE),0))</f>
        <v/>
      </c>
      <c r="U56" s="19">
        <f>IF(COUNT(F56,H56,P56,R56,T56)=0,"",MIN(10,MAX(F56,H56,P56,R56,T56)))</f>
        <v/>
      </c>
      <c r="V56" s="11" t="n"/>
    </row>
    <row r="57">
      <c r="A57" s="15">
        <f>Murid!A57</f>
        <v/>
      </c>
      <c r="B57" s="15">
        <f>IF(Murid!B57="","",Murid!B57)</f>
        <v/>
      </c>
      <c r="C57" s="16">
        <f>IF(Murid!C57="","",Murid!C57)</f>
        <v/>
      </c>
      <c r="D57" s="15">
        <f>IF(Murid!E57="","",Murid!E57)</f>
        <v/>
      </c>
      <c r="E57" s="11" t="n"/>
      <c r="F57" s="10">
        <f>IF(E57="","",IFERROR(VLOOKUP(E57,T_PERK,2,FALSE),0))</f>
        <v/>
      </c>
      <c r="G57" s="11" t="n"/>
      <c r="H57" s="10">
        <f>IF(G57="","",IFERROR(VLOOKUP(G57,T_ANUG,2,FALSE),0))</f>
        <v/>
      </c>
      <c r="I57" s="11" t="n"/>
      <c r="J57" s="11" t="n"/>
      <c r="K57" s="11" t="n"/>
      <c r="L57" s="11" t="n"/>
      <c r="M57" s="11" t="n"/>
      <c r="N57" s="11" t="n"/>
      <c r="O57" s="11" t="n"/>
      <c r="P57" s="10">
        <f>IF(COUNTA(I57:O57)=0,"",MIN(10,SUM(I57:O57)))</f>
        <v/>
      </c>
      <c r="Q57" s="11" t="n"/>
      <c r="R57" s="10">
        <f>IF(Q57="","",IFERROR(VLOOKUP(Q57,T_NILAM,2,FALSE),0))</f>
        <v/>
      </c>
      <c r="S57" s="11" t="n"/>
      <c r="T57" s="10">
        <f>IF(S57="","",IFERROR(VLOOKUP(S57,T_TIMSS,2,FALSE),0))</f>
        <v/>
      </c>
      <c r="U57" s="19">
        <f>IF(COUNT(F57,H57,P57,R57,T57)=0,"",MIN(10,MAX(F57,H57,P57,R57,T57)))</f>
        <v/>
      </c>
      <c r="V57" s="11" t="n"/>
    </row>
    <row r="58">
      <c r="A58" s="15">
        <f>Murid!A58</f>
        <v/>
      </c>
      <c r="B58" s="15">
        <f>IF(Murid!B58="","",Murid!B58)</f>
        <v/>
      </c>
      <c r="C58" s="16">
        <f>IF(Murid!C58="","",Murid!C58)</f>
        <v/>
      </c>
      <c r="D58" s="15">
        <f>IF(Murid!E58="","",Murid!E58)</f>
        <v/>
      </c>
      <c r="E58" s="11" t="n"/>
      <c r="F58" s="10">
        <f>IF(E58="","",IFERROR(VLOOKUP(E58,T_PERK,2,FALSE),0))</f>
        <v/>
      </c>
      <c r="G58" s="11" t="n"/>
      <c r="H58" s="10">
        <f>IF(G58="","",IFERROR(VLOOKUP(G58,T_ANUG,2,FALSE),0))</f>
        <v/>
      </c>
      <c r="I58" s="11" t="n"/>
      <c r="J58" s="11" t="n"/>
      <c r="K58" s="11" t="n"/>
      <c r="L58" s="11" t="n"/>
      <c r="M58" s="11" t="n"/>
      <c r="N58" s="11" t="n"/>
      <c r="O58" s="11" t="n"/>
      <c r="P58" s="10">
        <f>IF(COUNTA(I58:O58)=0,"",MIN(10,SUM(I58:O58)))</f>
        <v/>
      </c>
      <c r="Q58" s="11" t="n"/>
      <c r="R58" s="10">
        <f>IF(Q58="","",IFERROR(VLOOKUP(Q58,T_NILAM,2,FALSE),0))</f>
        <v/>
      </c>
      <c r="S58" s="11" t="n"/>
      <c r="T58" s="10">
        <f>IF(S58="","",IFERROR(VLOOKUP(S58,T_TIMSS,2,FALSE),0))</f>
        <v/>
      </c>
      <c r="U58" s="19">
        <f>IF(COUNT(F58,H58,P58,R58,T58)=0,"",MIN(10,MAX(F58,H58,P58,R58,T58)))</f>
        <v/>
      </c>
      <c r="V58" s="11" t="n"/>
    </row>
    <row r="59">
      <c r="A59" s="15">
        <f>Murid!A59</f>
        <v/>
      </c>
      <c r="B59" s="15">
        <f>IF(Murid!B59="","",Murid!B59)</f>
        <v/>
      </c>
      <c r="C59" s="16">
        <f>IF(Murid!C59="","",Murid!C59)</f>
        <v/>
      </c>
      <c r="D59" s="15">
        <f>IF(Murid!E59="","",Murid!E59)</f>
        <v/>
      </c>
      <c r="E59" s="11" t="n"/>
      <c r="F59" s="10">
        <f>IF(E59="","",IFERROR(VLOOKUP(E59,T_PERK,2,FALSE),0))</f>
        <v/>
      </c>
      <c r="G59" s="11" t="n"/>
      <c r="H59" s="10">
        <f>IF(G59="","",IFERROR(VLOOKUP(G59,T_ANUG,2,FALSE),0))</f>
        <v/>
      </c>
      <c r="I59" s="11" t="n"/>
      <c r="J59" s="11" t="n"/>
      <c r="K59" s="11" t="n"/>
      <c r="L59" s="11" t="n"/>
      <c r="M59" s="11" t="n"/>
      <c r="N59" s="11" t="n"/>
      <c r="O59" s="11" t="n"/>
      <c r="P59" s="10">
        <f>IF(COUNTA(I59:O59)=0,"",MIN(10,SUM(I59:O59)))</f>
        <v/>
      </c>
      <c r="Q59" s="11" t="n"/>
      <c r="R59" s="10">
        <f>IF(Q59="","",IFERROR(VLOOKUP(Q59,T_NILAM,2,FALSE),0))</f>
        <v/>
      </c>
      <c r="S59" s="11" t="n"/>
      <c r="T59" s="10">
        <f>IF(S59="","",IFERROR(VLOOKUP(S59,T_TIMSS,2,FALSE),0))</f>
        <v/>
      </c>
      <c r="U59" s="19">
        <f>IF(COUNT(F59,H59,P59,R59,T59)=0,"",MIN(10,MAX(F59,H59,P59,R59,T59)))</f>
        <v/>
      </c>
      <c r="V59" s="11" t="n"/>
    </row>
    <row r="60">
      <c r="A60" s="15">
        <f>Murid!A60</f>
        <v/>
      </c>
      <c r="B60" s="15">
        <f>IF(Murid!B60="","",Murid!B60)</f>
        <v/>
      </c>
      <c r="C60" s="16">
        <f>IF(Murid!C60="","",Murid!C60)</f>
        <v/>
      </c>
      <c r="D60" s="15">
        <f>IF(Murid!E60="","",Murid!E60)</f>
        <v/>
      </c>
      <c r="E60" s="11" t="n"/>
      <c r="F60" s="10">
        <f>IF(E60="","",IFERROR(VLOOKUP(E60,T_PERK,2,FALSE),0))</f>
        <v/>
      </c>
      <c r="G60" s="11" t="n"/>
      <c r="H60" s="10">
        <f>IF(G60="","",IFERROR(VLOOKUP(G60,T_ANUG,2,FALSE),0))</f>
        <v/>
      </c>
      <c r="I60" s="11" t="n"/>
      <c r="J60" s="11" t="n"/>
      <c r="K60" s="11" t="n"/>
      <c r="L60" s="11" t="n"/>
      <c r="M60" s="11" t="n"/>
      <c r="N60" s="11" t="n"/>
      <c r="O60" s="11" t="n"/>
      <c r="P60" s="10">
        <f>IF(COUNTA(I60:O60)=0,"",MIN(10,SUM(I60:O60)))</f>
        <v/>
      </c>
      <c r="Q60" s="11" t="n"/>
      <c r="R60" s="10">
        <f>IF(Q60="","",IFERROR(VLOOKUP(Q60,T_NILAM,2,FALSE),0))</f>
        <v/>
      </c>
      <c r="S60" s="11" t="n"/>
      <c r="T60" s="10">
        <f>IF(S60="","",IFERROR(VLOOKUP(S60,T_TIMSS,2,FALSE),0))</f>
        <v/>
      </c>
      <c r="U60" s="19">
        <f>IF(COUNT(F60,H60,P60,R60,T60)=0,"",MIN(10,MAX(F60,H60,P60,R60,T60)))</f>
        <v/>
      </c>
      <c r="V60" s="11" t="n"/>
    </row>
    <row r="61">
      <c r="A61" s="15">
        <f>Murid!A61</f>
        <v/>
      </c>
      <c r="B61" s="15">
        <f>IF(Murid!B61="","",Murid!B61)</f>
        <v/>
      </c>
      <c r="C61" s="16">
        <f>IF(Murid!C61="","",Murid!C61)</f>
        <v/>
      </c>
      <c r="D61" s="15">
        <f>IF(Murid!E61="","",Murid!E61)</f>
        <v/>
      </c>
      <c r="E61" s="11" t="n"/>
      <c r="F61" s="10">
        <f>IF(E61="","",IFERROR(VLOOKUP(E61,T_PERK,2,FALSE),0))</f>
        <v/>
      </c>
      <c r="G61" s="11" t="n"/>
      <c r="H61" s="10">
        <f>IF(G61="","",IFERROR(VLOOKUP(G61,T_ANUG,2,FALSE),0))</f>
        <v/>
      </c>
      <c r="I61" s="11" t="n"/>
      <c r="J61" s="11" t="n"/>
      <c r="K61" s="11" t="n"/>
      <c r="L61" s="11" t="n"/>
      <c r="M61" s="11" t="n"/>
      <c r="N61" s="11" t="n"/>
      <c r="O61" s="11" t="n"/>
      <c r="P61" s="10">
        <f>IF(COUNTA(I61:O61)=0,"",MIN(10,SUM(I61:O61)))</f>
        <v/>
      </c>
      <c r="Q61" s="11" t="n"/>
      <c r="R61" s="10">
        <f>IF(Q61="","",IFERROR(VLOOKUP(Q61,T_NILAM,2,FALSE),0))</f>
        <v/>
      </c>
      <c r="S61" s="11" t="n"/>
      <c r="T61" s="10">
        <f>IF(S61="","",IFERROR(VLOOKUP(S61,T_TIMSS,2,FALSE),0))</f>
        <v/>
      </c>
      <c r="U61" s="19">
        <f>IF(COUNT(F61,H61,P61,R61,T61)=0,"",MIN(10,MAX(F61,H61,P61,R61,T61)))</f>
        <v/>
      </c>
      <c r="V61" s="11" t="n"/>
    </row>
    <row r="62">
      <c r="A62" s="15">
        <f>Murid!A62</f>
        <v/>
      </c>
      <c r="B62" s="15">
        <f>IF(Murid!B62="","",Murid!B62)</f>
        <v/>
      </c>
      <c r="C62" s="16">
        <f>IF(Murid!C62="","",Murid!C62)</f>
        <v/>
      </c>
      <c r="D62" s="15">
        <f>IF(Murid!E62="","",Murid!E62)</f>
        <v/>
      </c>
      <c r="E62" s="11" t="n"/>
      <c r="F62" s="10">
        <f>IF(E62="","",IFERROR(VLOOKUP(E62,T_PERK,2,FALSE),0))</f>
        <v/>
      </c>
      <c r="G62" s="11" t="n"/>
      <c r="H62" s="10">
        <f>IF(G62="","",IFERROR(VLOOKUP(G62,T_ANUG,2,FALSE),0))</f>
        <v/>
      </c>
      <c r="I62" s="11" t="n"/>
      <c r="J62" s="11" t="n"/>
      <c r="K62" s="11" t="n"/>
      <c r="L62" s="11" t="n"/>
      <c r="M62" s="11" t="n"/>
      <c r="N62" s="11" t="n"/>
      <c r="O62" s="11" t="n"/>
      <c r="P62" s="10">
        <f>IF(COUNTA(I62:O62)=0,"",MIN(10,SUM(I62:O62)))</f>
        <v/>
      </c>
      <c r="Q62" s="11" t="n"/>
      <c r="R62" s="10">
        <f>IF(Q62="","",IFERROR(VLOOKUP(Q62,T_NILAM,2,FALSE),0))</f>
        <v/>
      </c>
      <c r="S62" s="11" t="n"/>
      <c r="T62" s="10">
        <f>IF(S62="","",IFERROR(VLOOKUP(S62,T_TIMSS,2,FALSE),0))</f>
        <v/>
      </c>
      <c r="U62" s="19">
        <f>IF(COUNT(F62,H62,P62,R62,T62)=0,"",MIN(10,MAX(F62,H62,P62,R62,T62)))</f>
        <v/>
      </c>
      <c r="V62" s="11" t="n"/>
    </row>
    <row r="63">
      <c r="A63" s="15">
        <f>Murid!A63</f>
        <v/>
      </c>
      <c r="B63" s="15">
        <f>IF(Murid!B63="","",Murid!B63)</f>
        <v/>
      </c>
      <c r="C63" s="16">
        <f>IF(Murid!C63="","",Murid!C63)</f>
        <v/>
      </c>
      <c r="D63" s="15">
        <f>IF(Murid!E63="","",Murid!E63)</f>
        <v/>
      </c>
      <c r="E63" s="11" t="n"/>
      <c r="F63" s="10">
        <f>IF(E63="","",IFERROR(VLOOKUP(E63,T_PERK,2,FALSE),0))</f>
        <v/>
      </c>
      <c r="G63" s="11" t="n"/>
      <c r="H63" s="10">
        <f>IF(G63="","",IFERROR(VLOOKUP(G63,T_ANUG,2,FALSE),0))</f>
        <v/>
      </c>
      <c r="I63" s="11" t="n"/>
      <c r="J63" s="11" t="n"/>
      <c r="K63" s="11" t="n"/>
      <c r="L63" s="11" t="n"/>
      <c r="M63" s="11" t="n"/>
      <c r="N63" s="11" t="n"/>
      <c r="O63" s="11" t="n"/>
      <c r="P63" s="10">
        <f>IF(COUNTA(I63:O63)=0,"",MIN(10,SUM(I63:O63)))</f>
        <v/>
      </c>
      <c r="Q63" s="11" t="n"/>
      <c r="R63" s="10">
        <f>IF(Q63="","",IFERROR(VLOOKUP(Q63,T_NILAM,2,FALSE),0))</f>
        <v/>
      </c>
      <c r="S63" s="11" t="n"/>
      <c r="T63" s="10">
        <f>IF(S63="","",IFERROR(VLOOKUP(S63,T_TIMSS,2,FALSE),0))</f>
        <v/>
      </c>
      <c r="U63" s="19">
        <f>IF(COUNT(F63,H63,P63,R63,T63)=0,"",MIN(10,MAX(F63,H63,P63,R63,T63)))</f>
        <v/>
      </c>
      <c r="V63" s="11" t="n"/>
    </row>
    <row r="64">
      <c r="A64" s="15">
        <f>Murid!A64</f>
        <v/>
      </c>
      <c r="B64" s="15">
        <f>IF(Murid!B64="","",Murid!B64)</f>
        <v/>
      </c>
      <c r="C64" s="16">
        <f>IF(Murid!C64="","",Murid!C64)</f>
        <v/>
      </c>
      <c r="D64" s="15">
        <f>IF(Murid!E64="","",Murid!E64)</f>
        <v/>
      </c>
      <c r="E64" s="11" t="n"/>
      <c r="F64" s="10">
        <f>IF(E64="","",IFERROR(VLOOKUP(E64,T_PERK,2,FALSE),0))</f>
        <v/>
      </c>
      <c r="G64" s="11" t="n"/>
      <c r="H64" s="10">
        <f>IF(G64="","",IFERROR(VLOOKUP(G64,T_ANUG,2,FALSE),0))</f>
        <v/>
      </c>
      <c r="I64" s="11" t="n"/>
      <c r="J64" s="11" t="n"/>
      <c r="K64" s="11" t="n"/>
      <c r="L64" s="11" t="n"/>
      <c r="M64" s="11" t="n"/>
      <c r="N64" s="11" t="n"/>
      <c r="O64" s="11" t="n"/>
      <c r="P64" s="10">
        <f>IF(COUNTA(I64:O64)=0,"",MIN(10,SUM(I64:O64)))</f>
        <v/>
      </c>
      <c r="Q64" s="11" t="n"/>
      <c r="R64" s="10">
        <f>IF(Q64="","",IFERROR(VLOOKUP(Q64,T_NILAM,2,FALSE),0))</f>
        <v/>
      </c>
      <c r="S64" s="11" t="n"/>
      <c r="T64" s="10">
        <f>IF(S64="","",IFERROR(VLOOKUP(S64,T_TIMSS,2,FALSE),0))</f>
        <v/>
      </c>
      <c r="U64" s="19">
        <f>IF(COUNT(F64,H64,P64,R64,T64)=0,"",MIN(10,MAX(F64,H64,P64,R64,T64)))</f>
        <v/>
      </c>
      <c r="V64" s="11" t="n"/>
    </row>
    <row r="65">
      <c r="A65" s="15">
        <f>Murid!A65</f>
        <v/>
      </c>
      <c r="B65" s="15">
        <f>IF(Murid!B65="","",Murid!B65)</f>
        <v/>
      </c>
      <c r="C65" s="16">
        <f>IF(Murid!C65="","",Murid!C65)</f>
        <v/>
      </c>
      <c r="D65" s="15">
        <f>IF(Murid!E65="","",Murid!E65)</f>
        <v/>
      </c>
      <c r="E65" s="11" t="n"/>
      <c r="F65" s="10">
        <f>IF(E65="","",IFERROR(VLOOKUP(E65,T_PERK,2,FALSE),0))</f>
        <v/>
      </c>
      <c r="G65" s="11" t="n"/>
      <c r="H65" s="10">
        <f>IF(G65="","",IFERROR(VLOOKUP(G65,T_ANUG,2,FALSE),0))</f>
        <v/>
      </c>
      <c r="I65" s="11" t="n"/>
      <c r="J65" s="11" t="n"/>
      <c r="K65" s="11" t="n"/>
      <c r="L65" s="11" t="n"/>
      <c r="M65" s="11" t="n"/>
      <c r="N65" s="11" t="n"/>
      <c r="O65" s="11" t="n"/>
      <c r="P65" s="10">
        <f>IF(COUNTA(I65:O65)=0,"",MIN(10,SUM(I65:O65)))</f>
        <v/>
      </c>
      <c r="Q65" s="11" t="n"/>
      <c r="R65" s="10">
        <f>IF(Q65="","",IFERROR(VLOOKUP(Q65,T_NILAM,2,FALSE),0))</f>
        <v/>
      </c>
      <c r="S65" s="11" t="n"/>
      <c r="T65" s="10">
        <f>IF(S65="","",IFERROR(VLOOKUP(S65,T_TIMSS,2,FALSE),0))</f>
        <v/>
      </c>
      <c r="U65" s="19">
        <f>IF(COUNT(F65,H65,P65,R65,T65)=0,"",MIN(10,MAX(F65,H65,P65,R65,T65)))</f>
        <v/>
      </c>
      <c r="V65" s="11" t="n"/>
    </row>
    <row r="66">
      <c r="A66" s="15">
        <f>Murid!A66</f>
        <v/>
      </c>
      <c r="B66" s="15">
        <f>IF(Murid!B66="","",Murid!B66)</f>
        <v/>
      </c>
      <c r="C66" s="16">
        <f>IF(Murid!C66="","",Murid!C66)</f>
        <v/>
      </c>
      <c r="D66" s="15">
        <f>IF(Murid!E66="","",Murid!E66)</f>
        <v/>
      </c>
      <c r="E66" s="11" t="n"/>
      <c r="F66" s="10">
        <f>IF(E66="","",IFERROR(VLOOKUP(E66,T_PERK,2,FALSE),0))</f>
        <v/>
      </c>
      <c r="G66" s="11" t="n"/>
      <c r="H66" s="10">
        <f>IF(G66="","",IFERROR(VLOOKUP(G66,T_ANUG,2,FALSE),0))</f>
        <v/>
      </c>
      <c r="I66" s="11" t="n"/>
      <c r="J66" s="11" t="n"/>
      <c r="K66" s="11" t="n"/>
      <c r="L66" s="11" t="n"/>
      <c r="M66" s="11" t="n"/>
      <c r="N66" s="11" t="n"/>
      <c r="O66" s="11" t="n"/>
      <c r="P66" s="10">
        <f>IF(COUNTA(I66:O66)=0,"",MIN(10,SUM(I66:O66)))</f>
        <v/>
      </c>
      <c r="Q66" s="11" t="n"/>
      <c r="R66" s="10">
        <f>IF(Q66="","",IFERROR(VLOOKUP(Q66,T_NILAM,2,FALSE),0))</f>
        <v/>
      </c>
      <c r="S66" s="11" t="n"/>
      <c r="T66" s="10">
        <f>IF(S66="","",IFERROR(VLOOKUP(S66,T_TIMSS,2,FALSE),0))</f>
        <v/>
      </c>
      <c r="U66" s="19">
        <f>IF(COUNT(F66,H66,P66,R66,T66)=0,"",MIN(10,MAX(F66,H66,P66,R66,T66)))</f>
        <v/>
      </c>
      <c r="V66" s="11" t="n"/>
    </row>
    <row r="67">
      <c r="A67" s="15">
        <f>Murid!A67</f>
        <v/>
      </c>
      <c r="B67" s="15">
        <f>IF(Murid!B67="","",Murid!B67)</f>
        <v/>
      </c>
      <c r="C67" s="16">
        <f>IF(Murid!C67="","",Murid!C67)</f>
        <v/>
      </c>
      <c r="D67" s="15">
        <f>IF(Murid!E67="","",Murid!E67)</f>
        <v/>
      </c>
      <c r="E67" s="11" t="n"/>
      <c r="F67" s="10">
        <f>IF(E67="","",IFERROR(VLOOKUP(E67,T_PERK,2,FALSE),0))</f>
        <v/>
      </c>
      <c r="G67" s="11" t="n"/>
      <c r="H67" s="10">
        <f>IF(G67="","",IFERROR(VLOOKUP(G67,T_ANUG,2,FALSE),0))</f>
        <v/>
      </c>
      <c r="I67" s="11" t="n"/>
      <c r="J67" s="11" t="n"/>
      <c r="K67" s="11" t="n"/>
      <c r="L67" s="11" t="n"/>
      <c r="M67" s="11" t="n"/>
      <c r="N67" s="11" t="n"/>
      <c r="O67" s="11" t="n"/>
      <c r="P67" s="10">
        <f>IF(COUNTA(I67:O67)=0,"",MIN(10,SUM(I67:O67)))</f>
        <v/>
      </c>
      <c r="Q67" s="11" t="n"/>
      <c r="R67" s="10">
        <f>IF(Q67="","",IFERROR(VLOOKUP(Q67,T_NILAM,2,FALSE),0))</f>
        <v/>
      </c>
      <c r="S67" s="11" t="n"/>
      <c r="T67" s="10">
        <f>IF(S67="","",IFERROR(VLOOKUP(S67,T_TIMSS,2,FALSE),0))</f>
        <v/>
      </c>
      <c r="U67" s="19">
        <f>IF(COUNT(F67,H67,P67,R67,T67)=0,"",MIN(10,MAX(F67,H67,P67,R67,T67)))</f>
        <v/>
      </c>
      <c r="V67" s="11" t="n"/>
    </row>
    <row r="68">
      <c r="A68" s="15">
        <f>Murid!A68</f>
        <v/>
      </c>
      <c r="B68" s="15">
        <f>IF(Murid!B68="","",Murid!B68)</f>
        <v/>
      </c>
      <c r="C68" s="16">
        <f>IF(Murid!C68="","",Murid!C68)</f>
        <v/>
      </c>
      <c r="D68" s="15">
        <f>IF(Murid!E68="","",Murid!E68)</f>
        <v/>
      </c>
      <c r="E68" s="11" t="n"/>
      <c r="F68" s="10">
        <f>IF(E68="","",IFERROR(VLOOKUP(E68,T_PERK,2,FALSE),0))</f>
        <v/>
      </c>
      <c r="G68" s="11" t="n"/>
      <c r="H68" s="10">
        <f>IF(G68="","",IFERROR(VLOOKUP(G68,T_ANUG,2,FALSE),0))</f>
        <v/>
      </c>
      <c r="I68" s="11" t="n"/>
      <c r="J68" s="11" t="n"/>
      <c r="K68" s="11" t="n"/>
      <c r="L68" s="11" t="n"/>
      <c r="M68" s="11" t="n"/>
      <c r="N68" s="11" t="n"/>
      <c r="O68" s="11" t="n"/>
      <c r="P68" s="10">
        <f>IF(COUNTA(I68:O68)=0,"",MIN(10,SUM(I68:O68)))</f>
        <v/>
      </c>
      <c r="Q68" s="11" t="n"/>
      <c r="R68" s="10">
        <f>IF(Q68="","",IFERROR(VLOOKUP(Q68,T_NILAM,2,FALSE),0))</f>
        <v/>
      </c>
      <c r="S68" s="11" t="n"/>
      <c r="T68" s="10">
        <f>IF(S68="","",IFERROR(VLOOKUP(S68,T_TIMSS,2,FALSE),0))</f>
        <v/>
      </c>
      <c r="U68" s="19">
        <f>IF(COUNT(F68,H68,P68,R68,T68)=0,"",MIN(10,MAX(F68,H68,P68,R68,T68)))</f>
        <v/>
      </c>
      <c r="V68" s="11" t="n"/>
    </row>
    <row r="69">
      <c r="A69" s="15">
        <f>Murid!A69</f>
        <v/>
      </c>
      <c r="B69" s="15">
        <f>IF(Murid!B69="","",Murid!B69)</f>
        <v/>
      </c>
      <c r="C69" s="16">
        <f>IF(Murid!C69="","",Murid!C69)</f>
        <v/>
      </c>
      <c r="D69" s="15">
        <f>IF(Murid!E69="","",Murid!E69)</f>
        <v/>
      </c>
      <c r="E69" s="11" t="n"/>
      <c r="F69" s="10">
        <f>IF(E69="","",IFERROR(VLOOKUP(E69,T_PERK,2,FALSE),0))</f>
        <v/>
      </c>
      <c r="G69" s="11" t="n"/>
      <c r="H69" s="10">
        <f>IF(G69="","",IFERROR(VLOOKUP(G69,T_ANUG,2,FALSE),0))</f>
        <v/>
      </c>
      <c r="I69" s="11" t="n"/>
      <c r="J69" s="11" t="n"/>
      <c r="K69" s="11" t="n"/>
      <c r="L69" s="11" t="n"/>
      <c r="M69" s="11" t="n"/>
      <c r="N69" s="11" t="n"/>
      <c r="O69" s="11" t="n"/>
      <c r="P69" s="10">
        <f>IF(COUNTA(I69:O69)=0,"",MIN(10,SUM(I69:O69)))</f>
        <v/>
      </c>
      <c r="Q69" s="11" t="n"/>
      <c r="R69" s="10">
        <f>IF(Q69="","",IFERROR(VLOOKUP(Q69,T_NILAM,2,FALSE),0))</f>
        <v/>
      </c>
      <c r="S69" s="11" t="n"/>
      <c r="T69" s="10">
        <f>IF(S69="","",IFERROR(VLOOKUP(S69,T_TIMSS,2,FALSE),0))</f>
        <v/>
      </c>
      <c r="U69" s="19">
        <f>IF(COUNT(F69,H69,P69,R69,T69)=0,"",MIN(10,MAX(F69,H69,P69,R69,T69)))</f>
        <v/>
      </c>
      <c r="V69" s="11" t="n"/>
    </row>
    <row r="70">
      <c r="A70" s="15">
        <f>Murid!A70</f>
        <v/>
      </c>
      <c r="B70" s="15">
        <f>IF(Murid!B70="","",Murid!B70)</f>
        <v/>
      </c>
      <c r="C70" s="16">
        <f>IF(Murid!C70="","",Murid!C70)</f>
        <v/>
      </c>
      <c r="D70" s="15">
        <f>IF(Murid!E70="","",Murid!E70)</f>
        <v/>
      </c>
      <c r="E70" s="11" t="n"/>
      <c r="F70" s="10">
        <f>IF(E70="","",IFERROR(VLOOKUP(E70,T_PERK,2,FALSE),0))</f>
        <v/>
      </c>
      <c r="G70" s="11" t="n"/>
      <c r="H70" s="10">
        <f>IF(G70="","",IFERROR(VLOOKUP(G70,T_ANUG,2,FALSE),0))</f>
        <v/>
      </c>
      <c r="I70" s="11" t="n"/>
      <c r="J70" s="11" t="n"/>
      <c r="K70" s="11" t="n"/>
      <c r="L70" s="11" t="n"/>
      <c r="M70" s="11" t="n"/>
      <c r="N70" s="11" t="n"/>
      <c r="O70" s="11" t="n"/>
      <c r="P70" s="10">
        <f>IF(COUNTA(I70:O70)=0,"",MIN(10,SUM(I70:O70)))</f>
        <v/>
      </c>
      <c r="Q70" s="11" t="n"/>
      <c r="R70" s="10">
        <f>IF(Q70="","",IFERROR(VLOOKUP(Q70,T_NILAM,2,FALSE),0))</f>
        <v/>
      </c>
      <c r="S70" s="11" t="n"/>
      <c r="T70" s="10">
        <f>IF(S70="","",IFERROR(VLOOKUP(S70,T_TIMSS,2,FALSE),0))</f>
        <v/>
      </c>
      <c r="U70" s="19">
        <f>IF(COUNT(F70,H70,P70,R70,T70)=0,"",MIN(10,MAX(F70,H70,P70,R70,T70)))</f>
        <v/>
      </c>
      <c r="V70" s="11" t="n"/>
    </row>
    <row r="71">
      <c r="A71" s="15">
        <f>Murid!A71</f>
        <v/>
      </c>
      <c r="B71" s="15">
        <f>IF(Murid!B71="","",Murid!B71)</f>
        <v/>
      </c>
      <c r="C71" s="16">
        <f>IF(Murid!C71="","",Murid!C71)</f>
        <v/>
      </c>
      <c r="D71" s="15">
        <f>IF(Murid!E71="","",Murid!E71)</f>
        <v/>
      </c>
      <c r="E71" s="11" t="n"/>
      <c r="F71" s="10">
        <f>IF(E71="","",IFERROR(VLOOKUP(E71,T_PERK,2,FALSE),0))</f>
        <v/>
      </c>
      <c r="G71" s="11" t="n"/>
      <c r="H71" s="10">
        <f>IF(G71="","",IFERROR(VLOOKUP(G71,T_ANUG,2,FALSE),0))</f>
        <v/>
      </c>
      <c r="I71" s="11" t="n"/>
      <c r="J71" s="11" t="n"/>
      <c r="K71" s="11" t="n"/>
      <c r="L71" s="11" t="n"/>
      <c r="M71" s="11" t="n"/>
      <c r="N71" s="11" t="n"/>
      <c r="O71" s="11" t="n"/>
      <c r="P71" s="10">
        <f>IF(COUNTA(I71:O71)=0,"",MIN(10,SUM(I71:O71)))</f>
        <v/>
      </c>
      <c r="Q71" s="11" t="n"/>
      <c r="R71" s="10">
        <f>IF(Q71="","",IFERROR(VLOOKUP(Q71,T_NILAM,2,FALSE),0))</f>
        <v/>
      </c>
      <c r="S71" s="11" t="n"/>
      <c r="T71" s="10">
        <f>IF(S71="","",IFERROR(VLOOKUP(S71,T_TIMSS,2,FALSE),0))</f>
        <v/>
      </c>
      <c r="U71" s="19">
        <f>IF(COUNT(F71,H71,P71,R71,T71)=0,"",MIN(10,MAX(F71,H71,P71,R71,T71)))</f>
        <v/>
      </c>
      <c r="V71" s="11" t="n"/>
    </row>
    <row r="72">
      <c r="A72" s="15">
        <f>Murid!A72</f>
        <v/>
      </c>
      <c r="B72" s="15">
        <f>IF(Murid!B72="","",Murid!B72)</f>
        <v/>
      </c>
      <c r="C72" s="16">
        <f>IF(Murid!C72="","",Murid!C72)</f>
        <v/>
      </c>
      <c r="D72" s="15">
        <f>IF(Murid!E72="","",Murid!E72)</f>
        <v/>
      </c>
      <c r="E72" s="11" t="n"/>
      <c r="F72" s="10">
        <f>IF(E72="","",IFERROR(VLOOKUP(E72,T_PERK,2,FALSE),0))</f>
        <v/>
      </c>
      <c r="G72" s="11" t="n"/>
      <c r="H72" s="10">
        <f>IF(G72="","",IFERROR(VLOOKUP(G72,T_ANUG,2,FALSE),0))</f>
        <v/>
      </c>
      <c r="I72" s="11" t="n"/>
      <c r="J72" s="11" t="n"/>
      <c r="K72" s="11" t="n"/>
      <c r="L72" s="11" t="n"/>
      <c r="M72" s="11" t="n"/>
      <c r="N72" s="11" t="n"/>
      <c r="O72" s="11" t="n"/>
      <c r="P72" s="10">
        <f>IF(COUNTA(I72:O72)=0,"",MIN(10,SUM(I72:O72)))</f>
        <v/>
      </c>
      <c r="Q72" s="11" t="n"/>
      <c r="R72" s="10">
        <f>IF(Q72="","",IFERROR(VLOOKUP(Q72,T_NILAM,2,FALSE),0))</f>
        <v/>
      </c>
      <c r="S72" s="11" t="n"/>
      <c r="T72" s="10">
        <f>IF(S72="","",IFERROR(VLOOKUP(S72,T_TIMSS,2,FALSE),0))</f>
        <v/>
      </c>
      <c r="U72" s="19">
        <f>IF(COUNT(F72,H72,P72,R72,T72)=0,"",MIN(10,MAX(F72,H72,P72,R72,T72)))</f>
        <v/>
      </c>
      <c r="V72" s="11" t="n"/>
    </row>
    <row r="73">
      <c r="A73" s="15">
        <f>Murid!A73</f>
        <v/>
      </c>
      <c r="B73" s="15">
        <f>IF(Murid!B73="","",Murid!B73)</f>
        <v/>
      </c>
      <c r="C73" s="16">
        <f>IF(Murid!C73="","",Murid!C73)</f>
        <v/>
      </c>
      <c r="D73" s="15">
        <f>IF(Murid!E73="","",Murid!E73)</f>
        <v/>
      </c>
      <c r="E73" s="11" t="n"/>
      <c r="F73" s="10">
        <f>IF(E73="","",IFERROR(VLOOKUP(E73,T_PERK,2,FALSE),0))</f>
        <v/>
      </c>
      <c r="G73" s="11" t="n"/>
      <c r="H73" s="10">
        <f>IF(G73="","",IFERROR(VLOOKUP(G73,T_ANUG,2,FALSE),0))</f>
        <v/>
      </c>
      <c r="I73" s="11" t="n"/>
      <c r="J73" s="11" t="n"/>
      <c r="K73" s="11" t="n"/>
      <c r="L73" s="11" t="n"/>
      <c r="M73" s="11" t="n"/>
      <c r="N73" s="11" t="n"/>
      <c r="O73" s="11" t="n"/>
      <c r="P73" s="10">
        <f>IF(COUNTA(I73:O73)=0,"",MIN(10,SUM(I73:O73)))</f>
        <v/>
      </c>
      <c r="Q73" s="11" t="n"/>
      <c r="R73" s="10">
        <f>IF(Q73="","",IFERROR(VLOOKUP(Q73,T_NILAM,2,FALSE),0))</f>
        <v/>
      </c>
      <c r="S73" s="11" t="n"/>
      <c r="T73" s="10">
        <f>IF(S73="","",IFERROR(VLOOKUP(S73,T_TIMSS,2,FALSE),0))</f>
        <v/>
      </c>
      <c r="U73" s="19">
        <f>IF(COUNT(F73,H73,P73,R73,T73)=0,"",MIN(10,MAX(F73,H73,P73,R73,T73)))</f>
        <v/>
      </c>
      <c r="V73" s="11" t="n"/>
    </row>
    <row r="74">
      <c r="A74" s="15">
        <f>Murid!A74</f>
        <v/>
      </c>
      <c r="B74" s="15">
        <f>IF(Murid!B74="","",Murid!B74)</f>
        <v/>
      </c>
      <c r="C74" s="16">
        <f>IF(Murid!C74="","",Murid!C74)</f>
        <v/>
      </c>
      <c r="D74" s="15">
        <f>IF(Murid!E74="","",Murid!E74)</f>
        <v/>
      </c>
      <c r="E74" s="11" t="n"/>
      <c r="F74" s="10">
        <f>IF(E74="","",IFERROR(VLOOKUP(E74,T_PERK,2,FALSE),0))</f>
        <v/>
      </c>
      <c r="G74" s="11" t="n"/>
      <c r="H74" s="10">
        <f>IF(G74="","",IFERROR(VLOOKUP(G74,T_ANUG,2,FALSE),0))</f>
        <v/>
      </c>
      <c r="I74" s="11" t="n"/>
      <c r="J74" s="11" t="n"/>
      <c r="K74" s="11" t="n"/>
      <c r="L74" s="11" t="n"/>
      <c r="M74" s="11" t="n"/>
      <c r="N74" s="11" t="n"/>
      <c r="O74" s="11" t="n"/>
      <c r="P74" s="10">
        <f>IF(COUNTA(I74:O74)=0,"",MIN(10,SUM(I74:O74)))</f>
        <v/>
      </c>
      <c r="Q74" s="11" t="n"/>
      <c r="R74" s="10">
        <f>IF(Q74="","",IFERROR(VLOOKUP(Q74,T_NILAM,2,FALSE),0))</f>
        <v/>
      </c>
      <c r="S74" s="11" t="n"/>
      <c r="T74" s="10">
        <f>IF(S74="","",IFERROR(VLOOKUP(S74,T_TIMSS,2,FALSE),0))</f>
        <v/>
      </c>
      <c r="U74" s="19">
        <f>IF(COUNT(F74,H74,P74,R74,T74)=0,"",MIN(10,MAX(F74,H74,P74,R74,T74)))</f>
        <v/>
      </c>
      <c r="V74" s="11" t="n"/>
    </row>
    <row r="75">
      <c r="A75" s="15">
        <f>Murid!A75</f>
        <v/>
      </c>
      <c r="B75" s="15">
        <f>IF(Murid!B75="","",Murid!B75)</f>
        <v/>
      </c>
      <c r="C75" s="16">
        <f>IF(Murid!C75="","",Murid!C75)</f>
        <v/>
      </c>
      <c r="D75" s="15">
        <f>IF(Murid!E75="","",Murid!E75)</f>
        <v/>
      </c>
      <c r="E75" s="11" t="n"/>
      <c r="F75" s="10">
        <f>IF(E75="","",IFERROR(VLOOKUP(E75,T_PERK,2,FALSE),0))</f>
        <v/>
      </c>
      <c r="G75" s="11" t="n"/>
      <c r="H75" s="10">
        <f>IF(G75="","",IFERROR(VLOOKUP(G75,T_ANUG,2,FALSE),0))</f>
        <v/>
      </c>
      <c r="I75" s="11" t="n"/>
      <c r="J75" s="11" t="n"/>
      <c r="K75" s="11" t="n"/>
      <c r="L75" s="11" t="n"/>
      <c r="M75" s="11" t="n"/>
      <c r="N75" s="11" t="n"/>
      <c r="O75" s="11" t="n"/>
      <c r="P75" s="10">
        <f>IF(COUNTA(I75:O75)=0,"",MIN(10,SUM(I75:O75)))</f>
        <v/>
      </c>
      <c r="Q75" s="11" t="n"/>
      <c r="R75" s="10">
        <f>IF(Q75="","",IFERROR(VLOOKUP(Q75,T_NILAM,2,FALSE),0))</f>
        <v/>
      </c>
      <c r="S75" s="11" t="n"/>
      <c r="T75" s="10">
        <f>IF(S75="","",IFERROR(VLOOKUP(S75,T_TIMSS,2,FALSE),0))</f>
        <v/>
      </c>
      <c r="U75" s="19">
        <f>IF(COUNT(F75,H75,P75,R75,T75)=0,"",MIN(10,MAX(F75,H75,P75,R75,T75)))</f>
        <v/>
      </c>
      <c r="V75" s="11" t="n"/>
    </row>
    <row r="76">
      <c r="A76" s="15">
        <f>Murid!A76</f>
        <v/>
      </c>
      <c r="B76" s="15">
        <f>IF(Murid!B76="","",Murid!B76)</f>
        <v/>
      </c>
      <c r="C76" s="16">
        <f>IF(Murid!C76="","",Murid!C76)</f>
        <v/>
      </c>
      <c r="D76" s="15">
        <f>IF(Murid!E76="","",Murid!E76)</f>
        <v/>
      </c>
      <c r="E76" s="11" t="n"/>
      <c r="F76" s="10">
        <f>IF(E76="","",IFERROR(VLOOKUP(E76,T_PERK,2,FALSE),0))</f>
        <v/>
      </c>
      <c r="G76" s="11" t="n"/>
      <c r="H76" s="10">
        <f>IF(G76="","",IFERROR(VLOOKUP(G76,T_ANUG,2,FALSE),0))</f>
        <v/>
      </c>
      <c r="I76" s="11" t="n"/>
      <c r="J76" s="11" t="n"/>
      <c r="K76" s="11" t="n"/>
      <c r="L76" s="11" t="n"/>
      <c r="M76" s="11" t="n"/>
      <c r="N76" s="11" t="n"/>
      <c r="O76" s="11" t="n"/>
      <c r="P76" s="10">
        <f>IF(COUNTA(I76:O76)=0,"",MIN(10,SUM(I76:O76)))</f>
        <v/>
      </c>
      <c r="Q76" s="11" t="n"/>
      <c r="R76" s="10">
        <f>IF(Q76="","",IFERROR(VLOOKUP(Q76,T_NILAM,2,FALSE),0))</f>
        <v/>
      </c>
      <c r="S76" s="11" t="n"/>
      <c r="T76" s="10">
        <f>IF(S76="","",IFERROR(VLOOKUP(S76,T_TIMSS,2,FALSE),0))</f>
        <v/>
      </c>
      <c r="U76" s="19">
        <f>IF(COUNT(F76,H76,P76,R76,T76)=0,"",MIN(10,MAX(F76,H76,P76,R76,T76)))</f>
        <v/>
      </c>
      <c r="V76" s="11" t="n"/>
    </row>
    <row r="77">
      <c r="A77" s="15">
        <f>Murid!A77</f>
        <v/>
      </c>
      <c r="B77" s="15">
        <f>IF(Murid!B77="","",Murid!B77)</f>
        <v/>
      </c>
      <c r="C77" s="16">
        <f>IF(Murid!C77="","",Murid!C77)</f>
        <v/>
      </c>
      <c r="D77" s="15">
        <f>IF(Murid!E77="","",Murid!E77)</f>
        <v/>
      </c>
      <c r="E77" s="11" t="n"/>
      <c r="F77" s="10">
        <f>IF(E77="","",IFERROR(VLOOKUP(E77,T_PERK,2,FALSE),0))</f>
        <v/>
      </c>
      <c r="G77" s="11" t="n"/>
      <c r="H77" s="10">
        <f>IF(G77="","",IFERROR(VLOOKUP(G77,T_ANUG,2,FALSE),0))</f>
        <v/>
      </c>
      <c r="I77" s="11" t="n"/>
      <c r="J77" s="11" t="n"/>
      <c r="K77" s="11" t="n"/>
      <c r="L77" s="11" t="n"/>
      <c r="M77" s="11" t="n"/>
      <c r="N77" s="11" t="n"/>
      <c r="O77" s="11" t="n"/>
      <c r="P77" s="10">
        <f>IF(COUNTA(I77:O77)=0,"",MIN(10,SUM(I77:O77)))</f>
        <v/>
      </c>
      <c r="Q77" s="11" t="n"/>
      <c r="R77" s="10">
        <f>IF(Q77="","",IFERROR(VLOOKUP(Q77,T_NILAM,2,FALSE),0))</f>
        <v/>
      </c>
      <c r="S77" s="11" t="n"/>
      <c r="T77" s="10">
        <f>IF(S77="","",IFERROR(VLOOKUP(S77,T_TIMSS,2,FALSE),0))</f>
        <v/>
      </c>
      <c r="U77" s="19">
        <f>IF(COUNT(F77,H77,P77,R77,T77)=0,"",MIN(10,MAX(F77,H77,P77,R77,T77)))</f>
        <v/>
      </c>
      <c r="V77" s="11" t="n"/>
    </row>
    <row r="78">
      <c r="A78" s="15">
        <f>Murid!A78</f>
        <v/>
      </c>
      <c r="B78" s="15">
        <f>IF(Murid!B78="","",Murid!B78)</f>
        <v/>
      </c>
      <c r="C78" s="16">
        <f>IF(Murid!C78="","",Murid!C78)</f>
        <v/>
      </c>
      <c r="D78" s="15">
        <f>IF(Murid!E78="","",Murid!E78)</f>
        <v/>
      </c>
      <c r="E78" s="11" t="n"/>
      <c r="F78" s="10">
        <f>IF(E78="","",IFERROR(VLOOKUP(E78,T_PERK,2,FALSE),0))</f>
        <v/>
      </c>
      <c r="G78" s="11" t="n"/>
      <c r="H78" s="10">
        <f>IF(G78="","",IFERROR(VLOOKUP(G78,T_ANUG,2,FALSE),0))</f>
        <v/>
      </c>
      <c r="I78" s="11" t="n"/>
      <c r="J78" s="11" t="n"/>
      <c r="K78" s="11" t="n"/>
      <c r="L78" s="11" t="n"/>
      <c r="M78" s="11" t="n"/>
      <c r="N78" s="11" t="n"/>
      <c r="O78" s="11" t="n"/>
      <c r="P78" s="10">
        <f>IF(COUNTA(I78:O78)=0,"",MIN(10,SUM(I78:O78)))</f>
        <v/>
      </c>
      <c r="Q78" s="11" t="n"/>
      <c r="R78" s="10">
        <f>IF(Q78="","",IFERROR(VLOOKUP(Q78,T_NILAM,2,FALSE),0))</f>
        <v/>
      </c>
      <c r="S78" s="11" t="n"/>
      <c r="T78" s="10">
        <f>IF(S78="","",IFERROR(VLOOKUP(S78,T_TIMSS,2,FALSE),0))</f>
        <v/>
      </c>
      <c r="U78" s="19">
        <f>IF(COUNT(F78,H78,P78,R78,T78)=0,"",MIN(10,MAX(F78,H78,P78,R78,T78)))</f>
        <v/>
      </c>
      <c r="V78" s="11" t="n"/>
    </row>
    <row r="79">
      <c r="A79" s="15">
        <f>Murid!A79</f>
        <v/>
      </c>
      <c r="B79" s="15">
        <f>IF(Murid!B79="","",Murid!B79)</f>
        <v/>
      </c>
      <c r="C79" s="16">
        <f>IF(Murid!C79="","",Murid!C79)</f>
        <v/>
      </c>
      <c r="D79" s="15">
        <f>IF(Murid!E79="","",Murid!E79)</f>
        <v/>
      </c>
      <c r="E79" s="11" t="n"/>
      <c r="F79" s="10">
        <f>IF(E79="","",IFERROR(VLOOKUP(E79,T_PERK,2,FALSE),0))</f>
        <v/>
      </c>
      <c r="G79" s="11" t="n"/>
      <c r="H79" s="10">
        <f>IF(G79="","",IFERROR(VLOOKUP(G79,T_ANUG,2,FALSE),0))</f>
        <v/>
      </c>
      <c r="I79" s="11" t="n"/>
      <c r="J79" s="11" t="n"/>
      <c r="K79" s="11" t="n"/>
      <c r="L79" s="11" t="n"/>
      <c r="M79" s="11" t="n"/>
      <c r="N79" s="11" t="n"/>
      <c r="O79" s="11" t="n"/>
      <c r="P79" s="10">
        <f>IF(COUNTA(I79:O79)=0,"",MIN(10,SUM(I79:O79)))</f>
        <v/>
      </c>
      <c r="Q79" s="11" t="n"/>
      <c r="R79" s="10">
        <f>IF(Q79="","",IFERROR(VLOOKUP(Q79,T_NILAM,2,FALSE),0))</f>
        <v/>
      </c>
      <c r="S79" s="11" t="n"/>
      <c r="T79" s="10">
        <f>IF(S79="","",IFERROR(VLOOKUP(S79,T_TIMSS,2,FALSE),0))</f>
        <v/>
      </c>
      <c r="U79" s="19">
        <f>IF(COUNT(F79,H79,P79,R79,T79)=0,"",MIN(10,MAX(F79,H79,P79,R79,T79)))</f>
        <v/>
      </c>
      <c r="V79" s="11" t="n"/>
    </row>
    <row r="80">
      <c r="A80" s="15">
        <f>Murid!A80</f>
        <v/>
      </c>
      <c r="B80" s="15">
        <f>IF(Murid!B80="","",Murid!B80)</f>
        <v/>
      </c>
      <c r="C80" s="16">
        <f>IF(Murid!C80="","",Murid!C80)</f>
        <v/>
      </c>
      <c r="D80" s="15">
        <f>IF(Murid!E80="","",Murid!E80)</f>
        <v/>
      </c>
      <c r="E80" s="11" t="n"/>
      <c r="F80" s="10">
        <f>IF(E80="","",IFERROR(VLOOKUP(E80,T_PERK,2,FALSE),0))</f>
        <v/>
      </c>
      <c r="G80" s="11" t="n"/>
      <c r="H80" s="10">
        <f>IF(G80="","",IFERROR(VLOOKUP(G80,T_ANUG,2,FALSE),0))</f>
        <v/>
      </c>
      <c r="I80" s="11" t="n"/>
      <c r="J80" s="11" t="n"/>
      <c r="K80" s="11" t="n"/>
      <c r="L80" s="11" t="n"/>
      <c r="M80" s="11" t="n"/>
      <c r="N80" s="11" t="n"/>
      <c r="O80" s="11" t="n"/>
      <c r="P80" s="10">
        <f>IF(COUNTA(I80:O80)=0,"",MIN(10,SUM(I80:O80)))</f>
        <v/>
      </c>
      <c r="Q80" s="11" t="n"/>
      <c r="R80" s="10">
        <f>IF(Q80="","",IFERROR(VLOOKUP(Q80,T_NILAM,2,FALSE),0))</f>
        <v/>
      </c>
      <c r="S80" s="11" t="n"/>
      <c r="T80" s="10">
        <f>IF(S80="","",IFERROR(VLOOKUP(S80,T_TIMSS,2,FALSE),0))</f>
        <v/>
      </c>
      <c r="U80" s="19">
        <f>IF(COUNT(F80,H80,P80,R80,T80)=0,"",MIN(10,MAX(F80,H80,P80,R80,T80)))</f>
        <v/>
      </c>
      <c r="V80" s="11" t="n"/>
    </row>
    <row r="81">
      <c r="A81" s="15">
        <f>Murid!A81</f>
        <v/>
      </c>
      <c r="B81" s="15">
        <f>IF(Murid!B81="","",Murid!B81)</f>
        <v/>
      </c>
      <c r="C81" s="16">
        <f>IF(Murid!C81="","",Murid!C81)</f>
        <v/>
      </c>
      <c r="D81" s="15">
        <f>IF(Murid!E81="","",Murid!E81)</f>
        <v/>
      </c>
      <c r="E81" s="11" t="n"/>
      <c r="F81" s="10">
        <f>IF(E81="","",IFERROR(VLOOKUP(E81,T_PERK,2,FALSE),0))</f>
        <v/>
      </c>
      <c r="G81" s="11" t="n"/>
      <c r="H81" s="10">
        <f>IF(G81="","",IFERROR(VLOOKUP(G81,T_ANUG,2,FALSE),0))</f>
        <v/>
      </c>
      <c r="I81" s="11" t="n"/>
      <c r="J81" s="11" t="n"/>
      <c r="K81" s="11" t="n"/>
      <c r="L81" s="11" t="n"/>
      <c r="M81" s="11" t="n"/>
      <c r="N81" s="11" t="n"/>
      <c r="O81" s="11" t="n"/>
      <c r="P81" s="10">
        <f>IF(COUNTA(I81:O81)=0,"",MIN(10,SUM(I81:O81)))</f>
        <v/>
      </c>
      <c r="Q81" s="11" t="n"/>
      <c r="R81" s="10">
        <f>IF(Q81="","",IFERROR(VLOOKUP(Q81,T_NILAM,2,FALSE),0))</f>
        <v/>
      </c>
      <c r="S81" s="11" t="n"/>
      <c r="T81" s="10">
        <f>IF(S81="","",IFERROR(VLOOKUP(S81,T_TIMSS,2,FALSE),0))</f>
        <v/>
      </c>
      <c r="U81" s="19">
        <f>IF(COUNT(F81,H81,P81,R81,T81)=0,"",MIN(10,MAX(F81,H81,P81,R81,T81)))</f>
        <v/>
      </c>
      <c r="V81" s="11" t="n"/>
    </row>
    <row r="82">
      <c r="A82" s="15">
        <f>Murid!A82</f>
        <v/>
      </c>
      <c r="B82" s="15">
        <f>IF(Murid!B82="","",Murid!B82)</f>
        <v/>
      </c>
      <c r="C82" s="16">
        <f>IF(Murid!C82="","",Murid!C82)</f>
        <v/>
      </c>
      <c r="D82" s="15">
        <f>IF(Murid!E82="","",Murid!E82)</f>
        <v/>
      </c>
      <c r="E82" s="11" t="n"/>
      <c r="F82" s="10">
        <f>IF(E82="","",IFERROR(VLOOKUP(E82,T_PERK,2,FALSE),0))</f>
        <v/>
      </c>
      <c r="G82" s="11" t="n"/>
      <c r="H82" s="10">
        <f>IF(G82="","",IFERROR(VLOOKUP(G82,T_ANUG,2,FALSE),0))</f>
        <v/>
      </c>
      <c r="I82" s="11" t="n"/>
      <c r="J82" s="11" t="n"/>
      <c r="K82" s="11" t="n"/>
      <c r="L82" s="11" t="n"/>
      <c r="M82" s="11" t="n"/>
      <c r="N82" s="11" t="n"/>
      <c r="O82" s="11" t="n"/>
      <c r="P82" s="10">
        <f>IF(COUNTA(I82:O82)=0,"",MIN(10,SUM(I82:O82)))</f>
        <v/>
      </c>
      <c r="Q82" s="11" t="n"/>
      <c r="R82" s="10">
        <f>IF(Q82="","",IFERROR(VLOOKUP(Q82,T_NILAM,2,FALSE),0))</f>
        <v/>
      </c>
      <c r="S82" s="11" t="n"/>
      <c r="T82" s="10">
        <f>IF(S82="","",IFERROR(VLOOKUP(S82,T_TIMSS,2,FALSE),0))</f>
        <v/>
      </c>
      <c r="U82" s="19">
        <f>IF(COUNT(F82,H82,P82,R82,T82)=0,"",MIN(10,MAX(F82,H82,P82,R82,T82)))</f>
        <v/>
      </c>
      <c r="V82" s="11" t="n"/>
    </row>
    <row r="83">
      <c r="A83" s="15">
        <f>Murid!A83</f>
        <v/>
      </c>
      <c r="B83" s="15">
        <f>IF(Murid!B83="","",Murid!B83)</f>
        <v/>
      </c>
      <c r="C83" s="16">
        <f>IF(Murid!C83="","",Murid!C83)</f>
        <v/>
      </c>
      <c r="D83" s="15">
        <f>IF(Murid!E83="","",Murid!E83)</f>
        <v/>
      </c>
      <c r="E83" s="11" t="n"/>
      <c r="F83" s="10">
        <f>IF(E83="","",IFERROR(VLOOKUP(E83,T_PERK,2,FALSE),0))</f>
        <v/>
      </c>
      <c r="G83" s="11" t="n"/>
      <c r="H83" s="10">
        <f>IF(G83="","",IFERROR(VLOOKUP(G83,T_ANUG,2,FALSE),0))</f>
        <v/>
      </c>
      <c r="I83" s="11" t="n"/>
      <c r="J83" s="11" t="n"/>
      <c r="K83" s="11" t="n"/>
      <c r="L83" s="11" t="n"/>
      <c r="M83" s="11" t="n"/>
      <c r="N83" s="11" t="n"/>
      <c r="O83" s="11" t="n"/>
      <c r="P83" s="10">
        <f>IF(COUNTA(I83:O83)=0,"",MIN(10,SUM(I83:O83)))</f>
        <v/>
      </c>
      <c r="Q83" s="11" t="n"/>
      <c r="R83" s="10">
        <f>IF(Q83="","",IFERROR(VLOOKUP(Q83,T_NILAM,2,FALSE),0))</f>
        <v/>
      </c>
      <c r="S83" s="11" t="n"/>
      <c r="T83" s="10">
        <f>IF(S83="","",IFERROR(VLOOKUP(S83,T_TIMSS,2,FALSE),0))</f>
        <v/>
      </c>
      <c r="U83" s="19">
        <f>IF(COUNT(F83,H83,P83,R83,T83)=0,"",MIN(10,MAX(F83,H83,P83,R83,T83)))</f>
        <v/>
      </c>
      <c r="V83" s="11" t="n"/>
    </row>
    <row r="84">
      <c r="A84" s="15">
        <f>Murid!A84</f>
        <v/>
      </c>
      <c r="B84" s="15">
        <f>IF(Murid!B84="","",Murid!B84)</f>
        <v/>
      </c>
      <c r="C84" s="16">
        <f>IF(Murid!C84="","",Murid!C84)</f>
        <v/>
      </c>
      <c r="D84" s="15">
        <f>IF(Murid!E84="","",Murid!E84)</f>
        <v/>
      </c>
      <c r="E84" s="11" t="n"/>
      <c r="F84" s="10">
        <f>IF(E84="","",IFERROR(VLOOKUP(E84,T_PERK,2,FALSE),0))</f>
        <v/>
      </c>
      <c r="G84" s="11" t="n"/>
      <c r="H84" s="10">
        <f>IF(G84="","",IFERROR(VLOOKUP(G84,T_ANUG,2,FALSE),0))</f>
        <v/>
      </c>
      <c r="I84" s="11" t="n"/>
      <c r="J84" s="11" t="n"/>
      <c r="K84" s="11" t="n"/>
      <c r="L84" s="11" t="n"/>
      <c r="M84" s="11" t="n"/>
      <c r="N84" s="11" t="n"/>
      <c r="O84" s="11" t="n"/>
      <c r="P84" s="10">
        <f>IF(COUNTA(I84:O84)=0,"",MIN(10,SUM(I84:O84)))</f>
        <v/>
      </c>
      <c r="Q84" s="11" t="n"/>
      <c r="R84" s="10">
        <f>IF(Q84="","",IFERROR(VLOOKUP(Q84,T_NILAM,2,FALSE),0))</f>
        <v/>
      </c>
      <c r="S84" s="11" t="n"/>
      <c r="T84" s="10">
        <f>IF(S84="","",IFERROR(VLOOKUP(S84,T_TIMSS,2,FALSE),0))</f>
        <v/>
      </c>
      <c r="U84" s="19">
        <f>IF(COUNT(F84,H84,P84,R84,T84)=0,"",MIN(10,MAX(F84,H84,P84,R84,T84)))</f>
        <v/>
      </c>
      <c r="V84" s="11" t="n"/>
    </row>
    <row r="85">
      <c r="A85" s="15">
        <f>Murid!A85</f>
        <v/>
      </c>
      <c r="B85" s="15">
        <f>IF(Murid!B85="","",Murid!B85)</f>
        <v/>
      </c>
      <c r="C85" s="16">
        <f>IF(Murid!C85="","",Murid!C85)</f>
        <v/>
      </c>
      <c r="D85" s="15">
        <f>IF(Murid!E85="","",Murid!E85)</f>
        <v/>
      </c>
      <c r="E85" s="11" t="n"/>
      <c r="F85" s="10">
        <f>IF(E85="","",IFERROR(VLOOKUP(E85,T_PERK,2,FALSE),0))</f>
        <v/>
      </c>
      <c r="G85" s="11" t="n"/>
      <c r="H85" s="10">
        <f>IF(G85="","",IFERROR(VLOOKUP(G85,T_ANUG,2,FALSE),0))</f>
        <v/>
      </c>
      <c r="I85" s="11" t="n"/>
      <c r="J85" s="11" t="n"/>
      <c r="K85" s="11" t="n"/>
      <c r="L85" s="11" t="n"/>
      <c r="M85" s="11" t="n"/>
      <c r="N85" s="11" t="n"/>
      <c r="O85" s="11" t="n"/>
      <c r="P85" s="10">
        <f>IF(COUNTA(I85:O85)=0,"",MIN(10,SUM(I85:O85)))</f>
        <v/>
      </c>
      <c r="Q85" s="11" t="n"/>
      <c r="R85" s="10">
        <f>IF(Q85="","",IFERROR(VLOOKUP(Q85,T_NILAM,2,FALSE),0))</f>
        <v/>
      </c>
      <c r="S85" s="11" t="n"/>
      <c r="T85" s="10">
        <f>IF(S85="","",IFERROR(VLOOKUP(S85,T_TIMSS,2,FALSE),0))</f>
        <v/>
      </c>
      <c r="U85" s="19">
        <f>IF(COUNT(F85,H85,P85,R85,T85)=0,"",MIN(10,MAX(F85,H85,P85,R85,T85)))</f>
        <v/>
      </c>
      <c r="V85" s="11" t="n"/>
    </row>
    <row r="86">
      <c r="A86" s="15">
        <f>Murid!A86</f>
        <v/>
      </c>
      <c r="B86" s="15">
        <f>IF(Murid!B86="","",Murid!B86)</f>
        <v/>
      </c>
      <c r="C86" s="16">
        <f>IF(Murid!C86="","",Murid!C86)</f>
        <v/>
      </c>
      <c r="D86" s="15">
        <f>IF(Murid!E86="","",Murid!E86)</f>
        <v/>
      </c>
      <c r="E86" s="11" t="n"/>
      <c r="F86" s="10">
        <f>IF(E86="","",IFERROR(VLOOKUP(E86,T_PERK,2,FALSE),0))</f>
        <v/>
      </c>
      <c r="G86" s="11" t="n"/>
      <c r="H86" s="10">
        <f>IF(G86="","",IFERROR(VLOOKUP(G86,T_ANUG,2,FALSE),0))</f>
        <v/>
      </c>
      <c r="I86" s="11" t="n"/>
      <c r="J86" s="11" t="n"/>
      <c r="K86" s="11" t="n"/>
      <c r="L86" s="11" t="n"/>
      <c r="M86" s="11" t="n"/>
      <c r="N86" s="11" t="n"/>
      <c r="O86" s="11" t="n"/>
      <c r="P86" s="10">
        <f>IF(COUNTA(I86:O86)=0,"",MIN(10,SUM(I86:O86)))</f>
        <v/>
      </c>
      <c r="Q86" s="11" t="n"/>
      <c r="R86" s="10">
        <f>IF(Q86="","",IFERROR(VLOOKUP(Q86,T_NILAM,2,FALSE),0))</f>
        <v/>
      </c>
      <c r="S86" s="11" t="n"/>
      <c r="T86" s="10">
        <f>IF(S86="","",IFERROR(VLOOKUP(S86,T_TIMSS,2,FALSE),0))</f>
        <v/>
      </c>
      <c r="U86" s="19">
        <f>IF(COUNT(F86,H86,P86,R86,T86)=0,"",MIN(10,MAX(F86,H86,P86,R86,T86)))</f>
        <v/>
      </c>
      <c r="V86" s="11" t="n"/>
    </row>
    <row r="87">
      <c r="A87" s="15">
        <f>Murid!A87</f>
        <v/>
      </c>
      <c r="B87" s="15">
        <f>IF(Murid!B87="","",Murid!B87)</f>
        <v/>
      </c>
      <c r="C87" s="16">
        <f>IF(Murid!C87="","",Murid!C87)</f>
        <v/>
      </c>
      <c r="D87" s="15">
        <f>IF(Murid!E87="","",Murid!E87)</f>
        <v/>
      </c>
      <c r="E87" s="11" t="n"/>
      <c r="F87" s="10">
        <f>IF(E87="","",IFERROR(VLOOKUP(E87,T_PERK,2,FALSE),0))</f>
        <v/>
      </c>
      <c r="G87" s="11" t="n"/>
      <c r="H87" s="10">
        <f>IF(G87="","",IFERROR(VLOOKUP(G87,T_ANUG,2,FALSE),0))</f>
        <v/>
      </c>
      <c r="I87" s="11" t="n"/>
      <c r="J87" s="11" t="n"/>
      <c r="K87" s="11" t="n"/>
      <c r="L87" s="11" t="n"/>
      <c r="M87" s="11" t="n"/>
      <c r="N87" s="11" t="n"/>
      <c r="O87" s="11" t="n"/>
      <c r="P87" s="10">
        <f>IF(COUNTA(I87:O87)=0,"",MIN(10,SUM(I87:O87)))</f>
        <v/>
      </c>
      <c r="Q87" s="11" t="n"/>
      <c r="R87" s="10">
        <f>IF(Q87="","",IFERROR(VLOOKUP(Q87,T_NILAM,2,FALSE),0))</f>
        <v/>
      </c>
      <c r="S87" s="11" t="n"/>
      <c r="T87" s="10">
        <f>IF(S87="","",IFERROR(VLOOKUP(S87,T_TIMSS,2,FALSE),0))</f>
        <v/>
      </c>
      <c r="U87" s="19">
        <f>IF(COUNT(F87,H87,P87,R87,T87)=0,"",MIN(10,MAX(F87,H87,P87,R87,T87)))</f>
        <v/>
      </c>
      <c r="V87" s="11" t="n"/>
    </row>
    <row r="88">
      <c r="A88" s="15">
        <f>Murid!A88</f>
        <v/>
      </c>
      <c r="B88" s="15">
        <f>IF(Murid!B88="","",Murid!B88)</f>
        <v/>
      </c>
      <c r="C88" s="16">
        <f>IF(Murid!C88="","",Murid!C88)</f>
        <v/>
      </c>
      <c r="D88" s="15">
        <f>IF(Murid!E88="","",Murid!E88)</f>
        <v/>
      </c>
      <c r="E88" s="11" t="n"/>
      <c r="F88" s="10">
        <f>IF(E88="","",IFERROR(VLOOKUP(E88,T_PERK,2,FALSE),0))</f>
        <v/>
      </c>
      <c r="G88" s="11" t="n"/>
      <c r="H88" s="10">
        <f>IF(G88="","",IFERROR(VLOOKUP(G88,T_ANUG,2,FALSE),0))</f>
        <v/>
      </c>
      <c r="I88" s="11" t="n"/>
      <c r="J88" s="11" t="n"/>
      <c r="K88" s="11" t="n"/>
      <c r="L88" s="11" t="n"/>
      <c r="M88" s="11" t="n"/>
      <c r="N88" s="11" t="n"/>
      <c r="O88" s="11" t="n"/>
      <c r="P88" s="10">
        <f>IF(COUNTA(I88:O88)=0,"",MIN(10,SUM(I88:O88)))</f>
        <v/>
      </c>
      <c r="Q88" s="11" t="n"/>
      <c r="R88" s="10">
        <f>IF(Q88="","",IFERROR(VLOOKUP(Q88,T_NILAM,2,FALSE),0))</f>
        <v/>
      </c>
      <c r="S88" s="11" t="n"/>
      <c r="T88" s="10">
        <f>IF(S88="","",IFERROR(VLOOKUP(S88,T_TIMSS,2,FALSE),0))</f>
        <v/>
      </c>
      <c r="U88" s="19">
        <f>IF(COUNT(F88,H88,P88,R88,T88)=0,"",MIN(10,MAX(F88,H88,P88,R88,T88)))</f>
        <v/>
      </c>
      <c r="V88" s="11" t="n"/>
    </row>
    <row r="89">
      <c r="A89" s="15">
        <f>Murid!A89</f>
        <v/>
      </c>
      <c r="B89" s="15">
        <f>IF(Murid!B89="","",Murid!B89)</f>
        <v/>
      </c>
      <c r="C89" s="16">
        <f>IF(Murid!C89="","",Murid!C89)</f>
        <v/>
      </c>
      <c r="D89" s="15">
        <f>IF(Murid!E89="","",Murid!E89)</f>
        <v/>
      </c>
      <c r="E89" s="11" t="n"/>
      <c r="F89" s="10">
        <f>IF(E89="","",IFERROR(VLOOKUP(E89,T_PERK,2,FALSE),0))</f>
        <v/>
      </c>
      <c r="G89" s="11" t="n"/>
      <c r="H89" s="10">
        <f>IF(G89="","",IFERROR(VLOOKUP(G89,T_ANUG,2,FALSE),0))</f>
        <v/>
      </c>
      <c r="I89" s="11" t="n"/>
      <c r="J89" s="11" t="n"/>
      <c r="K89" s="11" t="n"/>
      <c r="L89" s="11" t="n"/>
      <c r="M89" s="11" t="n"/>
      <c r="N89" s="11" t="n"/>
      <c r="O89" s="11" t="n"/>
      <c r="P89" s="10">
        <f>IF(COUNTA(I89:O89)=0,"",MIN(10,SUM(I89:O89)))</f>
        <v/>
      </c>
      <c r="Q89" s="11" t="n"/>
      <c r="R89" s="10">
        <f>IF(Q89="","",IFERROR(VLOOKUP(Q89,T_NILAM,2,FALSE),0))</f>
        <v/>
      </c>
      <c r="S89" s="11" t="n"/>
      <c r="T89" s="10">
        <f>IF(S89="","",IFERROR(VLOOKUP(S89,T_TIMSS,2,FALSE),0))</f>
        <v/>
      </c>
      <c r="U89" s="19">
        <f>IF(COUNT(F89,H89,P89,R89,T89)=0,"",MIN(10,MAX(F89,H89,P89,R89,T89)))</f>
        <v/>
      </c>
      <c r="V89" s="11" t="n"/>
    </row>
    <row r="90">
      <c r="A90" s="15">
        <f>Murid!A90</f>
        <v/>
      </c>
      <c r="B90" s="15">
        <f>IF(Murid!B90="","",Murid!B90)</f>
        <v/>
      </c>
      <c r="C90" s="16">
        <f>IF(Murid!C90="","",Murid!C90)</f>
        <v/>
      </c>
      <c r="D90" s="15">
        <f>IF(Murid!E90="","",Murid!E90)</f>
        <v/>
      </c>
      <c r="E90" s="11" t="n"/>
      <c r="F90" s="10">
        <f>IF(E90="","",IFERROR(VLOOKUP(E90,T_PERK,2,FALSE),0))</f>
        <v/>
      </c>
      <c r="G90" s="11" t="n"/>
      <c r="H90" s="10">
        <f>IF(G90="","",IFERROR(VLOOKUP(G90,T_ANUG,2,FALSE),0))</f>
        <v/>
      </c>
      <c r="I90" s="11" t="n"/>
      <c r="J90" s="11" t="n"/>
      <c r="K90" s="11" t="n"/>
      <c r="L90" s="11" t="n"/>
      <c r="M90" s="11" t="n"/>
      <c r="N90" s="11" t="n"/>
      <c r="O90" s="11" t="n"/>
      <c r="P90" s="10">
        <f>IF(COUNTA(I90:O90)=0,"",MIN(10,SUM(I90:O90)))</f>
        <v/>
      </c>
      <c r="Q90" s="11" t="n"/>
      <c r="R90" s="10">
        <f>IF(Q90="","",IFERROR(VLOOKUP(Q90,T_NILAM,2,FALSE),0))</f>
        <v/>
      </c>
      <c r="S90" s="11" t="n"/>
      <c r="T90" s="10">
        <f>IF(S90="","",IFERROR(VLOOKUP(S90,T_TIMSS,2,FALSE),0))</f>
        <v/>
      </c>
      <c r="U90" s="19">
        <f>IF(COUNT(F90,H90,P90,R90,T90)=0,"",MIN(10,MAX(F90,H90,P90,R90,T90)))</f>
        <v/>
      </c>
      <c r="V90" s="11" t="n"/>
    </row>
    <row r="91">
      <c r="A91" s="15">
        <f>Murid!A91</f>
        <v/>
      </c>
      <c r="B91" s="15">
        <f>IF(Murid!B91="","",Murid!B91)</f>
        <v/>
      </c>
      <c r="C91" s="16">
        <f>IF(Murid!C91="","",Murid!C91)</f>
        <v/>
      </c>
      <c r="D91" s="15">
        <f>IF(Murid!E91="","",Murid!E91)</f>
        <v/>
      </c>
      <c r="E91" s="11" t="n"/>
      <c r="F91" s="10">
        <f>IF(E91="","",IFERROR(VLOOKUP(E91,T_PERK,2,FALSE),0))</f>
        <v/>
      </c>
      <c r="G91" s="11" t="n"/>
      <c r="H91" s="10">
        <f>IF(G91="","",IFERROR(VLOOKUP(G91,T_ANUG,2,FALSE),0))</f>
        <v/>
      </c>
      <c r="I91" s="11" t="n"/>
      <c r="J91" s="11" t="n"/>
      <c r="K91" s="11" t="n"/>
      <c r="L91" s="11" t="n"/>
      <c r="M91" s="11" t="n"/>
      <c r="N91" s="11" t="n"/>
      <c r="O91" s="11" t="n"/>
      <c r="P91" s="10">
        <f>IF(COUNTA(I91:O91)=0,"",MIN(10,SUM(I91:O91)))</f>
        <v/>
      </c>
      <c r="Q91" s="11" t="n"/>
      <c r="R91" s="10">
        <f>IF(Q91="","",IFERROR(VLOOKUP(Q91,T_NILAM,2,FALSE),0))</f>
        <v/>
      </c>
      <c r="S91" s="11" t="n"/>
      <c r="T91" s="10">
        <f>IF(S91="","",IFERROR(VLOOKUP(S91,T_TIMSS,2,FALSE),0))</f>
        <v/>
      </c>
      <c r="U91" s="19">
        <f>IF(COUNT(F91,H91,P91,R91,T91)=0,"",MIN(10,MAX(F91,H91,P91,R91,T91)))</f>
        <v/>
      </c>
      <c r="V91" s="11" t="n"/>
    </row>
    <row r="92">
      <c r="A92" s="15">
        <f>Murid!A92</f>
        <v/>
      </c>
      <c r="B92" s="15">
        <f>IF(Murid!B92="","",Murid!B92)</f>
        <v/>
      </c>
      <c r="C92" s="16">
        <f>IF(Murid!C92="","",Murid!C92)</f>
        <v/>
      </c>
      <c r="D92" s="15">
        <f>IF(Murid!E92="","",Murid!E92)</f>
        <v/>
      </c>
      <c r="E92" s="11" t="n"/>
      <c r="F92" s="10">
        <f>IF(E92="","",IFERROR(VLOOKUP(E92,T_PERK,2,FALSE),0))</f>
        <v/>
      </c>
      <c r="G92" s="11" t="n"/>
      <c r="H92" s="10">
        <f>IF(G92="","",IFERROR(VLOOKUP(G92,T_ANUG,2,FALSE),0))</f>
        <v/>
      </c>
      <c r="I92" s="11" t="n"/>
      <c r="J92" s="11" t="n"/>
      <c r="K92" s="11" t="n"/>
      <c r="L92" s="11" t="n"/>
      <c r="M92" s="11" t="n"/>
      <c r="N92" s="11" t="n"/>
      <c r="O92" s="11" t="n"/>
      <c r="P92" s="10">
        <f>IF(COUNTA(I92:O92)=0,"",MIN(10,SUM(I92:O92)))</f>
        <v/>
      </c>
      <c r="Q92" s="11" t="n"/>
      <c r="R92" s="10">
        <f>IF(Q92="","",IFERROR(VLOOKUP(Q92,T_NILAM,2,FALSE),0))</f>
        <v/>
      </c>
      <c r="S92" s="11" t="n"/>
      <c r="T92" s="10">
        <f>IF(S92="","",IFERROR(VLOOKUP(S92,T_TIMSS,2,FALSE),0))</f>
        <v/>
      </c>
      <c r="U92" s="19">
        <f>IF(COUNT(F92,H92,P92,R92,T92)=0,"",MIN(10,MAX(F92,H92,P92,R92,T92)))</f>
        <v/>
      </c>
      <c r="V92" s="11" t="n"/>
    </row>
    <row r="93">
      <c r="A93" s="15">
        <f>Murid!A93</f>
        <v/>
      </c>
      <c r="B93" s="15">
        <f>IF(Murid!B93="","",Murid!B93)</f>
        <v/>
      </c>
      <c r="C93" s="16">
        <f>IF(Murid!C93="","",Murid!C93)</f>
        <v/>
      </c>
      <c r="D93" s="15">
        <f>IF(Murid!E93="","",Murid!E93)</f>
        <v/>
      </c>
      <c r="E93" s="11" t="n"/>
      <c r="F93" s="10">
        <f>IF(E93="","",IFERROR(VLOOKUP(E93,T_PERK,2,FALSE),0))</f>
        <v/>
      </c>
      <c r="G93" s="11" t="n"/>
      <c r="H93" s="10">
        <f>IF(G93="","",IFERROR(VLOOKUP(G93,T_ANUG,2,FALSE),0))</f>
        <v/>
      </c>
      <c r="I93" s="11" t="n"/>
      <c r="J93" s="11" t="n"/>
      <c r="K93" s="11" t="n"/>
      <c r="L93" s="11" t="n"/>
      <c r="M93" s="11" t="n"/>
      <c r="N93" s="11" t="n"/>
      <c r="O93" s="11" t="n"/>
      <c r="P93" s="10">
        <f>IF(COUNTA(I93:O93)=0,"",MIN(10,SUM(I93:O93)))</f>
        <v/>
      </c>
      <c r="Q93" s="11" t="n"/>
      <c r="R93" s="10">
        <f>IF(Q93="","",IFERROR(VLOOKUP(Q93,T_NILAM,2,FALSE),0))</f>
        <v/>
      </c>
      <c r="S93" s="11" t="n"/>
      <c r="T93" s="10">
        <f>IF(S93="","",IFERROR(VLOOKUP(S93,T_TIMSS,2,FALSE),0))</f>
        <v/>
      </c>
      <c r="U93" s="19">
        <f>IF(COUNT(F93,H93,P93,R93,T93)=0,"",MIN(10,MAX(F93,H93,P93,R93,T93)))</f>
        <v/>
      </c>
      <c r="V93" s="11" t="n"/>
    </row>
    <row r="94">
      <c r="A94" s="15">
        <f>Murid!A94</f>
        <v/>
      </c>
      <c r="B94" s="15">
        <f>IF(Murid!B94="","",Murid!B94)</f>
        <v/>
      </c>
      <c r="C94" s="16">
        <f>IF(Murid!C94="","",Murid!C94)</f>
        <v/>
      </c>
      <c r="D94" s="15">
        <f>IF(Murid!E94="","",Murid!E94)</f>
        <v/>
      </c>
      <c r="E94" s="11" t="n"/>
      <c r="F94" s="10">
        <f>IF(E94="","",IFERROR(VLOOKUP(E94,T_PERK,2,FALSE),0))</f>
        <v/>
      </c>
      <c r="G94" s="11" t="n"/>
      <c r="H94" s="10">
        <f>IF(G94="","",IFERROR(VLOOKUP(G94,T_ANUG,2,FALSE),0))</f>
        <v/>
      </c>
      <c r="I94" s="11" t="n"/>
      <c r="J94" s="11" t="n"/>
      <c r="K94" s="11" t="n"/>
      <c r="L94" s="11" t="n"/>
      <c r="M94" s="11" t="n"/>
      <c r="N94" s="11" t="n"/>
      <c r="O94" s="11" t="n"/>
      <c r="P94" s="10">
        <f>IF(COUNTA(I94:O94)=0,"",MIN(10,SUM(I94:O94)))</f>
        <v/>
      </c>
      <c r="Q94" s="11" t="n"/>
      <c r="R94" s="10">
        <f>IF(Q94="","",IFERROR(VLOOKUP(Q94,T_NILAM,2,FALSE),0))</f>
        <v/>
      </c>
      <c r="S94" s="11" t="n"/>
      <c r="T94" s="10">
        <f>IF(S94="","",IFERROR(VLOOKUP(S94,T_TIMSS,2,FALSE),0))</f>
        <v/>
      </c>
      <c r="U94" s="19">
        <f>IF(COUNT(F94,H94,P94,R94,T94)=0,"",MIN(10,MAX(F94,H94,P94,R94,T94)))</f>
        <v/>
      </c>
      <c r="V94" s="11" t="n"/>
    </row>
    <row r="95">
      <c r="A95" s="15">
        <f>Murid!A95</f>
        <v/>
      </c>
      <c r="B95" s="15">
        <f>IF(Murid!B95="","",Murid!B95)</f>
        <v/>
      </c>
      <c r="C95" s="16">
        <f>IF(Murid!C95="","",Murid!C95)</f>
        <v/>
      </c>
      <c r="D95" s="15">
        <f>IF(Murid!E95="","",Murid!E95)</f>
        <v/>
      </c>
      <c r="E95" s="11" t="n"/>
      <c r="F95" s="10">
        <f>IF(E95="","",IFERROR(VLOOKUP(E95,T_PERK,2,FALSE),0))</f>
        <v/>
      </c>
      <c r="G95" s="11" t="n"/>
      <c r="H95" s="10">
        <f>IF(G95="","",IFERROR(VLOOKUP(G95,T_ANUG,2,FALSE),0))</f>
        <v/>
      </c>
      <c r="I95" s="11" t="n"/>
      <c r="J95" s="11" t="n"/>
      <c r="K95" s="11" t="n"/>
      <c r="L95" s="11" t="n"/>
      <c r="M95" s="11" t="n"/>
      <c r="N95" s="11" t="n"/>
      <c r="O95" s="11" t="n"/>
      <c r="P95" s="10">
        <f>IF(COUNTA(I95:O95)=0,"",MIN(10,SUM(I95:O95)))</f>
        <v/>
      </c>
      <c r="Q95" s="11" t="n"/>
      <c r="R95" s="10">
        <f>IF(Q95="","",IFERROR(VLOOKUP(Q95,T_NILAM,2,FALSE),0))</f>
        <v/>
      </c>
      <c r="S95" s="11" t="n"/>
      <c r="T95" s="10">
        <f>IF(S95="","",IFERROR(VLOOKUP(S95,T_TIMSS,2,FALSE),0))</f>
        <v/>
      </c>
      <c r="U95" s="19">
        <f>IF(COUNT(F95,H95,P95,R95,T95)=0,"",MIN(10,MAX(F95,H95,P95,R95,T95)))</f>
        <v/>
      </c>
      <c r="V95" s="11" t="n"/>
    </row>
    <row r="96">
      <c r="A96" s="15">
        <f>Murid!A96</f>
        <v/>
      </c>
      <c r="B96" s="15">
        <f>IF(Murid!B96="","",Murid!B96)</f>
        <v/>
      </c>
      <c r="C96" s="16">
        <f>IF(Murid!C96="","",Murid!C96)</f>
        <v/>
      </c>
      <c r="D96" s="15">
        <f>IF(Murid!E96="","",Murid!E96)</f>
        <v/>
      </c>
      <c r="E96" s="11" t="n"/>
      <c r="F96" s="10">
        <f>IF(E96="","",IFERROR(VLOOKUP(E96,T_PERK,2,FALSE),0))</f>
        <v/>
      </c>
      <c r="G96" s="11" t="n"/>
      <c r="H96" s="10">
        <f>IF(G96="","",IFERROR(VLOOKUP(G96,T_ANUG,2,FALSE),0))</f>
        <v/>
      </c>
      <c r="I96" s="11" t="n"/>
      <c r="J96" s="11" t="n"/>
      <c r="K96" s="11" t="n"/>
      <c r="L96" s="11" t="n"/>
      <c r="M96" s="11" t="n"/>
      <c r="N96" s="11" t="n"/>
      <c r="O96" s="11" t="n"/>
      <c r="P96" s="10">
        <f>IF(COUNTA(I96:O96)=0,"",MIN(10,SUM(I96:O96)))</f>
        <v/>
      </c>
      <c r="Q96" s="11" t="n"/>
      <c r="R96" s="10">
        <f>IF(Q96="","",IFERROR(VLOOKUP(Q96,T_NILAM,2,FALSE),0))</f>
        <v/>
      </c>
      <c r="S96" s="11" t="n"/>
      <c r="T96" s="10">
        <f>IF(S96="","",IFERROR(VLOOKUP(S96,T_TIMSS,2,FALSE),0))</f>
        <v/>
      </c>
      <c r="U96" s="19">
        <f>IF(COUNT(F96,H96,P96,R96,T96)=0,"",MIN(10,MAX(F96,H96,P96,R96,T96)))</f>
        <v/>
      </c>
      <c r="V96" s="11" t="n"/>
    </row>
    <row r="97">
      <c r="A97" s="15">
        <f>Murid!A97</f>
        <v/>
      </c>
      <c r="B97" s="15">
        <f>IF(Murid!B97="","",Murid!B97)</f>
        <v/>
      </c>
      <c r="C97" s="16">
        <f>IF(Murid!C97="","",Murid!C97)</f>
        <v/>
      </c>
      <c r="D97" s="15">
        <f>IF(Murid!E97="","",Murid!E97)</f>
        <v/>
      </c>
      <c r="E97" s="11" t="n"/>
      <c r="F97" s="10">
        <f>IF(E97="","",IFERROR(VLOOKUP(E97,T_PERK,2,FALSE),0))</f>
        <v/>
      </c>
      <c r="G97" s="11" t="n"/>
      <c r="H97" s="10">
        <f>IF(G97="","",IFERROR(VLOOKUP(G97,T_ANUG,2,FALSE),0))</f>
        <v/>
      </c>
      <c r="I97" s="11" t="n"/>
      <c r="J97" s="11" t="n"/>
      <c r="K97" s="11" t="n"/>
      <c r="L97" s="11" t="n"/>
      <c r="M97" s="11" t="n"/>
      <c r="N97" s="11" t="n"/>
      <c r="O97" s="11" t="n"/>
      <c r="P97" s="10">
        <f>IF(COUNTA(I97:O97)=0,"",MIN(10,SUM(I97:O97)))</f>
        <v/>
      </c>
      <c r="Q97" s="11" t="n"/>
      <c r="R97" s="10">
        <f>IF(Q97="","",IFERROR(VLOOKUP(Q97,T_NILAM,2,FALSE),0))</f>
        <v/>
      </c>
      <c r="S97" s="11" t="n"/>
      <c r="T97" s="10">
        <f>IF(S97="","",IFERROR(VLOOKUP(S97,T_TIMSS,2,FALSE),0))</f>
        <v/>
      </c>
      <c r="U97" s="19">
        <f>IF(COUNT(F97,H97,P97,R97,T97)=0,"",MIN(10,MAX(F97,H97,P97,R97,T97)))</f>
        <v/>
      </c>
      <c r="V97" s="11" t="n"/>
    </row>
    <row r="98">
      <c r="A98" s="15">
        <f>Murid!A98</f>
        <v/>
      </c>
      <c r="B98" s="15">
        <f>IF(Murid!B98="","",Murid!B98)</f>
        <v/>
      </c>
      <c r="C98" s="16">
        <f>IF(Murid!C98="","",Murid!C98)</f>
        <v/>
      </c>
      <c r="D98" s="15">
        <f>IF(Murid!E98="","",Murid!E98)</f>
        <v/>
      </c>
      <c r="E98" s="11" t="n"/>
      <c r="F98" s="10">
        <f>IF(E98="","",IFERROR(VLOOKUP(E98,T_PERK,2,FALSE),0))</f>
        <v/>
      </c>
      <c r="G98" s="11" t="n"/>
      <c r="H98" s="10">
        <f>IF(G98="","",IFERROR(VLOOKUP(G98,T_ANUG,2,FALSE),0))</f>
        <v/>
      </c>
      <c r="I98" s="11" t="n"/>
      <c r="J98" s="11" t="n"/>
      <c r="K98" s="11" t="n"/>
      <c r="L98" s="11" t="n"/>
      <c r="M98" s="11" t="n"/>
      <c r="N98" s="11" t="n"/>
      <c r="O98" s="11" t="n"/>
      <c r="P98" s="10">
        <f>IF(COUNTA(I98:O98)=0,"",MIN(10,SUM(I98:O98)))</f>
        <v/>
      </c>
      <c r="Q98" s="11" t="n"/>
      <c r="R98" s="10">
        <f>IF(Q98="","",IFERROR(VLOOKUP(Q98,T_NILAM,2,FALSE),0))</f>
        <v/>
      </c>
      <c r="S98" s="11" t="n"/>
      <c r="T98" s="10">
        <f>IF(S98="","",IFERROR(VLOOKUP(S98,T_TIMSS,2,FALSE),0))</f>
        <v/>
      </c>
      <c r="U98" s="19">
        <f>IF(COUNT(F98,H98,P98,R98,T98)=0,"",MIN(10,MAX(F98,H98,P98,R98,T98)))</f>
        <v/>
      </c>
      <c r="V98" s="11" t="n"/>
    </row>
    <row r="99">
      <c r="A99" s="15">
        <f>Murid!A99</f>
        <v/>
      </c>
      <c r="B99" s="15">
        <f>IF(Murid!B99="","",Murid!B99)</f>
        <v/>
      </c>
      <c r="C99" s="16">
        <f>IF(Murid!C99="","",Murid!C99)</f>
        <v/>
      </c>
      <c r="D99" s="15">
        <f>IF(Murid!E99="","",Murid!E99)</f>
        <v/>
      </c>
      <c r="E99" s="11" t="n"/>
      <c r="F99" s="10">
        <f>IF(E99="","",IFERROR(VLOOKUP(E99,T_PERK,2,FALSE),0))</f>
        <v/>
      </c>
      <c r="G99" s="11" t="n"/>
      <c r="H99" s="10">
        <f>IF(G99="","",IFERROR(VLOOKUP(G99,T_ANUG,2,FALSE),0))</f>
        <v/>
      </c>
      <c r="I99" s="11" t="n"/>
      <c r="J99" s="11" t="n"/>
      <c r="K99" s="11" t="n"/>
      <c r="L99" s="11" t="n"/>
      <c r="M99" s="11" t="n"/>
      <c r="N99" s="11" t="n"/>
      <c r="O99" s="11" t="n"/>
      <c r="P99" s="10">
        <f>IF(COUNTA(I99:O99)=0,"",MIN(10,SUM(I99:O99)))</f>
        <v/>
      </c>
      <c r="Q99" s="11" t="n"/>
      <c r="R99" s="10">
        <f>IF(Q99="","",IFERROR(VLOOKUP(Q99,T_NILAM,2,FALSE),0))</f>
        <v/>
      </c>
      <c r="S99" s="11" t="n"/>
      <c r="T99" s="10">
        <f>IF(S99="","",IFERROR(VLOOKUP(S99,T_TIMSS,2,FALSE),0))</f>
        <v/>
      </c>
      <c r="U99" s="19">
        <f>IF(COUNT(F99,H99,P99,R99,T99)=0,"",MIN(10,MAX(F99,H99,P99,R99,T99)))</f>
        <v/>
      </c>
      <c r="V99" s="11" t="n"/>
    </row>
    <row r="100">
      <c r="A100" s="15">
        <f>Murid!A100</f>
        <v/>
      </c>
      <c r="B100" s="15">
        <f>IF(Murid!B100="","",Murid!B100)</f>
        <v/>
      </c>
      <c r="C100" s="16">
        <f>IF(Murid!C100="","",Murid!C100)</f>
        <v/>
      </c>
      <c r="D100" s="15">
        <f>IF(Murid!E100="","",Murid!E100)</f>
        <v/>
      </c>
      <c r="E100" s="11" t="n"/>
      <c r="F100" s="10">
        <f>IF(E100="","",IFERROR(VLOOKUP(E100,T_PERK,2,FALSE),0))</f>
        <v/>
      </c>
      <c r="G100" s="11" t="n"/>
      <c r="H100" s="10">
        <f>IF(G100="","",IFERROR(VLOOKUP(G100,T_ANUG,2,FALSE),0))</f>
        <v/>
      </c>
      <c r="I100" s="11" t="n"/>
      <c r="J100" s="11" t="n"/>
      <c r="K100" s="11" t="n"/>
      <c r="L100" s="11" t="n"/>
      <c r="M100" s="11" t="n"/>
      <c r="N100" s="11" t="n"/>
      <c r="O100" s="11" t="n"/>
      <c r="P100" s="10">
        <f>IF(COUNTA(I100:O100)=0,"",MIN(10,SUM(I100:O100)))</f>
        <v/>
      </c>
      <c r="Q100" s="11" t="n"/>
      <c r="R100" s="10">
        <f>IF(Q100="","",IFERROR(VLOOKUP(Q100,T_NILAM,2,FALSE),0))</f>
        <v/>
      </c>
      <c r="S100" s="11" t="n"/>
      <c r="T100" s="10">
        <f>IF(S100="","",IFERROR(VLOOKUP(S100,T_TIMSS,2,FALSE),0))</f>
        <v/>
      </c>
      <c r="U100" s="19">
        <f>IF(COUNT(F100,H100,P100,R100,T100)=0,"",MIN(10,MAX(F100,H100,P100,R100,T100)))</f>
        <v/>
      </c>
      <c r="V100" s="11" t="n"/>
    </row>
    <row r="101">
      <c r="A101" s="15">
        <f>Murid!A101</f>
        <v/>
      </c>
      <c r="B101" s="15">
        <f>IF(Murid!B101="","",Murid!B101)</f>
        <v/>
      </c>
      <c r="C101" s="16">
        <f>IF(Murid!C101="","",Murid!C101)</f>
        <v/>
      </c>
      <c r="D101" s="15">
        <f>IF(Murid!E101="","",Murid!E101)</f>
        <v/>
      </c>
      <c r="E101" s="11" t="n"/>
      <c r="F101" s="10">
        <f>IF(E101="","",IFERROR(VLOOKUP(E101,T_PERK,2,FALSE),0))</f>
        <v/>
      </c>
      <c r="G101" s="11" t="n"/>
      <c r="H101" s="10">
        <f>IF(G101="","",IFERROR(VLOOKUP(G101,T_ANUG,2,FALSE),0))</f>
        <v/>
      </c>
      <c r="I101" s="11" t="n"/>
      <c r="J101" s="11" t="n"/>
      <c r="K101" s="11" t="n"/>
      <c r="L101" s="11" t="n"/>
      <c r="M101" s="11" t="n"/>
      <c r="N101" s="11" t="n"/>
      <c r="O101" s="11" t="n"/>
      <c r="P101" s="10">
        <f>IF(COUNTA(I101:O101)=0,"",MIN(10,SUM(I101:O101)))</f>
        <v/>
      </c>
      <c r="Q101" s="11" t="n"/>
      <c r="R101" s="10">
        <f>IF(Q101="","",IFERROR(VLOOKUP(Q101,T_NILAM,2,FALSE),0))</f>
        <v/>
      </c>
      <c r="S101" s="11" t="n"/>
      <c r="T101" s="10">
        <f>IF(S101="","",IFERROR(VLOOKUP(S101,T_TIMSS,2,FALSE),0))</f>
        <v/>
      </c>
      <c r="U101" s="19">
        <f>IF(COUNT(F101,H101,P101,R101,T101)=0,"",MIN(10,MAX(F101,H101,P101,R101,T101)))</f>
        <v/>
      </c>
      <c r="V101" s="11" t="n"/>
    </row>
    <row r="102">
      <c r="A102" s="15">
        <f>Murid!A102</f>
        <v/>
      </c>
      <c r="B102" s="15">
        <f>IF(Murid!B102="","",Murid!B102)</f>
        <v/>
      </c>
      <c r="C102" s="16">
        <f>IF(Murid!C102="","",Murid!C102)</f>
        <v/>
      </c>
      <c r="D102" s="15">
        <f>IF(Murid!E102="","",Murid!E102)</f>
        <v/>
      </c>
      <c r="E102" s="11" t="n"/>
      <c r="F102" s="10">
        <f>IF(E102="","",IFERROR(VLOOKUP(E102,T_PERK,2,FALSE),0))</f>
        <v/>
      </c>
      <c r="G102" s="11" t="n"/>
      <c r="H102" s="10">
        <f>IF(G102="","",IFERROR(VLOOKUP(G102,T_ANUG,2,FALSE),0))</f>
        <v/>
      </c>
      <c r="I102" s="11" t="n"/>
      <c r="J102" s="11" t="n"/>
      <c r="K102" s="11" t="n"/>
      <c r="L102" s="11" t="n"/>
      <c r="M102" s="11" t="n"/>
      <c r="N102" s="11" t="n"/>
      <c r="O102" s="11" t="n"/>
      <c r="P102" s="10">
        <f>IF(COUNTA(I102:O102)=0,"",MIN(10,SUM(I102:O102)))</f>
        <v/>
      </c>
      <c r="Q102" s="11" t="n"/>
      <c r="R102" s="10">
        <f>IF(Q102="","",IFERROR(VLOOKUP(Q102,T_NILAM,2,FALSE),0))</f>
        <v/>
      </c>
      <c r="S102" s="11" t="n"/>
      <c r="T102" s="10">
        <f>IF(S102="","",IFERROR(VLOOKUP(S102,T_TIMSS,2,FALSE),0))</f>
        <v/>
      </c>
      <c r="U102" s="19">
        <f>IF(COUNT(F102,H102,P102,R102,T102)=0,"",MIN(10,MAX(F102,H102,P102,R102,T102)))</f>
        <v/>
      </c>
      <c r="V102" s="11" t="n"/>
    </row>
    <row r="103">
      <c r="A103" s="15">
        <f>Murid!A103</f>
        <v/>
      </c>
      <c r="B103" s="15">
        <f>IF(Murid!B103="","",Murid!B103)</f>
        <v/>
      </c>
      <c r="C103" s="16">
        <f>IF(Murid!C103="","",Murid!C103)</f>
        <v/>
      </c>
      <c r="D103" s="15">
        <f>IF(Murid!E103="","",Murid!E103)</f>
        <v/>
      </c>
      <c r="E103" s="11" t="n"/>
      <c r="F103" s="10">
        <f>IF(E103="","",IFERROR(VLOOKUP(E103,T_PERK,2,FALSE),0))</f>
        <v/>
      </c>
      <c r="G103" s="11" t="n"/>
      <c r="H103" s="10">
        <f>IF(G103="","",IFERROR(VLOOKUP(G103,T_ANUG,2,FALSE),0))</f>
        <v/>
      </c>
      <c r="I103" s="11" t="n"/>
      <c r="J103" s="11" t="n"/>
      <c r="K103" s="11" t="n"/>
      <c r="L103" s="11" t="n"/>
      <c r="M103" s="11" t="n"/>
      <c r="N103" s="11" t="n"/>
      <c r="O103" s="11" t="n"/>
      <c r="P103" s="10">
        <f>IF(COUNTA(I103:O103)=0,"",MIN(10,SUM(I103:O103)))</f>
        <v/>
      </c>
      <c r="Q103" s="11" t="n"/>
      <c r="R103" s="10">
        <f>IF(Q103="","",IFERROR(VLOOKUP(Q103,T_NILAM,2,FALSE),0))</f>
        <v/>
      </c>
      <c r="S103" s="11" t="n"/>
      <c r="T103" s="10">
        <f>IF(S103="","",IFERROR(VLOOKUP(S103,T_TIMSS,2,FALSE),0))</f>
        <v/>
      </c>
      <c r="U103" s="19">
        <f>IF(COUNT(F103,H103,P103,R103,T103)=0,"",MIN(10,MAX(F103,H103,P103,R103,T103)))</f>
        <v/>
      </c>
      <c r="V103" s="11" t="n"/>
    </row>
    <row r="104">
      <c r="A104" s="15">
        <f>Murid!A104</f>
        <v/>
      </c>
      <c r="B104" s="15">
        <f>IF(Murid!B104="","",Murid!B104)</f>
        <v/>
      </c>
      <c r="C104" s="16">
        <f>IF(Murid!C104="","",Murid!C104)</f>
        <v/>
      </c>
      <c r="D104" s="15">
        <f>IF(Murid!E104="","",Murid!E104)</f>
        <v/>
      </c>
      <c r="E104" s="11" t="n"/>
      <c r="F104" s="10">
        <f>IF(E104="","",IFERROR(VLOOKUP(E104,T_PERK,2,FALSE),0))</f>
        <v/>
      </c>
      <c r="G104" s="11" t="n"/>
      <c r="H104" s="10">
        <f>IF(G104="","",IFERROR(VLOOKUP(G104,T_ANUG,2,FALSE),0))</f>
        <v/>
      </c>
      <c r="I104" s="11" t="n"/>
      <c r="J104" s="11" t="n"/>
      <c r="K104" s="11" t="n"/>
      <c r="L104" s="11" t="n"/>
      <c r="M104" s="11" t="n"/>
      <c r="N104" s="11" t="n"/>
      <c r="O104" s="11" t="n"/>
      <c r="P104" s="10">
        <f>IF(COUNTA(I104:O104)=0,"",MIN(10,SUM(I104:O104)))</f>
        <v/>
      </c>
      <c r="Q104" s="11" t="n"/>
      <c r="R104" s="10">
        <f>IF(Q104="","",IFERROR(VLOOKUP(Q104,T_NILAM,2,FALSE),0))</f>
        <v/>
      </c>
      <c r="S104" s="11" t="n"/>
      <c r="T104" s="10">
        <f>IF(S104="","",IFERROR(VLOOKUP(S104,T_TIMSS,2,FALSE),0))</f>
        <v/>
      </c>
      <c r="U104" s="19">
        <f>IF(COUNT(F104,H104,P104,R104,T104)=0,"",MIN(10,MAX(F104,H104,P104,R104,T104)))</f>
        <v/>
      </c>
      <c r="V104" s="11" t="n"/>
    </row>
    <row r="105">
      <c r="A105" s="15">
        <f>Murid!A105</f>
        <v/>
      </c>
      <c r="B105" s="15">
        <f>IF(Murid!B105="","",Murid!B105)</f>
        <v/>
      </c>
      <c r="C105" s="16">
        <f>IF(Murid!C105="","",Murid!C105)</f>
        <v/>
      </c>
      <c r="D105" s="15">
        <f>IF(Murid!E105="","",Murid!E105)</f>
        <v/>
      </c>
      <c r="E105" s="11" t="n"/>
      <c r="F105" s="10">
        <f>IF(E105="","",IFERROR(VLOOKUP(E105,T_PERK,2,FALSE),0))</f>
        <v/>
      </c>
      <c r="G105" s="11" t="n"/>
      <c r="H105" s="10">
        <f>IF(G105="","",IFERROR(VLOOKUP(G105,T_ANUG,2,FALSE),0))</f>
        <v/>
      </c>
      <c r="I105" s="11" t="n"/>
      <c r="J105" s="11" t="n"/>
      <c r="K105" s="11" t="n"/>
      <c r="L105" s="11" t="n"/>
      <c r="M105" s="11" t="n"/>
      <c r="N105" s="11" t="n"/>
      <c r="O105" s="11" t="n"/>
      <c r="P105" s="10">
        <f>IF(COUNTA(I105:O105)=0,"",MIN(10,SUM(I105:O105)))</f>
        <v/>
      </c>
      <c r="Q105" s="11" t="n"/>
      <c r="R105" s="10">
        <f>IF(Q105="","",IFERROR(VLOOKUP(Q105,T_NILAM,2,FALSE),0))</f>
        <v/>
      </c>
      <c r="S105" s="11" t="n"/>
      <c r="T105" s="10">
        <f>IF(S105="","",IFERROR(VLOOKUP(S105,T_TIMSS,2,FALSE),0))</f>
        <v/>
      </c>
      <c r="U105" s="19">
        <f>IF(COUNT(F105,H105,P105,R105,T105)=0,"",MIN(10,MAX(F105,H105,P105,R105,T105)))</f>
        <v/>
      </c>
      <c r="V105" s="11" t="n"/>
    </row>
    <row r="106">
      <c r="A106" s="15">
        <f>Murid!A106</f>
        <v/>
      </c>
      <c r="B106" s="15">
        <f>IF(Murid!B106="","",Murid!B106)</f>
        <v/>
      </c>
      <c r="C106" s="16">
        <f>IF(Murid!C106="","",Murid!C106)</f>
        <v/>
      </c>
      <c r="D106" s="15">
        <f>IF(Murid!E106="","",Murid!E106)</f>
        <v/>
      </c>
      <c r="E106" s="11" t="n"/>
      <c r="F106" s="10">
        <f>IF(E106="","",IFERROR(VLOOKUP(E106,T_PERK,2,FALSE),0))</f>
        <v/>
      </c>
      <c r="G106" s="11" t="n"/>
      <c r="H106" s="10">
        <f>IF(G106="","",IFERROR(VLOOKUP(G106,T_ANUG,2,FALSE),0))</f>
        <v/>
      </c>
      <c r="I106" s="11" t="n"/>
      <c r="J106" s="11" t="n"/>
      <c r="K106" s="11" t="n"/>
      <c r="L106" s="11" t="n"/>
      <c r="M106" s="11" t="n"/>
      <c r="N106" s="11" t="n"/>
      <c r="O106" s="11" t="n"/>
      <c r="P106" s="10">
        <f>IF(COUNTA(I106:O106)=0,"",MIN(10,SUM(I106:O106)))</f>
        <v/>
      </c>
      <c r="Q106" s="11" t="n"/>
      <c r="R106" s="10">
        <f>IF(Q106="","",IFERROR(VLOOKUP(Q106,T_NILAM,2,FALSE),0))</f>
        <v/>
      </c>
      <c r="S106" s="11" t="n"/>
      <c r="T106" s="10">
        <f>IF(S106="","",IFERROR(VLOOKUP(S106,T_TIMSS,2,FALSE),0))</f>
        <v/>
      </c>
      <c r="U106" s="19">
        <f>IF(COUNT(F106,H106,P106,R106,T106)=0,"",MIN(10,MAX(F106,H106,P106,R106,T106)))</f>
        <v/>
      </c>
      <c r="V106" s="11" t="n"/>
    </row>
    <row r="107">
      <c r="A107" s="15">
        <f>Murid!A107</f>
        <v/>
      </c>
      <c r="B107" s="15">
        <f>IF(Murid!B107="","",Murid!B107)</f>
        <v/>
      </c>
      <c r="C107" s="16">
        <f>IF(Murid!C107="","",Murid!C107)</f>
        <v/>
      </c>
      <c r="D107" s="15">
        <f>IF(Murid!E107="","",Murid!E107)</f>
        <v/>
      </c>
      <c r="E107" s="11" t="n"/>
      <c r="F107" s="10">
        <f>IF(E107="","",IFERROR(VLOOKUP(E107,T_PERK,2,FALSE),0))</f>
        <v/>
      </c>
      <c r="G107" s="11" t="n"/>
      <c r="H107" s="10">
        <f>IF(G107="","",IFERROR(VLOOKUP(G107,T_ANUG,2,FALSE),0))</f>
        <v/>
      </c>
      <c r="I107" s="11" t="n"/>
      <c r="J107" s="11" t="n"/>
      <c r="K107" s="11" t="n"/>
      <c r="L107" s="11" t="n"/>
      <c r="M107" s="11" t="n"/>
      <c r="N107" s="11" t="n"/>
      <c r="O107" s="11" t="n"/>
      <c r="P107" s="10">
        <f>IF(COUNTA(I107:O107)=0,"",MIN(10,SUM(I107:O107)))</f>
        <v/>
      </c>
      <c r="Q107" s="11" t="n"/>
      <c r="R107" s="10">
        <f>IF(Q107="","",IFERROR(VLOOKUP(Q107,T_NILAM,2,FALSE),0))</f>
        <v/>
      </c>
      <c r="S107" s="11" t="n"/>
      <c r="T107" s="10">
        <f>IF(S107="","",IFERROR(VLOOKUP(S107,T_TIMSS,2,FALSE),0))</f>
        <v/>
      </c>
      <c r="U107" s="19">
        <f>IF(COUNT(F107,H107,P107,R107,T107)=0,"",MIN(10,MAX(F107,H107,P107,R107,T107)))</f>
        <v/>
      </c>
      <c r="V107" s="11" t="n"/>
    </row>
    <row r="108">
      <c r="A108" s="15">
        <f>Murid!A108</f>
        <v/>
      </c>
      <c r="B108" s="15">
        <f>IF(Murid!B108="","",Murid!B108)</f>
        <v/>
      </c>
      <c r="C108" s="16">
        <f>IF(Murid!C108="","",Murid!C108)</f>
        <v/>
      </c>
      <c r="D108" s="15">
        <f>IF(Murid!E108="","",Murid!E108)</f>
        <v/>
      </c>
      <c r="E108" s="11" t="n"/>
      <c r="F108" s="10">
        <f>IF(E108="","",IFERROR(VLOOKUP(E108,T_PERK,2,FALSE),0))</f>
        <v/>
      </c>
      <c r="G108" s="11" t="n"/>
      <c r="H108" s="10">
        <f>IF(G108="","",IFERROR(VLOOKUP(G108,T_ANUG,2,FALSE),0))</f>
        <v/>
      </c>
      <c r="I108" s="11" t="n"/>
      <c r="J108" s="11" t="n"/>
      <c r="K108" s="11" t="n"/>
      <c r="L108" s="11" t="n"/>
      <c r="M108" s="11" t="n"/>
      <c r="N108" s="11" t="n"/>
      <c r="O108" s="11" t="n"/>
      <c r="P108" s="10">
        <f>IF(COUNTA(I108:O108)=0,"",MIN(10,SUM(I108:O108)))</f>
        <v/>
      </c>
      <c r="Q108" s="11" t="n"/>
      <c r="R108" s="10">
        <f>IF(Q108="","",IFERROR(VLOOKUP(Q108,T_NILAM,2,FALSE),0))</f>
        <v/>
      </c>
      <c r="S108" s="11" t="n"/>
      <c r="T108" s="10">
        <f>IF(S108="","",IFERROR(VLOOKUP(S108,T_TIMSS,2,FALSE),0))</f>
        <v/>
      </c>
      <c r="U108" s="19">
        <f>IF(COUNT(F108,H108,P108,R108,T108)=0,"",MIN(10,MAX(F108,H108,P108,R108,T108)))</f>
        <v/>
      </c>
      <c r="V108" s="11" t="n"/>
    </row>
    <row r="109">
      <c r="A109" s="15">
        <f>Murid!A109</f>
        <v/>
      </c>
      <c r="B109" s="15">
        <f>IF(Murid!B109="","",Murid!B109)</f>
        <v/>
      </c>
      <c r="C109" s="16">
        <f>IF(Murid!C109="","",Murid!C109)</f>
        <v/>
      </c>
      <c r="D109" s="15">
        <f>IF(Murid!E109="","",Murid!E109)</f>
        <v/>
      </c>
      <c r="E109" s="11" t="n"/>
      <c r="F109" s="10">
        <f>IF(E109="","",IFERROR(VLOOKUP(E109,T_PERK,2,FALSE),0))</f>
        <v/>
      </c>
      <c r="G109" s="11" t="n"/>
      <c r="H109" s="10">
        <f>IF(G109="","",IFERROR(VLOOKUP(G109,T_ANUG,2,FALSE),0))</f>
        <v/>
      </c>
      <c r="I109" s="11" t="n"/>
      <c r="J109" s="11" t="n"/>
      <c r="K109" s="11" t="n"/>
      <c r="L109" s="11" t="n"/>
      <c r="M109" s="11" t="n"/>
      <c r="N109" s="11" t="n"/>
      <c r="O109" s="11" t="n"/>
      <c r="P109" s="10">
        <f>IF(COUNTA(I109:O109)=0,"",MIN(10,SUM(I109:O109)))</f>
        <v/>
      </c>
      <c r="Q109" s="11" t="n"/>
      <c r="R109" s="10">
        <f>IF(Q109="","",IFERROR(VLOOKUP(Q109,T_NILAM,2,FALSE),0))</f>
        <v/>
      </c>
      <c r="S109" s="11" t="n"/>
      <c r="T109" s="10">
        <f>IF(S109="","",IFERROR(VLOOKUP(S109,T_TIMSS,2,FALSE),0))</f>
        <v/>
      </c>
      <c r="U109" s="19">
        <f>IF(COUNT(F109,H109,P109,R109,T109)=0,"",MIN(10,MAX(F109,H109,P109,R109,T109)))</f>
        <v/>
      </c>
      <c r="V109" s="11" t="n"/>
    </row>
    <row r="110">
      <c r="A110" s="15">
        <f>Murid!A110</f>
        <v/>
      </c>
      <c r="B110" s="15">
        <f>IF(Murid!B110="","",Murid!B110)</f>
        <v/>
      </c>
      <c r="C110" s="16">
        <f>IF(Murid!C110="","",Murid!C110)</f>
        <v/>
      </c>
      <c r="D110" s="15">
        <f>IF(Murid!E110="","",Murid!E110)</f>
        <v/>
      </c>
      <c r="E110" s="11" t="n"/>
      <c r="F110" s="10">
        <f>IF(E110="","",IFERROR(VLOOKUP(E110,T_PERK,2,FALSE),0))</f>
        <v/>
      </c>
      <c r="G110" s="11" t="n"/>
      <c r="H110" s="10">
        <f>IF(G110="","",IFERROR(VLOOKUP(G110,T_ANUG,2,FALSE),0))</f>
        <v/>
      </c>
      <c r="I110" s="11" t="n"/>
      <c r="J110" s="11" t="n"/>
      <c r="K110" s="11" t="n"/>
      <c r="L110" s="11" t="n"/>
      <c r="M110" s="11" t="n"/>
      <c r="N110" s="11" t="n"/>
      <c r="O110" s="11" t="n"/>
      <c r="P110" s="10">
        <f>IF(COUNTA(I110:O110)=0,"",MIN(10,SUM(I110:O110)))</f>
        <v/>
      </c>
      <c r="Q110" s="11" t="n"/>
      <c r="R110" s="10">
        <f>IF(Q110="","",IFERROR(VLOOKUP(Q110,T_NILAM,2,FALSE),0))</f>
        <v/>
      </c>
      <c r="S110" s="11" t="n"/>
      <c r="T110" s="10">
        <f>IF(S110="","",IFERROR(VLOOKUP(S110,T_TIMSS,2,FALSE),0))</f>
        <v/>
      </c>
      <c r="U110" s="19">
        <f>IF(COUNT(F110,H110,P110,R110,T110)=0,"",MIN(10,MAX(F110,H110,P110,R110,T110)))</f>
        <v/>
      </c>
      <c r="V110" s="11" t="n"/>
    </row>
    <row r="111">
      <c r="A111" s="15">
        <f>Murid!A111</f>
        <v/>
      </c>
      <c r="B111" s="15">
        <f>IF(Murid!B111="","",Murid!B111)</f>
        <v/>
      </c>
      <c r="C111" s="16">
        <f>IF(Murid!C111="","",Murid!C111)</f>
        <v/>
      </c>
      <c r="D111" s="15">
        <f>IF(Murid!E111="","",Murid!E111)</f>
        <v/>
      </c>
      <c r="E111" s="11" t="n"/>
      <c r="F111" s="10">
        <f>IF(E111="","",IFERROR(VLOOKUP(E111,T_PERK,2,FALSE),0))</f>
        <v/>
      </c>
      <c r="G111" s="11" t="n"/>
      <c r="H111" s="10">
        <f>IF(G111="","",IFERROR(VLOOKUP(G111,T_ANUG,2,FALSE),0))</f>
        <v/>
      </c>
      <c r="I111" s="11" t="n"/>
      <c r="J111" s="11" t="n"/>
      <c r="K111" s="11" t="n"/>
      <c r="L111" s="11" t="n"/>
      <c r="M111" s="11" t="n"/>
      <c r="N111" s="11" t="n"/>
      <c r="O111" s="11" t="n"/>
      <c r="P111" s="10">
        <f>IF(COUNTA(I111:O111)=0,"",MIN(10,SUM(I111:O111)))</f>
        <v/>
      </c>
      <c r="Q111" s="11" t="n"/>
      <c r="R111" s="10">
        <f>IF(Q111="","",IFERROR(VLOOKUP(Q111,T_NILAM,2,FALSE),0))</f>
        <v/>
      </c>
      <c r="S111" s="11" t="n"/>
      <c r="T111" s="10">
        <f>IF(S111="","",IFERROR(VLOOKUP(S111,T_TIMSS,2,FALSE),0))</f>
        <v/>
      </c>
      <c r="U111" s="19">
        <f>IF(COUNT(F111,H111,P111,R111,T111)=0,"",MIN(10,MAX(F111,H111,P111,R111,T111)))</f>
        <v/>
      </c>
      <c r="V111" s="11" t="n"/>
    </row>
    <row r="112">
      <c r="A112" s="15">
        <f>Murid!A112</f>
        <v/>
      </c>
      <c r="B112" s="15">
        <f>IF(Murid!B112="","",Murid!B112)</f>
        <v/>
      </c>
      <c r="C112" s="16">
        <f>IF(Murid!C112="","",Murid!C112)</f>
        <v/>
      </c>
      <c r="D112" s="15">
        <f>IF(Murid!E112="","",Murid!E112)</f>
        <v/>
      </c>
      <c r="E112" s="11" t="n"/>
      <c r="F112" s="10">
        <f>IF(E112="","",IFERROR(VLOOKUP(E112,T_PERK,2,FALSE),0))</f>
        <v/>
      </c>
      <c r="G112" s="11" t="n"/>
      <c r="H112" s="10">
        <f>IF(G112="","",IFERROR(VLOOKUP(G112,T_ANUG,2,FALSE),0))</f>
        <v/>
      </c>
      <c r="I112" s="11" t="n"/>
      <c r="J112" s="11" t="n"/>
      <c r="K112" s="11" t="n"/>
      <c r="L112" s="11" t="n"/>
      <c r="M112" s="11" t="n"/>
      <c r="N112" s="11" t="n"/>
      <c r="O112" s="11" t="n"/>
      <c r="P112" s="10">
        <f>IF(COUNTA(I112:O112)=0,"",MIN(10,SUM(I112:O112)))</f>
        <v/>
      </c>
      <c r="Q112" s="11" t="n"/>
      <c r="R112" s="10">
        <f>IF(Q112="","",IFERROR(VLOOKUP(Q112,T_NILAM,2,FALSE),0))</f>
        <v/>
      </c>
      <c r="S112" s="11" t="n"/>
      <c r="T112" s="10">
        <f>IF(S112="","",IFERROR(VLOOKUP(S112,T_TIMSS,2,FALSE),0))</f>
        <v/>
      </c>
      <c r="U112" s="19">
        <f>IF(COUNT(F112,H112,P112,R112,T112)=0,"",MIN(10,MAX(F112,H112,P112,R112,T112)))</f>
        <v/>
      </c>
      <c r="V112" s="11" t="n"/>
    </row>
    <row r="113">
      <c r="A113" s="15">
        <f>Murid!A113</f>
        <v/>
      </c>
      <c r="B113" s="15">
        <f>IF(Murid!B113="","",Murid!B113)</f>
        <v/>
      </c>
      <c r="C113" s="16">
        <f>IF(Murid!C113="","",Murid!C113)</f>
        <v/>
      </c>
      <c r="D113" s="15">
        <f>IF(Murid!E113="","",Murid!E113)</f>
        <v/>
      </c>
      <c r="E113" s="11" t="n"/>
      <c r="F113" s="10">
        <f>IF(E113="","",IFERROR(VLOOKUP(E113,T_PERK,2,FALSE),0))</f>
        <v/>
      </c>
      <c r="G113" s="11" t="n"/>
      <c r="H113" s="10">
        <f>IF(G113="","",IFERROR(VLOOKUP(G113,T_ANUG,2,FALSE),0))</f>
        <v/>
      </c>
      <c r="I113" s="11" t="n"/>
      <c r="J113" s="11" t="n"/>
      <c r="K113" s="11" t="n"/>
      <c r="L113" s="11" t="n"/>
      <c r="M113" s="11" t="n"/>
      <c r="N113" s="11" t="n"/>
      <c r="O113" s="11" t="n"/>
      <c r="P113" s="10">
        <f>IF(COUNTA(I113:O113)=0,"",MIN(10,SUM(I113:O113)))</f>
        <v/>
      </c>
      <c r="Q113" s="11" t="n"/>
      <c r="R113" s="10">
        <f>IF(Q113="","",IFERROR(VLOOKUP(Q113,T_NILAM,2,FALSE),0))</f>
        <v/>
      </c>
      <c r="S113" s="11" t="n"/>
      <c r="T113" s="10">
        <f>IF(S113="","",IFERROR(VLOOKUP(S113,T_TIMSS,2,FALSE),0))</f>
        <v/>
      </c>
      <c r="U113" s="19">
        <f>IF(COUNT(F113,H113,P113,R113,T113)=0,"",MIN(10,MAX(F113,H113,P113,R113,T113)))</f>
        <v/>
      </c>
      <c r="V113" s="11" t="n"/>
    </row>
    <row r="114">
      <c r="A114" s="15">
        <f>Murid!A114</f>
        <v/>
      </c>
      <c r="B114" s="15">
        <f>IF(Murid!B114="","",Murid!B114)</f>
        <v/>
      </c>
      <c r="C114" s="16">
        <f>IF(Murid!C114="","",Murid!C114)</f>
        <v/>
      </c>
      <c r="D114" s="15">
        <f>IF(Murid!E114="","",Murid!E114)</f>
        <v/>
      </c>
      <c r="E114" s="11" t="n"/>
      <c r="F114" s="10">
        <f>IF(E114="","",IFERROR(VLOOKUP(E114,T_PERK,2,FALSE),0))</f>
        <v/>
      </c>
      <c r="G114" s="11" t="n"/>
      <c r="H114" s="10">
        <f>IF(G114="","",IFERROR(VLOOKUP(G114,T_ANUG,2,FALSE),0))</f>
        <v/>
      </c>
      <c r="I114" s="11" t="n"/>
      <c r="J114" s="11" t="n"/>
      <c r="K114" s="11" t="n"/>
      <c r="L114" s="11" t="n"/>
      <c r="M114" s="11" t="n"/>
      <c r="N114" s="11" t="n"/>
      <c r="O114" s="11" t="n"/>
      <c r="P114" s="10">
        <f>IF(COUNTA(I114:O114)=0,"",MIN(10,SUM(I114:O114)))</f>
        <v/>
      </c>
      <c r="Q114" s="11" t="n"/>
      <c r="R114" s="10">
        <f>IF(Q114="","",IFERROR(VLOOKUP(Q114,T_NILAM,2,FALSE),0))</f>
        <v/>
      </c>
      <c r="S114" s="11" t="n"/>
      <c r="T114" s="10">
        <f>IF(S114="","",IFERROR(VLOOKUP(S114,T_TIMSS,2,FALSE),0))</f>
        <v/>
      </c>
      <c r="U114" s="19">
        <f>IF(COUNT(F114,H114,P114,R114,T114)=0,"",MIN(10,MAX(F114,H114,P114,R114,T114)))</f>
        <v/>
      </c>
      <c r="V114" s="11" t="n"/>
    </row>
    <row r="115">
      <c r="A115" s="15">
        <f>Murid!A115</f>
        <v/>
      </c>
      <c r="B115" s="15">
        <f>IF(Murid!B115="","",Murid!B115)</f>
        <v/>
      </c>
      <c r="C115" s="16">
        <f>IF(Murid!C115="","",Murid!C115)</f>
        <v/>
      </c>
      <c r="D115" s="15">
        <f>IF(Murid!E115="","",Murid!E115)</f>
        <v/>
      </c>
      <c r="E115" s="11" t="n"/>
      <c r="F115" s="10">
        <f>IF(E115="","",IFERROR(VLOOKUP(E115,T_PERK,2,FALSE),0))</f>
        <v/>
      </c>
      <c r="G115" s="11" t="n"/>
      <c r="H115" s="10">
        <f>IF(G115="","",IFERROR(VLOOKUP(G115,T_ANUG,2,FALSE),0))</f>
        <v/>
      </c>
      <c r="I115" s="11" t="n"/>
      <c r="J115" s="11" t="n"/>
      <c r="K115" s="11" t="n"/>
      <c r="L115" s="11" t="n"/>
      <c r="M115" s="11" t="n"/>
      <c r="N115" s="11" t="n"/>
      <c r="O115" s="11" t="n"/>
      <c r="P115" s="10">
        <f>IF(COUNTA(I115:O115)=0,"",MIN(10,SUM(I115:O115)))</f>
        <v/>
      </c>
      <c r="Q115" s="11" t="n"/>
      <c r="R115" s="10">
        <f>IF(Q115="","",IFERROR(VLOOKUP(Q115,T_NILAM,2,FALSE),0))</f>
        <v/>
      </c>
      <c r="S115" s="11" t="n"/>
      <c r="T115" s="10">
        <f>IF(S115="","",IFERROR(VLOOKUP(S115,T_TIMSS,2,FALSE),0))</f>
        <v/>
      </c>
      <c r="U115" s="19">
        <f>IF(COUNT(F115,H115,P115,R115,T115)=0,"",MIN(10,MAX(F115,H115,P115,R115,T115)))</f>
        <v/>
      </c>
      <c r="V115" s="11" t="n"/>
    </row>
    <row r="116">
      <c r="A116" s="15">
        <f>Murid!A116</f>
        <v/>
      </c>
      <c r="B116" s="15">
        <f>IF(Murid!B116="","",Murid!B116)</f>
        <v/>
      </c>
      <c r="C116" s="16">
        <f>IF(Murid!C116="","",Murid!C116)</f>
        <v/>
      </c>
      <c r="D116" s="15">
        <f>IF(Murid!E116="","",Murid!E116)</f>
        <v/>
      </c>
      <c r="E116" s="11" t="n"/>
      <c r="F116" s="10">
        <f>IF(E116="","",IFERROR(VLOOKUP(E116,T_PERK,2,FALSE),0))</f>
        <v/>
      </c>
      <c r="G116" s="11" t="n"/>
      <c r="H116" s="10">
        <f>IF(G116="","",IFERROR(VLOOKUP(G116,T_ANUG,2,FALSE),0))</f>
        <v/>
      </c>
      <c r="I116" s="11" t="n"/>
      <c r="J116" s="11" t="n"/>
      <c r="K116" s="11" t="n"/>
      <c r="L116" s="11" t="n"/>
      <c r="M116" s="11" t="n"/>
      <c r="N116" s="11" t="n"/>
      <c r="O116" s="11" t="n"/>
      <c r="P116" s="10">
        <f>IF(COUNTA(I116:O116)=0,"",MIN(10,SUM(I116:O116)))</f>
        <v/>
      </c>
      <c r="Q116" s="11" t="n"/>
      <c r="R116" s="10">
        <f>IF(Q116="","",IFERROR(VLOOKUP(Q116,T_NILAM,2,FALSE),0))</f>
        <v/>
      </c>
      <c r="S116" s="11" t="n"/>
      <c r="T116" s="10">
        <f>IF(S116="","",IFERROR(VLOOKUP(S116,T_TIMSS,2,FALSE),0))</f>
        <v/>
      </c>
      <c r="U116" s="19">
        <f>IF(COUNT(F116,H116,P116,R116,T116)=0,"",MIN(10,MAX(F116,H116,P116,R116,T116)))</f>
        <v/>
      </c>
      <c r="V116" s="11" t="n"/>
    </row>
    <row r="117">
      <c r="A117" s="15">
        <f>Murid!A117</f>
        <v/>
      </c>
      <c r="B117" s="15">
        <f>IF(Murid!B117="","",Murid!B117)</f>
        <v/>
      </c>
      <c r="C117" s="16">
        <f>IF(Murid!C117="","",Murid!C117)</f>
        <v/>
      </c>
      <c r="D117" s="15">
        <f>IF(Murid!E117="","",Murid!E117)</f>
        <v/>
      </c>
      <c r="E117" s="11" t="n"/>
      <c r="F117" s="10">
        <f>IF(E117="","",IFERROR(VLOOKUP(E117,T_PERK,2,FALSE),0))</f>
        <v/>
      </c>
      <c r="G117" s="11" t="n"/>
      <c r="H117" s="10">
        <f>IF(G117="","",IFERROR(VLOOKUP(G117,T_ANUG,2,FALSE),0))</f>
        <v/>
      </c>
      <c r="I117" s="11" t="n"/>
      <c r="J117" s="11" t="n"/>
      <c r="K117" s="11" t="n"/>
      <c r="L117" s="11" t="n"/>
      <c r="M117" s="11" t="n"/>
      <c r="N117" s="11" t="n"/>
      <c r="O117" s="11" t="n"/>
      <c r="P117" s="10">
        <f>IF(COUNTA(I117:O117)=0,"",MIN(10,SUM(I117:O117)))</f>
        <v/>
      </c>
      <c r="Q117" s="11" t="n"/>
      <c r="R117" s="10">
        <f>IF(Q117="","",IFERROR(VLOOKUP(Q117,T_NILAM,2,FALSE),0))</f>
        <v/>
      </c>
      <c r="S117" s="11" t="n"/>
      <c r="T117" s="10">
        <f>IF(S117="","",IFERROR(VLOOKUP(S117,T_TIMSS,2,FALSE),0))</f>
        <v/>
      </c>
      <c r="U117" s="19">
        <f>IF(COUNT(F117,H117,P117,R117,T117)=0,"",MIN(10,MAX(F117,H117,P117,R117,T117)))</f>
        <v/>
      </c>
      <c r="V117" s="11" t="n"/>
    </row>
    <row r="118">
      <c r="A118" s="15">
        <f>Murid!A118</f>
        <v/>
      </c>
      <c r="B118" s="15">
        <f>IF(Murid!B118="","",Murid!B118)</f>
        <v/>
      </c>
      <c r="C118" s="16">
        <f>IF(Murid!C118="","",Murid!C118)</f>
        <v/>
      </c>
      <c r="D118" s="15">
        <f>IF(Murid!E118="","",Murid!E118)</f>
        <v/>
      </c>
      <c r="E118" s="11" t="n"/>
      <c r="F118" s="10">
        <f>IF(E118="","",IFERROR(VLOOKUP(E118,T_PERK,2,FALSE),0))</f>
        <v/>
      </c>
      <c r="G118" s="11" t="n"/>
      <c r="H118" s="10">
        <f>IF(G118="","",IFERROR(VLOOKUP(G118,T_ANUG,2,FALSE),0))</f>
        <v/>
      </c>
      <c r="I118" s="11" t="n"/>
      <c r="J118" s="11" t="n"/>
      <c r="K118" s="11" t="n"/>
      <c r="L118" s="11" t="n"/>
      <c r="M118" s="11" t="n"/>
      <c r="N118" s="11" t="n"/>
      <c r="O118" s="11" t="n"/>
      <c r="P118" s="10">
        <f>IF(COUNTA(I118:O118)=0,"",MIN(10,SUM(I118:O118)))</f>
        <v/>
      </c>
      <c r="Q118" s="11" t="n"/>
      <c r="R118" s="10">
        <f>IF(Q118="","",IFERROR(VLOOKUP(Q118,T_NILAM,2,FALSE),0))</f>
        <v/>
      </c>
      <c r="S118" s="11" t="n"/>
      <c r="T118" s="10">
        <f>IF(S118="","",IFERROR(VLOOKUP(S118,T_TIMSS,2,FALSE),0))</f>
        <v/>
      </c>
      <c r="U118" s="19">
        <f>IF(COUNT(F118,H118,P118,R118,T118)=0,"",MIN(10,MAX(F118,H118,P118,R118,T118)))</f>
        <v/>
      </c>
      <c r="V118" s="11" t="n"/>
    </row>
    <row r="119">
      <c r="A119" s="15">
        <f>Murid!A119</f>
        <v/>
      </c>
      <c r="B119" s="15">
        <f>IF(Murid!B119="","",Murid!B119)</f>
        <v/>
      </c>
      <c r="C119" s="16">
        <f>IF(Murid!C119="","",Murid!C119)</f>
        <v/>
      </c>
      <c r="D119" s="15">
        <f>IF(Murid!E119="","",Murid!E119)</f>
        <v/>
      </c>
      <c r="E119" s="11" t="n"/>
      <c r="F119" s="10">
        <f>IF(E119="","",IFERROR(VLOOKUP(E119,T_PERK,2,FALSE),0))</f>
        <v/>
      </c>
      <c r="G119" s="11" t="n"/>
      <c r="H119" s="10">
        <f>IF(G119="","",IFERROR(VLOOKUP(G119,T_ANUG,2,FALSE),0))</f>
        <v/>
      </c>
      <c r="I119" s="11" t="n"/>
      <c r="J119" s="11" t="n"/>
      <c r="K119" s="11" t="n"/>
      <c r="L119" s="11" t="n"/>
      <c r="M119" s="11" t="n"/>
      <c r="N119" s="11" t="n"/>
      <c r="O119" s="11" t="n"/>
      <c r="P119" s="10">
        <f>IF(COUNTA(I119:O119)=0,"",MIN(10,SUM(I119:O119)))</f>
        <v/>
      </c>
      <c r="Q119" s="11" t="n"/>
      <c r="R119" s="10">
        <f>IF(Q119="","",IFERROR(VLOOKUP(Q119,T_NILAM,2,FALSE),0))</f>
        <v/>
      </c>
      <c r="S119" s="11" t="n"/>
      <c r="T119" s="10">
        <f>IF(S119="","",IFERROR(VLOOKUP(S119,T_TIMSS,2,FALSE),0))</f>
        <v/>
      </c>
      <c r="U119" s="19">
        <f>IF(COUNT(F119,H119,P119,R119,T119)=0,"",MIN(10,MAX(F119,H119,P119,R119,T119)))</f>
        <v/>
      </c>
      <c r="V119" s="11" t="n"/>
    </row>
    <row r="120">
      <c r="A120" s="15">
        <f>Murid!A120</f>
        <v/>
      </c>
      <c r="B120" s="15">
        <f>IF(Murid!B120="","",Murid!B120)</f>
        <v/>
      </c>
      <c r="C120" s="16">
        <f>IF(Murid!C120="","",Murid!C120)</f>
        <v/>
      </c>
      <c r="D120" s="15">
        <f>IF(Murid!E120="","",Murid!E120)</f>
        <v/>
      </c>
      <c r="E120" s="11" t="n"/>
      <c r="F120" s="10">
        <f>IF(E120="","",IFERROR(VLOOKUP(E120,T_PERK,2,FALSE),0))</f>
        <v/>
      </c>
      <c r="G120" s="11" t="n"/>
      <c r="H120" s="10">
        <f>IF(G120="","",IFERROR(VLOOKUP(G120,T_ANUG,2,FALSE),0))</f>
        <v/>
      </c>
      <c r="I120" s="11" t="n"/>
      <c r="J120" s="11" t="n"/>
      <c r="K120" s="11" t="n"/>
      <c r="L120" s="11" t="n"/>
      <c r="M120" s="11" t="n"/>
      <c r="N120" s="11" t="n"/>
      <c r="O120" s="11" t="n"/>
      <c r="P120" s="10">
        <f>IF(COUNTA(I120:O120)=0,"",MIN(10,SUM(I120:O120)))</f>
        <v/>
      </c>
      <c r="Q120" s="11" t="n"/>
      <c r="R120" s="10">
        <f>IF(Q120="","",IFERROR(VLOOKUP(Q120,T_NILAM,2,FALSE),0))</f>
        <v/>
      </c>
      <c r="S120" s="11" t="n"/>
      <c r="T120" s="10">
        <f>IF(S120="","",IFERROR(VLOOKUP(S120,T_TIMSS,2,FALSE),0))</f>
        <v/>
      </c>
      <c r="U120" s="19">
        <f>IF(COUNT(F120,H120,P120,R120,T120)=0,"",MIN(10,MAX(F120,H120,P120,R120,T120)))</f>
        <v/>
      </c>
      <c r="V120" s="11" t="n"/>
    </row>
    <row r="121">
      <c r="A121" s="15">
        <f>Murid!A121</f>
        <v/>
      </c>
      <c r="B121" s="15">
        <f>IF(Murid!B121="","",Murid!B121)</f>
        <v/>
      </c>
      <c r="C121" s="16">
        <f>IF(Murid!C121="","",Murid!C121)</f>
        <v/>
      </c>
      <c r="D121" s="15">
        <f>IF(Murid!E121="","",Murid!E121)</f>
        <v/>
      </c>
      <c r="E121" s="11" t="n"/>
      <c r="F121" s="10">
        <f>IF(E121="","",IFERROR(VLOOKUP(E121,T_PERK,2,FALSE),0))</f>
        <v/>
      </c>
      <c r="G121" s="11" t="n"/>
      <c r="H121" s="10">
        <f>IF(G121="","",IFERROR(VLOOKUP(G121,T_ANUG,2,FALSE),0))</f>
        <v/>
      </c>
      <c r="I121" s="11" t="n"/>
      <c r="J121" s="11" t="n"/>
      <c r="K121" s="11" t="n"/>
      <c r="L121" s="11" t="n"/>
      <c r="M121" s="11" t="n"/>
      <c r="N121" s="11" t="n"/>
      <c r="O121" s="11" t="n"/>
      <c r="P121" s="10">
        <f>IF(COUNTA(I121:O121)=0,"",MIN(10,SUM(I121:O121)))</f>
        <v/>
      </c>
      <c r="Q121" s="11" t="n"/>
      <c r="R121" s="10">
        <f>IF(Q121="","",IFERROR(VLOOKUP(Q121,T_NILAM,2,FALSE),0))</f>
        <v/>
      </c>
      <c r="S121" s="11" t="n"/>
      <c r="T121" s="10">
        <f>IF(S121="","",IFERROR(VLOOKUP(S121,T_TIMSS,2,FALSE),0))</f>
        <v/>
      </c>
      <c r="U121" s="19">
        <f>IF(COUNT(F121,H121,P121,R121,T121)=0,"",MIN(10,MAX(F121,H121,P121,R121,T121)))</f>
        <v/>
      </c>
      <c r="V121" s="11" t="n"/>
    </row>
    <row r="122">
      <c r="A122" s="15">
        <f>Murid!A122</f>
        <v/>
      </c>
      <c r="B122" s="15">
        <f>IF(Murid!B122="","",Murid!B122)</f>
        <v/>
      </c>
      <c r="C122" s="16">
        <f>IF(Murid!C122="","",Murid!C122)</f>
        <v/>
      </c>
      <c r="D122" s="15">
        <f>IF(Murid!E122="","",Murid!E122)</f>
        <v/>
      </c>
      <c r="E122" s="11" t="n"/>
      <c r="F122" s="10">
        <f>IF(E122="","",IFERROR(VLOOKUP(E122,T_PERK,2,FALSE),0))</f>
        <v/>
      </c>
      <c r="G122" s="11" t="n"/>
      <c r="H122" s="10">
        <f>IF(G122="","",IFERROR(VLOOKUP(G122,T_ANUG,2,FALSE),0))</f>
        <v/>
      </c>
      <c r="I122" s="11" t="n"/>
      <c r="J122" s="11" t="n"/>
      <c r="K122" s="11" t="n"/>
      <c r="L122" s="11" t="n"/>
      <c r="M122" s="11" t="n"/>
      <c r="N122" s="11" t="n"/>
      <c r="O122" s="11" t="n"/>
      <c r="P122" s="10">
        <f>IF(COUNTA(I122:O122)=0,"",MIN(10,SUM(I122:O122)))</f>
        <v/>
      </c>
      <c r="Q122" s="11" t="n"/>
      <c r="R122" s="10">
        <f>IF(Q122="","",IFERROR(VLOOKUP(Q122,T_NILAM,2,FALSE),0))</f>
        <v/>
      </c>
      <c r="S122" s="11" t="n"/>
      <c r="T122" s="10">
        <f>IF(S122="","",IFERROR(VLOOKUP(S122,T_TIMSS,2,FALSE),0))</f>
        <v/>
      </c>
      <c r="U122" s="19">
        <f>IF(COUNT(F122,H122,P122,R122,T122)=0,"",MIN(10,MAX(F122,H122,P122,R122,T122)))</f>
        <v/>
      </c>
      <c r="V122" s="11" t="n"/>
    </row>
    <row r="123">
      <c r="A123" s="15">
        <f>Murid!A123</f>
        <v/>
      </c>
      <c r="B123" s="15">
        <f>IF(Murid!B123="","",Murid!B123)</f>
        <v/>
      </c>
      <c r="C123" s="16">
        <f>IF(Murid!C123="","",Murid!C123)</f>
        <v/>
      </c>
      <c r="D123" s="15">
        <f>IF(Murid!E123="","",Murid!E123)</f>
        <v/>
      </c>
      <c r="E123" s="11" t="n"/>
      <c r="F123" s="10">
        <f>IF(E123="","",IFERROR(VLOOKUP(E123,T_PERK,2,FALSE),0))</f>
        <v/>
      </c>
      <c r="G123" s="11" t="n"/>
      <c r="H123" s="10">
        <f>IF(G123="","",IFERROR(VLOOKUP(G123,T_ANUG,2,FALSE),0))</f>
        <v/>
      </c>
      <c r="I123" s="11" t="n"/>
      <c r="J123" s="11" t="n"/>
      <c r="K123" s="11" t="n"/>
      <c r="L123" s="11" t="n"/>
      <c r="M123" s="11" t="n"/>
      <c r="N123" s="11" t="n"/>
      <c r="O123" s="11" t="n"/>
      <c r="P123" s="10">
        <f>IF(COUNTA(I123:O123)=0,"",MIN(10,SUM(I123:O123)))</f>
        <v/>
      </c>
      <c r="Q123" s="11" t="n"/>
      <c r="R123" s="10">
        <f>IF(Q123="","",IFERROR(VLOOKUP(Q123,T_NILAM,2,FALSE),0))</f>
        <v/>
      </c>
      <c r="S123" s="11" t="n"/>
      <c r="T123" s="10">
        <f>IF(S123="","",IFERROR(VLOOKUP(S123,T_TIMSS,2,FALSE),0))</f>
        <v/>
      </c>
      <c r="U123" s="19">
        <f>IF(COUNT(F123,H123,P123,R123,T123)=0,"",MIN(10,MAX(F123,H123,P123,R123,T123)))</f>
        <v/>
      </c>
      <c r="V123" s="11" t="n"/>
    </row>
    <row r="124">
      <c r="A124" s="15">
        <f>Murid!A124</f>
        <v/>
      </c>
      <c r="B124" s="15">
        <f>IF(Murid!B124="","",Murid!B124)</f>
        <v/>
      </c>
      <c r="C124" s="16">
        <f>IF(Murid!C124="","",Murid!C124)</f>
        <v/>
      </c>
      <c r="D124" s="15">
        <f>IF(Murid!E124="","",Murid!E124)</f>
        <v/>
      </c>
      <c r="E124" s="11" t="n"/>
      <c r="F124" s="10">
        <f>IF(E124="","",IFERROR(VLOOKUP(E124,T_PERK,2,FALSE),0))</f>
        <v/>
      </c>
      <c r="G124" s="11" t="n"/>
      <c r="H124" s="10">
        <f>IF(G124="","",IFERROR(VLOOKUP(G124,T_ANUG,2,FALSE),0))</f>
        <v/>
      </c>
      <c r="I124" s="11" t="n"/>
      <c r="J124" s="11" t="n"/>
      <c r="K124" s="11" t="n"/>
      <c r="L124" s="11" t="n"/>
      <c r="M124" s="11" t="n"/>
      <c r="N124" s="11" t="n"/>
      <c r="O124" s="11" t="n"/>
      <c r="P124" s="10">
        <f>IF(COUNTA(I124:O124)=0,"",MIN(10,SUM(I124:O124)))</f>
        <v/>
      </c>
      <c r="Q124" s="11" t="n"/>
      <c r="R124" s="10">
        <f>IF(Q124="","",IFERROR(VLOOKUP(Q124,T_NILAM,2,FALSE),0))</f>
        <v/>
      </c>
      <c r="S124" s="11" t="n"/>
      <c r="T124" s="10">
        <f>IF(S124="","",IFERROR(VLOOKUP(S124,T_TIMSS,2,FALSE),0))</f>
        <v/>
      </c>
      <c r="U124" s="19">
        <f>IF(COUNT(F124,H124,P124,R124,T124)=0,"",MIN(10,MAX(F124,H124,P124,R124,T124)))</f>
        <v/>
      </c>
      <c r="V124" s="11" t="n"/>
    </row>
    <row r="125">
      <c r="A125" s="15">
        <f>Murid!A125</f>
        <v/>
      </c>
      <c r="B125" s="15">
        <f>IF(Murid!B125="","",Murid!B125)</f>
        <v/>
      </c>
      <c r="C125" s="16">
        <f>IF(Murid!C125="","",Murid!C125)</f>
        <v/>
      </c>
      <c r="D125" s="15">
        <f>IF(Murid!E125="","",Murid!E125)</f>
        <v/>
      </c>
      <c r="E125" s="11" t="n"/>
      <c r="F125" s="10">
        <f>IF(E125="","",IFERROR(VLOOKUP(E125,T_PERK,2,FALSE),0))</f>
        <v/>
      </c>
      <c r="G125" s="11" t="n"/>
      <c r="H125" s="10">
        <f>IF(G125="","",IFERROR(VLOOKUP(G125,T_ANUG,2,FALSE),0))</f>
        <v/>
      </c>
      <c r="I125" s="11" t="n"/>
      <c r="J125" s="11" t="n"/>
      <c r="K125" s="11" t="n"/>
      <c r="L125" s="11" t="n"/>
      <c r="M125" s="11" t="n"/>
      <c r="N125" s="11" t="n"/>
      <c r="O125" s="11" t="n"/>
      <c r="P125" s="10">
        <f>IF(COUNTA(I125:O125)=0,"",MIN(10,SUM(I125:O125)))</f>
        <v/>
      </c>
      <c r="Q125" s="11" t="n"/>
      <c r="R125" s="10">
        <f>IF(Q125="","",IFERROR(VLOOKUP(Q125,T_NILAM,2,FALSE),0))</f>
        <v/>
      </c>
      <c r="S125" s="11" t="n"/>
      <c r="T125" s="10">
        <f>IF(S125="","",IFERROR(VLOOKUP(S125,T_TIMSS,2,FALSE),0))</f>
        <v/>
      </c>
      <c r="U125" s="19">
        <f>IF(COUNT(F125,H125,P125,R125,T125)=0,"",MIN(10,MAX(F125,H125,P125,R125,T125)))</f>
        <v/>
      </c>
      <c r="V125" s="11" t="n"/>
    </row>
    <row r="126">
      <c r="A126" s="15">
        <f>Murid!A126</f>
        <v/>
      </c>
      <c r="B126" s="15">
        <f>IF(Murid!B126="","",Murid!B126)</f>
        <v/>
      </c>
      <c r="C126" s="16">
        <f>IF(Murid!C126="","",Murid!C126)</f>
        <v/>
      </c>
      <c r="D126" s="15">
        <f>IF(Murid!E126="","",Murid!E126)</f>
        <v/>
      </c>
      <c r="E126" s="11" t="n"/>
      <c r="F126" s="10">
        <f>IF(E126="","",IFERROR(VLOOKUP(E126,T_PERK,2,FALSE),0))</f>
        <v/>
      </c>
      <c r="G126" s="11" t="n"/>
      <c r="H126" s="10">
        <f>IF(G126="","",IFERROR(VLOOKUP(G126,T_ANUG,2,FALSE),0))</f>
        <v/>
      </c>
      <c r="I126" s="11" t="n"/>
      <c r="J126" s="11" t="n"/>
      <c r="K126" s="11" t="n"/>
      <c r="L126" s="11" t="n"/>
      <c r="M126" s="11" t="n"/>
      <c r="N126" s="11" t="n"/>
      <c r="O126" s="11" t="n"/>
      <c r="P126" s="10">
        <f>IF(COUNTA(I126:O126)=0,"",MIN(10,SUM(I126:O126)))</f>
        <v/>
      </c>
      <c r="Q126" s="11" t="n"/>
      <c r="R126" s="10">
        <f>IF(Q126="","",IFERROR(VLOOKUP(Q126,T_NILAM,2,FALSE),0))</f>
        <v/>
      </c>
      <c r="S126" s="11" t="n"/>
      <c r="T126" s="10">
        <f>IF(S126="","",IFERROR(VLOOKUP(S126,T_TIMSS,2,FALSE),0))</f>
        <v/>
      </c>
      <c r="U126" s="19">
        <f>IF(COUNT(F126,H126,P126,R126,T126)=0,"",MIN(10,MAX(F126,H126,P126,R126,T126)))</f>
        <v/>
      </c>
      <c r="V126" s="11" t="n"/>
    </row>
    <row r="127">
      <c r="A127" s="15">
        <f>Murid!A127</f>
        <v/>
      </c>
      <c r="B127" s="15">
        <f>IF(Murid!B127="","",Murid!B127)</f>
        <v/>
      </c>
      <c r="C127" s="16">
        <f>IF(Murid!C127="","",Murid!C127)</f>
        <v/>
      </c>
      <c r="D127" s="15">
        <f>IF(Murid!E127="","",Murid!E127)</f>
        <v/>
      </c>
      <c r="E127" s="11" t="n"/>
      <c r="F127" s="10">
        <f>IF(E127="","",IFERROR(VLOOKUP(E127,T_PERK,2,FALSE),0))</f>
        <v/>
      </c>
      <c r="G127" s="11" t="n"/>
      <c r="H127" s="10">
        <f>IF(G127="","",IFERROR(VLOOKUP(G127,T_ANUG,2,FALSE),0))</f>
        <v/>
      </c>
      <c r="I127" s="11" t="n"/>
      <c r="J127" s="11" t="n"/>
      <c r="K127" s="11" t="n"/>
      <c r="L127" s="11" t="n"/>
      <c r="M127" s="11" t="n"/>
      <c r="N127" s="11" t="n"/>
      <c r="O127" s="11" t="n"/>
      <c r="P127" s="10">
        <f>IF(COUNTA(I127:O127)=0,"",MIN(10,SUM(I127:O127)))</f>
        <v/>
      </c>
      <c r="Q127" s="11" t="n"/>
      <c r="R127" s="10">
        <f>IF(Q127="","",IFERROR(VLOOKUP(Q127,T_NILAM,2,FALSE),0))</f>
        <v/>
      </c>
      <c r="S127" s="11" t="n"/>
      <c r="T127" s="10">
        <f>IF(S127="","",IFERROR(VLOOKUP(S127,T_TIMSS,2,FALSE),0))</f>
        <v/>
      </c>
      <c r="U127" s="19">
        <f>IF(COUNT(F127,H127,P127,R127,T127)=0,"",MIN(10,MAX(F127,H127,P127,R127,T127)))</f>
        <v/>
      </c>
      <c r="V127" s="11" t="n"/>
    </row>
    <row r="128">
      <c r="A128" s="15">
        <f>Murid!A128</f>
        <v/>
      </c>
      <c r="B128" s="15">
        <f>IF(Murid!B128="","",Murid!B128)</f>
        <v/>
      </c>
      <c r="C128" s="16">
        <f>IF(Murid!C128="","",Murid!C128)</f>
        <v/>
      </c>
      <c r="D128" s="15">
        <f>IF(Murid!E128="","",Murid!E128)</f>
        <v/>
      </c>
      <c r="E128" s="11" t="n"/>
      <c r="F128" s="10">
        <f>IF(E128="","",IFERROR(VLOOKUP(E128,T_PERK,2,FALSE),0))</f>
        <v/>
      </c>
      <c r="G128" s="11" t="n"/>
      <c r="H128" s="10">
        <f>IF(G128="","",IFERROR(VLOOKUP(G128,T_ANUG,2,FALSE),0))</f>
        <v/>
      </c>
      <c r="I128" s="11" t="n"/>
      <c r="J128" s="11" t="n"/>
      <c r="K128" s="11" t="n"/>
      <c r="L128" s="11" t="n"/>
      <c r="M128" s="11" t="n"/>
      <c r="N128" s="11" t="n"/>
      <c r="O128" s="11" t="n"/>
      <c r="P128" s="10">
        <f>IF(COUNTA(I128:O128)=0,"",MIN(10,SUM(I128:O128)))</f>
        <v/>
      </c>
      <c r="Q128" s="11" t="n"/>
      <c r="R128" s="10">
        <f>IF(Q128="","",IFERROR(VLOOKUP(Q128,T_NILAM,2,FALSE),0))</f>
        <v/>
      </c>
      <c r="S128" s="11" t="n"/>
      <c r="T128" s="10">
        <f>IF(S128="","",IFERROR(VLOOKUP(S128,T_TIMSS,2,FALSE),0))</f>
        <v/>
      </c>
      <c r="U128" s="19">
        <f>IF(COUNT(F128,H128,P128,R128,T128)=0,"",MIN(10,MAX(F128,H128,P128,R128,T128)))</f>
        <v/>
      </c>
      <c r="V128" s="11" t="n"/>
    </row>
    <row r="129">
      <c r="A129" s="15">
        <f>Murid!A129</f>
        <v/>
      </c>
      <c r="B129" s="15">
        <f>IF(Murid!B129="","",Murid!B129)</f>
        <v/>
      </c>
      <c r="C129" s="16">
        <f>IF(Murid!C129="","",Murid!C129)</f>
        <v/>
      </c>
      <c r="D129" s="15">
        <f>IF(Murid!E129="","",Murid!E129)</f>
        <v/>
      </c>
      <c r="E129" s="11" t="n"/>
      <c r="F129" s="10">
        <f>IF(E129="","",IFERROR(VLOOKUP(E129,T_PERK,2,FALSE),0))</f>
        <v/>
      </c>
      <c r="G129" s="11" t="n"/>
      <c r="H129" s="10">
        <f>IF(G129="","",IFERROR(VLOOKUP(G129,T_ANUG,2,FALSE),0))</f>
        <v/>
      </c>
      <c r="I129" s="11" t="n"/>
      <c r="J129" s="11" t="n"/>
      <c r="K129" s="11" t="n"/>
      <c r="L129" s="11" t="n"/>
      <c r="M129" s="11" t="n"/>
      <c r="N129" s="11" t="n"/>
      <c r="O129" s="11" t="n"/>
      <c r="P129" s="10">
        <f>IF(COUNTA(I129:O129)=0,"",MIN(10,SUM(I129:O129)))</f>
        <v/>
      </c>
      <c r="Q129" s="11" t="n"/>
      <c r="R129" s="10">
        <f>IF(Q129="","",IFERROR(VLOOKUP(Q129,T_NILAM,2,FALSE),0))</f>
        <v/>
      </c>
      <c r="S129" s="11" t="n"/>
      <c r="T129" s="10">
        <f>IF(S129="","",IFERROR(VLOOKUP(S129,T_TIMSS,2,FALSE),0))</f>
        <v/>
      </c>
      <c r="U129" s="19">
        <f>IF(COUNT(F129,H129,P129,R129,T129)=0,"",MIN(10,MAX(F129,H129,P129,R129,T129)))</f>
        <v/>
      </c>
      <c r="V129" s="11" t="n"/>
    </row>
    <row r="130">
      <c r="A130" s="15">
        <f>Murid!A130</f>
        <v/>
      </c>
      <c r="B130" s="15">
        <f>IF(Murid!B130="","",Murid!B130)</f>
        <v/>
      </c>
      <c r="C130" s="16">
        <f>IF(Murid!C130="","",Murid!C130)</f>
        <v/>
      </c>
      <c r="D130" s="15">
        <f>IF(Murid!E130="","",Murid!E130)</f>
        <v/>
      </c>
      <c r="E130" s="11" t="n"/>
      <c r="F130" s="10">
        <f>IF(E130="","",IFERROR(VLOOKUP(E130,T_PERK,2,FALSE),0))</f>
        <v/>
      </c>
      <c r="G130" s="11" t="n"/>
      <c r="H130" s="10">
        <f>IF(G130="","",IFERROR(VLOOKUP(G130,T_ANUG,2,FALSE),0))</f>
        <v/>
      </c>
      <c r="I130" s="11" t="n"/>
      <c r="J130" s="11" t="n"/>
      <c r="K130" s="11" t="n"/>
      <c r="L130" s="11" t="n"/>
      <c r="M130" s="11" t="n"/>
      <c r="N130" s="11" t="n"/>
      <c r="O130" s="11" t="n"/>
      <c r="P130" s="10">
        <f>IF(COUNTA(I130:O130)=0,"",MIN(10,SUM(I130:O130)))</f>
        <v/>
      </c>
      <c r="Q130" s="11" t="n"/>
      <c r="R130" s="10">
        <f>IF(Q130="","",IFERROR(VLOOKUP(Q130,T_NILAM,2,FALSE),0))</f>
        <v/>
      </c>
      <c r="S130" s="11" t="n"/>
      <c r="T130" s="10">
        <f>IF(S130="","",IFERROR(VLOOKUP(S130,T_TIMSS,2,FALSE),0))</f>
        <v/>
      </c>
      <c r="U130" s="19">
        <f>IF(COUNT(F130,H130,P130,R130,T130)=0,"",MIN(10,MAX(F130,H130,P130,R130,T130)))</f>
        <v/>
      </c>
      <c r="V130" s="11" t="n"/>
    </row>
    <row r="131">
      <c r="A131" s="15">
        <f>Murid!A131</f>
        <v/>
      </c>
      <c r="B131" s="15">
        <f>IF(Murid!B131="","",Murid!B131)</f>
        <v/>
      </c>
      <c r="C131" s="16">
        <f>IF(Murid!C131="","",Murid!C131)</f>
        <v/>
      </c>
      <c r="D131" s="15">
        <f>IF(Murid!E131="","",Murid!E131)</f>
        <v/>
      </c>
      <c r="E131" s="11" t="n"/>
      <c r="F131" s="10">
        <f>IF(E131="","",IFERROR(VLOOKUP(E131,T_PERK,2,FALSE),0))</f>
        <v/>
      </c>
      <c r="G131" s="11" t="n"/>
      <c r="H131" s="10">
        <f>IF(G131="","",IFERROR(VLOOKUP(G131,T_ANUG,2,FALSE),0))</f>
        <v/>
      </c>
      <c r="I131" s="11" t="n"/>
      <c r="J131" s="11" t="n"/>
      <c r="K131" s="11" t="n"/>
      <c r="L131" s="11" t="n"/>
      <c r="M131" s="11" t="n"/>
      <c r="N131" s="11" t="n"/>
      <c r="O131" s="11" t="n"/>
      <c r="P131" s="10">
        <f>IF(COUNTA(I131:O131)=0,"",MIN(10,SUM(I131:O131)))</f>
        <v/>
      </c>
      <c r="Q131" s="11" t="n"/>
      <c r="R131" s="10">
        <f>IF(Q131="","",IFERROR(VLOOKUP(Q131,T_NILAM,2,FALSE),0))</f>
        <v/>
      </c>
      <c r="S131" s="11" t="n"/>
      <c r="T131" s="10">
        <f>IF(S131="","",IFERROR(VLOOKUP(S131,T_TIMSS,2,FALSE),0))</f>
        <v/>
      </c>
      <c r="U131" s="19">
        <f>IF(COUNT(F131,H131,P131,R131,T131)=0,"",MIN(10,MAX(F131,H131,P131,R131,T131)))</f>
        <v/>
      </c>
      <c r="V131" s="11" t="n"/>
    </row>
    <row r="132">
      <c r="A132" s="15">
        <f>Murid!A132</f>
        <v/>
      </c>
      <c r="B132" s="15">
        <f>IF(Murid!B132="","",Murid!B132)</f>
        <v/>
      </c>
      <c r="C132" s="16">
        <f>IF(Murid!C132="","",Murid!C132)</f>
        <v/>
      </c>
      <c r="D132" s="15">
        <f>IF(Murid!E132="","",Murid!E132)</f>
        <v/>
      </c>
      <c r="E132" s="11" t="n"/>
      <c r="F132" s="10">
        <f>IF(E132="","",IFERROR(VLOOKUP(E132,T_PERK,2,FALSE),0))</f>
        <v/>
      </c>
      <c r="G132" s="11" t="n"/>
      <c r="H132" s="10">
        <f>IF(G132="","",IFERROR(VLOOKUP(G132,T_ANUG,2,FALSE),0))</f>
        <v/>
      </c>
      <c r="I132" s="11" t="n"/>
      <c r="J132" s="11" t="n"/>
      <c r="K132" s="11" t="n"/>
      <c r="L132" s="11" t="n"/>
      <c r="M132" s="11" t="n"/>
      <c r="N132" s="11" t="n"/>
      <c r="O132" s="11" t="n"/>
      <c r="P132" s="10">
        <f>IF(COUNTA(I132:O132)=0,"",MIN(10,SUM(I132:O132)))</f>
        <v/>
      </c>
      <c r="Q132" s="11" t="n"/>
      <c r="R132" s="10">
        <f>IF(Q132="","",IFERROR(VLOOKUP(Q132,T_NILAM,2,FALSE),0))</f>
        <v/>
      </c>
      <c r="S132" s="11" t="n"/>
      <c r="T132" s="10">
        <f>IF(S132="","",IFERROR(VLOOKUP(S132,T_TIMSS,2,FALSE),0))</f>
        <v/>
      </c>
      <c r="U132" s="19">
        <f>IF(COUNT(F132,H132,P132,R132,T132)=0,"",MIN(10,MAX(F132,H132,P132,R132,T132)))</f>
        <v/>
      </c>
      <c r="V132" s="11" t="n"/>
    </row>
    <row r="133">
      <c r="A133" s="15">
        <f>Murid!A133</f>
        <v/>
      </c>
      <c r="B133" s="15">
        <f>IF(Murid!B133="","",Murid!B133)</f>
        <v/>
      </c>
      <c r="C133" s="16">
        <f>IF(Murid!C133="","",Murid!C133)</f>
        <v/>
      </c>
      <c r="D133" s="15">
        <f>IF(Murid!E133="","",Murid!E133)</f>
        <v/>
      </c>
      <c r="E133" s="11" t="n"/>
      <c r="F133" s="10">
        <f>IF(E133="","",IFERROR(VLOOKUP(E133,T_PERK,2,FALSE),0))</f>
        <v/>
      </c>
      <c r="G133" s="11" t="n"/>
      <c r="H133" s="10">
        <f>IF(G133="","",IFERROR(VLOOKUP(G133,T_ANUG,2,FALSE),0))</f>
        <v/>
      </c>
      <c r="I133" s="11" t="n"/>
      <c r="J133" s="11" t="n"/>
      <c r="K133" s="11" t="n"/>
      <c r="L133" s="11" t="n"/>
      <c r="M133" s="11" t="n"/>
      <c r="N133" s="11" t="n"/>
      <c r="O133" s="11" t="n"/>
      <c r="P133" s="10">
        <f>IF(COUNTA(I133:O133)=0,"",MIN(10,SUM(I133:O133)))</f>
        <v/>
      </c>
      <c r="Q133" s="11" t="n"/>
      <c r="R133" s="10">
        <f>IF(Q133="","",IFERROR(VLOOKUP(Q133,T_NILAM,2,FALSE),0))</f>
        <v/>
      </c>
      <c r="S133" s="11" t="n"/>
      <c r="T133" s="10">
        <f>IF(S133="","",IFERROR(VLOOKUP(S133,T_TIMSS,2,FALSE),0))</f>
        <v/>
      </c>
      <c r="U133" s="19">
        <f>IF(COUNT(F133,H133,P133,R133,T133)=0,"",MIN(10,MAX(F133,H133,P133,R133,T133)))</f>
        <v/>
      </c>
      <c r="V133" s="11" t="n"/>
    </row>
    <row r="134">
      <c r="A134" s="15">
        <f>Murid!A134</f>
        <v/>
      </c>
      <c r="B134" s="15">
        <f>IF(Murid!B134="","",Murid!B134)</f>
        <v/>
      </c>
      <c r="C134" s="16">
        <f>IF(Murid!C134="","",Murid!C134)</f>
        <v/>
      </c>
      <c r="D134" s="15">
        <f>IF(Murid!E134="","",Murid!E134)</f>
        <v/>
      </c>
      <c r="E134" s="11" t="n"/>
      <c r="F134" s="10">
        <f>IF(E134="","",IFERROR(VLOOKUP(E134,T_PERK,2,FALSE),0))</f>
        <v/>
      </c>
      <c r="G134" s="11" t="n"/>
      <c r="H134" s="10">
        <f>IF(G134="","",IFERROR(VLOOKUP(G134,T_ANUG,2,FALSE),0))</f>
        <v/>
      </c>
      <c r="I134" s="11" t="n"/>
      <c r="J134" s="11" t="n"/>
      <c r="K134" s="11" t="n"/>
      <c r="L134" s="11" t="n"/>
      <c r="M134" s="11" t="n"/>
      <c r="N134" s="11" t="n"/>
      <c r="O134" s="11" t="n"/>
      <c r="P134" s="10">
        <f>IF(COUNTA(I134:O134)=0,"",MIN(10,SUM(I134:O134)))</f>
        <v/>
      </c>
      <c r="Q134" s="11" t="n"/>
      <c r="R134" s="10">
        <f>IF(Q134="","",IFERROR(VLOOKUP(Q134,T_NILAM,2,FALSE),0))</f>
        <v/>
      </c>
      <c r="S134" s="11" t="n"/>
      <c r="T134" s="10">
        <f>IF(S134="","",IFERROR(VLOOKUP(S134,T_TIMSS,2,FALSE),0))</f>
        <v/>
      </c>
      <c r="U134" s="19">
        <f>IF(COUNT(F134,H134,P134,R134,T134)=0,"",MIN(10,MAX(F134,H134,P134,R134,T134)))</f>
        <v/>
      </c>
      <c r="V134" s="11" t="n"/>
    </row>
    <row r="135">
      <c r="A135" s="15">
        <f>Murid!A135</f>
        <v/>
      </c>
      <c r="B135" s="15">
        <f>IF(Murid!B135="","",Murid!B135)</f>
        <v/>
      </c>
      <c r="C135" s="16">
        <f>IF(Murid!C135="","",Murid!C135)</f>
        <v/>
      </c>
      <c r="D135" s="15">
        <f>IF(Murid!E135="","",Murid!E135)</f>
        <v/>
      </c>
      <c r="E135" s="11" t="n"/>
      <c r="F135" s="10">
        <f>IF(E135="","",IFERROR(VLOOKUP(E135,T_PERK,2,FALSE),0))</f>
        <v/>
      </c>
      <c r="G135" s="11" t="n"/>
      <c r="H135" s="10">
        <f>IF(G135="","",IFERROR(VLOOKUP(G135,T_ANUG,2,FALSE),0))</f>
        <v/>
      </c>
      <c r="I135" s="11" t="n"/>
      <c r="J135" s="11" t="n"/>
      <c r="K135" s="11" t="n"/>
      <c r="L135" s="11" t="n"/>
      <c r="M135" s="11" t="n"/>
      <c r="N135" s="11" t="n"/>
      <c r="O135" s="11" t="n"/>
      <c r="P135" s="10">
        <f>IF(COUNTA(I135:O135)=0,"",MIN(10,SUM(I135:O135)))</f>
        <v/>
      </c>
      <c r="Q135" s="11" t="n"/>
      <c r="R135" s="10">
        <f>IF(Q135="","",IFERROR(VLOOKUP(Q135,T_NILAM,2,FALSE),0))</f>
        <v/>
      </c>
      <c r="S135" s="11" t="n"/>
      <c r="T135" s="10">
        <f>IF(S135="","",IFERROR(VLOOKUP(S135,T_TIMSS,2,FALSE),0))</f>
        <v/>
      </c>
      <c r="U135" s="19">
        <f>IF(COUNT(F135,H135,P135,R135,T135)=0,"",MIN(10,MAX(F135,H135,P135,R135,T135)))</f>
        <v/>
      </c>
      <c r="V135" s="11" t="n"/>
    </row>
    <row r="136">
      <c r="A136" s="15">
        <f>Murid!A136</f>
        <v/>
      </c>
      <c r="B136" s="15">
        <f>IF(Murid!B136="","",Murid!B136)</f>
        <v/>
      </c>
      <c r="C136" s="16">
        <f>IF(Murid!C136="","",Murid!C136)</f>
        <v/>
      </c>
      <c r="D136" s="15">
        <f>IF(Murid!E136="","",Murid!E136)</f>
        <v/>
      </c>
      <c r="E136" s="11" t="n"/>
      <c r="F136" s="10">
        <f>IF(E136="","",IFERROR(VLOOKUP(E136,T_PERK,2,FALSE),0))</f>
        <v/>
      </c>
      <c r="G136" s="11" t="n"/>
      <c r="H136" s="10">
        <f>IF(G136="","",IFERROR(VLOOKUP(G136,T_ANUG,2,FALSE),0))</f>
        <v/>
      </c>
      <c r="I136" s="11" t="n"/>
      <c r="J136" s="11" t="n"/>
      <c r="K136" s="11" t="n"/>
      <c r="L136" s="11" t="n"/>
      <c r="M136" s="11" t="n"/>
      <c r="N136" s="11" t="n"/>
      <c r="O136" s="11" t="n"/>
      <c r="P136" s="10">
        <f>IF(COUNTA(I136:O136)=0,"",MIN(10,SUM(I136:O136)))</f>
        <v/>
      </c>
      <c r="Q136" s="11" t="n"/>
      <c r="R136" s="10">
        <f>IF(Q136="","",IFERROR(VLOOKUP(Q136,T_NILAM,2,FALSE),0))</f>
        <v/>
      </c>
      <c r="S136" s="11" t="n"/>
      <c r="T136" s="10">
        <f>IF(S136="","",IFERROR(VLOOKUP(S136,T_TIMSS,2,FALSE),0))</f>
        <v/>
      </c>
      <c r="U136" s="19">
        <f>IF(COUNT(F136,H136,P136,R136,T136)=0,"",MIN(10,MAX(F136,H136,P136,R136,T136)))</f>
        <v/>
      </c>
      <c r="V136" s="11" t="n"/>
    </row>
    <row r="137">
      <c r="A137" s="15">
        <f>Murid!A137</f>
        <v/>
      </c>
      <c r="B137" s="15">
        <f>IF(Murid!B137="","",Murid!B137)</f>
        <v/>
      </c>
      <c r="C137" s="16">
        <f>IF(Murid!C137="","",Murid!C137)</f>
        <v/>
      </c>
      <c r="D137" s="15">
        <f>IF(Murid!E137="","",Murid!E137)</f>
        <v/>
      </c>
      <c r="E137" s="11" t="n"/>
      <c r="F137" s="10">
        <f>IF(E137="","",IFERROR(VLOOKUP(E137,T_PERK,2,FALSE),0))</f>
        <v/>
      </c>
      <c r="G137" s="11" t="n"/>
      <c r="H137" s="10">
        <f>IF(G137="","",IFERROR(VLOOKUP(G137,T_ANUG,2,FALSE),0))</f>
        <v/>
      </c>
      <c r="I137" s="11" t="n"/>
      <c r="J137" s="11" t="n"/>
      <c r="K137" s="11" t="n"/>
      <c r="L137" s="11" t="n"/>
      <c r="M137" s="11" t="n"/>
      <c r="N137" s="11" t="n"/>
      <c r="O137" s="11" t="n"/>
      <c r="P137" s="10">
        <f>IF(COUNTA(I137:O137)=0,"",MIN(10,SUM(I137:O137)))</f>
        <v/>
      </c>
      <c r="Q137" s="11" t="n"/>
      <c r="R137" s="10">
        <f>IF(Q137="","",IFERROR(VLOOKUP(Q137,T_NILAM,2,FALSE),0))</f>
        <v/>
      </c>
      <c r="S137" s="11" t="n"/>
      <c r="T137" s="10">
        <f>IF(S137="","",IFERROR(VLOOKUP(S137,T_TIMSS,2,FALSE),0))</f>
        <v/>
      </c>
      <c r="U137" s="19">
        <f>IF(COUNT(F137,H137,P137,R137,T137)=0,"",MIN(10,MAX(F137,H137,P137,R137,T137)))</f>
        <v/>
      </c>
      <c r="V137" s="11" t="n"/>
    </row>
    <row r="138">
      <c r="A138" s="15">
        <f>Murid!A138</f>
        <v/>
      </c>
      <c r="B138" s="15">
        <f>IF(Murid!B138="","",Murid!B138)</f>
        <v/>
      </c>
      <c r="C138" s="16">
        <f>IF(Murid!C138="","",Murid!C138)</f>
        <v/>
      </c>
      <c r="D138" s="15">
        <f>IF(Murid!E138="","",Murid!E138)</f>
        <v/>
      </c>
      <c r="E138" s="11" t="n"/>
      <c r="F138" s="10">
        <f>IF(E138="","",IFERROR(VLOOKUP(E138,T_PERK,2,FALSE),0))</f>
        <v/>
      </c>
      <c r="G138" s="11" t="n"/>
      <c r="H138" s="10">
        <f>IF(G138="","",IFERROR(VLOOKUP(G138,T_ANUG,2,FALSE),0))</f>
        <v/>
      </c>
      <c r="I138" s="11" t="n"/>
      <c r="J138" s="11" t="n"/>
      <c r="K138" s="11" t="n"/>
      <c r="L138" s="11" t="n"/>
      <c r="M138" s="11" t="n"/>
      <c r="N138" s="11" t="n"/>
      <c r="O138" s="11" t="n"/>
      <c r="P138" s="10">
        <f>IF(COUNTA(I138:O138)=0,"",MIN(10,SUM(I138:O138)))</f>
        <v/>
      </c>
      <c r="Q138" s="11" t="n"/>
      <c r="R138" s="10">
        <f>IF(Q138="","",IFERROR(VLOOKUP(Q138,T_NILAM,2,FALSE),0))</f>
        <v/>
      </c>
      <c r="S138" s="11" t="n"/>
      <c r="T138" s="10">
        <f>IF(S138="","",IFERROR(VLOOKUP(S138,T_TIMSS,2,FALSE),0))</f>
        <v/>
      </c>
      <c r="U138" s="19">
        <f>IF(COUNT(F138,H138,P138,R138,T138)=0,"",MIN(10,MAX(F138,H138,P138,R138,T138)))</f>
        <v/>
      </c>
      <c r="V138" s="11" t="n"/>
    </row>
    <row r="139">
      <c r="A139" s="15">
        <f>Murid!A139</f>
        <v/>
      </c>
      <c r="B139" s="15">
        <f>IF(Murid!B139="","",Murid!B139)</f>
        <v/>
      </c>
      <c r="C139" s="16">
        <f>IF(Murid!C139="","",Murid!C139)</f>
        <v/>
      </c>
      <c r="D139" s="15">
        <f>IF(Murid!E139="","",Murid!E139)</f>
        <v/>
      </c>
      <c r="E139" s="11" t="n"/>
      <c r="F139" s="10">
        <f>IF(E139="","",IFERROR(VLOOKUP(E139,T_PERK,2,FALSE),0))</f>
        <v/>
      </c>
      <c r="G139" s="11" t="n"/>
      <c r="H139" s="10">
        <f>IF(G139="","",IFERROR(VLOOKUP(G139,T_ANUG,2,FALSE),0))</f>
        <v/>
      </c>
      <c r="I139" s="11" t="n"/>
      <c r="J139" s="11" t="n"/>
      <c r="K139" s="11" t="n"/>
      <c r="L139" s="11" t="n"/>
      <c r="M139" s="11" t="n"/>
      <c r="N139" s="11" t="n"/>
      <c r="O139" s="11" t="n"/>
      <c r="P139" s="10">
        <f>IF(COUNTA(I139:O139)=0,"",MIN(10,SUM(I139:O139)))</f>
        <v/>
      </c>
      <c r="Q139" s="11" t="n"/>
      <c r="R139" s="10">
        <f>IF(Q139="","",IFERROR(VLOOKUP(Q139,T_NILAM,2,FALSE),0))</f>
        <v/>
      </c>
      <c r="S139" s="11" t="n"/>
      <c r="T139" s="10">
        <f>IF(S139="","",IFERROR(VLOOKUP(S139,T_TIMSS,2,FALSE),0))</f>
        <v/>
      </c>
      <c r="U139" s="19">
        <f>IF(COUNT(F139,H139,P139,R139,T139)=0,"",MIN(10,MAX(F139,H139,P139,R139,T139)))</f>
        <v/>
      </c>
      <c r="V139" s="11" t="n"/>
    </row>
    <row r="140">
      <c r="A140" s="15">
        <f>Murid!A140</f>
        <v/>
      </c>
      <c r="B140" s="15">
        <f>IF(Murid!B140="","",Murid!B140)</f>
        <v/>
      </c>
      <c r="C140" s="16">
        <f>IF(Murid!C140="","",Murid!C140)</f>
        <v/>
      </c>
      <c r="D140" s="15">
        <f>IF(Murid!E140="","",Murid!E140)</f>
        <v/>
      </c>
      <c r="E140" s="11" t="n"/>
      <c r="F140" s="10">
        <f>IF(E140="","",IFERROR(VLOOKUP(E140,T_PERK,2,FALSE),0))</f>
        <v/>
      </c>
      <c r="G140" s="11" t="n"/>
      <c r="H140" s="10">
        <f>IF(G140="","",IFERROR(VLOOKUP(G140,T_ANUG,2,FALSE),0))</f>
        <v/>
      </c>
      <c r="I140" s="11" t="n"/>
      <c r="J140" s="11" t="n"/>
      <c r="K140" s="11" t="n"/>
      <c r="L140" s="11" t="n"/>
      <c r="M140" s="11" t="n"/>
      <c r="N140" s="11" t="n"/>
      <c r="O140" s="11" t="n"/>
      <c r="P140" s="10">
        <f>IF(COUNTA(I140:O140)=0,"",MIN(10,SUM(I140:O140)))</f>
        <v/>
      </c>
      <c r="Q140" s="11" t="n"/>
      <c r="R140" s="10">
        <f>IF(Q140="","",IFERROR(VLOOKUP(Q140,T_NILAM,2,FALSE),0))</f>
        <v/>
      </c>
      <c r="S140" s="11" t="n"/>
      <c r="T140" s="10">
        <f>IF(S140="","",IFERROR(VLOOKUP(S140,T_TIMSS,2,FALSE),0))</f>
        <v/>
      </c>
      <c r="U140" s="19">
        <f>IF(COUNT(F140,H140,P140,R140,T140)=0,"",MIN(10,MAX(F140,H140,P140,R140,T140)))</f>
        <v/>
      </c>
      <c r="V140" s="11" t="n"/>
    </row>
    <row r="141">
      <c r="A141" s="15">
        <f>Murid!A141</f>
        <v/>
      </c>
      <c r="B141" s="15">
        <f>IF(Murid!B141="","",Murid!B141)</f>
        <v/>
      </c>
      <c r="C141" s="16">
        <f>IF(Murid!C141="","",Murid!C141)</f>
        <v/>
      </c>
      <c r="D141" s="15">
        <f>IF(Murid!E141="","",Murid!E141)</f>
        <v/>
      </c>
      <c r="E141" s="11" t="n"/>
      <c r="F141" s="10">
        <f>IF(E141="","",IFERROR(VLOOKUP(E141,T_PERK,2,FALSE),0))</f>
        <v/>
      </c>
      <c r="G141" s="11" t="n"/>
      <c r="H141" s="10">
        <f>IF(G141="","",IFERROR(VLOOKUP(G141,T_ANUG,2,FALSE),0))</f>
        <v/>
      </c>
      <c r="I141" s="11" t="n"/>
      <c r="J141" s="11" t="n"/>
      <c r="K141" s="11" t="n"/>
      <c r="L141" s="11" t="n"/>
      <c r="M141" s="11" t="n"/>
      <c r="N141" s="11" t="n"/>
      <c r="O141" s="11" t="n"/>
      <c r="P141" s="10">
        <f>IF(COUNTA(I141:O141)=0,"",MIN(10,SUM(I141:O141)))</f>
        <v/>
      </c>
      <c r="Q141" s="11" t="n"/>
      <c r="R141" s="10">
        <f>IF(Q141="","",IFERROR(VLOOKUP(Q141,T_NILAM,2,FALSE),0))</f>
        <v/>
      </c>
      <c r="S141" s="11" t="n"/>
      <c r="T141" s="10">
        <f>IF(S141="","",IFERROR(VLOOKUP(S141,T_TIMSS,2,FALSE),0))</f>
        <v/>
      </c>
      <c r="U141" s="19">
        <f>IF(COUNT(F141,H141,P141,R141,T141)=0,"",MIN(10,MAX(F141,H141,P141,R141,T141)))</f>
        <v/>
      </c>
      <c r="V141" s="11" t="n"/>
    </row>
    <row r="142">
      <c r="A142" s="15">
        <f>Murid!A142</f>
        <v/>
      </c>
      <c r="B142" s="15">
        <f>IF(Murid!B142="","",Murid!B142)</f>
        <v/>
      </c>
      <c r="C142" s="16">
        <f>IF(Murid!C142="","",Murid!C142)</f>
        <v/>
      </c>
      <c r="D142" s="15">
        <f>IF(Murid!E142="","",Murid!E142)</f>
        <v/>
      </c>
      <c r="E142" s="11" t="n"/>
      <c r="F142" s="10">
        <f>IF(E142="","",IFERROR(VLOOKUP(E142,T_PERK,2,FALSE),0))</f>
        <v/>
      </c>
      <c r="G142" s="11" t="n"/>
      <c r="H142" s="10">
        <f>IF(G142="","",IFERROR(VLOOKUP(G142,T_ANUG,2,FALSE),0))</f>
        <v/>
      </c>
      <c r="I142" s="11" t="n"/>
      <c r="J142" s="11" t="n"/>
      <c r="K142" s="11" t="n"/>
      <c r="L142" s="11" t="n"/>
      <c r="M142" s="11" t="n"/>
      <c r="N142" s="11" t="n"/>
      <c r="O142" s="11" t="n"/>
      <c r="P142" s="10">
        <f>IF(COUNTA(I142:O142)=0,"",MIN(10,SUM(I142:O142)))</f>
        <v/>
      </c>
      <c r="Q142" s="11" t="n"/>
      <c r="R142" s="10">
        <f>IF(Q142="","",IFERROR(VLOOKUP(Q142,T_NILAM,2,FALSE),0))</f>
        <v/>
      </c>
      <c r="S142" s="11" t="n"/>
      <c r="T142" s="10">
        <f>IF(S142="","",IFERROR(VLOOKUP(S142,T_TIMSS,2,FALSE),0))</f>
        <v/>
      </c>
      <c r="U142" s="19">
        <f>IF(COUNT(F142,H142,P142,R142,T142)=0,"",MIN(10,MAX(F142,H142,P142,R142,T142)))</f>
        <v/>
      </c>
      <c r="V142" s="11" t="n"/>
    </row>
    <row r="143">
      <c r="A143" s="15">
        <f>Murid!A143</f>
        <v/>
      </c>
      <c r="B143" s="15">
        <f>IF(Murid!B143="","",Murid!B143)</f>
        <v/>
      </c>
      <c r="C143" s="16">
        <f>IF(Murid!C143="","",Murid!C143)</f>
        <v/>
      </c>
      <c r="D143" s="15">
        <f>IF(Murid!E143="","",Murid!E143)</f>
        <v/>
      </c>
      <c r="E143" s="11" t="n"/>
      <c r="F143" s="10">
        <f>IF(E143="","",IFERROR(VLOOKUP(E143,T_PERK,2,FALSE),0))</f>
        <v/>
      </c>
      <c r="G143" s="11" t="n"/>
      <c r="H143" s="10">
        <f>IF(G143="","",IFERROR(VLOOKUP(G143,T_ANUG,2,FALSE),0))</f>
        <v/>
      </c>
      <c r="I143" s="11" t="n"/>
      <c r="J143" s="11" t="n"/>
      <c r="K143" s="11" t="n"/>
      <c r="L143" s="11" t="n"/>
      <c r="M143" s="11" t="n"/>
      <c r="N143" s="11" t="n"/>
      <c r="O143" s="11" t="n"/>
      <c r="P143" s="10">
        <f>IF(COUNTA(I143:O143)=0,"",MIN(10,SUM(I143:O143)))</f>
        <v/>
      </c>
      <c r="Q143" s="11" t="n"/>
      <c r="R143" s="10">
        <f>IF(Q143="","",IFERROR(VLOOKUP(Q143,T_NILAM,2,FALSE),0))</f>
        <v/>
      </c>
      <c r="S143" s="11" t="n"/>
      <c r="T143" s="10">
        <f>IF(S143="","",IFERROR(VLOOKUP(S143,T_TIMSS,2,FALSE),0))</f>
        <v/>
      </c>
      <c r="U143" s="19">
        <f>IF(COUNT(F143,H143,P143,R143,T143)=0,"",MIN(10,MAX(F143,H143,P143,R143,T143)))</f>
        <v/>
      </c>
      <c r="V143" s="11" t="n"/>
    </row>
    <row r="144">
      <c r="A144" s="15">
        <f>Murid!A144</f>
        <v/>
      </c>
      <c r="B144" s="15">
        <f>IF(Murid!B144="","",Murid!B144)</f>
        <v/>
      </c>
      <c r="C144" s="16">
        <f>IF(Murid!C144="","",Murid!C144)</f>
        <v/>
      </c>
      <c r="D144" s="15">
        <f>IF(Murid!E144="","",Murid!E144)</f>
        <v/>
      </c>
      <c r="E144" s="11" t="n"/>
      <c r="F144" s="10">
        <f>IF(E144="","",IFERROR(VLOOKUP(E144,T_PERK,2,FALSE),0))</f>
        <v/>
      </c>
      <c r="G144" s="11" t="n"/>
      <c r="H144" s="10">
        <f>IF(G144="","",IFERROR(VLOOKUP(G144,T_ANUG,2,FALSE),0))</f>
        <v/>
      </c>
      <c r="I144" s="11" t="n"/>
      <c r="J144" s="11" t="n"/>
      <c r="K144" s="11" t="n"/>
      <c r="L144" s="11" t="n"/>
      <c r="M144" s="11" t="n"/>
      <c r="N144" s="11" t="n"/>
      <c r="O144" s="11" t="n"/>
      <c r="P144" s="10">
        <f>IF(COUNTA(I144:O144)=0,"",MIN(10,SUM(I144:O144)))</f>
        <v/>
      </c>
      <c r="Q144" s="11" t="n"/>
      <c r="R144" s="10">
        <f>IF(Q144="","",IFERROR(VLOOKUP(Q144,T_NILAM,2,FALSE),0))</f>
        <v/>
      </c>
      <c r="S144" s="11" t="n"/>
      <c r="T144" s="10">
        <f>IF(S144="","",IFERROR(VLOOKUP(S144,T_TIMSS,2,FALSE),0))</f>
        <v/>
      </c>
      <c r="U144" s="19">
        <f>IF(COUNT(F144,H144,P144,R144,T144)=0,"",MIN(10,MAX(F144,H144,P144,R144,T144)))</f>
        <v/>
      </c>
      <c r="V144" s="11" t="n"/>
    </row>
    <row r="145">
      <c r="A145" s="15">
        <f>Murid!A145</f>
        <v/>
      </c>
      <c r="B145" s="15">
        <f>IF(Murid!B145="","",Murid!B145)</f>
        <v/>
      </c>
      <c r="C145" s="16">
        <f>IF(Murid!C145="","",Murid!C145)</f>
        <v/>
      </c>
      <c r="D145" s="15">
        <f>IF(Murid!E145="","",Murid!E145)</f>
        <v/>
      </c>
      <c r="E145" s="11" t="n"/>
      <c r="F145" s="10">
        <f>IF(E145="","",IFERROR(VLOOKUP(E145,T_PERK,2,FALSE),0))</f>
        <v/>
      </c>
      <c r="G145" s="11" t="n"/>
      <c r="H145" s="10">
        <f>IF(G145="","",IFERROR(VLOOKUP(G145,T_ANUG,2,FALSE),0))</f>
        <v/>
      </c>
      <c r="I145" s="11" t="n"/>
      <c r="J145" s="11" t="n"/>
      <c r="K145" s="11" t="n"/>
      <c r="L145" s="11" t="n"/>
      <c r="M145" s="11" t="n"/>
      <c r="N145" s="11" t="n"/>
      <c r="O145" s="11" t="n"/>
      <c r="P145" s="10">
        <f>IF(COUNTA(I145:O145)=0,"",MIN(10,SUM(I145:O145)))</f>
        <v/>
      </c>
      <c r="Q145" s="11" t="n"/>
      <c r="R145" s="10">
        <f>IF(Q145="","",IFERROR(VLOOKUP(Q145,T_NILAM,2,FALSE),0))</f>
        <v/>
      </c>
      <c r="S145" s="11" t="n"/>
      <c r="T145" s="10">
        <f>IF(S145="","",IFERROR(VLOOKUP(S145,T_TIMSS,2,FALSE),0))</f>
        <v/>
      </c>
      <c r="U145" s="19">
        <f>IF(COUNT(F145,H145,P145,R145,T145)=0,"",MIN(10,MAX(F145,H145,P145,R145,T145)))</f>
        <v/>
      </c>
      <c r="V145" s="11" t="n"/>
    </row>
    <row r="146">
      <c r="A146" s="15">
        <f>Murid!A146</f>
        <v/>
      </c>
      <c r="B146" s="15">
        <f>IF(Murid!B146="","",Murid!B146)</f>
        <v/>
      </c>
      <c r="C146" s="16">
        <f>IF(Murid!C146="","",Murid!C146)</f>
        <v/>
      </c>
      <c r="D146" s="15">
        <f>IF(Murid!E146="","",Murid!E146)</f>
        <v/>
      </c>
      <c r="E146" s="11" t="n"/>
      <c r="F146" s="10">
        <f>IF(E146="","",IFERROR(VLOOKUP(E146,T_PERK,2,FALSE),0))</f>
        <v/>
      </c>
      <c r="G146" s="11" t="n"/>
      <c r="H146" s="10">
        <f>IF(G146="","",IFERROR(VLOOKUP(G146,T_ANUG,2,FALSE),0))</f>
        <v/>
      </c>
      <c r="I146" s="11" t="n"/>
      <c r="J146" s="11" t="n"/>
      <c r="K146" s="11" t="n"/>
      <c r="L146" s="11" t="n"/>
      <c r="M146" s="11" t="n"/>
      <c r="N146" s="11" t="n"/>
      <c r="O146" s="11" t="n"/>
      <c r="P146" s="10">
        <f>IF(COUNTA(I146:O146)=0,"",MIN(10,SUM(I146:O146)))</f>
        <v/>
      </c>
      <c r="Q146" s="11" t="n"/>
      <c r="R146" s="10">
        <f>IF(Q146="","",IFERROR(VLOOKUP(Q146,T_NILAM,2,FALSE),0))</f>
        <v/>
      </c>
      <c r="S146" s="11" t="n"/>
      <c r="T146" s="10">
        <f>IF(S146="","",IFERROR(VLOOKUP(S146,T_TIMSS,2,FALSE),0))</f>
        <v/>
      </c>
      <c r="U146" s="19">
        <f>IF(COUNT(F146,H146,P146,R146,T146)=0,"",MIN(10,MAX(F146,H146,P146,R146,T146)))</f>
        <v/>
      </c>
      <c r="V146" s="11" t="n"/>
    </row>
    <row r="147">
      <c r="A147" s="15">
        <f>Murid!A147</f>
        <v/>
      </c>
      <c r="B147" s="15">
        <f>IF(Murid!B147="","",Murid!B147)</f>
        <v/>
      </c>
      <c r="C147" s="16">
        <f>IF(Murid!C147="","",Murid!C147)</f>
        <v/>
      </c>
      <c r="D147" s="15">
        <f>IF(Murid!E147="","",Murid!E147)</f>
        <v/>
      </c>
      <c r="E147" s="11" t="n"/>
      <c r="F147" s="10">
        <f>IF(E147="","",IFERROR(VLOOKUP(E147,T_PERK,2,FALSE),0))</f>
        <v/>
      </c>
      <c r="G147" s="11" t="n"/>
      <c r="H147" s="10">
        <f>IF(G147="","",IFERROR(VLOOKUP(G147,T_ANUG,2,FALSE),0))</f>
        <v/>
      </c>
      <c r="I147" s="11" t="n"/>
      <c r="J147" s="11" t="n"/>
      <c r="K147" s="11" t="n"/>
      <c r="L147" s="11" t="n"/>
      <c r="M147" s="11" t="n"/>
      <c r="N147" s="11" t="n"/>
      <c r="O147" s="11" t="n"/>
      <c r="P147" s="10">
        <f>IF(COUNTA(I147:O147)=0,"",MIN(10,SUM(I147:O147)))</f>
        <v/>
      </c>
      <c r="Q147" s="11" t="n"/>
      <c r="R147" s="10">
        <f>IF(Q147="","",IFERROR(VLOOKUP(Q147,T_NILAM,2,FALSE),0))</f>
        <v/>
      </c>
      <c r="S147" s="11" t="n"/>
      <c r="T147" s="10">
        <f>IF(S147="","",IFERROR(VLOOKUP(S147,T_TIMSS,2,FALSE),0))</f>
        <v/>
      </c>
      <c r="U147" s="19">
        <f>IF(COUNT(F147,H147,P147,R147,T147)=0,"",MIN(10,MAX(F147,H147,P147,R147,T147)))</f>
        <v/>
      </c>
      <c r="V147" s="11" t="n"/>
    </row>
    <row r="148">
      <c r="A148" s="15">
        <f>Murid!A148</f>
        <v/>
      </c>
      <c r="B148" s="15">
        <f>IF(Murid!B148="","",Murid!B148)</f>
        <v/>
      </c>
      <c r="C148" s="16">
        <f>IF(Murid!C148="","",Murid!C148)</f>
        <v/>
      </c>
      <c r="D148" s="15">
        <f>IF(Murid!E148="","",Murid!E148)</f>
        <v/>
      </c>
      <c r="E148" s="11" t="n"/>
      <c r="F148" s="10">
        <f>IF(E148="","",IFERROR(VLOOKUP(E148,T_PERK,2,FALSE),0))</f>
        <v/>
      </c>
      <c r="G148" s="11" t="n"/>
      <c r="H148" s="10">
        <f>IF(G148="","",IFERROR(VLOOKUP(G148,T_ANUG,2,FALSE),0))</f>
        <v/>
      </c>
      <c r="I148" s="11" t="n"/>
      <c r="J148" s="11" t="n"/>
      <c r="K148" s="11" t="n"/>
      <c r="L148" s="11" t="n"/>
      <c r="M148" s="11" t="n"/>
      <c r="N148" s="11" t="n"/>
      <c r="O148" s="11" t="n"/>
      <c r="P148" s="10">
        <f>IF(COUNTA(I148:O148)=0,"",MIN(10,SUM(I148:O148)))</f>
        <v/>
      </c>
      <c r="Q148" s="11" t="n"/>
      <c r="R148" s="10">
        <f>IF(Q148="","",IFERROR(VLOOKUP(Q148,T_NILAM,2,FALSE),0))</f>
        <v/>
      </c>
      <c r="S148" s="11" t="n"/>
      <c r="T148" s="10">
        <f>IF(S148="","",IFERROR(VLOOKUP(S148,T_TIMSS,2,FALSE),0))</f>
        <v/>
      </c>
      <c r="U148" s="19">
        <f>IF(COUNT(F148,H148,P148,R148,T148)=0,"",MIN(10,MAX(F148,H148,P148,R148,T148)))</f>
        <v/>
      </c>
      <c r="V148" s="11" t="n"/>
    </row>
    <row r="149">
      <c r="A149" s="15">
        <f>Murid!A149</f>
        <v/>
      </c>
      <c r="B149" s="15">
        <f>IF(Murid!B149="","",Murid!B149)</f>
        <v/>
      </c>
      <c r="C149" s="16">
        <f>IF(Murid!C149="","",Murid!C149)</f>
        <v/>
      </c>
      <c r="D149" s="15">
        <f>IF(Murid!E149="","",Murid!E149)</f>
        <v/>
      </c>
      <c r="E149" s="11" t="n"/>
      <c r="F149" s="10">
        <f>IF(E149="","",IFERROR(VLOOKUP(E149,T_PERK,2,FALSE),0))</f>
        <v/>
      </c>
      <c r="G149" s="11" t="n"/>
      <c r="H149" s="10">
        <f>IF(G149="","",IFERROR(VLOOKUP(G149,T_ANUG,2,FALSE),0))</f>
        <v/>
      </c>
      <c r="I149" s="11" t="n"/>
      <c r="J149" s="11" t="n"/>
      <c r="K149" s="11" t="n"/>
      <c r="L149" s="11" t="n"/>
      <c r="M149" s="11" t="n"/>
      <c r="N149" s="11" t="n"/>
      <c r="O149" s="11" t="n"/>
      <c r="P149" s="10">
        <f>IF(COUNTA(I149:O149)=0,"",MIN(10,SUM(I149:O149)))</f>
        <v/>
      </c>
      <c r="Q149" s="11" t="n"/>
      <c r="R149" s="10">
        <f>IF(Q149="","",IFERROR(VLOOKUP(Q149,T_NILAM,2,FALSE),0))</f>
        <v/>
      </c>
      <c r="S149" s="11" t="n"/>
      <c r="T149" s="10">
        <f>IF(S149="","",IFERROR(VLOOKUP(S149,T_TIMSS,2,FALSE),0))</f>
        <v/>
      </c>
      <c r="U149" s="19">
        <f>IF(COUNT(F149,H149,P149,R149,T149)=0,"",MIN(10,MAX(F149,H149,P149,R149,T149)))</f>
        <v/>
      </c>
      <c r="V149" s="11" t="n"/>
    </row>
    <row r="150">
      <c r="A150" s="15">
        <f>Murid!A150</f>
        <v/>
      </c>
      <c r="B150" s="15">
        <f>IF(Murid!B150="","",Murid!B150)</f>
        <v/>
      </c>
      <c r="C150" s="16">
        <f>IF(Murid!C150="","",Murid!C150)</f>
        <v/>
      </c>
      <c r="D150" s="15">
        <f>IF(Murid!E150="","",Murid!E150)</f>
        <v/>
      </c>
      <c r="E150" s="11" t="n"/>
      <c r="F150" s="10">
        <f>IF(E150="","",IFERROR(VLOOKUP(E150,T_PERK,2,FALSE),0))</f>
        <v/>
      </c>
      <c r="G150" s="11" t="n"/>
      <c r="H150" s="10">
        <f>IF(G150="","",IFERROR(VLOOKUP(G150,T_ANUG,2,FALSE),0))</f>
        <v/>
      </c>
      <c r="I150" s="11" t="n"/>
      <c r="J150" s="11" t="n"/>
      <c r="K150" s="11" t="n"/>
      <c r="L150" s="11" t="n"/>
      <c r="M150" s="11" t="n"/>
      <c r="N150" s="11" t="n"/>
      <c r="O150" s="11" t="n"/>
      <c r="P150" s="10">
        <f>IF(COUNTA(I150:O150)=0,"",MIN(10,SUM(I150:O150)))</f>
        <v/>
      </c>
      <c r="Q150" s="11" t="n"/>
      <c r="R150" s="10">
        <f>IF(Q150="","",IFERROR(VLOOKUP(Q150,T_NILAM,2,FALSE),0))</f>
        <v/>
      </c>
      <c r="S150" s="11" t="n"/>
      <c r="T150" s="10">
        <f>IF(S150="","",IFERROR(VLOOKUP(S150,T_TIMSS,2,FALSE),0))</f>
        <v/>
      </c>
      <c r="U150" s="19">
        <f>IF(COUNT(F150,H150,P150,R150,T150)=0,"",MIN(10,MAX(F150,H150,P150,R150,T150)))</f>
        <v/>
      </c>
      <c r="V150" s="11" t="n"/>
    </row>
    <row r="151">
      <c r="A151" s="15">
        <f>Murid!A151</f>
        <v/>
      </c>
      <c r="B151" s="15">
        <f>IF(Murid!B151="","",Murid!B151)</f>
        <v/>
      </c>
      <c r="C151" s="16">
        <f>IF(Murid!C151="","",Murid!C151)</f>
        <v/>
      </c>
      <c r="D151" s="15">
        <f>IF(Murid!E151="","",Murid!E151)</f>
        <v/>
      </c>
      <c r="E151" s="11" t="n"/>
      <c r="F151" s="10">
        <f>IF(E151="","",IFERROR(VLOOKUP(E151,T_PERK,2,FALSE),0))</f>
        <v/>
      </c>
      <c r="G151" s="11" t="n"/>
      <c r="H151" s="10">
        <f>IF(G151="","",IFERROR(VLOOKUP(G151,T_ANUG,2,FALSE),0))</f>
        <v/>
      </c>
      <c r="I151" s="11" t="n"/>
      <c r="J151" s="11" t="n"/>
      <c r="K151" s="11" t="n"/>
      <c r="L151" s="11" t="n"/>
      <c r="M151" s="11" t="n"/>
      <c r="N151" s="11" t="n"/>
      <c r="O151" s="11" t="n"/>
      <c r="P151" s="10">
        <f>IF(COUNTA(I151:O151)=0,"",MIN(10,SUM(I151:O151)))</f>
        <v/>
      </c>
      <c r="Q151" s="11" t="n"/>
      <c r="R151" s="10">
        <f>IF(Q151="","",IFERROR(VLOOKUP(Q151,T_NILAM,2,FALSE),0))</f>
        <v/>
      </c>
      <c r="S151" s="11" t="n"/>
      <c r="T151" s="10">
        <f>IF(S151="","",IFERROR(VLOOKUP(S151,T_TIMSS,2,FALSE),0))</f>
        <v/>
      </c>
      <c r="U151" s="19">
        <f>IF(COUNT(F151,H151,P151,R151,T151)=0,"",MIN(10,MAX(F151,H151,P151,R151,T151)))</f>
        <v/>
      </c>
      <c r="V151" s="11" t="n"/>
    </row>
    <row r="152">
      <c r="A152" s="15">
        <f>Murid!A152</f>
        <v/>
      </c>
      <c r="B152" s="15">
        <f>IF(Murid!B152="","",Murid!B152)</f>
        <v/>
      </c>
      <c r="C152" s="16">
        <f>IF(Murid!C152="","",Murid!C152)</f>
        <v/>
      </c>
      <c r="D152" s="15">
        <f>IF(Murid!E152="","",Murid!E152)</f>
        <v/>
      </c>
      <c r="E152" s="11" t="n"/>
      <c r="F152" s="10">
        <f>IF(E152="","",IFERROR(VLOOKUP(E152,T_PERK,2,FALSE),0))</f>
        <v/>
      </c>
      <c r="G152" s="11" t="n"/>
      <c r="H152" s="10">
        <f>IF(G152="","",IFERROR(VLOOKUP(G152,T_ANUG,2,FALSE),0))</f>
        <v/>
      </c>
      <c r="I152" s="11" t="n"/>
      <c r="J152" s="11" t="n"/>
      <c r="K152" s="11" t="n"/>
      <c r="L152" s="11" t="n"/>
      <c r="M152" s="11" t="n"/>
      <c r="N152" s="11" t="n"/>
      <c r="O152" s="11" t="n"/>
      <c r="P152" s="10">
        <f>IF(COUNTA(I152:O152)=0,"",MIN(10,SUM(I152:O152)))</f>
        <v/>
      </c>
      <c r="Q152" s="11" t="n"/>
      <c r="R152" s="10">
        <f>IF(Q152="","",IFERROR(VLOOKUP(Q152,T_NILAM,2,FALSE),0))</f>
        <v/>
      </c>
      <c r="S152" s="11" t="n"/>
      <c r="T152" s="10">
        <f>IF(S152="","",IFERROR(VLOOKUP(S152,T_TIMSS,2,FALSE),0))</f>
        <v/>
      </c>
      <c r="U152" s="19">
        <f>IF(COUNT(F152,H152,P152,R152,T152)=0,"",MIN(10,MAX(F152,H152,P152,R152,T152)))</f>
        <v/>
      </c>
      <c r="V152" s="11" t="n"/>
    </row>
    <row r="153">
      <c r="A153" s="15">
        <f>Murid!A153</f>
        <v/>
      </c>
      <c r="B153" s="15">
        <f>IF(Murid!B153="","",Murid!B153)</f>
        <v/>
      </c>
      <c r="C153" s="16">
        <f>IF(Murid!C153="","",Murid!C153)</f>
        <v/>
      </c>
      <c r="D153" s="15">
        <f>IF(Murid!E153="","",Murid!E153)</f>
        <v/>
      </c>
      <c r="E153" s="11" t="n"/>
      <c r="F153" s="10">
        <f>IF(E153="","",IFERROR(VLOOKUP(E153,T_PERK,2,FALSE),0))</f>
        <v/>
      </c>
      <c r="G153" s="11" t="n"/>
      <c r="H153" s="10">
        <f>IF(G153="","",IFERROR(VLOOKUP(G153,T_ANUG,2,FALSE),0))</f>
        <v/>
      </c>
      <c r="I153" s="11" t="n"/>
      <c r="J153" s="11" t="n"/>
      <c r="K153" s="11" t="n"/>
      <c r="L153" s="11" t="n"/>
      <c r="M153" s="11" t="n"/>
      <c r="N153" s="11" t="n"/>
      <c r="O153" s="11" t="n"/>
      <c r="P153" s="10">
        <f>IF(COUNTA(I153:O153)=0,"",MIN(10,SUM(I153:O153)))</f>
        <v/>
      </c>
      <c r="Q153" s="11" t="n"/>
      <c r="R153" s="10">
        <f>IF(Q153="","",IFERROR(VLOOKUP(Q153,T_NILAM,2,FALSE),0))</f>
        <v/>
      </c>
      <c r="S153" s="11" t="n"/>
      <c r="T153" s="10">
        <f>IF(S153="","",IFERROR(VLOOKUP(S153,T_TIMSS,2,FALSE),0))</f>
        <v/>
      </c>
      <c r="U153" s="19">
        <f>IF(COUNT(F153,H153,P153,R153,T153)=0,"",MIN(10,MAX(F153,H153,P153,R153,T153)))</f>
        <v/>
      </c>
      <c r="V153" s="11" t="n"/>
    </row>
    <row r="154">
      <c r="A154" s="15">
        <f>Murid!A154</f>
        <v/>
      </c>
      <c r="B154" s="15">
        <f>IF(Murid!B154="","",Murid!B154)</f>
        <v/>
      </c>
      <c r="C154" s="16">
        <f>IF(Murid!C154="","",Murid!C154)</f>
        <v/>
      </c>
      <c r="D154" s="15">
        <f>IF(Murid!E154="","",Murid!E154)</f>
        <v/>
      </c>
      <c r="E154" s="11" t="n"/>
      <c r="F154" s="10">
        <f>IF(E154="","",IFERROR(VLOOKUP(E154,T_PERK,2,FALSE),0))</f>
        <v/>
      </c>
      <c r="G154" s="11" t="n"/>
      <c r="H154" s="10">
        <f>IF(G154="","",IFERROR(VLOOKUP(G154,T_ANUG,2,FALSE),0))</f>
        <v/>
      </c>
      <c r="I154" s="11" t="n"/>
      <c r="J154" s="11" t="n"/>
      <c r="K154" s="11" t="n"/>
      <c r="L154" s="11" t="n"/>
      <c r="M154" s="11" t="n"/>
      <c r="N154" s="11" t="n"/>
      <c r="O154" s="11" t="n"/>
      <c r="P154" s="10">
        <f>IF(COUNTA(I154:O154)=0,"",MIN(10,SUM(I154:O154)))</f>
        <v/>
      </c>
      <c r="Q154" s="11" t="n"/>
      <c r="R154" s="10">
        <f>IF(Q154="","",IFERROR(VLOOKUP(Q154,T_NILAM,2,FALSE),0))</f>
        <v/>
      </c>
      <c r="S154" s="11" t="n"/>
      <c r="T154" s="10">
        <f>IF(S154="","",IFERROR(VLOOKUP(S154,T_TIMSS,2,FALSE),0))</f>
        <v/>
      </c>
      <c r="U154" s="19">
        <f>IF(COUNT(F154,H154,P154,R154,T154)=0,"",MIN(10,MAX(F154,H154,P154,R154,T154)))</f>
        <v/>
      </c>
      <c r="V154" s="11" t="n"/>
    </row>
    <row r="155">
      <c r="A155" s="15">
        <f>Murid!A155</f>
        <v/>
      </c>
      <c r="B155" s="15">
        <f>IF(Murid!B155="","",Murid!B155)</f>
        <v/>
      </c>
      <c r="C155" s="16">
        <f>IF(Murid!C155="","",Murid!C155)</f>
        <v/>
      </c>
      <c r="D155" s="15">
        <f>IF(Murid!E155="","",Murid!E155)</f>
        <v/>
      </c>
      <c r="E155" s="11" t="n"/>
      <c r="F155" s="10">
        <f>IF(E155="","",IFERROR(VLOOKUP(E155,T_PERK,2,FALSE),0))</f>
        <v/>
      </c>
      <c r="G155" s="11" t="n"/>
      <c r="H155" s="10">
        <f>IF(G155="","",IFERROR(VLOOKUP(G155,T_ANUG,2,FALSE),0))</f>
        <v/>
      </c>
      <c r="I155" s="11" t="n"/>
      <c r="J155" s="11" t="n"/>
      <c r="K155" s="11" t="n"/>
      <c r="L155" s="11" t="n"/>
      <c r="M155" s="11" t="n"/>
      <c r="N155" s="11" t="n"/>
      <c r="O155" s="11" t="n"/>
      <c r="P155" s="10">
        <f>IF(COUNTA(I155:O155)=0,"",MIN(10,SUM(I155:O155)))</f>
        <v/>
      </c>
      <c r="Q155" s="11" t="n"/>
      <c r="R155" s="10">
        <f>IF(Q155="","",IFERROR(VLOOKUP(Q155,T_NILAM,2,FALSE),0))</f>
        <v/>
      </c>
      <c r="S155" s="11" t="n"/>
      <c r="T155" s="10">
        <f>IF(S155="","",IFERROR(VLOOKUP(S155,T_TIMSS,2,FALSE),0))</f>
        <v/>
      </c>
      <c r="U155" s="19">
        <f>IF(COUNT(F155,H155,P155,R155,T155)=0,"",MIN(10,MAX(F155,H155,P155,R155,T155)))</f>
        <v/>
      </c>
      <c r="V155" s="11" t="n"/>
    </row>
    <row r="156">
      <c r="A156" s="15">
        <f>Murid!A156</f>
        <v/>
      </c>
      <c r="B156" s="15">
        <f>IF(Murid!B156="","",Murid!B156)</f>
        <v/>
      </c>
      <c r="C156" s="16">
        <f>IF(Murid!C156="","",Murid!C156)</f>
        <v/>
      </c>
      <c r="D156" s="15">
        <f>IF(Murid!E156="","",Murid!E156)</f>
        <v/>
      </c>
      <c r="E156" s="11" t="n"/>
      <c r="F156" s="10">
        <f>IF(E156="","",IFERROR(VLOOKUP(E156,T_PERK,2,FALSE),0))</f>
        <v/>
      </c>
      <c r="G156" s="11" t="n"/>
      <c r="H156" s="10">
        <f>IF(G156="","",IFERROR(VLOOKUP(G156,T_ANUG,2,FALSE),0))</f>
        <v/>
      </c>
      <c r="I156" s="11" t="n"/>
      <c r="J156" s="11" t="n"/>
      <c r="K156" s="11" t="n"/>
      <c r="L156" s="11" t="n"/>
      <c r="M156" s="11" t="n"/>
      <c r="N156" s="11" t="n"/>
      <c r="O156" s="11" t="n"/>
      <c r="P156" s="10">
        <f>IF(COUNTA(I156:O156)=0,"",MIN(10,SUM(I156:O156)))</f>
        <v/>
      </c>
      <c r="Q156" s="11" t="n"/>
      <c r="R156" s="10">
        <f>IF(Q156="","",IFERROR(VLOOKUP(Q156,T_NILAM,2,FALSE),0))</f>
        <v/>
      </c>
      <c r="S156" s="11" t="n"/>
      <c r="T156" s="10">
        <f>IF(S156="","",IFERROR(VLOOKUP(S156,T_TIMSS,2,FALSE),0))</f>
        <v/>
      </c>
      <c r="U156" s="19">
        <f>IF(COUNT(F156,H156,P156,R156,T156)=0,"",MIN(10,MAX(F156,H156,P156,R156,T156)))</f>
        <v/>
      </c>
      <c r="V156" s="11" t="n"/>
    </row>
    <row r="157">
      <c r="A157" s="15">
        <f>Murid!A157</f>
        <v/>
      </c>
      <c r="B157" s="15">
        <f>IF(Murid!B157="","",Murid!B157)</f>
        <v/>
      </c>
      <c r="C157" s="16">
        <f>IF(Murid!C157="","",Murid!C157)</f>
        <v/>
      </c>
      <c r="D157" s="15">
        <f>IF(Murid!E157="","",Murid!E157)</f>
        <v/>
      </c>
      <c r="E157" s="11" t="n"/>
      <c r="F157" s="10">
        <f>IF(E157="","",IFERROR(VLOOKUP(E157,T_PERK,2,FALSE),0))</f>
        <v/>
      </c>
      <c r="G157" s="11" t="n"/>
      <c r="H157" s="10">
        <f>IF(G157="","",IFERROR(VLOOKUP(G157,T_ANUG,2,FALSE),0))</f>
        <v/>
      </c>
      <c r="I157" s="11" t="n"/>
      <c r="J157" s="11" t="n"/>
      <c r="K157" s="11" t="n"/>
      <c r="L157" s="11" t="n"/>
      <c r="M157" s="11" t="n"/>
      <c r="N157" s="11" t="n"/>
      <c r="O157" s="11" t="n"/>
      <c r="P157" s="10">
        <f>IF(COUNTA(I157:O157)=0,"",MIN(10,SUM(I157:O157)))</f>
        <v/>
      </c>
      <c r="Q157" s="11" t="n"/>
      <c r="R157" s="10">
        <f>IF(Q157="","",IFERROR(VLOOKUP(Q157,T_NILAM,2,FALSE),0))</f>
        <v/>
      </c>
      <c r="S157" s="11" t="n"/>
      <c r="T157" s="10">
        <f>IF(S157="","",IFERROR(VLOOKUP(S157,T_TIMSS,2,FALSE),0))</f>
        <v/>
      </c>
      <c r="U157" s="19">
        <f>IF(COUNT(F157,H157,P157,R157,T157)=0,"",MIN(10,MAX(F157,H157,P157,R157,T157)))</f>
        <v/>
      </c>
      <c r="V157" s="11" t="n"/>
    </row>
    <row r="158">
      <c r="A158" s="15">
        <f>Murid!A158</f>
        <v/>
      </c>
      <c r="B158" s="15">
        <f>IF(Murid!B158="","",Murid!B158)</f>
        <v/>
      </c>
      <c r="C158" s="16">
        <f>IF(Murid!C158="","",Murid!C158)</f>
        <v/>
      </c>
      <c r="D158" s="15">
        <f>IF(Murid!E158="","",Murid!E158)</f>
        <v/>
      </c>
      <c r="E158" s="11" t="n"/>
      <c r="F158" s="10">
        <f>IF(E158="","",IFERROR(VLOOKUP(E158,T_PERK,2,FALSE),0))</f>
        <v/>
      </c>
      <c r="G158" s="11" t="n"/>
      <c r="H158" s="10">
        <f>IF(G158="","",IFERROR(VLOOKUP(G158,T_ANUG,2,FALSE),0))</f>
        <v/>
      </c>
      <c r="I158" s="11" t="n"/>
      <c r="J158" s="11" t="n"/>
      <c r="K158" s="11" t="n"/>
      <c r="L158" s="11" t="n"/>
      <c r="M158" s="11" t="n"/>
      <c r="N158" s="11" t="n"/>
      <c r="O158" s="11" t="n"/>
      <c r="P158" s="10">
        <f>IF(COUNTA(I158:O158)=0,"",MIN(10,SUM(I158:O158)))</f>
        <v/>
      </c>
      <c r="Q158" s="11" t="n"/>
      <c r="R158" s="10">
        <f>IF(Q158="","",IFERROR(VLOOKUP(Q158,T_NILAM,2,FALSE),0))</f>
        <v/>
      </c>
      <c r="S158" s="11" t="n"/>
      <c r="T158" s="10">
        <f>IF(S158="","",IFERROR(VLOOKUP(S158,T_TIMSS,2,FALSE),0))</f>
        <v/>
      </c>
      <c r="U158" s="19">
        <f>IF(COUNT(F158,H158,P158,R158,T158)=0,"",MIN(10,MAX(F158,H158,P158,R158,T158)))</f>
        <v/>
      </c>
      <c r="V158" s="11" t="n"/>
    </row>
    <row r="159">
      <c r="A159" s="15">
        <f>Murid!A159</f>
        <v/>
      </c>
      <c r="B159" s="15">
        <f>IF(Murid!B159="","",Murid!B159)</f>
        <v/>
      </c>
      <c r="C159" s="16">
        <f>IF(Murid!C159="","",Murid!C159)</f>
        <v/>
      </c>
      <c r="D159" s="15">
        <f>IF(Murid!E159="","",Murid!E159)</f>
        <v/>
      </c>
      <c r="E159" s="11" t="n"/>
      <c r="F159" s="10">
        <f>IF(E159="","",IFERROR(VLOOKUP(E159,T_PERK,2,FALSE),0))</f>
        <v/>
      </c>
      <c r="G159" s="11" t="n"/>
      <c r="H159" s="10">
        <f>IF(G159="","",IFERROR(VLOOKUP(G159,T_ANUG,2,FALSE),0))</f>
        <v/>
      </c>
      <c r="I159" s="11" t="n"/>
      <c r="J159" s="11" t="n"/>
      <c r="K159" s="11" t="n"/>
      <c r="L159" s="11" t="n"/>
      <c r="M159" s="11" t="n"/>
      <c r="N159" s="11" t="n"/>
      <c r="O159" s="11" t="n"/>
      <c r="P159" s="10">
        <f>IF(COUNTA(I159:O159)=0,"",MIN(10,SUM(I159:O159)))</f>
        <v/>
      </c>
      <c r="Q159" s="11" t="n"/>
      <c r="R159" s="10">
        <f>IF(Q159="","",IFERROR(VLOOKUP(Q159,T_NILAM,2,FALSE),0))</f>
        <v/>
      </c>
      <c r="S159" s="11" t="n"/>
      <c r="T159" s="10">
        <f>IF(S159="","",IFERROR(VLOOKUP(S159,T_TIMSS,2,FALSE),0))</f>
        <v/>
      </c>
      <c r="U159" s="19">
        <f>IF(COUNT(F159,H159,P159,R159,T159)=0,"",MIN(10,MAX(F159,H159,P159,R159,T159)))</f>
        <v/>
      </c>
      <c r="V159" s="11" t="n"/>
    </row>
    <row r="160">
      <c r="A160" s="15">
        <f>Murid!A160</f>
        <v/>
      </c>
      <c r="B160" s="15">
        <f>IF(Murid!B160="","",Murid!B160)</f>
        <v/>
      </c>
      <c r="C160" s="16">
        <f>IF(Murid!C160="","",Murid!C160)</f>
        <v/>
      </c>
      <c r="D160" s="15">
        <f>IF(Murid!E160="","",Murid!E160)</f>
        <v/>
      </c>
      <c r="E160" s="11" t="n"/>
      <c r="F160" s="10">
        <f>IF(E160="","",IFERROR(VLOOKUP(E160,T_PERK,2,FALSE),0))</f>
        <v/>
      </c>
      <c r="G160" s="11" t="n"/>
      <c r="H160" s="10">
        <f>IF(G160="","",IFERROR(VLOOKUP(G160,T_ANUG,2,FALSE),0))</f>
        <v/>
      </c>
      <c r="I160" s="11" t="n"/>
      <c r="J160" s="11" t="n"/>
      <c r="K160" s="11" t="n"/>
      <c r="L160" s="11" t="n"/>
      <c r="M160" s="11" t="n"/>
      <c r="N160" s="11" t="n"/>
      <c r="O160" s="11" t="n"/>
      <c r="P160" s="10">
        <f>IF(COUNTA(I160:O160)=0,"",MIN(10,SUM(I160:O160)))</f>
        <v/>
      </c>
      <c r="Q160" s="11" t="n"/>
      <c r="R160" s="10">
        <f>IF(Q160="","",IFERROR(VLOOKUP(Q160,T_NILAM,2,FALSE),0))</f>
        <v/>
      </c>
      <c r="S160" s="11" t="n"/>
      <c r="T160" s="10">
        <f>IF(S160="","",IFERROR(VLOOKUP(S160,T_TIMSS,2,FALSE),0))</f>
        <v/>
      </c>
      <c r="U160" s="19">
        <f>IF(COUNT(F160,H160,P160,R160,T160)=0,"",MIN(10,MAX(F160,H160,P160,R160,T160)))</f>
        <v/>
      </c>
      <c r="V160" s="11" t="n"/>
    </row>
    <row r="161">
      <c r="A161" s="15">
        <f>Murid!A161</f>
        <v/>
      </c>
      <c r="B161" s="15">
        <f>IF(Murid!B161="","",Murid!B161)</f>
        <v/>
      </c>
      <c r="C161" s="16">
        <f>IF(Murid!C161="","",Murid!C161)</f>
        <v/>
      </c>
      <c r="D161" s="15">
        <f>IF(Murid!E161="","",Murid!E161)</f>
        <v/>
      </c>
      <c r="E161" s="11" t="n"/>
      <c r="F161" s="10">
        <f>IF(E161="","",IFERROR(VLOOKUP(E161,T_PERK,2,FALSE),0))</f>
        <v/>
      </c>
      <c r="G161" s="11" t="n"/>
      <c r="H161" s="10">
        <f>IF(G161="","",IFERROR(VLOOKUP(G161,T_ANUG,2,FALSE),0))</f>
        <v/>
      </c>
      <c r="I161" s="11" t="n"/>
      <c r="J161" s="11" t="n"/>
      <c r="K161" s="11" t="n"/>
      <c r="L161" s="11" t="n"/>
      <c r="M161" s="11" t="n"/>
      <c r="N161" s="11" t="n"/>
      <c r="O161" s="11" t="n"/>
      <c r="P161" s="10">
        <f>IF(COUNTA(I161:O161)=0,"",MIN(10,SUM(I161:O161)))</f>
        <v/>
      </c>
      <c r="Q161" s="11" t="n"/>
      <c r="R161" s="10">
        <f>IF(Q161="","",IFERROR(VLOOKUP(Q161,T_NILAM,2,FALSE),0))</f>
        <v/>
      </c>
      <c r="S161" s="11" t="n"/>
      <c r="T161" s="10">
        <f>IF(S161="","",IFERROR(VLOOKUP(S161,T_TIMSS,2,FALSE),0))</f>
        <v/>
      </c>
      <c r="U161" s="19">
        <f>IF(COUNT(F161,H161,P161,R161,T161)=0,"",MIN(10,MAX(F161,H161,P161,R161,T161)))</f>
        <v/>
      </c>
      <c r="V161" s="11" t="n"/>
    </row>
    <row r="162">
      <c r="A162" s="15">
        <f>Murid!A162</f>
        <v/>
      </c>
      <c r="B162" s="15">
        <f>IF(Murid!B162="","",Murid!B162)</f>
        <v/>
      </c>
      <c r="C162" s="16">
        <f>IF(Murid!C162="","",Murid!C162)</f>
        <v/>
      </c>
      <c r="D162" s="15">
        <f>IF(Murid!E162="","",Murid!E162)</f>
        <v/>
      </c>
      <c r="E162" s="11" t="n"/>
      <c r="F162" s="10">
        <f>IF(E162="","",IFERROR(VLOOKUP(E162,T_PERK,2,FALSE),0))</f>
        <v/>
      </c>
      <c r="G162" s="11" t="n"/>
      <c r="H162" s="10">
        <f>IF(G162="","",IFERROR(VLOOKUP(G162,T_ANUG,2,FALSE),0))</f>
        <v/>
      </c>
      <c r="I162" s="11" t="n"/>
      <c r="J162" s="11" t="n"/>
      <c r="K162" s="11" t="n"/>
      <c r="L162" s="11" t="n"/>
      <c r="M162" s="11" t="n"/>
      <c r="N162" s="11" t="n"/>
      <c r="O162" s="11" t="n"/>
      <c r="P162" s="10">
        <f>IF(COUNTA(I162:O162)=0,"",MIN(10,SUM(I162:O162)))</f>
        <v/>
      </c>
      <c r="Q162" s="11" t="n"/>
      <c r="R162" s="10">
        <f>IF(Q162="","",IFERROR(VLOOKUP(Q162,T_NILAM,2,FALSE),0))</f>
        <v/>
      </c>
      <c r="S162" s="11" t="n"/>
      <c r="T162" s="10">
        <f>IF(S162="","",IFERROR(VLOOKUP(S162,T_TIMSS,2,FALSE),0))</f>
        <v/>
      </c>
      <c r="U162" s="19">
        <f>IF(COUNT(F162,H162,P162,R162,T162)=0,"",MIN(10,MAX(F162,H162,P162,R162,T162)))</f>
        <v/>
      </c>
      <c r="V162" s="11" t="n"/>
    </row>
    <row r="163">
      <c r="A163" s="15">
        <f>Murid!A163</f>
        <v/>
      </c>
      <c r="B163" s="15">
        <f>IF(Murid!B163="","",Murid!B163)</f>
        <v/>
      </c>
      <c r="C163" s="16">
        <f>IF(Murid!C163="","",Murid!C163)</f>
        <v/>
      </c>
      <c r="D163" s="15">
        <f>IF(Murid!E163="","",Murid!E163)</f>
        <v/>
      </c>
      <c r="E163" s="11" t="n"/>
      <c r="F163" s="10">
        <f>IF(E163="","",IFERROR(VLOOKUP(E163,T_PERK,2,FALSE),0))</f>
        <v/>
      </c>
      <c r="G163" s="11" t="n"/>
      <c r="H163" s="10">
        <f>IF(G163="","",IFERROR(VLOOKUP(G163,T_ANUG,2,FALSE),0))</f>
        <v/>
      </c>
      <c r="I163" s="11" t="n"/>
      <c r="J163" s="11" t="n"/>
      <c r="K163" s="11" t="n"/>
      <c r="L163" s="11" t="n"/>
      <c r="M163" s="11" t="n"/>
      <c r="N163" s="11" t="n"/>
      <c r="O163" s="11" t="n"/>
      <c r="P163" s="10">
        <f>IF(COUNTA(I163:O163)=0,"",MIN(10,SUM(I163:O163)))</f>
        <v/>
      </c>
      <c r="Q163" s="11" t="n"/>
      <c r="R163" s="10">
        <f>IF(Q163="","",IFERROR(VLOOKUP(Q163,T_NILAM,2,FALSE),0))</f>
        <v/>
      </c>
      <c r="S163" s="11" t="n"/>
      <c r="T163" s="10">
        <f>IF(S163="","",IFERROR(VLOOKUP(S163,T_TIMSS,2,FALSE),0))</f>
        <v/>
      </c>
      <c r="U163" s="19">
        <f>IF(COUNT(F163,H163,P163,R163,T163)=0,"",MIN(10,MAX(F163,H163,P163,R163,T163)))</f>
        <v/>
      </c>
      <c r="V163" s="11" t="n"/>
    </row>
    <row r="164">
      <c r="A164" s="15">
        <f>Murid!A164</f>
        <v/>
      </c>
      <c r="B164" s="15">
        <f>IF(Murid!B164="","",Murid!B164)</f>
        <v/>
      </c>
      <c r="C164" s="16">
        <f>IF(Murid!C164="","",Murid!C164)</f>
        <v/>
      </c>
      <c r="D164" s="15">
        <f>IF(Murid!E164="","",Murid!E164)</f>
        <v/>
      </c>
      <c r="E164" s="11" t="n"/>
      <c r="F164" s="10">
        <f>IF(E164="","",IFERROR(VLOOKUP(E164,T_PERK,2,FALSE),0))</f>
        <v/>
      </c>
      <c r="G164" s="11" t="n"/>
      <c r="H164" s="10">
        <f>IF(G164="","",IFERROR(VLOOKUP(G164,T_ANUG,2,FALSE),0))</f>
        <v/>
      </c>
      <c r="I164" s="11" t="n"/>
      <c r="J164" s="11" t="n"/>
      <c r="K164" s="11" t="n"/>
      <c r="L164" s="11" t="n"/>
      <c r="M164" s="11" t="n"/>
      <c r="N164" s="11" t="n"/>
      <c r="O164" s="11" t="n"/>
      <c r="P164" s="10">
        <f>IF(COUNTA(I164:O164)=0,"",MIN(10,SUM(I164:O164)))</f>
        <v/>
      </c>
      <c r="Q164" s="11" t="n"/>
      <c r="R164" s="10">
        <f>IF(Q164="","",IFERROR(VLOOKUP(Q164,T_NILAM,2,FALSE),0))</f>
        <v/>
      </c>
      <c r="S164" s="11" t="n"/>
      <c r="T164" s="10">
        <f>IF(S164="","",IFERROR(VLOOKUP(S164,T_TIMSS,2,FALSE),0))</f>
        <v/>
      </c>
      <c r="U164" s="19">
        <f>IF(COUNT(F164,H164,P164,R164,T164)=0,"",MIN(10,MAX(F164,H164,P164,R164,T164)))</f>
        <v/>
      </c>
      <c r="V164" s="11" t="n"/>
    </row>
    <row r="165">
      <c r="A165" s="15">
        <f>Murid!A165</f>
        <v/>
      </c>
      <c r="B165" s="15">
        <f>IF(Murid!B165="","",Murid!B165)</f>
        <v/>
      </c>
      <c r="C165" s="16">
        <f>IF(Murid!C165="","",Murid!C165)</f>
        <v/>
      </c>
      <c r="D165" s="15">
        <f>IF(Murid!E165="","",Murid!E165)</f>
        <v/>
      </c>
      <c r="E165" s="11" t="n"/>
      <c r="F165" s="10">
        <f>IF(E165="","",IFERROR(VLOOKUP(E165,T_PERK,2,FALSE),0))</f>
        <v/>
      </c>
      <c r="G165" s="11" t="n"/>
      <c r="H165" s="10">
        <f>IF(G165="","",IFERROR(VLOOKUP(G165,T_ANUG,2,FALSE),0))</f>
        <v/>
      </c>
      <c r="I165" s="11" t="n"/>
      <c r="J165" s="11" t="n"/>
      <c r="K165" s="11" t="n"/>
      <c r="L165" s="11" t="n"/>
      <c r="M165" s="11" t="n"/>
      <c r="N165" s="11" t="n"/>
      <c r="O165" s="11" t="n"/>
      <c r="P165" s="10">
        <f>IF(COUNTA(I165:O165)=0,"",MIN(10,SUM(I165:O165)))</f>
        <v/>
      </c>
      <c r="Q165" s="11" t="n"/>
      <c r="R165" s="10">
        <f>IF(Q165="","",IFERROR(VLOOKUP(Q165,T_NILAM,2,FALSE),0))</f>
        <v/>
      </c>
      <c r="S165" s="11" t="n"/>
      <c r="T165" s="10">
        <f>IF(S165="","",IFERROR(VLOOKUP(S165,T_TIMSS,2,FALSE),0))</f>
        <v/>
      </c>
      <c r="U165" s="19">
        <f>IF(COUNT(F165,H165,P165,R165,T165)=0,"",MIN(10,MAX(F165,H165,P165,R165,T165)))</f>
        <v/>
      </c>
      <c r="V165" s="11" t="n"/>
    </row>
    <row r="166">
      <c r="A166" s="15">
        <f>Murid!A166</f>
        <v/>
      </c>
      <c r="B166" s="15">
        <f>IF(Murid!B166="","",Murid!B166)</f>
        <v/>
      </c>
      <c r="C166" s="16">
        <f>IF(Murid!C166="","",Murid!C166)</f>
        <v/>
      </c>
      <c r="D166" s="15">
        <f>IF(Murid!E166="","",Murid!E166)</f>
        <v/>
      </c>
      <c r="E166" s="11" t="n"/>
      <c r="F166" s="10">
        <f>IF(E166="","",IFERROR(VLOOKUP(E166,T_PERK,2,FALSE),0))</f>
        <v/>
      </c>
      <c r="G166" s="11" t="n"/>
      <c r="H166" s="10">
        <f>IF(G166="","",IFERROR(VLOOKUP(G166,T_ANUG,2,FALSE),0))</f>
        <v/>
      </c>
      <c r="I166" s="11" t="n"/>
      <c r="J166" s="11" t="n"/>
      <c r="K166" s="11" t="n"/>
      <c r="L166" s="11" t="n"/>
      <c r="M166" s="11" t="n"/>
      <c r="N166" s="11" t="n"/>
      <c r="O166" s="11" t="n"/>
      <c r="P166" s="10">
        <f>IF(COUNTA(I166:O166)=0,"",MIN(10,SUM(I166:O166)))</f>
        <v/>
      </c>
      <c r="Q166" s="11" t="n"/>
      <c r="R166" s="10">
        <f>IF(Q166="","",IFERROR(VLOOKUP(Q166,T_NILAM,2,FALSE),0))</f>
        <v/>
      </c>
      <c r="S166" s="11" t="n"/>
      <c r="T166" s="10">
        <f>IF(S166="","",IFERROR(VLOOKUP(S166,T_TIMSS,2,FALSE),0))</f>
        <v/>
      </c>
      <c r="U166" s="19">
        <f>IF(COUNT(F166,H166,P166,R166,T166)=0,"",MIN(10,MAX(F166,H166,P166,R166,T166)))</f>
        <v/>
      </c>
      <c r="V166" s="11" t="n"/>
    </row>
    <row r="167">
      <c r="A167" s="15">
        <f>Murid!A167</f>
        <v/>
      </c>
      <c r="B167" s="15">
        <f>IF(Murid!B167="","",Murid!B167)</f>
        <v/>
      </c>
      <c r="C167" s="16">
        <f>IF(Murid!C167="","",Murid!C167)</f>
        <v/>
      </c>
      <c r="D167" s="15">
        <f>IF(Murid!E167="","",Murid!E167)</f>
        <v/>
      </c>
      <c r="E167" s="11" t="n"/>
      <c r="F167" s="10">
        <f>IF(E167="","",IFERROR(VLOOKUP(E167,T_PERK,2,FALSE),0))</f>
        <v/>
      </c>
      <c r="G167" s="11" t="n"/>
      <c r="H167" s="10">
        <f>IF(G167="","",IFERROR(VLOOKUP(G167,T_ANUG,2,FALSE),0))</f>
        <v/>
      </c>
      <c r="I167" s="11" t="n"/>
      <c r="J167" s="11" t="n"/>
      <c r="K167" s="11" t="n"/>
      <c r="L167" s="11" t="n"/>
      <c r="M167" s="11" t="n"/>
      <c r="N167" s="11" t="n"/>
      <c r="O167" s="11" t="n"/>
      <c r="P167" s="10">
        <f>IF(COUNTA(I167:O167)=0,"",MIN(10,SUM(I167:O167)))</f>
        <v/>
      </c>
      <c r="Q167" s="11" t="n"/>
      <c r="R167" s="10">
        <f>IF(Q167="","",IFERROR(VLOOKUP(Q167,T_NILAM,2,FALSE),0))</f>
        <v/>
      </c>
      <c r="S167" s="11" t="n"/>
      <c r="T167" s="10">
        <f>IF(S167="","",IFERROR(VLOOKUP(S167,T_TIMSS,2,FALSE),0))</f>
        <v/>
      </c>
      <c r="U167" s="19">
        <f>IF(COUNT(F167,H167,P167,R167,T167)=0,"",MIN(10,MAX(F167,H167,P167,R167,T167)))</f>
        <v/>
      </c>
      <c r="V167" s="11" t="n"/>
    </row>
    <row r="168">
      <c r="A168" s="15">
        <f>Murid!A168</f>
        <v/>
      </c>
      <c r="B168" s="15">
        <f>IF(Murid!B168="","",Murid!B168)</f>
        <v/>
      </c>
      <c r="C168" s="16">
        <f>IF(Murid!C168="","",Murid!C168)</f>
        <v/>
      </c>
      <c r="D168" s="15">
        <f>IF(Murid!E168="","",Murid!E168)</f>
        <v/>
      </c>
      <c r="E168" s="11" t="n"/>
      <c r="F168" s="10">
        <f>IF(E168="","",IFERROR(VLOOKUP(E168,T_PERK,2,FALSE),0))</f>
        <v/>
      </c>
      <c r="G168" s="11" t="n"/>
      <c r="H168" s="10">
        <f>IF(G168="","",IFERROR(VLOOKUP(G168,T_ANUG,2,FALSE),0))</f>
        <v/>
      </c>
      <c r="I168" s="11" t="n"/>
      <c r="J168" s="11" t="n"/>
      <c r="K168" s="11" t="n"/>
      <c r="L168" s="11" t="n"/>
      <c r="M168" s="11" t="n"/>
      <c r="N168" s="11" t="n"/>
      <c r="O168" s="11" t="n"/>
      <c r="P168" s="10">
        <f>IF(COUNTA(I168:O168)=0,"",MIN(10,SUM(I168:O168)))</f>
        <v/>
      </c>
      <c r="Q168" s="11" t="n"/>
      <c r="R168" s="10">
        <f>IF(Q168="","",IFERROR(VLOOKUP(Q168,T_NILAM,2,FALSE),0))</f>
        <v/>
      </c>
      <c r="S168" s="11" t="n"/>
      <c r="T168" s="10">
        <f>IF(S168="","",IFERROR(VLOOKUP(S168,T_TIMSS,2,FALSE),0))</f>
        <v/>
      </c>
      <c r="U168" s="19">
        <f>IF(COUNT(F168,H168,P168,R168,T168)=0,"",MIN(10,MAX(F168,H168,P168,R168,T168)))</f>
        <v/>
      </c>
      <c r="V168" s="11" t="n"/>
    </row>
    <row r="169">
      <c r="A169" s="15">
        <f>Murid!A169</f>
        <v/>
      </c>
      <c r="B169" s="15">
        <f>IF(Murid!B169="","",Murid!B169)</f>
        <v/>
      </c>
      <c r="C169" s="16">
        <f>IF(Murid!C169="","",Murid!C169)</f>
        <v/>
      </c>
      <c r="D169" s="15">
        <f>IF(Murid!E169="","",Murid!E169)</f>
        <v/>
      </c>
      <c r="E169" s="11" t="n"/>
      <c r="F169" s="10">
        <f>IF(E169="","",IFERROR(VLOOKUP(E169,T_PERK,2,FALSE),0))</f>
        <v/>
      </c>
      <c r="G169" s="11" t="n"/>
      <c r="H169" s="10">
        <f>IF(G169="","",IFERROR(VLOOKUP(G169,T_ANUG,2,FALSE),0))</f>
        <v/>
      </c>
      <c r="I169" s="11" t="n"/>
      <c r="J169" s="11" t="n"/>
      <c r="K169" s="11" t="n"/>
      <c r="L169" s="11" t="n"/>
      <c r="M169" s="11" t="n"/>
      <c r="N169" s="11" t="n"/>
      <c r="O169" s="11" t="n"/>
      <c r="P169" s="10">
        <f>IF(COUNTA(I169:O169)=0,"",MIN(10,SUM(I169:O169)))</f>
        <v/>
      </c>
      <c r="Q169" s="11" t="n"/>
      <c r="R169" s="10">
        <f>IF(Q169="","",IFERROR(VLOOKUP(Q169,T_NILAM,2,FALSE),0))</f>
        <v/>
      </c>
      <c r="S169" s="11" t="n"/>
      <c r="T169" s="10">
        <f>IF(S169="","",IFERROR(VLOOKUP(S169,T_TIMSS,2,FALSE),0))</f>
        <v/>
      </c>
      <c r="U169" s="19">
        <f>IF(COUNT(F169,H169,P169,R169,T169)=0,"",MIN(10,MAX(F169,H169,P169,R169,T169)))</f>
        <v/>
      </c>
      <c r="V169" s="11" t="n"/>
    </row>
    <row r="170">
      <c r="A170" s="15">
        <f>Murid!A170</f>
        <v/>
      </c>
      <c r="B170" s="15">
        <f>IF(Murid!B170="","",Murid!B170)</f>
        <v/>
      </c>
      <c r="C170" s="16">
        <f>IF(Murid!C170="","",Murid!C170)</f>
        <v/>
      </c>
      <c r="D170" s="15">
        <f>IF(Murid!E170="","",Murid!E170)</f>
        <v/>
      </c>
      <c r="E170" s="11" t="n"/>
      <c r="F170" s="10">
        <f>IF(E170="","",IFERROR(VLOOKUP(E170,T_PERK,2,FALSE),0))</f>
        <v/>
      </c>
      <c r="G170" s="11" t="n"/>
      <c r="H170" s="10">
        <f>IF(G170="","",IFERROR(VLOOKUP(G170,T_ANUG,2,FALSE),0))</f>
        <v/>
      </c>
      <c r="I170" s="11" t="n"/>
      <c r="J170" s="11" t="n"/>
      <c r="K170" s="11" t="n"/>
      <c r="L170" s="11" t="n"/>
      <c r="M170" s="11" t="n"/>
      <c r="N170" s="11" t="n"/>
      <c r="O170" s="11" t="n"/>
      <c r="P170" s="10">
        <f>IF(COUNTA(I170:O170)=0,"",MIN(10,SUM(I170:O170)))</f>
        <v/>
      </c>
      <c r="Q170" s="11" t="n"/>
      <c r="R170" s="10">
        <f>IF(Q170="","",IFERROR(VLOOKUP(Q170,T_NILAM,2,FALSE),0))</f>
        <v/>
      </c>
      <c r="S170" s="11" t="n"/>
      <c r="T170" s="10">
        <f>IF(S170="","",IFERROR(VLOOKUP(S170,T_TIMSS,2,FALSE),0))</f>
        <v/>
      </c>
      <c r="U170" s="19">
        <f>IF(COUNT(F170,H170,P170,R170,T170)=0,"",MIN(10,MAX(F170,H170,P170,R170,T170)))</f>
        <v/>
      </c>
      <c r="V170" s="11" t="n"/>
    </row>
    <row r="171">
      <c r="A171" s="15">
        <f>Murid!A171</f>
        <v/>
      </c>
      <c r="B171" s="15">
        <f>IF(Murid!B171="","",Murid!B171)</f>
        <v/>
      </c>
      <c r="C171" s="16">
        <f>IF(Murid!C171="","",Murid!C171)</f>
        <v/>
      </c>
      <c r="D171" s="15">
        <f>IF(Murid!E171="","",Murid!E171)</f>
        <v/>
      </c>
      <c r="E171" s="11" t="n"/>
      <c r="F171" s="10">
        <f>IF(E171="","",IFERROR(VLOOKUP(E171,T_PERK,2,FALSE),0))</f>
        <v/>
      </c>
      <c r="G171" s="11" t="n"/>
      <c r="H171" s="10">
        <f>IF(G171="","",IFERROR(VLOOKUP(G171,T_ANUG,2,FALSE),0))</f>
        <v/>
      </c>
      <c r="I171" s="11" t="n"/>
      <c r="J171" s="11" t="n"/>
      <c r="K171" s="11" t="n"/>
      <c r="L171" s="11" t="n"/>
      <c r="M171" s="11" t="n"/>
      <c r="N171" s="11" t="n"/>
      <c r="O171" s="11" t="n"/>
      <c r="P171" s="10">
        <f>IF(COUNTA(I171:O171)=0,"",MIN(10,SUM(I171:O171)))</f>
        <v/>
      </c>
      <c r="Q171" s="11" t="n"/>
      <c r="R171" s="10">
        <f>IF(Q171="","",IFERROR(VLOOKUP(Q171,T_NILAM,2,FALSE),0))</f>
        <v/>
      </c>
      <c r="S171" s="11" t="n"/>
      <c r="T171" s="10">
        <f>IF(S171="","",IFERROR(VLOOKUP(S171,T_TIMSS,2,FALSE),0))</f>
        <v/>
      </c>
      <c r="U171" s="19">
        <f>IF(COUNT(F171,H171,P171,R171,T171)=0,"",MIN(10,MAX(F171,H171,P171,R171,T171)))</f>
        <v/>
      </c>
      <c r="V171" s="11" t="n"/>
    </row>
    <row r="172">
      <c r="A172" s="15">
        <f>Murid!A172</f>
        <v/>
      </c>
      <c r="B172" s="15">
        <f>IF(Murid!B172="","",Murid!B172)</f>
        <v/>
      </c>
      <c r="C172" s="16">
        <f>IF(Murid!C172="","",Murid!C172)</f>
        <v/>
      </c>
      <c r="D172" s="15">
        <f>IF(Murid!E172="","",Murid!E172)</f>
        <v/>
      </c>
      <c r="E172" s="11" t="n"/>
      <c r="F172" s="10">
        <f>IF(E172="","",IFERROR(VLOOKUP(E172,T_PERK,2,FALSE),0))</f>
        <v/>
      </c>
      <c r="G172" s="11" t="n"/>
      <c r="H172" s="10">
        <f>IF(G172="","",IFERROR(VLOOKUP(G172,T_ANUG,2,FALSE),0))</f>
        <v/>
      </c>
      <c r="I172" s="11" t="n"/>
      <c r="J172" s="11" t="n"/>
      <c r="K172" s="11" t="n"/>
      <c r="L172" s="11" t="n"/>
      <c r="M172" s="11" t="n"/>
      <c r="N172" s="11" t="n"/>
      <c r="O172" s="11" t="n"/>
      <c r="P172" s="10">
        <f>IF(COUNTA(I172:O172)=0,"",MIN(10,SUM(I172:O172)))</f>
        <v/>
      </c>
      <c r="Q172" s="11" t="n"/>
      <c r="R172" s="10">
        <f>IF(Q172="","",IFERROR(VLOOKUP(Q172,T_NILAM,2,FALSE),0))</f>
        <v/>
      </c>
      <c r="S172" s="11" t="n"/>
      <c r="T172" s="10">
        <f>IF(S172="","",IFERROR(VLOOKUP(S172,T_TIMSS,2,FALSE),0))</f>
        <v/>
      </c>
      <c r="U172" s="19">
        <f>IF(COUNT(F172,H172,P172,R172,T172)=0,"",MIN(10,MAX(F172,H172,P172,R172,T172)))</f>
        <v/>
      </c>
      <c r="V172" s="11" t="n"/>
    </row>
    <row r="173">
      <c r="A173" s="15">
        <f>Murid!A173</f>
        <v/>
      </c>
      <c r="B173" s="15">
        <f>IF(Murid!B173="","",Murid!B173)</f>
        <v/>
      </c>
      <c r="C173" s="16">
        <f>IF(Murid!C173="","",Murid!C173)</f>
        <v/>
      </c>
      <c r="D173" s="15">
        <f>IF(Murid!E173="","",Murid!E173)</f>
        <v/>
      </c>
      <c r="E173" s="11" t="n"/>
      <c r="F173" s="10">
        <f>IF(E173="","",IFERROR(VLOOKUP(E173,T_PERK,2,FALSE),0))</f>
        <v/>
      </c>
      <c r="G173" s="11" t="n"/>
      <c r="H173" s="10">
        <f>IF(G173="","",IFERROR(VLOOKUP(G173,T_ANUG,2,FALSE),0))</f>
        <v/>
      </c>
      <c r="I173" s="11" t="n"/>
      <c r="J173" s="11" t="n"/>
      <c r="K173" s="11" t="n"/>
      <c r="L173" s="11" t="n"/>
      <c r="M173" s="11" t="n"/>
      <c r="N173" s="11" t="n"/>
      <c r="O173" s="11" t="n"/>
      <c r="P173" s="10">
        <f>IF(COUNTA(I173:O173)=0,"",MIN(10,SUM(I173:O173)))</f>
        <v/>
      </c>
      <c r="Q173" s="11" t="n"/>
      <c r="R173" s="10">
        <f>IF(Q173="","",IFERROR(VLOOKUP(Q173,T_NILAM,2,FALSE),0))</f>
        <v/>
      </c>
      <c r="S173" s="11" t="n"/>
      <c r="T173" s="10">
        <f>IF(S173="","",IFERROR(VLOOKUP(S173,T_TIMSS,2,FALSE),0))</f>
        <v/>
      </c>
      <c r="U173" s="19">
        <f>IF(COUNT(F173,H173,P173,R173,T173)=0,"",MIN(10,MAX(F173,H173,P173,R173,T173)))</f>
        <v/>
      </c>
      <c r="V173" s="11" t="n"/>
    </row>
    <row r="174">
      <c r="A174" s="15">
        <f>Murid!A174</f>
        <v/>
      </c>
      <c r="B174" s="15">
        <f>IF(Murid!B174="","",Murid!B174)</f>
        <v/>
      </c>
      <c r="C174" s="16">
        <f>IF(Murid!C174="","",Murid!C174)</f>
        <v/>
      </c>
      <c r="D174" s="15">
        <f>IF(Murid!E174="","",Murid!E174)</f>
        <v/>
      </c>
      <c r="E174" s="11" t="n"/>
      <c r="F174" s="10">
        <f>IF(E174="","",IFERROR(VLOOKUP(E174,T_PERK,2,FALSE),0))</f>
        <v/>
      </c>
      <c r="G174" s="11" t="n"/>
      <c r="H174" s="10">
        <f>IF(G174="","",IFERROR(VLOOKUP(G174,T_ANUG,2,FALSE),0))</f>
        <v/>
      </c>
      <c r="I174" s="11" t="n"/>
      <c r="J174" s="11" t="n"/>
      <c r="K174" s="11" t="n"/>
      <c r="L174" s="11" t="n"/>
      <c r="M174" s="11" t="n"/>
      <c r="N174" s="11" t="n"/>
      <c r="O174" s="11" t="n"/>
      <c r="P174" s="10">
        <f>IF(COUNTA(I174:O174)=0,"",MIN(10,SUM(I174:O174)))</f>
        <v/>
      </c>
      <c r="Q174" s="11" t="n"/>
      <c r="R174" s="10">
        <f>IF(Q174="","",IFERROR(VLOOKUP(Q174,T_NILAM,2,FALSE),0))</f>
        <v/>
      </c>
      <c r="S174" s="11" t="n"/>
      <c r="T174" s="10">
        <f>IF(S174="","",IFERROR(VLOOKUP(S174,T_TIMSS,2,FALSE),0))</f>
        <v/>
      </c>
      <c r="U174" s="19">
        <f>IF(COUNT(F174,H174,P174,R174,T174)=0,"",MIN(10,MAX(F174,H174,P174,R174,T174)))</f>
        <v/>
      </c>
      <c r="V174" s="11" t="n"/>
    </row>
    <row r="175">
      <c r="A175" s="15">
        <f>Murid!A175</f>
        <v/>
      </c>
      <c r="B175" s="15">
        <f>IF(Murid!B175="","",Murid!B175)</f>
        <v/>
      </c>
      <c r="C175" s="16">
        <f>IF(Murid!C175="","",Murid!C175)</f>
        <v/>
      </c>
      <c r="D175" s="15">
        <f>IF(Murid!E175="","",Murid!E175)</f>
        <v/>
      </c>
      <c r="E175" s="11" t="n"/>
      <c r="F175" s="10">
        <f>IF(E175="","",IFERROR(VLOOKUP(E175,T_PERK,2,FALSE),0))</f>
        <v/>
      </c>
      <c r="G175" s="11" t="n"/>
      <c r="H175" s="10">
        <f>IF(G175="","",IFERROR(VLOOKUP(G175,T_ANUG,2,FALSE),0))</f>
        <v/>
      </c>
      <c r="I175" s="11" t="n"/>
      <c r="J175" s="11" t="n"/>
      <c r="K175" s="11" t="n"/>
      <c r="L175" s="11" t="n"/>
      <c r="M175" s="11" t="n"/>
      <c r="N175" s="11" t="n"/>
      <c r="O175" s="11" t="n"/>
      <c r="P175" s="10">
        <f>IF(COUNTA(I175:O175)=0,"",MIN(10,SUM(I175:O175)))</f>
        <v/>
      </c>
      <c r="Q175" s="11" t="n"/>
      <c r="R175" s="10">
        <f>IF(Q175="","",IFERROR(VLOOKUP(Q175,T_NILAM,2,FALSE),0))</f>
        <v/>
      </c>
      <c r="S175" s="11" t="n"/>
      <c r="T175" s="10">
        <f>IF(S175="","",IFERROR(VLOOKUP(S175,T_TIMSS,2,FALSE),0))</f>
        <v/>
      </c>
      <c r="U175" s="19">
        <f>IF(COUNT(F175,H175,P175,R175,T175)=0,"",MIN(10,MAX(F175,H175,P175,R175,T175)))</f>
        <v/>
      </c>
      <c r="V175" s="11" t="n"/>
    </row>
    <row r="176">
      <c r="A176" s="15">
        <f>Murid!A176</f>
        <v/>
      </c>
      <c r="B176" s="15">
        <f>IF(Murid!B176="","",Murid!B176)</f>
        <v/>
      </c>
      <c r="C176" s="16">
        <f>IF(Murid!C176="","",Murid!C176)</f>
        <v/>
      </c>
      <c r="D176" s="15">
        <f>IF(Murid!E176="","",Murid!E176)</f>
        <v/>
      </c>
      <c r="E176" s="11" t="n"/>
      <c r="F176" s="10">
        <f>IF(E176="","",IFERROR(VLOOKUP(E176,T_PERK,2,FALSE),0))</f>
        <v/>
      </c>
      <c r="G176" s="11" t="n"/>
      <c r="H176" s="10">
        <f>IF(G176="","",IFERROR(VLOOKUP(G176,T_ANUG,2,FALSE),0))</f>
        <v/>
      </c>
      <c r="I176" s="11" t="n"/>
      <c r="J176" s="11" t="n"/>
      <c r="K176" s="11" t="n"/>
      <c r="L176" s="11" t="n"/>
      <c r="M176" s="11" t="n"/>
      <c r="N176" s="11" t="n"/>
      <c r="O176" s="11" t="n"/>
      <c r="P176" s="10">
        <f>IF(COUNTA(I176:O176)=0,"",MIN(10,SUM(I176:O176)))</f>
        <v/>
      </c>
      <c r="Q176" s="11" t="n"/>
      <c r="R176" s="10">
        <f>IF(Q176="","",IFERROR(VLOOKUP(Q176,T_NILAM,2,FALSE),0))</f>
        <v/>
      </c>
      <c r="S176" s="11" t="n"/>
      <c r="T176" s="10">
        <f>IF(S176="","",IFERROR(VLOOKUP(S176,T_TIMSS,2,FALSE),0))</f>
        <v/>
      </c>
      <c r="U176" s="19">
        <f>IF(COUNT(F176,H176,P176,R176,T176)=0,"",MIN(10,MAX(F176,H176,P176,R176,T176)))</f>
        <v/>
      </c>
      <c r="V176" s="11" t="n"/>
    </row>
    <row r="177">
      <c r="A177" s="15">
        <f>Murid!A177</f>
        <v/>
      </c>
      <c r="B177" s="15">
        <f>IF(Murid!B177="","",Murid!B177)</f>
        <v/>
      </c>
      <c r="C177" s="16">
        <f>IF(Murid!C177="","",Murid!C177)</f>
        <v/>
      </c>
      <c r="D177" s="15">
        <f>IF(Murid!E177="","",Murid!E177)</f>
        <v/>
      </c>
      <c r="E177" s="11" t="n"/>
      <c r="F177" s="10">
        <f>IF(E177="","",IFERROR(VLOOKUP(E177,T_PERK,2,FALSE),0))</f>
        <v/>
      </c>
      <c r="G177" s="11" t="n"/>
      <c r="H177" s="10">
        <f>IF(G177="","",IFERROR(VLOOKUP(G177,T_ANUG,2,FALSE),0))</f>
        <v/>
      </c>
      <c r="I177" s="11" t="n"/>
      <c r="J177" s="11" t="n"/>
      <c r="K177" s="11" t="n"/>
      <c r="L177" s="11" t="n"/>
      <c r="M177" s="11" t="n"/>
      <c r="N177" s="11" t="n"/>
      <c r="O177" s="11" t="n"/>
      <c r="P177" s="10">
        <f>IF(COUNTA(I177:O177)=0,"",MIN(10,SUM(I177:O177)))</f>
        <v/>
      </c>
      <c r="Q177" s="11" t="n"/>
      <c r="R177" s="10">
        <f>IF(Q177="","",IFERROR(VLOOKUP(Q177,T_NILAM,2,FALSE),0))</f>
        <v/>
      </c>
      <c r="S177" s="11" t="n"/>
      <c r="T177" s="10">
        <f>IF(S177="","",IFERROR(VLOOKUP(S177,T_TIMSS,2,FALSE),0))</f>
        <v/>
      </c>
      <c r="U177" s="19">
        <f>IF(COUNT(F177,H177,P177,R177,T177)=0,"",MIN(10,MAX(F177,H177,P177,R177,T177)))</f>
        <v/>
      </c>
      <c r="V177" s="11" t="n"/>
    </row>
    <row r="178">
      <c r="A178" s="15">
        <f>Murid!A178</f>
        <v/>
      </c>
      <c r="B178" s="15">
        <f>IF(Murid!B178="","",Murid!B178)</f>
        <v/>
      </c>
      <c r="C178" s="16">
        <f>IF(Murid!C178="","",Murid!C178)</f>
        <v/>
      </c>
      <c r="D178" s="15">
        <f>IF(Murid!E178="","",Murid!E178)</f>
        <v/>
      </c>
      <c r="E178" s="11" t="n"/>
      <c r="F178" s="10">
        <f>IF(E178="","",IFERROR(VLOOKUP(E178,T_PERK,2,FALSE),0))</f>
        <v/>
      </c>
      <c r="G178" s="11" t="n"/>
      <c r="H178" s="10">
        <f>IF(G178="","",IFERROR(VLOOKUP(G178,T_ANUG,2,FALSE),0))</f>
        <v/>
      </c>
      <c r="I178" s="11" t="n"/>
      <c r="J178" s="11" t="n"/>
      <c r="K178" s="11" t="n"/>
      <c r="L178" s="11" t="n"/>
      <c r="M178" s="11" t="n"/>
      <c r="N178" s="11" t="n"/>
      <c r="O178" s="11" t="n"/>
      <c r="P178" s="10">
        <f>IF(COUNTA(I178:O178)=0,"",MIN(10,SUM(I178:O178)))</f>
        <v/>
      </c>
      <c r="Q178" s="11" t="n"/>
      <c r="R178" s="10">
        <f>IF(Q178="","",IFERROR(VLOOKUP(Q178,T_NILAM,2,FALSE),0))</f>
        <v/>
      </c>
      <c r="S178" s="11" t="n"/>
      <c r="T178" s="10">
        <f>IF(S178="","",IFERROR(VLOOKUP(S178,T_TIMSS,2,FALSE),0))</f>
        <v/>
      </c>
      <c r="U178" s="19">
        <f>IF(COUNT(F178,H178,P178,R178,T178)=0,"",MIN(10,MAX(F178,H178,P178,R178,T178)))</f>
        <v/>
      </c>
      <c r="V178" s="11" t="n"/>
    </row>
    <row r="179">
      <c r="A179" s="15">
        <f>Murid!A179</f>
        <v/>
      </c>
      <c r="B179" s="15">
        <f>IF(Murid!B179="","",Murid!B179)</f>
        <v/>
      </c>
      <c r="C179" s="16">
        <f>IF(Murid!C179="","",Murid!C179)</f>
        <v/>
      </c>
      <c r="D179" s="15">
        <f>IF(Murid!E179="","",Murid!E179)</f>
        <v/>
      </c>
      <c r="E179" s="11" t="n"/>
      <c r="F179" s="10">
        <f>IF(E179="","",IFERROR(VLOOKUP(E179,T_PERK,2,FALSE),0))</f>
        <v/>
      </c>
      <c r="G179" s="11" t="n"/>
      <c r="H179" s="10">
        <f>IF(G179="","",IFERROR(VLOOKUP(G179,T_ANUG,2,FALSE),0))</f>
        <v/>
      </c>
      <c r="I179" s="11" t="n"/>
      <c r="J179" s="11" t="n"/>
      <c r="K179" s="11" t="n"/>
      <c r="L179" s="11" t="n"/>
      <c r="M179" s="11" t="n"/>
      <c r="N179" s="11" t="n"/>
      <c r="O179" s="11" t="n"/>
      <c r="P179" s="10">
        <f>IF(COUNTA(I179:O179)=0,"",MIN(10,SUM(I179:O179)))</f>
        <v/>
      </c>
      <c r="Q179" s="11" t="n"/>
      <c r="R179" s="10">
        <f>IF(Q179="","",IFERROR(VLOOKUP(Q179,T_NILAM,2,FALSE),0))</f>
        <v/>
      </c>
      <c r="S179" s="11" t="n"/>
      <c r="T179" s="10">
        <f>IF(S179="","",IFERROR(VLOOKUP(S179,T_TIMSS,2,FALSE),0))</f>
        <v/>
      </c>
      <c r="U179" s="19">
        <f>IF(COUNT(F179,H179,P179,R179,T179)=0,"",MIN(10,MAX(F179,H179,P179,R179,T179)))</f>
        <v/>
      </c>
      <c r="V179" s="11" t="n"/>
    </row>
    <row r="180">
      <c r="A180" s="15">
        <f>Murid!A180</f>
        <v/>
      </c>
      <c r="B180" s="15">
        <f>IF(Murid!B180="","",Murid!B180)</f>
        <v/>
      </c>
      <c r="C180" s="16">
        <f>IF(Murid!C180="","",Murid!C180)</f>
        <v/>
      </c>
      <c r="D180" s="15">
        <f>IF(Murid!E180="","",Murid!E180)</f>
        <v/>
      </c>
      <c r="E180" s="11" t="n"/>
      <c r="F180" s="10">
        <f>IF(E180="","",IFERROR(VLOOKUP(E180,T_PERK,2,FALSE),0))</f>
        <v/>
      </c>
      <c r="G180" s="11" t="n"/>
      <c r="H180" s="10">
        <f>IF(G180="","",IFERROR(VLOOKUP(G180,T_ANUG,2,FALSE),0))</f>
        <v/>
      </c>
      <c r="I180" s="11" t="n"/>
      <c r="J180" s="11" t="n"/>
      <c r="K180" s="11" t="n"/>
      <c r="L180" s="11" t="n"/>
      <c r="M180" s="11" t="n"/>
      <c r="N180" s="11" t="n"/>
      <c r="O180" s="11" t="n"/>
      <c r="P180" s="10">
        <f>IF(COUNTA(I180:O180)=0,"",MIN(10,SUM(I180:O180)))</f>
        <v/>
      </c>
      <c r="Q180" s="11" t="n"/>
      <c r="R180" s="10">
        <f>IF(Q180="","",IFERROR(VLOOKUP(Q180,T_NILAM,2,FALSE),0))</f>
        <v/>
      </c>
      <c r="S180" s="11" t="n"/>
      <c r="T180" s="10">
        <f>IF(S180="","",IFERROR(VLOOKUP(S180,T_TIMSS,2,FALSE),0))</f>
        <v/>
      </c>
      <c r="U180" s="19">
        <f>IF(COUNT(F180,H180,P180,R180,T180)=0,"",MIN(10,MAX(F180,H180,P180,R180,T180)))</f>
        <v/>
      </c>
      <c r="V180" s="11" t="n"/>
    </row>
    <row r="181">
      <c r="A181" s="15">
        <f>Murid!A181</f>
        <v/>
      </c>
      <c r="B181" s="15">
        <f>IF(Murid!B181="","",Murid!B181)</f>
        <v/>
      </c>
      <c r="C181" s="16">
        <f>IF(Murid!C181="","",Murid!C181)</f>
        <v/>
      </c>
      <c r="D181" s="15">
        <f>IF(Murid!E181="","",Murid!E181)</f>
        <v/>
      </c>
      <c r="E181" s="11" t="n"/>
      <c r="F181" s="10">
        <f>IF(E181="","",IFERROR(VLOOKUP(E181,T_PERK,2,FALSE),0))</f>
        <v/>
      </c>
      <c r="G181" s="11" t="n"/>
      <c r="H181" s="10">
        <f>IF(G181="","",IFERROR(VLOOKUP(G181,T_ANUG,2,FALSE),0))</f>
        <v/>
      </c>
      <c r="I181" s="11" t="n"/>
      <c r="J181" s="11" t="n"/>
      <c r="K181" s="11" t="n"/>
      <c r="L181" s="11" t="n"/>
      <c r="M181" s="11" t="n"/>
      <c r="N181" s="11" t="n"/>
      <c r="O181" s="11" t="n"/>
      <c r="P181" s="10">
        <f>IF(COUNTA(I181:O181)=0,"",MIN(10,SUM(I181:O181)))</f>
        <v/>
      </c>
      <c r="Q181" s="11" t="n"/>
      <c r="R181" s="10">
        <f>IF(Q181="","",IFERROR(VLOOKUP(Q181,T_NILAM,2,FALSE),0))</f>
        <v/>
      </c>
      <c r="S181" s="11" t="n"/>
      <c r="T181" s="10">
        <f>IF(S181="","",IFERROR(VLOOKUP(S181,T_TIMSS,2,FALSE),0))</f>
        <v/>
      </c>
      <c r="U181" s="19">
        <f>IF(COUNT(F181,H181,P181,R181,T181)=0,"",MIN(10,MAX(F181,H181,P181,R181,T181)))</f>
        <v/>
      </c>
      <c r="V181" s="11" t="n"/>
    </row>
    <row r="182">
      <c r="A182" s="15">
        <f>Murid!A182</f>
        <v/>
      </c>
      <c r="B182" s="15">
        <f>IF(Murid!B182="","",Murid!B182)</f>
        <v/>
      </c>
      <c r="C182" s="16">
        <f>IF(Murid!C182="","",Murid!C182)</f>
        <v/>
      </c>
      <c r="D182" s="15">
        <f>IF(Murid!E182="","",Murid!E182)</f>
        <v/>
      </c>
      <c r="E182" s="11" t="n"/>
      <c r="F182" s="10">
        <f>IF(E182="","",IFERROR(VLOOKUP(E182,T_PERK,2,FALSE),0))</f>
        <v/>
      </c>
      <c r="G182" s="11" t="n"/>
      <c r="H182" s="10">
        <f>IF(G182="","",IFERROR(VLOOKUP(G182,T_ANUG,2,FALSE),0))</f>
        <v/>
      </c>
      <c r="I182" s="11" t="n"/>
      <c r="J182" s="11" t="n"/>
      <c r="K182" s="11" t="n"/>
      <c r="L182" s="11" t="n"/>
      <c r="M182" s="11" t="n"/>
      <c r="N182" s="11" t="n"/>
      <c r="O182" s="11" t="n"/>
      <c r="P182" s="10">
        <f>IF(COUNTA(I182:O182)=0,"",MIN(10,SUM(I182:O182)))</f>
        <v/>
      </c>
      <c r="Q182" s="11" t="n"/>
      <c r="R182" s="10">
        <f>IF(Q182="","",IFERROR(VLOOKUP(Q182,T_NILAM,2,FALSE),0))</f>
        <v/>
      </c>
      <c r="S182" s="11" t="n"/>
      <c r="T182" s="10">
        <f>IF(S182="","",IFERROR(VLOOKUP(S182,T_TIMSS,2,FALSE),0))</f>
        <v/>
      </c>
      <c r="U182" s="19">
        <f>IF(COUNT(F182,H182,P182,R182,T182)=0,"",MIN(10,MAX(F182,H182,P182,R182,T182)))</f>
        <v/>
      </c>
      <c r="V182" s="11" t="n"/>
    </row>
    <row r="183">
      <c r="A183" s="15">
        <f>Murid!A183</f>
        <v/>
      </c>
      <c r="B183" s="15">
        <f>IF(Murid!B183="","",Murid!B183)</f>
        <v/>
      </c>
      <c r="C183" s="16">
        <f>IF(Murid!C183="","",Murid!C183)</f>
        <v/>
      </c>
      <c r="D183" s="15">
        <f>IF(Murid!E183="","",Murid!E183)</f>
        <v/>
      </c>
      <c r="E183" s="11" t="n"/>
      <c r="F183" s="10">
        <f>IF(E183="","",IFERROR(VLOOKUP(E183,T_PERK,2,FALSE),0))</f>
        <v/>
      </c>
      <c r="G183" s="11" t="n"/>
      <c r="H183" s="10">
        <f>IF(G183="","",IFERROR(VLOOKUP(G183,T_ANUG,2,FALSE),0))</f>
        <v/>
      </c>
      <c r="I183" s="11" t="n"/>
      <c r="J183" s="11" t="n"/>
      <c r="K183" s="11" t="n"/>
      <c r="L183" s="11" t="n"/>
      <c r="M183" s="11" t="n"/>
      <c r="N183" s="11" t="n"/>
      <c r="O183" s="11" t="n"/>
      <c r="P183" s="10">
        <f>IF(COUNTA(I183:O183)=0,"",MIN(10,SUM(I183:O183)))</f>
        <v/>
      </c>
      <c r="Q183" s="11" t="n"/>
      <c r="R183" s="10">
        <f>IF(Q183="","",IFERROR(VLOOKUP(Q183,T_NILAM,2,FALSE),0))</f>
        <v/>
      </c>
      <c r="S183" s="11" t="n"/>
      <c r="T183" s="10">
        <f>IF(S183="","",IFERROR(VLOOKUP(S183,T_TIMSS,2,FALSE),0))</f>
        <v/>
      </c>
      <c r="U183" s="19">
        <f>IF(COUNT(F183,H183,P183,R183,T183)=0,"",MIN(10,MAX(F183,H183,P183,R183,T183)))</f>
        <v/>
      </c>
      <c r="V183" s="11" t="n"/>
    </row>
    <row r="184">
      <c r="A184" s="15">
        <f>Murid!A184</f>
        <v/>
      </c>
      <c r="B184" s="15">
        <f>IF(Murid!B184="","",Murid!B184)</f>
        <v/>
      </c>
      <c r="C184" s="16">
        <f>IF(Murid!C184="","",Murid!C184)</f>
        <v/>
      </c>
      <c r="D184" s="15">
        <f>IF(Murid!E184="","",Murid!E184)</f>
        <v/>
      </c>
      <c r="E184" s="11" t="n"/>
      <c r="F184" s="10">
        <f>IF(E184="","",IFERROR(VLOOKUP(E184,T_PERK,2,FALSE),0))</f>
        <v/>
      </c>
      <c r="G184" s="11" t="n"/>
      <c r="H184" s="10">
        <f>IF(G184="","",IFERROR(VLOOKUP(G184,T_ANUG,2,FALSE),0))</f>
        <v/>
      </c>
      <c r="I184" s="11" t="n"/>
      <c r="J184" s="11" t="n"/>
      <c r="K184" s="11" t="n"/>
      <c r="L184" s="11" t="n"/>
      <c r="M184" s="11" t="n"/>
      <c r="N184" s="11" t="n"/>
      <c r="O184" s="11" t="n"/>
      <c r="P184" s="10">
        <f>IF(COUNTA(I184:O184)=0,"",MIN(10,SUM(I184:O184)))</f>
        <v/>
      </c>
      <c r="Q184" s="11" t="n"/>
      <c r="R184" s="10">
        <f>IF(Q184="","",IFERROR(VLOOKUP(Q184,T_NILAM,2,FALSE),0))</f>
        <v/>
      </c>
      <c r="S184" s="11" t="n"/>
      <c r="T184" s="10">
        <f>IF(S184="","",IFERROR(VLOOKUP(S184,T_TIMSS,2,FALSE),0))</f>
        <v/>
      </c>
      <c r="U184" s="19">
        <f>IF(COUNT(F184,H184,P184,R184,T184)=0,"",MIN(10,MAX(F184,H184,P184,R184,T184)))</f>
        <v/>
      </c>
      <c r="V184" s="11" t="n"/>
    </row>
    <row r="185">
      <c r="A185" s="15">
        <f>Murid!A185</f>
        <v/>
      </c>
      <c r="B185" s="15">
        <f>IF(Murid!B185="","",Murid!B185)</f>
        <v/>
      </c>
      <c r="C185" s="16">
        <f>IF(Murid!C185="","",Murid!C185)</f>
        <v/>
      </c>
      <c r="D185" s="15">
        <f>IF(Murid!E185="","",Murid!E185)</f>
        <v/>
      </c>
      <c r="E185" s="11" t="n"/>
      <c r="F185" s="10">
        <f>IF(E185="","",IFERROR(VLOOKUP(E185,T_PERK,2,FALSE),0))</f>
        <v/>
      </c>
      <c r="G185" s="11" t="n"/>
      <c r="H185" s="10">
        <f>IF(G185="","",IFERROR(VLOOKUP(G185,T_ANUG,2,FALSE),0))</f>
        <v/>
      </c>
      <c r="I185" s="11" t="n"/>
      <c r="J185" s="11" t="n"/>
      <c r="K185" s="11" t="n"/>
      <c r="L185" s="11" t="n"/>
      <c r="M185" s="11" t="n"/>
      <c r="N185" s="11" t="n"/>
      <c r="O185" s="11" t="n"/>
      <c r="P185" s="10">
        <f>IF(COUNTA(I185:O185)=0,"",MIN(10,SUM(I185:O185)))</f>
        <v/>
      </c>
      <c r="Q185" s="11" t="n"/>
      <c r="R185" s="10">
        <f>IF(Q185="","",IFERROR(VLOOKUP(Q185,T_NILAM,2,FALSE),0))</f>
        <v/>
      </c>
      <c r="S185" s="11" t="n"/>
      <c r="T185" s="10">
        <f>IF(S185="","",IFERROR(VLOOKUP(S185,T_TIMSS,2,FALSE),0))</f>
        <v/>
      </c>
      <c r="U185" s="19">
        <f>IF(COUNT(F185,H185,P185,R185,T185)=0,"",MIN(10,MAX(F185,H185,P185,R185,T185)))</f>
        <v/>
      </c>
      <c r="V185" s="11" t="n"/>
    </row>
    <row r="186">
      <c r="A186" s="15">
        <f>Murid!A186</f>
        <v/>
      </c>
      <c r="B186" s="15">
        <f>IF(Murid!B186="","",Murid!B186)</f>
        <v/>
      </c>
      <c r="C186" s="16">
        <f>IF(Murid!C186="","",Murid!C186)</f>
        <v/>
      </c>
      <c r="D186" s="15">
        <f>IF(Murid!E186="","",Murid!E186)</f>
        <v/>
      </c>
      <c r="E186" s="11" t="n"/>
      <c r="F186" s="10">
        <f>IF(E186="","",IFERROR(VLOOKUP(E186,T_PERK,2,FALSE),0))</f>
        <v/>
      </c>
      <c r="G186" s="11" t="n"/>
      <c r="H186" s="10">
        <f>IF(G186="","",IFERROR(VLOOKUP(G186,T_ANUG,2,FALSE),0))</f>
        <v/>
      </c>
      <c r="I186" s="11" t="n"/>
      <c r="J186" s="11" t="n"/>
      <c r="K186" s="11" t="n"/>
      <c r="L186" s="11" t="n"/>
      <c r="M186" s="11" t="n"/>
      <c r="N186" s="11" t="n"/>
      <c r="O186" s="11" t="n"/>
      <c r="P186" s="10">
        <f>IF(COUNTA(I186:O186)=0,"",MIN(10,SUM(I186:O186)))</f>
        <v/>
      </c>
      <c r="Q186" s="11" t="n"/>
      <c r="R186" s="10">
        <f>IF(Q186="","",IFERROR(VLOOKUP(Q186,T_NILAM,2,FALSE),0))</f>
        <v/>
      </c>
      <c r="S186" s="11" t="n"/>
      <c r="T186" s="10">
        <f>IF(S186="","",IFERROR(VLOOKUP(S186,T_TIMSS,2,FALSE),0))</f>
        <v/>
      </c>
      <c r="U186" s="19">
        <f>IF(COUNT(F186,H186,P186,R186,T186)=0,"",MIN(10,MAX(F186,H186,P186,R186,T186)))</f>
        <v/>
      </c>
      <c r="V186" s="11" t="n"/>
    </row>
    <row r="187">
      <c r="A187" s="15">
        <f>Murid!A187</f>
        <v/>
      </c>
      <c r="B187" s="15">
        <f>IF(Murid!B187="","",Murid!B187)</f>
        <v/>
      </c>
      <c r="C187" s="16">
        <f>IF(Murid!C187="","",Murid!C187)</f>
        <v/>
      </c>
      <c r="D187" s="15">
        <f>IF(Murid!E187="","",Murid!E187)</f>
        <v/>
      </c>
      <c r="E187" s="11" t="n"/>
      <c r="F187" s="10">
        <f>IF(E187="","",IFERROR(VLOOKUP(E187,T_PERK,2,FALSE),0))</f>
        <v/>
      </c>
      <c r="G187" s="11" t="n"/>
      <c r="H187" s="10">
        <f>IF(G187="","",IFERROR(VLOOKUP(G187,T_ANUG,2,FALSE),0))</f>
        <v/>
      </c>
      <c r="I187" s="11" t="n"/>
      <c r="J187" s="11" t="n"/>
      <c r="K187" s="11" t="n"/>
      <c r="L187" s="11" t="n"/>
      <c r="M187" s="11" t="n"/>
      <c r="N187" s="11" t="n"/>
      <c r="O187" s="11" t="n"/>
      <c r="P187" s="10">
        <f>IF(COUNTA(I187:O187)=0,"",MIN(10,SUM(I187:O187)))</f>
        <v/>
      </c>
      <c r="Q187" s="11" t="n"/>
      <c r="R187" s="10">
        <f>IF(Q187="","",IFERROR(VLOOKUP(Q187,T_NILAM,2,FALSE),0))</f>
        <v/>
      </c>
      <c r="S187" s="11" t="n"/>
      <c r="T187" s="10">
        <f>IF(S187="","",IFERROR(VLOOKUP(S187,T_TIMSS,2,FALSE),0))</f>
        <v/>
      </c>
      <c r="U187" s="19">
        <f>IF(COUNT(F187,H187,P187,R187,T187)=0,"",MIN(10,MAX(F187,H187,P187,R187,T187)))</f>
        <v/>
      </c>
      <c r="V187" s="11" t="n"/>
    </row>
    <row r="188">
      <c r="A188" s="15">
        <f>Murid!A188</f>
        <v/>
      </c>
      <c r="B188" s="15">
        <f>IF(Murid!B188="","",Murid!B188)</f>
        <v/>
      </c>
      <c r="C188" s="16">
        <f>IF(Murid!C188="","",Murid!C188)</f>
        <v/>
      </c>
      <c r="D188" s="15">
        <f>IF(Murid!E188="","",Murid!E188)</f>
        <v/>
      </c>
      <c r="E188" s="11" t="n"/>
      <c r="F188" s="10">
        <f>IF(E188="","",IFERROR(VLOOKUP(E188,T_PERK,2,FALSE),0))</f>
        <v/>
      </c>
      <c r="G188" s="11" t="n"/>
      <c r="H188" s="10">
        <f>IF(G188="","",IFERROR(VLOOKUP(G188,T_ANUG,2,FALSE),0))</f>
        <v/>
      </c>
      <c r="I188" s="11" t="n"/>
      <c r="J188" s="11" t="n"/>
      <c r="K188" s="11" t="n"/>
      <c r="L188" s="11" t="n"/>
      <c r="M188" s="11" t="n"/>
      <c r="N188" s="11" t="n"/>
      <c r="O188" s="11" t="n"/>
      <c r="P188" s="10">
        <f>IF(COUNTA(I188:O188)=0,"",MIN(10,SUM(I188:O188)))</f>
        <v/>
      </c>
      <c r="Q188" s="11" t="n"/>
      <c r="R188" s="10">
        <f>IF(Q188="","",IFERROR(VLOOKUP(Q188,T_NILAM,2,FALSE),0))</f>
        <v/>
      </c>
      <c r="S188" s="11" t="n"/>
      <c r="T188" s="10">
        <f>IF(S188="","",IFERROR(VLOOKUP(S188,T_TIMSS,2,FALSE),0))</f>
        <v/>
      </c>
      <c r="U188" s="19">
        <f>IF(COUNT(F188,H188,P188,R188,T188)=0,"",MIN(10,MAX(F188,H188,P188,R188,T188)))</f>
        <v/>
      </c>
      <c r="V188" s="11" t="n"/>
    </row>
    <row r="189">
      <c r="A189" s="15">
        <f>Murid!A189</f>
        <v/>
      </c>
      <c r="B189" s="15">
        <f>IF(Murid!B189="","",Murid!B189)</f>
        <v/>
      </c>
      <c r="C189" s="16">
        <f>IF(Murid!C189="","",Murid!C189)</f>
        <v/>
      </c>
      <c r="D189" s="15">
        <f>IF(Murid!E189="","",Murid!E189)</f>
        <v/>
      </c>
      <c r="E189" s="11" t="n"/>
      <c r="F189" s="10">
        <f>IF(E189="","",IFERROR(VLOOKUP(E189,T_PERK,2,FALSE),0))</f>
        <v/>
      </c>
      <c r="G189" s="11" t="n"/>
      <c r="H189" s="10">
        <f>IF(G189="","",IFERROR(VLOOKUP(G189,T_ANUG,2,FALSE),0))</f>
        <v/>
      </c>
      <c r="I189" s="11" t="n"/>
      <c r="J189" s="11" t="n"/>
      <c r="K189" s="11" t="n"/>
      <c r="L189" s="11" t="n"/>
      <c r="M189" s="11" t="n"/>
      <c r="N189" s="11" t="n"/>
      <c r="O189" s="11" t="n"/>
      <c r="P189" s="10">
        <f>IF(COUNTA(I189:O189)=0,"",MIN(10,SUM(I189:O189)))</f>
        <v/>
      </c>
      <c r="Q189" s="11" t="n"/>
      <c r="R189" s="10">
        <f>IF(Q189="","",IFERROR(VLOOKUP(Q189,T_NILAM,2,FALSE),0))</f>
        <v/>
      </c>
      <c r="S189" s="11" t="n"/>
      <c r="T189" s="10">
        <f>IF(S189="","",IFERROR(VLOOKUP(S189,T_TIMSS,2,FALSE),0))</f>
        <v/>
      </c>
      <c r="U189" s="19">
        <f>IF(COUNT(F189,H189,P189,R189,T189)=0,"",MIN(10,MAX(F189,H189,P189,R189,T189)))</f>
        <v/>
      </c>
      <c r="V189" s="11" t="n"/>
    </row>
    <row r="190">
      <c r="A190" s="15">
        <f>Murid!A190</f>
        <v/>
      </c>
      <c r="B190" s="15">
        <f>IF(Murid!B190="","",Murid!B190)</f>
        <v/>
      </c>
      <c r="C190" s="16">
        <f>IF(Murid!C190="","",Murid!C190)</f>
        <v/>
      </c>
      <c r="D190" s="15">
        <f>IF(Murid!E190="","",Murid!E190)</f>
        <v/>
      </c>
      <c r="E190" s="11" t="n"/>
      <c r="F190" s="10">
        <f>IF(E190="","",IFERROR(VLOOKUP(E190,T_PERK,2,FALSE),0))</f>
        <v/>
      </c>
      <c r="G190" s="11" t="n"/>
      <c r="H190" s="10">
        <f>IF(G190="","",IFERROR(VLOOKUP(G190,T_ANUG,2,FALSE),0))</f>
        <v/>
      </c>
      <c r="I190" s="11" t="n"/>
      <c r="J190" s="11" t="n"/>
      <c r="K190" s="11" t="n"/>
      <c r="L190" s="11" t="n"/>
      <c r="M190" s="11" t="n"/>
      <c r="N190" s="11" t="n"/>
      <c r="O190" s="11" t="n"/>
      <c r="P190" s="10">
        <f>IF(COUNTA(I190:O190)=0,"",MIN(10,SUM(I190:O190)))</f>
        <v/>
      </c>
      <c r="Q190" s="11" t="n"/>
      <c r="R190" s="10">
        <f>IF(Q190="","",IFERROR(VLOOKUP(Q190,T_NILAM,2,FALSE),0))</f>
        <v/>
      </c>
      <c r="S190" s="11" t="n"/>
      <c r="T190" s="10">
        <f>IF(S190="","",IFERROR(VLOOKUP(S190,T_TIMSS,2,FALSE),0))</f>
        <v/>
      </c>
      <c r="U190" s="19">
        <f>IF(COUNT(F190,H190,P190,R190,T190)=0,"",MIN(10,MAX(F190,H190,P190,R190,T190)))</f>
        <v/>
      </c>
      <c r="V190" s="11" t="n"/>
    </row>
    <row r="191">
      <c r="A191" s="15">
        <f>Murid!A191</f>
        <v/>
      </c>
      <c r="B191" s="15">
        <f>IF(Murid!B191="","",Murid!B191)</f>
        <v/>
      </c>
      <c r="C191" s="16">
        <f>IF(Murid!C191="","",Murid!C191)</f>
        <v/>
      </c>
      <c r="D191" s="15">
        <f>IF(Murid!E191="","",Murid!E191)</f>
        <v/>
      </c>
      <c r="E191" s="11" t="n"/>
      <c r="F191" s="10">
        <f>IF(E191="","",IFERROR(VLOOKUP(E191,T_PERK,2,FALSE),0))</f>
        <v/>
      </c>
      <c r="G191" s="11" t="n"/>
      <c r="H191" s="10">
        <f>IF(G191="","",IFERROR(VLOOKUP(G191,T_ANUG,2,FALSE),0))</f>
        <v/>
      </c>
      <c r="I191" s="11" t="n"/>
      <c r="J191" s="11" t="n"/>
      <c r="K191" s="11" t="n"/>
      <c r="L191" s="11" t="n"/>
      <c r="M191" s="11" t="n"/>
      <c r="N191" s="11" t="n"/>
      <c r="O191" s="11" t="n"/>
      <c r="P191" s="10">
        <f>IF(COUNTA(I191:O191)=0,"",MIN(10,SUM(I191:O191)))</f>
        <v/>
      </c>
      <c r="Q191" s="11" t="n"/>
      <c r="R191" s="10">
        <f>IF(Q191="","",IFERROR(VLOOKUP(Q191,T_NILAM,2,FALSE),0))</f>
        <v/>
      </c>
      <c r="S191" s="11" t="n"/>
      <c r="T191" s="10">
        <f>IF(S191="","",IFERROR(VLOOKUP(S191,T_TIMSS,2,FALSE),0))</f>
        <v/>
      </c>
      <c r="U191" s="19">
        <f>IF(COUNT(F191,H191,P191,R191,T191)=0,"",MIN(10,MAX(F191,H191,P191,R191,T191)))</f>
        <v/>
      </c>
      <c r="V191" s="11" t="n"/>
    </row>
    <row r="192">
      <c r="A192" s="15">
        <f>Murid!A192</f>
        <v/>
      </c>
      <c r="B192" s="15">
        <f>IF(Murid!B192="","",Murid!B192)</f>
        <v/>
      </c>
      <c r="C192" s="16">
        <f>IF(Murid!C192="","",Murid!C192)</f>
        <v/>
      </c>
      <c r="D192" s="15">
        <f>IF(Murid!E192="","",Murid!E192)</f>
        <v/>
      </c>
      <c r="E192" s="11" t="n"/>
      <c r="F192" s="10">
        <f>IF(E192="","",IFERROR(VLOOKUP(E192,T_PERK,2,FALSE),0))</f>
        <v/>
      </c>
      <c r="G192" s="11" t="n"/>
      <c r="H192" s="10">
        <f>IF(G192="","",IFERROR(VLOOKUP(G192,T_ANUG,2,FALSE),0))</f>
        <v/>
      </c>
      <c r="I192" s="11" t="n"/>
      <c r="J192" s="11" t="n"/>
      <c r="K192" s="11" t="n"/>
      <c r="L192" s="11" t="n"/>
      <c r="M192" s="11" t="n"/>
      <c r="N192" s="11" t="n"/>
      <c r="O192" s="11" t="n"/>
      <c r="P192" s="10">
        <f>IF(COUNTA(I192:O192)=0,"",MIN(10,SUM(I192:O192)))</f>
        <v/>
      </c>
      <c r="Q192" s="11" t="n"/>
      <c r="R192" s="10">
        <f>IF(Q192="","",IFERROR(VLOOKUP(Q192,T_NILAM,2,FALSE),0))</f>
        <v/>
      </c>
      <c r="S192" s="11" t="n"/>
      <c r="T192" s="10">
        <f>IF(S192="","",IFERROR(VLOOKUP(S192,T_TIMSS,2,FALSE),0))</f>
        <v/>
      </c>
      <c r="U192" s="19">
        <f>IF(COUNT(F192,H192,P192,R192,T192)=0,"",MIN(10,MAX(F192,H192,P192,R192,T192)))</f>
        <v/>
      </c>
      <c r="V192" s="11" t="n"/>
    </row>
    <row r="193">
      <c r="A193" s="15">
        <f>Murid!A193</f>
        <v/>
      </c>
      <c r="B193" s="15">
        <f>IF(Murid!B193="","",Murid!B193)</f>
        <v/>
      </c>
      <c r="C193" s="16">
        <f>IF(Murid!C193="","",Murid!C193)</f>
        <v/>
      </c>
      <c r="D193" s="15">
        <f>IF(Murid!E193="","",Murid!E193)</f>
        <v/>
      </c>
      <c r="E193" s="11" t="n"/>
      <c r="F193" s="10">
        <f>IF(E193="","",IFERROR(VLOOKUP(E193,T_PERK,2,FALSE),0))</f>
        <v/>
      </c>
      <c r="G193" s="11" t="n"/>
      <c r="H193" s="10">
        <f>IF(G193="","",IFERROR(VLOOKUP(G193,T_ANUG,2,FALSE),0))</f>
        <v/>
      </c>
      <c r="I193" s="11" t="n"/>
      <c r="J193" s="11" t="n"/>
      <c r="K193" s="11" t="n"/>
      <c r="L193" s="11" t="n"/>
      <c r="M193" s="11" t="n"/>
      <c r="N193" s="11" t="n"/>
      <c r="O193" s="11" t="n"/>
      <c r="P193" s="10">
        <f>IF(COUNTA(I193:O193)=0,"",MIN(10,SUM(I193:O193)))</f>
        <v/>
      </c>
      <c r="Q193" s="11" t="n"/>
      <c r="R193" s="10">
        <f>IF(Q193="","",IFERROR(VLOOKUP(Q193,T_NILAM,2,FALSE),0))</f>
        <v/>
      </c>
      <c r="S193" s="11" t="n"/>
      <c r="T193" s="10">
        <f>IF(S193="","",IFERROR(VLOOKUP(S193,T_TIMSS,2,FALSE),0))</f>
        <v/>
      </c>
      <c r="U193" s="19">
        <f>IF(COUNT(F193,H193,P193,R193,T193)=0,"",MIN(10,MAX(F193,H193,P193,R193,T193)))</f>
        <v/>
      </c>
      <c r="V193" s="11" t="n"/>
    </row>
    <row r="194">
      <c r="A194" s="15">
        <f>Murid!A194</f>
        <v/>
      </c>
      <c r="B194" s="15">
        <f>IF(Murid!B194="","",Murid!B194)</f>
        <v/>
      </c>
      <c r="C194" s="16">
        <f>IF(Murid!C194="","",Murid!C194)</f>
        <v/>
      </c>
      <c r="D194" s="15">
        <f>IF(Murid!E194="","",Murid!E194)</f>
        <v/>
      </c>
      <c r="E194" s="11" t="n"/>
      <c r="F194" s="10">
        <f>IF(E194="","",IFERROR(VLOOKUP(E194,T_PERK,2,FALSE),0))</f>
        <v/>
      </c>
      <c r="G194" s="11" t="n"/>
      <c r="H194" s="10">
        <f>IF(G194="","",IFERROR(VLOOKUP(G194,T_ANUG,2,FALSE),0))</f>
        <v/>
      </c>
      <c r="I194" s="11" t="n"/>
      <c r="J194" s="11" t="n"/>
      <c r="K194" s="11" t="n"/>
      <c r="L194" s="11" t="n"/>
      <c r="M194" s="11" t="n"/>
      <c r="N194" s="11" t="n"/>
      <c r="O194" s="11" t="n"/>
      <c r="P194" s="10">
        <f>IF(COUNTA(I194:O194)=0,"",MIN(10,SUM(I194:O194)))</f>
        <v/>
      </c>
      <c r="Q194" s="11" t="n"/>
      <c r="R194" s="10">
        <f>IF(Q194="","",IFERROR(VLOOKUP(Q194,T_NILAM,2,FALSE),0))</f>
        <v/>
      </c>
      <c r="S194" s="11" t="n"/>
      <c r="T194" s="10">
        <f>IF(S194="","",IFERROR(VLOOKUP(S194,T_TIMSS,2,FALSE),0))</f>
        <v/>
      </c>
      <c r="U194" s="19">
        <f>IF(COUNT(F194,H194,P194,R194,T194)=0,"",MIN(10,MAX(F194,H194,P194,R194,T194)))</f>
        <v/>
      </c>
      <c r="V194" s="11" t="n"/>
    </row>
    <row r="195">
      <c r="A195" s="15">
        <f>Murid!A195</f>
        <v/>
      </c>
      <c r="B195" s="15">
        <f>IF(Murid!B195="","",Murid!B195)</f>
        <v/>
      </c>
      <c r="C195" s="16">
        <f>IF(Murid!C195="","",Murid!C195)</f>
        <v/>
      </c>
      <c r="D195" s="15">
        <f>IF(Murid!E195="","",Murid!E195)</f>
        <v/>
      </c>
      <c r="E195" s="11" t="n"/>
      <c r="F195" s="10">
        <f>IF(E195="","",IFERROR(VLOOKUP(E195,T_PERK,2,FALSE),0))</f>
        <v/>
      </c>
      <c r="G195" s="11" t="n"/>
      <c r="H195" s="10">
        <f>IF(G195="","",IFERROR(VLOOKUP(G195,T_ANUG,2,FALSE),0))</f>
        <v/>
      </c>
      <c r="I195" s="11" t="n"/>
      <c r="J195" s="11" t="n"/>
      <c r="K195" s="11" t="n"/>
      <c r="L195" s="11" t="n"/>
      <c r="M195" s="11" t="n"/>
      <c r="N195" s="11" t="n"/>
      <c r="O195" s="11" t="n"/>
      <c r="P195" s="10">
        <f>IF(COUNTA(I195:O195)=0,"",MIN(10,SUM(I195:O195)))</f>
        <v/>
      </c>
      <c r="Q195" s="11" t="n"/>
      <c r="R195" s="10">
        <f>IF(Q195="","",IFERROR(VLOOKUP(Q195,T_NILAM,2,FALSE),0))</f>
        <v/>
      </c>
      <c r="S195" s="11" t="n"/>
      <c r="T195" s="10">
        <f>IF(S195="","",IFERROR(VLOOKUP(S195,T_TIMSS,2,FALSE),0))</f>
        <v/>
      </c>
      <c r="U195" s="19">
        <f>IF(COUNT(F195,H195,P195,R195,T195)=0,"",MIN(10,MAX(F195,H195,P195,R195,T195)))</f>
        <v/>
      </c>
      <c r="V195" s="11" t="n"/>
    </row>
    <row r="196">
      <c r="A196" s="15">
        <f>Murid!A196</f>
        <v/>
      </c>
      <c r="B196" s="15">
        <f>IF(Murid!B196="","",Murid!B196)</f>
        <v/>
      </c>
      <c r="C196" s="16">
        <f>IF(Murid!C196="","",Murid!C196)</f>
        <v/>
      </c>
      <c r="D196" s="15">
        <f>IF(Murid!E196="","",Murid!E196)</f>
        <v/>
      </c>
      <c r="E196" s="11" t="n"/>
      <c r="F196" s="10">
        <f>IF(E196="","",IFERROR(VLOOKUP(E196,T_PERK,2,FALSE),0))</f>
        <v/>
      </c>
      <c r="G196" s="11" t="n"/>
      <c r="H196" s="10">
        <f>IF(G196="","",IFERROR(VLOOKUP(G196,T_ANUG,2,FALSE),0))</f>
        <v/>
      </c>
      <c r="I196" s="11" t="n"/>
      <c r="J196" s="11" t="n"/>
      <c r="K196" s="11" t="n"/>
      <c r="L196" s="11" t="n"/>
      <c r="M196" s="11" t="n"/>
      <c r="N196" s="11" t="n"/>
      <c r="O196" s="11" t="n"/>
      <c r="P196" s="10">
        <f>IF(COUNTA(I196:O196)=0,"",MIN(10,SUM(I196:O196)))</f>
        <v/>
      </c>
      <c r="Q196" s="11" t="n"/>
      <c r="R196" s="10">
        <f>IF(Q196="","",IFERROR(VLOOKUP(Q196,T_NILAM,2,FALSE),0))</f>
        <v/>
      </c>
      <c r="S196" s="11" t="n"/>
      <c r="T196" s="10">
        <f>IF(S196="","",IFERROR(VLOOKUP(S196,T_TIMSS,2,FALSE),0))</f>
        <v/>
      </c>
      <c r="U196" s="19">
        <f>IF(COUNT(F196,H196,P196,R196,T196)=0,"",MIN(10,MAX(F196,H196,P196,R196,T196)))</f>
        <v/>
      </c>
      <c r="V196" s="11" t="n"/>
    </row>
    <row r="197">
      <c r="A197" s="15">
        <f>Murid!A197</f>
        <v/>
      </c>
      <c r="B197" s="15">
        <f>IF(Murid!B197="","",Murid!B197)</f>
        <v/>
      </c>
      <c r="C197" s="16">
        <f>IF(Murid!C197="","",Murid!C197)</f>
        <v/>
      </c>
      <c r="D197" s="15">
        <f>IF(Murid!E197="","",Murid!E197)</f>
        <v/>
      </c>
      <c r="E197" s="11" t="n"/>
      <c r="F197" s="10">
        <f>IF(E197="","",IFERROR(VLOOKUP(E197,T_PERK,2,FALSE),0))</f>
        <v/>
      </c>
      <c r="G197" s="11" t="n"/>
      <c r="H197" s="10">
        <f>IF(G197="","",IFERROR(VLOOKUP(G197,T_ANUG,2,FALSE),0))</f>
        <v/>
      </c>
      <c r="I197" s="11" t="n"/>
      <c r="J197" s="11" t="n"/>
      <c r="K197" s="11" t="n"/>
      <c r="L197" s="11" t="n"/>
      <c r="M197" s="11" t="n"/>
      <c r="N197" s="11" t="n"/>
      <c r="O197" s="11" t="n"/>
      <c r="P197" s="10">
        <f>IF(COUNTA(I197:O197)=0,"",MIN(10,SUM(I197:O197)))</f>
        <v/>
      </c>
      <c r="Q197" s="11" t="n"/>
      <c r="R197" s="10">
        <f>IF(Q197="","",IFERROR(VLOOKUP(Q197,T_NILAM,2,FALSE),0))</f>
        <v/>
      </c>
      <c r="S197" s="11" t="n"/>
      <c r="T197" s="10">
        <f>IF(S197="","",IFERROR(VLOOKUP(S197,T_TIMSS,2,FALSE),0))</f>
        <v/>
      </c>
      <c r="U197" s="19">
        <f>IF(COUNT(F197,H197,P197,R197,T197)=0,"",MIN(10,MAX(F197,H197,P197,R197,T197)))</f>
        <v/>
      </c>
      <c r="V197" s="11" t="n"/>
    </row>
    <row r="198">
      <c r="A198" s="15">
        <f>Murid!A198</f>
        <v/>
      </c>
      <c r="B198" s="15">
        <f>IF(Murid!B198="","",Murid!B198)</f>
        <v/>
      </c>
      <c r="C198" s="16">
        <f>IF(Murid!C198="","",Murid!C198)</f>
        <v/>
      </c>
      <c r="D198" s="15">
        <f>IF(Murid!E198="","",Murid!E198)</f>
        <v/>
      </c>
      <c r="E198" s="11" t="n"/>
      <c r="F198" s="10">
        <f>IF(E198="","",IFERROR(VLOOKUP(E198,T_PERK,2,FALSE),0))</f>
        <v/>
      </c>
      <c r="G198" s="11" t="n"/>
      <c r="H198" s="10">
        <f>IF(G198="","",IFERROR(VLOOKUP(G198,T_ANUG,2,FALSE),0))</f>
        <v/>
      </c>
      <c r="I198" s="11" t="n"/>
      <c r="J198" s="11" t="n"/>
      <c r="K198" s="11" t="n"/>
      <c r="L198" s="11" t="n"/>
      <c r="M198" s="11" t="n"/>
      <c r="N198" s="11" t="n"/>
      <c r="O198" s="11" t="n"/>
      <c r="P198" s="10">
        <f>IF(COUNTA(I198:O198)=0,"",MIN(10,SUM(I198:O198)))</f>
        <v/>
      </c>
      <c r="Q198" s="11" t="n"/>
      <c r="R198" s="10">
        <f>IF(Q198="","",IFERROR(VLOOKUP(Q198,T_NILAM,2,FALSE),0))</f>
        <v/>
      </c>
      <c r="S198" s="11" t="n"/>
      <c r="T198" s="10">
        <f>IF(S198="","",IFERROR(VLOOKUP(S198,T_TIMSS,2,FALSE),0))</f>
        <v/>
      </c>
      <c r="U198" s="19">
        <f>IF(COUNT(F198,H198,P198,R198,T198)=0,"",MIN(10,MAX(F198,H198,P198,R198,T198)))</f>
        <v/>
      </c>
      <c r="V198" s="11" t="n"/>
    </row>
    <row r="199">
      <c r="A199" s="15">
        <f>Murid!A199</f>
        <v/>
      </c>
      <c r="B199" s="15">
        <f>IF(Murid!B199="","",Murid!B199)</f>
        <v/>
      </c>
      <c r="C199" s="16">
        <f>IF(Murid!C199="","",Murid!C199)</f>
        <v/>
      </c>
      <c r="D199" s="15">
        <f>IF(Murid!E199="","",Murid!E199)</f>
        <v/>
      </c>
      <c r="E199" s="11" t="n"/>
      <c r="F199" s="10">
        <f>IF(E199="","",IFERROR(VLOOKUP(E199,T_PERK,2,FALSE),0))</f>
        <v/>
      </c>
      <c r="G199" s="11" t="n"/>
      <c r="H199" s="10">
        <f>IF(G199="","",IFERROR(VLOOKUP(G199,T_ANUG,2,FALSE),0))</f>
        <v/>
      </c>
      <c r="I199" s="11" t="n"/>
      <c r="J199" s="11" t="n"/>
      <c r="K199" s="11" t="n"/>
      <c r="L199" s="11" t="n"/>
      <c r="M199" s="11" t="n"/>
      <c r="N199" s="11" t="n"/>
      <c r="O199" s="11" t="n"/>
      <c r="P199" s="10">
        <f>IF(COUNTA(I199:O199)=0,"",MIN(10,SUM(I199:O199)))</f>
        <v/>
      </c>
      <c r="Q199" s="11" t="n"/>
      <c r="R199" s="10">
        <f>IF(Q199="","",IFERROR(VLOOKUP(Q199,T_NILAM,2,FALSE),0))</f>
        <v/>
      </c>
      <c r="S199" s="11" t="n"/>
      <c r="T199" s="10">
        <f>IF(S199="","",IFERROR(VLOOKUP(S199,T_TIMSS,2,FALSE),0))</f>
        <v/>
      </c>
      <c r="U199" s="19">
        <f>IF(COUNT(F199,H199,P199,R199,T199)=0,"",MIN(10,MAX(F199,H199,P199,R199,T199)))</f>
        <v/>
      </c>
      <c r="V199" s="11" t="n"/>
    </row>
    <row r="200">
      <c r="A200" s="15">
        <f>Murid!A200</f>
        <v/>
      </c>
      <c r="B200" s="15">
        <f>IF(Murid!B200="","",Murid!B200)</f>
        <v/>
      </c>
      <c r="C200" s="16">
        <f>IF(Murid!C200="","",Murid!C200)</f>
        <v/>
      </c>
      <c r="D200" s="15">
        <f>IF(Murid!E200="","",Murid!E200)</f>
        <v/>
      </c>
      <c r="E200" s="11" t="n"/>
      <c r="F200" s="10">
        <f>IF(E200="","",IFERROR(VLOOKUP(E200,T_PERK,2,FALSE),0))</f>
        <v/>
      </c>
      <c r="G200" s="11" t="n"/>
      <c r="H200" s="10">
        <f>IF(G200="","",IFERROR(VLOOKUP(G200,T_ANUG,2,FALSE),0))</f>
        <v/>
      </c>
      <c r="I200" s="11" t="n"/>
      <c r="J200" s="11" t="n"/>
      <c r="K200" s="11" t="n"/>
      <c r="L200" s="11" t="n"/>
      <c r="M200" s="11" t="n"/>
      <c r="N200" s="11" t="n"/>
      <c r="O200" s="11" t="n"/>
      <c r="P200" s="10">
        <f>IF(COUNTA(I200:O200)=0,"",MIN(10,SUM(I200:O200)))</f>
        <v/>
      </c>
      <c r="Q200" s="11" t="n"/>
      <c r="R200" s="10">
        <f>IF(Q200="","",IFERROR(VLOOKUP(Q200,T_NILAM,2,FALSE),0))</f>
        <v/>
      </c>
      <c r="S200" s="11" t="n"/>
      <c r="T200" s="10">
        <f>IF(S200="","",IFERROR(VLOOKUP(S200,T_TIMSS,2,FALSE),0))</f>
        <v/>
      </c>
      <c r="U200" s="19">
        <f>IF(COUNT(F200,H200,P200,R200,T200)=0,"",MIN(10,MAX(F200,H200,P200,R200,T200)))</f>
        <v/>
      </c>
      <c r="V200" s="11" t="n"/>
    </row>
    <row r="201">
      <c r="A201" s="15">
        <f>Murid!A201</f>
        <v/>
      </c>
      <c r="B201" s="15">
        <f>IF(Murid!B201="","",Murid!B201)</f>
        <v/>
      </c>
      <c r="C201" s="16">
        <f>IF(Murid!C201="","",Murid!C201)</f>
        <v/>
      </c>
      <c r="D201" s="15">
        <f>IF(Murid!E201="","",Murid!E201)</f>
        <v/>
      </c>
      <c r="E201" s="11" t="n"/>
      <c r="F201" s="10">
        <f>IF(E201="","",IFERROR(VLOOKUP(E201,T_PERK,2,FALSE),0))</f>
        <v/>
      </c>
      <c r="G201" s="11" t="n"/>
      <c r="H201" s="10">
        <f>IF(G201="","",IFERROR(VLOOKUP(G201,T_ANUG,2,FALSE),0))</f>
        <v/>
      </c>
      <c r="I201" s="11" t="n"/>
      <c r="J201" s="11" t="n"/>
      <c r="K201" s="11" t="n"/>
      <c r="L201" s="11" t="n"/>
      <c r="M201" s="11" t="n"/>
      <c r="N201" s="11" t="n"/>
      <c r="O201" s="11" t="n"/>
      <c r="P201" s="10">
        <f>IF(COUNTA(I201:O201)=0,"",MIN(10,SUM(I201:O201)))</f>
        <v/>
      </c>
      <c r="Q201" s="11" t="n"/>
      <c r="R201" s="10">
        <f>IF(Q201="","",IFERROR(VLOOKUP(Q201,T_NILAM,2,FALSE),0))</f>
        <v/>
      </c>
      <c r="S201" s="11" t="n"/>
      <c r="T201" s="10">
        <f>IF(S201="","",IFERROR(VLOOKUP(S201,T_TIMSS,2,FALSE),0))</f>
        <v/>
      </c>
      <c r="U201" s="19">
        <f>IF(COUNT(F201,H201,P201,R201,T201)=0,"",MIN(10,MAX(F201,H201,P201,R201,T201)))</f>
        <v/>
      </c>
      <c r="V201" s="11" t="n"/>
    </row>
    <row r="202">
      <c r="A202" s="15">
        <f>Murid!A202</f>
        <v/>
      </c>
      <c r="B202" s="15">
        <f>IF(Murid!B202="","",Murid!B202)</f>
        <v/>
      </c>
      <c r="C202" s="16">
        <f>IF(Murid!C202="","",Murid!C202)</f>
        <v/>
      </c>
      <c r="D202" s="15">
        <f>IF(Murid!E202="","",Murid!E202)</f>
        <v/>
      </c>
      <c r="E202" s="11" t="n"/>
      <c r="F202" s="10">
        <f>IF(E202="","",IFERROR(VLOOKUP(E202,T_PERK,2,FALSE),0))</f>
        <v/>
      </c>
      <c r="G202" s="11" t="n"/>
      <c r="H202" s="10">
        <f>IF(G202="","",IFERROR(VLOOKUP(G202,T_ANUG,2,FALSE),0))</f>
        <v/>
      </c>
      <c r="I202" s="11" t="n"/>
      <c r="J202" s="11" t="n"/>
      <c r="K202" s="11" t="n"/>
      <c r="L202" s="11" t="n"/>
      <c r="M202" s="11" t="n"/>
      <c r="N202" s="11" t="n"/>
      <c r="O202" s="11" t="n"/>
      <c r="P202" s="10">
        <f>IF(COUNTA(I202:O202)=0,"",MIN(10,SUM(I202:O202)))</f>
        <v/>
      </c>
      <c r="Q202" s="11" t="n"/>
      <c r="R202" s="10">
        <f>IF(Q202="","",IFERROR(VLOOKUP(Q202,T_NILAM,2,FALSE),0))</f>
        <v/>
      </c>
      <c r="S202" s="11" t="n"/>
      <c r="T202" s="10">
        <f>IF(S202="","",IFERROR(VLOOKUP(S202,T_TIMSS,2,FALSE),0))</f>
        <v/>
      </c>
      <c r="U202" s="19">
        <f>IF(COUNT(F202,H202,P202,R202,T202)=0,"",MIN(10,MAX(F202,H202,P202,R202,T202)))</f>
        <v/>
      </c>
      <c r="V202" s="11" t="n"/>
    </row>
    <row r="203">
      <c r="A203" s="15">
        <f>Murid!A203</f>
        <v/>
      </c>
      <c r="B203" s="15">
        <f>IF(Murid!B203="","",Murid!B203)</f>
        <v/>
      </c>
      <c r="C203" s="16">
        <f>IF(Murid!C203="","",Murid!C203)</f>
        <v/>
      </c>
      <c r="D203" s="15">
        <f>IF(Murid!E203="","",Murid!E203)</f>
        <v/>
      </c>
      <c r="E203" s="11" t="n"/>
      <c r="F203" s="10">
        <f>IF(E203="","",IFERROR(VLOOKUP(E203,T_PERK,2,FALSE),0))</f>
        <v/>
      </c>
      <c r="G203" s="11" t="n"/>
      <c r="H203" s="10">
        <f>IF(G203="","",IFERROR(VLOOKUP(G203,T_ANUG,2,FALSE),0))</f>
        <v/>
      </c>
      <c r="I203" s="11" t="n"/>
      <c r="J203" s="11" t="n"/>
      <c r="K203" s="11" t="n"/>
      <c r="L203" s="11" t="n"/>
      <c r="M203" s="11" t="n"/>
      <c r="N203" s="11" t="n"/>
      <c r="O203" s="11" t="n"/>
      <c r="P203" s="10">
        <f>IF(COUNTA(I203:O203)=0,"",MIN(10,SUM(I203:O203)))</f>
        <v/>
      </c>
      <c r="Q203" s="11" t="n"/>
      <c r="R203" s="10">
        <f>IF(Q203="","",IFERROR(VLOOKUP(Q203,T_NILAM,2,FALSE),0))</f>
        <v/>
      </c>
      <c r="S203" s="11" t="n"/>
      <c r="T203" s="10">
        <f>IF(S203="","",IFERROR(VLOOKUP(S203,T_TIMSS,2,FALSE),0))</f>
        <v/>
      </c>
      <c r="U203" s="19">
        <f>IF(COUNT(F203,H203,P203,R203,T203)=0,"",MIN(10,MAX(F203,H203,P203,R203,T203)))</f>
        <v/>
      </c>
      <c r="V203" s="11" t="n"/>
    </row>
    <row r="204">
      <c r="A204" s="15">
        <f>Murid!A204</f>
        <v/>
      </c>
      <c r="B204" s="15">
        <f>IF(Murid!B204="","",Murid!B204)</f>
        <v/>
      </c>
      <c r="C204" s="16">
        <f>IF(Murid!C204="","",Murid!C204)</f>
        <v/>
      </c>
      <c r="D204" s="15">
        <f>IF(Murid!E204="","",Murid!E204)</f>
        <v/>
      </c>
      <c r="E204" s="11" t="n"/>
      <c r="F204" s="10">
        <f>IF(E204="","",IFERROR(VLOOKUP(E204,T_PERK,2,FALSE),0))</f>
        <v/>
      </c>
      <c r="G204" s="11" t="n"/>
      <c r="H204" s="10">
        <f>IF(G204="","",IFERROR(VLOOKUP(G204,T_ANUG,2,FALSE),0))</f>
        <v/>
      </c>
      <c r="I204" s="11" t="n"/>
      <c r="J204" s="11" t="n"/>
      <c r="K204" s="11" t="n"/>
      <c r="L204" s="11" t="n"/>
      <c r="M204" s="11" t="n"/>
      <c r="N204" s="11" t="n"/>
      <c r="O204" s="11" t="n"/>
      <c r="P204" s="10">
        <f>IF(COUNTA(I204:O204)=0,"",MIN(10,SUM(I204:O204)))</f>
        <v/>
      </c>
      <c r="Q204" s="11" t="n"/>
      <c r="R204" s="10">
        <f>IF(Q204="","",IFERROR(VLOOKUP(Q204,T_NILAM,2,FALSE),0))</f>
        <v/>
      </c>
      <c r="S204" s="11" t="n"/>
      <c r="T204" s="10">
        <f>IF(S204="","",IFERROR(VLOOKUP(S204,T_TIMSS,2,FALSE),0))</f>
        <v/>
      </c>
      <c r="U204" s="19">
        <f>IF(COUNT(F204,H204,P204,R204,T204)=0,"",MIN(10,MAX(F204,H204,P204,R204,T204)))</f>
        <v/>
      </c>
      <c r="V204" s="11" t="n"/>
    </row>
    <row r="205">
      <c r="A205" s="15">
        <f>Murid!A205</f>
        <v/>
      </c>
      <c r="B205" s="15">
        <f>IF(Murid!B205="","",Murid!B205)</f>
        <v/>
      </c>
      <c r="C205" s="16">
        <f>IF(Murid!C205="","",Murid!C205)</f>
        <v/>
      </c>
      <c r="D205" s="15">
        <f>IF(Murid!E205="","",Murid!E205)</f>
        <v/>
      </c>
      <c r="E205" s="11" t="n"/>
      <c r="F205" s="10">
        <f>IF(E205="","",IFERROR(VLOOKUP(E205,T_PERK,2,FALSE),0))</f>
        <v/>
      </c>
      <c r="G205" s="11" t="n"/>
      <c r="H205" s="10">
        <f>IF(G205="","",IFERROR(VLOOKUP(G205,T_ANUG,2,FALSE),0))</f>
        <v/>
      </c>
      <c r="I205" s="11" t="n"/>
      <c r="J205" s="11" t="n"/>
      <c r="K205" s="11" t="n"/>
      <c r="L205" s="11" t="n"/>
      <c r="M205" s="11" t="n"/>
      <c r="N205" s="11" t="n"/>
      <c r="O205" s="11" t="n"/>
      <c r="P205" s="10">
        <f>IF(COUNTA(I205:O205)=0,"",MIN(10,SUM(I205:O205)))</f>
        <v/>
      </c>
      <c r="Q205" s="11" t="n"/>
      <c r="R205" s="10">
        <f>IF(Q205="","",IFERROR(VLOOKUP(Q205,T_NILAM,2,FALSE),0))</f>
        <v/>
      </c>
      <c r="S205" s="11" t="n"/>
      <c r="T205" s="10">
        <f>IF(S205="","",IFERROR(VLOOKUP(S205,T_TIMSS,2,FALSE),0))</f>
        <v/>
      </c>
      <c r="U205" s="19">
        <f>IF(COUNT(F205,H205,P205,R205,T205)=0,"",MIN(10,MAX(F205,H205,P205,R205,T205)))</f>
        <v/>
      </c>
      <c r="V205" s="11" t="n"/>
    </row>
    <row r="206">
      <c r="A206" s="15">
        <f>Murid!A206</f>
        <v/>
      </c>
      <c r="B206" s="15">
        <f>IF(Murid!B206="","",Murid!B206)</f>
        <v/>
      </c>
      <c r="C206" s="16">
        <f>IF(Murid!C206="","",Murid!C206)</f>
        <v/>
      </c>
      <c r="D206" s="15">
        <f>IF(Murid!E206="","",Murid!E206)</f>
        <v/>
      </c>
      <c r="E206" s="11" t="n"/>
      <c r="F206" s="10">
        <f>IF(E206="","",IFERROR(VLOOKUP(E206,T_PERK,2,FALSE),0))</f>
        <v/>
      </c>
      <c r="G206" s="11" t="n"/>
      <c r="H206" s="10">
        <f>IF(G206="","",IFERROR(VLOOKUP(G206,T_ANUG,2,FALSE),0))</f>
        <v/>
      </c>
      <c r="I206" s="11" t="n"/>
      <c r="J206" s="11" t="n"/>
      <c r="K206" s="11" t="n"/>
      <c r="L206" s="11" t="n"/>
      <c r="M206" s="11" t="n"/>
      <c r="N206" s="11" t="n"/>
      <c r="O206" s="11" t="n"/>
      <c r="P206" s="10">
        <f>IF(COUNTA(I206:O206)=0,"",MIN(10,SUM(I206:O206)))</f>
        <v/>
      </c>
      <c r="Q206" s="11" t="n"/>
      <c r="R206" s="10">
        <f>IF(Q206="","",IFERROR(VLOOKUP(Q206,T_NILAM,2,FALSE),0))</f>
        <v/>
      </c>
      <c r="S206" s="11" t="n"/>
      <c r="T206" s="10">
        <f>IF(S206="","",IFERROR(VLOOKUP(S206,T_TIMSS,2,FALSE),0))</f>
        <v/>
      </c>
      <c r="U206" s="19">
        <f>IF(COUNT(F206,H206,P206,R206,T206)=0,"",MIN(10,MAX(F206,H206,P206,R206,T206)))</f>
        <v/>
      </c>
      <c r="V206" s="11" t="n"/>
    </row>
    <row r="207">
      <c r="A207" s="15">
        <f>Murid!A207</f>
        <v/>
      </c>
      <c r="B207" s="15">
        <f>IF(Murid!B207="","",Murid!B207)</f>
        <v/>
      </c>
      <c r="C207" s="16">
        <f>IF(Murid!C207="","",Murid!C207)</f>
        <v/>
      </c>
      <c r="D207" s="15">
        <f>IF(Murid!E207="","",Murid!E207)</f>
        <v/>
      </c>
      <c r="E207" s="11" t="n"/>
      <c r="F207" s="10">
        <f>IF(E207="","",IFERROR(VLOOKUP(E207,T_PERK,2,FALSE),0))</f>
        <v/>
      </c>
      <c r="G207" s="11" t="n"/>
      <c r="H207" s="10">
        <f>IF(G207="","",IFERROR(VLOOKUP(G207,T_ANUG,2,FALSE),0))</f>
        <v/>
      </c>
      <c r="I207" s="11" t="n"/>
      <c r="J207" s="11" t="n"/>
      <c r="K207" s="11" t="n"/>
      <c r="L207" s="11" t="n"/>
      <c r="M207" s="11" t="n"/>
      <c r="N207" s="11" t="n"/>
      <c r="O207" s="11" t="n"/>
      <c r="P207" s="10">
        <f>IF(COUNTA(I207:O207)=0,"",MIN(10,SUM(I207:O207)))</f>
        <v/>
      </c>
      <c r="Q207" s="11" t="n"/>
      <c r="R207" s="10">
        <f>IF(Q207="","",IFERROR(VLOOKUP(Q207,T_NILAM,2,FALSE),0))</f>
        <v/>
      </c>
      <c r="S207" s="11" t="n"/>
      <c r="T207" s="10">
        <f>IF(S207="","",IFERROR(VLOOKUP(S207,T_TIMSS,2,FALSE),0))</f>
        <v/>
      </c>
      <c r="U207" s="19">
        <f>IF(COUNT(F207,H207,P207,R207,T207)=0,"",MIN(10,MAX(F207,H207,P207,R207,T207)))</f>
        <v/>
      </c>
      <c r="V207" s="11" t="n"/>
    </row>
    <row r="208">
      <c r="A208" s="15">
        <f>Murid!A208</f>
        <v/>
      </c>
      <c r="B208" s="15">
        <f>IF(Murid!B208="","",Murid!B208)</f>
        <v/>
      </c>
      <c r="C208" s="16">
        <f>IF(Murid!C208="","",Murid!C208)</f>
        <v/>
      </c>
      <c r="D208" s="15">
        <f>IF(Murid!E208="","",Murid!E208)</f>
        <v/>
      </c>
      <c r="E208" s="11" t="n"/>
      <c r="F208" s="10">
        <f>IF(E208="","",IFERROR(VLOOKUP(E208,T_PERK,2,FALSE),0))</f>
        <v/>
      </c>
      <c r="G208" s="11" t="n"/>
      <c r="H208" s="10">
        <f>IF(G208="","",IFERROR(VLOOKUP(G208,T_ANUG,2,FALSE),0))</f>
        <v/>
      </c>
      <c r="I208" s="11" t="n"/>
      <c r="J208" s="11" t="n"/>
      <c r="K208" s="11" t="n"/>
      <c r="L208" s="11" t="n"/>
      <c r="M208" s="11" t="n"/>
      <c r="N208" s="11" t="n"/>
      <c r="O208" s="11" t="n"/>
      <c r="P208" s="10">
        <f>IF(COUNTA(I208:O208)=0,"",MIN(10,SUM(I208:O208)))</f>
        <v/>
      </c>
      <c r="Q208" s="11" t="n"/>
      <c r="R208" s="10">
        <f>IF(Q208="","",IFERROR(VLOOKUP(Q208,T_NILAM,2,FALSE),0))</f>
        <v/>
      </c>
      <c r="S208" s="11" t="n"/>
      <c r="T208" s="10">
        <f>IF(S208="","",IFERROR(VLOOKUP(S208,T_TIMSS,2,FALSE),0))</f>
        <v/>
      </c>
      <c r="U208" s="19">
        <f>IF(COUNT(F208,H208,P208,R208,T208)=0,"",MIN(10,MAX(F208,H208,P208,R208,T208)))</f>
        <v/>
      </c>
      <c r="V208" s="11" t="n"/>
    </row>
    <row r="209">
      <c r="A209" s="15">
        <f>Murid!A209</f>
        <v/>
      </c>
      <c r="B209" s="15">
        <f>IF(Murid!B209="","",Murid!B209)</f>
        <v/>
      </c>
      <c r="C209" s="16">
        <f>IF(Murid!C209="","",Murid!C209)</f>
        <v/>
      </c>
      <c r="D209" s="15">
        <f>IF(Murid!E209="","",Murid!E209)</f>
        <v/>
      </c>
      <c r="E209" s="11" t="n"/>
      <c r="F209" s="10">
        <f>IF(E209="","",IFERROR(VLOOKUP(E209,T_PERK,2,FALSE),0))</f>
        <v/>
      </c>
      <c r="G209" s="11" t="n"/>
      <c r="H209" s="10">
        <f>IF(G209="","",IFERROR(VLOOKUP(G209,T_ANUG,2,FALSE),0))</f>
        <v/>
      </c>
      <c r="I209" s="11" t="n"/>
      <c r="J209" s="11" t="n"/>
      <c r="K209" s="11" t="n"/>
      <c r="L209" s="11" t="n"/>
      <c r="M209" s="11" t="n"/>
      <c r="N209" s="11" t="n"/>
      <c r="O209" s="11" t="n"/>
      <c r="P209" s="10">
        <f>IF(COUNTA(I209:O209)=0,"",MIN(10,SUM(I209:O209)))</f>
        <v/>
      </c>
      <c r="Q209" s="11" t="n"/>
      <c r="R209" s="10">
        <f>IF(Q209="","",IFERROR(VLOOKUP(Q209,T_NILAM,2,FALSE),0))</f>
        <v/>
      </c>
      <c r="S209" s="11" t="n"/>
      <c r="T209" s="10">
        <f>IF(S209="","",IFERROR(VLOOKUP(S209,T_TIMSS,2,FALSE),0))</f>
        <v/>
      </c>
      <c r="U209" s="19">
        <f>IF(COUNT(F209,H209,P209,R209,T209)=0,"",MIN(10,MAX(F209,H209,P209,R209,T209)))</f>
        <v/>
      </c>
      <c r="V209" s="11" t="n"/>
    </row>
    <row r="210">
      <c r="A210" s="15">
        <f>Murid!A210</f>
        <v/>
      </c>
      <c r="B210" s="15">
        <f>IF(Murid!B210="","",Murid!B210)</f>
        <v/>
      </c>
      <c r="C210" s="16">
        <f>IF(Murid!C210="","",Murid!C210)</f>
        <v/>
      </c>
      <c r="D210" s="15">
        <f>IF(Murid!E210="","",Murid!E210)</f>
        <v/>
      </c>
      <c r="E210" s="11" t="n"/>
      <c r="F210" s="10">
        <f>IF(E210="","",IFERROR(VLOOKUP(E210,T_PERK,2,FALSE),0))</f>
        <v/>
      </c>
      <c r="G210" s="11" t="n"/>
      <c r="H210" s="10">
        <f>IF(G210="","",IFERROR(VLOOKUP(G210,T_ANUG,2,FALSE),0))</f>
        <v/>
      </c>
      <c r="I210" s="11" t="n"/>
      <c r="J210" s="11" t="n"/>
      <c r="K210" s="11" t="n"/>
      <c r="L210" s="11" t="n"/>
      <c r="M210" s="11" t="n"/>
      <c r="N210" s="11" t="n"/>
      <c r="O210" s="11" t="n"/>
      <c r="P210" s="10">
        <f>IF(COUNTA(I210:O210)=0,"",MIN(10,SUM(I210:O210)))</f>
        <v/>
      </c>
      <c r="Q210" s="11" t="n"/>
      <c r="R210" s="10">
        <f>IF(Q210="","",IFERROR(VLOOKUP(Q210,T_NILAM,2,FALSE),0))</f>
        <v/>
      </c>
      <c r="S210" s="11" t="n"/>
      <c r="T210" s="10">
        <f>IF(S210="","",IFERROR(VLOOKUP(S210,T_TIMSS,2,FALSE),0))</f>
        <v/>
      </c>
      <c r="U210" s="19">
        <f>IF(COUNT(F210,H210,P210,R210,T210)=0,"",MIN(10,MAX(F210,H210,P210,R210,T210)))</f>
        <v/>
      </c>
      <c r="V210" s="11" t="n"/>
    </row>
    <row r="211">
      <c r="A211" s="15">
        <f>Murid!A211</f>
        <v/>
      </c>
      <c r="B211" s="15">
        <f>IF(Murid!B211="","",Murid!B211)</f>
        <v/>
      </c>
      <c r="C211" s="16">
        <f>IF(Murid!C211="","",Murid!C211)</f>
        <v/>
      </c>
      <c r="D211" s="15">
        <f>IF(Murid!E211="","",Murid!E211)</f>
        <v/>
      </c>
      <c r="E211" s="11" t="n"/>
      <c r="F211" s="10">
        <f>IF(E211="","",IFERROR(VLOOKUP(E211,T_PERK,2,FALSE),0))</f>
        <v/>
      </c>
      <c r="G211" s="11" t="n"/>
      <c r="H211" s="10">
        <f>IF(G211="","",IFERROR(VLOOKUP(G211,T_ANUG,2,FALSE),0))</f>
        <v/>
      </c>
      <c r="I211" s="11" t="n"/>
      <c r="J211" s="11" t="n"/>
      <c r="K211" s="11" t="n"/>
      <c r="L211" s="11" t="n"/>
      <c r="M211" s="11" t="n"/>
      <c r="N211" s="11" t="n"/>
      <c r="O211" s="11" t="n"/>
      <c r="P211" s="10">
        <f>IF(COUNTA(I211:O211)=0,"",MIN(10,SUM(I211:O211)))</f>
        <v/>
      </c>
      <c r="Q211" s="11" t="n"/>
      <c r="R211" s="10">
        <f>IF(Q211="","",IFERROR(VLOOKUP(Q211,T_NILAM,2,FALSE),0))</f>
        <v/>
      </c>
      <c r="S211" s="11" t="n"/>
      <c r="T211" s="10">
        <f>IF(S211="","",IFERROR(VLOOKUP(S211,T_TIMSS,2,FALSE),0))</f>
        <v/>
      </c>
      <c r="U211" s="19">
        <f>IF(COUNT(F211,H211,P211,R211,T211)=0,"",MIN(10,MAX(F211,H211,P211,R211,T211)))</f>
        <v/>
      </c>
      <c r="V211" s="11" t="n"/>
    </row>
    <row r="212">
      <c r="A212" s="15">
        <f>Murid!A212</f>
        <v/>
      </c>
      <c r="B212" s="15">
        <f>IF(Murid!B212="","",Murid!B212)</f>
        <v/>
      </c>
      <c r="C212" s="16">
        <f>IF(Murid!C212="","",Murid!C212)</f>
        <v/>
      </c>
      <c r="D212" s="15">
        <f>IF(Murid!E212="","",Murid!E212)</f>
        <v/>
      </c>
      <c r="E212" s="11" t="n"/>
      <c r="F212" s="10">
        <f>IF(E212="","",IFERROR(VLOOKUP(E212,T_PERK,2,FALSE),0))</f>
        <v/>
      </c>
      <c r="G212" s="11" t="n"/>
      <c r="H212" s="10">
        <f>IF(G212="","",IFERROR(VLOOKUP(G212,T_ANUG,2,FALSE),0))</f>
        <v/>
      </c>
      <c r="I212" s="11" t="n"/>
      <c r="J212" s="11" t="n"/>
      <c r="K212" s="11" t="n"/>
      <c r="L212" s="11" t="n"/>
      <c r="M212" s="11" t="n"/>
      <c r="N212" s="11" t="n"/>
      <c r="O212" s="11" t="n"/>
      <c r="P212" s="10">
        <f>IF(COUNTA(I212:O212)=0,"",MIN(10,SUM(I212:O212)))</f>
        <v/>
      </c>
      <c r="Q212" s="11" t="n"/>
      <c r="R212" s="10">
        <f>IF(Q212="","",IFERROR(VLOOKUP(Q212,T_NILAM,2,FALSE),0))</f>
        <v/>
      </c>
      <c r="S212" s="11" t="n"/>
      <c r="T212" s="10">
        <f>IF(S212="","",IFERROR(VLOOKUP(S212,T_TIMSS,2,FALSE),0))</f>
        <v/>
      </c>
      <c r="U212" s="19">
        <f>IF(COUNT(F212,H212,P212,R212,T212)=0,"",MIN(10,MAX(F212,H212,P212,R212,T212)))</f>
        <v/>
      </c>
      <c r="V212" s="11" t="n"/>
    </row>
    <row r="213">
      <c r="A213" s="15">
        <f>Murid!A213</f>
        <v/>
      </c>
      <c r="B213" s="15">
        <f>IF(Murid!B213="","",Murid!B213)</f>
        <v/>
      </c>
      <c r="C213" s="16">
        <f>IF(Murid!C213="","",Murid!C213)</f>
        <v/>
      </c>
      <c r="D213" s="15">
        <f>IF(Murid!E213="","",Murid!E213)</f>
        <v/>
      </c>
      <c r="E213" s="11" t="n"/>
      <c r="F213" s="10">
        <f>IF(E213="","",IFERROR(VLOOKUP(E213,T_PERK,2,FALSE),0))</f>
        <v/>
      </c>
      <c r="G213" s="11" t="n"/>
      <c r="H213" s="10">
        <f>IF(G213="","",IFERROR(VLOOKUP(G213,T_ANUG,2,FALSE),0))</f>
        <v/>
      </c>
      <c r="I213" s="11" t="n"/>
      <c r="J213" s="11" t="n"/>
      <c r="K213" s="11" t="n"/>
      <c r="L213" s="11" t="n"/>
      <c r="M213" s="11" t="n"/>
      <c r="N213" s="11" t="n"/>
      <c r="O213" s="11" t="n"/>
      <c r="P213" s="10">
        <f>IF(COUNTA(I213:O213)=0,"",MIN(10,SUM(I213:O213)))</f>
        <v/>
      </c>
      <c r="Q213" s="11" t="n"/>
      <c r="R213" s="10">
        <f>IF(Q213="","",IFERROR(VLOOKUP(Q213,T_NILAM,2,FALSE),0))</f>
        <v/>
      </c>
      <c r="S213" s="11" t="n"/>
      <c r="T213" s="10">
        <f>IF(S213="","",IFERROR(VLOOKUP(S213,T_TIMSS,2,FALSE),0))</f>
        <v/>
      </c>
      <c r="U213" s="19">
        <f>IF(COUNT(F213,H213,P213,R213,T213)=0,"",MIN(10,MAX(F213,H213,P213,R213,T213)))</f>
        <v/>
      </c>
      <c r="V213" s="11" t="n"/>
    </row>
    <row r="214">
      <c r="A214" s="15">
        <f>Murid!A214</f>
        <v/>
      </c>
      <c r="B214" s="15">
        <f>IF(Murid!B214="","",Murid!B214)</f>
        <v/>
      </c>
      <c r="C214" s="16">
        <f>IF(Murid!C214="","",Murid!C214)</f>
        <v/>
      </c>
      <c r="D214" s="15">
        <f>IF(Murid!E214="","",Murid!E214)</f>
        <v/>
      </c>
      <c r="E214" s="11" t="n"/>
      <c r="F214" s="10">
        <f>IF(E214="","",IFERROR(VLOOKUP(E214,T_PERK,2,FALSE),0))</f>
        <v/>
      </c>
      <c r="G214" s="11" t="n"/>
      <c r="H214" s="10">
        <f>IF(G214="","",IFERROR(VLOOKUP(G214,T_ANUG,2,FALSE),0))</f>
        <v/>
      </c>
      <c r="I214" s="11" t="n"/>
      <c r="J214" s="11" t="n"/>
      <c r="K214" s="11" t="n"/>
      <c r="L214" s="11" t="n"/>
      <c r="M214" s="11" t="n"/>
      <c r="N214" s="11" t="n"/>
      <c r="O214" s="11" t="n"/>
      <c r="P214" s="10">
        <f>IF(COUNTA(I214:O214)=0,"",MIN(10,SUM(I214:O214)))</f>
        <v/>
      </c>
      <c r="Q214" s="11" t="n"/>
      <c r="R214" s="10">
        <f>IF(Q214="","",IFERROR(VLOOKUP(Q214,T_NILAM,2,FALSE),0))</f>
        <v/>
      </c>
      <c r="S214" s="11" t="n"/>
      <c r="T214" s="10">
        <f>IF(S214="","",IFERROR(VLOOKUP(S214,T_TIMSS,2,FALSE),0))</f>
        <v/>
      </c>
      <c r="U214" s="19">
        <f>IF(COUNT(F214,H214,P214,R214,T214)=0,"",MIN(10,MAX(F214,H214,P214,R214,T214)))</f>
        <v/>
      </c>
      <c r="V214" s="11" t="n"/>
    </row>
    <row r="215">
      <c r="A215" s="15">
        <f>Murid!A215</f>
        <v/>
      </c>
      <c r="B215" s="15">
        <f>IF(Murid!B215="","",Murid!B215)</f>
        <v/>
      </c>
      <c r="C215" s="16">
        <f>IF(Murid!C215="","",Murid!C215)</f>
        <v/>
      </c>
      <c r="D215" s="15">
        <f>IF(Murid!E215="","",Murid!E215)</f>
        <v/>
      </c>
      <c r="E215" s="11" t="n"/>
      <c r="F215" s="10">
        <f>IF(E215="","",IFERROR(VLOOKUP(E215,T_PERK,2,FALSE),0))</f>
        <v/>
      </c>
      <c r="G215" s="11" t="n"/>
      <c r="H215" s="10">
        <f>IF(G215="","",IFERROR(VLOOKUP(G215,T_ANUG,2,FALSE),0))</f>
        <v/>
      </c>
      <c r="I215" s="11" t="n"/>
      <c r="J215" s="11" t="n"/>
      <c r="K215" s="11" t="n"/>
      <c r="L215" s="11" t="n"/>
      <c r="M215" s="11" t="n"/>
      <c r="N215" s="11" t="n"/>
      <c r="O215" s="11" t="n"/>
      <c r="P215" s="10">
        <f>IF(COUNTA(I215:O215)=0,"",MIN(10,SUM(I215:O215)))</f>
        <v/>
      </c>
      <c r="Q215" s="11" t="n"/>
      <c r="R215" s="10">
        <f>IF(Q215="","",IFERROR(VLOOKUP(Q215,T_NILAM,2,FALSE),0))</f>
        <v/>
      </c>
      <c r="S215" s="11" t="n"/>
      <c r="T215" s="10">
        <f>IF(S215="","",IFERROR(VLOOKUP(S215,T_TIMSS,2,FALSE),0))</f>
        <v/>
      </c>
      <c r="U215" s="19">
        <f>IF(COUNT(F215,H215,P215,R215,T215)=0,"",MIN(10,MAX(F215,H215,P215,R215,T215)))</f>
        <v/>
      </c>
      <c r="V215" s="11" t="n"/>
    </row>
    <row r="216">
      <c r="A216" s="15">
        <f>Murid!A216</f>
        <v/>
      </c>
      <c r="B216" s="15">
        <f>IF(Murid!B216="","",Murid!B216)</f>
        <v/>
      </c>
      <c r="C216" s="16">
        <f>IF(Murid!C216="","",Murid!C216)</f>
        <v/>
      </c>
      <c r="D216" s="15">
        <f>IF(Murid!E216="","",Murid!E216)</f>
        <v/>
      </c>
      <c r="E216" s="11" t="n"/>
      <c r="F216" s="10">
        <f>IF(E216="","",IFERROR(VLOOKUP(E216,T_PERK,2,FALSE),0))</f>
        <v/>
      </c>
      <c r="G216" s="11" t="n"/>
      <c r="H216" s="10">
        <f>IF(G216="","",IFERROR(VLOOKUP(G216,T_ANUG,2,FALSE),0))</f>
        <v/>
      </c>
      <c r="I216" s="11" t="n"/>
      <c r="J216" s="11" t="n"/>
      <c r="K216" s="11" t="n"/>
      <c r="L216" s="11" t="n"/>
      <c r="M216" s="11" t="n"/>
      <c r="N216" s="11" t="n"/>
      <c r="O216" s="11" t="n"/>
      <c r="P216" s="10">
        <f>IF(COUNTA(I216:O216)=0,"",MIN(10,SUM(I216:O216)))</f>
        <v/>
      </c>
      <c r="Q216" s="11" t="n"/>
      <c r="R216" s="10">
        <f>IF(Q216="","",IFERROR(VLOOKUP(Q216,T_NILAM,2,FALSE),0))</f>
        <v/>
      </c>
      <c r="S216" s="11" t="n"/>
      <c r="T216" s="10">
        <f>IF(S216="","",IFERROR(VLOOKUP(S216,T_TIMSS,2,FALSE),0))</f>
        <v/>
      </c>
      <c r="U216" s="19">
        <f>IF(COUNT(F216,H216,P216,R216,T216)=0,"",MIN(10,MAX(F216,H216,P216,R216,T216)))</f>
        <v/>
      </c>
      <c r="V216" s="11" t="n"/>
    </row>
    <row r="217">
      <c r="A217" s="15">
        <f>Murid!A217</f>
        <v/>
      </c>
      <c r="B217" s="15">
        <f>IF(Murid!B217="","",Murid!B217)</f>
        <v/>
      </c>
      <c r="C217" s="16">
        <f>IF(Murid!C217="","",Murid!C217)</f>
        <v/>
      </c>
      <c r="D217" s="15">
        <f>IF(Murid!E217="","",Murid!E217)</f>
        <v/>
      </c>
      <c r="E217" s="11" t="n"/>
      <c r="F217" s="10">
        <f>IF(E217="","",IFERROR(VLOOKUP(E217,T_PERK,2,FALSE),0))</f>
        <v/>
      </c>
      <c r="G217" s="11" t="n"/>
      <c r="H217" s="10">
        <f>IF(G217="","",IFERROR(VLOOKUP(G217,T_ANUG,2,FALSE),0))</f>
        <v/>
      </c>
      <c r="I217" s="11" t="n"/>
      <c r="J217" s="11" t="n"/>
      <c r="K217" s="11" t="n"/>
      <c r="L217" s="11" t="n"/>
      <c r="M217" s="11" t="n"/>
      <c r="N217" s="11" t="n"/>
      <c r="O217" s="11" t="n"/>
      <c r="P217" s="10">
        <f>IF(COUNTA(I217:O217)=0,"",MIN(10,SUM(I217:O217)))</f>
        <v/>
      </c>
      <c r="Q217" s="11" t="n"/>
      <c r="R217" s="10">
        <f>IF(Q217="","",IFERROR(VLOOKUP(Q217,T_NILAM,2,FALSE),0))</f>
        <v/>
      </c>
      <c r="S217" s="11" t="n"/>
      <c r="T217" s="10">
        <f>IF(S217="","",IFERROR(VLOOKUP(S217,T_TIMSS,2,FALSE),0))</f>
        <v/>
      </c>
      <c r="U217" s="19">
        <f>IF(COUNT(F217,H217,P217,R217,T217)=0,"",MIN(10,MAX(F217,H217,P217,R217,T217)))</f>
        <v/>
      </c>
      <c r="V217" s="11" t="n"/>
    </row>
    <row r="218">
      <c r="A218" s="15">
        <f>Murid!A218</f>
        <v/>
      </c>
      <c r="B218" s="15">
        <f>IF(Murid!B218="","",Murid!B218)</f>
        <v/>
      </c>
      <c r="C218" s="16">
        <f>IF(Murid!C218="","",Murid!C218)</f>
        <v/>
      </c>
      <c r="D218" s="15">
        <f>IF(Murid!E218="","",Murid!E218)</f>
        <v/>
      </c>
      <c r="E218" s="11" t="n"/>
      <c r="F218" s="10">
        <f>IF(E218="","",IFERROR(VLOOKUP(E218,T_PERK,2,FALSE),0))</f>
        <v/>
      </c>
      <c r="G218" s="11" t="n"/>
      <c r="H218" s="10">
        <f>IF(G218="","",IFERROR(VLOOKUP(G218,T_ANUG,2,FALSE),0))</f>
        <v/>
      </c>
      <c r="I218" s="11" t="n"/>
      <c r="J218" s="11" t="n"/>
      <c r="K218" s="11" t="n"/>
      <c r="L218" s="11" t="n"/>
      <c r="M218" s="11" t="n"/>
      <c r="N218" s="11" t="n"/>
      <c r="O218" s="11" t="n"/>
      <c r="P218" s="10">
        <f>IF(COUNTA(I218:O218)=0,"",MIN(10,SUM(I218:O218)))</f>
        <v/>
      </c>
      <c r="Q218" s="11" t="n"/>
      <c r="R218" s="10">
        <f>IF(Q218="","",IFERROR(VLOOKUP(Q218,T_NILAM,2,FALSE),0))</f>
        <v/>
      </c>
      <c r="S218" s="11" t="n"/>
      <c r="T218" s="10">
        <f>IF(S218="","",IFERROR(VLOOKUP(S218,T_TIMSS,2,FALSE),0))</f>
        <v/>
      </c>
      <c r="U218" s="19">
        <f>IF(COUNT(F218,H218,P218,R218,T218)=0,"",MIN(10,MAX(F218,H218,P218,R218,T218)))</f>
        <v/>
      </c>
      <c r="V218" s="11" t="n"/>
    </row>
    <row r="219">
      <c r="A219" s="15">
        <f>Murid!A219</f>
        <v/>
      </c>
      <c r="B219" s="15">
        <f>IF(Murid!B219="","",Murid!B219)</f>
        <v/>
      </c>
      <c r="C219" s="16">
        <f>IF(Murid!C219="","",Murid!C219)</f>
        <v/>
      </c>
      <c r="D219" s="15">
        <f>IF(Murid!E219="","",Murid!E219)</f>
        <v/>
      </c>
      <c r="E219" s="11" t="n"/>
      <c r="F219" s="10">
        <f>IF(E219="","",IFERROR(VLOOKUP(E219,T_PERK,2,FALSE),0))</f>
        <v/>
      </c>
      <c r="G219" s="11" t="n"/>
      <c r="H219" s="10">
        <f>IF(G219="","",IFERROR(VLOOKUP(G219,T_ANUG,2,FALSE),0))</f>
        <v/>
      </c>
      <c r="I219" s="11" t="n"/>
      <c r="J219" s="11" t="n"/>
      <c r="K219" s="11" t="n"/>
      <c r="L219" s="11" t="n"/>
      <c r="M219" s="11" t="n"/>
      <c r="N219" s="11" t="n"/>
      <c r="O219" s="11" t="n"/>
      <c r="P219" s="10">
        <f>IF(COUNTA(I219:O219)=0,"",MIN(10,SUM(I219:O219)))</f>
        <v/>
      </c>
      <c r="Q219" s="11" t="n"/>
      <c r="R219" s="10">
        <f>IF(Q219="","",IFERROR(VLOOKUP(Q219,T_NILAM,2,FALSE),0))</f>
        <v/>
      </c>
      <c r="S219" s="11" t="n"/>
      <c r="T219" s="10">
        <f>IF(S219="","",IFERROR(VLOOKUP(S219,T_TIMSS,2,FALSE),0))</f>
        <v/>
      </c>
      <c r="U219" s="19">
        <f>IF(COUNT(F219,H219,P219,R219,T219)=0,"",MIN(10,MAX(F219,H219,P219,R219,T219)))</f>
        <v/>
      </c>
      <c r="V219" s="11" t="n"/>
    </row>
    <row r="220">
      <c r="A220" s="15">
        <f>Murid!A220</f>
        <v/>
      </c>
      <c r="B220" s="15">
        <f>IF(Murid!B220="","",Murid!B220)</f>
        <v/>
      </c>
      <c r="C220" s="16">
        <f>IF(Murid!C220="","",Murid!C220)</f>
        <v/>
      </c>
      <c r="D220" s="15">
        <f>IF(Murid!E220="","",Murid!E220)</f>
        <v/>
      </c>
      <c r="E220" s="11" t="n"/>
      <c r="F220" s="10">
        <f>IF(E220="","",IFERROR(VLOOKUP(E220,T_PERK,2,FALSE),0))</f>
        <v/>
      </c>
      <c r="G220" s="11" t="n"/>
      <c r="H220" s="10">
        <f>IF(G220="","",IFERROR(VLOOKUP(G220,T_ANUG,2,FALSE),0))</f>
        <v/>
      </c>
      <c r="I220" s="11" t="n"/>
      <c r="J220" s="11" t="n"/>
      <c r="K220" s="11" t="n"/>
      <c r="L220" s="11" t="n"/>
      <c r="M220" s="11" t="n"/>
      <c r="N220" s="11" t="n"/>
      <c r="O220" s="11" t="n"/>
      <c r="P220" s="10">
        <f>IF(COUNTA(I220:O220)=0,"",MIN(10,SUM(I220:O220)))</f>
        <v/>
      </c>
      <c r="Q220" s="11" t="n"/>
      <c r="R220" s="10">
        <f>IF(Q220="","",IFERROR(VLOOKUP(Q220,T_NILAM,2,FALSE),0))</f>
        <v/>
      </c>
      <c r="S220" s="11" t="n"/>
      <c r="T220" s="10">
        <f>IF(S220="","",IFERROR(VLOOKUP(S220,T_TIMSS,2,FALSE),0))</f>
        <v/>
      </c>
      <c r="U220" s="19">
        <f>IF(COUNT(F220,H220,P220,R220,T220)=0,"",MIN(10,MAX(F220,H220,P220,R220,T220)))</f>
        <v/>
      </c>
      <c r="V220" s="11" t="n"/>
    </row>
    <row r="221">
      <c r="A221" s="15">
        <f>Murid!A221</f>
        <v/>
      </c>
      <c r="B221" s="15">
        <f>IF(Murid!B221="","",Murid!B221)</f>
        <v/>
      </c>
      <c r="C221" s="16">
        <f>IF(Murid!C221="","",Murid!C221)</f>
        <v/>
      </c>
      <c r="D221" s="15">
        <f>IF(Murid!E221="","",Murid!E221)</f>
        <v/>
      </c>
      <c r="E221" s="11" t="n"/>
      <c r="F221" s="10">
        <f>IF(E221="","",IFERROR(VLOOKUP(E221,T_PERK,2,FALSE),0))</f>
        <v/>
      </c>
      <c r="G221" s="11" t="n"/>
      <c r="H221" s="10">
        <f>IF(G221="","",IFERROR(VLOOKUP(G221,T_ANUG,2,FALSE),0))</f>
        <v/>
      </c>
      <c r="I221" s="11" t="n"/>
      <c r="J221" s="11" t="n"/>
      <c r="K221" s="11" t="n"/>
      <c r="L221" s="11" t="n"/>
      <c r="M221" s="11" t="n"/>
      <c r="N221" s="11" t="n"/>
      <c r="O221" s="11" t="n"/>
      <c r="P221" s="10">
        <f>IF(COUNTA(I221:O221)=0,"",MIN(10,SUM(I221:O221)))</f>
        <v/>
      </c>
      <c r="Q221" s="11" t="n"/>
      <c r="R221" s="10">
        <f>IF(Q221="","",IFERROR(VLOOKUP(Q221,T_NILAM,2,FALSE),0))</f>
        <v/>
      </c>
      <c r="S221" s="11" t="n"/>
      <c r="T221" s="10">
        <f>IF(S221="","",IFERROR(VLOOKUP(S221,T_TIMSS,2,FALSE),0))</f>
        <v/>
      </c>
      <c r="U221" s="19">
        <f>IF(COUNT(F221,H221,P221,R221,T221)=0,"",MIN(10,MAX(F221,H221,P221,R221,T221)))</f>
        <v/>
      </c>
      <c r="V221" s="11" t="n"/>
    </row>
    <row r="222">
      <c r="A222" s="15">
        <f>Murid!A222</f>
        <v/>
      </c>
      <c r="B222" s="15">
        <f>IF(Murid!B222="","",Murid!B222)</f>
        <v/>
      </c>
      <c r="C222" s="16">
        <f>IF(Murid!C222="","",Murid!C222)</f>
        <v/>
      </c>
      <c r="D222" s="15">
        <f>IF(Murid!E222="","",Murid!E222)</f>
        <v/>
      </c>
      <c r="E222" s="11" t="n"/>
      <c r="F222" s="10">
        <f>IF(E222="","",IFERROR(VLOOKUP(E222,T_PERK,2,FALSE),0))</f>
        <v/>
      </c>
      <c r="G222" s="11" t="n"/>
      <c r="H222" s="10">
        <f>IF(G222="","",IFERROR(VLOOKUP(G222,T_ANUG,2,FALSE),0))</f>
        <v/>
      </c>
      <c r="I222" s="11" t="n"/>
      <c r="J222" s="11" t="n"/>
      <c r="K222" s="11" t="n"/>
      <c r="L222" s="11" t="n"/>
      <c r="M222" s="11" t="n"/>
      <c r="N222" s="11" t="n"/>
      <c r="O222" s="11" t="n"/>
      <c r="P222" s="10">
        <f>IF(COUNTA(I222:O222)=0,"",MIN(10,SUM(I222:O222)))</f>
        <v/>
      </c>
      <c r="Q222" s="11" t="n"/>
      <c r="R222" s="10">
        <f>IF(Q222="","",IFERROR(VLOOKUP(Q222,T_NILAM,2,FALSE),0))</f>
        <v/>
      </c>
      <c r="S222" s="11" t="n"/>
      <c r="T222" s="10">
        <f>IF(S222="","",IFERROR(VLOOKUP(S222,T_TIMSS,2,FALSE),0))</f>
        <v/>
      </c>
      <c r="U222" s="19">
        <f>IF(COUNT(F222,H222,P222,R222,T222)=0,"",MIN(10,MAX(F222,H222,P222,R222,T222)))</f>
        <v/>
      </c>
      <c r="V222" s="11" t="n"/>
    </row>
    <row r="223">
      <c r="A223" s="15">
        <f>Murid!A223</f>
        <v/>
      </c>
      <c r="B223" s="15">
        <f>IF(Murid!B223="","",Murid!B223)</f>
        <v/>
      </c>
      <c r="C223" s="16">
        <f>IF(Murid!C223="","",Murid!C223)</f>
        <v/>
      </c>
      <c r="D223" s="15">
        <f>IF(Murid!E223="","",Murid!E223)</f>
        <v/>
      </c>
      <c r="E223" s="11" t="n"/>
      <c r="F223" s="10">
        <f>IF(E223="","",IFERROR(VLOOKUP(E223,T_PERK,2,FALSE),0))</f>
        <v/>
      </c>
      <c r="G223" s="11" t="n"/>
      <c r="H223" s="10">
        <f>IF(G223="","",IFERROR(VLOOKUP(G223,T_ANUG,2,FALSE),0))</f>
        <v/>
      </c>
      <c r="I223" s="11" t="n"/>
      <c r="J223" s="11" t="n"/>
      <c r="K223" s="11" t="n"/>
      <c r="L223" s="11" t="n"/>
      <c r="M223" s="11" t="n"/>
      <c r="N223" s="11" t="n"/>
      <c r="O223" s="11" t="n"/>
      <c r="P223" s="10">
        <f>IF(COUNTA(I223:O223)=0,"",MIN(10,SUM(I223:O223)))</f>
        <v/>
      </c>
      <c r="Q223" s="11" t="n"/>
      <c r="R223" s="10">
        <f>IF(Q223="","",IFERROR(VLOOKUP(Q223,T_NILAM,2,FALSE),0))</f>
        <v/>
      </c>
      <c r="S223" s="11" t="n"/>
      <c r="T223" s="10">
        <f>IF(S223="","",IFERROR(VLOOKUP(S223,T_TIMSS,2,FALSE),0))</f>
        <v/>
      </c>
      <c r="U223" s="19">
        <f>IF(COUNT(F223,H223,P223,R223,T223)=0,"",MIN(10,MAX(F223,H223,P223,R223,T223)))</f>
        <v/>
      </c>
      <c r="V223" s="11" t="n"/>
    </row>
    <row r="224">
      <c r="A224" s="15">
        <f>Murid!A224</f>
        <v/>
      </c>
      <c r="B224" s="15">
        <f>IF(Murid!B224="","",Murid!B224)</f>
        <v/>
      </c>
      <c r="C224" s="16">
        <f>IF(Murid!C224="","",Murid!C224)</f>
        <v/>
      </c>
      <c r="D224" s="15">
        <f>IF(Murid!E224="","",Murid!E224)</f>
        <v/>
      </c>
      <c r="E224" s="11" t="n"/>
      <c r="F224" s="10">
        <f>IF(E224="","",IFERROR(VLOOKUP(E224,T_PERK,2,FALSE),0))</f>
        <v/>
      </c>
      <c r="G224" s="11" t="n"/>
      <c r="H224" s="10">
        <f>IF(G224="","",IFERROR(VLOOKUP(G224,T_ANUG,2,FALSE),0))</f>
        <v/>
      </c>
      <c r="I224" s="11" t="n"/>
      <c r="J224" s="11" t="n"/>
      <c r="K224" s="11" t="n"/>
      <c r="L224" s="11" t="n"/>
      <c r="M224" s="11" t="n"/>
      <c r="N224" s="11" t="n"/>
      <c r="O224" s="11" t="n"/>
      <c r="P224" s="10">
        <f>IF(COUNTA(I224:O224)=0,"",MIN(10,SUM(I224:O224)))</f>
        <v/>
      </c>
      <c r="Q224" s="11" t="n"/>
      <c r="R224" s="10">
        <f>IF(Q224="","",IFERROR(VLOOKUP(Q224,T_NILAM,2,FALSE),0))</f>
        <v/>
      </c>
      <c r="S224" s="11" t="n"/>
      <c r="T224" s="10">
        <f>IF(S224="","",IFERROR(VLOOKUP(S224,T_TIMSS,2,FALSE),0))</f>
        <v/>
      </c>
      <c r="U224" s="19">
        <f>IF(COUNT(F224,H224,P224,R224,T224)=0,"",MIN(10,MAX(F224,H224,P224,R224,T224)))</f>
        <v/>
      </c>
      <c r="V224" s="11" t="n"/>
    </row>
    <row r="225">
      <c r="A225" s="15">
        <f>Murid!A225</f>
        <v/>
      </c>
      <c r="B225" s="15">
        <f>IF(Murid!B225="","",Murid!B225)</f>
        <v/>
      </c>
      <c r="C225" s="16">
        <f>IF(Murid!C225="","",Murid!C225)</f>
        <v/>
      </c>
      <c r="D225" s="15">
        <f>IF(Murid!E225="","",Murid!E225)</f>
        <v/>
      </c>
      <c r="E225" s="11" t="n"/>
      <c r="F225" s="10">
        <f>IF(E225="","",IFERROR(VLOOKUP(E225,T_PERK,2,FALSE),0))</f>
        <v/>
      </c>
      <c r="G225" s="11" t="n"/>
      <c r="H225" s="10">
        <f>IF(G225="","",IFERROR(VLOOKUP(G225,T_ANUG,2,FALSE),0))</f>
        <v/>
      </c>
      <c r="I225" s="11" t="n"/>
      <c r="J225" s="11" t="n"/>
      <c r="K225" s="11" t="n"/>
      <c r="L225" s="11" t="n"/>
      <c r="M225" s="11" t="n"/>
      <c r="N225" s="11" t="n"/>
      <c r="O225" s="11" t="n"/>
      <c r="P225" s="10">
        <f>IF(COUNTA(I225:O225)=0,"",MIN(10,SUM(I225:O225)))</f>
        <v/>
      </c>
      <c r="Q225" s="11" t="n"/>
      <c r="R225" s="10">
        <f>IF(Q225="","",IFERROR(VLOOKUP(Q225,T_NILAM,2,FALSE),0))</f>
        <v/>
      </c>
      <c r="S225" s="11" t="n"/>
      <c r="T225" s="10">
        <f>IF(S225="","",IFERROR(VLOOKUP(S225,T_TIMSS,2,FALSE),0))</f>
        <v/>
      </c>
      <c r="U225" s="19">
        <f>IF(COUNT(F225,H225,P225,R225,T225)=0,"",MIN(10,MAX(F225,H225,P225,R225,T225)))</f>
        <v/>
      </c>
      <c r="V225" s="11" t="n"/>
    </row>
    <row r="226">
      <c r="A226" s="15">
        <f>Murid!A226</f>
        <v/>
      </c>
      <c r="B226" s="15">
        <f>IF(Murid!B226="","",Murid!B226)</f>
        <v/>
      </c>
      <c r="C226" s="16">
        <f>IF(Murid!C226="","",Murid!C226)</f>
        <v/>
      </c>
      <c r="D226" s="15">
        <f>IF(Murid!E226="","",Murid!E226)</f>
        <v/>
      </c>
      <c r="E226" s="11" t="n"/>
      <c r="F226" s="10">
        <f>IF(E226="","",IFERROR(VLOOKUP(E226,T_PERK,2,FALSE),0))</f>
        <v/>
      </c>
      <c r="G226" s="11" t="n"/>
      <c r="H226" s="10">
        <f>IF(G226="","",IFERROR(VLOOKUP(G226,T_ANUG,2,FALSE),0))</f>
        <v/>
      </c>
      <c r="I226" s="11" t="n"/>
      <c r="J226" s="11" t="n"/>
      <c r="K226" s="11" t="n"/>
      <c r="L226" s="11" t="n"/>
      <c r="M226" s="11" t="n"/>
      <c r="N226" s="11" t="n"/>
      <c r="O226" s="11" t="n"/>
      <c r="P226" s="10">
        <f>IF(COUNTA(I226:O226)=0,"",MIN(10,SUM(I226:O226)))</f>
        <v/>
      </c>
      <c r="Q226" s="11" t="n"/>
      <c r="R226" s="10">
        <f>IF(Q226="","",IFERROR(VLOOKUP(Q226,T_NILAM,2,FALSE),0))</f>
        <v/>
      </c>
      <c r="S226" s="11" t="n"/>
      <c r="T226" s="10">
        <f>IF(S226="","",IFERROR(VLOOKUP(S226,T_TIMSS,2,FALSE),0))</f>
        <v/>
      </c>
      <c r="U226" s="19">
        <f>IF(COUNT(F226,H226,P226,R226,T226)=0,"",MIN(10,MAX(F226,H226,P226,R226,T226)))</f>
        <v/>
      </c>
      <c r="V226" s="11" t="n"/>
    </row>
    <row r="227">
      <c r="A227" s="15">
        <f>Murid!A227</f>
        <v/>
      </c>
      <c r="B227" s="15">
        <f>IF(Murid!B227="","",Murid!B227)</f>
        <v/>
      </c>
      <c r="C227" s="16">
        <f>IF(Murid!C227="","",Murid!C227)</f>
        <v/>
      </c>
      <c r="D227" s="15">
        <f>IF(Murid!E227="","",Murid!E227)</f>
        <v/>
      </c>
      <c r="E227" s="11" t="n"/>
      <c r="F227" s="10">
        <f>IF(E227="","",IFERROR(VLOOKUP(E227,T_PERK,2,FALSE),0))</f>
        <v/>
      </c>
      <c r="G227" s="11" t="n"/>
      <c r="H227" s="10">
        <f>IF(G227="","",IFERROR(VLOOKUP(G227,T_ANUG,2,FALSE),0))</f>
        <v/>
      </c>
      <c r="I227" s="11" t="n"/>
      <c r="J227" s="11" t="n"/>
      <c r="K227" s="11" t="n"/>
      <c r="L227" s="11" t="n"/>
      <c r="M227" s="11" t="n"/>
      <c r="N227" s="11" t="n"/>
      <c r="O227" s="11" t="n"/>
      <c r="P227" s="10">
        <f>IF(COUNTA(I227:O227)=0,"",MIN(10,SUM(I227:O227)))</f>
        <v/>
      </c>
      <c r="Q227" s="11" t="n"/>
      <c r="R227" s="10">
        <f>IF(Q227="","",IFERROR(VLOOKUP(Q227,T_NILAM,2,FALSE),0))</f>
        <v/>
      </c>
      <c r="S227" s="11" t="n"/>
      <c r="T227" s="10">
        <f>IF(S227="","",IFERROR(VLOOKUP(S227,T_TIMSS,2,FALSE),0))</f>
        <v/>
      </c>
      <c r="U227" s="19">
        <f>IF(COUNT(F227,H227,P227,R227,T227)=0,"",MIN(10,MAX(F227,H227,P227,R227,T227)))</f>
        <v/>
      </c>
      <c r="V227" s="11" t="n"/>
    </row>
    <row r="228">
      <c r="A228" s="15">
        <f>Murid!A228</f>
        <v/>
      </c>
      <c r="B228" s="15">
        <f>IF(Murid!B228="","",Murid!B228)</f>
        <v/>
      </c>
      <c r="C228" s="16">
        <f>IF(Murid!C228="","",Murid!C228)</f>
        <v/>
      </c>
      <c r="D228" s="15">
        <f>IF(Murid!E228="","",Murid!E228)</f>
        <v/>
      </c>
      <c r="E228" s="11" t="n"/>
      <c r="F228" s="10">
        <f>IF(E228="","",IFERROR(VLOOKUP(E228,T_PERK,2,FALSE),0))</f>
        <v/>
      </c>
      <c r="G228" s="11" t="n"/>
      <c r="H228" s="10">
        <f>IF(G228="","",IFERROR(VLOOKUP(G228,T_ANUG,2,FALSE),0))</f>
        <v/>
      </c>
      <c r="I228" s="11" t="n"/>
      <c r="J228" s="11" t="n"/>
      <c r="K228" s="11" t="n"/>
      <c r="L228" s="11" t="n"/>
      <c r="M228" s="11" t="n"/>
      <c r="N228" s="11" t="n"/>
      <c r="O228" s="11" t="n"/>
      <c r="P228" s="10">
        <f>IF(COUNTA(I228:O228)=0,"",MIN(10,SUM(I228:O228)))</f>
        <v/>
      </c>
      <c r="Q228" s="11" t="n"/>
      <c r="R228" s="10">
        <f>IF(Q228="","",IFERROR(VLOOKUP(Q228,T_NILAM,2,FALSE),0))</f>
        <v/>
      </c>
      <c r="S228" s="11" t="n"/>
      <c r="T228" s="10">
        <f>IF(S228="","",IFERROR(VLOOKUP(S228,T_TIMSS,2,FALSE),0))</f>
        <v/>
      </c>
      <c r="U228" s="19">
        <f>IF(COUNT(F228,H228,P228,R228,T228)=0,"",MIN(10,MAX(F228,H228,P228,R228,T228)))</f>
        <v/>
      </c>
      <c r="V228" s="11" t="n"/>
    </row>
    <row r="229">
      <c r="A229" s="15">
        <f>Murid!A229</f>
        <v/>
      </c>
      <c r="B229" s="15">
        <f>IF(Murid!B229="","",Murid!B229)</f>
        <v/>
      </c>
      <c r="C229" s="16">
        <f>IF(Murid!C229="","",Murid!C229)</f>
        <v/>
      </c>
      <c r="D229" s="15">
        <f>IF(Murid!E229="","",Murid!E229)</f>
        <v/>
      </c>
      <c r="E229" s="11" t="n"/>
      <c r="F229" s="10">
        <f>IF(E229="","",IFERROR(VLOOKUP(E229,T_PERK,2,FALSE),0))</f>
        <v/>
      </c>
      <c r="G229" s="11" t="n"/>
      <c r="H229" s="10">
        <f>IF(G229="","",IFERROR(VLOOKUP(G229,T_ANUG,2,FALSE),0))</f>
        <v/>
      </c>
      <c r="I229" s="11" t="n"/>
      <c r="J229" s="11" t="n"/>
      <c r="K229" s="11" t="n"/>
      <c r="L229" s="11" t="n"/>
      <c r="M229" s="11" t="n"/>
      <c r="N229" s="11" t="n"/>
      <c r="O229" s="11" t="n"/>
      <c r="P229" s="10">
        <f>IF(COUNTA(I229:O229)=0,"",MIN(10,SUM(I229:O229)))</f>
        <v/>
      </c>
      <c r="Q229" s="11" t="n"/>
      <c r="R229" s="10">
        <f>IF(Q229="","",IFERROR(VLOOKUP(Q229,T_NILAM,2,FALSE),0))</f>
        <v/>
      </c>
      <c r="S229" s="11" t="n"/>
      <c r="T229" s="10">
        <f>IF(S229="","",IFERROR(VLOOKUP(S229,T_TIMSS,2,FALSE),0))</f>
        <v/>
      </c>
      <c r="U229" s="19">
        <f>IF(COUNT(F229,H229,P229,R229,T229)=0,"",MIN(10,MAX(F229,H229,P229,R229,T229)))</f>
        <v/>
      </c>
      <c r="V229" s="11" t="n"/>
    </row>
    <row r="230">
      <c r="A230" s="15">
        <f>Murid!A230</f>
        <v/>
      </c>
      <c r="B230" s="15">
        <f>IF(Murid!B230="","",Murid!B230)</f>
        <v/>
      </c>
      <c r="C230" s="16">
        <f>IF(Murid!C230="","",Murid!C230)</f>
        <v/>
      </c>
      <c r="D230" s="15">
        <f>IF(Murid!E230="","",Murid!E230)</f>
        <v/>
      </c>
      <c r="E230" s="11" t="n"/>
      <c r="F230" s="10">
        <f>IF(E230="","",IFERROR(VLOOKUP(E230,T_PERK,2,FALSE),0))</f>
        <v/>
      </c>
      <c r="G230" s="11" t="n"/>
      <c r="H230" s="10">
        <f>IF(G230="","",IFERROR(VLOOKUP(G230,T_ANUG,2,FALSE),0))</f>
        <v/>
      </c>
      <c r="I230" s="11" t="n"/>
      <c r="J230" s="11" t="n"/>
      <c r="K230" s="11" t="n"/>
      <c r="L230" s="11" t="n"/>
      <c r="M230" s="11" t="n"/>
      <c r="N230" s="11" t="n"/>
      <c r="O230" s="11" t="n"/>
      <c r="P230" s="10">
        <f>IF(COUNTA(I230:O230)=0,"",MIN(10,SUM(I230:O230)))</f>
        <v/>
      </c>
      <c r="Q230" s="11" t="n"/>
      <c r="R230" s="10">
        <f>IF(Q230="","",IFERROR(VLOOKUP(Q230,T_NILAM,2,FALSE),0))</f>
        <v/>
      </c>
      <c r="S230" s="11" t="n"/>
      <c r="T230" s="10">
        <f>IF(S230="","",IFERROR(VLOOKUP(S230,T_TIMSS,2,FALSE),0))</f>
        <v/>
      </c>
      <c r="U230" s="19">
        <f>IF(COUNT(F230,H230,P230,R230,T230)=0,"",MIN(10,MAX(F230,H230,P230,R230,T230)))</f>
        <v/>
      </c>
      <c r="V230" s="11" t="n"/>
    </row>
    <row r="231">
      <c r="A231" s="15">
        <f>Murid!A231</f>
        <v/>
      </c>
      <c r="B231" s="15">
        <f>IF(Murid!B231="","",Murid!B231)</f>
        <v/>
      </c>
      <c r="C231" s="16">
        <f>IF(Murid!C231="","",Murid!C231)</f>
        <v/>
      </c>
      <c r="D231" s="15">
        <f>IF(Murid!E231="","",Murid!E231)</f>
        <v/>
      </c>
      <c r="E231" s="11" t="n"/>
      <c r="F231" s="10">
        <f>IF(E231="","",IFERROR(VLOOKUP(E231,T_PERK,2,FALSE),0))</f>
        <v/>
      </c>
      <c r="G231" s="11" t="n"/>
      <c r="H231" s="10">
        <f>IF(G231="","",IFERROR(VLOOKUP(G231,T_ANUG,2,FALSE),0))</f>
        <v/>
      </c>
      <c r="I231" s="11" t="n"/>
      <c r="J231" s="11" t="n"/>
      <c r="K231" s="11" t="n"/>
      <c r="L231" s="11" t="n"/>
      <c r="M231" s="11" t="n"/>
      <c r="N231" s="11" t="n"/>
      <c r="O231" s="11" t="n"/>
      <c r="P231" s="10">
        <f>IF(COUNTA(I231:O231)=0,"",MIN(10,SUM(I231:O231)))</f>
        <v/>
      </c>
      <c r="Q231" s="11" t="n"/>
      <c r="R231" s="10">
        <f>IF(Q231="","",IFERROR(VLOOKUP(Q231,T_NILAM,2,FALSE),0))</f>
        <v/>
      </c>
      <c r="S231" s="11" t="n"/>
      <c r="T231" s="10">
        <f>IF(S231="","",IFERROR(VLOOKUP(S231,T_TIMSS,2,FALSE),0))</f>
        <v/>
      </c>
      <c r="U231" s="19">
        <f>IF(COUNT(F231,H231,P231,R231,T231)=0,"",MIN(10,MAX(F231,H231,P231,R231,T231)))</f>
        <v/>
      </c>
      <c r="V231" s="11" t="n"/>
    </row>
    <row r="232">
      <c r="A232" s="15">
        <f>Murid!A232</f>
        <v/>
      </c>
      <c r="B232" s="15">
        <f>IF(Murid!B232="","",Murid!B232)</f>
        <v/>
      </c>
      <c r="C232" s="16">
        <f>IF(Murid!C232="","",Murid!C232)</f>
        <v/>
      </c>
      <c r="D232" s="15">
        <f>IF(Murid!E232="","",Murid!E232)</f>
        <v/>
      </c>
      <c r="E232" s="11" t="n"/>
      <c r="F232" s="10">
        <f>IF(E232="","",IFERROR(VLOOKUP(E232,T_PERK,2,FALSE),0))</f>
        <v/>
      </c>
      <c r="G232" s="11" t="n"/>
      <c r="H232" s="10">
        <f>IF(G232="","",IFERROR(VLOOKUP(G232,T_ANUG,2,FALSE),0))</f>
        <v/>
      </c>
      <c r="I232" s="11" t="n"/>
      <c r="J232" s="11" t="n"/>
      <c r="K232" s="11" t="n"/>
      <c r="L232" s="11" t="n"/>
      <c r="M232" s="11" t="n"/>
      <c r="N232" s="11" t="n"/>
      <c r="O232" s="11" t="n"/>
      <c r="P232" s="10">
        <f>IF(COUNTA(I232:O232)=0,"",MIN(10,SUM(I232:O232)))</f>
        <v/>
      </c>
      <c r="Q232" s="11" t="n"/>
      <c r="R232" s="10">
        <f>IF(Q232="","",IFERROR(VLOOKUP(Q232,T_NILAM,2,FALSE),0))</f>
        <v/>
      </c>
      <c r="S232" s="11" t="n"/>
      <c r="T232" s="10">
        <f>IF(S232="","",IFERROR(VLOOKUP(S232,T_TIMSS,2,FALSE),0))</f>
        <v/>
      </c>
      <c r="U232" s="19">
        <f>IF(COUNT(F232,H232,P232,R232,T232)=0,"",MIN(10,MAX(F232,H232,P232,R232,T232)))</f>
        <v/>
      </c>
      <c r="V232" s="11" t="n"/>
    </row>
    <row r="233">
      <c r="A233" s="15">
        <f>Murid!A233</f>
        <v/>
      </c>
      <c r="B233" s="15">
        <f>IF(Murid!B233="","",Murid!B233)</f>
        <v/>
      </c>
      <c r="C233" s="16">
        <f>IF(Murid!C233="","",Murid!C233)</f>
        <v/>
      </c>
      <c r="D233" s="15">
        <f>IF(Murid!E233="","",Murid!E233)</f>
        <v/>
      </c>
      <c r="E233" s="11" t="n"/>
      <c r="F233" s="10">
        <f>IF(E233="","",IFERROR(VLOOKUP(E233,T_PERK,2,FALSE),0))</f>
        <v/>
      </c>
      <c r="G233" s="11" t="n"/>
      <c r="H233" s="10">
        <f>IF(G233="","",IFERROR(VLOOKUP(G233,T_ANUG,2,FALSE),0))</f>
        <v/>
      </c>
      <c r="I233" s="11" t="n"/>
      <c r="J233" s="11" t="n"/>
      <c r="K233" s="11" t="n"/>
      <c r="L233" s="11" t="n"/>
      <c r="M233" s="11" t="n"/>
      <c r="N233" s="11" t="n"/>
      <c r="O233" s="11" t="n"/>
      <c r="P233" s="10">
        <f>IF(COUNTA(I233:O233)=0,"",MIN(10,SUM(I233:O233)))</f>
        <v/>
      </c>
      <c r="Q233" s="11" t="n"/>
      <c r="R233" s="10">
        <f>IF(Q233="","",IFERROR(VLOOKUP(Q233,T_NILAM,2,FALSE),0))</f>
        <v/>
      </c>
      <c r="S233" s="11" t="n"/>
      <c r="T233" s="10">
        <f>IF(S233="","",IFERROR(VLOOKUP(S233,T_TIMSS,2,FALSE),0))</f>
        <v/>
      </c>
      <c r="U233" s="19">
        <f>IF(COUNT(F233,H233,P233,R233,T233)=0,"",MIN(10,MAX(F233,H233,P233,R233,T233)))</f>
        <v/>
      </c>
      <c r="V233" s="11" t="n"/>
    </row>
    <row r="234">
      <c r="A234" s="15">
        <f>Murid!A234</f>
        <v/>
      </c>
      <c r="B234" s="15">
        <f>IF(Murid!B234="","",Murid!B234)</f>
        <v/>
      </c>
      <c r="C234" s="16">
        <f>IF(Murid!C234="","",Murid!C234)</f>
        <v/>
      </c>
      <c r="D234" s="15">
        <f>IF(Murid!E234="","",Murid!E234)</f>
        <v/>
      </c>
      <c r="E234" s="11" t="n"/>
      <c r="F234" s="10">
        <f>IF(E234="","",IFERROR(VLOOKUP(E234,T_PERK,2,FALSE),0))</f>
        <v/>
      </c>
      <c r="G234" s="11" t="n"/>
      <c r="H234" s="10">
        <f>IF(G234="","",IFERROR(VLOOKUP(G234,T_ANUG,2,FALSE),0))</f>
        <v/>
      </c>
      <c r="I234" s="11" t="n"/>
      <c r="J234" s="11" t="n"/>
      <c r="K234" s="11" t="n"/>
      <c r="L234" s="11" t="n"/>
      <c r="M234" s="11" t="n"/>
      <c r="N234" s="11" t="n"/>
      <c r="O234" s="11" t="n"/>
      <c r="P234" s="10">
        <f>IF(COUNTA(I234:O234)=0,"",MIN(10,SUM(I234:O234)))</f>
        <v/>
      </c>
      <c r="Q234" s="11" t="n"/>
      <c r="R234" s="10">
        <f>IF(Q234="","",IFERROR(VLOOKUP(Q234,T_NILAM,2,FALSE),0))</f>
        <v/>
      </c>
      <c r="S234" s="11" t="n"/>
      <c r="T234" s="10">
        <f>IF(S234="","",IFERROR(VLOOKUP(S234,T_TIMSS,2,FALSE),0))</f>
        <v/>
      </c>
      <c r="U234" s="19">
        <f>IF(COUNT(F234,H234,P234,R234,T234)=0,"",MIN(10,MAX(F234,H234,P234,R234,T234)))</f>
        <v/>
      </c>
      <c r="V234" s="11" t="n"/>
    </row>
    <row r="235">
      <c r="A235" s="15">
        <f>Murid!A235</f>
        <v/>
      </c>
      <c r="B235" s="15">
        <f>IF(Murid!B235="","",Murid!B235)</f>
        <v/>
      </c>
      <c r="C235" s="16">
        <f>IF(Murid!C235="","",Murid!C235)</f>
        <v/>
      </c>
      <c r="D235" s="15">
        <f>IF(Murid!E235="","",Murid!E235)</f>
        <v/>
      </c>
      <c r="E235" s="11" t="n"/>
      <c r="F235" s="10">
        <f>IF(E235="","",IFERROR(VLOOKUP(E235,T_PERK,2,FALSE),0))</f>
        <v/>
      </c>
      <c r="G235" s="11" t="n"/>
      <c r="H235" s="10">
        <f>IF(G235="","",IFERROR(VLOOKUP(G235,T_ANUG,2,FALSE),0))</f>
        <v/>
      </c>
      <c r="I235" s="11" t="n"/>
      <c r="J235" s="11" t="n"/>
      <c r="K235" s="11" t="n"/>
      <c r="L235" s="11" t="n"/>
      <c r="M235" s="11" t="n"/>
      <c r="N235" s="11" t="n"/>
      <c r="O235" s="11" t="n"/>
      <c r="P235" s="10">
        <f>IF(COUNTA(I235:O235)=0,"",MIN(10,SUM(I235:O235)))</f>
        <v/>
      </c>
      <c r="Q235" s="11" t="n"/>
      <c r="R235" s="10">
        <f>IF(Q235="","",IFERROR(VLOOKUP(Q235,T_NILAM,2,FALSE),0))</f>
        <v/>
      </c>
      <c r="S235" s="11" t="n"/>
      <c r="T235" s="10">
        <f>IF(S235="","",IFERROR(VLOOKUP(S235,T_TIMSS,2,FALSE),0))</f>
        <v/>
      </c>
      <c r="U235" s="19">
        <f>IF(COUNT(F235,H235,P235,R235,T235)=0,"",MIN(10,MAX(F235,H235,P235,R235,T235)))</f>
        <v/>
      </c>
      <c r="V235" s="11" t="n"/>
    </row>
    <row r="236">
      <c r="A236" s="15">
        <f>Murid!A236</f>
        <v/>
      </c>
      <c r="B236" s="15">
        <f>IF(Murid!B236="","",Murid!B236)</f>
        <v/>
      </c>
      <c r="C236" s="16">
        <f>IF(Murid!C236="","",Murid!C236)</f>
        <v/>
      </c>
      <c r="D236" s="15">
        <f>IF(Murid!E236="","",Murid!E236)</f>
        <v/>
      </c>
      <c r="E236" s="11" t="n"/>
      <c r="F236" s="10">
        <f>IF(E236="","",IFERROR(VLOOKUP(E236,T_PERK,2,FALSE),0))</f>
        <v/>
      </c>
      <c r="G236" s="11" t="n"/>
      <c r="H236" s="10">
        <f>IF(G236="","",IFERROR(VLOOKUP(G236,T_ANUG,2,FALSE),0))</f>
        <v/>
      </c>
      <c r="I236" s="11" t="n"/>
      <c r="J236" s="11" t="n"/>
      <c r="K236" s="11" t="n"/>
      <c r="L236" s="11" t="n"/>
      <c r="M236" s="11" t="n"/>
      <c r="N236" s="11" t="n"/>
      <c r="O236" s="11" t="n"/>
      <c r="P236" s="10">
        <f>IF(COUNTA(I236:O236)=0,"",MIN(10,SUM(I236:O236)))</f>
        <v/>
      </c>
      <c r="Q236" s="11" t="n"/>
      <c r="R236" s="10">
        <f>IF(Q236="","",IFERROR(VLOOKUP(Q236,T_NILAM,2,FALSE),0))</f>
        <v/>
      </c>
      <c r="S236" s="11" t="n"/>
      <c r="T236" s="10">
        <f>IF(S236="","",IFERROR(VLOOKUP(S236,T_TIMSS,2,FALSE),0))</f>
        <v/>
      </c>
      <c r="U236" s="19">
        <f>IF(COUNT(F236,H236,P236,R236,T236)=0,"",MIN(10,MAX(F236,H236,P236,R236,T236)))</f>
        <v/>
      </c>
      <c r="V236" s="11" t="n"/>
    </row>
    <row r="237">
      <c r="A237" s="15">
        <f>Murid!A237</f>
        <v/>
      </c>
      <c r="B237" s="15">
        <f>IF(Murid!B237="","",Murid!B237)</f>
        <v/>
      </c>
      <c r="C237" s="16">
        <f>IF(Murid!C237="","",Murid!C237)</f>
        <v/>
      </c>
      <c r="D237" s="15">
        <f>IF(Murid!E237="","",Murid!E237)</f>
        <v/>
      </c>
      <c r="E237" s="11" t="n"/>
      <c r="F237" s="10">
        <f>IF(E237="","",IFERROR(VLOOKUP(E237,T_PERK,2,FALSE),0))</f>
        <v/>
      </c>
      <c r="G237" s="11" t="n"/>
      <c r="H237" s="10">
        <f>IF(G237="","",IFERROR(VLOOKUP(G237,T_ANUG,2,FALSE),0))</f>
        <v/>
      </c>
      <c r="I237" s="11" t="n"/>
      <c r="J237" s="11" t="n"/>
      <c r="K237" s="11" t="n"/>
      <c r="L237" s="11" t="n"/>
      <c r="M237" s="11" t="n"/>
      <c r="N237" s="11" t="n"/>
      <c r="O237" s="11" t="n"/>
      <c r="P237" s="10">
        <f>IF(COUNTA(I237:O237)=0,"",MIN(10,SUM(I237:O237)))</f>
        <v/>
      </c>
      <c r="Q237" s="11" t="n"/>
      <c r="R237" s="10">
        <f>IF(Q237="","",IFERROR(VLOOKUP(Q237,T_NILAM,2,FALSE),0))</f>
        <v/>
      </c>
      <c r="S237" s="11" t="n"/>
      <c r="T237" s="10">
        <f>IF(S237="","",IFERROR(VLOOKUP(S237,T_TIMSS,2,FALSE),0))</f>
        <v/>
      </c>
      <c r="U237" s="19">
        <f>IF(COUNT(F237,H237,P237,R237,T237)=0,"",MIN(10,MAX(F237,H237,P237,R237,T237)))</f>
        <v/>
      </c>
      <c r="V237" s="11" t="n"/>
    </row>
    <row r="238">
      <c r="A238" s="15">
        <f>Murid!A238</f>
        <v/>
      </c>
      <c r="B238" s="15">
        <f>IF(Murid!B238="","",Murid!B238)</f>
        <v/>
      </c>
      <c r="C238" s="16">
        <f>IF(Murid!C238="","",Murid!C238)</f>
        <v/>
      </c>
      <c r="D238" s="15">
        <f>IF(Murid!E238="","",Murid!E238)</f>
        <v/>
      </c>
      <c r="E238" s="11" t="n"/>
      <c r="F238" s="10">
        <f>IF(E238="","",IFERROR(VLOOKUP(E238,T_PERK,2,FALSE),0))</f>
        <v/>
      </c>
      <c r="G238" s="11" t="n"/>
      <c r="H238" s="10">
        <f>IF(G238="","",IFERROR(VLOOKUP(G238,T_ANUG,2,FALSE),0))</f>
        <v/>
      </c>
      <c r="I238" s="11" t="n"/>
      <c r="J238" s="11" t="n"/>
      <c r="K238" s="11" t="n"/>
      <c r="L238" s="11" t="n"/>
      <c r="M238" s="11" t="n"/>
      <c r="N238" s="11" t="n"/>
      <c r="O238" s="11" t="n"/>
      <c r="P238" s="10">
        <f>IF(COUNTA(I238:O238)=0,"",MIN(10,SUM(I238:O238)))</f>
        <v/>
      </c>
      <c r="Q238" s="11" t="n"/>
      <c r="R238" s="10">
        <f>IF(Q238="","",IFERROR(VLOOKUP(Q238,T_NILAM,2,FALSE),0))</f>
        <v/>
      </c>
      <c r="S238" s="11" t="n"/>
      <c r="T238" s="10">
        <f>IF(S238="","",IFERROR(VLOOKUP(S238,T_TIMSS,2,FALSE),0))</f>
        <v/>
      </c>
      <c r="U238" s="19">
        <f>IF(COUNT(F238,H238,P238,R238,T238)=0,"",MIN(10,MAX(F238,H238,P238,R238,T238)))</f>
        <v/>
      </c>
      <c r="V238" s="11" t="n"/>
    </row>
    <row r="239">
      <c r="A239" s="15">
        <f>Murid!A239</f>
        <v/>
      </c>
      <c r="B239" s="15">
        <f>IF(Murid!B239="","",Murid!B239)</f>
        <v/>
      </c>
      <c r="C239" s="16">
        <f>IF(Murid!C239="","",Murid!C239)</f>
        <v/>
      </c>
      <c r="D239" s="15">
        <f>IF(Murid!E239="","",Murid!E239)</f>
        <v/>
      </c>
      <c r="E239" s="11" t="n"/>
      <c r="F239" s="10">
        <f>IF(E239="","",IFERROR(VLOOKUP(E239,T_PERK,2,FALSE),0))</f>
        <v/>
      </c>
      <c r="G239" s="11" t="n"/>
      <c r="H239" s="10">
        <f>IF(G239="","",IFERROR(VLOOKUP(G239,T_ANUG,2,FALSE),0))</f>
        <v/>
      </c>
      <c r="I239" s="11" t="n"/>
      <c r="J239" s="11" t="n"/>
      <c r="K239" s="11" t="n"/>
      <c r="L239" s="11" t="n"/>
      <c r="M239" s="11" t="n"/>
      <c r="N239" s="11" t="n"/>
      <c r="O239" s="11" t="n"/>
      <c r="P239" s="10">
        <f>IF(COUNTA(I239:O239)=0,"",MIN(10,SUM(I239:O239)))</f>
        <v/>
      </c>
      <c r="Q239" s="11" t="n"/>
      <c r="R239" s="10">
        <f>IF(Q239="","",IFERROR(VLOOKUP(Q239,T_NILAM,2,FALSE),0))</f>
        <v/>
      </c>
      <c r="S239" s="11" t="n"/>
      <c r="T239" s="10">
        <f>IF(S239="","",IFERROR(VLOOKUP(S239,T_TIMSS,2,FALSE),0))</f>
        <v/>
      </c>
      <c r="U239" s="19">
        <f>IF(COUNT(F239,H239,P239,R239,T239)=0,"",MIN(10,MAX(F239,H239,P239,R239,T239)))</f>
        <v/>
      </c>
      <c r="V239" s="11" t="n"/>
    </row>
    <row r="240">
      <c r="A240" s="15">
        <f>Murid!A240</f>
        <v/>
      </c>
      <c r="B240" s="15">
        <f>IF(Murid!B240="","",Murid!B240)</f>
        <v/>
      </c>
      <c r="C240" s="16">
        <f>IF(Murid!C240="","",Murid!C240)</f>
        <v/>
      </c>
      <c r="D240" s="15">
        <f>IF(Murid!E240="","",Murid!E240)</f>
        <v/>
      </c>
      <c r="E240" s="11" t="n"/>
      <c r="F240" s="10">
        <f>IF(E240="","",IFERROR(VLOOKUP(E240,T_PERK,2,FALSE),0))</f>
        <v/>
      </c>
      <c r="G240" s="11" t="n"/>
      <c r="H240" s="10">
        <f>IF(G240="","",IFERROR(VLOOKUP(G240,T_ANUG,2,FALSE),0))</f>
        <v/>
      </c>
      <c r="I240" s="11" t="n"/>
      <c r="J240" s="11" t="n"/>
      <c r="K240" s="11" t="n"/>
      <c r="L240" s="11" t="n"/>
      <c r="M240" s="11" t="n"/>
      <c r="N240" s="11" t="n"/>
      <c r="O240" s="11" t="n"/>
      <c r="P240" s="10">
        <f>IF(COUNTA(I240:O240)=0,"",MIN(10,SUM(I240:O240)))</f>
        <v/>
      </c>
      <c r="Q240" s="11" t="n"/>
      <c r="R240" s="10">
        <f>IF(Q240="","",IFERROR(VLOOKUP(Q240,T_NILAM,2,FALSE),0))</f>
        <v/>
      </c>
      <c r="S240" s="11" t="n"/>
      <c r="T240" s="10">
        <f>IF(S240="","",IFERROR(VLOOKUP(S240,T_TIMSS,2,FALSE),0))</f>
        <v/>
      </c>
      <c r="U240" s="19">
        <f>IF(COUNT(F240,H240,P240,R240,T240)=0,"",MIN(10,MAX(F240,H240,P240,R240,T240)))</f>
        <v/>
      </c>
      <c r="V240" s="11" t="n"/>
    </row>
    <row r="241">
      <c r="A241" s="15">
        <f>Murid!A241</f>
        <v/>
      </c>
      <c r="B241" s="15">
        <f>IF(Murid!B241="","",Murid!B241)</f>
        <v/>
      </c>
      <c r="C241" s="16">
        <f>IF(Murid!C241="","",Murid!C241)</f>
        <v/>
      </c>
      <c r="D241" s="15">
        <f>IF(Murid!E241="","",Murid!E241)</f>
        <v/>
      </c>
      <c r="E241" s="11" t="n"/>
      <c r="F241" s="10">
        <f>IF(E241="","",IFERROR(VLOOKUP(E241,T_PERK,2,FALSE),0))</f>
        <v/>
      </c>
      <c r="G241" s="11" t="n"/>
      <c r="H241" s="10">
        <f>IF(G241="","",IFERROR(VLOOKUP(G241,T_ANUG,2,FALSE),0))</f>
        <v/>
      </c>
      <c r="I241" s="11" t="n"/>
      <c r="J241" s="11" t="n"/>
      <c r="K241" s="11" t="n"/>
      <c r="L241" s="11" t="n"/>
      <c r="M241" s="11" t="n"/>
      <c r="N241" s="11" t="n"/>
      <c r="O241" s="11" t="n"/>
      <c r="P241" s="10">
        <f>IF(COUNTA(I241:O241)=0,"",MIN(10,SUM(I241:O241)))</f>
        <v/>
      </c>
      <c r="Q241" s="11" t="n"/>
      <c r="R241" s="10">
        <f>IF(Q241="","",IFERROR(VLOOKUP(Q241,T_NILAM,2,FALSE),0))</f>
        <v/>
      </c>
      <c r="S241" s="11" t="n"/>
      <c r="T241" s="10">
        <f>IF(S241="","",IFERROR(VLOOKUP(S241,T_TIMSS,2,FALSE),0))</f>
        <v/>
      </c>
      <c r="U241" s="19">
        <f>IF(COUNT(F241,H241,P241,R241,T241)=0,"",MIN(10,MAX(F241,H241,P241,R241,T241)))</f>
        <v/>
      </c>
      <c r="V241" s="11" t="n"/>
    </row>
    <row r="242">
      <c r="A242" s="15">
        <f>Murid!A242</f>
        <v/>
      </c>
      <c r="B242" s="15">
        <f>IF(Murid!B242="","",Murid!B242)</f>
        <v/>
      </c>
      <c r="C242" s="16">
        <f>IF(Murid!C242="","",Murid!C242)</f>
        <v/>
      </c>
      <c r="D242" s="15">
        <f>IF(Murid!E242="","",Murid!E242)</f>
        <v/>
      </c>
      <c r="E242" s="11" t="n"/>
      <c r="F242" s="10">
        <f>IF(E242="","",IFERROR(VLOOKUP(E242,T_PERK,2,FALSE),0))</f>
        <v/>
      </c>
      <c r="G242" s="11" t="n"/>
      <c r="H242" s="10">
        <f>IF(G242="","",IFERROR(VLOOKUP(G242,T_ANUG,2,FALSE),0))</f>
        <v/>
      </c>
      <c r="I242" s="11" t="n"/>
      <c r="J242" s="11" t="n"/>
      <c r="K242" s="11" t="n"/>
      <c r="L242" s="11" t="n"/>
      <c r="M242" s="11" t="n"/>
      <c r="N242" s="11" t="n"/>
      <c r="O242" s="11" t="n"/>
      <c r="P242" s="10">
        <f>IF(COUNTA(I242:O242)=0,"",MIN(10,SUM(I242:O242)))</f>
        <v/>
      </c>
      <c r="Q242" s="11" t="n"/>
      <c r="R242" s="10">
        <f>IF(Q242="","",IFERROR(VLOOKUP(Q242,T_NILAM,2,FALSE),0))</f>
        <v/>
      </c>
      <c r="S242" s="11" t="n"/>
      <c r="T242" s="10">
        <f>IF(S242="","",IFERROR(VLOOKUP(S242,T_TIMSS,2,FALSE),0))</f>
        <v/>
      </c>
      <c r="U242" s="19">
        <f>IF(COUNT(F242,H242,P242,R242,T242)=0,"",MIN(10,MAX(F242,H242,P242,R242,T242)))</f>
        <v/>
      </c>
      <c r="V242" s="11" t="n"/>
    </row>
    <row r="243">
      <c r="A243" s="15">
        <f>Murid!A243</f>
        <v/>
      </c>
      <c r="B243" s="15">
        <f>IF(Murid!B243="","",Murid!B243)</f>
        <v/>
      </c>
      <c r="C243" s="16">
        <f>IF(Murid!C243="","",Murid!C243)</f>
        <v/>
      </c>
      <c r="D243" s="15">
        <f>IF(Murid!E243="","",Murid!E243)</f>
        <v/>
      </c>
      <c r="E243" s="11" t="n"/>
      <c r="F243" s="10">
        <f>IF(E243="","",IFERROR(VLOOKUP(E243,T_PERK,2,FALSE),0))</f>
        <v/>
      </c>
      <c r="G243" s="11" t="n"/>
      <c r="H243" s="10">
        <f>IF(G243="","",IFERROR(VLOOKUP(G243,T_ANUG,2,FALSE),0))</f>
        <v/>
      </c>
      <c r="I243" s="11" t="n"/>
      <c r="J243" s="11" t="n"/>
      <c r="K243" s="11" t="n"/>
      <c r="L243" s="11" t="n"/>
      <c r="M243" s="11" t="n"/>
      <c r="N243" s="11" t="n"/>
      <c r="O243" s="11" t="n"/>
      <c r="P243" s="10">
        <f>IF(COUNTA(I243:O243)=0,"",MIN(10,SUM(I243:O243)))</f>
        <v/>
      </c>
      <c r="Q243" s="11" t="n"/>
      <c r="R243" s="10">
        <f>IF(Q243="","",IFERROR(VLOOKUP(Q243,T_NILAM,2,FALSE),0))</f>
        <v/>
      </c>
      <c r="S243" s="11" t="n"/>
      <c r="T243" s="10">
        <f>IF(S243="","",IFERROR(VLOOKUP(S243,T_TIMSS,2,FALSE),0))</f>
        <v/>
      </c>
      <c r="U243" s="19">
        <f>IF(COUNT(F243,H243,P243,R243,T243)=0,"",MIN(10,MAX(F243,H243,P243,R243,T243)))</f>
        <v/>
      </c>
      <c r="V243" s="11" t="n"/>
    </row>
    <row r="244">
      <c r="A244" s="15">
        <f>Murid!A244</f>
        <v/>
      </c>
      <c r="B244" s="15">
        <f>IF(Murid!B244="","",Murid!B244)</f>
        <v/>
      </c>
      <c r="C244" s="16">
        <f>IF(Murid!C244="","",Murid!C244)</f>
        <v/>
      </c>
      <c r="D244" s="15">
        <f>IF(Murid!E244="","",Murid!E244)</f>
        <v/>
      </c>
      <c r="E244" s="11" t="n"/>
      <c r="F244" s="10">
        <f>IF(E244="","",IFERROR(VLOOKUP(E244,T_PERK,2,FALSE),0))</f>
        <v/>
      </c>
      <c r="G244" s="11" t="n"/>
      <c r="H244" s="10">
        <f>IF(G244="","",IFERROR(VLOOKUP(G244,T_ANUG,2,FALSE),0))</f>
        <v/>
      </c>
      <c r="I244" s="11" t="n"/>
      <c r="J244" s="11" t="n"/>
      <c r="K244" s="11" t="n"/>
      <c r="L244" s="11" t="n"/>
      <c r="M244" s="11" t="n"/>
      <c r="N244" s="11" t="n"/>
      <c r="O244" s="11" t="n"/>
      <c r="P244" s="10">
        <f>IF(COUNTA(I244:O244)=0,"",MIN(10,SUM(I244:O244)))</f>
        <v/>
      </c>
      <c r="Q244" s="11" t="n"/>
      <c r="R244" s="10">
        <f>IF(Q244="","",IFERROR(VLOOKUP(Q244,T_NILAM,2,FALSE),0))</f>
        <v/>
      </c>
      <c r="S244" s="11" t="n"/>
      <c r="T244" s="10">
        <f>IF(S244="","",IFERROR(VLOOKUP(S244,T_TIMSS,2,FALSE),0))</f>
        <v/>
      </c>
      <c r="U244" s="19">
        <f>IF(COUNT(F244,H244,P244,R244,T244)=0,"",MIN(10,MAX(F244,H244,P244,R244,T244)))</f>
        <v/>
      </c>
      <c r="V244" s="11" t="n"/>
    </row>
    <row r="245">
      <c r="A245" s="15">
        <f>Murid!A245</f>
        <v/>
      </c>
      <c r="B245" s="15">
        <f>IF(Murid!B245="","",Murid!B245)</f>
        <v/>
      </c>
      <c r="C245" s="16">
        <f>IF(Murid!C245="","",Murid!C245)</f>
        <v/>
      </c>
      <c r="D245" s="15">
        <f>IF(Murid!E245="","",Murid!E245)</f>
        <v/>
      </c>
      <c r="E245" s="11" t="n"/>
      <c r="F245" s="10">
        <f>IF(E245="","",IFERROR(VLOOKUP(E245,T_PERK,2,FALSE),0))</f>
        <v/>
      </c>
      <c r="G245" s="11" t="n"/>
      <c r="H245" s="10">
        <f>IF(G245="","",IFERROR(VLOOKUP(G245,T_ANUG,2,FALSE),0))</f>
        <v/>
      </c>
      <c r="I245" s="11" t="n"/>
      <c r="J245" s="11" t="n"/>
      <c r="K245" s="11" t="n"/>
      <c r="L245" s="11" t="n"/>
      <c r="M245" s="11" t="n"/>
      <c r="N245" s="11" t="n"/>
      <c r="O245" s="11" t="n"/>
      <c r="P245" s="10">
        <f>IF(COUNTA(I245:O245)=0,"",MIN(10,SUM(I245:O245)))</f>
        <v/>
      </c>
      <c r="Q245" s="11" t="n"/>
      <c r="R245" s="10">
        <f>IF(Q245="","",IFERROR(VLOOKUP(Q245,T_NILAM,2,FALSE),0))</f>
        <v/>
      </c>
      <c r="S245" s="11" t="n"/>
      <c r="T245" s="10">
        <f>IF(S245="","",IFERROR(VLOOKUP(S245,T_TIMSS,2,FALSE),0))</f>
        <v/>
      </c>
      <c r="U245" s="19">
        <f>IF(COUNT(F245,H245,P245,R245,T245)=0,"",MIN(10,MAX(F245,H245,P245,R245,T245)))</f>
        <v/>
      </c>
      <c r="V245" s="11" t="n"/>
    </row>
    <row r="246">
      <c r="A246" s="15">
        <f>Murid!A246</f>
        <v/>
      </c>
      <c r="B246" s="15">
        <f>IF(Murid!B246="","",Murid!B246)</f>
        <v/>
      </c>
      <c r="C246" s="16">
        <f>IF(Murid!C246="","",Murid!C246)</f>
        <v/>
      </c>
      <c r="D246" s="15">
        <f>IF(Murid!E246="","",Murid!E246)</f>
        <v/>
      </c>
      <c r="E246" s="11" t="n"/>
      <c r="F246" s="10">
        <f>IF(E246="","",IFERROR(VLOOKUP(E246,T_PERK,2,FALSE),0))</f>
        <v/>
      </c>
      <c r="G246" s="11" t="n"/>
      <c r="H246" s="10">
        <f>IF(G246="","",IFERROR(VLOOKUP(G246,T_ANUG,2,FALSE),0))</f>
        <v/>
      </c>
      <c r="I246" s="11" t="n"/>
      <c r="J246" s="11" t="n"/>
      <c r="K246" s="11" t="n"/>
      <c r="L246" s="11" t="n"/>
      <c r="M246" s="11" t="n"/>
      <c r="N246" s="11" t="n"/>
      <c r="O246" s="11" t="n"/>
      <c r="P246" s="10">
        <f>IF(COUNTA(I246:O246)=0,"",MIN(10,SUM(I246:O246)))</f>
        <v/>
      </c>
      <c r="Q246" s="11" t="n"/>
      <c r="R246" s="10">
        <f>IF(Q246="","",IFERROR(VLOOKUP(Q246,T_NILAM,2,FALSE),0))</f>
        <v/>
      </c>
      <c r="S246" s="11" t="n"/>
      <c r="T246" s="10">
        <f>IF(S246="","",IFERROR(VLOOKUP(S246,T_TIMSS,2,FALSE),0))</f>
        <v/>
      </c>
      <c r="U246" s="19">
        <f>IF(COUNT(F246,H246,P246,R246,T246)=0,"",MIN(10,MAX(F246,H246,P246,R246,T246)))</f>
        <v/>
      </c>
      <c r="V246" s="11" t="n"/>
    </row>
    <row r="247">
      <c r="A247" s="15">
        <f>Murid!A247</f>
        <v/>
      </c>
      <c r="B247" s="15">
        <f>IF(Murid!B247="","",Murid!B247)</f>
        <v/>
      </c>
      <c r="C247" s="16">
        <f>IF(Murid!C247="","",Murid!C247)</f>
        <v/>
      </c>
      <c r="D247" s="15">
        <f>IF(Murid!E247="","",Murid!E247)</f>
        <v/>
      </c>
      <c r="E247" s="11" t="n"/>
      <c r="F247" s="10">
        <f>IF(E247="","",IFERROR(VLOOKUP(E247,T_PERK,2,FALSE),0))</f>
        <v/>
      </c>
      <c r="G247" s="11" t="n"/>
      <c r="H247" s="10">
        <f>IF(G247="","",IFERROR(VLOOKUP(G247,T_ANUG,2,FALSE),0))</f>
        <v/>
      </c>
      <c r="I247" s="11" t="n"/>
      <c r="J247" s="11" t="n"/>
      <c r="K247" s="11" t="n"/>
      <c r="L247" s="11" t="n"/>
      <c r="M247" s="11" t="n"/>
      <c r="N247" s="11" t="n"/>
      <c r="O247" s="11" t="n"/>
      <c r="P247" s="10">
        <f>IF(COUNTA(I247:O247)=0,"",MIN(10,SUM(I247:O247)))</f>
        <v/>
      </c>
      <c r="Q247" s="11" t="n"/>
      <c r="R247" s="10">
        <f>IF(Q247="","",IFERROR(VLOOKUP(Q247,T_NILAM,2,FALSE),0))</f>
        <v/>
      </c>
      <c r="S247" s="11" t="n"/>
      <c r="T247" s="10">
        <f>IF(S247="","",IFERROR(VLOOKUP(S247,T_TIMSS,2,FALSE),0))</f>
        <v/>
      </c>
      <c r="U247" s="19">
        <f>IF(COUNT(F247,H247,P247,R247,T247)=0,"",MIN(10,MAX(F247,H247,P247,R247,T247)))</f>
        <v/>
      </c>
      <c r="V247" s="11" t="n"/>
    </row>
    <row r="248">
      <c r="A248" s="15">
        <f>Murid!A248</f>
        <v/>
      </c>
      <c r="B248" s="15">
        <f>IF(Murid!B248="","",Murid!B248)</f>
        <v/>
      </c>
      <c r="C248" s="16">
        <f>IF(Murid!C248="","",Murid!C248)</f>
        <v/>
      </c>
      <c r="D248" s="15">
        <f>IF(Murid!E248="","",Murid!E248)</f>
        <v/>
      </c>
      <c r="E248" s="11" t="n"/>
      <c r="F248" s="10">
        <f>IF(E248="","",IFERROR(VLOOKUP(E248,T_PERK,2,FALSE),0))</f>
        <v/>
      </c>
      <c r="G248" s="11" t="n"/>
      <c r="H248" s="10">
        <f>IF(G248="","",IFERROR(VLOOKUP(G248,T_ANUG,2,FALSE),0))</f>
        <v/>
      </c>
      <c r="I248" s="11" t="n"/>
      <c r="J248" s="11" t="n"/>
      <c r="K248" s="11" t="n"/>
      <c r="L248" s="11" t="n"/>
      <c r="M248" s="11" t="n"/>
      <c r="N248" s="11" t="n"/>
      <c r="O248" s="11" t="n"/>
      <c r="P248" s="10">
        <f>IF(COUNTA(I248:O248)=0,"",MIN(10,SUM(I248:O248)))</f>
        <v/>
      </c>
      <c r="Q248" s="11" t="n"/>
      <c r="R248" s="10">
        <f>IF(Q248="","",IFERROR(VLOOKUP(Q248,T_NILAM,2,FALSE),0))</f>
        <v/>
      </c>
      <c r="S248" s="11" t="n"/>
      <c r="T248" s="10">
        <f>IF(S248="","",IFERROR(VLOOKUP(S248,T_TIMSS,2,FALSE),0))</f>
        <v/>
      </c>
      <c r="U248" s="19">
        <f>IF(COUNT(F248,H248,P248,R248,T248)=0,"",MIN(10,MAX(F248,H248,P248,R248,T248)))</f>
        <v/>
      </c>
      <c r="V248" s="11" t="n"/>
    </row>
    <row r="249">
      <c r="A249" s="15">
        <f>Murid!A249</f>
        <v/>
      </c>
      <c r="B249" s="15">
        <f>IF(Murid!B249="","",Murid!B249)</f>
        <v/>
      </c>
      <c r="C249" s="16">
        <f>IF(Murid!C249="","",Murid!C249)</f>
        <v/>
      </c>
      <c r="D249" s="15">
        <f>IF(Murid!E249="","",Murid!E249)</f>
        <v/>
      </c>
      <c r="E249" s="11" t="n"/>
      <c r="F249" s="10">
        <f>IF(E249="","",IFERROR(VLOOKUP(E249,T_PERK,2,FALSE),0))</f>
        <v/>
      </c>
      <c r="G249" s="11" t="n"/>
      <c r="H249" s="10">
        <f>IF(G249="","",IFERROR(VLOOKUP(G249,T_ANUG,2,FALSE),0))</f>
        <v/>
      </c>
      <c r="I249" s="11" t="n"/>
      <c r="J249" s="11" t="n"/>
      <c r="K249" s="11" t="n"/>
      <c r="L249" s="11" t="n"/>
      <c r="M249" s="11" t="n"/>
      <c r="N249" s="11" t="n"/>
      <c r="O249" s="11" t="n"/>
      <c r="P249" s="10">
        <f>IF(COUNTA(I249:O249)=0,"",MIN(10,SUM(I249:O249)))</f>
        <v/>
      </c>
      <c r="Q249" s="11" t="n"/>
      <c r="R249" s="10">
        <f>IF(Q249="","",IFERROR(VLOOKUP(Q249,T_NILAM,2,FALSE),0))</f>
        <v/>
      </c>
      <c r="S249" s="11" t="n"/>
      <c r="T249" s="10">
        <f>IF(S249="","",IFERROR(VLOOKUP(S249,T_TIMSS,2,FALSE),0))</f>
        <v/>
      </c>
      <c r="U249" s="19">
        <f>IF(COUNT(F249,H249,P249,R249,T249)=0,"",MIN(10,MAX(F249,H249,P249,R249,T249)))</f>
        <v/>
      </c>
      <c r="V249" s="11" t="n"/>
    </row>
    <row r="250">
      <c r="A250" s="15">
        <f>Murid!A250</f>
        <v/>
      </c>
      <c r="B250" s="15">
        <f>IF(Murid!B250="","",Murid!B250)</f>
        <v/>
      </c>
      <c r="C250" s="16">
        <f>IF(Murid!C250="","",Murid!C250)</f>
        <v/>
      </c>
      <c r="D250" s="15">
        <f>IF(Murid!E250="","",Murid!E250)</f>
        <v/>
      </c>
      <c r="E250" s="11" t="n"/>
      <c r="F250" s="10">
        <f>IF(E250="","",IFERROR(VLOOKUP(E250,T_PERK,2,FALSE),0))</f>
        <v/>
      </c>
      <c r="G250" s="11" t="n"/>
      <c r="H250" s="10">
        <f>IF(G250="","",IFERROR(VLOOKUP(G250,T_ANUG,2,FALSE),0))</f>
        <v/>
      </c>
      <c r="I250" s="11" t="n"/>
      <c r="J250" s="11" t="n"/>
      <c r="K250" s="11" t="n"/>
      <c r="L250" s="11" t="n"/>
      <c r="M250" s="11" t="n"/>
      <c r="N250" s="11" t="n"/>
      <c r="O250" s="11" t="n"/>
      <c r="P250" s="10">
        <f>IF(COUNTA(I250:O250)=0,"",MIN(10,SUM(I250:O250)))</f>
        <v/>
      </c>
      <c r="Q250" s="11" t="n"/>
      <c r="R250" s="10">
        <f>IF(Q250="","",IFERROR(VLOOKUP(Q250,T_NILAM,2,FALSE),0))</f>
        <v/>
      </c>
      <c r="S250" s="11" t="n"/>
      <c r="T250" s="10">
        <f>IF(S250="","",IFERROR(VLOOKUP(S250,T_TIMSS,2,FALSE),0))</f>
        <v/>
      </c>
      <c r="U250" s="19">
        <f>IF(COUNT(F250,H250,P250,R250,T250)=0,"",MIN(10,MAX(F250,H250,P250,R250,T250)))</f>
        <v/>
      </c>
      <c r="V250" s="11" t="n"/>
    </row>
    <row r="251">
      <c r="A251" s="15">
        <f>Murid!A251</f>
        <v/>
      </c>
      <c r="B251" s="15">
        <f>IF(Murid!B251="","",Murid!B251)</f>
        <v/>
      </c>
      <c r="C251" s="16">
        <f>IF(Murid!C251="","",Murid!C251)</f>
        <v/>
      </c>
      <c r="D251" s="15">
        <f>IF(Murid!E251="","",Murid!E251)</f>
        <v/>
      </c>
      <c r="E251" s="11" t="n"/>
      <c r="F251" s="10">
        <f>IF(E251="","",IFERROR(VLOOKUP(E251,T_PERK,2,FALSE),0))</f>
        <v/>
      </c>
      <c r="G251" s="11" t="n"/>
      <c r="H251" s="10">
        <f>IF(G251="","",IFERROR(VLOOKUP(G251,T_ANUG,2,FALSE),0))</f>
        <v/>
      </c>
      <c r="I251" s="11" t="n"/>
      <c r="J251" s="11" t="n"/>
      <c r="K251" s="11" t="n"/>
      <c r="L251" s="11" t="n"/>
      <c r="M251" s="11" t="n"/>
      <c r="N251" s="11" t="n"/>
      <c r="O251" s="11" t="n"/>
      <c r="P251" s="10">
        <f>IF(COUNTA(I251:O251)=0,"",MIN(10,SUM(I251:O251)))</f>
        <v/>
      </c>
      <c r="Q251" s="11" t="n"/>
      <c r="R251" s="10">
        <f>IF(Q251="","",IFERROR(VLOOKUP(Q251,T_NILAM,2,FALSE),0))</f>
        <v/>
      </c>
      <c r="S251" s="11" t="n"/>
      <c r="T251" s="10">
        <f>IF(S251="","",IFERROR(VLOOKUP(S251,T_TIMSS,2,FALSE),0))</f>
        <v/>
      </c>
      <c r="U251" s="19">
        <f>IF(COUNT(F251,H251,P251,R251,T251)=0,"",MIN(10,MAX(F251,H251,P251,R251,T251)))</f>
        <v/>
      </c>
      <c r="V251" s="11" t="n"/>
    </row>
    <row r="252">
      <c r="A252" s="15">
        <f>Murid!A252</f>
        <v/>
      </c>
      <c r="B252" s="15">
        <f>IF(Murid!B252="","",Murid!B252)</f>
        <v/>
      </c>
      <c r="C252" s="16">
        <f>IF(Murid!C252="","",Murid!C252)</f>
        <v/>
      </c>
      <c r="D252" s="15">
        <f>IF(Murid!E252="","",Murid!E252)</f>
        <v/>
      </c>
      <c r="E252" s="11" t="n"/>
      <c r="F252" s="10">
        <f>IF(E252="","",IFERROR(VLOOKUP(E252,T_PERK,2,FALSE),0))</f>
        <v/>
      </c>
      <c r="G252" s="11" t="n"/>
      <c r="H252" s="10">
        <f>IF(G252="","",IFERROR(VLOOKUP(G252,T_ANUG,2,FALSE),0))</f>
        <v/>
      </c>
      <c r="I252" s="11" t="n"/>
      <c r="J252" s="11" t="n"/>
      <c r="K252" s="11" t="n"/>
      <c r="L252" s="11" t="n"/>
      <c r="M252" s="11" t="n"/>
      <c r="N252" s="11" t="n"/>
      <c r="O252" s="11" t="n"/>
      <c r="P252" s="10">
        <f>IF(COUNTA(I252:O252)=0,"",MIN(10,SUM(I252:O252)))</f>
        <v/>
      </c>
      <c r="Q252" s="11" t="n"/>
      <c r="R252" s="10">
        <f>IF(Q252="","",IFERROR(VLOOKUP(Q252,T_NILAM,2,FALSE),0))</f>
        <v/>
      </c>
      <c r="S252" s="11" t="n"/>
      <c r="T252" s="10">
        <f>IF(S252="","",IFERROR(VLOOKUP(S252,T_TIMSS,2,FALSE),0))</f>
        <v/>
      </c>
      <c r="U252" s="19">
        <f>IF(COUNT(F252,H252,P252,R252,T252)=0,"",MIN(10,MAX(F252,H252,P252,R252,T252)))</f>
        <v/>
      </c>
      <c r="V252" s="11" t="n"/>
    </row>
    <row r="253">
      <c r="A253" s="15">
        <f>Murid!A253</f>
        <v/>
      </c>
      <c r="B253" s="15">
        <f>IF(Murid!B253="","",Murid!B253)</f>
        <v/>
      </c>
      <c r="C253" s="16">
        <f>IF(Murid!C253="","",Murid!C253)</f>
        <v/>
      </c>
      <c r="D253" s="15">
        <f>IF(Murid!E253="","",Murid!E253)</f>
        <v/>
      </c>
      <c r="E253" s="11" t="n"/>
      <c r="F253" s="10">
        <f>IF(E253="","",IFERROR(VLOOKUP(E253,T_PERK,2,FALSE),0))</f>
        <v/>
      </c>
      <c r="G253" s="11" t="n"/>
      <c r="H253" s="10">
        <f>IF(G253="","",IFERROR(VLOOKUP(G253,T_ANUG,2,FALSE),0))</f>
        <v/>
      </c>
      <c r="I253" s="11" t="n"/>
      <c r="J253" s="11" t="n"/>
      <c r="K253" s="11" t="n"/>
      <c r="L253" s="11" t="n"/>
      <c r="M253" s="11" t="n"/>
      <c r="N253" s="11" t="n"/>
      <c r="O253" s="11" t="n"/>
      <c r="P253" s="10">
        <f>IF(COUNTA(I253:O253)=0,"",MIN(10,SUM(I253:O253)))</f>
        <v/>
      </c>
      <c r="Q253" s="11" t="n"/>
      <c r="R253" s="10">
        <f>IF(Q253="","",IFERROR(VLOOKUP(Q253,T_NILAM,2,FALSE),0))</f>
        <v/>
      </c>
      <c r="S253" s="11" t="n"/>
      <c r="T253" s="10">
        <f>IF(S253="","",IFERROR(VLOOKUP(S253,T_TIMSS,2,FALSE),0))</f>
        <v/>
      </c>
      <c r="U253" s="19">
        <f>IF(COUNT(F253,H253,P253,R253,T253)=0,"",MIN(10,MAX(F253,H253,P253,R253,T253)))</f>
        <v/>
      </c>
      <c r="V253" s="11" t="n"/>
    </row>
    <row r="254">
      <c r="A254" s="15">
        <f>Murid!A254</f>
        <v/>
      </c>
      <c r="B254" s="15">
        <f>IF(Murid!B254="","",Murid!B254)</f>
        <v/>
      </c>
      <c r="C254" s="16">
        <f>IF(Murid!C254="","",Murid!C254)</f>
        <v/>
      </c>
      <c r="D254" s="15">
        <f>IF(Murid!E254="","",Murid!E254)</f>
        <v/>
      </c>
      <c r="E254" s="11" t="n"/>
      <c r="F254" s="10">
        <f>IF(E254="","",IFERROR(VLOOKUP(E254,T_PERK,2,FALSE),0))</f>
        <v/>
      </c>
      <c r="G254" s="11" t="n"/>
      <c r="H254" s="10">
        <f>IF(G254="","",IFERROR(VLOOKUP(G254,T_ANUG,2,FALSE),0))</f>
        <v/>
      </c>
      <c r="I254" s="11" t="n"/>
      <c r="J254" s="11" t="n"/>
      <c r="K254" s="11" t="n"/>
      <c r="L254" s="11" t="n"/>
      <c r="M254" s="11" t="n"/>
      <c r="N254" s="11" t="n"/>
      <c r="O254" s="11" t="n"/>
      <c r="P254" s="10">
        <f>IF(COUNTA(I254:O254)=0,"",MIN(10,SUM(I254:O254)))</f>
        <v/>
      </c>
      <c r="Q254" s="11" t="n"/>
      <c r="R254" s="10">
        <f>IF(Q254="","",IFERROR(VLOOKUP(Q254,T_NILAM,2,FALSE),0))</f>
        <v/>
      </c>
      <c r="S254" s="11" t="n"/>
      <c r="T254" s="10">
        <f>IF(S254="","",IFERROR(VLOOKUP(S254,T_TIMSS,2,FALSE),0))</f>
        <v/>
      </c>
      <c r="U254" s="19">
        <f>IF(COUNT(F254,H254,P254,R254,T254)=0,"",MIN(10,MAX(F254,H254,P254,R254,T254)))</f>
        <v/>
      </c>
      <c r="V254" s="11" t="n"/>
    </row>
    <row r="255">
      <c r="A255" s="15">
        <f>Murid!A255</f>
        <v/>
      </c>
      <c r="B255" s="15">
        <f>IF(Murid!B255="","",Murid!B255)</f>
        <v/>
      </c>
      <c r="C255" s="16">
        <f>IF(Murid!C255="","",Murid!C255)</f>
        <v/>
      </c>
      <c r="D255" s="15">
        <f>IF(Murid!E255="","",Murid!E255)</f>
        <v/>
      </c>
      <c r="E255" s="11" t="n"/>
      <c r="F255" s="10">
        <f>IF(E255="","",IFERROR(VLOOKUP(E255,T_PERK,2,FALSE),0))</f>
        <v/>
      </c>
      <c r="G255" s="11" t="n"/>
      <c r="H255" s="10">
        <f>IF(G255="","",IFERROR(VLOOKUP(G255,T_ANUG,2,FALSE),0))</f>
        <v/>
      </c>
      <c r="I255" s="11" t="n"/>
      <c r="J255" s="11" t="n"/>
      <c r="K255" s="11" t="n"/>
      <c r="L255" s="11" t="n"/>
      <c r="M255" s="11" t="n"/>
      <c r="N255" s="11" t="n"/>
      <c r="O255" s="11" t="n"/>
      <c r="P255" s="10">
        <f>IF(COUNTA(I255:O255)=0,"",MIN(10,SUM(I255:O255)))</f>
        <v/>
      </c>
      <c r="Q255" s="11" t="n"/>
      <c r="R255" s="10">
        <f>IF(Q255="","",IFERROR(VLOOKUP(Q255,T_NILAM,2,FALSE),0))</f>
        <v/>
      </c>
      <c r="S255" s="11" t="n"/>
      <c r="T255" s="10">
        <f>IF(S255="","",IFERROR(VLOOKUP(S255,T_TIMSS,2,FALSE),0))</f>
        <v/>
      </c>
      <c r="U255" s="19">
        <f>IF(COUNT(F255,H255,P255,R255,T255)=0,"",MIN(10,MAX(F255,H255,P255,R255,T255)))</f>
        <v/>
      </c>
      <c r="V255" s="11" t="n"/>
    </row>
    <row r="256">
      <c r="A256" s="15">
        <f>Murid!A256</f>
        <v/>
      </c>
      <c r="B256" s="15">
        <f>IF(Murid!B256="","",Murid!B256)</f>
        <v/>
      </c>
      <c r="C256" s="16">
        <f>IF(Murid!C256="","",Murid!C256)</f>
        <v/>
      </c>
      <c r="D256" s="15">
        <f>IF(Murid!E256="","",Murid!E256)</f>
        <v/>
      </c>
      <c r="E256" s="11" t="n"/>
      <c r="F256" s="10">
        <f>IF(E256="","",IFERROR(VLOOKUP(E256,T_PERK,2,FALSE),0))</f>
        <v/>
      </c>
      <c r="G256" s="11" t="n"/>
      <c r="H256" s="10">
        <f>IF(G256="","",IFERROR(VLOOKUP(G256,T_ANUG,2,FALSE),0))</f>
        <v/>
      </c>
      <c r="I256" s="11" t="n"/>
      <c r="J256" s="11" t="n"/>
      <c r="K256" s="11" t="n"/>
      <c r="L256" s="11" t="n"/>
      <c r="M256" s="11" t="n"/>
      <c r="N256" s="11" t="n"/>
      <c r="O256" s="11" t="n"/>
      <c r="P256" s="10">
        <f>IF(COUNTA(I256:O256)=0,"",MIN(10,SUM(I256:O256)))</f>
        <v/>
      </c>
      <c r="Q256" s="11" t="n"/>
      <c r="R256" s="10">
        <f>IF(Q256="","",IFERROR(VLOOKUP(Q256,T_NILAM,2,FALSE),0))</f>
        <v/>
      </c>
      <c r="S256" s="11" t="n"/>
      <c r="T256" s="10">
        <f>IF(S256="","",IFERROR(VLOOKUP(S256,T_TIMSS,2,FALSE),0))</f>
        <v/>
      </c>
      <c r="U256" s="19">
        <f>IF(COUNT(F256,H256,P256,R256,T256)=0,"",MIN(10,MAX(F256,H256,P256,R256,T256)))</f>
        <v/>
      </c>
      <c r="V256" s="11" t="n"/>
    </row>
    <row r="257">
      <c r="A257" s="15">
        <f>Murid!A257</f>
        <v/>
      </c>
      <c r="B257" s="15">
        <f>IF(Murid!B257="","",Murid!B257)</f>
        <v/>
      </c>
      <c r="C257" s="16">
        <f>IF(Murid!C257="","",Murid!C257)</f>
        <v/>
      </c>
      <c r="D257" s="15">
        <f>IF(Murid!E257="","",Murid!E257)</f>
        <v/>
      </c>
      <c r="E257" s="11" t="n"/>
      <c r="F257" s="10">
        <f>IF(E257="","",IFERROR(VLOOKUP(E257,T_PERK,2,FALSE),0))</f>
        <v/>
      </c>
      <c r="G257" s="11" t="n"/>
      <c r="H257" s="10">
        <f>IF(G257="","",IFERROR(VLOOKUP(G257,T_ANUG,2,FALSE),0))</f>
        <v/>
      </c>
      <c r="I257" s="11" t="n"/>
      <c r="J257" s="11" t="n"/>
      <c r="K257" s="11" t="n"/>
      <c r="L257" s="11" t="n"/>
      <c r="M257" s="11" t="n"/>
      <c r="N257" s="11" t="n"/>
      <c r="O257" s="11" t="n"/>
      <c r="P257" s="10">
        <f>IF(COUNTA(I257:O257)=0,"",MIN(10,SUM(I257:O257)))</f>
        <v/>
      </c>
      <c r="Q257" s="11" t="n"/>
      <c r="R257" s="10">
        <f>IF(Q257="","",IFERROR(VLOOKUP(Q257,T_NILAM,2,FALSE),0))</f>
        <v/>
      </c>
      <c r="S257" s="11" t="n"/>
      <c r="T257" s="10">
        <f>IF(S257="","",IFERROR(VLOOKUP(S257,T_TIMSS,2,FALSE),0))</f>
        <v/>
      </c>
      <c r="U257" s="19">
        <f>IF(COUNT(F257,H257,P257,R257,T257)=0,"",MIN(10,MAX(F257,H257,P257,R257,T257)))</f>
        <v/>
      </c>
      <c r="V257" s="11" t="n"/>
    </row>
    <row r="258">
      <c r="A258" s="15">
        <f>Murid!A258</f>
        <v/>
      </c>
      <c r="B258" s="15">
        <f>IF(Murid!B258="","",Murid!B258)</f>
        <v/>
      </c>
      <c r="C258" s="16">
        <f>IF(Murid!C258="","",Murid!C258)</f>
        <v/>
      </c>
      <c r="D258" s="15">
        <f>IF(Murid!E258="","",Murid!E258)</f>
        <v/>
      </c>
      <c r="E258" s="11" t="n"/>
      <c r="F258" s="10">
        <f>IF(E258="","",IFERROR(VLOOKUP(E258,T_PERK,2,FALSE),0))</f>
        <v/>
      </c>
      <c r="G258" s="11" t="n"/>
      <c r="H258" s="10">
        <f>IF(G258="","",IFERROR(VLOOKUP(G258,T_ANUG,2,FALSE),0))</f>
        <v/>
      </c>
      <c r="I258" s="11" t="n"/>
      <c r="J258" s="11" t="n"/>
      <c r="K258" s="11" t="n"/>
      <c r="L258" s="11" t="n"/>
      <c r="M258" s="11" t="n"/>
      <c r="N258" s="11" t="n"/>
      <c r="O258" s="11" t="n"/>
      <c r="P258" s="10">
        <f>IF(COUNTA(I258:O258)=0,"",MIN(10,SUM(I258:O258)))</f>
        <v/>
      </c>
      <c r="Q258" s="11" t="n"/>
      <c r="R258" s="10">
        <f>IF(Q258="","",IFERROR(VLOOKUP(Q258,T_NILAM,2,FALSE),0))</f>
        <v/>
      </c>
      <c r="S258" s="11" t="n"/>
      <c r="T258" s="10">
        <f>IF(S258="","",IFERROR(VLOOKUP(S258,T_TIMSS,2,FALSE),0))</f>
        <v/>
      </c>
      <c r="U258" s="19">
        <f>IF(COUNT(F258,H258,P258,R258,T258)=0,"",MIN(10,MAX(F258,H258,P258,R258,T258)))</f>
        <v/>
      </c>
      <c r="V258" s="11" t="n"/>
    </row>
    <row r="259">
      <c r="A259" s="15">
        <f>Murid!A259</f>
        <v/>
      </c>
      <c r="B259" s="15">
        <f>IF(Murid!B259="","",Murid!B259)</f>
        <v/>
      </c>
      <c r="C259" s="16">
        <f>IF(Murid!C259="","",Murid!C259)</f>
        <v/>
      </c>
      <c r="D259" s="15">
        <f>IF(Murid!E259="","",Murid!E259)</f>
        <v/>
      </c>
      <c r="E259" s="11" t="n"/>
      <c r="F259" s="10">
        <f>IF(E259="","",IFERROR(VLOOKUP(E259,T_PERK,2,FALSE),0))</f>
        <v/>
      </c>
      <c r="G259" s="11" t="n"/>
      <c r="H259" s="10">
        <f>IF(G259="","",IFERROR(VLOOKUP(G259,T_ANUG,2,FALSE),0))</f>
        <v/>
      </c>
      <c r="I259" s="11" t="n"/>
      <c r="J259" s="11" t="n"/>
      <c r="K259" s="11" t="n"/>
      <c r="L259" s="11" t="n"/>
      <c r="M259" s="11" t="n"/>
      <c r="N259" s="11" t="n"/>
      <c r="O259" s="11" t="n"/>
      <c r="P259" s="10">
        <f>IF(COUNTA(I259:O259)=0,"",MIN(10,SUM(I259:O259)))</f>
        <v/>
      </c>
      <c r="Q259" s="11" t="n"/>
      <c r="R259" s="10">
        <f>IF(Q259="","",IFERROR(VLOOKUP(Q259,T_NILAM,2,FALSE),0))</f>
        <v/>
      </c>
      <c r="S259" s="11" t="n"/>
      <c r="T259" s="10">
        <f>IF(S259="","",IFERROR(VLOOKUP(S259,T_TIMSS,2,FALSE),0))</f>
        <v/>
      </c>
      <c r="U259" s="19">
        <f>IF(COUNT(F259,H259,P259,R259,T259)=0,"",MIN(10,MAX(F259,H259,P259,R259,T259)))</f>
        <v/>
      </c>
      <c r="V259" s="11" t="n"/>
    </row>
    <row r="260">
      <c r="A260" s="15">
        <f>Murid!A260</f>
        <v/>
      </c>
      <c r="B260" s="15">
        <f>IF(Murid!B260="","",Murid!B260)</f>
        <v/>
      </c>
      <c r="C260" s="16">
        <f>IF(Murid!C260="","",Murid!C260)</f>
        <v/>
      </c>
      <c r="D260" s="15">
        <f>IF(Murid!E260="","",Murid!E260)</f>
        <v/>
      </c>
      <c r="E260" s="11" t="n"/>
      <c r="F260" s="10">
        <f>IF(E260="","",IFERROR(VLOOKUP(E260,T_PERK,2,FALSE),0))</f>
        <v/>
      </c>
      <c r="G260" s="11" t="n"/>
      <c r="H260" s="10">
        <f>IF(G260="","",IFERROR(VLOOKUP(G260,T_ANUG,2,FALSE),0))</f>
        <v/>
      </c>
      <c r="I260" s="11" t="n"/>
      <c r="J260" s="11" t="n"/>
      <c r="K260" s="11" t="n"/>
      <c r="L260" s="11" t="n"/>
      <c r="M260" s="11" t="n"/>
      <c r="N260" s="11" t="n"/>
      <c r="O260" s="11" t="n"/>
      <c r="P260" s="10">
        <f>IF(COUNTA(I260:O260)=0,"",MIN(10,SUM(I260:O260)))</f>
        <v/>
      </c>
      <c r="Q260" s="11" t="n"/>
      <c r="R260" s="10">
        <f>IF(Q260="","",IFERROR(VLOOKUP(Q260,T_NILAM,2,FALSE),0))</f>
        <v/>
      </c>
      <c r="S260" s="11" t="n"/>
      <c r="T260" s="10">
        <f>IF(S260="","",IFERROR(VLOOKUP(S260,T_TIMSS,2,FALSE),0))</f>
        <v/>
      </c>
      <c r="U260" s="19">
        <f>IF(COUNT(F260,H260,P260,R260,T260)=0,"",MIN(10,MAX(F260,H260,P260,R260,T260)))</f>
        <v/>
      </c>
      <c r="V260" s="11" t="n"/>
    </row>
    <row r="261">
      <c r="A261" s="15">
        <f>Murid!A261</f>
        <v/>
      </c>
      <c r="B261" s="15">
        <f>IF(Murid!B261="","",Murid!B261)</f>
        <v/>
      </c>
      <c r="C261" s="16">
        <f>IF(Murid!C261="","",Murid!C261)</f>
        <v/>
      </c>
      <c r="D261" s="15">
        <f>IF(Murid!E261="","",Murid!E261)</f>
        <v/>
      </c>
      <c r="E261" s="11" t="n"/>
      <c r="F261" s="10">
        <f>IF(E261="","",IFERROR(VLOOKUP(E261,T_PERK,2,FALSE),0))</f>
        <v/>
      </c>
      <c r="G261" s="11" t="n"/>
      <c r="H261" s="10">
        <f>IF(G261="","",IFERROR(VLOOKUP(G261,T_ANUG,2,FALSE),0))</f>
        <v/>
      </c>
      <c r="I261" s="11" t="n"/>
      <c r="J261" s="11" t="n"/>
      <c r="K261" s="11" t="n"/>
      <c r="L261" s="11" t="n"/>
      <c r="M261" s="11" t="n"/>
      <c r="N261" s="11" t="n"/>
      <c r="O261" s="11" t="n"/>
      <c r="P261" s="10">
        <f>IF(COUNTA(I261:O261)=0,"",MIN(10,SUM(I261:O261)))</f>
        <v/>
      </c>
      <c r="Q261" s="11" t="n"/>
      <c r="R261" s="10">
        <f>IF(Q261="","",IFERROR(VLOOKUP(Q261,T_NILAM,2,FALSE),0))</f>
        <v/>
      </c>
      <c r="S261" s="11" t="n"/>
      <c r="T261" s="10">
        <f>IF(S261="","",IFERROR(VLOOKUP(S261,T_TIMSS,2,FALSE),0))</f>
        <v/>
      </c>
      <c r="U261" s="19">
        <f>IF(COUNT(F261,H261,P261,R261,T261)=0,"",MIN(10,MAX(F261,H261,P261,R261,T261)))</f>
        <v/>
      </c>
      <c r="V261" s="11" t="n"/>
    </row>
    <row r="262">
      <c r="A262" s="15">
        <f>Murid!A262</f>
        <v/>
      </c>
      <c r="B262" s="15">
        <f>IF(Murid!B262="","",Murid!B262)</f>
        <v/>
      </c>
      <c r="C262" s="16">
        <f>IF(Murid!C262="","",Murid!C262)</f>
        <v/>
      </c>
      <c r="D262" s="15">
        <f>IF(Murid!E262="","",Murid!E262)</f>
        <v/>
      </c>
      <c r="E262" s="11" t="n"/>
      <c r="F262" s="10">
        <f>IF(E262="","",IFERROR(VLOOKUP(E262,T_PERK,2,FALSE),0))</f>
        <v/>
      </c>
      <c r="G262" s="11" t="n"/>
      <c r="H262" s="10">
        <f>IF(G262="","",IFERROR(VLOOKUP(G262,T_ANUG,2,FALSE),0))</f>
        <v/>
      </c>
      <c r="I262" s="11" t="n"/>
      <c r="J262" s="11" t="n"/>
      <c r="K262" s="11" t="n"/>
      <c r="L262" s="11" t="n"/>
      <c r="M262" s="11" t="n"/>
      <c r="N262" s="11" t="n"/>
      <c r="O262" s="11" t="n"/>
      <c r="P262" s="10">
        <f>IF(COUNTA(I262:O262)=0,"",MIN(10,SUM(I262:O262)))</f>
        <v/>
      </c>
      <c r="Q262" s="11" t="n"/>
      <c r="R262" s="10">
        <f>IF(Q262="","",IFERROR(VLOOKUP(Q262,T_NILAM,2,FALSE),0))</f>
        <v/>
      </c>
      <c r="S262" s="11" t="n"/>
      <c r="T262" s="10">
        <f>IF(S262="","",IFERROR(VLOOKUP(S262,T_TIMSS,2,FALSE),0))</f>
        <v/>
      </c>
      <c r="U262" s="19">
        <f>IF(COUNT(F262,H262,P262,R262,T262)=0,"",MIN(10,MAX(F262,H262,P262,R262,T262)))</f>
        <v/>
      </c>
      <c r="V262" s="11" t="n"/>
    </row>
    <row r="263">
      <c r="A263" s="15">
        <f>Murid!A263</f>
        <v/>
      </c>
      <c r="B263" s="15">
        <f>IF(Murid!B263="","",Murid!B263)</f>
        <v/>
      </c>
      <c r="C263" s="16">
        <f>IF(Murid!C263="","",Murid!C263)</f>
        <v/>
      </c>
      <c r="D263" s="15">
        <f>IF(Murid!E263="","",Murid!E263)</f>
        <v/>
      </c>
      <c r="E263" s="11" t="n"/>
      <c r="F263" s="10">
        <f>IF(E263="","",IFERROR(VLOOKUP(E263,T_PERK,2,FALSE),0))</f>
        <v/>
      </c>
      <c r="G263" s="11" t="n"/>
      <c r="H263" s="10">
        <f>IF(G263="","",IFERROR(VLOOKUP(G263,T_ANUG,2,FALSE),0))</f>
        <v/>
      </c>
      <c r="I263" s="11" t="n"/>
      <c r="J263" s="11" t="n"/>
      <c r="K263" s="11" t="n"/>
      <c r="L263" s="11" t="n"/>
      <c r="M263" s="11" t="n"/>
      <c r="N263" s="11" t="n"/>
      <c r="O263" s="11" t="n"/>
      <c r="P263" s="10">
        <f>IF(COUNTA(I263:O263)=0,"",MIN(10,SUM(I263:O263)))</f>
        <v/>
      </c>
      <c r="Q263" s="11" t="n"/>
      <c r="R263" s="10">
        <f>IF(Q263="","",IFERROR(VLOOKUP(Q263,T_NILAM,2,FALSE),0))</f>
        <v/>
      </c>
      <c r="S263" s="11" t="n"/>
      <c r="T263" s="10">
        <f>IF(S263="","",IFERROR(VLOOKUP(S263,T_TIMSS,2,FALSE),0))</f>
        <v/>
      </c>
      <c r="U263" s="19">
        <f>IF(COUNT(F263,H263,P263,R263,T263)=0,"",MIN(10,MAX(F263,H263,P263,R263,T263)))</f>
        <v/>
      </c>
      <c r="V263" s="11" t="n"/>
    </row>
    <row r="264">
      <c r="A264" s="15">
        <f>Murid!A264</f>
        <v/>
      </c>
      <c r="B264" s="15">
        <f>IF(Murid!B264="","",Murid!B264)</f>
        <v/>
      </c>
      <c r="C264" s="16">
        <f>IF(Murid!C264="","",Murid!C264)</f>
        <v/>
      </c>
      <c r="D264" s="15">
        <f>IF(Murid!E264="","",Murid!E264)</f>
        <v/>
      </c>
      <c r="E264" s="11" t="n"/>
      <c r="F264" s="10">
        <f>IF(E264="","",IFERROR(VLOOKUP(E264,T_PERK,2,FALSE),0))</f>
        <v/>
      </c>
      <c r="G264" s="11" t="n"/>
      <c r="H264" s="10">
        <f>IF(G264="","",IFERROR(VLOOKUP(G264,T_ANUG,2,FALSE),0))</f>
        <v/>
      </c>
      <c r="I264" s="11" t="n"/>
      <c r="J264" s="11" t="n"/>
      <c r="K264" s="11" t="n"/>
      <c r="L264" s="11" t="n"/>
      <c r="M264" s="11" t="n"/>
      <c r="N264" s="11" t="n"/>
      <c r="O264" s="11" t="n"/>
      <c r="P264" s="10">
        <f>IF(COUNTA(I264:O264)=0,"",MIN(10,SUM(I264:O264)))</f>
        <v/>
      </c>
      <c r="Q264" s="11" t="n"/>
      <c r="R264" s="10">
        <f>IF(Q264="","",IFERROR(VLOOKUP(Q264,T_NILAM,2,FALSE),0))</f>
        <v/>
      </c>
      <c r="S264" s="11" t="n"/>
      <c r="T264" s="10">
        <f>IF(S264="","",IFERROR(VLOOKUP(S264,T_TIMSS,2,FALSE),0))</f>
        <v/>
      </c>
      <c r="U264" s="19">
        <f>IF(COUNT(F264,H264,P264,R264,T264)=0,"",MIN(10,MAX(F264,H264,P264,R264,T264)))</f>
        <v/>
      </c>
      <c r="V264" s="11" t="n"/>
    </row>
    <row r="265">
      <c r="A265" s="15">
        <f>Murid!A265</f>
        <v/>
      </c>
      <c r="B265" s="15">
        <f>IF(Murid!B265="","",Murid!B265)</f>
        <v/>
      </c>
      <c r="C265" s="16">
        <f>IF(Murid!C265="","",Murid!C265)</f>
        <v/>
      </c>
      <c r="D265" s="15">
        <f>IF(Murid!E265="","",Murid!E265)</f>
        <v/>
      </c>
      <c r="E265" s="11" t="n"/>
      <c r="F265" s="10">
        <f>IF(E265="","",IFERROR(VLOOKUP(E265,T_PERK,2,FALSE),0))</f>
        <v/>
      </c>
      <c r="G265" s="11" t="n"/>
      <c r="H265" s="10">
        <f>IF(G265="","",IFERROR(VLOOKUP(G265,T_ANUG,2,FALSE),0))</f>
        <v/>
      </c>
      <c r="I265" s="11" t="n"/>
      <c r="J265" s="11" t="n"/>
      <c r="K265" s="11" t="n"/>
      <c r="L265" s="11" t="n"/>
      <c r="M265" s="11" t="n"/>
      <c r="N265" s="11" t="n"/>
      <c r="O265" s="11" t="n"/>
      <c r="P265" s="10">
        <f>IF(COUNTA(I265:O265)=0,"",MIN(10,SUM(I265:O265)))</f>
        <v/>
      </c>
      <c r="Q265" s="11" t="n"/>
      <c r="R265" s="10">
        <f>IF(Q265="","",IFERROR(VLOOKUP(Q265,T_NILAM,2,FALSE),0))</f>
        <v/>
      </c>
      <c r="S265" s="11" t="n"/>
      <c r="T265" s="10">
        <f>IF(S265="","",IFERROR(VLOOKUP(S265,T_TIMSS,2,FALSE),0))</f>
        <v/>
      </c>
      <c r="U265" s="19">
        <f>IF(COUNT(F265,H265,P265,R265,T265)=0,"",MIN(10,MAX(F265,H265,P265,R265,T265)))</f>
        <v/>
      </c>
      <c r="V265" s="11" t="n"/>
    </row>
    <row r="266">
      <c r="A266" s="15">
        <f>Murid!A266</f>
        <v/>
      </c>
      <c r="B266" s="15">
        <f>IF(Murid!B266="","",Murid!B266)</f>
        <v/>
      </c>
      <c r="C266" s="16">
        <f>IF(Murid!C266="","",Murid!C266)</f>
        <v/>
      </c>
      <c r="D266" s="15">
        <f>IF(Murid!E266="","",Murid!E266)</f>
        <v/>
      </c>
      <c r="E266" s="11" t="n"/>
      <c r="F266" s="10">
        <f>IF(E266="","",IFERROR(VLOOKUP(E266,T_PERK,2,FALSE),0))</f>
        <v/>
      </c>
      <c r="G266" s="11" t="n"/>
      <c r="H266" s="10">
        <f>IF(G266="","",IFERROR(VLOOKUP(G266,T_ANUG,2,FALSE),0))</f>
        <v/>
      </c>
      <c r="I266" s="11" t="n"/>
      <c r="J266" s="11" t="n"/>
      <c r="K266" s="11" t="n"/>
      <c r="L266" s="11" t="n"/>
      <c r="M266" s="11" t="n"/>
      <c r="N266" s="11" t="n"/>
      <c r="O266" s="11" t="n"/>
      <c r="P266" s="10">
        <f>IF(COUNTA(I266:O266)=0,"",MIN(10,SUM(I266:O266)))</f>
        <v/>
      </c>
      <c r="Q266" s="11" t="n"/>
      <c r="R266" s="10">
        <f>IF(Q266="","",IFERROR(VLOOKUP(Q266,T_NILAM,2,FALSE),0))</f>
        <v/>
      </c>
      <c r="S266" s="11" t="n"/>
      <c r="T266" s="10">
        <f>IF(S266="","",IFERROR(VLOOKUP(S266,T_TIMSS,2,FALSE),0))</f>
        <v/>
      </c>
      <c r="U266" s="19">
        <f>IF(COUNT(F266,H266,P266,R266,T266)=0,"",MIN(10,MAX(F266,H266,P266,R266,T266)))</f>
        <v/>
      </c>
      <c r="V266" s="11" t="n"/>
    </row>
    <row r="267">
      <c r="A267" s="15">
        <f>Murid!A267</f>
        <v/>
      </c>
      <c r="B267" s="15">
        <f>IF(Murid!B267="","",Murid!B267)</f>
        <v/>
      </c>
      <c r="C267" s="16">
        <f>IF(Murid!C267="","",Murid!C267)</f>
        <v/>
      </c>
      <c r="D267" s="15">
        <f>IF(Murid!E267="","",Murid!E267)</f>
        <v/>
      </c>
      <c r="E267" s="11" t="n"/>
      <c r="F267" s="10">
        <f>IF(E267="","",IFERROR(VLOOKUP(E267,T_PERK,2,FALSE),0))</f>
        <v/>
      </c>
      <c r="G267" s="11" t="n"/>
      <c r="H267" s="10">
        <f>IF(G267="","",IFERROR(VLOOKUP(G267,T_ANUG,2,FALSE),0))</f>
        <v/>
      </c>
      <c r="I267" s="11" t="n"/>
      <c r="J267" s="11" t="n"/>
      <c r="K267" s="11" t="n"/>
      <c r="L267" s="11" t="n"/>
      <c r="M267" s="11" t="n"/>
      <c r="N267" s="11" t="n"/>
      <c r="O267" s="11" t="n"/>
      <c r="P267" s="10">
        <f>IF(COUNTA(I267:O267)=0,"",MIN(10,SUM(I267:O267)))</f>
        <v/>
      </c>
      <c r="Q267" s="11" t="n"/>
      <c r="R267" s="10">
        <f>IF(Q267="","",IFERROR(VLOOKUP(Q267,T_NILAM,2,FALSE),0))</f>
        <v/>
      </c>
      <c r="S267" s="11" t="n"/>
      <c r="T267" s="10">
        <f>IF(S267="","",IFERROR(VLOOKUP(S267,T_TIMSS,2,FALSE),0))</f>
        <v/>
      </c>
      <c r="U267" s="19">
        <f>IF(COUNT(F267,H267,P267,R267,T267)=0,"",MIN(10,MAX(F267,H267,P267,R267,T267)))</f>
        <v/>
      </c>
      <c r="V267" s="11" t="n"/>
    </row>
    <row r="268">
      <c r="A268" s="15">
        <f>Murid!A268</f>
        <v/>
      </c>
      <c r="B268" s="15">
        <f>IF(Murid!B268="","",Murid!B268)</f>
        <v/>
      </c>
      <c r="C268" s="16">
        <f>IF(Murid!C268="","",Murid!C268)</f>
        <v/>
      </c>
      <c r="D268" s="15">
        <f>IF(Murid!E268="","",Murid!E268)</f>
        <v/>
      </c>
      <c r="E268" s="11" t="n"/>
      <c r="F268" s="10">
        <f>IF(E268="","",IFERROR(VLOOKUP(E268,T_PERK,2,FALSE),0))</f>
        <v/>
      </c>
      <c r="G268" s="11" t="n"/>
      <c r="H268" s="10">
        <f>IF(G268="","",IFERROR(VLOOKUP(G268,T_ANUG,2,FALSE),0))</f>
        <v/>
      </c>
      <c r="I268" s="11" t="n"/>
      <c r="J268" s="11" t="n"/>
      <c r="K268" s="11" t="n"/>
      <c r="L268" s="11" t="n"/>
      <c r="M268" s="11" t="n"/>
      <c r="N268" s="11" t="n"/>
      <c r="O268" s="11" t="n"/>
      <c r="P268" s="10">
        <f>IF(COUNTA(I268:O268)=0,"",MIN(10,SUM(I268:O268)))</f>
        <v/>
      </c>
      <c r="Q268" s="11" t="n"/>
      <c r="R268" s="10">
        <f>IF(Q268="","",IFERROR(VLOOKUP(Q268,T_NILAM,2,FALSE),0))</f>
        <v/>
      </c>
      <c r="S268" s="11" t="n"/>
      <c r="T268" s="10">
        <f>IF(S268="","",IFERROR(VLOOKUP(S268,T_TIMSS,2,FALSE),0))</f>
        <v/>
      </c>
      <c r="U268" s="19">
        <f>IF(COUNT(F268,H268,P268,R268,T268)=0,"",MIN(10,MAX(F268,H268,P268,R268,T268)))</f>
        <v/>
      </c>
      <c r="V268" s="11" t="n"/>
    </row>
    <row r="269">
      <c r="A269" s="15">
        <f>Murid!A269</f>
        <v/>
      </c>
      <c r="B269" s="15">
        <f>IF(Murid!B269="","",Murid!B269)</f>
        <v/>
      </c>
      <c r="C269" s="16">
        <f>IF(Murid!C269="","",Murid!C269)</f>
        <v/>
      </c>
      <c r="D269" s="15">
        <f>IF(Murid!E269="","",Murid!E269)</f>
        <v/>
      </c>
      <c r="E269" s="11" t="n"/>
      <c r="F269" s="10">
        <f>IF(E269="","",IFERROR(VLOOKUP(E269,T_PERK,2,FALSE),0))</f>
        <v/>
      </c>
      <c r="G269" s="11" t="n"/>
      <c r="H269" s="10">
        <f>IF(G269="","",IFERROR(VLOOKUP(G269,T_ANUG,2,FALSE),0))</f>
        <v/>
      </c>
      <c r="I269" s="11" t="n"/>
      <c r="J269" s="11" t="n"/>
      <c r="K269" s="11" t="n"/>
      <c r="L269" s="11" t="n"/>
      <c r="M269" s="11" t="n"/>
      <c r="N269" s="11" t="n"/>
      <c r="O269" s="11" t="n"/>
      <c r="P269" s="10">
        <f>IF(COUNTA(I269:O269)=0,"",MIN(10,SUM(I269:O269)))</f>
        <v/>
      </c>
      <c r="Q269" s="11" t="n"/>
      <c r="R269" s="10">
        <f>IF(Q269="","",IFERROR(VLOOKUP(Q269,T_NILAM,2,FALSE),0))</f>
        <v/>
      </c>
      <c r="S269" s="11" t="n"/>
      <c r="T269" s="10">
        <f>IF(S269="","",IFERROR(VLOOKUP(S269,T_TIMSS,2,FALSE),0))</f>
        <v/>
      </c>
      <c r="U269" s="19">
        <f>IF(COUNT(F269,H269,P269,R269,T269)=0,"",MIN(10,MAX(F269,H269,P269,R269,T269)))</f>
        <v/>
      </c>
      <c r="V269" s="11" t="n"/>
    </row>
    <row r="270">
      <c r="A270" s="15">
        <f>Murid!A270</f>
        <v/>
      </c>
      <c r="B270" s="15">
        <f>IF(Murid!B270="","",Murid!B270)</f>
        <v/>
      </c>
      <c r="C270" s="16">
        <f>IF(Murid!C270="","",Murid!C270)</f>
        <v/>
      </c>
      <c r="D270" s="15">
        <f>IF(Murid!E270="","",Murid!E270)</f>
        <v/>
      </c>
      <c r="E270" s="11" t="n"/>
      <c r="F270" s="10">
        <f>IF(E270="","",IFERROR(VLOOKUP(E270,T_PERK,2,FALSE),0))</f>
        <v/>
      </c>
      <c r="G270" s="11" t="n"/>
      <c r="H270" s="10">
        <f>IF(G270="","",IFERROR(VLOOKUP(G270,T_ANUG,2,FALSE),0))</f>
        <v/>
      </c>
      <c r="I270" s="11" t="n"/>
      <c r="J270" s="11" t="n"/>
      <c r="K270" s="11" t="n"/>
      <c r="L270" s="11" t="n"/>
      <c r="M270" s="11" t="n"/>
      <c r="N270" s="11" t="n"/>
      <c r="O270" s="11" t="n"/>
      <c r="P270" s="10">
        <f>IF(COUNTA(I270:O270)=0,"",MIN(10,SUM(I270:O270)))</f>
        <v/>
      </c>
      <c r="Q270" s="11" t="n"/>
      <c r="R270" s="10">
        <f>IF(Q270="","",IFERROR(VLOOKUP(Q270,T_NILAM,2,FALSE),0))</f>
        <v/>
      </c>
      <c r="S270" s="11" t="n"/>
      <c r="T270" s="10">
        <f>IF(S270="","",IFERROR(VLOOKUP(S270,T_TIMSS,2,FALSE),0))</f>
        <v/>
      </c>
      <c r="U270" s="19">
        <f>IF(COUNT(F270,H270,P270,R270,T270)=0,"",MIN(10,MAX(F270,H270,P270,R270,T270)))</f>
        <v/>
      </c>
      <c r="V270" s="11" t="n"/>
    </row>
    <row r="271">
      <c r="A271" s="15">
        <f>Murid!A271</f>
        <v/>
      </c>
      <c r="B271" s="15">
        <f>IF(Murid!B271="","",Murid!B271)</f>
        <v/>
      </c>
      <c r="C271" s="16">
        <f>IF(Murid!C271="","",Murid!C271)</f>
        <v/>
      </c>
      <c r="D271" s="15">
        <f>IF(Murid!E271="","",Murid!E271)</f>
        <v/>
      </c>
      <c r="E271" s="11" t="n"/>
      <c r="F271" s="10">
        <f>IF(E271="","",IFERROR(VLOOKUP(E271,T_PERK,2,FALSE),0))</f>
        <v/>
      </c>
      <c r="G271" s="11" t="n"/>
      <c r="H271" s="10">
        <f>IF(G271="","",IFERROR(VLOOKUP(G271,T_ANUG,2,FALSE),0))</f>
        <v/>
      </c>
      <c r="I271" s="11" t="n"/>
      <c r="J271" s="11" t="n"/>
      <c r="K271" s="11" t="n"/>
      <c r="L271" s="11" t="n"/>
      <c r="M271" s="11" t="n"/>
      <c r="N271" s="11" t="n"/>
      <c r="O271" s="11" t="n"/>
      <c r="P271" s="10">
        <f>IF(COUNTA(I271:O271)=0,"",MIN(10,SUM(I271:O271)))</f>
        <v/>
      </c>
      <c r="Q271" s="11" t="n"/>
      <c r="R271" s="10">
        <f>IF(Q271="","",IFERROR(VLOOKUP(Q271,T_NILAM,2,FALSE),0))</f>
        <v/>
      </c>
      <c r="S271" s="11" t="n"/>
      <c r="T271" s="10">
        <f>IF(S271="","",IFERROR(VLOOKUP(S271,T_TIMSS,2,FALSE),0))</f>
        <v/>
      </c>
      <c r="U271" s="19">
        <f>IF(COUNT(F271,H271,P271,R271,T271)=0,"",MIN(10,MAX(F271,H271,P271,R271,T271)))</f>
        <v/>
      </c>
      <c r="V271" s="11" t="n"/>
    </row>
    <row r="272">
      <c r="A272" s="15">
        <f>Murid!A272</f>
        <v/>
      </c>
      <c r="B272" s="15">
        <f>IF(Murid!B272="","",Murid!B272)</f>
        <v/>
      </c>
      <c r="C272" s="16">
        <f>IF(Murid!C272="","",Murid!C272)</f>
        <v/>
      </c>
      <c r="D272" s="15">
        <f>IF(Murid!E272="","",Murid!E272)</f>
        <v/>
      </c>
      <c r="E272" s="11" t="n"/>
      <c r="F272" s="10">
        <f>IF(E272="","",IFERROR(VLOOKUP(E272,T_PERK,2,FALSE),0))</f>
        <v/>
      </c>
      <c r="G272" s="11" t="n"/>
      <c r="H272" s="10">
        <f>IF(G272="","",IFERROR(VLOOKUP(G272,T_ANUG,2,FALSE),0))</f>
        <v/>
      </c>
      <c r="I272" s="11" t="n"/>
      <c r="J272" s="11" t="n"/>
      <c r="K272" s="11" t="n"/>
      <c r="L272" s="11" t="n"/>
      <c r="M272" s="11" t="n"/>
      <c r="N272" s="11" t="n"/>
      <c r="O272" s="11" t="n"/>
      <c r="P272" s="10">
        <f>IF(COUNTA(I272:O272)=0,"",MIN(10,SUM(I272:O272)))</f>
        <v/>
      </c>
      <c r="Q272" s="11" t="n"/>
      <c r="R272" s="10">
        <f>IF(Q272="","",IFERROR(VLOOKUP(Q272,T_NILAM,2,FALSE),0))</f>
        <v/>
      </c>
      <c r="S272" s="11" t="n"/>
      <c r="T272" s="10">
        <f>IF(S272="","",IFERROR(VLOOKUP(S272,T_TIMSS,2,FALSE),0))</f>
        <v/>
      </c>
      <c r="U272" s="19">
        <f>IF(COUNT(F272,H272,P272,R272,T272)=0,"",MIN(10,MAX(F272,H272,P272,R272,T272)))</f>
        <v/>
      </c>
      <c r="V272" s="11" t="n"/>
    </row>
    <row r="273">
      <c r="A273" s="15">
        <f>Murid!A273</f>
        <v/>
      </c>
      <c r="B273" s="15">
        <f>IF(Murid!B273="","",Murid!B273)</f>
        <v/>
      </c>
      <c r="C273" s="16">
        <f>IF(Murid!C273="","",Murid!C273)</f>
        <v/>
      </c>
      <c r="D273" s="15">
        <f>IF(Murid!E273="","",Murid!E273)</f>
        <v/>
      </c>
      <c r="E273" s="11" t="n"/>
      <c r="F273" s="10">
        <f>IF(E273="","",IFERROR(VLOOKUP(E273,T_PERK,2,FALSE),0))</f>
        <v/>
      </c>
      <c r="G273" s="11" t="n"/>
      <c r="H273" s="10">
        <f>IF(G273="","",IFERROR(VLOOKUP(G273,T_ANUG,2,FALSE),0))</f>
        <v/>
      </c>
      <c r="I273" s="11" t="n"/>
      <c r="J273" s="11" t="n"/>
      <c r="K273" s="11" t="n"/>
      <c r="L273" s="11" t="n"/>
      <c r="M273" s="11" t="n"/>
      <c r="N273" s="11" t="n"/>
      <c r="O273" s="11" t="n"/>
      <c r="P273" s="10">
        <f>IF(COUNTA(I273:O273)=0,"",MIN(10,SUM(I273:O273)))</f>
        <v/>
      </c>
      <c r="Q273" s="11" t="n"/>
      <c r="R273" s="10">
        <f>IF(Q273="","",IFERROR(VLOOKUP(Q273,T_NILAM,2,FALSE),0))</f>
        <v/>
      </c>
      <c r="S273" s="11" t="n"/>
      <c r="T273" s="10">
        <f>IF(S273="","",IFERROR(VLOOKUP(S273,T_TIMSS,2,FALSE),0))</f>
        <v/>
      </c>
      <c r="U273" s="19">
        <f>IF(COUNT(F273,H273,P273,R273,T273)=0,"",MIN(10,MAX(F273,H273,P273,R273,T273)))</f>
        <v/>
      </c>
      <c r="V273" s="11" t="n"/>
    </row>
    <row r="274">
      <c r="A274" s="15">
        <f>Murid!A274</f>
        <v/>
      </c>
      <c r="B274" s="15">
        <f>IF(Murid!B274="","",Murid!B274)</f>
        <v/>
      </c>
      <c r="C274" s="16">
        <f>IF(Murid!C274="","",Murid!C274)</f>
        <v/>
      </c>
      <c r="D274" s="15">
        <f>IF(Murid!E274="","",Murid!E274)</f>
        <v/>
      </c>
      <c r="E274" s="11" t="n"/>
      <c r="F274" s="10">
        <f>IF(E274="","",IFERROR(VLOOKUP(E274,T_PERK,2,FALSE),0))</f>
        <v/>
      </c>
      <c r="G274" s="11" t="n"/>
      <c r="H274" s="10">
        <f>IF(G274="","",IFERROR(VLOOKUP(G274,T_ANUG,2,FALSE),0))</f>
        <v/>
      </c>
      <c r="I274" s="11" t="n"/>
      <c r="J274" s="11" t="n"/>
      <c r="K274" s="11" t="n"/>
      <c r="L274" s="11" t="n"/>
      <c r="M274" s="11" t="n"/>
      <c r="N274" s="11" t="n"/>
      <c r="O274" s="11" t="n"/>
      <c r="P274" s="10">
        <f>IF(COUNTA(I274:O274)=0,"",MIN(10,SUM(I274:O274)))</f>
        <v/>
      </c>
      <c r="Q274" s="11" t="n"/>
      <c r="R274" s="10">
        <f>IF(Q274="","",IFERROR(VLOOKUP(Q274,T_NILAM,2,FALSE),0))</f>
        <v/>
      </c>
      <c r="S274" s="11" t="n"/>
      <c r="T274" s="10">
        <f>IF(S274="","",IFERROR(VLOOKUP(S274,T_TIMSS,2,FALSE),0))</f>
        <v/>
      </c>
      <c r="U274" s="19">
        <f>IF(COUNT(F274,H274,P274,R274,T274)=0,"",MIN(10,MAX(F274,H274,P274,R274,T274)))</f>
        <v/>
      </c>
      <c r="V274" s="11" t="n"/>
    </row>
    <row r="275">
      <c r="A275" s="15">
        <f>Murid!A275</f>
        <v/>
      </c>
      <c r="B275" s="15">
        <f>IF(Murid!B275="","",Murid!B275)</f>
        <v/>
      </c>
      <c r="C275" s="16">
        <f>IF(Murid!C275="","",Murid!C275)</f>
        <v/>
      </c>
      <c r="D275" s="15">
        <f>IF(Murid!E275="","",Murid!E275)</f>
        <v/>
      </c>
      <c r="E275" s="11" t="n"/>
      <c r="F275" s="10">
        <f>IF(E275="","",IFERROR(VLOOKUP(E275,T_PERK,2,FALSE),0))</f>
        <v/>
      </c>
      <c r="G275" s="11" t="n"/>
      <c r="H275" s="10">
        <f>IF(G275="","",IFERROR(VLOOKUP(G275,T_ANUG,2,FALSE),0))</f>
        <v/>
      </c>
      <c r="I275" s="11" t="n"/>
      <c r="J275" s="11" t="n"/>
      <c r="K275" s="11" t="n"/>
      <c r="L275" s="11" t="n"/>
      <c r="M275" s="11" t="n"/>
      <c r="N275" s="11" t="n"/>
      <c r="O275" s="11" t="n"/>
      <c r="P275" s="10">
        <f>IF(COUNTA(I275:O275)=0,"",MIN(10,SUM(I275:O275)))</f>
        <v/>
      </c>
      <c r="Q275" s="11" t="n"/>
      <c r="R275" s="10">
        <f>IF(Q275="","",IFERROR(VLOOKUP(Q275,T_NILAM,2,FALSE),0))</f>
        <v/>
      </c>
      <c r="S275" s="11" t="n"/>
      <c r="T275" s="10">
        <f>IF(S275="","",IFERROR(VLOOKUP(S275,T_TIMSS,2,FALSE),0))</f>
        <v/>
      </c>
      <c r="U275" s="19">
        <f>IF(COUNT(F275,H275,P275,R275,T275)=0,"",MIN(10,MAX(F275,H275,P275,R275,T275)))</f>
        <v/>
      </c>
      <c r="V275" s="11" t="n"/>
    </row>
    <row r="276">
      <c r="A276" s="15">
        <f>Murid!A276</f>
        <v/>
      </c>
      <c r="B276" s="15">
        <f>IF(Murid!B276="","",Murid!B276)</f>
        <v/>
      </c>
      <c r="C276" s="16">
        <f>IF(Murid!C276="","",Murid!C276)</f>
        <v/>
      </c>
      <c r="D276" s="15">
        <f>IF(Murid!E276="","",Murid!E276)</f>
        <v/>
      </c>
      <c r="E276" s="11" t="n"/>
      <c r="F276" s="10">
        <f>IF(E276="","",IFERROR(VLOOKUP(E276,T_PERK,2,FALSE),0))</f>
        <v/>
      </c>
      <c r="G276" s="11" t="n"/>
      <c r="H276" s="10">
        <f>IF(G276="","",IFERROR(VLOOKUP(G276,T_ANUG,2,FALSE),0))</f>
        <v/>
      </c>
      <c r="I276" s="11" t="n"/>
      <c r="J276" s="11" t="n"/>
      <c r="K276" s="11" t="n"/>
      <c r="L276" s="11" t="n"/>
      <c r="M276" s="11" t="n"/>
      <c r="N276" s="11" t="n"/>
      <c r="O276" s="11" t="n"/>
      <c r="P276" s="10">
        <f>IF(COUNTA(I276:O276)=0,"",MIN(10,SUM(I276:O276)))</f>
        <v/>
      </c>
      <c r="Q276" s="11" t="n"/>
      <c r="R276" s="10">
        <f>IF(Q276="","",IFERROR(VLOOKUP(Q276,T_NILAM,2,FALSE),0))</f>
        <v/>
      </c>
      <c r="S276" s="11" t="n"/>
      <c r="T276" s="10">
        <f>IF(S276="","",IFERROR(VLOOKUP(S276,T_TIMSS,2,FALSE),0))</f>
        <v/>
      </c>
      <c r="U276" s="19">
        <f>IF(COUNT(F276,H276,P276,R276,T276)=0,"",MIN(10,MAX(F276,H276,P276,R276,T276)))</f>
        <v/>
      </c>
      <c r="V276" s="11" t="n"/>
    </row>
    <row r="277">
      <c r="A277" s="15">
        <f>Murid!A277</f>
        <v/>
      </c>
      <c r="B277" s="15">
        <f>IF(Murid!B277="","",Murid!B277)</f>
        <v/>
      </c>
      <c r="C277" s="16">
        <f>IF(Murid!C277="","",Murid!C277)</f>
        <v/>
      </c>
      <c r="D277" s="15">
        <f>IF(Murid!E277="","",Murid!E277)</f>
        <v/>
      </c>
      <c r="E277" s="11" t="n"/>
      <c r="F277" s="10">
        <f>IF(E277="","",IFERROR(VLOOKUP(E277,T_PERK,2,FALSE),0))</f>
        <v/>
      </c>
      <c r="G277" s="11" t="n"/>
      <c r="H277" s="10">
        <f>IF(G277="","",IFERROR(VLOOKUP(G277,T_ANUG,2,FALSE),0))</f>
        <v/>
      </c>
      <c r="I277" s="11" t="n"/>
      <c r="J277" s="11" t="n"/>
      <c r="K277" s="11" t="n"/>
      <c r="L277" s="11" t="n"/>
      <c r="M277" s="11" t="n"/>
      <c r="N277" s="11" t="n"/>
      <c r="O277" s="11" t="n"/>
      <c r="P277" s="10">
        <f>IF(COUNTA(I277:O277)=0,"",MIN(10,SUM(I277:O277)))</f>
        <v/>
      </c>
      <c r="Q277" s="11" t="n"/>
      <c r="R277" s="10">
        <f>IF(Q277="","",IFERROR(VLOOKUP(Q277,T_NILAM,2,FALSE),0))</f>
        <v/>
      </c>
      <c r="S277" s="11" t="n"/>
      <c r="T277" s="10">
        <f>IF(S277="","",IFERROR(VLOOKUP(S277,T_TIMSS,2,FALSE),0))</f>
        <v/>
      </c>
      <c r="U277" s="19">
        <f>IF(COUNT(F277,H277,P277,R277,T277)=0,"",MIN(10,MAX(F277,H277,P277,R277,T277)))</f>
        <v/>
      </c>
      <c r="V277" s="11" t="n"/>
    </row>
    <row r="278">
      <c r="A278" s="15">
        <f>Murid!A278</f>
        <v/>
      </c>
      <c r="B278" s="15">
        <f>IF(Murid!B278="","",Murid!B278)</f>
        <v/>
      </c>
      <c r="C278" s="16">
        <f>IF(Murid!C278="","",Murid!C278)</f>
        <v/>
      </c>
      <c r="D278" s="15">
        <f>IF(Murid!E278="","",Murid!E278)</f>
        <v/>
      </c>
      <c r="E278" s="11" t="n"/>
      <c r="F278" s="10">
        <f>IF(E278="","",IFERROR(VLOOKUP(E278,T_PERK,2,FALSE),0))</f>
        <v/>
      </c>
      <c r="G278" s="11" t="n"/>
      <c r="H278" s="10">
        <f>IF(G278="","",IFERROR(VLOOKUP(G278,T_ANUG,2,FALSE),0))</f>
        <v/>
      </c>
      <c r="I278" s="11" t="n"/>
      <c r="J278" s="11" t="n"/>
      <c r="K278" s="11" t="n"/>
      <c r="L278" s="11" t="n"/>
      <c r="M278" s="11" t="n"/>
      <c r="N278" s="11" t="n"/>
      <c r="O278" s="11" t="n"/>
      <c r="P278" s="10">
        <f>IF(COUNTA(I278:O278)=0,"",MIN(10,SUM(I278:O278)))</f>
        <v/>
      </c>
      <c r="Q278" s="11" t="n"/>
      <c r="R278" s="10">
        <f>IF(Q278="","",IFERROR(VLOOKUP(Q278,T_NILAM,2,FALSE),0))</f>
        <v/>
      </c>
      <c r="S278" s="11" t="n"/>
      <c r="T278" s="10">
        <f>IF(S278="","",IFERROR(VLOOKUP(S278,T_TIMSS,2,FALSE),0))</f>
        <v/>
      </c>
      <c r="U278" s="19">
        <f>IF(COUNT(F278,H278,P278,R278,T278)=0,"",MIN(10,MAX(F278,H278,P278,R278,T278)))</f>
        <v/>
      </c>
      <c r="V278" s="11" t="n"/>
    </row>
    <row r="279">
      <c r="A279" s="15">
        <f>Murid!A279</f>
        <v/>
      </c>
      <c r="B279" s="15">
        <f>IF(Murid!B279="","",Murid!B279)</f>
        <v/>
      </c>
      <c r="C279" s="16">
        <f>IF(Murid!C279="","",Murid!C279)</f>
        <v/>
      </c>
      <c r="D279" s="15">
        <f>IF(Murid!E279="","",Murid!E279)</f>
        <v/>
      </c>
      <c r="E279" s="11" t="n"/>
      <c r="F279" s="10">
        <f>IF(E279="","",IFERROR(VLOOKUP(E279,T_PERK,2,FALSE),0))</f>
        <v/>
      </c>
      <c r="G279" s="11" t="n"/>
      <c r="H279" s="10">
        <f>IF(G279="","",IFERROR(VLOOKUP(G279,T_ANUG,2,FALSE),0))</f>
        <v/>
      </c>
      <c r="I279" s="11" t="n"/>
      <c r="J279" s="11" t="n"/>
      <c r="K279" s="11" t="n"/>
      <c r="L279" s="11" t="n"/>
      <c r="M279" s="11" t="n"/>
      <c r="N279" s="11" t="n"/>
      <c r="O279" s="11" t="n"/>
      <c r="P279" s="10">
        <f>IF(COUNTA(I279:O279)=0,"",MIN(10,SUM(I279:O279)))</f>
        <v/>
      </c>
      <c r="Q279" s="11" t="n"/>
      <c r="R279" s="10">
        <f>IF(Q279="","",IFERROR(VLOOKUP(Q279,T_NILAM,2,FALSE),0))</f>
        <v/>
      </c>
      <c r="S279" s="11" t="n"/>
      <c r="T279" s="10">
        <f>IF(S279="","",IFERROR(VLOOKUP(S279,T_TIMSS,2,FALSE),0))</f>
        <v/>
      </c>
      <c r="U279" s="19">
        <f>IF(COUNT(F279,H279,P279,R279,T279)=0,"",MIN(10,MAX(F279,H279,P279,R279,T279)))</f>
        <v/>
      </c>
      <c r="V279" s="11" t="n"/>
    </row>
    <row r="280">
      <c r="A280" s="15">
        <f>Murid!A280</f>
        <v/>
      </c>
      <c r="B280" s="15">
        <f>IF(Murid!B280="","",Murid!B280)</f>
        <v/>
      </c>
      <c r="C280" s="16">
        <f>IF(Murid!C280="","",Murid!C280)</f>
        <v/>
      </c>
      <c r="D280" s="15">
        <f>IF(Murid!E280="","",Murid!E280)</f>
        <v/>
      </c>
      <c r="E280" s="11" t="n"/>
      <c r="F280" s="10">
        <f>IF(E280="","",IFERROR(VLOOKUP(E280,T_PERK,2,FALSE),0))</f>
        <v/>
      </c>
      <c r="G280" s="11" t="n"/>
      <c r="H280" s="10">
        <f>IF(G280="","",IFERROR(VLOOKUP(G280,T_ANUG,2,FALSE),0))</f>
        <v/>
      </c>
      <c r="I280" s="11" t="n"/>
      <c r="J280" s="11" t="n"/>
      <c r="K280" s="11" t="n"/>
      <c r="L280" s="11" t="n"/>
      <c r="M280" s="11" t="n"/>
      <c r="N280" s="11" t="n"/>
      <c r="O280" s="11" t="n"/>
      <c r="P280" s="10">
        <f>IF(COUNTA(I280:O280)=0,"",MIN(10,SUM(I280:O280)))</f>
        <v/>
      </c>
      <c r="Q280" s="11" t="n"/>
      <c r="R280" s="10">
        <f>IF(Q280="","",IFERROR(VLOOKUP(Q280,T_NILAM,2,FALSE),0))</f>
        <v/>
      </c>
      <c r="S280" s="11" t="n"/>
      <c r="T280" s="10">
        <f>IF(S280="","",IFERROR(VLOOKUP(S280,T_TIMSS,2,FALSE),0))</f>
        <v/>
      </c>
      <c r="U280" s="19">
        <f>IF(COUNT(F280,H280,P280,R280,T280)=0,"",MIN(10,MAX(F280,H280,P280,R280,T280)))</f>
        <v/>
      </c>
      <c r="V280" s="11" t="n"/>
    </row>
    <row r="281">
      <c r="A281" s="15">
        <f>Murid!A281</f>
        <v/>
      </c>
      <c r="B281" s="15">
        <f>IF(Murid!B281="","",Murid!B281)</f>
        <v/>
      </c>
      <c r="C281" s="16">
        <f>IF(Murid!C281="","",Murid!C281)</f>
        <v/>
      </c>
      <c r="D281" s="15">
        <f>IF(Murid!E281="","",Murid!E281)</f>
        <v/>
      </c>
      <c r="E281" s="11" t="n"/>
      <c r="F281" s="10">
        <f>IF(E281="","",IFERROR(VLOOKUP(E281,T_PERK,2,FALSE),0))</f>
        <v/>
      </c>
      <c r="G281" s="11" t="n"/>
      <c r="H281" s="10">
        <f>IF(G281="","",IFERROR(VLOOKUP(G281,T_ANUG,2,FALSE),0))</f>
        <v/>
      </c>
      <c r="I281" s="11" t="n"/>
      <c r="J281" s="11" t="n"/>
      <c r="K281" s="11" t="n"/>
      <c r="L281" s="11" t="n"/>
      <c r="M281" s="11" t="n"/>
      <c r="N281" s="11" t="n"/>
      <c r="O281" s="11" t="n"/>
      <c r="P281" s="10">
        <f>IF(COUNTA(I281:O281)=0,"",MIN(10,SUM(I281:O281)))</f>
        <v/>
      </c>
      <c r="Q281" s="11" t="n"/>
      <c r="R281" s="10">
        <f>IF(Q281="","",IFERROR(VLOOKUP(Q281,T_NILAM,2,FALSE),0))</f>
        <v/>
      </c>
      <c r="S281" s="11" t="n"/>
      <c r="T281" s="10">
        <f>IF(S281="","",IFERROR(VLOOKUP(S281,T_TIMSS,2,FALSE),0))</f>
        <v/>
      </c>
      <c r="U281" s="19">
        <f>IF(COUNT(F281,H281,P281,R281,T281)=0,"",MIN(10,MAX(F281,H281,P281,R281,T281)))</f>
        <v/>
      </c>
      <c r="V281" s="11" t="n"/>
    </row>
    <row r="282">
      <c r="A282" s="15">
        <f>Murid!A282</f>
        <v/>
      </c>
      <c r="B282" s="15">
        <f>IF(Murid!B282="","",Murid!B282)</f>
        <v/>
      </c>
      <c r="C282" s="16">
        <f>IF(Murid!C282="","",Murid!C282)</f>
        <v/>
      </c>
      <c r="D282" s="15">
        <f>IF(Murid!E282="","",Murid!E282)</f>
        <v/>
      </c>
      <c r="E282" s="11" t="n"/>
      <c r="F282" s="10">
        <f>IF(E282="","",IFERROR(VLOOKUP(E282,T_PERK,2,FALSE),0))</f>
        <v/>
      </c>
      <c r="G282" s="11" t="n"/>
      <c r="H282" s="10">
        <f>IF(G282="","",IFERROR(VLOOKUP(G282,T_ANUG,2,FALSE),0))</f>
        <v/>
      </c>
      <c r="I282" s="11" t="n"/>
      <c r="J282" s="11" t="n"/>
      <c r="K282" s="11" t="n"/>
      <c r="L282" s="11" t="n"/>
      <c r="M282" s="11" t="n"/>
      <c r="N282" s="11" t="n"/>
      <c r="O282" s="11" t="n"/>
      <c r="P282" s="10">
        <f>IF(COUNTA(I282:O282)=0,"",MIN(10,SUM(I282:O282)))</f>
        <v/>
      </c>
      <c r="Q282" s="11" t="n"/>
      <c r="R282" s="10">
        <f>IF(Q282="","",IFERROR(VLOOKUP(Q282,T_NILAM,2,FALSE),0))</f>
        <v/>
      </c>
      <c r="S282" s="11" t="n"/>
      <c r="T282" s="10">
        <f>IF(S282="","",IFERROR(VLOOKUP(S282,T_TIMSS,2,FALSE),0))</f>
        <v/>
      </c>
      <c r="U282" s="19">
        <f>IF(COUNT(F282,H282,P282,R282,T282)=0,"",MIN(10,MAX(F282,H282,P282,R282,T282)))</f>
        <v/>
      </c>
      <c r="V282" s="11" t="n"/>
    </row>
    <row r="283">
      <c r="A283" s="15">
        <f>Murid!A283</f>
        <v/>
      </c>
      <c r="B283" s="15">
        <f>IF(Murid!B283="","",Murid!B283)</f>
        <v/>
      </c>
      <c r="C283" s="16">
        <f>IF(Murid!C283="","",Murid!C283)</f>
        <v/>
      </c>
      <c r="D283" s="15">
        <f>IF(Murid!E283="","",Murid!E283)</f>
        <v/>
      </c>
      <c r="E283" s="11" t="n"/>
      <c r="F283" s="10">
        <f>IF(E283="","",IFERROR(VLOOKUP(E283,T_PERK,2,FALSE),0))</f>
        <v/>
      </c>
      <c r="G283" s="11" t="n"/>
      <c r="H283" s="10">
        <f>IF(G283="","",IFERROR(VLOOKUP(G283,T_ANUG,2,FALSE),0))</f>
        <v/>
      </c>
      <c r="I283" s="11" t="n"/>
      <c r="J283" s="11" t="n"/>
      <c r="K283" s="11" t="n"/>
      <c r="L283" s="11" t="n"/>
      <c r="M283" s="11" t="n"/>
      <c r="N283" s="11" t="n"/>
      <c r="O283" s="11" t="n"/>
      <c r="P283" s="10">
        <f>IF(COUNTA(I283:O283)=0,"",MIN(10,SUM(I283:O283)))</f>
        <v/>
      </c>
      <c r="Q283" s="11" t="n"/>
      <c r="R283" s="10">
        <f>IF(Q283="","",IFERROR(VLOOKUP(Q283,T_NILAM,2,FALSE),0))</f>
        <v/>
      </c>
      <c r="S283" s="11" t="n"/>
      <c r="T283" s="10">
        <f>IF(S283="","",IFERROR(VLOOKUP(S283,T_TIMSS,2,FALSE),0))</f>
        <v/>
      </c>
      <c r="U283" s="19">
        <f>IF(COUNT(F283,H283,P283,R283,T283)=0,"",MIN(10,MAX(F283,H283,P283,R283,T283)))</f>
        <v/>
      </c>
      <c r="V283" s="11" t="n"/>
    </row>
    <row r="284">
      <c r="A284" s="15">
        <f>Murid!A284</f>
        <v/>
      </c>
      <c r="B284" s="15">
        <f>IF(Murid!B284="","",Murid!B284)</f>
        <v/>
      </c>
      <c r="C284" s="16">
        <f>IF(Murid!C284="","",Murid!C284)</f>
        <v/>
      </c>
      <c r="D284" s="15">
        <f>IF(Murid!E284="","",Murid!E284)</f>
        <v/>
      </c>
      <c r="E284" s="11" t="n"/>
      <c r="F284" s="10">
        <f>IF(E284="","",IFERROR(VLOOKUP(E284,T_PERK,2,FALSE),0))</f>
        <v/>
      </c>
      <c r="G284" s="11" t="n"/>
      <c r="H284" s="10">
        <f>IF(G284="","",IFERROR(VLOOKUP(G284,T_ANUG,2,FALSE),0))</f>
        <v/>
      </c>
      <c r="I284" s="11" t="n"/>
      <c r="J284" s="11" t="n"/>
      <c r="K284" s="11" t="n"/>
      <c r="L284" s="11" t="n"/>
      <c r="M284" s="11" t="n"/>
      <c r="N284" s="11" t="n"/>
      <c r="O284" s="11" t="n"/>
      <c r="P284" s="10">
        <f>IF(COUNTA(I284:O284)=0,"",MIN(10,SUM(I284:O284)))</f>
        <v/>
      </c>
      <c r="Q284" s="11" t="n"/>
      <c r="R284" s="10">
        <f>IF(Q284="","",IFERROR(VLOOKUP(Q284,T_NILAM,2,FALSE),0))</f>
        <v/>
      </c>
      <c r="S284" s="11" t="n"/>
      <c r="T284" s="10">
        <f>IF(S284="","",IFERROR(VLOOKUP(S284,T_TIMSS,2,FALSE),0))</f>
        <v/>
      </c>
      <c r="U284" s="19">
        <f>IF(COUNT(F284,H284,P284,R284,T284)=0,"",MIN(10,MAX(F284,H284,P284,R284,T284)))</f>
        <v/>
      </c>
      <c r="V284" s="11" t="n"/>
    </row>
    <row r="285">
      <c r="A285" s="15">
        <f>Murid!A285</f>
        <v/>
      </c>
      <c r="B285" s="15">
        <f>IF(Murid!B285="","",Murid!B285)</f>
        <v/>
      </c>
      <c r="C285" s="16">
        <f>IF(Murid!C285="","",Murid!C285)</f>
        <v/>
      </c>
      <c r="D285" s="15">
        <f>IF(Murid!E285="","",Murid!E285)</f>
        <v/>
      </c>
      <c r="E285" s="11" t="n"/>
      <c r="F285" s="10">
        <f>IF(E285="","",IFERROR(VLOOKUP(E285,T_PERK,2,FALSE),0))</f>
        <v/>
      </c>
      <c r="G285" s="11" t="n"/>
      <c r="H285" s="10">
        <f>IF(G285="","",IFERROR(VLOOKUP(G285,T_ANUG,2,FALSE),0))</f>
        <v/>
      </c>
      <c r="I285" s="11" t="n"/>
      <c r="J285" s="11" t="n"/>
      <c r="K285" s="11" t="n"/>
      <c r="L285" s="11" t="n"/>
      <c r="M285" s="11" t="n"/>
      <c r="N285" s="11" t="n"/>
      <c r="O285" s="11" t="n"/>
      <c r="P285" s="10">
        <f>IF(COUNTA(I285:O285)=0,"",MIN(10,SUM(I285:O285)))</f>
        <v/>
      </c>
      <c r="Q285" s="11" t="n"/>
      <c r="R285" s="10">
        <f>IF(Q285="","",IFERROR(VLOOKUP(Q285,T_NILAM,2,FALSE),0))</f>
        <v/>
      </c>
      <c r="S285" s="11" t="n"/>
      <c r="T285" s="10">
        <f>IF(S285="","",IFERROR(VLOOKUP(S285,T_TIMSS,2,FALSE),0))</f>
        <v/>
      </c>
      <c r="U285" s="19">
        <f>IF(COUNT(F285,H285,P285,R285,T285)=0,"",MIN(10,MAX(F285,H285,P285,R285,T285)))</f>
        <v/>
      </c>
      <c r="V285" s="11" t="n"/>
    </row>
    <row r="286">
      <c r="A286" s="15">
        <f>Murid!A286</f>
        <v/>
      </c>
      <c r="B286" s="15">
        <f>IF(Murid!B286="","",Murid!B286)</f>
        <v/>
      </c>
      <c r="C286" s="16">
        <f>IF(Murid!C286="","",Murid!C286)</f>
        <v/>
      </c>
      <c r="D286" s="15">
        <f>IF(Murid!E286="","",Murid!E286)</f>
        <v/>
      </c>
      <c r="E286" s="11" t="n"/>
      <c r="F286" s="10">
        <f>IF(E286="","",IFERROR(VLOOKUP(E286,T_PERK,2,FALSE),0))</f>
        <v/>
      </c>
      <c r="G286" s="11" t="n"/>
      <c r="H286" s="10">
        <f>IF(G286="","",IFERROR(VLOOKUP(G286,T_ANUG,2,FALSE),0))</f>
        <v/>
      </c>
      <c r="I286" s="11" t="n"/>
      <c r="J286" s="11" t="n"/>
      <c r="K286" s="11" t="n"/>
      <c r="L286" s="11" t="n"/>
      <c r="M286" s="11" t="n"/>
      <c r="N286" s="11" t="n"/>
      <c r="O286" s="11" t="n"/>
      <c r="P286" s="10">
        <f>IF(COUNTA(I286:O286)=0,"",MIN(10,SUM(I286:O286)))</f>
        <v/>
      </c>
      <c r="Q286" s="11" t="n"/>
      <c r="R286" s="10">
        <f>IF(Q286="","",IFERROR(VLOOKUP(Q286,T_NILAM,2,FALSE),0))</f>
        <v/>
      </c>
      <c r="S286" s="11" t="n"/>
      <c r="T286" s="10">
        <f>IF(S286="","",IFERROR(VLOOKUP(S286,T_TIMSS,2,FALSE),0))</f>
        <v/>
      </c>
      <c r="U286" s="19">
        <f>IF(COUNT(F286,H286,P286,R286,T286)=0,"",MIN(10,MAX(F286,H286,P286,R286,T286)))</f>
        <v/>
      </c>
      <c r="V286" s="11" t="n"/>
    </row>
    <row r="287">
      <c r="A287" s="15">
        <f>Murid!A287</f>
        <v/>
      </c>
      <c r="B287" s="15">
        <f>IF(Murid!B287="","",Murid!B287)</f>
        <v/>
      </c>
      <c r="C287" s="16">
        <f>IF(Murid!C287="","",Murid!C287)</f>
        <v/>
      </c>
      <c r="D287" s="15">
        <f>IF(Murid!E287="","",Murid!E287)</f>
        <v/>
      </c>
      <c r="E287" s="11" t="n"/>
      <c r="F287" s="10">
        <f>IF(E287="","",IFERROR(VLOOKUP(E287,T_PERK,2,FALSE),0))</f>
        <v/>
      </c>
      <c r="G287" s="11" t="n"/>
      <c r="H287" s="10">
        <f>IF(G287="","",IFERROR(VLOOKUP(G287,T_ANUG,2,FALSE),0))</f>
        <v/>
      </c>
      <c r="I287" s="11" t="n"/>
      <c r="J287" s="11" t="n"/>
      <c r="K287" s="11" t="n"/>
      <c r="L287" s="11" t="n"/>
      <c r="M287" s="11" t="n"/>
      <c r="N287" s="11" t="n"/>
      <c r="O287" s="11" t="n"/>
      <c r="P287" s="10">
        <f>IF(COUNTA(I287:O287)=0,"",MIN(10,SUM(I287:O287)))</f>
        <v/>
      </c>
      <c r="Q287" s="11" t="n"/>
      <c r="R287" s="10">
        <f>IF(Q287="","",IFERROR(VLOOKUP(Q287,T_NILAM,2,FALSE),0))</f>
        <v/>
      </c>
      <c r="S287" s="11" t="n"/>
      <c r="T287" s="10">
        <f>IF(S287="","",IFERROR(VLOOKUP(S287,T_TIMSS,2,FALSE),0))</f>
        <v/>
      </c>
      <c r="U287" s="19">
        <f>IF(COUNT(F287,H287,P287,R287,T287)=0,"",MIN(10,MAX(F287,H287,P287,R287,T287)))</f>
        <v/>
      </c>
      <c r="V287" s="11" t="n"/>
    </row>
    <row r="288">
      <c r="A288" s="15">
        <f>Murid!A288</f>
        <v/>
      </c>
      <c r="B288" s="15">
        <f>IF(Murid!B288="","",Murid!B288)</f>
        <v/>
      </c>
      <c r="C288" s="16">
        <f>IF(Murid!C288="","",Murid!C288)</f>
        <v/>
      </c>
      <c r="D288" s="15">
        <f>IF(Murid!E288="","",Murid!E288)</f>
        <v/>
      </c>
      <c r="E288" s="11" t="n"/>
      <c r="F288" s="10">
        <f>IF(E288="","",IFERROR(VLOOKUP(E288,T_PERK,2,FALSE),0))</f>
        <v/>
      </c>
      <c r="G288" s="11" t="n"/>
      <c r="H288" s="10">
        <f>IF(G288="","",IFERROR(VLOOKUP(G288,T_ANUG,2,FALSE),0))</f>
        <v/>
      </c>
      <c r="I288" s="11" t="n"/>
      <c r="J288" s="11" t="n"/>
      <c r="K288" s="11" t="n"/>
      <c r="L288" s="11" t="n"/>
      <c r="M288" s="11" t="n"/>
      <c r="N288" s="11" t="n"/>
      <c r="O288" s="11" t="n"/>
      <c r="P288" s="10">
        <f>IF(COUNTA(I288:O288)=0,"",MIN(10,SUM(I288:O288)))</f>
        <v/>
      </c>
      <c r="Q288" s="11" t="n"/>
      <c r="R288" s="10">
        <f>IF(Q288="","",IFERROR(VLOOKUP(Q288,T_NILAM,2,FALSE),0))</f>
        <v/>
      </c>
      <c r="S288" s="11" t="n"/>
      <c r="T288" s="10">
        <f>IF(S288="","",IFERROR(VLOOKUP(S288,T_TIMSS,2,FALSE),0))</f>
        <v/>
      </c>
      <c r="U288" s="19">
        <f>IF(COUNT(F288,H288,P288,R288,T288)=0,"",MIN(10,MAX(F288,H288,P288,R288,T288)))</f>
        <v/>
      </c>
      <c r="V288" s="11" t="n"/>
    </row>
    <row r="289">
      <c r="A289" s="15">
        <f>Murid!A289</f>
        <v/>
      </c>
      <c r="B289" s="15">
        <f>IF(Murid!B289="","",Murid!B289)</f>
        <v/>
      </c>
      <c r="C289" s="16">
        <f>IF(Murid!C289="","",Murid!C289)</f>
        <v/>
      </c>
      <c r="D289" s="15">
        <f>IF(Murid!E289="","",Murid!E289)</f>
        <v/>
      </c>
      <c r="E289" s="11" t="n"/>
      <c r="F289" s="10">
        <f>IF(E289="","",IFERROR(VLOOKUP(E289,T_PERK,2,FALSE),0))</f>
        <v/>
      </c>
      <c r="G289" s="11" t="n"/>
      <c r="H289" s="10">
        <f>IF(G289="","",IFERROR(VLOOKUP(G289,T_ANUG,2,FALSE),0))</f>
        <v/>
      </c>
      <c r="I289" s="11" t="n"/>
      <c r="J289" s="11" t="n"/>
      <c r="K289" s="11" t="n"/>
      <c r="L289" s="11" t="n"/>
      <c r="M289" s="11" t="n"/>
      <c r="N289" s="11" t="n"/>
      <c r="O289" s="11" t="n"/>
      <c r="P289" s="10">
        <f>IF(COUNTA(I289:O289)=0,"",MIN(10,SUM(I289:O289)))</f>
        <v/>
      </c>
      <c r="Q289" s="11" t="n"/>
      <c r="R289" s="10">
        <f>IF(Q289="","",IFERROR(VLOOKUP(Q289,T_NILAM,2,FALSE),0))</f>
        <v/>
      </c>
      <c r="S289" s="11" t="n"/>
      <c r="T289" s="10">
        <f>IF(S289="","",IFERROR(VLOOKUP(S289,T_TIMSS,2,FALSE),0))</f>
        <v/>
      </c>
      <c r="U289" s="19">
        <f>IF(COUNT(F289,H289,P289,R289,T289)=0,"",MIN(10,MAX(F289,H289,P289,R289,T289)))</f>
        <v/>
      </c>
      <c r="V289" s="11" t="n"/>
    </row>
    <row r="290">
      <c r="A290" s="15">
        <f>Murid!A290</f>
        <v/>
      </c>
      <c r="B290" s="15">
        <f>IF(Murid!B290="","",Murid!B290)</f>
        <v/>
      </c>
      <c r="C290" s="16">
        <f>IF(Murid!C290="","",Murid!C290)</f>
        <v/>
      </c>
      <c r="D290" s="15">
        <f>IF(Murid!E290="","",Murid!E290)</f>
        <v/>
      </c>
      <c r="E290" s="11" t="n"/>
      <c r="F290" s="10">
        <f>IF(E290="","",IFERROR(VLOOKUP(E290,T_PERK,2,FALSE),0))</f>
        <v/>
      </c>
      <c r="G290" s="11" t="n"/>
      <c r="H290" s="10">
        <f>IF(G290="","",IFERROR(VLOOKUP(G290,T_ANUG,2,FALSE),0))</f>
        <v/>
      </c>
      <c r="I290" s="11" t="n"/>
      <c r="J290" s="11" t="n"/>
      <c r="K290" s="11" t="n"/>
      <c r="L290" s="11" t="n"/>
      <c r="M290" s="11" t="n"/>
      <c r="N290" s="11" t="n"/>
      <c r="O290" s="11" t="n"/>
      <c r="P290" s="10">
        <f>IF(COUNTA(I290:O290)=0,"",MIN(10,SUM(I290:O290)))</f>
        <v/>
      </c>
      <c r="Q290" s="11" t="n"/>
      <c r="R290" s="10">
        <f>IF(Q290="","",IFERROR(VLOOKUP(Q290,T_NILAM,2,FALSE),0))</f>
        <v/>
      </c>
      <c r="S290" s="11" t="n"/>
      <c r="T290" s="10">
        <f>IF(S290="","",IFERROR(VLOOKUP(S290,T_TIMSS,2,FALSE),0))</f>
        <v/>
      </c>
      <c r="U290" s="19">
        <f>IF(COUNT(F290,H290,P290,R290,T290)=0,"",MIN(10,MAX(F290,H290,P290,R290,T290)))</f>
        <v/>
      </c>
      <c r="V290" s="11" t="n"/>
    </row>
    <row r="291">
      <c r="A291" s="15">
        <f>Murid!A291</f>
        <v/>
      </c>
      <c r="B291" s="15">
        <f>IF(Murid!B291="","",Murid!B291)</f>
        <v/>
      </c>
      <c r="C291" s="16">
        <f>IF(Murid!C291="","",Murid!C291)</f>
        <v/>
      </c>
      <c r="D291" s="15">
        <f>IF(Murid!E291="","",Murid!E291)</f>
        <v/>
      </c>
      <c r="E291" s="11" t="n"/>
      <c r="F291" s="10">
        <f>IF(E291="","",IFERROR(VLOOKUP(E291,T_PERK,2,FALSE),0))</f>
        <v/>
      </c>
      <c r="G291" s="11" t="n"/>
      <c r="H291" s="10">
        <f>IF(G291="","",IFERROR(VLOOKUP(G291,T_ANUG,2,FALSE),0))</f>
        <v/>
      </c>
      <c r="I291" s="11" t="n"/>
      <c r="J291" s="11" t="n"/>
      <c r="K291" s="11" t="n"/>
      <c r="L291" s="11" t="n"/>
      <c r="M291" s="11" t="n"/>
      <c r="N291" s="11" t="n"/>
      <c r="O291" s="11" t="n"/>
      <c r="P291" s="10">
        <f>IF(COUNTA(I291:O291)=0,"",MIN(10,SUM(I291:O291)))</f>
        <v/>
      </c>
      <c r="Q291" s="11" t="n"/>
      <c r="R291" s="10">
        <f>IF(Q291="","",IFERROR(VLOOKUP(Q291,T_NILAM,2,FALSE),0))</f>
        <v/>
      </c>
      <c r="S291" s="11" t="n"/>
      <c r="T291" s="10">
        <f>IF(S291="","",IFERROR(VLOOKUP(S291,T_TIMSS,2,FALSE),0))</f>
        <v/>
      </c>
      <c r="U291" s="19">
        <f>IF(COUNT(F291,H291,P291,R291,T291)=0,"",MIN(10,MAX(F291,H291,P291,R291,T291)))</f>
        <v/>
      </c>
      <c r="V291" s="11" t="n"/>
    </row>
    <row r="292">
      <c r="A292" s="15">
        <f>Murid!A292</f>
        <v/>
      </c>
      <c r="B292" s="15">
        <f>IF(Murid!B292="","",Murid!B292)</f>
        <v/>
      </c>
      <c r="C292" s="16">
        <f>IF(Murid!C292="","",Murid!C292)</f>
        <v/>
      </c>
      <c r="D292" s="15">
        <f>IF(Murid!E292="","",Murid!E292)</f>
        <v/>
      </c>
      <c r="E292" s="11" t="n"/>
      <c r="F292" s="10">
        <f>IF(E292="","",IFERROR(VLOOKUP(E292,T_PERK,2,FALSE),0))</f>
        <v/>
      </c>
      <c r="G292" s="11" t="n"/>
      <c r="H292" s="10">
        <f>IF(G292="","",IFERROR(VLOOKUP(G292,T_ANUG,2,FALSE),0))</f>
        <v/>
      </c>
      <c r="I292" s="11" t="n"/>
      <c r="J292" s="11" t="n"/>
      <c r="K292" s="11" t="n"/>
      <c r="L292" s="11" t="n"/>
      <c r="M292" s="11" t="n"/>
      <c r="N292" s="11" t="n"/>
      <c r="O292" s="11" t="n"/>
      <c r="P292" s="10">
        <f>IF(COUNTA(I292:O292)=0,"",MIN(10,SUM(I292:O292)))</f>
        <v/>
      </c>
      <c r="Q292" s="11" t="n"/>
      <c r="R292" s="10">
        <f>IF(Q292="","",IFERROR(VLOOKUP(Q292,T_NILAM,2,FALSE),0))</f>
        <v/>
      </c>
      <c r="S292" s="11" t="n"/>
      <c r="T292" s="10">
        <f>IF(S292="","",IFERROR(VLOOKUP(S292,T_TIMSS,2,FALSE),0))</f>
        <v/>
      </c>
      <c r="U292" s="19">
        <f>IF(COUNT(F292,H292,P292,R292,T292)=0,"",MIN(10,MAX(F292,H292,P292,R292,T292)))</f>
        <v/>
      </c>
      <c r="V292" s="11" t="n"/>
    </row>
    <row r="293">
      <c r="A293" s="15">
        <f>Murid!A293</f>
        <v/>
      </c>
      <c r="B293" s="15">
        <f>IF(Murid!B293="","",Murid!B293)</f>
        <v/>
      </c>
      <c r="C293" s="16">
        <f>IF(Murid!C293="","",Murid!C293)</f>
        <v/>
      </c>
      <c r="D293" s="15">
        <f>IF(Murid!E293="","",Murid!E293)</f>
        <v/>
      </c>
      <c r="E293" s="11" t="n"/>
      <c r="F293" s="10">
        <f>IF(E293="","",IFERROR(VLOOKUP(E293,T_PERK,2,FALSE),0))</f>
        <v/>
      </c>
      <c r="G293" s="11" t="n"/>
      <c r="H293" s="10">
        <f>IF(G293="","",IFERROR(VLOOKUP(G293,T_ANUG,2,FALSE),0))</f>
        <v/>
      </c>
      <c r="I293" s="11" t="n"/>
      <c r="J293" s="11" t="n"/>
      <c r="K293" s="11" t="n"/>
      <c r="L293" s="11" t="n"/>
      <c r="M293" s="11" t="n"/>
      <c r="N293" s="11" t="n"/>
      <c r="O293" s="11" t="n"/>
      <c r="P293" s="10">
        <f>IF(COUNTA(I293:O293)=0,"",MIN(10,SUM(I293:O293)))</f>
        <v/>
      </c>
      <c r="Q293" s="11" t="n"/>
      <c r="R293" s="10">
        <f>IF(Q293="","",IFERROR(VLOOKUP(Q293,T_NILAM,2,FALSE),0))</f>
        <v/>
      </c>
      <c r="S293" s="11" t="n"/>
      <c r="T293" s="10">
        <f>IF(S293="","",IFERROR(VLOOKUP(S293,T_TIMSS,2,FALSE),0))</f>
        <v/>
      </c>
      <c r="U293" s="19">
        <f>IF(COUNT(F293,H293,P293,R293,T293)=0,"",MIN(10,MAX(F293,H293,P293,R293,T293)))</f>
        <v/>
      </c>
      <c r="V293" s="11" t="n"/>
    </row>
    <row r="294">
      <c r="A294" s="15">
        <f>Murid!A294</f>
        <v/>
      </c>
      <c r="B294" s="15">
        <f>IF(Murid!B294="","",Murid!B294)</f>
        <v/>
      </c>
      <c r="C294" s="16">
        <f>IF(Murid!C294="","",Murid!C294)</f>
        <v/>
      </c>
      <c r="D294" s="15">
        <f>IF(Murid!E294="","",Murid!E294)</f>
        <v/>
      </c>
      <c r="E294" s="11" t="n"/>
      <c r="F294" s="10">
        <f>IF(E294="","",IFERROR(VLOOKUP(E294,T_PERK,2,FALSE),0))</f>
        <v/>
      </c>
      <c r="G294" s="11" t="n"/>
      <c r="H294" s="10">
        <f>IF(G294="","",IFERROR(VLOOKUP(G294,T_ANUG,2,FALSE),0))</f>
        <v/>
      </c>
      <c r="I294" s="11" t="n"/>
      <c r="J294" s="11" t="n"/>
      <c r="K294" s="11" t="n"/>
      <c r="L294" s="11" t="n"/>
      <c r="M294" s="11" t="n"/>
      <c r="N294" s="11" t="n"/>
      <c r="O294" s="11" t="n"/>
      <c r="P294" s="10">
        <f>IF(COUNTA(I294:O294)=0,"",MIN(10,SUM(I294:O294)))</f>
        <v/>
      </c>
      <c r="Q294" s="11" t="n"/>
      <c r="R294" s="10">
        <f>IF(Q294="","",IFERROR(VLOOKUP(Q294,T_NILAM,2,FALSE),0))</f>
        <v/>
      </c>
      <c r="S294" s="11" t="n"/>
      <c r="T294" s="10">
        <f>IF(S294="","",IFERROR(VLOOKUP(S294,T_TIMSS,2,FALSE),0))</f>
        <v/>
      </c>
      <c r="U294" s="19">
        <f>IF(COUNT(F294,H294,P294,R294,T294)=0,"",MIN(10,MAX(F294,H294,P294,R294,T294)))</f>
        <v/>
      </c>
      <c r="V294" s="11" t="n"/>
    </row>
    <row r="295">
      <c r="A295" s="15">
        <f>Murid!A295</f>
        <v/>
      </c>
      <c r="B295" s="15">
        <f>IF(Murid!B295="","",Murid!B295)</f>
        <v/>
      </c>
      <c r="C295" s="16">
        <f>IF(Murid!C295="","",Murid!C295)</f>
        <v/>
      </c>
      <c r="D295" s="15">
        <f>IF(Murid!E295="","",Murid!E295)</f>
        <v/>
      </c>
      <c r="E295" s="11" t="n"/>
      <c r="F295" s="10">
        <f>IF(E295="","",IFERROR(VLOOKUP(E295,T_PERK,2,FALSE),0))</f>
        <v/>
      </c>
      <c r="G295" s="11" t="n"/>
      <c r="H295" s="10">
        <f>IF(G295="","",IFERROR(VLOOKUP(G295,T_ANUG,2,FALSE),0))</f>
        <v/>
      </c>
      <c r="I295" s="11" t="n"/>
      <c r="J295" s="11" t="n"/>
      <c r="K295" s="11" t="n"/>
      <c r="L295" s="11" t="n"/>
      <c r="M295" s="11" t="n"/>
      <c r="N295" s="11" t="n"/>
      <c r="O295" s="11" t="n"/>
      <c r="P295" s="10">
        <f>IF(COUNTA(I295:O295)=0,"",MIN(10,SUM(I295:O295)))</f>
        <v/>
      </c>
      <c r="Q295" s="11" t="n"/>
      <c r="R295" s="10">
        <f>IF(Q295="","",IFERROR(VLOOKUP(Q295,T_NILAM,2,FALSE),0))</f>
        <v/>
      </c>
      <c r="S295" s="11" t="n"/>
      <c r="T295" s="10">
        <f>IF(S295="","",IFERROR(VLOOKUP(S295,T_TIMSS,2,FALSE),0))</f>
        <v/>
      </c>
      <c r="U295" s="19">
        <f>IF(COUNT(F295,H295,P295,R295,T295)=0,"",MIN(10,MAX(F295,H295,P295,R295,T295)))</f>
        <v/>
      </c>
      <c r="V295" s="11" t="n"/>
    </row>
    <row r="296">
      <c r="A296" s="15">
        <f>Murid!A296</f>
        <v/>
      </c>
      <c r="B296" s="15">
        <f>IF(Murid!B296="","",Murid!B296)</f>
        <v/>
      </c>
      <c r="C296" s="16">
        <f>IF(Murid!C296="","",Murid!C296)</f>
        <v/>
      </c>
      <c r="D296" s="15">
        <f>IF(Murid!E296="","",Murid!E296)</f>
        <v/>
      </c>
      <c r="E296" s="11" t="n"/>
      <c r="F296" s="10">
        <f>IF(E296="","",IFERROR(VLOOKUP(E296,T_PERK,2,FALSE),0))</f>
        <v/>
      </c>
      <c r="G296" s="11" t="n"/>
      <c r="H296" s="10">
        <f>IF(G296="","",IFERROR(VLOOKUP(G296,T_ANUG,2,FALSE),0))</f>
        <v/>
      </c>
      <c r="I296" s="11" t="n"/>
      <c r="J296" s="11" t="n"/>
      <c r="K296" s="11" t="n"/>
      <c r="L296" s="11" t="n"/>
      <c r="M296" s="11" t="n"/>
      <c r="N296" s="11" t="n"/>
      <c r="O296" s="11" t="n"/>
      <c r="P296" s="10">
        <f>IF(COUNTA(I296:O296)=0,"",MIN(10,SUM(I296:O296)))</f>
        <v/>
      </c>
      <c r="Q296" s="11" t="n"/>
      <c r="R296" s="10">
        <f>IF(Q296="","",IFERROR(VLOOKUP(Q296,T_NILAM,2,FALSE),0))</f>
        <v/>
      </c>
      <c r="S296" s="11" t="n"/>
      <c r="T296" s="10">
        <f>IF(S296="","",IFERROR(VLOOKUP(S296,T_TIMSS,2,FALSE),0))</f>
        <v/>
      </c>
      <c r="U296" s="19">
        <f>IF(COUNT(F296,H296,P296,R296,T296)=0,"",MIN(10,MAX(F296,H296,P296,R296,T296)))</f>
        <v/>
      </c>
      <c r="V296" s="11" t="n"/>
    </row>
    <row r="297">
      <c r="A297" s="15">
        <f>Murid!A297</f>
        <v/>
      </c>
      <c r="B297" s="15">
        <f>IF(Murid!B297="","",Murid!B297)</f>
        <v/>
      </c>
      <c r="C297" s="16">
        <f>IF(Murid!C297="","",Murid!C297)</f>
        <v/>
      </c>
      <c r="D297" s="15">
        <f>IF(Murid!E297="","",Murid!E297)</f>
        <v/>
      </c>
      <c r="E297" s="11" t="n"/>
      <c r="F297" s="10">
        <f>IF(E297="","",IFERROR(VLOOKUP(E297,T_PERK,2,FALSE),0))</f>
        <v/>
      </c>
      <c r="G297" s="11" t="n"/>
      <c r="H297" s="10">
        <f>IF(G297="","",IFERROR(VLOOKUP(G297,T_ANUG,2,FALSE),0))</f>
        <v/>
      </c>
      <c r="I297" s="11" t="n"/>
      <c r="J297" s="11" t="n"/>
      <c r="K297" s="11" t="n"/>
      <c r="L297" s="11" t="n"/>
      <c r="M297" s="11" t="n"/>
      <c r="N297" s="11" t="n"/>
      <c r="O297" s="11" t="n"/>
      <c r="P297" s="10">
        <f>IF(COUNTA(I297:O297)=0,"",MIN(10,SUM(I297:O297)))</f>
        <v/>
      </c>
      <c r="Q297" s="11" t="n"/>
      <c r="R297" s="10">
        <f>IF(Q297="","",IFERROR(VLOOKUP(Q297,T_NILAM,2,FALSE),0))</f>
        <v/>
      </c>
      <c r="S297" s="11" t="n"/>
      <c r="T297" s="10">
        <f>IF(S297="","",IFERROR(VLOOKUP(S297,T_TIMSS,2,FALSE),0))</f>
        <v/>
      </c>
      <c r="U297" s="19">
        <f>IF(COUNT(F297,H297,P297,R297,T297)=0,"",MIN(10,MAX(F297,H297,P297,R297,T297)))</f>
        <v/>
      </c>
      <c r="V297" s="11" t="n"/>
    </row>
    <row r="298">
      <c r="A298" s="15">
        <f>Murid!A298</f>
        <v/>
      </c>
      <c r="B298" s="15">
        <f>IF(Murid!B298="","",Murid!B298)</f>
        <v/>
      </c>
      <c r="C298" s="16">
        <f>IF(Murid!C298="","",Murid!C298)</f>
        <v/>
      </c>
      <c r="D298" s="15">
        <f>IF(Murid!E298="","",Murid!E298)</f>
        <v/>
      </c>
      <c r="E298" s="11" t="n"/>
      <c r="F298" s="10">
        <f>IF(E298="","",IFERROR(VLOOKUP(E298,T_PERK,2,FALSE),0))</f>
        <v/>
      </c>
      <c r="G298" s="11" t="n"/>
      <c r="H298" s="10">
        <f>IF(G298="","",IFERROR(VLOOKUP(G298,T_ANUG,2,FALSE),0))</f>
        <v/>
      </c>
      <c r="I298" s="11" t="n"/>
      <c r="J298" s="11" t="n"/>
      <c r="K298" s="11" t="n"/>
      <c r="L298" s="11" t="n"/>
      <c r="M298" s="11" t="n"/>
      <c r="N298" s="11" t="n"/>
      <c r="O298" s="11" t="n"/>
      <c r="P298" s="10">
        <f>IF(COUNTA(I298:O298)=0,"",MIN(10,SUM(I298:O298)))</f>
        <v/>
      </c>
      <c r="Q298" s="11" t="n"/>
      <c r="R298" s="10">
        <f>IF(Q298="","",IFERROR(VLOOKUP(Q298,T_NILAM,2,FALSE),0))</f>
        <v/>
      </c>
      <c r="S298" s="11" t="n"/>
      <c r="T298" s="10">
        <f>IF(S298="","",IFERROR(VLOOKUP(S298,T_TIMSS,2,FALSE),0))</f>
        <v/>
      </c>
      <c r="U298" s="19">
        <f>IF(COUNT(F298,H298,P298,R298,T298)=0,"",MIN(10,MAX(F298,H298,P298,R298,T298)))</f>
        <v/>
      </c>
      <c r="V298" s="11" t="n"/>
    </row>
    <row r="299">
      <c r="A299" s="15">
        <f>Murid!A299</f>
        <v/>
      </c>
      <c r="B299" s="15">
        <f>IF(Murid!B299="","",Murid!B299)</f>
        <v/>
      </c>
      <c r="C299" s="16">
        <f>IF(Murid!C299="","",Murid!C299)</f>
        <v/>
      </c>
      <c r="D299" s="15">
        <f>IF(Murid!E299="","",Murid!E299)</f>
        <v/>
      </c>
      <c r="E299" s="11" t="n"/>
      <c r="F299" s="10">
        <f>IF(E299="","",IFERROR(VLOOKUP(E299,T_PERK,2,FALSE),0))</f>
        <v/>
      </c>
      <c r="G299" s="11" t="n"/>
      <c r="H299" s="10">
        <f>IF(G299="","",IFERROR(VLOOKUP(G299,T_ANUG,2,FALSE),0))</f>
        <v/>
      </c>
      <c r="I299" s="11" t="n"/>
      <c r="J299" s="11" t="n"/>
      <c r="K299" s="11" t="n"/>
      <c r="L299" s="11" t="n"/>
      <c r="M299" s="11" t="n"/>
      <c r="N299" s="11" t="n"/>
      <c r="O299" s="11" t="n"/>
      <c r="P299" s="10">
        <f>IF(COUNTA(I299:O299)=0,"",MIN(10,SUM(I299:O299)))</f>
        <v/>
      </c>
      <c r="Q299" s="11" t="n"/>
      <c r="R299" s="10">
        <f>IF(Q299="","",IFERROR(VLOOKUP(Q299,T_NILAM,2,FALSE),0))</f>
        <v/>
      </c>
      <c r="S299" s="11" t="n"/>
      <c r="T299" s="10">
        <f>IF(S299="","",IFERROR(VLOOKUP(S299,T_TIMSS,2,FALSE),0))</f>
        <v/>
      </c>
      <c r="U299" s="19">
        <f>IF(COUNT(F299,H299,P299,R299,T299)=0,"",MIN(10,MAX(F299,H299,P299,R299,T299)))</f>
        <v/>
      </c>
      <c r="V299" s="11" t="n"/>
    </row>
    <row r="300">
      <c r="A300" s="15">
        <f>Murid!A300</f>
        <v/>
      </c>
      <c r="B300" s="15">
        <f>IF(Murid!B300="","",Murid!B300)</f>
        <v/>
      </c>
      <c r="C300" s="16">
        <f>IF(Murid!C300="","",Murid!C300)</f>
        <v/>
      </c>
      <c r="D300" s="15">
        <f>IF(Murid!E300="","",Murid!E300)</f>
        <v/>
      </c>
      <c r="E300" s="11" t="n"/>
      <c r="F300" s="10">
        <f>IF(E300="","",IFERROR(VLOOKUP(E300,T_PERK,2,FALSE),0))</f>
        <v/>
      </c>
      <c r="G300" s="11" t="n"/>
      <c r="H300" s="10">
        <f>IF(G300="","",IFERROR(VLOOKUP(G300,T_ANUG,2,FALSE),0))</f>
        <v/>
      </c>
      <c r="I300" s="11" t="n"/>
      <c r="J300" s="11" t="n"/>
      <c r="K300" s="11" t="n"/>
      <c r="L300" s="11" t="n"/>
      <c r="M300" s="11" t="n"/>
      <c r="N300" s="11" t="n"/>
      <c r="O300" s="11" t="n"/>
      <c r="P300" s="10">
        <f>IF(COUNTA(I300:O300)=0,"",MIN(10,SUM(I300:O300)))</f>
        <v/>
      </c>
      <c r="Q300" s="11" t="n"/>
      <c r="R300" s="10">
        <f>IF(Q300="","",IFERROR(VLOOKUP(Q300,T_NILAM,2,FALSE),0))</f>
        <v/>
      </c>
      <c r="S300" s="11" t="n"/>
      <c r="T300" s="10">
        <f>IF(S300="","",IFERROR(VLOOKUP(S300,T_TIMSS,2,FALSE),0))</f>
        <v/>
      </c>
      <c r="U300" s="19">
        <f>IF(COUNT(F300,H300,P300,R300,T300)=0,"",MIN(10,MAX(F300,H300,P300,R300,T300)))</f>
        <v/>
      </c>
      <c r="V300" s="11" t="n"/>
    </row>
    <row r="301">
      <c r="A301" s="15">
        <f>Murid!A301</f>
        <v/>
      </c>
      <c r="B301" s="15">
        <f>IF(Murid!B301="","",Murid!B301)</f>
        <v/>
      </c>
      <c r="C301" s="16">
        <f>IF(Murid!C301="","",Murid!C301)</f>
        <v/>
      </c>
      <c r="D301" s="15">
        <f>IF(Murid!E301="","",Murid!E301)</f>
        <v/>
      </c>
      <c r="E301" s="11" t="n"/>
      <c r="F301" s="10">
        <f>IF(E301="","",IFERROR(VLOOKUP(E301,T_PERK,2,FALSE),0))</f>
        <v/>
      </c>
      <c r="G301" s="11" t="n"/>
      <c r="H301" s="10">
        <f>IF(G301="","",IFERROR(VLOOKUP(G301,T_ANUG,2,FALSE),0))</f>
        <v/>
      </c>
      <c r="I301" s="11" t="n"/>
      <c r="J301" s="11" t="n"/>
      <c r="K301" s="11" t="n"/>
      <c r="L301" s="11" t="n"/>
      <c r="M301" s="11" t="n"/>
      <c r="N301" s="11" t="n"/>
      <c r="O301" s="11" t="n"/>
      <c r="P301" s="10">
        <f>IF(COUNTA(I301:O301)=0,"",MIN(10,SUM(I301:O301)))</f>
        <v/>
      </c>
      <c r="Q301" s="11" t="n"/>
      <c r="R301" s="10">
        <f>IF(Q301="","",IFERROR(VLOOKUP(Q301,T_NILAM,2,FALSE),0))</f>
        <v/>
      </c>
      <c r="S301" s="11" t="n"/>
      <c r="T301" s="10">
        <f>IF(S301="","",IFERROR(VLOOKUP(S301,T_TIMSS,2,FALSE),0))</f>
        <v/>
      </c>
      <c r="U301" s="19">
        <f>IF(COUNT(F301,H301,P301,R301,T301)=0,"",MIN(10,MAX(F301,H301,P301,R301,T301)))</f>
        <v/>
      </c>
      <c r="V301" s="11" t="n"/>
    </row>
    <row r="302">
      <c r="A302" s="15">
        <f>Murid!A302</f>
        <v/>
      </c>
      <c r="B302" s="15">
        <f>IF(Murid!B302="","",Murid!B302)</f>
        <v/>
      </c>
      <c r="C302" s="16">
        <f>IF(Murid!C302="","",Murid!C302)</f>
        <v/>
      </c>
      <c r="D302" s="15">
        <f>IF(Murid!E302="","",Murid!E302)</f>
        <v/>
      </c>
      <c r="E302" s="11" t="n"/>
      <c r="F302" s="10">
        <f>IF(E302="","",IFERROR(VLOOKUP(E302,T_PERK,2,FALSE),0))</f>
        <v/>
      </c>
      <c r="G302" s="11" t="n"/>
      <c r="H302" s="10">
        <f>IF(G302="","",IFERROR(VLOOKUP(G302,T_ANUG,2,FALSE),0))</f>
        <v/>
      </c>
      <c r="I302" s="11" t="n"/>
      <c r="J302" s="11" t="n"/>
      <c r="K302" s="11" t="n"/>
      <c r="L302" s="11" t="n"/>
      <c r="M302" s="11" t="n"/>
      <c r="N302" s="11" t="n"/>
      <c r="O302" s="11" t="n"/>
      <c r="P302" s="10">
        <f>IF(COUNTA(I302:O302)=0,"",MIN(10,SUM(I302:O302)))</f>
        <v/>
      </c>
      <c r="Q302" s="11" t="n"/>
      <c r="R302" s="10">
        <f>IF(Q302="","",IFERROR(VLOOKUP(Q302,T_NILAM,2,FALSE),0))</f>
        <v/>
      </c>
      <c r="S302" s="11" t="n"/>
      <c r="T302" s="10">
        <f>IF(S302="","",IFERROR(VLOOKUP(S302,T_TIMSS,2,FALSE),0))</f>
        <v/>
      </c>
      <c r="U302" s="19">
        <f>IF(COUNT(F302,H302,P302,R302,T302)=0,"",MIN(10,MAX(F302,H302,P302,R302,T302)))</f>
        <v/>
      </c>
      <c r="V302" s="11" t="n"/>
    </row>
    <row r="303">
      <c r="A303" s="15">
        <f>Murid!A303</f>
        <v/>
      </c>
      <c r="B303" s="15">
        <f>IF(Murid!B303="","",Murid!B303)</f>
        <v/>
      </c>
      <c r="C303" s="16">
        <f>IF(Murid!C303="","",Murid!C303)</f>
        <v/>
      </c>
      <c r="D303" s="15">
        <f>IF(Murid!E303="","",Murid!E303)</f>
        <v/>
      </c>
      <c r="E303" s="11" t="n"/>
      <c r="F303" s="10">
        <f>IF(E303="","",IFERROR(VLOOKUP(E303,T_PERK,2,FALSE),0))</f>
        <v/>
      </c>
      <c r="G303" s="11" t="n"/>
      <c r="H303" s="10">
        <f>IF(G303="","",IFERROR(VLOOKUP(G303,T_ANUG,2,FALSE),0))</f>
        <v/>
      </c>
      <c r="I303" s="11" t="n"/>
      <c r="J303" s="11" t="n"/>
      <c r="K303" s="11" t="n"/>
      <c r="L303" s="11" t="n"/>
      <c r="M303" s="11" t="n"/>
      <c r="N303" s="11" t="n"/>
      <c r="O303" s="11" t="n"/>
      <c r="P303" s="10">
        <f>IF(COUNTA(I303:O303)=0,"",MIN(10,SUM(I303:O303)))</f>
        <v/>
      </c>
      <c r="Q303" s="11" t="n"/>
      <c r="R303" s="10">
        <f>IF(Q303="","",IFERROR(VLOOKUP(Q303,T_NILAM,2,FALSE),0))</f>
        <v/>
      </c>
      <c r="S303" s="11" t="n"/>
      <c r="T303" s="10">
        <f>IF(S303="","",IFERROR(VLOOKUP(S303,T_TIMSS,2,FALSE),0))</f>
        <v/>
      </c>
      <c r="U303" s="19">
        <f>IF(COUNT(F303,H303,P303,R303,T303)=0,"",MIN(10,MAX(F303,H303,P303,R303,T303)))</f>
        <v/>
      </c>
      <c r="V303" s="11" t="n"/>
    </row>
    <row r="304">
      <c r="A304" s="15">
        <f>Murid!A304</f>
        <v/>
      </c>
      <c r="B304" s="15">
        <f>IF(Murid!B304="","",Murid!B304)</f>
        <v/>
      </c>
      <c r="C304" s="16">
        <f>IF(Murid!C304="","",Murid!C304)</f>
        <v/>
      </c>
      <c r="D304" s="15">
        <f>IF(Murid!E304="","",Murid!E304)</f>
        <v/>
      </c>
      <c r="E304" s="11" t="n"/>
      <c r="F304" s="10">
        <f>IF(E304="","",IFERROR(VLOOKUP(E304,T_PERK,2,FALSE),0))</f>
        <v/>
      </c>
      <c r="G304" s="11" t="n"/>
      <c r="H304" s="10">
        <f>IF(G304="","",IFERROR(VLOOKUP(G304,T_ANUG,2,FALSE),0))</f>
        <v/>
      </c>
      <c r="I304" s="11" t="n"/>
      <c r="J304" s="11" t="n"/>
      <c r="K304" s="11" t="n"/>
      <c r="L304" s="11" t="n"/>
      <c r="M304" s="11" t="n"/>
      <c r="N304" s="11" t="n"/>
      <c r="O304" s="11" t="n"/>
      <c r="P304" s="10">
        <f>IF(COUNTA(I304:O304)=0,"",MIN(10,SUM(I304:O304)))</f>
        <v/>
      </c>
      <c r="Q304" s="11" t="n"/>
      <c r="R304" s="10">
        <f>IF(Q304="","",IFERROR(VLOOKUP(Q304,T_NILAM,2,FALSE),0))</f>
        <v/>
      </c>
      <c r="S304" s="11" t="n"/>
      <c r="T304" s="10">
        <f>IF(S304="","",IFERROR(VLOOKUP(S304,T_TIMSS,2,FALSE),0))</f>
        <v/>
      </c>
      <c r="U304" s="19">
        <f>IF(COUNT(F304,H304,P304,R304,T304)=0,"",MIN(10,MAX(F304,H304,P304,R304,T304)))</f>
        <v/>
      </c>
      <c r="V304" s="11" t="n"/>
    </row>
    <row r="305">
      <c r="A305" s="15">
        <f>Murid!A305</f>
        <v/>
      </c>
      <c r="B305" s="15">
        <f>IF(Murid!B305="","",Murid!B305)</f>
        <v/>
      </c>
      <c r="C305" s="16">
        <f>IF(Murid!C305="","",Murid!C305)</f>
        <v/>
      </c>
      <c r="D305" s="15">
        <f>IF(Murid!E305="","",Murid!E305)</f>
        <v/>
      </c>
      <c r="E305" s="11" t="n"/>
      <c r="F305" s="10">
        <f>IF(E305="","",IFERROR(VLOOKUP(E305,T_PERK,2,FALSE),0))</f>
        <v/>
      </c>
      <c r="G305" s="11" t="n"/>
      <c r="H305" s="10">
        <f>IF(G305="","",IFERROR(VLOOKUP(G305,T_ANUG,2,FALSE),0))</f>
        <v/>
      </c>
      <c r="I305" s="11" t="n"/>
      <c r="J305" s="11" t="n"/>
      <c r="K305" s="11" t="n"/>
      <c r="L305" s="11" t="n"/>
      <c r="M305" s="11" t="n"/>
      <c r="N305" s="11" t="n"/>
      <c r="O305" s="11" t="n"/>
      <c r="P305" s="10">
        <f>IF(COUNTA(I305:O305)=0,"",MIN(10,SUM(I305:O305)))</f>
        <v/>
      </c>
      <c r="Q305" s="11" t="n"/>
      <c r="R305" s="10">
        <f>IF(Q305="","",IFERROR(VLOOKUP(Q305,T_NILAM,2,FALSE),0))</f>
        <v/>
      </c>
      <c r="S305" s="11" t="n"/>
      <c r="T305" s="10">
        <f>IF(S305="","",IFERROR(VLOOKUP(S305,T_TIMSS,2,FALSE),0))</f>
        <v/>
      </c>
      <c r="U305" s="19">
        <f>IF(COUNT(F305,H305,P305,R305,T305)=0,"",MIN(10,MAX(F305,H305,P305,R305,T305)))</f>
        <v/>
      </c>
      <c r="V305" s="11" t="n"/>
    </row>
    <row r="306">
      <c r="A306" s="15">
        <f>Murid!A306</f>
        <v/>
      </c>
      <c r="B306" s="15">
        <f>IF(Murid!B306="","",Murid!B306)</f>
        <v/>
      </c>
      <c r="C306" s="16">
        <f>IF(Murid!C306="","",Murid!C306)</f>
        <v/>
      </c>
      <c r="D306" s="15">
        <f>IF(Murid!E306="","",Murid!E306)</f>
        <v/>
      </c>
      <c r="E306" s="11" t="n"/>
      <c r="F306" s="10">
        <f>IF(E306="","",IFERROR(VLOOKUP(E306,T_PERK,2,FALSE),0))</f>
        <v/>
      </c>
      <c r="G306" s="11" t="n"/>
      <c r="H306" s="10">
        <f>IF(G306="","",IFERROR(VLOOKUP(G306,T_ANUG,2,FALSE),0))</f>
        <v/>
      </c>
      <c r="I306" s="11" t="n"/>
      <c r="J306" s="11" t="n"/>
      <c r="K306" s="11" t="n"/>
      <c r="L306" s="11" t="n"/>
      <c r="M306" s="11" t="n"/>
      <c r="N306" s="11" t="n"/>
      <c r="O306" s="11" t="n"/>
      <c r="P306" s="10">
        <f>IF(COUNTA(I306:O306)=0,"",MIN(10,SUM(I306:O306)))</f>
        <v/>
      </c>
      <c r="Q306" s="11" t="n"/>
      <c r="R306" s="10">
        <f>IF(Q306="","",IFERROR(VLOOKUP(Q306,T_NILAM,2,FALSE),0))</f>
        <v/>
      </c>
      <c r="S306" s="11" t="n"/>
      <c r="T306" s="10">
        <f>IF(S306="","",IFERROR(VLOOKUP(S306,T_TIMSS,2,FALSE),0))</f>
        <v/>
      </c>
      <c r="U306" s="19">
        <f>IF(COUNT(F306,H306,P306,R306,T306)=0,"",MIN(10,MAX(F306,H306,P306,R306,T306)))</f>
        <v/>
      </c>
      <c r="V306" s="11" t="n"/>
    </row>
    <row r="307">
      <c r="A307" s="15">
        <f>Murid!A307</f>
        <v/>
      </c>
      <c r="B307" s="15">
        <f>IF(Murid!B307="","",Murid!B307)</f>
        <v/>
      </c>
      <c r="C307" s="16">
        <f>IF(Murid!C307="","",Murid!C307)</f>
        <v/>
      </c>
      <c r="D307" s="15">
        <f>IF(Murid!E307="","",Murid!E307)</f>
        <v/>
      </c>
      <c r="E307" s="11" t="n"/>
      <c r="F307" s="10">
        <f>IF(E307="","",IFERROR(VLOOKUP(E307,T_PERK,2,FALSE),0))</f>
        <v/>
      </c>
      <c r="G307" s="11" t="n"/>
      <c r="H307" s="10">
        <f>IF(G307="","",IFERROR(VLOOKUP(G307,T_ANUG,2,FALSE),0))</f>
        <v/>
      </c>
      <c r="I307" s="11" t="n"/>
      <c r="J307" s="11" t="n"/>
      <c r="K307" s="11" t="n"/>
      <c r="L307" s="11" t="n"/>
      <c r="M307" s="11" t="n"/>
      <c r="N307" s="11" t="n"/>
      <c r="O307" s="11" t="n"/>
      <c r="P307" s="10">
        <f>IF(COUNTA(I307:O307)=0,"",MIN(10,SUM(I307:O307)))</f>
        <v/>
      </c>
      <c r="Q307" s="11" t="n"/>
      <c r="R307" s="10">
        <f>IF(Q307="","",IFERROR(VLOOKUP(Q307,T_NILAM,2,FALSE),0))</f>
        <v/>
      </c>
      <c r="S307" s="11" t="n"/>
      <c r="T307" s="10">
        <f>IF(S307="","",IFERROR(VLOOKUP(S307,T_TIMSS,2,FALSE),0))</f>
        <v/>
      </c>
      <c r="U307" s="19">
        <f>IF(COUNT(F307,H307,P307,R307,T307)=0,"",MIN(10,MAX(F307,H307,P307,R307,T307)))</f>
        <v/>
      </c>
      <c r="V307" s="11" t="n"/>
    </row>
    <row r="308">
      <c r="A308" s="15">
        <f>Murid!A308</f>
        <v/>
      </c>
      <c r="B308" s="15">
        <f>IF(Murid!B308="","",Murid!B308)</f>
        <v/>
      </c>
      <c r="C308" s="16">
        <f>IF(Murid!C308="","",Murid!C308)</f>
        <v/>
      </c>
      <c r="D308" s="15">
        <f>IF(Murid!E308="","",Murid!E308)</f>
        <v/>
      </c>
      <c r="E308" s="11" t="n"/>
      <c r="F308" s="10">
        <f>IF(E308="","",IFERROR(VLOOKUP(E308,T_PERK,2,FALSE),0))</f>
        <v/>
      </c>
      <c r="G308" s="11" t="n"/>
      <c r="H308" s="10">
        <f>IF(G308="","",IFERROR(VLOOKUP(G308,T_ANUG,2,FALSE),0))</f>
        <v/>
      </c>
      <c r="I308" s="11" t="n"/>
      <c r="J308" s="11" t="n"/>
      <c r="K308" s="11" t="n"/>
      <c r="L308" s="11" t="n"/>
      <c r="M308" s="11" t="n"/>
      <c r="N308" s="11" t="n"/>
      <c r="O308" s="11" t="n"/>
      <c r="P308" s="10">
        <f>IF(COUNTA(I308:O308)=0,"",MIN(10,SUM(I308:O308)))</f>
        <v/>
      </c>
      <c r="Q308" s="11" t="n"/>
      <c r="R308" s="10">
        <f>IF(Q308="","",IFERROR(VLOOKUP(Q308,T_NILAM,2,FALSE),0))</f>
        <v/>
      </c>
      <c r="S308" s="11" t="n"/>
      <c r="T308" s="10">
        <f>IF(S308="","",IFERROR(VLOOKUP(S308,T_TIMSS,2,FALSE),0))</f>
        <v/>
      </c>
      <c r="U308" s="19">
        <f>IF(COUNT(F308,H308,P308,R308,T308)=0,"",MIN(10,MAX(F308,H308,P308,R308,T308)))</f>
        <v/>
      </c>
      <c r="V308" s="11" t="n"/>
    </row>
    <row r="309">
      <c r="A309" s="15">
        <f>Murid!A309</f>
        <v/>
      </c>
      <c r="B309" s="15">
        <f>IF(Murid!B309="","",Murid!B309)</f>
        <v/>
      </c>
      <c r="C309" s="16">
        <f>IF(Murid!C309="","",Murid!C309)</f>
        <v/>
      </c>
      <c r="D309" s="15">
        <f>IF(Murid!E309="","",Murid!E309)</f>
        <v/>
      </c>
      <c r="E309" s="11" t="n"/>
      <c r="F309" s="10">
        <f>IF(E309="","",IFERROR(VLOOKUP(E309,T_PERK,2,FALSE),0))</f>
        <v/>
      </c>
      <c r="G309" s="11" t="n"/>
      <c r="H309" s="10">
        <f>IF(G309="","",IFERROR(VLOOKUP(G309,T_ANUG,2,FALSE),0))</f>
        <v/>
      </c>
      <c r="I309" s="11" t="n"/>
      <c r="J309" s="11" t="n"/>
      <c r="K309" s="11" t="n"/>
      <c r="L309" s="11" t="n"/>
      <c r="M309" s="11" t="n"/>
      <c r="N309" s="11" t="n"/>
      <c r="O309" s="11" t="n"/>
      <c r="P309" s="10">
        <f>IF(COUNTA(I309:O309)=0,"",MIN(10,SUM(I309:O309)))</f>
        <v/>
      </c>
      <c r="Q309" s="11" t="n"/>
      <c r="R309" s="10">
        <f>IF(Q309="","",IFERROR(VLOOKUP(Q309,T_NILAM,2,FALSE),0))</f>
        <v/>
      </c>
      <c r="S309" s="11" t="n"/>
      <c r="T309" s="10">
        <f>IF(S309="","",IFERROR(VLOOKUP(S309,T_TIMSS,2,FALSE),0))</f>
        <v/>
      </c>
      <c r="U309" s="19">
        <f>IF(COUNT(F309,H309,P309,R309,T309)=0,"",MIN(10,MAX(F309,H309,P309,R309,T309)))</f>
        <v/>
      </c>
      <c r="V309" s="11" t="n"/>
    </row>
    <row r="310">
      <c r="A310" s="15">
        <f>Murid!A310</f>
        <v/>
      </c>
      <c r="B310" s="15">
        <f>IF(Murid!B310="","",Murid!B310)</f>
        <v/>
      </c>
      <c r="C310" s="16">
        <f>IF(Murid!C310="","",Murid!C310)</f>
        <v/>
      </c>
      <c r="D310" s="15">
        <f>IF(Murid!E310="","",Murid!E310)</f>
        <v/>
      </c>
      <c r="E310" s="11" t="n"/>
      <c r="F310" s="10">
        <f>IF(E310="","",IFERROR(VLOOKUP(E310,T_PERK,2,FALSE),0))</f>
        <v/>
      </c>
      <c r="G310" s="11" t="n"/>
      <c r="H310" s="10">
        <f>IF(G310="","",IFERROR(VLOOKUP(G310,T_ANUG,2,FALSE),0))</f>
        <v/>
      </c>
      <c r="I310" s="11" t="n"/>
      <c r="J310" s="11" t="n"/>
      <c r="K310" s="11" t="n"/>
      <c r="L310" s="11" t="n"/>
      <c r="M310" s="11" t="n"/>
      <c r="N310" s="11" t="n"/>
      <c r="O310" s="11" t="n"/>
      <c r="P310" s="10">
        <f>IF(COUNTA(I310:O310)=0,"",MIN(10,SUM(I310:O310)))</f>
        <v/>
      </c>
      <c r="Q310" s="11" t="n"/>
      <c r="R310" s="10">
        <f>IF(Q310="","",IFERROR(VLOOKUP(Q310,T_NILAM,2,FALSE),0))</f>
        <v/>
      </c>
      <c r="S310" s="11" t="n"/>
      <c r="T310" s="10">
        <f>IF(S310="","",IFERROR(VLOOKUP(S310,T_TIMSS,2,FALSE),0))</f>
        <v/>
      </c>
      <c r="U310" s="19">
        <f>IF(COUNT(F310,H310,P310,R310,T310)=0,"",MIN(10,MAX(F310,H310,P310,R310,T310)))</f>
        <v/>
      </c>
      <c r="V310" s="11" t="n"/>
    </row>
    <row r="311">
      <c r="A311" s="15">
        <f>Murid!A311</f>
        <v/>
      </c>
      <c r="B311" s="15">
        <f>IF(Murid!B311="","",Murid!B311)</f>
        <v/>
      </c>
      <c r="C311" s="16">
        <f>IF(Murid!C311="","",Murid!C311)</f>
        <v/>
      </c>
      <c r="D311" s="15">
        <f>IF(Murid!E311="","",Murid!E311)</f>
        <v/>
      </c>
      <c r="E311" s="11" t="n"/>
      <c r="F311" s="10">
        <f>IF(E311="","",IFERROR(VLOOKUP(E311,T_PERK,2,FALSE),0))</f>
        <v/>
      </c>
      <c r="G311" s="11" t="n"/>
      <c r="H311" s="10">
        <f>IF(G311="","",IFERROR(VLOOKUP(G311,T_ANUG,2,FALSE),0))</f>
        <v/>
      </c>
      <c r="I311" s="11" t="n"/>
      <c r="J311" s="11" t="n"/>
      <c r="K311" s="11" t="n"/>
      <c r="L311" s="11" t="n"/>
      <c r="M311" s="11" t="n"/>
      <c r="N311" s="11" t="n"/>
      <c r="O311" s="11" t="n"/>
      <c r="P311" s="10">
        <f>IF(COUNTA(I311:O311)=0,"",MIN(10,SUM(I311:O311)))</f>
        <v/>
      </c>
      <c r="Q311" s="11" t="n"/>
      <c r="R311" s="10">
        <f>IF(Q311="","",IFERROR(VLOOKUP(Q311,T_NILAM,2,FALSE),0))</f>
        <v/>
      </c>
      <c r="S311" s="11" t="n"/>
      <c r="T311" s="10">
        <f>IF(S311="","",IFERROR(VLOOKUP(S311,T_TIMSS,2,FALSE),0))</f>
        <v/>
      </c>
      <c r="U311" s="19">
        <f>IF(COUNT(F311,H311,P311,R311,T311)=0,"",MIN(10,MAX(F311,H311,P311,R311,T311)))</f>
        <v/>
      </c>
      <c r="V311" s="11" t="n"/>
    </row>
    <row r="312">
      <c r="A312" s="15">
        <f>Murid!A312</f>
        <v/>
      </c>
      <c r="B312" s="15">
        <f>IF(Murid!B312="","",Murid!B312)</f>
        <v/>
      </c>
      <c r="C312" s="16">
        <f>IF(Murid!C312="","",Murid!C312)</f>
        <v/>
      </c>
      <c r="D312" s="15">
        <f>IF(Murid!E312="","",Murid!E312)</f>
        <v/>
      </c>
      <c r="E312" s="11" t="n"/>
      <c r="F312" s="10">
        <f>IF(E312="","",IFERROR(VLOOKUP(E312,T_PERK,2,FALSE),0))</f>
        <v/>
      </c>
      <c r="G312" s="11" t="n"/>
      <c r="H312" s="10">
        <f>IF(G312="","",IFERROR(VLOOKUP(G312,T_ANUG,2,FALSE),0))</f>
        <v/>
      </c>
      <c r="I312" s="11" t="n"/>
      <c r="J312" s="11" t="n"/>
      <c r="K312" s="11" t="n"/>
      <c r="L312" s="11" t="n"/>
      <c r="M312" s="11" t="n"/>
      <c r="N312" s="11" t="n"/>
      <c r="O312" s="11" t="n"/>
      <c r="P312" s="10">
        <f>IF(COUNTA(I312:O312)=0,"",MIN(10,SUM(I312:O312)))</f>
        <v/>
      </c>
      <c r="Q312" s="11" t="n"/>
      <c r="R312" s="10">
        <f>IF(Q312="","",IFERROR(VLOOKUP(Q312,T_NILAM,2,FALSE),0))</f>
        <v/>
      </c>
      <c r="S312" s="11" t="n"/>
      <c r="T312" s="10">
        <f>IF(S312="","",IFERROR(VLOOKUP(S312,T_TIMSS,2,FALSE),0))</f>
        <v/>
      </c>
      <c r="U312" s="19">
        <f>IF(COUNT(F312,H312,P312,R312,T312)=0,"",MIN(10,MAX(F312,H312,P312,R312,T312)))</f>
        <v/>
      </c>
      <c r="V312" s="11" t="n"/>
    </row>
    <row r="313">
      <c r="A313" s="15">
        <f>Murid!A313</f>
        <v/>
      </c>
      <c r="B313" s="15">
        <f>IF(Murid!B313="","",Murid!B313)</f>
        <v/>
      </c>
      <c r="C313" s="16">
        <f>IF(Murid!C313="","",Murid!C313)</f>
        <v/>
      </c>
      <c r="D313" s="15">
        <f>IF(Murid!E313="","",Murid!E313)</f>
        <v/>
      </c>
      <c r="E313" s="11" t="n"/>
      <c r="F313" s="10">
        <f>IF(E313="","",IFERROR(VLOOKUP(E313,T_PERK,2,FALSE),0))</f>
        <v/>
      </c>
      <c r="G313" s="11" t="n"/>
      <c r="H313" s="10">
        <f>IF(G313="","",IFERROR(VLOOKUP(G313,T_ANUG,2,FALSE),0))</f>
        <v/>
      </c>
      <c r="I313" s="11" t="n"/>
      <c r="J313" s="11" t="n"/>
      <c r="K313" s="11" t="n"/>
      <c r="L313" s="11" t="n"/>
      <c r="M313" s="11" t="n"/>
      <c r="N313" s="11" t="n"/>
      <c r="O313" s="11" t="n"/>
      <c r="P313" s="10">
        <f>IF(COUNTA(I313:O313)=0,"",MIN(10,SUM(I313:O313)))</f>
        <v/>
      </c>
      <c r="Q313" s="11" t="n"/>
      <c r="R313" s="10">
        <f>IF(Q313="","",IFERROR(VLOOKUP(Q313,T_NILAM,2,FALSE),0))</f>
        <v/>
      </c>
      <c r="S313" s="11" t="n"/>
      <c r="T313" s="10">
        <f>IF(S313="","",IFERROR(VLOOKUP(S313,T_TIMSS,2,FALSE),0))</f>
        <v/>
      </c>
      <c r="U313" s="19">
        <f>IF(COUNT(F313,H313,P313,R313,T313)=0,"",MIN(10,MAX(F313,H313,P313,R313,T313)))</f>
        <v/>
      </c>
      <c r="V313" s="11" t="n"/>
    </row>
    <row r="314">
      <c r="A314" s="15">
        <f>Murid!A314</f>
        <v/>
      </c>
      <c r="B314" s="15">
        <f>IF(Murid!B314="","",Murid!B314)</f>
        <v/>
      </c>
      <c r="C314" s="16">
        <f>IF(Murid!C314="","",Murid!C314)</f>
        <v/>
      </c>
      <c r="D314" s="15">
        <f>IF(Murid!E314="","",Murid!E314)</f>
        <v/>
      </c>
      <c r="E314" s="11" t="n"/>
      <c r="F314" s="10">
        <f>IF(E314="","",IFERROR(VLOOKUP(E314,T_PERK,2,FALSE),0))</f>
        <v/>
      </c>
      <c r="G314" s="11" t="n"/>
      <c r="H314" s="10">
        <f>IF(G314="","",IFERROR(VLOOKUP(G314,T_ANUG,2,FALSE),0))</f>
        <v/>
      </c>
      <c r="I314" s="11" t="n"/>
      <c r="J314" s="11" t="n"/>
      <c r="K314" s="11" t="n"/>
      <c r="L314" s="11" t="n"/>
      <c r="M314" s="11" t="n"/>
      <c r="N314" s="11" t="n"/>
      <c r="O314" s="11" t="n"/>
      <c r="P314" s="10">
        <f>IF(COUNTA(I314:O314)=0,"",MIN(10,SUM(I314:O314)))</f>
        <v/>
      </c>
      <c r="Q314" s="11" t="n"/>
      <c r="R314" s="10">
        <f>IF(Q314="","",IFERROR(VLOOKUP(Q314,T_NILAM,2,FALSE),0))</f>
        <v/>
      </c>
      <c r="S314" s="11" t="n"/>
      <c r="T314" s="10">
        <f>IF(S314="","",IFERROR(VLOOKUP(S314,T_TIMSS,2,FALSE),0))</f>
        <v/>
      </c>
      <c r="U314" s="19">
        <f>IF(COUNT(F314,H314,P314,R314,T314)=0,"",MIN(10,MAX(F314,H314,P314,R314,T314)))</f>
        <v/>
      </c>
      <c r="V314" s="11" t="n"/>
    </row>
    <row r="315">
      <c r="A315" s="15">
        <f>Murid!A315</f>
        <v/>
      </c>
      <c r="B315" s="15">
        <f>IF(Murid!B315="","",Murid!B315)</f>
        <v/>
      </c>
      <c r="C315" s="16">
        <f>IF(Murid!C315="","",Murid!C315)</f>
        <v/>
      </c>
      <c r="D315" s="15">
        <f>IF(Murid!E315="","",Murid!E315)</f>
        <v/>
      </c>
      <c r="E315" s="11" t="n"/>
      <c r="F315" s="10">
        <f>IF(E315="","",IFERROR(VLOOKUP(E315,T_PERK,2,FALSE),0))</f>
        <v/>
      </c>
      <c r="G315" s="11" t="n"/>
      <c r="H315" s="10">
        <f>IF(G315="","",IFERROR(VLOOKUP(G315,T_ANUG,2,FALSE),0))</f>
        <v/>
      </c>
      <c r="I315" s="11" t="n"/>
      <c r="J315" s="11" t="n"/>
      <c r="K315" s="11" t="n"/>
      <c r="L315" s="11" t="n"/>
      <c r="M315" s="11" t="n"/>
      <c r="N315" s="11" t="n"/>
      <c r="O315" s="11" t="n"/>
      <c r="P315" s="10">
        <f>IF(COUNTA(I315:O315)=0,"",MIN(10,SUM(I315:O315)))</f>
        <v/>
      </c>
      <c r="Q315" s="11" t="n"/>
      <c r="R315" s="10">
        <f>IF(Q315="","",IFERROR(VLOOKUP(Q315,T_NILAM,2,FALSE),0))</f>
        <v/>
      </c>
      <c r="S315" s="11" t="n"/>
      <c r="T315" s="10">
        <f>IF(S315="","",IFERROR(VLOOKUP(S315,T_TIMSS,2,FALSE),0))</f>
        <v/>
      </c>
      <c r="U315" s="19">
        <f>IF(COUNT(F315,H315,P315,R315,T315)=0,"",MIN(10,MAX(F315,H315,P315,R315,T315)))</f>
        <v/>
      </c>
      <c r="V315" s="11" t="n"/>
    </row>
    <row r="316">
      <c r="A316" s="15">
        <f>Murid!A316</f>
        <v/>
      </c>
      <c r="B316" s="15">
        <f>IF(Murid!B316="","",Murid!B316)</f>
        <v/>
      </c>
      <c r="C316" s="16">
        <f>IF(Murid!C316="","",Murid!C316)</f>
        <v/>
      </c>
      <c r="D316" s="15">
        <f>IF(Murid!E316="","",Murid!E316)</f>
        <v/>
      </c>
      <c r="E316" s="11" t="n"/>
      <c r="F316" s="10">
        <f>IF(E316="","",IFERROR(VLOOKUP(E316,T_PERK,2,FALSE),0))</f>
        <v/>
      </c>
      <c r="G316" s="11" t="n"/>
      <c r="H316" s="10">
        <f>IF(G316="","",IFERROR(VLOOKUP(G316,T_ANUG,2,FALSE),0))</f>
        <v/>
      </c>
      <c r="I316" s="11" t="n"/>
      <c r="J316" s="11" t="n"/>
      <c r="K316" s="11" t="n"/>
      <c r="L316" s="11" t="n"/>
      <c r="M316" s="11" t="n"/>
      <c r="N316" s="11" t="n"/>
      <c r="O316" s="11" t="n"/>
      <c r="P316" s="10">
        <f>IF(COUNTA(I316:O316)=0,"",MIN(10,SUM(I316:O316)))</f>
        <v/>
      </c>
      <c r="Q316" s="11" t="n"/>
      <c r="R316" s="10">
        <f>IF(Q316="","",IFERROR(VLOOKUP(Q316,T_NILAM,2,FALSE),0))</f>
        <v/>
      </c>
      <c r="S316" s="11" t="n"/>
      <c r="T316" s="10">
        <f>IF(S316="","",IFERROR(VLOOKUP(S316,T_TIMSS,2,FALSE),0))</f>
        <v/>
      </c>
      <c r="U316" s="19">
        <f>IF(COUNT(F316,H316,P316,R316,T316)=0,"",MIN(10,MAX(F316,H316,P316,R316,T316)))</f>
        <v/>
      </c>
      <c r="V316" s="11" t="n"/>
    </row>
    <row r="317">
      <c r="A317" s="15">
        <f>Murid!A317</f>
        <v/>
      </c>
      <c r="B317" s="15">
        <f>IF(Murid!B317="","",Murid!B317)</f>
        <v/>
      </c>
      <c r="C317" s="16">
        <f>IF(Murid!C317="","",Murid!C317)</f>
        <v/>
      </c>
      <c r="D317" s="15">
        <f>IF(Murid!E317="","",Murid!E317)</f>
        <v/>
      </c>
      <c r="E317" s="11" t="n"/>
      <c r="F317" s="10">
        <f>IF(E317="","",IFERROR(VLOOKUP(E317,T_PERK,2,FALSE),0))</f>
        <v/>
      </c>
      <c r="G317" s="11" t="n"/>
      <c r="H317" s="10">
        <f>IF(G317="","",IFERROR(VLOOKUP(G317,T_ANUG,2,FALSE),0))</f>
        <v/>
      </c>
      <c r="I317" s="11" t="n"/>
      <c r="J317" s="11" t="n"/>
      <c r="K317" s="11" t="n"/>
      <c r="L317" s="11" t="n"/>
      <c r="M317" s="11" t="n"/>
      <c r="N317" s="11" t="n"/>
      <c r="O317" s="11" t="n"/>
      <c r="P317" s="10">
        <f>IF(COUNTA(I317:O317)=0,"",MIN(10,SUM(I317:O317)))</f>
        <v/>
      </c>
      <c r="Q317" s="11" t="n"/>
      <c r="R317" s="10">
        <f>IF(Q317="","",IFERROR(VLOOKUP(Q317,T_NILAM,2,FALSE),0))</f>
        <v/>
      </c>
      <c r="S317" s="11" t="n"/>
      <c r="T317" s="10">
        <f>IF(S317="","",IFERROR(VLOOKUP(S317,T_TIMSS,2,FALSE),0))</f>
        <v/>
      </c>
      <c r="U317" s="19">
        <f>IF(COUNT(F317,H317,P317,R317,T317)=0,"",MIN(10,MAX(F317,H317,P317,R317,T317)))</f>
        <v/>
      </c>
      <c r="V317" s="11" t="n"/>
    </row>
    <row r="318">
      <c r="A318" s="15">
        <f>Murid!A318</f>
        <v/>
      </c>
      <c r="B318" s="15">
        <f>IF(Murid!B318="","",Murid!B318)</f>
        <v/>
      </c>
      <c r="C318" s="16">
        <f>IF(Murid!C318="","",Murid!C318)</f>
        <v/>
      </c>
      <c r="D318" s="15">
        <f>IF(Murid!E318="","",Murid!E318)</f>
        <v/>
      </c>
      <c r="E318" s="11" t="n"/>
      <c r="F318" s="10">
        <f>IF(E318="","",IFERROR(VLOOKUP(E318,T_PERK,2,FALSE),0))</f>
        <v/>
      </c>
      <c r="G318" s="11" t="n"/>
      <c r="H318" s="10">
        <f>IF(G318="","",IFERROR(VLOOKUP(G318,T_ANUG,2,FALSE),0))</f>
        <v/>
      </c>
      <c r="I318" s="11" t="n"/>
      <c r="J318" s="11" t="n"/>
      <c r="K318" s="11" t="n"/>
      <c r="L318" s="11" t="n"/>
      <c r="M318" s="11" t="n"/>
      <c r="N318" s="11" t="n"/>
      <c r="O318" s="11" t="n"/>
      <c r="P318" s="10">
        <f>IF(COUNTA(I318:O318)=0,"",MIN(10,SUM(I318:O318)))</f>
        <v/>
      </c>
      <c r="Q318" s="11" t="n"/>
      <c r="R318" s="10">
        <f>IF(Q318="","",IFERROR(VLOOKUP(Q318,T_NILAM,2,FALSE),0))</f>
        <v/>
      </c>
      <c r="S318" s="11" t="n"/>
      <c r="T318" s="10">
        <f>IF(S318="","",IFERROR(VLOOKUP(S318,T_TIMSS,2,FALSE),0))</f>
        <v/>
      </c>
      <c r="U318" s="19">
        <f>IF(COUNT(F318,H318,P318,R318,T318)=0,"",MIN(10,MAX(F318,H318,P318,R318,T318)))</f>
        <v/>
      </c>
      <c r="V318" s="11" t="n"/>
    </row>
    <row r="319">
      <c r="A319" s="15">
        <f>Murid!A319</f>
        <v/>
      </c>
      <c r="B319" s="15">
        <f>IF(Murid!B319="","",Murid!B319)</f>
        <v/>
      </c>
      <c r="C319" s="16">
        <f>IF(Murid!C319="","",Murid!C319)</f>
        <v/>
      </c>
      <c r="D319" s="15">
        <f>IF(Murid!E319="","",Murid!E319)</f>
        <v/>
      </c>
      <c r="E319" s="11" t="n"/>
      <c r="F319" s="10">
        <f>IF(E319="","",IFERROR(VLOOKUP(E319,T_PERK,2,FALSE),0))</f>
        <v/>
      </c>
      <c r="G319" s="11" t="n"/>
      <c r="H319" s="10">
        <f>IF(G319="","",IFERROR(VLOOKUP(G319,T_ANUG,2,FALSE),0))</f>
        <v/>
      </c>
      <c r="I319" s="11" t="n"/>
      <c r="J319" s="11" t="n"/>
      <c r="K319" s="11" t="n"/>
      <c r="L319" s="11" t="n"/>
      <c r="M319" s="11" t="n"/>
      <c r="N319" s="11" t="n"/>
      <c r="O319" s="11" t="n"/>
      <c r="P319" s="10">
        <f>IF(COUNTA(I319:O319)=0,"",MIN(10,SUM(I319:O319)))</f>
        <v/>
      </c>
      <c r="Q319" s="11" t="n"/>
      <c r="R319" s="10">
        <f>IF(Q319="","",IFERROR(VLOOKUP(Q319,T_NILAM,2,FALSE),0))</f>
        <v/>
      </c>
      <c r="S319" s="11" t="n"/>
      <c r="T319" s="10">
        <f>IF(S319="","",IFERROR(VLOOKUP(S319,T_TIMSS,2,FALSE),0))</f>
        <v/>
      </c>
      <c r="U319" s="19">
        <f>IF(COUNT(F319,H319,P319,R319,T319)=0,"",MIN(10,MAX(F319,H319,P319,R319,T319)))</f>
        <v/>
      </c>
      <c r="V319" s="11" t="n"/>
    </row>
    <row r="320">
      <c r="A320" s="15">
        <f>Murid!A320</f>
        <v/>
      </c>
      <c r="B320" s="15">
        <f>IF(Murid!B320="","",Murid!B320)</f>
        <v/>
      </c>
      <c r="C320" s="16">
        <f>IF(Murid!C320="","",Murid!C320)</f>
        <v/>
      </c>
      <c r="D320" s="15">
        <f>IF(Murid!E320="","",Murid!E320)</f>
        <v/>
      </c>
      <c r="E320" s="11" t="n"/>
      <c r="F320" s="10">
        <f>IF(E320="","",IFERROR(VLOOKUP(E320,T_PERK,2,FALSE),0))</f>
        <v/>
      </c>
      <c r="G320" s="11" t="n"/>
      <c r="H320" s="10">
        <f>IF(G320="","",IFERROR(VLOOKUP(G320,T_ANUG,2,FALSE),0))</f>
        <v/>
      </c>
      <c r="I320" s="11" t="n"/>
      <c r="J320" s="11" t="n"/>
      <c r="K320" s="11" t="n"/>
      <c r="L320" s="11" t="n"/>
      <c r="M320" s="11" t="n"/>
      <c r="N320" s="11" t="n"/>
      <c r="O320" s="11" t="n"/>
      <c r="P320" s="10">
        <f>IF(COUNTA(I320:O320)=0,"",MIN(10,SUM(I320:O320)))</f>
        <v/>
      </c>
      <c r="Q320" s="11" t="n"/>
      <c r="R320" s="10">
        <f>IF(Q320="","",IFERROR(VLOOKUP(Q320,T_NILAM,2,FALSE),0))</f>
        <v/>
      </c>
      <c r="S320" s="11" t="n"/>
      <c r="T320" s="10">
        <f>IF(S320="","",IFERROR(VLOOKUP(S320,T_TIMSS,2,FALSE),0))</f>
        <v/>
      </c>
      <c r="U320" s="19">
        <f>IF(COUNT(F320,H320,P320,R320,T320)=0,"",MIN(10,MAX(F320,H320,P320,R320,T320)))</f>
        <v/>
      </c>
      <c r="V320" s="11" t="n"/>
    </row>
    <row r="321">
      <c r="A321" s="15">
        <f>Murid!A321</f>
        <v/>
      </c>
      <c r="B321" s="15">
        <f>IF(Murid!B321="","",Murid!B321)</f>
        <v/>
      </c>
      <c r="C321" s="16">
        <f>IF(Murid!C321="","",Murid!C321)</f>
        <v/>
      </c>
      <c r="D321" s="15">
        <f>IF(Murid!E321="","",Murid!E321)</f>
        <v/>
      </c>
      <c r="E321" s="11" t="n"/>
      <c r="F321" s="10">
        <f>IF(E321="","",IFERROR(VLOOKUP(E321,T_PERK,2,FALSE),0))</f>
        <v/>
      </c>
      <c r="G321" s="11" t="n"/>
      <c r="H321" s="10">
        <f>IF(G321="","",IFERROR(VLOOKUP(G321,T_ANUG,2,FALSE),0))</f>
        <v/>
      </c>
      <c r="I321" s="11" t="n"/>
      <c r="J321" s="11" t="n"/>
      <c r="K321" s="11" t="n"/>
      <c r="L321" s="11" t="n"/>
      <c r="M321" s="11" t="n"/>
      <c r="N321" s="11" t="n"/>
      <c r="O321" s="11" t="n"/>
      <c r="P321" s="10">
        <f>IF(COUNTA(I321:O321)=0,"",MIN(10,SUM(I321:O321)))</f>
        <v/>
      </c>
      <c r="Q321" s="11" t="n"/>
      <c r="R321" s="10">
        <f>IF(Q321="","",IFERROR(VLOOKUP(Q321,T_NILAM,2,FALSE),0))</f>
        <v/>
      </c>
      <c r="S321" s="11" t="n"/>
      <c r="T321" s="10">
        <f>IF(S321="","",IFERROR(VLOOKUP(S321,T_TIMSS,2,FALSE),0))</f>
        <v/>
      </c>
      <c r="U321" s="19">
        <f>IF(COUNT(F321,H321,P321,R321,T321)=0,"",MIN(10,MAX(F321,H321,P321,R321,T321)))</f>
        <v/>
      </c>
      <c r="V321" s="11" t="n"/>
    </row>
    <row r="322">
      <c r="A322" s="15">
        <f>Murid!A322</f>
        <v/>
      </c>
      <c r="B322" s="15">
        <f>IF(Murid!B322="","",Murid!B322)</f>
        <v/>
      </c>
      <c r="C322" s="16">
        <f>IF(Murid!C322="","",Murid!C322)</f>
        <v/>
      </c>
      <c r="D322" s="15">
        <f>IF(Murid!E322="","",Murid!E322)</f>
        <v/>
      </c>
      <c r="E322" s="11" t="n"/>
      <c r="F322" s="10">
        <f>IF(E322="","",IFERROR(VLOOKUP(E322,T_PERK,2,FALSE),0))</f>
        <v/>
      </c>
      <c r="G322" s="11" t="n"/>
      <c r="H322" s="10">
        <f>IF(G322="","",IFERROR(VLOOKUP(G322,T_ANUG,2,FALSE),0))</f>
        <v/>
      </c>
      <c r="I322" s="11" t="n"/>
      <c r="J322" s="11" t="n"/>
      <c r="K322" s="11" t="n"/>
      <c r="L322" s="11" t="n"/>
      <c r="M322" s="11" t="n"/>
      <c r="N322" s="11" t="n"/>
      <c r="O322" s="11" t="n"/>
      <c r="P322" s="10">
        <f>IF(COUNTA(I322:O322)=0,"",MIN(10,SUM(I322:O322)))</f>
        <v/>
      </c>
      <c r="Q322" s="11" t="n"/>
      <c r="R322" s="10">
        <f>IF(Q322="","",IFERROR(VLOOKUP(Q322,T_NILAM,2,FALSE),0))</f>
        <v/>
      </c>
      <c r="S322" s="11" t="n"/>
      <c r="T322" s="10">
        <f>IF(S322="","",IFERROR(VLOOKUP(S322,T_TIMSS,2,FALSE),0))</f>
        <v/>
      </c>
      <c r="U322" s="19">
        <f>IF(COUNT(F322,H322,P322,R322,T322)=0,"",MIN(10,MAX(F322,H322,P322,R322,T322)))</f>
        <v/>
      </c>
      <c r="V322" s="11" t="n"/>
    </row>
    <row r="323">
      <c r="A323" s="15">
        <f>Murid!A323</f>
        <v/>
      </c>
      <c r="B323" s="15">
        <f>IF(Murid!B323="","",Murid!B323)</f>
        <v/>
      </c>
      <c r="C323" s="16">
        <f>IF(Murid!C323="","",Murid!C323)</f>
        <v/>
      </c>
      <c r="D323" s="15">
        <f>IF(Murid!E323="","",Murid!E323)</f>
        <v/>
      </c>
      <c r="E323" s="11" t="n"/>
      <c r="F323" s="10">
        <f>IF(E323="","",IFERROR(VLOOKUP(E323,T_PERK,2,FALSE),0))</f>
        <v/>
      </c>
      <c r="G323" s="11" t="n"/>
      <c r="H323" s="10">
        <f>IF(G323="","",IFERROR(VLOOKUP(G323,T_ANUG,2,FALSE),0))</f>
        <v/>
      </c>
      <c r="I323" s="11" t="n"/>
      <c r="J323" s="11" t="n"/>
      <c r="K323" s="11" t="n"/>
      <c r="L323" s="11" t="n"/>
      <c r="M323" s="11" t="n"/>
      <c r="N323" s="11" t="n"/>
      <c r="O323" s="11" t="n"/>
      <c r="P323" s="10">
        <f>IF(COUNTA(I323:O323)=0,"",MIN(10,SUM(I323:O323)))</f>
        <v/>
      </c>
      <c r="Q323" s="11" t="n"/>
      <c r="R323" s="10">
        <f>IF(Q323="","",IFERROR(VLOOKUP(Q323,T_NILAM,2,FALSE),0))</f>
        <v/>
      </c>
      <c r="S323" s="11" t="n"/>
      <c r="T323" s="10">
        <f>IF(S323="","",IFERROR(VLOOKUP(S323,T_TIMSS,2,FALSE),0))</f>
        <v/>
      </c>
      <c r="U323" s="19">
        <f>IF(COUNT(F323,H323,P323,R323,T323)=0,"",MIN(10,MAX(F323,H323,P323,R323,T323)))</f>
        <v/>
      </c>
      <c r="V323" s="11" t="n"/>
    </row>
    <row r="324">
      <c r="A324" s="15">
        <f>Murid!A324</f>
        <v/>
      </c>
      <c r="B324" s="15">
        <f>IF(Murid!B324="","",Murid!B324)</f>
        <v/>
      </c>
      <c r="C324" s="16">
        <f>IF(Murid!C324="","",Murid!C324)</f>
        <v/>
      </c>
      <c r="D324" s="15">
        <f>IF(Murid!E324="","",Murid!E324)</f>
        <v/>
      </c>
      <c r="E324" s="11" t="n"/>
      <c r="F324" s="10">
        <f>IF(E324="","",IFERROR(VLOOKUP(E324,T_PERK,2,FALSE),0))</f>
        <v/>
      </c>
      <c r="G324" s="11" t="n"/>
      <c r="H324" s="10">
        <f>IF(G324="","",IFERROR(VLOOKUP(G324,T_ANUG,2,FALSE),0))</f>
        <v/>
      </c>
      <c r="I324" s="11" t="n"/>
      <c r="J324" s="11" t="n"/>
      <c r="K324" s="11" t="n"/>
      <c r="L324" s="11" t="n"/>
      <c r="M324" s="11" t="n"/>
      <c r="N324" s="11" t="n"/>
      <c r="O324" s="11" t="n"/>
      <c r="P324" s="10">
        <f>IF(COUNTA(I324:O324)=0,"",MIN(10,SUM(I324:O324)))</f>
        <v/>
      </c>
      <c r="Q324" s="11" t="n"/>
      <c r="R324" s="10">
        <f>IF(Q324="","",IFERROR(VLOOKUP(Q324,T_NILAM,2,FALSE),0))</f>
        <v/>
      </c>
      <c r="S324" s="11" t="n"/>
      <c r="T324" s="10">
        <f>IF(S324="","",IFERROR(VLOOKUP(S324,T_TIMSS,2,FALSE),0))</f>
        <v/>
      </c>
      <c r="U324" s="19">
        <f>IF(COUNT(F324,H324,P324,R324,T324)=0,"",MIN(10,MAX(F324,H324,P324,R324,T324)))</f>
        <v/>
      </c>
      <c r="V324" s="11" t="n"/>
    </row>
    <row r="325">
      <c r="A325" s="15">
        <f>Murid!A325</f>
        <v/>
      </c>
      <c r="B325" s="15">
        <f>IF(Murid!B325="","",Murid!B325)</f>
        <v/>
      </c>
      <c r="C325" s="16">
        <f>IF(Murid!C325="","",Murid!C325)</f>
        <v/>
      </c>
      <c r="D325" s="15">
        <f>IF(Murid!E325="","",Murid!E325)</f>
        <v/>
      </c>
      <c r="E325" s="11" t="n"/>
      <c r="F325" s="10">
        <f>IF(E325="","",IFERROR(VLOOKUP(E325,T_PERK,2,FALSE),0))</f>
        <v/>
      </c>
      <c r="G325" s="11" t="n"/>
      <c r="H325" s="10">
        <f>IF(G325="","",IFERROR(VLOOKUP(G325,T_ANUG,2,FALSE),0))</f>
        <v/>
      </c>
      <c r="I325" s="11" t="n"/>
      <c r="J325" s="11" t="n"/>
      <c r="K325" s="11" t="n"/>
      <c r="L325" s="11" t="n"/>
      <c r="M325" s="11" t="n"/>
      <c r="N325" s="11" t="n"/>
      <c r="O325" s="11" t="n"/>
      <c r="P325" s="10">
        <f>IF(COUNTA(I325:O325)=0,"",MIN(10,SUM(I325:O325)))</f>
        <v/>
      </c>
      <c r="Q325" s="11" t="n"/>
      <c r="R325" s="10">
        <f>IF(Q325="","",IFERROR(VLOOKUP(Q325,T_NILAM,2,FALSE),0))</f>
        <v/>
      </c>
      <c r="S325" s="11" t="n"/>
      <c r="T325" s="10">
        <f>IF(S325="","",IFERROR(VLOOKUP(S325,T_TIMSS,2,FALSE),0))</f>
        <v/>
      </c>
      <c r="U325" s="19">
        <f>IF(COUNT(F325,H325,P325,R325,T325)=0,"",MIN(10,MAX(F325,H325,P325,R325,T325)))</f>
        <v/>
      </c>
      <c r="V325" s="11" t="n"/>
    </row>
    <row r="326">
      <c r="A326" s="15">
        <f>Murid!A326</f>
        <v/>
      </c>
      <c r="B326" s="15">
        <f>IF(Murid!B326="","",Murid!B326)</f>
        <v/>
      </c>
      <c r="C326" s="16">
        <f>IF(Murid!C326="","",Murid!C326)</f>
        <v/>
      </c>
      <c r="D326" s="15">
        <f>IF(Murid!E326="","",Murid!E326)</f>
        <v/>
      </c>
      <c r="E326" s="11" t="n"/>
      <c r="F326" s="10">
        <f>IF(E326="","",IFERROR(VLOOKUP(E326,T_PERK,2,FALSE),0))</f>
        <v/>
      </c>
      <c r="G326" s="11" t="n"/>
      <c r="H326" s="10">
        <f>IF(G326="","",IFERROR(VLOOKUP(G326,T_ANUG,2,FALSE),0))</f>
        <v/>
      </c>
      <c r="I326" s="11" t="n"/>
      <c r="J326" s="11" t="n"/>
      <c r="K326" s="11" t="n"/>
      <c r="L326" s="11" t="n"/>
      <c r="M326" s="11" t="n"/>
      <c r="N326" s="11" t="n"/>
      <c r="O326" s="11" t="n"/>
      <c r="P326" s="10">
        <f>IF(COUNTA(I326:O326)=0,"",MIN(10,SUM(I326:O326)))</f>
        <v/>
      </c>
      <c r="Q326" s="11" t="n"/>
      <c r="R326" s="10">
        <f>IF(Q326="","",IFERROR(VLOOKUP(Q326,T_NILAM,2,FALSE),0))</f>
        <v/>
      </c>
      <c r="S326" s="11" t="n"/>
      <c r="T326" s="10">
        <f>IF(S326="","",IFERROR(VLOOKUP(S326,T_TIMSS,2,FALSE),0))</f>
        <v/>
      </c>
      <c r="U326" s="19">
        <f>IF(COUNT(F326,H326,P326,R326,T326)=0,"",MIN(10,MAX(F326,H326,P326,R326,T326)))</f>
        <v/>
      </c>
      <c r="V326" s="11" t="n"/>
    </row>
    <row r="327">
      <c r="A327" s="15">
        <f>Murid!A327</f>
        <v/>
      </c>
      <c r="B327" s="15">
        <f>IF(Murid!B327="","",Murid!B327)</f>
        <v/>
      </c>
      <c r="C327" s="16">
        <f>IF(Murid!C327="","",Murid!C327)</f>
        <v/>
      </c>
      <c r="D327" s="15">
        <f>IF(Murid!E327="","",Murid!E327)</f>
        <v/>
      </c>
      <c r="E327" s="11" t="n"/>
      <c r="F327" s="10">
        <f>IF(E327="","",IFERROR(VLOOKUP(E327,T_PERK,2,FALSE),0))</f>
        <v/>
      </c>
      <c r="G327" s="11" t="n"/>
      <c r="H327" s="10">
        <f>IF(G327="","",IFERROR(VLOOKUP(G327,T_ANUG,2,FALSE),0))</f>
        <v/>
      </c>
      <c r="I327" s="11" t="n"/>
      <c r="J327" s="11" t="n"/>
      <c r="K327" s="11" t="n"/>
      <c r="L327" s="11" t="n"/>
      <c r="M327" s="11" t="n"/>
      <c r="N327" s="11" t="n"/>
      <c r="O327" s="11" t="n"/>
      <c r="P327" s="10">
        <f>IF(COUNTA(I327:O327)=0,"",MIN(10,SUM(I327:O327)))</f>
        <v/>
      </c>
      <c r="Q327" s="11" t="n"/>
      <c r="R327" s="10">
        <f>IF(Q327="","",IFERROR(VLOOKUP(Q327,T_NILAM,2,FALSE),0))</f>
        <v/>
      </c>
      <c r="S327" s="11" t="n"/>
      <c r="T327" s="10">
        <f>IF(S327="","",IFERROR(VLOOKUP(S327,T_TIMSS,2,FALSE),0))</f>
        <v/>
      </c>
      <c r="U327" s="19">
        <f>IF(COUNT(F327,H327,P327,R327,T327)=0,"",MIN(10,MAX(F327,H327,P327,R327,T327)))</f>
        <v/>
      </c>
      <c r="V327" s="11" t="n"/>
    </row>
    <row r="328">
      <c r="A328" s="15">
        <f>Murid!A328</f>
        <v/>
      </c>
      <c r="B328" s="15">
        <f>IF(Murid!B328="","",Murid!B328)</f>
        <v/>
      </c>
      <c r="C328" s="16">
        <f>IF(Murid!C328="","",Murid!C328)</f>
        <v/>
      </c>
      <c r="D328" s="15">
        <f>IF(Murid!E328="","",Murid!E328)</f>
        <v/>
      </c>
      <c r="E328" s="11" t="n"/>
      <c r="F328" s="10">
        <f>IF(E328="","",IFERROR(VLOOKUP(E328,T_PERK,2,FALSE),0))</f>
        <v/>
      </c>
      <c r="G328" s="11" t="n"/>
      <c r="H328" s="10">
        <f>IF(G328="","",IFERROR(VLOOKUP(G328,T_ANUG,2,FALSE),0))</f>
        <v/>
      </c>
      <c r="I328" s="11" t="n"/>
      <c r="J328" s="11" t="n"/>
      <c r="K328" s="11" t="n"/>
      <c r="L328" s="11" t="n"/>
      <c r="M328" s="11" t="n"/>
      <c r="N328" s="11" t="n"/>
      <c r="O328" s="11" t="n"/>
      <c r="P328" s="10">
        <f>IF(COUNTA(I328:O328)=0,"",MIN(10,SUM(I328:O328)))</f>
        <v/>
      </c>
      <c r="Q328" s="11" t="n"/>
      <c r="R328" s="10">
        <f>IF(Q328="","",IFERROR(VLOOKUP(Q328,T_NILAM,2,FALSE),0))</f>
        <v/>
      </c>
      <c r="S328" s="11" t="n"/>
      <c r="T328" s="10">
        <f>IF(S328="","",IFERROR(VLOOKUP(S328,T_TIMSS,2,FALSE),0))</f>
        <v/>
      </c>
      <c r="U328" s="19">
        <f>IF(COUNT(F328,H328,P328,R328,T328)=0,"",MIN(10,MAX(F328,H328,P328,R328,T328)))</f>
        <v/>
      </c>
      <c r="V328" s="11" t="n"/>
    </row>
    <row r="329">
      <c r="A329" s="15">
        <f>Murid!A329</f>
        <v/>
      </c>
      <c r="B329" s="15">
        <f>IF(Murid!B329="","",Murid!B329)</f>
        <v/>
      </c>
      <c r="C329" s="16">
        <f>IF(Murid!C329="","",Murid!C329)</f>
        <v/>
      </c>
      <c r="D329" s="15">
        <f>IF(Murid!E329="","",Murid!E329)</f>
        <v/>
      </c>
      <c r="E329" s="11" t="n"/>
      <c r="F329" s="10">
        <f>IF(E329="","",IFERROR(VLOOKUP(E329,T_PERK,2,FALSE),0))</f>
        <v/>
      </c>
      <c r="G329" s="11" t="n"/>
      <c r="H329" s="10">
        <f>IF(G329="","",IFERROR(VLOOKUP(G329,T_ANUG,2,FALSE),0))</f>
        <v/>
      </c>
      <c r="I329" s="11" t="n"/>
      <c r="J329" s="11" t="n"/>
      <c r="K329" s="11" t="n"/>
      <c r="L329" s="11" t="n"/>
      <c r="M329" s="11" t="n"/>
      <c r="N329" s="11" t="n"/>
      <c r="O329" s="11" t="n"/>
      <c r="P329" s="10">
        <f>IF(COUNTA(I329:O329)=0,"",MIN(10,SUM(I329:O329)))</f>
        <v/>
      </c>
      <c r="Q329" s="11" t="n"/>
      <c r="R329" s="10">
        <f>IF(Q329="","",IFERROR(VLOOKUP(Q329,T_NILAM,2,FALSE),0))</f>
        <v/>
      </c>
      <c r="S329" s="11" t="n"/>
      <c r="T329" s="10">
        <f>IF(S329="","",IFERROR(VLOOKUP(S329,T_TIMSS,2,FALSE),0))</f>
        <v/>
      </c>
      <c r="U329" s="19">
        <f>IF(COUNT(F329,H329,P329,R329,T329)=0,"",MIN(10,MAX(F329,H329,P329,R329,T329)))</f>
        <v/>
      </c>
      <c r="V329" s="11" t="n"/>
    </row>
    <row r="330">
      <c r="A330" s="15">
        <f>Murid!A330</f>
        <v/>
      </c>
      <c r="B330" s="15">
        <f>IF(Murid!B330="","",Murid!B330)</f>
        <v/>
      </c>
      <c r="C330" s="16">
        <f>IF(Murid!C330="","",Murid!C330)</f>
        <v/>
      </c>
      <c r="D330" s="15">
        <f>IF(Murid!E330="","",Murid!E330)</f>
        <v/>
      </c>
      <c r="E330" s="11" t="n"/>
      <c r="F330" s="10">
        <f>IF(E330="","",IFERROR(VLOOKUP(E330,T_PERK,2,FALSE),0))</f>
        <v/>
      </c>
      <c r="G330" s="11" t="n"/>
      <c r="H330" s="10">
        <f>IF(G330="","",IFERROR(VLOOKUP(G330,T_ANUG,2,FALSE),0))</f>
        <v/>
      </c>
      <c r="I330" s="11" t="n"/>
      <c r="J330" s="11" t="n"/>
      <c r="K330" s="11" t="n"/>
      <c r="L330" s="11" t="n"/>
      <c r="M330" s="11" t="n"/>
      <c r="N330" s="11" t="n"/>
      <c r="O330" s="11" t="n"/>
      <c r="P330" s="10">
        <f>IF(COUNTA(I330:O330)=0,"",MIN(10,SUM(I330:O330)))</f>
        <v/>
      </c>
      <c r="Q330" s="11" t="n"/>
      <c r="R330" s="10">
        <f>IF(Q330="","",IFERROR(VLOOKUP(Q330,T_NILAM,2,FALSE),0))</f>
        <v/>
      </c>
      <c r="S330" s="11" t="n"/>
      <c r="T330" s="10">
        <f>IF(S330="","",IFERROR(VLOOKUP(S330,T_TIMSS,2,FALSE),0))</f>
        <v/>
      </c>
      <c r="U330" s="19">
        <f>IF(COUNT(F330,H330,P330,R330,T330)=0,"",MIN(10,MAX(F330,H330,P330,R330,T330)))</f>
        <v/>
      </c>
      <c r="V330" s="11" t="n"/>
    </row>
    <row r="331">
      <c r="A331" s="15">
        <f>Murid!A331</f>
        <v/>
      </c>
      <c r="B331" s="15">
        <f>IF(Murid!B331="","",Murid!B331)</f>
        <v/>
      </c>
      <c r="C331" s="16">
        <f>IF(Murid!C331="","",Murid!C331)</f>
        <v/>
      </c>
      <c r="D331" s="15">
        <f>IF(Murid!E331="","",Murid!E331)</f>
        <v/>
      </c>
      <c r="E331" s="11" t="n"/>
      <c r="F331" s="10">
        <f>IF(E331="","",IFERROR(VLOOKUP(E331,T_PERK,2,FALSE),0))</f>
        <v/>
      </c>
      <c r="G331" s="11" t="n"/>
      <c r="H331" s="10">
        <f>IF(G331="","",IFERROR(VLOOKUP(G331,T_ANUG,2,FALSE),0))</f>
        <v/>
      </c>
      <c r="I331" s="11" t="n"/>
      <c r="J331" s="11" t="n"/>
      <c r="K331" s="11" t="n"/>
      <c r="L331" s="11" t="n"/>
      <c r="M331" s="11" t="n"/>
      <c r="N331" s="11" t="n"/>
      <c r="O331" s="11" t="n"/>
      <c r="P331" s="10">
        <f>IF(COUNTA(I331:O331)=0,"",MIN(10,SUM(I331:O331)))</f>
        <v/>
      </c>
      <c r="Q331" s="11" t="n"/>
      <c r="R331" s="10">
        <f>IF(Q331="","",IFERROR(VLOOKUP(Q331,T_NILAM,2,FALSE),0))</f>
        <v/>
      </c>
      <c r="S331" s="11" t="n"/>
      <c r="T331" s="10">
        <f>IF(S331="","",IFERROR(VLOOKUP(S331,T_TIMSS,2,FALSE),0))</f>
        <v/>
      </c>
      <c r="U331" s="19">
        <f>IF(COUNT(F331,H331,P331,R331,T331)=0,"",MIN(10,MAX(F331,H331,P331,R331,T331)))</f>
        <v/>
      </c>
      <c r="V331" s="11" t="n"/>
    </row>
    <row r="332">
      <c r="A332" s="15">
        <f>Murid!A332</f>
        <v/>
      </c>
      <c r="B332" s="15">
        <f>IF(Murid!B332="","",Murid!B332)</f>
        <v/>
      </c>
      <c r="C332" s="16">
        <f>IF(Murid!C332="","",Murid!C332)</f>
        <v/>
      </c>
      <c r="D332" s="15">
        <f>IF(Murid!E332="","",Murid!E332)</f>
        <v/>
      </c>
      <c r="E332" s="11" t="n"/>
      <c r="F332" s="10">
        <f>IF(E332="","",IFERROR(VLOOKUP(E332,T_PERK,2,FALSE),0))</f>
        <v/>
      </c>
      <c r="G332" s="11" t="n"/>
      <c r="H332" s="10">
        <f>IF(G332="","",IFERROR(VLOOKUP(G332,T_ANUG,2,FALSE),0))</f>
        <v/>
      </c>
      <c r="I332" s="11" t="n"/>
      <c r="J332" s="11" t="n"/>
      <c r="K332" s="11" t="n"/>
      <c r="L332" s="11" t="n"/>
      <c r="M332" s="11" t="n"/>
      <c r="N332" s="11" t="n"/>
      <c r="O332" s="11" t="n"/>
      <c r="P332" s="10">
        <f>IF(COUNTA(I332:O332)=0,"",MIN(10,SUM(I332:O332)))</f>
        <v/>
      </c>
      <c r="Q332" s="11" t="n"/>
      <c r="R332" s="10">
        <f>IF(Q332="","",IFERROR(VLOOKUP(Q332,T_NILAM,2,FALSE),0))</f>
        <v/>
      </c>
      <c r="S332" s="11" t="n"/>
      <c r="T332" s="10">
        <f>IF(S332="","",IFERROR(VLOOKUP(S332,T_TIMSS,2,FALSE),0))</f>
        <v/>
      </c>
      <c r="U332" s="19">
        <f>IF(COUNT(F332,H332,P332,R332,T332)=0,"",MIN(10,MAX(F332,H332,P332,R332,T332)))</f>
        <v/>
      </c>
      <c r="V332" s="11" t="n"/>
    </row>
    <row r="333">
      <c r="A333" s="15">
        <f>Murid!A333</f>
        <v/>
      </c>
      <c r="B333" s="15">
        <f>IF(Murid!B333="","",Murid!B333)</f>
        <v/>
      </c>
      <c r="C333" s="16">
        <f>IF(Murid!C333="","",Murid!C333)</f>
        <v/>
      </c>
      <c r="D333" s="15">
        <f>IF(Murid!E333="","",Murid!E333)</f>
        <v/>
      </c>
      <c r="E333" s="11" t="n"/>
      <c r="F333" s="10">
        <f>IF(E333="","",IFERROR(VLOOKUP(E333,T_PERK,2,FALSE),0))</f>
        <v/>
      </c>
      <c r="G333" s="11" t="n"/>
      <c r="H333" s="10">
        <f>IF(G333="","",IFERROR(VLOOKUP(G333,T_ANUG,2,FALSE),0))</f>
        <v/>
      </c>
      <c r="I333" s="11" t="n"/>
      <c r="J333" s="11" t="n"/>
      <c r="K333" s="11" t="n"/>
      <c r="L333" s="11" t="n"/>
      <c r="M333" s="11" t="n"/>
      <c r="N333" s="11" t="n"/>
      <c r="O333" s="11" t="n"/>
      <c r="P333" s="10">
        <f>IF(COUNTA(I333:O333)=0,"",MIN(10,SUM(I333:O333)))</f>
        <v/>
      </c>
      <c r="Q333" s="11" t="n"/>
      <c r="R333" s="10">
        <f>IF(Q333="","",IFERROR(VLOOKUP(Q333,T_NILAM,2,FALSE),0))</f>
        <v/>
      </c>
      <c r="S333" s="11" t="n"/>
      <c r="T333" s="10">
        <f>IF(S333="","",IFERROR(VLOOKUP(S333,T_TIMSS,2,FALSE),0))</f>
        <v/>
      </c>
      <c r="U333" s="19">
        <f>IF(COUNT(F333,H333,P333,R333,T333)=0,"",MIN(10,MAX(F333,H333,P333,R333,T333)))</f>
        <v/>
      </c>
      <c r="V333" s="11" t="n"/>
    </row>
    <row r="334">
      <c r="A334" s="15">
        <f>Murid!A334</f>
        <v/>
      </c>
      <c r="B334" s="15">
        <f>IF(Murid!B334="","",Murid!B334)</f>
        <v/>
      </c>
      <c r="C334" s="16">
        <f>IF(Murid!C334="","",Murid!C334)</f>
        <v/>
      </c>
      <c r="D334" s="15">
        <f>IF(Murid!E334="","",Murid!E334)</f>
        <v/>
      </c>
      <c r="E334" s="11" t="n"/>
      <c r="F334" s="10">
        <f>IF(E334="","",IFERROR(VLOOKUP(E334,T_PERK,2,FALSE),0))</f>
        <v/>
      </c>
      <c r="G334" s="11" t="n"/>
      <c r="H334" s="10">
        <f>IF(G334="","",IFERROR(VLOOKUP(G334,T_ANUG,2,FALSE),0))</f>
        <v/>
      </c>
      <c r="I334" s="11" t="n"/>
      <c r="J334" s="11" t="n"/>
      <c r="K334" s="11" t="n"/>
      <c r="L334" s="11" t="n"/>
      <c r="M334" s="11" t="n"/>
      <c r="N334" s="11" t="n"/>
      <c r="O334" s="11" t="n"/>
      <c r="P334" s="10">
        <f>IF(COUNTA(I334:O334)=0,"",MIN(10,SUM(I334:O334)))</f>
        <v/>
      </c>
      <c r="Q334" s="11" t="n"/>
      <c r="R334" s="10">
        <f>IF(Q334="","",IFERROR(VLOOKUP(Q334,T_NILAM,2,FALSE),0))</f>
        <v/>
      </c>
      <c r="S334" s="11" t="n"/>
      <c r="T334" s="10">
        <f>IF(S334="","",IFERROR(VLOOKUP(S334,T_TIMSS,2,FALSE),0))</f>
        <v/>
      </c>
      <c r="U334" s="19">
        <f>IF(COUNT(F334,H334,P334,R334,T334)=0,"",MIN(10,MAX(F334,H334,P334,R334,T334)))</f>
        <v/>
      </c>
      <c r="V334" s="11" t="n"/>
    </row>
    <row r="335">
      <c r="A335" s="15">
        <f>Murid!A335</f>
        <v/>
      </c>
      <c r="B335" s="15">
        <f>IF(Murid!B335="","",Murid!B335)</f>
        <v/>
      </c>
      <c r="C335" s="16">
        <f>IF(Murid!C335="","",Murid!C335)</f>
        <v/>
      </c>
      <c r="D335" s="15">
        <f>IF(Murid!E335="","",Murid!E335)</f>
        <v/>
      </c>
      <c r="E335" s="11" t="n"/>
      <c r="F335" s="10">
        <f>IF(E335="","",IFERROR(VLOOKUP(E335,T_PERK,2,FALSE),0))</f>
        <v/>
      </c>
      <c r="G335" s="11" t="n"/>
      <c r="H335" s="10">
        <f>IF(G335="","",IFERROR(VLOOKUP(G335,T_ANUG,2,FALSE),0))</f>
        <v/>
      </c>
      <c r="I335" s="11" t="n"/>
      <c r="J335" s="11" t="n"/>
      <c r="K335" s="11" t="n"/>
      <c r="L335" s="11" t="n"/>
      <c r="M335" s="11" t="n"/>
      <c r="N335" s="11" t="n"/>
      <c r="O335" s="11" t="n"/>
      <c r="P335" s="10">
        <f>IF(COUNTA(I335:O335)=0,"",MIN(10,SUM(I335:O335)))</f>
        <v/>
      </c>
      <c r="Q335" s="11" t="n"/>
      <c r="R335" s="10">
        <f>IF(Q335="","",IFERROR(VLOOKUP(Q335,T_NILAM,2,FALSE),0))</f>
        <v/>
      </c>
      <c r="S335" s="11" t="n"/>
      <c r="T335" s="10">
        <f>IF(S335="","",IFERROR(VLOOKUP(S335,T_TIMSS,2,FALSE),0))</f>
        <v/>
      </c>
      <c r="U335" s="19">
        <f>IF(COUNT(F335,H335,P335,R335,T335)=0,"",MIN(10,MAX(F335,H335,P335,R335,T335)))</f>
        <v/>
      </c>
      <c r="V335" s="11" t="n"/>
    </row>
    <row r="336">
      <c r="A336" s="15">
        <f>Murid!A336</f>
        <v/>
      </c>
      <c r="B336" s="15">
        <f>IF(Murid!B336="","",Murid!B336)</f>
        <v/>
      </c>
      <c r="C336" s="16">
        <f>IF(Murid!C336="","",Murid!C336)</f>
        <v/>
      </c>
      <c r="D336" s="15">
        <f>IF(Murid!E336="","",Murid!E336)</f>
        <v/>
      </c>
      <c r="E336" s="11" t="n"/>
      <c r="F336" s="10">
        <f>IF(E336="","",IFERROR(VLOOKUP(E336,T_PERK,2,FALSE),0))</f>
        <v/>
      </c>
      <c r="G336" s="11" t="n"/>
      <c r="H336" s="10">
        <f>IF(G336="","",IFERROR(VLOOKUP(G336,T_ANUG,2,FALSE),0))</f>
        <v/>
      </c>
      <c r="I336" s="11" t="n"/>
      <c r="J336" s="11" t="n"/>
      <c r="K336" s="11" t="n"/>
      <c r="L336" s="11" t="n"/>
      <c r="M336" s="11" t="n"/>
      <c r="N336" s="11" t="n"/>
      <c r="O336" s="11" t="n"/>
      <c r="P336" s="10">
        <f>IF(COUNTA(I336:O336)=0,"",MIN(10,SUM(I336:O336)))</f>
        <v/>
      </c>
      <c r="Q336" s="11" t="n"/>
      <c r="R336" s="10">
        <f>IF(Q336="","",IFERROR(VLOOKUP(Q336,T_NILAM,2,FALSE),0))</f>
        <v/>
      </c>
      <c r="S336" s="11" t="n"/>
      <c r="T336" s="10">
        <f>IF(S336="","",IFERROR(VLOOKUP(S336,T_TIMSS,2,FALSE),0))</f>
        <v/>
      </c>
      <c r="U336" s="19">
        <f>IF(COUNT(F336,H336,P336,R336,T336)=0,"",MIN(10,MAX(F336,H336,P336,R336,T336)))</f>
        <v/>
      </c>
      <c r="V336" s="11" t="n"/>
    </row>
    <row r="337">
      <c r="A337" s="15">
        <f>Murid!A337</f>
        <v/>
      </c>
      <c r="B337" s="15">
        <f>IF(Murid!B337="","",Murid!B337)</f>
        <v/>
      </c>
      <c r="C337" s="16">
        <f>IF(Murid!C337="","",Murid!C337)</f>
        <v/>
      </c>
      <c r="D337" s="15">
        <f>IF(Murid!E337="","",Murid!E337)</f>
        <v/>
      </c>
      <c r="E337" s="11" t="n"/>
      <c r="F337" s="10">
        <f>IF(E337="","",IFERROR(VLOOKUP(E337,T_PERK,2,FALSE),0))</f>
        <v/>
      </c>
      <c r="G337" s="11" t="n"/>
      <c r="H337" s="10">
        <f>IF(G337="","",IFERROR(VLOOKUP(G337,T_ANUG,2,FALSE),0))</f>
        <v/>
      </c>
      <c r="I337" s="11" t="n"/>
      <c r="J337" s="11" t="n"/>
      <c r="K337" s="11" t="n"/>
      <c r="L337" s="11" t="n"/>
      <c r="M337" s="11" t="n"/>
      <c r="N337" s="11" t="n"/>
      <c r="O337" s="11" t="n"/>
      <c r="P337" s="10">
        <f>IF(COUNTA(I337:O337)=0,"",MIN(10,SUM(I337:O337)))</f>
        <v/>
      </c>
      <c r="Q337" s="11" t="n"/>
      <c r="R337" s="10">
        <f>IF(Q337="","",IFERROR(VLOOKUP(Q337,T_NILAM,2,FALSE),0))</f>
        <v/>
      </c>
      <c r="S337" s="11" t="n"/>
      <c r="T337" s="10">
        <f>IF(S337="","",IFERROR(VLOOKUP(S337,T_TIMSS,2,FALSE),0))</f>
        <v/>
      </c>
      <c r="U337" s="19">
        <f>IF(COUNT(F337,H337,P337,R337,T337)=0,"",MIN(10,MAX(F337,H337,P337,R337,T337)))</f>
        <v/>
      </c>
      <c r="V337" s="11" t="n"/>
    </row>
    <row r="338">
      <c r="A338" s="15">
        <f>Murid!A338</f>
        <v/>
      </c>
      <c r="B338" s="15">
        <f>IF(Murid!B338="","",Murid!B338)</f>
        <v/>
      </c>
      <c r="C338" s="16">
        <f>IF(Murid!C338="","",Murid!C338)</f>
        <v/>
      </c>
      <c r="D338" s="15">
        <f>IF(Murid!E338="","",Murid!E338)</f>
        <v/>
      </c>
      <c r="E338" s="11" t="n"/>
      <c r="F338" s="10">
        <f>IF(E338="","",IFERROR(VLOOKUP(E338,T_PERK,2,FALSE),0))</f>
        <v/>
      </c>
      <c r="G338" s="11" t="n"/>
      <c r="H338" s="10">
        <f>IF(G338="","",IFERROR(VLOOKUP(G338,T_ANUG,2,FALSE),0))</f>
        <v/>
      </c>
      <c r="I338" s="11" t="n"/>
      <c r="J338" s="11" t="n"/>
      <c r="K338" s="11" t="n"/>
      <c r="L338" s="11" t="n"/>
      <c r="M338" s="11" t="n"/>
      <c r="N338" s="11" t="n"/>
      <c r="O338" s="11" t="n"/>
      <c r="P338" s="10">
        <f>IF(COUNTA(I338:O338)=0,"",MIN(10,SUM(I338:O338)))</f>
        <v/>
      </c>
      <c r="Q338" s="11" t="n"/>
      <c r="R338" s="10">
        <f>IF(Q338="","",IFERROR(VLOOKUP(Q338,T_NILAM,2,FALSE),0))</f>
        <v/>
      </c>
      <c r="S338" s="11" t="n"/>
      <c r="T338" s="10">
        <f>IF(S338="","",IFERROR(VLOOKUP(S338,T_TIMSS,2,FALSE),0))</f>
        <v/>
      </c>
      <c r="U338" s="19">
        <f>IF(COUNT(F338,H338,P338,R338,T338)=0,"",MIN(10,MAX(F338,H338,P338,R338,T338)))</f>
        <v/>
      </c>
      <c r="V338" s="11" t="n"/>
    </row>
    <row r="339">
      <c r="A339" s="15">
        <f>Murid!A339</f>
        <v/>
      </c>
      <c r="B339" s="15">
        <f>IF(Murid!B339="","",Murid!B339)</f>
        <v/>
      </c>
      <c r="C339" s="16">
        <f>IF(Murid!C339="","",Murid!C339)</f>
        <v/>
      </c>
      <c r="D339" s="15">
        <f>IF(Murid!E339="","",Murid!E339)</f>
        <v/>
      </c>
      <c r="E339" s="11" t="n"/>
      <c r="F339" s="10">
        <f>IF(E339="","",IFERROR(VLOOKUP(E339,T_PERK,2,FALSE),0))</f>
        <v/>
      </c>
      <c r="G339" s="11" t="n"/>
      <c r="H339" s="10">
        <f>IF(G339="","",IFERROR(VLOOKUP(G339,T_ANUG,2,FALSE),0))</f>
        <v/>
      </c>
      <c r="I339" s="11" t="n"/>
      <c r="J339" s="11" t="n"/>
      <c r="K339" s="11" t="n"/>
      <c r="L339" s="11" t="n"/>
      <c r="M339" s="11" t="n"/>
      <c r="N339" s="11" t="n"/>
      <c r="O339" s="11" t="n"/>
      <c r="P339" s="10">
        <f>IF(COUNTA(I339:O339)=0,"",MIN(10,SUM(I339:O339)))</f>
        <v/>
      </c>
      <c r="Q339" s="11" t="n"/>
      <c r="R339" s="10">
        <f>IF(Q339="","",IFERROR(VLOOKUP(Q339,T_NILAM,2,FALSE),0))</f>
        <v/>
      </c>
      <c r="S339" s="11" t="n"/>
      <c r="T339" s="10">
        <f>IF(S339="","",IFERROR(VLOOKUP(S339,T_TIMSS,2,FALSE),0))</f>
        <v/>
      </c>
      <c r="U339" s="19">
        <f>IF(COUNT(F339,H339,P339,R339,T339)=0,"",MIN(10,MAX(F339,H339,P339,R339,T339)))</f>
        <v/>
      </c>
      <c r="V339" s="11" t="n"/>
    </row>
    <row r="340">
      <c r="A340" s="15">
        <f>Murid!A340</f>
        <v/>
      </c>
      <c r="B340" s="15">
        <f>IF(Murid!B340="","",Murid!B340)</f>
        <v/>
      </c>
      <c r="C340" s="16">
        <f>IF(Murid!C340="","",Murid!C340)</f>
        <v/>
      </c>
      <c r="D340" s="15">
        <f>IF(Murid!E340="","",Murid!E340)</f>
        <v/>
      </c>
      <c r="E340" s="11" t="n"/>
      <c r="F340" s="10">
        <f>IF(E340="","",IFERROR(VLOOKUP(E340,T_PERK,2,FALSE),0))</f>
        <v/>
      </c>
      <c r="G340" s="11" t="n"/>
      <c r="H340" s="10">
        <f>IF(G340="","",IFERROR(VLOOKUP(G340,T_ANUG,2,FALSE),0))</f>
        <v/>
      </c>
      <c r="I340" s="11" t="n"/>
      <c r="J340" s="11" t="n"/>
      <c r="K340" s="11" t="n"/>
      <c r="L340" s="11" t="n"/>
      <c r="M340" s="11" t="n"/>
      <c r="N340" s="11" t="n"/>
      <c r="O340" s="11" t="n"/>
      <c r="P340" s="10">
        <f>IF(COUNTA(I340:O340)=0,"",MIN(10,SUM(I340:O340)))</f>
        <v/>
      </c>
      <c r="Q340" s="11" t="n"/>
      <c r="R340" s="10">
        <f>IF(Q340="","",IFERROR(VLOOKUP(Q340,T_NILAM,2,FALSE),0))</f>
        <v/>
      </c>
      <c r="S340" s="11" t="n"/>
      <c r="T340" s="10">
        <f>IF(S340="","",IFERROR(VLOOKUP(S340,T_TIMSS,2,FALSE),0))</f>
        <v/>
      </c>
      <c r="U340" s="19">
        <f>IF(COUNT(F340,H340,P340,R340,T340)=0,"",MIN(10,MAX(F340,H340,P340,R340,T340)))</f>
        <v/>
      </c>
      <c r="V340" s="11" t="n"/>
    </row>
    <row r="341">
      <c r="A341" s="15">
        <f>Murid!A341</f>
        <v/>
      </c>
      <c r="B341" s="15">
        <f>IF(Murid!B341="","",Murid!B341)</f>
        <v/>
      </c>
      <c r="C341" s="16">
        <f>IF(Murid!C341="","",Murid!C341)</f>
        <v/>
      </c>
      <c r="D341" s="15">
        <f>IF(Murid!E341="","",Murid!E341)</f>
        <v/>
      </c>
      <c r="E341" s="11" t="n"/>
      <c r="F341" s="10">
        <f>IF(E341="","",IFERROR(VLOOKUP(E341,T_PERK,2,FALSE),0))</f>
        <v/>
      </c>
      <c r="G341" s="11" t="n"/>
      <c r="H341" s="10">
        <f>IF(G341="","",IFERROR(VLOOKUP(G341,T_ANUG,2,FALSE),0))</f>
        <v/>
      </c>
      <c r="I341" s="11" t="n"/>
      <c r="J341" s="11" t="n"/>
      <c r="K341" s="11" t="n"/>
      <c r="L341" s="11" t="n"/>
      <c r="M341" s="11" t="n"/>
      <c r="N341" s="11" t="n"/>
      <c r="O341" s="11" t="n"/>
      <c r="P341" s="10">
        <f>IF(COUNTA(I341:O341)=0,"",MIN(10,SUM(I341:O341)))</f>
        <v/>
      </c>
      <c r="Q341" s="11" t="n"/>
      <c r="R341" s="10">
        <f>IF(Q341="","",IFERROR(VLOOKUP(Q341,T_NILAM,2,FALSE),0))</f>
        <v/>
      </c>
      <c r="S341" s="11" t="n"/>
      <c r="T341" s="10">
        <f>IF(S341="","",IFERROR(VLOOKUP(S341,T_TIMSS,2,FALSE),0))</f>
        <v/>
      </c>
      <c r="U341" s="19">
        <f>IF(COUNT(F341,H341,P341,R341,T341)=0,"",MIN(10,MAX(F341,H341,P341,R341,T341)))</f>
        <v/>
      </c>
      <c r="V341" s="11" t="n"/>
    </row>
    <row r="342">
      <c r="A342" s="15">
        <f>Murid!A342</f>
        <v/>
      </c>
      <c r="B342" s="15">
        <f>IF(Murid!B342="","",Murid!B342)</f>
        <v/>
      </c>
      <c r="C342" s="16">
        <f>IF(Murid!C342="","",Murid!C342)</f>
        <v/>
      </c>
      <c r="D342" s="15">
        <f>IF(Murid!E342="","",Murid!E342)</f>
        <v/>
      </c>
      <c r="E342" s="11" t="n"/>
      <c r="F342" s="10">
        <f>IF(E342="","",IFERROR(VLOOKUP(E342,T_PERK,2,FALSE),0))</f>
        <v/>
      </c>
      <c r="G342" s="11" t="n"/>
      <c r="H342" s="10">
        <f>IF(G342="","",IFERROR(VLOOKUP(G342,T_ANUG,2,FALSE),0))</f>
        <v/>
      </c>
      <c r="I342" s="11" t="n"/>
      <c r="J342" s="11" t="n"/>
      <c r="K342" s="11" t="n"/>
      <c r="L342" s="11" t="n"/>
      <c r="M342" s="11" t="n"/>
      <c r="N342" s="11" t="n"/>
      <c r="O342" s="11" t="n"/>
      <c r="P342" s="10">
        <f>IF(COUNTA(I342:O342)=0,"",MIN(10,SUM(I342:O342)))</f>
        <v/>
      </c>
      <c r="Q342" s="11" t="n"/>
      <c r="R342" s="10">
        <f>IF(Q342="","",IFERROR(VLOOKUP(Q342,T_NILAM,2,FALSE),0))</f>
        <v/>
      </c>
      <c r="S342" s="11" t="n"/>
      <c r="T342" s="10">
        <f>IF(S342="","",IFERROR(VLOOKUP(S342,T_TIMSS,2,FALSE),0))</f>
        <v/>
      </c>
      <c r="U342" s="19">
        <f>IF(COUNT(F342,H342,P342,R342,T342)=0,"",MIN(10,MAX(F342,H342,P342,R342,T342)))</f>
        <v/>
      </c>
      <c r="V342" s="11" t="n"/>
    </row>
    <row r="343">
      <c r="A343" s="15">
        <f>Murid!A343</f>
        <v/>
      </c>
      <c r="B343" s="15">
        <f>IF(Murid!B343="","",Murid!B343)</f>
        <v/>
      </c>
      <c r="C343" s="16">
        <f>IF(Murid!C343="","",Murid!C343)</f>
        <v/>
      </c>
      <c r="D343" s="15">
        <f>IF(Murid!E343="","",Murid!E343)</f>
        <v/>
      </c>
      <c r="E343" s="11" t="n"/>
      <c r="F343" s="10">
        <f>IF(E343="","",IFERROR(VLOOKUP(E343,T_PERK,2,FALSE),0))</f>
        <v/>
      </c>
      <c r="G343" s="11" t="n"/>
      <c r="H343" s="10">
        <f>IF(G343="","",IFERROR(VLOOKUP(G343,T_ANUG,2,FALSE),0))</f>
        <v/>
      </c>
      <c r="I343" s="11" t="n"/>
      <c r="J343" s="11" t="n"/>
      <c r="K343" s="11" t="n"/>
      <c r="L343" s="11" t="n"/>
      <c r="M343" s="11" t="n"/>
      <c r="N343" s="11" t="n"/>
      <c r="O343" s="11" t="n"/>
      <c r="P343" s="10">
        <f>IF(COUNTA(I343:O343)=0,"",MIN(10,SUM(I343:O343)))</f>
        <v/>
      </c>
      <c r="Q343" s="11" t="n"/>
      <c r="R343" s="10">
        <f>IF(Q343="","",IFERROR(VLOOKUP(Q343,T_NILAM,2,FALSE),0))</f>
        <v/>
      </c>
      <c r="S343" s="11" t="n"/>
      <c r="T343" s="10">
        <f>IF(S343="","",IFERROR(VLOOKUP(S343,T_TIMSS,2,FALSE),0))</f>
        <v/>
      </c>
      <c r="U343" s="19">
        <f>IF(COUNT(F343,H343,P343,R343,T343)=0,"",MIN(10,MAX(F343,H343,P343,R343,T343)))</f>
        <v/>
      </c>
      <c r="V343" s="11" t="n"/>
    </row>
    <row r="344">
      <c r="A344" s="15">
        <f>Murid!A344</f>
        <v/>
      </c>
      <c r="B344" s="15">
        <f>IF(Murid!B344="","",Murid!B344)</f>
        <v/>
      </c>
      <c r="C344" s="16">
        <f>IF(Murid!C344="","",Murid!C344)</f>
        <v/>
      </c>
      <c r="D344" s="15">
        <f>IF(Murid!E344="","",Murid!E344)</f>
        <v/>
      </c>
      <c r="E344" s="11" t="n"/>
      <c r="F344" s="10">
        <f>IF(E344="","",IFERROR(VLOOKUP(E344,T_PERK,2,FALSE),0))</f>
        <v/>
      </c>
      <c r="G344" s="11" t="n"/>
      <c r="H344" s="10">
        <f>IF(G344="","",IFERROR(VLOOKUP(G344,T_ANUG,2,FALSE),0))</f>
        <v/>
      </c>
      <c r="I344" s="11" t="n"/>
      <c r="J344" s="11" t="n"/>
      <c r="K344" s="11" t="n"/>
      <c r="L344" s="11" t="n"/>
      <c r="M344" s="11" t="n"/>
      <c r="N344" s="11" t="n"/>
      <c r="O344" s="11" t="n"/>
      <c r="P344" s="10">
        <f>IF(COUNTA(I344:O344)=0,"",MIN(10,SUM(I344:O344)))</f>
        <v/>
      </c>
      <c r="Q344" s="11" t="n"/>
      <c r="R344" s="10">
        <f>IF(Q344="","",IFERROR(VLOOKUP(Q344,T_NILAM,2,FALSE),0))</f>
        <v/>
      </c>
      <c r="S344" s="11" t="n"/>
      <c r="T344" s="10">
        <f>IF(S344="","",IFERROR(VLOOKUP(S344,T_TIMSS,2,FALSE),0))</f>
        <v/>
      </c>
      <c r="U344" s="19">
        <f>IF(COUNT(F344,H344,P344,R344,T344)=0,"",MIN(10,MAX(F344,H344,P344,R344,T344)))</f>
        <v/>
      </c>
      <c r="V344" s="11" t="n"/>
    </row>
    <row r="345">
      <c r="A345" s="15">
        <f>Murid!A345</f>
        <v/>
      </c>
      <c r="B345" s="15">
        <f>IF(Murid!B345="","",Murid!B345)</f>
        <v/>
      </c>
      <c r="C345" s="16">
        <f>IF(Murid!C345="","",Murid!C345)</f>
        <v/>
      </c>
      <c r="D345" s="15">
        <f>IF(Murid!E345="","",Murid!E345)</f>
        <v/>
      </c>
      <c r="E345" s="11" t="n"/>
      <c r="F345" s="10">
        <f>IF(E345="","",IFERROR(VLOOKUP(E345,T_PERK,2,FALSE),0))</f>
        <v/>
      </c>
      <c r="G345" s="11" t="n"/>
      <c r="H345" s="10">
        <f>IF(G345="","",IFERROR(VLOOKUP(G345,T_ANUG,2,FALSE),0))</f>
        <v/>
      </c>
      <c r="I345" s="11" t="n"/>
      <c r="J345" s="11" t="n"/>
      <c r="K345" s="11" t="n"/>
      <c r="L345" s="11" t="n"/>
      <c r="M345" s="11" t="n"/>
      <c r="N345" s="11" t="n"/>
      <c r="O345" s="11" t="n"/>
      <c r="P345" s="10">
        <f>IF(COUNTA(I345:O345)=0,"",MIN(10,SUM(I345:O345)))</f>
        <v/>
      </c>
      <c r="Q345" s="11" t="n"/>
      <c r="R345" s="10">
        <f>IF(Q345="","",IFERROR(VLOOKUP(Q345,T_NILAM,2,FALSE),0))</f>
        <v/>
      </c>
      <c r="S345" s="11" t="n"/>
      <c r="T345" s="10">
        <f>IF(S345="","",IFERROR(VLOOKUP(S345,T_TIMSS,2,FALSE),0))</f>
        <v/>
      </c>
      <c r="U345" s="19">
        <f>IF(COUNT(F345,H345,P345,R345,T345)=0,"",MIN(10,MAX(F345,H345,P345,R345,T345)))</f>
        <v/>
      </c>
      <c r="V345" s="11" t="n"/>
    </row>
    <row r="346">
      <c r="A346" s="15">
        <f>Murid!A346</f>
        <v/>
      </c>
      <c r="B346" s="15">
        <f>IF(Murid!B346="","",Murid!B346)</f>
        <v/>
      </c>
      <c r="C346" s="16">
        <f>IF(Murid!C346="","",Murid!C346)</f>
        <v/>
      </c>
      <c r="D346" s="15">
        <f>IF(Murid!E346="","",Murid!E346)</f>
        <v/>
      </c>
      <c r="E346" s="11" t="n"/>
      <c r="F346" s="10">
        <f>IF(E346="","",IFERROR(VLOOKUP(E346,T_PERK,2,FALSE),0))</f>
        <v/>
      </c>
      <c r="G346" s="11" t="n"/>
      <c r="H346" s="10">
        <f>IF(G346="","",IFERROR(VLOOKUP(G346,T_ANUG,2,FALSE),0))</f>
        <v/>
      </c>
      <c r="I346" s="11" t="n"/>
      <c r="J346" s="11" t="n"/>
      <c r="K346" s="11" t="n"/>
      <c r="L346" s="11" t="n"/>
      <c r="M346" s="11" t="n"/>
      <c r="N346" s="11" t="n"/>
      <c r="O346" s="11" t="n"/>
      <c r="P346" s="10">
        <f>IF(COUNTA(I346:O346)=0,"",MIN(10,SUM(I346:O346)))</f>
        <v/>
      </c>
      <c r="Q346" s="11" t="n"/>
      <c r="R346" s="10">
        <f>IF(Q346="","",IFERROR(VLOOKUP(Q346,T_NILAM,2,FALSE),0))</f>
        <v/>
      </c>
      <c r="S346" s="11" t="n"/>
      <c r="T346" s="10">
        <f>IF(S346="","",IFERROR(VLOOKUP(S346,T_TIMSS,2,FALSE),0))</f>
        <v/>
      </c>
      <c r="U346" s="19">
        <f>IF(COUNT(F346,H346,P346,R346,T346)=0,"",MIN(10,MAX(F346,H346,P346,R346,T346)))</f>
        <v/>
      </c>
      <c r="V346" s="11" t="n"/>
    </row>
    <row r="347">
      <c r="A347" s="15">
        <f>Murid!A347</f>
        <v/>
      </c>
      <c r="B347" s="15">
        <f>IF(Murid!B347="","",Murid!B347)</f>
        <v/>
      </c>
      <c r="C347" s="16">
        <f>IF(Murid!C347="","",Murid!C347)</f>
        <v/>
      </c>
      <c r="D347" s="15">
        <f>IF(Murid!E347="","",Murid!E347)</f>
        <v/>
      </c>
      <c r="E347" s="11" t="n"/>
      <c r="F347" s="10">
        <f>IF(E347="","",IFERROR(VLOOKUP(E347,T_PERK,2,FALSE),0))</f>
        <v/>
      </c>
      <c r="G347" s="11" t="n"/>
      <c r="H347" s="10">
        <f>IF(G347="","",IFERROR(VLOOKUP(G347,T_ANUG,2,FALSE),0))</f>
        <v/>
      </c>
      <c r="I347" s="11" t="n"/>
      <c r="J347" s="11" t="n"/>
      <c r="K347" s="11" t="n"/>
      <c r="L347" s="11" t="n"/>
      <c r="M347" s="11" t="n"/>
      <c r="N347" s="11" t="n"/>
      <c r="O347" s="11" t="n"/>
      <c r="P347" s="10">
        <f>IF(COUNTA(I347:O347)=0,"",MIN(10,SUM(I347:O347)))</f>
        <v/>
      </c>
      <c r="Q347" s="11" t="n"/>
      <c r="R347" s="10">
        <f>IF(Q347="","",IFERROR(VLOOKUP(Q347,T_NILAM,2,FALSE),0))</f>
        <v/>
      </c>
      <c r="S347" s="11" t="n"/>
      <c r="T347" s="10">
        <f>IF(S347="","",IFERROR(VLOOKUP(S347,T_TIMSS,2,FALSE),0))</f>
        <v/>
      </c>
      <c r="U347" s="19">
        <f>IF(COUNT(F347,H347,P347,R347,T347)=0,"",MIN(10,MAX(F347,H347,P347,R347,T347)))</f>
        <v/>
      </c>
      <c r="V347" s="11" t="n"/>
    </row>
    <row r="348">
      <c r="A348" s="15">
        <f>Murid!A348</f>
        <v/>
      </c>
      <c r="B348" s="15">
        <f>IF(Murid!B348="","",Murid!B348)</f>
        <v/>
      </c>
      <c r="C348" s="16">
        <f>IF(Murid!C348="","",Murid!C348)</f>
        <v/>
      </c>
      <c r="D348" s="15">
        <f>IF(Murid!E348="","",Murid!E348)</f>
        <v/>
      </c>
      <c r="E348" s="11" t="n"/>
      <c r="F348" s="10">
        <f>IF(E348="","",IFERROR(VLOOKUP(E348,T_PERK,2,FALSE),0))</f>
        <v/>
      </c>
      <c r="G348" s="11" t="n"/>
      <c r="H348" s="10">
        <f>IF(G348="","",IFERROR(VLOOKUP(G348,T_ANUG,2,FALSE),0))</f>
        <v/>
      </c>
      <c r="I348" s="11" t="n"/>
      <c r="J348" s="11" t="n"/>
      <c r="K348" s="11" t="n"/>
      <c r="L348" s="11" t="n"/>
      <c r="M348" s="11" t="n"/>
      <c r="N348" s="11" t="n"/>
      <c r="O348" s="11" t="n"/>
      <c r="P348" s="10">
        <f>IF(COUNTA(I348:O348)=0,"",MIN(10,SUM(I348:O348)))</f>
        <v/>
      </c>
      <c r="Q348" s="11" t="n"/>
      <c r="R348" s="10">
        <f>IF(Q348="","",IFERROR(VLOOKUP(Q348,T_NILAM,2,FALSE),0))</f>
        <v/>
      </c>
      <c r="S348" s="11" t="n"/>
      <c r="T348" s="10">
        <f>IF(S348="","",IFERROR(VLOOKUP(S348,T_TIMSS,2,FALSE),0))</f>
        <v/>
      </c>
      <c r="U348" s="19">
        <f>IF(COUNT(F348,H348,P348,R348,T348)=0,"",MIN(10,MAX(F348,H348,P348,R348,T348)))</f>
        <v/>
      </c>
      <c r="V348" s="11" t="n"/>
    </row>
    <row r="349">
      <c r="A349" s="15">
        <f>Murid!A349</f>
        <v/>
      </c>
      <c r="B349" s="15">
        <f>IF(Murid!B349="","",Murid!B349)</f>
        <v/>
      </c>
      <c r="C349" s="16">
        <f>IF(Murid!C349="","",Murid!C349)</f>
        <v/>
      </c>
      <c r="D349" s="15">
        <f>IF(Murid!E349="","",Murid!E349)</f>
        <v/>
      </c>
      <c r="E349" s="11" t="n"/>
      <c r="F349" s="10">
        <f>IF(E349="","",IFERROR(VLOOKUP(E349,T_PERK,2,FALSE),0))</f>
        <v/>
      </c>
      <c r="G349" s="11" t="n"/>
      <c r="H349" s="10">
        <f>IF(G349="","",IFERROR(VLOOKUP(G349,T_ANUG,2,FALSE),0))</f>
        <v/>
      </c>
      <c r="I349" s="11" t="n"/>
      <c r="J349" s="11" t="n"/>
      <c r="K349" s="11" t="n"/>
      <c r="L349" s="11" t="n"/>
      <c r="M349" s="11" t="n"/>
      <c r="N349" s="11" t="n"/>
      <c r="O349" s="11" t="n"/>
      <c r="P349" s="10">
        <f>IF(COUNTA(I349:O349)=0,"",MIN(10,SUM(I349:O349)))</f>
        <v/>
      </c>
      <c r="Q349" s="11" t="n"/>
      <c r="R349" s="10">
        <f>IF(Q349="","",IFERROR(VLOOKUP(Q349,T_NILAM,2,FALSE),0))</f>
        <v/>
      </c>
      <c r="S349" s="11" t="n"/>
      <c r="T349" s="10">
        <f>IF(S349="","",IFERROR(VLOOKUP(S349,T_TIMSS,2,FALSE),0))</f>
        <v/>
      </c>
      <c r="U349" s="19">
        <f>IF(COUNT(F349,H349,P349,R349,T349)=0,"",MIN(10,MAX(F349,H349,P349,R349,T349)))</f>
        <v/>
      </c>
      <c r="V349" s="11" t="n"/>
    </row>
    <row r="350">
      <c r="A350" s="15">
        <f>Murid!A350</f>
        <v/>
      </c>
      <c r="B350" s="15">
        <f>IF(Murid!B350="","",Murid!B350)</f>
        <v/>
      </c>
      <c r="C350" s="16">
        <f>IF(Murid!C350="","",Murid!C350)</f>
        <v/>
      </c>
      <c r="D350" s="15">
        <f>IF(Murid!E350="","",Murid!E350)</f>
        <v/>
      </c>
      <c r="E350" s="11" t="n"/>
      <c r="F350" s="10">
        <f>IF(E350="","",IFERROR(VLOOKUP(E350,T_PERK,2,FALSE),0))</f>
        <v/>
      </c>
      <c r="G350" s="11" t="n"/>
      <c r="H350" s="10">
        <f>IF(G350="","",IFERROR(VLOOKUP(G350,T_ANUG,2,FALSE),0))</f>
        <v/>
      </c>
      <c r="I350" s="11" t="n"/>
      <c r="J350" s="11" t="n"/>
      <c r="K350" s="11" t="n"/>
      <c r="L350" s="11" t="n"/>
      <c r="M350" s="11" t="n"/>
      <c r="N350" s="11" t="n"/>
      <c r="O350" s="11" t="n"/>
      <c r="P350" s="10">
        <f>IF(COUNTA(I350:O350)=0,"",MIN(10,SUM(I350:O350)))</f>
        <v/>
      </c>
      <c r="Q350" s="11" t="n"/>
      <c r="R350" s="10">
        <f>IF(Q350="","",IFERROR(VLOOKUP(Q350,T_NILAM,2,FALSE),0))</f>
        <v/>
      </c>
      <c r="S350" s="11" t="n"/>
      <c r="T350" s="10">
        <f>IF(S350="","",IFERROR(VLOOKUP(S350,T_TIMSS,2,FALSE),0))</f>
        <v/>
      </c>
      <c r="U350" s="19">
        <f>IF(COUNT(F350,H350,P350,R350,T350)=0,"",MIN(10,MAX(F350,H350,P350,R350,T350)))</f>
        <v/>
      </c>
      <c r="V350" s="11" t="n"/>
    </row>
    <row r="351">
      <c r="A351" s="15">
        <f>Murid!A351</f>
        <v/>
      </c>
      <c r="B351" s="15">
        <f>IF(Murid!B351="","",Murid!B351)</f>
        <v/>
      </c>
      <c r="C351" s="16">
        <f>IF(Murid!C351="","",Murid!C351)</f>
        <v/>
      </c>
      <c r="D351" s="15">
        <f>IF(Murid!E351="","",Murid!E351)</f>
        <v/>
      </c>
      <c r="E351" s="11" t="n"/>
      <c r="F351" s="10">
        <f>IF(E351="","",IFERROR(VLOOKUP(E351,T_PERK,2,FALSE),0))</f>
        <v/>
      </c>
      <c r="G351" s="11" t="n"/>
      <c r="H351" s="10">
        <f>IF(G351="","",IFERROR(VLOOKUP(G351,T_ANUG,2,FALSE),0))</f>
        <v/>
      </c>
      <c r="I351" s="11" t="n"/>
      <c r="J351" s="11" t="n"/>
      <c r="K351" s="11" t="n"/>
      <c r="L351" s="11" t="n"/>
      <c r="M351" s="11" t="n"/>
      <c r="N351" s="11" t="n"/>
      <c r="O351" s="11" t="n"/>
      <c r="P351" s="10">
        <f>IF(COUNTA(I351:O351)=0,"",MIN(10,SUM(I351:O351)))</f>
        <v/>
      </c>
      <c r="Q351" s="11" t="n"/>
      <c r="R351" s="10">
        <f>IF(Q351="","",IFERROR(VLOOKUP(Q351,T_NILAM,2,FALSE),0))</f>
        <v/>
      </c>
      <c r="S351" s="11" t="n"/>
      <c r="T351" s="10">
        <f>IF(S351="","",IFERROR(VLOOKUP(S351,T_TIMSS,2,FALSE),0))</f>
        <v/>
      </c>
      <c r="U351" s="19">
        <f>IF(COUNT(F351,H351,P351,R351,T351)=0,"",MIN(10,MAX(F351,H351,P351,R351,T351)))</f>
        <v/>
      </c>
      <c r="V351" s="11" t="n"/>
    </row>
    <row r="352">
      <c r="A352" s="15">
        <f>Murid!A352</f>
        <v/>
      </c>
      <c r="B352" s="15">
        <f>IF(Murid!B352="","",Murid!B352)</f>
        <v/>
      </c>
      <c r="C352" s="16">
        <f>IF(Murid!C352="","",Murid!C352)</f>
        <v/>
      </c>
      <c r="D352" s="15">
        <f>IF(Murid!E352="","",Murid!E352)</f>
        <v/>
      </c>
      <c r="E352" s="11" t="n"/>
      <c r="F352" s="10">
        <f>IF(E352="","",IFERROR(VLOOKUP(E352,T_PERK,2,FALSE),0))</f>
        <v/>
      </c>
      <c r="G352" s="11" t="n"/>
      <c r="H352" s="10">
        <f>IF(G352="","",IFERROR(VLOOKUP(G352,T_ANUG,2,FALSE),0))</f>
        <v/>
      </c>
      <c r="I352" s="11" t="n"/>
      <c r="J352" s="11" t="n"/>
      <c r="K352" s="11" t="n"/>
      <c r="L352" s="11" t="n"/>
      <c r="M352" s="11" t="n"/>
      <c r="N352" s="11" t="n"/>
      <c r="O352" s="11" t="n"/>
      <c r="P352" s="10">
        <f>IF(COUNTA(I352:O352)=0,"",MIN(10,SUM(I352:O352)))</f>
        <v/>
      </c>
      <c r="Q352" s="11" t="n"/>
      <c r="R352" s="10">
        <f>IF(Q352="","",IFERROR(VLOOKUP(Q352,T_NILAM,2,FALSE),0))</f>
        <v/>
      </c>
      <c r="S352" s="11" t="n"/>
      <c r="T352" s="10">
        <f>IF(S352="","",IFERROR(VLOOKUP(S352,T_TIMSS,2,FALSE),0))</f>
        <v/>
      </c>
      <c r="U352" s="19">
        <f>IF(COUNT(F352,H352,P352,R352,T352)=0,"",MIN(10,MAX(F352,H352,P352,R352,T352)))</f>
        <v/>
      </c>
      <c r="V352" s="11" t="n"/>
    </row>
    <row r="353">
      <c r="A353" s="15">
        <f>Murid!A353</f>
        <v/>
      </c>
      <c r="B353" s="15">
        <f>IF(Murid!B353="","",Murid!B353)</f>
        <v/>
      </c>
      <c r="C353" s="16">
        <f>IF(Murid!C353="","",Murid!C353)</f>
        <v/>
      </c>
      <c r="D353" s="15">
        <f>IF(Murid!E353="","",Murid!E353)</f>
        <v/>
      </c>
      <c r="E353" s="11" t="n"/>
      <c r="F353" s="10">
        <f>IF(E353="","",IFERROR(VLOOKUP(E353,T_PERK,2,FALSE),0))</f>
        <v/>
      </c>
      <c r="G353" s="11" t="n"/>
      <c r="H353" s="10">
        <f>IF(G353="","",IFERROR(VLOOKUP(G353,T_ANUG,2,FALSE),0))</f>
        <v/>
      </c>
      <c r="I353" s="11" t="n"/>
      <c r="J353" s="11" t="n"/>
      <c r="K353" s="11" t="n"/>
      <c r="L353" s="11" t="n"/>
      <c r="M353" s="11" t="n"/>
      <c r="N353" s="11" t="n"/>
      <c r="O353" s="11" t="n"/>
      <c r="P353" s="10">
        <f>IF(COUNTA(I353:O353)=0,"",MIN(10,SUM(I353:O353)))</f>
        <v/>
      </c>
      <c r="Q353" s="11" t="n"/>
      <c r="R353" s="10">
        <f>IF(Q353="","",IFERROR(VLOOKUP(Q353,T_NILAM,2,FALSE),0))</f>
        <v/>
      </c>
      <c r="S353" s="11" t="n"/>
      <c r="T353" s="10">
        <f>IF(S353="","",IFERROR(VLOOKUP(S353,T_TIMSS,2,FALSE),0))</f>
        <v/>
      </c>
      <c r="U353" s="19">
        <f>IF(COUNT(F353,H353,P353,R353,T353)=0,"",MIN(10,MAX(F353,H353,P353,R353,T353)))</f>
        <v/>
      </c>
      <c r="V353" s="11" t="n"/>
    </row>
    <row r="354">
      <c r="A354" s="15">
        <f>Murid!A354</f>
        <v/>
      </c>
      <c r="B354" s="15">
        <f>IF(Murid!B354="","",Murid!B354)</f>
        <v/>
      </c>
      <c r="C354" s="16">
        <f>IF(Murid!C354="","",Murid!C354)</f>
        <v/>
      </c>
      <c r="D354" s="15">
        <f>IF(Murid!E354="","",Murid!E354)</f>
        <v/>
      </c>
      <c r="E354" s="11" t="n"/>
      <c r="F354" s="10">
        <f>IF(E354="","",IFERROR(VLOOKUP(E354,T_PERK,2,FALSE),0))</f>
        <v/>
      </c>
      <c r="G354" s="11" t="n"/>
      <c r="H354" s="10">
        <f>IF(G354="","",IFERROR(VLOOKUP(G354,T_ANUG,2,FALSE),0))</f>
        <v/>
      </c>
      <c r="I354" s="11" t="n"/>
      <c r="J354" s="11" t="n"/>
      <c r="K354" s="11" t="n"/>
      <c r="L354" s="11" t="n"/>
      <c r="M354" s="11" t="n"/>
      <c r="N354" s="11" t="n"/>
      <c r="O354" s="11" t="n"/>
      <c r="P354" s="10">
        <f>IF(COUNTA(I354:O354)=0,"",MIN(10,SUM(I354:O354)))</f>
        <v/>
      </c>
      <c r="Q354" s="11" t="n"/>
      <c r="R354" s="10">
        <f>IF(Q354="","",IFERROR(VLOOKUP(Q354,T_NILAM,2,FALSE),0))</f>
        <v/>
      </c>
      <c r="S354" s="11" t="n"/>
      <c r="T354" s="10">
        <f>IF(S354="","",IFERROR(VLOOKUP(S354,T_TIMSS,2,FALSE),0))</f>
        <v/>
      </c>
      <c r="U354" s="19">
        <f>IF(COUNT(F354,H354,P354,R354,T354)=0,"",MIN(10,MAX(F354,H354,P354,R354,T354)))</f>
        <v/>
      </c>
      <c r="V354" s="11" t="n"/>
    </row>
    <row r="355">
      <c r="A355" s="15">
        <f>Murid!A355</f>
        <v/>
      </c>
      <c r="B355" s="15">
        <f>IF(Murid!B355="","",Murid!B355)</f>
        <v/>
      </c>
      <c r="C355" s="16">
        <f>IF(Murid!C355="","",Murid!C355)</f>
        <v/>
      </c>
      <c r="D355" s="15">
        <f>IF(Murid!E355="","",Murid!E355)</f>
        <v/>
      </c>
      <c r="E355" s="11" t="n"/>
      <c r="F355" s="10">
        <f>IF(E355="","",IFERROR(VLOOKUP(E355,T_PERK,2,FALSE),0))</f>
        <v/>
      </c>
      <c r="G355" s="11" t="n"/>
      <c r="H355" s="10">
        <f>IF(G355="","",IFERROR(VLOOKUP(G355,T_ANUG,2,FALSE),0))</f>
        <v/>
      </c>
      <c r="I355" s="11" t="n"/>
      <c r="J355" s="11" t="n"/>
      <c r="K355" s="11" t="n"/>
      <c r="L355" s="11" t="n"/>
      <c r="M355" s="11" t="n"/>
      <c r="N355" s="11" t="n"/>
      <c r="O355" s="11" t="n"/>
      <c r="P355" s="10">
        <f>IF(COUNTA(I355:O355)=0,"",MIN(10,SUM(I355:O355)))</f>
        <v/>
      </c>
      <c r="Q355" s="11" t="n"/>
      <c r="R355" s="10">
        <f>IF(Q355="","",IFERROR(VLOOKUP(Q355,T_NILAM,2,FALSE),0))</f>
        <v/>
      </c>
      <c r="S355" s="11" t="n"/>
      <c r="T355" s="10">
        <f>IF(S355="","",IFERROR(VLOOKUP(S355,T_TIMSS,2,FALSE),0))</f>
        <v/>
      </c>
      <c r="U355" s="19">
        <f>IF(COUNT(F355,H355,P355,R355,T355)=0,"",MIN(10,MAX(F355,H355,P355,R355,T355)))</f>
        <v/>
      </c>
      <c r="V355" s="11" t="n"/>
    </row>
    <row r="356">
      <c r="A356" s="15">
        <f>Murid!A356</f>
        <v/>
      </c>
      <c r="B356" s="15">
        <f>IF(Murid!B356="","",Murid!B356)</f>
        <v/>
      </c>
      <c r="C356" s="16">
        <f>IF(Murid!C356="","",Murid!C356)</f>
        <v/>
      </c>
      <c r="D356" s="15">
        <f>IF(Murid!E356="","",Murid!E356)</f>
        <v/>
      </c>
      <c r="E356" s="11" t="n"/>
      <c r="F356" s="10">
        <f>IF(E356="","",IFERROR(VLOOKUP(E356,T_PERK,2,FALSE),0))</f>
        <v/>
      </c>
      <c r="G356" s="11" t="n"/>
      <c r="H356" s="10">
        <f>IF(G356="","",IFERROR(VLOOKUP(G356,T_ANUG,2,FALSE),0))</f>
        <v/>
      </c>
      <c r="I356" s="11" t="n"/>
      <c r="J356" s="11" t="n"/>
      <c r="K356" s="11" t="n"/>
      <c r="L356" s="11" t="n"/>
      <c r="M356" s="11" t="n"/>
      <c r="N356" s="11" t="n"/>
      <c r="O356" s="11" t="n"/>
      <c r="P356" s="10">
        <f>IF(COUNTA(I356:O356)=0,"",MIN(10,SUM(I356:O356)))</f>
        <v/>
      </c>
      <c r="Q356" s="11" t="n"/>
      <c r="R356" s="10">
        <f>IF(Q356="","",IFERROR(VLOOKUP(Q356,T_NILAM,2,FALSE),0))</f>
        <v/>
      </c>
      <c r="S356" s="11" t="n"/>
      <c r="T356" s="10">
        <f>IF(S356="","",IFERROR(VLOOKUP(S356,T_TIMSS,2,FALSE),0))</f>
        <v/>
      </c>
      <c r="U356" s="19">
        <f>IF(COUNT(F356,H356,P356,R356,T356)=0,"",MIN(10,MAX(F356,H356,P356,R356,T356)))</f>
        <v/>
      </c>
      <c r="V356" s="11" t="n"/>
    </row>
    <row r="357">
      <c r="A357" s="15">
        <f>Murid!A357</f>
        <v/>
      </c>
      <c r="B357" s="15">
        <f>IF(Murid!B357="","",Murid!B357)</f>
        <v/>
      </c>
      <c r="C357" s="16">
        <f>IF(Murid!C357="","",Murid!C357)</f>
        <v/>
      </c>
      <c r="D357" s="15">
        <f>IF(Murid!E357="","",Murid!E357)</f>
        <v/>
      </c>
      <c r="E357" s="11" t="n"/>
      <c r="F357" s="10">
        <f>IF(E357="","",IFERROR(VLOOKUP(E357,T_PERK,2,FALSE),0))</f>
        <v/>
      </c>
      <c r="G357" s="11" t="n"/>
      <c r="H357" s="10">
        <f>IF(G357="","",IFERROR(VLOOKUP(G357,T_ANUG,2,FALSE),0))</f>
        <v/>
      </c>
      <c r="I357" s="11" t="n"/>
      <c r="J357" s="11" t="n"/>
      <c r="K357" s="11" t="n"/>
      <c r="L357" s="11" t="n"/>
      <c r="M357" s="11" t="n"/>
      <c r="N357" s="11" t="n"/>
      <c r="O357" s="11" t="n"/>
      <c r="P357" s="10">
        <f>IF(COUNTA(I357:O357)=0,"",MIN(10,SUM(I357:O357)))</f>
        <v/>
      </c>
      <c r="Q357" s="11" t="n"/>
      <c r="R357" s="10">
        <f>IF(Q357="","",IFERROR(VLOOKUP(Q357,T_NILAM,2,FALSE),0))</f>
        <v/>
      </c>
      <c r="S357" s="11" t="n"/>
      <c r="T357" s="10">
        <f>IF(S357="","",IFERROR(VLOOKUP(S357,T_TIMSS,2,FALSE),0))</f>
        <v/>
      </c>
      <c r="U357" s="19">
        <f>IF(COUNT(F357,H357,P357,R357,T357)=0,"",MIN(10,MAX(F357,H357,P357,R357,T357)))</f>
        <v/>
      </c>
      <c r="V357" s="11" t="n"/>
    </row>
    <row r="358">
      <c r="A358" s="15">
        <f>Murid!A358</f>
        <v/>
      </c>
      <c r="B358" s="15">
        <f>IF(Murid!B358="","",Murid!B358)</f>
        <v/>
      </c>
      <c r="C358" s="16">
        <f>IF(Murid!C358="","",Murid!C358)</f>
        <v/>
      </c>
      <c r="D358" s="15">
        <f>IF(Murid!E358="","",Murid!E358)</f>
        <v/>
      </c>
      <c r="E358" s="11" t="n"/>
      <c r="F358" s="10">
        <f>IF(E358="","",IFERROR(VLOOKUP(E358,T_PERK,2,FALSE),0))</f>
        <v/>
      </c>
      <c r="G358" s="11" t="n"/>
      <c r="H358" s="10">
        <f>IF(G358="","",IFERROR(VLOOKUP(G358,T_ANUG,2,FALSE),0))</f>
        <v/>
      </c>
      <c r="I358" s="11" t="n"/>
      <c r="J358" s="11" t="n"/>
      <c r="K358" s="11" t="n"/>
      <c r="L358" s="11" t="n"/>
      <c r="M358" s="11" t="n"/>
      <c r="N358" s="11" t="n"/>
      <c r="O358" s="11" t="n"/>
      <c r="P358" s="10">
        <f>IF(COUNTA(I358:O358)=0,"",MIN(10,SUM(I358:O358)))</f>
        <v/>
      </c>
      <c r="Q358" s="11" t="n"/>
      <c r="R358" s="10">
        <f>IF(Q358="","",IFERROR(VLOOKUP(Q358,T_NILAM,2,FALSE),0))</f>
        <v/>
      </c>
      <c r="S358" s="11" t="n"/>
      <c r="T358" s="10">
        <f>IF(S358="","",IFERROR(VLOOKUP(S358,T_TIMSS,2,FALSE),0))</f>
        <v/>
      </c>
      <c r="U358" s="19">
        <f>IF(COUNT(F358,H358,P358,R358,T358)=0,"",MIN(10,MAX(F358,H358,P358,R358,T358)))</f>
        <v/>
      </c>
      <c r="V358" s="11" t="n"/>
    </row>
    <row r="359">
      <c r="A359" s="15">
        <f>Murid!A359</f>
        <v/>
      </c>
      <c r="B359" s="15">
        <f>IF(Murid!B359="","",Murid!B359)</f>
        <v/>
      </c>
      <c r="C359" s="16">
        <f>IF(Murid!C359="","",Murid!C359)</f>
        <v/>
      </c>
      <c r="D359" s="15">
        <f>IF(Murid!E359="","",Murid!E359)</f>
        <v/>
      </c>
      <c r="E359" s="11" t="n"/>
      <c r="F359" s="10">
        <f>IF(E359="","",IFERROR(VLOOKUP(E359,T_PERK,2,FALSE),0))</f>
        <v/>
      </c>
      <c r="G359" s="11" t="n"/>
      <c r="H359" s="10">
        <f>IF(G359="","",IFERROR(VLOOKUP(G359,T_ANUG,2,FALSE),0))</f>
        <v/>
      </c>
      <c r="I359" s="11" t="n"/>
      <c r="J359" s="11" t="n"/>
      <c r="K359" s="11" t="n"/>
      <c r="L359" s="11" t="n"/>
      <c r="M359" s="11" t="n"/>
      <c r="N359" s="11" t="n"/>
      <c r="O359" s="11" t="n"/>
      <c r="P359" s="10">
        <f>IF(COUNTA(I359:O359)=0,"",MIN(10,SUM(I359:O359)))</f>
        <v/>
      </c>
      <c r="Q359" s="11" t="n"/>
      <c r="R359" s="10">
        <f>IF(Q359="","",IFERROR(VLOOKUP(Q359,T_NILAM,2,FALSE),0))</f>
        <v/>
      </c>
      <c r="S359" s="11" t="n"/>
      <c r="T359" s="10">
        <f>IF(S359="","",IFERROR(VLOOKUP(S359,T_TIMSS,2,FALSE),0))</f>
        <v/>
      </c>
      <c r="U359" s="19">
        <f>IF(COUNT(F359,H359,P359,R359,T359)=0,"",MIN(10,MAX(F359,H359,P359,R359,T359)))</f>
        <v/>
      </c>
      <c r="V359" s="11" t="n"/>
    </row>
    <row r="360">
      <c r="A360" s="15">
        <f>Murid!A360</f>
        <v/>
      </c>
      <c r="B360" s="15">
        <f>IF(Murid!B360="","",Murid!B360)</f>
        <v/>
      </c>
      <c r="C360" s="16">
        <f>IF(Murid!C360="","",Murid!C360)</f>
        <v/>
      </c>
      <c r="D360" s="15">
        <f>IF(Murid!E360="","",Murid!E360)</f>
        <v/>
      </c>
      <c r="E360" s="11" t="n"/>
      <c r="F360" s="10">
        <f>IF(E360="","",IFERROR(VLOOKUP(E360,T_PERK,2,FALSE),0))</f>
        <v/>
      </c>
      <c r="G360" s="11" t="n"/>
      <c r="H360" s="10">
        <f>IF(G360="","",IFERROR(VLOOKUP(G360,T_ANUG,2,FALSE),0))</f>
        <v/>
      </c>
      <c r="I360" s="11" t="n"/>
      <c r="J360" s="11" t="n"/>
      <c r="K360" s="11" t="n"/>
      <c r="L360" s="11" t="n"/>
      <c r="M360" s="11" t="n"/>
      <c r="N360" s="11" t="n"/>
      <c r="O360" s="11" t="n"/>
      <c r="P360" s="10">
        <f>IF(COUNTA(I360:O360)=0,"",MIN(10,SUM(I360:O360)))</f>
        <v/>
      </c>
      <c r="Q360" s="11" t="n"/>
      <c r="R360" s="10">
        <f>IF(Q360="","",IFERROR(VLOOKUP(Q360,T_NILAM,2,FALSE),0))</f>
        <v/>
      </c>
      <c r="S360" s="11" t="n"/>
      <c r="T360" s="10">
        <f>IF(S360="","",IFERROR(VLOOKUP(S360,T_TIMSS,2,FALSE),0))</f>
        <v/>
      </c>
      <c r="U360" s="19">
        <f>IF(COUNT(F360,H360,P360,R360,T360)=0,"",MIN(10,MAX(F360,H360,P360,R360,T360)))</f>
        <v/>
      </c>
      <c r="V360" s="11" t="n"/>
    </row>
    <row r="361">
      <c r="A361" s="15">
        <f>Murid!A361</f>
        <v/>
      </c>
      <c r="B361" s="15">
        <f>IF(Murid!B361="","",Murid!B361)</f>
        <v/>
      </c>
      <c r="C361" s="16">
        <f>IF(Murid!C361="","",Murid!C361)</f>
        <v/>
      </c>
      <c r="D361" s="15">
        <f>IF(Murid!E361="","",Murid!E361)</f>
        <v/>
      </c>
      <c r="E361" s="11" t="n"/>
      <c r="F361" s="10">
        <f>IF(E361="","",IFERROR(VLOOKUP(E361,T_PERK,2,FALSE),0))</f>
        <v/>
      </c>
      <c r="G361" s="11" t="n"/>
      <c r="H361" s="10">
        <f>IF(G361="","",IFERROR(VLOOKUP(G361,T_ANUG,2,FALSE),0))</f>
        <v/>
      </c>
      <c r="I361" s="11" t="n"/>
      <c r="J361" s="11" t="n"/>
      <c r="K361" s="11" t="n"/>
      <c r="L361" s="11" t="n"/>
      <c r="M361" s="11" t="n"/>
      <c r="N361" s="11" t="n"/>
      <c r="O361" s="11" t="n"/>
      <c r="P361" s="10">
        <f>IF(COUNTA(I361:O361)=0,"",MIN(10,SUM(I361:O361)))</f>
        <v/>
      </c>
      <c r="Q361" s="11" t="n"/>
      <c r="R361" s="10">
        <f>IF(Q361="","",IFERROR(VLOOKUP(Q361,T_NILAM,2,FALSE),0))</f>
        <v/>
      </c>
      <c r="S361" s="11" t="n"/>
      <c r="T361" s="10">
        <f>IF(S361="","",IFERROR(VLOOKUP(S361,T_TIMSS,2,FALSE),0))</f>
        <v/>
      </c>
      <c r="U361" s="19">
        <f>IF(COUNT(F361,H361,P361,R361,T361)=0,"",MIN(10,MAX(F361,H361,P361,R361,T361)))</f>
        <v/>
      </c>
      <c r="V361" s="11" t="n"/>
    </row>
    <row r="362">
      <c r="A362" s="15">
        <f>Murid!A362</f>
        <v/>
      </c>
      <c r="B362" s="15">
        <f>IF(Murid!B362="","",Murid!B362)</f>
        <v/>
      </c>
      <c r="C362" s="16">
        <f>IF(Murid!C362="","",Murid!C362)</f>
        <v/>
      </c>
      <c r="D362" s="15">
        <f>IF(Murid!E362="","",Murid!E362)</f>
        <v/>
      </c>
      <c r="E362" s="11" t="n"/>
      <c r="F362" s="10">
        <f>IF(E362="","",IFERROR(VLOOKUP(E362,T_PERK,2,FALSE),0))</f>
        <v/>
      </c>
      <c r="G362" s="11" t="n"/>
      <c r="H362" s="10">
        <f>IF(G362="","",IFERROR(VLOOKUP(G362,T_ANUG,2,FALSE),0))</f>
        <v/>
      </c>
      <c r="I362" s="11" t="n"/>
      <c r="J362" s="11" t="n"/>
      <c r="K362" s="11" t="n"/>
      <c r="L362" s="11" t="n"/>
      <c r="M362" s="11" t="n"/>
      <c r="N362" s="11" t="n"/>
      <c r="O362" s="11" t="n"/>
      <c r="P362" s="10">
        <f>IF(COUNTA(I362:O362)=0,"",MIN(10,SUM(I362:O362)))</f>
        <v/>
      </c>
      <c r="Q362" s="11" t="n"/>
      <c r="R362" s="10">
        <f>IF(Q362="","",IFERROR(VLOOKUP(Q362,T_NILAM,2,FALSE),0))</f>
        <v/>
      </c>
      <c r="S362" s="11" t="n"/>
      <c r="T362" s="10">
        <f>IF(S362="","",IFERROR(VLOOKUP(S362,T_TIMSS,2,FALSE),0))</f>
        <v/>
      </c>
      <c r="U362" s="19">
        <f>IF(COUNT(F362,H362,P362,R362,T362)=0,"",MIN(10,MAX(F362,H362,P362,R362,T362)))</f>
        <v/>
      </c>
      <c r="V362" s="11" t="n"/>
    </row>
    <row r="363">
      <c r="A363" s="15">
        <f>Murid!A363</f>
        <v/>
      </c>
      <c r="B363" s="15">
        <f>IF(Murid!B363="","",Murid!B363)</f>
        <v/>
      </c>
      <c r="C363" s="16">
        <f>IF(Murid!C363="","",Murid!C363)</f>
        <v/>
      </c>
      <c r="D363" s="15">
        <f>IF(Murid!E363="","",Murid!E363)</f>
        <v/>
      </c>
      <c r="E363" s="11" t="n"/>
      <c r="F363" s="10">
        <f>IF(E363="","",IFERROR(VLOOKUP(E363,T_PERK,2,FALSE),0))</f>
        <v/>
      </c>
      <c r="G363" s="11" t="n"/>
      <c r="H363" s="10">
        <f>IF(G363="","",IFERROR(VLOOKUP(G363,T_ANUG,2,FALSE),0))</f>
        <v/>
      </c>
      <c r="I363" s="11" t="n"/>
      <c r="J363" s="11" t="n"/>
      <c r="K363" s="11" t="n"/>
      <c r="L363" s="11" t="n"/>
      <c r="M363" s="11" t="n"/>
      <c r="N363" s="11" t="n"/>
      <c r="O363" s="11" t="n"/>
      <c r="P363" s="10">
        <f>IF(COUNTA(I363:O363)=0,"",MIN(10,SUM(I363:O363)))</f>
        <v/>
      </c>
      <c r="Q363" s="11" t="n"/>
      <c r="R363" s="10">
        <f>IF(Q363="","",IFERROR(VLOOKUP(Q363,T_NILAM,2,FALSE),0))</f>
        <v/>
      </c>
      <c r="S363" s="11" t="n"/>
      <c r="T363" s="10">
        <f>IF(S363="","",IFERROR(VLOOKUP(S363,T_TIMSS,2,FALSE),0))</f>
        <v/>
      </c>
      <c r="U363" s="19">
        <f>IF(COUNT(F363,H363,P363,R363,T363)=0,"",MIN(10,MAX(F363,H363,P363,R363,T363)))</f>
        <v/>
      </c>
      <c r="V363" s="11" t="n"/>
    </row>
    <row r="364">
      <c r="A364" s="15">
        <f>Murid!A364</f>
        <v/>
      </c>
      <c r="B364" s="15">
        <f>IF(Murid!B364="","",Murid!B364)</f>
        <v/>
      </c>
      <c r="C364" s="16">
        <f>IF(Murid!C364="","",Murid!C364)</f>
        <v/>
      </c>
      <c r="D364" s="15">
        <f>IF(Murid!E364="","",Murid!E364)</f>
        <v/>
      </c>
      <c r="E364" s="11" t="n"/>
      <c r="F364" s="10">
        <f>IF(E364="","",IFERROR(VLOOKUP(E364,T_PERK,2,FALSE),0))</f>
        <v/>
      </c>
      <c r="G364" s="11" t="n"/>
      <c r="H364" s="10">
        <f>IF(G364="","",IFERROR(VLOOKUP(G364,T_ANUG,2,FALSE),0))</f>
        <v/>
      </c>
      <c r="I364" s="11" t="n"/>
      <c r="J364" s="11" t="n"/>
      <c r="K364" s="11" t="n"/>
      <c r="L364" s="11" t="n"/>
      <c r="M364" s="11" t="n"/>
      <c r="N364" s="11" t="n"/>
      <c r="O364" s="11" t="n"/>
      <c r="P364" s="10">
        <f>IF(COUNTA(I364:O364)=0,"",MIN(10,SUM(I364:O364)))</f>
        <v/>
      </c>
      <c r="Q364" s="11" t="n"/>
      <c r="R364" s="10">
        <f>IF(Q364="","",IFERROR(VLOOKUP(Q364,T_NILAM,2,FALSE),0))</f>
        <v/>
      </c>
      <c r="S364" s="11" t="n"/>
      <c r="T364" s="10">
        <f>IF(S364="","",IFERROR(VLOOKUP(S364,T_TIMSS,2,FALSE),0))</f>
        <v/>
      </c>
      <c r="U364" s="19">
        <f>IF(COUNT(F364,H364,P364,R364,T364)=0,"",MIN(10,MAX(F364,H364,P364,R364,T364)))</f>
        <v/>
      </c>
      <c r="V364" s="11" t="n"/>
    </row>
    <row r="365">
      <c r="A365" s="15">
        <f>Murid!A365</f>
        <v/>
      </c>
      <c r="B365" s="15">
        <f>IF(Murid!B365="","",Murid!B365)</f>
        <v/>
      </c>
      <c r="C365" s="16">
        <f>IF(Murid!C365="","",Murid!C365)</f>
        <v/>
      </c>
      <c r="D365" s="15">
        <f>IF(Murid!E365="","",Murid!E365)</f>
        <v/>
      </c>
      <c r="E365" s="11" t="n"/>
      <c r="F365" s="10">
        <f>IF(E365="","",IFERROR(VLOOKUP(E365,T_PERK,2,FALSE),0))</f>
        <v/>
      </c>
      <c r="G365" s="11" t="n"/>
      <c r="H365" s="10">
        <f>IF(G365="","",IFERROR(VLOOKUP(G365,T_ANUG,2,FALSE),0))</f>
        <v/>
      </c>
      <c r="I365" s="11" t="n"/>
      <c r="J365" s="11" t="n"/>
      <c r="K365" s="11" t="n"/>
      <c r="L365" s="11" t="n"/>
      <c r="M365" s="11" t="n"/>
      <c r="N365" s="11" t="n"/>
      <c r="O365" s="11" t="n"/>
      <c r="P365" s="10">
        <f>IF(COUNTA(I365:O365)=0,"",MIN(10,SUM(I365:O365)))</f>
        <v/>
      </c>
      <c r="Q365" s="11" t="n"/>
      <c r="R365" s="10">
        <f>IF(Q365="","",IFERROR(VLOOKUP(Q365,T_NILAM,2,FALSE),0))</f>
        <v/>
      </c>
      <c r="S365" s="11" t="n"/>
      <c r="T365" s="10">
        <f>IF(S365="","",IFERROR(VLOOKUP(S365,T_TIMSS,2,FALSE),0))</f>
        <v/>
      </c>
      <c r="U365" s="19">
        <f>IF(COUNT(F365,H365,P365,R365,T365)=0,"",MIN(10,MAX(F365,H365,P365,R365,T365)))</f>
        <v/>
      </c>
      <c r="V365" s="11" t="n"/>
    </row>
    <row r="366">
      <c r="A366" s="15">
        <f>Murid!A366</f>
        <v/>
      </c>
      <c r="B366" s="15">
        <f>IF(Murid!B366="","",Murid!B366)</f>
        <v/>
      </c>
      <c r="C366" s="16">
        <f>IF(Murid!C366="","",Murid!C366)</f>
        <v/>
      </c>
      <c r="D366" s="15">
        <f>IF(Murid!E366="","",Murid!E366)</f>
        <v/>
      </c>
      <c r="E366" s="11" t="n"/>
      <c r="F366" s="10">
        <f>IF(E366="","",IFERROR(VLOOKUP(E366,T_PERK,2,FALSE),0))</f>
        <v/>
      </c>
      <c r="G366" s="11" t="n"/>
      <c r="H366" s="10">
        <f>IF(G366="","",IFERROR(VLOOKUP(G366,T_ANUG,2,FALSE),0))</f>
        <v/>
      </c>
      <c r="I366" s="11" t="n"/>
      <c r="J366" s="11" t="n"/>
      <c r="K366" s="11" t="n"/>
      <c r="L366" s="11" t="n"/>
      <c r="M366" s="11" t="n"/>
      <c r="N366" s="11" t="n"/>
      <c r="O366" s="11" t="n"/>
      <c r="P366" s="10">
        <f>IF(COUNTA(I366:O366)=0,"",MIN(10,SUM(I366:O366)))</f>
        <v/>
      </c>
      <c r="Q366" s="11" t="n"/>
      <c r="R366" s="10">
        <f>IF(Q366="","",IFERROR(VLOOKUP(Q366,T_NILAM,2,FALSE),0))</f>
        <v/>
      </c>
      <c r="S366" s="11" t="n"/>
      <c r="T366" s="10">
        <f>IF(S366="","",IFERROR(VLOOKUP(S366,T_TIMSS,2,FALSE),0))</f>
        <v/>
      </c>
      <c r="U366" s="19">
        <f>IF(COUNT(F366,H366,P366,R366,T366)=0,"",MIN(10,MAX(F366,H366,P366,R366,T366)))</f>
        <v/>
      </c>
      <c r="V366" s="11" t="n"/>
    </row>
    <row r="367">
      <c r="A367" s="15">
        <f>Murid!A367</f>
        <v/>
      </c>
      <c r="B367" s="15">
        <f>IF(Murid!B367="","",Murid!B367)</f>
        <v/>
      </c>
      <c r="C367" s="16">
        <f>IF(Murid!C367="","",Murid!C367)</f>
        <v/>
      </c>
      <c r="D367" s="15">
        <f>IF(Murid!E367="","",Murid!E367)</f>
        <v/>
      </c>
      <c r="E367" s="11" t="n"/>
      <c r="F367" s="10">
        <f>IF(E367="","",IFERROR(VLOOKUP(E367,T_PERK,2,FALSE),0))</f>
        <v/>
      </c>
      <c r="G367" s="11" t="n"/>
      <c r="H367" s="10">
        <f>IF(G367="","",IFERROR(VLOOKUP(G367,T_ANUG,2,FALSE),0))</f>
        <v/>
      </c>
      <c r="I367" s="11" t="n"/>
      <c r="J367" s="11" t="n"/>
      <c r="K367" s="11" t="n"/>
      <c r="L367" s="11" t="n"/>
      <c r="M367" s="11" t="n"/>
      <c r="N367" s="11" t="n"/>
      <c r="O367" s="11" t="n"/>
      <c r="P367" s="10">
        <f>IF(COUNTA(I367:O367)=0,"",MIN(10,SUM(I367:O367)))</f>
        <v/>
      </c>
      <c r="Q367" s="11" t="n"/>
      <c r="R367" s="10">
        <f>IF(Q367="","",IFERROR(VLOOKUP(Q367,T_NILAM,2,FALSE),0))</f>
        <v/>
      </c>
      <c r="S367" s="11" t="n"/>
      <c r="T367" s="10">
        <f>IF(S367="","",IFERROR(VLOOKUP(S367,T_TIMSS,2,FALSE),0))</f>
        <v/>
      </c>
      <c r="U367" s="19">
        <f>IF(COUNT(F367,H367,P367,R367,T367)=0,"",MIN(10,MAX(F367,H367,P367,R367,T367)))</f>
        <v/>
      </c>
      <c r="V367" s="11" t="n"/>
    </row>
    <row r="368">
      <c r="A368" s="15">
        <f>Murid!A368</f>
        <v/>
      </c>
      <c r="B368" s="15">
        <f>IF(Murid!B368="","",Murid!B368)</f>
        <v/>
      </c>
      <c r="C368" s="16">
        <f>IF(Murid!C368="","",Murid!C368)</f>
        <v/>
      </c>
      <c r="D368" s="15">
        <f>IF(Murid!E368="","",Murid!E368)</f>
        <v/>
      </c>
      <c r="E368" s="11" t="n"/>
      <c r="F368" s="10">
        <f>IF(E368="","",IFERROR(VLOOKUP(E368,T_PERK,2,FALSE),0))</f>
        <v/>
      </c>
      <c r="G368" s="11" t="n"/>
      <c r="H368" s="10">
        <f>IF(G368="","",IFERROR(VLOOKUP(G368,T_ANUG,2,FALSE),0))</f>
        <v/>
      </c>
      <c r="I368" s="11" t="n"/>
      <c r="J368" s="11" t="n"/>
      <c r="K368" s="11" t="n"/>
      <c r="L368" s="11" t="n"/>
      <c r="M368" s="11" t="n"/>
      <c r="N368" s="11" t="n"/>
      <c r="O368" s="11" t="n"/>
      <c r="P368" s="10">
        <f>IF(COUNTA(I368:O368)=0,"",MIN(10,SUM(I368:O368)))</f>
        <v/>
      </c>
      <c r="Q368" s="11" t="n"/>
      <c r="R368" s="10">
        <f>IF(Q368="","",IFERROR(VLOOKUP(Q368,T_NILAM,2,FALSE),0))</f>
        <v/>
      </c>
      <c r="S368" s="11" t="n"/>
      <c r="T368" s="10">
        <f>IF(S368="","",IFERROR(VLOOKUP(S368,T_TIMSS,2,FALSE),0))</f>
        <v/>
      </c>
      <c r="U368" s="19">
        <f>IF(COUNT(F368,H368,P368,R368,T368)=0,"",MIN(10,MAX(F368,H368,P368,R368,T368)))</f>
        <v/>
      </c>
      <c r="V368" s="11" t="n"/>
    </row>
    <row r="369">
      <c r="A369" s="15">
        <f>Murid!A369</f>
        <v/>
      </c>
      <c r="B369" s="15">
        <f>IF(Murid!B369="","",Murid!B369)</f>
        <v/>
      </c>
      <c r="C369" s="16">
        <f>IF(Murid!C369="","",Murid!C369)</f>
        <v/>
      </c>
      <c r="D369" s="15">
        <f>IF(Murid!E369="","",Murid!E369)</f>
        <v/>
      </c>
      <c r="E369" s="11" t="n"/>
      <c r="F369" s="10">
        <f>IF(E369="","",IFERROR(VLOOKUP(E369,T_PERK,2,FALSE),0))</f>
        <v/>
      </c>
      <c r="G369" s="11" t="n"/>
      <c r="H369" s="10">
        <f>IF(G369="","",IFERROR(VLOOKUP(G369,T_ANUG,2,FALSE),0))</f>
        <v/>
      </c>
      <c r="I369" s="11" t="n"/>
      <c r="J369" s="11" t="n"/>
      <c r="K369" s="11" t="n"/>
      <c r="L369" s="11" t="n"/>
      <c r="M369" s="11" t="n"/>
      <c r="N369" s="11" t="n"/>
      <c r="O369" s="11" t="n"/>
      <c r="P369" s="10">
        <f>IF(COUNTA(I369:O369)=0,"",MIN(10,SUM(I369:O369)))</f>
        <v/>
      </c>
      <c r="Q369" s="11" t="n"/>
      <c r="R369" s="10">
        <f>IF(Q369="","",IFERROR(VLOOKUP(Q369,T_NILAM,2,FALSE),0))</f>
        <v/>
      </c>
      <c r="S369" s="11" t="n"/>
      <c r="T369" s="10">
        <f>IF(S369="","",IFERROR(VLOOKUP(S369,T_TIMSS,2,FALSE),0))</f>
        <v/>
      </c>
      <c r="U369" s="19">
        <f>IF(COUNT(F369,H369,P369,R369,T369)=0,"",MIN(10,MAX(F369,H369,P369,R369,T369)))</f>
        <v/>
      </c>
      <c r="V369" s="11" t="n"/>
    </row>
    <row r="370">
      <c r="A370" s="15">
        <f>Murid!A370</f>
        <v/>
      </c>
      <c r="B370" s="15">
        <f>IF(Murid!B370="","",Murid!B370)</f>
        <v/>
      </c>
      <c r="C370" s="16">
        <f>IF(Murid!C370="","",Murid!C370)</f>
        <v/>
      </c>
      <c r="D370" s="15">
        <f>IF(Murid!E370="","",Murid!E370)</f>
        <v/>
      </c>
      <c r="E370" s="11" t="n"/>
      <c r="F370" s="10">
        <f>IF(E370="","",IFERROR(VLOOKUP(E370,T_PERK,2,FALSE),0))</f>
        <v/>
      </c>
      <c r="G370" s="11" t="n"/>
      <c r="H370" s="10">
        <f>IF(G370="","",IFERROR(VLOOKUP(G370,T_ANUG,2,FALSE),0))</f>
        <v/>
      </c>
      <c r="I370" s="11" t="n"/>
      <c r="J370" s="11" t="n"/>
      <c r="K370" s="11" t="n"/>
      <c r="L370" s="11" t="n"/>
      <c r="M370" s="11" t="n"/>
      <c r="N370" s="11" t="n"/>
      <c r="O370" s="11" t="n"/>
      <c r="P370" s="10">
        <f>IF(COUNTA(I370:O370)=0,"",MIN(10,SUM(I370:O370)))</f>
        <v/>
      </c>
      <c r="Q370" s="11" t="n"/>
      <c r="R370" s="10">
        <f>IF(Q370="","",IFERROR(VLOOKUP(Q370,T_NILAM,2,FALSE),0))</f>
        <v/>
      </c>
      <c r="S370" s="11" t="n"/>
      <c r="T370" s="10">
        <f>IF(S370="","",IFERROR(VLOOKUP(S370,T_TIMSS,2,FALSE),0))</f>
        <v/>
      </c>
      <c r="U370" s="19">
        <f>IF(COUNT(F370,H370,P370,R370,T370)=0,"",MIN(10,MAX(F370,H370,P370,R370,T370)))</f>
        <v/>
      </c>
      <c r="V370" s="11" t="n"/>
    </row>
    <row r="371">
      <c r="A371" s="15">
        <f>Murid!A371</f>
        <v/>
      </c>
      <c r="B371" s="15">
        <f>IF(Murid!B371="","",Murid!B371)</f>
        <v/>
      </c>
      <c r="C371" s="16">
        <f>IF(Murid!C371="","",Murid!C371)</f>
        <v/>
      </c>
      <c r="D371" s="15">
        <f>IF(Murid!E371="","",Murid!E371)</f>
        <v/>
      </c>
      <c r="E371" s="11" t="n"/>
      <c r="F371" s="10">
        <f>IF(E371="","",IFERROR(VLOOKUP(E371,T_PERK,2,FALSE),0))</f>
        <v/>
      </c>
      <c r="G371" s="11" t="n"/>
      <c r="H371" s="10">
        <f>IF(G371="","",IFERROR(VLOOKUP(G371,T_ANUG,2,FALSE),0))</f>
        <v/>
      </c>
      <c r="I371" s="11" t="n"/>
      <c r="J371" s="11" t="n"/>
      <c r="K371" s="11" t="n"/>
      <c r="L371" s="11" t="n"/>
      <c r="M371" s="11" t="n"/>
      <c r="N371" s="11" t="n"/>
      <c r="O371" s="11" t="n"/>
      <c r="P371" s="10">
        <f>IF(COUNTA(I371:O371)=0,"",MIN(10,SUM(I371:O371)))</f>
        <v/>
      </c>
      <c r="Q371" s="11" t="n"/>
      <c r="R371" s="10">
        <f>IF(Q371="","",IFERROR(VLOOKUP(Q371,T_NILAM,2,FALSE),0))</f>
        <v/>
      </c>
      <c r="S371" s="11" t="n"/>
      <c r="T371" s="10">
        <f>IF(S371="","",IFERROR(VLOOKUP(S371,T_TIMSS,2,FALSE),0))</f>
        <v/>
      </c>
      <c r="U371" s="19">
        <f>IF(COUNT(F371,H371,P371,R371,T371)=0,"",MIN(10,MAX(F371,H371,P371,R371,T371)))</f>
        <v/>
      </c>
      <c r="V371" s="11" t="n"/>
    </row>
    <row r="372">
      <c r="A372" s="15">
        <f>Murid!A372</f>
        <v/>
      </c>
      <c r="B372" s="15">
        <f>IF(Murid!B372="","",Murid!B372)</f>
        <v/>
      </c>
      <c r="C372" s="16">
        <f>IF(Murid!C372="","",Murid!C372)</f>
        <v/>
      </c>
      <c r="D372" s="15">
        <f>IF(Murid!E372="","",Murid!E372)</f>
        <v/>
      </c>
      <c r="E372" s="11" t="n"/>
      <c r="F372" s="10">
        <f>IF(E372="","",IFERROR(VLOOKUP(E372,T_PERK,2,FALSE),0))</f>
        <v/>
      </c>
      <c r="G372" s="11" t="n"/>
      <c r="H372" s="10">
        <f>IF(G372="","",IFERROR(VLOOKUP(G372,T_ANUG,2,FALSE),0))</f>
        <v/>
      </c>
      <c r="I372" s="11" t="n"/>
      <c r="J372" s="11" t="n"/>
      <c r="K372" s="11" t="n"/>
      <c r="L372" s="11" t="n"/>
      <c r="M372" s="11" t="n"/>
      <c r="N372" s="11" t="n"/>
      <c r="O372" s="11" t="n"/>
      <c r="P372" s="10">
        <f>IF(COUNTA(I372:O372)=0,"",MIN(10,SUM(I372:O372)))</f>
        <v/>
      </c>
      <c r="Q372" s="11" t="n"/>
      <c r="R372" s="10">
        <f>IF(Q372="","",IFERROR(VLOOKUP(Q372,T_NILAM,2,FALSE),0))</f>
        <v/>
      </c>
      <c r="S372" s="11" t="n"/>
      <c r="T372" s="10">
        <f>IF(S372="","",IFERROR(VLOOKUP(S372,T_TIMSS,2,FALSE),0))</f>
        <v/>
      </c>
      <c r="U372" s="19">
        <f>IF(COUNT(F372,H372,P372,R372,T372)=0,"",MIN(10,MAX(F372,H372,P372,R372,T372)))</f>
        <v/>
      </c>
      <c r="V372" s="11" t="n"/>
    </row>
    <row r="373">
      <c r="A373" s="15">
        <f>Murid!A373</f>
        <v/>
      </c>
      <c r="B373" s="15">
        <f>IF(Murid!B373="","",Murid!B373)</f>
        <v/>
      </c>
      <c r="C373" s="16">
        <f>IF(Murid!C373="","",Murid!C373)</f>
        <v/>
      </c>
      <c r="D373" s="15">
        <f>IF(Murid!E373="","",Murid!E373)</f>
        <v/>
      </c>
      <c r="E373" s="11" t="n"/>
      <c r="F373" s="10">
        <f>IF(E373="","",IFERROR(VLOOKUP(E373,T_PERK,2,FALSE),0))</f>
        <v/>
      </c>
      <c r="G373" s="11" t="n"/>
      <c r="H373" s="10">
        <f>IF(G373="","",IFERROR(VLOOKUP(G373,T_ANUG,2,FALSE),0))</f>
        <v/>
      </c>
      <c r="I373" s="11" t="n"/>
      <c r="J373" s="11" t="n"/>
      <c r="K373" s="11" t="n"/>
      <c r="L373" s="11" t="n"/>
      <c r="M373" s="11" t="n"/>
      <c r="N373" s="11" t="n"/>
      <c r="O373" s="11" t="n"/>
      <c r="P373" s="10">
        <f>IF(COUNTA(I373:O373)=0,"",MIN(10,SUM(I373:O373)))</f>
        <v/>
      </c>
      <c r="Q373" s="11" t="n"/>
      <c r="R373" s="10">
        <f>IF(Q373="","",IFERROR(VLOOKUP(Q373,T_NILAM,2,FALSE),0))</f>
        <v/>
      </c>
      <c r="S373" s="11" t="n"/>
      <c r="T373" s="10">
        <f>IF(S373="","",IFERROR(VLOOKUP(S373,T_TIMSS,2,FALSE),0))</f>
        <v/>
      </c>
      <c r="U373" s="19">
        <f>IF(COUNT(F373,H373,P373,R373,T373)=0,"",MIN(10,MAX(F373,H373,P373,R373,T373)))</f>
        <v/>
      </c>
      <c r="V373" s="11" t="n"/>
    </row>
    <row r="374">
      <c r="A374" s="15">
        <f>Murid!A374</f>
        <v/>
      </c>
      <c r="B374" s="15">
        <f>IF(Murid!B374="","",Murid!B374)</f>
        <v/>
      </c>
      <c r="C374" s="16">
        <f>IF(Murid!C374="","",Murid!C374)</f>
        <v/>
      </c>
      <c r="D374" s="15">
        <f>IF(Murid!E374="","",Murid!E374)</f>
        <v/>
      </c>
      <c r="E374" s="11" t="n"/>
      <c r="F374" s="10">
        <f>IF(E374="","",IFERROR(VLOOKUP(E374,T_PERK,2,FALSE),0))</f>
        <v/>
      </c>
      <c r="G374" s="11" t="n"/>
      <c r="H374" s="10">
        <f>IF(G374="","",IFERROR(VLOOKUP(G374,T_ANUG,2,FALSE),0))</f>
        <v/>
      </c>
      <c r="I374" s="11" t="n"/>
      <c r="J374" s="11" t="n"/>
      <c r="K374" s="11" t="n"/>
      <c r="L374" s="11" t="n"/>
      <c r="M374" s="11" t="n"/>
      <c r="N374" s="11" t="n"/>
      <c r="O374" s="11" t="n"/>
      <c r="P374" s="10">
        <f>IF(COUNTA(I374:O374)=0,"",MIN(10,SUM(I374:O374)))</f>
        <v/>
      </c>
      <c r="Q374" s="11" t="n"/>
      <c r="R374" s="10">
        <f>IF(Q374="","",IFERROR(VLOOKUP(Q374,T_NILAM,2,FALSE),0))</f>
        <v/>
      </c>
      <c r="S374" s="11" t="n"/>
      <c r="T374" s="10">
        <f>IF(S374="","",IFERROR(VLOOKUP(S374,T_TIMSS,2,FALSE),0))</f>
        <v/>
      </c>
      <c r="U374" s="19">
        <f>IF(COUNT(F374,H374,P374,R374,T374)=0,"",MIN(10,MAX(F374,H374,P374,R374,T374)))</f>
        <v/>
      </c>
      <c r="V374" s="11" t="n"/>
    </row>
    <row r="375">
      <c r="A375" s="15">
        <f>Murid!A375</f>
        <v/>
      </c>
      <c r="B375" s="15">
        <f>IF(Murid!B375="","",Murid!B375)</f>
        <v/>
      </c>
      <c r="C375" s="16">
        <f>IF(Murid!C375="","",Murid!C375)</f>
        <v/>
      </c>
      <c r="D375" s="15">
        <f>IF(Murid!E375="","",Murid!E375)</f>
        <v/>
      </c>
      <c r="E375" s="11" t="n"/>
      <c r="F375" s="10">
        <f>IF(E375="","",IFERROR(VLOOKUP(E375,T_PERK,2,FALSE),0))</f>
        <v/>
      </c>
      <c r="G375" s="11" t="n"/>
      <c r="H375" s="10">
        <f>IF(G375="","",IFERROR(VLOOKUP(G375,T_ANUG,2,FALSE),0))</f>
        <v/>
      </c>
      <c r="I375" s="11" t="n"/>
      <c r="J375" s="11" t="n"/>
      <c r="K375" s="11" t="n"/>
      <c r="L375" s="11" t="n"/>
      <c r="M375" s="11" t="n"/>
      <c r="N375" s="11" t="n"/>
      <c r="O375" s="11" t="n"/>
      <c r="P375" s="10">
        <f>IF(COUNTA(I375:O375)=0,"",MIN(10,SUM(I375:O375)))</f>
        <v/>
      </c>
      <c r="Q375" s="11" t="n"/>
      <c r="R375" s="10">
        <f>IF(Q375="","",IFERROR(VLOOKUP(Q375,T_NILAM,2,FALSE),0))</f>
        <v/>
      </c>
      <c r="S375" s="11" t="n"/>
      <c r="T375" s="10">
        <f>IF(S375="","",IFERROR(VLOOKUP(S375,T_TIMSS,2,FALSE),0))</f>
        <v/>
      </c>
      <c r="U375" s="19">
        <f>IF(COUNT(F375,H375,P375,R375,T375)=0,"",MIN(10,MAX(F375,H375,P375,R375,T375)))</f>
        <v/>
      </c>
      <c r="V375" s="11" t="n"/>
    </row>
    <row r="376">
      <c r="A376" s="15">
        <f>Murid!A376</f>
        <v/>
      </c>
      <c r="B376" s="15">
        <f>IF(Murid!B376="","",Murid!B376)</f>
        <v/>
      </c>
      <c r="C376" s="16">
        <f>IF(Murid!C376="","",Murid!C376)</f>
        <v/>
      </c>
      <c r="D376" s="15">
        <f>IF(Murid!E376="","",Murid!E376)</f>
        <v/>
      </c>
      <c r="E376" s="11" t="n"/>
      <c r="F376" s="10">
        <f>IF(E376="","",IFERROR(VLOOKUP(E376,T_PERK,2,FALSE),0))</f>
        <v/>
      </c>
      <c r="G376" s="11" t="n"/>
      <c r="H376" s="10">
        <f>IF(G376="","",IFERROR(VLOOKUP(G376,T_ANUG,2,FALSE),0))</f>
        <v/>
      </c>
      <c r="I376" s="11" t="n"/>
      <c r="J376" s="11" t="n"/>
      <c r="K376" s="11" t="n"/>
      <c r="L376" s="11" t="n"/>
      <c r="M376" s="11" t="n"/>
      <c r="N376" s="11" t="n"/>
      <c r="O376" s="11" t="n"/>
      <c r="P376" s="10">
        <f>IF(COUNTA(I376:O376)=0,"",MIN(10,SUM(I376:O376)))</f>
        <v/>
      </c>
      <c r="Q376" s="11" t="n"/>
      <c r="R376" s="10">
        <f>IF(Q376="","",IFERROR(VLOOKUP(Q376,T_NILAM,2,FALSE),0))</f>
        <v/>
      </c>
      <c r="S376" s="11" t="n"/>
      <c r="T376" s="10">
        <f>IF(S376="","",IFERROR(VLOOKUP(S376,T_TIMSS,2,FALSE),0))</f>
        <v/>
      </c>
      <c r="U376" s="19">
        <f>IF(COUNT(F376,H376,P376,R376,T376)=0,"",MIN(10,MAX(F376,H376,P376,R376,T376)))</f>
        <v/>
      </c>
      <c r="V376" s="11" t="n"/>
    </row>
    <row r="377">
      <c r="A377" s="15">
        <f>Murid!A377</f>
        <v/>
      </c>
      <c r="B377" s="15">
        <f>IF(Murid!B377="","",Murid!B377)</f>
        <v/>
      </c>
      <c r="C377" s="16">
        <f>IF(Murid!C377="","",Murid!C377)</f>
        <v/>
      </c>
      <c r="D377" s="15">
        <f>IF(Murid!E377="","",Murid!E377)</f>
        <v/>
      </c>
      <c r="E377" s="11" t="n"/>
      <c r="F377" s="10">
        <f>IF(E377="","",IFERROR(VLOOKUP(E377,T_PERK,2,FALSE),0))</f>
        <v/>
      </c>
      <c r="G377" s="11" t="n"/>
      <c r="H377" s="10">
        <f>IF(G377="","",IFERROR(VLOOKUP(G377,T_ANUG,2,FALSE),0))</f>
        <v/>
      </c>
      <c r="I377" s="11" t="n"/>
      <c r="J377" s="11" t="n"/>
      <c r="K377" s="11" t="n"/>
      <c r="L377" s="11" t="n"/>
      <c r="M377" s="11" t="n"/>
      <c r="N377" s="11" t="n"/>
      <c r="O377" s="11" t="n"/>
      <c r="P377" s="10">
        <f>IF(COUNTA(I377:O377)=0,"",MIN(10,SUM(I377:O377)))</f>
        <v/>
      </c>
      <c r="Q377" s="11" t="n"/>
      <c r="R377" s="10">
        <f>IF(Q377="","",IFERROR(VLOOKUP(Q377,T_NILAM,2,FALSE),0))</f>
        <v/>
      </c>
      <c r="S377" s="11" t="n"/>
      <c r="T377" s="10">
        <f>IF(S377="","",IFERROR(VLOOKUP(S377,T_TIMSS,2,FALSE),0))</f>
        <v/>
      </c>
      <c r="U377" s="19">
        <f>IF(COUNT(F377,H377,P377,R377,T377)=0,"",MIN(10,MAX(F377,H377,P377,R377,T377)))</f>
        <v/>
      </c>
      <c r="V377" s="11" t="n"/>
    </row>
    <row r="378">
      <c r="A378" s="15">
        <f>Murid!A378</f>
        <v/>
      </c>
      <c r="B378" s="15">
        <f>IF(Murid!B378="","",Murid!B378)</f>
        <v/>
      </c>
      <c r="C378" s="16">
        <f>IF(Murid!C378="","",Murid!C378)</f>
        <v/>
      </c>
      <c r="D378" s="15">
        <f>IF(Murid!E378="","",Murid!E378)</f>
        <v/>
      </c>
      <c r="E378" s="11" t="n"/>
      <c r="F378" s="10">
        <f>IF(E378="","",IFERROR(VLOOKUP(E378,T_PERK,2,FALSE),0))</f>
        <v/>
      </c>
      <c r="G378" s="11" t="n"/>
      <c r="H378" s="10">
        <f>IF(G378="","",IFERROR(VLOOKUP(G378,T_ANUG,2,FALSE),0))</f>
        <v/>
      </c>
      <c r="I378" s="11" t="n"/>
      <c r="J378" s="11" t="n"/>
      <c r="K378" s="11" t="n"/>
      <c r="L378" s="11" t="n"/>
      <c r="M378" s="11" t="n"/>
      <c r="N378" s="11" t="n"/>
      <c r="O378" s="11" t="n"/>
      <c r="P378" s="10">
        <f>IF(COUNTA(I378:O378)=0,"",MIN(10,SUM(I378:O378)))</f>
        <v/>
      </c>
      <c r="Q378" s="11" t="n"/>
      <c r="R378" s="10">
        <f>IF(Q378="","",IFERROR(VLOOKUP(Q378,T_NILAM,2,FALSE),0))</f>
        <v/>
      </c>
      <c r="S378" s="11" t="n"/>
      <c r="T378" s="10">
        <f>IF(S378="","",IFERROR(VLOOKUP(S378,T_TIMSS,2,FALSE),0))</f>
        <v/>
      </c>
      <c r="U378" s="19">
        <f>IF(COUNT(F378,H378,P378,R378,T378)=0,"",MIN(10,MAX(F378,H378,P378,R378,T378)))</f>
        <v/>
      </c>
      <c r="V378" s="11" t="n"/>
    </row>
    <row r="379">
      <c r="A379" s="15">
        <f>Murid!A379</f>
        <v/>
      </c>
      <c r="B379" s="15">
        <f>IF(Murid!B379="","",Murid!B379)</f>
        <v/>
      </c>
      <c r="C379" s="16">
        <f>IF(Murid!C379="","",Murid!C379)</f>
        <v/>
      </c>
      <c r="D379" s="15">
        <f>IF(Murid!E379="","",Murid!E379)</f>
        <v/>
      </c>
      <c r="E379" s="11" t="n"/>
      <c r="F379" s="10">
        <f>IF(E379="","",IFERROR(VLOOKUP(E379,T_PERK,2,FALSE),0))</f>
        <v/>
      </c>
      <c r="G379" s="11" t="n"/>
      <c r="H379" s="10">
        <f>IF(G379="","",IFERROR(VLOOKUP(G379,T_ANUG,2,FALSE),0))</f>
        <v/>
      </c>
      <c r="I379" s="11" t="n"/>
      <c r="J379" s="11" t="n"/>
      <c r="K379" s="11" t="n"/>
      <c r="L379" s="11" t="n"/>
      <c r="M379" s="11" t="n"/>
      <c r="N379" s="11" t="n"/>
      <c r="O379" s="11" t="n"/>
      <c r="P379" s="10">
        <f>IF(COUNTA(I379:O379)=0,"",MIN(10,SUM(I379:O379)))</f>
        <v/>
      </c>
      <c r="Q379" s="11" t="n"/>
      <c r="R379" s="10">
        <f>IF(Q379="","",IFERROR(VLOOKUP(Q379,T_NILAM,2,FALSE),0))</f>
        <v/>
      </c>
      <c r="S379" s="11" t="n"/>
      <c r="T379" s="10">
        <f>IF(S379="","",IFERROR(VLOOKUP(S379,T_TIMSS,2,FALSE),0))</f>
        <v/>
      </c>
      <c r="U379" s="19">
        <f>IF(COUNT(F379,H379,P379,R379,T379)=0,"",MIN(10,MAX(F379,H379,P379,R379,T379)))</f>
        <v/>
      </c>
      <c r="V379" s="11" t="n"/>
    </row>
    <row r="380">
      <c r="A380" s="15">
        <f>Murid!A380</f>
        <v/>
      </c>
      <c r="B380" s="15">
        <f>IF(Murid!B380="","",Murid!B380)</f>
        <v/>
      </c>
      <c r="C380" s="16">
        <f>IF(Murid!C380="","",Murid!C380)</f>
        <v/>
      </c>
      <c r="D380" s="15">
        <f>IF(Murid!E380="","",Murid!E380)</f>
        <v/>
      </c>
      <c r="E380" s="11" t="n"/>
      <c r="F380" s="10">
        <f>IF(E380="","",IFERROR(VLOOKUP(E380,T_PERK,2,FALSE),0))</f>
        <v/>
      </c>
      <c r="G380" s="11" t="n"/>
      <c r="H380" s="10">
        <f>IF(G380="","",IFERROR(VLOOKUP(G380,T_ANUG,2,FALSE),0))</f>
        <v/>
      </c>
      <c r="I380" s="11" t="n"/>
      <c r="J380" s="11" t="n"/>
      <c r="K380" s="11" t="n"/>
      <c r="L380" s="11" t="n"/>
      <c r="M380" s="11" t="n"/>
      <c r="N380" s="11" t="n"/>
      <c r="O380" s="11" t="n"/>
      <c r="P380" s="10">
        <f>IF(COUNTA(I380:O380)=0,"",MIN(10,SUM(I380:O380)))</f>
        <v/>
      </c>
      <c r="Q380" s="11" t="n"/>
      <c r="R380" s="10">
        <f>IF(Q380="","",IFERROR(VLOOKUP(Q380,T_NILAM,2,FALSE),0))</f>
        <v/>
      </c>
      <c r="S380" s="11" t="n"/>
      <c r="T380" s="10">
        <f>IF(S380="","",IFERROR(VLOOKUP(S380,T_TIMSS,2,FALSE),0))</f>
        <v/>
      </c>
      <c r="U380" s="19">
        <f>IF(COUNT(F380,H380,P380,R380,T380)=0,"",MIN(10,MAX(F380,H380,P380,R380,T380)))</f>
        <v/>
      </c>
      <c r="V380" s="11" t="n"/>
    </row>
    <row r="381">
      <c r="A381" s="15">
        <f>Murid!A381</f>
        <v/>
      </c>
      <c r="B381" s="15">
        <f>IF(Murid!B381="","",Murid!B381)</f>
        <v/>
      </c>
      <c r="C381" s="16">
        <f>IF(Murid!C381="","",Murid!C381)</f>
        <v/>
      </c>
      <c r="D381" s="15">
        <f>IF(Murid!E381="","",Murid!E381)</f>
        <v/>
      </c>
      <c r="E381" s="11" t="n"/>
      <c r="F381" s="10">
        <f>IF(E381="","",IFERROR(VLOOKUP(E381,T_PERK,2,FALSE),0))</f>
        <v/>
      </c>
      <c r="G381" s="11" t="n"/>
      <c r="H381" s="10">
        <f>IF(G381="","",IFERROR(VLOOKUP(G381,T_ANUG,2,FALSE),0))</f>
        <v/>
      </c>
      <c r="I381" s="11" t="n"/>
      <c r="J381" s="11" t="n"/>
      <c r="K381" s="11" t="n"/>
      <c r="L381" s="11" t="n"/>
      <c r="M381" s="11" t="n"/>
      <c r="N381" s="11" t="n"/>
      <c r="O381" s="11" t="n"/>
      <c r="P381" s="10">
        <f>IF(COUNTA(I381:O381)=0,"",MIN(10,SUM(I381:O381)))</f>
        <v/>
      </c>
      <c r="Q381" s="11" t="n"/>
      <c r="R381" s="10">
        <f>IF(Q381="","",IFERROR(VLOOKUP(Q381,T_NILAM,2,FALSE),0))</f>
        <v/>
      </c>
      <c r="S381" s="11" t="n"/>
      <c r="T381" s="10">
        <f>IF(S381="","",IFERROR(VLOOKUP(S381,T_TIMSS,2,FALSE),0))</f>
        <v/>
      </c>
      <c r="U381" s="19">
        <f>IF(COUNT(F381,H381,P381,R381,T381)=0,"",MIN(10,MAX(F381,H381,P381,R381,T381)))</f>
        <v/>
      </c>
      <c r="V381" s="11" t="n"/>
    </row>
    <row r="382">
      <c r="A382" s="15">
        <f>Murid!A382</f>
        <v/>
      </c>
      <c r="B382" s="15">
        <f>IF(Murid!B382="","",Murid!B382)</f>
        <v/>
      </c>
      <c r="C382" s="16">
        <f>IF(Murid!C382="","",Murid!C382)</f>
        <v/>
      </c>
      <c r="D382" s="15">
        <f>IF(Murid!E382="","",Murid!E382)</f>
        <v/>
      </c>
      <c r="E382" s="11" t="n"/>
      <c r="F382" s="10">
        <f>IF(E382="","",IFERROR(VLOOKUP(E382,T_PERK,2,FALSE),0))</f>
        <v/>
      </c>
      <c r="G382" s="11" t="n"/>
      <c r="H382" s="10">
        <f>IF(G382="","",IFERROR(VLOOKUP(G382,T_ANUG,2,FALSE),0))</f>
        <v/>
      </c>
      <c r="I382" s="11" t="n"/>
      <c r="J382" s="11" t="n"/>
      <c r="K382" s="11" t="n"/>
      <c r="L382" s="11" t="n"/>
      <c r="M382" s="11" t="n"/>
      <c r="N382" s="11" t="n"/>
      <c r="O382" s="11" t="n"/>
      <c r="P382" s="10">
        <f>IF(COUNTA(I382:O382)=0,"",MIN(10,SUM(I382:O382)))</f>
        <v/>
      </c>
      <c r="Q382" s="11" t="n"/>
      <c r="R382" s="10">
        <f>IF(Q382="","",IFERROR(VLOOKUP(Q382,T_NILAM,2,FALSE),0))</f>
        <v/>
      </c>
      <c r="S382" s="11" t="n"/>
      <c r="T382" s="10">
        <f>IF(S382="","",IFERROR(VLOOKUP(S382,T_TIMSS,2,FALSE),0))</f>
        <v/>
      </c>
      <c r="U382" s="19">
        <f>IF(COUNT(F382,H382,P382,R382,T382)=0,"",MIN(10,MAX(F382,H382,P382,R382,T382)))</f>
        <v/>
      </c>
      <c r="V382" s="11" t="n"/>
    </row>
    <row r="383">
      <c r="A383" s="15">
        <f>Murid!A383</f>
        <v/>
      </c>
      <c r="B383" s="15">
        <f>IF(Murid!B383="","",Murid!B383)</f>
        <v/>
      </c>
      <c r="C383" s="16">
        <f>IF(Murid!C383="","",Murid!C383)</f>
        <v/>
      </c>
      <c r="D383" s="15">
        <f>IF(Murid!E383="","",Murid!E383)</f>
        <v/>
      </c>
      <c r="E383" s="11" t="n"/>
      <c r="F383" s="10">
        <f>IF(E383="","",IFERROR(VLOOKUP(E383,T_PERK,2,FALSE),0))</f>
        <v/>
      </c>
      <c r="G383" s="11" t="n"/>
      <c r="H383" s="10">
        <f>IF(G383="","",IFERROR(VLOOKUP(G383,T_ANUG,2,FALSE),0))</f>
        <v/>
      </c>
      <c r="I383" s="11" t="n"/>
      <c r="J383" s="11" t="n"/>
      <c r="K383" s="11" t="n"/>
      <c r="L383" s="11" t="n"/>
      <c r="M383" s="11" t="n"/>
      <c r="N383" s="11" t="n"/>
      <c r="O383" s="11" t="n"/>
      <c r="P383" s="10">
        <f>IF(COUNTA(I383:O383)=0,"",MIN(10,SUM(I383:O383)))</f>
        <v/>
      </c>
      <c r="Q383" s="11" t="n"/>
      <c r="R383" s="10">
        <f>IF(Q383="","",IFERROR(VLOOKUP(Q383,T_NILAM,2,FALSE),0))</f>
        <v/>
      </c>
      <c r="S383" s="11" t="n"/>
      <c r="T383" s="10">
        <f>IF(S383="","",IFERROR(VLOOKUP(S383,T_TIMSS,2,FALSE),0))</f>
        <v/>
      </c>
      <c r="U383" s="19">
        <f>IF(COUNT(F383,H383,P383,R383,T383)=0,"",MIN(10,MAX(F383,H383,P383,R383,T383)))</f>
        <v/>
      </c>
      <c r="V383" s="11" t="n"/>
    </row>
    <row r="384">
      <c r="A384" s="15">
        <f>Murid!A384</f>
        <v/>
      </c>
      <c r="B384" s="15">
        <f>IF(Murid!B384="","",Murid!B384)</f>
        <v/>
      </c>
      <c r="C384" s="16">
        <f>IF(Murid!C384="","",Murid!C384)</f>
        <v/>
      </c>
      <c r="D384" s="15">
        <f>IF(Murid!E384="","",Murid!E384)</f>
        <v/>
      </c>
      <c r="E384" s="11" t="n"/>
      <c r="F384" s="10">
        <f>IF(E384="","",IFERROR(VLOOKUP(E384,T_PERK,2,FALSE),0))</f>
        <v/>
      </c>
      <c r="G384" s="11" t="n"/>
      <c r="H384" s="10">
        <f>IF(G384="","",IFERROR(VLOOKUP(G384,T_ANUG,2,FALSE),0))</f>
        <v/>
      </c>
      <c r="I384" s="11" t="n"/>
      <c r="J384" s="11" t="n"/>
      <c r="K384" s="11" t="n"/>
      <c r="L384" s="11" t="n"/>
      <c r="M384" s="11" t="n"/>
      <c r="N384" s="11" t="n"/>
      <c r="O384" s="11" t="n"/>
      <c r="P384" s="10">
        <f>IF(COUNTA(I384:O384)=0,"",MIN(10,SUM(I384:O384)))</f>
        <v/>
      </c>
      <c r="Q384" s="11" t="n"/>
      <c r="R384" s="10">
        <f>IF(Q384="","",IFERROR(VLOOKUP(Q384,T_NILAM,2,FALSE),0))</f>
        <v/>
      </c>
      <c r="S384" s="11" t="n"/>
      <c r="T384" s="10">
        <f>IF(S384="","",IFERROR(VLOOKUP(S384,T_TIMSS,2,FALSE),0))</f>
        <v/>
      </c>
      <c r="U384" s="19">
        <f>IF(COUNT(F384,H384,P384,R384,T384)=0,"",MIN(10,MAX(F384,H384,P384,R384,T384)))</f>
        <v/>
      </c>
      <c r="V384" s="11" t="n"/>
    </row>
    <row r="385">
      <c r="A385" s="15">
        <f>Murid!A385</f>
        <v/>
      </c>
      <c r="B385" s="15">
        <f>IF(Murid!B385="","",Murid!B385)</f>
        <v/>
      </c>
      <c r="C385" s="16">
        <f>IF(Murid!C385="","",Murid!C385)</f>
        <v/>
      </c>
      <c r="D385" s="15">
        <f>IF(Murid!E385="","",Murid!E385)</f>
        <v/>
      </c>
      <c r="E385" s="11" t="n"/>
      <c r="F385" s="10">
        <f>IF(E385="","",IFERROR(VLOOKUP(E385,T_PERK,2,FALSE),0))</f>
        <v/>
      </c>
      <c r="G385" s="11" t="n"/>
      <c r="H385" s="10">
        <f>IF(G385="","",IFERROR(VLOOKUP(G385,T_ANUG,2,FALSE),0))</f>
        <v/>
      </c>
      <c r="I385" s="11" t="n"/>
      <c r="J385" s="11" t="n"/>
      <c r="K385" s="11" t="n"/>
      <c r="L385" s="11" t="n"/>
      <c r="M385" s="11" t="n"/>
      <c r="N385" s="11" t="n"/>
      <c r="O385" s="11" t="n"/>
      <c r="P385" s="10">
        <f>IF(COUNTA(I385:O385)=0,"",MIN(10,SUM(I385:O385)))</f>
        <v/>
      </c>
      <c r="Q385" s="11" t="n"/>
      <c r="R385" s="10">
        <f>IF(Q385="","",IFERROR(VLOOKUP(Q385,T_NILAM,2,FALSE),0))</f>
        <v/>
      </c>
      <c r="S385" s="11" t="n"/>
      <c r="T385" s="10">
        <f>IF(S385="","",IFERROR(VLOOKUP(S385,T_TIMSS,2,FALSE),0))</f>
        <v/>
      </c>
      <c r="U385" s="19">
        <f>IF(COUNT(F385,H385,P385,R385,T385)=0,"",MIN(10,MAX(F385,H385,P385,R385,T385)))</f>
        <v/>
      </c>
      <c r="V385" s="11" t="n"/>
    </row>
    <row r="386">
      <c r="A386" s="15">
        <f>Murid!A386</f>
        <v/>
      </c>
      <c r="B386" s="15">
        <f>IF(Murid!B386="","",Murid!B386)</f>
        <v/>
      </c>
      <c r="C386" s="16">
        <f>IF(Murid!C386="","",Murid!C386)</f>
        <v/>
      </c>
      <c r="D386" s="15">
        <f>IF(Murid!E386="","",Murid!E386)</f>
        <v/>
      </c>
      <c r="E386" s="11" t="n"/>
      <c r="F386" s="10">
        <f>IF(E386="","",IFERROR(VLOOKUP(E386,T_PERK,2,FALSE),0))</f>
        <v/>
      </c>
      <c r="G386" s="11" t="n"/>
      <c r="H386" s="10">
        <f>IF(G386="","",IFERROR(VLOOKUP(G386,T_ANUG,2,FALSE),0))</f>
        <v/>
      </c>
      <c r="I386" s="11" t="n"/>
      <c r="J386" s="11" t="n"/>
      <c r="K386" s="11" t="n"/>
      <c r="L386" s="11" t="n"/>
      <c r="M386" s="11" t="n"/>
      <c r="N386" s="11" t="n"/>
      <c r="O386" s="11" t="n"/>
      <c r="P386" s="10">
        <f>IF(COUNTA(I386:O386)=0,"",MIN(10,SUM(I386:O386)))</f>
        <v/>
      </c>
      <c r="Q386" s="11" t="n"/>
      <c r="R386" s="10">
        <f>IF(Q386="","",IFERROR(VLOOKUP(Q386,T_NILAM,2,FALSE),0))</f>
        <v/>
      </c>
      <c r="S386" s="11" t="n"/>
      <c r="T386" s="10">
        <f>IF(S386="","",IFERROR(VLOOKUP(S386,T_TIMSS,2,FALSE),0))</f>
        <v/>
      </c>
      <c r="U386" s="19">
        <f>IF(COUNT(F386,H386,P386,R386,T386)=0,"",MIN(10,MAX(F386,H386,P386,R386,T386)))</f>
        <v/>
      </c>
      <c r="V386" s="11" t="n"/>
    </row>
    <row r="387">
      <c r="A387" s="15">
        <f>Murid!A387</f>
        <v/>
      </c>
      <c r="B387" s="15">
        <f>IF(Murid!B387="","",Murid!B387)</f>
        <v/>
      </c>
      <c r="C387" s="16">
        <f>IF(Murid!C387="","",Murid!C387)</f>
        <v/>
      </c>
      <c r="D387" s="15">
        <f>IF(Murid!E387="","",Murid!E387)</f>
        <v/>
      </c>
      <c r="E387" s="11" t="n"/>
      <c r="F387" s="10">
        <f>IF(E387="","",IFERROR(VLOOKUP(E387,T_PERK,2,FALSE),0))</f>
        <v/>
      </c>
      <c r="G387" s="11" t="n"/>
      <c r="H387" s="10">
        <f>IF(G387="","",IFERROR(VLOOKUP(G387,T_ANUG,2,FALSE),0))</f>
        <v/>
      </c>
      <c r="I387" s="11" t="n"/>
      <c r="J387" s="11" t="n"/>
      <c r="K387" s="11" t="n"/>
      <c r="L387" s="11" t="n"/>
      <c r="M387" s="11" t="n"/>
      <c r="N387" s="11" t="n"/>
      <c r="O387" s="11" t="n"/>
      <c r="P387" s="10">
        <f>IF(COUNTA(I387:O387)=0,"",MIN(10,SUM(I387:O387)))</f>
        <v/>
      </c>
      <c r="Q387" s="11" t="n"/>
      <c r="R387" s="10">
        <f>IF(Q387="","",IFERROR(VLOOKUP(Q387,T_NILAM,2,FALSE),0))</f>
        <v/>
      </c>
      <c r="S387" s="11" t="n"/>
      <c r="T387" s="10">
        <f>IF(S387="","",IFERROR(VLOOKUP(S387,T_TIMSS,2,FALSE),0))</f>
        <v/>
      </c>
      <c r="U387" s="19">
        <f>IF(COUNT(F387,H387,P387,R387,T387)=0,"",MIN(10,MAX(F387,H387,P387,R387,T387)))</f>
        <v/>
      </c>
      <c r="V387" s="11" t="n"/>
    </row>
    <row r="388">
      <c r="A388" s="15">
        <f>Murid!A388</f>
        <v/>
      </c>
      <c r="B388" s="15">
        <f>IF(Murid!B388="","",Murid!B388)</f>
        <v/>
      </c>
      <c r="C388" s="16">
        <f>IF(Murid!C388="","",Murid!C388)</f>
        <v/>
      </c>
      <c r="D388" s="15">
        <f>IF(Murid!E388="","",Murid!E388)</f>
        <v/>
      </c>
      <c r="E388" s="11" t="n"/>
      <c r="F388" s="10">
        <f>IF(E388="","",IFERROR(VLOOKUP(E388,T_PERK,2,FALSE),0))</f>
        <v/>
      </c>
      <c r="G388" s="11" t="n"/>
      <c r="H388" s="10">
        <f>IF(G388="","",IFERROR(VLOOKUP(G388,T_ANUG,2,FALSE),0))</f>
        <v/>
      </c>
      <c r="I388" s="11" t="n"/>
      <c r="J388" s="11" t="n"/>
      <c r="K388" s="11" t="n"/>
      <c r="L388" s="11" t="n"/>
      <c r="M388" s="11" t="n"/>
      <c r="N388" s="11" t="n"/>
      <c r="O388" s="11" t="n"/>
      <c r="P388" s="10">
        <f>IF(COUNTA(I388:O388)=0,"",MIN(10,SUM(I388:O388)))</f>
        <v/>
      </c>
      <c r="Q388" s="11" t="n"/>
      <c r="R388" s="10">
        <f>IF(Q388="","",IFERROR(VLOOKUP(Q388,T_NILAM,2,FALSE),0))</f>
        <v/>
      </c>
      <c r="S388" s="11" t="n"/>
      <c r="T388" s="10">
        <f>IF(S388="","",IFERROR(VLOOKUP(S388,T_TIMSS,2,FALSE),0))</f>
        <v/>
      </c>
      <c r="U388" s="19">
        <f>IF(COUNT(F388,H388,P388,R388,T388)=0,"",MIN(10,MAX(F388,H388,P388,R388,T388)))</f>
        <v/>
      </c>
      <c r="V388" s="11" t="n"/>
    </row>
    <row r="389">
      <c r="A389" s="15">
        <f>Murid!A389</f>
        <v/>
      </c>
      <c r="B389" s="15">
        <f>IF(Murid!B389="","",Murid!B389)</f>
        <v/>
      </c>
      <c r="C389" s="16">
        <f>IF(Murid!C389="","",Murid!C389)</f>
        <v/>
      </c>
      <c r="D389" s="15">
        <f>IF(Murid!E389="","",Murid!E389)</f>
        <v/>
      </c>
      <c r="E389" s="11" t="n"/>
      <c r="F389" s="10">
        <f>IF(E389="","",IFERROR(VLOOKUP(E389,T_PERK,2,FALSE),0))</f>
        <v/>
      </c>
      <c r="G389" s="11" t="n"/>
      <c r="H389" s="10">
        <f>IF(G389="","",IFERROR(VLOOKUP(G389,T_ANUG,2,FALSE),0))</f>
        <v/>
      </c>
      <c r="I389" s="11" t="n"/>
      <c r="J389" s="11" t="n"/>
      <c r="K389" s="11" t="n"/>
      <c r="L389" s="11" t="n"/>
      <c r="M389" s="11" t="n"/>
      <c r="N389" s="11" t="n"/>
      <c r="O389" s="11" t="n"/>
      <c r="P389" s="10">
        <f>IF(COUNTA(I389:O389)=0,"",MIN(10,SUM(I389:O389)))</f>
        <v/>
      </c>
      <c r="Q389" s="11" t="n"/>
      <c r="R389" s="10">
        <f>IF(Q389="","",IFERROR(VLOOKUP(Q389,T_NILAM,2,FALSE),0))</f>
        <v/>
      </c>
      <c r="S389" s="11" t="n"/>
      <c r="T389" s="10">
        <f>IF(S389="","",IFERROR(VLOOKUP(S389,T_TIMSS,2,FALSE),0))</f>
        <v/>
      </c>
      <c r="U389" s="19">
        <f>IF(COUNT(F389,H389,P389,R389,T389)=0,"",MIN(10,MAX(F389,H389,P389,R389,T389)))</f>
        <v/>
      </c>
      <c r="V389" s="11" t="n"/>
    </row>
    <row r="390">
      <c r="A390" s="15">
        <f>Murid!A390</f>
        <v/>
      </c>
      <c r="B390" s="15">
        <f>IF(Murid!B390="","",Murid!B390)</f>
        <v/>
      </c>
      <c r="C390" s="16">
        <f>IF(Murid!C390="","",Murid!C390)</f>
        <v/>
      </c>
      <c r="D390" s="15">
        <f>IF(Murid!E390="","",Murid!E390)</f>
        <v/>
      </c>
      <c r="E390" s="11" t="n"/>
      <c r="F390" s="10">
        <f>IF(E390="","",IFERROR(VLOOKUP(E390,T_PERK,2,FALSE),0))</f>
        <v/>
      </c>
      <c r="G390" s="11" t="n"/>
      <c r="H390" s="10">
        <f>IF(G390="","",IFERROR(VLOOKUP(G390,T_ANUG,2,FALSE),0))</f>
        <v/>
      </c>
      <c r="I390" s="11" t="n"/>
      <c r="J390" s="11" t="n"/>
      <c r="K390" s="11" t="n"/>
      <c r="L390" s="11" t="n"/>
      <c r="M390" s="11" t="n"/>
      <c r="N390" s="11" t="n"/>
      <c r="O390" s="11" t="n"/>
      <c r="P390" s="10">
        <f>IF(COUNTA(I390:O390)=0,"",MIN(10,SUM(I390:O390)))</f>
        <v/>
      </c>
      <c r="Q390" s="11" t="n"/>
      <c r="R390" s="10">
        <f>IF(Q390="","",IFERROR(VLOOKUP(Q390,T_NILAM,2,FALSE),0))</f>
        <v/>
      </c>
      <c r="S390" s="11" t="n"/>
      <c r="T390" s="10">
        <f>IF(S390="","",IFERROR(VLOOKUP(S390,T_TIMSS,2,FALSE),0))</f>
        <v/>
      </c>
      <c r="U390" s="19">
        <f>IF(COUNT(F390,H390,P390,R390,T390)=0,"",MIN(10,MAX(F390,H390,P390,R390,T390)))</f>
        <v/>
      </c>
      <c r="V390" s="11" t="n"/>
    </row>
    <row r="391">
      <c r="A391" s="15">
        <f>Murid!A391</f>
        <v/>
      </c>
      <c r="B391" s="15">
        <f>IF(Murid!B391="","",Murid!B391)</f>
        <v/>
      </c>
      <c r="C391" s="16">
        <f>IF(Murid!C391="","",Murid!C391)</f>
        <v/>
      </c>
      <c r="D391" s="15">
        <f>IF(Murid!E391="","",Murid!E391)</f>
        <v/>
      </c>
      <c r="E391" s="11" t="n"/>
      <c r="F391" s="10">
        <f>IF(E391="","",IFERROR(VLOOKUP(E391,T_PERK,2,FALSE),0))</f>
        <v/>
      </c>
      <c r="G391" s="11" t="n"/>
      <c r="H391" s="10">
        <f>IF(G391="","",IFERROR(VLOOKUP(G391,T_ANUG,2,FALSE),0))</f>
        <v/>
      </c>
      <c r="I391" s="11" t="n"/>
      <c r="J391" s="11" t="n"/>
      <c r="K391" s="11" t="n"/>
      <c r="L391" s="11" t="n"/>
      <c r="M391" s="11" t="n"/>
      <c r="N391" s="11" t="n"/>
      <c r="O391" s="11" t="n"/>
      <c r="P391" s="10">
        <f>IF(COUNTA(I391:O391)=0,"",MIN(10,SUM(I391:O391)))</f>
        <v/>
      </c>
      <c r="Q391" s="11" t="n"/>
      <c r="R391" s="10">
        <f>IF(Q391="","",IFERROR(VLOOKUP(Q391,T_NILAM,2,FALSE),0))</f>
        <v/>
      </c>
      <c r="S391" s="11" t="n"/>
      <c r="T391" s="10">
        <f>IF(S391="","",IFERROR(VLOOKUP(S391,T_TIMSS,2,FALSE),0))</f>
        <v/>
      </c>
      <c r="U391" s="19">
        <f>IF(COUNT(F391,H391,P391,R391,T391)=0,"",MIN(10,MAX(F391,H391,P391,R391,T391)))</f>
        <v/>
      </c>
      <c r="V391" s="11" t="n"/>
    </row>
    <row r="392">
      <c r="A392" s="15">
        <f>Murid!A392</f>
        <v/>
      </c>
      <c r="B392" s="15">
        <f>IF(Murid!B392="","",Murid!B392)</f>
        <v/>
      </c>
      <c r="C392" s="16">
        <f>IF(Murid!C392="","",Murid!C392)</f>
        <v/>
      </c>
      <c r="D392" s="15">
        <f>IF(Murid!E392="","",Murid!E392)</f>
        <v/>
      </c>
      <c r="E392" s="11" t="n"/>
      <c r="F392" s="10">
        <f>IF(E392="","",IFERROR(VLOOKUP(E392,T_PERK,2,FALSE),0))</f>
        <v/>
      </c>
      <c r="G392" s="11" t="n"/>
      <c r="H392" s="10">
        <f>IF(G392="","",IFERROR(VLOOKUP(G392,T_ANUG,2,FALSE),0))</f>
        <v/>
      </c>
      <c r="I392" s="11" t="n"/>
      <c r="J392" s="11" t="n"/>
      <c r="K392" s="11" t="n"/>
      <c r="L392" s="11" t="n"/>
      <c r="M392" s="11" t="n"/>
      <c r="N392" s="11" t="n"/>
      <c r="O392" s="11" t="n"/>
      <c r="P392" s="10">
        <f>IF(COUNTA(I392:O392)=0,"",MIN(10,SUM(I392:O392)))</f>
        <v/>
      </c>
      <c r="Q392" s="11" t="n"/>
      <c r="R392" s="10">
        <f>IF(Q392="","",IFERROR(VLOOKUP(Q392,T_NILAM,2,FALSE),0))</f>
        <v/>
      </c>
      <c r="S392" s="11" t="n"/>
      <c r="T392" s="10">
        <f>IF(S392="","",IFERROR(VLOOKUP(S392,T_TIMSS,2,FALSE),0))</f>
        <v/>
      </c>
      <c r="U392" s="19">
        <f>IF(COUNT(F392,H392,P392,R392,T392)=0,"",MIN(10,MAX(F392,H392,P392,R392,T392)))</f>
        <v/>
      </c>
      <c r="V392" s="11" t="n"/>
    </row>
    <row r="393">
      <c r="A393" s="15">
        <f>Murid!A393</f>
        <v/>
      </c>
      <c r="B393" s="15">
        <f>IF(Murid!B393="","",Murid!B393)</f>
        <v/>
      </c>
      <c r="C393" s="16">
        <f>IF(Murid!C393="","",Murid!C393)</f>
        <v/>
      </c>
      <c r="D393" s="15">
        <f>IF(Murid!E393="","",Murid!E393)</f>
        <v/>
      </c>
      <c r="E393" s="11" t="n"/>
      <c r="F393" s="10">
        <f>IF(E393="","",IFERROR(VLOOKUP(E393,T_PERK,2,FALSE),0))</f>
        <v/>
      </c>
      <c r="G393" s="11" t="n"/>
      <c r="H393" s="10">
        <f>IF(G393="","",IFERROR(VLOOKUP(G393,T_ANUG,2,FALSE),0))</f>
        <v/>
      </c>
      <c r="I393" s="11" t="n"/>
      <c r="J393" s="11" t="n"/>
      <c r="K393" s="11" t="n"/>
      <c r="L393" s="11" t="n"/>
      <c r="M393" s="11" t="n"/>
      <c r="N393" s="11" t="n"/>
      <c r="O393" s="11" t="n"/>
      <c r="P393" s="10">
        <f>IF(COUNTA(I393:O393)=0,"",MIN(10,SUM(I393:O393)))</f>
        <v/>
      </c>
      <c r="Q393" s="11" t="n"/>
      <c r="R393" s="10">
        <f>IF(Q393="","",IFERROR(VLOOKUP(Q393,T_NILAM,2,FALSE),0))</f>
        <v/>
      </c>
      <c r="S393" s="11" t="n"/>
      <c r="T393" s="10">
        <f>IF(S393="","",IFERROR(VLOOKUP(S393,T_TIMSS,2,FALSE),0))</f>
        <v/>
      </c>
      <c r="U393" s="19">
        <f>IF(COUNT(F393,H393,P393,R393,T393)=0,"",MIN(10,MAX(F393,H393,P393,R393,T393)))</f>
        <v/>
      </c>
      <c r="V393" s="11" t="n"/>
    </row>
    <row r="394">
      <c r="A394" s="15">
        <f>Murid!A394</f>
        <v/>
      </c>
      <c r="B394" s="15">
        <f>IF(Murid!B394="","",Murid!B394)</f>
        <v/>
      </c>
      <c r="C394" s="16">
        <f>IF(Murid!C394="","",Murid!C394)</f>
        <v/>
      </c>
      <c r="D394" s="15">
        <f>IF(Murid!E394="","",Murid!E394)</f>
        <v/>
      </c>
      <c r="E394" s="11" t="n"/>
      <c r="F394" s="10">
        <f>IF(E394="","",IFERROR(VLOOKUP(E394,T_PERK,2,FALSE),0))</f>
        <v/>
      </c>
      <c r="G394" s="11" t="n"/>
      <c r="H394" s="10">
        <f>IF(G394="","",IFERROR(VLOOKUP(G394,T_ANUG,2,FALSE),0))</f>
        <v/>
      </c>
      <c r="I394" s="11" t="n"/>
      <c r="J394" s="11" t="n"/>
      <c r="K394" s="11" t="n"/>
      <c r="L394" s="11" t="n"/>
      <c r="M394" s="11" t="n"/>
      <c r="N394" s="11" t="n"/>
      <c r="O394" s="11" t="n"/>
      <c r="P394" s="10">
        <f>IF(COUNTA(I394:O394)=0,"",MIN(10,SUM(I394:O394)))</f>
        <v/>
      </c>
      <c r="Q394" s="11" t="n"/>
      <c r="R394" s="10">
        <f>IF(Q394="","",IFERROR(VLOOKUP(Q394,T_NILAM,2,FALSE),0))</f>
        <v/>
      </c>
      <c r="S394" s="11" t="n"/>
      <c r="T394" s="10">
        <f>IF(S394="","",IFERROR(VLOOKUP(S394,T_TIMSS,2,FALSE),0))</f>
        <v/>
      </c>
      <c r="U394" s="19">
        <f>IF(COUNT(F394,H394,P394,R394,T394)=0,"",MIN(10,MAX(F394,H394,P394,R394,T394)))</f>
        <v/>
      </c>
      <c r="V394" s="11" t="n"/>
    </row>
    <row r="395">
      <c r="A395" s="15">
        <f>Murid!A395</f>
        <v/>
      </c>
      <c r="B395" s="15">
        <f>IF(Murid!B395="","",Murid!B395)</f>
        <v/>
      </c>
      <c r="C395" s="16">
        <f>IF(Murid!C395="","",Murid!C395)</f>
        <v/>
      </c>
      <c r="D395" s="15">
        <f>IF(Murid!E395="","",Murid!E395)</f>
        <v/>
      </c>
      <c r="E395" s="11" t="n"/>
      <c r="F395" s="10">
        <f>IF(E395="","",IFERROR(VLOOKUP(E395,T_PERK,2,FALSE),0))</f>
        <v/>
      </c>
      <c r="G395" s="11" t="n"/>
      <c r="H395" s="10">
        <f>IF(G395="","",IFERROR(VLOOKUP(G395,T_ANUG,2,FALSE),0))</f>
        <v/>
      </c>
      <c r="I395" s="11" t="n"/>
      <c r="J395" s="11" t="n"/>
      <c r="K395" s="11" t="n"/>
      <c r="L395" s="11" t="n"/>
      <c r="M395" s="11" t="n"/>
      <c r="N395" s="11" t="n"/>
      <c r="O395" s="11" t="n"/>
      <c r="P395" s="10">
        <f>IF(COUNTA(I395:O395)=0,"",MIN(10,SUM(I395:O395)))</f>
        <v/>
      </c>
      <c r="Q395" s="11" t="n"/>
      <c r="R395" s="10">
        <f>IF(Q395="","",IFERROR(VLOOKUP(Q395,T_NILAM,2,FALSE),0))</f>
        <v/>
      </c>
      <c r="S395" s="11" t="n"/>
      <c r="T395" s="10">
        <f>IF(S395="","",IFERROR(VLOOKUP(S395,T_TIMSS,2,FALSE),0))</f>
        <v/>
      </c>
      <c r="U395" s="19">
        <f>IF(COUNT(F395,H395,P395,R395,T395)=0,"",MIN(10,MAX(F395,H395,P395,R395,T395)))</f>
        <v/>
      </c>
      <c r="V395" s="11" t="n"/>
    </row>
    <row r="396">
      <c r="A396" s="15">
        <f>Murid!A396</f>
        <v/>
      </c>
      <c r="B396" s="15">
        <f>IF(Murid!B396="","",Murid!B396)</f>
        <v/>
      </c>
      <c r="C396" s="16">
        <f>IF(Murid!C396="","",Murid!C396)</f>
        <v/>
      </c>
      <c r="D396" s="15">
        <f>IF(Murid!E396="","",Murid!E396)</f>
        <v/>
      </c>
      <c r="E396" s="11" t="n"/>
      <c r="F396" s="10">
        <f>IF(E396="","",IFERROR(VLOOKUP(E396,T_PERK,2,FALSE),0))</f>
        <v/>
      </c>
      <c r="G396" s="11" t="n"/>
      <c r="H396" s="10">
        <f>IF(G396="","",IFERROR(VLOOKUP(G396,T_ANUG,2,FALSE),0))</f>
        <v/>
      </c>
      <c r="I396" s="11" t="n"/>
      <c r="J396" s="11" t="n"/>
      <c r="K396" s="11" t="n"/>
      <c r="L396" s="11" t="n"/>
      <c r="M396" s="11" t="n"/>
      <c r="N396" s="11" t="n"/>
      <c r="O396" s="11" t="n"/>
      <c r="P396" s="10">
        <f>IF(COUNTA(I396:O396)=0,"",MIN(10,SUM(I396:O396)))</f>
        <v/>
      </c>
      <c r="Q396" s="11" t="n"/>
      <c r="R396" s="10">
        <f>IF(Q396="","",IFERROR(VLOOKUP(Q396,T_NILAM,2,FALSE),0))</f>
        <v/>
      </c>
      <c r="S396" s="11" t="n"/>
      <c r="T396" s="10">
        <f>IF(S396="","",IFERROR(VLOOKUP(S396,T_TIMSS,2,FALSE),0))</f>
        <v/>
      </c>
      <c r="U396" s="19">
        <f>IF(COUNT(F396,H396,P396,R396,T396)=0,"",MIN(10,MAX(F396,H396,P396,R396,T396)))</f>
        <v/>
      </c>
      <c r="V396" s="11" t="n"/>
    </row>
    <row r="397">
      <c r="A397" s="15">
        <f>Murid!A397</f>
        <v/>
      </c>
      <c r="B397" s="15">
        <f>IF(Murid!B397="","",Murid!B397)</f>
        <v/>
      </c>
      <c r="C397" s="16">
        <f>IF(Murid!C397="","",Murid!C397)</f>
        <v/>
      </c>
      <c r="D397" s="15">
        <f>IF(Murid!E397="","",Murid!E397)</f>
        <v/>
      </c>
      <c r="E397" s="11" t="n"/>
      <c r="F397" s="10">
        <f>IF(E397="","",IFERROR(VLOOKUP(E397,T_PERK,2,FALSE),0))</f>
        <v/>
      </c>
      <c r="G397" s="11" t="n"/>
      <c r="H397" s="10">
        <f>IF(G397="","",IFERROR(VLOOKUP(G397,T_ANUG,2,FALSE),0))</f>
        <v/>
      </c>
      <c r="I397" s="11" t="n"/>
      <c r="J397" s="11" t="n"/>
      <c r="K397" s="11" t="n"/>
      <c r="L397" s="11" t="n"/>
      <c r="M397" s="11" t="n"/>
      <c r="N397" s="11" t="n"/>
      <c r="O397" s="11" t="n"/>
      <c r="P397" s="10">
        <f>IF(COUNTA(I397:O397)=0,"",MIN(10,SUM(I397:O397)))</f>
        <v/>
      </c>
      <c r="Q397" s="11" t="n"/>
      <c r="R397" s="10">
        <f>IF(Q397="","",IFERROR(VLOOKUP(Q397,T_NILAM,2,FALSE),0))</f>
        <v/>
      </c>
      <c r="S397" s="11" t="n"/>
      <c r="T397" s="10">
        <f>IF(S397="","",IFERROR(VLOOKUP(S397,T_TIMSS,2,FALSE),0))</f>
        <v/>
      </c>
      <c r="U397" s="19">
        <f>IF(COUNT(F397,H397,P397,R397,T397)=0,"",MIN(10,MAX(F397,H397,P397,R397,T397)))</f>
        <v/>
      </c>
      <c r="V397" s="11" t="n"/>
    </row>
    <row r="398">
      <c r="A398" s="15">
        <f>Murid!A398</f>
        <v/>
      </c>
      <c r="B398" s="15">
        <f>IF(Murid!B398="","",Murid!B398)</f>
        <v/>
      </c>
      <c r="C398" s="16">
        <f>IF(Murid!C398="","",Murid!C398)</f>
        <v/>
      </c>
      <c r="D398" s="15">
        <f>IF(Murid!E398="","",Murid!E398)</f>
        <v/>
      </c>
      <c r="E398" s="11" t="n"/>
      <c r="F398" s="10">
        <f>IF(E398="","",IFERROR(VLOOKUP(E398,T_PERK,2,FALSE),0))</f>
        <v/>
      </c>
      <c r="G398" s="11" t="n"/>
      <c r="H398" s="10">
        <f>IF(G398="","",IFERROR(VLOOKUP(G398,T_ANUG,2,FALSE),0))</f>
        <v/>
      </c>
      <c r="I398" s="11" t="n"/>
      <c r="J398" s="11" t="n"/>
      <c r="K398" s="11" t="n"/>
      <c r="L398" s="11" t="n"/>
      <c r="M398" s="11" t="n"/>
      <c r="N398" s="11" t="n"/>
      <c r="O398" s="11" t="n"/>
      <c r="P398" s="10">
        <f>IF(COUNTA(I398:O398)=0,"",MIN(10,SUM(I398:O398)))</f>
        <v/>
      </c>
      <c r="Q398" s="11" t="n"/>
      <c r="R398" s="10">
        <f>IF(Q398="","",IFERROR(VLOOKUP(Q398,T_NILAM,2,FALSE),0))</f>
        <v/>
      </c>
      <c r="S398" s="11" t="n"/>
      <c r="T398" s="10">
        <f>IF(S398="","",IFERROR(VLOOKUP(S398,T_TIMSS,2,FALSE),0))</f>
        <v/>
      </c>
      <c r="U398" s="19">
        <f>IF(COUNT(F398,H398,P398,R398,T398)=0,"",MIN(10,MAX(F398,H398,P398,R398,T398)))</f>
        <v/>
      </c>
      <c r="V398" s="11" t="n"/>
    </row>
    <row r="399">
      <c r="A399" s="15">
        <f>Murid!A399</f>
        <v/>
      </c>
      <c r="B399" s="15">
        <f>IF(Murid!B399="","",Murid!B399)</f>
        <v/>
      </c>
      <c r="C399" s="16">
        <f>IF(Murid!C399="","",Murid!C399)</f>
        <v/>
      </c>
      <c r="D399" s="15">
        <f>IF(Murid!E399="","",Murid!E399)</f>
        <v/>
      </c>
      <c r="E399" s="11" t="n"/>
      <c r="F399" s="10">
        <f>IF(E399="","",IFERROR(VLOOKUP(E399,T_PERK,2,FALSE),0))</f>
        <v/>
      </c>
      <c r="G399" s="11" t="n"/>
      <c r="H399" s="10">
        <f>IF(G399="","",IFERROR(VLOOKUP(G399,T_ANUG,2,FALSE),0))</f>
        <v/>
      </c>
      <c r="I399" s="11" t="n"/>
      <c r="J399" s="11" t="n"/>
      <c r="K399" s="11" t="n"/>
      <c r="L399" s="11" t="n"/>
      <c r="M399" s="11" t="n"/>
      <c r="N399" s="11" t="n"/>
      <c r="O399" s="11" t="n"/>
      <c r="P399" s="10">
        <f>IF(COUNTA(I399:O399)=0,"",MIN(10,SUM(I399:O399)))</f>
        <v/>
      </c>
      <c r="Q399" s="11" t="n"/>
      <c r="R399" s="10">
        <f>IF(Q399="","",IFERROR(VLOOKUP(Q399,T_NILAM,2,FALSE),0))</f>
        <v/>
      </c>
      <c r="S399" s="11" t="n"/>
      <c r="T399" s="10">
        <f>IF(S399="","",IFERROR(VLOOKUP(S399,T_TIMSS,2,FALSE),0))</f>
        <v/>
      </c>
      <c r="U399" s="19">
        <f>IF(COUNT(F399,H399,P399,R399,T399)=0,"",MIN(10,MAX(F399,H399,P399,R399,T399)))</f>
        <v/>
      </c>
      <c r="V399" s="11" t="n"/>
    </row>
    <row r="400">
      <c r="A400" s="15">
        <f>Murid!A400</f>
        <v/>
      </c>
      <c r="B400" s="15">
        <f>IF(Murid!B400="","",Murid!B400)</f>
        <v/>
      </c>
      <c r="C400" s="16">
        <f>IF(Murid!C400="","",Murid!C400)</f>
        <v/>
      </c>
      <c r="D400" s="15">
        <f>IF(Murid!E400="","",Murid!E400)</f>
        <v/>
      </c>
      <c r="E400" s="11" t="n"/>
      <c r="F400" s="10">
        <f>IF(E400="","",IFERROR(VLOOKUP(E400,T_PERK,2,FALSE),0))</f>
        <v/>
      </c>
      <c r="G400" s="11" t="n"/>
      <c r="H400" s="10">
        <f>IF(G400="","",IFERROR(VLOOKUP(G400,T_ANUG,2,FALSE),0))</f>
        <v/>
      </c>
      <c r="I400" s="11" t="n"/>
      <c r="J400" s="11" t="n"/>
      <c r="K400" s="11" t="n"/>
      <c r="L400" s="11" t="n"/>
      <c r="M400" s="11" t="n"/>
      <c r="N400" s="11" t="n"/>
      <c r="O400" s="11" t="n"/>
      <c r="P400" s="10">
        <f>IF(COUNTA(I400:O400)=0,"",MIN(10,SUM(I400:O400)))</f>
        <v/>
      </c>
      <c r="Q400" s="11" t="n"/>
      <c r="R400" s="10">
        <f>IF(Q400="","",IFERROR(VLOOKUP(Q400,T_NILAM,2,FALSE),0))</f>
        <v/>
      </c>
      <c r="S400" s="11" t="n"/>
      <c r="T400" s="10">
        <f>IF(S400="","",IFERROR(VLOOKUP(S400,T_TIMSS,2,FALSE),0))</f>
        <v/>
      </c>
      <c r="U400" s="19">
        <f>IF(COUNT(F400,H400,P400,R400,T400)=0,"",MIN(10,MAX(F400,H400,P400,R400,T400)))</f>
        <v/>
      </c>
      <c r="V400" s="11" t="n"/>
    </row>
    <row r="401">
      <c r="A401" s="15">
        <f>Murid!A401</f>
        <v/>
      </c>
      <c r="B401" s="15">
        <f>IF(Murid!B401="","",Murid!B401)</f>
        <v/>
      </c>
      <c r="C401" s="16">
        <f>IF(Murid!C401="","",Murid!C401)</f>
        <v/>
      </c>
      <c r="D401" s="15">
        <f>IF(Murid!E401="","",Murid!E401)</f>
        <v/>
      </c>
      <c r="E401" s="11" t="n"/>
      <c r="F401" s="10">
        <f>IF(E401="","",IFERROR(VLOOKUP(E401,T_PERK,2,FALSE),0))</f>
        <v/>
      </c>
      <c r="G401" s="11" t="n"/>
      <c r="H401" s="10">
        <f>IF(G401="","",IFERROR(VLOOKUP(G401,T_ANUG,2,FALSE),0))</f>
        <v/>
      </c>
      <c r="I401" s="11" t="n"/>
      <c r="J401" s="11" t="n"/>
      <c r="K401" s="11" t="n"/>
      <c r="L401" s="11" t="n"/>
      <c r="M401" s="11" t="n"/>
      <c r="N401" s="11" t="n"/>
      <c r="O401" s="11" t="n"/>
      <c r="P401" s="10">
        <f>IF(COUNTA(I401:O401)=0,"",MIN(10,SUM(I401:O401)))</f>
        <v/>
      </c>
      <c r="Q401" s="11" t="n"/>
      <c r="R401" s="10">
        <f>IF(Q401="","",IFERROR(VLOOKUP(Q401,T_NILAM,2,FALSE),0))</f>
        <v/>
      </c>
      <c r="S401" s="11" t="n"/>
      <c r="T401" s="10">
        <f>IF(S401="","",IFERROR(VLOOKUP(S401,T_TIMSS,2,FALSE),0))</f>
        <v/>
      </c>
      <c r="U401" s="19">
        <f>IF(COUNT(F401,H401,P401,R401,T401)=0,"",MIN(10,MAX(F401,H401,P401,R401,T401)))</f>
        <v/>
      </c>
      <c r="V401" s="11" t="n"/>
    </row>
    <row r="402">
      <c r="A402" s="15">
        <f>Murid!A402</f>
        <v/>
      </c>
      <c r="B402" s="15">
        <f>IF(Murid!B402="","",Murid!B402)</f>
        <v/>
      </c>
      <c r="C402" s="16">
        <f>IF(Murid!C402="","",Murid!C402)</f>
        <v/>
      </c>
      <c r="D402" s="15">
        <f>IF(Murid!E402="","",Murid!E402)</f>
        <v/>
      </c>
      <c r="E402" s="11" t="n"/>
      <c r="F402" s="10">
        <f>IF(E402="","",IFERROR(VLOOKUP(E402,T_PERK,2,FALSE),0))</f>
        <v/>
      </c>
      <c r="G402" s="11" t="n"/>
      <c r="H402" s="10">
        <f>IF(G402="","",IFERROR(VLOOKUP(G402,T_ANUG,2,FALSE),0))</f>
        <v/>
      </c>
      <c r="I402" s="11" t="n"/>
      <c r="J402" s="11" t="n"/>
      <c r="K402" s="11" t="n"/>
      <c r="L402" s="11" t="n"/>
      <c r="M402" s="11" t="n"/>
      <c r="N402" s="11" t="n"/>
      <c r="O402" s="11" t="n"/>
      <c r="P402" s="10">
        <f>IF(COUNTA(I402:O402)=0,"",MIN(10,SUM(I402:O402)))</f>
        <v/>
      </c>
      <c r="Q402" s="11" t="n"/>
      <c r="R402" s="10">
        <f>IF(Q402="","",IFERROR(VLOOKUP(Q402,T_NILAM,2,FALSE),0))</f>
        <v/>
      </c>
      <c r="S402" s="11" t="n"/>
      <c r="T402" s="10">
        <f>IF(S402="","",IFERROR(VLOOKUP(S402,T_TIMSS,2,FALSE),0))</f>
        <v/>
      </c>
      <c r="U402" s="19">
        <f>IF(COUNT(F402,H402,P402,R402,T402)=0,"",MIN(10,MAX(F402,H402,P402,R402,T402)))</f>
        <v/>
      </c>
      <c r="V402" s="11" t="n"/>
    </row>
    <row r="403">
      <c r="A403" s="15">
        <f>Murid!A403</f>
        <v/>
      </c>
      <c r="B403" s="15">
        <f>IF(Murid!B403="","",Murid!B403)</f>
        <v/>
      </c>
      <c r="C403" s="16">
        <f>IF(Murid!C403="","",Murid!C403)</f>
        <v/>
      </c>
      <c r="D403" s="15">
        <f>IF(Murid!E403="","",Murid!E403)</f>
        <v/>
      </c>
      <c r="E403" s="11" t="n"/>
      <c r="F403" s="10">
        <f>IF(E403="","",IFERROR(VLOOKUP(E403,T_PERK,2,FALSE),0))</f>
        <v/>
      </c>
      <c r="G403" s="11" t="n"/>
      <c r="H403" s="10">
        <f>IF(G403="","",IFERROR(VLOOKUP(G403,T_ANUG,2,FALSE),0))</f>
        <v/>
      </c>
      <c r="I403" s="11" t="n"/>
      <c r="J403" s="11" t="n"/>
      <c r="K403" s="11" t="n"/>
      <c r="L403" s="11" t="n"/>
      <c r="M403" s="11" t="n"/>
      <c r="N403" s="11" t="n"/>
      <c r="O403" s="11" t="n"/>
      <c r="P403" s="10">
        <f>IF(COUNTA(I403:O403)=0,"",MIN(10,SUM(I403:O403)))</f>
        <v/>
      </c>
      <c r="Q403" s="11" t="n"/>
      <c r="R403" s="10">
        <f>IF(Q403="","",IFERROR(VLOOKUP(Q403,T_NILAM,2,FALSE),0))</f>
        <v/>
      </c>
      <c r="S403" s="11" t="n"/>
      <c r="T403" s="10">
        <f>IF(S403="","",IFERROR(VLOOKUP(S403,T_TIMSS,2,FALSE),0))</f>
        <v/>
      </c>
      <c r="U403" s="19">
        <f>IF(COUNT(F403,H403,P403,R403,T403)=0,"",MIN(10,MAX(F403,H403,P403,R403,T403)))</f>
        <v/>
      </c>
      <c r="V403" s="11" t="n"/>
    </row>
    <row r="404">
      <c r="A404" s="15">
        <f>Murid!A404</f>
        <v/>
      </c>
      <c r="B404" s="15">
        <f>IF(Murid!B404="","",Murid!B404)</f>
        <v/>
      </c>
      <c r="C404" s="16">
        <f>IF(Murid!C404="","",Murid!C404)</f>
        <v/>
      </c>
      <c r="D404" s="15">
        <f>IF(Murid!E404="","",Murid!E404)</f>
        <v/>
      </c>
      <c r="E404" s="11" t="n"/>
      <c r="F404" s="10">
        <f>IF(E404="","",IFERROR(VLOOKUP(E404,T_PERK,2,FALSE),0))</f>
        <v/>
      </c>
      <c r="G404" s="11" t="n"/>
      <c r="H404" s="10">
        <f>IF(G404="","",IFERROR(VLOOKUP(G404,T_ANUG,2,FALSE),0))</f>
        <v/>
      </c>
      <c r="I404" s="11" t="n"/>
      <c r="J404" s="11" t="n"/>
      <c r="K404" s="11" t="n"/>
      <c r="L404" s="11" t="n"/>
      <c r="M404" s="11" t="n"/>
      <c r="N404" s="11" t="n"/>
      <c r="O404" s="11" t="n"/>
      <c r="P404" s="10">
        <f>IF(COUNTA(I404:O404)=0,"",MIN(10,SUM(I404:O404)))</f>
        <v/>
      </c>
      <c r="Q404" s="11" t="n"/>
      <c r="R404" s="10">
        <f>IF(Q404="","",IFERROR(VLOOKUP(Q404,T_NILAM,2,FALSE),0))</f>
        <v/>
      </c>
      <c r="S404" s="11" t="n"/>
      <c r="T404" s="10">
        <f>IF(S404="","",IFERROR(VLOOKUP(S404,T_TIMSS,2,FALSE),0))</f>
        <v/>
      </c>
      <c r="U404" s="19">
        <f>IF(COUNT(F404,H404,P404,R404,T404)=0,"",MIN(10,MAX(F404,H404,P404,R404,T404)))</f>
        <v/>
      </c>
      <c r="V404" s="11" t="n"/>
    </row>
    <row r="405">
      <c r="A405" s="15">
        <f>Murid!A405</f>
        <v/>
      </c>
      <c r="B405" s="15">
        <f>IF(Murid!B405="","",Murid!B405)</f>
        <v/>
      </c>
      <c r="C405" s="16">
        <f>IF(Murid!C405="","",Murid!C405)</f>
        <v/>
      </c>
      <c r="D405" s="15">
        <f>IF(Murid!E405="","",Murid!E405)</f>
        <v/>
      </c>
      <c r="E405" s="11" t="n"/>
      <c r="F405" s="10">
        <f>IF(E405="","",IFERROR(VLOOKUP(E405,T_PERK,2,FALSE),0))</f>
        <v/>
      </c>
      <c r="G405" s="11" t="n"/>
      <c r="H405" s="10">
        <f>IF(G405="","",IFERROR(VLOOKUP(G405,T_ANUG,2,FALSE),0))</f>
        <v/>
      </c>
      <c r="I405" s="11" t="n"/>
      <c r="J405" s="11" t="n"/>
      <c r="K405" s="11" t="n"/>
      <c r="L405" s="11" t="n"/>
      <c r="M405" s="11" t="n"/>
      <c r="N405" s="11" t="n"/>
      <c r="O405" s="11" t="n"/>
      <c r="P405" s="10">
        <f>IF(COUNTA(I405:O405)=0,"",MIN(10,SUM(I405:O405)))</f>
        <v/>
      </c>
      <c r="Q405" s="11" t="n"/>
      <c r="R405" s="10">
        <f>IF(Q405="","",IFERROR(VLOOKUP(Q405,T_NILAM,2,FALSE),0))</f>
        <v/>
      </c>
      <c r="S405" s="11" t="n"/>
      <c r="T405" s="10">
        <f>IF(S405="","",IFERROR(VLOOKUP(S405,T_TIMSS,2,FALSE),0))</f>
        <v/>
      </c>
      <c r="U405" s="19">
        <f>IF(COUNT(F405,H405,P405,R405,T405)=0,"",MIN(10,MAX(F405,H405,P405,R405,T405)))</f>
        <v/>
      </c>
      <c r="V405" s="11" t="n"/>
    </row>
    <row r="406">
      <c r="A406" s="15">
        <f>Murid!A406</f>
        <v/>
      </c>
      <c r="B406" s="15">
        <f>IF(Murid!B406="","",Murid!B406)</f>
        <v/>
      </c>
      <c r="C406" s="16">
        <f>IF(Murid!C406="","",Murid!C406)</f>
        <v/>
      </c>
      <c r="D406" s="15">
        <f>IF(Murid!E406="","",Murid!E406)</f>
        <v/>
      </c>
      <c r="E406" s="11" t="n"/>
      <c r="F406" s="10">
        <f>IF(E406="","",IFERROR(VLOOKUP(E406,T_PERK,2,FALSE),0))</f>
        <v/>
      </c>
      <c r="G406" s="11" t="n"/>
      <c r="H406" s="10">
        <f>IF(G406="","",IFERROR(VLOOKUP(G406,T_ANUG,2,FALSE),0))</f>
        <v/>
      </c>
      <c r="I406" s="11" t="n"/>
      <c r="J406" s="11" t="n"/>
      <c r="K406" s="11" t="n"/>
      <c r="L406" s="11" t="n"/>
      <c r="M406" s="11" t="n"/>
      <c r="N406" s="11" t="n"/>
      <c r="O406" s="11" t="n"/>
      <c r="P406" s="10">
        <f>IF(COUNTA(I406:O406)=0,"",MIN(10,SUM(I406:O406)))</f>
        <v/>
      </c>
      <c r="Q406" s="11" t="n"/>
      <c r="R406" s="10">
        <f>IF(Q406="","",IFERROR(VLOOKUP(Q406,T_NILAM,2,FALSE),0))</f>
        <v/>
      </c>
      <c r="S406" s="11" t="n"/>
      <c r="T406" s="10">
        <f>IF(S406="","",IFERROR(VLOOKUP(S406,T_TIMSS,2,FALSE),0))</f>
        <v/>
      </c>
      <c r="U406" s="19">
        <f>IF(COUNT(F406,H406,P406,R406,T406)=0,"",MIN(10,MAX(F406,H406,P406,R406,T406)))</f>
        <v/>
      </c>
      <c r="V406" s="11" t="n"/>
    </row>
    <row r="407">
      <c r="A407" s="15">
        <f>Murid!A407</f>
        <v/>
      </c>
      <c r="B407" s="15">
        <f>IF(Murid!B407="","",Murid!B407)</f>
        <v/>
      </c>
      <c r="C407" s="16">
        <f>IF(Murid!C407="","",Murid!C407)</f>
        <v/>
      </c>
      <c r="D407" s="15">
        <f>IF(Murid!E407="","",Murid!E407)</f>
        <v/>
      </c>
      <c r="E407" s="11" t="n"/>
      <c r="F407" s="10">
        <f>IF(E407="","",IFERROR(VLOOKUP(E407,T_PERK,2,FALSE),0))</f>
        <v/>
      </c>
      <c r="G407" s="11" t="n"/>
      <c r="H407" s="10">
        <f>IF(G407="","",IFERROR(VLOOKUP(G407,T_ANUG,2,FALSE),0))</f>
        <v/>
      </c>
      <c r="I407" s="11" t="n"/>
      <c r="J407" s="11" t="n"/>
      <c r="K407" s="11" t="n"/>
      <c r="L407" s="11" t="n"/>
      <c r="M407" s="11" t="n"/>
      <c r="N407" s="11" t="n"/>
      <c r="O407" s="11" t="n"/>
      <c r="P407" s="10">
        <f>IF(COUNTA(I407:O407)=0,"",MIN(10,SUM(I407:O407)))</f>
        <v/>
      </c>
      <c r="Q407" s="11" t="n"/>
      <c r="R407" s="10">
        <f>IF(Q407="","",IFERROR(VLOOKUP(Q407,T_NILAM,2,FALSE),0))</f>
        <v/>
      </c>
      <c r="S407" s="11" t="n"/>
      <c r="T407" s="10">
        <f>IF(S407="","",IFERROR(VLOOKUP(S407,T_TIMSS,2,FALSE),0))</f>
        <v/>
      </c>
      <c r="U407" s="19">
        <f>IF(COUNT(F407,H407,P407,R407,T407)=0,"",MIN(10,MAX(F407,H407,P407,R407,T407)))</f>
        <v/>
      </c>
      <c r="V407" s="11" t="n"/>
    </row>
    <row r="408">
      <c r="A408" s="15">
        <f>Murid!A408</f>
        <v/>
      </c>
      <c r="B408" s="15">
        <f>IF(Murid!B408="","",Murid!B408)</f>
        <v/>
      </c>
      <c r="C408" s="16">
        <f>IF(Murid!C408="","",Murid!C408)</f>
        <v/>
      </c>
      <c r="D408" s="15">
        <f>IF(Murid!E408="","",Murid!E408)</f>
        <v/>
      </c>
      <c r="E408" s="11" t="n"/>
      <c r="F408" s="10">
        <f>IF(E408="","",IFERROR(VLOOKUP(E408,T_PERK,2,FALSE),0))</f>
        <v/>
      </c>
      <c r="G408" s="11" t="n"/>
      <c r="H408" s="10">
        <f>IF(G408="","",IFERROR(VLOOKUP(G408,T_ANUG,2,FALSE),0))</f>
        <v/>
      </c>
      <c r="I408" s="11" t="n"/>
      <c r="J408" s="11" t="n"/>
      <c r="K408" s="11" t="n"/>
      <c r="L408" s="11" t="n"/>
      <c r="M408" s="11" t="n"/>
      <c r="N408" s="11" t="n"/>
      <c r="O408" s="11" t="n"/>
      <c r="P408" s="10">
        <f>IF(COUNTA(I408:O408)=0,"",MIN(10,SUM(I408:O408)))</f>
        <v/>
      </c>
      <c r="Q408" s="11" t="n"/>
      <c r="R408" s="10">
        <f>IF(Q408="","",IFERROR(VLOOKUP(Q408,T_NILAM,2,FALSE),0))</f>
        <v/>
      </c>
      <c r="S408" s="11" t="n"/>
      <c r="T408" s="10">
        <f>IF(S408="","",IFERROR(VLOOKUP(S408,T_TIMSS,2,FALSE),0))</f>
        <v/>
      </c>
      <c r="U408" s="19">
        <f>IF(COUNT(F408,H408,P408,R408,T408)=0,"",MIN(10,MAX(F408,H408,P408,R408,T408)))</f>
        <v/>
      </c>
      <c r="V408" s="11" t="n"/>
    </row>
    <row r="409">
      <c r="A409" s="15">
        <f>Murid!A409</f>
        <v/>
      </c>
      <c r="B409" s="15">
        <f>IF(Murid!B409="","",Murid!B409)</f>
        <v/>
      </c>
      <c r="C409" s="16">
        <f>IF(Murid!C409="","",Murid!C409)</f>
        <v/>
      </c>
      <c r="D409" s="15">
        <f>IF(Murid!E409="","",Murid!E409)</f>
        <v/>
      </c>
      <c r="E409" s="11" t="n"/>
      <c r="F409" s="10">
        <f>IF(E409="","",IFERROR(VLOOKUP(E409,T_PERK,2,FALSE),0))</f>
        <v/>
      </c>
      <c r="G409" s="11" t="n"/>
      <c r="H409" s="10">
        <f>IF(G409="","",IFERROR(VLOOKUP(G409,T_ANUG,2,FALSE),0))</f>
        <v/>
      </c>
      <c r="I409" s="11" t="n"/>
      <c r="J409" s="11" t="n"/>
      <c r="K409" s="11" t="n"/>
      <c r="L409" s="11" t="n"/>
      <c r="M409" s="11" t="n"/>
      <c r="N409" s="11" t="n"/>
      <c r="O409" s="11" t="n"/>
      <c r="P409" s="10">
        <f>IF(COUNTA(I409:O409)=0,"",MIN(10,SUM(I409:O409)))</f>
        <v/>
      </c>
      <c r="Q409" s="11" t="n"/>
      <c r="R409" s="10">
        <f>IF(Q409="","",IFERROR(VLOOKUP(Q409,T_NILAM,2,FALSE),0))</f>
        <v/>
      </c>
      <c r="S409" s="11" t="n"/>
      <c r="T409" s="10">
        <f>IF(S409="","",IFERROR(VLOOKUP(S409,T_TIMSS,2,FALSE),0))</f>
        <v/>
      </c>
      <c r="U409" s="19">
        <f>IF(COUNT(F409,H409,P409,R409,T409)=0,"",MIN(10,MAX(F409,H409,P409,R409,T409)))</f>
        <v/>
      </c>
      <c r="V409" s="11" t="n"/>
    </row>
    <row r="410">
      <c r="A410" s="15">
        <f>Murid!A410</f>
        <v/>
      </c>
      <c r="B410" s="15">
        <f>IF(Murid!B410="","",Murid!B410)</f>
        <v/>
      </c>
      <c r="C410" s="16">
        <f>IF(Murid!C410="","",Murid!C410)</f>
        <v/>
      </c>
      <c r="D410" s="15">
        <f>IF(Murid!E410="","",Murid!E410)</f>
        <v/>
      </c>
      <c r="E410" s="11" t="n"/>
      <c r="F410" s="10">
        <f>IF(E410="","",IFERROR(VLOOKUP(E410,T_PERK,2,FALSE),0))</f>
        <v/>
      </c>
      <c r="G410" s="11" t="n"/>
      <c r="H410" s="10">
        <f>IF(G410="","",IFERROR(VLOOKUP(G410,T_ANUG,2,FALSE),0))</f>
        <v/>
      </c>
      <c r="I410" s="11" t="n"/>
      <c r="J410" s="11" t="n"/>
      <c r="K410" s="11" t="n"/>
      <c r="L410" s="11" t="n"/>
      <c r="M410" s="11" t="n"/>
      <c r="N410" s="11" t="n"/>
      <c r="O410" s="11" t="n"/>
      <c r="P410" s="10">
        <f>IF(COUNTA(I410:O410)=0,"",MIN(10,SUM(I410:O410)))</f>
        <v/>
      </c>
      <c r="Q410" s="11" t="n"/>
      <c r="R410" s="10">
        <f>IF(Q410="","",IFERROR(VLOOKUP(Q410,T_NILAM,2,FALSE),0))</f>
        <v/>
      </c>
      <c r="S410" s="11" t="n"/>
      <c r="T410" s="10">
        <f>IF(S410="","",IFERROR(VLOOKUP(S410,T_TIMSS,2,FALSE),0))</f>
        <v/>
      </c>
      <c r="U410" s="19">
        <f>IF(COUNT(F410,H410,P410,R410,T410)=0,"",MIN(10,MAX(F410,H410,P410,R410,T410)))</f>
        <v/>
      </c>
      <c r="V410" s="11" t="n"/>
    </row>
    <row r="411">
      <c r="A411" s="15">
        <f>Murid!A411</f>
        <v/>
      </c>
      <c r="B411" s="15">
        <f>IF(Murid!B411="","",Murid!B411)</f>
        <v/>
      </c>
      <c r="C411" s="16">
        <f>IF(Murid!C411="","",Murid!C411)</f>
        <v/>
      </c>
      <c r="D411" s="15">
        <f>IF(Murid!E411="","",Murid!E411)</f>
        <v/>
      </c>
      <c r="E411" s="11" t="n"/>
      <c r="F411" s="10">
        <f>IF(E411="","",IFERROR(VLOOKUP(E411,T_PERK,2,FALSE),0))</f>
        <v/>
      </c>
      <c r="G411" s="11" t="n"/>
      <c r="H411" s="10">
        <f>IF(G411="","",IFERROR(VLOOKUP(G411,T_ANUG,2,FALSE),0))</f>
        <v/>
      </c>
      <c r="I411" s="11" t="n"/>
      <c r="J411" s="11" t="n"/>
      <c r="K411" s="11" t="n"/>
      <c r="L411" s="11" t="n"/>
      <c r="M411" s="11" t="n"/>
      <c r="N411" s="11" t="n"/>
      <c r="O411" s="11" t="n"/>
      <c r="P411" s="10">
        <f>IF(COUNTA(I411:O411)=0,"",MIN(10,SUM(I411:O411)))</f>
        <v/>
      </c>
      <c r="Q411" s="11" t="n"/>
      <c r="R411" s="10">
        <f>IF(Q411="","",IFERROR(VLOOKUP(Q411,T_NILAM,2,FALSE),0))</f>
        <v/>
      </c>
      <c r="S411" s="11" t="n"/>
      <c r="T411" s="10">
        <f>IF(S411="","",IFERROR(VLOOKUP(S411,T_TIMSS,2,FALSE),0))</f>
        <v/>
      </c>
      <c r="U411" s="19">
        <f>IF(COUNT(F411,H411,P411,R411,T411)=0,"",MIN(10,MAX(F411,H411,P411,R411,T411)))</f>
        <v/>
      </c>
      <c r="V411" s="11" t="n"/>
    </row>
    <row r="412">
      <c r="A412" s="15">
        <f>Murid!A412</f>
        <v/>
      </c>
      <c r="B412" s="15">
        <f>IF(Murid!B412="","",Murid!B412)</f>
        <v/>
      </c>
      <c r="C412" s="16">
        <f>IF(Murid!C412="","",Murid!C412)</f>
        <v/>
      </c>
      <c r="D412" s="15">
        <f>IF(Murid!E412="","",Murid!E412)</f>
        <v/>
      </c>
      <c r="E412" s="11" t="n"/>
      <c r="F412" s="10">
        <f>IF(E412="","",IFERROR(VLOOKUP(E412,T_PERK,2,FALSE),0))</f>
        <v/>
      </c>
      <c r="G412" s="11" t="n"/>
      <c r="H412" s="10">
        <f>IF(G412="","",IFERROR(VLOOKUP(G412,T_ANUG,2,FALSE),0))</f>
        <v/>
      </c>
      <c r="I412" s="11" t="n"/>
      <c r="J412" s="11" t="n"/>
      <c r="K412" s="11" t="n"/>
      <c r="L412" s="11" t="n"/>
      <c r="M412" s="11" t="n"/>
      <c r="N412" s="11" t="n"/>
      <c r="O412" s="11" t="n"/>
      <c r="P412" s="10">
        <f>IF(COUNTA(I412:O412)=0,"",MIN(10,SUM(I412:O412)))</f>
        <v/>
      </c>
      <c r="Q412" s="11" t="n"/>
      <c r="R412" s="10">
        <f>IF(Q412="","",IFERROR(VLOOKUP(Q412,T_NILAM,2,FALSE),0))</f>
        <v/>
      </c>
      <c r="S412" s="11" t="n"/>
      <c r="T412" s="10">
        <f>IF(S412="","",IFERROR(VLOOKUP(S412,T_TIMSS,2,FALSE),0))</f>
        <v/>
      </c>
      <c r="U412" s="19">
        <f>IF(COUNT(F412,H412,P412,R412,T412)=0,"",MIN(10,MAX(F412,H412,P412,R412,T412)))</f>
        <v/>
      </c>
      <c r="V412" s="11" t="n"/>
    </row>
    <row r="413">
      <c r="A413" s="15">
        <f>Murid!A413</f>
        <v/>
      </c>
      <c r="B413" s="15">
        <f>IF(Murid!B413="","",Murid!B413)</f>
        <v/>
      </c>
      <c r="C413" s="16">
        <f>IF(Murid!C413="","",Murid!C413)</f>
        <v/>
      </c>
      <c r="D413" s="15">
        <f>IF(Murid!E413="","",Murid!E413)</f>
        <v/>
      </c>
      <c r="E413" s="11" t="n"/>
      <c r="F413" s="10">
        <f>IF(E413="","",IFERROR(VLOOKUP(E413,T_PERK,2,FALSE),0))</f>
        <v/>
      </c>
      <c r="G413" s="11" t="n"/>
      <c r="H413" s="10">
        <f>IF(G413="","",IFERROR(VLOOKUP(G413,T_ANUG,2,FALSE),0))</f>
        <v/>
      </c>
      <c r="I413" s="11" t="n"/>
      <c r="J413" s="11" t="n"/>
      <c r="K413" s="11" t="n"/>
      <c r="L413" s="11" t="n"/>
      <c r="M413" s="11" t="n"/>
      <c r="N413" s="11" t="n"/>
      <c r="O413" s="11" t="n"/>
      <c r="P413" s="10">
        <f>IF(COUNTA(I413:O413)=0,"",MIN(10,SUM(I413:O413)))</f>
        <v/>
      </c>
      <c r="Q413" s="11" t="n"/>
      <c r="R413" s="10">
        <f>IF(Q413="","",IFERROR(VLOOKUP(Q413,T_NILAM,2,FALSE),0))</f>
        <v/>
      </c>
      <c r="S413" s="11" t="n"/>
      <c r="T413" s="10">
        <f>IF(S413="","",IFERROR(VLOOKUP(S413,T_TIMSS,2,FALSE),0))</f>
        <v/>
      </c>
      <c r="U413" s="19">
        <f>IF(COUNT(F413,H413,P413,R413,T413)=0,"",MIN(10,MAX(F413,H413,P413,R413,T413)))</f>
        <v/>
      </c>
      <c r="V413" s="11" t="n"/>
    </row>
    <row r="414">
      <c r="A414" s="15">
        <f>Murid!A414</f>
        <v/>
      </c>
      <c r="B414" s="15">
        <f>IF(Murid!B414="","",Murid!B414)</f>
        <v/>
      </c>
      <c r="C414" s="16">
        <f>IF(Murid!C414="","",Murid!C414)</f>
        <v/>
      </c>
      <c r="D414" s="15">
        <f>IF(Murid!E414="","",Murid!E414)</f>
        <v/>
      </c>
      <c r="E414" s="11" t="n"/>
      <c r="F414" s="10">
        <f>IF(E414="","",IFERROR(VLOOKUP(E414,T_PERK,2,FALSE),0))</f>
        <v/>
      </c>
      <c r="G414" s="11" t="n"/>
      <c r="H414" s="10">
        <f>IF(G414="","",IFERROR(VLOOKUP(G414,T_ANUG,2,FALSE),0))</f>
        <v/>
      </c>
      <c r="I414" s="11" t="n"/>
      <c r="J414" s="11" t="n"/>
      <c r="K414" s="11" t="n"/>
      <c r="L414" s="11" t="n"/>
      <c r="M414" s="11" t="n"/>
      <c r="N414" s="11" t="n"/>
      <c r="O414" s="11" t="n"/>
      <c r="P414" s="10">
        <f>IF(COUNTA(I414:O414)=0,"",MIN(10,SUM(I414:O414)))</f>
        <v/>
      </c>
      <c r="Q414" s="11" t="n"/>
      <c r="R414" s="10">
        <f>IF(Q414="","",IFERROR(VLOOKUP(Q414,T_NILAM,2,FALSE),0))</f>
        <v/>
      </c>
      <c r="S414" s="11" t="n"/>
      <c r="T414" s="10">
        <f>IF(S414="","",IFERROR(VLOOKUP(S414,T_TIMSS,2,FALSE),0))</f>
        <v/>
      </c>
      <c r="U414" s="19">
        <f>IF(COUNT(F414,H414,P414,R414,T414)=0,"",MIN(10,MAX(F414,H414,P414,R414,T414)))</f>
        <v/>
      </c>
      <c r="V414" s="11" t="n"/>
    </row>
    <row r="415">
      <c r="A415" s="15">
        <f>Murid!A415</f>
        <v/>
      </c>
      <c r="B415" s="15">
        <f>IF(Murid!B415="","",Murid!B415)</f>
        <v/>
      </c>
      <c r="C415" s="16">
        <f>IF(Murid!C415="","",Murid!C415)</f>
        <v/>
      </c>
      <c r="D415" s="15">
        <f>IF(Murid!E415="","",Murid!E415)</f>
        <v/>
      </c>
      <c r="E415" s="11" t="n"/>
      <c r="F415" s="10">
        <f>IF(E415="","",IFERROR(VLOOKUP(E415,T_PERK,2,FALSE),0))</f>
        <v/>
      </c>
      <c r="G415" s="11" t="n"/>
      <c r="H415" s="10">
        <f>IF(G415="","",IFERROR(VLOOKUP(G415,T_ANUG,2,FALSE),0))</f>
        <v/>
      </c>
      <c r="I415" s="11" t="n"/>
      <c r="J415" s="11" t="n"/>
      <c r="K415" s="11" t="n"/>
      <c r="L415" s="11" t="n"/>
      <c r="M415" s="11" t="n"/>
      <c r="N415" s="11" t="n"/>
      <c r="O415" s="11" t="n"/>
      <c r="P415" s="10">
        <f>IF(COUNTA(I415:O415)=0,"",MIN(10,SUM(I415:O415)))</f>
        <v/>
      </c>
      <c r="Q415" s="11" t="n"/>
      <c r="R415" s="10">
        <f>IF(Q415="","",IFERROR(VLOOKUP(Q415,T_NILAM,2,FALSE),0))</f>
        <v/>
      </c>
      <c r="S415" s="11" t="n"/>
      <c r="T415" s="10">
        <f>IF(S415="","",IFERROR(VLOOKUP(S415,T_TIMSS,2,FALSE),0))</f>
        <v/>
      </c>
      <c r="U415" s="19">
        <f>IF(COUNT(F415,H415,P415,R415,T415)=0,"",MIN(10,MAX(F415,H415,P415,R415,T415)))</f>
        <v/>
      </c>
      <c r="V415" s="11" t="n"/>
    </row>
    <row r="416">
      <c r="A416" s="15">
        <f>Murid!A416</f>
        <v/>
      </c>
      <c r="B416" s="15">
        <f>IF(Murid!B416="","",Murid!B416)</f>
        <v/>
      </c>
      <c r="C416" s="16">
        <f>IF(Murid!C416="","",Murid!C416)</f>
        <v/>
      </c>
      <c r="D416" s="15">
        <f>IF(Murid!E416="","",Murid!E416)</f>
        <v/>
      </c>
      <c r="E416" s="11" t="n"/>
      <c r="F416" s="10">
        <f>IF(E416="","",IFERROR(VLOOKUP(E416,T_PERK,2,FALSE),0))</f>
        <v/>
      </c>
      <c r="G416" s="11" t="n"/>
      <c r="H416" s="10">
        <f>IF(G416="","",IFERROR(VLOOKUP(G416,T_ANUG,2,FALSE),0))</f>
        <v/>
      </c>
      <c r="I416" s="11" t="n"/>
      <c r="J416" s="11" t="n"/>
      <c r="K416" s="11" t="n"/>
      <c r="L416" s="11" t="n"/>
      <c r="M416" s="11" t="n"/>
      <c r="N416" s="11" t="n"/>
      <c r="O416" s="11" t="n"/>
      <c r="P416" s="10">
        <f>IF(COUNTA(I416:O416)=0,"",MIN(10,SUM(I416:O416)))</f>
        <v/>
      </c>
      <c r="Q416" s="11" t="n"/>
      <c r="R416" s="10">
        <f>IF(Q416="","",IFERROR(VLOOKUP(Q416,T_NILAM,2,FALSE),0))</f>
        <v/>
      </c>
      <c r="S416" s="11" t="n"/>
      <c r="T416" s="10">
        <f>IF(S416="","",IFERROR(VLOOKUP(S416,T_TIMSS,2,FALSE),0))</f>
        <v/>
      </c>
      <c r="U416" s="19">
        <f>IF(COUNT(F416,H416,P416,R416,T416)=0,"",MIN(10,MAX(F416,H416,P416,R416,T416)))</f>
        <v/>
      </c>
      <c r="V416" s="11" t="n"/>
    </row>
    <row r="417">
      <c r="A417" s="15">
        <f>Murid!A417</f>
        <v/>
      </c>
      <c r="B417" s="15">
        <f>IF(Murid!B417="","",Murid!B417)</f>
        <v/>
      </c>
      <c r="C417" s="16">
        <f>IF(Murid!C417="","",Murid!C417)</f>
        <v/>
      </c>
      <c r="D417" s="15">
        <f>IF(Murid!E417="","",Murid!E417)</f>
        <v/>
      </c>
      <c r="E417" s="11" t="n"/>
      <c r="F417" s="10">
        <f>IF(E417="","",IFERROR(VLOOKUP(E417,T_PERK,2,FALSE),0))</f>
        <v/>
      </c>
      <c r="G417" s="11" t="n"/>
      <c r="H417" s="10">
        <f>IF(G417="","",IFERROR(VLOOKUP(G417,T_ANUG,2,FALSE),0))</f>
        <v/>
      </c>
      <c r="I417" s="11" t="n"/>
      <c r="J417" s="11" t="n"/>
      <c r="K417" s="11" t="n"/>
      <c r="L417" s="11" t="n"/>
      <c r="M417" s="11" t="n"/>
      <c r="N417" s="11" t="n"/>
      <c r="O417" s="11" t="n"/>
      <c r="P417" s="10">
        <f>IF(COUNTA(I417:O417)=0,"",MIN(10,SUM(I417:O417)))</f>
        <v/>
      </c>
      <c r="Q417" s="11" t="n"/>
      <c r="R417" s="10">
        <f>IF(Q417="","",IFERROR(VLOOKUP(Q417,T_NILAM,2,FALSE),0))</f>
        <v/>
      </c>
      <c r="S417" s="11" t="n"/>
      <c r="T417" s="10">
        <f>IF(S417="","",IFERROR(VLOOKUP(S417,T_TIMSS,2,FALSE),0))</f>
        <v/>
      </c>
      <c r="U417" s="19">
        <f>IF(COUNT(F417,H417,P417,R417,T417)=0,"",MIN(10,MAX(F417,H417,P417,R417,T417)))</f>
        <v/>
      </c>
      <c r="V417" s="11" t="n"/>
    </row>
    <row r="418">
      <c r="A418" s="15">
        <f>Murid!A418</f>
        <v/>
      </c>
      <c r="B418" s="15">
        <f>IF(Murid!B418="","",Murid!B418)</f>
        <v/>
      </c>
      <c r="C418" s="16">
        <f>IF(Murid!C418="","",Murid!C418)</f>
        <v/>
      </c>
      <c r="D418" s="15">
        <f>IF(Murid!E418="","",Murid!E418)</f>
        <v/>
      </c>
      <c r="E418" s="11" t="n"/>
      <c r="F418" s="10">
        <f>IF(E418="","",IFERROR(VLOOKUP(E418,T_PERK,2,FALSE),0))</f>
        <v/>
      </c>
      <c r="G418" s="11" t="n"/>
      <c r="H418" s="10">
        <f>IF(G418="","",IFERROR(VLOOKUP(G418,T_ANUG,2,FALSE),0))</f>
        <v/>
      </c>
      <c r="I418" s="11" t="n"/>
      <c r="J418" s="11" t="n"/>
      <c r="K418" s="11" t="n"/>
      <c r="L418" s="11" t="n"/>
      <c r="M418" s="11" t="n"/>
      <c r="N418" s="11" t="n"/>
      <c r="O418" s="11" t="n"/>
      <c r="P418" s="10">
        <f>IF(COUNTA(I418:O418)=0,"",MIN(10,SUM(I418:O418)))</f>
        <v/>
      </c>
      <c r="Q418" s="11" t="n"/>
      <c r="R418" s="10">
        <f>IF(Q418="","",IFERROR(VLOOKUP(Q418,T_NILAM,2,FALSE),0))</f>
        <v/>
      </c>
      <c r="S418" s="11" t="n"/>
      <c r="T418" s="10">
        <f>IF(S418="","",IFERROR(VLOOKUP(S418,T_TIMSS,2,FALSE),0))</f>
        <v/>
      </c>
      <c r="U418" s="19">
        <f>IF(COUNT(F418,H418,P418,R418,T418)=0,"",MIN(10,MAX(F418,H418,P418,R418,T418)))</f>
        <v/>
      </c>
      <c r="V418" s="11" t="n"/>
    </row>
    <row r="419">
      <c r="A419" s="15">
        <f>Murid!A419</f>
        <v/>
      </c>
      <c r="B419" s="15">
        <f>IF(Murid!B419="","",Murid!B419)</f>
        <v/>
      </c>
      <c r="C419" s="16">
        <f>IF(Murid!C419="","",Murid!C419)</f>
        <v/>
      </c>
      <c r="D419" s="15">
        <f>IF(Murid!E419="","",Murid!E419)</f>
        <v/>
      </c>
      <c r="E419" s="11" t="n"/>
      <c r="F419" s="10">
        <f>IF(E419="","",IFERROR(VLOOKUP(E419,T_PERK,2,FALSE),0))</f>
        <v/>
      </c>
      <c r="G419" s="11" t="n"/>
      <c r="H419" s="10">
        <f>IF(G419="","",IFERROR(VLOOKUP(G419,T_ANUG,2,FALSE),0))</f>
        <v/>
      </c>
      <c r="I419" s="11" t="n"/>
      <c r="J419" s="11" t="n"/>
      <c r="K419" s="11" t="n"/>
      <c r="L419" s="11" t="n"/>
      <c r="M419" s="11" t="n"/>
      <c r="N419" s="11" t="n"/>
      <c r="O419" s="11" t="n"/>
      <c r="P419" s="10">
        <f>IF(COUNTA(I419:O419)=0,"",MIN(10,SUM(I419:O419)))</f>
        <v/>
      </c>
      <c r="Q419" s="11" t="n"/>
      <c r="R419" s="10">
        <f>IF(Q419="","",IFERROR(VLOOKUP(Q419,T_NILAM,2,FALSE),0))</f>
        <v/>
      </c>
      <c r="S419" s="11" t="n"/>
      <c r="T419" s="10">
        <f>IF(S419="","",IFERROR(VLOOKUP(S419,T_TIMSS,2,FALSE),0))</f>
        <v/>
      </c>
      <c r="U419" s="19">
        <f>IF(COUNT(F419,H419,P419,R419,T419)=0,"",MIN(10,MAX(F419,H419,P419,R419,T419)))</f>
        <v/>
      </c>
      <c r="V419" s="11" t="n"/>
    </row>
    <row r="420">
      <c r="A420" s="15">
        <f>Murid!A420</f>
        <v/>
      </c>
      <c r="B420" s="15">
        <f>IF(Murid!B420="","",Murid!B420)</f>
        <v/>
      </c>
      <c r="C420" s="16">
        <f>IF(Murid!C420="","",Murid!C420)</f>
        <v/>
      </c>
      <c r="D420" s="15">
        <f>IF(Murid!E420="","",Murid!E420)</f>
        <v/>
      </c>
      <c r="E420" s="11" t="n"/>
      <c r="F420" s="10">
        <f>IF(E420="","",IFERROR(VLOOKUP(E420,T_PERK,2,FALSE),0))</f>
        <v/>
      </c>
      <c r="G420" s="11" t="n"/>
      <c r="H420" s="10">
        <f>IF(G420="","",IFERROR(VLOOKUP(G420,T_ANUG,2,FALSE),0))</f>
        <v/>
      </c>
      <c r="I420" s="11" t="n"/>
      <c r="J420" s="11" t="n"/>
      <c r="K420" s="11" t="n"/>
      <c r="L420" s="11" t="n"/>
      <c r="M420" s="11" t="n"/>
      <c r="N420" s="11" t="n"/>
      <c r="O420" s="11" t="n"/>
      <c r="P420" s="10">
        <f>IF(COUNTA(I420:O420)=0,"",MIN(10,SUM(I420:O420)))</f>
        <v/>
      </c>
      <c r="Q420" s="11" t="n"/>
      <c r="R420" s="10">
        <f>IF(Q420="","",IFERROR(VLOOKUP(Q420,T_NILAM,2,FALSE),0))</f>
        <v/>
      </c>
      <c r="S420" s="11" t="n"/>
      <c r="T420" s="10">
        <f>IF(S420="","",IFERROR(VLOOKUP(S420,T_TIMSS,2,FALSE),0))</f>
        <v/>
      </c>
      <c r="U420" s="19">
        <f>IF(COUNT(F420,H420,P420,R420,T420)=0,"",MIN(10,MAX(F420,H420,P420,R420,T420)))</f>
        <v/>
      </c>
      <c r="V420" s="11" t="n"/>
    </row>
    <row r="421">
      <c r="A421" s="15">
        <f>Murid!A421</f>
        <v/>
      </c>
      <c r="B421" s="15">
        <f>IF(Murid!B421="","",Murid!B421)</f>
        <v/>
      </c>
      <c r="C421" s="16">
        <f>IF(Murid!C421="","",Murid!C421)</f>
        <v/>
      </c>
      <c r="D421" s="15">
        <f>IF(Murid!E421="","",Murid!E421)</f>
        <v/>
      </c>
      <c r="E421" s="11" t="n"/>
      <c r="F421" s="10">
        <f>IF(E421="","",IFERROR(VLOOKUP(E421,T_PERK,2,FALSE),0))</f>
        <v/>
      </c>
      <c r="G421" s="11" t="n"/>
      <c r="H421" s="10">
        <f>IF(G421="","",IFERROR(VLOOKUP(G421,T_ANUG,2,FALSE),0))</f>
        <v/>
      </c>
      <c r="I421" s="11" t="n"/>
      <c r="J421" s="11" t="n"/>
      <c r="K421" s="11" t="n"/>
      <c r="L421" s="11" t="n"/>
      <c r="M421" s="11" t="n"/>
      <c r="N421" s="11" t="n"/>
      <c r="O421" s="11" t="n"/>
      <c r="P421" s="10">
        <f>IF(COUNTA(I421:O421)=0,"",MIN(10,SUM(I421:O421)))</f>
        <v/>
      </c>
      <c r="Q421" s="11" t="n"/>
      <c r="R421" s="10">
        <f>IF(Q421="","",IFERROR(VLOOKUP(Q421,T_NILAM,2,FALSE),0))</f>
        <v/>
      </c>
      <c r="S421" s="11" t="n"/>
      <c r="T421" s="10">
        <f>IF(S421="","",IFERROR(VLOOKUP(S421,T_TIMSS,2,FALSE),0))</f>
        <v/>
      </c>
      <c r="U421" s="19">
        <f>IF(COUNT(F421,H421,P421,R421,T421)=0,"",MIN(10,MAX(F421,H421,P421,R421,T421)))</f>
        <v/>
      </c>
      <c r="V421" s="11" t="n"/>
    </row>
    <row r="422">
      <c r="A422" s="15">
        <f>Murid!A422</f>
        <v/>
      </c>
      <c r="B422" s="15">
        <f>IF(Murid!B422="","",Murid!B422)</f>
        <v/>
      </c>
      <c r="C422" s="16">
        <f>IF(Murid!C422="","",Murid!C422)</f>
        <v/>
      </c>
      <c r="D422" s="15">
        <f>IF(Murid!E422="","",Murid!E422)</f>
        <v/>
      </c>
      <c r="E422" s="11" t="n"/>
      <c r="F422" s="10">
        <f>IF(E422="","",IFERROR(VLOOKUP(E422,T_PERK,2,FALSE),0))</f>
        <v/>
      </c>
      <c r="G422" s="11" t="n"/>
      <c r="H422" s="10">
        <f>IF(G422="","",IFERROR(VLOOKUP(G422,T_ANUG,2,FALSE),0))</f>
        <v/>
      </c>
      <c r="I422" s="11" t="n"/>
      <c r="J422" s="11" t="n"/>
      <c r="K422" s="11" t="n"/>
      <c r="L422" s="11" t="n"/>
      <c r="M422" s="11" t="n"/>
      <c r="N422" s="11" t="n"/>
      <c r="O422" s="11" t="n"/>
      <c r="P422" s="10">
        <f>IF(COUNTA(I422:O422)=0,"",MIN(10,SUM(I422:O422)))</f>
        <v/>
      </c>
      <c r="Q422" s="11" t="n"/>
      <c r="R422" s="10">
        <f>IF(Q422="","",IFERROR(VLOOKUP(Q422,T_NILAM,2,FALSE),0))</f>
        <v/>
      </c>
      <c r="S422" s="11" t="n"/>
      <c r="T422" s="10">
        <f>IF(S422="","",IFERROR(VLOOKUP(S422,T_TIMSS,2,FALSE),0))</f>
        <v/>
      </c>
      <c r="U422" s="19">
        <f>IF(COUNT(F422,H422,P422,R422,T422)=0,"",MIN(10,MAX(F422,H422,P422,R422,T422)))</f>
        <v/>
      </c>
      <c r="V422" s="11" t="n"/>
    </row>
    <row r="423">
      <c r="A423" s="15">
        <f>Murid!A423</f>
        <v/>
      </c>
      <c r="B423" s="15">
        <f>IF(Murid!B423="","",Murid!B423)</f>
        <v/>
      </c>
      <c r="C423" s="16">
        <f>IF(Murid!C423="","",Murid!C423)</f>
        <v/>
      </c>
      <c r="D423" s="15">
        <f>IF(Murid!E423="","",Murid!E423)</f>
        <v/>
      </c>
      <c r="E423" s="11" t="n"/>
      <c r="F423" s="10">
        <f>IF(E423="","",IFERROR(VLOOKUP(E423,T_PERK,2,FALSE),0))</f>
        <v/>
      </c>
      <c r="G423" s="11" t="n"/>
      <c r="H423" s="10">
        <f>IF(G423="","",IFERROR(VLOOKUP(G423,T_ANUG,2,FALSE),0))</f>
        <v/>
      </c>
      <c r="I423" s="11" t="n"/>
      <c r="J423" s="11" t="n"/>
      <c r="K423" s="11" t="n"/>
      <c r="L423" s="11" t="n"/>
      <c r="M423" s="11" t="n"/>
      <c r="N423" s="11" t="n"/>
      <c r="O423" s="11" t="n"/>
      <c r="P423" s="10">
        <f>IF(COUNTA(I423:O423)=0,"",MIN(10,SUM(I423:O423)))</f>
        <v/>
      </c>
      <c r="Q423" s="11" t="n"/>
      <c r="R423" s="10">
        <f>IF(Q423="","",IFERROR(VLOOKUP(Q423,T_NILAM,2,FALSE),0))</f>
        <v/>
      </c>
      <c r="S423" s="11" t="n"/>
      <c r="T423" s="10">
        <f>IF(S423="","",IFERROR(VLOOKUP(S423,T_TIMSS,2,FALSE),0))</f>
        <v/>
      </c>
      <c r="U423" s="19">
        <f>IF(COUNT(F423,H423,P423,R423,T423)=0,"",MIN(10,MAX(F423,H423,P423,R423,T423)))</f>
        <v/>
      </c>
      <c r="V423" s="11" t="n"/>
    </row>
    <row r="424">
      <c r="A424" s="15">
        <f>Murid!A424</f>
        <v/>
      </c>
      <c r="B424" s="15">
        <f>IF(Murid!B424="","",Murid!B424)</f>
        <v/>
      </c>
      <c r="C424" s="16">
        <f>IF(Murid!C424="","",Murid!C424)</f>
        <v/>
      </c>
      <c r="D424" s="15">
        <f>IF(Murid!E424="","",Murid!E424)</f>
        <v/>
      </c>
      <c r="E424" s="11" t="n"/>
      <c r="F424" s="10">
        <f>IF(E424="","",IFERROR(VLOOKUP(E424,T_PERK,2,FALSE),0))</f>
        <v/>
      </c>
      <c r="G424" s="11" t="n"/>
      <c r="H424" s="10">
        <f>IF(G424="","",IFERROR(VLOOKUP(G424,T_ANUG,2,FALSE),0))</f>
        <v/>
      </c>
      <c r="I424" s="11" t="n"/>
      <c r="J424" s="11" t="n"/>
      <c r="K424" s="11" t="n"/>
      <c r="L424" s="11" t="n"/>
      <c r="M424" s="11" t="n"/>
      <c r="N424" s="11" t="n"/>
      <c r="O424" s="11" t="n"/>
      <c r="P424" s="10">
        <f>IF(COUNTA(I424:O424)=0,"",MIN(10,SUM(I424:O424)))</f>
        <v/>
      </c>
      <c r="Q424" s="11" t="n"/>
      <c r="R424" s="10">
        <f>IF(Q424="","",IFERROR(VLOOKUP(Q424,T_NILAM,2,FALSE),0))</f>
        <v/>
      </c>
      <c r="S424" s="11" t="n"/>
      <c r="T424" s="10">
        <f>IF(S424="","",IFERROR(VLOOKUP(S424,T_TIMSS,2,FALSE),0))</f>
        <v/>
      </c>
      <c r="U424" s="19">
        <f>IF(COUNT(F424,H424,P424,R424,T424)=0,"",MIN(10,MAX(F424,H424,P424,R424,T424)))</f>
        <v/>
      </c>
      <c r="V424" s="11" t="n"/>
    </row>
    <row r="425">
      <c r="A425" s="15">
        <f>Murid!A425</f>
        <v/>
      </c>
      <c r="B425" s="15">
        <f>IF(Murid!B425="","",Murid!B425)</f>
        <v/>
      </c>
      <c r="C425" s="16">
        <f>IF(Murid!C425="","",Murid!C425)</f>
        <v/>
      </c>
      <c r="D425" s="15">
        <f>IF(Murid!E425="","",Murid!E425)</f>
        <v/>
      </c>
      <c r="E425" s="11" t="n"/>
      <c r="F425" s="10">
        <f>IF(E425="","",IFERROR(VLOOKUP(E425,T_PERK,2,FALSE),0))</f>
        <v/>
      </c>
      <c r="G425" s="11" t="n"/>
      <c r="H425" s="10">
        <f>IF(G425="","",IFERROR(VLOOKUP(G425,T_ANUG,2,FALSE),0))</f>
        <v/>
      </c>
      <c r="I425" s="11" t="n"/>
      <c r="J425" s="11" t="n"/>
      <c r="K425" s="11" t="n"/>
      <c r="L425" s="11" t="n"/>
      <c r="M425" s="11" t="n"/>
      <c r="N425" s="11" t="n"/>
      <c r="O425" s="11" t="n"/>
      <c r="P425" s="10">
        <f>IF(COUNTA(I425:O425)=0,"",MIN(10,SUM(I425:O425)))</f>
        <v/>
      </c>
      <c r="Q425" s="11" t="n"/>
      <c r="R425" s="10">
        <f>IF(Q425="","",IFERROR(VLOOKUP(Q425,T_NILAM,2,FALSE),0))</f>
        <v/>
      </c>
      <c r="S425" s="11" t="n"/>
      <c r="T425" s="10">
        <f>IF(S425="","",IFERROR(VLOOKUP(S425,T_TIMSS,2,FALSE),0))</f>
        <v/>
      </c>
      <c r="U425" s="19">
        <f>IF(COUNT(F425,H425,P425,R425,T425)=0,"",MIN(10,MAX(F425,H425,P425,R425,T425)))</f>
        <v/>
      </c>
      <c r="V425" s="11" t="n"/>
    </row>
    <row r="426">
      <c r="A426" s="15">
        <f>Murid!A426</f>
        <v/>
      </c>
      <c r="B426" s="15">
        <f>IF(Murid!B426="","",Murid!B426)</f>
        <v/>
      </c>
      <c r="C426" s="16">
        <f>IF(Murid!C426="","",Murid!C426)</f>
        <v/>
      </c>
      <c r="D426" s="15">
        <f>IF(Murid!E426="","",Murid!E426)</f>
        <v/>
      </c>
      <c r="E426" s="11" t="n"/>
      <c r="F426" s="10">
        <f>IF(E426="","",IFERROR(VLOOKUP(E426,T_PERK,2,FALSE),0))</f>
        <v/>
      </c>
      <c r="G426" s="11" t="n"/>
      <c r="H426" s="10">
        <f>IF(G426="","",IFERROR(VLOOKUP(G426,T_ANUG,2,FALSE),0))</f>
        <v/>
      </c>
      <c r="I426" s="11" t="n"/>
      <c r="J426" s="11" t="n"/>
      <c r="K426" s="11" t="n"/>
      <c r="L426" s="11" t="n"/>
      <c r="M426" s="11" t="n"/>
      <c r="N426" s="11" t="n"/>
      <c r="O426" s="11" t="n"/>
      <c r="P426" s="10">
        <f>IF(COUNTA(I426:O426)=0,"",MIN(10,SUM(I426:O426)))</f>
        <v/>
      </c>
      <c r="Q426" s="11" t="n"/>
      <c r="R426" s="10">
        <f>IF(Q426="","",IFERROR(VLOOKUP(Q426,T_NILAM,2,FALSE),0))</f>
        <v/>
      </c>
      <c r="S426" s="11" t="n"/>
      <c r="T426" s="10">
        <f>IF(S426="","",IFERROR(VLOOKUP(S426,T_TIMSS,2,FALSE),0))</f>
        <v/>
      </c>
      <c r="U426" s="19">
        <f>IF(COUNT(F426,H426,P426,R426,T426)=0,"",MIN(10,MAX(F426,H426,P426,R426,T426)))</f>
        <v/>
      </c>
      <c r="V426" s="11" t="n"/>
    </row>
    <row r="427">
      <c r="A427" s="15">
        <f>Murid!A427</f>
        <v/>
      </c>
      <c r="B427" s="15">
        <f>IF(Murid!B427="","",Murid!B427)</f>
        <v/>
      </c>
      <c r="C427" s="16">
        <f>IF(Murid!C427="","",Murid!C427)</f>
        <v/>
      </c>
      <c r="D427" s="15">
        <f>IF(Murid!E427="","",Murid!E427)</f>
        <v/>
      </c>
      <c r="E427" s="11" t="n"/>
      <c r="F427" s="10">
        <f>IF(E427="","",IFERROR(VLOOKUP(E427,T_PERK,2,FALSE),0))</f>
        <v/>
      </c>
      <c r="G427" s="11" t="n"/>
      <c r="H427" s="10">
        <f>IF(G427="","",IFERROR(VLOOKUP(G427,T_ANUG,2,FALSE),0))</f>
        <v/>
      </c>
      <c r="I427" s="11" t="n"/>
      <c r="J427" s="11" t="n"/>
      <c r="K427" s="11" t="n"/>
      <c r="L427" s="11" t="n"/>
      <c r="M427" s="11" t="n"/>
      <c r="N427" s="11" t="n"/>
      <c r="O427" s="11" t="n"/>
      <c r="P427" s="10">
        <f>IF(COUNTA(I427:O427)=0,"",MIN(10,SUM(I427:O427)))</f>
        <v/>
      </c>
      <c r="Q427" s="11" t="n"/>
      <c r="R427" s="10">
        <f>IF(Q427="","",IFERROR(VLOOKUP(Q427,T_NILAM,2,FALSE),0))</f>
        <v/>
      </c>
      <c r="S427" s="11" t="n"/>
      <c r="T427" s="10">
        <f>IF(S427="","",IFERROR(VLOOKUP(S427,T_TIMSS,2,FALSE),0))</f>
        <v/>
      </c>
      <c r="U427" s="19">
        <f>IF(COUNT(F427,H427,P427,R427,T427)=0,"",MIN(10,MAX(F427,H427,P427,R427,T427)))</f>
        <v/>
      </c>
      <c r="V427" s="11" t="n"/>
    </row>
    <row r="428">
      <c r="A428" s="15">
        <f>Murid!A428</f>
        <v/>
      </c>
      <c r="B428" s="15">
        <f>IF(Murid!B428="","",Murid!B428)</f>
        <v/>
      </c>
      <c r="C428" s="16">
        <f>IF(Murid!C428="","",Murid!C428)</f>
        <v/>
      </c>
      <c r="D428" s="15">
        <f>IF(Murid!E428="","",Murid!E428)</f>
        <v/>
      </c>
      <c r="E428" s="11" t="n"/>
      <c r="F428" s="10">
        <f>IF(E428="","",IFERROR(VLOOKUP(E428,T_PERK,2,FALSE),0))</f>
        <v/>
      </c>
      <c r="G428" s="11" t="n"/>
      <c r="H428" s="10">
        <f>IF(G428="","",IFERROR(VLOOKUP(G428,T_ANUG,2,FALSE),0))</f>
        <v/>
      </c>
      <c r="I428" s="11" t="n"/>
      <c r="J428" s="11" t="n"/>
      <c r="K428" s="11" t="n"/>
      <c r="L428" s="11" t="n"/>
      <c r="M428" s="11" t="n"/>
      <c r="N428" s="11" t="n"/>
      <c r="O428" s="11" t="n"/>
      <c r="P428" s="10">
        <f>IF(COUNTA(I428:O428)=0,"",MIN(10,SUM(I428:O428)))</f>
        <v/>
      </c>
      <c r="Q428" s="11" t="n"/>
      <c r="R428" s="10">
        <f>IF(Q428="","",IFERROR(VLOOKUP(Q428,T_NILAM,2,FALSE),0))</f>
        <v/>
      </c>
      <c r="S428" s="11" t="n"/>
      <c r="T428" s="10">
        <f>IF(S428="","",IFERROR(VLOOKUP(S428,T_TIMSS,2,FALSE),0))</f>
        <v/>
      </c>
      <c r="U428" s="19">
        <f>IF(COUNT(F428,H428,P428,R428,T428)=0,"",MIN(10,MAX(F428,H428,P428,R428,T428)))</f>
        <v/>
      </c>
      <c r="V428" s="11" t="n"/>
    </row>
    <row r="429">
      <c r="A429" s="15">
        <f>Murid!A429</f>
        <v/>
      </c>
      <c r="B429" s="15">
        <f>IF(Murid!B429="","",Murid!B429)</f>
        <v/>
      </c>
      <c r="C429" s="16">
        <f>IF(Murid!C429="","",Murid!C429)</f>
        <v/>
      </c>
      <c r="D429" s="15">
        <f>IF(Murid!E429="","",Murid!E429)</f>
        <v/>
      </c>
      <c r="E429" s="11" t="n"/>
      <c r="F429" s="10">
        <f>IF(E429="","",IFERROR(VLOOKUP(E429,T_PERK,2,FALSE),0))</f>
        <v/>
      </c>
      <c r="G429" s="11" t="n"/>
      <c r="H429" s="10">
        <f>IF(G429="","",IFERROR(VLOOKUP(G429,T_ANUG,2,FALSE),0))</f>
        <v/>
      </c>
      <c r="I429" s="11" t="n"/>
      <c r="J429" s="11" t="n"/>
      <c r="K429" s="11" t="n"/>
      <c r="L429" s="11" t="n"/>
      <c r="M429" s="11" t="n"/>
      <c r="N429" s="11" t="n"/>
      <c r="O429" s="11" t="n"/>
      <c r="P429" s="10">
        <f>IF(COUNTA(I429:O429)=0,"",MIN(10,SUM(I429:O429)))</f>
        <v/>
      </c>
      <c r="Q429" s="11" t="n"/>
      <c r="R429" s="10">
        <f>IF(Q429="","",IFERROR(VLOOKUP(Q429,T_NILAM,2,FALSE),0))</f>
        <v/>
      </c>
      <c r="S429" s="11" t="n"/>
      <c r="T429" s="10">
        <f>IF(S429="","",IFERROR(VLOOKUP(S429,T_TIMSS,2,FALSE),0))</f>
        <v/>
      </c>
      <c r="U429" s="19">
        <f>IF(COUNT(F429,H429,P429,R429,T429)=0,"",MIN(10,MAX(F429,H429,P429,R429,T429)))</f>
        <v/>
      </c>
      <c r="V429" s="11" t="n"/>
    </row>
    <row r="430">
      <c r="A430" s="15">
        <f>Murid!A430</f>
        <v/>
      </c>
      <c r="B430" s="15">
        <f>IF(Murid!B430="","",Murid!B430)</f>
        <v/>
      </c>
      <c r="C430" s="16">
        <f>IF(Murid!C430="","",Murid!C430)</f>
        <v/>
      </c>
      <c r="D430" s="15">
        <f>IF(Murid!E430="","",Murid!E430)</f>
        <v/>
      </c>
      <c r="E430" s="11" t="n"/>
      <c r="F430" s="10">
        <f>IF(E430="","",IFERROR(VLOOKUP(E430,T_PERK,2,FALSE),0))</f>
        <v/>
      </c>
      <c r="G430" s="11" t="n"/>
      <c r="H430" s="10">
        <f>IF(G430="","",IFERROR(VLOOKUP(G430,T_ANUG,2,FALSE),0))</f>
        <v/>
      </c>
      <c r="I430" s="11" t="n"/>
      <c r="J430" s="11" t="n"/>
      <c r="K430" s="11" t="n"/>
      <c r="L430" s="11" t="n"/>
      <c r="M430" s="11" t="n"/>
      <c r="N430" s="11" t="n"/>
      <c r="O430" s="11" t="n"/>
      <c r="P430" s="10">
        <f>IF(COUNTA(I430:O430)=0,"",MIN(10,SUM(I430:O430)))</f>
        <v/>
      </c>
      <c r="Q430" s="11" t="n"/>
      <c r="R430" s="10">
        <f>IF(Q430="","",IFERROR(VLOOKUP(Q430,T_NILAM,2,FALSE),0))</f>
        <v/>
      </c>
      <c r="S430" s="11" t="n"/>
      <c r="T430" s="10">
        <f>IF(S430="","",IFERROR(VLOOKUP(S430,T_TIMSS,2,FALSE),0))</f>
        <v/>
      </c>
      <c r="U430" s="19">
        <f>IF(COUNT(F430,H430,P430,R430,T430)=0,"",MIN(10,MAX(F430,H430,P430,R430,T430)))</f>
        <v/>
      </c>
      <c r="V430" s="11" t="n"/>
    </row>
    <row r="431">
      <c r="A431" s="15">
        <f>Murid!A431</f>
        <v/>
      </c>
      <c r="B431" s="15">
        <f>IF(Murid!B431="","",Murid!B431)</f>
        <v/>
      </c>
      <c r="C431" s="16">
        <f>IF(Murid!C431="","",Murid!C431)</f>
        <v/>
      </c>
      <c r="D431" s="15">
        <f>IF(Murid!E431="","",Murid!E431)</f>
        <v/>
      </c>
      <c r="E431" s="11" t="n"/>
      <c r="F431" s="10">
        <f>IF(E431="","",IFERROR(VLOOKUP(E431,T_PERK,2,FALSE),0))</f>
        <v/>
      </c>
      <c r="G431" s="11" t="n"/>
      <c r="H431" s="10">
        <f>IF(G431="","",IFERROR(VLOOKUP(G431,T_ANUG,2,FALSE),0))</f>
        <v/>
      </c>
      <c r="I431" s="11" t="n"/>
      <c r="J431" s="11" t="n"/>
      <c r="K431" s="11" t="n"/>
      <c r="L431" s="11" t="n"/>
      <c r="M431" s="11" t="n"/>
      <c r="N431" s="11" t="n"/>
      <c r="O431" s="11" t="n"/>
      <c r="P431" s="10">
        <f>IF(COUNTA(I431:O431)=0,"",MIN(10,SUM(I431:O431)))</f>
        <v/>
      </c>
      <c r="Q431" s="11" t="n"/>
      <c r="R431" s="10">
        <f>IF(Q431="","",IFERROR(VLOOKUP(Q431,T_NILAM,2,FALSE),0))</f>
        <v/>
      </c>
      <c r="S431" s="11" t="n"/>
      <c r="T431" s="10">
        <f>IF(S431="","",IFERROR(VLOOKUP(S431,T_TIMSS,2,FALSE),0))</f>
        <v/>
      </c>
      <c r="U431" s="19">
        <f>IF(COUNT(F431,H431,P431,R431,T431)=0,"",MIN(10,MAX(F431,H431,P431,R431,T431)))</f>
        <v/>
      </c>
      <c r="V431" s="11" t="n"/>
    </row>
    <row r="432">
      <c r="A432" s="15">
        <f>Murid!A432</f>
        <v/>
      </c>
      <c r="B432" s="15">
        <f>IF(Murid!B432="","",Murid!B432)</f>
        <v/>
      </c>
      <c r="C432" s="16">
        <f>IF(Murid!C432="","",Murid!C432)</f>
        <v/>
      </c>
      <c r="D432" s="15">
        <f>IF(Murid!E432="","",Murid!E432)</f>
        <v/>
      </c>
      <c r="E432" s="11" t="n"/>
      <c r="F432" s="10">
        <f>IF(E432="","",IFERROR(VLOOKUP(E432,T_PERK,2,FALSE),0))</f>
        <v/>
      </c>
      <c r="G432" s="11" t="n"/>
      <c r="H432" s="10">
        <f>IF(G432="","",IFERROR(VLOOKUP(G432,T_ANUG,2,FALSE),0))</f>
        <v/>
      </c>
      <c r="I432" s="11" t="n"/>
      <c r="J432" s="11" t="n"/>
      <c r="K432" s="11" t="n"/>
      <c r="L432" s="11" t="n"/>
      <c r="M432" s="11" t="n"/>
      <c r="N432" s="11" t="n"/>
      <c r="O432" s="11" t="n"/>
      <c r="P432" s="10">
        <f>IF(COUNTA(I432:O432)=0,"",MIN(10,SUM(I432:O432)))</f>
        <v/>
      </c>
      <c r="Q432" s="11" t="n"/>
      <c r="R432" s="10">
        <f>IF(Q432="","",IFERROR(VLOOKUP(Q432,T_NILAM,2,FALSE),0))</f>
        <v/>
      </c>
      <c r="S432" s="11" t="n"/>
      <c r="T432" s="10">
        <f>IF(S432="","",IFERROR(VLOOKUP(S432,T_TIMSS,2,FALSE),0))</f>
        <v/>
      </c>
      <c r="U432" s="19">
        <f>IF(COUNT(F432,H432,P432,R432,T432)=0,"",MIN(10,MAX(F432,H432,P432,R432,T432)))</f>
        <v/>
      </c>
      <c r="V432" s="11" t="n"/>
    </row>
    <row r="433">
      <c r="A433" s="15">
        <f>Murid!A433</f>
        <v/>
      </c>
      <c r="B433" s="15">
        <f>IF(Murid!B433="","",Murid!B433)</f>
        <v/>
      </c>
      <c r="C433" s="16">
        <f>IF(Murid!C433="","",Murid!C433)</f>
        <v/>
      </c>
      <c r="D433" s="15">
        <f>IF(Murid!E433="","",Murid!E433)</f>
        <v/>
      </c>
      <c r="E433" s="11" t="n"/>
      <c r="F433" s="10">
        <f>IF(E433="","",IFERROR(VLOOKUP(E433,T_PERK,2,FALSE),0))</f>
        <v/>
      </c>
      <c r="G433" s="11" t="n"/>
      <c r="H433" s="10">
        <f>IF(G433="","",IFERROR(VLOOKUP(G433,T_ANUG,2,FALSE),0))</f>
        <v/>
      </c>
      <c r="I433" s="11" t="n"/>
      <c r="J433" s="11" t="n"/>
      <c r="K433" s="11" t="n"/>
      <c r="L433" s="11" t="n"/>
      <c r="M433" s="11" t="n"/>
      <c r="N433" s="11" t="n"/>
      <c r="O433" s="11" t="n"/>
      <c r="P433" s="10">
        <f>IF(COUNTA(I433:O433)=0,"",MIN(10,SUM(I433:O433)))</f>
        <v/>
      </c>
      <c r="Q433" s="11" t="n"/>
      <c r="R433" s="10">
        <f>IF(Q433="","",IFERROR(VLOOKUP(Q433,T_NILAM,2,FALSE),0))</f>
        <v/>
      </c>
      <c r="S433" s="11" t="n"/>
      <c r="T433" s="10">
        <f>IF(S433="","",IFERROR(VLOOKUP(S433,T_TIMSS,2,FALSE),0))</f>
        <v/>
      </c>
      <c r="U433" s="19">
        <f>IF(COUNT(F433,H433,P433,R433,T433)=0,"",MIN(10,MAX(F433,H433,P433,R433,T433)))</f>
        <v/>
      </c>
      <c r="V433" s="11" t="n"/>
    </row>
    <row r="434">
      <c r="A434" s="15">
        <f>Murid!A434</f>
        <v/>
      </c>
      <c r="B434" s="15">
        <f>IF(Murid!B434="","",Murid!B434)</f>
        <v/>
      </c>
      <c r="C434" s="16">
        <f>IF(Murid!C434="","",Murid!C434)</f>
        <v/>
      </c>
      <c r="D434" s="15">
        <f>IF(Murid!E434="","",Murid!E434)</f>
        <v/>
      </c>
      <c r="E434" s="11" t="n"/>
      <c r="F434" s="10">
        <f>IF(E434="","",IFERROR(VLOOKUP(E434,T_PERK,2,FALSE),0))</f>
        <v/>
      </c>
      <c r="G434" s="11" t="n"/>
      <c r="H434" s="10">
        <f>IF(G434="","",IFERROR(VLOOKUP(G434,T_ANUG,2,FALSE),0))</f>
        <v/>
      </c>
      <c r="I434" s="11" t="n"/>
      <c r="J434" s="11" t="n"/>
      <c r="K434" s="11" t="n"/>
      <c r="L434" s="11" t="n"/>
      <c r="M434" s="11" t="n"/>
      <c r="N434" s="11" t="n"/>
      <c r="O434" s="11" t="n"/>
      <c r="P434" s="10">
        <f>IF(COUNTA(I434:O434)=0,"",MIN(10,SUM(I434:O434)))</f>
        <v/>
      </c>
      <c r="Q434" s="11" t="n"/>
      <c r="R434" s="10">
        <f>IF(Q434="","",IFERROR(VLOOKUP(Q434,T_NILAM,2,FALSE),0))</f>
        <v/>
      </c>
      <c r="S434" s="11" t="n"/>
      <c r="T434" s="10">
        <f>IF(S434="","",IFERROR(VLOOKUP(S434,T_TIMSS,2,FALSE),0))</f>
        <v/>
      </c>
      <c r="U434" s="19">
        <f>IF(COUNT(F434,H434,P434,R434,T434)=0,"",MIN(10,MAX(F434,H434,P434,R434,T434)))</f>
        <v/>
      </c>
      <c r="V434" s="11" t="n"/>
    </row>
    <row r="435">
      <c r="A435" s="15">
        <f>Murid!A435</f>
        <v/>
      </c>
      <c r="B435" s="15">
        <f>IF(Murid!B435="","",Murid!B435)</f>
        <v/>
      </c>
      <c r="C435" s="16">
        <f>IF(Murid!C435="","",Murid!C435)</f>
        <v/>
      </c>
      <c r="D435" s="15">
        <f>IF(Murid!E435="","",Murid!E435)</f>
        <v/>
      </c>
      <c r="E435" s="11" t="n"/>
      <c r="F435" s="10">
        <f>IF(E435="","",IFERROR(VLOOKUP(E435,T_PERK,2,FALSE),0))</f>
        <v/>
      </c>
      <c r="G435" s="11" t="n"/>
      <c r="H435" s="10">
        <f>IF(G435="","",IFERROR(VLOOKUP(G435,T_ANUG,2,FALSE),0))</f>
        <v/>
      </c>
      <c r="I435" s="11" t="n"/>
      <c r="J435" s="11" t="n"/>
      <c r="K435" s="11" t="n"/>
      <c r="L435" s="11" t="n"/>
      <c r="M435" s="11" t="n"/>
      <c r="N435" s="11" t="n"/>
      <c r="O435" s="11" t="n"/>
      <c r="P435" s="10">
        <f>IF(COUNTA(I435:O435)=0,"",MIN(10,SUM(I435:O435)))</f>
        <v/>
      </c>
      <c r="Q435" s="11" t="n"/>
      <c r="R435" s="10">
        <f>IF(Q435="","",IFERROR(VLOOKUP(Q435,T_NILAM,2,FALSE),0))</f>
        <v/>
      </c>
      <c r="S435" s="11" t="n"/>
      <c r="T435" s="10">
        <f>IF(S435="","",IFERROR(VLOOKUP(S435,T_TIMSS,2,FALSE),0))</f>
        <v/>
      </c>
      <c r="U435" s="19">
        <f>IF(COUNT(F435,H435,P435,R435,T435)=0,"",MIN(10,MAX(F435,H435,P435,R435,T435)))</f>
        <v/>
      </c>
      <c r="V435" s="11" t="n"/>
    </row>
    <row r="436">
      <c r="A436" s="15">
        <f>Murid!A436</f>
        <v/>
      </c>
      <c r="B436" s="15">
        <f>IF(Murid!B436="","",Murid!B436)</f>
        <v/>
      </c>
      <c r="C436" s="16">
        <f>IF(Murid!C436="","",Murid!C436)</f>
        <v/>
      </c>
      <c r="D436" s="15">
        <f>IF(Murid!E436="","",Murid!E436)</f>
        <v/>
      </c>
      <c r="E436" s="11" t="n"/>
      <c r="F436" s="10">
        <f>IF(E436="","",IFERROR(VLOOKUP(E436,T_PERK,2,FALSE),0))</f>
        <v/>
      </c>
      <c r="G436" s="11" t="n"/>
      <c r="H436" s="10">
        <f>IF(G436="","",IFERROR(VLOOKUP(G436,T_ANUG,2,FALSE),0))</f>
        <v/>
      </c>
      <c r="I436" s="11" t="n"/>
      <c r="J436" s="11" t="n"/>
      <c r="K436" s="11" t="n"/>
      <c r="L436" s="11" t="n"/>
      <c r="M436" s="11" t="n"/>
      <c r="N436" s="11" t="n"/>
      <c r="O436" s="11" t="n"/>
      <c r="P436" s="10">
        <f>IF(COUNTA(I436:O436)=0,"",MIN(10,SUM(I436:O436)))</f>
        <v/>
      </c>
      <c r="Q436" s="11" t="n"/>
      <c r="R436" s="10">
        <f>IF(Q436="","",IFERROR(VLOOKUP(Q436,T_NILAM,2,FALSE),0))</f>
        <v/>
      </c>
      <c r="S436" s="11" t="n"/>
      <c r="T436" s="10">
        <f>IF(S436="","",IFERROR(VLOOKUP(S436,T_TIMSS,2,FALSE),0))</f>
        <v/>
      </c>
      <c r="U436" s="19">
        <f>IF(COUNT(F436,H436,P436,R436,T436)=0,"",MIN(10,MAX(F436,H436,P436,R436,T436)))</f>
        <v/>
      </c>
      <c r="V436" s="11" t="n"/>
    </row>
    <row r="437">
      <c r="A437" s="15">
        <f>Murid!A437</f>
        <v/>
      </c>
      <c r="B437" s="15">
        <f>IF(Murid!B437="","",Murid!B437)</f>
        <v/>
      </c>
      <c r="C437" s="16">
        <f>IF(Murid!C437="","",Murid!C437)</f>
        <v/>
      </c>
      <c r="D437" s="15">
        <f>IF(Murid!E437="","",Murid!E437)</f>
        <v/>
      </c>
      <c r="E437" s="11" t="n"/>
      <c r="F437" s="10">
        <f>IF(E437="","",IFERROR(VLOOKUP(E437,T_PERK,2,FALSE),0))</f>
        <v/>
      </c>
      <c r="G437" s="11" t="n"/>
      <c r="H437" s="10">
        <f>IF(G437="","",IFERROR(VLOOKUP(G437,T_ANUG,2,FALSE),0))</f>
        <v/>
      </c>
      <c r="I437" s="11" t="n"/>
      <c r="J437" s="11" t="n"/>
      <c r="K437" s="11" t="n"/>
      <c r="L437" s="11" t="n"/>
      <c r="M437" s="11" t="n"/>
      <c r="N437" s="11" t="n"/>
      <c r="O437" s="11" t="n"/>
      <c r="P437" s="10">
        <f>IF(COUNTA(I437:O437)=0,"",MIN(10,SUM(I437:O437)))</f>
        <v/>
      </c>
      <c r="Q437" s="11" t="n"/>
      <c r="R437" s="10">
        <f>IF(Q437="","",IFERROR(VLOOKUP(Q437,T_NILAM,2,FALSE),0))</f>
        <v/>
      </c>
      <c r="S437" s="11" t="n"/>
      <c r="T437" s="10">
        <f>IF(S437="","",IFERROR(VLOOKUP(S437,T_TIMSS,2,FALSE),0))</f>
        <v/>
      </c>
      <c r="U437" s="19">
        <f>IF(COUNT(F437,H437,P437,R437,T437)=0,"",MIN(10,MAX(F437,H437,P437,R437,T437)))</f>
        <v/>
      </c>
      <c r="V437" s="11" t="n"/>
    </row>
    <row r="438">
      <c r="A438" s="15">
        <f>Murid!A438</f>
        <v/>
      </c>
      <c r="B438" s="15">
        <f>IF(Murid!B438="","",Murid!B438)</f>
        <v/>
      </c>
      <c r="C438" s="16">
        <f>IF(Murid!C438="","",Murid!C438)</f>
        <v/>
      </c>
      <c r="D438" s="15">
        <f>IF(Murid!E438="","",Murid!E438)</f>
        <v/>
      </c>
      <c r="E438" s="11" t="n"/>
      <c r="F438" s="10">
        <f>IF(E438="","",IFERROR(VLOOKUP(E438,T_PERK,2,FALSE),0))</f>
        <v/>
      </c>
      <c r="G438" s="11" t="n"/>
      <c r="H438" s="10">
        <f>IF(G438="","",IFERROR(VLOOKUP(G438,T_ANUG,2,FALSE),0))</f>
        <v/>
      </c>
      <c r="I438" s="11" t="n"/>
      <c r="J438" s="11" t="n"/>
      <c r="K438" s="11" t="n"/>
      <c r="L438" s="11" t="n"/>
      <c r="M438" s="11" t="n"/>
      <c r="N438" s="11" t="n"/>
      <c r="O438" s="11" t="n"/>
      <c r="P438" s="10">
        <f>IF(COUNTA(I438:O438)=0,"",MIN(10,SUM(I438:O438)))</f>
        <v/>
      </c>
      <c r="Q438" s="11" t="n"/>
      <c r="R438" s="10">
        <f>IF(Q438="","",IFERROR(VLOOKUP(Q438,T_NILAM,2,FALSE),0))</f>
        <v/>
      </c>
      <c r="S438" s="11" t="n"/>
      <c r="T438" s="10">
        <f>IF(S438="","",IFERROR(VLOOKUP(S438,T_TIMSS,2,FALSE),0))</f>
        <v/>
      </c>
      <c r="U438" s="19">
        <f>IF(COUNT(F438,H438,P438,R438,T438)=0,"",MIN(10,MAX(F438,H438,P438,R438,T438)))</f>
        <v/>
      </c>
      <c r="V438" s="11" t="n"/>
    </row>
    <row r="439">
      <c r="A439" s="15">
        <f>Murid!A439</f>
        <v/>
      </c>
      <c r="B439" s="15">
        <f>IF(Murid!B439="","",Murid!B439)</f>
        <v/>
      </c>
      <c r="C439" s="16">
        <f>IF(Murid!C439="","",Murid!C439)</f>
        <v/>
      </c>
      <c r="D439" s="15">
        <f>IF(Murid!E439="","",Murid!E439)</f>
        <v/>
      </c>
      <c r="E439" s="11" t="n"/>
      <c r="F439" s="10">
        <f>IF(E439="","",IFERROR(VLOOKUP(E439,T_PERK,2,FALSE),0))</f>
        <v/>
      </c>
      <c r="G439" s="11" t="n"/>
      <c r="H439" s="10">
        <f>IF(G439="","",IFERROR(VLOOKUP(G439,T_ANUG,2,FALSE),0))</f>
        <v/>
      </c>
      <c r="I439" s="11" t="n"/>
      <c r="J439" s="11" t="n"/>
      <c r="K439" s="11" t="n"/>
      <c r="L439" s="11" t="n"/>
      <c r="M439" s="11" t="n"/>
      <c r="N439" s="11" t="n"/>
      <c r="O439" s="11" t="n"/>
      <c r="P439" s="10">
        <f>IF(COUNTA(I439:O439)=0,"",MIN(10,SUM(I439:O439)))</f>
        <v/>
      </c>
      <c r="Q439" s="11" t="n"/>
      <c r="R439" s="10">
        <f>IF(Q439="","",IFERROR(VLOOKUP(Q439,T_NILAM,2,FALSE),0))</f>
        <v/>
      </c>
      <c r="S439" s="11" t="n"/>
      <c r="T439" s="10">
        <f>IF(S439="","",IFERROR(VLOOKUP(S439,T_TIMSS,2,FALSE),0))</f>
        <v/>
      </c>
      <c r="U439" s="19">
        <f>IF(COUNT(F439,H439,P439,R439,T439)=0,"",MIN(10,MAX(F439,H439,P439,R439,T439)))</f>
        <v/>
      </c>
      <c r="V439" s="11" t="n"/>
    </row>
    <row r="440">
      <c r="A440" s="15">
        <f>Murid!A440</f>
        <v/>
      </c>
      <c r="B440" s="15">
        <f>IF(Murid!B440="","",Murid!B440)</f>
        <v/>
      </c>
      <c r="C440" s="16">
        <f>IF(Murid!C440="","",Murid!C440)</f>
        <v/>
      </c>
      <c r="D440" s="15">
        <f>IF(Murid!E440="","",Murid!E440)</f>
        <v/>
      </c>
      <c r="E440" s="11" t="n"/>
      <c r="F440" s="10">
        <f>IF(E440="","",IFERROR(VLOOKUP(E440,T_PERK,2,FALSE),0))</f>
        <v/>
      </c>
      <c r="G440" s="11" t="n"/>
      <c r="H440" s="10">
        <f>IF(G440="","",IFERROR(VLOOKUP(G440,T_ANUG,2,FALSE),0))</f>
        <v/>
      </c>
      <c r="I440" s="11" t="n"/>
      <c r="J440" s="11" t="n"/>
      <c r="K440" s="11" t="n"/>
      <c r="L440" s="11" t="n"/>
      <c r="M440" s="11" t="n"/>
      <c r="N440" s="11" t="n"/>
      <c r="O440" s="11" t="n"/>
      <c r="P440" s="10">
        <f>IF(COUNTA(I440:O440)=0,"",MIN(10,SUM(I440:O440)))</f>
        <v/>
      </c>
      <c r="Q440" s="11" t="n"/>
      <c r="R440" s="10">
        <f>IF(Q440="","",IFERROR(VLOOKUP(Q440,T_NILAM,2,FALSE),0))</f>
        <v/>
      </c>
      <c r="S440" s="11" t="n"/>
      <c r="T440" s="10">
        <f>IF(S440="","",IFERROR(VLOOKUP(S440,T_TIMSS,2,FALSE),0))</f>
        <v/>
      </c>
      <c r="U440" s="19">
        <f>IF(COUNT(F440,H440,P440,R440,T440)=0,"",MIN(10,MAX(F440,H440,P440,R440,T440)))</f>
        <v/>
      </c>
      <c r="V440" s="11" t="n"/>
    </row>
    <row r="441">
      <c r="A441" s="15">
        <f>Murid!A441</f>
        <v/>
      </c>
      <c r="B441" s="15">
        <f>IF(Murid!B441="","",Murid!B441)</f>
        <v/>
      </c>
      <c r="C441" s="16">
        <f>IF(Murid!C441="","",Murid!C441)</f>
        <v/>
      </c>
      <c r="D441" s="15">
        <f>IF(Murid!E441="","",Murid!E441)</f>
        <v/>
      </c>
      <c r="E441" s="11" t="n"/>
      <c r="F441" s="10">
        <f>IF(E441="","",IFERROR(VLOOKUP(E441,T_PERK,2,FALSE),0))</f>
        <v/>
      </c>
      <c r="G441" s="11" t="n"/>
      <c r="H441" s="10">
        <f>IF(G441="","",IFERROR(VLOOKUP(G441,T_ANUG,2,FALSE),0))</f>
        <v/>
      </c>
      <c r="I441" s="11" t="n"/>
      <c r="J441" s="11" t="n"/>
      <c r="K441" s="11" t="n"/>
      <c r="L441" s="11" t="n"/>
      <c r="M441" s="11" t="n"/>
      <c r="N441" s="11" t="n"/>
      <c r="O441" s="11" t="n"/>
      <c r="P441" s="10">
        <f>IF(COUNTA(I441:O441)=0,"",MIN(10,SUM(I441:O441)))</f>
        <v/>
      </c>
      <c r="Q441" s="11" t="n"/>
      <c r="R441" s="10">
        <f>IF(Q441="","",IFERROR(VLOOKUP(Q441,T_NILAM,2,FALSE),0))</f>
        <v/>
      </c>
      <c r="S441" s="11" t="n"/>
      <c r="T441" s="10">
        <f>IF(S441="","",IFERROR(VLOOKUP(S441,T_TIMSS,2,FALSE),0))</f>
        <v/>
      </c>
      <c r="U441" s="19">
        <f>IF(COUNT(F441,H441,P441,R441,T441)=0,"",MIN(10,MAX(F441,H441,P441,R441,T441)))</f>
        <v/>
      </c>
      <c r="V441" s="11" t="n"/>
    </row>
    <row r="442">
      <c r="A442" s="15">
        <f>Murid!A442</f>
        <v/>
      </c>
      <c r="B442" s="15">
        <f>IF(Murid!B442="","",Murid!B442)</f>
        <v/>
      </c>
      <c r="C442" s="16">
        <f>IF(Murid!C442="","",Murid!C442)</f>
        <v/>
      </c>
      <c r="D442" s="15">
        <f>IF(Murid!E442="","",Murid!E442)</f>
        <v/>
      </c>
      <c r="E442" s="11" t="n"/>
      <c r="F442" s="10">
        <f>IF(E442="","",IFERROR(VLOOKUP(E442,T_PERK,2,FALSE),0))</f>
        <v/>
      </c>
      <c r="G442" s="11" t="n"/>
      <c r="H442" s="10">
        <f>IF(G442="","",IFERROR(VLOOKUP(G442,T_ANUG,2,FALSE),0))</f>
        <v/>
      </c>
      <c r="I442" s="11" t="n"/>
      <c r="J442" s="11" t="n"/>
      <c r="K442" s="11" t="n"/>
      <c r="L442" s="11" t="n"/>
      <c r="M442" s="11" t="n"/>
      <c r="N442" s="11" t="n"/>
      <c r="O442" s="11" t="n"/>
      <c r="P442" s="10">
        <f>IF(COUNTA(I442:O442)=0,"",MIN(10,SUM(I442:O442)))</f>
        <v/>
      </c>
      <c r="Q442" s="11" t="n"/>
      <c r="R442" s="10">
        <f>IF(Q442="","",IFERROR(VLOOKUP(Q442,T_NILAM,2,FALSE),0))</f>
        <v/>
      </c>
      <c r="S442" s="11" t="n"/>
      <c r="T442" s="10">
        <f>IF(S442="","",IFERROR(VLOOKUP(S442,T_TIMSS,2,FALSE),0))</f>
        <v/>
      </c>
      <c r="U442" s="19">
        <f>IF(COUNT(F442,H442,P442,R442,T442)=0,"",MIN(10,MAX(F442,H442,P442,R442,T442)))</f>
        <v/>
      </c>
      <c r="V442" s="11" t="n"/>
    </row>
    <row r="443">
      <c r="A443" s="15">
        <f>Murid!A443</f>
        <v/>
      </c>
      <c r="B443" s="15">
        <f>IF(Murid!B443="","",Murid!B443)</f>
        <v/>
      </c>
      <c r="C443" s="16">
        <f>IF(Murid!C443="","",Murid!C443)</f>
        <v/>
      </c>
      <c r="D443" s="15">
        <f>IF(Murid!E443="","",Murid!E443)</f>
        <v/>
      </c>
      <c r="E443" s="11" t="n"/>
      <c r="F443" s="10">
        <f>IF(E443="","",IFERROR(VLOOKUP(E443,T_PERK,2,FALSE),0))</f>
        <v/>
      </c>
      <c r="G443" s="11" t="n"/>
      <c r="H443" s="10">
        <f>IF(G443="","",IFERROR(VLOOKUP(G443,T_ANUG,2,FALSE),0))</f>
        <v/>
      </c>
      <c r="I443" s="11" t="n"/>
      <c r="J443" s="11" t="n"/>
      <c r="K443" s="11" t="n"/>
      <c r="L443" s="11" t="n"/>
      <c r="M443" s="11" t="n"/>
      <c r="N443" s="11" t="n"/>
      <c r="O443" s="11" t="n"/>
      <c r="P443" s="10">
        <f>IF(COUNTA(I443:O443)=0,"",MIN(10,SUM(I443:O443)))</f>
        <v/>
      </c>
      <c r="Q443" s="11" t="n"/>
      <c r="R443" s="10">
        <f>IF(Q443="","",IFERROR(VLOOKUP(Q443,T_NILAM,2,FALSE),0))</f>
        <v/>
      </c>
      <c r="S443" s="11" t="n"/>
      <c r="T443" s="10">
        <f>IF(S443="","",IFERROR(VLOOKUP(S443,T_TIMSS,2,FALSE),0))</f>
        <v/>
      </c>
      <c r="U443" s="19">
        <f>IF(COUNT(F443,H443,P443,R443,T443)=0,"",MIN(10,MAX(F443,H443,P443,R443,T443)))</f>
        <v/>
      </c>
      <c r="V443" s="11" t="n"/>
    </row>
    <row r="444">
      <c r="A444" s="15">
        <f>Murid!A444</f>
        <v/>
      </c>
      <c r="B444" s="15">
        <f>IF(Murid!B444="","",Murid!B444)</f>
        <v/>
      </c>
      <c r="C444" s="16">
        <f>IF(Murid!C444="","",Murid!C444)</f>
        <v/>
      </c>
      <c r="D444" s="15">
        <f>IF(Murid!E444="","",Murid!E444)</f>
        <v/>
      </c>
      <c r="E444" s="11" t="n"/>
      <c r="F444" s="10">
        <f>IF(E444="","",IFERROR(VLOOKUP(E444,T_PERK,2,FALSE),0))</f>
        <v/>
      </c>
      <c r="G444" s="11" t="n"/>
      <c r="H444" s="10">
        <f>IF(G444="","",IFERROR(VLOOKUP(G444,T_ANUG,2,FALSE),0))</f>
        <v/>
      </c>
      <c r="I444" s="11" t="n"/>
      <c r="J444" s="11" t="n"/>
      <c r="K444" s="11" t="n"/>
      <c r="L444" s="11" t="n"/>
      <c r="M444" s="11" t="n"/>
      <c r="N444" s="11" t="n"/>
      <c r="O444" s="11" t="n"/>
      <c r="P444" s="10">
        <f>IF(COUNTA(I444:O444)=0,"",MIN(10,SUM(I444:O444)))</f>
        <v/>
      </c>
      <c r="Q444" s="11" t="n"/>
      <c r="R444" s="10">
        <f>IF(Q444="","",IFERROR(VLOOKUP(Q444,T_NILAM,2,FALSE),0))</f>
        <v/>
      </c>
      <c r="S444" s="11" t="n"/>
      <c r="T444" s="10">
        <f>IF(S444="","",IFERROR(VLOOKUP(S444,T_TIMSS,2,FALSE),0))</f>
        <v/>
      </c>
      <c r="U444" s="19">
        <f>IF(COUNT(F444,H444,P444,R444,T444)=0,"",MIN(10,MAX(F444,H444,P444,R444,T444)))</f>
        <v/>
      </c>
      <c r="V444" s="11" t="n"/>
    </row>
    <row r="445">
      <c r="A445" s="15">
        <f>Murid!A445</f>
        <v/>
      </c>
      <c r="B445" s="15">
        <f>IF(Murid!B445="","",Murid!B445)</f>
        <v/>
      </c>
      <c r="C445" s="16">
        <f>IF(Murid!C445="","",Murid!C445)</f>
        <v/>
      </c>
      <c r="D445" s="15">
        <f>IF(Murid!E445="","",Murid!E445)</f>
        <v/>
      </c>
      <c r="E445" s="11" t="n"/>
      <c r="F445" s="10">
        <f>IF(E445="","",IFERROR(VLOOKUP(E445,T_PERK,2,FALSE),0))</f>
        <v/>
      </c>
      <c r="G445" s="11" t="n"/>
      <c r="H445" s="10">
        <f>IF(G445="","",IFERROR(VLOOKUP(G445,T_ANUG,2,FALSE),0))</f>
        <v/>
      </c>
      <c r="I445" s="11" t="n"/>
      <c r="J445" s="11" t="n"/>
      <c r="K445" s="11" t="n"/>
      <c r="L445" s="11" t="n"/>
      <c r="M445" s="11" t="n"/>
      <c r="N445" s="11" t="n"/>
      <c r="O445" s="11" t="n"/>
      <c r="P445" s="10">
        <f>IF(COUNTA(I445:O445)=0,"",MIN(10,SUM(I445:O445)))</f>
        <v/>
      </c>
      <c r="Q445" s="11" t="n"/>
      <c r="R445" s="10">
        <f>IF(Q445="","",IFERROR(VLOOKUP(Q445,T_NILAM,2,FALSE),0))</f>
        <v/>
      </c>
      <c r="S445" s="11" t="n"/>
      <c r="T445" s="10">
        <f>IF(S445="","",IFERROR(VLOOKUP(S445,T_TIMSS,2,FALSE),0))</f>
        <v/>
      </c>
      <c r="U445" s="19">
        <f>IF(COUNT(F445,H445,P445,R445,T445)=0,"",MIN(10,MAX(F445,H445,P445,R445,T445)))</f>
        <v/>
      </c>
      <c r="V445" s="11" t="n"/>
    </row>
    <row r="446">
      <c r="A446" s="15">
        <f>Murid!A446</f>
        <v/>
      </c>
      <c r="B446" s="15">
        <f>IF(Murid!B446="","",Murid!B446)</f>
        <v/>
      </c>
      <c r="C446" s="16">
        <f>IF(Murid!C446="","",Murid!C446)</f>
        <v/>
      </c>
      <c r="D446" s="15">
        <f>IF(Murid!E446="","",Murid!E446)</f>
        <v/>
      </c>
      <c r="E446" s="11" t="n"/>
      <c r="F446" s="10">
        <f>IF(E446="","",IFERROR(VLOOKUP(E446,T_PERK,2,FALSE),0))</f>
        <v/>
      </c>
      <c r="G446" s="11" t="n"/>
      <c r="H446" s="10">
        <f>IF(G446="","",IFERROR(VLOOKUP(G446,T_ANUG,2,FALSE),0))</f>
        <v/>
      </c>
      <c r="I446" s="11" t="n"/>
      <c r="J446" s="11" t="n"/>
      <c r="K446" s="11" t="n"/>
      <c r="L446" s="11" t="n"/>
      <c r="M446" s="11" t="n"/>
      <c r="N446" s="11" t="n"/>
      <c r="O446" s="11" t="n"/>
      <c r="P446" s="10">
        <f>IF(COUNTA(I446:O446)=0,"",MIN(10,SUM(I446:O446)))</f>
        <v/>
      </c>
      <c r="Q446" s="11" t="n"/>
      <c r="R446" s="10">
        <f>IF(Q446="","",IFERROR(VLOOKUP(Q446,T_NILAM,2,FALSE),0))</f>
        <v/>
      </c>
      <c r="S446" s="11" t="n"/>
      <c r="T446" s="10">
        <f>IF(S446="","",IFERROR(VLOOKUP(S446,T_TIMSS,2,FALSE),0))</f>
        <v/>
      </c>
      <c r="U446" s="19">
        <f>IF(COUNT(F446,H446,P446,R446,T446)=0,"",MIN(10,MAX(F446,H446,P446,R446,T446)))</f>
        <v/>
      </c>
      <c r="V446" s="11" t="n"/>
    </row>
    <row r="447">
      <c r="A447" s="15">
        <f>Murid!A447</f>
        <v/>
      </c>
      <c r="B447" s="15">
        <f>IF(Murid!B447="","",Murid!B447)</f>
        <v/>
      </c>
      <c r="C447" s="16">
        <f>IF(Murid!C447="","",Murid!C447)</f>
        <v/>
      </c>
      <c r="D447" s="15">
        <f>IF(Murid!E447="","",Murid!E447)</f>
        <v/>
      </c>
      <c r="E447" s="11" t="n"/>
      <c r="F447" s="10">
        <f>IF(E447="","",IFERROR(VLOOKUP(E447,T_PERK,2,FALSE),0))</f>
        <v/>
      </c>
      <c r="G447" s="11" t="n"/>
      <c r="H447" s="10">
        <f>IF(G447="","",IFERROR(VLOOKUP(G447,T_ANUG,2,FALSE),0))</f>
        <v/>
      </c>
      <c r="I447" s="11" t="n"/>
      <c r="J447" s="11" t="n"/>
      <c r="K447" s="11" t="n"/>
      <c r="L447" s="11" t="n"/>
      <c r="M447" s="11" t="n"/>
      <c r="N447" s="11" t="n"/>
      <c r="O447" s="11" t="n"/>
      <c r="P447" s="10">
        <f>IF(COUNTA(I447:O447)=0,"",MIN(10,SUM(I447:O447)))</f>
        <v/>
      </c>
      <c r="Q447" s="11" t="n"/>
      <c r="R447" s="10">
        <f>IF(Q447="","",IFERROR(VLOOKUP(Q447,T_NILAM,2,FALSE),0))</f>
        <v/>
      </c>
      <c r="S447" s="11" t="n"/>
      <c r="T447" s="10">
        <f>IF(S447="","",IFERROR(VLOOKUP(S447,T_TIMSS,2,FALSE),0))</f>
        <v/>
      </c>
      <c r="U447" s="19">
        <f>IF(COUNT(F447,H447,P447,R447,T447)=0,"",MIN(10,MAX(F447,H447,P447,R447,T447)))</f>
        <v/>
      </c>
      <c r="V447" s="11" t="n"/>
    </row>
    <row r="448">
      <c r="A448" s="15">
        <f>Murid!A448</f>
        <v/>
      </c>
      <c r="B448" s="15">
        <f>IF(Murid!B448="","",Murid!B448)</f>
        <v/>
      </c>
      <c r="C448" s="16">
        <f>IF(Murid!C448="","",Murid!C448)</f>
        <v/>
      </c>
      <c r="D448" s="15">
        <f>IF(Murid!E448="","",Murid!E448)</f>
        <v/>
      </c>
      <c r="E448" s="11" t="n"/>
      <c r="F448" s="10">
        <f>IF(E448="","",IFERROR(VLOOKUP(E448,T_PERK,2,FALSE),0))</f>
        <v/>
      </c>
      <c r="G448" s="11" t="n"/>
      <c r="H448" s="10">
        <f>IF(G448="","",IFERROR(VLOOKUP(G448,T_ANUG,2,FALSE),0))</f>
        <v/>
      </c>
      <c r="I448" s="11" t="n"/>
      <c r="J448" s="11" t="n"/>
      <c r="K448" s="11" t="n"/>
      <c r="L448" s="11" t="n"/>
      <c r="M448" s="11" t="n"/>
      <c r="N448" s="11" t="n"/>
      <c r="O448" s="11" t="n"/>
      <c r="P448" s="10">
        <f>IF(COUNTA(I448:O448)=0,"",MIN(10,SUM(I448:O448)))</f>
        <v/>
      </c>
      <c r="Q448" s="11" t="n"/>
      <c r="R448" s="10">
        <f>IF(Q448="","",IFERROR(VLOOKUP(Q448,T_NILAM,2,FALSE),0))</f>
        <v/>
      </c>
      <c r="S448" s="11" t="n"/>
      <c r="T448" s="10">
        <f>IF(S448="","",IFERROR(VLOOKUP(S448,T_TIMSS,2,FALSE),0))</f>
        <v/>
      </c>
      <c r="U448" s="19">
        <f>IF(COUNT(F448,H448,P448,R448,T448)=0,"",MIN(10,MAX(F448,H448,P448,R448,T448)))</f>
        <v/>
      </c>
      <c r="V448" s="11" t="n"/>
    </row>
    <row r="449">
      <c r="A449" s="15">
        <f>Murid!A449</f>
        <v/>
      </c>
      <c r="B449" s="15">
        <f>IF(Murid!B449="","",Murid!B449)</f>
        <v/>
      </c>
      <c r="C449" s="16">
        <f>IF(Murid!C449="","",Murid!C449)</f>
        <v/>
      </c>
      <c r="D449" s="15">
        <f>IF(Murid!E449="","",Murid!E449)</f>
        <v/>
      </c>
      <c r="E449" s="11" t="n"/>
      <c r="F449" s="10">
        <f>IF(E449="","",IFERROR(VLOOKUP(E449,T_PERK,2,FALSE),0))</f>
        <v/>
      </c>
      <c r="G449" s="11" t="n"/>
      <c r="H449" s="10">
        <f>IF(G449="","",IFERROR(VLOOKUP(G449,T_ANUG,2,FALSE),0))</f>
        <v/>
      </c>
      <c r="I449" s="11" t="n"/>
      <c r="J449" s="11" t="n"/>
      <c r="K449" s="11" t="n"/>
      <c r="L449" s="11" t="n"/>
      <c r="M449" s="11" t="n"/>
      <c r="N449" s="11" t="n"/>
      <c r="O449" s="11" t="n"/>
      <c r="P449" s="10">
        <f>IF(COUNTA(I449:O449)=0,"",MIN(10,SUM(I449:O449)))</f>
        <v/>
      </c>
      <c r="Q449" s="11" t="n"/>
      <c r="R449" s="10">
        <f>IF(Q449="","",IFERROR(VLOOKUP(Q449,T_NILAM,2,FALSE),0))</f>
        <v/>
      </c>
      <c r="S449" s="11" t="n"/>
      <c r="T449" s="10">
        <f>IF(S449="","",IFERROR(VLOOKUP(S449,T_TIMSS,2,FALSE),0))</f>
        <v/>
      </c>
      <c r="U449" s="19">
        <f>IF(COUNT(F449,H449,P449,R449,T449)=0,"",MIN(10,MAX(F449,H449,P449,R449,T449)))</f>
        <v/>
      </c>
      <c r="V449" s="11" t="n"/>
    </row>
    <row r="450">
      <c r="A450" s="15">
        <f>Murid!A450</f>
        <v/>
      </c>
      <c r="B450" s="15">
        <f>IF(Murid!B450="","",Murid!B450)</f>
        <v/>
      </c>
      <c r="C450" s="16">
        <f>IF(Murid!C450="","",Murid!C450)</f>
        <v/>
      </c>
      <c r="D450" s="15">
        <f>IF(Murid!E450="","",Murid!E450)</f>
        <v/>
      </c>
      <c r="E450" s="11" t="n"/>
      <c r="F450" s="10">
        <f>IF(E450="","",IFERROR(VLOOKUP(E450,T_PERK,2,FALSE),0))</f>
        <v/>
      </c>
      <c r="G450" s="11" t="n"/>
      <c r="H450" s="10">
        <f>IF(G450="","",IFERROR(VLOOKUP(G450,T_ANUG,2,FALSE),0))</f>
        <v/>
      </c>
      <c r="I450" s="11" t="n"/>
      <c r="J450" s="11" t="n"/>
      <c r="K450" s="11" t="n"/>
      <c r="L450" s="11" t="n"/>
      <c r="M450" s="11" t="n"/>
      <c r="N450" s="11" t="n"/>
      <c r="O450" s="11" t="n"/>
      <c r="P450" s="10">
        <f>IF(COUNTA(I450:O450)=0,"",MIN(10,SUM(I450:O450)))</f>
        <v/>
      </c>
      <c r="Q450" s="11" t="n"/>
      <c r="R450" s="10">
        <f>IF(Q450="","",IFERROR(VLOOKUP(Q450,T_NILAM,2,FALSE),0))</f>
        <v/>
      </c>
      <c r="S450" s="11" t="n"/>
      <c r="T450" s="10">
        <f>IF(S450="","",IFERROR(VLOOKUP(S450,T_TIMSS,2,FALSE),0))</f>
        <v/>
      </c>
      <c r="U450" s="19">
        <f>IF(COUNT(F450,H450,P450,R450,T450)=0,"",MIN(10,MAX(F450,H450,P450,R450,T450)))</f>
        <v/>
      </c>
      <c r="V450" s="11" t="n"/>
    </row>
    <row r="451">
      <c r="A451" s="15">
        <f>Murid!A451</f>
        <v/>
      </c>
      <c r="B451" s="15">
        <f>IF(Murid!B451="","",Murid!B451)</f>
        <v/>
      </c>
      <c r="C451" s="16">
        <f>IF(Murid!C451="","",Murid!C451)</f>
        <v/>
      </c>
      <c r="D451" s="15">
        <f>IF(Murid!E451="","",Murid!E451)</f>
        <v/>
      </c>
      <c r="E451" s="11" t="n"/>
      <c r="F451" s="10">
        <f>IF(E451="","",IFERROR(VLOOKUP(E451,T_PERK,2,FALSE),0))</f>
        <v/>
      </c>
      <c r="G451" s="11" t="n"/>
      <c r="H451" s="10">
        <f>IF(G451="","",IFERROR(VLOOKUP(G451,T_ANUG,2,FALSE),0))</f>
        <v/>
      </c>
      <c r="I451" s="11" t="n"/>
      <c r="J451" s="11" t="n"/>
      <c r="K451" s="11" t="n"/>
      <c r="L451" s="11" t="n"/>
      <c r="M451" s="11" t="n"/>
      <c r="N451" s="11" t="n"/>
      <c r="O451" s="11" t="n"/>
      <c r="P451" s="10">
        <f>IF(COUNTA(I451:O451)=0,"",MIN(10,SUM(I451:O451)))</f>
        <v/>
      </c>
      <c r="Q451" s="11" t="n"/>
      <c r="R451" s="10">
        <f>IF(Q451="","",IFERROR(VLOOKUP(Q451,T_NILAM,2,FALSE),0))</f>
        <v/>
      </c>
      <c r="S451" s="11" t="n"/>
      <c r="T451" s="10">
        <f>IF(S451="","",IFERROR(VLOOKUP(S451,T_TIMSS,2,FALSE),0))</f>
        <v/>
      </c>
      <c r="U451" s="19">
        <f>IF(COUNT(F451,H451,P451,R451,T451)=0,"",MIN(10,MAX(F451,H451,P451,R451,T451)))</f>
        <v/>
      </c>
      <c r="V451" s="11" t="n"/>
    </row>
    <row r="452">
      <c r="A452" s="15">
        <f>Murid!A452</f>
        <v/>
      </c>
      <c r="B452" s="15">
        <f>IF(Murid!B452="","",Murid!B452)</f>
        <v/>
      </c>
      <c r="C452" s="16">
        <f>IF(Murid!C452="","",Murid!C452)</f>
        <v/>
      </c>
      <c r="D452" s="15">
        <f>IF(Murid!E452="","",Murid!E452)</f>
        <v/>
      </c>
      <c r="E452" s="11" t="n"/>
      <c r="F452" s="10">
        <f>IF(E452="","",IFERROR(VLOOKUP(E452,T_PERK,2,FALSE),0))</f>
        <v/>
      </c>
      <c r="G452" s="11" t="n"/>
      <c r="H452" s="10">
        <f>IF(G452="","",IFERROR(VLOOKUP(G452,T_ANUG,2,FALSE),0))</f>
        <v/>
      </c>
      <c r="I452" s="11" t="n"/>
      <c r="J452" s="11" t="n"/>
      <c r="K452" s="11" t="n"/>
      <c r="L452" s="11" t="n"/>
      <c r="M452" s="11" t="n"/>
      <c r="N452" s="11" t="n"/>
      <c r="O452" s="11" t="n"/>
      <c r="P452" s="10">
        <f>IF(COUNTA(I452:O452)=0,"",MIN(10,SUM(I452:O452)))</f>
        <v/>
      </c>
      <c r="Q452" s="11" t="n"/>
      <c r="R452" s="10">
        <f>IF(Q452="","",IFERROR(VLOOKUP(Q452,T_NILAM,2,FALSE),0))</f>
        <v/>
      </c>
      <c r="S452" s="11" t="n"/>
      <c r="T452" s="10">
        <f>IF(S452="","",IFERROR(VLOOKUP(S452,T_TIMSS,2,FALSE),0))</f>
        <v/>
      </c>
      <c r="U452" s="19">
        <f>IF(COUNT(F452,H452,P452,R452,T452)=0,"",MIN(10,MAX(F452,H452,P452,R452,T452)))</f>
        <v/>
      </c>
      <c r="V452" s="11" t="n"/>
    </row>
    <row r="453">
      <c r="A453" s="15">
        <f>Murid!A453</f>
        <v/>
      </c>
      <c r="B453" s="15">
        <f>IF(Murid!B453="","",Murid!B453)</f>
        <v/>
      </c>
      <c r="C453" s="16">
        <f>IF(Murid!C453="","",Murid!C453)</f>
        <v/>
      </c>
      <c r="D453" s="15">
        <f>IF(Murid!E453="","",Murid!E453)</f>
        <v/>
      </c>
      <c r="E453" s="11" t="n"/>
      <c r="F453" s="10">
        <f>IF(E453="","",IFERROR(VLOOKUP(E453,T_PERK,2,FALSE),0))</f>
        <v/>
      </c>
      <c r="G453" s="11" t="n"/>
      <c r="H453" s="10">
        <f>IF(G453="","",IFERROR(VLOOKUP(G453,T_ANUG,2,FALSE),0))</f>
        <v/>
      </c>
      <c r="I453" s="11" t="n"/>
      <c r="J453" s="11" t="n"/>
      <c r="K453" s="11" t="n"/>
      <c r="L453" s="11" t="n"/>
      <c r="M453" s="11" t="n"/>
      <c r="N453" s="11" t="n"/>
      <c r="O453" s="11" t="n"/>
      <c r="P453" s="10">
        <f>IF(COUNTA(I453:O453)=0,"",MIN(10,SUM(I453:O453)))</f>
        <v/>
      </c>
      <c r="Q453" s="11" t="n"/>
      <c r="R453" s="10">
        <f>IF(Q453="","",IFERROR(VLOOKUP(Q453,T_NILAM,2,FALSE),0))</f>
        <v/>
      </c>
      <c r="S453" s="11" t="n"/>
      <c r="T453" s="10">
        <f>IF(S453="","",IFERROR(VLOOKUP(S453,T_TIMSS,2,FALSE),0))</f>
        <v/>
      </c>
      <c r="U453" s="19">
        <f>IF(COUNT(F453,H453,P453,R453,T453)=0,"",MIN(10,MAX(F453,H453,P453,R453,T453)))</f>
        <v/>
      </c>
      <c r="V453" s="11" t="n"/>
    </row>
    <row r="454">
      <c r="A454" s="15">
        <f>Murid!A454</f>
        <v/>
      </c>
      <c r="B454" s="15">
        <f>IF(Murid!B454="","",Murid!B454)</f>
        <v/>
      </c>
      <c r="C454" s="16">
        <f>IF(Murid!C454="","",Murid!C454)</f>
        <v/>
      </c>
      <c r="D454" s="15">
        <f>IF(Murid!E454="","",Murid!E454)</f>
        <v/>
      </c>
      <c r="E454" s="11" t="n"/>
      <c r="F454" s="10">
        <f>IF(E454="","",IFERROR(VLOOKUP(E454,T_PERK,2,FALSE),0))</f>
        <v/>
      </c>
      <c r="G454" s="11" t="n"/>
      <c r="H454" s="10">
        <f>IF(G454="","",IFERROR(VLOOKUP(G454,T_ANUG,2,FALSE),0))</f>
        <v/>
      </c>
      <c r="I454" s="11" t="n"/>
      <c r="J454" s="11" t="n"/>
      <c r="K454" s="11" t="n"/>
      <c r="L454" s="11" t="n"/>
      <c r="M454" s="11" t="n"/>
      <c r="N454" s="11" t="n"/>
      <c r="O454" s="11" t="n"/>
      <c r="P454" s="10">
        <f>IF(COUNTA(I454:O454)=0,"",MIN(10,SUM(I454:O454)))</f>
        <v/>
      </c>
      <c r="Q454" s="11" t="n"/>
      <c r="R454" s="10">
        <f>IF(Q454="","",IFERROR(VLOOKUP(Q454,T_NILAM,2,FALSE),0))</f>
        <v/>
      </c>
      <c r="S454" s="11" t="n"/>
      <c r="T454" s="10">
        <f>IF(S454="","",IFERROR(VLOOKUP(S454,T_TIMSS,2,FALSE),0))</f>
        <v/>
      </c>
      <c r="U454" s="19">
        <f>IF(COUNT(F454,H454,P454,R454,T454)=0,"",MIN(10,MAX(F454,H454,P454,R454,T454)))</f>
        <v/>
      </c>
      <c r="V454" s="11" t="n"/>
    </row>
    <row r="455">
      <c r="A455" s="15">
        <f>Murid!A455</f>
        <v/>
      </c>
      <c r="B455" s="15">
        <f>IF(Murid!B455="","",Murid!B455)</f>
        <v/>
      </c>
      <c r="C455" s="16">
        <f>IF(Murid!C455="","",Murid!C455)</f>
        <v/>
      </c>
      <c r="D455" s="15">
        <f>IF(Murid!E455="","",Murid!E455)</f>
        <v/>
      </c>
      <c r="E455" s="11" t="n"/>
      <c r="F455" s="10">
        <f>IF(E455="","",IFERROR(VLOOKUP(E455,T_PERK,2,FALSE),0))</f>
        <v/>
      </c>
      <c r="G455" s="11" t="n"/>
      <c r="H455" s="10">
        <f>IF(G455="","",IFERROR(VLOOKUP(G455,T_ANUG,2,FALSE),0))</f>
        <v/>
      </c>
      <c r="I455" s="11" t="n"/>
      <c r="J455" s="11" t="n"/>
      <c r="K455" s="11" t="n"/>
      <c r="L455" s="11" t="n"/>
      <c r="M455" s="11" t="n"/>
      <c r="N455" s="11" t="n"/>
      <c r="O455" s="11" t="n"/>
      <c r="P455" s="10">
        <f>IF(COUNTA(I455:O455)=0,"",MIN(10,SUM(I455:O455)))</f>
        <v/>
      </c>
      <c r="Q455" s="11" t="n"/>
      <c r="R455" s="10">
        <f>IF(Q455="","",IFERROR(VLOOKUP(Q455,T_NILAM,2,FALSE),0))</f>
        <v/>
      </c>
      <c r="S455" s="11" t="n"/>
      <c r="T455" s="10">
        <f>IF(S455="","",IFERROR(VLOOKUP(S455,T_TIMSS,2,FALSE),0))</f>
        <v/>
      </c>
      <c r="U455" s="19">
        <f>IF(COUNT(F455,H455,P455,R455,T455)=0,"",MIN(10,MAX(F455,H455,P455,R455,T455)))</f>
        <v/>
      </c>
      <c r="V455" s="11" t="n"/>
    </row>
    <row r="456">
      <c r="A456" s="15">
        <f>Murid!A456</f>
        <v/>
      </c>
      <c r="B456" s="15">
        <f>IF(Murid!B456="","",Murid!B456)</f>
        <v/>
      </c>
      <c r="C456" s="16">
        <f>IF(Murid!C456="","",Murid!C456)</f>
        <v/>
      </c>
      <c r="D456" s="15">
        <f>IF(Murid!E456="","",Murid!E456)</f>
        <v/>
      </c>
      <c r="E456" s="11" t="n"/>
      <c r="F456" s="10">
        <f>IF(E456="","",IFERROR(VLOOKUP(E456,T_PERK,2,FALSE),0))</f>
        <v/>
      </c>
      <c r="G456" s="11" t="n"/>
      <c r="H456" s="10">
        <f>IF(G456="","",IFERROR(VLOOKUP(G456,T_ANUG,2,FALSE),0))</f>
        <v/>
      </c>
      <c r="I456" s="11" t="n"/>
      <c r="J456" s="11" t="n"/>
      <c r="K456" s="11" t="n"/>
      <c r="L456" s="11" t="n"/>
      <c r="M456" s="11" t="n"/>
      <c r="N456" s="11" t="n"/>
      <c r="O456" s="11" t="n"/>
      <c r="P456" s="10">
        <f>IF(COUNTA(I456:O456)=0,"",MIN(10,SUM(I456:O456)))</f>
        <v/>
      </c>
      <c r="Q456" s="11" t="n"/>
      <c r="R456" s="10">
        <f>IF(Q456="","",IFERROR(VLOOKUP(Q456,T_NILAM,2,FALSE),0))</f>
        <v/>
      </c>
      <c r="S456" s="11" t="n"/>
      <c r="T456" s="10">
        <f>IF(S456="","",IFERROR(VLOOKUP(S456,T_TIMSS,2,FALSE),0))</f>
        <v/>
      </c>
      <c r="U456" s="19">
        <f>IF(COUNT(F456,H456,P456,R456,T456)=0,"",MIN(10,MAX(F456,H456,P456,R456,T456)))</f>
        <v/>
      </c>
      <c r="V456" s="11" t="n"/>
    </row>
    <row r="457">
      <c r="A457" s="15">
        <f>Murid!A457</f>
        <v/>
      </c>
      <c r="B457" s="15">
        <f>IF(Murid!B457="","",Murid!B457)</f>
        <v/>
      </c>
      <c r="C457" s="16">
        <f>IF(Murid!C457="","",Murid!C457)</f>
        <v/>
      </c>
      <c r="D457" s="15">
        <f>IF(Murid!E457="","",Murid!E457)</f>
        <v/>
      </c>
      <c r="E457" s="11" t="n"/>
      <c r="F457" s="10">
        <f>IF(E457="","",IFERROR(VLOOKUP(E457,T_PERK,2,FALSE),0))</f>
        <v/>
      </c>
      <c r="G457" s="11" t="n"/>
      <c r="H457" s="10">
        <f>IF(G457="","",IFERROR(VLOOKUP(G457,T_ANUG,2,FALSE),0))</f>
        <v/>
      </c>
      <c r="I457" s="11" t="n"/>
      <c r="J457" s="11" t="n"/>
      <c r="K457" s="11" t="n"/>
      <c r="L457" s="11" t="n"/>
      <c r="M457" s="11" t="n"/>
      <c r="N457" s="11" t="n"/>
      <c r="O457" s="11" t="n"/>
      <c r="P457" s="10">
        <f>IF(COUNTA(I457:O457)=0,"",MIN(10,SUM(I457:O457)))</f>
        <v/>
      </c>
      <c r="Q457" s="11" t="n"/>
      <c r="R457" s="10">
        <f>IF(Q457="","",IFERROR(VLOOKUP(Q457,T_NILAM,2,FALSE),0))</f>
        <v/>
      </c>
      <c r="S457" s="11" t="n"/>
      <c r="T457" s="10">
        <f>IF(S457="","",IFERROR(VLOOKUP(S457,T_TIMSS,2,FALSE),0))</f>
        <v/>
      </c>
      <c r="U457" s="19">
        <f>IF(COUNT(F457,H457,P457,R457,T457)=0,"",MIN(10,MAX(F457,H457,P457,R457,T457)))</f>
        <v/>
      </c>
      <c r="V457" s="11" t="n"/>
    </row>
    <row r="458">
      <c r="A458" s="15">
        <f>Murid!A458</f>
        <v/>
      </c>
      <c r="B458" s="15">
        <f>IF(Murid!B458="","",Murid!B458)</f>
        <v/>
      </c>
      <c r="C458" s="16">
        <f>IF(Murid!C458="","",Murid!C458)</f>
        <v/>
      </c>
      <c r="D458" s="15">
        <f>IF(Murid!E458="","",Murid!E458)</f>
        <v/>
      </c>
      <c r="E458" s="11" t="n"/>
      <c r="F458" s="10">
        <f>IF(E458="","",IFERROR(VLOOKUP(E458,T_PERK,2,FALSE),0))</f>
        <v/>
      </c>
      <c r="G458" s="11" t="n"/>
      <c r="H458" s="10">
        <f>IF(G458="","",IFERROR(VLOOKUP(G458,T_ANUG,2,FALSE),0))</f>
        <v/>
      </c>
      <c r="I458" s="11" t="n"/>
      <c r="J458" s="11" t="n"/>
      <c r="K458" s="11" t="n"/>
      <c r="L458" s="11" t="n"/>
      <c r="M458" s="11" t="n"/>
      <c r="N458" s="11" t="n"/>
      <c r="O458" s="11" t="n"/>
      <c r="P458" s="10">
        <f>IF(COUNTA(I458:O458)=0,"",MIN(10,SUM(I458:O458)))</f>
        <v/>
      </c>
      <c r="Q458" s="11" t="n"/>
      <c r="R458" s="10">
        <f>IF(Q458="","",IFERROR(VLOOKUP(Q458,T_NILAM,2,FALSE),0))</f>
        <v/>
      </c>
      <c r="S458" s="11" t="n"/>
      <c r="T458" s="10">
        <f>IF(S458="","",IFERROR(VLOOKUP(S458,T_TIMSS,2,FALSE),0))</f>
        <v/>
      </c>
      <c r="U458" s="19">
        <f>IF(COUNT(F458,H458,P458,R458,T458)=0,"",MIN(10,MAX(F458,H458,P458,R458,T458)))</f>
        <v/>
      </c>
      <c r="V458" s="11" t="n"/>
    </row>
    <row r="459">
      <c r="A459" s="15">
        <f>Murid!A459</f>
        <v/>
      </c>
      <c r="B459" s="15">
        <f>IF(Murid!B459="","",Murid!B459)</f>
        <v/>
      </c>
      <c r="C459" s="16">
        <f>IF(Murid!C459="","",Murid!C459)</f>
        <v/>
      </c>
      <c r="D459" s="15">
        <f>IF(Murid!E459="","",Murid!E459)</f>
        <v/>
      </c>
      <c r="E459" s="11" t="n"/>
      <c r="F459" s="10">
        <f>IF(E459="","",IFERROR(VLOOKUP(E459,T_PERK,2,FALSE),0))</f>
        <v/>
      </c>
      <c r="G459" s="11" t="n"/>
      <c r="H459" s="10">
        <f>IF(G459="","",IFERROR(VLOOKUP(G459,T_ANUG,2,FALSE),0))</f>
        <v/>
      </c>
      <c r="I459" s="11" t="n"/>
      <c r="J459" s="11" t="n"/>
      <c r="K459" s="11" t="n"/>
      <c r="L459" s="11" t="n"/>
      <c r="M459" s="11" t="n"/>
      <c r="N459" s="11" t="n"/>
      <c r="O459" s="11" t="n"/>
      <c r="P459" s="10">
        <f>IF(COUNTA(I459:O459)=0,"",MIN(10,SUM(I459:O459)))</f>
        <v/>
      </c>
      <c r="Q459" s="11" t="n"/>
      <c r="R459" s="10">
        <f>IF(Q459="","",IFERROR(VLOOKUP(Q459,T_NILAM,2,FALSE),0))</f>
        <v/>
      </c>
      <c r="S459" s="11" t="n"/>
      <c r="T459" s="10">
        <f>IF(S459="","",IFERROR(VLOOKUP(S459,T_TIMSS,2,FALSE),0))</f>
        <v/>
      </c>
      <c r="U459" s="19">
        <f>IF(COUNT(F459,H459,P459,R459,T459)=0,"",MIN(10,MAX(F459,H459,P459,R459,T459)))</f>
        <v/>
      </c>
      <c r="V459" s="11" t="n"/>
    </row>
    <row r="460">
      <c r="A460" s="15">
        <f>Murid!A460</f>
        <v/>
      </c>
      <c r="B460" s="15">
        <f>IF(Murid!B460="","",Murid!B460)</f>
        <v/>
      </c>
      <c r="C460" s="16">
        <f>IF(Murid!C460="","",Murid!C460)</f>
        <v/>
      </c>
      <c r="D460" s="15">
        <f>IF(Murid!E460="","",Murid!E460)</f>
        <v/>
      </c>
      <c r="E460" s="11" t="n"/>
      <c r="F460" s="10">
        <f>IF(E460="","",IFERROR(VLOOKUP(E460,T_PERK,2,FALSE),0))</f>
        <v/>
      </c>
      <c r="G460" s="11" t="n"/>
      <c r="H460" s="10">
        <f>IF(G460="","",IFERROR(VLOOKUP(G460,T_ANUG,2,FALSE),0))</f>
        <v/>
      </c>
      <c r="I460" s="11" t="n"/>
      <c r="J460" s="11" t="n"/>
      <c r="K460" s="11" t="n"/>
      <c r="L460" s="11" t="n"/>
      <c r="M460" s="11" t="n"/>
      <c r="N460" s="11" t="n"/>
      <c r="O460" s="11" t="n"/>
      <c r="P460" s="10">
        <f>IF(COUNTA(I460:O460)=0,"",MIN(10,SUM(I460:O460)))</f>
        <v/>
      </c>
      <c r="Q460" s="11" t="n"/>
      <c r="R460" s="10">
        <f>IF(Q460="","",IFERROR(VLOOKUP(Q460,T_NILAM,2,FALSE),0))</f>
        <v/>
      </c>
      <c r="S460" s="11" t="n"/>
      <c r="T460" s="10">
        <f>IF(S460="","",IFERROR(VLOOKUP(S460,T_TIMSS,2,FALSE),0))</f>
        <v/>
      </c>
      <c r="U460" s="19">
        <f>IF(COUNT(F460,H460,P460,R460,T460)=0,"",MIN(10,MAX(F460,H460,P460,R460,T460)))</f>
        <v/>
      </c>
      <c r="V460" s="11" t="n"/>
    </row>
    <row r="461">
      <c r="A461" s="15">
        <f>Murid!A461</f>
        <v/>
      </c>
      <c r="B461" s="15">
        <f>IF(Murid!B461="","",Murid!B461)</f>
        <v/>
      </c>
      <c r="C461" s="16">
        <f>IF(Murid!C461="","",Murid!C461)</f>
        <v/>
      </c>
      <c r="D461" s="15">
        <f>IF(Murid!E461="","",Murid!E461)</f>
        <v/>
      </c>
      <c r="E461" s="11" t="n"/>
      <c r="F461" s="10">
        <f>IF(E461="","",IFERROR(VLOOKUP(E461,T_PERK,2,FALSE),0))</f>
        <v/>
      </c>
      <c r="G461" s="11" t="n"/>
      <c r="H461" s="10">
        <f>IF(G461="","",IFERROR(VLOOKUP(G461,T_ANUG,2,FALSE),0))</f>
        <v/>
      </c>
      <c r="I461" s="11" t="n"/>
      <c r="J461" s="11" t="n"/>
      <c r="K461" s="11" t="n"/>
      <c r="L461" s="11" t="n"/>
      <c r="M461" s="11" t="n"/>
      <c r="N461" s="11" t="n"/>
      <c r="O461" s="11" t="n"/>
      <c r="P461" s="10">
        <f>IF(COUNTA(I461:O461)=0,"",MIN(10,SUM(I461:O461)))</f>
        <v/>
      </c>
      <c r="Q461" s="11" t="n"/>
      <c r="R461" s="10">
        <f>IF(Q461="","",IFERROR(VLOOKUP(Q461,T_NILAM,2,FALSE),0))</f>
        <v/>
      </c>
      <c r="S461" s="11" t="n"/>
      <c r="T461" s="10">
        <f>IF(S461="","",IFERROR(VLOOKUP(S461,T_TIMSS,2,FALSE),0))</f>
        <v/>
      </c>
      <c r="U461" s="19">
        <f>IF(COUNT(F461,H461,P461,R461,T461)=0,"",MIN(10,MAX(F461,H461,P461,R461,T461)))</f>
        <v/>
      </c>
      <c r="V461" s="11" t="n"/>
    </row>
    <row r="462">
      <c r="A462" s="15">
        <f>Murid!A462</f>
        <v/>
      </c>
      <c r="B462" s="15">
        <f>IF(Murid!B462="","",Murid!B462)</f>
        <v/>
      </c>
      <c r="C462" s="16">
        <f>IF(Murid!C462="","",Murid!C462)</f>
        <v/>
      </c>
      <c r="D462" s="15">
        <f>IF(Murid!E462="","",Murid!E462)</f>
        <v/>
      </c>
      <c r="E462" s="11" t="n"/>
      <c r="F462" s="10">
        <f>IF(E462="","",IFERROR(VLOOKUP(E462,T_PERK,2,FALSE),0))</f>
        <v/>
      </c>
      <c r="G462" s="11" t="n"/>
      <c r="H462" s="10">
        <f>IF(G462="","",IFERROR(VLOOKUP(G462,T_ANUG,2,FALSE),0))</f>
        <v/>
      </c>
      <c r="I462" s="11" t="n"/>
      <c r="J462" s="11" t="n"/>
      <c r="K462" s="11" t="n"/>
      <c r="L462" s="11" t="n"/>
      <c r="M462" s="11" t="n"/>
      <c r="N462" s="11" t="n"/>
      <c r="O462" s="11" t="n"/>
      <c r="P462" s="10">
        <f>IF(COUNTA(I462:O462)=0,"",MIN(10,SUM(I462:O462)))</f>
        <v/>
      </c>
      <c r="Q462" s="11" t="n"/>
      <c r="R462" s="10">
        <f>IF(Q462="","",IFERROR(VLOOKUP(Q462,T_NILAM,2,FALSE),0))</f>
        <v/>
      </c>
      <c r="S462" s="11" t="n"/>
      <c r="T462" s="10">
        <f>IF(S462="","",IFERROR(VLOOKUP(S462,T_TIMSS,2,FALSE),0))</f>
        <v/>
      </c>
      <c r="U462" s="19">
        <f>IF(COUNT(F462,H462,P462,R462,T462)=0,"",MIN(10,MAX(F462,H462,P462,R462,T462)))</f>
        <v/>
      </c>
      <c r="V462" s="11" t="n"/>
    </row>
    <row r="463">
      <c r="A463" s="15">
        <f>Murid!A463</f>
        <v/>
      </c>
      <c r="B463" s="15">
        <f>IF(Murid!B463="","",Murid!B463)</f>
        <v/>
      </c>
      <c r="C463" s="16">
        <f>IF(Murid!C463="","",Murid!C463)</f>
        <v/>
      </c>
      <c r="D463" s="15">
        <f>IF(Murid!E463="","",Murid!E463)</f>
        <v/>
      </c>
      <c r="E463" s="11" t="n"/>
      <c r="F463" s="10">
        <f>IF(E463="","",IFERROR(VLOOKUP(E463,T_PERK,2,FALSE),0))</f>
        <v/>
      </c>
      <c r="G463" s="11" t="n"/>
      <c r="H463" s="10">
        <f>IF(G463="","",IFERROR(VLOOKUP(G463,T_ANUG,2,FALSE),0))</f>
        <v/>
      </c>
      <c r="I463" s="11" t="n"/>
      <c r="J463" s="11" t="n"/>
      <c r="K463" s="11" t="n"/>
      <c r="L463" s="11" t="n"/>
      <c r="M463" s="11" t="n"/>
      <c r="N463" s="11" t="n"/>
      <c r="O463" s="11" t="n"/>
      <c r="P463" s="10">
        <f>IF(COUNTA(I463:O463)=0,"",MIN(10,SUM(I463:O463)))</f>
        <v/>
      </c>
      <c r="Q463" s="11" t="n"/>
      <c r="R463" s="10">
        <f>IF(Q463="","",IFERROR(VLOOKUP(Q463,T_NILAM,2,FALSE),0))</f>
        <v/>
      </c>
      <c r="S463" s="11" t="n"/>
      <c r="T463" s="10">
        <f>IF(S463="","",IFERROR(VLOOKUP(S463,T_TIMSS,2,FALSE),0))</f>
        <v/>
      </c>
      <c r="U463" s="19">
        <f>IF(COUNT(F463,H463,P463,R463,T463)=0,"",MIN(10,MAX(F463,H463,P463,R463,T463)))</f>
        <v/>
      </c>
      <c r="V463" s="11" t="n"/>
    </row>
    <row r="464">
      <c r="A464" s="15">
        <f>Murid!A464</f>
        <v/>
      </c>
      <c r="B464" s="15">
        <f>IF(Murid!B464="","",Murid!B464)</f>
        <v/>
      </c>
      <c r="C464" s="16">
        <f>IF(Murid!C464="","",Murid!C464)</f>
        <v/>
      </c>
      <c r="D464" s="15">
        <f>IF(Murid!E464="","",Murid!E464)</f>
        <v/>
      </c>
      <c r="E464" s="11" t="n"/>
      <c r="F464" s="10">
        <f>IF(E464="","",IFERROR(VLOOKUP(E464,T_PERK,2,FALSE),0))</f>
        <v/>
      </c>
      <c r="G464" s="11" t="n"/>
      <c r="H464" s="10">
        <f>IF(G464="","",IFERROR(VLOOKUP(G464,T_ANUG,2,FALSE),0))</f>
        <v/>
      </c>
      <c r="I464" s="11" t="n"/>
      <c r="J464" s="11" t="n"/>
      <c r="K464" s="11" t="n"/>
      <c r="L464" s="11" t="n"/>
      <c r="M464" s="11" t="n"/>
      <c r="N464" s="11" t="n"/>
      <c r="O464" s="11" t="n"/>
      <c r="P464" s="10">
        <f>IF(COUNTA(I464:O464)=0,"",MIN(10,SUM(I464:O464)))</f>
        <v/>
      </c>
      <c r="Q464" s="11" t="n"/>
      <c r="R464" s="10">
        <f>IF(Q464="","",IFERROR(VLOOKUP(Q464,T_NILAM,2,FALSE),0))</f>
        <v/>
      </c>
      <c r="S464" s="11" t="n"/>
      <c r="T464" s="10">
        <f>IF(S464="","",IFERROR(VLOOKUP(S464,T_TIMSS,2,FALSE),0))</f>
        <v/>
      </c>
      <c r="U464" s="19">
        <f>IF(COUNT(F464,H464,P464,R464,T464)=0,"",MIN(10,MAX(F464,H464,P464,R464,T464)))</f>
        <v/>
      </c>
      <c r="V464" s="11" t="n"/>
    </row>
    <row r="465">
      <c r="A465" s="15">
        <f>Murid!A465</f>
        <v/>
      </c>
      <c r="B465" s="15">
        <f>IF(Murid!B465="","",Murid!B465)</f>
        <v/>
      </c>
      <c r="C465" s="16">
        <f>IF(Murid!C465="","",Murid!C465)</f>
        <v/>
      </c>
      <c r="D465" s="15">
        <f>IF(Murid!E465="","",Murid!E465)</f>
        <v/>
      </c>
      <c r="E465" s="11" t="n"/>
      <c r="F465" s="10">
        <f>IF(E465="","",IFERROR(VLOOKUP(E465,T_PERK,2,FALSE),0))</f>
        <v/>
      </c>
      <c r="G465" s="11" t="n"/>
      <c r="H465" s="10">
        <f>IF(G465="","",IFERROR(VLOOKUP(G465,T_ANUG,2,FALSE),0))</f>
        <v/>
      </c>
      <c r="I465" s="11" t="n"/>
      <c r="J465" s="11" t="n"/>
      <c r="K465" s="11" t="n"/>
      <c r="L465" s="11" t="n"/>
      <c r="M465" s="11" t="n"/>
      <c r="N465" s="11" t="n"/>
      <c r="O465" s="11" t="n"/>
      <c r="P465" s="10">
        <f>IF(COUNTA(I465:O465)=0,"",MIN(10,SUM(I465:O465)))</f>
        <v/>
      </c>
      <c r="Q465" s="11" t="n"/>
      <c r="R465" s="10">
        <f>IF(Q465="","",IFERROR(VLOOKUP(Q465,T_NILAM,2,FALSE),0))</f>
        <v/>
      </c>
      <c r="S465" s="11" t="n"/>
      <c r="T465" s="10">
        <f>IF(S465="","",IFERROR(VLOOKUP(S465,T_TIMSS,2,FALSE),0))</f>
        <v/>
      </c>
      <c r="U465" s="19">
        <f>IF(COUNT(F465,H465,P465,R465,T465)=0,"",MIN(10,MAX(F465,H465,P465,R465,T465)))</f>
        <v/>
      </c>
      <c r="V465" s="11" t="n"/>
    </row>
    <row r="466">
      <c r="A466" s="15">
        <f>Murid!A466</f>
        <v/>
      </c>
      <c r="B466" s="15">
        <f>IF(Murid!B466="","",Murid!B466)</f>
        <v/>
      </c>
      <c r="C466" s="16">
        <f>IF(Murid!C466="","",Murid!C466)</f>
        <v/>
      </c>
      <c r="D466" s="15">
        <f>IF(Murid!E466="","",Murid!E466)</f>
        <v/>
      </c>
      <c r="E466" s="11" t="n"/>
      <c r="F466" s="10">
        <f>IF(E466="","",IFERROR(VLOOKUP(E466,T_PERK,2,FALSE),0))</f>
        <v/>
      </c>
      <c r="G466" s="11" t="n"/>
      <c r="H466" s="10">
        <f>IF(G466="","",IFERROR(VLOOKUP(G466,T_ANUG,2,FALSE),0))</f>
        <v/>
      </c>
      <c r="I466" s="11" t="n"/>
      <c r="J466" s="11" t="n"/>
      <c r="K466" s="11" t="n"/>
      <c r="L466" s="11" t="n"/>
      <c r="M466" s="11" t="n"/>
      <c r="N466" s="11" t="n"/>
      <c r="O466" s="11" t="n"/>
      <c r="P466" s="10">
        <f>IF(COUNTA(I466:O466)=0,"",MIN(10,SUM(I466:O466)))</f>
        <v/>
      </c>
      <c r="Q466" s="11" t="n"/>
      <c r="R466" s="10">
        <f>IF(Q466="","",IFERROR(VLOOKUP(Q466,T_NILAM,2,FALSE),0))</f>
        <v/>
      </c>
      <c r="S466" s="11" t="n"/>
      <c r="T466" s="10">
        <f>IF(S466="","",IFERROR(VLOOKUP(S466,T_TIMSS,2,FALSE),0))</f>
        <v/>
      </c>
      <c r="U466" s="19">
        <f>IF(COUNT(F466,H466,P466,R466,T466)=0,"",MIN(10,MAX(F466,H466,P466,R466,T466)))</f>
        <v/>
      </c>
      <c r="V466" s="11" t="n"/>
    </row>
    <row r="467">
      <c r="A467" s="15">
        <f>Murid!A467</f>
        <v/>
      </c>
      <c r="B467" s="15">
        <f>IF(Murid!B467="","",Murid!B467)</f>
        <v/>
      </c>
      <c r="C467" s="16">
        <f>IF(Murid!C467="","",Murid!C467)</f>
        <v/>
      </c>
      <c r="D467" s="15">
        <f>IF(Murid!E467="","",Murid!E467)</f>
        <v/>
      </c>
      <c r="E467" s="11" t="n"/>
      <c r="F467" s="10">
        <f>IF(E467="","",IFERROR(VLOOKUP(E467,T_PERK,2,FALSE),0))</f>
        <v/>
      </c>
      <c r="G467" s="11" t="n"/>
      <c r="H467" s="10">
        <f>IF(G467="","",IFERROR(VLOOKUP(G467,T_ANUG,2,FALSE),0))</f>
        <v/>
      </c>
      <c r="I467" s="11" t="n"/>
      <c r="J467" s="11" t="n"/>
      <c r="K467" s="11" t="n"/>
      <c r="L467" s="11" t="n"/>
      <c r="M467" s="11" t="n"/>
      <c r="N467" s="11" t="n"/>
      <c r="O467" s="11" t="n"/>
      <c r="P467" s="10">
        <f>IF(COUNTA(I467:O467)=0,"",MIN(10,SUM(I467:O467)))</f>
        <v/>
      </c>
      <c r="Q467" s="11" t="n"/>
      <c r="R467" s="10">
        <f>IF(Q467="","",IFERROR(VLOOKUP(Q467,T_NILAM,2,FALSE),0))</f>
        <v/>
      </c>
      <c r="S467" s="11" t="n"/>
      <c r="T467" s="10">
        <f>IF(S467="","",IFERROR(VLOOKUP(S467,T_TIMSS,2,FALSE),0))</f>
        <v/>
      </c>
      <c r="U467" s="19">
        <f>IF(COUNT(F467,H467,P467,R467,T467)=0,"",MIN(10,MAX(F467,H467,P467,R467,T467)))</f>
        <v/>
      </c>
      <c r="V467" s="11" t="n"/>
    </row>
    <row r="468">
      <c r="A468" s="15">
        <f>Murid!A468</f>
        <v/>
      </c>
      <c r="B468" s="15">
        <f>IF(Murid!B468="","",Murid!B468)</f>
        <v/>
      </c>
      <c r="C468" s="16">
        <f>IF(Murid!C468="","",Murid!C468)</f>
        <v/>
      </c>
      <c r="D468" s="15">
        <f>IF(Murid!E468="","",Murid!E468)</f>
        <v/>
      </c>
      <c r="E468" s="11" t="n"/>
      <c r="F468" s="10">
        <f>IF(E468="","",IFERROR(VLOOKUP(E468,T_PERK,2,FALSE),0))</f>
        <v/>
      </c>
      <c r="G468" s="11" t="n"/>
      <c r="H468" s="10">
        <f>IF(G468="","",IFERROR(VLOOKUP(G468,T_ANUG,2,FALSE),0))</f>
        <v/>
      </c>
      <c r="I468" s="11" t="n"/>
      <c r="J468" s="11" t="n"/>
      <c r="K468" s="11" t="n"/>
      <c r="L468" s="11" t="n"/>
      <c r="M468" s="11" t="n"/>
      <c r="N468" s="11" t="n"/>
      <c r="O468" s="11" t="n"/>
      <c r="P468" s="10">
        <f>IF(COUNTA(I468:O468)=0,"",MIN(10,SUM(I468:O468)))</f>
        <v/>
      </c>
      <c r="Q468" s="11" t="n"/>
      <c r="R468" s="10">
        <f>IF(Q468="","",IFERROR(VLOOKUP(Q468,T_NILAM,2,FALSE),0))</f>
        <v/>
      </c>
      <c r="S468" s="11" t="n"/>
      <c r="T468" s="10">
        <f>IF(S468="","",IFERROR(VLOOKUP(S468,T_TIMSS,2,FALSE),0))</f>
        <v/>
      </c>
      <c r="U468" s="19">
        <f>IF(COUNT(F468,H468,P468,R468,T468)=0,"",MIN(10,MAX(F468,H468,P468,R468,T468)))</f>
        <v/>
      </c>
      <c r="V468" s="11" t="n"/>
    </row>
    <row r="469">
      <c r="A469" s="15">
        <f>Murid!A469</f>
        <v/>
      </c>
      <c r="B469" s="15">
        <f>IF(Murid!B469="","",Murid!B469)</f>
        <v/>
      </c>
      <c r="C469" s="16">
        <f>IF(Murid!C469="","",Murid!C469)</f>
        <v/>
      </c>
      <c r="D469" s="15">
        <f>IF(Murid!E469="","",Murid!E469)</f>
        <v/>
      </c>
      <c r="E469" s="11" t="n"/>
      <c r="F469" s="10">
        <f>IF(E469="","",IFERROR(VLOOKUP(E469,T_PERK,2,FALSE),0))</f>
        <v/>
      </c>
      <c r="G469" s="11" t="n"/>
      <c r="H469" s="10">
        <f>IF(G469="","",IFERROR(VLOOKUP(G469,T_ANUG,2,FALSE),0))</f>
        <v/>
      </c>
      <c r="I469" s="11" t="n"/>
      <c r="J469" s="11" t="n"/>
      <c r="K469" s="11" t="n"/>
      <c r="L469" s="11" t="n"/>
      <c r="M469" s="11" t="n"/>
      <c r="N469" s="11" t="n"/>
      <c r="O469" s="11" t="n"/>
      <c r="P469" s="10">
        <f>IF(COUNTA(I469:O469)=0,"",MIN(10,SUM(I469:O469)))</f>
        <v/>
      </c>
      <c r="Q469" s="11" t="n"/>
      <c r="R469" s="10">
        <f>IF(Q469="","",IFERROR(VLOOKUP(Q469,T_NILAM,2,FALSE),0))</f>
        <v/>
      </c>
      <c r="S469" s="11" t="n"/>
      <c r="T469" s="10">
        <f>IF(S469="","",IFERROR(VLOOKUP(S469,T_TIMSS,2,FALSE),0))</f>
        <v/>
      </c>
      <c r="U469" s="19">
        <f>IF(COUNT(F469,H469,P469,R469,T469)=0,"",MIN(10,MAX(F469,H469,P469,R469,T469)))</f>
        <v/>
      </c>
      <c r="V469" s="11" t="n"/>
    </row>
    <row r="470">
      <c r="A470" s="15">
        <f>Murid!A470</f>
        <v/>
      </c>
      <c r="B470" s="15">
        <f>IF(Murid!B470="","",Murid!B470)</f>
        <v/>
      </c>
      <c r="C470" s="16">
        <f>IF(Murid!C470="","",Murid!C470)</f>
        <v/>
      </c>
      <c r="D470" s="15">
        <f>IF(Murid!E470="","",Murid!E470)</f>
        <v/>
      </c>
      <c r="E470" s="11" t="n"/>
      <c r="F470" s="10">
        <f>IF(E470="","",IFERROR(VLOOKUP(E470,T_PERK,2,FALSE),0))</f>
        <v/>
      </c>
      <c r="G470" s="11" t="n"/>
      <c r="H470" s="10">
        <f>IF(G470="","",IFERROR(VLOOKUP(G470,T_ANUG,2,FALSE),0))</f>
        <v/>
      </c>
      <c r="I470" s="11" t="n"/>
      <c r="J470" s="11" t="n"/>
      <c r="K470" s="11" t="n"/>
      <c r="L470" s="11" t="n"/>
      <c r="M470" s="11" t="n"/>
      <c r="N470" s="11" t="n"/>
      <c r="O470" s="11" t="n"/>
      <c r="P470" s="10">
        <f>IF(COUNTA(I470:O470)=0,"",MIN(10,SUM(I470:O470)))</f>
        <v/>
      </c>
      <c r="Q470" s="11" t="n"/>
      <c r="R470" s="10">
        <f>IF(Q470="","",IFERROR(VLOOKUP(Q470,T_NILAM,2,FALSE),0))</f>
        <v/>
      </c>
      <c r="S470" s="11" t="n"/>
      <c r="T470" s="10">
        <f>IF(S470="","",IFERROR(VLOOKUP(S470,T_TIMSS,2,FALSE),0))</f>
        <v/>
      </c>
      <c r="U470" s="19">
        <f>IF(COUNT(F470,H470,P470,R470,T470)=0,"",MIN(10,MAX(F470,H470,P470,R470,T470)))</f>
        <v/>
      </c>
      <c r="V470" s="11" t="n"/>
    </row>
    <row r="471">
      <c r="A471" s="15">
        <f>Murid!A471</f>
        <v/>
      </c>
      <c r="B471" s="15">
        <f>IF(Murid!B471="","",Murid!B471)</f>
        <v/>
      </c>
      <c r="C471" s="16">
        <f>IF(Murid!C471="","",Murid!C471)</f>
        <v/>
      </c>
      <c r="D471" s="15">
        <f>IF(Murid!E471="","",Murid!E471)</f>
        <v/>
      </c>
      <c r="E471" s="11" t="n"/>
      <c r="F471" s="10">
        <f>IF(E471="","",IFERROR(VLOOKUP(E471,T_PERK,2,FALSE),0))</f>
        <v/>
      </c>
      <c r="G471" s="11" t="n"/>
      <c r="H471" s="10">
        <f>IF(G471="","",IFERROR(VLOOKUP(G471,T_ANUG,2,FALSE),0))</f>
        <v/>
      </c>
      <c r="I471" s="11" t="n"/>
      <c r="J471" s="11" t="n"/>
      <c r="K471" s="11" t="n"/>
      <c r="L471" s="11" t="n"/>
      <c r="M471" s="11" t="n"/>
      <c r="N471" s="11" t="n"/>
      <c r="O471" s="11" t="n"/>
      <c r="P471" s="10">
        <f>IF(COUNTA(I471:O471)=0,"",MIN(10,SUM(I471:O471)))</f>
        <v/>
      </c>
      <c r="Q471" s="11" t="n"/>
      <c r="R471" s="10">
        <f>IF(Q471="","",IFERROR(VLOOKUP(Q471,T_NILAM,2,FALSE),0))</f>
        <v/>
      </c>
      <c r="S471" s="11" t="n"/>
      <c r="T471" s="10">
        <f>IF(S471="","",IFERROR(VLOOKUP(S471,T_TIMSS,2,FALSE),0))</f>
        <v/>
      </c>
      <c r="U471" s="19">
        <f>IF(COUNT(F471,H471,P471,R471,T471)=0,"",MIN(10,MAX(F471,H471,P471,R471,T471)))</f>
        <v/>
      </c>
      <c r="V471" s="11" t="n"/>
    </row>
    <row r="472">
      <c r="A472" s="15">
        <f>Murid!A472</f>
        <v/>
      </c>
      <c r="B472" s="15">
        <f>IF(Murid!B472="","",Murid!B472)</f>
        <v/>
      </c>
      <c r="C472" s="16">
        <f>IF(Murid!C472="","",Murid!C472)</f>
        <v/>
      </c>
      <c r="D472" s="15">
        <f>IF(Murid!E472="","",Murid!E472)</f>
        <v/>
      </c>
      <c r="E472" s="11" t="n"/>
      <c r="F472" s="10">
        <f>IF(E472="","",IFERROR(VLOOKUP(E472,T_PERK,2,FALSE),0))</f>
        <v/>
      </c>
      <c r="G472" s="11" t="n"/>
      <c r="H472" s="10">
        <f>IF(G472="","",IFERROR(VLOOKUP(G472,T_ANUG,2,FALSE),0))</f>
        <v/>
      </c>
      <c r="I472" s="11" t="n"/>
      <c r="J472" s="11" t="n"/>
      <c r="K472" s="11" t="n"/>
      <c r="L472" s="11" t="n"/>
      <c r="M472" s="11" t="n"/>
      <c r="N472" s="11" t="n"/>
      <c r="O472" s="11" t="n"/>
      <c r="P472" s="10">
        <f>IF(COUNTA(I472:O472)=0,"",MIN(10,SUM(I472:O472)))</f>
        <v/>
      </c>
      <c r="Q472" s="11" t="n"/>
      <c r="R472" s="10">
        <f>IF(Q472="","",IFERROR(VLOOKUP(Q472,T_NILAM,2,FALSE),0))</f>
        <v/>
      </c>
      <c r="S472" s="11" t="n"/>
      <c r="T472" s="10">
        <f>IF(S472="","",IFERROR(VLOOKUP(S472,T_TIMSS,2,FALSE),0))</f>
        <v/>
      </c>
      <c r="U472" s="19">
        <f>IF(COUNT(F472,H472,P472,R472,T472)=0,"",MIN(10,MAX(F472,H472,P472,R472,T472)))</f>
        <v/>
      </c>
      <c r="V472" s="11" t="n"/>
    </row>
    <row r="473">
      <c r="A473" s="15">
        <f>Murid!A473</f>
        <v/>
      </c>
      <c r="B473" s="15">
        <f>IF(Murid!B473="","",Murid!B473)</f>
        <v/>
      </c>
      <c r="C473" s="16">
        <f>IF(Murid!C473="","",Murid!C473)</f>
        <v/>
      </c>
      <c r="D473" s="15">
        <f>IF(Murid!E473="","",Murid!E473)</f>
        <v/>
      </c>
      <c r="E473" s="11" t="n"/>
      <c r="F473" s="10">
        <f>IF(E473="","",IFERROR(VLOOKUP(E473,T_PERK,2,FALSE),0))</f>
        <v/>
      </c>
      <c r="G473" s="11" t="n"/>
      <c r="H473" s="10">
        <f>IF(G473="","",IFERROR(VLOOKUP(G473,T_ANUG,2,FALSE),0))</f>
        <v/>
      </c>
      <c r="I473" s="11" t="n"/>
      <c r="J473" s="11" t="n"/>
      <c r="K473" s="11" t="n"/>
      <c r="L473" s="11" t="n"/>
      <c r="M473" s="11" t="n"/>
      <c r="N473" s="11" t="n"/>
      <c r="O473" s="11" t="n"/>
      <c r="P473" s="10">
        <f>IF(COUNTA(I473:O473)=0,"",MIN(10,SUM(I473:O473)))</f>
        <v/>
      </c>
      <c r="Q473" s="11" t="n"/>
      <c r="R473" s="10">
        <f>IF(Q473="","",IFERROR(VLOOKUP(Q473,T_NILAM,2,FALSE),0))</f>
        <v/>
      </c>
      <c r="S473" s="11" t="n"/>
      <c r="T473" s="10">
        <f>IF(S473="","",IFERROR(VLOOKUP(S473,T_TIMSS,2,FALSE),0))</f>
        <v/>
      </c>
      <c r="U473" s="19">
        <f>IF(COUNT(F473,H473,P473,R473,T473)=0,"",MIN(10,MAX(F473,H473,P473,R473,T473)))</f>
        <v/>
      </c>
      <c r="V473" s="11" t="n"/>
    </row>
    <row r="474">
      <c r="A474" s="15">
        <f>Murid!A474</f>
        <v/>
      </c>
      <c r="B474" s="15">
        <f>IF(Murid!B474="","",Murid!B474)</f>
        <v/>
      </c>
      <c r="C474" s="16">
        <f>IF(Murid!C474="","",Murid!C474)</f>
        <v/>
      </c>
      <c r="D474" s="15">
        <f>IF(Murid!E474="","",Murid!E474)</f>
        <v/>
      </c>
      <c r="E474" s="11" t="n"/>
      <c r="F474" s="10">
        <f>IF(E474="","",IFERROR(VLOOKUP(E474,T_PERK,2,FALSE),0))</f>
        <v/>
      </c>
      <c r="G474" s="11" t="n"/>
      <c r="H474" s="10">
        <f>IF(G474="","",IFERROR(VLOOKUP(G474,T_ANUG,2,FALSE),0))</f>
        <v/>
      </c>
      <c r="I474" s="11" t="n"/>
      <c r="J474" s="11" t="n"/>
      <c r="K474" s="11" t="n"/>
      <c r="L474" s="11" t="n"/>
      <c r="M474" s="11" t="n"/>
      <c r="N474" s="11" t="n"/>
      <c r="O474" s="11" t="n"/>
      <c r="P474" s="10">
        <f>IF(COUNTA(I474:O474)=0,"",MIN(10,SUM(I474:O474)))</f>
        <v/>
      </c>
      <c r="Q474" s="11" t="n"/>
      <c r="R474" s="10">
        <f>IF(Q474="","",IFERROR(VLOOKUP(Q474,T_NILAM,2,FALSE),0))</f>
        <v/>
      </c>
      <c r="S474" s="11" t="n"/>
      <c r="T474" s="10">
        <f>IF(S474="","",IFERROR(VLOOKUP(S474,T_TIMSS,2,FALSE),0))</f>
        <v/>
      </c>
      <c r="U474" s="19">
        <f>IF(COUNT(F474,H474,P474,R474,T474)=0,"",MIN(10,MAX(F474,H474,P474,R474,T474)))</f>
        <v/>
      </c>
      <c r="V474" s="11" t="n"/>
    </row>
    <row r="475">
      <c r="A475" s="15">
        <f>Murid!A475</f>
        <v/>
      </c>
      <c r="B475" s="15">
        <f>IF(Murid!B475="","",Murid!B475)</f>
        <v/>
      </c>
      <c r="C475" s="16">
        <f>IF(Murid!C475="","",Murid!C475)</f>
        <v/>
      </c>
      <c r="D475" s="15">
        <f>IF(Murid!E475="","",Murid!E475)</f>
        <v/>
      </c>
      <c r="E475" s="11" t="n"/>
      <c r="F475" s="10">
        <f>IF(E475="","",IFERROR(VLOOKUP(E475,T_PERK,2,FALSE),0))</f>
        <v/>
      </c>
      <c r="G475" s="11" t="n"/>
      <c r="H475" s="10">
        <f>IF(G475="","",IFERROR(VLOOKUP(G475,T_ANUG,2,FALSE),0))</f>
        <v/>
      </c>
      <c r="I475" s="11" t="n"/>
      <c r="J475" s="11" t="n"/>
      <c r="K475" s="11" t="n"/>
      <c r="L475" s="11" t="n"/>
      <c r="M475" s="11" t="n"/>
      <c r="N475" s="11" t="n"/>
      <c r="O475" s="11" t="n"/>
      <c r="P475" s="10">
        <f>IF(COUNTA(I475:O475)=0,"",MIN(10,SUM(I475:O475)))</f>
        <v/>
      </c>
      <c r="Q475" s="11" t="n"/>
      <c r="R475" s="10">
        <f>IF(Q475="","",IFERROR(VLOOKUP(Q475,T_NILAM,2,FALSE),0))</f>
        <v/>
      </c>
      <c r="S475" s="11" t="n"/>
      <c r="T475" s="10">
        <f>IF(S475="","",IFERROR(VLOOKUP(S475,T_TIMSS,2,FALSE),0))</f>
        <v/>
      </c>
      <c r="U475" s="19">
        <f>IF(COUNT(F475,H475,P475,R475,T475)=0,"",MIN(10,MAX(F475,H475,P475,R475,T475)))</f>
        <v/>
      </c>
      <c r="V475" s="11" t="n"/>
    </row>
    <row r="476">
      <c r="A476" s="15">
        <f>Murid!A476</f>
        <v/>
      </c>
      <c r="B476" s="15">
        <f>IF(Murid!B476="","",Murid!B476)</f>
        <v/>
      </c>
      <c r="C476" s="16">
        <f>IF(Murid!C476="","",Murid!C476)</f>
        <v/>
      </c>
      <c r="D476" s="15">
        <f>IF(Murid!E476="","",Murid!E476)</f>
        <v/>
      </c>
      <c r="E476" s="11" t="n"/>
      <c r="F476" s="10">
        <f>IF(E476="","",IFERROR(VLOOKUP(E476,T_PERK,2,FALSE),0))</f>
        <v/>
      </c>
      <c r="G476" s="11" t="n"/>
      <c r="H476" s="10">
        <f>IF(G476="","",IFERROR(VLOOKUP(G476,T_ANUG,2,FALSE),0))</f>
        <v/>
      </c>
      <c r="I476" s="11" t="n"/>
      <c r="J476" s="11" t="n"/>
      <c r="K476" s="11" t="n"/>
      <c r="L476" s="11" t="n"/>
      <c r="M476" s="11" t="n"/>
      <c r="N476" s="11" t="n"/>
      <c r="O476" s="11" t="n"/>
      <c r="P476" s="10">
        <f>IF(COUNTA(I476:O476)=0,"",MIN(10,SUM(I476:O476)))</f>
        <v/>
      </c>
      <c r="Q476" s="11" t="n"/>
      <c r="R476" s="10">
        <f>IF(Q476="","",IFERROR(VLOOKUP(Q476,T_NILAM,2,FALSE),0))</f>
        <v/>
      </c>
      <c r="S476" s="11" t="n"/>
      <c r="T476" s="10">
        <f>IF(S476="","",IFERROR(VLOOKUP(S476,T_TIMSS,2,FALSE),0))</f>
        <v/>
      </c>
      <c r="U476" s="19">
        <f>IF(COUNT(F476,H476,P476,R476,T476)=0,"",MIN(10,MAX(F476,H476,P476,R476,T476)))</f>
        <v/>
      </c>
      <c r="V476" s="11" t="n"/>
    </row>
    <row r="477">
      <c r="A477" s="15">
        <f>Murid!A477</f>
        <v/>
      </c>
      <c r="B477" s="15">
        <f>IF(Murid!B477="","",Murid!B477)</f>
        <v/>
      </c>
      <c r="C477" s="16">
        <f>IF(Murid!C477="","",Murid!C477)</f>
        <v/>
      </c>
      <c r="D477" s="15">
        <f>IF(Murid!E477="","",Murid!E477)</f>
        <v/>
      </c>
      <c r="E477" s="11" t="n"/>
      <c r="F477" s="10">
        <f>IF(E477="","",IFERROR(VLOOKUP(E477,T_PERK,2,FALSE),0))</f>
        <v/>
      </c>
      <c r="G477" s="11" t="n"/>
      <c r="H477" s="10">
        <f>IF(G477="","",IFERROR(VLOOKUP(G477,T_ANUG,2,FALSE),0))</f>
        <v/>
      </c>
      <c r="I477" s="11" t="n"/>
      <c r="J477" s="11" t="n"/>
      <c r="K477" s="11" t="n"/>
      <c r="L477" s="11" t="n"/>
      <c r="M477" s="11" t="n"/>
      <c r="N477" s="11" t="n"/>
      <c r="O477" s="11" t="n"/>
      <c r="P477" s="10">
        <f>IF(COUNTA(I477:O477)=0,"",MIN(10,SUM(I477:O477)))</f>
        <v/>
      </c>
      <c r="Q477" s="11" t="n"/>
      <c r="R477" s="10">
        <f>IF(Q477="","",IFERROR(VLOOKUP(Q477,T_NILAM,2,FALSE),0))</f>
        <v/>
      </c>
      <c r="S477" s="11" t="n"/>
      <c r="T477" s="10">
        <f>IF(S477="","",IFERROR(VLOOKUP(S477,T_TIMSS,2,FALSE),0))</f>
        <v/>
      </c>
      <c r="U477" s="19">
        <f>IF(COUNT(F477,H477,P477,R477,T477)=0,"",MIN(10,MAX(F477,H477,P477,R477,T477)))</f>
        <v/>
      </c>
      <c r="V477" s="11" t="n"/>
    </row>
    <row r="478">
      <c r="A478" s="15">
        <f>Murid!A478</f>
        <v/>
      </c>
      <c r="B478" s="15">
        <f>IF(Murid!B478="","",Murid!B478)</f>
        <v/>
      </c>
      <c r="C478" s="16">
        <f>IF(Murid!C478="","",Murid!C478)</f>
        <v/>
      </c>
      <c r="D478" s="15">
        <f>IF(Murid!E478="","",Murid!E478)</f>
        <v/>
      </c>
      <c r="E478" s="11" t="n"/>
      <c r="F478" s="10">
        <f>IF(E478="","",IFERROR(VLOOKUP(E478,T_PERK,2,FALSE),0))</f>
        <v/>
      </c>
      <c r="G478" s="11" t="n"/>
      <c r="H478" s="10">
        <f>IF(G478="","",IFERROR(VLOOKUP(G478,T_ANUG,2,FALSE),0))</f>
        <v/>
      </c>
      <c r="I478" s="11" t="n"/>
      <c r="J478" s="11" t="n"/>
      <c r="K478" s="11" t="n"/>
      <c r="L478" s="11" t="n"/>
      <c r="M478" s="11" t="n"/>
      <c r="N478" s="11" t="n"/>
      <c r="O478" s="11" t="n"/>
      <c r="P478" s="10">
        <f>IF(COUNTA(I478:O478)=0,"",MIN(10,SUM(I478:O478)))</f>
        <v/>
      </c>
      <c r="Q478" s="11" t="n"/>
      <c r="R478" s="10">
        <f>IF(Q478="","",IFERROR(VLOOKUP(Q478,T_NILAM,2,FALSE),0))</f>
        <v/>
      </c>
      <c r="S478" s="11" t="n"/>
      <c r="T478" s="10">
        <f>IF(S478="","",IFERROR(VLOOKUP(S478,T_TIMSS,2,FALSE),0))</f>
        <v/>
      </c>
      <c r="U478" s="19">
        <f>IF(COUNT(F478,H478,P478,R478,T478)=0,"",MIN(10,MAX(F478,H478,P478,R478,T478)))</f>
        <v/>
      </c>
      <c r="V478" s="11" t="n"/>
    </row>
    <row r="479">
      <c r="A479" s="15">
        <f>Murid!A479</f>
        <v/>
      </c>
      <c r="B479" s="15">
        <f>IF(Murid!B479="","",Murid!B479)</f>
        <v/>
      </c>
      <c r="C479" s="16">
        <f>IF(Murid!C479="","",Murid!C479)</f>
        <v/>
      </c>
      <c r="D479" s="15">
        <f>IF(Murid!E479="","",Murid!E479)</f>
        <v/>
      </c>
      <c r="E479" s="11" t="n"/>
      <c r="F479" s="10">
        <f>IF(E479="","",IFERROR(VLOOKUP(E479,T_PERK,2,FALSE),0))</f>
        <v/>
      </c>
      <c r="G479" s="11" t="n"/>
      <c r="H479" s="10">
        <f>IF(G479="","",IFERROR(VLOOKUP(G479,T_ANUG,2,FALSE),0))</f>
        <v/>
      </c>
      <c r="I479" s="11" t="n"/>
      <c r="J479" s="11" t="n"/>
      <c r="K479" s="11" t="n"/>
      <c r="L479" s="11" t="n"/>
      <c r="M479" s="11" t="n"/>
      <c r="N479" s="11" t="n"/>
      <c r="O479" s="11" t="n"/>
      <c r="P479" s="10">
        <f>IF(COUNTA(I479:O479)=0,"",MIN(10,SUM(I479:O479)))</f>
        <v/>
      </c>
      <c r="Q479" s="11" t="n"/>
      <c r="R479" s="10">
        <f>IF(Q479="","",IFERROR(VLOOKUP(Q479,T_NILAM,2,FALSE),0))</f>
        <v/>
      </c>
      <c r="S479" s="11" t="n"/>
      <c r="T479" s="10">
        <f>IF(S479="","",IFERROR(VLOOKUP(S479,T_TIMSS,2,FALSE),0))</f>
        <v/>
      </c>
      <c r="U479" s="19">
        <f>IF(COUNT(F479,H479,P479,R479,T479)=0,"",MIN(10,MAX(F479,H479,P479,R479,T479)))</f>
        <v/>
      </c>
      <c r="V479" s="11" t="n"/>
    </row>
    <row r="480">
      <c r="A480" s="15">
        <f>Murid!A480</f>
        <v/>
      </c>
      <c r="B480" s="15">
        <f>IF(Murid!B480="","",Murid!B480)</f>
        <v/>
      </c>
      <c r="C480" s="16">
        <f>IF(Murid!C480="","",Murid!C480)</f>
        <v/>
      </c>
      <c r="D480" s="15">
        <f>IF(Murid!E480="","",Murid!E480)</f>
        <v/>
      </c>
      <c r="E480" s="11" t="n"/>
      <c r="F480" s="10">
        <f>IF(E480="","",IFERROR(VLOOKUP(E480,T_PERK,2,FALSE),0))</f>
        <v/>
      </c>
      <c r="G480" s="11" t="n"/>
      <c r="H480" s="10">
        <f>IF(G480="","",IFERROR(VLOOKUP(G480,T_ANUG,2,FALSE),0))</f>
        <v/>
      </c>
      <c r="I480" s="11" t="n"/>
      <c r="J480" s="11" t="n"/>
      <c r="K480" s="11" t="n"/>
      <c r="L480" s="11" t="n"/>
      <c r="M480" s="11" t="n"/>
      <c r="N480" s="11" t="n"/>
      <c r="O480" s="11" t="n"/>
      <c r="P480" s="10">
        <f>IF(COUNTA(I480:O480)=0,"",MIN(10,SUM(I480:O480)))</f>
        <v/>
      </c>
      <c r="Q480" s="11" t="n"/>
      <c r="R480" s="10">
        <f>IF(Q480="","",IFERROR(VLOOKUP(Q480,T_NILAM,2,FALSE),0))</f>
        <v/>
      </c>
      <c r="S480" s="11" t="n"/>
      <c r="T480" s="10">
        <f>IF(S480="","",IFERROR(VLOOKUP(S480,T_TIMSS,2,FALSE),0))</f>
        <v/>
      </c>
      <c r="U480" s="19">
        <f>IF(COUNT(F480,H480,P480,R480,T480)=0,"",MIN(10,MAX(F480,H480,P480,R480,T480)))</f>
        <v/>
      </c>
      <c r="V480" s="11" t="n"/>
    </row>
    <row r="481">
      <c r="A481" s="15">
        <f>Murid!A481</f>
        <v/>
      </c>
      <c r="B481" s="15">
        <f>IF(Murid!B481="","",Murid!B481)</f>
        <v/>
      </c>
      <c r="C481" s="16">
        <f>IF(Murid!C481="","",Murid!C481)</f>
        <v/>
      </c>
      <c r="D481" s="15">
        <f>IF(Murid!E481="","",Murid!E481)</f>
        <v/>
      </c>
      <c r="E481" s="11" t="n"/>
      <c r="F481" s="10">
        <f>IF(E481="","",IFERROR(VLOOKUP(E481,T_PERK,2,FALSE),0))</f>
        <v/>
      </c>
      <c r="G481" s="11" t="n"/>
      <c r="H481" s="10">
        <f>IF(G481="","",IFERROR(VLOOKUP(G481,T_ANUG,2,FALSE),0))</f>
        <v/>
      </c>
      <c r="I481" s="11" t="n"/>
      <c r="J481" s="11" t="n"/>
      <c r="K481" s="11" t="n"/>
      <c r="L481" s="11" t="n"/>
      <c r="M481" s="11" t="n"/>
      <c r="N481" s="11" t="n"/>
      <c r="O481" s="11" t="n"/>
      <c r="P481" s="10">
        <f>IF(COUNTA(I481:O481)=0,"",MIN(10,SUM(I481:O481)))</f>
        <v/>
      </c>
      <c r="Q481" s="11" t="n"/>
      <c r="R481" s="10">
        <f>IF(Q481="","",IFERROR(VLOOKUP(Q481,T_NILAM,2,FALSE),0))</f>
        <v/>
      </c>
      <c r="S481" s="11" t="n"/>
      <c r="T481" s="10">
        <f>IF(S481="","",IFERROR(VLOOKUP(S481,T_TIMSS,2,FALSE),0))</f>
        <v/>
      </c>
      <c r="U481" s="19">
        <f>IF(COUNT(F481,H481,P481,R481,T481)=0,"",MIN(10,MAX(F481,H481,P481,R481,T481)))</f>
        <v/>
      </c>
      <c r="V481" s="11" t="n"/>
    </row>
    <row r="482">
      <c r="A482" s="15">
        <f>Murid!A482</f>
        <v/>
      </c>
      <c r="B482" s="15">
        <f>IF(Murid!B482="","",Murid!B482)</f>
        <v/>
      </c>
      <c r="C482" s="16">
        <f>IF(Murid!C482="","",Murid!C482)</f>
        <v/>
      </c>
      <c r="D482" s="15">
        <f>IF(Murid!E482="","",Murid!E482)</f>
        <v/>
      </c>
      <c r="E482" s="11" t="n"/>
      <c r="F482" s="10">
        <f>IF(E482="","",IFERROR(VLOOKUP(E482,T_PERK,2,FALSE),0))</f>
        <v/>
      </c>
      <c r="G482" s="11" t="n"/>
      <c r="H482" s="10">
        <f>IF(G482="","",IFERROR(VLOOKUP(G482,T_ANUG,2,FALSE),0))</f>
        <v/>
      </c>
      <c r="I482" s="11" t="n"/>
      <c r="J482" s="11" t="n"/>
      <c r="K482" s="11" t="n"/>
      <c r="L482" s="11" t="n"/>
      <c r="M482" s="11" t="n"/>
      <c r="N482" s="11" t="n"/>
      <c r="O482" s="11" t="n"/>
      <c r="P482" s="10">
        <f>IF(COUNTA(I482:O482)=0,"",MIN(10,SUM(I482:O482)))</f>
        <v/>
      </c>
      <c r="Q482" s="11" t="n"/>
      <c r="R482" s="10">
        <f>IF(Q482="","",IFERROR(VLOOKUP(Q482,T_NILAM,2,FALSE),0))</f>
        <v/>
      </c>
      <c r="S482" s="11" t="n"/>
      <c r="T482" s="10">
        <f>IF(S482="","",IFERROR(VLOOKUP(S482,T_TIMSS,2,FALSE),0))</f>
        <v/>
      </c>
      <c r="U482" s="19">
        <f>IF(COUNT(F482,H482,P482,R482,T482)=0,"",MIN(10,MAX(F482,H482,P482,R482,T482)))</f>
        <v/>
      </c>
      <c r="V482" s="11" t="n"/>
    </row>
    <row r="483">
      <c r="A483" s="15">
        <f>Murid!A483</f>
        <v/>
      </c>
      <c r="B483" s="15">
        <f>IF(Murid!B483="","",Murid!B483)</f>
        <v/>
      </c>
      <c r="C483" s="16">
        <f>IF(Murid!C483="","",Murid!C483)</f>
        <v/>
      </c>
      <c r="D483" s="15">
        <f>IF(Murid!E483="","",Murid!E483)</f>
        <v/>
      </c>
      <c r="E483" s="11" t="n"/>
      <c r="F483" s="10">
        <f>IF(E483="","",IFERROR(VLOOKUP(E483,T_PERK,2,FALSE),0))</f>
        <v/>
      </c>
      <c r="G483" s="11" t="n"/>
      <c r="H483" s="10">
        <f>IF(G483="","",IFERROR(VLOOKUP(G483,T_ANUG,2,FALSE),0))</f>
        <v/>
      </c>
      <c r="I483" s="11" t="n"/>
      <c r="J483" s="11" t="n"/>
      <c r="K483" s="11" t="n"/>
      <c r="L483" s="11" t="n"/>
      <c r="M483" s="11" t="n"/>
      <c r="N483" s="11" t="n"/>
      <c r="O483" s="11" t="n"/>
      <c r="P483" s="10">
        <f>IF(COUNTA(I483:O483)=0,"",MIN(10,SUM(I483:O483)))</f>
        <v/>
      </c>
      <c r="Q483" s="11" t="n"/>
      <c r="R483" s="10">
        <f>IF(Q483="","",IFERROR(VLOOKUP(Q483,T_NILAM,2,FALSE),0))</f>
        <v/>
      </c>
      <c r="S483" s="11" t="n"/>
      <c r="T483" s="10">
        <f>IF(S483="","",IFERROR(VLOOKUP(S483,T_TIMSS,2,FALSE),0))</f>
        <v/>
      </c>
      <c r="U483" s="19">
        <f>IF(COUNT(F483,H483,P483,R483,T483)=0,"",MIN(10,MAX(F483,H483,P483,R483,T483)))</f>
        <v/>
      </c>
      <c r="V483" s="11" t="n"/>
    </row>
    <row r="484">
      <c r="A484" s="15">
        <f>Murid!A484</f>
        <v/>
      </c>
      <c r="B484" s="15">
        <f>IF(Murid!B484="","",Murid!B484)</f>
        <v/>
      </c>
      <c r="C484" s="16">
        <f>IF(Murid!C484="","",Murid!C484)</f>
        <v/>
      </c>
      <c r="D484" s="15">
        <f>IF(Murid!E484="","",Murid!E484)</f>
        <v/>
      </c>
      <c r="E484" s="11" t="n"/>
      <c r="F484" s="10">
        <f>IF(E484="","",IFERROR(VLOOKUP(E484,T_PERK,2,FALSE),0))</f>
        <v/>
      </c>
      <c r="G484" s="11" t="n"/>
      <c r="H484" s="10">
        <f>IF(G484="","",IFERROR(VLOOKUP(G484,T_ANUG,2,FALSE),0))</f>
        <v/>
      </c>
      <c r="I484" s="11" t="n"/>
      <c r="J484" s="11" t="n"/>
      <c r="K484" s="11" t="n"/>
      <c r="L484" s="11" t="n"/>
      <c r="M484" s="11" t="n"/>
      <c r="N484" s="11" t="n"/>
      <c r="O484" s="11" t="n"/>
      <c r="P484" s="10">
        <f>IF(COUNTA(I484:O484)=0,"",MIN(10,SUM(I484:O484)))</f>
        <v/>
      </c>
      <c r="Q484" s="11" t="n"/>
      <c r="R484" s="10">
        <f>IF(Q484="","",IFERROR(VLOOKUP(Q484,T_NILAM,2,FALSE),0))</f>
        <v/>
      </c>
      <c r="S484" s="11" t="n"/>
      <c r="T484" s="10">
        <f>IF(S484="","",IFERROR(VLOOKUP(S484,T_TIMSS,2,FALSE),0))</f>
        <v/>
      </c>
      <c r="U484" s="19">
        <f>IF(COUNT(F484,H484,P484,R484,T484)=0,"",MIN(10,MAX(F484,H484,P484,R484,T484)))</f>
        <v/>
      </c>
      <c r="V484" s="11" t="n"/>
    </row>
    <row r="485">
      <c r="A485" s="15">
        <f>Murid!A485</f>
        <v/>
      </c>
      <c r="B485" s="15">
        <f>IF(Murid!B485="","",Murid!B485)</f>
        <v/>
      </c>
      <c r="C485" s="16">
        <f>IF(Murid!C485="","",Murid!C485)</f>
        <v/>
      </c>
      <c r="D485" s="15">
        <f>IF(Murid!E485="","",Murid!E485)</f>
        <v/>
      </c>
      <c r="E485" s="11" t="n"/>
      <c r="F485" s="10">
        <f>IF(E485="","",IFERROR(VLOOKUP(E485,T_PERK,2,FALSE),0))</f>
        <v/>
      </c>
      <c r="G485" s="11" t="n"/>
      <c r="H485" s="10">
        <f>IF(G485="","",IFERROR(VLOOKUP(G485,T_ANUG,2,FALSE),0))</f>
        <v/>
      </c>
      <c r="I485" s="11" t="n"/>
      <c r="J485" s="11" t="n"/>
      <c r="K485" s="11" t="n"/>
      <c r="L485" s="11" t="n"/>
      <c r="M485" s="11" t="n"/>
      <c r="N485" s="11" t="n"/>
      <c r="O485" s="11" t="n"/>
      <c r="P485" s="10">
        <f>IF(COUNTA(I485:O485)=0,"",MIN(10,SUM(I485:O485)))</f>
        <v/>
      </c>
      <c r="Q485" s="11" t="n"/>
      <c r="R485" s="10">
        <f>IF(Q485="","",IFERROR(VLOOKUP(Q485,T_NILAM,2,FALSE),0))</f>
        <v/>
      </c>
      <c r="S485" s="11" t="n"/>
      <c r="T485" s="10">
        <f>IF(S485="","",IFERROR(VLOOKUP(S485,T_TIMSS,2,FALSE),0))</f>
        <v/>
      </c>
      <c r="U485" s="19">
        <f>IF(COUNT(F485,H485,P485,R485,T485)=0,"",MIN(10,MAX(F485,H485,P485,R485,T485)))</f>
        <v/>
      </c>
      <c r="V485" s="11" t="n"/>
    </row>
    <row r="486">
      <c r="A486" s="15">
        <f>Murid!A486</f>
        <v/>
      </c>
      <c r="B486" s="15">
        <f>IF(Murid!B486="","",Murid!B486)</f>
        <v/>
      </c>
      <c r="C486" s="16">
        <f>IF(Murid!C486="","",Murid!C486)</f>
        <v/>
      </c>
      <c r="D486" s="15">
        <f>IF(Murid!E486="","",Murid!E486)</f>
        <v/>
      </c>
      <c r="E486" s="11" t="n"/>
      <c r="F486" s="10">
        <f>IF(E486="","",IFERROR(VLOOKUP(E486,T_PERK,2,FALSE),0))</f>
        <v/>
      </c>
      <c r="G486" s="11" t="n"/>
      <c r="H486" s="10">
        <f>IF(G486="","",IFERROR(VLOOKUP(G486,T_ANUG,2,FALSE),0))</f>
        <v/>
      </c>
      <c r="I486" s="11" t="n"/>
      <c r="J486" s="11" t="n"/>
      <c r="K486" s="11" t="n"/>
      <c r="L486" s="11" t="n"/>
      <c r="M486" s="11" t="n"/>
      <c r="N486" s="11" t="n"/>
      <c r="O486" s="11" t="n"/>
      <c r="P486" s="10">
        <f>IF(COUNTA(I486:O486)=0,"",MIN(10,SUM(I486:O486)))</f>
        <v/>
      </c>
      <c r="Q486" s="11" t="n"/>
      <c r="R486" s="10">
        <f>IF(Q486="","",IFERROR(VLOOKUP(Q486,T_NILAM,2,FALSE),0))</f>
        <v/>
      </c>
      <c r="S486" s="11" t="n"/>
      <c r="T486" s="10">
        <f>IF(S486="","",IFERROR(VLOOKUP(S486,T_TIMSS,2,FALSE),0))</f>
        <v/>
      </c>
      <c r="U486" s="19">
        <f>IF(COUNT(F486,H486,P486,R486,T486)=0,"",MIN(10,MAX(F486,H486,P486,R486,T486)))</f>
        <v/>
      </c>
      <c r="V486" s="11" t="n"/>
    </row>
    <row r="487">
      <c r="A487" s="15">
        <f>Murid!A487</f>
        <v/>
      </c>
      <c r="B487" s="15">
        <f>IF(Murid!B487="","",Murid!B487)</f>
        <v/>
      </c>
      <c r="C487" s="16">
        <f>IF(Murid!C487="","",Murid!C487)</f>
        <v/>
      </c>
      <c r="D487" s="15">
        <f>IF(Murid!E487="","",Murid!E487)</f>
        <v/>
      </c>
      <c r="E487" s="11" t="n"/>
      <c r="F487" s="10">
        <f>IF(E487="","",IFERROR(VLOOKUP(E487,T_PERK,2,FALSE),0))</f>
        <v/>
      </c>
      <c r="G487" s="11" t="n"/>
      <c r="H487" s="10">
        <f>IF(G487="","",IFERROR(VLOOKUP(G487,T_ANUG,2,FALSE),0))</f>
        <v/>
      </c>
      <c r="I487" s="11" t="n"/>
      <c r="J487" s="11" t="n"/>
      <c r="K487" s="11" t="n"/>
      <c r="L487" s="11" t="n"/>
      <c r="M487" s="11" t="n"/>
      <c r="N487" s="11" t="n"/>
      <c r="O487" s="11" t="n"/>
      <c r="P487" s="10">
        <f>IF(COUNTA(I487:O487)=0,"",MIN(10,SUM(I487:O487)))</f>
        <v/>
      </c>
      <c r="Q487" s="11" t="n"/>
      <c r="R487" s="10">
        <f>IF(Q487="","",IFERROR(VLOOKUP(Q487,T_NILAM,2,FALSE),0))</f>
        <v/>
      </c>
      <c r="S487" s="11" t="n"/>
      <c r="T487" s="10">
        <f>IF(S487="","",IFERROR(VLOOKUP(S487,T_TIMSS,2,FALSE),0))</f>
        <v/>
      </c>
      <c r="U487" s="19">
        <f>IF(COUNT(F487,H487,P487,R487,T487)=0,"",MIN(10,MAX(F487,H487,P487,R487,T487)))</f>
        <v/>
      </c>
      <c r="V487" s="11" t="n"/>
    </row>
    <row r="488">
      <c r="A488" s="15">
        <f>Murid!A488</f>
        <v/>
      </c>
      <c r="B488" s="15">
        <f>IF(Murid!B488="","",Murid!B488)</f>
        <v/>
      </c>
      <c r="C488" s="16">
        <f>IF(Murid!C488="","",Murid!C488)</f>
        <v/>
      </c>
      <c r="D488" s="15">
        <f>IF(Murid!E488="","",Murid!E488)</f>
        <v/>
      </c>
      <c r="E488" s="11" t="n"/>
      <c r="F488" s="10">
        <f>IF(E488="","",IFERROR(VLOOKUP(E488,T_PERK,2,FALSE),0))</f>
        <v/>
      </c>
      <c r="G488" s="11" t="n"/>
      <c r="H488" s="10">
        <f>IF(G488="","",IFERROR(VLOOKUP(G488,T_ANUG,2,FALSE),0))</f>
        <v/>
      </c>
      <c r="I488" s="11" t="n"/>
      <c r="J488" s="11" t="n"/>
      <c r="K488" s="11" t="n"/>
      <c r="L488" s="11" t="n"/>
      <c r="M488" s="11" t="n"/>
      <c r="N488" s="11" t="n"/>
      <c r="O488" s="11" t="n"/>
      <c r="P488" s="10">
        <f>IF(COUNTA(I488:O488)=0,"",MIN(10,SUM(I488:O488)))</f>
        <v/>
      </c>
      <c r="Q488" s="11" t="n"/>
      <c r="R488" s="10">
        <f>IF(Q488="","",IFERROR(VLOOKUP(Q488,T_NILAM,2,FALSE),0))</f>
        <v/>
      </c>
      <c r="S488" s="11" t="n"/>
      <c r="T488" s="10">
        <f>IF(S488="","",IFERROR(VLOOKUP(S488,T_TIMSS,2,FALSE),0))</f>
        <v/>
      </c>
      <c r="U488" s="19">
        <f>IF(COUNT(F488,H488,P488,R488,T488)=0,"",MIN(10,MAX(F488,H488,P488,R488,T488)))</f>
        <v/>
      </c>
      <c r="V488" s="11" t="n"/>
    </row>
    <row r="489">
      <c r="A489" s="15">
        <f>Murid!A489</f>
        <v/>
      </c>
      <c r="B489" s="15">
        <f>IF(Murid!B489="","",Murid!B489)</f>
        <v/>
      </c>
      <c r="C489" s="16">
        <f>IF(Murid!C489="","",Murid!C489)</f>
        <v/>
      </c>
      <c r="D489" s="15">
        <f>IF(Murid!E489="","",Murid!E489)</f>
        <v/>
      </c>
      <c r="E489" s="11" t="n"/>
      <c r="F489" s="10">
        <f>IF(E489="","",IFERROR(VLOOKUP(E489,T_PERK,2,FALSE),0))</f>
        <v/>
      </c>
      <c r="G489" s="11" t="n"/>
      <c r="H489" s="10">
        <f>IF(G489="","",IFERROR(VLOOKUP(G489,T_ANUG,2,FALSE),0))</f>
        <v/>
      </c>
      <c r="I489" s="11" t="n"/>
      <c r="J489" s="11" t="n"/>
      <c r="K489" s="11" t="n"/>
      <c r="L489" s="11" t="n"/>
      <c r="M489" s="11" t="n"/>
      <c r="N489" s="11" t="n"/>
      <c r="O489" s="11" t="n"/>
      <c r="P489" s="10">
        <f>IF(COUNTA(I489:O489)=0,"",MIN(10,SUM(I489:O489)))</f>
        <v/>
      </c>
      <c r="Q489" s="11" t="n"/>
      <c r="R489" s="10">
        <f>IF(Q489="","",IFERROR(VLOOKUP(Q489,T_NILAM,2,FALSE),0))</f>
        <v/>
      </c>
      <c r="S489" s="11" t="n"/>
      <c r="T489" s="10">
        <f>IF(S489="","",IFERROR(VLOOKUP(S489,T_TIMSS,2,FALSE),0))</f>
        <v/>
      </c>
      <c r="U489" s="19">
        <f>IF(COUNT(F489,H489,P489,R489,T489)=0,"",MIN(10,MAX(F489,H489,P489,R489,T489)))</f>
        <v/>
      </c>
      <c r="V489" s="11" t="n"/>
    </row>
    <row r="490">
      <c r="A490" s="15">
        <f>Murid!A490</f>
        <v/>
      </c>
      <c r="B490" s="15">
        <f>IF(Murid!B490="","",Murid!B490)</f>
        <v/>
      </c>
      <c r="C490" s="16">
        <f>IF(Murid!C490="","",Murid!C490)</f>
        <v/>
      </c>
      <c r="D490" s="15">
        <f>IF(Murid!E490="","",Murid!E490)</f>
        <v/>
      </c>
      <c r="E490" s="11" t="n"/>
      <c r="F490" s="10">
        <f>IF(E490="","",IFERROR(VLOOKUP(E490,T_PERK,2,FALSE),0))</f>
        <v/>
      </c>
      <c r="G490" s="11" t="n"/>
      <c r="H490" s="10">
        <f>IF(G490="","",IFERROR(VLOOKUP(G490,T_ANUG,2,FALSE),0))</f>
        <v/>
      </c>
      <c r="I490" s="11" t="n"/>
      <c r="J490" s="11" t="n"/>
      <c r="K490" s="11" t="n"/>
      <c r="L490" s="11" t="n"/>
      <c r="M490" s="11" t="n"/>
      <c r="N490" s="11" t="n"/>
      <c r="O490" s="11" t="n"/>
      <c r="P490" s="10">
        <f>IF(COUNTA(I490:O490)=0,"",MIN(10,SUM(I490:O490)))</f>
        <v/>
      </c>
      <c r="Q490" s="11" t="n"/>
      <c r="R490" s="10">
        <f>IF(Q490="","",IFERROR(VLOOKUP(Q490,T_NILAM,2,FALSE),0))</f>
        <v/>
      </c>
      <c r="S490" s="11" t="n"/>
      <c r="T490" s="10">
        <f>IF(S490="","",IFERROR(VLOOKUP(S490,T_TIMSS,2,FALSE),0))</f>
        <v/>
      </c>
      <c r="U490" s="19">
        <f>IF(COUNT(F490,H490,P490,R490,T490)=0,"",MIN(10,MAX(F490,H490,P490,R490,T490)))</f>
        <v/>
      </c>
      <c r="V490" s="11" t="n"/>
    </row>
    <row r="491">
      <c r="A491" s="15">
        <f>Murid!A491</f>
        <v/>
      </c>
      <c r="B491" s="15">
        <f>IF(Murid!B491="","",Murid!B491)</f>
        <v/>
      </c>
      <c r="C491" s="16">
        <f>IF(Murid!C491="","",Murid!C491)</f>
        <v/>
      </c>
      <c r="D491" s="15">
        <f>IF(Murid!E491="","",Murid!E491)</f>
        <v/>
      </c>
      <c r="E491" s="11" t="n"/>
      <c r="F491" s="10">
        <f>IF(E491="","",IFERROR(VLOOKUP(E491,T_PERK,2,FALSE),0))</f>
        <v/>
      </c>
      <c r="G491" s="11" t="n"/>
      <c r="H491" s="10">
        <f>IF(G491="","",IFERROR(VLOOKUP(G491,T_ANUG,2,FALSE),0))</f>
        <v/>
      </c>
      <c r="I491" s="11" t="n"/>
      <c r="J491" s="11" t="n"/>
      <c r="K491" s="11" t="n"/>
      <c r="L491" s="11" t="n"/>
      <c r="M491" s="11" t="n"/>
      <c r="N491" s="11" t="n"/>
      <c r="O491" s="11" t="n"/>
      <c r="P491" s="10">
        <f>IF(COUNTA(I491:O491)=0,"",MIN(10,SUM(I491:O491)))</f>
        <v/>
      </c>
      <c r="Q491" s="11" t="n"/>
      <c r="R491" s="10">
        <f>IF(Q491="","",IFERROR(VLOOKUP(Q491,T_NILAM,2,FALSE),0))</f>
        <v/>
      </c>
      <c r="S491" s="11" t="n"/>
      <c r="T491" s="10">
        <f>IF(S491="","",IFERROR(VLOOKUP(S491,T_TIMSS,2,FALSE),0))</f>
        <v/>
      </c>
      <c r="U491" s="19">
        <f>IF(COUNT(F491,H491,P491,R491,T491)=0,"",MIN(10,MAX(F491,H491,P491,R491,T491)))</f>
        <v/>
      </c>
      <c r="V491" s="11" t="n"/>
    </row>
    <row r="492">
      <c r="A492" s="15">
        <f>Murid!A492</f>
        <v/>
      </c>
      <c r="B492" s="15">
        <f>IF(Murid!B492="","",Murid!B492)</f>
        <v/>
      </c>
      <c r="C492" s="16">
        <f>IF(Murid!C492="","",Murid!C492)</f>
        <v/>
      </c>
      <c r="D492" s="15">
        <f>IF(Murid!E492="","",Murid!E492)</f>
        <v/>
      </c>
      <c r="E492" s="11" t="n"/>
      <c r="F492" s="10">
        <f>IF(E492="","",IFERROR(VLOOKUP(E492,T_PERK,2,FALSE),0))</f>
        <v/>
      </c>
      <c r="G492" s="11" t="n"/>
      <c r="H492" s="10">
        <f>IF(G492="","",IFERROR(VLOOKUP(G492,T_ANUG,2,FALSE),0))</f>
        <v/>
      </c>
      <c r="I492" s="11" t="n"/>
      <c r="J492" s="11" t="n"/>
      <c r="K492" s="11" t="n"/>
      <c r="L492" s="11" t="n"/>
      <c r="M492" s="11" t="n"/>
      <c r="N492" s="11" t="n"/>
      <c r="O492" s="11" t="n"/>
      <c r="P492" s="10">
        <f>IF(COUNTA(I492:O492)=0,"",MIN(10,SUM(I492:O492)))</f>
        <v/>
      </c>
      <c r="Q492" s="11" t="n"/>
      <c r="R492" s="10">
        <f>IF(Q492="","",IFERROR(VLOOKUP(Q492,T_NILAM,2,FALSE),0))</f>
        <v/>
      </c>
      <c r="S492" s="11" t="n"/>
      <c r="T492" s="10">
        <f>IF(S492="","",IFERROR(VLOOKUP(S492,T_TIMSS,2,FALSE),0))</f>
        <v/>
      </c>
      <c r="U492" s="19">
        <f>IF(COUNT(F492,H492,P492,R492,T492)=0,"",MIN(10,MAX(F492,H492,P492,R492,T492)))</f>
        <v/>
      </c>
      <c r="V492" s="11" t="n"/>
    </row>
    <row r="493">
      <c r="A493" s="15">
        <f>Murid!A493</f>
        <v/>
      </c>
      <c r="B493" s="15">
        <f>IF(Murid!B493="","",Murid!B493)</f>
        <v/>
      </c>
      <c r="C493" s="16">
        <f>IF(Murid!C493="","",Murid!C493)</f>
        <v/>
      </c>
      <c r="D493" s="15">
        <f>IF(Murid!E493="","",Murid!E493)</f>
        <v/>
      </c>
      <c r="E493" s="11" t="n"/>
      <c r="F493" s="10">
        <f>IF(E493="","",IFERROR(VLOOKUP(E493,T_PERK,2,FALSE),0))</f>
        <v/>
      </c>
      <c r="G493" s="11" t="n"/>
      <c r="H493" s="10">
        <f>IF(G493="","",IFERROR(VLOOKUP(G493,T_ANUG,2,FALSE),0))</f>
        <v/>
      </c>
      <c r="I493" s="11" t="n"/>
      <c r="J493" s="11" t="n"/>
      <c r="K493" s="11" t="n"/>
      <c r="L493" s="11" t="n"/>
      <c r="M493" s="11" t="n"/>
      <c r="N493" s="11" t="n"/>
      <c r="O493" s="11" t="n"/>
      <c r="P493" s="10">
        <f>IF(COUNTA(I493:O493)=0,"",MIN(10,SUM(I493:O493)))</f>
        <v/>
      </c>
      <c r="Q493" s="11" t="n"/>
      <c r="R493" s="10">
        <f>IF(Q493="","",IFERROR(VLOOKUP(Q493,T_NILAM,2,FALSE),0))</f>
        <v/>
      </c>
      <c r="S493" s="11" t="n"/>
      <c r="T493" s="10">
        <f>IF(S493="","",IFERROR(VLOOKUP(S493,T_TIMSS,2,FALSE),0))</f>
        <v/>
      </c>
      <c r="U493" s="19">
        <f>IF(COUNT(F493,H493,P493,R493,T493)=0,"",MIN(10,MAX(F493,H493,P493,R493,T493)))</f>
        <v/>
      </c>
      <c r="V493" s="11" t="n"/>
    </row>
    <row r="494">
      <c r="A494" s="15">
        <f>Murid!A494</f>
        <v/>
      </c>
      <c r="B494" s="15">
        <f>IF(Murid!B494="","",Murid!B494)</f>
        <v/>
      </c>
      <c r="C494" s="16">
        <f>IF(Murid!C494="","",Murid!C494)</f>
        <v/>
      </c>
      <c r="D494" s="15">
        <f>IF(Murid!E494="","",Murid!E494)</f>
        <v/>
      </c>
      <c r="E494" s="11" t="n"/>
      <c r="F494" s="10">
        <f>IF(E494="","",IFERROR(VLOOKUP(E494,T_PERK,2,FALSE),0))</f>
        <v/>
      </c>
      <c r="G494" s="11" t="n"/>
      <c r="H494" s="10">
        <f>IF(G494="","",IFERROR(VLOOKUP(G494,T_ANUG,2,FALSE),0))</f>
        <v/>
      </c>
      <c r="I494" s="11" t="n"/>
      <c r="J494" s="11" t="n"/>
      <c r="K494" s="11" t="n"/>
      <c r="L494" s="11" t="n"/>
      <c r="M494" s="11" t="n"/>
      <c r="N494" s="11" t="n"/>
      <c r="O494" s="11" t="n"/>
      <c r="P494" s="10">
        <f>IF(COUNTA(I494:O494)=0,"",MIN(10,SUM(I494:O494)))</f>
        <v/>
      </c>
      <c r="Q494" s="11" t="n"/>
      <c r="R494" s="10">
        <f>IF(Q494="","",IFERROR(VLOOKUP(Q494,T_NILAM,2,FALSE),0))</f>
        <v/>
      </c>
      <c r="S494" s="11" t="n"/>
      <c r="T494" s="10">
        <f>IF(S494="","",IFERROR(VLOOKUP(S494,T_TIMSS,2,FALSE),0))</f>
        <v/>
      </c>
      <c r="U494" s="19">
        <f>IF(COUNT(F494,H494,P494,R494,T494)=0,"",MIN(10,MAX(F494,H494,P494,R494,T494)))</f>
        <v/>
      </c>
      <c r="V494" s="11" t="n"/>
    </row>
    <row r="495">
      <c r="A495" s="15">
        <f>Murid!A495</f>
        <v/>
      </c>
      <c r="B495" s="15">
        <f>IF(Murid!B495="","",Murid!B495)</f>
        <v/>
      </c>
      <c r="C495" s="16">
        <f>IF(Murid!C495="","",Murid!C495)</f>
        <v/>
      </c>
      <c r="D495" s="15">
        <f>IF(Murid!E495="","",Murid!E495)</f>
        <v/>
      </c>
      <c r="E495" s="11" t="n"/>
      <c r="F495" s="10">
        <f>IF(E495="","",IFERROR(VLOOKUP(E495,T_PERK,2,FALSE),0))</f>
        <v/>
      </c>
      <c r="G495" s="11" t="n"/>
      <c r="H495" s="10">
        <f>IF(G495="","",IFERROR(VLOOKUP(G495,T_ANUG,2,FALSE),0))</f>
        <v/>
      </c>
      <c r="I495" s="11" t="n"/>
      <c r="J495" s="11" t="n"/>
      <c r="K495" s="11" t="n"/>
      <c r="L495" s="11" t="n"/>
      <c r="M495" s="11" t="n"/>
      <c r="N495" s="11" t="n"/>
      <c r="O495" s="11" t="n"/>
      <c r="P495" s="10">
        <f>IF(COUNTA(I495:O495)=0,"",MIN(10,SUM(I495:O495)))</f>
        <v/>
      </c>
      <c r="Q495" s="11" t="n"/>
      <c r="R495" s="10">
        <f>IF(Q495="","",IFERROR(VLOOKUP(Q495,T_NILAM,2,FALSE),0))</f>
        <v/>
      </c>
      <c r="S495" s="11" t="n"/>
      <c r="T495" s="10">
        <f>IF(S495="","",IFERROR(VLOOKUP(S495,T_TIMSS,2,FALSE),0))</f>
        <v/>
      </c>
      <c r="U495" s="19">
        <f>IF(COUNT(F495,H495,P495,R495,T495)=0,"",MIN(10,MAX(F495,H495,P495,R495,T495)))</f>
        <v/>
      </c>
      <c r="V495" s="11" t="n"/>
    </row>
    <row r="496">
      <c r="A496" s="15">
        <f>Murid!A496</f>
        <v/>
      </c>
      <c r="B496" s="15">
        <f>IF(Murid!B496="","",Murid!B496)</f>
        <v/>
      </c>
      <c r="C496" s="16">
        <f>IF(Murid!C496="","",Murid!C496)</f>
        <v/>
      </c>
      <c r="D496" s="15">
        <f>IF(Murid!E496="","",Murid!E496)</f>
        <v/>
      </c>
      <c r="E496" s="11" t="n"/>
      <c r="F496" s="10">
        <f>IF(E496="","",IFERROR(VLOOKUP(E496,T_PERK,2,FALSE),0))</f>
        <v/>
      </c>
      <c r="G496" s="11" t="n"/>
      <c r="H496" s="10">
        <f>IF(G496="","",IFERROR(VLOOKUP(G496,T_ANUG,2,FALSE),0))</f>
        <v/>
      </c>
      <c r="I496" s="11" t="n"/>
      <c r="J496" s="11" t="n"/>
      <c r="K496" s="11" t="n"/>
      <c r="L496" s="11" t="n"/>
      <c r="M496" s="11" t="n"/>
      <c r="N496" s="11" t="n"/>
      <c r="O496" s="11" t="n"/>
      <c r="P496" s="10">
        <f>IF(COUNTA(I496:O496)=0,"",MIN(10,SUM(I496:O496)))</f>
        <v/>
      </c>
      <c r="Q496" s="11" t="n"/>
      <c r="R496" s="10">
        <f>IF(Q496="","",IFERROR(VLOOKUP(Q496,T_NILAM,2,FALSE),0))</f>
        <v/>
      </c>
      <c r="S496" s="11" t="n"/>
      <c r="T496" s="10">
        <f>IF(S496="","",IFERROR(VLOOKUP(S496,T_TIMSS,2,FALSE),0))</f>
        <v/>
      </c>
      <c r="U496" s="19">
        <f>IF(COUNT(F496,H496,P496,R496,T496)=0,"",MIN(10,MAX(F496,H496,P496,R496,T496)))</f>
        <v/>
      </c>
      <c r="V496" s="11" t="n"/>
    </row>
    <row r="497">
      <c r="A497" s="15">
        <f>Murid!A497</f>
        <v/>
      </c>
      <c r="B497" s="15">
        <f>IF(Murid!B497="","",Murid!B497)</f>
        <v/>
      </c>
      <c r="C497" s="16">
        <f>IF(Murid!C497="","",Murid!C497)</f>
        <v/>
      </c>
      <c r="D497" s="15">
        <f>IF(Murid!E497="","",Murid!E497)</f>
        <v/>
      </c>
      <c r="E497" s="11" t="n"/>
      <c r="F497" s="10">
        <f>IF(E497="","",IFERROR(VLOOKUP(E497,T_PERK,2,FALSE),0))</f>
        <v/>
      </c>
      <c r="G497" s="11" t="n"/>
      <c r="H497" s="10">
        <f>IF(G497="","",IFERROR(VLOOKUP(G497,T_ANUG,2,FALSE),0))</f>
        <v/>
      </c>
      <c r="I497" s="11" t="n"/>
      <c r="J497" s="11" t="n"/>
      <c r="K497" s="11" t="n"/>
      <c r="L497" s="11" t="n"/>
      <c r="M497" s="11" t="n"/>
      <c r="N497" s="11" t="n"/>
      <c r="O497" s="11" t="n"/>
      <c r="P497" s="10">
        <f>IF(COUNTA(I497:O497)=0,"",MIN(10,SUM(I497:O497)))</f>
        <v/>
      </c>
      <c r="Q497" s="11" t="n"/>
      <c r="R497" s="10">
        <f>IF(Q497="","",IFERROR(VLOOKUP(Q497,T_NILAM,2,FALSE),0))</f>
        <v/>
      </c>
      <c r="S497" s="11" t="n"/>
      <c r="T497" s="10">
        <f>IF(S497="","",IFERROR(VLOOKUP(S497,T_TIMSS,2,FALSE),0))</f>
        <v/>
      </c>
      <c r="U497" s="19">
        <f>IF(COUNT(F497,H497,P497,R497,T497)=0,"",MIN(10,MAX(F497,H497,P497,R497,T497)))</f>
        <v/>
      </c>
      <c r="V497" s="11" t="n"/>
    </row>
    <row r="498">
      <c r="A498" s="15">
        <f>Murid!A498</f>
        <v/>
      </c>
      <c r="B498" s="15">
        <f>IF(Murid!B498="","",Murid!B498)</f>
        <v/>
      </c>
      <c r="C498" s="16">
        <f>IF(Murid!C498="","",Murid!C498)</f>
        <v/>
      </c>
      <c r="D498" s="15">
        <f>IF(Murid!E498="","",Murid!E498)</f>
        <v/>
      </c>
      <c r="E498" s="11" t="n"/>
      <c r="F498" s="10">
        <f>IF(E498="","",IFERROR(VLOOKUP(E498,T_PERK,2,FALSE),0))</f>
        <v/>
      </c>
      <c r="G498" s="11" t="n"/>
      <c r="H498" s="10">
        <f>IF(G498="","",IFERROR(VLOOKUP(G498,T_ANUG,2,FALSE),0))</f>
        <v/>
      </c>
      <c r="I498" s="11" t="n"/>
      <c r="J498" s="11" t="n"/>
      <c r="K498" s="11" t="n"/>
      <c r="L498" s="11" t="n"/>
      <c r="M498" s="11" t="n"/>
      <c r="N498" s="11" t="n"/>
      <c r="O498" s="11" t="n"/>
      <c r="P498" s="10">
        <f>IF(COUNTA(I498:O498)=0,"",MIN(10,SUM(I498:O498)))</f>
        <v/>
      </c>
      <c r="Q498" s="11" t="n"/>
      <c r="R498" s="10">
        <f>IF(Q498="","",IFERROR(VLOOKUP(Q498,T_NILAM,2,FALSE),0))</f>
        <v/>
      </c>
      <c r="S498" s="11" t="n"/>
      <c r="T498" s="10">
        <f>IF(S498="","",IFERROR(VLOOKUP(S498,T_TIMSS,2,FALSE),0))</f>
        <v/>
      </c>
      <c r="U498" s="19">
        <f>IF(COUNT(F498,H498,P498,R498,T498)=0,"",MIN(10,MAX(F498,H498,P498,R498,T498)))</f>
        <v/>
      </c>
      <c r="V498" s="11" t="n"/>
    </row>
    <row r="499">
      <c r="A499" s="15">
        <f>Murid!A499</f>
        <v/>
      </c>
      <c r="B499" s="15">
        <f>IF(Murid!B499="","",Murid!B499)</f>
        <v/>
      </c>
      <c r="C499" s="16">
        <f>IF(Murid!C499="","",Murid!C499)</f>
        <v/>
      </c>
      <c r="D499" s="15">
        <f>IF(Murid!E499="","",Murid!E499)</f>
        <v/>
      </c>
      <c r="E499" s="11" t="n"/>
      <c r="F499" s="10">
        <f>IF(E499="","",IFERROR(VLOOKUP(E499,T_PERK,2,FALSE),0))</f>
        <v/>
      </c>
      <c r="G499" s="11" t="n"/>
      <c r="H499" s="10">
        <f>IF(G499="","",IFERROR(VLOOKUP(G499,T_ANUG,2,FALSE),0))</f>
        <v/>
      </c>
      <c r="I499" s="11" t="n"/>
      <c r="J499" s="11" t="n"/>
      <c r="K499" s="11" t="n"/>
      <c r="L499" s="11" t="n"/>
      <c r="M499" s="11" t="n"/>
      <c r="N499" s="11" t="n"/>
      <c r="O499" s="11" t="n"/>
      <c r="P499" s="10">
        <f>IF(COUNTA(I499:O499)=0,"",MIN(10,SUM(I499:O499)))</f>
        <v/>
      </c>
      <c r="Q499" s="11" t="n"/>
      <c r="R499" s="10">
        <f>IF(Q499="","",IFERROR(VLOOKUP(Q499,T_NILAM,2,FALSE),0))</f>
        <v/>
      </c>
      <c r="S499" s="11" t="n"/>
      <c r="T499" s="10">
        <f>IF(S499="","",IFERROR(VLOOKUP(S499,T_TIMSS,2,FALSE),0))</f>
        <v/>
      </c>
      <c r="U499" s="19">
        <f>IF(COUNT(F499,H499,P499,R499,T499)=0,"",MIN(10,MAX(F499,H499,P499,R499,T499)))</f>
        <v/>
      </c>
      <c r="V499" s="11" t="n"/>
    </row>
    <row r="500">
      <c r="A500" s="15">
        <f>Murid!A500</f>
        <v/>
      </c>
      <c r="B500" s="15">
        <f>IF(Murid!B500="","",Murid!B500)</f>
        <v/>
      </c>
      <c r="C500" s="16">
        <f>IF(Murid!C500="","",Murid!C500)</f>
        <v/>
      </c>
      <c r="D500" s="15">
        <f>IF(Murid!E500="","",Murid!E500)</f>
        <v/>
      </c>
      <c r="E500" s="11" t="n"/>
      <c r="F500" s="10">
        <f>IF(E500="","",IFERROR(VLOOKUP(E500,T_PERK,2,FALSE),0))</f>
        <v/>
      </c>
      <c r="G500" s="11" t="n"/>
      <c r="H500" s="10">
        <f>IF(G500="","",IFERROR(VLOOKUP(G500,T_ANUG,2,FALSE),0))</f>
        <v/>
      </c>
      <c r="I500" s="11" t="n"/>
      <c r="J500" s="11" t="n"/>
      <c r="K500" s="11" t="n"/>
      <c r="L500" s="11" t="n"/>
      <c r="M500" s="11" t="n"/>
      <c r="N500" s="11" t="n"/>
      <c r="O500" s="11" t="n"/>
      <c r="P500" s="10">
        <f>IF(COUNTA(I500:O500)=0,"",MIN(10,SUM(I500:O500)))</f>
        <v/>
      </c>
      <c r="Q500" s="11" t="n"/>
      <c r="R500" s="10">
        <f>IF(Q500="","",IFERROR(VLOOKUP(Q500,T_NILAM,2,FALSE),0))</f>
        <v/>
      </c>
      <c r="S500" s="11" t="n"/>
      <c r="T500" s="10">
        <f>IF(S500="","",IFERROR(VLOOKUP(S500,T_TIMSS,2,FALSE),0))</f>
        <v/>
      </c>
      <c r="U500" s="19">
        <f>IF(COUNT(F500,H500,P500,R500,T500)=0,"",MIN(10,MAX(F500,H500,P500,R500,T500)))</f>
        <v/>
      </c>
      <c r="V500" s="11" t="n"/>
    </row>
    <row r="501">
      <c r="A501" s="15">
        <f>Murid!A501</f>
        <v/>
      </c>
      <c r="B501" s="15">
        <f>IF(Murid!B501="","",Murid!B501)</f>
        <v/>
      </c>
      <c r="C501" s="16">
        <f>IF(Murid!C501="","",Murid!C501)</f>
        <v/>
      </c>
      <c r="D501" s="15">
        <f>IF(Murid!E501="","",Murid!E501)</f>
        <v/>
      </c>
      <c r="E501" s="11" t="n"/>
      <c r="F501" s="10">
        <f>IF(E501="","",IFERROR(VLOOKUP(E501,T_PERK,2,FALSE),0))</f>
        <v/>
      </c>
      <c r="G501" s="11" t="n"/>
      <c r="H501" s="10">
        <f>IF(G501="","",IFERROR(VLOOKUP(G501,T_ANUG,2,FALSE),0))</f>
        <v/>
      </c>
      <c r="I501" s="11" t="n"/>
      <c r="J501" s="11" t="n"/>
      <c r="K501" s="11" t="n"/>
      <c r="L501" s="11" t="n"/>
      <c r="M501" s="11" t="n"/>
      <c r="N501" s="11" t="n"/>
      <c r="O501" s="11" t="n"/>
      <c r="P501" s="10">
        <f>IF(COUNTA(I501:O501)=0,"",MIN(10,SUM(I501:O501)))</f>
        <v/>
      </c>
      <c r="Q501" s="11" t="n"/>
      <c r="R501" s="10">
        <f>IF(Q501="","",IFERROR(VLOOKUP(Q501,T_NILAM,2,FALSE),0))</f>
        <v/>
      </c>
      <c r="S501" s="11" t="n"/>
      <c r="T501" s="10">
        <f>IF(S501="","",IFERROR(VLOOKUP(S501,T_TIMSS,2,FALSE),0))</f>
        <v/>
      </c>
      <c r="U501" s="19">
        <f>IF(COUNT(F501,H501,P501,R501,T501)=0,"",MIN(10,MAX(F501,H501,P501,R501,T501)))</f>
        <v/>
      </c>
      <c r="V501" s="11" t="n"/>
    </row>
    <row r="502">
      <c r="A502" s="15">
        <f>Murid!A502</f>
        <v/>
      </c>
      <c r="B502" s="15">
        <f>IF(Murid!B502="","",Murid!B502)</f>
        <v/>
      </c>
      <c r="C502" s="16">
        <f>IF(Murid!C502="","",Murid!C502)</f>
        <v/>
      </c>
      <c r="D502" s="15">
        <f>IF(Murid!E502="","",Murid!E502)</f>
        <v/>
      </c>
      <c r="E502" s="11" t="n"/>
      <c r="F502" s="10">
        <f>IF(E502="","",IFERROR(VLOOKUP(E502,T_PERK,2,FALSE),0))</f>
        <v/>
      </c>
      <c r="G502" s="11" t="n"/>
      <c r="H502" s="10">
        <f>IF(G502="","",IFERROR(VLOOKUP(G502,T_ANUG,2,FALSE),0))</f>
        <v/>
      </c>
      <c r="I502" s="11" t="n"/>
      <c r="J502" s="11" t="n"/>
      <c r="K502" s="11" t="n"/>
      <c r="L502" s="11" t="n"/>
      <c r="M502" s="11" t="n"/>
      <c r="N502" s="11" t="n"/>
      <c r="O502" s="11" t="n"/>
      <c r="P502" s="10">
        <f>IF(COUNTA(I502:O502)=0,"",MIN(10,SUM(I502:O502)))</f>
        <v/>
      </c>
      <c r="Q502" s="11" t="n"/>
      <c r="R502" s="10">
        <f>IF(Q502="","",IFERROR(VLOOKUP(Q502,T_NILAM,2,FALSE),0))</f>
        <v/>
      </c>
      <c r="S502" s="11" t="n"/>
      <c r="T502" s="10">
        <f>IF(S502="","",IFERROR(VLOOKUP(S502,T_TIMSS,2,FALSE),0))</f>
        <v/>
      </c>
      <c r="U502" s="19">
        <f>IF(COUNT(F502,H502,P502,R502,T502)=0,"",MIN(10,MAX(F502,H502,P502,R502,T502)))</f>
        <v/>
      </c>
      <c r="V502" s="11" t="n"/>
    </row>
    <row r="503">
      <c r="A503" s="15">
        <f>Murid!A503</f>
        <v/>
      </c>
      <c r="B503" s="15">
        <f>IF(Murid!B503="","",Murid!B503)</f>
        <v/>
      </c>
      <c r="C503" s="16">
        <f>IF(Murid!C503="","",Murid!C503)</f>
        <v/>
      </c>
      <c r="D503" s="15">
        <f>IF(Murid!E503="","",Murid!E503)</f>
        <v/>
      </c>
      <c r="E503" s="11" t="n"/>
      <c r="F503" s="10">
        <f>IF(E503="","",IFERROR(VLOOKUP(E503,T_PERK,2,FALSE),0))</f>
        <v/>
      </c>
      <c r="G503" s="11" t="n"/>
      <c r="H503" s="10">
        <f>IF(G503="","",IFERROR(VLOOKUP(G503,T_ANUG,2,FALSE),0))</f>
        <v/>
      </c>
      <c r="I503" s="11" t="n"/>
      <c r="J503" s="11" t="n"/>
      <c r="K503" s="11" t="n"/>
      <c r="L503" s="11" t="n"/>
      <c r="M503" s="11" t="n"/>
      <c r="N503" s="11" t="n"/>
      <c r="O503" s="11" t="n"/>
      <c r="P503" s="10">
        <f>IF(COUNTA(I503:O503)=0,"",MIN(10,SUM(I503:O503)))</f>
        <v/>
      </c>
      <c r="Q503" s="11" t="n"/>
      <c r="R503" s="10">
        <f>IF(Q503="","",IFERROR(VLOOKUP(Q503,T_NILAM,2,FALSE),0))</f>
        <v/>
      </c>
      <c r="S503" s="11" t="n"/>
      <c r="T503" s="10">
        <f>IF(S503="","",IFERROR(VLOOKUP(S503,T_TIMSS,2,FALSE),0))</f>
        <v/>
      </c>
      <c r="U503" s="19">
        <f>IF(COUNT(F503,H503,P503,R503,T503)=0,"",MIN(10,MAX(F503,H503,P503,R503,T503)))</f>
        <v/>
      </c>
      <c r="V503" s="11" t="n"/>
    </row>
    <row r="504">
      <c r="A504" s="15">
        <f>Murid!A504</f>
        <v/>
      </c>
      <c r="B504" s="15">
        <f>IF(Murid!B504="","",Murid!B504)</f>
        <v/>
      </c>
      <c r="C504" s="16">
        <f>IF(Murid!C504="","",Murid!C504)</f>
        <v/>
      </c>
      <c r="D504" s="15">
        <f>IF(Murid!E504="","",Murid!E504)</f>
        <v/>
      </c>
      <c r="E504" s="11" t="n"/>
      <c r="F504" s="10">
        <f>IF(E504="","",IFERROR(VLOOKUP(E504,T_PERK,2,FALSE),0))</f>
        <v/>
      </c>
      <c r="G504" s="11" t="n"/>
      <c r="H504" s="10">
        <f>IF(G504="","",IFERROR(VLOOKUP(G504,T_ANUG,2,FALSE),0))</f>
        <v/>
      </c>
      <c r="I504" s="11" t="n"/>
      <c r="J504" s="11" t="n"/>
      <c r="K504" s="11" t="n"/>
      <c r="L504" s="11" t="n"/>
      <c r="M504" s="11" t="n"/>
      <c r="N504" s="11" t="n"/>
      <c r="O504" s="11" t="n"/>
      <c r="P504" s="10">
        <f>IF(COUNTA(I504:O504)=0,"",MIN(10,SUM(I504:O504)))</f>
        <v/>
      </c>
      <c r="Q504" s="11" t="n"/>
      <c r="R504" s="10">
        <f>IF(Q504="","",IFERROR(VLOOKUP(Q504,T_NILAM,2,FALSE),0))</f>
        <v/>
      </c>
      <c r="S504" s="11" t="n"/>
      <c r="T504" s="10">
        <f>IF(S504="","",IFERROR(VLOOKUP(S504,T_TIMSS,2,FALSE),0))</f>
        <v/>
      </c>
      <c r="U504" s="19">
        <f>IF(COUNT(F504,H504,P504,R504,T504)=0,"",MIN(10,MAX(F504,H504,P504,R504,T504)))</f>
        <v/>
      </c>
      <c r="V504" s="11" t="n"/>
    </row>
    <row r="505">
      <c r="A505" s="15">
        <f>Murid!A505</f>
        <v/>
      </c>
      <c r="B505" s="15">
        <f>IF(Murid!B505="","",Murid!B505)</f>
        <v/>
      </c>
      <c r="C505" s="16">
        <f>IF(Murid!C505="","",Murid!C505)</f>
        <v/>
      </c>
      <c r="D505" s="15">
        <f>IF(Murid!E505="","",Murid!E505)</f>
        <v/>
      </c>
      <c r="E505" s="11" t="n"/>
      <c r="F505" s="10">
        <f>IF(E505="","",IFERROR(VLOOKUP(E505,T_PERK,2,FALSE),0))</f>
        <v/>
      </c>
      <c r="G505" s="11" t="n"/>
      <c r="H505" s="10">
        <f>IF(G505="","",IFERROR(VLOOKUP(G505,T_ANUG,2,FALSE),0))</f>
        <v/>
      </c>
      <c r="I505" s="11" t="n"/>
      <c r="J505" s="11" t="n"/>
      <c r="K505" s="11" t="n"/>
      <c r="L505" s="11" t="n"/>
      <c r="M505" s="11" t="n"/>
      <c r="N505" s="11" t="n"/>
      <c r="O505" s="11" t="n"/>
      <c r="P505" s="10">
        <f>IF(COUNTA(I505:O505)=0,"",MIN(10,SUM(I505:O505)))</f>
        <v/>
      </c>
      <c r="Q505" s="11" t="n"/>
      <c r="R505" s="10">
        <f>IF(Q505="","",IFERROR(VLOOKUP(Q505,T_NILAM,2,FALSE),0))</f>
        <v/>
      </c>
      <c r="S505" s="11" t="n"/>
      <c r="T505" s="10">
        <f>IF(S505="","",IFERROR(VLOOKUP(S505,T_TIMSS,2,FALSE),0))</f>
        <v/>
      </c>
      <c r="U505" s="19">
        <f>IF(COUNT(F505,H505,P505,R505,T505)=0,"",MIN(10,MAX(F505,H505,P505,R505,T505)))</f>
        <v/>
      </c>
      <c r="V505" s="11" t="n"/>
    </row>
    <row r="506">
      <c r="A506" s="15">
        <f>Murid!A506</f>
        <v/>
      </c>
      <c r="B506" s="15">
        <f>IF(Murid!B506="","",Murid!B506)</f>
        <v/>
      </c>
      <c r="C506" s="16">
        <f>IF(Murid!C506="","",Murid!C506)</f>
        <v/>
      </c>
      <c r="D506" s="15">
        <f>IF(Murid!E506="","",Murid!E506)</f>
        <v/>
      </c>
      <c r="E506" s="11" t="n"/>
      <c r="F506" s="10">
        <f>IF(E506="","",IFERROR(VLOOKUP(E506,T_PERK,2,FALSE),0))</f>
        <v/>
      </c>
      <c r="G506" s="11" t="n"/>
      <c r="H506" s="10">
        <f>IF(G506="","",IFERROR(VLOOKUP(G506,T_ANUG,2,FALSE),0))</f>
        <v/>
      </c>
      <c r="I506" s="11" t="n"/>
      <c r="J506" s="11" t="n"/>
      <c r="K506" s="11" t="n"/>
      <c r="L506" s="11" t="n"/>
      <c r="M506" s="11" t="n"/>
      <c r="N506" s="11" t="n"/>
      <c r="O506" s="11" t="n"/>
      <c r="P506" s="10">
        <f>IF(COUNTA(I506:O506)=0,"",MIN(10,SUM(I506:O506)))</f>
        <v/>
      </c>
      <c r="Q506" s="11" t="n"/>
      <c r="R506" s="10">
        <f>IF(Q506="","",IFERROR(VLOOKUP(Q506,T_NILAM,2,FALSE),0))</f>
        <v/>
      </c>
      <c r="S506" s="11" t="n"/>
      <c r="T506" s="10">
        <f>IF(S506="","",IFERROR(VLOOKUP(S506,T_TIMSS,2,FALSE),0))</f>
        <v/>
      </c>
      <c r="U506" s="19">
        <f>IF(COUNT(F506,H506,P506,R506,T506)=0,"",MIN(10,MAX(F506,H506,P506,R506,T506)))</f>
        <v/>
      </c>
      <c r="V506" s="11" t="n"/>
    </row>
    <row r="507">
      <c r="A507" s="15">
        <f>Murid!A507</f>
        <v/>
      </c>
      <c r="B507" s="15">
        <f>IF(Murid!B507="","",Murid!B507)</f>
        <v/>
      </c>
      <c r="C507" s="16">
        <f>IF(Murid!C507="","",Murid!C507)</f>
        <v/>
      </c>
      <c r="D507" s="15">
        <f>IF(Murid!E507="","",Murid!E507)</f>
        <v/>
      </c>
      <c r="E507" s="11" t="n"/>
      <c r="F507" s="10">
        <f>IF(E507="","",IFERROR(VLOOKUP(E507,T_PERK,2,FALSE),0))</f>
        <v/>
      </c>
      <c r="G507" s="11" t="n"/>
      <c r="H507" s="10">
        <f>IF(G507="","",IFERROR(VLOOKUP(G507,T_ANUG,2,FALSE),0))</f>
        <v/>
      </c>
      <c r="I507" s="11" t="n"/>
      <c r="J507" s="11" t="n"/>
      <c r="K507" s="11" t="n"/>
      <c r="L507" s="11" t="n"/>
      <c r="M507" s="11" t="n"/>
      <c r="N507" s="11" t="n"/>
      <c r="O507" s="11" t="n"/>
      <c r="P507" s="10">
        <f>IF(COUNTA(I507:O507)=0,"",MIN(10,SUM(I507:O507)))</f>
        <v/>
      </c>
      <c r="Q507" s="11" t="n"/>
      <c r="R507" s="10">
        <f>IF(Q507="","",IFERROR(VLOOKUP(Q507,T_NILAM,2,FALSE),0))</f>
        <v/>
      </c>
      <c r="S507" s="11" t="n"/>
      <c r="T507" s="10">
        <f>IF(S507="","",IFERROR(VLOOKUP(S507,T_TIMSS,2,FALSE),0))</f>
        <v/>
      </c>
      <c r="U507" s="19">
        <f>IF(COUNT(F507,H507,P507,R507,T507)=0,"",MIN(10,MAX(F507,H507,P507,R507,T507)))</f>
        <v/>
      </c>
      <c r="V507" s="11" t="n"/>
    </row>
    <row r="508">
      <c r="A508" s="15">
        <f>Murid!A508</f>
        <v/>
      </c>
      <c r="B508" s="15">
        <f>IF(Murid!B508="","",Murid!B508)</f>
        <v/>
      </c>
      <c r="C508" s="16">
        <f>IF(Murid!C508="","",Murid!C508)</f>
        <v/>
      </c>
      <c r="D508" s="15">
        <f>IF(Murid!E508="","",Murid!E508)</f>
        <v/>
      </c>
      <c r="E508" s="11" t="n"/>
      <c r="F508" s="10">
        <f>IF(E508="","",IFERROR(VLOOKUP(E508,T_PERK,2,FALSE),0))</f>
        <v/>
      </c>
      <c r="G508" s="11" t="n"/>
      <c r="H508" s="10">
        <f>IF(G508="","",IFERROR(VLOOKUP(G508,T_ANUG,2,FALSE),0))</f>
        <v/>
      </c>
      <c r="I508" s="11" t="n"/>
      <c r="J508" s="11" t="n"/>
      <c r="K508" s="11" t="n"/>
      <c r="L508" s="11" t="n"/>
      <c r="M508" s="11" t="n"/>
      <c r="N508" s="11" t="n"/>
      <c r="O508" s="11" t="n"/>
      <c r="P508" s="10">
        <f>IF(COUNTA(I508:O508)=0,"",MIN(10,SUM(I508:O508)))</f>
        <v/>
      </c>
      <c r="Q508" s="11" t="n"/>
      <c r="R508" s="10">
        <f>IF(Q508="","",IFERROR(VLOOKUP(Q508,T_NILAM,2,FALSE),0))</f>
        <v/>
      </c>
      <c r="S508" s="11" t="n"/>
      <c r="T508" s="10">
        <f>IF(S508="","",IFERROR(VLOOKUP(S508,T_TIMSS,2,FALSE),0))</f>
        <v/>
      </c>
      <c r="U508" s="19">
        <f>IF(COUNT(F508,H508,P508,R508,T508)=0,"",MIN(10,MAX(F508,H508,P508,R508,T508)))</f>
        <v/>
      </c>
      <c r="V508" s="11" t="n"/>
    </row>
    <row r="509">
      <c r="A509" s="15">
        <f>Murid!A509</f>
        <v/>
      </c>
      <c r="B509" s="15">
        <f>IF(Murid!B509="","",Murid!B509)</f>
        <v/>
      </c>
      <c r="C509" s="16">
        <f>IF(Murid!C509="","",Murid!C509)</f>
        <v/>
      </c>
      <c r="D509" s="15">
        <f>IF(Murid!E509="","",Murid!E509)</f>
        <v/>
      </c>
      <c r="E509" s="11" t="n"/>
      <c r="F509" s="10">
        <f>IF(E509="","",IFERROR(VLOOKUP(E509,T_PERK,2,FALSE),0))</f>
        <v/>
      </c>
      <c r="G509" s="11" t="n"/>
      <c r="H509" s="10">
        <f>IF(G509="","",IFERROR(VLOOKUP(G509,T_ANUG,2,FALSE),0))</f>
        <v/>
      </c>
      <c r="I509" s="11" t="n"/>
      <c r="J509" s="11" t="n"/>
      <c r="K509" s="11" t="n"/>
      <c r="L509" s="11" t="n"/>
      <c r="M509" s="11" t="n"/>
      <c r="N509" s="11" t="n"/>
      <c r="O509" s="11" t="n"/>
      <c r="P509" s="10">
        <f>IF(COUNTA(I509:O509)=0,"",MIN(10,SUM(I509:O509)))</f>
        <v/>
      </c>
      <c r="Q509" s="11" t="n"/>
      <c r="R509" s="10">
        <f>IF(Q509="","",IFERROR(VLOOKUP(Q509,T_NILAM,2,FALSE),0))</f>
        <v/>
      </c>
      <c r="S509" s="11" t="n"/>
      <c r="T509" s="10">
        <f>IF(S509="","",IFERROR(VLOOKUP(S509,T_TIMSS,2,FALSE),0))</f>
        <v/>
      </c>
      <c r="U509" s="19">
        <f>IF(COUNT(F509,H509,P509,R509,T509)=0,"",MIN(10,MAX(F509,H509,P509,R509,T509)))</f>
        <v/>
      </c>
      <c r="V509" s="11" t="n"/>
    </row>
    <row r="510">
      <c r="A510" s="15">
        <f>Murid!A510</f>
        <v/>
      </c>
      <c r="B510" s="15">
        <f>IF(Murid!B510="","",Murid!B510)</f>
        <v/>
      </c>
      <c r="C510" s="16">
        <f>IF(Murid!C510="","",Murid!C510)</f>
        <v/>
      </c>
      <c r="D510" s="15">
        <f>IF(Murid!E510="","",Murid!E510)</f>
        <v/>
      </c>
      <c r="E510" s="11" t="n"/>
      <c r="F510" s="10">
        <f>IF(E510="","",IFERROR(VLOOKUP(E510,T_PERK,2,FALSE),0))</f>
        <v/>
      </c>
      <c r="G510" s="11" t="n"/>
      <c r="H510" s="10">
        <f>IF(G510="","",IFERROR(VLOOKUP(G510,T_ANUG,2,FALSE),0))</f>
        <v/>
      </c>
      <c r="I510" s="11" t="n"/>
      <c r="J510" s="11" t="n"/>
      <c r="K510" s="11" t="n"/>
      <c r="L510" s="11" t="n"/>
      <c r="M510" s="11" t="n"/>
      <c r="N510" s="11" t="n"/>
      <c r="O510" s="11" t="n"/>
      <c r="P510" s="10">
        <f>IF(COUNTA(I510:O510)=0,"",MIN(10,SUM(I510:O510)))</f>
        <v/>
      </c>
      <c r="Q510" s="11" t="n"/>
      <c r="R510" s="10">
        <f>IF(Q510="","",IFERROR(VLOOKUP(Q510,T_NILAM,2,FALSE),0))</f>
        <v/>
      </c>
      <c r="S510" s="11" t="n"/>
      <c r="T510" s="10">
        <f>IF(S510="","",IFERROR(VLOOKUP(S510,T_TIMSS,2,FALSE),0))</f>
        <v/>
      </c>
      <c r="U510" s="19">
        <f>IF(COUNT(F510,H510,P510,R510,T510)=0,"",MIN(10,MAX(F510,H510,P510,R510,T510)))</f>
        <v/>
      </c>
      <c r="V510" s="11" t="n"/>
    </row>
    <row r="511">
      <c r="A511" s="15">
        <f>Murid!A511</f>
        <v/>
      </c>
      <c r="B511" s="15">
        <f>IF(Murid!B511="","",Murid!B511)</f>
        <v/>
      </c>
      <c r="C511" s="16">
        <f>IF(Murid!C511="","",Murid!C511)</f>
        <v/>
      </c>
      <c r="D511" s="15">
        <f>IF(Murid!E511="","",Murid!E511)</f>
        <v/>
      </c>
      <c r="E511" s="11" t="n"/>
      <c r="F511" s="10">
        <f>IF(E511="","",IFERROR(VLOOKUP(E511,T_PERK,2,FALSE),0))</f>
        <v/>
      </c>
      <c r="G511" s="11" t="n"/>
      <c r="H511" s="10">
        <f>IF(G511="","",IFERROR(VLOOKUP(G511,T_ANUG,2,FALSE),0))</f>
        <v/>
      </c>
      <c r="I511" s="11" t="n"/>
      <c r="J511" s="11" t="n"/>
      <c r="K511" s="11" t="n"/>
      <c r="L511" s="11" t="n"/>
      <c r="M511" s="11" t="n"/>
      <c r="N511" s="11" t="n"/>
      <c r="O511" s="11" t="n"/>
      <c r="P511" s="10">
        <f>IF(COUNTA(I511:O511)=0,"",MIN(10,SUM(I511:O511)))</f>
        <v/>
      </c>
      <c r="Q511" s="11" t="n"/>
      <c r="R511" s="10">
        <f>IF(Q511="","",IFERROR(VLOOKUP(Q511,T_NILAM,2,FALSE),0))</f>
        <v/>
      </c>
      <c r="S511" s="11" t="n"/>
      <c r="T511" s="10">
        <f>IF(S511="","",IFERROR(VLOOKUP(S511,T_TIMSS,2,FALSE),0))</f>
        <v/>
      </c>
      <c r="U511" s="19">
        <f>IF(COUNT(F511,H511,P511,R511,T511)=0,"",MIN(10,MAX(F511,H511,P511,R511,T511)))</f>
        <v/>
      </c>
      <c r="V511" s="11" t="n"/>
    </row>
    <row r="512">
      <c r="A512" s="15">
        <f>Murid!A512</f>
        <v/>
      </c>
      <c r="B512" s="15">
        <f>IF(Murid!B512="","",Murid!B512)</f>
        <v/>
      </c>
      <c r="C512" s="16">
        <f>IF(Murid!C512="","",Murid!C512)</f>
        <v/>
      </c>
      <c r="D512" s="15">
        <f>IF(Murid!E512="","",Murid!E512)</f>
        <v/>
      </c>
      <c r="E512" s="11" t="n"/>
      <c r="F512" s="10">
        <f>IF(E512="","",IFERROR(VLOOKUP(E512,T_PERK,2,FALSE),0))</f>
        <v/>
      </c>
      <c r="G512" s="11" t="n"/>
      <c r="H512" s="10">
        <f>IF(G512="","",IFERROR(VLOOKUP(G512,T_ANUG,2,FALSE),0))</f>
        <v/>
      </c>
      <c r="I512" s="11" t="n"/>
      <c r="J512" s="11" t="n"/>
      <c r="K512" s="11" t="n"/>
      <c r="L512" s="11" t="n"/>
      <c r="M512" s="11" t="n"/>
      <c r="N512" s="11" t="n"/>
      <c r="O512" s="11" t="n"/>
      <c r="P512" s="10">
        <f>IF(COUNTA(I512:O512)=0,"",MIN(10,SUM(I512:O512)))</f>
        <v/>
      </c>
      <c r="Q512" s="11" t="n"/>
      <c r="R512" s="10">
        <f>IF(Q512="","",IFERROR(VLOOKUP(Q512,T_NILAM,2,FALSE),0))</f>
        <v/>
      </c>
      <c r="S512" s="11" t="n"/>
      <c r="T512" s="10">
        <f>IF(S512="","",IFERROR(VLOOKUP(S512,T_TIMSS,2,FALSE),0))</f>
        <v/>
      </c>
      <c r="U512" s="19">
        <f>IF(COUNT(F512,H512,P512,R512,T512)=0,"",MIN(10,MAX(F512,H512,P512,R512,T512)))</f>
        <v/>
      </c>
      <c r="V512" s="11" t="n"/>
    </row>
    <row r="513">
      <c r="A513" s="15">
        <f>Murid!A513</f>
        <v/>
      </c>
      <c r="B513" s="15">
        <f>IF(Murid!B513="","",Murid!B513)</f>
        <v/>
      </c>
      <c r="C513" s="16">
        <f>IF(Murid!C513="","",Murid!C513)</f>
        <v/>
      </c>
      <c r="D513" s="15">
        <f>IF(Murid!E513="","",Murid!E513)</f>
        <v/>
      </c>
      <c r="E513" s="11" t="n"/>
      <c r="F513" s="10">
        <f>IF(E513="","",IFERROR(VLOOKUP(E513,T_PERK,2,FALSE),0))</f>
        <v/>
      </c>
      <c r="G513" s="11" t="n"/>
      <c r="H513" s="10">
        <f>IF(G513="","",IFERROR(VLOOKUP(G513,T_ANUG,2,FALSE),0))</f>
        <v/>
      </c>
      <c r="I513" s="11" t="n"/>
      <c r="J513" s="11" t="n"/>
      <c r="K513" s="11" t="n"/>
      <c r="L513" s="11" t="n"/>
      <c r="M513" s="11" t="n"/>
      <c r="N513" s="11" t="n"/>
      <c r="O513" s="11" t="n"/>
      <c r="P513" s="10">
        <f>IF(COUNTA(I513:O513)=0,"",MIN(10,SUM(I513:O513)))</f>
        <v/>
      </c>
      <c r="Q513" s="11" t="n"/>
      <c r="R513" s="10">
        <f>IF(Q513="","",IFERROR(VLOOKUP(Q513,T_NILAM,2,FALSE),0))</f>
        <v/>
      </c>
      <c r="S513" s="11" t="n"/>
      <c r="T513" s="10">
        <f>IF(S513="","",IFERROR(VLOOKUP(S513,T_TIMSS,2,FALSE),0))</f>
        <v/>
      </c>
      <c r="U513" s="19">
        <f>IF(COUNT(F513,H513,P513,R513,T513)=0,"",MIN(10,MAX(F513,H513,P513,R513,T513)))</f>
        <v/>
      </c>
      <c r="V513" s="11" t="n"/>
    </row>
    <row r="514">
      <c r="A514" s="15">
        <f>Murid!A514</f>
        <v/>
      </c>
      <c r="B514" s="15">
        <f>IF(Murid!B514="","",Murid!B514)</f>
        <v/>
      </c>
      <c r="C514" s="16">
        <f>IF(Murid!C514="","",Murid!C514)</f>
        <v/>
      </c>
      <c r="D514" s="15">
        <f>IF(Murid!E514="","",Murid!E514)</f>
        <v/>
      </c>
      <c r="E514" s="11" t="n"/>
      <c r="F514" s="10">
        <f>IF(E514="","",IFERROR(VLOOKUP(E514,T_PERK,2,FALSE),0))</f>
        <v/>
      </c>
      <c r="G514" s="11" t="n"/>
      <c r="H514" s="10">
        <f>IF(G514="","",IFERROR(VLOOKUP(G514,T_ANUG,2,FALSE),0))</f>
        <v/>
      </c>
      <c r="I514" s="11" t="n"/>
      <c r="J514" s="11" t="n"/>
      <c r="K514" s="11" t="n"/>
      <c r="L514" s="11" t="n"/>
      <c r="M514" s="11" t="n"/>
      <c r="N514" s="11" t="n"/>
      <c r="O514" s="11" t="n"/>
      <c r="P514" s="10">
        <f>IF(COUNTA(I514:O514)=0,"",MIN(10,SUM(I514:O514)))</f>
        <v/>
      </c>
      <c r="Q514" s="11" t="n"/>
      <c r="R514" s="10">
        <f>IF(Q514="","",IFERROR(VLOOKUP(Q514,T_NILAM,2,FALSE),0))</f>
        <v/>
      </c>
      <c r="S514" s="11" t="n"/>
      <c r="T514" s="10">
        <f>IF(S514="","",IFERROR(VLOOKUP(S514,T_TIMSS,2,FALSE),0))</f>
        <v/>
      </c>
      <c r="U514" s="19">
        <f>IF(COUNT(F514,H514,P514,R514,T514)=0,"",MIN(10,MAX(F514,H514,P514,R514,T514)))</f>
        <v/>
      </c>
      <c r="V514" s="11" t="n"/>
    </row>
    <row r="515">
      <c r="A515" s="15">
        <f>Murid!A515</f>
        <v/>
      </c>
      <c r="B515" s="15">
        <f>IF(Murid!B515="","",Murid!B515)</f>
        <v/>
      </c>
      <c r="C515" s="16">
        <f>IF(Murid!C515="","",Murid!C515)</f>
        <v/>
      </c>
      <c r="D515" s="15">
        <f>IF(Murid!E515="","",Murid!E515)</f>
        <v/>
      </c>
      <c r="E515" s="11" t="n"/>
      <c r="F515" s="10">
        <f>IF(E515="","",IFERROR(VLOOKUP(E515,T_PERK,2,FALSE),0))</f>
        <v/>
      </c>
      <c r="G515" s="11" t="n"/>
      <c r="H515" s="10">
        <f>IF(G515="","",IFERROR(VLOOKUP(G515,T_ANUG,2,FALSE),0))</f>
        <v/>
      </c>
      <c r="I515" s="11" t="n"/>
      <c r="J515" s="11" t="n"/>
      <c r="K515" s="11" t="n"/>
      <c r="L515" s="11" t="n"/>
      <c r="M515" s="11" t="n"/>
      <c r="N515" s="11" t="n"/>
      <c r="O515" s="11" t="n"/>
      <c r="P515" s="10">
        <f>IF(COUNTA(I515:O515)=0,"",MIN(10,SUM(I515:O515)))</f>
        <v/>
      </c>
      <c r="Q515" s="11" t="n"/>
      <c r="R515" s="10">
        <f>IF(Q515="","",IFERROR(VLOOKUP(Q515,T_NILAM,2,FALSE),0))</f>
        <v/>
      </c>
      <c r="S515" s="11" t="n"/>
      <c r="T515" s="10">
        <f>IF(S515="","",IFERROR(VLOOKUP(S515,T_TIMSS,2,FALSE),0))</f>
        <v/>
      </c>
      <c r="U515" s="19">
        <f>IF(COUNT(F515,H515,P515,R515,T515)=0,"",MIN(10,MAX(F515,H515,P515,R515,T515)))</f>
        <v/>
      </c>
      <c r="V515" s="11" t="n"/>
    </row>
    <row r="516">
      <c r="A516" s="15">
        <f>Murid!A516</f>
        <v/>
      </c>
      <c r="B516" s="15">
        <f>IF(Murid!B516="","",Murid!B516)</f>
        <v/>
      </c>
      <c r="C516" s="16">
        <f>IF(Murid!C516="","",Murid!C516)</f>
        <v/>
      </c>
      <c r="D516" s="15">
        <f>IF(Murid!E516="","",Murid!E516)</f>
        <v/>
      </c>
      <c r="E516" s="11" t="n"/>
      <c r="F516" s="10">
        <f>IF(E516="","",IFERROR(VLOOKUP(E516,T_PERK,2,FALSE),0))</f>
        <v/>
      </c>
      <c r="G516" s="11" t="n"/>
      <c r="H516" s="10">
        <f>IF(G516="","",IFERROR(VLOOKUP(G516,T_ANUG,2,FALSE),0))</f>
        <v/>
      </c>
      <c r="I516" s="11" t="n"/>
      <c r="J516" s="11" t="n"/>
      <c r="K516" s="11" t="n"/>
      <c r="L516" s="11" t="n"/>
      <c r="M516" s="11" t="n"/>
      <c r="N516" s="11" t="n"/>
      <c r="O516" s="11" t="n"/>
      <c r="P516" s="10">
        <f>IF(COUNTA(I516:O516)=0,"",MIN(10,SUM(I516:O516)))</f>
        <v/>
      </c>
      <c r="Q516" s="11" t="n"/>
      <c r="R516" s="10">
        <f>IF(Q516="","",IFERROR(VLOOKUP(Q516,T_NILAM,2,FALSE),0))</f>
        <v/>
      </c>
      <c r="S516" s="11" t="n"/>
      <c r="T516" s="10">
        <f>IF(S516="","",IFERROR(VLOOKUP(S516,T_TIMSS,2,FALSE),0))</f>
        <v/>
      </c>
      <c r="U516" s="19">
        <f>IF(COUNT(F516,H516,P516,R516,T516)=0,"",MIN(10,MAX(F516,H516,P516,R516,T516)))</f>
        <v/>
      </c>
      <c r="V516" s="11" t="n"/>
    </row>
    <row r="517">
      <c r="A517" s="15">
        <f>Murid!A517</f>
        <v/>
      </c>
      <c r="B517" s="15">
        <f>IF(Murid!B517="","",Murid!B517)</f>
        <v/>
      </c>
      <c r="C517" s="16">
        <f>IF(Murid!C517="","",Murid!C517)</f>
        <v/>
      </c>
      <c r="D517" s="15">
        <f>IF(Murid!E517="","",Murid!E517)</f>
        <v/>
      </c>
      <c r="E517" s="11" t="n"/>
      <c r="F517" s="10">
        <f>IF(E517="","",IFERROR(VLOOKUP(E517,T_PERK,2,FALSE),0))</f>
        <v/>
      </c>
      <c r="G517" s="11" t="n"/>
      <c r="H517" s="10">
        <f>IF(G517="","",IFERROR(VLOOKUP(G517,T_ANUG,2,FALSE),0))</f>
        <v/>
      </c>
      <c r="I517" s="11" t="n"/>
      <c r="J517" s="11" t="n"/>
      <c r="K517" s="11" t="n"/>
      <c r="L517" s="11" t="n"/>
      <c r="M517" s="11" t="n"/>
      <c r="N517" s="11" t="n"/>
      <c r="O517" s="11" t="n"/>
      <c r="P517" s="10">
        <f>IF(COUNTA(I517:O517)=0,"",MIN(10,SUM(I517:O517)))</f>
        <v/>
      </c>
      <c r="Q517" s="11" t="n"/>
      <c r="R517" s="10">
        <f>IF(Q517="","",IFERROR(VLOOKUP(Q517,T_NILAM,2,FALSE),0))</f>
        <v/>
      </c>
      <c r="S517" s="11" t="n"/>
      <c r="T517" s="10">
        <f>IF(S517="","",IFERROR(VLOOKUP(S517,T_TIMSS,2,FALSE),0))</f>
        <v/>
      </c>
      <c r="U517" s="19">
        <f>IF(COUNT(F517,H517,P517,R517,T517)=0,"",MIN(10,MAX(F517,H517,P517,R517,T517)))</f>
        <v/>
      </c>
      <c r="V517" s="11" t="n"/>
    </row>
    <row r="518">
      <c r="A518" s="15">
        <f>Murid!A518</f>
        <v/>
      </c>
      <c r="B518" s="15">
        <f>IF(Murid!B518="","",Murid!B518)</f>
        <v/>
      </c>
      <c r="C518" s="16">
        <f>IF(Murid!C518="","",Murid!C518)</f>
        <v/>
      </c>
      <c r="D518" s="15">
        <f>IF(Murid!E518="","",Murid!E518)</f>
        <v/>
      </c>
      <c r="E518" s="11" t="n"/>
      <c r="F518" s="10">
        <f>IF(E518="","",IFERROR(VLOOKUP(E518,T_PERK,2,FALSE),0))</f>
        <v/>
      </c>
      <c r="G518" s="11" t="n"/>
      <c r="H518" s="10">
        <f>IF(G518="","",IFERROR(VLOOKUP(G518,T_ANUG,2,FALSE),0))</f>
        <v/>
      </c>
      <c r="I518" s="11" t="n"/>
      <c r="J518" s="11" t="n"/>
      <c r="K518" s="11" t="n"/>
      <c r="L518" s="11" t="n"/>
      <c r="M518" s="11" t="n"/>
      <c r="N518" s="11" t="n"/>
      <c r="O518" s="11" t="n"/>
      <c r="P518" s="10">
        <f>IF(COUNTA(I518:O518)=0,"",MIN(10,SUM(I518:O518)))</f>
        <v/>
      </c>
      <c r="Q518" s="11" t="n"/>
      <c r="R518" s="10">
        <f>IF(Q518="","",IFERROR(VLOOKUP(Q518,T_NILAM,2,FALSE),0))</f>
        <v/>
      </c>
      <c r="S518" s="11" t="n"/>
      <c r="T518" s="10">
        <f>IF(S518="","",IFERROR(VLOOKUP(S518,T_TIMSS,2,FALSE),0))</f>
        <v/>
      </c>
      <c r="U518" s="19">
        <f>IF(COUNT(F518,H518,P518,R518,T518)=0,"",MIN(10,MAX(F518,H518,P518,R518,T518)))</f>
        <v/>
      </c>
      <c r="V518" s="11" t="n"/>
    </row>
    <row r="519">
      <c r="A519" s="15">
        <f>Murid!A519</f>
        <v/>
      </c>
      <c r="B519" s="15">
        <f>IF(Murid!B519="","",Murid!B519)</f>
        <v/>
      </c>
      <c r="C519" s="16">
        <f>IF(Murid!C519="","",Murid!C519)</f>
        <v/>
      </c>
      <c r="D519" s="15">
        <f>IF(Murid!E519="","",Murid!E519)</f>
        <v/>
      </c>
      <c r="E519" s="11" t="n"/>
      <c r="F519" s="10">
        <f>IF(E519="","",IFERROR(VLOOKUP(E519,T_PERK,2,FALSE),0))</f>
        <v/>
      </c>
      <c r="G519" s="11" t="n"/>
      <c r="H519" s="10">
        <f>IF(G519="","",IFERROR(VLOOKUP(G519,T_ANUG,2,FALSE),0))</f>
        <v/>
      </c>
      <c r="I519" s="11" t="n"/>
      <c r="J519" s="11" t="n"/>
      <c r="K519" s="11" t="n"/>
      <c r="L519" s="11" t="n"/>
      <c r="M519" s="11" t="n"/>
      <c r="N519" s="11" t="n"/>
      <c r="O519" s="11" t="n"/>
      <c r="P519" s="10">
        <f>IF(COUNTA(I519:O519)=0,"",MIN(10,SUM(I519:O519)))</f>
        <v/>
      </c>
      <c r="Q519" s="11" t="n"/>
      <c r="R519" s="10">
        <f>IF(Q519="","",IFERROR(VLOOKUP(Q519,T_NILAM,2,FALSE),0))</f>
        <v/>
      </c>
      <c r="S519" s="11" t="n"/>
      <c r="T519" s="10">
        <f>IF(S519="","",IFERROR(VLOOKUP(S519,T_TIMSS,2,FALSE),0))</f>
        <v/>
      </c>
      <c r="U519" s="19">
        <f>IF(COUNT(F519,H519,P519,R519,T519)=0,"",MIN(10,MAX(F519,H519,P519,R519,T519)))</f>
        <v/>
      </c>
      <c r="V519" s="11" t="n"/>
    </row>
    <row r="520">
      <c r="A520" s="15">
        <f>Murid!A520</f>
        <v/>
      </c>
      <c r="B520" s="15">
        <f>IF(Murid!B520="","",Murid!B520)</f>
        <v/>
      </c>
      <c r="C520" s="16">
        <f>IF(Murid!C520="","",Murid!C520)</f>
        <v/>
      </c>
      <c r="D520" s="15">
        <f>IF(Murid!E520="","",Murid!E520)</f>
        <v/>
      </c>
      <c r="E520" s="11" t="n"/>
      <c r="F520" s="10">
        <f>IF(E520="","",IFERROR(VLOOKUP(E520,T_PERK,2,FALSE),0))</f>
        <v/>
      </c>
      <c r="G520" s="11" t="n"/>
      <c r="H520" s="10">
        <f>IF(G520="","",IFERROR(VLOOKUP(G520,T_ANUG,2,FALSE),0))</f>
        <v/>
      </c>
      <c r="I520" s="11" t="n"/>
      <c r="J520" s="11" t="n"/>
      <c r="K520" s="11" t="n"/>
      <c r="L520" s="11" t="n"/>
      <c r="M520" s="11" t="n"/>
      <c r="N520" s="11" t="n"/>
      <c r="O520" s="11" t="n"/>
      <c r="P520" s="10">
        <f>IF(COUNTA(I520:O520)=0,"",MIN(10,SUM(I520:O520)))</f>
        <v/>
      </c>
      <c r="Q520" s="11" t="n"/>
      <c r="R520" s="10">
        <f>IF(Q520="","",IFERROR(VLOOKUP(Q520,T_NILAM,2,FALSE),0))</f>
        <v/>
      </c>
      <c r="S520" s="11" t="n"/>
      <c r="T520" s="10">
        <f>IF(S520="","",IFERROR(VLOOKUP(S520,T_TIMSS,2,FALSE),0))</f>
        <v/>
      </c>
      <c r="U520" s="19">
        <f>IF(COUNT(F520,H520,P520,R520,T520)=0,"",MIN(10,MAX(F520,H520,P520,R520,T520)))</f>
        <v/>
      </c>
      <c r="V520" s="11" t="n"/>
    </row>
    <row r="521">
      <c r="A521" s="15">
        <f>Murid!A521</f>
        <v/>
      </c>
      <c r="B521" s="15">
        <f>IF(Murid!B521="","",Murid!B521)</f>
        <v/>
      </c>
      <c r="C521" s="16">
        <f>IF(Murid!C521="","",Murid!C521)</f>
        <v/>
      </c>
      <c r="D521" s="15">
        <f>IF(Murid!E521="","",Murid!E521)</f>
        <v/>
      </c>
      <c r="E521" s="11" t="n"/>
      <c r="F521" s="10">
        <f>IF(E521="","",IFERROR(VLOOKUP(E521,T_PERK,2,FALSE),0))</f>
        <v/>
      </c>
      <c r="G521" s="11" t="n"/>
      <c r="H521" s="10">
        <f>IF(G521="","",IFERROR(VLOOKUP(G521,T_ANUG,2,FALSE),0))</f>
        <v/>
      </c>
      <c r="I521" s="11" t="n"/>
      <c r="J521" s="11" t="n"/>
      <c r="K521" s="11" t="n"/>
      <c r="L521" s="11" t="n"/>
      <c r="M521" s="11" t="n"/>
      <c r="N521" s="11" t="n"/>
      <c r="O521" s="11" t="n"/>
      <c r="P521" s="10">
        <f>IF(COUNTA(I521:O521)=0,"",MIN(10,SUM(I521:O521)))</f>
        <v/>
      </c>
      <c r="Q521" s="11" t="n"/>
      <c r="R521" s="10">
        <f>IF(Q521="","",IFERROR(VLOOKUP(Q521,T_NILAM,2,FALSE),0))</f>
        <v/>
      </c>
      <c r="S521" s="11" t="n"/>
      <c r="T521" s="10">
        <f>IF(S521="","",IFERROR(VLOOKUP(S521,T_TIMSS,2,FALSE),0))</f>
        <v/>
      </c>
      <c r="U521" s="19">
        <f>IF(COUNT(F521,H521,P521,R521,T521)=0,"",MIN(10,MAX(F521,H521,P521,R521,T521)))</f>
        <v/>
      </c>
      <c r="V521" s="11" t="n"/>
    </row>
    <row r="522">
      <c r="A522" s="15">
        <f>Murid!A522</f>
        <v/>
      </c>
      <c r="B522" s="15">
        <f>IF(Murid!B522="","",Murid!B522)</f>
        <v/>
      </c>
      <c r="C522" s="16">
        <f>IF(Murid!C522="","",Murid!C522)</f>
        <v/>
      </c>
      <c r="D522" s="15">
        <f>IF(Murid!E522="","",Murid!E522)</f>
        <v/>
      </c>
      <c r="E522" s="11" t="n"/>
      <c r="F522" s="10">
        <f>IF(E522="","",IFERROR(VLOOKUP(E522,T_PERK,2,FALSE),0))</f>
        <v/>
      </c>
      <c r="G522" s="11" t="n"/>
      <c r="H522" s="10">
        <f>IF(G522="","",IFERROR(VLOOKUP(G522,T_ANUG,2,FALSE),0))</f>
        <v/>
      </c>
      <c r="I522" s="11" t="n"/>
      <c r="J522" s="11" t="n"/>
      <c r="K522" s="11" t="n"/>
      <c r="L522" s="11" t="n"/>
      <c r="M522" s="11" t="n"/>
      <c r="N522" s="11" t="n"/>
      <c r="O522" s="11" t="n"/>
      <c r="P522" s="10">
        <f>IF(COUNTA(I522:O522)=0,"",MIN(10,SUM(I522:O522)))</f>
        <v/>
      </c>
      <c r="Q522" s="11" t="n"/>
      <c r="R522" s="10">
        <f>IF(Q522="","",IFERROR(VLOOKUP(Q522,T_NILAM,2,FALSE),0))</f>
        <v/>
      </c>
      <c r="S522" s="11" t="n"/>
      <c r="T522" s="10">
        <f>IF(S522="","",IFERROR(VLOOKUP(S522,T_TIMSS,2,FALSE),0))</f>
        <v/>
      </c>
      <c r="U522" s="19">
        <f>IF(COUNT(F522,H522,P522,R522,T522)=0,"",MIN(10,MAX(F522,H522,P522,R522,T522)))</f>
        <v/>
      </c>
      <c r="V522" s="11" t="n"/>
    </row>
    <row r="523">
      <c r="A523" s="15">
        <f>Murid!A523</f>
        <v/>
      </c>
      <c r="B523" s="15">
        <f>IF(Murid!B523="","",Murid!B523)</f>
        <v/>
      </c>
      <c r="C523" s="16">
        <f>IF(Murid!C523="","",Murid!C523)</f>
        <v/>
      </c>
      <c r="D523" s="15">
        <f>IF(Murid!E523="","",Murid!E523)</f>
        <v/>
      </c>
      <c r="E523" s="11" t="n"/>
      <c r="F523" s="10">
        <f>IF(E523="","",IFERROR(VLOOKUP(E523,T_PERK,2,FALSE),0))</f>
        <v/>
      </c>
      <c r="G523" s="11" t="n"/>
      <c r="H523" s="10">
        <f>IF(G523="","",IFERROR(VLOOKUP(G523,T_ANUG,2,FALSE),0))</f>
        <v/>
      </c>
      <c r="I523" s="11" t="n"/>
      <c r="J523" s="11" t="n"/>
      <c r="K523" s="11" t="n"/>
      <c r="L523" s="11" t="n"/>
      <c r="M523" s="11" t="n"/>
      <c r="N523" s="11" t="n"/>
      <c r="O523" s="11" t="n"/>
      <c r="P523" s="10">
        <f>IF(COUNTA(I523:O523)=0,"",MIN(10,SUM(I523:O523)))</f>
        <v/>
      </c>
      <c r="Q523" s="11" t="n"/>
      <c r="R523" s="10">
        <f>IF(Q523="","",IFERROR(VLOOKUP(Q523,T_NILAM,2,FALSE),0))</f>
        <v/>
      </c>
      <c r="S523" s="11" t="n"/>
      <c r="T523" s="10">
        <f>IF(S523="","",IFERROR(VLOOKUP(S523,T_TIMSS,2,FALSE),0))</f>
        <v/>
      </c>
      <c r="U523" s="19">
        <f>IF(COUNT(F523,H523,P523,R523,T523)=0,"",MIN(10,MAX(F523,H523,P523,R523,T523)))</f>
        <v/>
      </c>
      <c r="V523" s="11" t="n"/>
    </row>
    <row r="524">
      <c r="A524" s="15">
        <f>Murid!A524</f>
        <v/>
      </c>
      <c r="B524" s="15">
        <f>IF(Murid!B524="","",Murid!B524)</f>
        <v/>
      </c>
      <c r="C524" s="16">
        <f>IF(Murid!C524="","",Murid!C524)</f>
        <v/>
      </c>
      <c r="D524" s="15">
        <f>IF(Murid!E524="","",Murid!E524)</f>
        <v/>
      </c>
      <c r="E524" s="11" t="n"/>
      <c r="F524" s="10">
        <f>IF(E524="","",IFERROR(VLOOKUP(E524,T_PERK,2,FALSE),0))</f>
        <v/>
      </c>
      <c r="G524" s="11" t="n"/>
      <c r="H524" s="10">
        <f>IF(G524="","",IFERROR(VLOOKUP(G524,T_ANUG,2,FALSE),0))</f>
        <v/>
      </c>
      <c r="I524" s="11" t="n"/>
      <c r="J524" s="11" t="n"/>
      <c r="K524" s="11" t="n"/>
      <c r="L524" s="11" t="n"/>
      <c r="M524" s="11" t="n"/>
      <c r="N524" s="11" t="n"/>
      <c r="O524" s="11" t="n"/>
      <c r="P524" s="10">
        <f>IF(COUNTA(I524:O524)=0,"",MIN(10,SUM(I524:O524)))</f>
        <v/>
      </c>
      <c r="Q524" s="11" t="n"/>
      <c r="R524" s="10">
        <f>IF(Q524="","",IFERROR(VLOOKUP(Q524,T_NILAM,2,FALSE),0))</f>
        <v/>
      </c>
      <c r="S524" s="11" t="n"/>
      <c r="T524" s="10">
        <f>IF(S524="","",IFERROR(VLOOKUP(S524,T_TIMSS,2,FALSE),0))</f>
        <v/>
      </c>
      <c r="U524" s="19">
        <f>IF(COUNT(F524,H524,P524,R524,T524)=0,"",MIN(10,MAX(F524,H524,P524,R524,T524)))</f>
        <v/>
      </c>
      <c r="V524" s="11" t="n"/>
    </row>
    <row r="525">
      <c r="A525" s="15">
        <f>Murid!A525</f>
        <v/>
      </c>
      <c r="B525" s="15">
        <f>IF(Murid!B525="","",Murid!B525)</f>
        <v/>
      </c>
      <c r="C525" s="16">
        <f>IF(Murid!C525="","",Murid!C525)</f>
        <v/>
      </c>
      <c r="D525" s="15">
        <f>IF(Murid!E525="","",Murid!E525)</f>
        <v/>
      </c>
      <c r="E525" s="11" t="n"/>
      <c r="F525" s="10">
        <f>IF(E525="","",IFERROR(VLOOKUP(E525,T_PERK,2,FALSE),0))</f>
        <v/>
      </c>
      <c r="G525" s="11" t="n"/>
      <c r="H525" s="10">
        <f>IF(G525="","",IFERROR(VLOOKUP(G525,T_ANUG,2,FALSE),0))</f>
        <v/>
      </c>
      <c r="I525" s="11" t="n"/>
      <c r="J525" s="11" t="n"/>
      <c r="K525" s="11" t="n"/>
      <c r="L525" s="11" t="n"/>
      <c r="M525" s="11" t="n"/>
      <c r="N525" s="11" t="n"/>
      <c r="O525" s="11" t="n"/>
      <c r="P525" s="10">
        <f>IF(COUNTA(I525:O525)=0,"",MIN(10,SUM(I525:O525)))</f>
        <v/>
      </c>
      <c r="Q525" s="11" t="n"/>
      <c r="R525" s="10">
        <f>IF(Q525="","",IFERROR(VLOOKUP(Q525,T_NILAM,2,FALSE),0))</f>
        <v/>
      </c>
      <c r="S525" s="11" t="n"/>
      <c r="T525" s="10">
        <f>IF(S525="","",IFERROR(VLOOKUP(S525,T_TIMSS,2,FALSE),0))</f>
        <v/>
      </c>
      <c r="U525" s="19">
        <f>IF(COUNT(F525,H525,P525,R525,T525)=0,"",MIN(10,MAX(F525,H525,P525,R525,T525)))</f>
        <v/>
      </c>
      <c r="V525" s="11" t="n"/>
    </row>
    <row r="526">
      <c r="A526" s="15">
        <f>Murid!A526</f>
        <v/>
      </c>
      <c r="B526" s="15">
        <f>IF(Murid!B526="","",Murid!B526)</f>
        <v/>
      </c>
      <c r="C526" s="16">
        <f>IF(Murid!C526="","",Murid!C526)</f>
        <v/>
      </c>
      <c r="D526" s="15">
        <f>IF(Murid!E526="","",Murid!E526)</f>
        <v/>
      </c>
      <c r="E526" s="11" t="n"/>
      <c r="F526" s="10">
        <f>IF(E526="","",IFERROR(VLOOKUP(E526,T_PERK,2,FALSE),0))</f>
        <v/>
      </c>
      <c r="G526" s="11" t="n"/>
      <c r="H526" s="10">
        <f>IF(G526="","",IFERROR(VLOOKUP(G526,T_ANUG,2,FALSE),0))</f>
        <v/>
      </c>
      <c r="I526" s="11" t="n"/>
      <c r="J526" s="11" t="n"/>
      <c r="K526" s="11" t="n"/>
      <c r="L526" s="11" t="n"/>
      <c r="M526" s="11" t="n"/>
      <c r="N526" s="11" t="n"/>
      <c r="O526" s="11" t="n"/>
      <c r="P526" s="10">
        <f>IF(COUNTA(I526:O526)=0,"",MIN(10,SUM(I526:O526)))</f>
        <v/>
      </c>
      <c r="Q526" s="11" t="n"/>
      <c r="R526" s="10">
        <f>IF(Q526="","",IFERROR(VLOOKUP(Q526,T_NILAM,2,FALSE),0))</f>
        <v/>
      </c>
      <c r="S526" s="11" t="n"/>
      <c r="T526" s="10">
        <f>IF(S526="","",IFERROR(VLOOKUP(S526,T_TIMSS,2,FALSE),0))</f>
        <v/>
      </c>
      <c r="U526" s="19">
        <f>IF(COUNT(F526,H526,P526,R526,T526)=0,"",MIN(10,MAX(F526,H526,P526,R526,T526)))</f>
        <v/>
      </c>
      <c r="V526" s="11" t="n"/>
    </row>
    <row r="527">
      <c r="A527" s="15">
        <f>Murid!A527</f>
        <v/>
      </c>
      <c r="B527" s="15">
        <f>IF(Murid!B527="","",Murid!B527)</f>
        <v/>
      </c>
      <c r="C527" s="16">
        <f>IF(Murid!C527="","",Murid!C527)</f>
        <v/>
      </c>
      <c r="D527" s="15">
        <f>IF(Murid!E527="","",Murid!E527)</f>
        <v/>
      </c>
      <c r="E527" s="11" t="n"/>
      <c r="F527" s="10">
        <f>IF(E527="","",IFERROR(VLOOKUP(E527,T_PERK,2,FALSE),0))</f>
        <v/>
      </c>
      <c r="G527" s="11" t="n"/>
      <c r="H527" s="10">
        <f>IF(G527="","",IFERROR(VLOOKUP(G527,T_ANUG,2,FALSE),0))</f>
        <v/>
      </c>
      <c r="I527" s="11" t="n"/>
      <c r="J527" s="11" t="n"/>
      <c r="K527" s="11" t="n"/>
      <c r="L527" s="11" t="n"/>
      <c r="M527" s="11" t="n"/>
      <c r="N527" s="11" t="n"/>
      <c r="O527" s="11" t="n"/>
      <c r="P527" s="10">
        <f>IF(COUNTA(I527:O527)=0,"",MIN(10,SUM(I527:O527)))</f>
        <v/>
      </c>
      <c r="Q527" s="11" t="n"/>
      <c r="R527" s="10">
        <f>IF(Q527="","",IFERROR(VLOOKUP(Q527,T_NILAM,2,FALSE),0))</f>
        <v/>
      </c>
      <c r="S527" s="11" t="n"/>
      <c r="T527" s="10">
        <f>IF(S527="","",IFERROR(VLOOKUP(S527,T_TIMSS,2,FALSE),0))</f>
        <v/>
      </c>
      <c r="U527" s="19">
        <f>IF(COUNT(F527,H527,P527,R527,T527)=0,"",MIN(10,MAX(F527,H527,P527,R527,T527)))</f>
        <v/>
      </c>
      <c r="V527" s="11" t="n"/>
    </row>
    <row r="528">
      <c r="A528" s="15">
        <f>Murid!A528</f>
        <v/>
      </c>
      <c r="B528" s="15">
        <f>IF(Murid!B528="","",Murid!B528)</f>
        <v/>
      </c>
      <c r="C528" s="16">
        <f>IF(Murid!C528="","",Murid!C528)</f>
        <v/>
      </c>
      <c r="D528" s="15">
        <f>IF(Murid!E528="","",Murid!E528)</f>
        <v/>
      </c>
      <c r="E528" s="11" t="n"/>
      <c r="F528" s="10">
        <f>IF(E528="","",IFERROR(VLOOKUP(E528,T_PERK,2,FALSE),0))</f>
        <v/>
      </c>
      <c r="G528" s="11" t="n"/>
      <c r="H528" s="10">
        <f>IF(G528="","",IFERROR(VLOOKUP(G528,T_ANUG,2,FALSE),0))</f>
        <v/>
      </c>
      <c r="I528" s="11" t="n"/>
      <c r="J528" s="11" t="n"/>
      <c r="K528" s="11" t="n"/>
      <c r="L528" s="11" t="n"/>
      <c r="M528" s="11" t="n"/>
      <c r="N528" s="11" t="n"/>
      <c r="O528" s="11" t="n"/>
      <c r="P528" s="10">
        <f>IF(COUNTA(I528:O528)=0,"",MIN(10,SUM(I528:O528)))</f>
        <v/>
      </c>
      <c r="Q528" s="11" t="n"/>
      <c r="R528" s="10">
        <f>IF(Q528="","",IFERROR(VLOOKUP(Q528,T_NILAM,2,FALSE),0))</f>
        <v/>
      </c>
      <c r="S528" s="11" t="n"/>
      <c r="T528" s="10">
        <f>IF(S528="","",IFERROR(VLOOKUP(S528,T_TIMSS,2,FALSE),0))</f>
        <v/>
      </c>
      <c r="U528" s="19">
        <f>IF(COUNT(F528,H528,P528,R528,T528)=0,"",MIN(10,MAX(F528,H528,P528,R528,T528)))</f>
        <v/>
      </c>
      <c r="V528" s="11" t="n"/>
    </row>
    <row r="529">
      <c r="A529" s="15">
        <f>Murid!A529</f>
        <v/>
      </c>
      <c r="B529" s="15">
        <f>IF(Murid!B529="","",Murid!B529)</f>
        <v/>
      </c>
      <c r="C529" s="16">
        <f>IF(Murid!C529="","",Murid!C529)</f>
        <v/>
      </c>
      <c r="D529" s="15">
        <f>IF(Murid!E529="","",Murid!E529)</f>
        <v/>
      </c>
      <c r="E529" s="11" t="n"/>
      <c r="F529" s="10">
        <f>IF(E529="","",IFERROR(VLOOKUP(E529,T_PERK,2,FALSE),0))</f>
        <v/>
      </c>
      <c r="G529" s="11" t="n"/>
      <c r="H529" s="10">
        <f>IF(G529="","",IFERROR(VLOOKUP(G529,T_ANUG,2,FALSE),0))</f>
        <v/>
      </c>
      <c r="I529" s="11" t="n"/>
      <c r="J529" s="11" t="n"/>
      <c r="K529" s="11" t="n"/>
      <c r="L529" s="11" t="n"/>
      <c r="M529" s="11" t="n"/>
      <c r="N529" s="11" t="n"/>
      <c r="O529" s="11" t="n"/>
      <c r="P529" s="10">
        <f>IF(COUNTA(I529:O529)=0,"",MIN(10,SUM(I529:O529)))</f>
        <v/>
      </c>
      <c r="Q529" s="11" t="n"/>
      <c r="R529" s="10">
        <f>IF(Q529="","",IFERROR(VLOOKUP(Q529,T_NILAM,2,FALSE),0))</f>
        <v/>
      </c>
      <c r="S529" s="11" t="n"/>
      <c r="T529" s="10">
        <f>IF(S529="","",IFERROR(VLOOKUP(S529,T_TIMSS,2,FALSE),0))</f>
        <v/>
      </c>
      <c r="U529" s="19">
        <f>IF(COUNT(F529,H529,P529,R529,T529)=0,"",MIN(10,MAX(F529,H529,P529,R529,T529)))</f>
        <v/>
      </c>
      <c r="V529" s="11" t="n"/>
    </row>
    <row r="530">
      <c r="A530" s="15">
        <f>Murid!A530</f>
        <v/>
      </c>
      <c r="B530" s="15">
        <f>IF(Murid!B530="","",Murid!B530)</f>
        <v/>
      </c>
      <c r="C530" s="16">
        <f>IF(Murid!C530="","",Murid!C530)</f>
        <v/>
      </c>
      <c r="D530" s="15">
        <f>IF(Murid!E530="","",Murid!E530)</f>
        <v/>
      </c>
      <c r="E530" s="11" t="n"/>
      <c r="F530" s="10">
        <f>IF(E530="","",IFERROR(VLOOKUP(E530,T_PERK,2,FALSE),0))</f>
        <v/>
      </c>
      <c r="G530" s="11" t="n"/>
      <c r="H530" s="10">
        <f>IF(G530="","",IFERROR(VLOOKUP(G530,T_ANUG,2,FALSE),0))</f>
        <v/>
      </c>
      <c r="I530" s="11" t="n"/>
      <c r="J530" s="11" t="n"/>
      <c r="K530" s="11" t="n"/>
      <c r="L530" s="11" t="n"/>
      <c r="M530" s="11" t="n"/>
      <c r="N530" s="11" t="n"/>
      <c r="O530" s="11" t="n"/>
      <c r="P530" s="10">
        <f>IF(COUNTA(I530:O530)=0,"",MIN(10,SUM(I530:O530)))</f>
        <v/>
      </c>
      <c r="Q530" s="11" t="n"/>
      <c r="R530" s="10">
        <f>IF(Q530="","",IFERROR(VLOOKUP(Q530,T_NILAM,2,FALSE),0))</f>
        <v/>
      </c>
      <c r="S530" s="11" t="n"/>
      <c r="T530" s="10">
        <f>IF(S530="","",IFERROR(VLOOKUP(S530,T_TIMSS,2,FALSE),0))</f>
        <v/>
      </c>
      <c r="U530" s="19">
        <f>IF(COUNT(F530,H530,P530,R530,T530)=0,"",MIN(10,MAX(F530,H530,P530,R530,T530)))</f>
        <v/>
      </c>
      <c r="V530" s="11" t="n"/>
    </row>
    <row r="531">
      <c r="A531" s="15">
        <f>Murid!A531</f>
        <v/>
      </c>
      <c r="B531" s="15">
        <f>IF(Murid!B531="","",Murid!B531)</f>
        <v/>
      </c>
      <c r="C531" s="16">
        <f>IF(Murid!C531="","",Murid!C531)</f>
        <v/>
      </c>
      <c r="D531" s="15">
        <f>IF(Murid!E531="","",Murid!E531)</f>
        <v/>
      </c>
      <c r="E531" s="11" t="n"/>
      <c r="F531" s="10">
        <f>IF(E531="","",IFERROR(VLOOKUP(E531,T_PERK,2,FALSE),0))</f>
        <v/>
      </c>
      <c r="G531" s="11" t="n"/>
      <c r="H531" s="10">
        <f>IF(G531="","",IFERROR(VLOOKUP(G531,T_ANUG,2,FALSE),0))</f>
        <v/>
      </c>
      <c r="I531" s="11" t="n"/>
      <c r="J531" s="11" t="n"/>
      <c r="K531" s="11" t="n"/>
      <c r="L531" s="11" t="n"/>
      <c r="M531" s="11" t="n"/>
      <c r="N531" s="11" t="n"/>
      <c r="O531" s="11" t="n"/>
      <c r="P531" s="10">
        <f>IF(COUNTA(I531:O531)=0,"",MIN(10,SUM(I531:O531)))</f>
        <v/>
      </c>
      <c r="Q531" s="11" t="n"/>
      <c r="R531" s="10">
        <f>IF(Q531="","",IFERROR(VLOOKUP(Q531,T_NILAM,2,FALSE),0))</f>
        <v/>
      </c>
      <c r="S531" s="11" t="n"/>
      <c r="T531" s="10">
        <f>IF(S531="","",IFERROR(VLOOKUP(S531,T_TIMSS,2,FALSE),0))</f>
        <v/>
      </c>
      <c r="U531" s="19">
        <f>IF(COUNT(F531,H531,P531,R531,T531)=0,"",MIN(10,MAX(F531,H531,P531,R531,T531)))</f>
        <v/>
      </c>
      <c r="V531" s="11" t="n"/>
    </row>
    <row r="532">
      <c r="A532" s="15">
        <f>Murid!A532</f>
        <v/>
      </c>
      <c r="B532" s="15">
        <f>IF(Murid!B532="","",Murid!B532)</f>
        <v/>
      </c>
      <c r="C532" s="16">
        <f>IF(Murid!C532="","",Murid!C532)</f>
        <v/>
      </c>
      <c r="D532" s="15">
        <f>IF(Murid!E532="","",Murid!E532)</f>
        <v/>
      </c>
      <c r="E532" s="11" t="n"/>
      <c r="F532" s="10">
        <f>IF(E532="","",IFERROR(VLOOKUP(E532,T_PERK,2,FALSE),0))</f>
        <v/>
      </c>
      <c r="G532" s="11" t="n"/>
      <c r="H532" s="10">
        <f>IF(G532="","",IFERROR(VLOOKUP(G532,T_ANUG,2,FALSE),0))</f>
        <v/>
      </c>
      <c r="I532" s="11" t="n"/>
      <c r="J532" s="11" t="n"/>
      <c r="K532" s="11" t="n"/>
      <c r="L532" s="11" t="n"/>
      <c r="M532" s="11" t="n"/>
      <c r="N532" s="11" t="n"/>
      <c r="O532" s="11" t="n"/>
      <c r="P532" s="10">
        <f>IF(COUNTA(I532:O532)=0,"",MIN(10,SUM(I532:O532)))</f>
        <v/>
      </c>
      <c r="Q532" s="11" t="n"/>
      <c r="R532" s="10">
        <f>IF(Q532="","",IFERROR(VLOOKUP(Q532,T_NILAM,2,FALSE),0))</f>
        <v/>
      </c>
      <c r="S532" s="11" t="n"/>
      <c r="T532" s="10">
        <f>IF(S532="","",IFERROR(VLOOKUP(S532,T_TIMSS,2,FALSE),0))</f>
        <v/>
      </c>
      <c r="U532" s="19">
        <f>IF(COUNT(F532,H532,P532,R532,T532)=0,"",MIN(10,MAX(F532,H532,P532,R532,T532)))</f>
        <v/>
      </c>
      <c r="V532" s="11" t="n"/>
    </row>
    <row r="533">
      <c r="A533" s="15">
        <f>Murid!A533</f>
        <v/>
      </c>
      <c r="B533" s="15">
        <f>IF(Murid!B533="","",Murid!B533)</f>
        <v/>
      </c>
      <c r="C533" s="16">
        <f>IF(Murid!C533="","",Murid!C533)</f>
        <v/>
      </c>
      <c r="D533" s="15">
        <f>IF(Murid!E533="","",Murid!E533)</f>
        <v/>
      </c>
      <c r="E533" s="11" t="n"/>
      <c r="F533" s="10">
        <f>IF(E533="","",IFERROR(VLOOKUP(E533,T_PERK,2,FALSE),0))</f>
        <v/>
      </c>
      <c r="G533" s="11" t="n"/>
      <c r="H533" s="10">
        <f>IF(G533="","",IFERROR(VLOOKUP(G533,T_ANUG,2,FALSE),0))</f>
        <v/>
      </c>
      <c r="I533" s="11" t="n"/>
      <c r="J533" s="11" t="n"/>
      <c r="K533" s="11" t="n"/>
      <c r="L533" s="11" t="n"/>
      <c r="M533" s="11" t="n"/>
      <c r="N533" s="11" t="n"/>
      <c r="O533" s="11" t="n"/>
      <c r="P533" s="10">
        <f>IF(COUNTA(I533:O533)=0,"",MIN(10,SUM(I533:O533)))</f>
        <v/>
      </c>
      <c r="Q533" s="11" t="n"/>
      <c r="R533" s="10">
        <f>IF(Q533="","",IFERROR(VLOOKUP(Q533,T_NILAM,2,FALSE),0))</f>
        <v/>
      </c>
      <c r="S533" s="11" t="n"/>
      <c r="T533" s="10">
        <f>IF(S533="","",IFERROR(VLOOKUP(S533,T_TIMSS,2,FALSE),0))</f>
        <v/>
      </c>
      <c r="U533" s="19">
        <f>IF(COUNT(F533,H533,P533,R533,T533)=0,"",MIN(10,MAX(F533,H533,P533,R533,T533)))</f>
        <v/>
      </c>
      <c r="V533" s="11" t="n"/>
    </row>
    <row r="534">
      <c r="A534" s="15">
        <f>Murid!A534</f>
        <v/>
      </c>
      <c r="B534" s="15">
        <f>IF(Murid!B534="","",Murid!B534)</f>
        <v/>
      </c>
      <c r="C534" s="16">
        <f>IF(Murid!C534="","",Murid!C534)</f>
        <v/>
      </c>
      <c r="D534" s="15">
        <f>IF(Murid!E534="","",Murid!E534)</f>
        <v/>
      </c>
      <c r="E534" s="11" t="n"/>
      <c r="F534" s="10">
        <f>IF(E534="","",IFERROR(VLOOKUP(E534,T_PERK,2,FALSE),0))</f>
        <v/>
      </c>
      <c r="G534" s="11" t="n"/>
      <c r="H534" s="10">
        <f>IF(G534="","",IFERROR(VLOOKUP(G534,T_ANUG,2,FALSE),0))</f>
        <v/>
      </c>
      <c r="I534" s="11" t="n"/>
      <c r="J534" s="11" t="n"/>
      <c r="K534" s="11" t="n"/>
      <c r="L534" s="11" t="n"/>
      <c r="M534" s="11" t="n"/>
      <c r="N534" s="11" t="n"/>
      <c r="O534" s="11" t="n"/>
      <c r="P534" s="10">
        <f>IF(COUNTA(I534:O534)=0,"",MIN(10,SUM(I534:O534)))</f>
        <v/>
      </c>
      <c r="Q534" s="11" t="n"/>
      <c r="R534" s="10">
        <f>IF(Q534="","",IFERROR(VLOOKUP(Q534,T_NILAM,2,FALSE),0))</f>
        <v/>
      </c>
      <c r="S534" s="11" t="n"/>
      <c r="T534" s="10">
        <f>IF(S534="","",IFERROR(VLOOKUP(S534,T_TIMSS,2,FALSE),0))</f>
        <v/>
      </c>
      <c r="U534" s="19">
        <f>IF(COUNT(F534,H534,P534,R534,T534)=0,"",MIN(10,MAX(F534,H534,P534,R534,T534)))</f>
        <v/>
      </c>
      <c r="V534" s="11" t="n"/>
    </row>
    <row r="535">
      <c r="A535" s="15">
        <f>Murid!A535</f>
        <v/>
      </c>
      <c r="B535" s="15">
        <f>IF(Murid!B535="","",Murid!B535)</f>
        <v/>
      </c>
      <c r="C535" s="16">
        <f>IF(Murid!C535="","",Murid!C535)</f>
        <v/>
      </c>
      <c r="D535" s="15">
        <f>IF(Murid!E535="","",Murid!E535)</f>
        <v/>
      </c>
      <c r="E535" s="11" t="n"/>
      <c r="F535" s="10">
        <f>IF(E535="","",IFERROR(VLOOKUP(E535,T_PERK,2,FALSE),0))</f>
        <v/>
      </c>
      <c r="G535" s="11" t="n"/>
      <c r="H535" s="10">
        <f>IF(G535="","",IFERROR(VLOOKUP(G535,T_ANUG,2,FALSE),0))</f>
        <v/>
      </c>
      <c r="I535" s="11" t="n"/>
      <c r="J535" s="11" t="n"/>
      <c r="K535" s="11" t="n"/>
      <c r="L535" s="11" t="n"/>
      <c r="M535" s="11" t="n"/>
      <c r="N535" s="11" t="n"/>
      <c r="O535" s="11" t="n"/>
      <c r="P535" s="10">
        <f>IF(COUNTA(I535:O535)=0,"",MIN(10,SUM(I535:O535)))</f>
        <v/>
      </c>
      <c r="Q535" s="11" t="n"/>
      <c r="R535" s="10">
        <f>IF(Q535="","",IFERROR(VLOOKUP(Q535,T_NILAM,2,FALSE),0))</f>
        <v/>
      </c>
      <c r="S535" s="11" t="n"/>
      <c r="T535" s="10">
        <f>IF(S535="","",IFERROR(VLOOKUP(S535,T_TIMSS,2,FALSE),0))</f>
        <v/>
      </c>
      <c r="U535" s="19">
        <f>IF(COUNT(F535,H535,P535,R535,T535)=0,"",MIN(10,MAX(F535,H535,P535,R535,T535)))</f>
        <v/>
      </c>
      <c r="V535" s="11" t="n"/>
    </row>
    <row r="536">
      <c r="A536" s="15">
        <f>Murid!A536</f>
        <v/>
      </c>
      <c r="B536" s="15">
        <f>IF(Murid!B536="","",Murid!B536)</f>
        <v/>
      </c>
      <c r="C536" s="16">
        <f>IF(Murid!C536="","",Murid!C536)</f>
        <v/>
      </c>
      <c r="D536" s="15">
        <f>IF(Murid!E536="","",Murid!E536)</f>
        <v/>
      </c>
      <c r="E536" s="11" t="n"/>
      <c r="F536" s="10">
        <f>IF(E536="","",IFERROR(VLOOKUP(E536,T_PERK,2,FALSE),0))</f>
        <v/>
      </c>
      <c r="G536" s="11" t="n"/>
      <c r="H536" s="10">
        <f>IF(G536="","",IFERROR(VLOOKUP(G536,T_ANUG,2,FALSE),0))</f>
        <v/>
      </c>
      <c r="I536" s="11" t="n"/>
      <c r="J536" s="11" t="n"/>
      <c r="K536" s="11" t="n"/>
      <c r="L536" s="11" t="n"/>
      <c r="M536" s="11" t="n"/>
      <c r="N536" s="11" t="n"/>
      <c r="O536" s="11" t="n"/>
      <c r="P536" s="10">
        <f>IF(COUNTA(I536:O536)=0,"",MIN(10,SUM(I536:O536)))</f>
        <v/>
      </c>
      <c r="Q536" s="11" t="n"/>
      <c r="R536" s="10">
        <f>IF(Q536="","",IFERROR(VLOOKUP(Q536,T_NILAM,2,FALSE),0))</f>
        <v/>
      </c>
      <c r="S536" s="11" t="n"/>
      <c r="T536" s="10">
        <f>IF(S536="","",IFERROR(VLOOKUP(S536,T_TIMSS,2,FALSE),0))</f>
        <v/>
      </c>
      <c r="U536" s="19">
        <f>IF(COUNT(F536,H536,P536,R536,T536)=0,"",MIN(10,MAX(F536,H536,P536,R536,T536)))</f>
        <v/>
      </c>
      <c r="V536" s="11" t="n"/>
    </row>
    <row r="537">
      <c r="A537" s="15">
        <f>Murid!A537</f>
        <v/>
      </c>
      <c r="B537" s="15">
        <f>IF(Murid!B537="","",Murid!B537)</f>
        <v/>
      </c>
      <c r="C537" s="16">
        <f>IF(Murid!C537="","",Murid!C537)</f>
        <v/>
      </c>
      <c r="D537" s="15">
        <f>IF(Murid!E537="","",Murid!E537)</f>
        <v/>
      </c>
      <c r="E537" s="11" t="n"/>
      <c r="F537" s="10">
        <f>IF(E537="","",IFERROR(VLOOKUP(E537,T_PERK,2,FALSE),0))</f>
        <v/>
      </c>
      <c r="G537" s="11" t="n"/>
      <c r="H537" s="10">
        <f>IF(G537="","",IFERROR(VLOOKUP(G537,T_ANUG,2,FALSE),0))</f>
        <v/>
      </c>
      <c r="I537" s="11" t="n"/>
      <c r="J537" s="11" t="n"/>
      <c r="K537" s="11" t="n"/>
      <c r="L537" s="11" t="n"/>
      <c r="M537" s="11" t="n"/>
      <c r="N537" s="11" t="n"/>
      <c r="O537" s="11" t="n"/>
      <c r="P537" s="10">
        <f>IF(COUNTA(I537:O537)=0,"",MIN(10,SUM(I537:O537)))</f>
        <v/>
      </c>
      <c r="Q537" s="11" t="n"/>
      <c r="R537" s="10">
        <f>IF(Q537="","",IFERROR(VLOOKUP(Q537,T_NILAM,2,FALSE),0))</f>
        <v/>
      </c>
      <c r="S537" s="11" t="n"/>
      <c r="T537" s="10">
        <f>IF(S537="","",IFERROR(VLOOKUP(S537,T_TIMSS,2,FALSE),0))</f>
        <v/>
      </c>
      <c r="U537" s="19">
        <f>IF(COUNT(F537,H537,P537,R537,T537)=0,"",MIN(10,MAX(F537,H537,P537,R537,T537)))</f>
        <v/>
      </c>
      <c r="V537" s="11" t="n"/>
    </row>
    <row r="538">
      <c r="A538" s="15">
        <f>Murid!A538</f>
        <v/>
      </c>
      <c r="B538" s="15">
        <f>IF(Murid!B538="","",Murid!B538)</f>
        <v/>
      </c>
      <c r="C538" s="16">
        <f>IF(Murid!C538="","",Murid!C538)</f>
        <v/>
      </c>
      <c r="D538" s="15">
        <f>IF(Murid!E538="","",Murid!E538)</f>
        <v/>
      </c>
      <c r="E538" s="11" t="n"/>
      <c r="F538" s="10">
        <f>IF(E538="","",IFERROR(VLOOKUP(E538,T_PERK,2,FALSE),0))</f>
        <v/>
      </c>
      <c r="G538" s="11" t="n"/>
      <c r="H538" s="10">
        <f>IF(G538="","",IFERROR(VLOOKUP(G538,T_ANUG,2,FALSE),0))</f>
        <v/>
      </c>
      <c r="I538" s="11" t="n"/>
      <c r="J538" s="11" t="n"/>
      <c r="K538" s="11" t="n"/>
      <c r="L538" s="11" t="n"/>
      <c r="M538" s="11" t="n"/>
      <c r="N538" s="11" t="n"/>
      <c r="O538" s="11" t="n"/>
      <c r="P538" s="10">
        <f>IF(COUNTA(I538:O538)=0,"",MIN(10,SUM(I538:O538)))</f>
        <v/>
      </c>
      <c r="Q538" s="11" t="n"/>
      <c r="R538" s="10">
        <f>IF(Q538="","",IFERROR(VLOOKUP(Q538,T_NILAM,2,FALSE),0))</f>
        <v/>
      </c>
      <c r="S538" s="11" t="n"/>
      <c r="T538" s="10">
        <f>IF(S538="","",IFERROR(VLOOKUP(S538,T_TIMSS,2,FALSE),0))</f>
        <v/>
      </c>
      <c r="U538" s="19">
        <f>IF(COUNT(F538,H538,P538,R538,T538)=0,"",MIN(10,MAX(F538,H538,P538,R538,T538)))</f>
        <v/>
      </c>
      <c r="V538" s="11" t="n"/>
    </row>
    <row r="539">
      <c r="A539" s="15">
        <f>Murid!A539</f>
        <v/>
      </c>
      <c r="B539" s="15">
        <f>IF(Murid!B539="","",Murid!B539)</f>
        <v/>
      </c>
      <c r="C539" s="16">
        <f>IF(Murid!C539="","",Murid!C539)</f>
        <v/>
      </c>
      <c r="D539" s="15">
        <f>IF(Murid!E539="","",Murid!E539)</f>
        <v/>
      </c>
      <c r="E539" s="11" t="n"/>
      <c r="F539" s="10">
        <f>IF(E539="","",IFERROR(VLOOKUP(E539,T_PERK,2,FALSE),0))</f>
        <v/>
      </c>
      <c r="G539" s="11" t="n"/>
      <c r="H539" s="10">
        <f>IF(G539="","",IFERROR(VLOOKUP(G539,T_ANUG,2,FALSE),0))</f>
        <v/>
      </c>
      <c r="I539" s="11" t="n"/>
      <c r="J539" s="11" t="n"/>
      <c r="K539" s="11" t="n"/>
      <c r="L539" s="11" t="n"/>
      <c r="M539" s="11" t="n"/>
      <c r="N539" s="11" t="n"/>
      <c r="O539" s="11" t="n"/>
      <c r="P539" s="10">
        <f>IF(COUNTA(I539:O539)=0,"",MIN(10,SUM(I539:O539)))</f>
        <v/>
      </c>
      <c r="Q539" s="11" t="n"/>
      <c r="R539" s="10">
        <f>IF(Q539="","",IFERROR(VLOOKUP(Q539,T_NILAM,2,FALSE),0))</f>
        <v/>
      </c>
      <c r="S539" s="11" t="n"/>
      <c r="T539" s="10">
        <f>IF(S539="","",IFERROR(VLOOKUP(S539,T_TIMSS,2,FALSE),0))</f>
        <v/>
      </c>
      <c r="U539" s="19">
        <f>IF(COUNT(F539,H539,P539,R539,T539)=0,"",MIN(10,MAX(F539,H539,P539,R539,T539)))</f>
        <v/>
      </c>
      <c r="V539" s="11" t="n"/>
    </row>
    <row r="540">
      <c r="A540" s="15">
        <f>Murid!A540</f>
        <v/>
      </c>
      <c r="B540" s="15">
        <f>IF(Murid!B540="","",Murid!B540)</f>
        <v/>
      </c>
      <c r="C540" s="16">
        <f>IF(Murid!C540="","",Murid!C540)</f>
        <v/>
      </c>
      <c r="D540" s="15">
        <f>IF(Murid!E540="","",Murid!E540)</f>
        <v/>
      </c>
      <c r="E540" s="11" t="n"/>
      <c r="F540" s="10">
        <f>IF(E540="","",IFERROR(VLOOKUP(E540,T_PERK,2,FALSE),0))</f>
        <v/>
      </c>
      <c r="G540" s="11" t="n"/>
      <c r="H540" s="10">
        <f>IF(G540="","",IFERROR(VLOOKUP(G540,T_ANUG,2,FALSE),0))</f>
        <v/>
      </c>
      <c r="I540" s="11" t="n"/>
      <c r="J540" s="11" t="n"/>
      <c r="K540" s="11" t="n"/>
      <c r="L540" s="11" t="n"/>
      <c r="M540" s="11" t="n"/>
      <c r="N540" s="11" t="n"/>
      <c r="O540" s="11" t="n"/>
      <c r="P540" s="10">
        <f>IF(COUNTA(I540:O540)=0,"",MIN(10,SUM(I540:O540)))</f>
        <v/>
      </c>
      <c r="Q540" s="11" t="n"/>
      <c r="R540" s="10">
        <f>IF(Q540="","",IFERROR(VLOOKUP(Q540,T_NILAM,2,FALSE),0))</f>
        <v/>
      </c>
      <c r="S540" s="11" t="n"/>
      <c r="T540" s="10">
        <f>IF(S540="","",IFERROR(VLOOKUP(S540,T_TIMSS,2,FALSE),0))</f>
        <v/>
      </c>
      <c r="U540" s="19">
        <f>IF(COUNT(F540,H540,P540,R540,T540)=0,"",MIN(10,MAX(F540,H540,P540,R540,T540)))</f>
        <v/>
      </c>
      <c r="V540" s="11" t="n"/>
    </row>
    <row r="541">
      <c r="A541" s="15">
        <f>Murid!A541</f>
        <v/>
      </c>
      <c r="B541" s="15">
        <f>IF(Murid!B541="","",Murid!B541)</f>
        <v/>
      </c>
      <c r="C541" s="16">
        <f>IF(Murid!C541="","",Murid!C541)</f>
        <v/>
      </c>
      <c r="D541" s="15">
        <f>IF(Murid!E541="","",Murid!E541)</f>
        <v/>
      </c>
      <c r="E541" s="11" t="n"/>
      <c r="F541" s="10">
        <f>IF(E541="","",IFERROR(VLOOKUP(E541,T_PERK,2,FALSE),0))</f>
        <v/>
      </c>
      <c r="G541" s="11" t="n"/>
      <c r="H541" s="10">
        <f>IF(G541="","",IFERROR(VLOOKUP(G541,T_ANUG,2,FALSE),0))</f>
        <v/>
      </c>
      <c r="I541" s="11" t="n"/>
      <c r="J541" s="11" t="n"/>
      <c r="K541" s="11" t="n"/>
      <c r="L541" s="11" t="n"/>
      <c r="M541" s="11" t="n"/>
      <c r="N541" s="11" t="n"/>
      <c r="O541" s="11" t="n"/>
      <c r="P541" s="10">
        <f>IF(COUNTA(I541:O541)=0,"",MIN(10,SUM(I541:O541)))</f>
        <v/>
      </c>
      <c r="Q541" s="11" t="n"/>
      <c r="R541" s="10">
        <f>IF(Q541="","",IFERROR(VLOOKUP(Q541,T_NILAM,2,FALSE),0))</f>
        <v/>
      </c>
      <c r="S541" s="11" t="n"/>
      <c r="T541" s="10">
        <f>IF(S541="","",IFERROR(VLOOKUP(S541,T_TIMSS,2,FALSE),0))</f>
        <v/>
      </c>
      <c r="U541" s="19">
        <f>IF(COUNT(F541,H541,P541,R541,T541)=0,"",MIN(10,MAX(F541,H541,P541,R541,T541)))</f>
        <v/>
      </c>
      <c r="V541" s="11" t="n"/>
    </row>
    <row r="542">
      <c r="A542" s="15">
        <f>Murid!A542</f>
        <v/>
      </c>
      <c r="B542" s="15">
        <f>IF(Murid!B542="","",Murid!B542)</f>
        <v/>
      </c>
      <c r="C542" s="16">
        <f>IF(Murid!C542="","",Murid!C542)</f>
        <v/>
      </c>
      <c r="D542" s="15">
        <f>IF(Murid!E542="","",Murid!E542)</f>
        <v/>
      </c>
      <c r="E542" s="11" t="n"/>
      <c r="F542" s="10">
        <f>IF(E542="","",IFERROR(VLOOKUP(E542,T_PERK,2,FALSE),0))</f>
        <v/>
      </c>
      <c r="G542" s="11" t="n"/>
      <c r="H542" s="10">
        <f>IF(G542="","",IFERROR(VLOOKUP(G542,T_ANUG,2,FALSE),0))</f>
        <v/>
      </c>
      <c r="I542" s="11" t="n"/>
      <c r="J542" s="11" t="n"/>
      <c r="K542" s="11" t="n"/>
      <c r="L542" s="11" t="n"/>
      <c r="M542" s="11" t="n"/>
      <c r="N542" s="11" t="n"/>
      <c r="O542" s="11" t="n"/>
      <c r="P542" s="10">
        <f>IF(COUNTA(I542:O542)=0,"",MIN(10,SUM(I542:O542)))</f>
        <v/>
      </c>
      <c r="Q542" s="11" t="n"/>
      <c r="R542" s="10">
        <f>IF(Q542="","",IFERROR(VLOOKUP(Q542,T_NILAM,2,FALSE),0))</f>
        <v/>
      </c>
      <c r="S542" s="11" t="n"/>
      <c r="T542" s="10">
        <f>IF(S542="","",IFERROR(VLOOKUP(S542,T_TIMSS,2,FALSE),0))</f>
        <v/>
      </c>
      <c r="U542" s="19">
        <f>IF(COUNT(F542,H542,P542,R542,T542)=0,"",MIN(10,MAX(F542,H542,P542,R542,T542)))</f>
        <v/>
      </c>
      <c r="V542" s="11" t="n"/>
    </row>
    <row r="543">
      <c r="A543" s="15">
        <f>Murid!A543</f>
        <v/>
      </c>
      <c r="B543" s="15">
        <f>IF(Murid!B543="","",Murid!B543)</f>
        <v/>
      </c>
      <c r="C543" s="16">
        <f>IF(Murid!C543="","",Murid!C543)</f>
        <v/>
      </c>
      <c r="D543" s="15">
        <f>IF(Murid!E543="","",Murid!E543)</f>
        <v/>
      </c>
      <c r="E543" s="11" t="n"/>
      <c r="F543" s="10">
        <f>IF(E543="","",IFERROR(VLOOKUP(E543,T_PERK,2,FALSE),0))</f>
        <v/>
      </c>
      <c r="G543" s="11" t="n"/>
      <c r="H543" s="10">
        <f>IF(G543="","",IFERROR(VLOOKUP(G543,T_ANUG,2,FALSE),0))</f>
        <v/>
      </c>
      <c r="I543" s="11" t="n"/>
      <c r="J543" s="11" t="n"/>
      <c r="K543" s="11" t="n"/>
      <c r="L543" s="11" t="n"/>
      <c r="M543" s="11" t="n"/>
      <c r="N543" s="11" t="n"/>
      <c r="O543" s="11" t="n"/>
      <c r="P543" s="10">
        <f>IF(COUNTA(I543:O543)=0,"",MIN(10,SUM(I543:O543)))</f>
        <v/>
      </c>
      <c r="Q543" s="11" t="n"/>
      <c r="R543" s="10">
        <f>IF(Q543="","",IFERROR(VLOOKUP(Q543,T_NILAM,2,FALSE),0))</f>
        <v/>
      </c>
      <c r="S543" s="11" t="n"/>
      <c r="T543" s="10">
        <f>IF(S543="","",IFERROR(VLOOKUP(S543,T_TIMSS,2,FALSE),0))</f>
        <v/>
      </c>
      <c r="U543" s="19">
        <f>IF(COUNT(F543,H543,P543,R543,T543)=0,"",MIN(10,MAX(F543,H543,P543,R543,T543)))</f>
        <v/>
      </c>
      <c r="V543" s="11" t="n"/>
    </row>
    <row r="544">
      <c r="A544" s="15">
        <f>Murid!A544</f>
        <v/>
      </c>
      <c r="B544" s="15">
        <f>IF(Murid!B544="","",Murid!B544)</f>
        <v/>
      </c>
      <c r="C544" s="16">
        <f>IF(Murid!C544="","",Murid!C544)</f>
        <v/>
      </c>
      <c r="D544" s="15">
        <f>IF(Murid!E544="","",Murid!E544)</f>
        <v/>
      </c>
      <c r="E544" s="11" t="n"/>
      <c r="F544" s="10">
        <f>IF(E544="","",IFERROR(VLOOKUP(E544,T_PERK,2,FALSE),0))</f>
        <v/>
      </c>
      <c r="G544" s="11" t="n"/>
      <c r="H544" s="10">
        <f>IF(G544="","",IFERROR(VLOOKUP(G544,T_ANUG,2,FALSE),0))</f>
        <v/>
      </c>
      <c r="I544" s="11" t="n"/>
      <c r="J544" s="11" t="n"/>
      <c r="K544" s="11" t="n"/>
      <c r="L544" s="11" t="n"/>
      <c r="M544" s="11" t="n"/>
      <c r="N544" s="11" t="n"/>
      <c r="O544" s="11" t="n"/>
      <c r="P544" s="10">
        <f>IF(COUNTA(I544:O544)=0,"",MIN(10,SUM(I544:O544)))</f>
        <v/>
      </c>
      <c r="Q544" s="11" t="n"/>
      <c r="R544" s="10">
        <f>IF(Q544="","",IFERROR(VLOOKUP(Q544,T_NILAM,2,FALSE),0))</f>
        <v/>
      </c>
      <c r="S544" s="11" t="n"/>
      <c r="T544" s="10">
        <f>IF(S544="","",IFERROR(VLOOKUP(S544,T_TIMSS,2,FALSE),0))</f>
        <v/>
      </c>
      <c r="U544" s="19">
        <f>IF(COUNT(F544,H544,P544,R544,T544)=0,"",MIN(10,MAX(F544,H544,P544,R544,T544)))</f>
        <v/>
      </c>
      <c r="V544" s="11" t="n"/>
    </row>
    <row r="545">
      <c r="A545" s="15">
        <f>Murid!A545</f>
        <v/>
      </c>
      <c r="B545" s="15">
        <f>IF(Murid!B545="","",Murid!B545)</f>
        <v/>
      </c>
      <c r="C545" s="16">
        <f>IF(Murid!C545="","",Murid!C545)</f>
        <v/>
      </c>
      <c r="D545" s="15">
        <f>IF(Murid!E545="","",Murid!E545)</f>
        <v/>
      </c>
      <c r="E545" s="11" t="n"/>
      <c r="F545" s="10">
        <f>IF(E545="","",IFERROR(VLOOKUP(E545,T_PERK,2,FALSE),0))</f>
        <v/>
      </c>
      <c r="G545" s="11" t="n"/>
      <c r="H545" s="10">
        <f>IF(G545="","",IFERROR(VLOOKUP(G545,T_ANUG,2,FALSE),0))</f>
        <v/>
      </c>
      <c r="I545" s="11" t="n"/>
      <c r="J545" s="11" t="n"/>
      <c r="K545" s="11" t="n"/>
      <c r="L545" s="11" t="n"/>
      <c r="M545" s="11" t="n"/>
      <c r="N545" s="11" t="n"/>
      <c r="O545" s="11" t="n"/>
      <c r="P545" s="10">
        <f>IF(COUNTA(I545:O545)=0,"",MIN(10,SUM(I545:O545)))</f>
        <v/>
      </c>
      <c r="Q545" s="11" t="n"/>
      <c r="R545" s="10">
        <f>IF(Q545="","",IFERROR(VLOOKUP(Q545,T_NILAM,2,FALSE),0))</f>
        <v/>
      </c>
      <c r="S545" s="11" t="n"/>
      <c r="T545" s="10">
        <f>IF(S545="","",IFERROR(VLOOKUP(S545,T_TIMSS,2,FALSE),0))</f>
        <v/>
      </c>
      <c r="U545" s="19">
        <f>IF(COUNT(F545,H545,P545,R545,T545)=0,"",MIN(10,MAX(F545,H545,P545,R545,T545)))</f>
        <v/>
      </c>
      <c r="V545" s="11" t="n"/>
    </row>
    <row r="546">
      <c r="A546" s="15">
        <f>Murid!A546</f>
        <v/>
      </c>
      <c r="B546" s="15">
        <f>IF(Murid!B546="","",Murid!B546)</f>
        <v/>
      </c>
      <c r="C546" s="16">
        <f>IF(Murid!C546="","",Murid!C546)</f>
        <v/>
      </c>
      <c r="D546" s="15">
        <f>IF(Murid!E546="","",Murid!E546)</f>
        <v/>
      </c>
      <c r="E546" s="11" t="n"/>
      <c r="F546" s="10">
        <f>IF(E546="","",IFERROR(VLOOKUP(E546,T_PERK,2,FALSE),0))</f>
        <v/>
      </c>
      <c r="G546" s="11" t="n"/>
      <c r="H546" s="10">
        <f>IF(G546="","",IFERROR(VLOOKUP(G546,T_ANUG,2,FALSE),0))</f>
        <v/>
      </c>
      <c r="I546" s="11" t="n"/>
      <c r="J546" s="11" t="n"/>
      <c r="K546" s="11" t="n"/>
      <c r="L546" s="11" t="n"/>
      <c r="M546" s="11" t="n"/>
      <c r="N546" s="11" t="n"/>
      <c r="O546" s="11" t="n"/>
      <c r="P546" s="10">
        <f>IF(COUNTA(I546:O546)=0,"",MIN(10,SUM(I546:O546)))</f>
        <v/>
      </c>
      <c r="Q546" s="11" t="n"/>
      <c r="R546" s="10">
        <f>IF(Q546="","",IFERROR(VLOOKUP(Q546,T_NILAM,2,FALSE),0))</f>
        <v/>
      </c>
      <c r="S546" s="11" t="n"/>
      <c r="T546" s="10">
        <f>IF(S546="","",IFERROR(VLOOKUP(S546,T_TIMSS,2,FALSE),0))</f>
        <v/>
      </c>
      <c r="U546" s="19">
        <f>IF(COUNT(F546,H546,P546,R546,T546)=0,"",MIN(10,MAX(F546,H546,P546,R546,T546)))</f>
        <v/>
      </c>
      <c r="V546" s="11" t="n"/>
    </row>
    <row r="547">
      <c r="A547" s="15">
        <f>Murid!A547</f>
        <v/>
      </c>
      <c r="B547" s="15">
        <f>IF(Murid!B547="","",Murid!B547)</f>
        <v/>
      </c>
      <c r="C547" s="16">
        <f>IF(Murid!C547="","",Murid!C547)</f>
        <v/>
      </c>
      <c r="D547" s="15">
        <f>IF(Murid!E547="","",Murid!E547)</f>
        <v/>
      </c>
      <c r="E547" s="11" t="n"/>
      <c r="F547" s="10">
        <f>IF(E547="","",IFERROR(VLOOKUP(E547,T_PERK,2,FALSE),0))</f>
        <v/>
      </c>
      <c r="G547" s="11" t="n"/>
      <c r="H547" s="10">
        <f>IF(G547="","",IFERROR(VLOOKUP(G547,T_ANUG,2,FALSE),0))</f>
        <v/>
      </c>
      <c r="I547" s="11" t="n"/>
      <c r="J547" s="11" t="n"/>
      <c r="K547" s="11" t="n"/>
      <c r="L547" s="11" t="n"/>
      <c r="M547" s="11" t="n"/>
      <c r="N547" s="11" t="n"/>
      <c r="O547" s="11" t="n"/>
      <c r="P547" s="10">
        <f>IF(COUNTA(I547:O547)=0,"",MIN(10,SUM(I547:O547)))</f>
        <v/>
      </c>
      <c r="Q547" s="11" t="n"/>
      <c r="R547" s="10">
        <f>IF(Q547="","",IFERROR(VLOOKUP(Q547,T_NILAM,2,FALSE),0))</f>
        <v/>
      </c>
      <c r="S547" s="11" t="n"/>
      <c r="T547" s="10">
        <f>IF(S547="","",IFERROR(VLOOKUP(S547,T_TIMSS,2,FALSE),0))</f>
        <v/>
      </c>
      <c r="U547" s="19">
        <f>IF(COUNT(F547,H547,P547,R547,T547)=0,"",MIN(10,MAX(F547,H547,P547,R547,T547)))</f>
        <v/>
      </c>
      <c r="V547" s="11" t="n"/>
    </row>
    <row r="548">
      <c r="A548" s="15">
        <f>Murid!A548</f>
        <v/>
      </c>
      <c r="B548" s="15">
        <f>IF(Murid!B548="","",Murid!B548)</f>
        <v/>
      </c>
      <c r="C548" s="16">
        <f>IF(Murid!C548="","",Murid!C548)</f>
        <v/>
      </c>
      <c r="D548" s="15">
        <f>IF(Murid!E548="","",Murid!E548)</f>
        <v/>
      </c>
      <c r="E548" s="11" t="n"/>
      <c r="F548" s="10">
        <f>IF(E548="","",IFERROR(VLOOKUP(E548,T_PERK,2,FALSE),0))</f>
        <v/>
      </c>
      <c r="G548" s="11" t="n"/>
      <c r="H548" s="10">
        <f>IF(G548="","",IFERROR(VLOOKUP(G548,T_ANUG,2,FALSE),0))</f>
        <v/>
      </c>
      <c r="I548" s="11" t="n"/>
      <c r="J548" s="11" t="n"/>
      <c r="K548" s="11" t="n"/>
      <c r="L548" s="11" t="n"/>
      <c r="M548" s="11" t="n"/>
      <c r="N548" s="11" t="n"/>
      <c r="O548" s="11" t="n"/>
      <c r="P548" s="10">
        <f>IF(COUNTA(I548:O548)=0,"",MIN(10,SUM(I548:O548)))</f>
        <v/>
      </c>
      <c r="Q548" s="11" t="n"/>
      <c r="R548" s="10">
        <f>IF(Q548="","",IFERROR(VLOOKUP(Q548,T_NILAM,2,FALSE),0))</f>
        <v/>
      </c>
      <c r="S548" s="11" t="n"/>
      <c r="T548" s="10">
        <f>IF(S548="","",IFERROR(VLOOKUP(S548,T_TIMSS,2,FALSE),0))</f>
        <v/>
      </c>
      <c r="U548" s="19">
        <f>IF(COUNT(F548,H548,P548,R548,T548)=0,"",MIN(10,MAX(F548,H548,P548,R548,T548)))</f>
        <v/>
      </c>
      <c r="V548" s="11" t="n"/>
    </row>
    <row r="549">
      <c r="A549" s="15">
        <f>Murid!A549</f>
        <v/>
      </c>
      <c r="B549" s="15">
        <f>IF(Murid!B549="","",Murid!B549)</f>
        <v/>
      </c>
      <c r="C549" s="16">
        <f>IF(Murid!C549="","",Murid!C549)</f>
        <v/>
      </c>
      <c r="D549" s="15">
        <f>IF(Murid!E549="","",Murid!E549)</f>
        <v/>
      </c>
      <c r="E549" s="11" t="n"/>
      <c r="F549" s="10">
        <f>IF(E549="","",IFERROR(VLOOKUP(E549,T_PERK,2,FALSE),0))</f>
        <v/>
      </c>
      <c r="G549" s="11" t="n"/>
      <c r="H549" s="10">
        <f>IF(G549="","",IFERROR(VLOOKUP(G549,T_ANUG,2,FALSE),0))</f>
        <v/>
      </c>
      <c r="I549" s="11" t="n"/>
      <c r="J549" s="11" t="n"/>
      <c r="K549" s="11" t="n"/>
      <c r="L549" s="11" t="n"/>
      <c r="M549" s="11" t="n"/>
      <c r="N549" s="11" t="n"/>
      <c r="O549" s="11" t="n"/>
      <c r="P549" s="10">
        <f>IF(COUNTA(I549:O549)=0,"",MIN(10,SUM(I549:O549)))</f>
        <v/>
      </c>
      <c r="Q549" s="11" t="n"/>
      <c r="R549" s="10">
        <f>IF(Q549="","",IFERROR(VLOOKUP(Q549,T_NILAM,2,FALSE),0))</f>
        <v/>
      </c>
      <c r="S549" s="11" t="n"/>
      <c r="T549" s="10">
        <f>IF(S549="","",IFERROR(VLOOKUP(S549,T_TIMSS,2,FALSE),0))</f>
        <v/>
      </c>
      <c r="U549" s="19">
        <f>IF(COUNT(F549,H549,P549,R549,T549)=0,"",MIN(10,MAX(F549,H549,P549,R549,T549)))</f>
        <v/>
      </c>
      <c r="V549" s="11" t="n"/>
    </row>
    <row r="550">
      <c r="A550" s="15">
        <f>Murid!A550</f>
        <v/>
      </c>
      <c r="B550" s="15">
        <f>IF(Murid!B550="","",Murid!B550)</f>
        <v/>
      </c>
      <c r="C550" s="16">
        <f>IF(Murid!C550="","",Murid!C550)</f>
        <v/>
      </c>
      <c r="D550" s="15">
        <f>IF(Murid!E550="","",Murid!E550)</f>
        <v/>
      </c>
      <c r="E550" s="11" t="n"/>
      <c r="F550" s="10">
        <f>IF(E550="","",IFERROR(VLOOKUP(E550,T_PERK,2,FALSE),0))</f>
        <v/>
      </c>
      <c r="G550" s="11" t="n"/>
      <c r="H550" s="10">
        <f>IF(G550="","",IFERROR(VLOOKUP(G550,T_ANUG,2,FALSE),0))</f>
        <v/>
      </c>
      <c r="I550" s="11" t="n"/>
      <c r="J550" s="11" t="n"/>
      <c r="K550" s="11" t="n"/>
      <c r="L550" s="11" t="n"/>
      <c r="M550" s="11" t="n"/>
      <c r="N550" s="11" t="n"/>
      <c r="O550" s="11" t="n"/>
      <c r="P550" s="10">
        <f>IF(COUNTA(I550:O550)=0,"",MIN(10,SUM(I550:O550)))</f>
        <v/>
      </c>
      <c r="Q550" s="11" t="n"/>
      <c r="R550" s="10">
        <f>IF(Q550="","",IFERROR(VLOOKUP(Q550,T_NILAM,2,FALSE),0))</f>
        <v/>
      </c>
      <c r="S550" s="11" t="n"/>
      <c r="T550" s="10">
        <f>IF(S550="","",IFERROR(VLOOKUP(S550,T_TIMSS,2,FALSE),0))</f>
        <v/>
      </c>
      <c r="U550" s="19">
        <f>IF(COUNT(F550,H550,P550,R550,T550)=0,"",MIN(10,MAX(F550,H550,P550,R550,T550)))</f>
        <v/>
      </c>
      <c r="V550" s="11" t="n"/>
    </row>
    <row r="551">
      <c r="A551" s="15">
        <f>Murid!A551</f>
        <v/>
      </c>
      <c r="B551" s="15">
        <f>IF(Murid!B551="","",Murid!B551)</f>
        <v/>
      </c>
      <c r="C551" s="16">
        <f>IF(Murid!C551="","",Murid!C551)</f>
        <v/>
      </c>
      <c r="D551" s="15">
        <f>IF(Murid!E551="","",Murid!E551)</f>
        <v/>
      </c>
      <c r="E551" s="11" t="n"/>
      <c r="F551" s="10">
        <f>IF(E551="","",IFERROR(VLOOKUP(E551,T_PERK,2,FALSE),0))</f>
        <v/>
      </c>
      <c r="G551" s="11" t="n"/>
      <c r="H551" s="10">
        <f>IF(G551="","",IFERROR(VLOOKUP(G551,T_ANUG,2,FALSE),0))</f>
        <v/>
      </c>
      <c r="I551" s="11" t="n"/>
      <c r="J551" s="11" t="n"/>
      <c r="K551" s="11" t="n"/>
      <c r="L551" s="11" t="n"/>
      <c r="M551" s="11" t="n"/>
      <c r="N551" s="11" t="n"/>
      <c r="O551" s="11" t="n"/>
      <c r="P551" s="10">
        <f>IF(COUNTA(I551:O551)=0,"",MIN(10,SUM(I551:O551)))</f>
        <v/>
      </c>
      <c r="Q551" s="11" t="n"/>
      <c r="R551" s="10">
        <f>IF(Q551="","",IFERROR(VLOOKUP(Q551,T_NILAM,2,FALSE),0))</f>
        <v/>
      </c>
      <c r="S551" s="11" t="n"/>
      <c r="T551" s="10">
        <f>IF(S551="","",IFERROR(VLOOKUP(S551,T_TIMSS,2,FALSE),0))</f>
        <v/>
      </c>
      <c r="U551" s="19">
        <f>IF(COUNT(F551,H551,P551,R551,T551)=0,"",MIN(10,MAX(F551,H551,P551,R551,T551)))</f>
        <v/>
      </c>
      <c r="V551" s="11" t="n"/>
    </row>
    <row r="552">
      <c r="A552" s="15">
        <f>Murid!A552</f>
        <v/>
      </c>
      <c r="B552" s="15">
        <f>IF(Murid!B552="","",Murid!B552)</f>
        <v/>
      </c>
      <c r="C552" s="16">
        <f>IF(Murid!C552="","",Murid!C552)</f>
        <v/>
      </c>
      <c r="D552" s="15">
        <f>IF(Murid!E552="","",Murid!E552)</f>
        <v/>
      </c>
      <c r="E552" s="11" t="n"/>
      <c r="F552" s="10">
        <f>IF(E552="","",IFERROR(VLOOKUP(E552,T_PERK,2,FALSE),0))</f>
        <v/>
      </c>
      <c r="G552" s="11" t="n"/>
      <c r="H552" s="10">
        <f>IF(G552="","",IFERROR(VLOOKUP(G552,T_ANUG,2,FALSE),0))</f>
        <v/>
      </c>
      <c r="I552" s="11" t="n"/>
      <c r="J552" s="11" t="n"/>
      <c r="K552" s="11" t="n"/>
      <c r="L552" s="11" t="n"/>
      <c r="M552" s="11" t="n"/>
      <c r="N552" s="11" t="n"/>
      <c r="O552" s="11" t="n"/>
      <c r="P552" s="10">
        <f>IF(COUNTA(I552:O552)=0,"",MIN(10,SUM(I552:O552)))</f>
        <v/>
      </c>
      <c r="Q552" s="11" t="n"/>
      <c r="R552" s="10">
        <f>IF(Q552="","",IFERROR(VLOOKUP(Q552,T_NILAM,2,FALSE),0))</f>
        <v/>
      </c>
      <c r="S552" s="11" t="n"/>
      <c r="T552" s="10">
        <f>IF(S552="","",IFERROR(VLOOKUP(S552,T_TIMSS,2,FALSE),0))</f>
        <v/>
      </c>
      <c r="U552" s="19">
        <f>IF(COUNT(F552,H552,P552,R552,T552)=0,"",MIN(10,MAX(F552,H552,P552,R552,T552)))</f>
        <v/>
      </c>
      <c r="V552" s="11" t="n"/>
    </row>
    <row r="553">
      <c r="A553" s="15">
        <f>Murid!A553</f>
        <v/>
      </c>
      <c r="B553" s="15">
        <f>IF(Murid!B553="","",Murid!B553)</f>
        <v/>
      </c>
      <c r="C553" s="16">
        <f>IF(Murid!C553="","",Murid!C553)</f>
        <v/>
      </c>
      <c r="D553" s="15">
        <f>IF(Murid!E553="","",Murid!E553)</f>
        <v/>
      </c>
      <c r="E553" s="11" t="n"/>
      <c r="F553" s="10">
        <f>IF(E553="","",IFERROR(VLOOKUP(E553,T_PERK,2,FALSE),0))</f>
        <v/>
      </c>
      <c r="G553" s="11" t="n"/>
      <c r="H553" s="10">
        <f>IF(G553="","",IFERROR(VLOOKUP(G553,T_ANUG,2,FALSE),0))</f>
        <v/>
      </c>
      <c r="I553" s="11" t="n"/>
      <c r="J553" s="11" t="n"/>
      <c r="K553" s="11" t="n"/>
      <c r="L553" s="11" t="n"/>
      <c r="M553" s="11" t="n"/>
      <c r="N553" s="11" t="n"/>
      <c r="O553" s="11" t="n"/>
      <c r="P553" s="10">
        <f>IF(COUNTA(I553:O553)=0,"",MIN(10,SUM(I553:O553)))</f>
        <v/>
      </c>
      <c r="Q553" s="11" t="n"/>
      <c r="R553" s="10">
        <f>IF(Q553="","",IFERROR(VLOOKUP(Q553,T_NILAM,2,FALSE),0))</f>
        <v/>
      </c>
      <c r="S553" s="11" t="n"/>
      <c r="T553" s="10">
        <f>IF(S553="","",IFERROR(VLOOKUP(S553,T_TIMSS,2,FALSE),0))</f>
        <v/>
      </c>
      <c r="U553" s="19">
        <f>IF(COUNT(F553,H553,P553,R553,T553)=0,"",MIN(10,MAX(F553,H553,P553,R553,T553)))</f>
        <v/>
      </c>
      <c r="V553" s="11" t="n"/>
    </row>
    <row r="554">
      <c r="A554" s="15">
        <f>Murid!A554</f>
        <v/>
      </c>
      <c r="B554" s="15">
        <f>IF(Murid!B554="","",Murid!B554)</f>
        <v/>
      </c>
      <c r="C554" s="16">
        <f>IF(Murid!C554="","",Murid!C554)</f>
        <v/>
      </c>
      <c r="D554" s="15">
        <f>IF(Murid!E554="","",Murid!E554)</f>
        <v/>
      </c>
      <c r="E554" s="11" t="n"/>
      <c r="F554" s="10">
        <f>IF(E554="","",IFERROR(VLOOKUP(E554,T_PERK,2,FALSE),0))</f>
        <v/>
      </c>
      <c r="G554" s="11" t="n"/>
      <c r="H554" s="10">
        <f>IF(G554="","",IFERROR(VLOOKUP(G554,T_ANUG,2,FALSE),0))</f>
        <v/>
      </c>
      <c r="I554" s="11" t="n"/>
      <c r="J554" s="11" t="n"/>
      <c r="K554" s="11" t="n"/>
      <c r="L554" s="11" t="n"/>
      <c r="M554" s="11" t="n"/>
      <c r="N554" s="11" t="n"/>
      <c r="O554" s="11" t="n"/>
      <c r="P554" s="10">
        <f>IF(COUNTA(I554:O554)=0,"",MIN(10,SUM(I554:O554)))</f>
        <v/>
      </c>
      <c r="Q554" s="11" t="n"/>
      <c r="R554" s="10">
        <f>IF(Q554="","",IFERROR(VLOOKUP(Q554,T_NILAM,2,FALSE),0))</f>
        <v/>
      </c>
      <c r="S554" s="11" t="n"/>
      <c r="T554" s="10">
        <f>IF(S554="","",IFERROR(VLOOKUP(S554,T_TIMSS,2,FALSE),0))</f>
        <v/>
      </c>
      <c r="U554" s="19">
        <f>IF(COUNT(F554,H554,P554,R554,T554)=0,"",MIN(10,MAX(F554,H554,P554,R554,T554)))</f>
        <v/>
      </c>
      <c r="V554" s="11" t="n"/>
    </row>
    <row r="555">
      <c r="A555" s="15">
        <f>Murid!A555</f>
        <v/>
      </c>
      <c r="B555" s="15">
        <f>IF(Murid!B555="","",Murid!B555)</f>
        <v/>
      </c>
      <c r="C555" s="16">
        <f>IF(Murid!C555="","",Murid!C555)</f>
        <v/>
      </c>
      <c r="D555" s="15">
        <f>IF(Murid!E555="","",Murid!E555)</f>
        <v/>
      </c>
      <c r="E555" s="11" t="n"/>
      <c r="F555" s="10">
        <f>IF(E555="","",IFERROR(VLOOKUP(E555,T_PERK,2,FALSE),0))</f>
        <v/>
      </c>
      <c r="G555" s="11" t="n"/>
      <c r="H555" s="10">
        <f>IF(G555="","",IFERROR(VLOOKUP(G555,T_ANUG,2,FALSE),0))</f>
        <v/>
      </c>
      <c r="I555" s="11" t="n"/>
      <c r="J555" s="11" t="n"/>
      <c r="K555" s="11" t="n"/>
      <c r="L555" s="11" t="n"/>
      <c r="M555" s="11" t="n"/>
      <c r="N555" s="11" t="n"/>
      <c r="O555" s="11" t="n"/>
      <c r="P555" s="10">
        <f>IF(COUNTA(I555:O555)=0,"",MIN(10,SUM(I555:O555)))</f>
        <v/>
      </c>
      <c r="Q555" s="11" t="n"/>
      <c r="R555" s="10">
        <f>IF(Q555="","",IFERROR(VLOOKUP(Q555,T_NILAM,2,FALSE),0))</f>
        <v/>
      </c>
      <c r="S555" s="11" t="n"/>
      <c r="T555" s="10">
        <f>IF(S555="","",IFERROR(VLOOKUP(S555,T_TIMSS,2,FALSE),0))</f>
        <v/>
      </c>
      <c r="U555" s="19">
        <f>IF(COUNT(F555,H555,P555,R555,T555)=0,"",MIN(10,MAX(F555,H555,P555,R555,T555)))</f>
        <v/>
      </c>
      <c r="V555" s="11" t="n"/>
    </row>
    <row r="556">
      <c r="A556" s="15">
        <f>Murid!A556</f>
        <v/>
      </c>
      <c r="B556" s="15">
        <f>IF(Murid!B556="","",Murid!B556)</f>
        <v/>
      </c>
      <c r="C556" s="16">
        <f>IF(Murid!C556="","",Murid!C556)</f>
        <v/>
      </c>
      <c r="D556" s="15">
        <f>IF(Murid!E556="","",Murid!E556)</f>
        <v/>
      </c>
      <c r="E556" s="11" t="n"/>
      <c r="F556" s="10">
        <f>IF(E556="","",IFERROR(VLOOKUP(E556,T_PERK,2,FALSE),0))</f>
        <v/>
      </c>
      <c r="G556" s="11" t="n"/>
      <c r="H556" s="10">
        <f>IF(G556="","",IFERROR(VLOOKUP(G556,T_ANUG,2,FALSE),0))</f>
        <v/>
      </c>
      <c r="I556" s="11" t="n"/>
      <c r="J556" s="11" t="n"/>
      <c r="K556" s="11" t="n"/>
      <c r="L556" s="11" t="n"/>
      <c r="M556" s="11" t="n"/>
      <c r="N556" s="11" t="n"/>
      <c r="O556" s="11" t="n"/>
      <c r="P556" s="10">
        <f>IF(COUNTA(I556:O556)=0,"",MIN(10,SUM(I556:O556)))</f>
        <v/>
      </c>
      <c r="Q556" s="11" t="n"/>
      <c r="R556" s="10">
        <f>IF(Q556="","",IFERROR(VLOOKUP(Q556,T_NILAM,2,FALSE),0))</f>
        <v/>
      </c>
      <c r="S556" s="11" t="n"/>
      <c r="T556" s="10">
        <f>IF(S556="","",IFERROR(VLOOKUP(S556,T_TIMSS,2,FALSE),0))</f>
        <v/>
      </c>
      <c r="U556" s="19">
        <f>IF(COUNT(F556,H556,P556,R556,T556)=0,"",MIN(10,MAX(F556,H556,P556,R556,T556)))</f>
        <v/>
      </c>
      <c r="V556" s="11" t="n"/>
    </row>
    <row r="557">
      <c r="A557" s="15">
        <f>Murid!A557</f>
        <v/>
      </c>
      <c r="B557" s="15">
        <f>IF(Murid!B557="","",Murid!B557)</f>
        <v/>
      </c>
      <c r="C557" s="16">
        <f>IF(Murid!C557="","",Murid!C557)</f>
        <v/>
      </c>
      <c r="D557" s="15">
        <f>IF(Murid!E557="","",Murid!E557)</f>
        <v/>
      </c>
      <c r="E557" s="11" t="n"/>
      <c r="F557" s="10">
        <f>IF(E557="","",IFERROR(VLOOKUP(E557,T_PERK,2,FALSE),0))</f>
        <v/>
      </c>
      <c r="G557" s="11" t="n"/>
      <c r="H557" s="10">
        <f>IF(G557="","",IFERROR(VLOOKUP(G557,T_ANUG,2,FALSE),0))</f>
        <v/>
      </c>
      <c r="I557" s="11" t="n"/>
      <c r="J557" s="11" t="n"/>
      <c r="K557" s="11" t="n"/>
      <c r="L557" s="11" t="n"/>
      <c r="M557" s="11" t="n"/>
      <c r="N557" s="11" t="n"/>
      <c r="O557" s="11" t="n"/>
      <c r="P557" s="10">
        <f>IF(COUNTA(I557:O557)=0,"",MIN(10,SUM(I557:O557)))</f>
        <v/>
      </c>
      <c r="Q557" s="11" t="n"/>
      <c r="R557" s="10">
        <f>IF(Q557="","",IFERROR(VLOOKUP(Q557,T_NILAM,2,FALSE),0))</f>
        <v/>
      </c>
      <c r="S557" s="11" t="n"/>
      <c r="T557" s="10">
        <f>IF(S557="","",IFERROR(VLOOKUP(S557,T_TIMSS,2,FALSE),0))</f>
        <v/>
      </c>
      <c r="U557" s="19">
        <f>IF(COUNT(F557,H557,P557,R557,T557)=0,"",MIN(10,MAX(F557,H557,P557,R557,T557)))</f>
        <v/>
      </c>
      <c r="V557" s="11" t="n"/>
    </row>
    <row r="558">
      <c r="A558" s="15">
        <f>Murid!A558</f>
        <v/>
      </c>
      <c r="B558" s="15">
        <f>IF(Murid!B558="","",Murid!B558)</f>
        <v/>
      </c>
      <c r="C558" s="16">
        <f>IF(Murid!C558="","",Murid!C558)</f>
        <v/>
      </c>
      <c r="D558" s="15">
        <f>IF(Murid!E558="","",Murid!E558)</f>
        <v/>
      </c>
      <c r="E558" s="11" t="n"/>
      <c r="F558" s="10">
        <f>IF(E558="","",IFERROR(VLOOKUP(E558,T_PERK,2,FALSE),0))</f>
        <v/>
      </c>
      <c r="G558" s="11" t="n"/>
      <c r="H558" s="10">
        <f>IF(G558="","",IFERROR(VLOOKUP(G558,T_ANUG,2,FALSE),0))</f>
        <v/>
      </c>
      <c r="I558" s="11" t="n"/>
      <c r="J558" s="11" t="n"/>
      <c r="K558" s="11" t="n"/>
      <c r="L558" s="11" t="n"/>
      <c r="M558" s="11" t="n"/>
      <c r="N558" s="11" t="n"/>
      <c r="O558" s="11" t="n"/>
      <c r="P558" s="10">
        <f>IF(COUNTA(I558:O558)=0,"",MIN(10,SUM(I558:O558)))</f>
        <v/>
      </c>
      <c r="Q558" s="11" t="n"/>
      <c r="R558" s="10">
        <f>IF(Q558="","",IFERROR(VLOOKUP(Q558,T_NILAM,2,FALSE),0))</f>
        <v/>
      </c>
      <c r="S558" s="11" t="n"/>
      <c r="T558" s="10">
        <f>IF(S558="","",IFERROR(VLOOKUP(S558,T_TIMSS,2,FALSE),0))</f>
        <v/>
      </c>
      <c r="U558" s="19">
        <f>IF(COUNT(F558,H558,P558,R558,T558)=0,"",MIN(10,MAX(F558,H558,P558,R558,T558)))</f>
        <v/>
      </c>
      <c r="V558" s="11" t="n"/>
    </row>
    <row r="559">
      <c r="A559" s="15">
        <f>Murid!A559</f>
        <v/>
      </c>
      <c r="B559" s="15">
        <f>IF(Murid!B559="","",Murid!B559)</f>
        <v/>
      </c>
      <c r="C559" s="16">
        <f>IF(Murid!C559="","",Murid!C559)</f>
        <v/>
      </c>
      <c r="D559" s="15">
        <f>IF(Murid!E559="","",Murid!E559)</f>
        <v/>
      </c>
      <c r="E559" s="11" t="n"/>
      <c r="F559" s="10">
        <f>IF(E559="","",IFERROR(VLOOKUP(E559,T_PERK,2,FALSE),0))</f>
        <v/>
      </c>
      <c r="G559" s="11" t="n"/>
      <c r="H559" s="10">
        <f>IF(G559="","",IFERROR(VLOOKUP(G559,T_ANUG,2,FALSE),0))</f>
        <v/>
      </c>
      <c r="I559" s="11" t="n"/>
      <c r="J559" s="11" t="n"/>
      <c r="K559" s="11" t="n"/>
      <c r="L559" s="11" t="n"/>
      <c r="M559" s="11" t="n"/>
      <c r="N559" s="11" t="n"/>
      <c r="O559" s="11" t="n"/>
      <c r="P559" s="10">
        <f>IF(COUNTA(I559:O559)=0,"",MIN(10,SUM(I559:O559)))</f>
        <v/>
      </c>
      <c r="Q559" s="11" t="n"/>
      <c r="R559" s="10">
        <f>IF(Q559="","",IFERROR(VLOOKUP(Q559,T_NILAM,2,FALSE),0))</f>
        <v/>
      </c>
      <c r="S559" s="11" t="n"/>
      <c r="T559" s="10">
        <f>IF(S559="","",IFERROR(VLOOKUP(S559,T_TIMSS,2,FALSE),0))</f>
        <v/>
      </c>
      <c r="U559" s="19">
        <f>IF(COUNT(F559,H559,P559,R559,T559)=0,"",MIN(10,MAX(F559,H559,P559,R559,T559)))</f>
        <v/>
      </c>
      <c r="V559" s="11" t="n"/>
    </row>
    <row r="560">
      <c r="A560" s="15">
        <f>Murid!A560</f>
        <v/>
      </c>
      <c r="B560" s="15">
        <f>IF(Murid!B560="","",Murid!B560)</f>
        <v/>
      </c>
      <c r="C560" s="16">
        <f>IF(Murid!C560="","",Murid!C560)</f>
        <v/>
      </c>
      <c r="D560" s="15">
        <f>IF(Murid!E560="","",Murid!E560)</f>
        <v/>
      </c>
      <c r="E560" s="11" t="n"/>
      <c r="F560" s="10">
        <f>IF(E560="","",IFERROR(VLOOKUP(E560,T_PERK,2,FALSE),0))</f>
        <v/>
      </c>
      <c r="G560" s="11" t="n"/>
      <c r="H560" s="10">
        <f>IF(G560="","",IFERROR(VLOOKUP(G560,T_ANUG,2,FALSE),0))</f>
        <v/>
      </c>
      <c r="I560" s="11" t="n"/>
      <c r="J560" s="11" t="n"/>
      <c r="K560" s="11" t="n"/>
      <c r="L560" s="11" t="n"/>
      <c r="M560" s="11" t="n"/>
      <c r="N560" s="11" t="n"/>
      <c r="O560" s="11" t="n"/>
      <c r="P560" s="10">
        <f>IF(COUNTA(I560:O560)=0,"",MIN(10,SUM(I560:O560)))</f>
        <v/>
      </c>
      <c r="Q560" s="11" t="n"/>
      <c r="R560" s="10">
        <f>IF(Q560="","",IFERROR(VLOOKUP(Q560,T_NILAM,2,FALSE),0))</f>
        <v/>
      </c>
      <c r="S560" s="11" t="n"/>
      <c r="T560" s="10">
        <f>IF(S560="","",IFERROR(VLOOKUP(S560,T_TIMSS,2,FALSE),0))</f>
        <v/>
      </c>
      <c r="U560" s="19">
        <f>IF(COUNT(F560,H560,P560,R560,T560)=0,"",MIN(10,MAX(F560,H560,P560,R560,T560)))</f>
        <v/>
      </c>
      <c r="V560" s="11" t="n"/>
    </row>
    <row r="561">
      <c r="A561" s="15">
        <f>Murid!A561</f>
        <v/>
      </c>
      <c r="B561" s="15">
        <f>IF(Murid!B561="","",Murid!B561)</f>
        <v/>
      </c>
      <c r="C561" s="16">
        <f>IF(Murid!C561="","",Murid!C561)</f>
        <v/>
      </c>
      <c r="D561" s="15">
        <f>IF(Murid!E561="","",Murid!E561)</f>
        <v/>
      </c>
      <c r="E561" s="11" t="n"/>
      <c r="F561" s="10">
        <f>IF(E561="","",IFERROR(VLOOKUP(E561,T_PERK,2,FALSE),0))</f>
        <v/>
      </c>
      <c r="G561" s="11" t="n"/>
      <c r="H561" s="10">
        <f>IF(G561="","",IFERROR(VLOOKUP(G561,T_ANUG,2,FALSE),0))</f>
        <v/>
      </c>
      <c r="I561" s="11" t="n"/>
      <c r="J561" s="11" t="n"/>
      <c r="K561" s="11" t="n"/>
      <c r="L561" s="11" t="n"/>
      <c r="M561" s="11" t="n"/>
      <c r="N561" s="11" t="n"/>
      <c r="O561" s="11" t="n"/>
      <c r="P561" s="10">
        <f>IF(COUNTA(I561:O561)=0,"",MIN(10,SUM(I561:O561)))</f>
        <v/>
      </c>
      <c r="Q561" s="11" t="n"/>
      <c r="R561" s="10">
        <f>IF(Q561="","",IFERROR(VLOOKUP(Q561,T_NILAM,2,FALSE),0))</f>
        <v/>
      </c>
      <c r="S561" s="11" t="n"/>
      <c r="T561" s="10">
        <f>IF(S561="","",IFERROR(VLOOKUP(S561,T_TIMSS,2,FALSE),0))</f>
        <v/>
      </c>
      <c r="U561" s="19">
        <f>IF(COUNT(F561,H561,P561,R561,T561)=0,"",MIN(10,MAX(F561,H561,P561,R561,T561)))</f>
        <v/>
      </c>
      <c r="V561" s="11" t="n"/>
    </row>
    <row r="562">
      <c r="A562" s="15">
        <f>Murid!A562</f>
        <v/>
      </c>
      <c r="B562" s="15">
        <f>IF(Murid!B562="","",Murid!B562)</f>
        <v/>
      </c>
      <c r="C562" s="16">
        <f>IF(Murid!C562="","",Murid!C562)</f>
        <v/>
      </c>
      <c r="D562" s="15">
        <f>IF(Murid!E562="","",Murid!E562)</f>
        <v/>
      </c>
      <c r="E562" s="11" t="n"/>
      <c r="F562" s="10">
        <f>IF(E562="","",IFERROR(VLOOKUP(E562,T_PERK,2,FALSE),0))</f>
        <v/>
      </c>
      <c r="G562" s="11" t="n"/>
      <c r="H562" s="10">
        <f>IF(G562="","",IFERROR(VLOOKUP(G562,T_ANUG,2,FALSE),0))</f>
        <v/>
      </c>
      <c r="I562" s="11" t="n"/>
      <c r="J562" s="11" t="n"/>
      <c r="K562" s="11" t="n"/>
      <c r="L562" s="11" t="n"/>
      <c r="M562" s="11" t="n"/>
      <c r="N562" s="11" t="n"/>
      <c r="O562" s="11" t="n"/>
      <c r="P562" s="10">
        <f>IF(COUNTA(I562:O562)=0,"",MIN(10,SUM(I562:O562)))</f>
        <v/>
      </c>
      <c r="Q562" s="11" t="n"/>
      <c r="R562" s="10">
        <f>IF(Q562="","",IFERROR(VLOOKUP(Q562,T_NILAM,2,FALSE),0))</f>
        <v/>
      </c>
      <c r="S562" s="11" t="n"/>
      <c r="T562" s="10">
        <f>IF(S562="","",IFERROR(VLOOKUP(S562,T_TIMSS,2,FALSE),0))</f>
        <v/>
      </c>
      <c r="U562" s="19">
        <f>IF(COUNT(F562,H562,P562,R562,T562)=0,"",MIN(10,MAX(F562,H562,P562,R562,T562)))</f>
        <v/>
      </c>
      <c r="V562" s="11" t="n"/>
    </row>
    <row r="563">
      <c r="A563" s="15">
        <f>Murid!A563</f>
        <v/>
      </c>
      <c r="B563" s="15">
        <f>IF(Murid!B563="","",Murid!B563)</f>
        <v/>
      </c>
      <c r="C563" s="16">
        <f>IF(Murid!C563="","",Murid!C563)</f>
        <v/>
      </c>
      <c r="D563" s="15">
        <f>IF(Murid!E563="","",Murid!E563)</f>
        <v/>
      </c>
      <c r="E563" s="11" t="n"/>
      <c r="F563" s="10">
        <f>IF(E563="","",IFERROR(VLOOKUP(E563,T_PERK,2,FALSE),0))</f>
        <v/>
      </c>
      <c r="G563" s="11" t="n"/>
      <c r="H563" s="10">
        <f>IF(G563="","",IFERROR(VLOOKUP(G563,T_ANUG,2,FALSE),0))</f>
        <v/>
      </c>
      <c r="I563" s="11" t="n"/>
      <c r="J563" s="11" t="n"/>
      <c r="K563" s="11" t="n"/>
      <c r="L563" s="11" t="n"/>
      <c r="M563" s="11" t="n"/>
      <c r="N563" s="11" t="n"/>
      <c r="O563" s="11" t="n"/>
      <c r="P563" s="10">
        <f>IF(COUNTA(I563:O563)=0,"",MIN(10,SUM(I563:O563)))</f>
        <v/>
      </c>
      <c r="Q563" s="11" t="n"/>
      <c r="R563" s="10">
        <f>IF(Q563="","",IFERROR(VLOOKUP(Q563,T_NILAM,2,FALSE),0))</f>
        <v/>
      </c>
      <c r="S563" s="11" t="n"/>
      <c r="T563" s="10">
        <f>IF(S563="","",IFERROR(VLOOKUP(S563,T_TIMSS,2,FALSE),0))</f>
        <v/>
      </c>
      <c r="U563" s="19">
        <f>IF(COUNT(F563,H563,P563,R563,T563)=0,"",MIN(10,MAX(F563,H563,P563,R563,T563)))</f>
        <v/>
      </c>
      <c r="V563" s="11" t="n"/>
    </row>
    <row r="564">
      <c r="A564" s="15">
        <f>Murid!A564</f>
        <v/>
      </c>
      <c r="B564" s="15">
        <f>IF(Murid!B564="","",Murid!B564)</f>
        <v/>
      </c>
      <c r="C564" s="16">
        <f>IF(Murid!C564="","",Murid!C564)</f>
        <v/>
      </c>
      <c r="D564" s="15">
        <f>IF(Murid!E564="","",Murid!E564)</f>
        <v/>
      </c>
      <c r="E564" s="11" t="n"/>
      <c r="F564" s="10">
        <f>IF(E564="","",IFERROR(VLOOKUP(E564,T_PERK,2,FALSE),0))</f>
        <v/>
      </c>
      <c r="G564" s="11" t="n"/>
      <c r="H564" s="10">
        <f>IF(G564="","",IFERROR(VLOOKUP(G564,T_ANUG,2,FALSE),0))</f>
        <v/>
      </c>
      <c r="I564" s="11" t="n"/>
      <c r="J564" s="11" t="n"/>
      <c r="K564" s="11" t="n"/>
      <c r="L564" s="11" t="n"/>
      <c r="M564" s="11" t="n"/>
      <c r="N564" s="11" t="n"/>
      <c r="O564" s="11" t="n"/>
      <c r="P564" s="10">
        <f>IF(COUNTA(I564:O564)=0,"",MIN(10,SUM(I564:O564)))</f>
        <v/>
      </c>
      <c r="Q564" s="11" t="n"/>
      <c r="R564" s="10">
        <f>IF(Q564="","",IFERROR(VLOOKUP(Q564,T_NILAM,2,FALSE),0))</f>
        <v/>
      </c>
      <c r="S564" s="11" t="n"/>
      <c r="T564" s="10">
        <f>IF(S564="","",IFERROR(VLOOKUP(S564,T_TIMSS,2,FALSE),0))</f>
        <v/>
      </c>
      <c r="U564" s="19">
        <f>IF(COUNT(F564,H564,P564,R564,T564)=0,"",MIN(10,MAX(F564,H564,P564,R564,T564)))</f>
        <v/>
      </c>
      <c r="V564" s="11" t="n"/>
    </row>
    <row r="565">
      <c r="A565" s="15">
        <f>Murid!A565</f>
        <v/>
      </c>
      <c r="B565" s="15">
        <f>IF(Murid!B565="","",Murid!B565)</f>
        <v/>
      </c>
      <c r="C565" s="16">
        <f>IF(Murid!C565="","",Murid!C565)</f>
        <v/>
      </c>
      <c r="D565" s="15">
        <f>IF(Murid!E565="","",Murid!E565)</f>
        <v/>
      </c>
      <c r="E565" s="11" t="n"/>
      <c r="F565" s="10">
        <f>IF(E565="","",IFERROR(VLOOKUP(E565,T_PERK,2,FALSE),0))</f>
        <v/>
      </c>
      <c r="G565" s="11" t="n"/>
      <c r="H565" s="10">
        <f>IF(G565="","",IFERROR(VLOOKUP(G565,T_ANUG,2,FALSE),0))</f>
        <v/>
      </c>
      <c r="I565" s="11" t="n"/>
      <c r="J565" s="11" t="n"/>
      <c r="K565" s="11" t="n"/>
      <c r="L565" s="11" t="n"/>
      <c r="M565" s="11" t="n"/>
      <c r="N565" s="11" t="n"/>
      <c r="O565" s="11" t="n"/>
      <c r="P565" s="10">
        <f>IF(COUNTA(I565:O565)=0,"",MIN(10,SUM(I565:O565)))</f>
        <v/>
      </c>
      <c r="Q565" s="11" t="n"/>
      <c r="R565" s="10">
        <f>IF(Q565="","",IFERROR(VLOOKUP(Q565,T_NILAM,2,FALSE),0))</f>
        <v/>
      </c>
      <c r="S565" s="11" t="n"/>
      <c r="T565" s="10">
        <f>IF(S565="","",IFERROR(VLOOKUP(S565,T_TIMSS,2,FALSE),0))</f>
        <v/>
      </c>
      <c r="U565" s="19">
        <f>IF(COUNT(F565,H565,P565,R565,T565)=0,"",MIN(10,MAX(F565,H565,P565,R565,T565)))</f>
        <v/>
      </c>
      <c r="V565" s="11" t="n"/>
    </row>
    <row r="566">
      <c r="A566" s="15">
        <f>Murid!A566</f>
        <v/>
      </c>
      <c r="B566" s="15">
        <f>IF(Murid!B566="","",Murid!B566)</f>
        <v/>
      </c>
      <c r="C566" s="16">
        <f>IF(Murid!C566="","",Murid!C566)</f>
        <v/>
      </c>
      <c r="D566" s="15">
        <f>IF(Murid!E566="","",Murid!E566)</f>
        <v/>
      </c>
      <c r="E566" s="11" t="n"/>
      <c r="F566" s="10">
        <f>IF(E566="","",IFERROR(VLOOKUP(E566,T_PERK,2,FALSE),0))</f>
        <v/>
      </c>
      <c r="G566" s="11" t="n"/>
      <c r="H566" s="10">
        <f>IF(G566="","",IFERROR(VLOOKUP(G566,T_ANUG,2,FALSE),0))</f>
        <v/>
      </c>
      <c r="I566" s="11" t="n"/>
      <c r="J566" s="11" t="n"/>
      <c r="K566" s="11" t="n"/>
      <c r="L566" s="11" t="n"/>
      <c r="M566" s="11" t="n"/>
      <c r="N566" s="11" t="n"/>
      <c r="O566" s="11" t="n"/>
      <c r="P566" s="10">
        <f>IF(COUNTA(I566:O566)=0,"",MIN(10,SUM(I566:O566)))</f>
        <v/>
      </c>
      <c r="Q566" s="11" t="n"/>
      <c r="R566" s="10">
        <f>IF(Q566="","",IFERROR(VLOOKUP(Q566,T_NILAM,2,FALSE),0))</f>
        <v/>
      </c>
      <c r="S566" s="11" t="n"/>
      <c r="T566" s="10">
        <f>IF(S566="","",IFERROR(VLOOKUP(S566,T_TIMSS,2,FALSE),0))</f>
        <v/>
      </c>
      <c r="U566" s="19">
        <f>IF(COUNT(F566,H566,P566,R566,T566)=0,"",MIN(10,MAX(F566,H566,P566,R566,T566)))</f>
        <v/>
      </c>
      <c r="V566" s="11" t="n"/>
    </row>
    <row r="567">
      <c r="A567" s="15">
        <f>Murid!A567</f>
        <v/>
      </c>
      <c r="B567" s="15">
        <f>IF(Murid!B567="","",Murid!B567)</f>
        <v/>
      </c>
      <c r="C567" s="16">
        <f>IF(Murid!C567="","",Murid!C567)</f>
        <v/>
      </c>
      <c r="D567" s="15">
        <f>IF(Murid!E567="","",Murid!E567)</f>
        <v/>
      </c>
      <c r="E567" s="11" t="n"/>
      <c r="F567" s="10">
        <f>IF(E567="","",IFERROR(VLOOKUP(E567,T_PERK,2,FALSE),0))</f>
        <v/>
      </c>
      <c r="G567" s="11" t="n"/>
      <c r="H567" s="10">
        <f>IF(G567="","",IFERROR(VLOOKUP(G567,T_ANUG,2,FALSE),0))</f>
        <v/>
      </c>
      <c r="I567" s="11" t="n"/>
      <c r="J567" s="11" t="n"/>
      <c r="K567" s="11" t="n"/>
      <c r="L567" s="11" t="n"/>
      <c r="M567" s="11" t="n"/>
      <c r="N567" s="11" t="n"/>
      <c r="O567" s="11" t="n"/>
      <c r="P567" s="10">
        <f>IF(COUNTA(I567:O567)=0,"",MIN(10,SUM(I567:O567)))</f>
        <v/>
      </c>
      <c r="Q567" s="11" t="n"/>
      <c r="R567" s="10">
        <f>IF(Q567="","",IFERROR(VLOOKUP(Q567,T_NILAM,2,FALSE),0))</f>
        <v/>
      </c>
      <c r="S567" s="11" t="n"/>
      <c r="T567" s="10">
        <f>IF(S567="","",IFERROR(VLOOKUP(S567,T_TIMSS,2,FALSE),0))</f>
        <v/>
      </c>
      <c r="U567" s="19">
        <f>IF(COUNT(F567,H567,P567,R567,T567)=0,"",MIN(10,MAX(F567,H567,P567,R567,T567)))</f>
        <v/>
      </c>
      <c r="V567" s="11" t="n"/>
    </row>
    <row r="568">
      <c r="A568" s="15">
        <f>Murid!A568</f>
        <v/>
      </c>
      <c r="B568" s="15">
        <f>IF(Murid!B568="","",Murid!B568)</f>
        <v/>
      </c>
      <c r="C568" s="16">
        <f>IF(Murid!C568="","",Murid!C568)</f>
        <v/>
      </c>
      <c r="D568" s="15">
        <f>IF(Murid!E568="","",Murid!E568)</f>
        <v/>
      </c>
      <c r="E568" s="11" t="n"/>
      <c r="F568" s="10">
        <f>IF(E568="","",IFERROR(VLOOKUP(E568,T_PERK,2,FALSE),0))</f>
        <v/>
      </c>
      <c r="G568" s="11" t="n"/>
      <c r="H568" s="10">
        <f>IF(G568="","",IFERROR(VLOOKUP(G568,T_ANUG,2,FALSE),0))</f>
        <v/>
      </c>
      <c r="I568" s="11" t="n"/>
      <c r="J568" s="11" t="n"/>
      <c r="K568" s="11" t="n"/>
      <c r="L568" s="11" t="n"/>
      <c r="M568" s="11" t="n"/>
      <c r="N568" s="11" t="n"/>
      <c r="O568" s="11" t="n"/>
      <c r="P568" s="10">
        <f>IF(COUNTA(I568:O568)=0,"",MIN(10,SUM(I568:O568)))</f>
        <v/>
      </c>
      <c r="Q568" s="11" t="n"/>
      <c r="R568" s="10">
        <f>IF(Q568="","",IFERROR(VLOOKUP(Q568,T_NILAM,2,FALSE),0))</f>
        <v/>
      </c>
      <c r="S568" s="11" t="n"/>
      <c r="T568" s="10">
        <f>IF(S568="","",IFERROR(VLOOKUP(S568,T_TIMSS,2,FALSE),0))</f>
        <v/>
      </c>
      <c r="U568" s="19">
        <f>IF(COUNT(F568,H568,P568,R568,T568)=0,"",MIN(10,MAX(F568,H568,P568,R568,T568)))</f>
        <v/>
      </c>
      <c r="V568" s="11" t="n"/>
    </row>
    <row r="569">
      <c r="A569" s="15">
        <f>Murid!A569</f>
        <v/>
      </c>
      <c r="B569" s="15">
        <f>IF(Murid!B569="","",Murid!B569)</f>
        <v/>
      </c>
      <c r="C569" s="16">
        <f>IF(Murid!C569="","",Murid!C569)</f>
        <v/>
      </c>
      <c r="D569" s="15">
        <f>IF(Murid!E569="","",Murid!E569)</f>
        <v/>
      </c>
      <c r="E569" s="11" t="n"/>
      <c r="F569" s="10">
        <f>IF(E569="","",IFERROR(VLOOKUP(E569,T_PERK,2,FALSE),0))</f>
        <v/>
      </c>
      <c r="G569" s="11" t="n"/>
      <c r="H569" s="10">
        <f>IF(G569="","",IFERROR(VLOOKUP(G569,T_ANUG,2,FALSE),0))</f>
        <v/>
      </c>
      <c r="I569" s="11" t="n"/>
      <c r="J569" s="11" t="n"/>
      <c r="K569" s="11" t="n"/>
      <c r="L569" s="11" t="n"/>
      <c r="M569" s="11" t="n"/>
      <c r="N569" s="11" t="n"/>
      <c r="O569" s="11" t="n"/>
      <c r="P569" s="10">
        <f>IF(COUNTA(I569:O569)=0,"",MIN(10,SUM(I569:O569)))</f>
        <v/>
      </c>
      <c r="Q569" s="11" t="n"/>
      <c r="R569" s="10">
        <f>IF(Q569="","",IFERROR(VLOOKUP(Q569,T_NILAM,2,FALSE),0))</f>
        <v/>
      </c>
      <c r="S569" s="11" t="n"/>
      <c r="T569" s="10">
        <f>IF(S569="","",IFERROR(VLOOKUP(S569,T_TIMSS,2,FALSE),0))</f>
        <v/>
      </c>
      <c r="U569" s="19">
        <f>IF(COUNT(F569,H569,P569,R569,T569)=0,"",MIN(10,MAX(F569,H569,P569,R569,T569)))</f>
        <v/>
      </c>
      <c r="V569" s="11" t="n"/>
    </row>
    <row r="570">
      <c r="A570" s="15">
        <f>Murid!A570</f>
        <v/>
      </c>
      <c r="B570" s="15">
        <f>IF(Murid!B570="","",Murid!B570)</f>
        <v/>
      </c>
      <c r="C570" s="16">
        <f>IF(Murid!C570="","",Murid!C570)</f>
        <v/>
      </c>
      <c r="D570" s="15">
        <f>IF(Murid!E570="","",Murid!E570)</f>
        <v/>
      </c>
      <c r="E570" s="11" t="n"/>
      <c r="F570" s="10">
        <f>IF(E570="","",IFERROR(VLOOKUP(E570,T_PERK,2,FALSE),0))</f>
        <v/>
      </c>
      <c r="G570" s="11" t="n"/>
      <c r="H570" s="10">
        <f>IF(G570="","",IFERROR(VLOOKUP(G570,T_ANUG,2,FALSE),0))</f>
        <v/>
      </c>
      <c r="I570" s="11" t="n"/>
      <c r="J570" s="11" t="n"/>
      <c r="K570" s="11" t="n"/>
      <c r="L570" s="11" t="n"/>
      <c r="M570" s="11" t="n"/>
      <c r="N570" s="11" t="n"/>
      <c r="O570" s="11" t="n"/>
      <c r="P570" s="10">
        <f>IF(COUNTA(I570:O570)=0,"",MIN(10,SUM(I570:O570)))</f>
        <v/>
      </c>
      <c r="Q570" s="11" t="n"/>
      <c r="R570" s="10">
        <f>IF(Q570="","",IFERROR(VLOOKUP(Q570,T_NILAM,2,FALSE),0))</f>
        <v/>
      </c>
      <c r="S570" s="11" t="n"/>
      <c r="T570" s="10">
        <f>IF(S570="","",IFERROR(VLOOKUP(S570,T_TIMSS,2,FALSE),0))</f>
        <v/>
      </c>
      <c r="U570" s="19">
        <f>IF(COUNT(F570,H570,P570,R570,T570)=0,"",MIN(10,MAX(F570,H570,P570,R570,T570)))</f>
        <v/>
      </c>
      <c r="V570" s="11" t="n"/>
    </row>
    <row r="571">
      <c r="A571" s="15">
        <f>Murid!A571</f>
        <v/>
      </c>
      <c r="B571" s="15">
        <f>IF(Murid!B571="","",Murid!B571)</f>
        <v/>
      </c>
      <c r="C571" s="16">
        <f>IF(Murid!C571="","",Murid!C571)</f>
        <v/>
      </c>
      <c r="D571" s="15">
        <f>IF(Murid!E571="","",Murid!E571)</f>
        <v/>
      </c>
      <c r="E571" s="11" t="n"/>
      <c r="F571" s="10">
        <f>IF(E571="","",IFERROR(VLOOKUP(E571,T_PERK,2,FALSE),0))</f>
        <v/>
      </c>
      <c r="G571" s="11" t="n"/>
      <c r="H571" s="10">
        <f>IF(G571="","",IFERROR(VLOOKUP(G571,T_ANUG,2,FALSE),0))</f>
        <v/>
      </c>
      <c r="I571" s="11" t="n"/>
      <c r="J571" s="11" t="n"/>
      <c r="K571" s="11" t="n"/>
      <c r="L571" s="11" t="n"/>
      <c r="M571" s="11" t="n"/>
      <c r="N571" s="11" t="n"/>
      <c r="O571" s="11" t="n"/>
      <c r="P571" s="10">
        <f>IF(COUNTA(I571:O571)=0,"",MIN(10,SUM(I571:O571)))</f>
        <v/>
      </c>
      <c r="Q571" s="11" t="n"/>
      <c r="R571" s="10">
        <f>IF(Q571="","",IFERROR(VLOOKUP(Q571,T_NILAM,2,FALSE),0))</f>
        <v/>
      </c>
      <c r="S571" s="11" t="n"/>
      <c r="T571" s="10">
        <f>IF(S571="","",IFERROR(VLOOKUP(S571,T_TIMSS,2,FALSE),0))</f>
        <v/>
      </c>
      <c r="U571" s="19">
        <f>IF(COUNT(F571,H571,P571,R571,T571)=0,"",MIN(10,MAX(F571,H571,P571,R571,T571)))</f>
        <v/>
      </c>
      <c r="V571" s="11" t="n"/>
    </row>
    <row r="572">
      <c r="A572" s="15">
        <f>Murid!A572</f>
        <v/>
      </c>
      <c r="B572" s="15">
        <f>IF(Murid!B572="","",Murid!B572)</f>
        <v/>
      </c>
      <c r="C572" s="16">
        <f>IF(Murid!C572="","",Murid!C572)</f>
        <v/>
      </c>
      <c r="D572" s="15">
        <f>IF(Murid!E572="","",Murid!E572)</f>
        <v/>
      </c>
      <c r="E572" s="11" t="n"/>
      <c r="F572" s="10">
        <f>IF(E572="","",IFERROR(VLOOKUP(E572,T_PERK,2,FALSE),0))</f>
        <v/>
      </c>
      <c r="G572" s="11" t="n"/>
      <c r="H572" s="10">
        <f>IF(G572="","",IFERROR(VLOOKUP(G572,T_ANUG,2,FALSE),0))</f>
        <v/>
      </c>
      <c r="I572" s="11" t="n"/>
      <c r="J572" s="11" t="n"/>
      <c r="K572" s="11" t="n"/>
      <c r="L572" s="11" t="n"/>
      <c r="M572" s="11" t="n"/>
      <c r="N572" s="11" t="n"/>
      <c r="O572" s="11" t="n"/>
      <c r="P572" s="10">
        <f>IF(COUNTA(I572:O572)=0,"",MIN(10,SUM(I572:O572)))</f>
        <v/>
      </c>
      <c r="Q572" s="11" t="n"/>
      <c r="R572" s="10">
        <f>IF(Q572="","",IFERROR(VLOOKUP(Q572,T_NILAM,2,FALSE),0))</f>
        <v/>
      </c>
      <c r="S572" s="11" t="n"/>
      <c r="T572" s="10">
        <f>IF(S572="","",IFERROR(VLOOKUP(S572,T_TIMSS,2,FALSE),0))</f>
        <v/>
      </c>
      <c r="U572" s="19">
        <f>IF(COUNT(F572,H572,P572,R572,T572)=0,"",MIN(10,MAX(F572,H572,P572,R572,T572)))</f>
        <v/>
      </c>
      <c r="V572" s="11" t="n"/>
    </row>
    <row r="573">
      <c r="A573" s="15">
        <f>Murid!A573</f>
        <v/>
      </c>
      <c r="B573" s="15">
        <f>IF(Murid!B573="","",Murid!B573)</f>
        <v/>
      </c>
      <c r="C573" s="16">
        <f>IF(Murid!C573="","",Murid!C573)</f>
        <v/>
      </c>
      <c r="D573" s="15">
        <f>IF(Murid!E573="","",Murid!E573)</f>
        <v/>
      </c>
      <c r="E573" s="11" t="n"/>
      <c r="F573" s="10">
        <f>IF(E573="","",IFERROR(VLOOKUP(E573,T_PERK,2,FALSE),0))</f>
        <v/>
      </c>
      <c r="G573" s="11" t="n"/>
      <c r="H573" s="10">
        <f>IF(G573="","",IFERROR(VLOOKUP(G573,T_ANUG,2,FALSE),0))</f>
        <v/>
      </c>
      <c r="I573" s="11" t="n"/>
      <c r="J573" s="11" t="n"/>
      <c r="K573" s="11" t="n"/>
      <c r="L573" s="11" t="n"/>
      <c r="M573" s="11" t="n"/>
      <c r="N573" s="11" t="n"/>
      <c r="O573" s="11" t="n"/>
      <c r="P573" s="10">
        <f>IF(COUNTA(I573:O573)=0,"",MIN(10,SUM(I573:O573)))</f>
        <v/>
      </c>
      <c r="Q573" s="11" t="n"/>
      <c r="R573" s="10">
        <f>IF(Q573="","",IFERROR(VLOOKUP(Q573,T_NILAM,2,FALSE),0))</f>
        <v/>
      </c>
      <c r="S573" s="11" t="n"/>
      <c r="T573" s="10">
        <f>IF(S573="","",IFERROR(VLOOKUP(S573,T_TIMSS,2,FALSE),0))</f>
        <v/>
      </c>
      <c r="U573" s="19">
        <f>IF(COUNT(F573,H573,P573,R573,T573)=0,"",MIN(10,MAX(F573,H573,P573,R573,T573)))</f>
        <v/>
      </c>
      <c r="V573" s="11" t="n"/>
    </row>
    <row r="574">
      <c r="A574" s="15">
        <f>Murid!A574</f>
        <v/>
      </c>
      <c r="B574" s="15">
        <f>IF(Murid!B574="","",Murid!B574)</f>
        <v/>
      </c>
      <c r="C574" s="16">
        <f>IF(Murid!C574="","",Murid!C574)</f>
        <v/>
      </c>
      <c r="D574" s="15">
        <f>IF(Murid!E574="","",Murid!E574)</f>
        <v/>
      </c>
      <c r="E574" s="11" t="n"/>
      <c r="F574" s="10">
        <f>IF(E574="","",IFERROR(VLOOKUP(E574,T_PERK,2,FALSE),0))</f>
        <v/>
      </c>
      <c r="G574" s="11" t="n"/>
      <c r="H574" s="10">
        <f>IF(G574="","",IFERROR(VLOOKUP(G574,T_ANUG,2,FALSE),0))</f>
        <v/>
      </c>
      <c r="I574" s="11" t="n"/>
      <c r="J574" s="11" t="n"/>
      <c r="K574" s="11" t="n"/>
      <c r="L574" s="11" t="n"/>
      <c r="M574" s="11" t="n"/>
      <c r="N574" s="11" t="n"/>
      <c r="O574" s="11" t="n"/>
      <c r="P574" s="10">
        <f>IF(COUNTA(I574:O574)=0,"",MIN(10,SUM(I574:O574)))</f>
        <v/>
      </c>
      <c r="Q574" s="11" t="n"/>
      <c r="R574" s="10">
        <f>IF(Q574="","",IFERROR(VLOOKUP(Q574,T_NILAM,2,FALSE),0))</f>
        <v/>
      </c>
      <c r="S574" s="11" t="n"/>
      <c r="T574" s="10">
        <f>IF(S574="","",IFERROR(VLOOKUP(S574,T_TIMSS,2,FALSE),0))</f>
        <v/>
      </c>
      <c r="U574" s="19">
        <f>IF(COUNT(F574,H574,P574,R574,T574)=0,"",MIN(10,MAX(F574,H574,P574,R574,T574)))</f>
        <v/>
      </c>
      <c r="V574" s="11" t="n"/>
    </row>
    <row r="575">
      <c r="A575" s="15">
        <f>Murid!A575</f>
        <v/>
      </c>
      <c r="B575" s="15">
        <f>IF(Murid!B575="","",Murid!B575)</f>
        <v/>
      </c>
      <c r="C575" s="16">
        <f>IF(Murid!C575="","",Murid!C575)</f>
        <v/>
      </c>
      <c r="D575" s="15">
        <f>IF(Murid!E575="","",Murid!E575)</f>
        <v/>
      </c>
      <c r="E575" s="11" t="n"/>
      <c r="F575" s="10">
        <f>IF(E575="","",IFERROR(VLOOKUP(E575,T_PERK,2,FALSE),0))</f>
        <v/>
      </c>
      <c r="G575" s="11" t="n"/>
      <c r="H575" s="10">
        <f>IF(G575="","",IFERROR(VLOOKUP(G575,T_ANUG,2,FALSE),0))</f>
        <v/>
      </c>
      <c r="I575" s="11" t="n"/>
      <c r="J575" s="11" t="n"/>
      <c r="K575" s="11" t="n"/>
      <c r="L575" s="11" t="n"/>
      <c r="M575" s="11" t="n"/>
      <c r="N575" s="11" t="n"/>
      <c r="O575" s="11" t="n"/>
      <c r="P575" s="10">
        <f>IF(COUNTA(I575:O575)=0,"",MIN(10,SUM(I575:O575)))</f>
        <v/>
      </c>
      <c r="Q575" s="11" t="n"/>
      <c r="R575" s="10">
        <f>IF(Q575="","",IFERROR(VLOOKUP(Q575,T_NILAM,2,FALSE),0))</f>
        <v/>
      </c>
      <c r="S575" s="11" t="n"/>
      <c r="T575" s="10">
        <f>IF(S575="","",IFERROR(VLOOKUP(S575,T_TIMSS,2,FALSE),0))</f>
        <v/>
      </c>
      <c r="U575" s="19">
        <f>IF(COUNT(F575,H575,P575,R575,T575)=0,"",MIN(10,MAX(F575,H575,P575,R575,T575)))</f>
        <v/>
      </c>
      <c r="V575" s="11" t="n"/>
    </row>
    <row r="576">
      <c r="A576" s="15">
        <f>Murid!A576</f>
        <v/>
      </c>
      <c r="B576" s="15">
        <f>IF(Murid!B576="","",Murid!B576)</f>
        <v/>
      </c>
      <c r="C576" s="16">
        <f>IF(Murid!C576="","",Murid!C576)</f>
        <v/>
      </c>
      <c r="D576" s="15">
        <f>IF(Murid!E576="","",Murid!E576)</f>
        <v/>
      </c>
      <c r="E576" s="11" t="n"/>
      <c r="F576" s="10">
        <f>IF(E576="","",IFERROR(VLOOKUP(E576,T_PERK,2,FALSE),0))</f>
        <v/>
      </c>
      <c r="G576" s="11" t="n"/>
      <c r="H576" s="10">
        <f>IF(G576="","",IFERROR(VLOOKUP(G576,T_ANUG,2,FALSE),0))</f>
        <v/>
      </c>
      <c r="I576" s="11" t="n"/>
      <c r="J576" s="11" t="n"/>
      <c r="K576" s="11" t="n"/>
      <c r="L576" s="11" t="n"/>
      <c r="M576" s="11" t="n"/>
      <c r="N576" s="11" t="n"/>
      <c r="O576" s="11" t="n"/>
      <c r="P576" s="10">
        <f>IF(COUNTA(I576:O576)=0,"",MIN(10,SUM(I576:O576)))</f>
        <v/>
      </c>
      <c r="Q576" s="11" t="n"/>
      <c r="R576" s="10">
        <f>IF(Q576="","",IFERROR(VLOOKUP(Q576,T_NILAM,2,FALSE),0))</f>
        <v/>
      </c>
      <c r="S576" s="11" t="n"/>
      <c r="T576" s="10">
        <f>IF(S576="","",IFERROR(VLOOKUP(S576,T_TIMSS,2,FALSE),0))</f>
        <v/>
      </c>
      <c r="U576" s="19">
        <f>IF(COUNT(F576,H576,P576,R576,T576)=0,"",MIN(10,MAX(F576,H576,P576,R576,T576)))</f>
        <v/>
      </c>
      <c r="V576" s="11" t="n"/>
    </row>
    <row r="577">
      <c r="A577" s="15">
        <f>Murid!A577</f>
        <v/>
      </c>
      <c r="B577" s="15">
        <f>IF(Murid!B577="","",Murid!B577)</f>
        <v/>
      </c>
      <c r="C577" s="16">
        <f>IF(Murid!C577="","",Murid!C577)</f>
        <v/>
      </c>
      <c r="D577" s="15">
        <f>IF(Murid!E577="","",Murid!E577)</f>
        <v/>
      </c>
      <c r="E577" s="11" t="n"/>
      <c r="F577" s="10">
        <f>IF(E577="","",IFERROR(VLOOKUP(E577,T_PERK,2,FALSE),0))</f>
        <v/>
      </c>
      <c r="G577" s="11" t="n"/>
      <c r="H577" s="10">
        <f>IF(G577="","",IFERROR(VLOOKUP(G577,T_ANUG,2,FALSE),0))</f>
        <v/>
      </c>
      <c r="I577" s="11" t="n"/>
      <c r="J577" s="11" t="n"/>
      <c r="K577" s="11" t="n"/>
      <c r="L577" s="11" t="n"/>
      <c r="M577" s="11" t="n"/>
      <c r="N577" s="11" t="n"/>
      <c r="O577" s="11" t="n"/>
      <c r="P577" s="10">
        <f>IF(COUNTA(I577:O577)=0,"",MIN(10,SUM(I577:O577)))</f>
        <v/>
      </c>
      <c r="Q577" s="11" t="n"/>
      <c r="R577" s="10">
        <f>IF(Q577="","",IFERROR(VLOOKUP(Q577,T_NILAM,2,FALSE),0))</f>
        <v/>
      </c>
      <c r="S577" s="11" t="n"/>
      <c r="T577" s="10">
        <f>IF(S577="","",IFERROR(VLOOKUP(S577,T_TIMSS,2,FALSE),0))</f>
        <v/>
      </c>
      <c r="U577" s="19">
        <f>IF(COUNT(F577,H577,P577,R577,T577)=0,"",MIN(10,MAX(F577,H577,P577,R577,T577)))</f>
        <v/>
      </c>
      <c r="V577" s="11" t="n"/>
    </row>
    <row r="578">
      <c r="A578" s="15">
        <f>Murid!A578</f>
        <v/>
      </c>
      <c r="B578" s="15">
        <f>IF(Murid!B578="","",Murid!B578)</f>
        <v/>
      </c>
      <c r="C578" s="16">
        <f>IF(Murid!C578="","",Murid!C578)</f>
        <v/>
      </c>
      <c r="D578" s="15">
        <f>IF(Murid!E578="","",Murid!E578)</f>
        <v/>
      </c>
      <c r="E578" s="11" t="n"/>
      <c r="F578" s="10">
        <f>IF(E578="","",IFERROR(VLOOKUP(E578,T_PERK,2,FALSE),0))</f>
        <v/>
      </c>
      <c r="G578" s="11" t="n"/>
      <c r="H578" s="10">
        <f>IF(G578="","",IFERROR(VLOOKUP(G578,T_ANUG,2,FALSE),0))</f>
        <v/>
      </c>
      <c r="I578" s="11" t="n"/>
      <c r="J578" s="11" t="n"/>
      <c r="K578" s="11" t="n"/>
      <c r="L578" s="11" t="n"/>
      <c r="M578" s="11" t="n"/>
      <c r="N578" s="11" t="n"/>
      <c r="O578" s="11" t="n"/>
      <c r="P578" s="10">
        <f>IF(COUNTA(I578:O578)=0,"",MIN(10,SUM(I578:O578)))</f>
        <v/>
      </c>
      <c r="Q578" s="11" t="n"/>
      <c r="R578" s="10">
        <f>IF(Q578="","",IFERROR(VLOOKUP(Q578,T_NILAM,2,FALSE),0))</f>
        <v/>
      </c>
      <c r="S578" s="11" t="n"/>
      <c r="T578" s="10">
        <f>IF(S578="","",IFERROR(VLOOKUP(S578,T_TIMSS,2,FALSE),0))</f>
        <v/>
      </c>
      <c r="U578" s="19">
        <f>IF(COUNT(F578,H578,P578,R578,T578)=0,"",MIN(10,MAX(F578,H578,P578,R578,T578)))</f>
        <v/>
      </c>
      <c r="V578" s="11" t="n"/>
    </row>
    <row r="579">
      <c r="A579" s="15">
        <f>Murid!A579</f>
        <v/>
      </c>
      <c r="B579" s="15">
        <f>IF(Murid!B579="","",Murid!B579)</f>
        <v/>
      </c>
      <c r="C579" s="16">
        <f>IF(Murid!C579="","",Murid!C579)</f>
        <v/>
      </c>
      <c r="D579" s="15">
        <f>IF(Murid!E579="","",Murid!E579)</f>
        <v/>
      </c>
      <c r="E579" s="11" t="n"/>
      <c r="F579" s="10">
        <f>IF(E579="","",IFERROR(VLOOKUP(E579,T_PERK,2,FALSE),0))</f>
        <v/>
      </c>
      <c r="G579" s="11" t="n"/>
      <c r="H579" s="10">
        <f>IF(G579="","",IFERROR(VLOOKUP(G579,T_ANUG,2,FALSE),0))</f>
        <v/>
      </c>
      <c r="I579" s="11" t="n"/>
      <c r="J579" s="11" t="n"/>
      <c r="K579" s="11" t="n"/>
      <c r="L579" s="11" t="n"/>
      <c r="M579" s="11" t="n"/>
      <c r="N579" s="11" t="n"/>
      <c r="O579" s="11" t="n"/>
      <c r="P579" s="10">
        <f>IF(COUNTA(I579:O579)=0,"",MIN(10,SUM(I579:O579)))</f>
        <v/>
      </c>
      <c r="Q579" s="11" t="n"/>
      <c r="R579" s="10">
        <f>IF(Q579="","",IFERROR(VLOOKUP(Q579,T_NILAM,2,FALSE),0))</f>
        <v/>
      </c>
      <c r="S579" s="11" t="n"/>
      <c r="T579" s="10">
        <f>IF(S579="","",IFERROR(VLOOKUP(S579,T_TIMSS,2,FALSE),0))</f>
        <v/>
      </c>
      <c r="U579" s="19">
        <f>IF(COUNT(F579,H579,P579,R579,T579)=0,"",MIN(10,MAX(F579,H579,P579,R579,T579)))</f>
        <v/>
      </c>
      <c r="V579" s="11" t="n"/>
    </row>
    <row r="580">
      <c r="A580" s="15">
        <f>Murid!A580</f>
        <v/>
      </c>
      <c r="B580" s="15">
        <f>IF(Murid!B580="","",Murid!B580)</f>
        <v/>
      </c>
      <c r="C580" s="16">
        <f>IF(Murid!C580="","",Murid!C580)</f>
        <v/>
      </c>
      <c r="D580" s="15">
        <f>IF(Murid!E580="","",Murid!E580)</f>
        <v/>
      </c>
      <c r="E580" s="11" t="n"/>
      <c r="F580" s="10">
        <f>IF(E580="","",IFERROR(VLOOKUP(E580,T_PERK,2,FALSE),0))</f>
        <v/>
      </c>
      <c r="G580" s="11" t="n"/>
      <c r="H580" s="10">
        <f>IF(G580="","",IFERROR(VLOOKUP(G580,T_ANUG,2,FALSE),0))</f>
        <v/>
      </c>
      <c r="I580" s="11" t="n"/>
      <c r="J580" s="11" t="n"/>
      <c r="K580" s="11" t="n"/>
      <c r="L580" s="11" t="n"/>
      <c r="M580" s="11" t="n"/>
      <c r="N580" s="11" t="n"/>
      <c r="O580" s="11" t="n"/>
      <c r="P580" s="10">
        <f>IF(COUNTA(I580:O580)=0,"",MIN(10,SUM(I580:O580)))</f>
        <v/>
      </c>
      <c r="Q580" s="11" t="n"/>
      <c r="R580" s="10">
        <f>IF(Q580="","",IFERROR(VLOOKUP(Q580,T_NILAM,2,FALSE),0))</f>
        <v/>
      </c>
      <c r="S580" s="11" t="n"/>
      <c r="T580" s="10">
        <f>IF(S580="","",IFERROR(VLOOKUP(S580,T_TIMSS,2,FALSE),0))</f>
        <v/>
      </c>
      <c r="U580" s="19">
        <f>IF(COUNT(F580,H580,P580,R580,T580)=0,"",MIN(10,MAX(F580,H580,P580,R580,T580)))</f>
        <v/>
      </c>
      <c r="V580" s="11" t="n"/>
    </row>
    <row r="581">
      <c r="A581" s="15">
        <f>Murid!A581</f>
        <v/>
      </c>
      <c r="B581" s="15">
        <f>IF(Murid!B581="","",Murid!B581)</f>
        <v/>
      </c>
      <c r="C581" s="16">
        <f>IF(Murid!C581="","",Murid!C581)</f>
        <v/>
      </c>
      <c r="D581" s="15">
        <f>IF(Murid!E581="","",Murid!E581)</f>
        <v/>
      </c>
      <c r="E581" s="11" t="n"/>
      <c r="F581" s="10">
        <f>IF(E581="","",IFERROR(VLOOKUP(E581,T_PERK,2,FALSE),0))</f>
        <v/>
      </c>
      <c r="G581" s="11" t="n"/>
      <c r="H581" s="10">
        <f>IF(G581="","",IFERROR(VLOOKUP(G581,T_ANUG,2,FALSE),0))</f>
        <v/>
      </c>
      <c r="I581" s="11" t="n"/>
      <c r="J581" s="11" t="n"/>
      <c r="K581" s="11" t="n"/>
      <c r="L581" s="11" t="n"/>
      <c r="M581" s="11" t="n"/>
      <c r="N581" s="11" t="n"/>
      <c r="O581" s="11" t="n"/>
      <c r="P581" s="10">
        <f>IF(COUNTA(I581:O581)=0,"",MIN(10,SUM(I581:O581)))</f>
        <v/>
      </c>
      <c r="Q581" s="11" t="n"/>
      <c r="R581" s="10">
        <f>IF(Q581="","",IFERROR(VLOOKUP(Q581,T_NILAM,2,FALSE),0))</f>
        <v/>
      </c>
      <c r="S581" s="11" t="n"/>
      <c r="T581" s="10">
        <f>IF(S581="","",IFERROR(VLOOKUP(S581,T_TIMSS,2,FALSE),0))</f>
        <v/>
      </c>
      <c r="U581" s="19">
        <f>IF(COUNT(F581,H581,P581,R581,T581)=0,"",MIN(10,MAX(F581,H581,P581,R581,T581)))</f>
        <v/>
      </c>
      <c r="V581" s="11" t="n"/>
    </row>
    <row r="582">
      <c r="A582" s="15">
        <f>Murid!A582</f>
        <v/>
      </c>
      <c r="B582" s="15">
        <f>IF(Murid!B582="","",Murid!B582)</f>
        <v/>
      </c>
      <c r="C582" s="16">
        <f>IF(Murid!C582="","",Murid!C582)</f>
        <v/>
      </c>
      <c r="D582" s="15">
        <f>IF(Murid!E582="","",Murid!E582)</f>
        <v/>
      </c>
      <c r="E582" s="11" t="n"/>
      <c r="F582" s="10">
        <f>IF(E582="","",IFERROR(VLOOKUP(E582,T_PERK,2,FALSE),0))</f>
        <v/>
      </c>
      <c r="G582" s="11" t="n"/>
      <c r="H582" s="10">
        <f>IF(G582="","",IFERROR(VLOOKUP(G582,T_ANUG,2,FALSE),0))</f>
        <v/>
      </c>
      <c r="I582" s="11" t="n"/>
      <c r="J582" s="11" t="n"/>
      <c r="K582" s="11" t="n"/>
      <c r="L582" s="11" t="n"/>
      <c r="M582" s="11" t="n"/>
      <c r="N582" s="11" t="n"/>
      <c r="O582" s="11" t="n"/>
      <c r="P582" s="10">
        <f>IF(COUNTA(I582:O582)=0,"",MIN(10,SUM(I582:O582)))</f>
        <v/>
      </c>
      <c r="Q582" s="11" t="n"/>
      <c r="R582" s="10">
        <f>IF(Q582="","",IFERROR(VLOOKUP(Q582,T_NILAM,2,FALSE),0))</f>
        <v/>
      </c>
      <c r="S582" s="11" t="n"/>
      <c r="T582" s="10">
        <f>IF(S582="","",IFERROR(VLOOKUP(S582,T_TIMSS,2,FALSE),0))</f>
        <v/>
      </c>
      <c r="U582" s="19">
        <f>IF(COUNT(F582,H582,P582,R582,T582)=0,"",MIN(10,MAX(F582,H582,P582,R582,T582)))</f>
        <v/>
      </c>
      <c r="V582" s="11" t="n"/>
    </row>
    <row r="583">
      <c r="A583" s="15">
        <f>Murid!A583</f>
        <v/>
      </c>
      <c r="B583" s="15">
        <f>IF(Murid!B583="","",Murid!B583)</f>
        <v/>
      </c>
      <c r="C583" s="16">
        <f>IF(Murid!C583="","",Murid!C583)</f>
        <v/>
      </c>
      <c r="D583" s="15">
        <f>IF(Murid!E583="","",Murid!E583)</f>
        <v/>
      </c>
      <c r="E583" s="11" t="n"/>
      <c r="F583" s="10">
        <f>IF(E583="","",IFERROR(VLOOKUP(E583,T_PERK,2,FALSE),0))</f>
        <v/>
      </c>
      <c r="G583" s="11" t="n"/>
      <c r="H583" s="10">
        <f>IF(G583="","",IFERROR(VLOOKUP(G583,T_ANUG,2,FALSE),0))</f>
        <v/>
      </c>
      <c r="I583" s="11" t="n"/>
      <c r="J583" s="11" t="n"/>
      <c r="K583" s="11" t="n"/>
      <c r="L583" s="11" t="n"/>
      <c r="M583" s="11" t="n"/>
      <c r="N583" s="11" t="n"/>
      <c r="O583" s="11" t="n"/>
      <c r="P583" s="10">
        <f>IF(COUNTA(I583:O583)=0,"",MIN(10,SUM(I583:O583)))</f>
        <v/>
      </c>
      <c r="Q583" s="11" t="n"/>
      <c r="R583" s="10">
        <f>IF(Q583="","",IFERROR(VLOOKUP(Q583,T_NILAM,2,FALSE),0))</f>
        <v/>
      </c>
      <c r="S583" s="11" t="n"/>
      <c r="T583" s="10">
        <f>IF(S583="","",IFERROR(VLOOKUP(S583,T_TIMSS,2,FALSE),0))</f>
        <v/>
      </c>
      <c r="U583" s="19">
        <f>IF(COUNT(F583,H583,P583,R583,T583)=0,"",MIN(10,MAX(F583,H583,P583,R583,T583)))</f>
        <v/>
      </c>
      <c r="V583" s="11" t="n"/>
    </row>
    <row r="584">
      <c r="A584" s="15">
        <f>Murid!A584</f>
        <v/>
      </c>
      <c r="B584" s="15">
        <f>IF(Murid!B584="","",Murid!B584)</f>
        <v/>
      </c>
      <c r="C584" s="16">
        <f>IF(Murid!C584="","",Murid!C584)</f>
        <v/>
      </c>
      <c r="D584" s="15">
        <f>IF(Murid!E584="","",Murid!E584)</f>
        <v/>
      </c>
      <c r="E584" s="11" t="n"/>
      <c r="F584" s="10">
        <f>IF(E584="","",IFERROR(VLOOKUP(E584,T_PERK,2,FALSE),0))</f>
        <v/>
      </c>
      <c r="G584" s="11" t="n"/>
      <c r="H584" s="10">
        <f>IF(G584="","",IFERROR(VLOOKUP(G584,T_ANUG,2,FALSE),0))</f>
        <v/>
      </c>
      <c r="I584" s="11" t="n"/>
      <c r="J584" s="11" t="n"/>
      <c r="K584" s="11" t="n"/>
      <c r="L584" s="11" t="n"/>
      <c r="M584" s="11" t="n"/>
      <c r="N584" s="11" t="n"/>
      <c r="O584" s="11" t="n"/>
      <c r="P584" s="10">
        <f>IF(COUNTA(I584:O584)=0,"",MIN(10,SUM(I584:O584)))</f>
        <v/>
      </c>
      <c r="Q584" s="11" t="n"/>
      <c r="R584" s="10">
        <f>IF(Q584="","",IFERROR(VLOOKUP(Q584,T_NILAM,2,FALSE),0))</f>
        <v/>
      </c>
      <c r="S584" s="11" t="n"/>
      <c r="T584" s="10">
        <f>IF(S584="","",IFERROR(VLOOKUP(S584,T_TIMSS,2,FALSE),0))</f>
        <v/>
      </c>
      <c r="U584" s="19">
        <f>IF(COUNT(F584,H584,P584,R584,T584)=0,"",MIN(10,MAX(F584,H584,P584,R584,T584)))</f>
        <v/>
      </c>
      <c r="V584" s="11" t="n"/>
    </row>
    <row r="585">
      <c r="A585" s="15">
        <f>Murid!A585</f>
        <v/>
      </c>
      <c r="B585" s="15">
        <f>IF(Murid!B585="","",Murid!B585)</f>
        <v/>
      </c>
      <c r="C585" s="16">
        <f>IF(Murid!C585="","",Murid!C585)</f>
        <v/>
      </c>
      <c r="D585" s="15">
        <f>IF(Murid!E585="","",Murid!E585)</f>
        <v/>
      </c>
      <c r="E585" s="11" t="n"/>
      <c r="F585" s="10">
        <f>IF(E585="","",IFERROR(VLOOKUP(E585,T_PERK,2,FALSE),0))</f>
        <v/>
      </c>
      <c r="G585" s="11" t="n"/>
      <c r="H585" s="10">
        <f>IF(G585="","",IFERROR(VLOOKUP(G585,T_ANUG,2,FALSE),0))</f>
        <v/>
      </c>
      <c r="I585" s="11" t="n"/>
      <c r="J585" s="11" t="n"/>
      <c r="K585" s="11" t="n"/>
      <c r="L585" s="11" t="n"/>
      <c r="M585" s="11" t="n"/>
      <c r="N585" s="11" t="n"/>
      <c r="O585" s="11" t="n"/>
      <c r="P585" s="10">
        <f>IF(COUNTA(I585:O585)=0,"",MIN(10,SUM(I585:O585)))</f>
        <v/>
      </c>
      <c r="Q585" s="11" t="n"/>
      <c r="R585" s="10">
        <f>IF(Q585="","",IFERROR(VLOOKUP(Q585,T_NILAM,2,FALSE),0))</f>
        <v/>
      </c>
      <c r="S585" s="11" t="n"/>
      <c r="T585" s="10">
        <f>IF(S585="","",IFERROR(VLOOKUP(S585,T_TIMSS,2,FALSE),0))</f>
        <v/>
      </c>
      <c r="U585" s="19">
        <f>IF(COUNT(F585,H585,P585,R585,T585)=0,"",MIN(10,MAX(F585,H585,P585,R585,T585)))</f>
        <v/>
      </c>
      <c r="V585" s="11" t="n"/>
    </row>
    <row r="586">
      <c r="A586" s="15">
        <f>Murid!A586</f>
        <v/>
      </c>
      <c r="B586" s="15">
        <f>IF(Murid!B586="","",Murid!B586)</f>
        <v/>
      </c>
      <c r="C586" s="16">
        <f>IF(Murid!C586="","",Murid!C586)</f>
        <v/>
      </c>
      <c r="D586" s="15">
        <f>IF(Murid!E586="","",Murid!E586)</f>
        <v/>
      </c>
      <c r="E586" s="11" t="n"/>
      <c r="F586" s="10">
        <f>IF(E586="","",IFERROR(VLOOKUP(E586,T_PERK,2,FALSE),0))</f>
        <v/>
      </c>
      <c r="G586" s="11" t="n"/>
      <c r="H586" s="10">
        <f>IF(G586="","",IFERROR(VLOOKUP(G586,T_ANUG,2,FALSE),0))</f>
        <v/>
      </c>
      <c r="I586" s="11" t="n"/>
      <c r="J586" s="11" t="n"/>
      <c r="K586" s="11" t="n"/>
      <c r="L586" s="11" t="n"/>
      <c r="M586" s="11" t="n"/>
      <c r="N586" s="11" t="n"/>
      <c r="O586" s="11" t="n"/>
      <c r="P586" s="10">
        <f>IF(COUNTA(I586:O586)=0,"",MIN(10,SUM(I586:O586)))</f>
        <v/>
      </c>
      <c r="Q586" s="11" t="n"/>
      <c r="R586" s="10">
        <f>IF(Q586="","",IFERROR(VLOOKUP(Q586,T_NILAM,2,FALSE),0))</f>
        <v/>
      </c>
      <c r="S586" s="11" t="n"/>
      <c r="T586" s="10">
        <f>IF(S586="","",IFERROR(VLOOKUP(S586,T_TIMSS,2,FALSE),0))</f>
        <v/>
      </c>
      <c r="U586" s="19">
        <f>IF(COUNT(F586,H586,P586,R586,T586)=0,"",MIN(10,MAX(F586,H586,P586,R586,T586)))</f>
        <v/>
      </c>
      <c r="V586" s="11" t="n"/>
    </row>
    <row r="587">
      <c r="A587" s="15">
        <f>Murid!A587</f>
        <v/>
      </c>
      <c r="B587" s="15">
        <f>IF(Murid!B587="","",Murid!B587)</f>
        <v/>
      </c>
      <c r="C587" s="16">
        <f>IF(Murid!C587="","",Murid!C587)</f>
        <v/>
      </c>
      <c r="D587" s="15">
        <f>IF(Murid!E587="","",Murid!E587)</f>
        <v/>
      </c>
      <c r="E587" s="11" t="n"/>
      <c r="F587" s="10">
        <f>IF(E587="","",IFERROR(VLOOKUP(E587,T_PERK,2,FALSE),0))</f>
        <v/>
      </c>
      <c r="G587" s="11" t="n"/>
      <c r="H587" s="10">
        <f>IF(G587="","",IFERROR(VLOOKUP(G587,T_ANUG,2,FALSE),0))</f>
        <v/>
      </c>
      <c r="I587" s="11" t="n"/>
      <c r="J587" s="11" t="n"/>
      <c r="K587" s="11" t="n"/>
      <c r="L587" s="11" t="n"/>
      <c r="M587" s="11" t="n"/>
      <c r="N587" s="11" t="n"/>
      <c r="O587" s="11" t="n"/>
      <c r="P587" s="10">
        <f>IF(COUNTA(I587:O587)=0,"",MIN(10,SUM(I587:O587)))</f>
        <v/>
      </c>
      <c r="Q587" s="11" t="n"/>
      <c r="R587" s="10">
        <f>IF(Q587="","",IFERROR(VLOOKUP(Q587,T_NILAM,2,FALSE),0))</f>
        <v/>
      </c>
      <c r="S587" s="11" t="n"/>
      <c r="T587" s="10">
        <f>IF(S587="","",IFERROR(VLOOKUP(S587,T_TIMSS,2,FALSE),0))</f>
        <v/>
      </c>
      <c r="U587" s="19">
        <f>IF(COUNT(F587,H587,P587,R587,T587)=0,"",MIN(10,MAX(F587,H587,P587,R587,T587)))</f>
        <v/>
      </c>
      <c r="V587" s="11" t="n"/>
    </row>
    <row r="588">
      <c r="A588" s="15">
        <f>Murid!A588</f>
        <v/>
      </c>
      <c r="B588" s="15">
        <f>IF(Murid!B588="","",Murid!B588)</f>
        <v/>
      </c>
      <c r="C588" s="16">
        <f>IF(Murid!C588="","",Murid!C588)</f>
        <v/>
      </c>
      <c r="D588" s="15">
        <f>IF(Murid!E588="","",Murid!E588)</f>
        <v/>
      </c>
      <c r="E588" s="11" t="n"/>
      <c r="F588" s="10">
        <f>IF(E588="","",IFERROR(VLOOKUP(E588,T_PERK,2,FALSE),0))</f>
        <v/>
      </c>
      <c r="G588" s="11" t="n"/>
      <c r="H588" s="10">
        <f>IF(G588="","",IFERROR(VLOOKUP(G588,T_ANUG,2,FALSE),0))</f>
        <v/>
      </c>
      <c r="I588" s="11" t="n"/>
      <c r="J588" s="11" t="n"/>
      <c r="K588" s="11" t="n"/>
      <c r="L588" s="11" t="n"/>
      <c r="M588" s="11" t="n"/>
      <c r="N588" s="11" t="n"/>
      <c r="O588" s="11" t="n"/>
      <c r="P588" s="10">
        <f>IF(COUNTA(I588:O588)=0,"",MIN(10,SUM(I588:O588)))</f>
        <v/>
      </c>
      <c r="Q588" s="11" t="n"/>
      <c r="R588" s="10">
        <f>IF(Q588="","",IFERROR(VLOOKUP(Q588,T_NILAM,2,FALSE),0))</f>
        <v/>
      </c>
      <c r="S588" s="11" t="n"/>
      <c r="T588" s="10">
        <f>IF(S588="","",IFERROR(VLOOKUP(S588,T_TIMSS,2,FALSE),0))</f>
        <v/>
      </c>
      <c r="U588" s="19">
        <f>IF(COUNT(F588,H588,P588,R588,T588)=0,"",MIN(10,MAX(F588,H588,P588,R588,T588)))</f>
        <v/>
      </c>
      <c r="V588" s="11" t="n"/>
    </row>
    <row r="589">
      <c r="A589" s="15">
        <f>Murid!A589</f>
        <v/>
      </c>
      <c r="B589" s="15">
        <f>IF(Murid!B589="","",Murid!B589)</f>
        <v/>
      </c>
      <c r="C589" s="16">
        <f>IF(Murid!C589="","",Murid!C589)</f>
        <v/>
      </c>
      <c r="D589" s="15">
        <f>IF(Murid!E589="","",Murid!E589)</f>
        <v/>
      </c>
      <c r="E589" s="11" t="n"/>
      <c r="F589" s="10">
        <f>IF(E589="","",IFERROR(VLOOKUP(E589,T_PERK,2,FALSE),0))</f>
        <v/>
      </c>
      <c r="G589" s="11" t="n"/>
      <c r="H589" s="10">
        <f>IF(G589="","",IFERROR(VLOOKUP(G589,T_ANUG,2,FALSE),0))</f>
        <v/>
      </c>
      <c r="I589" s="11" t="n"/>
      <c r="J589" s="11" t="n"/>
      <c r="K589" s="11" t="n"/>
      <c r="L589" s="11" t="n"/>
      <c r="M589" s="11" t="n"/>
      <c r="N589" s="11" t="n"/>
      <c r="O589" s="11" t="n"/>
      <c r="P589" s="10">
        <f>IF(COUNTA(I589:O589)=0,"",MIN(10,SUM(I589:O589)))</f>
        <v/>
      </c>
      <c r="Q589" s="11" t="n"/>
      <c r="R589" s="10">
        <f>IF(Q589="","",IFERROR(VLOOKUP(Q589,T_NILAM,2,FALSE),0))</f>
        <v/>
      </c>
      <c r="S589" s="11" t="n"/>
      <c r="T589" s="10">
        <f>IF(S589="","",IFERROR(VLOOKUP(S589,T_TIMSS,2,FALSE),0))</f>
        <v/>
      </c>
      <c r="U589" s="19">
        <f>IF(COUNT(F589,H589,P589,R589,T589)=0,"",MIN(10,MAX(F589,H589,P589,R589,T589)))</f>
        <v/>
      </c>
      <c r="V589" s="11" t="n"/>
    </row>
    <row r="590">
      <c r="A590" s="15">
        <f>Murid!A590</f>
        <v/>
      </c>
      <c r="B590" s="15">
        <f>IF(Murid!B590="","",Murid!B590)</f>
        <v/>
      </c>
      <c r="C590" s="16">
        <f>IF(Murid!C590="","",Murid!C590)</f>
        <v/>
      </c>
      <c r="D590" s="15">
        <f>IF(Murid!E590="","",Murid!E590)</f>
        <v/>
      </c>
      <c r="E590" s="11" t="n"/>
      <c r="F590" s="10">
        <f>IF(E590="","",IFERROR(VLOOKUP(E590,T_PERK,2,FALSE),0))</f>
        <v/>
      </c>
      <c r="G590" s="11" t="n"/>
      <c r="H590" s="10">
        <f>IF(G590="","",IFERROR(VLOOKUP(G590,T_ANUG,2,FALSE),0))</f>
        <v/>
      </c>
      <c r="I590" s="11" t="n"/>
      <c r="J590" s="11" t="n"/>
      <c r="K590" s="11" t="n"/>
      <c r="L590" s="11" t="n"/>
      <c r="M590" s="11" t="n"/>
      <c r="N590" s="11" t="n"/>
      <c r="O590" s="11" t="n"/>
      <c r="P590" s="10">
        <f>IF(COUNTA(I590:O590)=0,"",MIN(10,SUM(I590:O590)))</f>
        <v/>
      </c>
      <c r="Q590" s="11" t="n"/>
      <c r="R590" s="10">
        <f>IF(Q590="","",IFERROR(VLOOKUP(Q590,T_NILAM,2,FALSE),0))</f>
        <v/>
      </c>
      <c r="S590" s="11" t="n"/>
      <c r="T590" s="10">
        <f>IF(S590="","",IFERROR(VLOOKUP(S590,T_TIMSS,2,FALSE),0))</f>
        <v/>
      </c>
      <c r="U590" s="19">
        <f>IF(COUNT(F590,H590,P590,R590,T590)=0,"",MIN(10,MAX(F590,H590,P590,R590,T590)))</f>
        <v/>
      </c>
      <c r="V590" s="11" t="n"/>
    </row>
    <row r="591">
      <c r="A591" s="15">
        <f>Murid!A591</f>
        <v/>
      </c>
      <c r="B591" s="15">
        <f>IF(Murid!B591="","",Murid!B591)</f>
        <v/>
      </c>
      <c r="C591" s="16">
        <f>IF(Murid!C591="","",Murid!C591)</f>
        <v/>
      </c>
      <c r="D591" s="15">
        <f>IF(Murid!E591="","",Murid!E591)</f>
        <v/>
      </c>
      <c r="E591" s="11" t="n"/>
      <c r="F591" s="10">
        <f>IF(E591="","",IFERROR(VLOOKUP(E591,T_PERK,2,FALSE),0))</f>
        <v/>
      </c>
      <c r="G591" s="11" t="n"/>
      <c r="H591" s="10">
        <f>IF(G591="","",IFERROR(VLOOKUP(G591,T_ANUG,2,FALSE),0))</f>
        <v/>
      </c>
      <c r="I591" s="11" t="n"/>
      <c r="J591" s="11" t="n"/>
      <c r="K591" s="11" t="n"/>
      <c r="L591" s="11" t="n"/>
      <c r="M591" s="11" t="n"/>
      <c r="N591" s="11" t="n"/>
      <c r="O591" s="11" t="n"/>
      <c r="P591" s="10">
        <f>IF(COUNTA(I591:O591)=0,"",MIN(10,SUM(I591:O591)))</f>
        <v/>
      </c>
      <c r="Q591" s="11" t="n"/>
      <c r="R591" s="10">
        <f>IF(Q591="","",IFERROR(VLOOKUP(Q591,T_NILAM,2,FALSE),0))</f>
        <v/>
      </c>
      <c r="S591" s="11" t="n"/>
      <c r="T591" s="10">
        <f>IF(S591="","",IFERROR(VLOOKUP(S591,T_TIMSS,2,FALSE),0))</f>
        <v/>
      </c>
      <c r="U591" s="19">
        <f>IF(COUNT(F591,H591,P591,R591,T591)=0,"",MIN(10,MAX(F591,H591,P591,R591,T591)))</f>
        <v/>
      </c>
      <c r="V591" s="11" t="n"/>
    </row>
    <row r="592">
      <c r="A592" s="15">
        <f>Murid!A592</f>
        <v/>
      </c>
      <c r="B592" s="15">
        <f>IF(Murid!B592="","",Murid!B592)</f>
        <v/>
      </c>
      <c r="C592" s="16">
        <f>IF(Murid!C592="","",Murid!C592)</f>
        <v/>
      </c>
      <c r="D592" s="15">
        <f>IF(Murid!E592="","",Murid!E592)</f>
        <v/>
      </c>
      <c r="E592" s="11" t="n"/>
      <c r="F592" s="10">
        <f>IF(E592="","",IFERROR(VLOOKUP(E592,T_PERK,2,FALSE),0))</f>
        <v/>
      </c>
      <c r="G592" s="11" t="n"/>
      <c r="H592" s="10">
        <f>IF(G592="","",IFERROR(VLOOKUP(G592,T_ANUG,2,FALSE),0))</f>
        <v/>
      </c>
      <c r="I592" s="11" t="n"/>
      <c r="J592" s="11" t="n"/>
      <c r="K592" s="11" t="n"/>
      <c r="L592" s="11" t="n"/>
      <c r="M592" s="11" t="n"/>
      <c r="N592" s="11" t="n"/>
      <c r="O592" s="11" t="n"/>
      <c r="P592" s="10">
        <f>IF(COUNTA(I592:O592)=0,"",MIN(10,SUM(I592:O592)))</f>
        <v/>
      </c>
      <c r="Q592" s="11" t="n"/>
      <c r="R592" s="10">
        <f>IF(Q592="","",IFERROR(VLOOKUP(Q592,T_NILAM,2,FALSE),0))</f>
        <v/>
      </c>
      <c r="S592" s="11" t="n"/>
      <c r="T592" s="10">
        <f>IF(S592="","",IFERROR(VLOOKUP(S592,T_TIMSS,2,FALSE),0))</f>
        <v/>
      </c>
      <c r="U592" s="19">
        <f>IF(COUNT(F592,H592,P592,R592,T592)=0,"",MIN(10,MAX(F592,H592,P592,R592,T592)))</f>
        <v/>
      </c>
      <c r="V592" s="11" t="n"/>
    </row>
    <row r="593">
      <c r="A593" s="15">
        <f>Murid!A593</f>
        <v/>
      </c>
      <c r="B593" s="15">
        <f>IF(Murid!B593="","",Murid!B593)</f>
        <v/>
      </c>
      <c r="C593" s="16">
        <f>IF(Murid!C593="","",Murid!C593)</f>
        <v/>
      </c>
      <c r="D593" s="15">
        <f>IF(Murid!E593="","",Murid!E593)</f>
        <v/>
      </c>
      <c r="E593" s="11" t="n"/>
      <c r="F593" s="10">
        <f>IF(E593="","",IFERROR(VLOOKUP(E593,T_PERK,2,FALSE),0))</f>
        <v/>
      </c>
      <c r="G593" s="11" t="n"/>
      <c r="H593" s="10">
        <f>IF(G593="","",IFERROR(VLOOKUP(G593,T_ANUG,2,FALSE),0))</f>
        <v/>
      </c>
      <c r="I593" s="11" t="n"/>
      <c r="J593" s="11" t="n"/>
      <c r="K593" s="11" t="n"/>
      <c r="L593" s="11" t="n"/>
      <c r="M593" s="11" t="n"/>
      <c r="N593" s="11" t="n"/>
      <c r="O593" s="11" t="n"/>
      <c r="P593" s="10">
        <f>IF(COUNTA(I593:O593)=0,"",MIN(10,SUM(I593:O593)))</f>
        <v/>
      </c>
      <c r="Q593" s="11" t="n"/>
      <c r="R593" s="10">
        <f>IF(Q593="","",IFERROR(VLOOKUP(Q593,T_NILAM,2,FALSE),0))</f>
        <v/>
      </c>
      <c r="S593" s="11" t="n"/>
      <c r="T593" s="10">
        <f>IF(S593="","",IFERROR(VLOOKUP(S593,T_TIMSS,2,FALSE),0))</f>
        <v/>
      </c>
      <c r="U593" s="19">
        <f>IF(COUNT(F593,H593,P593,R593,T593)=0,"",MIN(10,MAX(F593,H593,P593,R593,T593)))</f>
        <v/>
      </c>
      <c r="V593" s="11" t="n"/>
    </row>
    <row r="594">
      <c r="A594" s="15">
        <f>Murid!A594</f>
        <v/>
      </c>
      <c r="B594" s="15">
        <f>IF(Murid!B594="","",Murid!B594)</f>
        <v/>
      </c>
      <c r="C594" s="16">
        <f>IF(Murid!C594="","",Murid!C594)</f>
        <v/>
      </c>
      <c r="D594" s="15">
        <f>IF(Murid!E594="","",Murid!E594)</f>
        <v/>
      </c>
      <c r="E594" s="11" t="n"/>
      <c r="F594" s="10">
        <f>IF(E594="","",IFERROR(VLOOKUP(E594,T_PERK,2,FALSE),0))</f>
        <v/>
      </c>
      <c r="G594" s="11" t="n"/>
      <c r="H594" s="10">
        <f>IF(G594="","",IFERROR(VLOOKUP(G594,T_ANUG,2,FALSE),0))</f>
        <v/>
      </c>
      <c r="I594" s="11" t="n"/>
      <c r="J594" s="11" t="n"/>
      <c r="K594" s="11" t="n"/>
      <c r="L594" s="11" t="n"/>
      <c r="M594" s="11" t="n"/>
      <c r="N594" s="11" t="n"/>
      <c r="O594" s="11" t="n"/>
      <c r="P594" s="10">
        <f>IF(COUNTA(I594:O594)=0,"",MIN(10,SUM(I594:O594)))</f>
        <v/>
      </c>
      <c r="Q594" s="11" t="n"/>
      <c r="R594" s="10">
        <f>IF(Q594="","",IFERROR(VLOOKUP(Q594,T_NILAM,2,FALSE),0))</f>
        <v/>
      </c>
      <c r="S594" s="11" t="n"/>
      <c r="T594" s="10">
        <f>IF(S594="","",IFERROR(VLOOKUP(S594,T_TIMSS,2,FALSE),0))</f>
        <v/>
      </c>
      <c r="U594" s="19">
        <f>IF(COUNT(F594,H594,P594,R594,T594)=0,"",MIN(10,MAX(F594,H594,P594,R594,T594)))</f>
        <v/>
      </c>
      <c r="V594" s="11" t="n"/>
    </row>
    <row r="595">
      <c r="A595" s="15">
        <f>Murid!A595</f>
        <v/>
      </c>
      <c r="B595" s="15">
        <f>IF(Murid!B595="","",Murid!B595)</f>
        <v/>
      </c>
      <c r="C595" s="16">
        <f>IF(Murid!C595="","",Murid!C595)</f>
        <v/>
      </c>
      <c r="D595" s="15">
        <f>IF(Murid!E595="","",Murid!E595)</f>
        <v/>
      </c>
      <c r="E595" s="11" t="n"/>
      <c r="F595" s="10">
        <f>IF(E595="","",IFERROR(VLOOKUP(E595,T_PERK,2,FALSE),0))</f>
        <v/>
      </c>
      <c r="G595" s="11" t="n"/>
      <c r="H595" s="10">
        <f>IF(G595="","",IFERROR(VLOOKUP(G595,T_ANUG,2,FALSE),0))</f>
        <v/>
      </c>
      <c r="I595" s="11" t="n"/>
      <c r="J595" s="11" t="n"/>
      <c r="K595" s="11" t="n"/>
      <c r="L595" s="11" t="n"/>
      <c r="M595" s="11" t="n"/>
      <c r="N595" s="11" t="n"/>
      <c r="O595" s="11" t="n"/>
      <c r="P595" s="10">
        <f>IF(COUNTA(I595:O595)=0,"",MIN(10,SUM(I595:O595)))</f>
        <v/>
      </c>
      <c r="Q595" s="11" t="n"/>
      <c r="R595" s="10">
        <f>IF(Q595="","",IFERROR(VLOOKUP(Q595,T_NILAM,2,FALSE),0))</f>
        <v/>
      </c>
      <c r="S595" s="11" t="n"/>
      <c r="T595" s="10">
        <f>IF(S595="","",IFERROR(VLOOKUP(S595,T_TIMSS,2,FALSE),0))</f>
        <v/>
      </c>
      <c r="U595" s="19">
        <f>IF(COUNT(F595,H595,P595,R595,T595)=0,"",MIN(10,MAX(F595,H595,P595,R595,T595)))</f>
        <v/>
      </c>
      <c r="V595" s="11" t="n"/>
    </row>
    <row r="596">
      <c r="A596" s="15">
        <f>Murid!A596</f>
        <v/>
      </c>
      <c r="B596" s="15">
        <f>IF(Murid!B596="","",Murid!B596)</f>
        <v/>
      </c>
      <c r="C596" s="16">
        <f>IF(Murid!C596="","",Murid!C596)</f>
        <v/>
      </c>
      <c r="D596" s="15">
        <f>IF(Murid!E596="","",Murid!E596)</f>
        <v/>
      </c>
      <c r="E596" s="11" t="n"/>
      <c r="F596" s="10">
        <f>IF(E596="","",IFERROR(VLOOKUP(E596,T_PERK,2,FALSE),0))</f>
        <v/>
      </c>
      <c r="G596" s="11" t="n"/>
      <c r="H596" s="10">
        <f>IF(G596="","",IFERROR(VLOOKUP(G596,T_ANUG,2,FALSE),0))</f>
        <v/>
      </c>
      <c r="I596" s="11" t="n"/>
      <c r="J596" s="11" t="n"/>
      <c r="K596" s="11" t="n"/>
      <c r="L596" s="11" t="n"/>
      <c r="M596" s="11" t="n"/>
      <c r="N596" s="11" t="n"/>
      <c r="O596" s="11" t="n"/>
      <c r="P596" s="10">
        <f>IF(COUNTA(I596:O596)=0,"",MIN(10,SUM(I596:O596)))</f>
        <v/>
      </c>
      <c r="Q596" s="11" t="n"/>
      <c r="R596" s="10">
        <f>IF(Q596="","",IFERROR(VLOOKUP(Q596,T_NILAM,2,FALSE),0))</f>
        <v/>
      </c>
      <c r="S596" s="11" t="n"/>
      <c r="T596" s="10">
        <f>IF(S596="","",IFERROR(VLOOKUP(S596,T_TIMSS,2,FALSE),0))</f>
        <v/>
      </c>
      <c r="U596" s="19">
        <f>IF(COUNT(F596,H596,P596,R596,T596)=0,"",MIN(10,MAX(F596,H596,P596,R596,T596)))</f>
        <v/>
      </c>
      <c r="V596" s="11" t="n"/>
    </row>
    <row r="597">
      <c r="A597" s="15">
        <f>Murid!A597</f>
        <v/>
      </c>
      <c r="B597" s="15">
        <f>IF(Murid!B597="","",Murid!B597)</f>
        <v/>
      </c>
      <c r="C597" s="16">
        <f>IF(Murid!C597="","",Murid!C597)</f>
        <v/>
      </c>
      <c r="D597" s="15">
        <f>IF(Murid!E597="","",Murid!E597)</f>
        <v/>
      </c>
      <c r="E597" s="11" t="n"/>
      <c r="F597" s="10">
        <f>IF(E597="","",IFERROR(VLOOKUP(E597,T_PERK,2,FALSE),0))</f>
        <v/>
      </c>
      <c r="G597" s="11" t="n"/>
      <c r="H597" s="10">
        <f>IF(G597="","",IFERROR(VLOOKUP(G597,T_ANUG,2,FALSE),0))</f>
        <v/>
      </c>
      <c r="I597" s="11" t="n"/>
      <c r="J597" s="11" t="n"/>
      <c r="K597" s="11" t="n"/>
      <c r="L597" s="11" t="n"/>
      <c r="M597" s="11" t="n"/>
      <c r="N597" s="11" t="n"/>
      <c r="O597" s="11" t="n"/>
      <c r="P597" s="10">
        <f>IF(COUNTA(I597:O597)=0,"",MIN(10,SUM(I597:O597)))</f>
        <v/>
      </c>
      <c r="Q597" s="11" t="n"/>
      <c r="R597" s="10">
        <f>IF(Q597="","",IFERROR(VLOOKUP(Q597,T_NILAM,2,FALSE),0))</f>
        <v/>
      </c>
      <c r="S597" s="11" t="n"/>
      <c r="T597" s="10">
        <f>IF(S597="","",IFERROR(VLOOKUP(S597,T_TIMSS,2,FALSE),0))</f>
        <v/>
      </c>
      <c r="U597" s="19">
        <f>IF(COUNT(F597,H597,P597,R597,T597)=0,"",MIN(10,MAX(F597,H597,P597,R597,T597)))</f>
        <v/>
      </c>
      <c r="V597" s="11" t="n"/>
    </row>
    <row r="598">
      <c r="A598" s="15">
        <f>Murid!A598</f>
        <v/>
      </c>
      <c r="B598" s="15">
        <f>IF(Murid!B598="","",Murid!B598)</f>
        <v/>
      </c>
      <c r="C598" s="16">
        <f>IF(Murid!C598="","",Murid!C598)</f>
        <v/>
      </c>
      <c r="D598" s="15">
        <f>IF(Murid!E598="","",Murid!E598)</f>
        <v/>
      </c>
      <c r="E598" s="11" t="n"/>
      <c r="F598" s="10">
        <f>IF(E598="","",IFERROR(VLOOKUP(E598,T_PERK,2,FALSE),0))</f>
        <v/>
      </c>
      <c r="G598" s="11" t="n"/>
      <c r="H598" s="10">
        <f>IF(G598="","",IFERROR(VLOOKUP(G598,T_ANUG,2,FALSE),0))</f>
        <v/>
      </c>
      <c r="I598" s="11" t="n"/>
      <c r="J598" s="11" t="n"/>
      <c r="K598" s="11" t="n"/>
      <c r="L598" s="11" t="n"/>
      <c r="M598" s="11" t="n"/>
      <c r="N598" s="11" t="n"/>
      <c r="O598" s="11" t="n"/>
      <c r="P598" s="10">
        <f>IF(COUNTA(I598:O598)=0,"",MIN(10,SUM(I598:O598)))</f>
        <v/>
      </c>
      <c r="Q598" s="11" t="n"/>
      <c r="R598" s="10">
        <f>IF(Q598="","",IFERROR(VLOOKUP(Q598,T_NILAM,2,FALSE),0))</f>
        <v/>
      </c>
      <c r="S598" s="11" t="n"/>
      <c r="T598" s="10">
        <f>IF(S598="","",IFERROR(VLOOKUP(S598,T_TIMSS,2,FALSE),0))</f>
        <v/>
      </c>
      <c r="U598" s="19">
        <f>IF(COUNT(F598,H598,P598,R598,T598)=0,"",MIN(10,MAX(F598,H598,P598,R598,T598)))</f>
        <v/>
      </c>
      <c r="V598" s="11" t="n"/>
    </row>
    <row r="599">
      <c r="A599" s="15">
        <f>Murid!A599</f>
        <v/>
      </c>
      <c r="B599" s="15">
        <f>IF(Murid!B599="","",Murid!B599)</f>
        <v/>
      </c>
      <c r="C599" s="16">
        <f>IF(Murid!C599="","",Murid!C599)</f>
        <v/>
      </c>
      <c r="D599" s="15">
        <f>IF(Murid!E599="","",Murid!E599)</f>
        <v/>
      </c>
      <c r="E599" s="11" t="n"/>
      <c r="F599" s="10">
        <f>IF(E599="","",IFERROR(VLOOKUP(E599,T_PERK,2,FALSE),0))</f>
        <v/>
      </c>
      <c r="G599" s="11" t="n"/>
      <c r="H599" s="10">
        <f>IF(G599="","",IFERROR(VLOOKUP(G599,T_ANUG,2,FALSE),0))</f>
        <v/>
      </c>
      <c r="I599" s="11" t="n"/>
      <c r="J599" s="11" t="n"/>
      <c r="K599" s="11" t="n"/>
      <c r="L599" s="11" t="n"/>
      <c r="M599" s="11" t="n"/>
      <c r="N599" s="11" t="n"/>
      <c r="O599" s="11" t="n"/>
      <c r="P599" s="10">
        <f>IF(COUNTA(I599:O599)=0,"",MIN(10,SUM(I599:O599)))</f>
        <v/>
      </c>
      <c r="Q599" s="11" t="n"/>
      <c r="R599" s="10">
        <f>IF(Q599="","",IFERROR(VLOOKUP(Q599,T_NILAM,2,FALSE),0))</f>
        <v/>
      </c>
      <c r="S599" s="11" t="n"/>
      <c r="T599" s="10">
        <f>IF(S599="","",IFERROR(VLOOKUP(S599,T_TIMSS,2,FALSE),0))</f>
        <v/>
      </c>
      <c r="U599" s="19">
        <f>IF(COUNT(F599,H599,P599,R599,T599)=0,"",MIN(10,MAX(F599,H599,P599,R599,T599)))</f>
        <v/>
      </c>
      <c r="V599" s="11" t="n"/>
    </row>
    <row r="600">
      <c r="A600" s="15">
        <f>Murid!A600</f>
        <v/>
      </c>
      <c r="B600" s="15">
        <f>IF(Murid!B600="","",Murid!B600)</f>
        <v/>
      </c>
      <c r="C600" s="16">
        <f>IF(Murid!C600="","",Murid!C600)</f>
        <v/>
      </c>
      <c r="D600" s="15">
        <f>IF(Murid!E600="","",Murid!E600)</f>
        <v/>
      </c>
      <c r="E600" s="11" t="n"/>
      <c r="F600" s="10">
        <f>IF(E600="","",IFERROR(VLOOKUP(E600,T_PERK,2,FALSE),0))</f>
        <v/>
      </c>
      <c r="G600" s="11" t="n"/>
      <c r="H600" s="10">
        <f>IF(G600="","",IFERROR(VLOOKUP(G600,T_ANUG,2,FALSE),0))</f>
        <v/>
      </c>
      <c r="I600" s="11" t="n"/>
      <c r="J600" s="11" t="n"/>
      <c r="K600" s="11" t="n"/>
      <c r="L600" s="11" t="n"/>
      <c r="M600" s="11" t="n"/>
      <c r="N600" s="11" t="n"/>
      <c r="O600" s="11" t="n"/>
      <c r="P600" s="10">
        <f>IF(COUNTA(I600:O600)=0,"",MIN(10,SUM(I600:O600)))</f>
        <v/>
      </c>
      <c r="Q600" s="11" t="n"/>
      <c r="R600" s="10">
        <f>IF(Q600="","",IFERROR(VLOOKUP(Q600,T_NILAM,2,FALSE),0))</f>
        <v/>
      </c>
      <c r="S600" s="11" t="n"/>
      <c r="T600" s="10">
        <f>IF(S600="","",IFERROR(VLOOKUP(S600,T_TIMSS,2,FALSE),0))</f>
        <v/>
      </c>
      <c r="U600" s="19">
        <f>IF(COUNT(F600,H600,P600,R600,T600)=0,"",MIN(10,MAX(F600,H600,P600,R600,T600)))</f>
        <v/>
      </c>
      <c r="V600" s="11" t="n"/>
    </row>
    <row r="601">
      <c r="A601" s="15">
        <f>Murid!A601</f>
        <v/>
      </c>
      <c r="B601" s="15">
        <f>IF(Murid!B601="","",Murid!B601)</f>
        <v/>
      </c>
      <c r="C601" s="16">
        <f>IF(Murid!C601="","",Murid!C601)</f>
        <v/>
      </c>
      <c r="D601" s="15">
        <f>IF(Murid!E601="","",Murid!E601)</f>
        <v/>
      </c>
      <c r="E601" s="11" t="n"/>
      <c r="F601" s="10">
        <f>IF(E601="","",IFERROR(VLOOKUP(E601,T_PERK,2,FALSE),0))</f>
        <v/>
      </c>
      <c r="G601" s="11" t="n"/>
      <c r="H601" s="10">
        <f>IF(G601="","",IFERROR(VLOOKUP(G601,T_ANUG,2,FALSE),0))</f>
        <v/>
      </c>
      <c r="I601" s="11" t="n"/>
      <c r="J601" s="11" t="n"/>
      <c r="K601" s="11" t="n"/>
      <c r="L601" s="11" t="n"/>
      <c r="M601" s="11" t="n"/>
      <c r="N601" s="11" t="n"/>
      <c r="O601" s="11" t="n"/>
      <c r="P601" s="10">
        <f>IF(COUNTA(I601:O601)=0,"",MIN(10,SUM(I601:O601)))</f>
        <v/>
      </c>
      <c r="Q601" s="11" t="n"/>
      <c r="R601" s="10">
        <f>IF(Q601="","",IFERROR(VLOOKUP(Q601,T_NILAM,2,FALSE),0))</f>
        <v/>
      </c>
      <c r="S601" s="11" t="n"/>
      <c r="T601" s="10">
        <f>IF(S601="","",IFERROR(VLOOKUP(S601,T_TIMSS,2,FALSE),0))</f>
        <v/>
      </c>
      <c r="U601" s="19">
        <f>IF(COUNT(F601,H601,P601,R601,T601)=0,"",MIN(10,MAX(F601,H601,P601,R601,T601)))</f>
        <v/>
      </c>
      <c r="V601" s="11" t="n"/>
    </row>
    <row r="602">
      <c r="A602" s="15">
        <f>Murid!A602</f>
        <v/>
      </c>
      <c r="B602" s="15">
        <f>IF(Murid!B602="","",Murid!B602)</f>
        <v/>
      </c>
      <c r="C602" s="16">
        <f>IF(Murid!C602="","",Murid!C602)</f>
        <v/>
      </c>
      <c r="D602" s="15">
        <f>IF(Murid!E602="","",Murid!E602)</f>
        <v/>
      </c>
      <c r="E602" s="11" t="n"/>
      <c r="F602" s="10">
        <f>IF(E602="","",IFERROR(VLOOKUP(E602,T_PERK,2,FALSE),0))</f>
        <v/>
      </c>
      <c r="G602" s="11" t="n"/>
      <c r="H602" s="10">
        <f>IF(G602="","",IFERROR(VLOOKUP(G602,T_ANUG,2,FALSE),0))</f>
        <v/>
      </c>
      <c r="I602" s="11" t="n"/>
      <c r="J602" s="11" t="n"/>
      <c r="K602" s="11" t="n"/>
      <c r="L602" s="11" t="n"/>
      <c r="M602" s="11" t="n"/>
      <c r="N602" s="11" t="n"/>
      <c r="O602" s="11" t="n"/>
      <c r="P602" s="10">
        <f>IF(COUNTA(I602:O602)=0,"",MIN(10,SUM(I602:O602)))</f>
        <v/>
      </c>
      <c r="Q602" s="11" t="n"/>
      <c r="R602" s="10">
        <f>IF(Q602="","",IFERROR(VLOOKUP(Q602,T_NILAM,2,FALSE),0))</f>
        <v/>
      </c>
      <c r="S602" s="11" t="n"/>
      <c r="T602" s="10">
        <f>IF(S602="","",IFERROR(VLOOKUP(S602,T_TIMSS,2,FALSE),0))</f>
        <v/>
      </c>
      <c r="U602" s="19">
        <f>IF(COUNT(F602,H602,P602,R602,T602)=0,"",MIN(10,MAX(F602,H602,P602,R602,T602)))</f>
        <v/>
      </c>
      <c r="V602" s="11" t="n"/>
    </row>
    <row r="603">
      <c r="A603" s="15">
        <f>Murid!A603</f>
        <v/>
      </c>
      <c r="B603" s="15">
        <f>IF(Murid!B603="","",Murid!B603)</f>
        <v/>
      </c>
      <c r="C603" s="16">
        <f>IF(Murid!C603="","",Murid!C603)</f>
        <v/>
      </c>
      <c r="D603" s="15">
        <f>IF(Murid!E603="","",Murid!E603)</f>
        <v/>
      </c>
      <c r="E603" s="11" t="n"/>
      <c r="F603" s="10">
        <f>IF(E603="","",IFERROR(VLOOKUP(E603,T_PERK,2,FALSE),0))</f>
        <v/>
      </c>
      <c r="G603" s="11" t="n"/>
      <c r="H603" s="10">
        <f>IF(G603="","",IFERROR(VLOOKUP(G603,T_ANUG,2,FALSE),0))</f>
        <v/>
      </c>
      <c r="I603" s="11" t="n"/>
      <c r="J603" s="11" t="n"/>
      <c r="K603" s="11" t="n"/>
      <c r="L603" s="11" t="n"/>
      <c r="M603" s="11" t="n"/>
      <c r="N603" s="11" t="n"/>
      <c r="O603" s="11" t="n"/>
      <c r="P603" s="10">
        <f>IF(COUNTA(I603:O603)=0,"",MIN(10,SUM(I603:O603)))</f>
        <v/>
      </c>
      <c r="Q603" s="11" t="n"/>
      <c r="R603" s="10">
        <f>IF(Q603="","",IFERROR(VLOOKUP(Q603,T_NILAM,2,FALSE),0))</f>
        <v/>
      </c>
      <c r="S603" s="11" t="n"/>
      <c r="T603" s="10">
        <f>IF(S603="","",IFERROR(VLOOKUP(S603,T_TIMSS,2,FALSE),0))</f>
        <v/>
      </c>
      <c r="U603" s="19">
        <f>IF(COUNT(F603,H603,P603,R603,T603)=0,"",MIN(10,MAX(F603,H603,P603,R603,T603)))</f>
        <v/>
      </c>
      <c r="V603" s="11" t="n"/>
    </row>
    <row r="604">
      <c r="A604" s="15">
        <f>Murid!A604</f>
        <v/>
      </c>
      <c r="B604" s="15">
        <f>IF(Murid!B604="","",Murid!B604)</f>
        <v/>
      </c>
      <c r="C604" s="16">
        <f>IF(Murid!C604="","",Murid!C604)</f>
        <v/>
      </c>
      <c r="D604" s="15">
        <f>IF(Murid!E604="","",Murid!E604)</f>
        <v/>
      </c>
      <c r="E604" s="11" t="n"/>
      <c r="F604" s="10">
        <f>IF(E604="","",IFERROR(VLOOKUP(E604,T_PERK,2,FALSE),0))</f>
        <v/>
      </c>
      <c r="G604" s="11" t="n"/>
      <c r="H604" s="10">
        <f>IF(G604="","",IFERROR(VLOOKUP(G604,T_ANUG,2,FALSE),0))</f>
        <v/>
      </c>
      <c r="I604" s="11" t="n"/>
      <c r="J604" s="11" t="n"/>
      <c r="K604" s="11" t="n"/>
      <c r="L604" s="11" t="n"/>
      <c r="M604" s="11" t="n"/>
      <c r="N604" s="11" t="n"/>
      <c r="O604" s="11" t="n"/>
      <c r="P604" s="10">
        <f>IF(COUNTA(I604:O604)=0,"",MIN(10,SUM(I604:O604)))</f>
        <v/>
      </c>
      <c r="Q604" s="11" t="n"/>
      <c r="R604" s="10">
        <f>IF(Q604="","",IFERROR(VLOOKUP(Q604,T_NILAM,2,FALSE),0))</f>
        <v/>
      </c>
      <c r="S604" s="11" t="n"/>
      <c r="T604" s="10">
        <f>IF(S604="","",IFERROR(VLOOKUP(S604,T_TIMSS,2,FALSE),0))</f>
        <v/>
      </c>
      <c r="U604" s="19">
        <f>IF(COUNT(F604,H604,P604,R604,T604)=0,"",MIN(10,MAX(F604,H604,P604,R604,T604)))</f>
        <v/>
      </c>
      <c r="V604" s="11" t="n"/>
    </row>
    <row r="605">
      <c r="A605" s="15">
        <f>Murid!A605</f>
        <v/>
      </c>
      <c r="B605" s="15">
        <f>IF(Murid!B605="","",Murid!B605)</f>
        <v/>
      </c>
      <c r="C605" s="16">
        <f>IF(Murid!C605="","",Murid!C605)</f>
        <v/>
      </c>
      <c r="D605" s="15">
        <f>IF(Murid!E605="","",Murid!E605)</f>
        <v/>
      </c>
      <c r="E605" s="11" t="n"/>
      <c r="F605" s="10">
        <f>IF(E605="","",IFERROR(VLOOKUP(E605,T_PERK,2,FALSE),0))</f>
        <v/>
      </c>
      <c r="G605" s="11" t="n"/>
      <c r="H605" s="10">
        <f>IF(G605="","",IFERROR(VLOOKUP(G605,T_ANUG,2,FALSE),0))</f>
        <v/>
      </c>
      <c r="I605" s="11" t="n"/>
      <c r="J605" s="11" t="n"/>
      <c r="K605" s="11" t="n"/>
      <c r="L605" s="11" t="n"/>
      <c r="M605" s="11" t="n"/>
      <c r="N605" s="11" t="n"/>
      <c r="O605" s="11" t="n"/>
      <c r="P605" s="10">
        <f>IF(COUNTA(I605:O605)=0,"",MIN(10,SUM(I605:O605)))</f>
        <v/>
      </c>
      <c r="Q605" s="11" t="n"/>
      <c r="R605" s="10">
        <f>IF(Q605="","",IFERROR(VLOOKUP(Q605,T_NILAM,2,FALSE),0))</f>
        <v/>
      </c>
      <c r="S605" s="11" t="n"/>
      <c r="T605" s="10">
        <f>IF(S605="","",IFERROR(VLOOKUP(S605,T_TIMSS,2,FALSE),0))</f>
        <v/>
      </c>
      <c r="U605" s="19">
        <f>IF(COUNT(F605,H605,P605,R605,T605)=0,"",MIN(10,MAX(F605,H605,P605,R605,T605)))</f>
        <v/>
      </c>
      <c r="V605" s="11" t="n"/>
    </row>
    <row r="606">
      <c r="A606" s="15">
        <f>Murid!A606</f>
        <v/>
      </c>
      <c r="B606" s="15">
        <f>IF(Murid!B606="","",Murid!B606)</f>
        <v/>
      </c>
      <c r="C606" s="16">
        <f>IF(Murid!C606="","",Murid!C606)</f>
        <v/>
      </c>
      <c r="D606" s="15">
        <f>IF(Murid!E606="","",Murid!E606)</f>
        <v/>
      </c>
      <c r="E606" s="11" t="n"/>
      <c r="F606" s="10">
        <f>IF(E606="","",IFERROR(VLOOKUP(E606,T_PERK,2,FALSE),0))</f>
        <v/>
      </c>
      <c r="G606" s="11" t="n"/>
      <c r="H606" s="10">
        <f>IF(G606="","",IFERROR(VLOOKUP(G606,T_ANUG,2,FALSE),0))</f>
        <v/>
      </c>
      <c r="I606" s="11" t="n"/>
      <c r="J606" s="11" t="n"/>
      <c r="K606" s="11" t="n"/>
      <c r="L606" s="11" t="n"/>
      <c r="M606" s="11" t="n"/>
      <c r="N606" s="11" t="n"/>
      <c r="O606" s="11" t="n"/>
      <c r="P606" s="10">
        <f>IF(COUNTA(I606:O606)=0,"",MIN(10,SUM(I606:O606)))</f>
        <v/>
      </c>
      <c r="Q606" s="11" t="n"/>
      <c r="R606" s="10">
        <f>IF(Q606="","",IFERROR(VLOOKUP(Q606,T_NILAM,2,FALSE),0))</f>
        <v/>
      </c>
      <c r="S606" s="11" t="n"/>
      <c r="T606" s="10">
        <f>IF(S606="","",IFERROR(VLOOKUP(S606,T_TIMSS,2,FALSE),0))</f>
        <v/>
      </c>
      <c r="U606" s="19">
        <f>IF(COUNT(F606,H606,P606,R606,T606)=0,"",MIN(10,MAX(F606,H606,P606,R606,T606)))</f>
        <v/>
      </c>
      <c r="V606" s="11" t="n"/>
    </row>
    <row r="607">
      <c r="A607" s="15">
        <f>Murid!A607</f>
        <v/>
      </c>
      <c r="B607" s="15">
        <f>IF(Murid!B607="","",Murid!B607)</f>
        <v/>
      </c>
      <c r="C607" s="16">
        <f>IF(Murid!C607="","",Murid!C607)</f>
        <v/>
      </c>
      <c r="D607" s="15">
        <f>IF(Murid!E607="","",Murid!E607)</f>
        <v/>
      </c>
      <c r="E607" s="11" t="n"/>
      <c r="F607" s="10">
        <f>IF(E607="","",IFERROR(VLOOKUP(E607,T_PERK,2,FALSE),0))</f>
        <v/>
      </c>
      <c r="G607" s="11" t="n"/>
      <c r="H607" s="10">
        <f>IF(G607="","",IFERROR(VLOOKUP(G607,T_ANUG,2,FALSE),0))</f>
        <v/>
      </c>
      <c r="I607" s="11" t="n"/>
      <c r="J607" s="11" t="n"/>
      <c r="K607" s="11" t="n"/>
      <c r="L607" s="11" t="n"/>
      <c r="M607" s="11" t="n"/>
      <c r="N607" s="11" t="n"/>
      <c r="O607" s="11" t="n"/>
      <c r="P607" s="10">
        <f>IF(COUNTA(I607:O607)=0,"",MIN(10,SUM(I607:O607)))</f>
        <v/>
      </c>
      <c r="Q607" s="11" t="n"/>
      <c r="R607" s="10">
        <f>IF(Q607="","",IFERROR(VLOOKUP(Q607,T_NILAM,2,FALSE),0))</f>
        <v/>
      </c>
      <c r="S607" s="11" t="n"/>
      <c r="T607" s="10">
        <f>IF(S607="","",IFERROR(VLOOKUP(S607,T_TIMSS,2,FALSE),0))</f>
        <v/>
      </c>
      <c r="U607" s="19">
        <f>IF(COUNT(F607,H607,P607,R607,T607)=0,"",MIN(10,MAX(F607,H607,P607,R607,T607)))</f>
        <v/>
      </c>
      <c r="V607" s="11" t="n"/>
    </row>
    <row r="608">
      <c r="A608" s="15">
        <f>Murid!A608</f>
        <v/>
      </c>
      <c r="B608" s="15">
        <f>IF(Murid!B608="","",Murid!B608)</f>
        <v/>
      </c>
      <c r="C608" s="16">
        <f>IF(Murid!C608="","",Murid!C608)</f>
        <v/>
      </c>
      <c r="D608" s="15">
        <f>IF(Murid!E608="","",Murid!E608)</f>
        <v/>
      </c>
      <c r="E608" s="11" t="n"/>
      <c r="F608" s="10">
        <f>IF(E608="","",IFERROR(VLOOKUP(E608,T_PERK,2,FALSE),0))</f>
        <v/>
      </c>
      <c r="G608" s="11" t="n"/>
      <c r="H608" s="10">
        <f>IF(G608="","",IFERROR(VLOOKUP(G608,T_ANUG,2,FALSE),0))</f>
        <v/>
      </c>
      <c r="I608" s="11" t="n"/>
      <c r="J608" s="11" t="n"/>
      <c r="K608" s="11" t="n"/>
      <c r="L608" s="11" t="n"/>
      <c r="M608" s="11" t="n"/>
      <c r="N608" s="11" t="n"/>
      <c r="O608" s="11" t="n"/>
      <c r="P608" s="10">
        <f>IF(COUNTA(I608:O608)=0,"",MIN(10,SUM(I608:O608)))</f>
        <v/>
      </c>
      <c r="Q608" s="11" t="n"/>
      <c r="R608" s="10">
        <f>IF(Q608="","",IFERROR(VLOOKUP(Q608,T_NILAM,2,FALSE),0))</f>
        <v/>
      </c>
      <c r="S608" s="11" t="n"/>
      <c r="T608" s="10">
        <f>IF(S608="","",IFERROR(VLOOKUP(S608,T_TIMSS,2,FALSE),0))</f>
        <v/>
      </c>
      <c r="U608" s="19">
        <f>IF(COUNT(F608,H608,P608,R608,T608)=0,"",MIN(10,MAX(F608,H608,P608,R608,T608)))</f>
        <v/>
      </c>
      <c r="V608" s="11" t="n"/>
    </row>
    <row r="609">
      <c r="A609" s="15">
        <f>Murid!A609</f>
        <v/>
      </c>
      <c r="B609" s="15">
        <f>IF(Murid!B609="","",Murid!B609)</f>
        <v/>
      </c>
      <c r="C609" s="16">
        <f>IF(Murid!C609="","",Murid!C609)</f>
        <v/>
      </c>
      <c r="D609" s="15">
        <f>IF(Murid!E609="","",Murid!E609)</f>
        <v/>
      </c>
      <c r="E609" s="11" t="n"/>
      <c r="F609" s="10">
        <f>IF(E609="","",IFERROR(VLOOKUP(E609,T_PERK,2,FALSE),0))</f>
        <v/>
      </c>
      <c r="G609" s="11" t="n"/>
      <c r="H609" s="10">
        <f>IF(G609="","",IFERROR(VLOOKUP(G609,T_ANUG,2,FALSE),0))</f>
        <v/>
      </c>
      <c r="I609" s="11" t="n"/>
      <c r="J609" s="11" t="n"/>
      <c r="K609" s="11" t="n"/>
      <c r="L609" s="11" t="n"/>
      <c r="M609" s="11" t="n"/>
      <c r="N609" s="11" t="n"/>
      <c r="O609" s="11" t="n"/>
      <c r="P609" s="10">
        <f>IF(COUNTA(I609:O609)=0,"",MIN(10,SUM(I609:O609)))</f>
        <v/>
      </c>
      <c r="Q609" s="11" t="n"/>
      <c r="R609" s="10">
        <f>IF(Q609="","",IFERROR(VLOOKUP(Q609,T_NILAM,2,FALSE),0))</f>
        <v/>
      </c>
      <c r="S609" s="11" t="n"/>
      <c r="T609" s="10">
        <f>IF(S609="","",IFERROR(VLOOKUP(S609,T_TIMSS,2,FALSE),0))</f>
        <v/>
      </c>
      <c r="U609" s="19">
        <f>IF(COUNT(F609,H609,P609,R609,T609)=0,"",MIN(10,MAX(F609,H609,P609,R609,T609)))</f>
        <v/>
      </c>
      <c r="V609" s="11" t="n"/>
    </row>
    <row r="610">
      <c r="A610" s="15">
        <f>Murid!A610</f>
        <v/>
      </c>
      <c r="B610" s="15">
        <f>IF(Murid!B610="","",Murid!B610)</f>
        <v/>
      </c>
      <c r="C610" s="16">
        <f>IF(Murid!C610="","",Murid!C610)</f>
        <v/>
      </c>
      <c r="D610" s="15">
        <f>IF(Murid!E610="","",Murid!E610)</f>
        <v/>
      </c>
      <c r="E610" s="11" t="n"/>
      <c r="F610" s="10">
        <f>IF(E610="","",IFERROR(VLOOKUP(E610,T_PERK,2,FALSE),0))</f>
        <v/>
      </c>
      <c r="G610" s="11" t="n"/>
      <c r="H610" s="10">
        <f>IF(G610="","",IFERROR(VLOOKUP(G610,T_ANUG,2,FALSE),0))</f>
        <v/>
      </c>
      <c r="I610" s="11" t="n"/>
      <c r="J610" s="11" t="n"/>
      <c r="K610" s="11" t="n"/>
      <c r="L610" s="11" t="n"/>
      <c r="M610" s="11" t="n"/>
      <c r="N610" s="11" t="n"/>
      <c r="O610" s="11" t="n"/>
      <c r="P610" s="10">
        <f>IF(COUNTA(I610:O610)=0,"",MIN(10,SUM(I610:O610)))</f>
        <v/>
      </c>
      <c r="Q610" s="11" t="n"/>
      <c r="R610" s="10">
        <f>IF(Q610="","",IFERROR(VLOOKUP(Q610,T_NILAM,2,FALSE),0))</f>
        <v/>
      </c>
      <c r="S610" s="11" t="n"/>
      <c r="T610" s="10">
        <f>IF(S610="","",IFERROR(VLOOKUP(S610,T_TIMSS,2,FALSE),0))</f>
        <v/>
      </c>
      <c r="U610" s="19">
        <f>IF(COUNT(F610,H610,P610,R610,T610)=0,"",MIN(10,MAX(F610,H610,P610,R610,T610)))</f>
        <v/>
      </c>
      <c r="V610" s="11" t="n"/>
    </row>
    <row r="611">
      <c r="A611" s="15">
        <f>Murid!A611</f>
        <v/>
      </c>
      <c r="B611" s="15">
        <f>IF(Murid!B611="","",Murid!B611)</f>
        <v/>
      </c>
      <c r="C611" s="16">
        <f>IF(Murid!C611="","",Murid!C611)</f>
        <v/>
      </c>
      <c r="D611" s="15">
        <f>IF(Murid!E611="","",Murid!E611)</f>
        <v/>
      </c>
      <c r="E611" s="11" t="n"/>
      <c r="F611" s="10">
        <f>IF(E611="","",IFERROR(VLOOKUP(E611,T_PERK,2,FALSE),0))</f>
        <v/>
      </c>
      <c r="G611" s="11" t="n"/>
      <c r="H611" s="10">
        <f>IF(G611="","",IFERROR(VLOOKUP(G611,T_ANUG,2,FALSE),0))</f>
        <v/>
      </c>
      <c r="I611" s="11" t="n"/>
      <c r="J611" s="11" t="n"/>
      <c r="K611" s="11" t="n"/>
      <c r="L611" s="11" t="n"/>
      <c r="M611" s="11" t="n"/>
      <c r="N611" s="11" t="n"/>
      <c r="O611" s="11" t="n"/>
      <c r="P611" s="10">
        <f>IF(COUNTA(I611:O611)=0,"",MIN(10,SUM(I611:O611)))</f>
        <v/>
      </c>
      <c r="Q611" s="11" t="n"/>
      <c r="R611" s="10">
        <f>IF(Q611="","",IFERROR(VLOOKUP(Q611,T_NILAM,2,FALSE),0))</f>
        <v/>
      </c>
      <c r="S611" s="11" t="n"/>
      <c r="T611" s="10">
        <f>IF(S611="","",IFERROR(VLOOKUP(S611,T_TIMSS,2,FALSE),0))</f>
        <v/>
      </c>
      <c r="U611" s="19">
        <f>IF(COUNT(F611,H611,P611,R611,T611)=0,"",MIN(10,MAX(F611,H611,P611,R611,T611)))</f>
        <v/>
      </c>
      <c r="V611" s="11" t="n"/>
    </row>
    <row r="612">
      <c r="A612" s="15">
        <f>Murid!A612</f>
        <v/>
      </c>
      <c r="B612" s="15">
        <f>IF(Murid!B612="","",Murid!B612)</f>
        <v/>
      </c>
      <c r="C612" s="16">
        <f>IF(Murid!C612="","",Murid!C612)</f>
        <v/>
      </c>
      <c r="D612" s="15">
        <f>IF(Murid!E612="","",Murid!E612)</f>
        <v/>
      </c>
      <c r="E612" s="11" t="n"/>
      <c r="F612" s="10">
        <f>IF(E612="","",IFERROR(VLOOKUP(E612,T_PERK,2,FALSE),0))</f>
        <v/>
      </c>
      <c r="G612" s="11" t="n"/>
      <c r="H612" s="10">
        <f>IF(G612="","",IFERROR(VLOOKUP(G612,T_ANUG,2,FALSE),0))</f>
        <v/>
      </c>
      <c r="I612" s="11" t="n"/>
      <c r="J612" s="11" t="n"/>
      <c r="K612" s="11" t="n"/>
      <c r="L612" s="11" t="n"/>
      <c r="M612" s="11" t="n"/>
      <c r="N612" s="11" t="n"/>
      <c r="O612" s="11" t="n"/>
      <c r="P612" s="10">
        <f>IF(COUNTA(I612:O612)=0,"",MIN(10,SUM(I612:O612)))</f>
        <v/>
      </c>
      <c r="Q612" s="11" t="n"/>
      <c r="R612" s="10">
        <f>IF(Q612="","",IFERROR(VLOOKUP(Q612,T_NILAM,2,FALSE),0))</f>
        <v/>
      </c>
      <c r="S612" s="11" t="n"/>
      <c r="T612" s="10">
        <f>IF(S612="","",IFERROR(VLOOKUP(S612,T_TIMSS,2,FALSE),0))</f>
        <v/>
      </c>
      <c r="U612" s="19">
        <f>IF(COUNT(F612,H612,P612,R612,T612)=0,"",MIN(10,MAX(F612,H612,P612,R612,T612)))</f>
        <v/>
      </c>
      <c r="V612" s="11" t="n"/>
    </row>
    <row r="613">
      <c r="A613" s="15">
        <f>Murid!A613</f>
        <v/>
      </c>
      <c r="B613" s="15">
        <f>IF(Murid!B613="","",Murid!B613)</f>
        <v/>
      </c>
      <c r="C613" s="16">
        <f>IF(Murid!C613="","",Murid!C613)</f>
        <v/>
      </c>
      <c r="D613" s="15">
        <f>IF(Murid!E613="","",Murid!E613)</f>
        <v/>
      </c>
      <c r="E613" s="11" t="n"/>
      <c r="F613" s="10">
        <f>IF(E613="","",IFERROR(VLOOKUP(E613,T_PERK,2,FALSE),0))</f>
        <v/>
      </c>
      <c r="G613" s="11" t="n"/>
      <c r="H613" s="10">
        <f>IF(G613="","",IFERROR(VLOOKUP(G613,T_ANUG,2,FALSE),0))</f>
        <v/>
      </c>
      <c r="I613" s="11" t="n"/>
      <c r="J613" s="11" t="n"/>
      <c r="K613" s="11" t="n"/>
      <c r="L613" s="11" t="n"/>
      <c r="M613" s="11" t="n"/>
      <c r="N613" s="11" t="n"/>
      <c r="O613" s="11" t="n"/>
      <c r="P613" s="10">
        <f>IF(COUNTA(I613:O613)=0,"",MIN(10,SUM(I613:O613)))</f>
        <v/>
      </c>
      <c r="Q613" s="11" t="n"/>
      <c r="R613" s="10">
        <f>IF(Q613="","",IFERROR(VLOOKUP(Q613,T_NILAM,2,FALSE),0))</f>
        <v/>
      </c>
      <c r="S613" s="11" t="n"/>
      <c r="T613" s="10">
        <f>IF(S613="","",IFERROR(VLOOKUP(S613,T_TIMSS,2,FALSE),0))</f>
        <v/>
      </c>
      <c r="U613" s="19">
        <f>IF(COUNT(F613,H613,P613,R613,T613)=0,"",MIN(10,MAX(F613,H613,P613,R613,T613)))</f>
        <v/>
      </c>
      <c r="V613" s="11" t="n"/>
    </row>
    <row r="614">
      <c r="A614" s="15">
        <f>Murid!A614</f>
        <v/>
      </c>
      <c r="B614" s="15">
        <f>IF(Murid!B614="","",Murid!B614)</f>
        <v/>
      </c>
      <c r="C614" s="16">
        <f>IF(Murid!C614="","",Murid!C614)</f>
        <v/>
      </c>
      <c r="D614" s="15">
        <f>IF(Murid!E614="","",Murid!E614)</f>
        <v/>
      </c>
      <c r="E614" s="11" t="n"/>
      <c r="F614" s="10">
        <f>IF(E614="","",IFERROR(VLOOKUP(E614,T_PERK,2,FALSE),0))</f>
        <v/>
      </c>
      <c r="G614" s="11" t="n"/>
      <c r="H614" s="10">
        <f>IF(G614="","",IFERROR(VLOOKUP(G614,T_ANUG,2,FALSE),0))</f>
        <v/>
      </c>
      <c r="I614" s="11" t="n"/>
      <c r="J614" s="11" t="n"/>
      <c r="K614" s="11" t="n"/>
      <c r="L614" s="11" t="n"/>
      <c r="M614" s="11" t="n"/>
      <c r="N614" s="11" t="n"/>
      <c r="O614" s="11" t="n"/>
      <c r="P614" s="10">
        <f>IF(COUNTA(I614:O614)=0,"",MIN(10,SUM(I614:O614)))</f>
        <v/>
      </c>
      <c r="Q614" s="11" t="n"/>
      <c r="R614" s="10">
        <f>IF(Q614="","",IFERROR(VLOOKUP(Q614,T_NILAM,2,FALSE),0))</f>
        <v/>
      </c>
      <c r="S614" s="11" t="n"/>
      <c r="T614" s="10">
        <f>IF(S614="","",IFERROR(VLOOKUP(S614,T_TIMSS,2,FALSE),0))</f>
        <v/>
      </c>
      <c r="U614" s="19">
        <f>IF(COUNT(F614,H614,P614,R614,T614)=0,"",MIN(10,MAX(F614,H614,P614,R614,T614)))</f>
        <v/>
      </c>
      <c r="V614" s="11" t="n"/>
    </row>
    <row r="615">
      <c r="A615" s="15">
        <f>Murid!A615</f>
        <v/>
      </c>
      <c r="B615" s="15">
        <f>IF(Murid!B615="","",Murid!B615)</f>
        <v/>
      </c>
      <c r="C615" s="16">
        <f>IF(Murid!C615="","",Murid!C615)</f>
        <v/>
      </c>
      <c r="D615" s="15">
        <f>IF(Murid!E615="","",Murid!E615)</f>
        <v/>
      </c>
      <c r="E615" s="11" t="n"/>
      <c r="F615" s="10">
        <f>IF(E615="","",IFERROR(VLOOKUP(E615,T_PERK,2,FALSE),0))</f>
        <v/>
      </c>
      <c r="G615" s="11" t="n"/>
      <c r="H615" s="10">
        <f>IF(G615="","",IFERROR(VLOOKUP(G615,T_ANUG,2,FALSE),0))</f>
        <v/>
      </c>
      <c r="I615" s="11" t="n"/>
      <c r="J615" s="11" t="n"/>
      <c r="K615" s="11" t="n"/>
      <c r="L615" s="11" t="n"/>
      <c r="M615" s="11" t="n"/>
      <c r="N615" s="11" t="n"/>
      <c r="O615" s="11" t="n"/>
      <c r="P615" s="10">
        <f>IF(COUNTA(I615:O615)=0,"",MIN(10,SUM(I615:O615)))</f>
        <v/>
      </c>
      <c r="Q615" s="11" t="n"/>
      <c r="R615" s="10">
        <f>IF(Q615="","",IFERROR(VLOOKUP(Q615,T_NILAM,2,FALSE),0))</f>
        <v/>
      </c>
      <c r="S615" s="11" t="n"/>
      <c r="T615" s="10">
        <f>IF(S615="","",IFERROR(VLOOKUP(S615,T_TIMSS,2,FALSE),0))</f>
        <v/>
      </c>
      <c r="U615" s="19">
        <f>IF(COUNT(F615,H615,P615,R615,T615)=0,"",MIN(10,MAX(F615,H615,P615,R615,T615)))</f>
        <v/>
      </c>
      <c r="V615" s="11" t="n"/>
    </row>
    <row r="616">
      <c r="A616" s="15">
        <f>Murid!A616</f>
        <v/>
      </c>
      <c r="B616" s="15">
        <f>IF(Murid!B616="","",Murid!B616)</f>
        <v/>
      </c>
      <c r="C616" s="16">
        <f>IF(Murid!C616="","",Murid!C616)</f>
        <v/>
      </c>
      <c r="D616" s="15">
        <f>IF(Murid!E616="","",Murid!E616)</f>
        <v/>
      </c>
      <c r="E616" s="11" t="n"/>
      <c r="F616" s="10">
        <f>IF(E616="","",IFERROR(VLOOKUP(E616,T_PERK,2,FALSE),0))</f>
        <v/>
      </c>
      <c r="G616" s="11" t="n"/>
      <c r="H616" s="10">
        <f>IF(G616="","",IFERROR(VLOOKUP(G616,T_ANUG,2,FALSE),0))</f>
        <v/>
      </c>
      <c r="I616" s="11" t="n"/>
      <c r="J616" s="11" t="n"/>
      <c r="K616" s="11" t="n"/>
      <c r="L616" s="11" t="n"/>
      <c r="M616" s="11" t="n"/>
      <c r="N616" s="11" t="n"/>
      <c r="O616" s="11" t="n"/>
      <c r="P616" s="10">
        <f>IF(COUNTA(I616:O616)=0,"",MIN(10,SUM(I616:O616)))</f>
        <v/>
      </c>
      <c r="Q616" s="11" t="n"/>
      <c r="R616" s="10">
        <f>IF(Q616="","",IFERROR(VLOOKUP(Q616,T_NILAM,2,FALSE),0))</f>
        <v/>
      </c>
      <c r="S616" s="11" t="n"/>
      <c r="T616" s="10">
        <f>IF(S616="","",IFERROR(VLOOKUP(S616,T_TIMSS,2,FALSE),0))</f>
        <v/>
      </c>
      <c r="U616" s="19">
        <f>IF(COUNT(F616,H616,P616,R616,T616)=0,"",MIN(10,MAX(F616,H616,P616,R616,T616)))</f>
        <v/>
      </c>
      <c r="V616" s="11" t="n"/>
    </row>
    <row r="617">
      <c r="A617" s="15">
        <f>Murid!A617</f>
        <v/>
      </c>
      <c r="B617" s="15">
        <f>IF(Murid!B617="","",Murid!B617)</f>
        <v/>
      </c>
      <c r="C617" s="16">
        <f>IF(Murid!C617="","",Murid!C617)</f>
        <v/>
      </c>
      <c r="D617" s="15">
        <f>IF(Murid!E617="","",Murid!E617)</f>
        <v/>
      </c>
      <c r="E617" s="11" t="n"/>
      <c r="F617" s="10">
        <f>IF(E617="","",IFERROR(VLOOKUP(E617,T_PERK,2,FALSE),0))</f>
        <v/>
      </c>
      <c r="G617" s="11" t="n"/>
      <c r="H617" s="10">
        <f>IF(G617="","",IFERROR(VLOOKUP(G617,T_ANUG,2,FALSE),0))</f>
        <v/>
      </c>
      <c r="I617" s="11" t="n"/>
      <c r="J617" s="11" t="n"/>
      <c r="K617" s="11" t="n"/>
      <c r="L617" s="11" t="n"/>
      <c r="M617" s="11" t="n"/>
      <c r="N617" s="11" t="n"/>
      <c r="O617" s="11" t="n"/>
      <c r="P617" s="10">
        <f>IF(COUNTA(I617:O617)=0,"",MIN(10,SUM(I617:O617)))</f>
        <v/>
      </c>
      <c r="Q617" s="11" t="n"/>
      <c r="R617" s="10">
        <f>IF(Q617="","",IFERROR(VLOOKUP(Q617,T_NILAM,2,FALSE),0))</f>
        <v/>
      </c>
      <c r="S617" s="11" t="n"/>
      <c r="T617" s="10">
        <f>IF(S617="","",IFERROR(VLOOKUP(S617,T_TIMSS,2,FALSE),0))</f>
        <v/>
      </c>
      <c r="U617" s="19">
        <f>IF(COUNT(F617,H617,P617,R617,T617)=0,"",MIN(10,MAX(F617,H617,P617,R617,T617)))</f>
        <v/>
      </c>
      <c r="V617" s="11" t="n"/>
    </row>
    <row r="618">
      <c r="A618" s="15">
        <f>Murid!A618</f>
        <v/>
      </c>
      <c r="B618" s="15">
        <f>IF(Murid!B618="","",Murid!B618)</f>
        <v/>
      </c>
      <c r="C618" s="16">
        <f>IF(Murid!C618="","",Murid!C618)</f>
        <v/>
      </c>
      <c r="D618" s="15">
        <f>IF(Murid!E618="","",Murid!E618)</f>
        <v/>
      </c>
      <c r="E618" s="11" t="n"/>
      <c r="F618" s="10">
        <f>IF(E618="","",IFERROR(VLOOKUP(E618,T_PERK,2,FALSE),0))</f>
        <v/>
      </c>
      <c r="G618" s="11" t="n"/>
      <c r="H618" s="10">
        <f>IF(G618="","",IFERROR(VLOOKUP(G618,T_ANUG,2,FALSE),0))</f>
        <v/>
      </c>
      <c r="I618" s="11" t="n"/>
      <c r="J618" s="11" t="n"/>
      <c r="K618" s="11" t="n"/>
      <c r="L618" s="11" t="n"/>
      <c r="M618" s="11" t="n"/>
      <c r="N618" s="11" t="n"/>
      <c r="O618" s="11" t="n"/>
      <c r="P618" s="10">
        <f>IF(COUNTA(I618:O618)=0,"",MIN(10,SUM(I618:O618)))</f>
        <v/>
      </c>
      <c r="Q618" s="11" t="n"/>
      <c r="R618" s="10">
        <f>IF(Q618="","",IFERROR(VLOOKUP(Q618,T_NILAM,2,FALSE),0))</f>
        <v/>
      </c>
      <c r="S618" s="11" t="n"/>
      <c r="T618" s="10">
        <f>IF(S618="","",IFERROR(VLOOKUP(S618,T_TIMSS,2,FALSE),0))</f>
        <v/>
      </c>
      <c r="U618" s="19">
        <f>IF(COUNT(F618,H618,P618,R618,T618)=0,"",MIN(10,MAX(F618,H618,P618,R618,T618)))</f>
        <v/>
      </c>
      <c r="V618" s="11" t="n"/>
    </row>
    <row r="619">
      <c r="A619" s="15">
        <f>Murid!A619</f>
        <v/>
      </c>
      <c r="B619" s="15">
        <f>IF(Murid!B619="","",Murid!B619)</f>
        <v/>
      </c>
      <c r="C619" s="16">
        <f>IF(Murid!C619="","",Murid!C619)</f>
        <v/>
      </c>
      <c r="D619" s="15">
        <f>IF(Murid!E619="","",Murid!E619)</f>
        <v/>
      </c>
      <c r="E619" s="11" t="n"/>
      <c r="F619" s="10">
        <f>IF(E619="","",IFERROR(VLOOKUP(E619,T_PERK,2,FALSE),0))</f>
        <v/>
      </c>
      <c r="G619" s="11" t="n"/>
      <c r="H619" s="10">
        <f>IF(G619="","",IFERROR(VLOOKUP(G619,T_ANUG,2,FALSE),0))</f>
        <v/>
      </c>
      <c r="I619" s="11" t="n"/>
      <c r="J619" s="11" t="n"/>
      <c r="K619" s="11" t="n"/>
      <c r="L619" s="11" t="n"/>
      <c r="M619" s="11" t="n"/>
      <c r="N619" s="11" t="n"/>
      <c r="O619" s="11" t="n"/>
      <c r="P619" s="10">
        <f>IF(COUNTA(I619:O619)=0,"",MIN(10,SUM(I619:O619)))</f>
        <v/>
      </c>
      <c r="Q619" s="11" t="n"/>
      <c r="R619" s="10">
        <f>IF(Q619="","",IFERROR(VLOOKUP(Q619,T_NILAM,2,FALSE),0))</f>
        <v/>
      </c>
      <c r="S619" s="11" t="n"/>
      <c r="T619" s="10">
        <f>IF(S619="","",IFERROR(VLOOKUP(S619,T_TIMSS,2,FALSE),0))</f>
        <v/>
      </c>
      <c r="U619" s="19">
        <f>IF(COUNT(F619,H619,P619,R619,T619)=0,"",MIN(10,MAX(F619,H619,P619,R619,T619)))</f>
        <v/>
      </c>
      <c r="V619" s="11" t="n"/>
    </row>
    <row r="620">
      <c r="A620" s="15">
        <f>Murid!A620</f>
        <v/>
      </c>
      <c r="B620" s="15">
        <f>IF(Murid!B620="","",Murid!B620)</f>
        <v/>
      </c>
      <c r="C620" s="16">
        <f>IF(Murid!C620="","",Murid!C620)</f>
        <v/>
      </c>
      <c r="D620" s="15">
        <f>IF(Murid!E620="","",Murid!E620)</f>
        <v/>
      </c>
      <c r="E620" s="11" t="n"/>
      <c r="F620" s="10">
        <f>IF(E620="","",IFERROR(VLOOKUP(E620,T_PERK,2,FALSE),0))</f>
        <v/>
      </c>
      <c r="G620" s="11" t="n"/>
      <c r="H620" s="10">
        <f>IF(G620="","",IFERROR(VLOOKUP(G620,T_ANUG,2,FALSE),0))</f>
        <v/>
      </c>
      <c r="I620" s="11" t="n"/>
      <c r="J620" s="11" t="n"/>
      <c r="K620" s="11" t="n"/>
      <c r="L620" s="11" t="n"/>
      <c r="M620" s="11" t="n"/>
      <c r="N620" s="11" t="n"/>
      <c r="O620" s="11" t="n"/>
      <c r="P620" s="10">
        <f>IF(COUNTA(I620:O620)=0,"",MIN(10,SUM(I620:O620)))</f>
        <v/>
      </c>
      <c r="Q620" s="11" t="n"/>
      <c r="R620" s="10">
        <f>IF(Q620="","",IFERROR(VLOOKUP(Q620,T_NILAM,2,FALSE),0))</f>
        <v/>
      </c>
      <c r="S620" s="11" t="n"/>
      <c r="T620" s="10">
        <f>IF(S620="","",IFERROR(VLOOKUP(S620,T_TIMSS,2,FALSE),0))</f>
        <v/>
      </c>
      <c r="U620" s="19">
        <f>IF(COUNT(F620,H620,P620,R620,T620)=0,"",MIN(10,MAX(F620,H620,P620,R620,T620)))</f>
        <v/>
      </c>
      <c r="V620" s="11" t="n"/>
    </row>
    <row r="621">
      <c r="A621" s="15">
        <f>Murid!A621</f>
        <v/>
      </c>
      <c r="B621" s="15">
        <f>IF(Murid!B621="","",Murid!B621)</f>
        <v/>
      </c>
      <c r="C621" s="16">
        <f>IF(Murid!C621="","",Murid!C621)</f>
        <v/>
      </c>
      <c r="D621" s="15">
        <f>IF(Murid!E621="","",Murid!E621)</f>
        <v/>
      </c>
      <c r="E621" s="11" t="n"/>
      <c r="F621" s="10">
        <f>IF(E621="","",IFERROR(VLOOKUP(E621,T_PERK,2,FALSE),0))</f>
        <v/>
      </c>
      <c r="G621" s="11" t="n"/>
      <c r="H621" s="10">
        <f>IF(G621="","",IFERROR(VLOOKUP(G621,T_ANUG,2,FALSE),0))</f>
        <v/>
      </c>
      <c r="I621" s="11" t="n"/>
      <c r="J621" s="11" t="n"/>
      <c r="K621" s="11" t="n"/>
      <c r="L621" s="11" t="n"/>
      <c r="M621" s="11" t="n"/>
      <c r="N621" s="11" t="n"/>
      <c r="O621" s="11" t="n"/>
      <c r="P621" s="10">
        <f>IF(COUNTA(I621:O621)=0,"",MIN(10,SUM(I621:O621)))</f>
        <v/>
      </c>
      <c r="Q621" s="11" t="n"/>
      <c r="R621" s="10">
        <f>IF(Q621="","",IFERROR(VLOOKUP(Q621,T_NILAM,2,FALSE),0))</f>
        <v/>
      </c>
      <c r="S621" s="11" t="n"/>
      <c r="T621" s="10">
        <f>IF(S621="","",IFERROR(VLOOKUP(S621,T_TIMSS,2,FALSE),0))</f>
        <v/>
      </c>
      <c r="U621" s="19">
        <f>IF(COUNT(F621,H621,P621,R621,T621)=0,"",MIN(10,MAX(F621,H621,P621,R621,T621)))</f>
        <v/>
      </c>
      <c r="V621" s="11" t="n"/>
    </row>
    <row r="622">
      <c r="A622" s="15">
        <f>Murid!A622</f>
        <v/>
      </c>
      <c r="B622" s="15">
        <f>IF(Murid!B622="","",Murid!B622)</f>
        <v/>
      </c>
      <c r="C622" s="16">
        <f>IF(Murid!C622="","",Murid!C622)</f>
        <v/>
      </c>
      <c r="D622" s="15">
        <f>IF(Murid!E622="","",Murid!E622)</f>
        <v/>
      </c>
      <c r="E622" s="11" t="n"/>
      <c r="F622" s="10">
        <f>IF(E622="","",IFERROR(VLOOKUP(E622,T_PERK,2,FALSE),0))</f>
        <v/>
      </c>
      <c r="G622" s="11" t="n"/>
      <c r="H622" s="10">
        <f>IF(G622="","",IFERROR(VLOOKUP(G622,T_ANUG,2,FALSE),0))</f>
        <v/>
      </c>
      <c r="I622" s="11" t="n"/>
      <c r="J622" s="11" t="n"/>
      <c r="K622" s="11" t="n"/>
      <c r="L622" s="11" t="n"/>
      <c r="M622" s="11" t="n"/>
      <c r="N622" s="11" t="n"/>
      <c r="O622" s="11" t="n"/>
      <c r="P622" s="10">
        <f>IF(COUNTA(I622:O622)=0,"",MIN(10,SUM(I622:O622)))</f>
        <v/>
      </c>
      <c r="Q622" s="11" t="n"/>
      <c r="R622" s="10">
        <f>IF(Q622="","",IFERROR(VLOOKUP(Q622,T_NILAM,2,FALSE),0))</f>
        <v/>
      </c>
      <c r="S622" s="11" t="n"/>
      <c r="T622" s="10">
        <f>IF(S622="","",IFERROR(VLOOKUP(S622,T_TIMSS,2,FALSE),0))</f>
        <v/>
      </c>
      <c r="U622" s="19">
        <f>IF(COUNT(F622,H622,P622,R622,T622)=0,"",MIN(10,MAX(F622,H622,P622,R622,T622)))</f>
        <v/>
      </c>
      <c r="V622" s="11" t="n"/>
    </row>
    <row r="623">
      <c r="A623" s="15">
        <f>Murid!A623</f>
        <v/>
      </c>
      <c r="B623" s="15">
        <f>IF(Murid!B623="","",Murid!B623)</f>
        <v/>
      </c>
      <c r="C623" s="16">
        <f>IF(Murid!C623="","",Murid!C623)</f>
        <v/>
      </c>
      <c r="D623" s="15">
        <f>IF(Murid!E623="","",Murid!E623)</f>
        <v/>
      </c>
      <c r="E623" s="11" t="n"/>
      <c r="F623" s="10">
        <f>IF(E623="","",IFERROR(VLOOKUP(E623,T_PERK,2,FALSE),0))</f>
        <v/>
      </c>
      <c r="G623" s="11" t="n"/>
      <c r="H623" s="10">
        <f>IF(G623="","",IFERROR(VLOOKUP(G623,T_ANUG,2,FALSE),0))</f>
        <v/>
      </c>
      <c r="I623" s="11" t="n"/>
      <c r="J623" s="11" t="n"/>
      <c r="K623" s="11" t="n"/>
      <c r="L623" s="11" t="n"/>
      <c r="M623" s="11" t="n"/>
      <c r="N623" s="11" t="n"/>
      <c r="O623" s="11" t="n"/>
      <c r="P623" s="10">
        <f>IF(COUNTA(I623:O623)=0,"",MIN(10,SUM(I623:O623)))</f>
        <v/>
      </c>
      <c r="Q623" s="11" t="n"/>
      <c r="R623" s="10">
        <f>IF(Q623="","",IFERROR(VLOOKUP(Q623,T_NILAM,2,FALSE),0))</f>
        <v/>
      </c>
      <c r="S623" s="11" t="n"/>
      <c r="T623" s="10">
        <f>IF(S623="","",IFERROR(VLOOKUP(S623,T_TIMSS,2,FALSE),0))</f>
        <v/>
      </c>
      <c r="U623" s="19">
        <f>IF(COUNT(F623,H623,P623,R623,T623)=0,"",MIN(10,MAX(F623,H623,P623,R623,T623)))</f>
        <v/>
      </c>
      <c r="V623" s="11" t="n"/>
    </row>
    <row r="624">
      <c r="A624" s="15">
        <f>Murid!A624</f>
        <v/>
      </c>
      <c r="B624" s="15">
        <f>IF(Murid!B624="","",Murid!B624)</f>
        <v/>
      </c>
      <c r="C624" s="16">
        <f>IF(Murid!C624="","",Murid!C624)</f>
        <v/>
      </c>
      <c r="D624" s="15">
        <f>IF(Murid!E624="","",Murid!E624)</f>
        <v/>
      </c>
      <c r="E624" s="11" t="n"/>
      <c r="F624" s="10">
        <f>IF(E624="","",IFERROR(VLOOKUP(E624,T_PERK,2,FALSE),0))</f>
        <v/>
      </c>
      <c r="G624" s="11" t="n"/>
      <c r="H624" s="10">
        <f>IF(G624="","",IFERROR(VLOOKUP(G624,T_ANUG,2,FALSE),0))</f>
        <v/>
      </c>
      <c r="I624" s="11" t="n"/>
      <c r="J624" s="11" t="n"/>
      <c r="K624" s="11" t="n"/>
      <c r="L624" s="11" t="n"/>
      <c r="M624" s="11" t="n"/>
      <c r="N624" s="11" t="n"/>
      <c r="O624" s="11" t="n"/>
      <c r="P624" s="10">
        <f>IF(COUNTA(I624:O624)=0,"",MIN(10,SUM(I624:O624)))</f>
        <v/>
      </c>
      <c r="Q624" s="11" t="n"/>
      <c r="R624" s="10">
        <f>IF(Q624="","",IFERROR(VLOOKUP(Q624,T_NILAM,2,FALSE),0))</f>
        <v/>
      </c>
      <c r="S624" s="11" t="n"/>
      <c r="T624" s="10">
        <f>IF(S624="","",IFERROR(VLOOKUP(S624,T_TIMSS,2,FALSE),0))</f>
        <v/>
      </c>
      <c r="U624" s="19">
        <f>IF(COUNT(F624,H624,P624,R624,T624)=0,"",MIN(10,MAX(F624,H624,P624,R624,T624)))</f>
        <v/>
      </c>
      <c r="V624" s="11" t="n"/>
    </row>
    <row r="625">
      <c r="A625" s="15">
        <f>Murid!A625</f>
        <v/>
      </c>
      <c r="B625" s="15">
        <f>IF(Murid!B625="","",Murid!B625)</f>
        <v/>
      </c>
      <c r="C625" s="16">
        <f>IF(Murid!C625="","",Murid!C625)</f>
        <v/>
      </c>
      <c r="D625" s="15">
        <f>IF(Murid!E625="","",Murid!E625)</f>
        <v/>
      </c>
      <c r="E625" s="11" t="n"/>
      <c r="F625" s="10">
        <f>IF(E625="","",IFERROR(VLOOKUP(E625,T_PERK,2,FALSE),0))</f>
        <v/>
      </c>
      <c r="G625" s="11" t="n"/>
      <c r="H625" s="10">
        <f>IF(G625="","",IFERROR(VLOOKUP(G625,T_ANUG,2,FALSE),0))</f>
        <v/>
      </c>
      <c r="I625" s="11" t="n"/>
      <c r="J625" s="11" t="n"/>
      <c r="K625" s="11" t="n"/>
      <c r="L625" s="11" t="n"/>
      <c r="M625" s="11" t="n"/>
      <c r="N625" s="11" t="n"/>
      <c r="O625" s="11" t="n"/>
      <c r="P625" s="10">
        <f>IF(COUNTA(I625:O625)=0,"",MIN(10,SUM(I625:O625)))</f>
        <v/>
      </c>
      <c r="Q625" s="11" t="n"/>
      <c r="R625" s="10">
        <f>IF(Q625="","",IFERROR(VLOOKUP(Q625,T_NILAM,2,FALSE),0))</f>
        <v/>
      </c>
      <c r="S625" s="11" t="n"/>
      <c r="T625" s="10">
        <f>IF(S625="","",IFERROR(VLOOKUP(S625,T_TIMSS,2,FALSE),0))</f>
        <v/>
      </c>
      <c r="U625" s="19">
        <f>IF(COUNT(F625,H625,P625,R625,T625)=0,"",MIN(10,MAX(F625,H625,P625,R625,T625)))</f>
        <v/>
      </c>
      <c r="V625" s="11" t="n"/>
    </row>
    <row r="626">
      <c r="A626" s="15">
        <f>Murid!A626</f>
        <v/>
      </c>
      <c r="B626" s="15">
        <f>IF(Murid!B626="","",Murid!B626)</f>
        <v/>
      </c>
      <c r="C626" s="16">
        <f>IF(Murid!C626="","",Murid!C626)</f>
        <v/>
      </c>
      <c r="D626" s="15">
        <f>IF(Murid!E626="","",Murid!E626)</f>
        <v/>
      </c>
      <c r="E626" s="11" t="n"/>
      <c r="F626" s="10">
        <f>IF(E626="","",IFERROR(VLOOKUP(E626,T_PERK,2,FALSE),0))</f>
        <v/>
      </c>
      <c r="G626" s="11" t="n"/>
      <c r="H626" s="10">
        <f>IF(G626="","",IFERROR(VLOOKUP(G626,T_ANUG,2,FALSE),0))</f>
        <v/>
      </c>
      <c r="I626" s="11" t="n"/>
      <c r="J626" s="11" t="n"/>
      <c r="K626" s="11" t="n"/>
      <c r="L626" s="11" t="n"/>
      <c r="M626" s="11" t="n"/>
      <c r="N626" s="11" t="n"/>
      <c r="O626" s="11" t="n"/>
      <c r="P626" s="10">
        <f>IF(COUNTA(I626:O626)=0,"",MIN(10,SUM(I626:O626)))</f>
        <v/>
      </c>
      <c r="Q626" s="11" t="n"/>
      <c r="R626" s="10">
        <f>IF(Q626="","",IFERROR(VLOOKUP(Q626,T_NILAM,2,FALSE),0))</f>
        <v/>
      </c>
      <c r="S626" s="11" t="n"/>
      <c r="T626" s="10">
        <f>IF(S626="","",IFERROR(VLOOKUP(S626,T_TIMSS,2,FALSE),0))</f>
        <v/>
      </c>
      <c r="U626" s="19">
        <f>IF(COUNT(F626,H626,P626,R626,T626)=0,"",MIN(10,MAX(F626,H626,P626,R626,T626)))</f>
        <v/>
      </c>
      <c r="V626" s="11" t="n"/>
    </row>
    <row r="627">
      <c r="A627" s="15">
        <f>Murid!A627</f>
        <v/>
      </c>
      <c r="B627" s="15">
        <f>IF(Murid!B627="","",Murid!B627)</f>
        <v/>
      </c>
      <c r="C627" s="16">
        <f>IF(Murid!C627="","",Murid!C627)</f>
        <v/>
      </c>
      <c r="D627" s="15">
        <f>IF(Murid!E627="","",Murid!E627)</f>
        <v/>
      </c>
      <c r="E627" s="11" t="n"/>
      <c r="F627" s="10">
        <f>IF(E627="","",IFERROR(VLOOKUP(E627,T_PERK,2,FALSE),0))</f>
        <v/>
      </c>
      <c r="G627" s="11" t="n"/>
      <c r="H627" s="10">
        <f>IF(G627="","",IFERROR(VLOOKUP(G627,T_ANUG,2,FALSE),0))</f>
        <v/>
      </c>
      <c r="I627" s="11" t="n"/>
      <c r="J627" s="11" t="n"/>
      <c r="K627" s="11" t="n"/>
      <c r="L627" s="11" t="n"/>
      <c r="M627" s="11" t="n"/>
      <c r="N627" s="11" t="n"/>
      <c r="O627" s="11" t="n"/>
      <c r="P627" s="10">
        <f>IF(COUNTA(I627:O627)=0,"",MIN(10,SUM(I627:O627)))</f>
        <v/>
      </c>
      <c r="Q627" s="11" t="n"/>
      <c r="R627" s="10">
        <f>IF(Q627="","",IFERROR(VLOOKUP(Q627,T_NILAM,2,FALSE),0))</f>
        <v/>
      </c>
      <c r="S627" s="11" t="n"/>
      <c r="T627" s="10">
        <f>IF(S627="","",IFERROR(VLOOKUP(S627,T_TIMSS,2,FALSE),0))</f>
        <v/>
      </c>
      <c r="U627" s="19">
        <f>IF(COUNT(F627,H627,P627,R627,T627)=0,"",MIN(10,MAX(F627,H627,P627,R627,T627)))</f>
        <v/>
      </c>
      <c r="V627" s="11" t="n"/>
    </row>
    <row r="628">
      <c r="A628" s="15">
        <f>Murid!A628</f>
        <v/>
      </c>
      <c r="B628" s="15">
        <f>IF(Murid!B628="","",Murid!B628)</f>
        <v/>
      </c>
      <c r="C628" s="16">
        <f>IF(Murid!C628="","",Murid!C628)</f>
        <v/>
      </c>
      <c r="D628" s="15">
        <f>IF(Murid!E628="","",Murid!E628)</f>
        <v/>
      </c>
      <c r="E628" s="11" t="n"/>
      <c r="F628" s="10">
        <f>IF(E628="","",IFERROR(VLOOKUP(E628,T_PERK,2,FALSE),0))</f>
        <v/>
      </c>
      <c r="G628" s="11" t="n"/>
      <c r="H628" s="10">
        <f>IF(G628="","",IFERROR(VLOOKUP(G628,T_ANUG,2,FALSE),0))</f>
        <v/>
      </c>
      <c r="I628" s="11" t="n"/>
      <c r="J628" s="11" t="n"/>
      <c r="K628" s="11" t="n"/>
      <c r="L628" s="11" t="n"/>
      <c r="M628" s="11" t="n"/>
      <c r="N628" s="11" t="n"/>
      <c r="O628" s="11" t="n"/>
      <c r="P628" s="10">
        <f>IF(COUNTA(I628:O628)=0,"",MIN(10,SUM(I628:O628)))</f>
        <v/>
      </c>
      <c r="Q628" s="11" t="n"/>
      <c r="R628" s="10">
        <f>IF(Q628="","",IFERROR(VLOOKUP(Q628,T_NILAM,2,FALSE),0))</f>
        <v/>
      </c>
      <c r="S628" s="11" t="n"/>
      <c r="T628" s="10">
        <f>IF(S628="","",IFERROR(VLOOKUP(S628,T_TIMSS,2,FALSE),0))</f>
        <v/>
      </c>
      <c r="U628" s="19">
        <f>IF(COUNT(F628,H628,P628,R628,T628)=0,"",MIN(10,MAX(F628,H628,P628,R628,T628)))</f>
        <v/>
      </c>
      <c r="V628" s="11" t="n"/>
    </row>
    <row r="629">
      <c r="A629" s="15">
        <f>Murid!A629</f>
        <v/>
      </c>
      <c r="B629" s="15">
        <f>IF(Murid!B629="","",Murid!B629)</f>
        <v/>
      </c>
      <c r="C629" s="16">
        <f>IF(Murid!C629="","",Murid!C629)</f>
        <v/>
      </c>
      <c r="D629" s="15">
        <f>IF(Murid!E629="","",Murid!E629)</f>
        <v/>
      </c>
      <c r="E629" s="11" t="n"/>
      <c r="F629" s="10">
        <f>IF(E629="","",IFERROR(VLOOKUP(E629,T_PERK,2,FALSE),0))</f>
        <v/>
      </c>
      <c r="G629" s="11" t="n"/>
      <c r="H629" s="10">
        <f>IF(G629="","",IFERROR(VLOOKUP(G629,T_ANUG,2,FALSE),0))</f>
        <v/>
      </c>
      <c r="I629" s="11" t="n"/>
      <c r="J629" s="11" t="n"/>
      <c r="K629" s="11" t="n"/>
      <c r="L629" s="11" t="n"/>
      <c r="M629" s="11" t="n"/>
      <c r="N629" s="11" t="n"/>
      <c r="O629" s="11" t="n"/>
      <c r="P629" s="10">
        <f>IF(COUNTA(I629:O629)=0,"",MIN(10,SUM(I629:O629)))</f>
        <v/>
      </c>
      <c r="Q629" s="11" t="n"/>
      <c r="R629" s="10">
        <f>IF(Q629="","",IFERROR(VLOOKUP(Q629,T_NILAM,2,FALSE),0))</f>
        <v/>
      </c>
      <c r="S629" s="11" t="n"/>
      <c r="T629" s="10">
        <f>IF(S629="","",IFERROR(VLOOKUP(S629,T_TIMSS,2,FALSE),0))</f>
        <v/>
      </c>
      <c r="U629" s="19">
        <f>IF(COUNT(F629,H629,P629,R629,T629)=0,"",MIN(10,MAX(F629,H629,P629,R629,T629)))</f>
        <v/>
      </c>
      <c r="V629" s="11" t="n"/>
    </row>
    <row r="630">
      <c r="A630" s="15">
        <f>Murid!A630</f>
        <v/>
      </c>
      <c r="B630" s="15">
        <f>IF(Murid!B630="","",Murid!B630)</f>
        <v/>
      </c>
      <c r="C630" s="16">
        <f>IF(Murid!C630="","",Murid!C630)</f>
        <v/>
      </c>
      <c r="D630" s="15">
        <f>IF(Murid!E630="","",Murid!E630)</f>
        <v/>
      </c>
      <c r="E630" s="11" t="n"/>
      <c r="F630" s="10">
        <f>IF(E630="","",IFERROR(VLOOKUP(E630,T_PERK,2,FALSE),0))</f>
        <v/>
      </c>
      <c r="G630" s="11" t="n"/>
      <c r="H630" s="10">
        <f>IF(G630="","",IFERROR(VLOOKUP(G630,T_ANUG,2,FALSE),0))</f>
        <v/>
      </c>
      <c r="I630" s="11" t="n"/>
      <c r="J630" s="11" t="n"/>
      <c r="K630" s="11" t="n"/>
      <c r="L630" s="11" t="n"/>
      <c r="M630" s="11" t="n"/>
      <c r="N630" s="11" t="n"/>
      <c r="O630" s="11" t="n"/>
      <c r="P630" s="10">
        <f>IF(COUNTA(I630:O630)=0,"",MIN(10,SUM(I630:O630)))</f>
        <v/>
      </c>
      <c r="Q630" s="11" t="n"/>
      <c r="R630" s="10">
        <f>IF(Q630="","",IFERROR(VLOOKUP(Q630,T_NILAM,2,FALSE),0))</f>
        <v/>
      </c>
      <c r="S630" s="11" t="n"/>
      <c r="T630" s="10">
        <f>IF(S630="","",IFERROR(VLOOKUP(S630,T_TIMSS,2,FALSE),0))</f>
        <v/>
      </c>
      <c r="U630" s="19">
        <f>IF(COUNT(F630,H630,P630,R630,T630)=0,"",MIN(10,MAX(F630,H630,P630,R630,T630)))</f>
        <v/>
      </c>
      <c r="V630" s="11" t="n"/>
    </row>
    <row r="631">
      <c r="A631" s="15">
        <f>Murid!A631</f>
        <v/>
      </c>
      <c r="B631" s="15">
        <f>IF(Murid!B631="","",Murid!B631)</f>
        <v/>
      </c>
      <c r="C631" s="16">
        <f>IF(Murid!C631="","",Murid!C631)</f>
        <v/>
      </c>
      <c r="D631" s="15">
        <f>IF(Murid!E631="","",Murid!E631)</f>
        <v/>
      </c>
      <c r="E631" s="11" t="n"/>
      <c r="F631" s="10">
        <f>IF(E631="","",IFERROR(VLOOKUP(E631,T_PERK,2,FALSE),0))</f>
        <v/>
      </c>
      <c r="G631" s="11" t="n"/>
      <c r="H631" s="10">
        <f>IF(G631="","",IFERROR(VLOOKUP(G631,T_ANUG,2,FALSE),0))</f>
        <v/>
      </c>
      <c r="I631" s="11" t="n"/>
      <c r="J631" s="11" t="n"/>
      <c r="K631" s="11" t="n"/>
      <c r="L631" s="11" t="n"/>
      <c r="M631" s="11" t="n"/>
      <c r="N631" s="11" t="n"/>
      <c r="O631" s="11" t="n"/>
      <c r="P631" s="10">
        <f>IF(COUNTA(I631:O631)=0,"",MIN(10,SUM(I631:O631)))</f>
        <v/>
      </c>
      <c r="Q631" s="11" t="n"/>
      <c r="R631" s="10">
        <f>IF(Q631="","",IFERROR(VLOOKUP(Q631,T_NILAM,2,FALSE),0))</f>
        <v/>
      </c>
      <c r="S631" s="11" t="n"/>
      <c r="T631" s="10">
        <f>IF(S631="","",IFERROR(VLOOKUP(S631,T_TIMSS,2,FALSE),0))</f>
        <v/>
      </c>
      <c r="U631" s="19">
        <f>IF(COUNT(F631,H631,P631,R631,T631)=0,"",MIN(10,MAX(F631,H631,P631,R631,T631)))</f>
        <v/>
      </c>
      <c r="V631" s="11" t="n"/>
    </row>
    <row r="632">
      <c r="A632" s="15">
        <f>Murid!A632</f>
        <v/>
      </c>
      <c r="B632" s="15">
        <f>IF(Murid!B632="","",Murid!B632)</f>
        <v/>
      </c>
      <c r="C632" s="16">
        <f>IF(Murid!C632="","",Murid!C632)</f>
        <v/>
      </c>
      <c r="D632" s="15">
        <f>IF(Murid!E632="","",Murid!E632)</f>
        <v/>
      </c>
      <c r="E632" s="11" t="n"/>
      <c r="F632" s="10">
        <f>IF(E632="","",IFERROR(VLOOKUP(E632,T_PERK,2,FALSE),0))</f>
        <v/>
      </c>
      <c r="G632" s="11" t="n"/>
      <c r="H632" s="10">
        <f>IF(G632="","",IFERROR(VLOOKUP(G632,T_ANUG,2,FALSE),0))</f>
        <v/>
      </c>
      <c r="I632" s="11" t="n"/>
      <c r="J632" s="11" t="n"/>
      <c r="K632" s="11" t="n"/>
      <c r="L632" s="11" t="n"/>
      <c r="M632" s="11" t="n"/>
      <c r="N632" s="11" t="n"/>
      <c r="O632" s="11" t="n"/>
      <c r="P632" s="10">
        <f>IF(COUNTA(I632:O632)=0,"",MIN(10,SUM(I632:O632)))</f>
        <v/>
      </c>
      <c r="Q632" s="11" t="n"/>
      <c r="R632" s="10">
        <f>IF(Q632="","",IFERROR(VLOOKUP(Q632,T_NILAM,2,FALSE),0))</f>
        <v/>
      </c>
      <c r="S632" s="11" t="n"/>
      <c r="T632" s="10">
        <f>IF(S632="","",IFERROR(VLOOKUP(S632,T_TIMSS,2,FALSE),0))</f>
        <v/>
      </c>
      <c r="U632" s="19">
        <f>IF(COUNT(F632,H632,P632,R632,T632)=0,"",MIN(10,MAX(F632,H632,P632,R632,T632)))</f>
        <v/>
      </c>
      <c r="V632" s="11" t="n"/>
    </row>
    <row r="633">
      <c r="A633" s="15">
        <f>Murid!A633</f>
        <v/>
      </c>
      <c r="B633" s="15">
        <f>IF(Murid!B633="","",Murid!B633)</f>
        <v/>
      </c>
      <c r="C633" s="16">
        <f>IF(Murid!C633="","",Murid!C633)</f>
        <v/>
      </c>
      <c r="D633" s="15">
        <f>IF(Murid!E633="","",Murid!E633)</f>
        <v/>
      </c>
      <c r="E633" s="11" t="n"/>
      <c r="F633" s="10">
        <f>IF(E633="","",IFERROR(VLOOKUP(E633,T_PERK,2,FALSE),0))</f>
        <v/>
      </c>
      <c r="G633" s="11" t="n"/>
      <c r="H633" s="10">
        <f>IF(G633="","",IFERROR(VLOOKUP(G633,T_ANUG,2,FALSE),0))</f>
        <v/>
      </c>
      <c r="I633" s="11" t="n"/>
      <c r="J633" s="11" t="n"/>
      <c r="K633" s="11" t="n"/>
      <c r="L633" s="11" t="n"/>
      <c r="M633" s="11" t="n"/>
      <c r="N633" s="11" t="n"/>
      <c r="O633" s="11" t="n"/>
      <c r="P633" s="10">
        <f>IF(COUNTA(I633:O633)=0,"",MIN(10,SUM(I633:O633)))</f>
        <v/>
      </c>
      <c r="Q633" s="11" t="n"/>
      <c r="R633" s="10">
        <f>IF(Q633="","",IFERROR(VLOOKUP(Q633,T_NILAM,2,FALSE),0))</f>
        <v/>
      </c>
      <c r="S633" s="11" t="n"/>
      <c r="T633" s="10">
        <f>IF(S633="","",IFERROR(VLOOKUP(S633,T_TIMSS,2,FALSE),0))</f>
        <v/>
      </c>
      <c r="U633" s="19">
        <f>IF(COUNT(F633,H633,P633,R633,T633)=0,"",MIN(10,MAX(F633,H633,P633,R633,T633)))</f>
        <v/>
      </c>
      <c r="V633" s="11" t="n"/>
    </row>
    <row r="634">
      <c r="A634" s="15">
        <f>Murid!A634</f>
        <v/>
      </c>
      <c r="B634" s="15">
        <f>IF(Murid!B634="","",Murid!B634)</f>
        <v/>
      </c>
      <c r="C634" s="16">
        <f>IF(Murid!C634="","",Murid!C634)</f>
        <v/>
      </c>
      <c r="D634" s="15">
        <f>IF(Murid!E634="","",Murid!E634)</f>
        <v/>
      </c>
      <c r="E634" s="11" t="n"/>
      <c r="F634" s="10">
        <f>IF(E634="","",IFERROR(VLOOKUP(E634,T_PERK,2,FALSE),0))</f>
        <v/>
      </c>
      <c r="G634" s="11" t="n"/>
      <c r="H634" s="10">
        <f>IF(G634="","",IFERROR(VLOOKUP(G634,T_ANUG,2,FALSE),0))</f>
        <v/>
      </c>
      <c r="I634" s="11" t="n"/>
      <c r="J634" s="11" t="n"/>
      <c r="K634" s="11" t="n"/>
      <c r="L634" s="11" t="n"/>
      <c r="M634" s="11" t="n"/>
      <c r="N634" s="11" t="n"/>
      <c r="O634" s="11" t="n"/>
      <c r="P634" s="10">
        <f>IF(COUNTA(I634:O634)=0,"",MIN(10,SUM(I634:O634)))</f>
        <v/>
      </c>
      <c r="Q634" s="11" t="n"/>
      <c r="R634" s="10">
        <f>IF(Q634="","",IFERROR(VLOOKUP(Q634,T_NILAM,2,FALSE),0))</f>
        <v/>
      </c>
      <c r="S634" s="11" t="n"/>
      <c r="T634" s="10">
        <f>IF(S634="","",IFERROR(VLOOKUP(S634,T_TIMSS,2,FALSE),0))</f>
        <v/>
      </c>
      <c r="U634" s="19">
        <f>IF(COUNT(F634,H634,P634,R634,T634)=0,"",MIN(10,MAX(F634,H634,P634,R634,T634)))</f>
        <v/>
      </c>
      <c r="V634" s="11" t="n"/>
    </row>
    <row r="635">
      <c r="A635" s="15">
        <f>Murid!A635</f>
        <v/>
      </c>
      <c r="B635" s="15">
        <f>IF(Murid!B635="","",Murid!B635)</f>
        <v/>
      </c>
      <c r="C635" s="16">
        <f>IF(Murid!C635="","",Murid!C635)</f>
        <v/>
      </c>
      <c r="D635" s="15">
        <f>IF(Murid!E635="","",Murid!E635)</f>
        <v/>
      </c>
      <c r="E635" s="11" t="n"/>
      <c r="F635" s="10">
        <f>IF(E635="","",IFERROR(VLOOKUP(E635,T_PERK,2,FALSE),0))</f>
        <v/>
      </c>
      <c r="G635" s="11" t="n"/>
      <c r="H635" s="10">
        <f>IF(G635="","",IFERROR(VLOOKUP(G635,T_ANUG,2,FALSE),0))</f>
        <v/>
      </c>
      <c r="I635" s="11" t="n"/>
      <c r="J635" s="11" t="n"/>
      <c r="K635" s="11" t="n"/>
      <c r="L635" s="11" t="n"/>
      <c r="M635" s="11" t="n"/>
      <c r="N635" s="11" t="n"/>
      <c r="O635" s="11" t="n"/>
      <c r="P635" s="10">
        <f>IF(COUNTA(I635:O635)=0,"",MIN(10,SUM(I635:O635)))</f>
        <v/>
      </c>
      <c r="Q635" s="11" t="n"/>
      <c r="R635" s="10">
        <f>IF(Q635="","",IFERROR(VLOOKUP(Q635,T_NILAM,2,FALSE),0))</f>
        <v/>
      </c>
      <c r="S635" s="11" t="n"/>
      <c r="T635" s="10">
        <f>IF(S635="","",IFERROR(VLOOKUP(S635,T_TIMSS,2,FALSE),0))</f>
        <v/>
      </c>
      <c r="U635" s="19">
        <f>IF(COUNT(F635,H635,P635,R635,T635)=0,"",MIN(10,MAX(F635,H635,P635,R635,T635)))</f>
        <v/>
      </c>
      <c r="V635" s="11" t="n"/>
    </row>
    <row r="636">
      <c r="A636" s="15">
        <f>Murid!A636</f>
        <v/>
      </c>
      <c r="B636" s="15">
        <f>IF(Murid!B636="","",Murid!B636)</f>
        <v/>
      </c>
      <c r="C636" s="16">
        <f>IF(Murid!C636="","",Murid!C636)</f>
        <v/>
      </c>
      <c r="D636" s="15">
        <f>IF(Murid!E636="","",Murid!E636)</f>
        <v/>
      </c>
      <c r="E636" s="11" t="n"/>
      <c r="F636" s="10">
        <f>IF(E636="","",IFERROR(VLOOKUP(E636,T_PERK,2,FALSE),0))</f>
        <v/>
      </c>
      <c r="G636" s="11" t="n"/>
      <c r="H636" s="10">
        <f>IF(G636="","",IFERROR(VLOOKUP(G636,T_ANUG,2,FALSE),0))</f>
        <v/>
      </c>
      <c r="I636" s="11" t="n"/>
      <c r="J636" s="11" t="n"/>
      <c r="K636" s="11" t="n"/>
      <c r="L636" s="11" t="n"/>
      <c r="M636" s="11" t="n"/>
      <c r="N636" s="11" t="n"/>
      <c r="O636" s="11" t="n"/>
      <c r="P636" s="10">
        <f>IF(COUNTA(I636:O636)=0,"",MIN(10,SUM(I636:O636)))</f>
        <v/>
      </c>
      <c r="Q636" s="11" t="n"/>
      <c r="R636" s="10">
        <f>IF(Q636="","",IFERROR(VLOOKUP(Q636,T_NILAM,2,FALSE),0))</f>
        <v/>
      </c>
      <c r="S636" s="11" t="n"/>
      <c r="T636" s="10">
        <f>IF(S636="","",IFERROR(VLOOKUP(S636,T_TIMSS,2,FALSE),0))</f>
        <v/>
      </c>
      <c r="U636" s="19">
        <f>IF(COUNT(F636,H636,P636,R636,T636)=0,"",MIN(10,MAX(F636,H636,P636,R636,T636)))</f>
        <v/>
      </c>
      <c r="V636" s="11" t="n"/>
    </row>
    <row r="637">
      <c r="A637" s="15">
        <f>Murid!A637</f>
        <v/>
      </c>
      <c r="B637" s="15">
        <f>IF(Murid!B637="","",Murid!B637)</f>
        <v/>
      </c>
      <c r="C637" s="16">
        <f>IF(Murid!C637="","",Murid!C637)</f>
        <v/>
      </c>
      <c r="D637" s="15">
        <f>IF(Murid!E637="","",Murid!E637)</f>
        <v/>
      </c>
      <c r="E637" s="11" t="n"/>
      <c r="F637" s="10">
        <f>IF(E637="","",IFERROR(VLOOKUP(E637,T_PERK,2,FALSE),0))</f>
        <v/>
      </c>
      <c r="G637" s="11" t="n"/>
      <c r="H637" s="10">
        <f>IF(G637="","",IFERROR(VLOOKUP(G637,T_ANUG,2,FALSE),0))</f>
        <v/>
      </c>
      <c r="I637" s="11" t="n"/>
      <c r="J637" s="11" t="n"/>
      <c r="K637" s="11" t="n"/>
      <c r="L637" s="11" t="n"/>
      <c r="M637" s="11" t="n"/>
      <c r="N637" s="11" t="n"/>
      <c r="O637" s="11" t="n"/>
      <c r="P637" s="10">
        <f>IF(COUNTA(I637:O637)=0,"",MIN(10,SUM(I637:O637)))</f>
        <v/>
      </c>
      <c r="Q637" s="11" t="n"/>
      <c r="R637" s="10">
        <f>IF(Q637="","",IFERROR(VLOOKUP(Q637,T_NILAM,2,FALSE),0))</f>
        <v/>
      </c>
      <c r="S637" s="11" t="n"/>
      <c r="T637" s="10">
        <f>IF(S637="","",IFERROR(VLOOKUP(S637,T_TIMSS,2,FALSE),0))</f>
        <v/>
      </c>
      <c r="U637" s="19">
        <f>IF(COUNT(F637,H637,P637,R637,T637)=0,"",MIN(10,MAX(F637,H637,P637,R637,T637)))</f>
        <v/>
      </c>
      <c r="V637" s="11" t="n"/>
    </row>
    <row r="638">
      <c r="A638" s="15">
        <f>Murid!A638</f>
        <v/>
      </c>
      <c r="B638" s="15">
        <f>IF(Murid!B638="","",Murid!B638)</f>
        <v/>
      </c>
      <c r="C638" s="16">
        <f>IF(Murid!C638="","",Murid!C638)</f>
        <v/>
      </c>
      <c r="D638" s="15">
        <f>IF(Murid!E638="","",Murid!E638)</f>
        <v/>
      </c>
      <c r="E638" s="11" t="n"/>
      <c r="F638" s="10">
        <f>IF(E638="","",IFERROR(VLOOKUP(E638,T_PERK,2,FALSE),0))</f>
        <v/>
      </c>
      <c r="G638" s="11" t="n"/>
      <c r="H638" s="10">
        <f>IF(G638="","",IFERROR(VLOOKUP(G638,T_ANUG,2,FALSE),0))</f>
        <v/>
      </c>
      <c r="I638" s="11" t="n"/>
      <c r="J638" s="11" t="n"/>
      <c r="K638" s="11" t="n"/>
      <c r="L638" s="11" t="n"/>
      <c r="M638" s="11" t="n"/>
      <c r="N638" s="11" t="n"/>
      <c r="O638" s="11" t="n"/>
      <c r="P638" s="10">
        <f>IF(COUNTA(I638:O638)=0,"",MIN(10,SUM(I638:O638)))</f>
        <v/>
      </c>
      <c r="Q638" s="11" t="n"/>
      <c r="R638" s="10">
        <f>IF(Q638="","",IFERROR(VLOOKUP(Q638,T_NILAM,2,FALSE),0))</f>
        <v/>
      </c>
      <c r="S638" s="11" t="n"/>
      <c r="T638" s="10">
        <f>IF(S638="","",IFERROR(VLOOKUP(S638,T_TIMSS,2,FALSE),0))</f>
        <v/>
      </c>
      <c r="U638" s="19">
        <f>IF(COUNT(F638,H638,P638,R638,T638)=0,"",MIN(10,MAX(F638,H638,P638,R638,T638)))</f>
        <v/>
      </c>
      <c r="V638" s="11" t="n"/>
    </row>
    <row r="639">
      <c r="A639" s="15">
        <f>Murid!A639</f>
        <v/>
      </c>
      <c r="B639" s="15">
        <f>IF(Murid!B639="","",Murid!B639)</f>
        <v/>
      </c>
      <c r="C639" s="16">
        <f>IF(Murid!C639="","",Murid!C639)</f>
        <v/>
      </c>
      <c r="D639" s="15">
        <f>IF(Murid!E639="","",Murid!E639)</f>
        <v/>
      </c>
      <c r="E639" s="11" t="n"/>
      <c r="F639" s="10">
        <f>IF(E639="","",IFERROR(VLOOKUP(E639,T_PERK,2,FALSE),0))</f>
        <v/>
      </c>
      <c r="G639" s="11" t="n"/>
      <c r="H639" s="10">
        <f>IF(G639="","",IFERROR(VLOOKUP(G639,T_ANUG,2,FALSE),0))</f>
        <v/>
      </c>
      <c r="I639" s="11" t="n"/>
      <c r="J639" s="11" t="n"/>
      <c r="K639" s="11" t="n"/>
      <c r="L639" s="11" t="n"/>
      <c r="M639" s="11" t="n"/>
      <c r="N639" s="11" t="n"/>
      <c r="O639" s="11" t="n"/>
      <c r="P639" s="10">
        <f>IF(COUNTA(I639:O639)=0,"",MIN(10,SUM(I639:O639)))</f>
        <v/>
      </c>
      <c r="Q639" s="11" t="n"/>
      <c r="R639" s="10">
        <f>IF(Q639="","",IFERROR(VLOOKUP(Q639,T_NILAM,2,FALSE),0))</f>
        <v/>
      </c>
      <c r="S639" s="11" t="n"/>
      <c r="T639" s="10">
        <f>IF(S639="","",IFERROR(VLOOKUP(S639,T_TIMSS,2,FALSE),0))</f>
        <v/>
      </c>
      <c r="U639" s="19">
        <f>IF(COUNT(F639,H639,P639,R639,T639)=0,"",MIN(10,MAX(F639,H639,P639,R639,T639)))</f>
        <v/>
      </c>
      <c r="V639" s="11" t="n"/>
    </row>
    <row r="640">
      <c r="A640" s="15">
        <f>Murid!A640</f>
        <v/>
      </c>
      <c r="B640" s="15">
        <f>IF(Murid!B640="","",Murid!B640)</f>
        <v/>
      </c>
      <c r="C640" s="16">
        <f>IF(Murid!C640="","",Murid!C640)</f>
        <v/>
      </c>
      <c r="D640" s="15">
        <f>IF(Murid!E640="","",Murid!E640)</f>
        <v/>
      </c>
      <c r="E640" s="11" t="n"/>
      <c r="F640" s="10">
        <f>IF(E640="","",IFERROR(VLOOKUP(E640,T_PERK,2,FALSE),0))</f>
        <v/>
      </c>
      <c r="G640" s="11" t="n"/>
      <c r="H640" s="10">
        <f>IF(G640="","",IFERROR(VLOOKUP(G640,T_ANUG,2,FALSE),0))</f>
        <v/>
      </c>
      <c r="I640" s="11" t="n"/>
      <c r="J640" s="11" t="n"/>
      <c r="K640" s="11" t="n"/>
      <c r="L640" s="11" t="n"/>
      <c r="M640" s="11" t="n"/>
      <c r="N640" s="11" t="n"/>
      <c r="O640" s="11" t="n"/>
      <c r="P640" s="10">
        <f>IF(COUNTA(I640:O640)=0,"",MIN(10,SUM(I640:O640)))</f>
        <v/>
      </c>
      <c r="Q640" s="11" t="n"/>
      <c r="R640" s="10">
        <f>IF(Q640="","",IFERROR(VLOOKUP(Q640,T_NILAM,2,FALSE),0))</f>
        <v/>
      </c>
      <c r="S640" s="11" t="n"/>
      <c r="T640" s="10">
        <f>IF(S640="","",IFERROR(VLOOKUP(S640,T_TIMSS,2,FALSE),0))</f>
        <v/>
      </c>
      <c r="U640" s="19">
        <f>IF(COUNT(F640,H640,P640,R640,T640)=0,"",MIN(10,MAX(F640,H640,P640,R640,T640)))</f>
        <v/>
      </c>
      <c r="V640" s="11" t="n"/>
    </row>
    <row r="641">
      <c r="A641" s="15">
        <f>Murid!A641</f>
        <v/>
      </c>
      <c r="B641" s="15">
        <f>IF(Murid!B641="","",Murid!B641)</f>
        <v/>
      </c>
      <c r="C641" s="16">
        <f>IF(Murid!C641="","",Murid!C641)</f>
        <v/>
      </c>
      <c r="D641" s="15">
        <f>IF(Murid!E641="","",Murid!E641)</f>
        <v/>
      </c>
      <c r="E641" s="11" t="n"/>
      <c r="F641" s="10">
        <f>IF(E641="","",IFERROR(VLOOKUP(E641,T_PERK,2,FALSE),0))</f>
        <v/>
      </c>
      <c r="G641" s="11" t="n"/>
      <c r="H641" s="10">
        <f>IF(G641="","",IFERROR(VLOOKUP(G641,T_ANUG,2,FALSE),0))</f>
        <v/>
      </c>
      <c r="I641" s="11" t="n"/>
      <c r="J641" s="11" t="n"/>
      <c r="K641" s="11" t="n"/>
      <c r="L641" s="11" t="n"/>
      <c r="M641" s="11" t="n"/>
      <c r="N641" s="11" t="n"/>
      <c r="O641" s="11" t="n"/>
      <c r="P641" s="10">
        <f>IF(COUNTA(I641:O641)=0,"",MIN(10,SUM(I641:O641)))</f>
        <v/>
      </c>
      <c r="Q641" s="11" t="n"/>
      <c r="R641" s="10">
        <f>IF(Q641="","",IFERROR(VLOOKUP(Q641,T_NILAM,2,FALSE),0))</f>
        <v/>
      </c>
      <c r="S641" s="11" t="n"/>
      <c r="T641" s="10">
        <f>IF(S641="","",IFERROR(VLOOKUP(S641,T_TIMSS,2,FALSE),0))</f>
        <v/>
      </c>
      <c r="U641" s="19">
        <f>IF(COUNT(F641,H641,P641,R641,T641)=0,"",MIN(10,MAX(F641,H641,P641,R641,T641)))</f>
        <v/>
      </c>
      <c r="V641" s="11" t="n"/>
    </row>
    <row r="642">
      <c r="A642" s="15">
        <f>Murid!A642</f>
        <v/>
      </c>
      <c r="B642" s="15">
        <f>IF(Murid!B642="","",Murid!B642)</f>
        <v/>
      </c>
      <c r="C642" s="16">
        <f>IF(Murid!C642="","",Murid!C642)</f>
        <v/>
      </c>
      <c r="D642" s="15">
        <f>IF(Murid!E642="","",Murid!E642)</f>
        <v/>
      </c>
      <c r="E642" s="11" t="n"/>
      <c r="F642" s="10">
        <f>IF(E642="","",IFERROR(VLOOKUP(E642,T_PERK,2,FALSE),0))</f>
        <v/>
      </c>
      <c r="G642" s="11" t="n"/>
      <c r="H642" s="10">
        <f>IF(G642="","",IFERROR(VLOOKUP(G642,T_ANUG,2,FALSE),0))</f>
        <v/>
      </c>
      <c r="I642" s="11" t="n"/>
      <c r="J642" s="11" t="n"/>
      <c r="K642" s="11" t="n"/>
      <c r="L642" s="11" t="n"/>
      <c r="M642" s="11" t="n"/>
      <c r="N642" s="11" t="n"/>
      <c r="O642" s="11" t="n"/>
      <c r="P642" s="10">
        <f>IF(COUNTA(I642:O642)=0,"",MIN(10,SUM(I642:O642)))</f>
        <v/>
      </c>
      <c r="Q642" s="11" t="n"/>
      <c r="R642" s="10">
        <f>IF(Q642="","",IFERROR(VLOOKUP(Q642,T_NILAM,2,FALSE),0))</f>
        <v/>
      </c>
      <c r="S642" s="11" t="n"/>
      <c r="T642" s="10">
        <f>IF(S642="","",IFERROR(VLOOKUP(S642,T_TIMSS,2,FALSE),0))</f>
        <v/>
      </c>
      <c r="U642" s="19">
        <f>IF(COUNT(F642,H642,P642,R642,T642)=0,"",MIN(10,MAX(F642,H642,P642,R642,T642)))</f>
        <v/>
      </c>
      <c r="V642" s="11" t="n"/>
    </row>
    <row r="643">
      <c r="A643" s="15">
        <f>Murid!A643</f>
        <v/>
      </c>
      <c r="B643" s="15">
        <f>IF(Murid!B643="","",Murid!B643)</f>
        <v/>
      </c>
      <c r="C643" s="16">
        <f>IF(Murid!C643="","",Murid!C643)</f>
        <v/>
      </c>
      <c r="D643" s="15">
        <f>IF(Murid!E643="","",Murid!E643)</f>
        <v/>
      </c>
      <c r="E643" s="11" t="n"/>
      <c r="F643" s="10">
        <f>IF(E643="","",IFERROR(VLOOKUP(E643,T_PERK,2,FALSE),0))</f>
        <v/>
      </c>
      <c r="G643" s="11" t="n"/>
      <c r="H643" s="10">
        <f>IF(G643="","",IFERROR(VLOOKUP(G643,T_ANUG,2,FALSE),0))</f>
        <v/>
      </c>
      <c r="I643" s="11" t="n"/>
      <c r="J643" s="11" t="n"/>
      <c r="K643" s="11" t="n"/>
      <c r="L643" s="11" t="n"/>
      <c r="M643" s="11" t="n"/>
      <c r="N643" s="11" t="n"/>
      <c r="O643" s="11" t="n"/>
      <c r="P643" s="10">
        <f>IF(COUNTA(I643:O643)=0,"",MIN(10,SUM(I643:O643)))</f>
        <v/>
      </c>
      <c r="Q643" s="11" t="n"/>
      <c r="R643" s="10">
        <f>IF(Q643="","",IFERROR(VLOOKUP(Q643,T_NILAM,2,FALSE),0))</f>
        <v/>
      </c>
      <c r="S643" s="11" t="n"/>
      <c r="T643" s="10">
        <f>IF(S643="","",IFERROR(VLOOKUP(S643,T_TIMSS,2,FALSE),0))</f>
        <v/>
      </c>
      <c r="U643" s="19">
        <f>IF(COUNT(F643,H643,P643,R643,T643)=0,"",MIN(10,MAX(F643,H643,P643,R643,T643)))</f>
        <v/>
      </c>
      <c r="V643" s="11" t="n"/>
    </row>
    <row r="644">
      <c r="A644" s="15">
        <f>Murid!A644</f>
        <v/>
      </c>
      <c r="B644" s="15">
        <f>IF(Murid!B644="","",Murid!B644)</f>
        <v/>
      </c>
      <c r="C644" s="16">
        <f>IF(Murid!C644="","",Murid!C644)</f>
        <v/>
      </c>
      <c r="D644" s="15">
        <f>IF(Murid!E644="","",Murid!E644)</f>
        <v/>
      </c>
      <c r="E644" s="11" t="n"/>
      <c r="F644" s="10">
        <f>IF(E644="","",IFERROR(VLOOKUP(E644,T_PERK,2,FALSE),0))</f>
        <v/>
      </c>
      <c r="G644" s="11" t="n"/>
      <c r="H644" s="10">
        <f>IF(G644="","",IFERROR(VLOOKUP(G644,T_ANUG,2,FALSE),0))</f>
        <v/>
      </c>
      <c r="I644" s="11" t="n"/>
      <c r="J644" s="11" t="n"/>
      <c r="K644" s="11" t="n"/>
      <c r="L644" s="11" t="n"/>
      <c r="M644" s="11" t="n"/>
      <c r="N644" s="11" t="n"/>
      <c r="O644" s="11" t="n"/>
      <c r="P644" s="10">
        <f>IF(COUNTA(I644:O644)=0,"",MIN(10,SUM(I644:O644)))</f>
        <v/>
      </c>
      <c r="Q644" s="11" t="n"/>
      <c r="R644" s="10">
        <f>IF(Q644="","",IFERROR(VLOOKUP(Q644,T_NILAM,2,FALSE),0))</f>
        <v/>
      </c>
      <c r="S644" s="11" t="n"/>
      <c r="T644" s="10">
        <f>IF(S644="","",IFERROR(VLOOKUP(S644,T_TIMSS,2,FALSE),0))</f>
        <v/>
      </c>
      <c r="U644" s="19">
        <f>IF(COUNT(F644,H644,P644,R644,T644)=0,"",MIN(10,MAX(F644,H644,P644,R644,T644)))</f>
        <v/>
      </c>
      <c r="V644" s="11" t="n"/>
    </row>
    <row r="645">
      <c r="A645" s="15">
        <f>Murid!A645</f>
        <v/>
      </c>
      <c r="B645" s="15">
        <f>IF(Murid!B645="","",Murid!B645)</f>
        <v/>
      </c>
      <c r="C645" s="16">
        <f>IF(Murid!C645="","",Murid!C645)</f>
        <v/>
      </c>
      <c r="D645" s="15">
        <f>IF(Murid!E645="","",Murid!E645)</f>
        <v/>
      </c>
      <c r="E645" s="11" t="n"/>
      <c r="F645" s="10">
        <f>IF(E645="","",IFERROR(VLOOKUP(E645,T_PERK,2,FALSE),0))</f>
        <v/>
      </c>
      <c r="G645" s="11" t="n"/>
      <c r="H645" s="10">
        <f>IF(G645="","",IFERROR(VLOOKUP(G645,T_ANUG,2,FALSE),0))</f>
        <v/>
      </c>
      <c r="I645" s="11" t="n"/>
      <c r="J645" s="11" t="n"/>
      <c r="K645" s="11" t="n"/>
      <c r="L645" s="11" t="n"/>
      <c r="M645" s="11" t="n"/>
      <c r="N645" s="11" t="n"/>
      <c r="O645" s="11" t="n"/>
      <c r="P645" s="10">
        <f>IF(COUNTA(I645:O645)=0,"",MIN(10,SUM(I645:O645)))</f>
        <v/>
      </c>
      <c r="Q645" s="11" t="n"/>
      <c r="R645" s="10">
        <f>IF(Q645="","",IFERROR(VLOOKUP(Q645,T_NILAM,2,FALSE),0))</f>
        <v/>
      </c>
      <c r="S645" s="11" t="n"/>
      <c r="T645" s="10">
        <f>IF(S645="","",IFERROR(VLOOKUP(S645,T_TIMSS,2,FALSE),0))</f>
        <v/>
      </c>
      <c r="U645" s="19">
        <f>IF(COUNT(F645,H645,P645,R645,T645)=0,"",MIN(10,MAX(F645,H645,P645,R645,T645)))</f>
        <v/>
      </c>
      <c r="V645" s="11" t="n"/>
    </row>
    <row r="646">
      <c r="A646" s="15">
        <f>Murid!A646</f>
        <v/>
      </c>
      <c r="B646" s="15">
        <f>IF(Murid!B646="","",Murid!B646)</f>
        <v/>
      </c>
      <c r="C646" s="16">
        <f>IF(Murid!C646="","",Murid!C646)</f>
        <v/>
      </c>
      <c r="D646" s="15">
        <f>IF(Murid!E646="","",Murid!E646)</f>
        <v/>
      </c>
      <c r="E646" s="11" t="n"/>
      <c r="F646" s="10">
        <f>IF(E646="","",IFERROR(VLOOKUP(E646,T_PERK,2,FALSE),0))</f>
        <v/>
      </c>
      <c r="G646" s="11" t="n"/>
      <c r="H646" s="10">
        <f>IF(G646="","",IFERROR(VLOOKUP(G646,T_ANUG,2,FALSE),0))</f>
        <v/>
      </c>
      <c r="I646" s="11" t="n"/>
      <c r="J646" s="11" t="n"/>
      <c r="K646" s="11" t="n"/>
      <c r="L646" s="11" t="n"/>
      <c r="M646" s="11" t="n"/>
      <c r="N646" s="11" t="n"/>
      <c r="O646" s="11" t="n"/>
      <c r="P646" s="10">
        <f>IF(COUNTA(I646:O646)=0,"",MIN(10,SUM(I646:O646)))</f>
        <v/>
      </c>
      <c r="Q646" s="11" t="n"/>
      <c r="R646" s="10">
        <f>IF(Q646="","",IFERROR(VLOOKUP(Q646,T_NILAM,2,FALSE),0))</f>
        <v/>
      </c>
      <c r="S646" s="11" t="n"/>
      <c r="T646" s="10">
        <f>IF(S646="","",IFERROR(VLOOKUP(S646,T_TIMSS,2,FALSE),0))</f>
        <v/>
      </c>
      <c r="U646" s="19">
        <f>IF(COUNT(F646,H646,P646,R646,T646)=0,"",MIN(10,MAX(F646,H646,P646,R646,T646)))</f>
        <v/>
      </c>
      <c r="V646" s="11" t="n"/>
    </row>
    <row r="647">
      <c r="A647" s="15">
        <f>Murid!A647</f>
        <v/>
      </c>
      <c r="B647" s="15">
        <f>IF(Murid!B647="","",Murid!B647)</f>
        <v/>
      </c>
      <c r="C647" s="16">
        <f>IF(Murid!C647="","",Murid!C647)</f>
        <v/>
      </c>
      <c r="D647" s="15">
        <f>IF(Murid!E647="","",Murid!E647)</f>
        <v/>
      </c>
      <c r="E647" s="11" t="n"/>
      <c r="F647" s="10">
        <f>IF(E647="","",IFERROR(VLOOKUP(E647,T_PERK,2,FALSE),0))</f>
        <v/>
      </c>
      <c r="G647" s="11" t="n"/>
      <c r="H647" s="10">
        <f>IF(G647="","",IFERROR(VLOOKUP(G647,T_ANUG,2,FALSE),0))</f>
        <v/>
      </c>
      <c r="I647" s="11" t="n"/>
      <c r="J647" s="11" t="n"/>
      <c r="K647" s="11" t="n"/>
      <c r="L647" s="11" t="n"/>
      <c r="M647" s="11" t="n"/>
      <c r="N647" s="11" t="n"/>
      <c r="O647" s="11" t="n"/>
      <c r="P647" s="10">
        <f>IF(COUNTA(I647:O647)=0,"",MIN(10,SUM(I647:O647)))</f>
        <v/>
      </c>
      <c r="Q647" s="11" t="n"/>
      <c r="R647" s="10">
        <f>IF(Q647="","",IFERROR(VLOOKUP(Q647,T_NILAM,2,FALSE),0))</f>
        <v/>
      </c>
      <c r="S647" s="11" t="n"/>
      <c r="T647" s="10">
        <f>IF(S647="","",IFERROR(VLOOKUP(S647,T_TIMSS,2,FALSE),0))</f>
        <v/>
      </c>
      <c r="U647" s="19">
        <f>IF(COUNT(F647,H647,P647,R647,T647)=0,"",MIN(10,MAX(F647,H647,P647,R647,T647)))</f>
        <v/>
      </c>
      <c r="V647" s="11" t="n"/>
    </row>
    <row r="648">
      <c r="A648" s="15">
        <f>Murid!A648</f>
        <v/>
      </c>
      <c r="B648" s="15">
        <f>IF(Murid!B648="","",Murid!B648)</f>
        <v/>
      </c>
      <c r="C648" s="16">
        <f>IF(Murid!C648="","",Murid!C648)</f>
        <v/>
      </c>
      <c r="D648" s="15">
        <f>IF(Murid!E648="","",Murid!E648)</f>
        <v/>
      </c>
      <c r="E648" s="11" t="n"/>
      <c r="F648" s="10">
        <f>IF(E648="","",IFERROR(VLOOKUP(E648,T_PERK,2,FALSE),0))</f>
        <v/>
      </c>
      <c r="G648" s="11" t="n"/>
      <c r="H648" s="10">
        <f>IF(G648="","",IFERROR(VLOOKUP(G648,T_ANUG,2,FALSE),0))</f>
        <v/>
      </c>
      <c r="I648" s="11" t="n"/>
      <c r="J648" s="11" t="n"/>
      <c r="K648" s="11" t="n"/>
      <c r="L648" s="11" t="n"/>
      <c r="M648" s="11" t="n"/>
      <c r="N648" s="11" t="n"/>
      <c r="O648" s="11" t="n"/>
      <c r="P648" s="10">
        <f>IF(COUNTA(I648:O648)=0,"",MIN(10,SUM(I648:O648)))</f>
        <v/>
      </c>
      <c r="Q648" s="11" t="n"/>
      <c r="R648" s="10">
        <f>IF(Q648="","",IFERROR(VLOOKUP(Q648,T_NILAM,2,FALSE),0))</f>
        <v/>
      </c>
      <c r="S648" s="11" t="n"/>
      <c r="T648" s="10">
        <f>IF(S648="","",IFERROR(VLOOKUP(S648,T_TIMSS,2,FALSE),0))</f>
        <v/>
      </c>
      <c r="U648" s="19">
        <f>IF(COUNT(F648,H648,P648,R648,T648)=0,"",MIN(10,MAX(F648,H648,P648,R648,T648)))</f>
        <v/>
      </c>
      <c r="V648" s="11" t="n"/>
    </row>
    <row r="649">
      <c r="A649" s="15">
        <f>Murid!A649</f>
        <v/>
      </c>
      <c r="B649" s="15">
        <f>IF(Murid!B649="","",Murid!B649)</f>
        <v/>
      </c>
      <c r="C649" s="16">
        <f>IF(Murid!C649="","",Murid!C649)</f>
        <v/>
      </c>
      <c r="D649" s="15">
        <f>IF(Murid!E649="","",Murid!E649)</f>
        <v/>
      </c>
      <c r="E649" s="11" t="n"/>
      <c r="F649" s="10">
        <f>IF(E649="","",IFERROR(VLOOKUP(E649,T_PERK,2,FALSE),0))</f>
        <v/>
      </c>
      <c r="G649" s="11" t="n"/>
      <c r="H649" s="10">
        <f>IF(G649="","",IFERROR(VLOOKUP(G649,T_ANUG,2,FALSE),0))</f>
        <v/>
      </c>
      <c r="I649" s="11" t="n"/>
      <c r="J649" s="11" t="n"/>
      <c r="K649" s="11" t="n"/>
      <c r="L649" s="11" t="n"/>
      <c r="M649" s="11" t="n"/>
      <c r="N649" s="11" t="n"/>
      <c r="O649" s="11" t="n"/>
      <c r="P649" s="10">
        <f>IF(COUNTA(I649:O649)=0,"",MIN(10,SUM(I649:O649)))</f>
        <v/>
      </c>
      <c r="Q649" s="11" t="n"/>
      <c r="R649" s="10">
        <f>IF(Q649="","",IFERROR(VLOOKUP(Q649,T_NILAM,2,FALSE),0))</f>
        <v/>
      </c>
      <c r="S649" s="11" t="n"/>
      <c r="T649" s="10">
        <f>IF(S649="","",IFERROR(VLOOKUP(S649,T_TIMSS,2,FALSE),0))</f>
        <v/>
      </c>
      <c r="U649" s="19">
        <f>IF(COUNT(F649,H649,P649,R649,T649)=0,"",MIN(10,MAX(F649,H649,P649,R649,T649)))</f>
        <v/>
      </c>
      <c r="V649" s="11" t="n"/>
    </row>
    <row r="650">
      <c r="A650" s="15">
        <f>Murid!A650</f>
        <v/>
      </c>
      <c r="B650" s="15">
        <f>IF(Murid!B650="","",Murid!B650)</f>
        <v/>
      </c>
      <c r="C650" s="16">
        <f>IF(Murid!C650="","",Murid!C650)</f>
        <v/>
      </c>
      <c r="D650" s="15">
        <f>IF(Murid!E650="","",Murid!E650)</f>
        <v/>
      </c>
      <c r="E650" s="11" t="n"/>
      <c r="F650" s="10">
        <f>IF(E650="","",IFERROR(VLOOKUP(E650,T_PERK,2,FALSE),0))</f>
        <v/>
      </c>
      <c r="G650" s="11" t="n"/>
      <c r="H650" s="10">
        <f>IF(G650="","",IFERROR(VLOOKUP(G650,T_ANUG,2,FALSE),0))</f>
        <v/>
      </c>
      <c r="I650" s="11" t="n"/>
      <c r="J650" s="11" t="n"/>
      <c r="K650" s="11" t="n"/>
      <c r="L650" s="11" t="n"/>
      <c r="M650" s="11" t="n"/>
      <c r="N650" s="11" t="n"/>
      <c r="O650" s="11" t="n"/>
      <c r="P650" s="10">
        <f>IF(COUNTA(I650:O650)=0,"",MIN(10,SUM(I650:O650)))</f>
        <v/>
      </c>
      <c r="Q650" s="11" t="n"/>
      <c r="R650" s="10">
        <f>IF(Q650="","",IFERROR(VLOOKUP(Q650,T_NILAM,2,FALSE),0))</f>
        <v/>
      </c>
      <c r="S650" s="11" t="n"/>
      <c r="T650" s="10">
        <f>IF(S650="","",IFERROR(VLOOKUP(S650,T_TIMSS,2,FALSE),0))</f>
        <v/>
      </c>
      <c r="U650" s="19">
        <f>IF(COUNT(F650,H650,P650,R650,T650)=0,"",MIN(10,MAX(F650,H650,P650,R650,T650)))</f>
        <v/>
      </c>
      <c r="V650" s="11" t="n"/>
    </row>
    <row r="651">
      <c r="A651" s="15">
        <f>Murid!A651</f>
        <v/>
      </c>
      <c r="B651" s="15">
        <f>IF(Murid!B651="","",Murid!B651)</f>
        <v/>
      </c>
      <c r="C651" s="16">
        <f>IF(Murid!C651="","",Murid!C651)</f>
        <v/>
      </c>
      <c r="D651" s="15">
        <f>IF(Murid!E651="","",Murid!E651)</f>
        <v/>
      </c>
      <c r="E651" s="11" t="n"/>
      <c r="F651" s="10">
        <f>IF(E651="","",IFERROR(VLOOKUP(E651,T_PERK,2,FALSE),0))</f>
        <v/>
      </c>
      <c r="G651" s="11" t="n"/>
      <c r="H651" s="10">
        <f>IF(G651="","",IFERROR(VLOOKUP(G651,T_ANUG,2,FALSE),0))</f>
        <v/>
      </c>
      <c r="I651" s="11" t="n"/>
      <c r="J651" s="11" t="n"/>
      <c r="K651" s="11" t="n"/>
      <c r="L651" s="11" t="n"/>
      <c r="M651" s="11" t="n"/>
      <c r="N651" s="11" t="n"/>
      <c r="O651" s="11" t="n"/>
      <c r="P651" s="10">
        <f>IF(COUNTA(I651:O651)=0,"",MIN(10,SUM(I651:O651)))</f>
        <v/>
      </c>
      <c r="Q651" s="11" t="n"/>
      <c r="R651" s="10">
        <f>IF(Q651="","",IFERROR(VLOOKUP(Q651,T_NILAM,2,FALSE),0))</f>
        <v/>
      </c>
      <c r="S651" s="11" t="n"/>
      <c r="T651" s="10">
        <f>IF(S651="","",IFERROR(VLOOKUP(S651,T_TIMSS,2,FALSE),0))</f>
        <v/>
      </c>
      <c r="U651" s="19">
        <f>IF(COUNT(F651,H651,P651,R651,T651)=0,"",MIN(10,MAX(F651,H651,P651,R651,T651)))</f>
        <v/>
      </c>
      <c r="V651" s="11" t="n"/>
    </row>
    <row r="652">
      <c r="A652" s="15">
        <f>Murid!A652</f>
        <v/>
      </c>
      <c r="B652" s="15">
        <f>IF(Murid!B652="","",Murid!B652)</f>
        <v/>
      </c>
      <c r="C652" s="16">
        <f>IF(Murid!C652="","",Murid!C652)</f>
        <v/>
      </c>
      <c r="D652" s="15">
        <f>IF(Murid!E652="","",Murid!E652)</f>
        <v/>
      </c>
      <c r="E652" s="11" t="n"/>
      <c r="F652" s="10">
        <f>IF(E652="","",IFERROR(VLOOKUP(E652,T_PERK,2,FALSE),0))</f>
        <v/>
      </c>
      <c r="G652" s="11" t="n"/>
      <c r="H652" s="10">
        <f>IF(G652="","",IFERROR(VLOOKUP(G652,T_ANUG,2,FALSE),0))</f>
        <v/>
      </c>
      <c r="I652" s="11" t="n"/>
      <c r="J652" s="11" t="n"/>
      <c r="K652" s="11" t="n"/>
      <c r="L652" s="11" t="n"/>
      <c r="M652" s="11" t="n"/>
      <c r="N652" s="11" t="n"/>
      <c r="O652" s="11" t="n"/>
      <c r="P652" s="10">
        <f>IF(COUNTA(I652:O652)=0,"",MIN(10,SUM(I652:O652)))</f>
        <v/>
      </c>
      <c r="Q652" s="11" t="n"/>
      <c r="R652" s="10">
        <f>IF(Q652="","",IFERROR(VLOOKUP(Q652,T_NILAM,2,FALSE),0))</f>
        <v/>
      </c>
      <c r="S652" s="11" t="n"/>
      <c r="T652" s="10">
        <f>IF(S652="","",IFERROR(VLOOKUP(S652,T_TIMSS,2,FALSE),0))</f>
        <v/>
      </c>
      <c r="U652" s="19">
        <f>IF(COUNT(F652,H652,P652,R652,T652)=0,"",MIN(10,MAX(F652,H652,P652,R652,T652)))</f>
        <v/>
      </c>
      <c r="V652" s="11" t="n"/>
    </row>
    <row r="653">
      <c r="A653" s="15">
        <f>Murid!A653</f>
        <v/>
      </c>
      <c r="B653" s="15">
        <f>IF(Murid!B653="","",Murid!B653)</f>
        <v/>
      </c>
      <c r="C653" s="16">
        <f>IF(Murid!C653="","",Murid!C653)</f>
        <v/>
      </c>
      <c r="D653" s="15">
        <f>IF(Murid!E653="","",Murid!E653)</f>
        <v/>
      </c>
      <c r="E653" s="11" t="n"/>
      <c r="F653" s="10">
        <f>IF(E653="","",IFERROR(VLOOKUP(E653,T_PERK,2,FALSE),0))</f>
        <v/>
      </c>
      <c r="G653" s="11" t="n"/>
      <c r="H653" s="10">
        <f>IF(G653="","",IFERROR(VLOOKUP(G653,T_ANUG,2,FALSE),0))</f>
        <v/>
      </c>
      <c r="I653" s="11" t="n"/>
      <c r="J653" s="11" t="n"/>
      <c r="K653" s="11" t="n"/>
      <c r="L653" s="11" t="n"/>
      <c r="M653" s="11" t="n"/>
      <c r="N653" s="11" t="n"/>
      <c r="O653" s="11" t="n"/>
      <c r="P653" s="10">
        <f>IF(COUNTA(I653:O653)=0,"",MIN(10,SUM(I653:O653)))</f>
        <v/>
      </c>
      <c r="Q653" s="11" t="n"/>
      <c r="R653" s="10">
        <f>IF(Q653="","",IFERROR(VLOOKUP(Q653,T_NILAM,2,FALSE),0))</f>
        <v/>
      </c>
      <c r="S653" s="11" t="n"/>
      <c r="T653" s="10">
        <f>IF(S653="","",IFERROR(VLOOKUP(S653,T_TIMSS,2,FALSE),0))</f>
        <v/>
      </c>
      <c r="U653" s="19">
        <f>IF(COUNT(F653,H653,P653,R653,T653)=0,"",MIN(10,MAX(F653,H653,P653,R653,T653)))</f>
        <v/>
      </c>
      <c r="V653" s="11" t="n"/>
    </row>
    <row r="654">
      <c r="A654" s="15">
        <f>Murid!A654</f>
        <v/>
      </c>
      <c r="B654" s="15">
        <f>IF(Murid!B654="","",Murid!B654)</f>
        <v/>
      </c>
      <c r="C654" s="16">
        <f>IF(Murid!C654="","",Murid!C654)</f>
        <v/>
      </c>
      <c r="D654" s="15">
        <f>IF(Murid!E654="","",Murid!E654)</f>
        <v/>
      </c>
      <c r="E654" s="11" t="n"/>
      <c r="F654" s="10">
        <f>IF(E654="","",IFERROR(VLOOKUP(E654,T_PERK,2,FALSE),0))</f>
        <v/>
      </c>
      <c r="G654" s="11" t="n"/>
      <c r="H654" s="10">
        <f>IF(G654="","",IFERROR(VLOOKUP(G654,T_ANUG,2,FALSE),0))</f>
        <v/>
      </c>
      <c r="I654" s="11" t="n"/>
      <c r="J654" s="11" t="n"/>
      <c r="K654" s="11" t="n"/>
      <c r="L654" s="11" t="n"/>
      <c r="M654" s="11" t="n"/>
      <c r="N654" s="11" t="n"/>
      <c r="O654" s="11" t="n"/>
      <c r="P654" s="10">
        <f>IF(COUNTA(I654:O654)=0,"",MIN(10,SUM(I654:O654)))</f>
        <v/>
      </c>
      <c r="Q654" s="11" t="n"/>
      <c r="R654" s="10">
        <f>IF(Q654="","",IFERROR(VLOOKUP(Q654,T_NILAM,2,FALSE),0))</f>
        <v/>
      </c>
      <c r="S654" s="11" t="n"/>
      <c r="T654" s="10">
        <f>IF(S654="","",IFERROR(VLOOKUP(S654,T_TIMSS,2,FALSE),0))</f>
        <v/>
      </c>
      <c r="U654" s="19">
        <f>IF(COUNT(F654,H654,P654,R654,T654)=0,"",MIN(10,MAX(F654,H654,P654,R654,T654)))</f>
        <v/>
      </c>
      <c r="V654" s="11" t="n"/>
    </row>
    <row r="655">
      <c r="A655" s="15">
        <f>Murid!A655</f>
        <v/>
      </c>
      <c r="B655" s="15">
        <f>IF(Murid!B655="","",Murid!B655)</f>
        <v/>
      </c>
      <c r="C655" s="16">
        <f>IF(Murid!C655="","",Murid!C655)</f>
        <v/>
      </c>
      <c r="D655" s="15">
        <f>IF(Murid!E655="","",Murid!E655)</f>
        <v/>
      </c>
      <c r="E655" s="11" t="n"/>
      <c r="F655" s="10">
        <f>IF(E655="","",IFERROR(VLOOKUP(E655,T_PERK,2,FALSE),0))</f>
        <v/>
      </c>
      <c r="G655" s="11" t="n"/>
      <c r="H655" s="10">
        <f>IF(G655="","",IFERROR(VLOOKUP(G655,T_ANUG,2,FALSE),0))</f>
        <v/>
      </c>
      <c r="I655" s="11" t="n"/>
      <c r="J655" s="11" t="n"/>
      <c r="K655" s="11" t="n"/>
      <c r="L655" s="11" t="n"/>
      <c r="M655" s="11" t="n"/>
      <c r="N655" s="11" t="n"/>
      <c r="O655" s="11" t="n"/>
      <c r="P655" s="10">
        <f>IF(COUNTA(I655:O655)=0,"",MIN(10,SUM(I655:O655)))</f>
        <v/>
      </c>
      <c r="Q655" s="11" t="n"/>
      <c r="R655" s="10">
        <f>IF(Q655="","",IFERROR(VLOOKUP(Q655,T_NILAM,2,FALSE),0))</f>
        <v/>
      </c>
      <c r="S655" s="11" t="n"/>
      <c r="T655" s="10">
        <f>IF(S655="","",IFERROR(VLOOKUP(S655,T_TIMSS,2,FALSE),0))</f>
        <v/>
      </c>
      <c r="U655" s="19">
        <f>IF(COUNT(F655,H655,P655,R655,T655)=0,"",MIN(10,MAX(F655,H655,P655,R655,T655)))</f>
        <v/>
      </c>
      <c r="V655" s="11" t="n"/>
    </row>
    <row r="656">
      <c r="A656" s="15">
        <f>Murid!A656</f>
        <v/>
      </c>
      <c r="B656" s="15">
        <f>IF(Murid!B656="","",Murid!B656)</f>
        <v/>
      </c>
      <c r="C656" s="16">
        <f>IF(Murid!C656="","",Murid!C656)</f>
        <v/>
      </c>
      <c r="D656" s="15">
        <f>IF(Murid!E656="","",Murid!E656)</f>
        <v/>
      </c>
      <c r="E656" s="11" t="n"/>
      <c r="F656" s="10">
        <f>IF(E656="","",IFERROR(VLOOKUP(E656,T_PERK,2,FALSE),0))</f>
        <v/>
      </c>
      <c r="G656" s="11" t="n"/>
      <c r="H656" s="10">
        <f>IF(G656="","",IFERROR(VLOOKUP(G656,T_ANUG,2,FALSE),0))</f>
        <v/>
      </c>
      <c r="I656" s="11" t="n"/>
      <c r="J656" s="11" t="n"/>
      <c r="K656" s="11" t="n"/>
      <c r="L656" s="11" t="n"/>
      <c r="M656" s="11" t="n"/>
      <c r="N656" s="11" t="n"/>
      <c r="O656" s="11" t="n"/>
      <c r="P656" s="10">
        <f>IF(COUNTA(I656:O656)=0,"",MIN(10,SUM(I656:O656)))</f>
        <v/>
      </c>
      <c r="Q656" s="11" t="n"/>
      <c r="R656" s="10">
        <f>IF(Q656="","",IFERROR(VLOOKUP(Q656,T_NILAM,2,FALSE),0))</f>
        <v/>
      </c>
      <c r="S656" s="11" t="n"/>
      <c r="T656" s="10">
        <f>IF(S656="","",IFERROR(VLOOKUP(S656,T_TIMSS,2,FALSE),0))</f>
        <v/>
      </c>
      <c r="U656" s="19">
        <f>IF(COUNT(F656,H656,P656,R656,T656)=0,"",MIN(10,MAX(F656,H656,P656,R656,T656)))</f>
        <v/>
      </c>
      <c r="V656" s="11" t="n"/>
    </row>
    <row r="657">
      <c r="A657" s="15">
        <f>Murid!A657</f>
        <v/>
      </c>
      <c r="B657" s="15">
        <f>IF(Murid!B657="","",Murid!B657)</f>
        <v/>
      </c>
      <c r="C657" s="16">
        <f>IF(Murid!C657="","",Murid!C657)</f>
        <v/>
      </c>
      <c r="D657" s="15">
        <f>IF(Murid!E657="","",Murid!E657)</f>
        <v/>
      </c>
      <c r="E657" s="11" t="n"/>
      <c r="F657" s="10">
        <f>IF(E657="","",IFERROR(VLOOKUP(E657,T_PERK,2,FALSE),0))</f>
        <v/>
      </c>
      <c r="G657" s="11" t="n"/>
      <c r="H657" s="10">
        <f>IF(G657="","",IFERROR(VLOOKUP(G657,T_ANUG,2,FALSE),0))</f>
        <v/>
      </c>
      <c r="I657" s="11" t="n"/>
      <c r="J657" s="11" t="n"/>
      <c r="K657" s="11" t="n"/>
      <c r="L657" s="11" t="n"/>
      <c r="M657" s="11" t="n"/>
      <c r="N657" s="11" t="n"/>
      <c r="O657" s="11" t="n"/>
      <c r="P657" s="10">
        <f>IF(COUNTA(I657:O657)=0,"",MIN(10,SUM(I657:O657)))</f>
        <v/>
      </c>
      <c r="Q657" s="11" t="n"/>
      <c r="R657" s="10">
        <f>IF(Q657="","",IFERROR(VLOOKUP(Q657,T_NILAM,2,FALSE),0))</f>
        <v/>
      </c>
      <c r="S657" s="11" t="n"/>
      <c r="T657" s="10">
        <f>IF(S657="","",IFERROR(VLOOKUP(S657,T_TIMSS,2,FALSE),0))</f>
        <v/>
      </c>
      <c r="U657" s="19">
        <f>IF(COUNT(F657,H657,P657,R657,T657)=0,"",MIN(10,MAX(F657,H657,P657,R657,T657)))</f>
        <v/>
      </c>
      <c r="V657" s="11" t="n"/>
    </row>
    <row r="658">
      <c r="A658" s="15">
        <f>Murid!A658</f>
        <v/>
      </c>
      <c r="B658" s="15">
        <f>IF(Murid!B658="","",Murid!B658)</f>
        <v/>
      </c>
      <c r="C658" s="16">
        <f>IF(Murid!C658="","",Murid!C658)</f>
        <v/>
      </c>
      <c r="D658" s="15">
        <f>IF(Murid!E658="","",Murid!E658)</f>
        <v/>
      </c>
      <c r="E658" s="11" t="n"/>
      <c r="F658" s="10">
        <f>IF(E658="","",IFERROR(VLOOKUP(E658,T_PERK,2,FALSE),0))</f>
        <v/>
      </c>
      <c r="G658" s="11" t="n"/>
      <c r="H658" s="10">
        <f>IF(G658="","",IFERROR(VLOOKUP(G658,T_ANUG,2,FALSE),0))</f>
        <v/>
      </c>
      <c r="I658" s="11" t="n"/>
      <c r="J658" s="11" t="n"/>
      <c r="K658" s="11" t="n"/>
      <c r="L658" s="11" t="n"/>
      <c r="M658" s="11" t="n"/>
      <c r="N658" s="11" t="n"/>
      <c r="O658" s="11" t="n"/>
      <c r="P658" s="10">
        <f>IF(COUNTA(I658:O658)=0,"",MIN(10,SUM(I658:O658)))</f>
        <v/>
      </c>
      <c r="Q658" s="11" t="n"/>
      <c r="R658" s="10">
        <f>IF(Q658="","",IFERROR(VLOOKUP(Q658,T_NILAM,2,FALSE),0))</f>
        <v/>
      </c>
      <c r="S658" s="11" t="n"/>
      <c r="T658" s="10">
        <f>IF(S658="","",IFERROR(VLOOKUP(S658,T_TIMSS,2,FALSE),0))</f>
        <v/>
      </c>
      <c r="U658" s="19">
        <f>IF(COUNT(F658,H658,P658,R658,T658)=0,"",MIN(10,MAX(F658,H658,P658,R658,T658)))</f>
        <v/>
      </c>
      <c r="V658" s="11" t="n"/>
    </row>
    <row r="659">
      <c r="A659" s="15">
        <f>Murid!A659</f>
        <v/>
      </c>
      <c r="B659" s="15">
        <f>IF(Murid!B659="","",Murid!B659)</f>
        <v/>
      </c>
      <c r="C659" s="16">
        <f>IF(Murid!C659="","",Murid!C659)</f>
        <v/>
      </c>
      <c r="D659" s="15">
        <f>IF(Murid!E659="","",Murid!E659)</f>
        <v/>
      </c>
      <c r="E659" s="11" t="n"/>
      <c r="F659" s="10">
        <f>IF(E659="","",IFERROR(VLOOKUP(E659,T_PERK,2,FALSE),0))</f>
        <v/>
      </c>
      <c r="G659" s="11" t="n"/>
      <c r="H659" s="10">
        <f>IF(G659="","",IFERROR(VLOOKUP(G659,T_ANUG,2,FALSE),0))</f>
        <v/>
      </c>
      <c r="I659" s="11" t="n"/>
      <c r="J659" s="11" t="n"/>
      <c r="K659" s="11" t="n"/>
      <c r="L659" s="11" t="n"/>
      <c r="M659" s="11" t="n"/>
      <c r="N659" s="11" t="n"/>
      <c r="O659" s="11" t="n"/>
      <c r="P659" s="10">
        <f>IF(COUNTA(I659:O659)=0,"",MIN(10,SUM(I659:O659)))</f>
        <v/>
      </c>
      <c r="Q659" s="11" t="n"/>
      <c r="R659" s="10">
        <f>IF(Q659="","",IFERROR(VLOOKUP(Q659,T_NILAM,2,FALSE),0))</f>
        <v/>
      </c>
      <c r="S659" s="11" t="n"/>
      <c r="T659" s="10">
        <f>IF(S659="","",IFERROR(VLOOKUP(S659,T_TIMSS,2,FALSE),0))</f>
        <v/>
      </c>
      <c r="U659" s="19">
        <f>IF(COUNT(F659,H659,P659,R659,T659)=0,"",MIN(10,MAX(F659,H659,P659,R659,T659)))</f>
        <v/>
      </c>
      <c r="V659" s="11" t="n"/>
    </row>
    <row r="660">
      <c r="A660" s="15">
        <f>Murid!A660</f>
        <v/>
      </c>
      <c r="B660" s="15">
        <f>IF(Murid!B660="","",Murid!B660)</f>
        <v/>
      </c>
      <c r="C660" s="16">
        <f>IF(Murid!C660="","",Murid!C660)</f>
        <v/>
      </c>
      <c r="D660" s="15">
        <f>IF(Murid!E660="","",Murid!E660)</f>
        <v/>
      </c>
      <c r="E660" s="11" t="n"/>
      <c r="F660" s="10">
        <f>IF(E660="","",IFERROR(VLOOKUP(E660,T_PERK,2,FALSE),0))</f>
        <v/>
      </c>
      <c r="G660" s="11" t="n"/>
      <c r="H660" s="10">
        <f>IF(G660="","",IFERROR(VLOOKUP(G660,T_ANUG,2,FALSE),0))</f>
        <v/>
      </c>
      <c r="I660" s="11" t="n"/>
      <c r="J660" s="11" t="n"/>
      <c r="K660" s="11" t="n"/>
      <c r="L660" s="11" t="n"/>
      <c r="M660" s="11" t="n"/>
      <c r="N660" s="11" t="n"/>
      <c r="O660" s="11" t="n"/>
      <c r="P660" s="10">
        <f>IF(COUNTA(I660:O660)=0,"",MIN(10,SUM(I660:O660)))</f>
        <v/>
      </c>
      <c r="Q660" s="11" t="n"/>
      <c r="R660" s="10">
        <f>IF(Q660="","",IFERROR(VLOOKUP(Q660,T_NILAM,2,FALSE),0))</f>
        <v/>
      </c>
      <c r="S660" s="11" t="n"/>
      <c r="T660" s="10">
        <f>IF(S660="","",IFERROR(VLOOKUP(S660,T_TIMSS,2,FALSE),0))</f>
        <v/>
      </c>
      <c r="U660" s="19">
        <f>IF(COUNT(F660,H660,P660,R660,T660)=0,"",MIN(10,MAX(F660,H660,P660,R660,T660)))</f>
        <v/>
      </c>
      <c r="V660" s="11" t="n"/>
    </row>
    <row r="661">
      <c r="A661" s="15">
        <f>Murid!A661</f>
        <v/>
      </c>
      <c r="B661" s="15">
        <f>IF(Murid!B661="","",Murid!B661)</f>
        <v/>
      </c>
      <c r="C661" s="16">
        <f>IF(Murid!C661="","",Murid!C661)</f>
        <v/>
      </c>
      <c r="D661" s="15">
        <f>IF(Murid!E661="","",Murid!E661)</f>
        <v/>
      </c>
      <c r="E661" s="11" t="n"/>
      <c r="F661" s="10">
        <f>IF(E661="","",IFERROR(VLOOKUP(E661,T_PERK,2,FALSE),0))</f>
        <v/>
      </c>
      <c r="G661" s="11" t="n"/>
      <c r="H661" s="10">
        <f>IF(G661="","",IFERROR(VLOOKUP(G661,T_ANUG,2,FALSE),0))</f>
        <v/>
      </c>
      <c r="I661" s="11" t="n"/>
      <c r="J661" s="11" t="n"/>
      <c r="K661" s="11" t="n"/>
      <c r="L661" s="11" t="n"/>
      <c r="M661" s="11" t="n"/>
      <c r="N661" s="11" t="n"/>
      <c r="O661" s="11" t="n"/>
      <c r="P661" s="10">
        <f>IF(COUNTA(I661:O661)=0,"",MIN(10,SUM(I661:O661)))</f>
        <v/>
      </c>
      <c r="Q661" s="11" t="n"/>
      <c r="R661" s="10">
        <f>IF(Q661="","",IFERROR(VLOOKUP(Q661,T_NILAM,2,FALSE),0))</f>
        <v/>
      </c>
      <c r="S661" s="11" t="n"/>
      <c r="T661" s="10">
        <f>IF(S661="","",IFERROR(VLOOKUP(S661,T_TIMSS,2,FALSE),0))</f>
        <v/>
      </c>
      <c r="U661" s="19">
        <f>IF(COUNT(F661,H661,P661,R661,T661)=0,"",MIN(10,MAX(F661,H661,P661,R661,T661)))</f>
        <v/>
      </c>
      <c r="V661" s="11" t="n"/>
    </row>
    <row r="662">
      <c r="A662" s="15">
        <f>Murid!A662</f>
        <v/>
      </c>
      <c r="B662" s="15">
        <f>IF(Murid!B662="","",Murid!B662)</f>
        <v/>
      </c>
      <c r="C662" s="16">
        <f>IF(Murid!C662="","",Murid!C662)</f>
        <v/>
      </c>
      <c r="D662" s="15">
        <f>IF(Murid!E662="","",Murid!E662)</f>
        <v/>
      </c>
      <c r="E662" s="11" t="n"/>
      <c r="F662" s="10">
        <f>IF(E662="","",IFERROR(VLOOKUP(E662,T_PERK,2,FALSE),0))</f>
        <v/>
      </c>
      <c r="G662" s="11" t="n"/>
      <c r="H662" s="10">
        <f>IF(G662="","",IFERROR(VLOOKUP(G662,T_ANUG,2,FALSE),0))</f>
        <v/>
      </c>
      <c r="I662" s="11" t="n"/>
      <c r="J662" s="11" t="n"/>
      <c r="K662" s="11" t="n"/>
      <c r="L662" s="11" t="n"/>
      <c r="M662" s="11" t="n"/>
      <c r="N662" s="11" t="n"/>
      <c r="O662" s="11" t="n"/>
      <c r="P662" s="10">
        <f>IF(COUNTA(I662:O662)=0,"",MIN(10,SUM(I662:O662)))</f>
        <v/>
      </c>
      <c r="Q662" s="11" t="n"/>
      <c r="R662" s="10">
        <f>IF(Q662="","",IFERROR(VLOOKUP(Q662,T_NILAM,2,FALSE),0))</f>
        <v/>
      </c>
      <c r="S662" s="11" t="n"/>
      <c r="T662" s="10">
        <f>IF(S662="","",IFERROR(VLOOKUP(S662,T_TIMSS,2,FALSE),0))</f>
        <v/>
      </c>
      <c r="U662" s="19">
        <f>IF(COUNT(F662,H662,P662,R662,T662)=0,"",MIN(10,MAX(F662,H662,P662,R662,T662)))</f>
        <v/>
      </c>
      <c r="V662" s="11" t="n"/>
    </row>
    <row r="663">
      <c r="A663" s="15">
        <f>Murid!A663</f>
        <v/>
      </c>
      <c r="B663" s="15">
        <f>IF(Murid!B663="","",Murid!B663)</f>
        <v/>
      </c>
      <c r="C663" s="16">
        <f>IF(Murid!C663="","",Murid!C663)</f>
        <v/>
      </c>
      <c r="D663" s="15">
        <f>IF(Murid!E663="","",Murid!E663)</f>
        <v/>
      </c>
      <c r="E663" s="11" t="n"/>
      <c r="F663" s="10">
        <f>IF(E663="","",IFERROR(VLOOKUP(E663,T_PERK,2,FALSE),0))</f>
        <v/>
      </c>
      <c r="G663" s="11" t="n"/>
      <c r="H663" s="10">
        <f>IF(G663="","",IFERROR(VLOOKUP(G663,T_ANUG,2,FALSE),0))</f>
        <v/>
      </c>
      <c r="I663" s="11" t="n"/>
      <c r="J663" s="11" t="n"/>
      <c r="K663" s="11" t="n"/>
      <c r="L663" s="11" t="n"/>
      <c r="M663" s="11" t="n"/>
      <c r="N663" s="11" t="n"/>
      <c r="O663" s="11" t="n"/>
      <c r="P663" s="10">
        <f>IF(COUNTA(I663:O663)=0,"",MIN(10,SUM(I663:O663)))</f>
        <v/>
      </c>
      <c r="Q663" s="11" t="n"/>
      <c r="R663" s="10">
        <f>IF(Q663="","",IFERROR(VLOOKUP(Q663,T_NILAM,2,FALSE),0))</f>
        <v/>
      </c>
      <c r="S663" s="11" t="n"/>
      <c r="T663" s="10">
        <f>IF(S663="","",IFERROR(VLOOKUP(S663,T_TIMSS,2,FALSE),0))</f>
        <v/>
      </c>
      <c r="U663" s="19">
        <f>IF(COUNT(F663,H663,P663,R663,T663)=0,"",MIN(10,MAX(F663,H663,P663,R663,T663)))</f>
        <v/>
      </c>
      <c r="V663" s="11" t="n"/>
    </row>
    <row r="664">
      <c r="A664" s="15">
        <f>Murid!A664</f>
        <v/>
      </c>
      <c r="B664" s="15">
        <f>IF(Murid!B664="","",Murid!B664)</f>
        <v/>
      </c>
      <c r="C664" s="16">
        <f>IF(Murid!C664="","",Murid!C664)</f>
        <v/>
      </c>
      <c r="D664" s="15">
        <f>IF(Murid!E664="","",Murid!E664)</f>
        <v/>
      </c>
      <c r="E664" s="11" t="n"/>
      <c r="F664" s="10">
        <f>IF(E664="","",IFERROR(VLOOKUP(E664,T_PERK,2,FALSE),0))</f>
        <v/>
      </c>
      <c r="G664" s="11" t="n"/>
      <c r="H664" s="10">
        <f>IF(G664="","",IFERROR(VLOOKUP(G664,T_ANUG,2,FALSE),0))</f>
        <v/>
      </c>
      <c r="I664" s="11" t="n"/>
      <c r="J664" s="11" t="n"/>
      <c r="K664" s="11" t="n"/>
      <c r="L664" s="11" t="n"/>
      <c r="M664" s="11" t="n"/>
      <c r="N664" s="11" t="n"/>
      <c r="O664" s="11" t="n"/>
      <c r="P664" s="10">
        <f>IF(COUNTA(I664:O664)=0,"",MIN(10,SUM(I664:O664)))</f>
        <v/>
      </c>
      <c r="Q664" s="11" t="n"/>
      <c r="R664" s="10">
        <f>IF(Q664="","",IFERROR(VLOOKUP(Q664,T_NILAM,2,FALSE),0))</f>
        <v/>
      </c>
      <c r="S664" s="11" t="n"/>
      <c r="T664" s="10">
        <f>IF(S664="","",IFERROR(VLOOKUP(S664,T_TIMSS,2,FALSE),0))</f>
        <v/>
      </c>
      <c r="U664" s="19">
        <f>IF(COUNT(F664,H664,P664,R664,T664)=0,"",MIN(10,MAX(F664,H664,P664,R664,T664)))</f>
        <v/>
      </c>
      <c r="V664" s="11" t="n"/>
    </row>
    <row r="665">
      <c r="A665" s="15">
        <f>Murid!A665</f>
        <v/>
      </c>
      <c r="B665" s="15">
        <f>IF(Murid!B665="","",Murid!B665)</f>
        <v/>
      </c>
      <c r="C665" s="16">
        <f>IF(Murid!C665="","",Murid!C665)</f>
        <v/>
      </c>
      <c r="D665" s="15">
        <f>IF(Murid!E665="","",Murid!E665)</f>
        <v/>
      </c>
      <c r="E665" s="11" t="n"/>
      <c r="F665" s="10">
        <f>IF(E665="","",IFERROR(VLOOKUP(E665,T_PERK,2,FALSE),0))</f>
        <v/>
      </c>
      <c r="G665" s="11" t="n"/>
      <c r="H665" s="10">
        <f>IF(G665="","",IFERROR(VLOOKUP(G665,T_ANUG,2,FALSE),0))</f>
        <v/>
      </c>
      <c r="I665" s="11" t="n"/>
      <c r="J665" s="11" t="n"/>
      <c r="K665" s="11" t="n"/>
      <c r="L665" s="11" t="n"/>
      <c r="M665" s="11" t="n"/>
      <c r="N665" s="11" t="n"/>
      <c r="O665" s="11" t="n"/>
      <c r="P665" s="10">
        <f>IF(COUNTA(I665:O665)=0,"",MIN(10,SUM(I665:O665)))</f>
        <v/>
      </c>
      <c r="Q665" s="11" t="n"/>
      <c r="R665" s="10">
        <f>IF(Q665="","",IFERROR(VLOOKUP(Q665,T_NILAM,2,FALSE),0))</f>
        <v/>
      </c>
      <c r="S665" s="11" t="n"/>
      <c r="T665" s="10">
        <f>IF(S665="","",IFERROR(VLOOKUP(S665,T_TIMSS,2,FALSE),0))</f>
        <v/>
      </c>
      <c r="U665" s="19">
        <f>IF(COUNT(F665,H665,P665,R665,T665)=0,"",MIN(10,MAX(F665,H665,P665,R665,T665)))</f>
        <v/>
      </c>
      <c r="V665" s="11" t="n"/>
    </row>
    <row r="666">
      <c r="A666" s="15">
        <f>Murid!A666</f>
        <v/>
      </c>
      <c r="B666" s="15">
        <f>IF(Murid!B666="","",Murid!B666)</f>
        <v/>
      </c>
      <c r="C666" s="16">
        <f>IF(Murid!C666="","",Murid!C666)</f>
        <v/>
      </c>
      <c r="D666" s="15">
        <f>IF(Murid!E666="","",Murid!E666)</f>
        <v/>
      </c>
      <c r="E666" s="11" t="n"/>
      <c r="F666" s="10">
        <f>IF(E666="","",IFERROR(VLOOKUP(E666,T_PERK,2,FALSE),0))</f>
        <v/>
      </c>
      <c r="G666" s="11" t="n"/>
      <c r="H666" s="10">
        <f>IF(G666="","",IFERROR(VLOOKUP(G666,T_ANUG,2,FALSE),0))</f>
        <v/>
      </c>
      <c r="I666" s="11" t="n"/>
      <c r="J666" s="11" t="n"/>
      <c r="K666" s="11" t="n"/>
      <c r="L666" s="11" t="n"/>
      <c r="M666" s="11" t="n"/>
      <c r="N666" s="11" t="n"/>
      <c r="O666" s="11" t="n"/>
      <c r="P666" s="10">
        <f>IF(COUNTA(I666:O666)=0,"",MIN(10,SUM(I666:O666)))</f>
        <v/>
      </c>
      <c r="Q666" s="11" t="n"/>
      <c r="R666" s="10">
        <f>IF(Q666="","",IFERROR(VLOOKUP(Q666,T_NILAM,2,FALSE),0))</f>
        <v/>
      </c>
      <c r="S666" s="11" t="n"/>
      <c r="T666" s="10">
        <f>IF(S666="","",IFERROR(VLOOKUP(S666,T_TIMSS,2,FALSE),0))</f>
        <v/>
      </c>
      <c r="U666" s="19">
        <f>IF(COUNT(F666,H666,P666,R666,T666)=0,"",MIN(10,MAX(F666,H666,P666,R666,T666)))</f>
        <v/>
      </c>
      <c r="V666" s="11" t="n"/>
    </row>
    <row r="667">
      <c r="A667" s="15">
        <f>Murid!A667</f>
        <v/>
      </c>
      <c r="B667" s="15">
        <f>IF(Murid!B667="","",Murid!B667)</f>
        <v/>
      </c>
      <c r="C667" s="16">
        <f>IF(Murid!C667="","",Murid!C667)</f>
        <v/>
      </c>
      <c r="D667" s="15">
        <f>IF(Murid!E667="","",Murid!E667)</f>
        <v/>
      </c>
      <c r="E667" s="11" t="n"/>
      <c r="F667" s="10">
        <f>IF(E667="","",IFERROR(VLOOKUP(E667,T_PERK,2,FALSE),0))</f>
        <v/>
      </c>
      <c r="G667" s="11" t="n"/>
      <c r="H667" s="10">
        <f>IF(G667="","",IFERROR(VLOOKUP(G667,T_ANUG,2,FALSE),0))</f>
        <v/>
      </c>
      <c r="I667" s="11" t="n"/>
      <c r="J667" s="11" t="n"/>
      <c r="K667" s="11" t="n"/>
      <c r="L667" s="11" t="n"/>
      <c r="M667" s="11" t="n"/>
      <c r="N667" s="11" t="n"/>
      <c r="O667" s="11" t="n"/>
      <c r="P667" s="10">
        <f>IF(COUNTA(I667:O667)=0,"",MIN(10,SUM(I667:O667)))</f>
        <v/>
      </c>
      <c r="Q667" s="11" t="n"/>
      <c r="R667" s="10">
        <f>IF(Q667="","",IFERROR(VLOOKUP(Q667,T_NILAM,2,FALSE),0))</f>
        <v/>
      </c>
      <c r="S667" s="11" t="n"/>
      <c r="T667" s="10">
        <f>IF(S667="","",IFERROR(VLOOKUP(S667,T_TIMSS,2,FALSE),0))</f>
        <v/>
      </c>
      <c r="U667" s="19">
        <f>IF(COUNT(F667,H667,P667,R667,T667)=0,"",MIN(10,MAX(F667,H667,P667,R667,T667)))</f>
        <v/>
      </c>
      <c r="V667" s="11" t="n"/>
    </row>
    <row r="668">
      <c r="A668" s="15">
        <f>Murid!A668</f>
        <v/>
      </c>
      <c r="B668" s="15">
        <f>IF(Murid!B668="","",Murid!B668)</f>
        <v/>
      </c>
      <c r="C668" s="16">
        <f>IF(Murid!C668="","",Murid!C668)</f>
        <v/>
      </c>
      <c r="D668" s="15">
        <f>IF(Murid!E668="","",Murid!E668)</f>
        <v/>
      </c>
      <c r="E668" s="11" t="n"/>
      <c r="F668" s="10">
        <f>IF(E668="","",IFERROR(VLOOKUP(E668,T_PERK,2,FALSE),0))</f>
        <v/>
      </c>
      <c r="G668" s="11" t="n"/>
      <c r="H668" s="10">
        <f>IF(G668="","",IFERROR(VLOOKUP(G668,T_ANUG,2,FALSE),0))</f>
        <v/>
      </c>
      <c r="I668" s="11" t="n"/>
      <c r="J668" s="11" t="n"/>
      <c r="K668" s="11" t="n"/>
      <c r="L668" s="11" t="n"/>
      <c r="M668" s="11" t="n"/>
      <c r="N668" s="11" t="n"/>
      <c r="O668" s="11" t="n"/>
      <c r="P668" s="10">
        <f>IF(COUNTA(I668:O668)=0,"",MIN(10,SUM(I668:O668)))</f>
        <v/>
      </c>
      <c r="Q668" s="11" t="n"/>
      <c r="R668" s="10">
        <f>IF(Q668="","",IFERROR(VLOOKUP(Q668,T_NILAM,2,FALSE),0))</f>
        <v/>
      </c>
      <c r="S668" s="11" t="n"/>
      <c r="T668" s="10">
        <f>IF(S668="","",IFERROR(VLOOKUP(S668,T_TIMSS,2,FALSE),0))</f>
        <v/>
      </c>
      <c r="U668" s="19">
        <f>IF(COUNT(F668,H668,P668,R668,T668)=0,"",MIN(10,MAX(F668,H668,P668,R668,T668)))</f>
        <v/>
      </c>
      <c r="V668" s="11" t="n"/>
    </row>
    <row r="669">
      <c r="A669" s="15">
        <f>Murid!A669</f>
        <v/>
      </c>
      <c r="B669" s="15">
        <f>IF(Murid!B669="","",Murid!B669)</f>
        <v/>
      </c>
      <c r="C669" s="16">
        <f>IF(Murid!C669="","",Murid!C669)</f>
        <v/>
      </c>
      <c r="D669" s="15">
        <f>IF(Murid!E669="","",Murid!E669)</f>
        <v/>
      </c>
      <c r="E669" s="11" t="n"/>
      <c r="F669" s="10">
        <f>IF(E669="","",IFERROR(VLOOKUP(E669,T_PERK,2,FALSE),0))</f>
        <v/>
      </c>
      <c r="G669" s="11" t="n"/>
      <c r="H669" s="10">
        <f>IF(G669="","",IFERROR(VLOOKUP(G669,T_ANUG,2,FALSE),0))</f>
        <v/>
      </c>
      <c r="I669" s="11" t="n"/>
      <c r="J669" s="11" t="n"/>
      <c r="K669" s="11" t="n"/>
      <c r="L669" s="11" t="n"/>
      <c r="M669" s="11" t="n"/>
      <c r="N669" s="11" t="n"/>
      <c r="O669" s="11" t="n"/>
      <c r="P669" s="10">
        <f>IF(COUNTA(I669:O669)=0,"",MIN(10,SUM(I669:O669)))</f>
        <v/>
      </c>
      <c r="Q669" s="11" t="n"/>
      <c r="R669" s="10">
        <f>IF(Q669="","",IFERROR(VLOOKUP(Q669,T_NILAM,2,FALSE),0))</f>
        <v/>
      </c>
      <c r="S669" s="11" t="n"/>
      <c r="T669" s="10">
        <f>IF(S669="","",IFERROR(VLOOKUP(S669,T_TIMSS,2,FALSE),0))</f>
        <v/>
      </c>
      <c r="U669" s="19">
        <f>IF(COUNT(F669,H669,P669,R669,T669)=0,"",MIN(10,MAX(F669,H669,P669,R669,T669)))</f>
        <v/>
      </c>
      <c r="V669" s="11" t="n"/>
    </row>
    <row r="670">
      <c r="A670" s="15">
        <f>Murid!A670</f>
        <v/>
      </c>
      <c r="B670" s="15">
        <f>IF(Murid!B670="","",Murid!B670)</f>
        <v/>
      </c>
      <c r="C670" s="16">
        <f>IF(Murid!C670="","",Murid!C670)</f>
        <v/>
      </c>
      <c r="D670" s="15">
        <f>IF(Murid!E670="","",Murid!E670)</f>
        <v/>
      </c>
      <c r="E670" s="11" t="n"/>
      <c r="F670" s="10">
        <f>IF(E670="","",IFERROR(VLOOKUP(E670,T_PERK,2,FALSE),0))</f>
        <v/>
      </c>
      <c r="G670" s="11" t="n"/>
      <c r="H670" s="10">
        <f>IF(G670="","",IFERROR(VLOOKUP(G670,T_ANUG,2,FALSE),0))</f>
        <v/>
      </c>
      <c r="I670" s="11" t="n"/>
      <c r="J670" s="11" t="n"/>
      <c r="K670" s="11" t="n"/>
      <c r="L670" s="11" t="n"/>
      <c r="M670" s="11" t="n"/>
      <c r="N670" s="11" t="n"/>
      <c r="O670" s="11" t="n"/>
      <c r="P670" s="10">
        <f>IF(COUNTA(I670:O670)=0,"",MIN(10,SUM(I670:O670)))</f>
        <v/>
      </c>
      <c r="Q670" s="11" t="n"/>
      <c r="R670" s="10">
        <f>IF(Q670="","",IFERROR(VLOOKUP(Q670,T_NILAM,2,FALSE),0))</f>
        <v/>
      </c>
      <c r="S670" s="11" t="n"/>
      <c r="T670" s="10">
        <f>IF(S670="","",IFERROR(VLOOKUP(S670,T_TIMSS,2,FALSE),0))</f>
        <v/>
      </c>
      <c r="U670" s="19">
        <f>IF(COUNT(F670,H670,P670,R670,T670)=0,"",MIN(10,MAX(F670,H670,P670,R670,T670)))</f>
        <v/>
      </c>
      <c r="V670" s="11" t="n"/>
    </row>
    <row r="671">
      <c r="A671" s="15">
        <f>Murid!A671</f>
        <v/>
      </c>
      <c r="B671" s="15">
        <f>IF(Murid!B671="","",Murid!B671)</f>
        <v/>
      </c>
      <c r="C671" s="16">
        <f>IF(Murid!C671="","",Murid!C671)</f>
        <v/>
      </c>
      <c r="D671" s="15">
        <f>IF(Murid!E671="","",Murid!E671)</f>
        <v/>
      </c>
      <c r="E671" s="11" t="n"/>
      <c r="F671" s="10">
        <f>IF(E671="","",IFERROR(VLOOKUP(E671,T_PERK,2,FALSE),0))</f>
        <v/>
      </c>
      <c r="G671" s="11" t="n"/>
      <c r="H671" s="10">
        <f>IF(G671="","",IFERROR(VLOOKUP(G671,T_ANUG,2,FALSE),0))</f>
        <v/>
      </c>
      <c r="I671" s="11" t="n"/>
      <c r="J671" s="11" t="n"/>
      <c r="K671" s="11" t="n"/>
      <c r="L671" s="11" t="n"/>
      <c r="M671" s="11" t="n"/>
      <c r="N671" s="11" t="n"/>
      <c r="O671" s="11" t="n"/>
      <c r="P671" s="10">
        <f>IF(COUNTA(I671:O671)=0,"",MIN(10,SUM(I671:O671)))</f>
        <v/>
      </c>
      <c r="Q671" s="11" t="n"/>
      <c r="R671" s="10">
        <f>IF(Q671="","",IFERROR(VLOOKUP(Q671,T_NILAM,2,FALSE),0))</f>
        <v/>
      </c>
      <c r="S671" s="11" t="n"/>
      <c r="T671" s="10">
        <f>IF(S671="","",IFERROR(VLOOKUP(S671,T_TIMSS,2,FALSE),0))</f>
        <v/>
      </c>
      <c r="U671" s="19">
        <f>IF(COUNT(F671,H671,P671,R671,T671)=0,"",MIN(10,MAX(F671,H671,P671,R671,T671)))</f>
        <v/>
      </c>
      <c r="V671" s="11" t="n"/>
    </row>
    <row r="672">
      <c r="A672" s="15">
        <f>Murid!A672</f>
        <v/>
      </c>
      <c r="B672" s="15">
        <f>IF(Murid!B672="","",Murid!B672)</f>
        <v/>
      </c>
      <c r="C672" s="16">
        <f>IF(Murid!C672="","",Murid!C672)</f>
        <v/>
      </c>
      <c r="D672" s="15">
        <f>IF(Murid!E672="","",Murid!E672)</f>
        <v/>
      </c>
      <c r="E672" s="11" t="n"/>
      <c r="F672" s="10">
        <f>IF(E672="","",IFERROR(VLOOKUP(E672,T_PERK,2,FALSE),0))</f>
        <v/>
      </c>
      <c r="G672" s="11" t="n"/>
      <c r="H672" s="10">
        <f>IF(G672="","",IFERROR(VLOOKUP(G672,T_ANUG,2,FALSE),0))</f>
        <v/>
      </c>
      <c r="I672" s="11" t="n"/>
      <c r="J672" s="11" t="n"/>
      <c r="K672" s="11" t="n"/>
      <c r="L672" s="11" t="n"/>
      <c r="M672" s="11" t="n"/>
      <c r="N672" s="11" t="n"/>
      <c r="O672" s="11" t="n"/>
      <c r="P672" s="10">
        <f>IF(COUNTA(I672:O672)=0,"",MIN(10,SUM(I672:O672)))</f>
        <v/>
      </c>
      <c r="Q672" s="11" t="n"/>
      <c r="R672" s="10">
        <f>IF(Q672="","",IFERROR(VLOOKUP(Q672,T_NILAM,2,FALSE),0))</f>
        <v/>
      </c>
      <c r="S672" s="11" t="n"/>
      <c r="T672" s="10">
        <f>IF(S672="","",IFERROR(VLOOKUP(S672,T_TIMSS,2,FALSE),0))</f>
        <v/>
      </c>
      <c r="U672" s="19">
        <f>IF(COUNT(F672,H672,P672,R672,T672)=0,"",MIN(10,MAX(F672,H672,P672,R672,T672)))</f>
        <v/>
      </c>
      <c r="V672" s="11" t="n"/>
    </row>
    <row r="673">
      <c r="A673" s="15">
        <f>Murid!A673</f>
        <v/>
      </c>
      <c r="B673" s="15">
        <f>IF(Murid!B673="","",Murid!B673)</f>
        <v/>
      </c>
      <c r="C673" s="16">
        <f>IF(Murid!C673="","",Murid!C673)</f>
        <v/>
      </c>
      <c r="D673" s="15">
        <f>IF(Murid!E673="","",Murid!E673)</f>
        <v/>
      </c>
      <c r="E673" s="11" t="n"/>
      <c r="F673" s="10">
        <f>IF(E673="","",IFERROR(VLOOKUP(E673,T_PERK,2,FALSE),0))</f>
        <v/>
      </c>
      <c r="G673" s="11" t="n"/>
      <c r="H673" s="10">
        <f>IF(G673="","",IFERROR(VLOOKUP(G673,T_ANUG,2,FALSE),0))</f>
        <v/>
      </c>
      <c r="I673" s="11" t="n"/>
      <c r="J673" s="11" t="n"/>
      <c r="K673" s="11" t="n"/>
      <c r="L673" s="11" t="n"/>
      <c r="M673" s="11" t="n"/>
      <c r="N673" s="11" t="n"/>
      <c r="O673" s="11" t="n"/>
      <c r="P673" s="10">
        <f>IF(COUNTA(I673:O673)=0,"",MIN(10,SUM(I673:O673)))</f>
        <v/>
      </c>
      <c r="Q673" s="11" t="n"/>
      <c r="R673" s="10">
        <f>IF(Q673="","",IFERROR(VLOOKUP(Q673,T_NILAM,2,FALSE),0))</f>
        <v/>
      </c>
      <c r="S673" s="11" t="n"/>
      <c r="T673" s="10">
        <f>IF(S673="","",IFERROR(VLOOKUP(S673,T_TIMSS,2,FALSE),0))</f>
        <v/>
      </c>
      <c r="U673" s="19">
        <f>IF(COUNT(F673,H673,P673,R673,T673)=0,"",MIN(10,MAX(F673,H673,P673,R673,T673)))</f>
        <v/>
      </c>
      <c r="V673" s="11" t="n"/>
    </row>
    <row r="674">
      <c r="A674" s="15">
        <f>Murid!A674</f>
        <v/>
      </c>
      <c r="B674" s="15">
        <f>IF(Murid!B674="","",Murid!B674)</f>
        <v/>
      </c>
      <c r="C674" s="16">
        <f>IF(Murid!C674="","",Murid!C674)</f>
        <v/>
      </c>
      <c r="D674" s="15">
        <f>IF(Murid!E674="","",Murid!E674)</f>
        <v/>
      </c>
      <c r="E674" s="11" t="n"/>
      <c r="F674" s="10">
        <f>IF(E674="","",IFERROR(VLOOKUP(E674,T_PERK,2,FALSE),0))</f>
        <v/>
      </c>
      <c r="G674" s="11" t="n"/>
      <c r="H674" s="10">
        <f>IF(G674="","",IFERROR(VLOOKUP(G674,T_ANUG,2,FALSE),0))</f>
        <v/>
      </c>
      <c r="I674" s="11" t="n"/>
      <c r="J674" s="11" t="n"/>
      <c r="K674" s="11" t="n"/>
      <c r="L674" s="11" t="n"/>
      <c r="M674" s="11" t="n"/>
      <c r="N674" s="11" t="n"/>
      <c r="O674" s="11" t="n"/>
      <c r="P674" s="10">
        <f>IF(COUNTA(I674:O674)=0,"",MIN(10,SUM(I674:O674)))</f>
        <v/>
      </c>
      <c r="Q674" s="11" t="n"/>
      <c r="R674" s="10">
        <f>IF(Q674="","",IFERROR(VLOOKUP(Q674,T_NILAM,2,FALSE),0))</f>
        <v/>
      </c>
      <c r="S674" s="11" t="n"/>
      <c r="T674" s="10">
        <f>IF(S674="","",IFERROR(VLOOKUP(S674,T_TIMSS,2,FALSE),0))</f>
        <v/>
      </c>
      <c r="U674" s="19">
        <f>IF(COUNT(F674,H674,P674,R674,T674)=0,"",MIN(10,MAX(F674,H674,P674,R674,T674)))</f>
        <v/>
      </c>
      <c r="V674" s="11" t="n"/>
    </row>
    <row r="675">
      <c r="A675" s="15">
        <f>Murid!A675</f>
        <v/>
      </c>
      <c r="B675" s="15">
        <f>IF(Murid!B675="","",Murid!B675)</f>
        <v/>
      </c>
      <c r="C675" s="16">
        <f>IF(Murid!C675="","",Murid!C675)</f>
        <v/>
      </c>
      <c r="D675" s="15">
        <f>IF(Murid!E675="","",Murid!E675)</f>
        <v/>
      </c>
      <c r="E675" s="11" t="n"/>
      <c r="F675" s="10">
        <f>IF(E675="","",IFERROR(VLOOKUP(E675,T_PERK,2,FALSE),0))</f>
        <v/>
      </c>
      <c r="G675" s="11" t="n"/>
      <c r="H675" s="10">
        <f>IF(G675="","",IFERROR(VLOOKUP(G675,T_ANUG,2,FALSE),0))</f>
        <v/>
      </c>
      <c r="I675" s="11" t="n"/>
      <c r="J675" s="11" t="n"/>
      <c r="K675" s="11" t="n"/>
      <c r="L675" s="11" t="n"/>
      <c r="M675" s="11" t="n"/>
      <c r="N675" s="11" t="n"/>
      <c r="O675" s="11" t="n"/>
      <c r="P675" s="10">
        <f>IF(COUNTA(I675:O675)=0,"",MIN(10,SUM(I675:O675)))</f>
        <v/>
      </c>
      <c r="Q675" s="11" t="n"/>
      <c r="R675" s="10">
        <f>IF(Q675="","",IFERROR(VLOOKUP(Q675,T_NILAM,2,FALSE),0))</f>
        <v/>
      </c>
      <c r="S675" s="11" t="n"/>
      <c r="T675" s="10">
        <f>IF(S675="","",IFERROR(VLOOKUP(S675,T_TIMSS,2,FALSE),0))</f>
        <v/>
      </c>
      <c r="U675" s="19">
        <f>IF(COUNT(F675,H675,P675,R675,T675)=0,"",MIN(10,MAX(F675,H675,P675,R675,T675)))</f>
        <v/>
      </c>
      <c r="V675" s="11" t="n"/>
    </row>
    <row r="676">
      <c r="A676" s="15">
        <f>Murid!A676</f>
        <v/>
      </c>
      <c r="B676" s="15">
        <f>IF(Murid!B676="","",Murid!B676)</f>
        <v/>
      </c>
      <c r="C676" s="16">
        <f>IF(Murid!C676="","",Murid!C676)</f>
        <v/>
      </c>
      <c r="D676" s="15">
        <f>IF(Murid!E676="","",Murid!E676)</f>
        <v/>
      </c>
      <c r="E676" s="11" t="n"/>
      <c r="F676" s="10">
        <f>IF(E676="","",IFERROR(VLOOKUP(E676,T_PERK,2,FALSE),0))</f>
        <v/>
      </c>
      <c r="G676" s="11" t="n"/>
      <c r="H676" s="10">
        <f>IF(G676="","",IFERROR(VLOOKUP(G676,T_ANUG,2,FALSE),0))</f>
        <v/>
      </c>
      <c r="I676" s="11" t="n"/>
      <c r="J676" s="11" t="n"/>
      <c r="K676" s="11" t="n"/>
      <c r="L676" s="11" t="n"/>
      <c r="M676" s="11" t="n"/>
      <c r="N676" s="11" t="n"/>
      <c r="O676" s="11" t="n"/>
      <c r="P676" s="10">
        <f>IF(COUNTA(I676:O676)=0,"",MIN(10,SUM(I676:O676)))</f>
        <v/>
      </c>
      <c r="Q676" s="11" t="n"/>
      <c r="R676" s="10">
        <f>IF(Q676="","",IFERROR(VLOOKUP(Q676,T_NILAM,2,FALSE),0))</f>
        <v/>
      </c>
      <c r="S676" s="11" t="n"/>
      <c r="T676" s="10">
        <f>IF(S676="","",IFERROR(VLOOKUP(S676,T_TIMSS,2,FALSE),0))</f>
        <v/>
      </c>
      <c r="U676" s="19">
        <f>IF(COUNT(F676,H676,P676,R676,T676)=0,"",MIN(10,MAX(F676,H676,P676,R676,T676)))</f>
        <v/>
      </c>
      <c r="V676" s="11" t="n"/>
    </row>
    <row r="677">
      <c r="A677" s="15">
        <f>Murid!A677</f>
        <v/>
      </c>
      <c r="B677" s="15">
        <f>IF(Murid!B677="","",Murid!B677)</f>
        <v/>
      </c>
      <c r="C677" s="16">
        <f>IF(Murid!C677="","",Murid!C677)</f>
        <v/>
      </c>
      <c r="D677" s="15">
        <f>IF(Murid!E677="","",Murid!E677)</f>
        <v/>
      </c>
      <c r="E677" s="11" t="n"/>
      <c r="F677" s="10">
        <f>IF(E677="","",IFERROR(VLOOKUP(E677,T_PERK,2,FALSE),0))</f>
        <v/>
      </c>
      <c r="G677" s="11" t="n"/>
      <c r="H677" s="10">
        <f>IF(G677="","",IFERROR(VLOOKUP(G677,T_ANUG,2,FALSE),0))</f>
        <v/>
      </c>
      <c r="I677" s="11" t="n"/>
      <c r="J677" s="11" t="n"/>
      <c r="K677" s="11" t="n"/>
      <c r="L677" s="11" t="n"/>
      <c r="M677" s="11" t="n"/>
      <c r="N677" s="11" t="n"/>
      <c r="O677" s="11" t="n"/>
      <c r="P677" s="10">
        <f>IF(COUNTA(I677:O677)=0,"",MIN(10,SUM(I677:O677)))</f>
        <v/>
      </c>
      <c r="Q677" s="11" t="n"/>
      <c r="R677" s="10">
        <f>IF(Q677="","",IFERROR(VLOOKUP(Q677,T_NILAM,2,FALSE),0))</f>
        <v/>
      </c>
      <c r="S677" s="11" t="n"/>
      <c r="T677" s="10">
        <f>IF(S677="","",IFERROR(VLOOKUP(S677,T_TIMSS,2,FALSE),0))</f>
        <v/>
      </c>
      <c r="U677" s="19">
        <f>IF(COUNT(F677,H677,P677,R677,T677)=0,"",MIN(10,MAX(F677,H677,P677,R677,T677)))</f>
        <v/>
      </c>
      <c r="V677" s="11" t="n"/>
    </row>
    <row r="678">
      <c r="A678" s="15">
        <f>Murid!A678</f>
        <v/>
      </c>
      <c r="B678" s="15">
        <f>IF(Murid!B678="","",Murid!B678)</f>
        <v/>
      </c>
      <c r="C678" s="16">
        <f>IF(Murid!C678="","",Murid!C678)</f>
        <v/>
      </c>
      <c r="D678" s="15">
        <f>IF(Murid!E678="","",Murid!E678)</f>
        <v/>
      </c>
      <c r="E678" s="11" t="n"/>
      <c r="F678" s="10">
        <f>IF(E678="","",IFERROR(VLOOKUP(E678,T_PERK,2,FALSE),0))</f>
        <v/>
      </c>
      <c r="G678" s="11" t="n"/>
      <c r="H678" s="10">
        <f>IF(G678="","",IFERROR(VLOOKUP(G678,T_ANUG,2,FALSE),0))</f>
        <v/>
      </c>
      <c r="I678" s="11" t="n"/>
      <c r="J678" s="11" t="n"/>
      <c r="K678" s="11" t="n"/>
      <c r="L678" s="11" t="n"/>
      <c r="M678" s="11" t="n"/>
      <c r="N678" s="11" t="n"/>
      <c r="O678" s="11" t="n"/>
      <c r="P678" s="10">
        <f>IF(COUNTA(I678:O678)=0,"",MIN(10,SUM(I678:O678)))</f>
        <v/>
      </c>
      <c r="Q678" s="11" t="n"/>
      <c r="R678" s="10">
        <f>IF(Q678="","",IFERROR(VLOOKUP(Q678,T_NILAM,2,FALSE),0))</f>
        <v/>
      </c>
      <c r="S678" s="11" t="n"/>
      <c r="T678" s="10">
        <f>IF(S678="","",IFERROR(VLOOKUP(S678,T_TIMSS,2,FALSE),0))</f>
        <v/>
      </c>
      <c r="U678" s="19">
        <f>IF(COUNT(F678,H678,P678,R678,T678)=0,"",MIN(10,MAX(F678,H678,P678,R678,T678)))</f>
        <v/>
      </c>
      <c r="V678" s="11" t="n"/>
    </row>
    <row r="679">
      <c r="A679" s="15">
        <f>Murid!A679</f>
        <v/>
      </c>
      <c r="B679" s="15">
        <f>IF(Murid!B679="","",Murid!B679)</f>
        <v/>
      </c>
      <c r="C679" s="16">
        <f>IF(Murid!C679="","",Murid!C679)</f>
        <v/>
      </c>
      <c r="D679" s="15">
        <f>IF(Murid!E679="","",Murid!E679)</f>
        <v/>
      </c>
      <c r="E679" s="11" t="n"/>
      <c r="F679" s="10">
        <f>IF(E679="","",IFERROR(VLOOKUP(E679,T_PERK,2,FALSE),0))</f>
        <v/>
      </c>
      <c r="G679" s="11" t="n"/>
      <c r="H679" s="10">
        <f>IF(G679="","",IFERROR(VLOOKUP(G679,T_ANUG,2,FALSE),0))</f>
        <v/>
      </c>
      <c r="I679" s="11" t="n"/>
      <c r="J679" s="11" t="n"/>
      <c r="K679" s="11" t="n"/>
      <c r="L679" s="11" t="n"/>
      <c r="M679" s="11" t="n"/>
      <c r="N679" s="11" t="n"/>
      <c r="O679" s="11" t="n"/>
      <c r="P679" s="10">
        <f>IF(COUNTA(I679:O679)=0,"",MIN(10,SUM(I679:O679)))</f>
        <v/>
      </c>
      <c r="Q679" s="11" t="n"/>
      <c r="R679" s="10">
        <f>IF(Q679="","",IFERROR(VLOOKUP(Q679,T_NILAM,2,FALSE),0))</f>
        <v/>
      </c>
      <c r="S679" s="11" t="n"/>
      <c r="T679" s="10">
        <f>IF(S679="","",IFERROR(VLOOKUP(S679,T_TIMSS,2,FALSE),0))</f>
        <v/>
      </c>
      <c r="U679" s="19">
        <f>IF(COUNT(F679,H679,P679,R679,T679)=0,"",MIN(10,MAX(F679,H679,P679,R679,T679)))</f>
        <v/>
      </c>
      <c r="V679" s="11" t="n"/>
    </row>
    <row r="680">
      <c r="A680" s="15">
        <f>Murid!A680</f>
        <v/>
      </c>
      <c r="B680" s="15">
        <f>IF(Murid!B680="","",Murid!B680)</f>
        <v/>
      </c>
      <c r="C680" s="16">
        <f>IF(Murid!C680="","",Murid!C680)</f>
        <v/>
      </c>
      <c r="D680" s="15">
        <f>IF(Murid!E680="","",Murid!E680)</f>
        <v/>
      </c>
      <c r="E680" s="11" t="n"/>
      <c r="F680" s="10">
        <f>IF(E680="","",IFERROR(VLOOKUP(E680,T_PERK,2,FALSE),0))</f>
        <v/>
      </c>
      <c r="G680" s="11" t="n"/>
      <c r="H680" s="10">
        <f>IF(G680="","",IFERROR(VLOOKUP(G680,T_ANUG,2,FALSE),0))</f>
        <v/>
      </c>
      <c r="I680" s="11" t="n"/>
      <c r="J680" s="11" t="n"/>
      <c r="K680" s="11" t="n"/>
      <c r="L680" s="11" t="n"/>
      <c r="M680" s="11" t="n"/>
      <c r="N680" s="11" t="n"/>
      <c r="O680" s="11" t="n"/>
      <c r="P680" s="10">
        <f>IF(COUNTA(I680:O680)=0,"",MIN(10,SUM(I680:O680)))</f>
        <v/>
      </c>
      <c r="Q680" s="11" t="n"/>
      <c r="R680" s="10">
        <f>IF(Q680="","",IFERROR(VLOOKUP(Q680,T_NILAM,2,FALSE),0))</f>
        <v/>
      </c>
      <c r="S680" s="11" t="n"/>
      <c r="T680" s="10">
        <f>IF(S680="","",IFERROR(VLOOKUP(S680,T_TIMSS,2,FALSE),0))</f>
        <v/>
      </c>
      <c r="U680" s="19">
        <f>IF(COUNT(F680,H680,P680,R680,T680)=0,"",MIN(10,MAX(F680,H680,P680,R680,T680)))</f>
        <v/>
      </c>
      <c r="V680" s="11" t="n"/>
    </row>
    <row r="681">
      <c r="A681" s="15">
        <f>Murid!A681</f>
        <v/>
      </c>
      <c r="B681" s="15">
        <f>IF(Murid!B681="","",Murid!B681)</f>
        <v/>
      </c>
      <c r="C681" s="16">
        <f>IF(Murid!C681="","",Murid!C681)</f>
        <v/>
      </c>
      <c r="D681" s="15">
        <f>IF(Murid!E681="","",Murid!E681)</f>
        <v/>
      </c>
      <c r="E681" s="11" t="n"/>
      <c r="F681" s="10">
        <f>IF(E681="","",IFERROR(VLOOKUP(E681,T_PERK,2,FALSE),0))</f>
        <v/>
      </c>
      <c r="G681" s="11" t="n"/>
      <c r="H681" s="10">
        <f>IF(G681="","",IFERROR(VLOOKUP(G681,T_ANUG,2,FALSE),0))</f>
        <v/>
      </c>
      <c r="I681" s="11" t="n"/>
      <c r="J681" s="11" t="n"/>
      <c r="K681" s="11" t="n"/>
      <c r="L681" s="11" t="n"/>
      <c r="M681" s="11" t="n"/>
      <c r="N681" s="11" t="n"/>
      <c r="O681" s="11" t="n"/>
      <c r="P681" s="10">
        <f>IF(COUNTA(I681:O681)=0,"",MIN(10,SUM(I681:O681)))</f>
        <v/>
      </c>
      <c r="Q681" s="11" t="n"/>
      <c r="R681" s="10">
        <f>IF(Q681="","",IFERROR(VLOOKUP(Q681,T_NILAM,2,FALSE),0))</f>
        <v/>
      </c>
      <c r="S681" s="11" t="n"/>
      <c r="T681" s="10">
        <f>IF(S681="","",IFERROR(VLOOKUP(S681,T_TIMSS,2,FALSE),0))</f>
        <v/>
      </c>
      <c r="U681" s="19">
        <f>IF(COUNT(F681,H681,P681,R681,T681)=0,"",MIN(10,MAX(F681,H681,P681,R681,T681)))</f>
        <v/>
      </c>
      <c r="V681" s="11" t="n"/>
    </row>
    <row r="682">
      <c r="A682" s="15">
        <f>Murid!A682</f>
        <v/>
      </c>
      <c r="B682" s="15">
        <f>IF(Murid!B682="","",Murid!B682)</f>
        <v/>
      </c>
      <c r="C682" s="16">
        <f>IF(Murid!C682="","",Murid!C682)</f>
        <v/>
      </c>
      <c r="D682" s="15">
        <f>IF(Murid!E682="","",Murid!E682)</f>
        <v/>
      </c>
      <c r="E682" s="11" t="n"/>
      <c r="F682" s="10">
        <f>IF(E682="","",IFERROR(VLOOKUP(E682,T_PERK,2,FALSE),0))</f>
        <v/>
      </c>
      <c r="G682" s="11" t="n"/>
      <c r="H682" s="10">
        <f>IF(G682="","",IFERROR(VLOOKUP(G682,T_ANUG,2,FALSE),0))</f>
        <v/>
      </c>
      <c r="I682" s="11" t="n"/>
      <c r="J682" s="11" t="n"/>
      <c r="K682" s="11" t="n"/>
      <c r="L682" s="11" t="n"/>
      <c r="M682" s="11" t="n"/>
      <c r="N682" s="11" t="n"/>
      <c r="O682" s="11" t="n"/>
      <c r="P682" s="10">
        <f>IF(COUNTA(I682:O682)=0,"",MIN(10,SUM(I682:O682)))</f>
        <v/>
      </c>
      <c r="Q682" s="11" t="n"/>
      <c r="R682" s="10">
        <f>IF(Q682="","",IFERROR(VLOOKUP(Q682,T_NILAM,2,FALSE),0))</f>
        <v/>
      </c>
      <c r="S682" s="11" t="n"/>
      <c r="T682" s="10">
        <f>IF(S682="","",IFERROR(VLOOKUP(S682,T_TIMSS,2,FALSE),0))</f>
        <v/>
      </c>
      <c r="U682" s="19">
        <f>IF(COUNT(F682,H682,P682,R682,T682)=0,"",MIN(10,MAX(F682,H682,P682,R682,T682)))</f>
        <v/>
      </c>
      <c r="V682" s="11" t="n"/>
    </row>
    <row r="683">
      <c r="A683" s="15">
        <f>Murid!A683</f>
        <v/>
      </c>
      <c r="B683" s="15">
        <f>IF(Murid!B683="","",Murid!B683)</f>
        <v/>
      </c>
      <c r="C683" s="16">
        <f>IF(Murid!C683="","",Murid!C683)</f>
        <v/>
      </c>
      <c r="D683" s="15">
        <f>IF(Murid!E683="","",Murid!E683)</f>
        <v/>
      </c>
      <c r="E683" s="11" t="n"/>
      <c r="F683" s="10">
        <f>IF(E683="","",IFERROR(VLOOKUP(E683,T_PERK,2,FALSE),0))</f>
        <v/>
      </c>
      <c r="G683" s="11" t="n"/>
      <c r="H683" s="10">
        <f>IF(G683="","",IFERROR(VLOOKUP(G683,T_ANUG,2,FALSE),0))</f>
        <v/>
      </c>
      <c r="I683" s="11" t="n"/>
      <c r="J683" s="11" t="n"/>
      <c r="K683" s="11" t="n"/>
      <c r="L683" s="11" t="n"/>
      <c r="M683" s="11" t="n"/>
      <c r="N683" s="11" t="n"/>
      <c r="O683" s="11" t="n"/>
      <c r="P683" s="10">
        <f>IF(COUNTA(I683:O683)=0,"",MIN(10,SUM(I683:O683)))</f>
        <v/>
      </c>
      <c r="Q683" s="11" t="n"/>
      <c r="R683" s="10">
        <f>IF(Q683="","",IFERROR(VLOOKUP(Q683,T_NILAM,2,FALSE),0))</f>
        <v/>
      </c>
      <c r="S683" s="11" t="n"/>
      <c r="T683" s="10">
        <f>IF(S683="","",IFERROR(VLOOKUP(S683,T_TIMSS,2,FALSE),0))</f>
        <v/>
      </c>
      <c r="U683" s="19">
        <f>IF(COUNT(F683,H683,P683,R683,T683)=0,"",MIN(10,MAX(F683,H683,P683,R683,T683)))</f>
        <v/>
      </c>
      <c r="V683" s="11" t="n"/>
    </row>
    <row r="684">
      <c r="A684" s="15">
        <f>Murid!A684</f>
        <v/>
      </c>
      <c r="B684" s="15">
        <f>IF(Murid!B684="","",Murid!B684)</f>
        <v/>
      </c>
      <c r="C684" s="16">
        <f>IF(Murid!C684="","",Murid!C684)</f>
        <v/>
      </c>
      <c r="D684" s="15">
        <f>IF(Murid!E684="","",Murid!E684)</f>
        <v/>
      </c>
      <c r="E684" s="11" t="n"/>
      <c r="F684" s="10">
        <f>IF(E684="","",IFERROR(VLOOKUP(E684,T_PERK,2,FALSE),0))</f>
        <v/>
      </c>
      <c r="G684" s="11" t="n"/>
      <c r="H684" s="10">
        <f>IF(G684="","",IFERROR(VLOOKUP(G684,T_ANUG,2,FALSE),0))</f>
        <v/>
      </c>
      <c r="I684" s="11" t="n"/>
      <c r="J684" s="11" t="n"/>
      <c r="K684" s="11" t="n"/>
      <c r="L684" s="11" t="n"/>
      <c r="M684" s="11" t="n"/>
      <c r="N684" s="11" t="n"/>
      <c r="O684" s="11" t="n"/>
      <c r="P684" s="10">
        <f>IF(COUNTA(I684:O684)=0,"",MIN(10,SUM(I684:O684)))</f>
        <v/>
      </c>
      <c r="Q684" s="11" t="n"/>
      <c r="R684" s="10">
        <f>IF(Q684="","",IFERROR(VLOOKUP(Q684,T_NILAM,2,FALSE),0))</f>
        <v/>
      </c>
      <c r="S684" s="11" t="n"/>
      <c r="T684" s="10">
        <f>IF(S684="","",IFERROR(VLOOKUP(S684,T_TIMSS,2,FALSE),0))</f>
        <v/>
      </c>
      <c r="U684" s="19">
        <f>IF(COUNT(F684,H684,P684,R684,T684)=0,"",MIN(10,MAX(F684,H684,P684,R684,T684)))</f>
        <v/>
      </c>
      <c r="V684" s="11" t="n"/>
    </row>
    <row r="685">
      <c r="A685" s="15">
        <f>Murid!A685</f>
        <v/>
      </c>
      <c r="B685" s="15">
        <f>IF(Murid!B685="","",Murid!B685)</f>
        <v/>
      </c>
      <c r="C685" s="16">
        <f>IF(Murid!C685="","",Murid!C685)</f>
        <v/>
      </c>
      <c r="D685" s="15">
        <f>IF(Murid!E685="","",Murid!E685)</f>
        <v/>
      </c>
      <c r="E685" s="11" t="n"/>
      <c r="F685" s="10">
        <f>IF(E685="","",IFERROR(VLOOKUP(E685,T_PERK,2,FALSE),0))</f>
        <v/>
      </c>
      <c r="G685" s="11" t="n"/>
      <c r="H685" s="10">
        <f>IF(G685="","",IFERROR(VLOOKUP(G685,T_ANUG,2,FALSE),0))</f>
        <v/>
      </c>
      <c r="I685" s="11" t="n"/>
      <c r="J685" s="11" t="n"/>
      <c r="K685" s="11" t="n"/>
      <c r="L685" s="11" t="n"/>
      <c r="M685" s="11" t="n"/>
      <c r="N685" s="11" t="n"/>
      <c r="O685" s="11" t="n"/>
      <c r="P685" s="10">
        <f>IF(COUNTA(I685:O685)=0,"",MIN(10,SUM(I685:O685)))</f>
        <v/>
      </c>
      <c r="Q685" s="11" t="n"/>
      <c r="R685" s="10">
        <f>IF(Q685="","",IFERROR(VLOOKUP(Q685,T_NILAM,2,FALSE),0))</f>
        <v/>
      </c>
      <c r="S685" s="11" t="n"/>
      <c r="T685" s="10">
        <f>IF(S685="","",IFERROR(VLOOKUP(S685,T_TIMSS,2,FALSE),0))</f>
        <v/>
      </c>
      <c r="U685" s="19">
        <f>IF(COUNT(F685,H685,P685,R685,T685)=0,"",MIN(10,MAX(F685,H685,P685,R685,T685)))</f>
        <v/>
      </c>
      <c r="V685" s="11" t="n"/>
    </row>
    <row r="686">
      <c r="A686" s="15">
        <f>Murid!A686</f>
        <v/>
      </c>
      <c r="B686" s="15">
        <f>IF(Murid!B686="","",Murid!B686)</f>
        <v/>
      </c>
      <c r="C686" s="16">
        <f>IF(Murid!C686="","",Murid!C686)</f>
        <v/>
      </c>
      <c r="D686" s="15">
        <f>IF(Murid!E686="","",Murid!E686)</f>
        <v/>
      </c>
      <c r="E686" s="11" t="n"/>
      <c r="F686" s="10">
        <f>IF(E686="","",IFERROR(VLOOKUP(E686,T_PERK,2,FALSE),0))</f>
        <v/>
      </c>
      <c r="G686" s="11" t="n"/>
      <c r="H686" s="10">
        <f>IF(G686="","",IFERROR(VLOOKUP(G686,T_ANUG,2,FALSE),0))</f>
        <v/>
      </c>
      <c r="I686" s="11" t="n"/>
      <c r="J686" s="11" t="n"/>
      <c r="K686" s="11" t="n"/>
      <c r="L686" s="11" t="n"/>
      <c r="M686" s="11" t="n"/>
      <c r="N686" s="11" t="n"/>
      <c r="O686" s="11" t="n"/>
      <c r="P686" s="10">
        <f>IF(COUNTA(I686:O686)=0,"",MIN(10,SUM(I686:O686)))</f>
        <v/>
      </c>
      <c r="Q686" s="11" t="n"/>
      <c r="R686" s="10">
        <f>IF(Q686="","",IFERROR(VLOOKUP(Q686,T_NILAM,2,FALSE),0))</f>
        <v/>
      </c>
      <c r="S686" s="11" t="n"/>
      <c r="T686" s="10">
        <f>IF(S686="","",IFERROR(VLOOKUP(S686,T_TIMSS,2,FALSE),0))</f>
        <v/>
      </c>
      <c r="U686" s="19">
        <f>IF(COUNT(F686,H686,P686,R686,T686)=0,"",MIN(10,MAX(F686,H686,P686,R686,T686)))</f>
        <v/>
      </c>
      <c r="V686" s="11" t="n"/>
    </row>
    <row r="687">
      <c r="A687" s="15">
        <f>Murid!A687</f>
        <v/>
      </c>
      <c r="B687" s="15">
        <f>IF(Murid!B687="","",Murid!B687)</f>
        <v/>
      </c>
      <c r="C687" s="16">
        <f>IF(Murid!C687="","",Murid!C687)</f>
        <v/>
      </c>
      <c r="D687" s="15">
        <f>IF(Murid!E687="","",Murid!E687)</f>
        <v/>
      </c>
      <c r="E687" s="11" t="n"/>
      <c r="F687" s="10">
        <f>IF(E687="","",IFERROR(VLOOKUP(E687,T_PERK,2,FALSE),0))</f>
        <v/>
      </c>
      <c r="G687" s="11" t="n"/>
      <c r="H687" s="10">
        <f>IF(G687="","",IFERROR(VLOOKUP(G687,T_ANUG,2,FALSE),0))</f>
        <v/>
      </c>
      <c r="I687" s="11" t="n"/>
      <c r="J687" s="11" t="n"/>
      <c r="K687" s="11" t="n"/>
      <c r="L687" s="11" t="n"/>
      <c r="M687" s="11" t="n"/>
      <c r="N687" s="11" t="n"/>
      <c r="O687" s="11" t="n"/>
      <c r="P687" s="10">
        <f>IF(COUNTA(I687:O687)=0,"",MIN(10,SUM(I687:O687)))</f>
        <v/>
      </c>
      <c r="Q687" s="11" t="n"/>
      <c r="R687" s="10">
        <f>IF(Q687="","",IFERROR(VLOOKUP(Q687,T_NILAM,2,FALSE),0))</f>
        <v/>
      </c>
      <c r="S687" s="11" t="n"/>
      <c r="T687" s="10">
        <f>IF(S687="","",IFERROR(VLOOKUP(S687,T_TIMSS,2,FALSE),0))</f>
        <v/>
      </c>
      <c r="U687" s="19">
        <f>IF(COUNT(F687,H687,P687,R687,T687)=0,"",MIN(10,MAX(F687,H687,P687,R687,T687)))</f>
        <v/>
      </c>
      <c r="V687" s="11" t="n"/>
    </row>
    <row r="688">
      <c r="A688" s="15">
        <f>Murid!A688</f>
        <v/>
      </c>
      <c r="B688" s="15">
        <f>IF(Murid!B688="","",Murid!B688)</f>
        <v/>
      </c>
      <c r="C688" s="16">
        <f>IF(Murid!C688="","",Murid!C688)</f>
        <v/>
      </c>
      <c r="D688" s="15">
        <f>IF(Murid!E688="","",Murid!E688)</f>
        <v/>
      </c>
      <c r="E688" s="11" t="n"/>
      <c r="F688" s="10">
        <f>IF(E688="","",IFERROR(VLOOKUP(E688,T_PERK,2,FALSE),0))</f>
        <v/>
      </c>
      <c r="G688" s="11" t="n"/>
      <c r="H688" s="10">
        <f>IF(G688="","",IFERROR(VLOOKUP(G688,T_ANUG,2,FALSE),0))</f>
        <v/>
      </c>
      <c r="I688" s="11" t="n"/>
      <c r="J688" s="11" t="n"/>
      <c r="K688" s="11" t="n"/>
      <c r="L688" s="11" t="n"/>
      <c r="M688" s="11" t="n"/>
      <c r="N688" s="11" t="n"/>
      <c r="O688" s="11" t="n"/>
      <c r="P688" s="10">
        <f>IF(COUNTA(I688:O688)=0,"",MIN(10,SUM(I688:O688)))</f>
        <v/>
      </c>
      <c r="Q688" s="11" t="n"/>
      <c r="R688" s="10">
        <f>IF(Q688="","",IFERROR(VLOOKUP(Q688,T_NILAM,2,FALSE),0))</f>
        <v/>
      </c>
      <c r="S688" s="11" t="n"/>
      <c r="T688" s="10">
        <f>IF(S688="","",IFERROR(VLOOKUP(S688,T_TIMSS,2,FALSE),0))</f>
        <v/>
      </c>
      <c r="U688" s="19">
        <f>IF(COUNT(F688,H688,P688,R688,T688)=0,"",MIN(10,MAX(F688,H688,P688,R688,T688)))</f>
        <v/>
      </c>
      <c r="V688" s="11" t="n"/>
    </row>
    <row r="689">
      <c r="A689" s="15">
        <f>Murid!A689</f>
        <v/>
      </c>
      <c r="B689" s="15">
        <f>IF(Murid!B689="","",Murid!B689)</f>
        <v/>
      </c>
      <c r="C689" s="16">
        <f>IF(Murid!C689="","",Murid!C689)</f>
        <v/>
      </c>
      <c r="D689" s="15">
        <f>IF(Murid!E689="","",Murid!E689)</f>
        <v/>
      </c>
      <c r="E689" s="11" t="n"/>
      <c r="F689" s="10">
        <f>IF(E689="","",IFERROR(VLOOKUP(E689,T_PERK,2,FALSE),0))</f>
        <v/>
      </c>
      <c r="G689" s="11" t="n"/>
      <c r="H689" s="10">
        <f>IF(G689="","",IFERROR(VLOOKUP(G689,T_ANUG,2,FALSE),0))</f>
        <v/>
      </c>
      <c r="I689" s="11" t="n"/>
      <c r="J689" s="11" t="n"/>
      <c r="K689" s="11" t="n"/>
      <c r="L689" s="11" t="n"/>
      <c r="M689" s="11" t="n"/>
      <c r="N689" s="11" t="n"/>
      <c r="O689" s="11" t="n"/>
      <c r="P689" s="10">
        <f>IF(COUNTA(I689:O689)=0,"",MIN(10,SUM(I689:O689)))</f>
        <v/>
      </c>
      <c r="Q689" s="11" t="n"/>
      <c r="R689" s="10">
        <f>IF(Q689="","",IFERROR(VLOOKUP(Q689,T_NILAM,2,FALSE),0))</f>
        <v/>
      </c>
      <c r="S689" s="11" t="n"/>
      <c r="T689" s="10">
        <f>IF(S689="","",IFERROR(VLOOKUP(S689,T_TIMSS,2,FALSE),0))</f>
        <v/>
      </c>
      <c r="U689" s="19">
        <f>IF(COUNT(F689,H689,P689,R689,T689)=0,"",MIN(10,MAX(F689,H689,P689,R689,T689)))</f>
        <v/>
      </c>
      <c r="V689" s="11" t="n"/>
    </row>
    <row r="690">
      <c r="A690" s="15">
        <f>Murid!A690</f>
        <v/>
      </c>
      <c r="B690" s="15">
        <f>IF(Murid!B690="","",Murid!B690)</f>
        <v/>
      </c>
      <c r="C690" s="16">
        <f>IF(Murid!C690="","",Murid!C690)</f>
        <v/>
      </c>
      <c r="D690" s="15">
        <f>IF(Murid!E690="","",Murid!E690)</f>
        <v/>
      </c>
      <c r="E690" s="11" t="n"/>
      <c r="F690" s="10">
        <f>IF(E690="","",IFERROR(VLOOKUP(E690,T_PERK,2,FALSE),0))</f>
        <v/>
      </c>
      <c r="G690" s="11" t="n"/>
      <c r="H690" s="10">
        <f>IF(G690="","",IFERROR(VLOOKUP(G690,T_ANUG,2,FALSE),0))</f>
        <v/>
      </c>
      <c r="I690" s="11" t="n"/>
      <c r="J690" s="11" t="n"/>
      <c r="K690" s="11" t="n"/>
      <c r="L690" s="11" t="n"/>
      <c r="M690" s="11" t="n"/>
      <c r="N690" s="11" t="n"/>
      <c r="O690" s="11" t="n"/>
      <c r="P690" s="10">
        <f>IF(COUNTA(I690:O690)=0,"",MIN(10,SUM(I690:O690)))</f>
        <v/>
      </c>
      <c r="Q690" s="11" t="n"/>
      <c r="R690" s="10">
        <f>IF(Q690="","",IFERROR(VLOOKUP(Q690,T_NILAM,2,FALSE),0))</f>
        <v/>
      </c>
      <c r="S690" s="11" t="n"/>
      <c r="T690" s="10">
        <f>IF(S690="","",IFERROR(VLOOKUP(S690,T_TIMSS,2,FALSE),0))</f>
        <v/>
      </c>
      <c r="U690" s="19">
        <f>IF(COUNT(F690,H690,P690,R690,T690)=0,"",MIN(10,MAX(F690,H690,P690,R690,T690)))</f>
        <v/>
      </c>
      <c r="V690" s="11" t="n"/>
    </row>
    <row r="691">
      <c r="A691" s="15">
        <f>Murid!A691</f>
        <v/>
      </c>
      <c r="B691" s="15">
        <f>IF(Murid!B691="","",Murid!B691)</f>
        <v/>
      </c>
      <c r="C691" s="16">
        <f>IF(Murid!C691="","",Murid!C691)</f>
        <v/>
      </c>
      <c r="D691" s="15">
        <f>IF(Murid!E691="","",Murid!E691)</f>
        <v/>
      </c>
      <c r="E691" s="11" t="n"/>
      <c r="F691" s="10">
        <f>IF(E691="","",IFERROR(VLOOKUP(E691,T_PERK,2,FALSE),0))</f>
        <v/>
      </c>
      <c r="G691" s="11" t="n"/>
      <c r="H691" s="10">
        <f>IF(G691="","",IFERROR(VLOOKUP(G691,T_ANUG,2,FALSE),0))</f>
        <v/>
      </c>
      <c r="I691" s="11" t="n"/>
      <c r="J691" s="11" t="n"/>
      <c r="K691" s="11" t="n"/>
      <c r="L691" s="11" t="n"/>
      <c r="M691" s="11" t="n"/>
      <c r="N691" s="11" t="n"/>
      <c r="O691" s="11" t="n"/>
      <c r="P691" s="10">
        <f>IF(COUNTA(I691:O691)=0,"",MIN(10,SUM(I691:O691)))</f>
        <v/>
      </c>
      <c r="Q691" s="11" t="n"/>
      <c r="R691" s="10">
        <f>IF(Q691="","",IFERROR(VLOOKUP(Q691,T_NILAM,2,FALSE),0))</f>
        <v/>
      </c>
      <c r="S691" s="11" t="n"/>
      <c r="T691" s="10">
        <f>IF(S691="","",IFERROR(VLOOKUP(S691,T_TIMSS,2,FALSE),0))</f>
        <v/>
      </c>
      <c r="U691" s="19">
        <f>IF(COUNT(F691,H691,P691,R691,T691)=0,"",MIN(10,MAX(F691,H691,P691,R691,T691)))</f>
        <v/>
      </c>
      <c r="V691" s="11" t="n"/>
    </row>
    <row r="692">
      <c r="A692" s="15">
        <f>Murid!A692</f>
        <v/>
      </c>
      <c r="B692" s="15">
        <f>IF(Murid!B692="","",Murid!B692)</f>
        <v/>
      </c>
      <c r="C692" s="16">
        <f>IF(Murid!C692="","",Murid!C692)</f>
        <v/>
      </c>
      <c r="D692" s="15">
        <f>IF(Murid!E692="","",Murid!E692)</f>
        <v/>
      </c>
      <c r="E692" s="11" t="n"/>
      <c r="F692" s="10">
        <f>IF(E692="","",IFERROR(VLOOKUP(E692,T_PERK,2,FALSE),0))</f>
        <v/>
      </c>
      <c r="G692" s="11" t="n"/>
      <c r="H692" s="10">
        <f>IF(G692="","",IFERROR(VLOOKUP(G692,T_ANUG,2,FALSE),0))</f>
        <v/>
      </c>
      <c r="I692" s="11" t="n"/>
      <c r="J692" s="11" t="n"/>
      <c r="K692" s="11" t="n"/>
      <c r="L692" s="11" t="n"/>
      <c r="M692" s="11" t="n"/>
      <c r="N692" s="11" t="n"/>
      <c r="O692" s="11" t="n"/>
      <c r="P692" s="10">
        <f>IF(COUNTA(I692:O692)=0,"",MIN(10,SUM(I692:O692)))</f>
        <v/>
      </c>
      <c r="Q692" s="11" t="n"/>
      <c r="R692" s="10">
        <f>IF(Q692="","",IFERROR(VLOOKUP(Q692,T_NILAM,2,FALSE),0))</f>
        <v/>
      </c>
      <c r="S692" s="11" t="n"/>
      <c r="T692" s="10">
        <f>IF(S692="","",IFERROR(VLOOKUP(S692,T_TIMSS,2,FALSE),0))</f>
        <v/>
      </c>
      <c r="U692" s="19">
        <f>IF(COUNT(F692,H692,P692,R692,T692)=0,"",MIN(10,MAX(F692,H692,P692,R692,T692)))</f>
        <v/>
      </c>
      <c r="V692" s="11" t="n"/>
    </row>
    <row r="693">
      <c r="A693" s="15">
        <f>Murid!A693</f>
        <v/>
      </c>
      <c r="B693" s="15">
        <f>IF(Murid!B693="","",Murid!B693)</f>
        <v/>
      </c>
      <c r="C693" s="16">
        <f>IF(Murid!C693="","",Murid!C693)</f>
        <v/>
      </c>
      <c r="D693" s="15">
        <f>IF(Murid!E693="","",Murid!E693)</f>
        <v/>
      </c>
      <c r="E693" s="11" t="n"/>
      <c r="F693" s="10">
        <f>IF(E693="","",IFERROR(VLOOKUP(E693,T_PERK,2,FALSE),0))</f>
        <v/>
      </c>
      <c r="G693" s="11" t="n"/>
      <c r="H693" s="10">
        <f>IF(G693="","",IFERROR(VLOOKUP(G693,T_ANUG,2,FALSE),0))</f>
        <v/>
      </c>
      <c r="I693" s="11" t="n"/>
      <c r="J693" s="11" t="n"/>
      <c r="K693" s="11" t="n"/>
      <c r="L693" s="11" t="n"/>
      <c r="M693" s="11" t="n"/>
      <c r="N693" s="11" t="n"/>
      <c r="O693" s="11" t="n"/>
      <c r="P693" s="10">
        <f>IF(COUNTA(I693:O693)=0,"",MIN(10,SUM(I693:O693)))</f>
        <v/>
      </c>
      <c r="Q693" s="11" t="n"/>
      <c r="R693" s="10">
        <f>IF(Q693="","",IFERROR(VLOOKUP(Q693,T_NILAM,2,FALSE),0))</f>
        <v/>
      </c>
      <c r="S693" s="11" t="n"/>
      <c r="T693" s="10">
        <f>IF(S693="","",IFERROR(VLOOKUP(S693,T_TIMSS,2,FALSE),0))</f>
        <v/>
      </c>
      <c r="U693" s="19">
        <f>IF(COUNT(F693,H693,P693,R693,T693)=0,"",MIN(10,MAX(F693,H693,P693,R693,T693)))</f>
        <v/>
      </c>
      <c r="V693" s="11" t="n"/>
    </row>
    <row r="694">
      <c r="A694" s="15">
        <f>Murid!A694</f>
        <v/>
      </c>
      <c r="B694" s="15">
        <f>IF(Murid!B694="","",Murid!B694)</f>
        <v/>
      </c>
      <c r="C694" s="16">
        <f>IF(Murid!C694="","",Murid!C694)</f>
        <v/>
      </c>
      <c r="D694" s="15">
        <f>IF(Murid!E694="","",Murid!E694)</f>
        <v/>
      </c>
      <c r="E694" s="11" t="n"/>
      <c r="F694" s="10">
        <f>IF(E694="","",IFERROR(VLOOKUP(E694,T_PERK,2,FALSE),0))</f>
        <v/>
      </c>
      <c r="G694" s="11" t="n"/>
      <c r="H694" s="10">
        <f>IF(G694="","",IFERROR(VLOOKUP(G694,T_ANUG,2,FALSE),0))</f>
        <v/>
      </c>
      <c r="I694" s="11" t="n"/>
      <c r="J694" s="11" t="n"/>
      <c r="K694" s="11" t="n"/>
      <c r="L694" s="11" t="n"/>
      <c r="M694" s="11" t="n"/>
      <c r="N694" s="11" t="n"/>
      <c r="O694" s="11" t="n"/>
      <c r="P694" s="10">
        <f>IF(COUNTA(I694:O694)=0,"",MIN(10,SUM(I694:O694)))</f>
        <v/>
      </c>
      <c r="Q694" s="11" t="n"/>
      <c r="R694" s="10">
        <f>IF(Q694="","",IFERROR(VLOOKUP(Q694,T_NILAM,2,FALSE),0))</f>
        <v/>
      </c>
      <c r="S694" s="11" t="n"/>
      <c r="T694" s="10">
        <f>IF(S694="","",IFERROR(VLOOKUP(S694,T_TIMSS,2,FALSE),0))</f>
        <v/>
      </c>
      <c r="U694" s="19">
        <f>IF(COUNT(F694,H694,P694,R694,T694)=0,"",MIN(10,MAX(F694,H694,P694,R694,T694)))</f>
        <v/>
      </c>
      <c r="V694" s="11" t="n"/>
    </row>
    <row r="695">
      <c r="A695" s="15">
        <f>Murid!A695</f>
        <v/>
      </c>
      <c r="B695" s="15">
        <f>IF(Murid!B695="","",Murid!B695)</f>
        <v/>
      </c>
      <c r="C695" s="16">
        <f>IF(Murid!C695="","",Murid!C695)</f>
        <v/>
      </c>
      <c r="D695" s="15">
        <f>IF(Murid!E695="","",Murid!E695)</f>
        <v/>
      </c>
      <c r="E695" s="11" t="n"/>
      <c r="F695" s="10">
        <f>IF(E695="","",IFERROR(VLOOKUP(E695,T_PERK,2,FALSE),0))</f>
        <v/>
      </c>
      <c r="G695" s="11" t="n"/>
      <c r="H695" s="10">
        <f>IF(G695="","",IFERROR(VLOOKUP(G695,T_ANUG,2,FALSE),0))</f>
        <v/>
      </c>
      <c r="I695" s="11" t="n"/>
      <c r="J695" s="11" t="n"/>
      <c r="K695" s="11" t="n"/>
      <c r="L695" s="11" t="n"/>
      <c r="M695" s="11" t="n"/>
      <c r="N695" s="11" t="n"/>
      <c r="O695" s="11" t="n"/>
      <c r="P695" s="10">
        <f>IF(COUNTA(I695:O695)=0,"",MIN(10,SUM(I695:O695)))</f>
        <v/>
      </c>
      <c r="Q695" s="11" t="n"/>
      <c r="R695" s="10">
        <f>IF(Q695="","",IFERROR(VLOOKUP(Q695,T_NILAM,2,FALSE),0))</f>
        <v/>
      </c>
      <c r="S695" s="11" t="n"/>
      <c r="T695" s="10">
        <f>IF(S695="","",IFERROR(VLOOKUP(S695,T_TIMSS,2,FALSE),0))</f>
        <v/>
      </c>
      <c r="U695" s="19">
        <f>IF(COUNT(F695,H695,P695,R695,T695)=0,"",MIN(10,MAX(F695,H695,P695,R695,T695)))</f>
        <v/>
      </c>
      <c r="V695" s="11" t="n"/>
    </row>
    <row r="696">
      <c r="A696" s="15">
        <f>Murid!A696</f>
        <v/>
      </c>
      <c r="B696" s="15">
        <f>IF(Murid!B696="","",Murid!B696)</f>
        <v/>
      </c>
      <c r="C696" s="16">
        <f>IF(Murid!C696="","",Murid!C696)</f>
        <v/>
      </c>
      <c r="D696" s="15">
        <f>IF(Murid!E696="","",Murid!E696)</f>
        <v/>
      </c>
      <c r="E696" s="11" t="n"/>
      <c r="F696" s="10">
        <f>IF(E696="","",IFERROR(VLOOKUP(E696,T_PERK,2,FALSE),0))</f>
        <v/>
      </c>
      <c r="G696" s="11" t="n"/>
      <c r="H696" s="10">
        <f>IF(G696="","",IFERROR(VLOOKUP(G696,T_ANUG,2,FALSE),0))</f>
        <v/>
      </c>
      <c r="I696" s="11" t="n"/>
      <c r="J696" s="11" t="n"/>
      <c r="K696" s="11" t="n"/>
      <c r="L696" s="11" t="n"/>
      <c r="M696" s="11" t="n"/>
      <c r="N696" s="11" t="n"/>
      <c r="O696" s="11" t="n"/>
      <c r="P696" s="10">
        <f>IF(COUNTA(I696:O696)=0,"",MIN(10,SUM(I696:O696)))</f>
        <v/>
      </c>
      <c r="Q696" s="11" t="n"/>
      <c r="R696" s="10">
        <f>IF(Q696="","",IFERROR(VLOOKUP(Q696,T_NILAM,2,FALSE),0))</f>
        <v/>
      </c>
      <c r="S696" s="11" t="n"/>
      <c r="T696" s="10">
        <f>IF(S696="","",IFERROR(VLOOKUP(S696,T_TIMSS,2,FALSE),0))</f>
        <v/>
      </c>
      <c r="U696" s="19">
        <f>IF(COUNT(F696,H696,P696,R696,T696)=0,"",MIN(10,MAX(F696,H696,P696,R696,T696)))</f>
        <v/>
      </c>
      <c r="V696" s="11" t="n"/>
    </row>
    <row r="697">
      <c r="A697" s="15">
        <f>Murid!A697</f>
        <v/>
      </c>
      <c r="B697" s="15">
        <f>IF(Murid!B697="","",Murid!B697)</f>
        <v/>
      </c>
      <c r="C697" s="16">
        <f>IF(Murid!C697="","",Murid!C697)</f>
        <v/>
      </c>
      <c r="D697" s="15">
        <f>IF(Murid!E697="","",Murid!E697)</f>
        <v/>
      </c>
      <c r="E697" s="11" t="n"/>
      <c r="F697" s="10">
        <f>IF(E697="","",IFERROR(VLOOKUP(E697,T_PERK,2,FALSE),0))</f>
        <v/>
      </c>
      <c r="G697" s="11" t="n"/>
      <c r="H697" s="10">
        <f>IF(G697="","",IFERROR(VLOOKUP(G697,T_ANUG,2,FALSE),0))</f>
        <v/>
      </c>
      <c r="I697" s="11" t="n"/>
      <c r="J697" s="11" t="n"/>
      <c r="K697" s="11" t="n"/>
      <c r="L697" s="11" t="n"/>
      <c r="M697" s="11" t="n"/>
      <c r="N697" s="11" t="n"/>
      <c r="O697" s="11" t="n"/>
      <c r="P697" s="10">
        <f>IF(COUNTA(I697:O697)=0,"",MIN(10,SUM(I697:O697)))</f>
        <v/>
      </c>
      <c r="Q697" s="11" t="n"/>
      <c r="R697" s="10">
        <f>IF(Q697="","",IFERROR(VLOOKUP(Q697,T_NILAM,2,FALSE),0))</f>
        <v/>
      </c>
      <c r="S697" s="11" t="n"/>
      <c r="T697" s="10">
        <f>IF(S697="","",IFERROR(VLOOKUP(S697,T_TIMSS,2,FALSE),0))</f>
        <v/>
      </c>
      <c r="U697" s="19">
        <f>IF(COUNT(F697,H697,P697,R697,T697)=0,"",MIN(10,MAX(F697,H697,P697,R697,T697)))</f>
        <v/>
      </c>
      <c r="V697" s="11" t="n"/>
    </row>
    <row r="698">
      <c r="A698" s="15">
        <f>Murid!A698</f>
        <v/>
      </c>
      <c r="B698" s="15">
        <f>IF(Murid!B698="","",Murid!B698)</f>
        <v/>
      </c>
      <c r="C698" s="16">
        <f>IF(Murid!C698="","",Murid!C698)</f>
        <v/>
      </c>
      <c r="D698" s="15">
        <f>IF(Murid!E698="","",Murid!E698)</f>
        <v/>
      </c>
      <c r="E698" s="11" t="n"/>
      <c r="F698" s="10">
        <f>IF(E698="","",IFERROR(VLOOKUP(E698,T_PERK,2,FALSE),0))</f>
        <v/>
      </c>
      <c r="G698" s="11" t="n"/>
      <c r="H698" s="10">
        <f>IF(G698="","",IFERROR(VLOOKUP(G698,T_ANUG,2,FALSE),0))</f>
        <v/>
      </c>
      <c r="I698" s="11" t="n"/>
      <c r="J698" s="11" t="n"/>
      <c r="K698" s="11" t="n"/>
      <c r="L698" s="11" t="n"/>
      <c r="M698" s="11" t="n"/>
      <c r="N698" s="11" t="n"/>
      <c r="O698" s="11" t="n"/>
      <c r="P698" s="10">
        <f>IF(COUNTA(I698:O698)=0,"",MIN(10,SUM(I698:O698)))</f>
        <v/>
      </c>
      <c r="Q698" s="11" t="n"/>
      <c r="R698" s="10">
        <f>IF(Q698="","",IFERROR(VLOOKUP(Q698,T_NILAM,2,FALSE),0))</f>
        <v/>
      </c>
      <c r="S698" s="11" t="n"/>
      <c r="T698" s="10">
        <f>IF(S698="","",IFERROR(VLOOKUP(S698,T_TIMSS,2,FALSE),0))</f>
        <v/>
      </c>
      <c r="U698" s="19">
        <f>IF(COUNT(F698,H698,P698,R698,T698)=0,"",MIN(10,MAX(F698,H698,P698,R698,T698)))</f>
        <v/>
      </c>
      <c r="V698" s="11" t="n"/>
    </row>
    <row r="699">
      <c r="A699" s="15">
        <f>Murid!A699</f>
        <v/>
      </c>
      <c r="B699" s="15">
        <f>IF(Murid!B699="","",Murid!B699)</f>
        <v/>
      </c>
      <c r="C699" s="16">
        <f>IF(Murid!C699="","",Murid!C699)</f>
        <v/>
      </c>
      <c r="D699" s="15">
        <f>IF(Murid!E699="","",Murid!E699)</f>
        <v/>
      </c>
      <c r="E699" s="11" t="n"/>
      <c r="F699" s="10">
        <f>IF(E699="","",IFERROR(VLOOKUP(E699,T_PERK,2,FALSE),0))</f>
        <v/>
      </c>
      <c r="G699" s="11" t="n"/>
      <c r="H699" s="10">
        <f>IF(G699="","",IFERROR(VLOOKUP(G699,T_ANUG,2,FALSE),0))</f>
        <v/>
      </c>
      <c r="I699" s="11" t="n"/>
      <c r="J699" s="11" t="n"/>
      <c r="K699" s="11" t="n"/>
      <c r="L699" s="11" t="n"/>
      <c r="M699" s="11" t="n"/>
      <c r="N699" s="11" t="n"/>
      <c r="O699" s="11" t="n"/>
      <c r="P699" s="10">
        <f>IF(COUNTA(I699:O699)=0,"",MIN(10,SUM(I699:O699)))</f>
        <v/>
      </c>
      <c r="Q699" s="11" t="n"/>
      <c r="R699" s="10">
        <f>IF(Q699="","",IFERROR(VLOOKUP(Q699,T_NILAM,2,FALSE),0))</f>
        <v/>
      </c>
      <c r="S699" s="11" t="n"/>
      <c r="T699" s="10">
        <f>IF(S699="","",IFERROR(VLOOKUP(S699,T_TIMSS,2,FALSE),0))</f>
        <v/>
      </c>
      <c r="U699" s="19">
        <f>IF(COUNT(F699,H699,P699,R699,T699)=0,"",MIN(10,MAX(F699,H699,P699,R699,T699)))</f>
        <v/>
      </c>
      <c r="V699" s="11" t="n"/>
    </row>
    <row r="700">
      <c r="A700" s="15">
        <f>Murid!A700</f>
        <v/>
      </c>
      <c r="B700" s="15">
        <f>IF(Murid!B700="","",Murid!B700)</f>
        <v/>
      </c>
      <c r="C700" s="16">
        <f>IF(Murid!C700="","",Murid!C700)</f>
        <v/>
      </c>
      <c r="D700" s="15">
        <f>IF(Murid!E700="","",Murid!E700)</f>
        <v/>
      </c>
      <c r="E700" s="11" t="n"/>
      <c r="F700" s="10">
        <f>IF(E700="","",IFERROR(VLOOKUP(E700,T_PERK,2,FALSE),0))</f>
        <v/>
      </c>
      <c r="G700" s="11" t="n"/>
      <c r="H700" s="10">
        <f>IF(G700="","",IFERROR(VLOOKUP(G700,T_ANUG,2,FALSE),0))</f>
        <v/>
      </c>
      <c r="I700" s="11" t="n"/>
      <c r="J700" s="11" t="n"/>
      <c r="K700" s="11" t="n"/>
      <c r="L700" s="11" t="n"/>
      <c r="M700" s="11" t="n"/>
      <c r="N700" s="11" t="n"/>
      <c r="O700" s="11" t="n"/>
      <c r="P700" s="10">
        <f>IF(COUNTA(I700:O700)=0,"",MIN(10,SUM(I700:O700)))</f>
        <v/>
      </c>
      <c r="Q700" s="11" t="n"/>
      <c r="R700" s="10">
        <f>IF(Q700="","",IFERROR(VLOOKUP(Q700,T_NILAM,2,FALSE),0))</f>
        <v/>
      </c>
      <c r="S700" s="11" t="n"/>
      <c r="T700" s="10">
        <f>IF(S700="","",IFERROR(VLOOKUP(S700,T_TIMSS,2,FALSE),0))</f>
        <v/>
      </c>
      <c r="U700" s="19">
        <f>IF(COUNT(F700,H700,P700,R700,T700)=0,"",MIN(10,MAX(F700,H700,P700,R700,T700)))</f>
        <v/>
      </c>
      <c r="V700" s="11" t="n"/>
    </row>
    <row r="701">
      <c r="A701" s="15">
        <f>Murid!A701</f>
        <v/>
      </c>
      <c r="B701" s="15">
        <f>IF(Murid!B701="","",Murid!B701)</f>
        <v/>
      </c>
      <c r="C701" s="16">
        <f>IF(Murid!C701="","",Murid!C701)</f>
        <v/>
      </c>
      <c r="D701" s="15">
        <f>IF(Murid!E701="","",Murid!E701)</f>
        <v/>
      </c>
      <c r="E701" s="11" t="n"/>
      <c r="F701" s="10">
        <f>IF(E701="","",IFERROR(VLOOKUP(E701,T_PERK,2,FALSE),0))</f>
        <v/>
      </c>
      <c r="G701" s="11" t="n"/>
      <c r="H701" s="10">
        <f>IF(G701="","",IFERROR(VLOOKUP(G701,T_ANUG,2,FALSE),0))</f>
        <v/>
      </c>
      <c r="I701" s="11" t="n"/>
      <c r="J701" s="11" t="n"/>
      <c r="K701" s="11" t="n"/>
      <c r="L701" s="11" t="n"/>
      <c r="M701" s="11" t="n"/>
      <c r="N701" s="11" t="n"/>
      <c r="O701" s="11" t="n"/>
      <c r="P701" s="10">
        <f>IF(COUNTA(I701:O701)=0,"",MIN(10,SUM(I701:O701)))</f>
        <v/>
      </c>
      <c r="Q701" s="11" t="n"/>
      <c r="R701" s="10">
        <f>IF(Q701="","",IFERROR(VLOOKUP(Q701,T_NILAM,2,FALSE),0))</f>
        <v/>
      </c>
      <c r="S701" s="11" t="n"/>
      <c r="T701" s="10">
        <f>IF(S701="","",IFERROR(VLOOKUP(S701,T_TIMSS,2,FALSE),0))</f>
        <v/>
      </c>
      <c r="U701" s="19">
        <f>IF(COUNT(F701,H701,P701,R701,T701)=0,"",MIN(10,MAX(F701,H701,P701,R701,T701)))</f>
        <v/>
      </c>
      <c r="V701" s="11" t="n"/>
    </row>
    <row r="702">
      <c r="A702" s="15">
        <f>Murid!A702</f>
        <v/>
      </c>
      <c r="B702" s="15">
        <f>IF(Murid!B702="","",Murid!B702)</f>
        <v/>
      </c>
      <c r="C702" s="16">
        <f>IF(Murid!C702="","",Murid!C702)</f>
        <v/>
      </c>
      <c r="D702" s="15">
        <f>IF(Murid!E702="","",Murid!E702)</f>
        <v/>
      </c>
      <c r="E702" s="11" t="n"/>
      <c r="F702" s="10">
        <f>IF(E702="","",IFERROR(VLOOKUP(E702,T_PERK,2,FALSE),0))</f>
        <v/>
      </c>
      <c r="G702" s="11" t="n"/>
      <c r="H702" s="10">
        <f>IF(G702="","",IFERROR(VLOOKUP(G702,T_ANUG,2,FALSE),0))</f>
        <v/>
      </c>
      <c r="I702" s="11" t="n"/>
      <c r="J702" s="11" t="n"/>
      <c r="K702" s="11" t="n"/>
      <c r="L702" s="11" t="n"/>
      <c r="M702" s="11" t="n"/>
      <c r="N702" s="11" t="n"/>
      <c r="O702" s="11" t="n"/>
      <c r="P702" s="10">
        <f>IF(COUNTA(I702:O702)=0,"",MIN(10,SUM(I702:O702)))</f>
        <v/>
      </c>
      <c r="Q702" s="11" t="n"/>
      <c r="R702" s="10">
        <f>IF(Q702="","",IFERROR(VLOOKUP(Q702,T_NILAM,2,FALSE),0))</f>
        <v/>
      </c>
      <c r="S702" s="11" t="n"/>
      <c r="T702" s="10">
        <f>IF(S702="","",IFERROR(VLOOKUP(S702,T_TIMSS,2,FALSE),0))</f>
        <v/>
      </c>
      <c r="U702" s="19">
        <f>IF(COUNT(F702,H702,P702,R702,T702)=0,"",MIN(10,MAX(F702,H702,P702,R702,T702)))</f>
        <v/>
      </c>
      <c r="V702" s="11" t="n"/>
    </row>
    <row r="703">
      <c r="A703" s="15">
        <f>Murid!A703</f>
        <v/>
      </c>
      <c r="B703" s="15">
        <f>IF(Murid!B703="","",Murid!B703)</f>
        <v/>
      </c>
      <c r="C703" s="16">
        <f>IF(Murid!C703="","",Murid!C703)</f>
        <v/>
      </c>
      <c r="D703" s="15">
        <f>IF(Murid!E703="","",Murid!E703)</f>
        <v/>
      </c>
      <c r="E703" s="11" t="n"/>
      <c r="F703" s="10">
        <f>IF(E703="","",IFERROR(VLOOKUP(E703,T_PERK,2,FALSE),0))</f>
        <v/>
      </c>
      <c r="G703" s="11" t="n"/>
      <c r="H703" s="10">
        <f>IF(G703="","",IFERROR(VLOOKUP(G703,T_ANUG,2,FALSE),0))</f>
        <v/>
      </c>
      <c r="I703" s="11" t="n"/>
      <c r="J703" s="11" t="n"/>
      <c r="K703" s="11" t="n"/>
      <c r="L703" s="11" t="n"/>
      <c r="M703" s="11" t="n"/>
      <c r="N703" s="11" t="n"/>
      <c r="O703" s="11" t="n"/>
      <c r="P703" s="10">
        <f>IF(COUNTA(I703:O703)=0,"",MIN(10,SUM(I703:O703)))</f>
        <v/>
      </c>
      <c r="Q703" s="11" t="n"/>
      <c r="R703" s="10">
        <f>IF(Q703="","",IFERROR(VLOOKUP(Q703,T_NILAM,2,FALSE),0))</f>
        <v/>
      </c>
      <c r="S703" s="11" t="n"/>
      <c r="T703" s="10">
        <f>IF(S703="","",IFERROR(VLOOKUP(S703,T_TIMSS,2,FALSE),0))</f>
        <v/>
      </c>
      <c r="U703" s="19">
        <f>IF(COUNT(F703,H703,P703,R703,T703)=0,"",MIN(10,MAX(F703,H703,P703,R703,T703)))</f>
        <v/>
      </c>
      <c r="V703" s="11" t="n"/>
    </row>
    <row r="704">
      <c r="A704" s="15">
        <f>Murid!A704</f>
        <v/>
      </c>
      <c r="B704" s="15">
        <f>IF(Murid!B704="","",Murid!B704)</f>
        <v/>
      </c>
      <c r="C704" s="16">
        <f>IF(Murid!C704="","",Murid!C704)</f>
        <v/>
      </c>
      <c r="D704" s="15">
        <f>IF(Murid!E704="","",Murid!E704)</f>
        <v/>
      </c>
      <c r="E704" s="11" t="n"/>
      <c r="F704" s="10">
        <f>IF(E704="","",IFERROR(VLOOKUP(E704,T_PERK,2,FALSE),0))</f>
        <v/>
      </c>
      <c r="G704" s="11" t="n"/>
      <c r="H704" s="10">
        <f>IF(G704="","",IFERROR(VLOOKUP(G704,T_ANUG,2,FALSE),0))</f>
        <v/>
      </c>
      <c r="I704" s="11" t="n"/>
      <c r="J704" s="11" t="n"/>
      <c r="K704" s="11" t="n"/>
      <c r="L704" s="11" t="n"/>
      <c r="M704" s="11" t="n"/>
      <c r="N704" s="11" t="n"/>
      <c r="O704" s="11" t="n"/>
      <c r="P704" s="10">
        <f>IF(COUNTA(I704:O704)=0,"",MIN(10,SUM(I704:O704)))</f>
        <v/>
      </c>
      <c r="Q704" s="11" t="n"/>
      <c r="R704" s="10">
        <f>IF(Q704="","",IFERROR(VLOOKUP(Q704,T_NILAM,2,FALSE),0))</f>
        <v/>
      </c>
      <c r="S704" s="11" t="n"/>
      <c r="T704" s="10">
        <f>IF(S704="","",IFERROR(VLOOKUP(S704,T_TIMSS,2,FALSE),0))</f>
        <v/>
      </c>
      <c r="U704" s="19">
        <f>IF(COUNT(F704,H704,P704,R704,T704)=0,"",MIN(10,MAX(F704,H704,P704,R704,T704)))</f>
        <v/>
      </c>
      <c r="V704" s="11" t="n"/>
    </row>
    <row r="705">
      <c r="A705" s="15">
        <f>Murid!A705</f>
        <v/>
      </c>
      <c r="B705" s="15">
        <f>IF(Murid!B705="","",Murid!B705)</f>
        <v/>
      </c>
      <c r="C705" s="16">
        <f>IF(Murid!C705="","",Murid!C705)</f>
        <v/>
      </c>
      <c r="D705" s="15">
        <f>IF(Murid!E705="","",Murid!E705)</f>
        <v/>
      </c>
      <c r="E705" s="11" t="n"/>
      <c r="F705" s="10">
        <f>IF(E705="","",IFERROR(VLOOKUP(E705,T_PERK,2,FALSE),0))</f>
        <v/>
      </c>
      <c r="G705" s="11" t="n"/>
      <c r="H705" s="10">
        <f>IF(G705="","",IFERROR(VLOOKUP(G705,T_ANUG,2,FALSE),0))</f>
        <v/>
      </c>
      <c r="I705" s="11" t="n"/>
      <c r="J705" s="11" t="n"/>
      <c r="K705" s="11" t="n"/>
      <c r="L705" s="11" t="n"/>
      <c r="M705" s="11" t="n"/>
      <c r="N705" s="11" t="n"/>
      <c r="O705" s="11" t="n"/>
      <c r="P705" s="10">
        <f>IF(COUNTA(I705:O705)=0,"",MIN(10,SUM(I705:O705)))</f>
        <v/>
      </c>
      <c r="Q705" s="11" t="n"/>
      <c r="R705" s="10">
        <f>IF(Q705="","",IFERROR(VLOOKUP(Q705,T_NILAM,2,FALSE),0))</f>
        <v/>
      </c>
      <c r="S705" s="11" t="n"/>
      <c r="T705" s="10">
        <f>IF(S705="","",IFERROR(VLOOKUP(S705,T_TIMSS,2,FALSE),0))</f>
        <v/>
      </c>
      <c r="U705" s="19">
        <f>IF(COUNT(F705,H705,P705,R705,T705)=0,"",MIN(10,MAX(F705,H705,P705,R705,T705)))</f>
        <v/>
      </c>
      <c r="V705" s="11" t="n"/>
    </row>
    <row r="706">
      <c r="A706" s="15">
        <f>Murid!A706</f>
        <v/>
      </c>
      <c r="B706" s="15">
        <f>IF(Murid!B706="","",Murid!B706)</f>
        <v/>
      </c>
      <c r="C706" s="16">
        <f>IF(Murid!C706="","",Murid!C706)</f>
        <v/>
      </c>
      <c r="D706" s="15">
        <f>IF(Murid!E706="","",Murid!E706)</f>
        <v/>
      </c>
      <c r="E706" s="11" t="n"/>
      <c r="F706" s="10">
        <f>IF(E706="","",IFERROR(VLOOKUP(E706,T_PERK,2,FALSE),0))</f>
        <v/>
      </c>
      <c r="G706" s="11" t="n"/>
      <c r="H706" s="10">
        <f>IF(G706="","",IFERROR(VLOOKUP(G706,T_ANUG,2,FALSE),0))</f>
        <v/>
      </c>
      <c r="I706" s="11" t="n"/>
      <c r="J706" s="11" t="n"/>
      <c r="K706" s="11" t="n"/>
      <c r="L706" s="11" t="n"/>
      <c r="M706" s="11" t="n"/>
      <c r="N706" s="11" t="n"/>
      <c r="O706" s="11" t="n"/>
      <c r="P706" s="10">
        <f>IF(COUNTA(I706:O706)=0,"",MIN(10,SUM(I706:O706)))</f>
        <v/>
      </c>
      <c r="Q706" s="11" t="n"/>
      <c r="R706" s="10">
        <f>IF(Q706="","",IFERROR(VLOOKUP(Q706,T_NILAM,2,FALSE),0))</f>
        <v/>
      </c>
      <c r="S706" s="11" t="n"/>
      <c r="T706" s="10">
        <f>IF(S706="","",IFERROR(VLOOKUP(S706,T_TIMSS,2,FALSE),0))</f>
        <v/>
      </c>
      <c r="U706" s="19">
        <f>IF(COUNT(F706,H706,P706,R706,T706)=0,"",MIN(10,MAX(F706,H706,P706,R706,T706)))</f>
        <v/>
      </c>
      <c r="V706" s="11" t="n"/>
    </row>
    <row r="707">
      <c r="A707" s="15">
        <f>Murid!A707</f>
        <v/>
      </c>
      <c r="B707" s="15">
        <f>IF(Murid!B707="","",Murid!B707)</f>
        <v/>
      </c>
      <c r="C707" s="16">
        <f>IF(Murid!C707="","",Murid!C707)</f>
        <v/>
      </c>
      <c r="D707" s="15">
        <f>IF(Murid!E707="","",Murid!E707)</f>
        <v/>
      </c>
      <c r="E707" s="11" t="n"/>
      <c r="F707" s="10">
        <f>IF(E707="","",IFERROR(VLOOKUP(E707,T_PERK,2,FALSE),0))</f>
        <v/>
      </c>
      <c r="G707" s="11" t="n"/>
      <c r="H707" s="10">
        <f>IF(G707="","",IFERROR(VLOOKUP(G707,T_ANUG,2,FALSE),0))</f>
        <v/>
      </c>
      <c r="I707" s="11" t="n"/>
      <c r="J707" s="11" t="n"/>
      <c r="K707" s="11" t="n"/>
      <c r="L707" s="11" t="n"/>
      <c r="M707" s="11" t="n"/>
      <c r="N707" s="11" t="n"/>
      <c r="O707" s="11" t="n"/>
      <c r="P707" s="10">
        <f>IF(COUNTA(I707:O707)=0,"",MIN(10,SUM(I707:O707)))</f>
        <v/>
      </c>
      <c r="Q707" s="11" t="n"/>
      <c r="R707" s="10">
        <f>IF(Q707="","",IFERROR(VLOOKUP(Q707,T_NILAM,2,FALSE),0))</f>
        <v/>
      </c>
      <c r="S707" s="11" t="n"/>
      <c r="T707" s="10">
        <f>IF(S707="","",IFERROR(VLOOKUP(S707,T_TIMSS,2,FALSE),0))</f>
        <v/>
      </c>
      <c r="U707" s="19">
        <f>IF(COUNT(F707,H707,P707,R707,T707)=0,"",MIN(10,MAX(F707,H707,P707,R707,T707)))</f>
        <v/>
      </c>
      <c r="V707" s="11" t="n"/>
    </row>
    <row r="708">
      <c r="A708" s="15">
        <f>Murid!A708</f>
        <v/>
      </c>
      <c r="B708" s="15">
        <f>IF(Murid!B708="","",Murid!B708)</f>
        <v/>
      </c>
      <c r="C708" s="16">
        <f>IF(Murid!C708="","",Murid!C708)</f>
        <v/>
      </c>
      <c r="D708" s="15">
        <f>IF(Murid!E708="","",Murid!E708)</f>
        <v/>
      </c>
      <c r="E708" s="11" t="n"/>
      <c r="F708" s="10">
        <f>IF(E708="","",IFERROR(VLOOKUP(E708,T_PERK,2,FALSE),0))</f>
        <v/>
      </c>
      <c r="G708" s="11" t="n"/>
      <c r="H708" s="10">
        <f>IF(G708="","",IFERROR(VLOOKUP(G708,T_ANUG,2,FALSE),0))</f>
        <v/>
      </c>
      <c r="I708" s="11" t="n"/>
      <c r="J708" s="11" t="n"/>
      <c r="K708" s="11" t="n"/>
      <c r="L708" s="11" t="n"/>
      <c r="M708" s="11" t="n"/>
      <c r="N708" s="11" t="n"/>
      <c r="O708" s="11" t="n"/>
      <c r="P708" s="10">
        <f>IF(COUNTA(I708:O708)=0,"",MIN(10,SUM(I708:O708)))</f>
        <v/>
      </c>
      <c r="Q708" s="11" t="n"/>
      <c r="R708" s="10">
        <f>IF(Q708="","",IFERROR(VLOOKUP(Q708,T_NILAM,2,FALSE),0))</f>
        <v/>
      </c>
      <c r="S708" s="11" t="n"/>
      <c r="T708" s="10">
        <f>IF(S708="","",IFERROR(VLOOKUP(S708,T_TIMSS,2,FALSE),0))</f>
        <v/>
      </c>
      <c r="U708" s="19">
        <f>IF(COUNT(F708,H708,P708,R708,T708)=0,"",MIN(10,MAX(F708,H708,P708,R708,T708)))</f>
        <v/>
      </c>
      <c r="V708" s="11" t="n"/>
    </row>
    <row r="709">
      <c r="A709" s="15">
        <f>Murid!A709</f>
        <v/>
      </c>
      <c r="B709" s="15">
        <f>IF(Murid!B709="","",Murid!B709)</f>
        <v/>
      </c>
      <c r="C709" s="16">
        <f>IF(Murid!C709="","",Murid!C709)</f>
        <v/>
      </c>
      <c r="D709" s="15">
        <f>IF(Murid!E709="","",Murid!E709)</f>
        <v/>
      </c>
      <c r="E709" s="11" t="n"/>
      <c r="F709" s="10">
        <f>IF(E709="","",IFERROR(VLOOKUP(E709,T_PERK,2,FALSE),0))</f>
        <v/>
      </c>
      <c r="G709" s="11" t="n"/>
      <c r="H709" s="10">
        <f>IF(G709="","",IFERROR(VLOOKUP(G709,T_ANUG,2,FALSE),0))</f>
        <v/>
      </c>
      <c r="I709" s="11" t="n"/>
      <c r="J709" s="11" t="n"/>
      <c r="K709" s="11" t="n"/>
      <c r="L709" s="11" t="n"/>
      <c r="M709" s="11" t="n"/>
      <c r="N709" s="11" t="n"/>
      <c r="O709" s="11" t="n"/>
      <c r="P709" s="10">
        <f>IF(COUNTA(I709:O709)=0,"",MIN(10,SUM(I709:O709)))</f>
        <v/>
      </c>
      <c r="Q709" s="11" t="n"/>
      <c r="R709" s="10">
        <f>IF(Q709="","",IFERROR(VLOOKUP(Q709,T_NILAM,2,FALSE),0))</f>
        <v/>
      </c>
      <c r="S709" s="11" t="n"/>
      <c r="T709" s="10">
        <f>IF(S709="","",IFERROR(VLOOKUP(S709,T_TIMSS,2,FALSE),0))</f>
        <v/>
      </c>
      <c r="U709" s="19">
        <f>IF(COUNT(F709,H709,P709,R709,T709)=0,"",MIN(10,MAX(F709,H709,P709,R709,T709)))</f>
        <v/>
      </c>
      <c r="V709" s="11" t="n"/>
    </row>
    <row r="710">
      <c r="A710" s="15">
        <f>Murid!A710</f>
        <v/>
      </c>
      <c r="B710" s="15">
        <f>IF(Murid!B710="","",Murid!B710)</f>
        <v/>
      </c>
      <c r="C710" s="16">
        <f>IF(Murid!C710="","",Murid!C710)</f>
        <v/>
      </c>
      <c r="D710" s="15">
        <f>IF(Murid!E710="","",Murid!E710)</f>
        <v/>
      </c>
      <c r="E710" s="11" t="n"/>
      <c r="F710" s="10">
        <f>IF(E710="","",IFERROR(VLOOKUP(E710,T_PERK,2,FALSE),0))</f>
        <v/>
      </c>
      <c r="G710" s="11" t="n"/>
      <c r="H710" s="10">
        <f>IF(G710="","",IFERROR(VLOOKUP(G710,T_ANUG,2,FALSE),0))</f>
        <v/>
      </c>
      <c r="I710" s="11" t="n"/>
      <c r="J710" s="11" t="n"/>
      <c r="K710" s="11" t="n"/>
      <c r="L710" s="11" t="n"/>
      <c r="M710" s="11" t="n"/>
      <c r="N710" s="11" t="n"/>
      <c r="O710" s="11" t="n"/>
      <c r="P710" s="10">
        <f>IF(COUNTA(I710:O710)=0,"",MIN(10,SUM(I710:O710)))</f>
        <v/>
      </c>
      <c r="Q710" s="11" t="n"/>
      <c r="R710" s="10">
        <f>IF(Q710="","",IFERROR(VLOOKUP(Q710,T_NILAM,2,FALSE),0))</f>
        <v/>
      </c>
      <c r="S710" s="11" t="n"/>
      <c r="T710" s="10">
        <f>IF(S710="","",IFERROR(VLOOKUP(S710,T_TIMSS,2,FALSE),0))</f>
        <v/>
      </c>
      <c r="U710" s="19">
        <f>IF(COUNT(F710,H710,P710,R710,T710)=0,"",MIN(10,MAX(F710,H710,P710,R710,T710)))</f>
        <v/>
      </c>
      <c r="V710" s="11" t="n"/>
    </row>
    <row r="711">
      <c r="A711" s="15">
        <f>Murid!A711</f>
        <v/>
      </c>
      <c r="B711" s="15">
        <f>IF(Murid!B711="","",Murid!B711)</f>
        <v/>
      </c>
      <c r="C711" s="16">
        <f>IF(Murid!C711="","",Murid!C711)</f>
        <v/>
      </c>
      <c r="D711" s="15">
        <f>IF(Murid!E711="","",Murid!E711)</f>
        <v/>
      </c>
      <c r="E711" s="11" t="n"/>
      <c r="F711" s="10">
        <f>IF(E711="","",IFERROR(VLOOKUP(E711,T_PERK,2,FALSE),0))</f>
        <v/>
      </c>
      <c r="G711" s="11" t="n"/>
      <c r="H711" s="10">
        <f>IF(G711="","",IFERROR(VLOOKUP(G711,T_ANUG,2,FALSE),0))</f>
        <v/>
      </c>
      <c r="I711" s="11" t="n"/>
      <c r="J711" s="11" t="n"/>
      <c r="K711" s="11" t="n"/>
      <c r="L711" s="11" t="n"/>
      <c r="M711" s="11" t="n"/>
      <c r="N711" s="11" t="n"/>
      <c r="O711" s="11" t="n"/>
      <c r="P711" s="10">
        <f>IF(COUNTA(I711:O711)=0,"",MIN(10,SUM(I711:O711)))</f>
        <v/>
      </c>
      <c r="Q711" s="11" t="n"/>
      <c r="R711" s="10">
        <f>IF(Q711="","",IFERROR(VLOOKUP(Q711,T_NILAM,2,FALSE),0))</f>
        <v/>
      </c>
      <c r="S711" s="11" t="n"/>
      <c r="T711" s="10">
        <f>IF(S711="","",IFERROR(VLOOKUP(S711,T_TIMSS,2,FALSE),0))</f>
        <v/>
      </c>
      <c r="U711" s="19">
        <f>IF(COUNT(F711,H711,P711,R711,T711)=0,"",MIN(10,MAX(F711,H711,P711,R711,T711)))</f>
        <v/>
      </c>
      <c r="V711" s="11" t="n"/>
    </row>
    <row r="712">
      <c r="A712" s="15">
        <f>Murid!A712</f>
        <v/>
      </c>
      <c r="B712" s="15">
        <f>IF(Murid!B712="","",Murid!B712)</f>
        <v/>
      </c>
      <c r="C712" s="16">
        <f>IF(Murid!C712="","",Murid!C712)</f>
        <v/>
      </c>
      <c r="D712" s="15">
        <f>IF(Murid!E712="","",Murid!E712)</f>
        <v/>
      </c>
      <c r="E712" s="11" t="n"/>
      <c r="F712" s="10">
        <f>IF(E712="","",IFERROR(VLOOKUP(E712,T_PERK,2,FALSE),0))</f>
        <v/>
      </c>
      <c r="G712" s="11" t="n"/>
      <c r="H712" s="10">
        <f>IF(G712="","",IFERROR(VLOOKUP(G712,T_ANUG,2,FALSE),0))</f>
        <v/>
      </c>
      <c r="I712" s="11" t="n"/>
      <c r="J712" s="11" t="n"/>
      <c r="K712" s="11" t="n"/>
      <c r="L712" s="11" t="n"/>
      <c r="M712" s="11" t="n"/>
      <c r="N712" s="11" t="n"/>
      <c r="O712" s="11" t="n"/>
      <c r="P712" s="10">
        <f>IF(COUNTA(I712:O712)=0,"",MIN(10,SUM(I712:O712)))</f>
        <v/>
      </c>
      <c r="Q712" s="11" t="n"/>
      <c r="R712" s="10">
        <f>IF(Q712="","",IFERROR(VLOOKUP(Q712,T_NILAM,2,FALSE),0))</f>
        <v/>
      </c>
      <c r="S712" s="11" t="n"/>
      <c r="T712" s="10">
        <f>IF(S712="","",IFERROR(VLOOKUP(S712,T_TIMSS,2,FALSE),0))</f>
        <v/>
      </c>
      <c r="U712" s="19">
        <f>IF(COUNT(F712,H712,P712,R712,T712)=0,"",MIN(10,MAX(F712,H712,P712,R712,T712)))</f>
        <v/>
      </c>
      <c r="V712" s="11" t="n"/>
    </row>
    <row r="713">
      <c r="A713" s="15">
        <f>Murid!A713</f>
        <v/>
      </c>
      <c r="B713" s="15">
        <f>IF(Murid!B713="","",Murid!B713)</f>
        <v/>
      </c>
      <c r="C713" s="16">
        <f>IF(Murid!C713="","",Murid!C713)</f>
        <v/>
      </c>
      <c r="D713" s="15">
        <f>IF(Murid!E713="","",Murid!E713)</f>
        <v/>
      </c>
      <c r="E713" s="11" t="n"/>
      <c r="F713" s="10">
        <f>IF(E713="","",IFERROR(VLOOKUP(E713,T_PERK,2,FALSE),0))</f>
        <v/>
      </c>
      <c r="G713" s="11" t="n"/>
      <c r="H713" s="10">
        <f>IF(G713="","",IFERROR(VLOOKUP(G713,T_ANUG,2,FALSE),0))</f>
        <v/>
      </c>
      <c r="I713" s="11" t="n"/>
      <c r="J713" s="11" t="n"/>
      <c r="K713" s="11" t="n"/>
      <c r="L713" s="11" t="n"/>
      <c r="M713" s="11" t="n"/>
      <c r="N713" s="11" t="n"/>
      <c r="O713" s="11" t="n"/>
      <c r="P713" s="10">
        <f>IF(COUNTA(I713:O713)=0,"",MIN(10,SUM(I713:O713)))</f>
        <v/>
      </c>
      <c r="Q713" s="11" t="n"/>
      <c r="R713" s="10">
        <f>IF(Q713="","",IFERROR(VLOOKUP(Q713,T_NILAM,2,FALSE),0))</f>
        <v/>
      </c>
      <c r="S713" s="11" t="n"/>
      <c r="T713" s="10">
        <f>IF(S713="","",IFERROR(VLOOKUP(S713,T_TIMSS,2,FALSE),0))</f>
        <v/>
      </c>
      <c r="U713" s="19">
        <f>IF(COUNT(F713,H713,P713,R713,T713)=0,"",MIN(10,MAX(F713,H713,P713,R713,T713)))</f>
        <v/>
      </c>
      <c r="V713" s="11" t="n"/>
    </row>
    <row r="714">
      <c r="A714" s="15">
        <f>Murid!A714</f>
        <v/>
      </c>
      <c r="B714" s="15">
        <f>IF(Murid!B714="","",Murid!B714)</f>
        <v/>
      </c>
      <c r="C714" s="16">
        <f>IF(Murid!C714="","",Murid!C714)</f>
        <v/>
      </c>
      <c r="D714" s="15">
        <f>IF(Murid!E714="","",Murid!E714)</f>
        <v/>
      </c>
      <c r="E714" s="11" t="n"/>
      <c r="F714" s="10">
        <f>IF(E714="","",IFERROR(VLOOKUP(E714,T_PERK,2,FALSE),0))</f>
        <v/>
      </c>
      <c r="G714" s="11" t="n"/>
      <c r="H714" s="10">
        <f>IF(G714="","",IFERROR(VLOOKUP(G714,T_ANUG,2,FALSE),0))</f>
        <v/>
      </c>
      <c r="I714" s="11" t="n"/>
      <c r="J714" s="11" t="n"/>
      <c r="K714" s="11" t="n"/>
      <c r="L714" s="11" t="n"/>
      <c r="M714" s="11" t="n"/>
      <c r="N714" s="11" t="n"/>
      <c r="O714" s="11" t="n"/>
      <c r="P714" s="10">
        <f>IF(COUNTA(I714:O714)=0,"",MIN(10,SUM(I714:O714)))</f>
        <v/>
      </c>
      <c r="Q714" s="11" t="n"/>
      <c r="R714" s="10">
        <f>IF(Q714="","",IFERROR(VLOOKUP(Q714,T_NILAM,2,FALSE),0))</f>
        <v/>
      </c>
      <c r="S714" s="11" t="n"/>
      <c r="T714" s="10">
        <f>IF(S714="","",IFERROR(VLOOKUP(S714,T_TIMSS,2,FALSE),0))</f>
        <v/>
      </c>
      <c r="U714" s="19">
        <f>IF(COUNT(F714,H714,P714,R714,T714)=0,"",MIN(10,MAX(F714,H714,P714,R714,T714)))</f>
        <v/>
      </c>
      <c r="V714" s="11" t="n"/>
    </row>
    <row r="715">
      <c r="A715" s="15">
        <f>Murid!A715</f>
        <v/>
      </c>
      <c r="B715" s="15">
        <f>IF(Murid!B715="","",Murid!B715)</f>
        <v/>
      </c>
      <c r="C715" s="16">
        <f>IF(Murid!C715="","",Murid!C715)</f>
        <v/>
      </c>
      <c r="D715" s="15">
        <f>IF(Murid!E715="","",Murid!E715)</f>
        <v/>
      </c>
      <c r="E715" s="11" t="n"/>
      <c r="F715" s="10">
        <f>IF(E715="","",IFERROR(VLOOKUP(E715,T_PERK,2,FALSE),0))</f>
        <v/>
      </c>
      <c r="G715" s="11" t="n"/>
      <c r="H715" s="10">
        <f>IF(G715="","",IFERROR(VLOOKUP(G715,T_ANUG,2,FALSE),0))</f>
        <v/>
      </c>
      <c r="I715" s="11" t="n"/>
      <c r="J715" s="11" t="n"/>
      <c r="K715" s="11" t="n"/>
      <c r="L715" s="11" t="n"/>
      <c r="M715" s="11" t="n"/>
      <c r="N715" s="11" t="n"/>
      <c r="O715" s="11" t="n"/>
      <c r="P715" s="10">
        <f>IF(COUNTA(I715:O715)=0,"",MIN(10,SUM(I715:O715)))</f>
        <v/>
      </c>
      <c r="Q715" s="11" t="n"/>
      <c r="R715" s="10">
        <f>IF(Q715="","",IFERROR(VLOOKUP(Q715,T_NILAM,2,FALSE),0))</f>
        <v/>
      </c>
      <c r="S715" s="11" t="n"/>
      <c r="T715" s="10">
        <f>IF(S715="","",IFERROR(VLOOKUP(S715,T_TIMSS,2,FALSE),0))</f>
        <v/>
      </c>
      <c r="U715" s="19">
        <f>IF(COUNT(F715,H715,P715,R715,T715)=0,"",MIN(10,MAX(F715,H715,P715,R715,T715)))</f>
        <v/>
      </c>
      <c r="V715" s="11" t="n"/>
    </row>
    <row r="716">
      <c r="A716" s="15">
        <f>Murid!A716</f>
        <v/>
      </c>
      <c r="B716" s="15">
        <f>IF(Murid!B716="","",Murid!B716)</f>
        <v/>
      </c>
      <c r="C716" s="16">
        <f>IF(Murid!C716="","",Murid!C716)</f>
        <v/>
      </c>
      <c r="D716" s="15">
        <f>IF(Murid!E716="","",Murid!E716)</f>
        <v/>
      </c>
      <c r="E716" s="11" t="n"/>
      <c r="F716" s="10">
        <f>IF(E716="","",IFERROR(VLOOKUP(E716,T_PERK,2,FALSE),0))</f>
        <v/>
      </c>
      <c r="G716" s="11" t="n"/>
      <c r="H716" s="10">
        <f>IF(G716="","",IFERROR(VLOOKUP(G716,T_ANUG,2,FALSE),0))</f>
        <v/>
      </c>
      <c r="I716" s="11" t="n"/>
      <c r="J716" s="11" t="n"/>
      <c r="K716" s="11" t="n"/>
      <c r="L716" s="11" t="n"/>
      <c r="M716" s="11" t="n"/>
      <c r="N716" s="11" t="n"/>
      <c r="O716" s="11" t="n"/>
      <c r="P716" s="10">
        <f>IF(COUNTA(I716:O716)=0,"",MIN(10,SUM(I716:O716)))</f>
        <v/>
      </c>
      <c r="Q716" s="11" t="n"/>
      <c r="R716" s="10">
        <f>IF(Q716="","",IFERROR(VLOOKUP(Q716,T_NILAM,2,FALSE),0))</f>
        <v/>
      </c>
      <c r="S716" s="11" t="n"/>
      <c r="T716" s="10">
        <f>IF(S716="","",IFERROR(VLOOKUP(S716,T_TIMSS,2,FALSE),0))</f>
        <v/>
      </c>
      <c r="U716" s="19">
        <f>IF(COUNT(F716,H716,P716,R716,T716)=0,"",MIN(10,MAX(F716,H716,P716,R716,T716)))</f>
        <v/>
      </c>
      <c r="V716" s="11" t="n"/>
    </row>
    <row r="717">
      <c r="A717" s="15">
        <f>Murid!A717</f>
        <v/>
      </c>
      <c r="B717" s="15">
        <f>IF(Murid!B717="","",Murid!B717)</f>
        <v/>
      </c>
      <c r="C717" s="16">
        <f>IF(Murid!C717="","",Murid!C717)</f>
        <v/>
      </c>
      <c r="D717" s="15">
        <f>IF(Murid!E717="","",Murid!E717)</f>
        <v/>
      </c>
      <c r="E717" s="11" t="n"/>
      <c r="F717" s="10">
        <f>IF(E717="","",IFERROR(VLOOKUP(E717,T_PERK,2,FALSE),0))</f>
        <v/>
      </c>
      <c r="G717" s="11" t="n"/>
      <c r="H717" s="10">
        <f>IF(G717="","",IFERROR(VLOOKUP(G717,T_ANUG,2,FALSE),0))</f>
        <v/>
      </c>
      <c r="I717" s="11" t="n"/>
      <c r="J717" s="11" t="n"/>
      <c r="K717" s="11" t="n"/>
      <c r="L717" s="11" t="n"/>
      <c r="M717" s="11" t="n"/>
      <c r="N717" s="11" t="n"/>
      <c r="O717" s="11" t="n"/>
      <c r="P717" s="10">
        <f>IF(COUNTA(I717:O717)=0,"",MIN(10,SUM(I717:O717)))</f>
        <v/>
      </c>
      <c r="Q717" s="11" t="n"/>
      <c r="R717" s="10">
        <f>IF(Q717="","",IFERROR(VLOOKUP(Q717,T_NILAM,2,FALSE),0))</f>
        <v/>
      </c>
      <c r="S717" s="11" t="n"/>
      <c r="T717" s="10">
        <f>IF(S717="","",IFERROR(VLOOKUP(S717,T_TIMSS,2,FALSE),0))</f>
        <v/>
      </c>
      <c r="U717" s="19">
        <f>IF(COUNT(F717,H717,P717,R717,T717)=0,"",MIN(10,MAX(F717,H717,P717,R717,T717)))</f>
        <v/>
      </c>
      <c r="V717" s="11" t="n"/>
    </row>
    <row r="718">
      <c r="A718" s="15">
        <f>Murid!A718</f>
        <v/>
      </c>
      <c r="B718" s="15">
        <f>IF(Murid!B718="","",Murid!B718)</f>
        <v/>
      </c>
      <c r="C718" s="16">
        <f>IF(Murid!C718="","",Murid!C718)</f>
        <v/>
      </c>
      <c r="D718" s="15">
        <f>IF(Murid!E718="","",Murid!E718)</f>
        <v/>
      </c>
      <c r="E718" s="11" t="n"/>
      <c r="F718" s="10">
        <f>IF(E718="","",IFERROR(VLOOKUP(E718,T_PERK,2,FALSE),0))</f>
        <v/>
      </c>
      <c r="G718" s="11" t="n"/>
      <c r="H718" s="10">
        <f>IF(G718="","",IFERROR(VLOOKUP(G718,T_ANUG,2,FALSE),0))</f>
        <v/>
      </c>
      <c r="I718" s="11" t="n"/>
      <c r="J718" s="11" t="n"/>
      <c r="K718" s="11" t="n"/>
      <c r="L718" s="11" t="n"/>
      <c r="M718" s="11" t="n"/>
      <c r="N718" s="11" t="n"/>
      <c r="O718" s="11" t="n"/>
      <c r="P718" s="10">
        <f>IF(COUNTA(I718:O718)=0,"",MIN(10,SUM(I718:O718)))</f>
        <v/>
      </c>
      <c r="Q718" s="11" t="n"/>
      <c r="R718" s="10">
        <f>IF(Q718="","",IFERROR(VLOOKUP(Q718,T_NILAM,2,FALSE),0))</f>
        <v/>
      </c>
      <c r="S718" s="11" t="n"/>
      <c r="T718" s="10">
        <f>IF(S718="","",IFERROR(VLOOKUP(S718,T_TIMSS,2,FALSE),0))</f>
        <v/>
      </c>
      <c r="U718" s="19">
        <f>IF(COUNT(F718,H718,P718,R718,T718)=0,"",MIN(10,MAX(F718,H718,P718,R718,T718)))</f>
        <v/>
      </c>
      <c r="V718" s="11" t="n"/>
    </row>
    <row r="719">
      <c r="A719" s="15">
        <f>Murid!A719</f>
        <v/>
      </c>
      <c r="B719" s="15">
        <f>IF(Murid!B719="","",Murid!B719)</f>
        <v/>
      </c>
      <c r="C719" s="16">
        <f>IF(Murid!C719="","",Murid!C719)</f>
        <v/>
      </c>
      <c r="D719" s="15">
        <f>IF(Murid!E719="","",Murid!E719)</f>
        <v/>
      </c>
      <c r="E719" s="11" t="n"/>
      <c r="F719" s="10">
        <f>IF(E719="","",IFERROR(VLOOKUP(E719,T_PERK,2,FALSE),0))</f>
        <v/>
      </c>
      <c r="G719" s="11" t="n"/>
      <c r="H719" s="10">
        <f>IF(G719="","",IFERROR(VLOOKUP(G719,T_ANUG,2,FALSE),0))</f>
        <v/>
      </c>
      <c r="I719" s="11" t="n"/>
      <c r="J719" s="11" t="n"/>
      <c r="K719" s="11" t="n"/>
      <c r="L719" s="11" t="n"/>
      <c r="M719" s="11" t="n"/>
      <c r="N719" s="11" t="n"/>
      <c r="O719" s="11" t="n"/>
      <c r="P719" s="10">
        <f>IF(COUNTA(I719:O719)=0,"",MIN(10,SUM(I719:O719)))</f>
        <v/>
      </c>
      <c r="Q719" s="11" t="n"/>
      <c r="R719" s="10">
        <f>IF(Q719="","",IFERROR(VLOOKUP(Q719,T_NILAM,2,FALSE),0))</f>
        <v/>
      </c>
      <c r="S719" s="11" t="n"/>
      <c r="T719" s="10">
        <f>IF(S719="","",IFERROR(VLOOKUP(S719,T_TIMSS,2,FALSE),0))</f>
        <v/>
      </c>
      <c r="U719" s="19">
        <f>IF(COUNT(F719,H719,P719,R719,T719)=0,"",MIN(10,MAX(F719,H719,P719,R719,T719)))</f>
        <v/>
      </c>
      <c r="V719" s="11" t="n"/>
    </row>
    <row r="720">
      <c r="A720" s="15">
        <f>Murid!A720</f>
        <v/>
      </c>
      <c r="B720" s="15">
        <f>IF(Murid!B720="","",Murid!B720)</f>
        <v/>
      </c>
      <c r="C720" s="16">
        <f>IF(Murid!C720="","",Murid!C720)</f>
        <v/>
      </c>
      <c r="D720" s="15">
        <f>IF(Murid!E720="","",Murid!E720)</f>
        <v/>
      </c>
      <c r="E720" s="11" t="n"/>
      <c r="F720" s="10">
        <f>IF(E720="","",IFERROR(VLOOKUP(E720,T_PERK,2,FALSE),0))</f>
        <v/>
      </c>
      <c r="G720" s="11" t="n"/>
      <c r="H720" s="10">
        <f>IF(G720="","",IFERROR(VLOOKUP(G720,T_ANUG,2,FALSE),0))</f>
        <v/>
      </c>
      <c r="I720" s="11" t="n"/>
      <c r="J720" s="11" t="n"/>
      <c r="K720" s="11" t="n"/>
      <c r="L720" s="11" t="n"/>
      <c r="M720" s="11" t="n"/>
      <c r="N720" s="11" t="n"/>
      <c r="O720" s="11" t="n"/>
      <c r="P720" s="10">
        <f>IF(COUNTA(I720:O720)=0,"",MIN(10,SUM(I720:O720)))</f>
        <v/>
      </c>
      <c r="Q720" s="11" t="n"/>
      <c r="R720" s="10">
        <f>IF(Q720="","",IFERROR(VLOOKUP(Q720,T_NILAM,2,FALSE),0))</f>
        <v/>
      </c>
      <c r="S720" s="11" t="n"/>
      <c r="T720" s="10">
        <f>IF(S720="","",IFERROR(VLOOKUP(S720,T_TIMSS,2,FALSE),0))</f>
        <v/>
      </c>
      <c r="U720" s="19">
        <f>IF(COUNT(F720,H720,P720,R720,T720)=0,"",MIN(10,MAX(F720,H720,P720,R720,T720)))</f>
        <v/>
      </c>
      <c r="V720" s="11" t="n"/>
    </row>
    <row r="721">
      <c r="A721" s="15">
        <f>Murid!A721</f>
        <v/>
      </c>
      <c r="B721" s="15">
        <f>IF(Murid!B721="","",Murid!B721)</f>
        <v/>
      </c>
      <c r="C721" s="16">
        <f>IF(Murid!C721="","",Murid!C721)</f>
        <v/>
      </c>
      <c r="D721" s="15">
        <f>IF(Murid!E721="","",Murid!E721)</f>
        <v/>
      </c>
      <c r="E721" s="11" t="n"/>
      <c r="F721" s="10">
        <f>IF(E721="","",IFERROR(VLOOKUP(E721,T_PERK,2,FALSE),0))</f>
        <v/>
      </c>
      <c r="G721" s="11" t="n"/>
      <c r="H721" s="10">
        <f>IF(G721="","",IFERROR(VLOOKUP(G721,T_ANUG,2,FALSE),0))</f>
        <v/>
      </c>
      <c r="I721" s="11" t="n"/>
      <c r="J721" s="11" t="n"/>
      <c r="K721" s="11" t="n"/>
      <c r="L721" s="11" t="n"/>
      <c r="M721" s="11" t="n"/>
      <c r="N721" s="11" t="n"/>
      <c r="O721" s="11" t="n"/>
      <c r="P721" s="10">
        <f>IF(COUNTA(I721:O721)=0,"",MIN(10,SUM(I721:O721)))</f>
        <v/>
      </c>
      <c r="Q721" s="11" t="n"/>
      <c r="R721" s="10">
        <f>IF(Q721="","",IFERROR(VLOOKUP(Q721,T_NILAM,2,FALSE),0))</f>
        <v/>
      </c>
      <c r="S721" s="11" t="n"/>
      <c r="T721" s="10">
        <f>IF(S721="","",IFERROR(VLOOKUP(S721,T_TIMSS,2,FALSE),0))</f>
        <v/>
      </c>
      <c r="U721" s="19">
        <f>IF(COUNT(F721,H721,P721,R721,T721)=0,"",MIN(10,MAX(F721,H721,P721,R721,T721)))</f>
        <v/>
      </c>
      <c r="V721" s="11" t="n"/>
    </row>
    <row r="722">
      <c r="A722" s="15">
        <f>Murid!A722</f>
        <v/>
      </c>
      <c r="B722" s="15">
        <f>IF(Murid!B722="","",Murid!B722)</f>
        <v/>
      </c>
      <c r="C722" s="16">
        <f>IF(Murid!C722="","",Murid!C722)</f>
        <v/>
      </c>
      <c r="D722" s="15">
        <f>IF(Murid!E722="","",Murid!E722)</f>
        <v/>
      </c>
      <c r="E722" s="11" t="n"/>
      <c r="F722" s="10">
        <f>IF(E722="","",IFERROR(VLOOKUP(E722,T_PERK,2,FALSE),0))</f>
        <v/>
      </c>
      <c r="G722" s="11" t="n"/>
      <c r="H722" s="10">
        <f>IF(G722="","",IFERROR(VLOOKUP(G722,T_ANUG,2,FALSE),0))</f>
        <v/>
      </c>
      <c r="I722" s="11" t="n"/>
      <c r="J722" s="11" t="n"/>
      <c r="K722" s="11" t="n"/>
      <c r="L722" s="11" t="n"/>
      <c r="M722" s="11" t="n"/>
      <c r="N722" s="11" t="n"/>
      <c r="O722" s="11" t="n"/>
      <c r="P722" s="10">
        <f>IF(COUNTA(I722:O722)=0,"",MIN(10,SUM(I722:O722)))</f>
        <v/>
      </c>
      <c r="Q722" s="11" t="n"/>
      <c r="R722" s="10">
        <f>IF(Q722="","",IFERROR(VLOOKUP(Q722,T_NILAM,2,FALSE),0))</f>
        <v/>
      </c>
      <c r="S722" s="11" t="n"/>
      <c r="T722" s="10">
        <f>IF(S722="","",IFERROR(VLOOKUP(S722,T_TIMSS,2,FALSE),0))</f>
        <v/>
      </c>
      <c r="U722" s="19">
        <f>IF(COUNT(F722,H722,P722,R722,T722)=0,"",MIN(10,MAX(F722,H722,P722,R722,T722)))</f>
        <v/>
      </c>
      <c r="V722" s="11" t="n"/>
    </row>
    <row r="723">
      <c r="A723" s="15">
        <f>Murid!A723</f>
        <v/>
      </c>
      <c r="B723" s="15">
        <f>IF(Murid!B723="","",Murid!B723)</f>
        <v/>
      </c>
      <c r="C723" s="16">
        <f>IF(Murid!C723="","",Murid!C723)</f>
        <v/>
      </c>
      <c r="D723" s="15">
        <f>IF(Murid!E723="","",Murid!E723)</f>
        <v/>
      </c>
      <c r="E723" s="11" t="n"/>
      <c r="F723" s="10">
        <f>IF(E723="","",IFERROR(VLOOKUP(E723,T_PERK,2,FALSE),0))</f>
        <v/>
      </c>
      <c r="G723" s="11" t="n"/>
      <c r="H723" s="10">
        <f>IF(G723="","",IFERROR(VLOOKUP(G723,T_ANUG,2,FALSE),0))</f>
        <v/>
      </c>
      <c r="I723" s="11" t="n"/>
      <c r="J723" s="11" t="n"/>
      <c r="K723" s="11" t="n"/>
      <c r="L723" s="11" t="n"/>
      <c r="M723" s="11" t="n"/>
      <c r="N723" s="11" t="n"/>
      <c r="O723" s="11" t="n"/>
      <c r="P723" s="10">
        <f>IF(COUNTA(I723:O723)=0,"",MIN(10,SUM(I723:O723)))</f>
        <v/>
      </c>
      <c r="Q723" s="11" t="n"/>
      <c r="R723" s="10">
        <f>IF(Q723="","",IFERROR(VLOOKUP(Q723,T_NILAM,2,FALSE),0))</f>
        <v/>
      </c>
      <c r="S723" s="11" t="n"/>
      <c r="T723" s="10">
        <f>IF(S723="","",IFERROR(VLOOKUP(S723,T_TIMSS,2,FALSE),0))</f>
        <v/>
      </c>
      <c r="U723" s="19">
        <f>IF(COUNT(F723,H723,P723,R723,T723)=0,"",MIN(10,MAX(F723,H723,P723,R723,T723)))</f>
        <v/>
      </c>
      <c r="V723" s="11" t="n"/>
    </row>
    <row r="724">
      <c r="A724" s="15">
        <f>Murid!A724</f>
        <v/>
      </c>
      <c r="B724" s="15">
        <f>IF(Murid!B724="","",Murid!B724)</f>
        <v/>
      </c>
      <c r="C724" s="16">
        <f>IF(Murid!C724="","",Murid!C724)</f>
        <v/>
      </c>
      <c r="D724" s="15">
        <f>IF(Murid!E724="","",Murid!E724)</f>
        <v/>
      </c>
      <c r="E724" s="11" t="n"/>
      <c r="F724" s="10">
        <f>IF(E724="","",IFERROR(VLOOKUP(E724,T_PERK,2,FALSE),0))</f>
        <v/>
      </c>
      <c r="G724" s="11" t="n"/>
      <c r="H724" s="10">
        <f>IF(G724="","",IFERROR(VLOOKUP(G724,T_ANUG,2,FALSE),0))</f>
        <v/>
      </c>
      <c r="I724" s="11" t="n"/>
      <c r="J724" s="11" t="n"/>
      <c r="K724" s="11" t="n"/>
      <c r="L724" s="11" t="n"/>
      <c r="M724" s="11" t="n"/>
      <c r="N724" s="11" t="n"/>
      <c r="O724" s="11" t="n"/>
      <c r="P724" s="10">
        <f>IF(COUNTA(I724:O724)=0,"",MIN(10,SUM(I724:O724)))</f>
        <v/>
      </c>
      <c r="Q724" s="11" t="n"/>
      <c r="R724" s="10">
        <f>IF(Q724="","",IFERROR(VLOOKUP(Q724,T_NILAM,2,FALSE),0))</f>
        <v/>
      </c>
      <c r="S724" s="11" t="n"/>
      <c r="T724" s="10">
        <f>IF(S724="","",IFERROR(VLOOKUP(S724,T_TIMSS,2,FALSE),0))</f>
        <v/>
      </c>
      <c r="U724" s="19">
        <f>IF(COUNT(F724,H724,P724,R724,T724)=0,"",MIN(10,MAX(F724,H724,P724,R724,T724)))</f>
        <v/>
      </c>
      <c r="V724" s="11" t="n"/>
    </row>
    <row r="725">
      <c r="A725" s="15">
        <f>Murid!A725</f>
        <v/>
      </c>
      <c r="B725" s="15">
        <f>IF(Murid!B725="","",Murid!B725)</f>
        <v/>
      </c>
      <c r="C725" s="16">
        <f>IF(Murid!C725="","",Murid!C725)</f>
        <v/>
      </c>
      <c r="D725" s="15">
        <f>IF(Murid!E725="","",Murid!E725)</f>
        <v/>
      </c>
      <c r="E725" s="11" t="n"/>
      <c r="F725" s="10">
        <f>IF(E725="","",IFERROR(VLOOKUP(E725,T_PERK,2,FALSE),0))</f>
        <v/>
      </c>
      <c r="G725" s="11" t="n"/>
      <c r="H725" s="10">
        <f>IF(G725="","",IFERROR(VLOOKUP(G725,T_ANUG,2,FALSE),0))</f>
        <v/>
      </c>
      <c r="I725" s="11" t="n"/>
      <c r="J725" s="11" t="n"/>
      <c r="K725" s="11" t="n"/>
      <c r="L725" s="11" t="n"/>
      <c r="M725" s="11" t="n"/>
      <c r="N725" s="11" t="n"/>
      <c r="O725" s="11" t="n"/>
      <c r="P725" s="10">
        <f>IF(COUNTA(I725:O725)=0,"",MIN(10,SUM(I725:O725)))</f>
        <v/>
      </c>
      <c r="Q725" s="11" t="n"/>
      <c r="R725" s="10">
        <f>IF(Q725="","",IFERROR(VLOOKUP(Q725,T_NILAM,2,FALSE),0))</f>
        <v/>
      </c>
      <c r="S725" s="11" t="n"/>
      <c r="T725" s="10">
        <f>IF(S725="","",IFERROR(VLOOKUP(S725,T_TIMSS,2,FALSE),0))</f>
        <v/>
      </c>
      <c r="U725" s="19">
        <f>IF(COUNT(F725,H725,P725,R725,T725)=0,"",MIN(10,MAX(F725,H725,P725,R725,T725)))</f>
        <v/>
      </c>
      <c r="V725" s="11" t="n"/>
    </row>
    <row r="726">
      <c r="A726" s="15">
        <f>Murid!A726</f>
        <v/>
      </c>
      <c r="B726" s="15">
        <f>IF(Murid!B726="","",Murid!B726)</f>
        <v/>
      </c>
      <c r="C726" s="16">
        <f>IF(Murid!C726="","",Murid!C726)</f>
        <v/>
      </c>
      <c r="D726" s="15">
        <f>IF(Murid!E726="","",Murid!E726)</f>
        <v/>
      </c>
      <c r="E726" s="11" t="n"/>
      <c r="F726" s="10">
        <f>IF(E726="","",IFERROR(VLOOKUP(E726,T_PERK,2,FALSE),0))</f>
        <v/>
      </c>
      <c r="G726" s="11" t="n"/>
      <c r="H726" s="10">
        <f>IF(G726="","",IFERROR(VLOOKUP(G726,T_ANUG,2,FALSE),0))</f>
        <v/>
      </c>
      <c r="I726" s="11" t="n"/>
      <c r="J726" s="11" t="n"/>
      <c r="K726" s="11" t="n"/>
      <c r="L726" s="11" t="n"/>
      <c r="M726" s="11" t="n"/>
      <c r="N726" s="11" t="n"/>
      <c r="O726" s="11" t="n"/>
      <c r="P726" s="10">
        <f>IF(COUNTA(I726:O726)=0,"",MIN(10,SUM(I726:O726)))</f>
        <v/>
      </c>
      <c r="Q726" s="11" t="n"/>
      <c r="R726" s="10">
        <f>IF(Q726="","",IFERROR(VLOOKUP(Q726,T_NILAM,2,FALSE),0))</f>
        <v/>
      </c>
      <c r="S726" s="11" t="n"/>
      <c r="T726" s="10">
        <f>IF(S726="","",IFERROR(VLOOKUP(S726,T_TIMSS,2,FALSE),0))</f>
        <v/>
      </c>
      <c r="U726" s="19">
        <f>IF(COUNT(F726,H726,P726,R726,T726)=0,"",MIN(10,MAX(F726,H726,P726,R726,T726)))</f>
        <v/>
      </c>
      <c r="V726" s="11" t="n"/>
    </row>
    <row r="727">
      <c r="A727" s="15">
        <f>Murid!A727</f>
        <v/>
      </c>
      <c r="B727" s="15">
        <f>IF(Murid!B727="","",Murid!B727)</f>
        <v/>
      </c>
      <c r="C727" s="16">
        <f>IF(Murid!C727="","",Murid!C727)</f>
        <v/>
      </c>
      <c r="D727" s="15">
        <f>IF(Murid!E727="","",Murid!E727)</f>
        <v/>
      </c>
      <c r="E727" s="11" t="n"/>
      <c r="F727" s="10">
        <f>IF(E727="","",IFERROR(VLOOKUP(E727,T_PERK,2,FALSE),0))</f>
        <v/>
      </c>
      <c r="G727" s="11" t="n"/>
      <c r="H727" s="10">
        <f>IF(G727="","",IFERROR(VLOOKUP(G727,T_ANUG,2,FALSE),0))</f>
        <v/>
      </c>
      <c r="I727" s="11" t="n"/>
      <c r="J727" s="11" t="n"/>
      <c r="K727" s="11" t="n"/>
      <c r="L727" s="11" t="n"/>
      <c r="M727" s="11" t="n"/>
      <c r="N727" s="11" t="n"/>
      <c r="O727" s="11" t="n"/>
      <c r="P727" s="10">
        <f>IF(COUNTA(I727:O727)=0,"",MIN(10,SUM(I727:O727)))</f>
        <v/>
      </c>
      <c r="Q727" s="11" t="n"/>
      <c r="R727" s="10">
        <f>IF(Q727="","",IFERROR(VLOOKUP(Q727,T_NILAM,2,FALSE),0))</f>
        <v/>
      </c>
      <c r="S727" s="11" t="n"/>
      <c r="T727" s="10">
        <f>IF(S727="","",IFERROR(VLOOKUP(S727,T_TIMSS,2,FALSE),0))</f>
        <v/>
      </c>
      <c r="U727" s="19">
        <f>IF(COUNT(F727,H727,P727,R727,T727)=0,"",MIN(10,MAX(F727,H727,P727,R727,T727)))</f>
        <v/>
      </c>
      <c r="V727" s="11" t="n"/>
    </row>
    <row r="728">
      <c r="A728" s="15">
        <f>Murid!A728</f>
        <v/>
      </c>
      <c r="B728" s="15">
        <f>IF(Murid!B728="","",Murid!B728)</f>
        <v/>
      </c>
      <c r="C728" s="16">
        <f>IF(Murid!C728="","",Murid!C728)</f>
        <v/>
      </c>
      <c r="D728" s="15">
        <f>IF(Murid!E728="","",Murid!E728)</f>
        <v/>
      </c>
      <c r="E728" s="11" t="n"/>
      <c r="F728" s="10">
        <f>IF(E728="","",IFERROR(VLOOKUP(E728,T_PERK,2,FALSE),0))</f>
        <v/>
      </c>
      <c r="G728" s="11" t="n"/>
      <c r="H728" s="10">
        <f>IF(G728="","",IFERROR(VLOOKUP(G728,T_ANUG,2,FALSE),0))</f>
        <v/>
      </c>
      <c r="I728" s="11" t="n"/>
      <c r="J728" s="11" t="n"/>
      <c r="K728" s="11" t="n"/>
      <c r="L728" s="11" t="n"/>
      <c r="M728" s="11" t="n"/>
      <c r="N728" s="11" t="n"/>
      <c r="O728" s="11" t="n"/>
      <c r="P728" s="10">
        <f>IF(COUNTA(I728:O728)=0,"",MIN(10,SUM(I728:O728)))</f>
        <v/>
      </c>
      <c r="Q728" s="11" t="n"/>
      <c r="R728" s="10">
        <f>IF(Q728="","",IFERROR(VLOOKUP(Q728,T_NILAM,2,FALSE),0))</f>
        <v/>
      </c>
      <c r="S728" s="11" t="n"/>
      <c r="T728" s="10">
        <f>IF(S728="","",IFERROR(VLOOKUP(S728,T_TIMSS,2,FALSE),0))</f>
        <v/>
      </c>
      <c r="U728" s="19">
        <f>IF(COUNT(F728,H728,P728,R728,T728)=0,"",MIN(10,MAX(F728,H728,P728,R728,T728)))</f>
        <v/>
      </c>
      <c r="V728" s="11" t="n"/>
    </row>
    <row r="729">
      <c r="A729" s="15">
        <f>Murid!A729</f>
        <v/>
      </c>
      <c r="B729" s="15">
        <f>IF(Murid!B729="","",Murid!B729)</f>
        <v/>
      </c>
      <c r="C729" s="16">
        <f>IF(Murid!C729="","",Murid!C729)</f>
        <v/>
      </c>
      <c r="D729" s="15">
        <f>IF(Murid!E729="","",Murid!E729)</f>
        <v/>
      </c>
      <c r="E729" s="11" t="n"/>
      <c r="F729" s="10">
        <f>IF(E729="","",IFERROR(VLOOKUP(E729,T_PERK,2,FALSE),0))</f>
        <v/>
      </c>
      <c r="G729" s="11" t="n"/>
      <c r="H729" s="10">
        <f>IF(G729="","",IFERROR(VLOOKUP(G729,T_ANUG,2,FALSE),0))</f>
        <v/>
      </c>
      <c r="I729" s="11" t="n"/>
      <c r="J729" s="11" t="n"/>
      <c r="K729" s="11" t="n"/>
      <c r="L729" s="11" t="n"/>
      <c r="M729" s="11" t="n"/>
      <c r="N729" s="11" t="n"/>
      <c r="O729" s="11" t="n"/>
      <c r="P729" s="10">
        <f>IF(COUNTA(I729:O729)=0,"",MIN(10,SUM(I729:O729)))</f>
        <v/>
      </c>
      <c r="Q729" s="11" t="n"/>
      <c r="R729" s="10">
        <f>IF(Q729="","",IFERROR(VLOOKUP(Q729,T_NILAM,2,FALSE),0))</f>
        <v/>
      </c>
      <c r="S729" s="11" t="n"/>
      <c r="T729" s="10">
        <f>IF(S729="","",IFERROR(VLOOKUP(S729,T_TIMSS,2,FALSE),0))</f>
        <v/>
      </c>
      <c r="U729" s="19">
        <f>IF(COUNT(F729,H729,P729,R729,T729)=0,"",MIN(10,MAX(F729,H729,P729,R729,T729)))</f>
        <v/>
      </c>
      <c r="V729" s="11" t="n"/>
    </row>
    <row r="730">
      <c r="A730" s="15">
        <f>Murid!A730</f>
        <v/>
      </c>
      <c r="B730" s="15">
        <f>IF(Murid!B730="","",Murid!B730)</f>
        <v/>
      </c>
      <c r="C730" s="16">
        <f>IF(Murid!C730="","",Murid!C730)</f>
        <v/>
      </c>
      <c r="D730" s="15">
        <f>IF(Murid!E730="","",Murid!E730)</f>
        <v/>
      </c>
      <c r="E730" s="11" t="n"/>
      <c r="F730" s="10">
        <f>IF(E730="","",IFERROR(VLOOKUP(E730,T_PERK,2,FALSE),0))</f>
        <v/>
      </c>
      <c r="G730" s="11" t="n"/>
      <c r="H730" s="10">
        <f>IF(G730="","",IFERROR(VLOOKUP(G730,T_ANUG,2,FALSE),0))</f>
        <v/>
      </c>
      <c r="I730" s="11" t="n"/>
      <c r="J730" s="11" t="n"/>
      <c r="K730" s="11" t="n"/>
      <c r="L730" s="11" t="n"/>
      <c r="M730" s="11" t="n"/>
      <c r="N730" s="11" t="n"/>
      <c r="O730" s="11" t="n"/>
      <c r="P730" s="10">
        <f>IF(COUNTA(I730:O730)=0,"",MIN(10,SUM(I730:O730)))</f>
        <v/>
      </c>
      <c r="Q730" s="11" t="n"/>
      <c r="R730" s="10">
        <f>IF(Q730="","",IFERROR(VLOOKUP(Q730,T_NILAM,2,FALSE),0))</f>
        <v/>
      </c>
      <c r="S730" s="11" t="n"/>
      <c r="T730" s="10">
        <f>IF(S730="","",IFERROR(VLOOKUP(S730,T_TIMSS,2,FALSE),0))</f>
        <v/>
      </c>
      <c r="U730" s="19">
        <f>IF(COUNT(F730,H730,P730,R730,T730)=0,"",MIN(10,MAX(F730,H730,P730,R730,T730)))</f>
        <v/>
      </c>
      <c r="V730" s="11" t="n"/>
    </row>
    <row r="731">
      <c r="A731" s="15">
        <f>Murid!A731</f>
        <v/>
      </c>
      <c r="B731" s="15">
        <f>IF(Murid!B731="","",Murid!B731)</f>
        <v/>
      </c>
      <c r="C731" s="16">
        <f>IF(Murid!C731="","",Murid!C731)</f>
        <v/>
      </c>
      <c r="D731" s="15">
        <f>IF(Murid!E731="","",Murid!E731)</f>
        <v/>
      </c>
      <c r="E731" s="11" t="n"/>
      <c r="F731" s="10">
        <f>IF(E731="","",IFERROR(VLOOKUP(E731,T_PERK,2,FALSE),0))</f>
        <v/>
      </c>
      <c r="G731" s="11" t="n"/>
      <c r="H731" s="10">
        <f>IF(G731="","",IFERROR(VLOOKUP(G731,T_ANUG,2,FALSE),0))</f>
        <v/>
      </c>
      <c r="I731" s="11" t="n"/>
      <c r="J731" s="11" t="n"/>
      <c r="K731" s="11" t="n"/>
      <c r="L731" s="11" t="n"/>
      <c r="M731" s="11" t="n"/>
      <c r="N731" s="11" t="n"/>
      <c r="O731" s="11" t="n"/>
      <c r="P731" s="10">
        <f>IF(COUNTA(I731:O731)=0,"",MIN(10,SUM(I731:O731)))</f>
        <v/>
      </c>
      <c r="Q731" s="11" t="n"/>
      <c r="R731" s="10">
        <f>IF(Q731="","",IFERROR(VLOOKUP(Q731,T_NILAM,2,FALSE),0))</f>
        <v/>
      </c>
      <c r="S731" s="11" t="n"/>
      <c r="T731" s="10">
        <f>IF(S731="","",IFERROR(VLOOKUP(S731,T_TIMSS,2,FALSE),0))</f>
        <v/>
      </c>
      <c r="U731" s="19">
        <f>IF(COUNT(F731,H731,P731,R731,T731)=0,"",MIN(10,MAX(F731,H731,P731,R731,T731)))</f>
        <v/>
      </c>
      <c r="V731" s="11" t="n"/>
    </row>
    <row r="732">
      <c r="A732" s="15">
        <f>Murid!A732</f>
        <v/>
      </c>
      <c r="B732" s="15">
        <f>IF(Murid!B732="","",Murid!B732)</f>
        <v/>
      </c>
      <c r="C732" s="16">
        <f>IF(Murid!C732="","",Murid!C732)</f>
        <v/>
      </c>
      <c r="D732" s="15">
        <f>IF(Murid!E732="","",Murid!E732)</f>
        <v/>
      </c>
      <c r="E732" s="11" t="n"/>
      <c r="F732" s="10">
        <f>IF(E732="","",IFERROR(VLOOKUP(E732,T_PERK,2,FALSE),0))</f>
        <v/>
      </c>
      <c r="G732" s="11" t="n"/>
      <c r="H732" s="10">
        <f>IF(G732="","",IFERROR(VLOOKUP(G732,T_ANUG,2,FALSE),0))</f>
        <v/>
      </c>
      <c r="I732" s="11" t="n"/>
      <c r="J732" s="11" t="n"/>
      <c r="K732" s="11" t="n"/>
      <c r="L732" s="11" t="n"/>
      <c r="M732" s="11" t="n"/>
      <c r="N732" s="11" t="n"/>
      <c r="O732" s="11" t="n"/>
      <c r="P732" s="10">
        <f>IF(COUNTA(I732:O732)=0,"",MIN(10,SUM(I732:O732)))</f>
        <v/>
      </c>
      <c r="Q732" s="11" t="n"/>
      <c r="R732" s="10">
        <f>IF(Q732="","",IFERROR(VLOOKUP(Q732,T_NILAM,2,FALSE),0))</f>
        <v/>
      </c>
      <c r="S732" s="11" t="n"/>
      <c r="T732" s="10">
        <f>IF(S732="","",IFERROR(VLOOKUP(S732,T_TIMSS,2,FALSE),0))</f>
        <v/>
      </c>
      <c r="U732" s="19">
        <f>IF(COUNT(F732,H732,P732,R732,T732)=0,"",MIN(10,MAX(F732,H732,P732,R732,T732)))</f>
        <v/>
      </c>
      <c r="V732" s="11" t="n"/>
    </row>
    <row r="733">
      <c r="A733" s="15">
        <f>Murid!A733</f>
        <v/>
      </c>
      <c r="B733" s="15">
        <f>IF(Murid!B733="","",Murid!B733)</f>
        <v/>
      </c>
      <c r="C733" s="16">
        <f>IF(Murid!C733="","",Murid!C733)</f>
        <v/>
      </c>
      <c r="D733" s="15">
        <f>IF(Murid!E733="","",Murid!E733)</f>
        <v/>
      </c>
      <c r="E733" s="11" t="n"/>
      <c r="F733" s="10">
        <f>IF(E733="","",IFERROR(VLOOKUP(E733,T_PERK,2,FALSE),0))</f>
        <v/>
      </c>
      <c r="G733" s="11" t="n"/>
      <c r="H733" s="10">
        <f>IF(G733="","",IFERROR(VLOOKUP(G733,T_ANUG,2,FALSE),0))</f>
        <v/>
      </c>
      <c r="I733" s="11" t="n"/>
      <c r="J733" s="11" t="n"/>
      <c r="K733" s="11" t="n"/>
      <c r="L733" s="11" t="n"/>
      <c r="M733" s="11" t="n"/>
      <c r="N733" s="11" t="n"/>
      <c r="O733" s="11" t="n"/>
      <c r="P733" s="10">
        <f>IF(COUNTA(I733:O733)=0,"",MIN(10,SUM(I733:O733)))</f>
        <v/>
      </c>
      <c r="Q733" s="11" t="n"/>
      <c r="R733" s="10">
        <f>IF(Q733="","",IFERROR(VLOOKUP(Q733,T_NILAM,2,FALSE),0))</f>
        <v/>
      </c>
      <c r="S733" s="11" t="n"/>
      <c r="T733" s="10">
        <f>IF(S733="","",IFERROR(VLOOKUP(S733,T_TIMSS,2,FALSE),0))</f>
        <v/>
      </c>
      <c r="U733" s="19">
        <f>IF(COUNT(F733,H733,P733,R733,T733)=0,"",MIN(10,MAX(F733,H733,P733,R733,T733)))</f>
        <v/>
      </c>
      <c r="V733" s="11" t="n"/>
    </row>
    <row r="734">
      <c r="A734" s="15">
        <f>Murid!A734</f>
        <v/>
      </c>
      <c r="B734" s="15">
        <f>IF(Murid!B734="","",Murid!B734)</f>
        <v/>
      </c>
      <c r="C734" s="16">
        <f>IF(Murid!C734="","",Murid!C734)</f>
        <v/>
      </c>
      <c r="D734" s="15">
        <f>IF(Murid!E734="","",Murid!E734)</f>
        <v/>
      </c>
      <c r="E734" s="11" t="n"/>
      <c r="F734" s="10">
        <f>IF(E734="","",IFERROR(VLOOKUP(E734,T_PERK,2,FALSE),0))</f>
        <v/>
      </c>
      <c r="G734" s="11" t="n"/>
      <c r="H734" s="10">
        <f>IF(G734="","",IFERROR(VLOOKUP(G734,T_ANUG,2,FALSE),0))</f>
        <v/>
      </c>
      <c r="I734" s="11" t="n"/>
      <c r="J734" s="11" t="n"/>
      <c r="K734" s="11" t="n"/>
      <c r="L734" s="11" t="n"/>
      <c r="M734" s="11" t="n"/>
      <c r="N734" s="11" t="n"/>
      <c r="O734" s="11" t="n"/>
      <c r="P734" s="10">
        <f>IF(COUNTA(I734:O734)=0,"",MIN(10,SUM(I734:O734)))</f>
        <v/>
      </c>
      <c r="Q734" s="11" t="n"/>
      <c r="R734" s="10">
        <f>IF(Q734="","",IFERROR(VLOOKUP(Q734,T_NILAM,2,FALSE),0))</f>
        <v/>
      </c>
      <c r="S734" s="11" t="n"/>
      <c r="T734" s="10">
        <f>IF(S734="","",IFERROR(VLOOKUP(S734,T_TIMSS,2,FALSE),0))</f>
        <v/>
      </c>
      <c r="U734" s="19">
        <f>IF(COUNT(F734,H734,P734,R734,T734)=0,"",MIN(10,MAX(F734,H734,P734,R734,T734)))</f>
        <v/>
      </c>
      <c r="V734" s="11" t="n"/>
    </row>
    <row r="735">
      <c r="A735" s="15">
        <f>Murid!A735</f>
        <v/>
      </c>
      <c r="B735" s="15">
        <f>IF(Murid!B735="","",Murid!B735)</f>
        <v/>
      </c>
      <c r="C735" s="16">
        <f>IF(Murid!C735="","",Murid!C735)</f>
        <v/>
      </c>
      <c r="D735" s="15">
        <f>IF(Murid!E735="","",Murid!E735)</f>
        <v/>
      </c>
      <c r="E735" s="11" t="n"/>
      <c r="F735" s="10">
        <f>IF(E735="","",IFERROR(VLOOKUP(E735,T_PERK,2,FALSE),0))</f>
        <v/>
      </c>
      <c r="G735" s="11" t="n"/>
      <c r="H735" s="10">
        <f>IF(G735="","",IFERROR(VLOOKUP(G735,T_ANUG,2,FALSE),0))</f>
        <v/>
      </c>
      <c r="I735" s="11" t="n"/>
      <c r="J735" s="11" t="n"/>
      <c r="K735" s="11" t="n"/>
      <c r="L735" s="11" t="n"/>
      <c r="M735" s="11" t="n"/>
      <c r="N735" s="11" t="n"/>
      <c r="O735" s="11" t="n"/>
      <c r="P735" s="10">
        <f>IF(COUNTA(I735:O735)=0,"",MIN(10,SUM(I735:O735)))</f>
        <v/>
      </c>
      <c r="Q735" s="11" t="n"/>
      <c r="R735" s="10">
        <f>IF(Q735="","",IFERROR(VLOOKUP(Q735,T_NILAM,2,FALSE),0))</f>
        <v/>
      </c>
      <c r="S735" s="11" t="n"/>
      <c r="T735" s="10">
        <f>IF(S735="","",IFERROR(VLOOKUP(S735,T_TIMSS,2,FALSE),0))</f>
        <v/>
      </c>
      <c r="U735" s="19">
        <f>IF(COUNT(F735,H735,P735,R735,T735)=0,"",MIN(10,MAX(F735,H735,P735,R735,T735)))</f>
        <v/>
      </c>
      <c r="V735" s="11" t="n"/>
    </row>
    <row r="736">
      <c r="A736" s="15">
        <f>Murid!A736</f>
        <v/>
      </c>
      <c r="B736" s="15">
        <f>IF(Murid!B736="","",Murid!B736)</f>
        <v/>
      </c>
      <c r="C736" s="16">
        <f>IF(Murid!C736="","",Murid!C736)</f>
        <v/>
      </c>
      <c r="D736" s="15">
        <f>IF(Murid!E736="","",Murid!E736)</f>
        <v/>
      </c>
      <c r="E736" s="11" t="n"/>
      <c r="F736" s="10">
        <f>IF(E736="","",IFERROR(VLOOKUP(E736,T_PERK,2,FALSE),0))</f>
        <v/>
      </c>
      <c r="G736" s="11" t="n"/>
      <c r="H736" s="10">
        <f>IF(G736="","",IFERROR(VLOOKUP(G736,T_ANUG,2,FALSE),0))</f>
        <v/>
      </c>
      <c r="I736" s="11" t="n"/>
      <c r="J736" s="11" t="n"/>
      <c r="K736" s="11" t="n"/>
      <c r="L736" s="11" t="n"/>
      <c r="M736" s="11" t="n"/>
      <c r="N736" s="11" t="n"/>
      <c r="O736" s="11" t="n"/>
      <c r="P736" s="10">
        <f>IF(COUNTA(I736:O736)=0,"",MIN(10,SUM(I736:O736)))</f>
        <v/>
      </c>
      <c r="Q736" s="11" t="n"/>
      <c r="R736" s="10">
        <f>IF(Q736="","",IFERROR(VLOOKUP(Q736,T_NILAM,2,FALSE),0))</f>
        <v/>
      </c>
      <c r="S736" s="11" t="n"/>
      <c r="T736" s="10">
        <f>IF(S736="","",IFERROR(VLOOKUP(S736,T_TIMSS,2,FALSE),0))</f>
        <v/>
      </c>
      <c r="U736" s="19">
        <f>IF(COUNT(F736,H736,P736,R736,T736)=0,"",MIN(10,MAX(F736,H736,P736,R736,T736)))</f>
        <v/>
      </c>
      <c r="V736" s="11" t="n"/>
    </row>
    <row r="737">
      <c r="A737" s="15">
        <f>Murid!A737</f>
        <v/>
      </c>
      <c r="B737" s="15">
        <f>IF(Murid!B737="","",Murid!B737)</f>
        <v/>
      </c>
      <c r="C737" s="16">
        <f>IF(Murid!C737="","",Murid!C737)</f>
        <v/>
      </c>
      <c r="D737" s="15">
        <f>IF(Murid!E737="","",Murid!E737)</f>
        <v/>
      </c>
      <c r="E737" s="11" t="n"/>
      <c r="F737" s="10">
        <f>IF(E737="","",IFERROR(VLOOKUP(E737,T_PERK,2,FALSE),0))</f>
        <v/>
      </c>
      <c r="G737" s="11" t="n"/>
      <c r="H737" s="10">
        <f>IF(G737="","",IFERROR(VLOOKUP(G737,T_ANUG,2,FALSE),0))</f>
        <v/>
      </c>
      <c r="I737" s="11" t="n"/>
      <c r="J737" s="11" t="n"/>
      <c r="K737" s="11" t="n"/>
      <c r="L737" s="11" t="n"/>
      <c r="M737" s="11" t="n"/>
      <c r="N737" s="11" t="n"/>
      <c r="O737" s="11" t="n"/>
      <c r="P737" s="10">
        <f>IF(COUNTA(I737:O737)=0,"",MIN(10,SUM(I737:O737)))</f>
        <v/>
      </c>
      <c r="Q737" s="11" t="n"/>
      <c r="R737" s="10">
        <f>IF(Q737="","",IFERROR(VLOOKUP(Q737,T_NILAM,2,FALSE),0))</f>
        <v/>
      </c>
      <c r="S737" s="11" t="n"/>
      <c r="T737" s="10">
        <f>IF(S737="","",IFERROR(VLOOKUP(S737,T_TIMSS,2,FALSE),0))</f>
        <v/>
      </c>
      <c r="U737" s="19">
        <f>IF(COUNT(F737,H737,P737,R737,T737)=0,"",MIN(10,MAX(F737,H737,P737,R737,T737)))</f>
        <v/>
      </c>
      <c r="V737" s="11" t="n"/>
    </row>
    <row r="738">
      <c r="A738" s="15">
        <f>Murid!A738</f>
        <v/>
      </c>
      <c r="B738" s="15">
        <f>IF(Murid!B738="","",Murid!B738)</f>
        <v/>
      </c>
      <c r="C738" s="16">
        <f>IF(Murid!C738="","",Murid!C738)</f>
        <v/>
      </c>
      <c r="D738" s="15">
        <f>IF(Murid!E738="","",Murid!E738)</f>
        <v/>
      </c>
      <c r="E738" s="11" t="n"/>
      <c r="F738" s="10">
        <f>IF(E738="","",IFERROR(VLOOKUP(E738,T_PERK,2,FALSE),0))</f>
        <v/>
      </c>
      <c r="G738" s="11" t="n"/>
      <c r="H738" s="10">
        <f>IF(G738="","",IFERROR(VLOOKUP(G738,T_ANUG,2,FALSE),0))</f>
        <v/>
      </c>
      <c r="I738" s="11" t="n"/>
      <c r="J738" s="11" t="n"/>
      <c r="K738" s="11" t="n"/>
      <c r="L738" s="11" t="n"/>
      <c r="M738" s="11" t="n"/>
      <c r="N738" s="11" t="n"/>
      <c r="O738" s="11" t="n"/>
      <c r="P738" s="10">
        <f>IF(COUNTA(I738:O738)=0,"",MIN(10,SUM(I738:O738)))</f>
        <v/>
      </c>
      <c r="Q738" s="11" t="n"/>
      <c r="R738" s="10">
        <f>IF(Q738="","",IFERROR(VLOOKUP(Q738,T_NILAM,2,FALSE),0))</f>
        <v/>
      </c>
      <c r="S738" s="11" t="n"/>
      <c r="T738" s="10">
        <f>IF(S738="","",IFERROR(VLOOKUP(S738,T_TIMSS,2,FALSE),0))</f>
        <v/>
      </c>
      <c r="U738" s="19">
        <f>IF(COUNT(F738,H738,P738,R738,T738)=0,"",MIN(10,MAX(F738,H738,P738,R738,T738)))</f>
        <v/>
      </c>
      <c r="V738" s="11" t="n"/>
    </row>
    <row r="739">
      <c r="A739" s="15">
        <f>Murid!A739</f>
        <v/>
      </c>
      <c r="B739" s="15">
        <f>IF(Murid!B739="","",Murid!B739)</f>
        <v/>
      </c>
      <c r="C739" s="16">
        <f>IF(Murid!C739="","",Murid!C739)</f>
        <v/>
      </c>
      <c r="D739" s="15">
        <f>IF(Murid!E739="","",Murid!E739)</f>
        <v/>
      </c>
      <c r="E739" s="11" t="n"/>
      <c r="F739" s="10">
        <f>IF(E739="","",IFERROR(VLOOKUP(E739,T_PERK,2,FALSE),0))</f>
        <v/>
      </c>
      <c r="G739" s="11" t="n"/>
      <c r="H739" s="10">
        <f>IF(G739="","",IFERROR(VLOOKUP(G739,T_ANUG,2,FALSE),0))</f>
        <v/>
      </c>
      <c r="I739" s="11" t="n"/>
      <c r="J739" s="11" t="n"/>
      <c r="K739" s="11" t="n"/>
      <c r="L739" s="11" t="n"/>
      <c r="M739" s="11" t="n"/>
      <c r="N739" s="11" t="n"/>
      <c r="O739" s="11" t="n"/>
      <c r="P739" s="10">
        <f>IF(COUNTA(I739:O739)=0,"",MIN(10,SUM(I739:O739)))</f>
        <v/>
      </c>
      <c r="Q739" s="11" t="n"/>
      <c r="R739" s="10">
        <f>IF(Q739="","",IFERROR(VLOOKUP(Q739,T_NILAM,2,FALSE),0))</f>
        <v/>
      </c>
      <c r="S739" s="11" t="n"/>
      <c r="T739" s="10">
        <f>IF(S739="","",IFERROR(VLOOKUP(S739,T_TIMSS,2,FALSE),0))</f>
        <v/>
      </c>
      <c r="U739" s="19">
        <f>IF(COUNT(F739,H739,P739,R739,T739)=0,"",MIN(10,MAX(F739,H739,P739,R739,T739)))</f>
        <v/>
      </c>
      <c r="V739" s="11" t="n"/>
    </row>
    <row r="740">
      <c r="A740" s="15">
        <f>Murid!A740</f>
        <v/>
      </c>
      <c r="B740" s="15">
        <f>IF(Murid!B740="","",Murid!B740)</f>
        <v/>
      </c>
      <c r="C740" s="16">
        <f>IF(Murid!C740="","",Murid!C740)</f>
        <v/>
      </c>
      <c r="D740" s="15">
        <f>IF(Murid!E740="","",Murid!E740)</f>
        <v/>
      </c>
      <c r="E740" s="11" t="n"/>
      <c r="F740" s="10">
        <f>IF(E740="","",IFERROR(VLOOKUP(E740,T_PERK,2,FALSE),0))</f>
        <v/>
      </c>
      <c r="G740" s="11" t="n"/>
      <c r="H740" s="10">
        <f>IF(G740="","",IFERROR(VLOOKUP(G740,T_ANUG,2,FALSE),0))</f>
        <v/>
      </c>
      <c r="I740" s="11" t="n"/>
      <c r="J740" s="11" t="n"/>
      <c r="K740" s="11" t="n"/>
      <c r="L740" s="11" t="n"/>
      <c r="M740" s="11" t="n"/>
      <c r="N740" s="11" t="n"/>
      <c r="O740" s="11" t="n"/>
      <c r="P740" s="10">
        <f>IF(COUNTA(I740:O740)=0,"",MIN(10,SUM(I740:O740)))</f>
        <v/>
      </c>
      <c r="Q740" s="11" t="n"/>
      <c r="R740" s="10">
        <f>IF(Q740="","",IFERROR(VLOOKUP(Q740,T_NILAM,2,FALSE),0))</f>
        <v/>
      </c>
      <c r="S740" s="11" t="n"/>
      <c r="T740" s="10">
        <f>IF(S740="","",IFERROR(VLOOKUP(S740,T_TIMSS,2,FALSE),0))</f>
        <v/>
      </c>
      <c r="U740" s="19">
        <f>IF(COUNT(F740,H740,P740,R740,T740)=0,"",MIN(10,MAX(F740,H740,P740,R740,T740)))</f>
        <v/>
      </c>
      <c r="V740" s="11" t="n"/>
    </row>
    <row r="741">
      <c r="A741" s="15">
        <f>Murid!A741</f>
        <v/>
      </c>
      <c r="B741" s="15">
        <f>IF(Murid!B741="","",Murid!B741)</f>
        <v/>
      </c>
      <c r="C741" s="16">
        <f>IF(Murid!C741="","",Murid!C741)</f>
        <v/>
      </c>
      <c r="D741" s="15">
        <f>IF(Murid!E741="","",Murid!E741)</f>
        <v/>
      </c>
      <c r="E741" s="11" t="n"/>
      <c r="F741" s="10">
        <f>IF(E741="","",IFERROR(VLOOKUP(E741,T_PERK,2,FALSE),0))</f>
        <v/>
      </c>
      <c r="G741" s="11" t="n"/>
      <c r="H741" s="10">
        <f>IF(G741="","",IFERROR(VLOOKUP(G741,T_ANUG,2,FALSE),0))</f>
        <v/>
      </c>
      <c r="I741" s="11" t="n"/>
      <c r="J741" s="11" t="n"/>
      <c r="K741" s="11" t="n"/>
      <c r="L741" s="11" t="n"/>
      <c r="M741" s="11" t="n"/>
      <c r="N741" s="11" t="n"/>
      <c r="O741" s="11" t="n"/>
      <c r="P741" s="10">
        <f>IF(COUNTA(I741:O741)=0,"",MIN(10,SUM(I741:O741)))</f>
        <v/>
      </c>
      <c r="Q741" s="11" t="n"/>
      <c r="R741" s="10">
        <f>IF(Q741="","",IFERROR(VLOOKUP(Q741,T_NILAM,2,FALSE),0))</f>
        <v/>
      </c>
      <c r="S741" s="11" t="n"/>
      <c r="T741" s="10">
        <f>IF(S741="","",IFERROR(VLOOKUP(S741,T_TIMSS,2,FALSE),0))</f>
        <v/>
      </c>
      <c r="U741" s="19">
        <f>IF(COUNT(F741,H741,P741,R741,T741)=0,"",MIN(10,MAX(F741,H741,P741,R741,T741)))</f>
        <v/>
      </c>
      <c r="V741" s="11" t="n"/>
    </row>
    <row r="742">
      <c r="A742" s="15">
        <f>Murid!A742</f>
        <v/>
      </c>
      <c r="B742" s="15">
        <f>IF(Murid!B742="","",Murid!B742)</f>
        <v/>
      </c>
      <c r="C742" s="16">
        <f>IF(Murid!C742="","",Murid!C742)</f>
        <v/>
      </c>
      <c r="D742" s="15">
        <f>IF(Murid!E742="","",Murid!E742)</f>
        <v/>
      </c>
      <c r="E742" s="11" t="n"/>
      <c r="F742" s="10">
        <f>IF(E742="","",IFERROR(VLOOKUP(E742,T_PERK,2,FALSE),0))</f>
        <v/>
      </c>
      <c r="G742" s="11" t="n"/>
      <c r="H742" s="10">
        <f>IF(G742="","",IFERROR(VLOOKUP(G742,T_ANUG,2,FALSE),0))</f>
        <v/>
      </c>
      <c r="I742" s="11" t="n"/>
      <c r="J742" s="11" t="n"/>
      <c r="K742" s="11" t="n"/>
      <c r="L742" s="11" t="n"/>
      <c r="M742" s="11" t="n"/>
      <c r="N742" s="11" t="n"/>
      <c r="O742" s="11" t="n"/>
      <c r="P742" s="10">
        <f>IF(COUNTA(I742:O742)=0,"",MIN(10,SUM(I742:O742)))</f>
        <v/>
      </c>
      <c r="Q742" s="11" t="n"/>
      <c r="R742" s="10">
        <f>IF(Q742="","",IFERROR(VLOOKUP(Q742,T_NILAM,2,FALSE),0))</f>
        <v/>
      </c>
      <c r="S742" s="11" t="n"/>
      <c r="T742" s="10">
        <f>IF(S742="","",IFERROR(VLOOKUP(S742,T_TIMSS,2,FALSE),0))</f>
        <v/>
      </c>
      <c r="U742" s="19">
        <f>IF(COUNT(F742,H742,P742,R742,T742)=0,"",MIN(10,MAX(F742,H742,P742,R742,T742)))</f>
        <v/>
      </c>
      <c r="V742" s="11" t="n"/>
    </row>
    <row r="743">
      <c r="A743" s="15">
        <f>Murid!A743</f>
        <v/>
      </c>
      <c r="B743" s="15">
        <f>IF(Murid!B743="","",Murid!B743)</f>
        <v/>
      </c>
      <c r="C743" s="16">
        <f>IF(Murid!C743="","",Murid!C743)</f>
        <v/>
      </c>
      <c r="D743" s="15">
        <f>IF(Murid!E743="","",Murid!E743)</f>
        <v/>
      </c>
      <c r="E743" s="11" t="n"/>
      <c r="F743" s="10">
        <f>IF(E743="","",IFERROR(VLOOKUP(E743,T_PERK,2,FALSE),0))</f>
        <v/>
      </c>
      <c r="G743" s="11" t="n"/>
      <c r="H743" s="10">
        <f>IF(G743="","",IFERROR(VLOOKUP(G743,T_ANUG,2,FALSE),0))</f>
        <v/>
      </c>
      <c r="I743" s="11" t="n"/>
      <c r="J743" s="11" t="n"/>
      <c r="K743" s="11" t="n"/>
      <c r="L743" s="11" t="n"/>
      <c r="M743" s="11" t="n"/>
      <c r="N743" s="11" t="n"/>
      <c r="O743" s="11" t="n"/>
      <c r="P743" s="10">
        <f>IF(COUNTA(I743:O743)=0,"",MIN(10,SUM(I743:O743)))</f>
        <v/>
      </c>
      <c r="Q743" s="11" t="n"/>
      <c r="R743" s="10">
        <f>IF(Q743="","",IFERROR(VLOOKUP(Q743,T_NILAM,2,FALSE),0))</f>
        <v/>
      </c>
      <c r="S743" s="11" t="n"/>
      <c r="T743" s="10">
        <f>IF(S743="","",IFERROR(VLOOKUP(S743,T_TIMSS,2,FALSE),0))</f>
        <v/>
      </c>
      <c r="U743" s="19">
        <f>IF(COUNT(F743,H743,P743,R743,T743)=0,"",MIN(10,MAX(F743,H743,P743,R743,T743)))</f>
        <v/>
      </c>
      <c r="V743" s="11" t="n"/>
    </row>
    <row r="744">
      <c r="A744" s="15">
        <f>Murid!A744</f>
        <v/>
      </c>
      <c r="B744" s="15">
        <f>IF(Murid!B744="","",Murid!B744)</f>
        <v/>
      </c>
      <c r="C744" s="16">
        <f>IF(Murid!C744="","",Murid!C744)</f>
        <v/>
      </c>
      <c r="D744" s="15">
        <f>IF(Murid!E744="","",Murid!E744)</f>
        <v/>
      </c>
      <c r="E744" s="11" t="n"/>
      <c r="F744" s="10">
        <f>IF(E744="","",IFERROR(VLOOKUP(E744,T_PERK,2,FALSE),0))</f>
        <v/>
      </c>
      <c r="G744" s="11" t="n"/>
      <c r="H744" s="10">
        <f>IF(G744="","",IFERROR(VLOOKUP(G744,T_ANUG,2,FALSE),0))</f>
        <v/>
      </c>
      <c r="I744" s="11" t="n"/>
      <c r="J744" s="11" t="n"/>
      <c r="K744" s="11" t="n"/>
      <c r="L744" s="11" t="n"/>
      <c r="M744" s="11" t="n"/>
      <c r="N744" s="11" t="n"/>
      <c r="O744" s="11" t="n"/>
      <c r="P744" s="10">
        <f>IF(COUNTA(I744:O744)=0,"",MIN(10,SUM(I744:O744)))</f>
        <v/>
      </c>
      <c r="Q744" s="11" t="n"/>
      <c r="R744" s="10">
        <f>IF(Q744="","",IFERROR(VLOOKUP(Q744,T_NILAM,2,FALSE),0))</f>
        <v/>
      </c>
      <c r="S744" s="11" t="n"/>
      <c r="T744" s="10">
        <f>IF(S744="","",IFERROR(VLOOKUP(S744,T_TIMSS,2,FALSE),0))</f>
        <v/>
      </c>
      <c r="U744" s="19">
        <f>IF(COUNT(F744,H744,P744,R744,T744)=0,"",MIN(10,MAX(F744,H744,P744,R744,T744)))</f>
        <v/>
      </c>
      <c r="V744" s="11" t="n"/>
    </row>
    <row r="745">
      <c r="A745" s="15">
        <f>Murid!A745</f>
        <v/>
      </c>
      <c r="B745" s="15">
        <f>IF(Murid!B745="","",Murid!B745)</f>
        <v/>
      </c>
      <c r="C745" s="16">
        <f>IF(Murid!C745="","",Murid!C745)</f>
        <v/>
      </c>
      <c r="D745" s="15">
        <f>IF(Murid!E745="","",Murid!E745)</f>
        <v/>
      </c>
      <c r="E745" s="11" t="n"/>
      <c r="F745" s="10">
        <f>IF(E745="","",IFERROR(VLOOKUP(E745,T_PERK,2,FALSE),0))</f>
        <v/>
      </c>
      <c r="G745" s="11" t="n"/>
      <c r="H745" s="10">
        <f>IF(G745="","",IFERROR(VLOOKUP(G745,T_ANUG,2,FALSE),0))</f>
        <v/>
      </c>
      <c r="I745" s="11" t="n"/>
      <c r="J745" s="11" t="n"/>
      <c r="K745" s="11" t="n"/>
      <c r="L745" s="11" t="n"/>
      <c r="M745" s="11" t="n"/>
      <c r="N745" s="11" t="n"/>
      <c r="O745" s="11" t="n"/>
      <c r="P745" s="10">
        <f>IF(COUNTA(I745:O745)=0,"",MIN(10,SUM(I745:O745)))</f>
        <v/>
      </c>
      <c r="Q745" s="11" t="n"/>
      <c r="R745" s="10">
        <f>IF(Q745="","",IFERROR(VLOOKUP(Q745,T_NILAM,2,FALSE),0))</f>
        <v/>
      </c>
      <c r="S745" s="11" t="n"/>
      <c r="T745" s="10">
        <f>IF(S745="","",IFERROR(VLOOKUP(S745,T_TIMSS,2,FALSE),0))</f>
        <v/>
      </c>
      <c r="U745" s="19">
        <f>IF(COUNT(F745,H745,P745,R745,T745)=0,"",MIN(10,MAX(F745,H745,P745,R745,T745)))</f>
        <v/>
      </c>
      <c r="V745" s="11" t="n"/>
    </row>
    <row r="746">
      <c r="A746" s="15">
        <f>Murid!A746</f>
        <v/>
      </c>
      <c r="B746" s="15">
        <f>IF(Murid!B746="","",Murid!B746)</f>
        <v/>
      </c>
      <c r="C746" s="16">
        <f>IF(Murid!C746="","",Murid!C746)</f>
        <v/>
      </c>
      <c r="D746" s="15">
        <f>IF(Murid!E746="","",Murid!E746)</f>
        <v/>
      </c>
      <c r="E746" s="11" t="n"/>
      <c r="F746" s="10">
        <f>IF(E746="","",IFERROR(VLOOKUP(E746,T_PERK,2,FALSE),0))</f>
        <v/>
      </c>
      <c r="G746" s="11" t="n"/>
      <c r="H746" s="10">
        <f>IF(G746="","",IFERROR(VLOOKUP(G746,T_ANUG,2,FALSE),0))</f>
        <v/>
      </c>
      <c r="I746" s="11" t="n"/>
      <c r="J746" s="11" t="n"/>
      <c r="K746" s="11" t="n"/>
      <c r="L746" s="11" t="n"/>
      <c r="M746" s="11" t="n"/>
      <c r="N746" s="11" t="n"/>
      <c r="O746" s="11" t="n"/>
      <c r="P746" s="10">
        <f>IF(COUNTA(I746:O746)=0,"",MIN(10,SUM(I746:O746)))</f>
        <v/>
      </c>
      <c r="Q746" s="11" t="n"/>
      <c r="R746" s="10">
        <f>IF(Q746="","",IFERROR(VLOOKUP(Q746,T_NILAM,2,FALSE),0))</f>
        <v/>
      </c>
      <c r="S746" s="11" t="n"/>
      <c r="T746" s="10">
        <f>IF(S746="","",IFERROR(VLOOKUP(S746,T_TIMSS,2,FALSE),0))</f>
        <v/>
      </c>
      <c r="U746" s="19">
        <f>IF(COUNT(F746,H746,P746,R746,T746)=0,"",MIN(10,MAX(F746,H746,P746,R746,T746)))</f>
        <v/>
      </c>
      <c r="V746" s="11" t="n"/>
    </row>
    <row r="747">
      <c r="A747" s="15">
        <f>Murid!A747</f>
        <v/>
      </c>
      <c r="B747" s="15">
        <f>IF(Murid!B747="","",Murid!B747)</f>
        <v/>
      </c>
      <c r="C747" s="16">
        <f>IF(Murid!C747="","",Murid!C747)</f>
        <v/>
      </c>
      <c r="D747" s="15">
        <f>IF(Murid!E747="","",Murid!E747)</f>
        <v/>
      </c>
      <c r="E747" s="11" t="n"/>
      <c r="F747" s="10">
        <f>IF(E747="","",IFERROR(VLOOKUP(E747,T_PERK,2,FALSE),0))</f>
        <v/>
      </c>
      <c r="G747" s="11" t="n"/>
      <c r="H747" s="10">
        <f>IF(G747="","",IFERROR(VLOOKUP(G747,T_ANUG,2,FALSE),0))</f>
        <v/>
      </c>
      <c r="I747" s="11" t="n"/>
      <c r="J747" s="11" t="n"/>
      <c r="K747" s="11" t="n"/>
      <c r="L747" s="11" t="n"/>
      <c r="M747" s="11" t="n"/>
      <c r="N747" s="11" t="n"/>
      <c r="O747" s="11" t="n"/>
      <c r="P747" s="10">
        <f>IF(COUNTA(I747:O747)=0,"",MIN(10,SUM(I747:O747)))</f>
        <v/>
      </c>
      <c r="Q747" s="11" t="n"/>
      <c r="R747" s="10">
        <f>IF(Q747="","",IFERROR(VLOOKUP(Q747,T_NILAM,2,FALSE),0))</f>
        <v/>
      </c>
      <c r="S747" s="11" t="n"/>
      <c r="T747" s="10">
        <f>IF(S747="","",IFERROR(VLOOKUP(S747,T_TIMSS,2,FALSE),0))</f>
        <v/>
      </c>
      <c r="U747" s="19">
        <f>IF(COUNT(F747,H747,P747,R747,T747)=0,"",MIN(10,MAX(F747,H747,P747,R747,T747)))</f>
        <v/>
      </c>
      <c r="V747" s="11" t="n"/>
    </row>
    <row r="748">
      <c r="A748" s="15">
        <f>Murid!A748</f>
        <v/>
      </c>
      <c r="B748" s="15">
        <f>IF(Murid!B748="","",Murid!B748)</f>
        <v/>
      </c>
      <c r="C748" s="16">
        <f>IF(Murid!C748="","",Murid!C748)</f>
        <v/>
      </c>
      <c r="D748" s="15">
        <f>IF(Murid!E748="","",Murid!E748)</f>
        <v/>
      </c>
      <c r="E748" s="11" t="n"/>
      <c r="F748" s="10">
        <f>IF(E748="","",IFERROR(VLOOKUP(E748,T_PERK,2,FALSE),0))</f>
        <v/>
      </c>
      <c r="G748" s="11" t="n"/>
      <c r="H748" s="10">
        <f>IF(G748="","",IFERROR(VLOOKUP(G748,T_ANUG,2,FALSE),0))</f>
        <v/>
      </c>
      <c r="I748" s="11" t="n"/>
      <c r="J748" s="11" t="n"/>
      <c r="K748" s="11" t="n"/>
      <c r="L748" s="11" t="n"/>
      <c r="M748" s="11" t="n"/>
      <c r="N748" s="11" t="n"/>
      <c r="O748" s="11" t="n"/>
      <c r="P748" s="10">
        <f>IF(COUNTA(I748:O748)=0,"",MIN(10,SUM(I748:O748)))</f>
        <v/>
      </c>
      <c r="Q748" s="11" t="n"/>
      <c r="R748" s="10">
        <f>IF(Q748="","",IFERROR(VLOOKUP(Q748,T_NILAM,2,FALSE),0))</f>
        <v/>
      </c>
      <c r="S748" s="11" t="n"/>
      <c r="T748" s="10">
        <f>IF(S748="","",IFERROR(VLOOKUP(S748,T_TIMSS,2,FALSE),0))</f>
        <v/>
      </c>
      <c r="U748" s="19">
        <f>IF(COUNT(F748,H748,P748,R748,T748)=0,"",MIN(10,MAX(F748,H748,P748,R748,T748)))</f>
        <v/>
      </c>
      <c r="V748" s="11" t="n"/>
    </row>
    <row r="749">
      <c r="A749" s="15">
        <f>Murid!A749</f>
        <v/>
      </c>
      <c r="B749" s="15">
        <f>IF(Murid!B749="","",Murid!B749)</f>
        <v/>
      </c>
      <c r="C749" s="16">
        <f>IF(Murid!C749="","",Murid!C749)</f>
        <v/>
      </c>
      <c r="D749" s="15">
        <f>IF(Murid!E749="","",Murid!E749)</f>
        <v/>
      </c>
      <c r="E749" s="11" t="n"/>
      <c r="F749" s="10">
        <f>IF(E749="","",IFERROR(VLOOKUP(E749,T_PERK,2,FALSE),0))</f>
        <v/>
      </c>
      <c r="G749" s="11" t="n"/>
      <c r="H749" s="10">
        <f>IF(G749="","",IFERROR(VLOOKUP(G749,T_ANUG,2,FALSE),0))</f>
        <v/>
      </c>
      <c r="I749" s="11" t="n"/>
      <c r="J749" s="11" t="n"/>
      <c r="K749" s="11" t="n"/>
      <c r="L749" s="11" t="n"/>
      <c r="M749" s="11" t="n"/>
      <c r="N749" s="11" t="n"/>
      <c r="O749" s="11" t="n"/>
      <c r="P749" s="10">
        <f>IF(COUNTA(I749:O749)=0,"",MIN(10,SUM(I749:O749)))</f>
        <v/>
      </c>
      <c r="Q749" s="11" t="n"/>
      <c r="R749" s="10">
        <f>IF(Q749="","",IFERROR(VLOOKUP(Q749,T_NILAM,2,FALSE),0))</f>
        <v/>
      </c>
      <c r="S749" s="11" t="n"/>
      <c r="T749" s="10">
        <f>IF(S749="","",IFERROR(VLOOKUP(S749,T_TIMSS,2,FALSE),0))</f>
        <v/>
      </c>
      <c r="U749" s="19">
        <f>IF(COUNT(F749,H749,P749,R749,T749)=0,"",MIN(10,MAX(F749,H749,P749,R749,T749)))</f>
        <v/>
      </c>
      <c r="V749" s="11" t="n"/>
    </row>
    <row r="750">
      <c r="A750" s="15">
        <f>Murid!A750</f>
        <v/>
      </c>
      <c r="B750" s="15">
        <f>IF(Murid!B750="","",Murid!B750)</f>
        <v/>
      </c>
      <c r="C750" s="16">
        <f>IF(Murid!C750="","",Murid!C750)</f>
        <v/>
      </c>
      <c r="D750" s="15">
        <f>IF(Murid!E750="","",Murid!E750)</f>
        <v/>
      </c>
      <c r="E750" s="11" t="n"/>
      <c r="F750" s="10">
        <f>IF(E750="","",IFERROR(VLOOKUP(E750,T_PERK,2,FALSE),0))</f>
        <v/>
      </c>
      <c r="G750" s="11" t="n"/>
      <c r="H750" s="10">
        <f>IF(G750="","",IFERROR(VLOOKUP(G750,T_ANUG,2,FALSE),0))</f>
        <v/>
      </c>
      <c r="I750" s="11" t="n"/>
      <c r="J750" s="11" t="n"/>
      <c r="K750" s="11" t="n"/>
      <c r="L750" s="11" t="n"/>
      <c r="M750" s="11" t="n"/>
      <c r="N750" s="11" t="n"/>
      <c r="O750" s="11" t="n"/>
      <c r="P750" s="10">
        <f>IF(COUNTA(I750:O750)=0,"",MIN(10,SUM(I750:O750)))</f>
        <v/>
      </c>
      <c r="Q750" s="11" t="n"/>
      <c r="R750" s="10">
        <f>IF(Q750="","",IFERROR(VLOOKUP(Q750,T_NILAM,2,FALSE),0))</f>
        <v/>
      </c>
      <c r="S750" s="11" t="n"/>
      <c r="T750" s="10">
        <f>IF(S750="","",IFERROR(VLOOKUP(S750,T_TIMSS,2,FALSE),0))</f>
        <v/>
      </c>
      <c r="U750" s="19">
        <f>IF(COUNT(F750,H750,P750,R750,T750)=0,"",MIN(10,MAX(F750,H750,P750,R750,T750)))</f>
        <v/>
      </c>
      <c r="V750" s="11" t="n"/>
    </row>
    <row r="751">
      <c r="A751" s="15">
        <f>Murid!A751</f>
        <v/>
      </c>
      <c r="B751" s="15">
        <f>IF(Murid!B751="","",Murid!B751)</f>
        <v/>
      </c>
      <c r="C751" s="16">
        <f>IF(Murid!C751="","",Murid!C751)</f>
        <v/>
      </c>
      <c r="D751" s="15">
        <f>IF(Murid!E751="","",Murid!E751)</f>
        <v/>
      </c>
      <c r="E751" s="11" t="n"/>
      <c r="F751" s="10">
        <f>IF(E751="","",IFERROR(VLOOKUP(E751,T_PERK,2,FALSE),0))</f>
        <v/>
      </c>
      <c r="G751" s="11" t="n"/>
      <c r="H751" s="10">
        <f>IF(G751="","",IFERROR(VLOOKUP(G751,T_ANUG,2,FALSE),0))</f>
        <v/>
      </c>
      <c r="I751" s="11" t="n"/>
      <c r="J751" s="11" t="n"/>
      <c r="K751" s="11" t="n"/>
      <c r="L751" s="11" t="n"/>
      <c r="M751" s="11" t="n"/>
      <c r="N751" s="11" t="n"/>
      <c r="O751" s="11" t="n"/>
      <c r="P751" s="10">
        <f>IF(COUNTA(I751:O751)=0,"",MIN(10,SUM(I751:O751)))</f>
        <v/>
      </c>
      <c r="Q751" s="11" t="n"/>
      <c r="R751" s="10">
        <f>IF(Q751="","",IFERROR(VLOOKUP(Q751,T_NILAM,2,FALSE),0))</f>
        <v/>
      </c>
      <c r="S751" s="11" t="n"/>
      <c r="T751" s="10">
        <f>IF(S751="","",IFERROR(VLOOKUP(S751,T_TIMSS,2,FALSE),0))</f>
        <v/>
      </c>
      <c r="U751" s="19">
        <f>IF(COUNT(F751,H751,P751,R751,T751)=0,"",MIN(10,MAX(F751,H751,P751,R751,T751)))</f>
        <v/>
      </c>
      <c r="V751" s="11" t="n"/>
    </row>
    <row r="752">
      <c r="A752" s="15">
        <f>Murid!A752</f>
        <v/>
      </c>
      <c r="B752" s="15">
        <f>IF(Murid!B752="","",Murid!B752)</f>
        <v/>
      </c>
      <c r="C752" s="16">
        <f>IF(Murid!C752="","",Murid!C752)</f>
        <v/>
      </c>
      <c r="D752" s="15">
        <f>IF(Murid!E752="","",Murid!E752)</f>
        <v/>
      </c>
      <c r="E752" s="11" t="n"/>
      <c r="F752" s="10">
        <f>IF(E752="","",IFERROR(VLOOKUP(E752,T_PERK,2,FALSE),0))</f>
        <v/>
      </c>
      <c r="G752" s="11" t="n"/>
      <c r="H752" s="10">
        <f>IF(G752="","",IFERROR(VLOOKUP(G752,T_ANUG,2,FALSE),0))</f>
        <v/>
      </c>
      <c r="I752" s="11" t="n"/>
      <c r="J752" s="11" t="n"/>
      <c r="K752" s="11" t="n"/>
      <c r="L752" s="11" t="n"/>
      <c r="M752" s="11" t="n"/>
      <c r="N752" s="11" t="n"/>
      <c r="O752" s="11" t="n"/>
      <c r="P752" s="10">
        <f>IF(COUNTA(I752:O752)=0,"",MIN(10,SUM(I752:O752)))</f>
        <v/>
      </c>
      <c r="Q752" s="11" t="n"/>
      <c r="R752" s="10">
        <f>IF(Q752="","",IFERROR(VLOOKUP(Q752,T_NILAM,2,FALSE),0))</f>
        <v/>
      </c>
      <c r="S752" s="11" t="n"/>
      <c r="T752" s="10">
        <f>IF(S752="","",IFERROR(VLOOKUP(S752,T_TIMSS,2,FALSE),0))</f>
        <v/>
      </c>
      <c r="U752" s="19">
        <f>IF(COUNT(F752,H752,P752,R752,T752)=0,"",MIN(10,MAX(F752,H752,P752,R752,T752)))</f>
        <v/>
      </c>
      <c r="V752" s="11" t="n"/>
    </row>
    <row r="753">
      <c r="A753" s="15">
        <f>Murid!A753</f>
        <v/>
      </c>
      <c r="B753" s="15">
        <f>IF(Murid!B753="","",Murid!B753)</f>
        <v/>
      </c>
      <c r="C753" s="16">
        <f>IF(Murid!C753="","",Murid!C753)</f>
        <v/>
      </c>
      <c r="D753" s="15">
        <f>IF(Murid!E753="","",Murid!E753)</f>
        <v/>
      </c>
      <c r="E753" s="11" t="n"/>
      <c r="F753" s="10">
        <f>IF(E753="","",IFERROR(VLOOKUP(E753,T_PERK,2,FALSE),0))</f>
        <v/>
      </c>
      <c r="G753" s="11" t="n"/>
      <c r="H753" s="10">
        <f>IF(G753="","",IFERROR(VLOOKUP(G753,T_ANUG,2,FALSE),0))</f>
        <v/>
      </c>
      <c r="I753" s="11" t="n"/>
      <c r="J753" s="11" t="n"/>
      <c r="K753" s="11" t="n"/>
      <c r="L753" s="11" t="n"/>
      <c r="M753" s="11" t="n"/>
      <c r="N753" s="11" t="n"/>
      <c r="O753" s="11" t="n"/>
      <c r="P753" s="10">
        <f>IF(COUNTA(I753:O753)=0,"",MIN(10,SUM(I753:O753)))</f>
        <v/>
      </c>
      <c r="Q753" s="11" t="n"/>
      <c r="R753" s="10">
        <f>IF(Q753="","",IFERROR(VLOOKUP(Q753,T_NILAM,2,FALSE),0))</f>
        <v/>
      </c>
      <c r="S753" s="11" t="n"/>
      <c r="T753" s="10">
        <f>IF(S753="","",IFERROR(VLOOKUP(S753,T_TIMSS,2,FALSE),0))</f>
        <v/>
      </c>
      <c r="U753" s="19">
        <f>IF(COUNT(F753,H753,P753,R753,T753)=0,"",MIN(10,MAX(F753,H753,P753,R753,T753)))</f>
        <v/>
      </c>
      <c r="V753" s="11" t="n"/>
    </row>
    <row r="754">
      <c r="A754" s="15">
        <f>Murid!A754</f>
        <v/>
      </c>
      <c r="B754" s="15">
        <f>IF(Murid!B754="","",Murid!B754)</f>
        <v/>
      </c>
      <c r="C754" s="16">
        <f>IF(Murid!C754="","",Murid!C754)</f>
        <v/>
      </c>
      <c r="D754" s="15">
        <f>IF(Murid!E754="","",Murid!E754)</f>
        <v/>
      </c>
      <c r="E754" s="11" t="n"/>
      <c r="F754" s="10">
        <f>IF(E754="","",IFERROR(VLOOKUP(E754,T_PERK,2,FALSE),0))</f>
        <v/>
      </c>
      <c r="G754" s="11" t="n"/>
      <c r="H754" s="10">
        <f>IF(G754="","",IFERROR(VLOOKUP(G754,T_ANUG,2,FALSE),0))</f>
        <v/>
      </c>
      <c r="I754" s="11" t="n"/>
      <c r="J754" s="11" t="n"/>
      <c r="K754" s="11" t="n"/>
      <c r="L754" s="11" t="n"/>
      <c r="M754" s="11" t="n"/>
      <c r="N754" s="11" t="n"/>
      <c r="O754" s="11" t="n"/>
      <c r="P754" s="10">
        <f>IF(COUNTA(I754:O754)=0,"",MIN(10,SUM(I754:O754)))</f>
        <v/>
      </c>
      <c r="Q754" s="11" t="n"/>
      <c r="R754" s="10">
        <f>IF(Q754="","",IFERROR(VLOOKUP(Q754,T_NILAM,2,FALSE),0))</f>
        <v/>
      </c>
      <c r="S754" s="11" t="n"/>
      <c r="T754" s="10">
        <f>IF(S754="","",IFERROR(VLOOKUP(S754,T_TIMSS,2,FALSE),0))</f>
        <v/>
      </c>
      <c r="U754" s="19">
        <f>IF(COUNT(F754,H754,P754,R754,T754)=0,"",MIN(10,MAX(F754,H754,P754,R754,T754)))</f>
        <v/>
      </c>
      <c r="V754" s="11" t="n"/>
    </row>
    <row r="755">
      <c r="A755" s="15">
        <f>Murid!A755</f>
        <v/>
      </c>
      <c r="B755" s="15">
        <f>IF(Murid!B755="","",Murid!B755)</f>
        <v/>
      </c>
      <c r="C755" s="16">
        <f>IF(Murid!C755="","",Murid!C755)</f>
        <v/>
      </c>
      <c r="D755" s="15">
        <f>IF(Murid!E755="","",Murid!E755)</f>
        <v/>
      </c>
      <c r="E755" s="11" t="n"/>
      <c r="F755" s="10">
        <f>IF(E755="","",IFERROR(VLOOKUP(E755,T_PERK,2,FALSE),0))</f>
        <v/>
      </c>
      <c r="G755" s="11" t="n"/>
      <c r="H755" s="10">
        <f>IF(G755="","",IFERROR(VLOOKUP(G755,T_ANUG,2,FALSE),0))</f>
        <v/>
      </c>
      <c r="I755" s="11" t="n"/>
      <c r="J755" s="11" t="n"/>
      <c r="K755" s="11" t="n"/>
      <c r="L755" s="11" t="n"/>
      <c r="M755" s="11" t="n"/>
      <c r="N755" s="11" t="n"/>
      <c r="O755" s="11" t="n"/>
      <c r="P755" s="10">
        <f>IF(COUNTA(I755:O755)=0,"",MIN(10,SUM(I755:O755)))</f>
        <v/>
      </c>
      <c r="Q755" s="11" t="n"/>
      <c r="R755" s="10">
        <f>IF(Q755="","",IFERROR(VLOOKUP(Q755,T_NILAM,2,FALSE),0))</f>
        <v/>
      </c>
      <c r="S755" s="11" t="n"/>
      <c r="T755" s="10">
        <f>IF(S755="","",IFERROR(VLOOKUP(S755,T_TIMSS,2,FALSE),0))</f>
        <v/>
      </c>
      <c r="U755" s="19">
        <f>IF(COUNT(F755,H755,P755,R755,T755)=0,"",MIN(10,MAX(F755,H755,P755,R755,T755)))</f>
        <v/>
      </c>
      <c r="V755" s="11" t="n"/>
    </row>
    <row r="756">
      <c r="A756" s="15">
        <f>Murid!A756</f>
        <v/>
      </c>
      <c r="B756" s="15">
        <f>IF(Murid!B756="","",Murid!B756)</f>
        <v/>
      </c>
      <c r="C756" s="16">
        <f>IF(Murid!C756="","",Murid!C756)</f>
        <v/>
      </c>
      <c r="D756" s="15">
        <f>IF(Murid!E756="","",Murid!E756)</f>
        <v/>
      </c>
      <c r="E756" s="11" t="n"/>
      <c r="F756" s="10">
        <f>IF(E756="","",IFERROR(VLOOKUP(E756,T_PERK,2,FALSE),0))</f>
        <v/>
      </c>
      <c r="G756" s="11" t="n"/>
      <c r="H756" s="10">
        <f>IF(G756="","",IFERROR(VLOOKUP(G756,T_ANUG,2,FALSE),0))</f>
        <v/>
      </c>
      <c r="I756" s="11" t="n"/>
      <c r="J756" s="11" t="n"/>
      <c r="K756" s="11" t="n"/>
      <c r="L756" s="11" t="n"/>
      <c r="M756" s="11" t="n"/>
      <c r="N756" s="11" t="n"/>
      <c r="O756" s="11" t="n"/>
      <c r="P756" s="10">
        <f>IF(COUNTA(I756:O756)=0,"",MIN(10,SUM(I756:O756)))</f>
        <v/>
      </c>
      <c r="Q756" s="11" t="n"/>
      <c r="R756" s="10">
        <f>IF(Q756="","",IFERROR(VLOOKUP(Q756,T_NILAM,2,FALSE),0))</f>
        <v/>
      </c>
      <c r="S756" s="11" t="n"/>
      <c r="T756" s="10">
        <f>IF(S756="","",IFERROR(VLOOKUP(S756,T_TIMSS,2,FALSE),0))</f>
        <v/>
      </c>
      <c r="U756" s="19">
        <f>IF(COUNT(F756,H756,P756,R756,T756)=0,"",MIN(10,MAX(F756,H756,P756,R756,T756)))</f>
        <v/>
      </c>
      <c r="V756" s="11" t="n"/>
    </row>
    <row r="757">
      <c r="A757" s="15">
        <f>Murid!A757</f>
        <v/>
      </c>
      <c r="B757" s="15">
        <f>IF(Murid!B757="","",Murid!B757)</f>
        <v/>
      </c>
      <c r="C757" s="16">
        <f>IF(Murid!C757="","",Murid!C757)</f>
        <v/>
      </c>
      <c r="D757" s="15">
        <f>IF(Murid!E757="","",Murid!E757)</f>
        <v/>
      </c>
      <c r="E757" s="11" t="n"/>
      <c r="F757" s="10">
        <f>IF(E757="","",IFERROR(VLOOKUP(E757,T_PERK,2,FALSE),0))</f>
        <v/>
      </c>
      <c r="G757" s="11" t="n"/>
      <c r="H757" s="10">
        <f>IF(G757="","",IFERROR(VLOOKUP(G757,T_ANUG,2,FALSE),0))</f>
        <v/>
      </c>
      <c r="I757" s="11" t="n"/>
      <c r="J757" s="11" t="n"/>
      <c r="K757" s="11" t="n"/>
      <c r="L757" s="11" t="n"/>
      <c r="M757" s="11" t="n"/>
      <c r="N757" s="11" t="n"/>
      <c r="O757" s="11" t="n"/>
      <c r="P757" s="10">
        <f>IF(COUNTA(I757:O757)=0,"",MIN(10,SUM(I757:O757)))</f>
        <v/>
      </c>
      <c r="Q757" s="11" t="n"/>
      <c r="R757" s="10">
        <f>IF(Q757="","",IFERROR(VLOOKUP(Q757,T_NILAM,2,FALSE),0))</f>
        <v/>
      </c>
      <c r="S757" s="11" t="n"/>
      <c r="T757" s="10">
        <f>IF(S757="","",IFERROR(VLOOKUP(S757,T_TIMSS,2,FALSE),0))</f>
        <v/>
      </c>
      <c r="U757" s="19">
        <f>IF(COUNT(F757,H757,P757,R757,T757)=0,"",MIN(10,MAX(F757,H757,P757,R757,T757)))</f>
        <v/>
      </c>
      <c r="V757" s="11" t="n"/>
    </row>
    <row r="758">
      <c r="A758" s="15">
        <f>Murid!A758</f>
        <v/>
      </c>
      <c r="B758" s="15">
        <f>IF(Murid!B758="","",Murid!B758)</f>
        <v/>
      </c>
      <c r="C758" s="16">
        <f>IF(Murid!C758="","",Murid!C758)</f>
        <v/>
      </c>
      <c r="D758" s="15">
        <f>IF(Murid!E758="","",Murid!E758)</f>
        <v/>
      </c>
      <c r="E758" s="11" t="n"/>
      <c r="F758" s="10">
        <f>IF(E758="","",IFERROR(VLOOKUP(E758,T_PERK,2,FALSE),0))</f>
        <v/>
      </c>
      <c r="G758" s="11" t="n"/>
      <c r="H758" s="10">
        <f>IF(G758="","",IFERROR(VLOOKUP(G758,T_ANUG,2,FALSE),0))</f>
        <v/>
      </c>
      <c r="I758" s="11" t="n"/>
      <c r="J758" s="11" t="n"/>
      <c r="K758" s="11" t="n"/>
      <c r="L758" s="11" t="n"/>
      <c r="M758" s="11" t="n"/>
      <c r="N758" s="11" t="n"/>
      <c r="O758" s="11" t="n"/>
      <c r="P758" s="10">
        <f>IF(COUNTA(I758:O758)=0,"",MIN(10,SUM(I758:O758)))</f>
        <v/>
      </c>
      <c r="Q758" s="11" t="n"/>
      <c r="R758" s="10">
        <f>IF(Q758="","",IFERROR(VLOOKUP(Q758,T_NILAM,2,FALSE),0))</f>
        <v/>
      </c>
      <c r="S758" s="11" t="n"/>
      <c r="T758" s="10">
        <f>IF(S758="","",IFERROR(VLOOKUP(S758,T_TIMSS,2,FALSE),0))</f>
        <v/>
      </c>
      <c r="U758" s="19">
        <f>IF(COUNT(F758,H758,P758,R758,T758)=0,"",MIN(10,MAX(F758,H758,P758,R758,T758)))</f>
        <v/>
      </c>
      <c r="V758" s="11" t="n"/>
    </row>
    <row r="759">
      <c r="A759" s="15">
        <f>Murid!A759</f>
        <v/>
      </c>
      <c r="B759" s="15">
        <f>IF(Murid!B759="","",Murid!B759)</f>
        <v/>
      </c>
      <c r="C759" s="16">
        <f>IF(Murid!C759="","",Murid!C759)</f>
        <v/>
      </c>
      <c r="D759" s="15">
        <f>IF(Murid!E759="","",Murid!E759)</f>
        <v/>
      </c>
      <c r="E759" s="11" t="n"/>
      <c r="F759" s="10">
        <f>IF(E759="","",IFERROR(VLOOKUP(E759,T_PERK,2,FALSE),0))</f>
        <v/>
      </c>
      <c r="G759" s="11" t="n"/>
      <c r="H759" s="10">
        <f>IF(G759="","",IFERROR(VLOOKUP(G759,T_ANUG,2,FALSE),0))</f>
        <v/>
      </c>
      <c r="I759" s="11" t="n"/>
      <c r="J759" s="11" t="n"/>
      <c r="K759" s="11" t="n"/>
      <c r="L759" s="11" t="n"/>
      <c r="M759" s="11" t="n"/>
      <c r="N759" s="11" t="n"/>
      <c r="O759" s="11" t="n"/>
      <c r="P759" s="10">
        <f>IF(COUNTA(I759:O759)=0,"",MIN(10,SUM(I759:O759)))</f>
        <v/>
      </c>
      <c r="Q759" s="11" t="n"/>
      <c r="R759" s="10">
        <f>IF(Q759="","",IFERROR(VLOOKUP(Q759,T_NILAM,2,FALSE),0))</f>
        <v/>
      </c>
      <c r="S759" s="11" t="n"/>
      <c r="T759" s="10">
        <f>IF(S759="","",IFERROR(VLOOKUP(S759,T_TIMSS,2,FALSE),0))</f>
        <v/>
      </c>
      <c r="U759" s="19">
        <f>IF(COUNT(F759,H759,P759,R759,T759)=0,"",MIN(10,MAX(F759,H759,P759,R759,T759)))</f>
        <v/>
      </c>
      <c r="V759" s="11" t="n"/>
    </row>
    <row r="760">
      <c r="A760" s="15">
        <f>Murid!A760</f>
        <v/>
      </c>
      <c r="B760" s="15">
        <f>IF(Murid!B760="","",Murid!B760)</f>
        <v/>
      </c>
      <c r="C760" s="16">
        <f>IF(Murid!C760="","",Murid!C760)</f>
        <v/>
      </c>
      <c r="D760" s="15">
        <f>IF(Murid!E760="","",Murid!E760)</f>
        <v/>
      </c>
      <c r="E760" s="11" t="n"/>
      <c r="F760" s="10">
        <f>IF(E760="","",IFERROR(VLOOKUP(E760,T_PERK,2,FALSE),0))</f>
        <v/>
      </c>
      <c r="G760" s="11" t="n"/>
      <c r="H760" s="10">
        <f>IF(G760="","",IFERROR(VLOOKUP(G760,T_ANUG,2,FALSE),0))</f>
        <v/>
      </c>
      <c r="I760" s="11" t="n"/>
      <c r="J760" s="11" t="n"/>
      <c r="K760" s="11" t="n"/>
      <c r="L760" s="11" t="n"/>
      <c r="M760" s="11" t="n"/>
      <c r="N760" s="11" t="n"/>
      <c r="O760" s="11" t="n"/>
      <c r="P760" s="10">
        <f>IF(COUNTA(I760:O760)=0,"",MIN(10,SUM(I760:O760)))</f>
        <v/>
      </c>
      <c r="Q760" s="11" t="n"/>
      <c r="R760" s="10">
        <f>IF(Q760="","",IFERROR(VLOOKUP(Q760,T_NILAM,2,FALSE),0))</f>
        <v/>
      </c>
      <c r="S760" s="11" t="n"/>
      <c r="T760" s="10">
        <f>IF(S760="","",IFERROR(VLOOKUP(S760,T_TIMSS,2,FALSE),0))</f>
        <v/>
      </c>
      <c r="U760" s="19">
        <f>IF(COUNT(F760,H760,P760,R760,T760)=0,"",MIN(10,MAX(F760,H760,P760,R760,T760)))</f>
        <v/>
      </c>
      <c r="V760" s="11" t="n"/>
    </row>
    <row r="761">
      <c r="A761" s="15">
        <f>Murid!A761</f>
        <v/>
      </c>
      <c r="B761" s="15">
        <f>IF(Murid!B761="","",Murid!B761)</f>
        <v/>
      </c>
      <c r="C761" s="16">
        <f>IF(Murid!C761="","",Murid!C761)</f>
        <v/>
      </c>
      <c r="D761" s="15">
        <f>IF(Murid!E761="","",Murid!E761)</f>
        <v/>
      </c>
      <c r="E761" s="11" t="n"/>
      <c r="F761" s="10">
        <f>IF(E761="","",IFERROR(VLOOKUP(E761,T_PERK,2,FALSE),0))</f>
        <v/>
      </c>
      <c r="G761" s="11" t="n"/>
      <c r="H761" s="10">
        <f>IF(G761="","",IFERROR(VLOOKUP(G761,T_ANUG,2,FALSE),0))</f>
        <v/>
      </c>
      <c r="I761" s="11" t="n"/>
      <c r="J761" s="11" t="n"/>
      <c r="K761" s="11" t="n"/>
      <c r="L761" s="11" t="n"/>
      <c r="M761" s="11" t="n"/>
      <c r="N761" s="11" t="n"/>
      <c r="O761" s="11" t="n"/>
      <c r="P761" s="10">
        <f>IF(COUNTA(I761:O761)=0,"",MIN(10,SUM(I761:O761)))</f>
        <v/>
      </c>
      <c r="Q761" s="11" t="n"/>
      <c r="R761" s="10">
        <f>IF(Q761="","",IFERROR(VLOOKUP(Q761,T_NILAM,2,FALSE),0))</f>
        <v/>
      </c>
      <c r="S761" s="11" t="n"/>
      <c r="T761" s="10">
        <f>IF(S761="","",IFERROR(VLOOKUP(S761,T_TIMSS,2,FALSE),0))</f>
        <v/>
      </c>
      <c r="U761" s="19">
        <f>IF(COUNT(F761,H761,P761,R761,T761)=0,"",MIN(10,MAX(F761,H761,P761,R761,T761)))</f>
        <v/>
      </c>
      <c r="V761" s="11" t="n"/>
    </row>
    <row r="762">
      <c r="A762" s="15">
        <f>Murid!A762</f>
        <v/>
      </c>
      <c r="B762" s="15">
        <f>IF(Murid!B762="","",Murid!B762)</f>
        <v/>
      </c>
      <c r="C762" s="16">
        <f>IF(Murid!C762="","",Murid!C762)</f>
        <v/>
      </c>
      <c r="D762" s="15">
        <f>IF(Murid!E762="","",Murid!E762)</f>
        <v/>
      </c>
      <c r="E762" s="11" t="n"/>
      <c r="F762" s="10">
        <f>IF(E762="","",IFERROR(VLOOKUP(E762,T_PERK,2,FALSE),0))</f>
        <v/>
      </c>
      <c r="G762" s="11" t="n"/>
      <c r="H762" s="10">
        <f>IF(G762="","",IFERROR(VLOOKUP(G762,T_ANUG,2,FALSE),0))</f>
        <v/>
      </c>
      <c r="I762" s="11" t="n"/>
      <c r="J762" s="11" t="n"/>
      <c r="K762" s="11" t="n"/>
      <c r="L762" s="11" t="n"/>
      <c r="M762" s="11" t="n"/>
      <c r="N762" s="11" t="n"/>
      <c r="O762" s="11" t="n"/>
      <c r="P762" s="10">
        <f>IF(COUNTA(I762:O762)=0,"",MIN(10,SUM(I762:O762)))</f>
        <v/>
      </c>
      <c r="Q762" s="11" t="n"/>
      <c r="R762" s="10">
        <f>IF(Q762="","",IFERROR(VLOOKUP(Q762,T_NILAM,2,FALSE),0))</f>
        <v/>
      </c>
      <c r="S762" s="11" t="n"/>
      <c r="T762" s="10">
        <f>IF(S762="","",IFERROR(VLOOKUP(S762,T_TIMSS,2,FALSE),0))</f>
        <v/>
      </c>
      <c r="U762" s="19">
        <f>IF(COUNT(F762,H762,P762,R762,T762)=0,"",MIN(10,MAX(F762,H762,P762,R762,T762)))</f>
        <v/>
      </c>
      <c r="V762" s="11" t="n"/>
    </row>
    <row r="763">
      <c r="A763" s="15">
        <f>Murid!A763</f>
        <v/>
      </c>
      <c r="B763" s="15">
        <f>IF(Murid!B763="","",Murid!B763)</f>
        <v/>
      </c>
      <c r="C763" s="16">
        <f>IF(Murid!C763="","",Murid!C763)</f>
        <v/>
      </c>
      <c r="D763" s="15">
        <f>IF(Murid!E763="","",Murid!E763)</f>
        <v/>
      </c>
      <c r="E763" s="11" t="n"/>
      <c r="F763" s="10">
        <f>IF(E763="","",IFERROR(VLOOKUP(E763,T_PERK,2,FALSE),0))</f>
        <v/>
      </c>
      <c r="G763" s="11" t="n"/>
      <c r="H763" s="10">
        <f>IF(G763="","",IFERROR(VLOOKUP(G763,T_ANUG,2,FALSE),0))</f>
        <v/>
      </c>
      <c r="I763" s="11" t="n"/>
      <c r="J763" s="11" t="n"/>
      <c r="K763" s="11" t="n"/>
      <c r="L763" s="11" t="n"/>
      <c r="M763" s="11" t="n"/>
      <c r="N763" s="11" t="n"/>
      <c r="O763" s="11" t="n"/>
      <c r="P763" s="10">
        <f>IF(COUNTA(I763:O763)=0,"",MIN(10,SUM(I763:O763)))</f>
        <v/>
      </c>
      <c r="Q763" s="11" t="n"/>
      <c r="R763" s="10">
        <f>IF(Q763="","",IFERROR(VLOOKUP(Q763,T_NILAM,2,FALSE),0))</f>
        <v/>
      </c>
      <c r="S763" s="11" t="n"/>
      <c r="T763" s="10">
        <f>IF(S763="","",IFERROR(VLOOKUP(S763,T_TIMSS,2,FALSE),0))</f>
        <v/>
      </c>
      <c r="U763" s="19">
        <f>IF(COUNT(F763,H763,P763,R763,T763)=0,"",MIN(10,MAX(F763,H763,P763,R763,T763)))</f>
        <v/>
      </c>
      <c r="V763" s="11" t="n"/>
    </row>
    <row r="764">
      <c r="A764" s="15">
        <f>Murid!A764</f>
        <v/>
      </c>
      <c r="B764" s="15">
        <f>IF(Murid!B764="","",Murid!B764)</f>
        <v/>
      </c>
      <c r="C764" s="16">
        <f>IF(Murid!C764="","",Murid!C764)</f>
        <v/>
      </c>
      <c r="D764" s="15">
        <f>IF(Murid!E764="","",Murid!E764)</f>
        <v/>
      </c>
      <c r="E764" s="11" t="n"/>
      <c r="F764" s="10">
        <f>IF(E764="","",IFERROR(VLOOKUP(E764,T_PERK,2,FALSE),0))</f>
        <v/>
      </c>
      <c r="G764" s="11" t="n"/>
      <c r="H764" s="10">
        <f>IF(G764="","",IFERROR(VLOOKUP(G764,T_ANUG,2,FALSE),0))</f>
        <v/>
      </c>
      <c r="I764" s="11" t="n"/>
      <c r="J764" s="11" t="n"/>
      <c r="K764" s="11" t="n"/>
      <c r="L764" s="11" t="n"/>
      <c r="M764" s="11" t="n"/>
      <c r="N764" s="11" t="n"/>
      <c r="O764" s="11" t="n"/>
      <c r="P764" s="10">
        <f>IF(COUNTA(I764:O764)=0,"",MIN(10,SUM(I764:O764)))</f>
        <v/>
      </c>
      <c r="Q764" s="11" t="n"/>
      <c r="R764" s="10">
        <f>IF(Q764="","",IFERROR(VLOOKUP(Q764,T_NILAM,2,FALSE),0))</f>
        <v/>
      </c>
      <c r="S764" s="11" t="n"/>
      <c r="T764" s="10">
        <f>IF(S764="","",IFERROR(VLOOKUP(S764,T_TIMSS,2,FALSE),0))</f>
        <v/>
      </c>
      <c r="U764" s="19">
        <f>IF(COUNT(F764,H764,P764,R764,T764)=0,"",MIN(10,MAX(F764,H764,P764,R764,T764)))</f>
        <v/>
      </c>
      <c r="V764" s="11" t="n"/>
    </row>
    <row r="765">
      <c r="A765" s="15">
        <f>Murid!A765</f>
        <v/>
      </c>
      <c r="B765" s="15">
        <f>IF(Murid!B765="","",Murid!B765)</f>
        <v/>
      </c>
      <c r="C765" s="16">
        <f>IF(Murid!C765="","",Murid!C765)</f>
        <v/>
      </c>
      <c r="D765" s="15">
        <f>IF(Murid!E765="","",Murid!E765)</f>
        <v/>
      </c>
      <c r="E765" s="11" t="n"/>
      <c r="F765" s="10">
        <f>IF(E765="","",IFERROR(VLOOKUP(E765,T_PERK,2,FALSE),0))</f>
        <v/>
      </c>
      <c r="G765" s="11" t="n"/>
      <c r="H765" s="10">
        <f>IF(G765="","",IFERROR(VLOOKUP(G765,T_ANUG,2,FALSE),0))</f>
        <v/>
      </c>
      <c r="I765" s="11" t="n"/>
      <c r="J765" s="11" t="n"/>
      <c r="K765" s="11" t="n"/>
      <c r="L765" s="11" t="n"/>
      <c r="M765" s="11" t="n"/>
      <c r="N765" s="11" t="n"/>
      <c r="O765" s="11" t="n"/>
      <c r="P765" s="10">
        <f>IF(COUNTA(I765:O765)=0,"",MIN(10,SUM(I765:O765)))</f>
        <v/>
      </c>
      <c r="Q765" s="11" t="n"/>
      <c r="R765" s="10">
        <f>IF(Q765="","",IFERROR(VLOOKUP(Q765,T_NILAM,2,FALSE),0))</f>
        <v/>
      </c>
      <c r="S765" s="11" t="n"/>
      <c r="T765" s="10">
        <f>IF(S765="","",IFERROR(VLOOKUP(S765,T_TIMSS,2,FALSE),0))</f>
        <v/>
      </c>
      <c r="U765" s="19">
        <f>IF(COUNT(F765,H765,P765,R765,T765)=0,"",MIN(10,MAX(F765,H765,P765,R765,T765)))</f>
        <v/>
      </c>
      <c r="V765" s="11" t="n"/>
    </row>
    <row r="766">
      <c r="A766" s="15">
        <f>Murid!A766</f>
        <v/>
      </c>
      <c r="B766" s="15">
        <f>IF(Murid!B766="","",Murid!B766)</f>
        <v/>
      </c>
      <c r="C766" s="16">
        <f>IF(Murid!C766="","",Murid!C766)</f>
        <v/>
      </c>
      <c r="D766" s="15">
        <f>IF(Murid!E766="","",Murid!E766)</f>
        <v/>
      </c>
      <c r="E766" s="11" t="n"/>
      <c r="F766" s="10">
        <f>IF(E766="","",IFERROR(VLOOKUP(E766,T_PERK,2,FALSE),0))</f>
        <v/>
      </c>
      <c r="G766" s="11" t="n"/>
      <c r="H766" s="10">
        <f>IF(G766="","",IFERROR(VLOOKUP(G766,T_ANUG,2,FALSE),0))</f>
        <v/>
      </c>
      <c r="I766" s="11" t="n"/>
      <c r="J766" s="11" t="n"/>
      <c r="K766" s="11" t="n"/>
      <c r="L766" s="11" t="n"/>
      <c r="M766" s="11" t="n"/>
      <c r="N766" s="11" t="n"/>
      <c r="O766" s="11" t="n"/>
      <c r="P766" s="10">
        <f>IF(COUNTA(I766:O766)=0,"",MIN(10,SUM(I766:O766)))</f>
        <v/>
      </c>
      <c r="Q766" s="11" t="n"/>
      <c r="R766" s="10">
        <f>IF(Q766="","",IFERROR(VLOOKUP(Q766,T_NILAM,2,FALSE),0))</f>
        <v/>
      </c>
      <c r="S766" s="11" t="n"/>
      <c r="T766" s="10">
        <f>IF(S766="","",IFERROR(VLOOKUP(S766,T_TIMSS,2,FALSE),0))</f>
        <v/>
      </c>
      <c r="U766" s="19">
        <f>IF(COUNT(F766,H766,P766,R766,T766)=0,"",MIN(10,MAX(F766,H766,P766,R766,T766)))</f>
        <v/>
      </c>
      <c r="V766" s="11" t="n"/>
    </row>
    <row r="767">
      <c r="A767" s="15">
        <f>Murid!A767</f>
        <v/>
      </c>
      <c r="B767" s="15">
        <f>IF(Murid!B767="","",Murid!B767)</f>
        <v/>
      </c>
      <c r="C767" s="16">
        <f>IF(Murid!C767="","",Murid!C767)</f>
        <v/>
      </c>
      <c r="D767" s="15">
        <f>IF(Murid!E767="","",Murid!E767)</f>
        <v/>
      </c>
      <c r="E767" s="11" t="n"/>
      <c r="F767" s="10">
        <f>IF(E767="","",IFERROR(VLOOKUP(E767,T_PERK,2,FALSE),0))</f>
        <v/>
      </c>
      <c r="G767" s="11" t="n"/>
      <c r="H767" s="10">
        <f>IF(G767="","",IFERROR(VLOOKUP(G767,T_ANUG,2,FALSE),0))</f>
        <v/>
      </c>
      <c r="I767" s="11" t="n"/>
      <c r="J767" s="11" t="n"/>
      <c r="K767" s="11" t="n"/>
      <c r="L767" s="11" t="n"/>
      <c r="M767" s="11" t="n"/>
      <c r="N767" s="11" t="n"/>
      <c r="O767" s="11" t="n"/>
      <c r="P767" s="10">
        <f>IF(COUNTA(I767:O767)=0,"",MIN(10,SUM(I767:O767)))</f>
        <v/>
      </c>
      <c r="Q767" s="11" t="n"/>
      <c r="R767" s="10">
        <f>IF(Q767="","",IFERROR(VLOOKUP(Q767,T_NILAM,2,FALSE),0))</f>
        <v/>
      </c>
      <c r="S767" s="11" t="n"/>
      <c r="T767" s="10">
        <f>IF(S767="","",IFERROR(VLOOKUP(S767,T_TIMSS,2,FALSE),0))</f>
        <v/>
      </c>
      <c r="U767" s="19">
        <f>IF(COUNT(F767,H767,P767,R767,T767)=0,"",MIN(10,MAX(F767,H767,P767,R767,T767)))</f>
        <v/>
      </c>
      <c r="V767" s="11" t="n"/>
    </row>
    <row r="768">
      <c r="A768" s="15">
        <f>Murid!A768</f>
        <v/>
      </c>
      <c r="B768" s="15">
        <f>IF(Murid!B768="","",Murid!B768)</f>
        <v/>
      </c>
      <c r="C768" s="16">
        <f>IF(Murid!C768="","",Murid!C768)</f>
        <v/>
      </c>
      <c r="D768" s="15">
        <f>IF(Murid!E768="","",Murid!E768)</f>
        <v/>
      </c>
      <c r="E768" s="11" t="n"/>
      <c r="F768" s="10">
        <f>IF(E768="","",IFERROR(VLOOKUP(E768,T_PERK,2,FALSE),0))</f>
        <v/>
      </c>
      <c r="G768" s="11" t="n"/>
      <c r="H768" s="10">
        <f>IF(G768="","",IFERROR(VLOOKUP(G768,T_ANUG,2,FALSE),0))</f>
        <v/>
      </c>
      <c r="I768" s="11" t="n"/>
      <c r="J768" s="11" t="n"/>
      <c r="K768" s="11" t="n"/>
      <c r="L768" s="11" t="n"/>
      <c r="M768" s="11" t="n"/>
      <c r="N768" s="11" t="n"/>
      <c r="O768" s="11" t="n"/>
      <c r="P768" s="10">
        <f>IF(COUNTA(I768:O768)=0,"",MIN(10,SUM(I768:O768)))</f>
        <v/>
      </c>
      <c r="Q768" s="11" t="n"/>
      <c r="R768" s="10">
        <f>IF(Q768="","",IFERROR(VLOOKUP(Q768,T_NILAM,2,FALSE),0))</f>
        <v/>
      </c>
      <c r="S768" s="11" t="n"/>
      <c r="T768" s="10">
        <f>IF(S768="","",IFERROR(VLOOKUP(S768,T_TIMSS,2,FALSE),0))</f>
        <v/>
      </c>
      <c r="U768" s="19">
        <f>IF(COUNT(F768,H768,P768,R768,T768)=0,"",MIN(10,MAX(F768,H768,P768,R768,T768)))</f>
        <v/>
      </c>
      <c r="V768" s="11" t="n"/>
    </row>
    <row r="769">
      <c r="A769" s="15">
        <f>Murid!A769</f>
        <v/>
      </c>
      <c r="B769" s="15">
        <f>IF(Murid!B769="","",Murid!B769)</f>
        <v/>
      </c>
      <c r="C769" s="16">
        <f>IF(Murid!C769="","",Murid!C769)</f>
        <v/>
      </c>
      <c r="D769" s="15">
        <f>IF(Murid!E769="","",Murid!E769)</f>
        <v/>
      </c>
      <c r="E769" s="11" t="n"/>
      <c r="F769" s="10">
        <f>IF(E769="","",IFERROR(VLOOKUP(E769,T_PERK,2,FALSE),0))</f>
        <v/>
      </c>
      <c r="G769" s="11" t="n"/>
      <c r="H769" s="10">
        <f>IF(G769="","",IFERROR(VLOOKUP(G769,T_ANUG,2,FALSE),0))</f>
        <v/>
      </c>
      <c r="I769" s="11" t="n"/>
      <c r="J769" s="11" t="n"/>
      <c r="K769" s="11" t="n"/>
      <c r="L769" s="11" t="n"/>
      <c r="M769" s="11" t="n"/>
      <c r="N769" s="11" t="n"/>
      <c r="O769" s="11" t="n"/>
      <c r="P769" s="10">
        <f>IF(COUNTA(I769:O769)=0,"",MIN(10,SUM(I769:O769)))</f>
        <v/>
      </c>
      <c r="Q769" s="11" t="n"/>
      <c r="R769" s="10">
        <f>IF(Q769="","",IFERROR(VLOOKUP(Q769,T_NILAM,2,FALSE),0))</f>
        <v/>
      </c>
      <c r="S769" s="11" t="n"/>
      <c r="T769" s="10">
        <f>IF(S769="","",IFERROR(VLOOKUP(S769,T_TIMSS,2,FALSE),0))</f>
        <v/>
      </c>
      <c r="U769" s="19">
        <f>IF(COUNT(F769,H769,P769,R769,T769)=0,"",MIN(10,MAX(F769,H769,P769,R769,T769)))</f>
        <v/>
      </c>
      <c r="V769" s="11" t="n"/>
    </row>
    <row r="770">
      <c r="A770" s="15">
        <f>Murid!A770</f>
        <v/>
      </c>
      <c r="B770" s="15">
        <f>IF(Murid!B770="","",Murid!B770)</f>
        <v/>
      </c>
      <c r="C770" s="16">
        <f>IF(Murid!C770="","",Murid!C770)</f>
        <v/>
      </c>
      <c r="D770" s="15">
        <f>IF(Murid!E770="","",Murid!E770)</f>
        <v/>
      </c>
      <c r="E770" s="11" t="n"/>
      <c r="F770" s="10">
        <f>IF(E770="","",IFERROR(VLOOKUP(E770,T_PERK,2,FALSE),0))</f>
        <v/>
      </c>
      <c r="G770" s="11" t="n"/>
      <c r="H770" s="10">
        <f>IF(G770="","",IFERROR(VLOOKUP(G770,T_ANUG,2,FALSE),0))</f>
        <v/>
      </c>
      <c r="I770" s="11" t="n"/>
      <c r="J770" s="11" t="n"/>
      <c r="K770" s="11" t="n"/>
      <c r="L770" s="11" t="n"/>
      <c r="M770" s="11" t="n"/>
      <c r="N770" s="11" t="n"/>
      <c r="O770" s="11" t="n"/>
      <c r="P770" s="10">
        <f>IF(COUNTA(I770:O770)=0,"",MIN(10,SUM(I770:O770)))</f>
        <v/>
      </c>
      <c r="Q770" s="11" t="n"/>
      <c r="R770" s="10">
        <f>IF(Q770="","",IFERROR(VLOOKUP(Q770,T_NILAM,2,FALSE),0))</f>
        <v/>
      </c>
      <c r="S770" s="11" t="n"/>
      <c r="T770" s="10">
        <f>IF(S770="","",IFERROR(VLOOKUP(S770,T_TIMSS,2,FALSE),0))</f>
        <v/>
      </c>
      <c r="U770" s="19">
        <f>IF(COUNT(F770,H770,P770,R770,T770)=0,"",MIN(10,MAX(F770,H770,P770,R770,T770)))</f>
        <v/>
      </c>
      <c r="V770" s="11" t="n"/>
    </row>
    <row r="771">
      <c r="A771" s="15">
        <f>Murid!A771</f>
        <v/>
      </c>
      <c r="B771" s="15">
        <f>IF(Murid!B771="","",Murid!B771)</f>
        <v/>
      </c>
      <c r="C771" s="16">
        <f>IF(Murid!C771="","",Murid!C771)</f>
        <v/>
      </c>
      <c r="D771" s="15">
        <f>IF(Murid!E771="","",Murid!E771)</f>
        <v/>
      </c>
      <c r="E771" s="11" t="n"/>
      <c r="F771" s="10">
        <f>IF(E771="","",IFERROR(VLOOKUP(E771,T_PERK,2,FALSE),0))</f>
        <v/>
      </c>
      <c r="G771" s="11" t="n"/>
      <c r="H771" s="10">
        <f>IF(G771="","",IFERROR(VLOOKUP(G771,T_ANUG,2,FALSE),0))</f>
        <v/>
      </c>
      <c r="I771" s="11" t="n"/>
      <c r="J771" s="11" t="n"/>
      <c r="K771" s="11" t="n"/>
      <c r="L771" s="11" t="n"/>
      <c r="M771" s="11" t="n"/>
      <c r="N771" s="11" t="n"/>
      <c r="O771" s="11" t="n"/>
      <c r="P771" s="10">
        <f>IF(COUNTA(I771:O771)=0,"",MIN(10,SUM(I771:O771)))</f>
        <v/>
      </c>
      <c r="Q771" s="11" t="n"/>
      <c r="R771" s="10">
        <f>IF(Q771="","",IFERROR(VLOOKUP(Q771,T_NILAM,2,FALSE),0))</f>
        <v/>
      </c>
      <c r="S771" s="11" t="n"/>
      <c r="T771" s="10">
        <f>IF(S771="","",IFERROR(VLOOKUP(S771,T_TIMSS,2,FALSE),0))</f>
        <v/>
      </c>
      <c r="U771" s="19">
        <f>IF(COUNT(F771,H771,P771,R771,T771)=0,"",MIN(10,MAX(F771,H771,P771,R771,T771)))</f>
        <v/>
      </c>
      <c r="V771" s="11" t="n"/>
    </row>
    <row r="772">
      <c r="A772" s="15">
        <f>Murid!A772</f>
        <v/>
      </c>
      <c r="B772" s="15">
        <f>IF(Murid!B772="","",Murid!B772)</f>
        <v/>
      </c>
      <c r="C772" s="16">
        <f>IF(Murid!C772="","",Murid!C772)</f>
        <v/>
      </c>
      <c r="D772" s="15">
        <f>IF(Murid!E772="","",Murid!E772)</f>
        <v/>
      </c>
      <c r="E772" s="11" t="n"/>
      <c r="F772" s="10">
        <f>IF(E772="","",IFERROR(VLOOKUP(E772,T_PERK,2,FALSE),0))</f>
        <v/>
      </c>
      <c r="G772" s="11" t="n"/>
      <c r="H772" s="10">
        <f>IF(G772="","",IFERROR(VLOOKUP(G772,T_ANUG,2,FALSE),0))</f>
        <v/>
      </c>
      <c r="I772" s="11" t="n"/>
      <c r="J772" s="11" t="n"/>
      <c r="K772" s="11" t="n"/>
      <c r="L772" s="11" t="n"/>
      <c r="M772" s="11" t="n"/>
      <c r="N772" s="11" t="n"/>
      <c r="O772" s="11" t="n"/>
      <c r="P772" s="10">
        <f>IF(COUNTA(I772:O772)=0,"",MIN(10,SUM(I772:O772)))</f>
        <v/>
      </c>
      <c r="Q772" s="11" t="n"/>
      <c r="R772" s="10">
        <f>IF(Q772="","",IFERROR(VLOOKUP(Q772,T_NILAM,2,FALSE),0))</f>
        <v/>
      </c>
      <c r="S772" s="11" t="n"/>
      <c r="T772" s="10">
        <f>IF(S772="","",IFERROR(VLOOKUP(S772,T_TIMSS,2,FALSE),0))</f>
        <v/>
      </c>
      <c r="U772" s="19">
        <f>IF(COUNT(F772,H772,P772,R772,T772)=0,"",MIN(10,MAX(F772,H772,P772,R772,T772)))</f>
        <v/>
      </c>
      <c r="V772" s="11" t="n"/>
    </row>
    <row r="773">
      <c r="A773" s="15">
        <f>Murid!A773</f>
        <v/>
      </c>
      <c r="B773" s="15">
        <f>IF(Murid!B773="","",Murid!B773)</f>
        <v/>
      </c>
      <c r="C773" s="16">
        <f>IF(Murid!C773="","",Murid!C773)</f>
        <v/>
      </c>
      <c r="D773" s="15">
        <f>IF(Murid!E773="","",Murid!E773)</f>
        <v/>
      </c>
      <c r="E773" s="11" t="n"/>
      <c r="F773" s="10">
        <f>IF(E773="","",IFERROR(VLOOKUP(E773,T_PERK,2,FALSE),0))</f>
        <v/>
      </c>
      <c r="G773" s="11" t="n"/>
      <c r="H773" s="10">
        <f>IF(G773="","",IFERROR(VLOOKUP(G773,T_ANUG,2,FALSE),0))</f>
        <v/>
      </c>
      <c r="I773" s="11" t="n"/>
      <c r="J773" s="11" t="n"/>
      <c r="K773" s="11" t="n"/>
      <c r="L773" s="11" t="n"/>
      <c r="M773" s="11" t="n"/>
      <c r="N773" s="11" t="n"/>
      <c r="O773" s="11" t="n"/>
      <c r="P773" s="10">
        <f>IF(COUNTA(I773:O773)=0,"",MIN(10,SUM(I773:O773)))</f>
        <v/>
      </c>
      <c r="Q773" s="11" t="n"/>
      <c r="R773" s="10">
        <f>IF(Q773="","",IFERROR(VLOOKUP(Q773,T_NILAM,2,FALSE),0))</f>
        <v/>
      </c>
      <c r="S773" s="11" t="n"/>
      <c r="T773" s="10">
        <f>IF(S773="","",IFERROR(VLOOKUP(S773,T_TIMSS,2,FALSE),0))</f>
        <v/>
      </c>
      <c r="U773" s="19">
        <f>IF(COUNT(F773,H773,P773,R773,T773)=0,"",MIN(10,MAX(F773,H773,P773,R773,T773)))</f>
        <v/>
      </c>
      <c r="V773" s="11" t="n"/>
    </row>
    <row r="774">
      <c r="A774" s="15">
        <f>Murid!A774</f>
        <v/>
      </c>
      <c r="B774" s="15">
        <f>IF(Murid!B774="","",Murid!B774)</f>
        <v/>
      </c>
      <c r="C774" s="16">
        <f>IF(Murid!C774="","",Murid!C774)</f>
        <v/>
      </c>
      <c r="D774" s="15">
        <f>IF(Murid!E774="","",Murid!E774)</f>
        <v/>
      </c>
      <c r="E774" s="11" t="n"/>
      <c r="F774" s="10">
        <f>IF(E774="","",IFERROR(VLOOKUP(E774,T_PERK,2,FALSE),0))</f>
        <v/>
      </c>
      <c r="G774" s="11" t="n"/>
      <c r="H774" s="10">
        <f>IF(G774="","",IFERROR(VLOOKUP(G774,T_ANUG,2,FALSE),0))</f>
        <v/>
      </c>
      <c r="I774" s="11" t="n"/>
      <c r="J774" s="11" t="n"/>
      <c r="K774" s="11" t="n"/>
      <c r="L774" s="11" t="n"/>
      <c r="M774" s="11" t="n"/>
      <c r="N774" s="11" t="n"/>
      <c r="O774" s="11" t="n"/>
      <c r="P774" s="10">
        <f>IF(COUNTA(I774:O774)=0,"",MIN(10,SUM(I774:O774)))</f>
        <v/>
      </c>
      <c r="Q774" s="11" t="n"/>
      <c r="R774" s="10">
        <f>IF(Q774="","",IFERROR(VLOOKUP(Q774,T_NILAM,2,FALSE),0))</f>
        <v/>
      </c>
      <c r="S774" s="11" t="n"/>
      <c r="T774" s="10">
        <f>IF(S774="","",IFERROR(VLOOKUP(S774,T_TIMSS,2,FALSE),0))</f>
        <v/>
      </c>
      <c r="U774" s="19">
        <f>IF(COUNT(F774,H774,P774,R774,T774)=0,"",MIN(10,MAX(F774,H774,P774,R774,T774)))</f>
        <v/>
      </c>
      <c r="V774" s="11" t="n"/>
    </row>
    <row r="775">
      <c r="A775" s="15">
        <f>Murid!A775</f>
        <v/>
      </c>
      <c r="B775" s="15">
        <f>IF(Murid!B775="","",Murid!B775)</f>
        <v/>
      </c>
      <c r="C775" s="16">
        <f>IF(Murid!C775="","",Murid!C775)</f>
        <v/>
      </c>
      <c r="D775" s="15">
        <f>IF(Murid!E775="","",Murid!E775)</f>
        <v/>
      </c>
      <c r="E775" s="11" t="n"/>
      <c r="F775" s="10">
        <f>IF(E775="","",IFERROR(VLOOKUP(E775,T_PERK,2,FALSE),0))</f>
        <v/>
      </c>
      <c r="G775" s="11" t="n"/>
      <c r="H775" s="10">
        <f>IF(G775="","",IFERROR(VLOOKUP(G775,T_ANUG,2,FALSE),0))</f>
        <v/>
      </c>
      <c r="I775" s="11" t="n"/>
      <c r="J775" s="11" t="n"/>
      <c r="K775" s="11" t="n"/>
      <c r="L775" s="11" t="n"/>
      <c r="M775" s="11" t="n"/>
      <c r="N775" s="11" t="n"/>
      <c r="O775" s="11" t="n"/>
      <c r="P775" s="10">
        <f>IF(COUNTA(I775:O775)=0,"",MIN(10,SUM(I775:O775)))</f>
        <v/>
      </c>
      <c r="Q775" s="11" t="n"/>
      <c r="R775" s="10">
        <f>IF(Q775="","",IFERROR(VLOOKUP(Q775,T_NILAM,2,FALSE),0))</f>
        <v/>
      </c>
      <c r="S775" s="11" t="n"/>
      <c r="T775" s="10">
        <f>IF(S775="","",IFERROR(VLOOKUP(S775,T_TIMSS,2,FALSE),0))</f>
        <v/>
      </c>
      <c r="U775" s="19">
        <f>IF(COUNT(F775,H775,P775,R775,T775)=0,"",MIN(10,MAX(F775,H775,P775,R775,T775)))</f>
        <v/>
      </c>
      <c r="V775" s="11" t="n"/>
    </row>
    <row r="776">
      <c r="A776" s="15">
        <f>Murid!A776</f>
        <v/>
      </c>
      <c r="B776" s="15">
        <f>IF(Murid!B776="","",Murid!B776)</f>
        <v/>
      </c>
      <c r="C776" s="16">
        <f>IF(Murid!C776="","",Murid!C776)</f>
        <v/>
      </c>
      <c r="D776" s="15">
        <f>IF(Murid!E776="","",Murid!E776)</f>
        <v/>
      </c>
      <c r="E776" s="11" t="n"/>
      <c r="F776" s="10">
        <f>IF(E776="","",IFERROR(VLOOKUP(E776,T_PERK,2,FALSE),0))</f>
        <v/>
      </c>
      <c r="G776" s="11" t="n"/>
      <c r="H776" s="10">
        <f>IF(G776="","",IFERROR(VLOOKUP(G776,T_ANUG,2,FALSE),0))</f>
        <v/>
      </c>
      <c r="I776" s="11" t="n"/>
      <c r="J776" s="11" t="n"/>
      <c r="K776" s="11" t="n"/>
      <c r="L776" s="11" t="n"/>
      <c r="M776" s="11" t="n"/>
      <c r="N776" s="11" t="n"/>
      <c r="O776" s="11" t="n"/>
      <c r="P776" s="10">
        <f>IF(COUNTA(I776:O776)=0,"",MIN(10,SUM(I776:O776)))</f>
        <v/>
      </c>
      <c r="Q776" s="11" t="n"/>
      <c r="R776" s="10">
        <f>IF(Q776="","",IFERROR(VLOOKUP(Q776,T_NILAM,2,FALSE),0))</f>
        <v/>
      </c>
      <c r="S776" s="11" t="n"/>
      <c r="T776" s="10">
        <f>IF(S776="","",IFERROR(VLOOKUP(S776,T_TIMSS,2,FALSE),0))</f>
        <v/>
      </c>
      <c r="U776" s="19">
        <f>IF(COUNT(F776,H776,P776,R776,T776)=0,"",MIN(10,MAX(F776,H776,P776,R776,T776)))</f>
        <v/>
      </c>
      <c r="V776" s="11" t="n"/>
    </row>
    <row r="777">
      <c r="A777" s="15">
        <f>Murid!A777</f>
        <v/>
      </c>
      <c r="B777" s="15">
        <f>IF(Murid!B777="","",Murid!B777)</f>
        <v/>
      </c>
      <c r="C777" s="16">
        <f>IF(Murid!C777="","",Murid!C777)</f>
        <v/>
      </c>
      <c r="D777" s="15">
        <f>IF(Murid!E777="","",Murid!E777)</f>
        <v/>
      </c>
      <c r="E777" s="11" t="n"/>
      <c r="F777" s="10">
        <f>IF(E777="","",IFERROR(VLOOKUP(E777,T_PERK,2,FALSE),0))</f>
        <v/>
      </c>
      <c r="G777" s="11" t="n"/>
      <c r="H777" s="10">
        <f>IF(G777="","",IFERROR(VLOOKUP(G777,T_ANUG,2,FALSE),0))</f>
        <v/>
      </c>
      <c r="I777" s="11" t="n"/>
      <c r="J777" s="11" t="n"/>
      <c r="K777" s="11" t="n"/>
      <c r="L777" s="11" t="n"/>
      <c r="M777" s="11" t="n"/>
      <c r="N777" s="11" t="n"/>
      <c r="O777" s="11" t="n"/>
      <c r="P777" s="10">
        <f>IF(COUNTA(I777:O777)=0,"",MIN(10,SUM(I777:O777)))</f>
        <v/>
      </c>
      <c r="Q777" s="11" t="n"/>
      <c r="R777" s="10">
        <f>IF(Q777="","",IFERROR(VLOOKUP(Q777,T_NILAM,2,FALSE),0))</f>
        <v/>
      </c>
      <c r="S777" s="11" t="n"/>
      <c r="T777" s="10">
        <f>IF(S777="","",IFERROR(VLOOKUP(S777,T_TIMSS,2,FALSE),0))</f>
        <v/>
      </c>
      <c r="U777" s="19">
        <f>IF(COUNT(F777,H777,P777,R777,T777)=0,"",MIN(10,MAX(F777,H777,P777,R777,T777)))</f>
        <v/>
      </c>
      <c r="V777" s="11" t="n"/>
    </row>
    <row r="778">
      <c r="A778" s="15">
        <f>Murid!A778</f>
        <v/>
      </c>
      <c r="B778" s="15">
        <f>IF(Murid!B778="","",Murid!B778)</f>
        <v/>
      </c>
      <c r="C778" s="16">
        <f>IF(Murid!C778="","",Murid!C778)</f>
        <v/>
      </c>
      <c r="D778" s="15">
        <f>IF(Murid!E778="","",Murid!E778)</f>
        <v/>
      </c>
      <c r="E778" s="11" t="n"/>
      <c r="F778" s="10">
        <f>IF(E778="","",IFERROR(VLOOKUP(E778,T_PERK,2,FALSE),0))</f>
        <v/>
      </c>
      <c r="G778" s="11" t="n"/>
      <c r="H778" s="10">
        <f>IF(G778="","",IFERROR(VLOOKUP(G778,T_ANUG,2,FALSE),0))</f>
        <v/>
      </c>
      <c r="I778" s="11" t="n"/>
      <c r="J778" s="11" t="n"/>
      <c r="K778" s="11" t="n"/>
      <c r="L778" s="11" t="n"/>
      <c r="M778" s="11" t="n"/>
      <c r="N778" s="11" t="n"/>
      <c r="O778" s="11" t="n"/>
      <c r="P778" s="10">
        <f>IF(COUNTA(I778:O778)=0,"",MIN(10,SUM(I778:O778)))</f>
        <v/>
      </c>
      <c r="Q778" s="11" t="n"/>
      <c r="R778" s="10">
        <f>IF(Q778="","",IFERROR(VLOOKUP(Q778,T_NILAM,2,FALSE),0))</f>
        <v/>
      </c>
      <c r="S778" s="11" t="n"/>
      <c r="T778" s="10">
        <f>IF(S778="","",IFERROR(VLOOKUP(S778,T_TIMSS,2,FALSE),0))</f>
        <v/>
      </c>
      <c r="U778" s="19">
        <f>IF(COUNT(F778,H778,P778,R778,T778)=0,"",MIN(10,MAX(F778,H778,P778,R778,T778)))</f>
        <v/>
      </c>
      <c r="V778" s="11" t="n"/>
    </row>
    <row r="779">
      <c r="A779" s="15">
        <f>Murid!A779</f>
        <v/>
      </c>
      <c r="B779" s="15">
        <f>IF(Murid!B779="","",Murid!B779)</f>
        <v/>
      </c>
      <c r="C779" s="16">
        <f>IF(Murid!C779="","",Murid!C779)</f>
        <v/>
      </c>
      <c r="D779" s="15">
        <f>IF(Murid!E779="","",Murid!E779)</f>
        <v/>
      </c>
      <c r="E779" s="11" t="n"/>
      <c r="F779" s="10">
        <f>IF(E779="","",IFERROR(VLOOKUP(E779,T_PERK,2,FALSE),0))</f>
        <v/>
      </c>
      <c r="G779" s="11" t="n"/>
      <c r="H779" s="10">
        <f>IF(G779="","",IFERROR(VLOOKUP(G779,T_ANUG,2,FALSE),0))</f>
        <v/>
      </c>
      <c r="I779" s="11" t="n"/>
      <c r="J779" s="11" t="n"/>
      <c r="K779" s="11" t="n"/>
      <c r="L779" s="11" t="n"/>
      <c r="M779" s="11" t="n"/>
      <c r="N779" s="11" t="n"/>
      <c r="O779" s="11" t="n"/>
      <c r="P779" s="10">
        <f>IF(COUNTA(I779:O779)=0,"",MIN(10,SUM(I779:O779)))</f>
        <v/>
      </c>
      <c r="Q779" s="11" t="n"/>
      <c r="R779" s="10">
        <f>IF(Q779="","",IFERROR(VLOOKUP(Q779,T_NILAM,2,FALSE),0))</f>
        <v/>
      </c>
      <c r="S779" s="11" t="n"/>
      <c r="T779" s="10">
        <f>IF(S779="","",IFERROR(VLOOKUP(S779,T_TIMSS,2,FALSE),0))</f>
        <v/>
      </c>
      <c r="U779" s="19">
        <f>IF(COUNT(F779,H779,P779,R779,T779)=0,"",MIN(10,MAX(F779,H779,P779,R779,T779)))</f>
        <v/>
      </c>
      <c r="V779" s="11" t="n"/>
    </row>
    <row r="780">
      <c r="A780" s="15">
        <f>Murid!A780</f>
        <v/>
      </c>
      <c r="B780" s="15">
        <f>IF(Murid!B780="","",Murid!B780)</f>
        <v/>
      </c>
      <c r="C780" s="16">
        <f>IF(Murid!C780="","",Murid!C780)</f>
        <v/>
      </c>
      <c r="D780" s="15">
        <f>IF(Murid!E780="","",Murid!E780)</f>
        <v/>
      </c>
      <c r="E780" s="11" t="n"/>
      <c r="F780" s="10">
        <f>IF(E780="","",IFERROR(VLOOKUP(E780,T_PERK,2,FALSE),0))</f>
        <v/>
      </c>
      <c r="G780" s="11" t="n"/>
      <c r="H780" s="10">
        <f>IF(G780="","",IFERROR(VLOOKUP(G780,T_ANUG,2,FALSE),0))</f>
        <v/>
      </c>
      <c r="I780" s="11" t="n"/>
      <c r="J780" s="11" t="n"/>
      <c r="K780" s="11" t="n"/>
      <c r="L780" s="11" t="n"/>
      <c r="M780" s="11" t="n"/>
      <c r="N780" s="11" t="n"/>
      <c r="O780" s="11" t="n"/>
      <c r="P780" s="10">
        <f>IF(COUNTA(I780:O780)=0,"",MIN(10,SUM(I780:O780)))</f>
        <v/>
      </c>
      <c r="Q780" s="11" t="n"/>
      <c r="R780" s="10">
        <f>IF(Q780="","",IFERROR(VLOOKUP(Q780,T_NILAM,2,FALSE),0))</f>
        <v/>
      </c>
      <c r="S780" s="11" t="n"/>
      <c r="T780" s="10">
        <f>IF(S780="","",IFERROR(VLOOKUP(S780,T_TIMSS,2,FALSE),0))</f>
        <v/>
      </c>
      <c r="U780" s="19">
        <f>IF(COUNT(F780,H780,P780,R780,T780)=0,"",MIN(10,MAX(F780,H780,P780,R780,T780)))</f>
        <v/>
      </c>
      <c r="V780" s="11" t="n"/>
    </row>
    <row r="781">
      <c r="A781" s="15">
        <f>Murid!A781</f>
        <v/>
      </c>
      <c r="B781" s="15">
        <f>IF(Murid!B781="","",Murid!B781)</f>
        <v/>
      </c>
      <c r="C781" s="16">
        <f>IF(Murid!C781="","",Murid!C781)</f>
        <v/>
      </c>
      <c r="D781" s="15">
        <f>IF(Murid!E781="","",Murid!E781)</f>
        <v/>
      </c>
      <c r="E781" s="11" t="n"/>
      <c r="F781" s="10">
        <f>IF(E781="","",IFERROR(VLOOKUP(E781,T_PERK,2,FALSE),0))</f>
        <v/>
      </c>
      <c r="G781" s="11" t="n"/>
      <c r="H781" s="10">
        <f>IF(G781="","",IFERROR(VLOOKUP(G781,T_ANUG,2,FALSE),0))</f>
        <v/>
      </c>
      <c r="I781" s="11" t="n"/>
      <c r="J781" s="11" t="n"/>
      <c r="K781" s="11" t="n"/>
      <c r="L781" s="11" t="n"/>
      <c r="M781" s="11" t="n"/>
      <c r="N781" s="11" t="n"/>
      <c r="O781" s="11" t="n"/>
      <c r="P781" s="10">
        <f>IF(COUNTA(I781:O781)=0,"",MIN(10,SUM(I781:O781)))</f>
        <v/>
      </c>
      <c r="Q781" s="11" t="n"/>
      <c r="R781" s="10">
        <f>IF(Q781="","",IFERROR(VLOOKUP(Q781,T_NILAM,2,FALSE),0))</f>
        <v/>
      </c>
      <c r="S781" s="11" t="n"/>
      <c r="T781" s="10">
        <f>IF(S781="","",IFERROR(VLOOKUP(S781,T_TIMSS,2,FALSE),0))</f>
        <v/>
      </c>
      <c r="U781" s="19">
        <f>IF(COUNT(F781,H781,P781,R781,T781)=0,"",MIN(10,MAX(F781,H781,P781,R781,T781)))</f>
        <v/>
      </c>
      <c r="V781" s="11" t="n"/>
    </row>
    <row r="782">
      <c r="A782" s="15">
        <f>Murid!A782</f>
        <v/>
      </c>
      <c r="B782" s="15">
        <f>IF(Murid!B782="","",Murid!B782)</f>
        <v/>
      </c>
      <c r="C782" s="16">
        <f>IF(Murid!C782="","",Murid!C782)</f>
        <v/>
      </c>
      <c r="D782" s="15">
        <f>IF(Murid!E782="","",Murid!E782)</f>
        <v/>
      </c>
      <c r="E782" s="11" t="n"/>
      <c r="F782" s="10">
        <f>IF(E782="","",IFERROR(VLOOKUP(E782,T_PERK,2,FALSE),0))</f>
        <v/>
      </c>
      <c r="G782" s="11" t="n"/>
      <c r="H782" s="10">
        <f>IF(G782="","",IFERROR(VLOOKUP(G782,T_ANUG,2,FALSE),0))</f>
        <v/>
      </c>
      <c r="I782" s="11" t="n"/>
      <c r="J782" s="11" t="n"/>
      <c r="K782" s="11" t="n"/>
      <c r="L782" s="11" t="n"/>
      <c r="M782" s="11" t="n"/>
      <c r="N782" s="11" t="n"/>
      <c r="O782" s="11" t="n"/>
      <c r="P782" s="10">
        <f>IF(COUNTA(I782:O782)=0,"",MIN(10,SUM(I782:O782)))</f>
        <v/>
      </c>
      <c r="Q782" s="11" t="n"/>
      <c r="R782" s="10">
        <f>IF(Q782="","",IFERROR(VLOOKUP(Q782,T_NILAM,2,FALSE),0))</f>
        <v/>
      </c>
      <c r="S782" s="11" t="n"/>
      <c r="T782" s="10">
        <f>IF(S782="","",IFERROR(VLOOKUP(S782,T_TIMSS,2,FALSE),0))</f>
        <v/>
      </c>
      <c r="U782" s="19">
        <f>IF(COUNT(F782,H782,P782,R782,T782)=0,"",MIN(10,MAX(F782,H782,P782,R782,T782)))</f>
        <v/>
      </c>
      <c r="V782" s="11" t="n"/>
    </row>
    <row r="783">
      <c r="A783" s="15">
        <f>Murid!A783</f>
        <v/>
      </c>
      <c r="B783" s="15">
        <f>IF(Murid!B783="","",Murid!B783)</f>
        <v/>
      </c>
      <c r="C783" s="16">
        <f>IF(Murid!C783="","",Murid!C783)</f>
        <v/>
      </c>
      <c r="D783" s="15">
        <f>IF(Murid!E783="","",Murid!E783)</f>
        <v/>
      </c>
      <c r="E783" s="11" t="n"/>
      <c r="F783" s="10">
        <f>IF(E783="","",IFERROR(VLOOKUP(E783,T_PERK,2,FALSE),0))</f>
        <v/>
      </c>
      <c r="G783" s="11" t="n"/>
      <c r="H783" s="10">
        <f>IF(G783="","",IFERROR(VLOOKUP(G783,T_ANUG,2,FALSE),0))</f>
        <v/>
      </c>
      <c r="I783" s="11" t="n"/>
      <c r="J783" s="11" t="n"/>
      <c r="K783" s="11" t="n"/>
      <c r="L783" s="11" t="n"/>
      <c r="M783" s="11" t="n"/>
      <c r="N783" s="11" t="n"/>
      <c r="O783" s="11" t="n"/>
      <c r="P783" s="10">
        <f>IF(COUNTA(I783:O783)=0,"",MIN(10,SUM(I783:O783)))</f>
        <v/>
      </c>
      <c r="Q783" s="11" t="n"/>
      <c r="R783" s="10">
        <f>IF(Q783="","",IFERROR(VLOOKUP(Q783,T_NILAM,2,FALSE),0))</f>
        <v/>
      </c>
      <c r="S783" s="11" t="n"/>
      <c r="T783" s="10">
        <f>IF(S783="","",IFERROR(VLOOKUP(S783,T_TIMSS,2,FALSE),0))</f>
        <v/>
      </c>
      <c r="U783" s="19">
        <f>IF(COUNT(F783,H783,P783,R783,T783)=0,"",MIN(10,MAX(F783,H783,P783,R783,T783)))</f>
        <v/>
      </c>
      <c r="V783" s="11" t="n"/>
    </row>
    <row r="784">
      <c r="A784" s="15">
        <f>Murid!A784</f>
        <v/>
      </c>
      <c r="B784" s="15">
        <f>IF(Murid!B784="","",Murid!B784)</f>
        <v/>
      </c>
      <c r="C784" s="16">
        <f>IF(Murid!C784="","",Murid!C784)</f>
        <v/>
      </c>
      <c r="D784" s="15">
        <f>IF(Murid!E784="","",Murid!E784)</f>
        <v/>
      </c>
      <c r="E784" s="11" t="n"/>
      <c r="F784" s="10">
        <f>IF(E784="","",IFERROR(VLOOKUP(E784,T_PERK,2,FALSE),0))</f>
        <v/>
      </c>
      <c r="G784" s="11" t="n"/>
      <c r="H784" s="10">
        <f>IF(G784="","",IFERROR(VLOOKUP(G784,T_ANUG,2,FALSE),0))</f>
        <v/>
      </c>
      <c r="I784" s="11" t="n"/>
      <c r="J784" s="11" t="n"/>
      <c r="K784" s="11" t="n"/>
      <c r="L784" s="11" t="n"/>
      <c r="M784" s="11" t="n"/>
      <c r="N784" s="11" t="n"/>
      <c r="O784" s="11" t="n"/>
      <c r="P784" s="10">
        <f>IF(COUNTA(I784:O784)=0,"",MIN(10,SUM(I784:O784)))</f>
        <v/>
      </c>
      <c r="Q784" s="11" t="n"/>
      <c r="R784" s="10">
        <f>IF(Q784="","",IFERROR(VLOOKUP(Q784,T_NILAM,2,FALSE),0))</f>
        <v/>
      </c>
      <c r="S784" s="11" t="n"/>
      <c r="T784" s="10">
        <f>IF(S784="","",IFERROR(VLOOKUP(S784,T_TIMSS,2,FALSE),0))</f>
        <v/>
      </c>
      <c r="U784" s="19">
        <f>IF(COUNT(F784,H784,P784,R784,T784)=0,"",MIN(10,MAX(F784,H784,P784,R784,T784)))</f>
        <v/>
      </c>
      <c r="V784" s="11" t="n"/>
    </row>
    <row r="785">
      <c r="A785" s="15">
        <f>Murid!A785</f>
        <v/>
      </c>
      <c r="B785" s="15">
        <f>IF(Murid!B785="","",Murid!B785)</f>
        <v/>
      </c>
      <c r="C785" s="16">
        <f>IF(Murid!C785="","",Murid!C785)</f>
        <v/>
      </c>
      <c r="D785" s="15">
        <f>IF(Murid!E785="","",Murid!E785)</f>
        <v/>
      </c>
      <c r="E785" s="11" t="n"/>
      <c r="F785" s="10">
        <f>IF(E785="","",IFERROR(VLOOKUP(E785,T_PERK,2,FALSE),0))</f>
        <v/>
      </c>
      <c r="G785" s="11" t="n"/>
      <c r="H785" s="10">
        <f>IF(G785="","",IFERROR(VLOOKUP(G785,T_ANUG,2,FALSE),0))</f>
        <v/>
      </c>
      <c r="I785" s="11" t="n"/>
      <c r="J785" s="11" t="n"/>
      <c r="K785" s="11" t="n"/>
      <c r="L785" s="11" t="n"/>
      <c r="M785" s="11" t="n"/>
      <c r="N785" s="11" t="n"/>
      <c r="O785" s="11" t="n"/>
      <c r="P785" s="10">
        <f>IF(COUNTA(I785:O785)=0,"",MIN(10,SUM(I785:O785)))</f>
        <v/>
      </c>
      <c r="Q785" s="11" t="n"/>
      <c r="R785" s="10">
        <f>IF(Q785="","",IFERROR(VLOOKUP(Q785,T_NILAM,2,FALSE),0))</f>
        <v/>
      </c>
      <c r="S785" s="11" t="n"/>
      <c r="T785" s="10">
        <f>IF(S785="","",IFERROR(VLOOKUP(S785,T_TIMSS,2,FALSE),0))</f>
        <v/>
      </c>
      <c r="U785" s="19">
        <f>IF(COUNT(F785,H785,P785,R785,T785)=0,"",MIN(10,MAX(F785,H785,P785,R785,T785)))</f>
        <v/>
      </c>
      <c r="V785" s="11" t="n"/>
    </row>
    <row r="786">
      <c r="A786" s="15">
        <f>Murid!A786</f>
        <v/>
      </c>
      <c r="B786" s="15">
        <f>IF(Murid!B786="","",Murid!B786)</f>
        <v/>
      </c>
      <c r="C786" s="16">
        <f>IF(Murid!C786="","",Murid!C786)</f>
        <v/>
      </c>
      <c r="D786" s="15">
        <f>IF(Murid!E786="","",Murid!E786)</f>
        <v/>
      </c>
      <c r="E786" s="11" t="n"/>
      <c r="F786" s="10">
        <f>IF(E786="","",IFERROR(VLOOKUP(E786,T_PERK,2,FALSE),0))</f>
        <v/>
      </c>
      <c r="G786" s="11" t="n"/>
      <c r="H786" s="10">
        <f>IF(G786="","",IFERROR(VLOOKUP(G786,T_ANUG,2,FALSE),0))</f>
        <v/>
      </c>
      <c r="I786" s="11" t="n"/>
      <c r="J786" s="11" t="n"/>
      <c r="K786" s="11" t="n"/>
      <c r="L786" s="11" t="n"/>
      <c r="M786" s="11" t="n"/>
      <c r="N786" s="11" t="n"/>
      <c r="O786" s="11" t="n"/>
      <c r="P786" s="10">
        <f>IF(COUNTA(I786:O786)=0,"",MIN(10,SUM(I786:O786)))</f>
        <v/>
      </c>
      <c r="Q786" s="11" t="n"/>
      <c r="R786" s="10">
        <f>IF(Q786="","",IFERROR(VLOOKUP(Q786,T_NILAM,2,FALSE),0))</f>
        <v/>
      </c>
      <c r="S786" s="11" t="n"/>
      <c r="T786" s="10">
        <f>IF(S786="","",IFERROR(VLOOKUP(S786,T_TIMSS,2,FALSE),0))</f>
        <v/>
      </c>
      <c r="U786" s="19">
        <f>IF(COUNT(F786,H786,P786,R786,T786)=0,"",MIN(10,MAX(F786,H786,P786,R786,T786)))</f>
        <v/>
      </c>
      <c r="V786" s="11" t="n"/>
    </row>
    <row r="787">
      <c r="A787" s="15">
        <f>Murid!A787</f>
        <v/>
      </c>
      <c r="B787" s="15">
        <f>IF(Murid!B787="","",Murid!B787)</f>
        <v/>
      </c>
      <c r="C787" s="16">
        <f>IF(Murid!C787="","",Murid!C787)</f>
        <v/>
      </c>
      <c r="D787" s="15">
        <f>IF(Murid!E787="","",Murid!E787)</f>
        <v/>
      </c>
      <c r="E787" s="11" t="n"/>
      <c r="F787" s="10">
        <f>IF(E787="","",IFERROR(VLOOKUP(E787,T_PERK,2,FALSE),0))</f>
        <v/>
      </c>
      <c r="G787" s="11" t="n"/>
      <c r="H787" s="10">
        <f>IF(G787="","",IFERROR(VLOOKUP(G787,T_ANUG,2,FALSE),0))</f>
        <v/>
      </c>
      <c r="I787" s="11" t="n"/>
      <c r="J787" s="11" t="n"/>
      <c r="K787" s="11" t="n"/>
      <c r="L787" s="11" t="n"/>
      <c r="M787" s="11" t="n"/>
      <c r="N787" s="11" t="n"/>
      <c r="O787" s="11" t="n"/>
      <c r="P787" s="10">
        <f>IF(COUNTA(I787:O787)=0,"",MIN(10,SUM(I787:O787)))</f>
        <v/>
      </c>
      <c r="Q787" s="11" t="n"/>
      <c r="R787" s="10">
        <f>IF(Q787="","",IFERROR(VLOOKUP(Q787,T_NILAM,2,FALSE),0))</f>
        <v/>
      </c>
      <c r="S787" s="11" t="n"/>
      <c r="T787" s="10">
        <f>IF(S787="","",IFERROR(VLOOKUP(S787,T_TIMSS,2,FALSE),0))</f>
        <v/>
      </c>
      <c r="U787" s="19">
        <f>IF(COUNT(F787,H787,P787,R787,T787)=0,"",MIN(10,MAX(F787,H787,P787,R787,T787)))</f>
        <v/>
      </c>
      <c r="V787" s="11" t="n"/>
    </row>
    <row r="788">
      <c r="A788" s="15">
        <f>Murid!A788</f>
        <v/>
      </c>
      <c r="B788" s="15">
        <f>IF(Murid!B788="","",Murid!B788)</f>
        <v/>
      </c>
      <c r="C788" s="16">
        <f>IF(Murid!C788="","",Murid!C788)</f>
        <v/>
      </c>
      <c r="D788" s="15">
        <f>IF(Murid!E788="","",Murid!E788)</f>
        <v/>
      </c>
      <c r="E788" s="11" t="n"/>
      <c r="F788" s="10">
        <f>IF(E788="","",IFERROR(VLOOKUP(E788,T_PERK,2,FALSE),0))</f>
        <v/>
      </c>
      <c r="G788" s="11" t="n"/>
      <c r="H788" s="10">
        <f>IF(G788="","",IFERROR(VLOOKUP(G788,T_ANUG,2,FALSE),0))</f>
        <v/>
      </c>
      <c r="I788" s="11" t="n"/>
      <c r="J788" s="11" t="n"/>
      <c r="K788" s="11" t="n"/>
      <c r="L788" s="11" t="n"/>
      <c r="M788" s="11" t="n"/>
      <c r="N788" s="11" t="n"/>
      <c r="O788" s="11" t="n"/>
      <c r="P788" s="10">
        <f>IF(COUNTA(I788:O788)=0,"",MIN(10,SUM(I788:O788)))</f>
        <v/>
      </c>
      <c r="Q788" s="11" t="n"/>
      <c r="R788" s="10">
        <f>IF(Q788="","",IFERROR(VLOOKUP(Q788,T_NILAM,2,FALSE),0))</f>
        <v/>
      </c>
      <c r="S788" s="11" t="n"/>
      <c r="T788" s="10">
        <f>IF(S788="","",IFERROR(VLOOKUP(S788,T_TIMSS,2,FALSE),0))</f>
        <v/>
      </c>
      <c r="U788" s="19">
        <f>IF(COUNT(F788,H788,P788,R788,T788)=0,"",MIN(10,MAX(F788,H788,P788,R788,T788)))</f>
        <v/>
      </c>
      <c r="V788" s="11" t="n"/>
    </row>
    <row r="789">
      <c r="A789" s="15">
        <f>Murid!A789</f>
        <v/>
      </c>
      <c r="B789" s="15">
        <f>IF(Murid!B789="","",Murid!B789)</f>
        <v/>
      </c>
      <c r="C789" s="16">
        <f>IF(Murid!C789="","",Murid!C789)</f>
        <v/>
      </c>
      <c r="D789" s="15">
        <f>IF(Murid!E789="","",Murid!E789)</f>
        <v/>
      </c>
      <c r="E789" s="11" t="n"/>
      <c r="F789" s="10">
        <f>IF(E789="","",IFERROR(VLOOKUP(E789,T_PERK,2,FALSE),0))</f>
        <v/>
      </c>
      <c r="G789" s="11" t="n"/>
      <c r="H789" s="10">
        <f>IF(G789="","",IFERROR(VLOOKUP(G789,T_ANUG,2,FALSE),0))</f>
        <v/>
      </c>
      <c r="I789" s="11" t="n"/>
      <c r="J789" s="11" t="n"/>
      <c r="K789" s="11" t="n"/>
      <c r="L789" s="11" t="n"/>
      <c r="M789" s="11" t="n"/>
      <c r="N789" s="11" t="n"/>
      <c r="O789" s="11" t="n"/>
      <c r="P789" s="10">
        <f>IF(COUNTA(I789:O789)=0,"",MIN(10,SUM(I789:O789)))</f>
        <v/>
      </c>
      <c r="Q789" s="11" t="n"/>
      <c r="R789" s="10">
        <f>IF(Q789="","",IFERROR(VLOOKUP(Q789,T_NILAM,2,FALSE),0))</f>
        <v/>
      </c>
      <c r="S789" s="11" t="n"/>
      <c r="T789" s="10">
        <f>IF(S789="","",IFERROR(VLOOKUP(S789,T_TIMSS,2,FALSE),0))</f>
        <v/>
      </c>
      <c r="U789" s="19">
        <f>IF(COUNT(F789,H789,P789,R789,T789)=0,"",MIN(10,MAX(F789,H789,P789,R789,T789)))</f>
        <v/>
      </c>
      <c r="V789" s="11" t="n"/>
    </row>
    <row r="790">
      <c r="A790" s="15">
        <f>Murid!A790</f>
        <v/>
      </c>
      <c r="B790" s="15">
        <f>IF(Murid!B790="","",Murid!B790)</f>
        <v/>
      </c>
      <c r="C790" s="16">
        <f>IF(Murid!C790="","",Murid!C790)</f>
        <v/>
      </c>
      <c r="D790" s="15">
        <f>IF(Murid!E790="","",Murid!E790)</f>
        <v/>
      </c>
      <c r="E790" s="11" t="n"/>
      <c r="F790" s="10">
        <f>IF(E790="","",IFERROR(VLOOKUP(E790,T_PERK,2,FALSE),0))</f>
        <v/>
      </c>
      <c r="G790" s="11" t="n"/>
      <c r="H790" s="10">
        <f>IF(G790="","",IFERROR(VLOOKUP(G790,T_ANUG,2,FALSE),0))</f>
        <v/>
      </c>
      <c r="I790" s="11" t="n"/>
      <c r="J790" s="11" t="n"/>
      <c r="K790" s="11" t="n"/>
      <c r="L790" s="11" t="n"/>
      <c r="M790" s="11" t="n"/>
      <c r="N790" s="11" t="n"/>
      <c r="O790" s="11" t="n"/>
      <c r="P790" s="10">
        <f>IF(COUNTA(I790:O790)=0,"",MIN(10,SUM(I790:O790)))</f>
        <v/>
      </c>
      <c r="Q790" s="11" t="n"/>
      <c r="R790" s="10">
        <f>IF(Q790="","",IFERROR(VLOOKUP(Q790,T_NILAM,2,FALSE),0))</f>
        <v/>
      </c>
      <c r="S790" s="11" t="n"/>
      <c r="T790" s="10">
        <f>IF(S790="","",IFERROR(VLOOKUP(S790,T_TIMSS,2,FALSE),0))</f>
        <v/>
      </c>
      <c r="U790" s="19">
        <f>IF(COUNT(F790,H790,P790,R790,T790)=0,"",MIN(10,MAX(F790,H790,P790,R790,T790)))</f>
        <v/>
      </c>
      <c r="V790" s="11" t="n"/>
    </row>
    <row r="791">
      <c r="A791" s="15">
        <f>Murid!A791</f>
        <v/>
      </c>
      <c r="B791" s="15">
        <f>IF(Murid!B791="","",Murid!B791)</f>
        <v/>
      </c>
      <c r="C791" s="16">
        <f>IF(Murid!C791="","",Murid!C791)</f>
        <v/>
      </c>
      <c r="D791" s="15">
        <f>IF(Murid!E791="","",Murid!E791)</f>
        <v/>
      </c>
      <c r="E791" s="11" t="n"/>
      <c r="F791" s="10">
        <f>IF(E791="","",IFERROR(VLOOKUP(E791,T_PERK,2,FALSE),0))</f>
        <v/>
      </c>
      <c r="G791" s="11" t="n"/>
      <c r="H791" s="10">
        <f>IF(G791="","",IFERROR(VLOOKUP(G791,T_ANUG,2,FALSE),0))</f>
        <v/>
      </c>
      <c r="I791" s="11" t="n"/>
      <c r="J791" s="11" t="n"/>
      <c r="K791" s="11" t="n"/>
      <c r="L791" s="11" t="n"/>
      <c r="M791" s="11" t="n"/>
      <c r="N791" s="11" t="n"/>
      <c r="O791" s="11" t="n"/>
      <c r="P791" s="10">
        <f>IF(COUNTA(I791:O791)=0,"",MIN(10,SUM(I791:O791)))</f>
        <v/>
      </c>
      <c r="Q791" s="11" t="n"/>
      <c r="R791" s="10">
        <f>IF(Q791="","",IFERROR(VLOOKUP(Q791,T_NILAM,2,FALSE),0))</f>
        <v/>
      </c>
      <c r="S791" s="11" t="n"/>
      <c r="T791" s="10">
        <f>IF(S791="","",IFERROR(VLOOKUP(S791,T_TIMSS,2,FALSE),0))</f>
        <v/>
      </c>
      <c r="U791" s="19">
        <f>IF(COUNT(F791,H791,P791,R791,T791)=0,"",MIN(10,MAX(F791,H791,P791,R791,T791)))</f>
        <v/>
      </c>
      <c r="V791" s="11" t="n"/>
    </row>
    <row r="792">
      <c r="A792" s="15">
        <f>Murid!A792</f>
        <v/>
      </c>
      <c r="B792" s="15">
        <f>IF(Murid!B792="","",Murid!B792)</f>
        <v/>
      </c>
      <c r="C792" s="16">
        <f>IF(Murid!C792="","",Murid!C792)</f>
        <v/>
      </c>
      <c r="D792" s="15">
        <f>IF(Murid!E792="","",Murid!E792)</f>
        <v/>
      </c>
      <c r="E792" s="11" t="n"/>
      <c r="F792" s="10">
        <f>IF(E792="","",IFERROR(VLOOKUP(E792,T_PERK,2,FALSE),0))</f>
        <v/>
      </c>
      <c r="G792" s="11" t="n"/>
      <c r="H792" s="10">
        <f>IF(G792="","",IFERROR(VLOOKUP(G792,T_ANUG,2,FALSE),0))</f>
        <v/>
      </c>
      <c r="I792" s="11" t="n"/>
      <c r="J792" s="11" t="n"/>
      <c r="K792" s="11" t="n"/>
      <c r="L792" s="11" t="n"/>
      <c r="M792" s="11" t="n"/>
      <c r="N792" s="11" t="n"/>
      <c r="O792" s="11" t="n"/>
      <c r="P792" s="10">
        <f>IF(COUNTA(I792:O792)=0,"",MIN(10,SUM(I792:O792)))</f>
        <v/>
      </c>
      <c r="Q792" s="11" t="n"/>
      <c r="R792" s="10">
        <f>IF(Q792="","",IFERROR(VLOOKUP(Q792,T_NILAM,2,FALSE),0))</f>
        <v/>
      </c>
      <c r="S792" s="11" t="n"/>
      <c r="T792" s="10">
        <f>IF(S792="","",IFERROR(VLOOKUP(S792,T_TIMSS,2,FALSE),0))</f>
        <v/>
      </c>
      <c r="U792" s="19">
        <f>IF(COUNT(F792,H792,P792,R792,T792)=0,"",MIN(10,MAX(F792,H792,P792,R792,T792)))</f>
        <v/>
      </c>
      <c r="V792" s="11" t="n"/>
    </row>
    <row r="793">
      <c r="A793" s="15">
        <f>Murid!A793</f>
        <v/>
      </c>
      <c r="B793" s="15">
        <f>IF(Murid!B793="","",Murid!B793)</f>
        <v/>
      </c>
      <c r="C793" s="16">
        <f>IF(Murid!C793="","",Murid!C793)</f>
        <v/>
      </c>
      <c r="D793" s="15">
        <f>IF(Murid!E793="","",Murid!E793)</f>
        <v/>
      </c>
      <c r="E793" s="11" t="n"/>
      <c r="F793" s="10">
        <f>IF(E793="","",IFERROR(VLOOKUP(E793,T_PERK,2,FALSE),0))</f>
        <v/>
      </c>
      <c r="G793" s="11" t="n"/>
      <c r="H793" s="10">
        <f>IF(G793="","",IFERROR(VLOOKUP(G793,T_ANUG,2,FALSE),0))</f>
        <v/>
      </c>
      <c r="I793" s="11" t="n"/>
      <c r="J793" s="11" t="n"/>
      <c r="K793" s="11" t="n"/>
      <c r="L793" s="11" t="n"/>
      <c r="M793" s="11" t="n"/>
      <c r="N793" s="11" t="n"/>
      <c r="O793" s="11" t="n"/>
      <c r="P793" s="10">
        <f>IF(COUNTA(I793:O793)=0,"",MIN(10,SUM(I793:O793)))</f>
        <v/>
      </c>
      <c r="Q793" s="11" t="n"/>
      <c r="R793" s="10">
        <f>IF(Q793="","",IFERROR(VLOOKUP(Q793,T_NILAM,2,FALSE),0))</f>
        <v/>
      </c>
      <c r="S793" s="11" t="n"/>
      <c r="T793" s="10">
        <f>IF(S793="","",IFERROR(VLOOKUP(S793,T_TIMSS,2,FALSE),0))</f>
        <v/>
      </c>
      <c r="U793" s="19">
        <f>IF(COUNT(F793,H793,P793,R793,T793)=0,"",MIN(10,MAX(F793,H793,P793,R793,T793)))</f>
        <v/>
      </c>
      <c r="V793" s="11" t="n"/>
    </row>
    <row r="794">
      <c r="A794" s="15">
        <f>Murid!A794</f>
        <v/>
      </c>
      <c r="B794" s="15">
        <f>IF(Murid!B794="","",Murid!B794)</f>
        <v/>
      </c>
      <c r="C794" s="16">
        <f>IF(Murid!C794="","",Murid!C794)</f>
        <v/>
      </c>
      <c r="D794" s="15">
        <f>IF(Murid!E794="","",Murid!E794)</f>
        <v/>
      </c>
      <c r="E794" s="11" t="n"/>
      <c r="F794" s="10">
        <f>IF(E794="","",IFERROR(VLOOKUP(E794,T_PERK,2,FALSE),0))</f>
        <v/>
      </c>
      <c r="G794" s="11" t="n"/>
      <c r="H794" s="10">
        <f>IF(G794="","",IFERROR(VLOOKUP(G794,T_ANUG,2,FALSE),0))</f>
        <v/>
      </c>
      <c r="I794" s="11" t="n"/>
      <c r="J794" s="11" t="n"/>
      <c r="K794" s="11" t="n"/>
      <c r="L794" s="11" t="n"/>
      <c r="M794" s="11" t="n"/>
      <c r="N794" s="11" t="n"/>
      <c r="O794" s="11" t="n"/>
      <c r="P794" s="10">
        <f>IF(COUNTA(I794:O794)=0,"",MIN(10,SUM(I794:O794)))</f>
        <v/>
      </c>
      <c r="Q794" s="11" t="n"/>
      <c r="R794" s="10">
        <f>IF(Q794="","",IFERROR(VLOOKUP(Q794,T_NILAM,2,FALSE),0))</f>
        <v/>
      </c>
      <c r="S794" s="11" t="n"/>
      <c r="T794" s="10">
        <f>IF(S794="","",IFERROR(VLOOKUP(S794,T_TIMSS,2,FALSE),0))</f>
        <v/>
      </c>
      <c r="U794" s="19">
        <f>IF(COUNT(F794,H794,P794,R794,T794)=0,"",MIN(10,MAX(F794,H794,P794,R794,T794)))</f>
        <v/>
      </c>
      <c r="V794" s="11" t="n"/>
    </row>
    <row r="795">
      <c r="A795" s="15">
        <f>Murid!A795</f>
        <v/>
      </c>
      <c r="B795" s="15">
        <f>IF(Murid!B795="","",Murid!B795)</f>
        <v/>
      </c>
      <c r="C795" s="16">
        <f>IF(Murid!C795="","",Murid!C795)</f>
        <v/>
      </c>
      <c r="D795" s="15">
        <f>IF(Murid!E795="","",Murid!E795)</f>
        <v/>
      </c>
      <c r="E795" s="11" t="n"/>
      <c r="F795" s="10">
        <f>IF(E795="","",IFERROR(VLOOKUP(E795,T_PERK,2,FALSE),0))</f>
        <v/>
      </c>
      <c r="G795" s="11" t="n"/>
      <c r="H795" s="10">
        <f>IF(G795="","",IFERROR(VLOOKUP(G795,T_ANUG,2,FALSE),0))</f>
        <v/>
      </c>
      <c r="I795" s="11" t="n"/>
      <c r="J795" s="11" t="n"/>
      <c r="K795" s="11" t="n"/>
      <c r="L795" s="11" t="n"/>
      <c r="M795" s="11" t="n"/>
      <c r="N795" s="11" t="n"/>
      <c r="O795" s="11" t="n"/>
      <c r="P795" s="10">
        <f>IF(COUNTA(I795:O795)=0,"",MIN(10,SUM(I795:O795)))</f>
        <v/>
      </c>
      <c r="Q795" s="11" t="n"/>
      <c r="R795" s="10">
        <f>IF(Q795="","",IFERROR(VLOOKUP(Q795,T_NILAM,2,FALSE),0))</f>
        <v/>
      </c>
      <c r="S795" s="11" t="n"/>
      <c r="T795" s="10">
        <f>IF(S795="","",IFERROR(VLOOKUP(S795,T_TIMSS,2,FALSE),0))</f>
        <v/>
      </c>
      <c r="U795" s="19">
        <f>IF(COUNT(F795,H795,P795,R795,T795)=0,"",MIN(10,MAX(F795,H795,P795,R795,T795)))</f>
        <v/>
      </c>
      <c r="V795" s="11" t="n"/>
    </row>
    <row r="796">
      <c r="A796" s="15">
        <f>Murid!A796</f>
        <v/>
      </c>
      <c r="B796" s="15">
        <f>IF(Murid!B796="","",Murid!B796)</f>
        <v/>
      </c>
      <c r="C796" s="16">
        <f>IF(Murid!C796="","",Murid!C796)</f>
        <v/>
      </c>
      <c r="D796" s="15">
        <f>IF(Murid!E796="","",Murid!E796)</f>
        <v/>
      </c>
      <c r="E796" s="11" t="n"/>
      <c r="F796" s="10">
        <f>IF(E796="","",IFERROR(VLOOKUP(E796,T_PERK,2,FALSE),0))</f>
        <v/>
      </c>
      <c r="G796" s="11" t="n"/>
      <c r="H796" s="10">
        <f>IF(G796="","",IFERROR(VLOOKUP(G796,T_ANUG,2,FALSE),0))</f>
        <v/>
      </c>
      <c r="I796" s="11" t="n"/>
      <c r="J796" s="11" t="n"/>
      <c r="K796" s="11" t="n"/>
      <c r="L796" s="11" t="n"/>
      <c r="M796" s="11" t="n"/>
      <c r="N796" s="11" t="n"/>
      <c r="O796" s="11" t="n"/>
      <c r="P796" s="10">
        <f>IF(COUNTA(I796:O796)=0,"",MIN(10,SUM(I796:O796)))</f>
        <v/>
      </c>
      <c r="Q796" s="11" t="n"/>
      <c r="R796" s="10">
        <f>IF(Q796="","",IFERROR(VLOOKUP(Q796,T_NILAM,2,FALSE),0))</f>
        <v/>
      </c>
      <c r="S796" s="11" t="n"/>
      <c r="T796" s="10">
        <f>IF(S796="","",IFERROR(VLOOKUP(S796,T_TIMSS,2,FALSE),0))</f>
        <v/>
      </c>
      <c r="U796" s="19">
        <f>IF(COUNT(F796,H796,P796,R796,T796)=0,"",MIN(10,MAX(F796,H796,P796,R796,T796)))</f>
        <v/>
      </c>
      <c r="V796" s="11" t="n"/>
    </row>
    <row r="797">
      <c r="A797" s="15">
        <f>Murid!A797</f>
        <v/>
      </c>
      <c r="B797" s="15">
        <f>IF(Murid!B797="","",Murid!B797)</f>
        <v/>
      </c>
      <c r="C797" s="16">
        <f>IF(Murid!C797="","",Murid!C797)</f>
        <v/>
      </c>
      <c r="D797" s="15">
        <f>IF(Murid!E797="","",Murid!E797)</f>
        <v/>
      </c>
      <c r="E797" s="11" t="n"/>
      <c r="F797" s="10">
        <f>IF(E797="","",IFERROR(VLOOKUP(E797,T_PERK,2,FALSE),0))</f>
        <v/>
      </c>
      <c r="G797" s="11" t="n"/>
      <c r="H797" s="10">
        <f>IF(G797="","",IFERROR(VLOOKUP(G797,T_ANUG,2,FALSE),0))</f>
        <v/>
      </c>
      <c r="I797" s="11" t="n"/>
      <c r="J797" s="11" t="n"/>
      <c r="K797" s="11" t="n"/>
      <c r="L797" s="11" t="n"/>
      <c r="M797" s="11" t="n"/>
      <c r="N797" s="11" t="n"/>
      <c r="O797" s="11" t="n"/>
      <c r="P797" s="10">
        <f>IF(COUNTA(I797:O797)=0,"",MIN(10,SUM(I797:O797)))</f>
        <v/>
      </c>
      <c r="Q797" s="11" t="n"/>
      <c r="R797" s="10">
        <f>IF(Q797="","",IFERROR(VLOOKUP(Q797,T_NILAM,2,FALSE),0))</f>
        <v/>
      </c>
      <c r="S797" s="11" t="n"/>
      <c r="T797" s="10">
        <f>IF(S797="","",IFERROR(VLOOKUP(S797,T_TIMSS,2,FALSE),0))</f>
        <v/>
      </c>
      <c r="U797" s="19">
        <f>IF(COUNT(F797,H797,P797,R797,T797)=0,"",MIN(10,MAX(F797,H797,P797,R797,T797)))</f>
        <v/>
      </c>
      <c r="V797" s="11" t="n"/>
    </row>
    <row r="798">
      <c r="A798" s="15">
        <f>Murid!A798</f>
        <v/>
      </c>
      <c r="B798" s="15">
        <f>IF(Murid!B798="","",Murid!B798)</f>
        <v/>
      </c>
      <c r="C798" s="16">
        <f>IF(Murid!C798="","",Murid!C798)</f>
        <v/>
      </c>
      <c r="D798" s="15">
        <f>IF(Murid!E798="","",Murid!E798)</f>
        <v/>
      </c>
      <c r="E798" s="11" t="n"/>
      <c r="F798" s="10">
        <f>IF(E798="","",IFERROR(VLOOKUP(E798,T_PERK,2,FALSE),0))</f>
        <v/>
      </c>
      <c r="G798" s="11" t="n"/>
      <c r="H798" s="10">
        <f>IF(G798="","",IFERROR(VLOOKUP(G798,T_ANUG,2,FALSE),0))</f>
        <v/>
      </c>
      <c r="I798" s="11" t="n"/>
      <c r="J798" s="11" t="n"/>
      <c r="K798" s="11" t="n"/>
      <c r="L798" s="11" t="n"/>
      <c r="M798" s="11" t="n"/>
      <c r="N798" s="11" t="n"/>
      <c r="O798" s="11" t="n"/>
      <c r="P798" s="10">
        <f>IF(COUNTA(I798:O798)=0,"",MIN(10,SUM(I798:O798)))</f>
        <v/>
      </c>
      <c r="Q798" s="11" t="n"/>
      <c r="R798" s="10">
        <f>IF(Q798="","",IFERROR(VLOOKUP(Q798,T_NILAM,2,FALSE),0))</f>
        <v/>
      </c>
      <c r="S798" s="11" t="n"/>
      <c r="T798" s="10">
        <f>IF(S798="","",IFERROR(VLOOKUP(S798,T_TIMSS,2,FALSE),0))</f>
        <v/>
      </c>
      <c r="U798" s="19">
        <f>IF(COUNT(F798,H798,P798,R798,T798)=0,"",MIN(10,MAX(F798,H798,P798,R798,T798)))</f>
        <v/>
      </c>
      <c r="V798" s="11" t="n"/>
    </row>
    <row r="799">
      <c r="A799" s="15">
        <f>Murid!A799</f>
        <v/>
      </c>
      <c r="B799" s="15">
        <f>IF(Murid!B799="","",Murid!B799)</f>
        <v/>
      </c>
      <c r="C799" s="16">
        <f>IF(Murid!C799="","",Murid!C799)</f>
        <v/>
      </c>
      <c r="D799" s="15">
        <f>IF(Murid!E799="","",Murid!E799)</f>
        <v/>
      </c>
      <c r="E799" s="11" t="n"/>
      <c r="F799" s="10">
        <f>IF(E799="","",IFERROR(VLOOKUP(E799,T_PERK,2,FALSE),0))</f>
        <v/>
      </c>
      <c r="G799" s="11" t="n"/>
      <c r="H799" s="10">
        <f>IF(G799="","",IFERROR(VLOOKUP(G799,T_ANUG,2,FALSE),0))</f>
        <v/>
      </c>
      <c r="I799" s="11" t="n"/>
      <c r="J799" s="11" t="n"/>
      <c r="K799" s="11" t="n"/>
      <c r="L799" s="11" t="n"/>
      <c r="M799" s="11" t="n"/>
      <c r="N799" s="11" t="n"/>
      <c r="O799" s="11" t="n"/>
      <c r="P799" s="10">
        <f>IF(COUNTA(I799:O799)=0,"",MIN(10,SUM(I799:O799)))</f>
        <v/>
      </c>
      <c r="Q799" s="11" t="n"/>
      <c r="R799" s="10">
        <f>IF(Q799="","",IFERROR(VLOOKUP(Q799,T_NILAM,2,FALSE),0))</f>
        <v/>
      </c>
      <c r="S799" s="11" t="n"/>
      <c r="T799" s="10">
        <f>IF(S799="","",IFERROR(VLOOKUP(S799,T_TIMSS,2,FALSE),0))</f>
        <v/>
      </c>
      <c r="U799" s="19">
        <f>IF(COUNT(F799,H799,P799,R799,T799)=0,"",MIN(10,MAX(F799,H799,P799,R799,T799)))</f>
        <v/>
      </c>
      <c r="V799" s="11" t="n"/>
    </row>
    <row r="800">
      <c r="A800" s="15">
        <f>Murid!A800</f>
        <v/>
      </c>
      <c r="B800" s="15">
        <f>IF(Murid!B800="","",Murid!B800)</f>
        <v/>
      </c>
      <c r="C800" s="16">
        <f>IF(Murid!C800="","",Murid!C800)</f>
        <v/>
      </c>
      <c r="D800" s="15">
        <f>IF(Murid!E800="","",Murid!E800)</f>
        <v/>
      </c>
      <c r="E800" s="11" t="n"/>
      <c r="F800" s="10">
        <f>IF(E800="","",IFERROR(VLOOKUP(E800,T_PERK,2,FALSE),0))</f>
        <v/>
      </c>
      <c r="G800" s="11" t="n"/>
      <c r="H800" s="10">
        <f>IF(G800="","",IFERROR(VLOOKUP(G800,T_ANUG,2,FALSE),0))</f>
        <v/>
      </c>
      <c r="I800" s="11" t="n"/>
      <c r="J800" s="11" t="n"/>
      <c r="K800" s="11" t="n"/>
      <c r="L800" s="11" t="n"/>
      <c r="M800" s="11" t="n"/>
      <c r="N800" s="11" t="n"/>
      <c r="O800" s="11" t="n"/>
      <c r="P800" s="10">
        <f>IF(COUNTA(I800:O800)=0,"",MIN(10,SUM(I800:O800)))</f>
        <v/>
      </c>
      <c r="Q800" s="11" t="n"/>
      <c r="R800" s="10">
        <f>IF(Q800="","",IFERROR(VLOOKUP(Q800,T_NILAM,2,FALSE),0))</f>
        <v/>
      </c>
      <c r="S800" s="11" t="n"/>
      <c r="T800" s="10">
        <f>IF(S800="","",IFERROR(VLOOKUP(S800,T_TIMSS,2,FALSE),0))</f>
        <v/>
      </c>
      <c r="U800" s="19">
        <f>IF(COUNT(F800,H800,P800,R800,T800)=0,"",MIN(10,MAX(F800,H800,P800,R800,T800)))</f>
        <v/>
      </c>
      <c r="V800" s="11" t="n"/>
    </row>
    <row r="801">
      <c r="A801" s="15">
        <f>Murid!A801</f>
        <v/>
      </c>
      <c r="B801" s="15">
        <f>IF(Murid!B801="","",Murid!B801)</f>
        <v/>
      </c>
      <c r="C801" s="16">
        <f>IF(Murid!C801="","",Murid!C801)</f>
        <v/>
      </c>
      <c r="D801" s="15">
        <f>IF(Murid!E801="","",Murid!E801)</f>
        <v/>
      </c>
      <c r="E801" s="11" t="n"/>
      <c r="F801" s="10">
        <f>IF(E801="","",IFERROR(VLOOKUP(E801,T_PERK,2,FALSE),0))</f>
        <v/>
      </c>
      <c r="G801" s="11" t="n"/>
      <c r="H801" s="10">
        <f>IF(G801="","",IFERROR(VLOOKUP(G801,T_ANUG,2,FALSE),0))</f>
        <v/>
      </c>
      <c r="I801" s="11" t="n"/>
      <c r="J801" s="11" t="n"/>
      <c r="K801" s="11" t="n"/>
      <c r="L801" s="11" t="n"/>
      <c r="M801" s="11" t="n"/>
      <c r="N801" s="11" t="n"/>
      <c r="O801" s="11" t="n"/>
      <c r="P801" s="10">
        <f>IF(COUNTA(I801:O801)=0,"",MIN(10,SUM(I801:O801)))</f>
        <v/>
      </c>
      <c r="Q801" s="11" t="n"/>
      <c r="R801" s="10">
        <f>IF(Q801="","",IFERROR(VLOOKUP(Q801,T_NILAM,2,FALSE),0))</f>
        <v/>
      </c>
      <c r="S801" s="11" t="n"/>
      <c r="T801" s="10">
        <f>IF(S801="","",IFERROR(VLOOKUP(S801,T_TIMSS,2,FALSE),0))</f>
        <v/>
      </c>
      <c r="U801" s="19">
        <f>IF(COUNT(F801,H801,P801,R801,T801)=0,"",MIN(10,MAX(F801,H801,P801,R801,T801)))</f>
        <v/>
      </c>
      <c r="V801" s="11" t="n"/>
    </row>
    <row r="802">
      <c r="A802" s="15">
        <f>Murid!A802</f>
        <v/>
      </c>
      <c r="B802" s="15">
        <f>IF(Murid!B802="","",Murid!B802)</f>
        <v/>
      </c>
      <c r="C802" s="16">
        <f>IF(Murid!C802="","",Murid!C802)</f>
        <v/>
      </c>
      <c r="D802" s="15">
        <f>IF(Murid!E802="","",Murid!E802)</f>
        <v/>
      </c>
      <c r="E802" s="11" t="n"/>
      <c r="F802" s="10">
        <f>IF(E802="","",IFERROR(VLOOKUP(E802,T_PERK,2,FALSE),0))</f>
        <v/>
      </c>
      <c r="G802" s="11" t="n"/>
      <c r="H802" s="10">
        <f>IF(G802="","",IFERROR(VLOOKUP(G802,T_ANUG,2,FALSE),0))</f>
        <v/>
      </c>
      <c r="I802" s="11" t="n"/>
      <c r="J802" s="11" t="n"/>
      <c r="K802" s="11" t="n"/>
      <c r="L802" s="11" t="n"/>
      <c r="M802" s="11" t="n"/>
      <c r="N802" s="11" t="n"/>
      <c r="O802" s="11" t="n"/>
      <c r="P802" s="10">
        <f>IF(COUNTA(I802:O802)=0,"",MIN(10,SUM(I802:O802)))</f>
        <v/>
      </c>
      <c r="Q802" s="11" t="n"/>
      <c r="R802" s="10">
        <f>IF(Q802="","",IFERROR(VLOOKUP(Q802,T_NILAM,2,FALSE),0))</f>
        <v/>
      </c>
      <c r="S802" s="11" t="n"/>
      <c r="T802" s="10">
        <f>IF(S802="","",IFERROR(VLOOKUP(S802,T_TIMSS,2,FALSE),0))</f>
        <v/>
      </c>
      <c r="U802" s="19">
        <f>IF(COUNT(F802,H802,P802,R802,T802)=0,"",MIN(10,MAX(F802,H802,P802,R802,T802)))</f>
        <v/>
      </c>
      <c r="V802" s="11" t="n"/>
    </row>
    <row r="803">
      <c r="A803" s="15">
        <f>Murid!A803</f>
        <v/>
      </c>
      <c r="B803" s="15">
        <f>IF(Murid!B803="","",Murid!B803)</f>
        <v/>
      </c>
      <c r="C803" s="16">
        <f>IF(Murid!C803="","",Murid!C803)</f>
        <v/>
      </c>
      <c r="D803" s="15">
        <f>IF(Murid!E803="","",Murid!E803)</f>
        <v/>
      </c>
      <c r="E803" s="11" t="n"/>
      <c r="F803" s="10">
        <f>IF(E803="","",IFERROR(VLOOKUP(E803,T_PERK,2,FALSE),0))</f>
        <v/>
      </c>
      <c r="G803" s="11" t="n"/>
      <c r="H803" s="10">
        <f>IF(G803="","",IFERROR(VLOOKUP(G803,T_ANUG,2,FALSE),0))</f>
        <v/>
      </c>
      <c r="I803" s="11" t="n"/>
      <c r="J803" s="11" t="n"/>
      <c r="K803" s="11" t="n"/>
      <c r="L803" s="11" t="n"/>
      <c r="M803" s="11" t="n"/>
      <c r="N803" s="11" t="n"/>
      <c r="O803" s="11" t="n"/>
      <c r="P803" s="10">
        <f>IF(COUNTA(I803:O803)=0,"",MIN(10,SUM(I803:O803)))</f>
        <v/>
      </c>
      <c r="Q803" s="11" t="n"/>
      <c r="R803" s="10">
        <f>IF(Q803="","",IFERROR(VLOOKUP(Q803,T_NILAM,2,FALSE),0))</f>
        <v/>
      </c>
      <c r="S803" s="11" t="n"/>
      <c r="T803" s="10">
        <f>IF(S803="","",IFERROR(VLOOKUP(S803,T_TIMSS,2,FALSE),0))</f>
        <v/>
      </c>
      <c r="U803" s="19">
        <f>IF(COUNT(F803,H803,P803,R803,T803)=0,"",MIN(10,MAX(F803,H803,P803,R803,T803)))</f>
        <v/>
      </c>
      <c r="V803" s="11" t="n"/>
    </row>
    <row r="804">
      <c r="A804" s="15">
        <f>Murid!A804</f>
        <v/>
      </c>
      <c r="B804" s="15">
        <f>IF(Murid!B804="","",Murid!B804)</f>
        <v/>
      </c>
      <c r="C804" s="16">
        <f>IF(Murid!C804="","",Murid!C804)</f>
        <v/>
      </c>
      <c r="D804" s="15">
        <f>IF(Murid!E804="","",Murid!E804)</f>
        <v/>
      </c>
      <c r="E804" s="11" t="n"/>
      <c r="F804" s="10">
        <f>IF(E804="","",IFERROR(VLOOKUP(E804,T_PERK,2,FALSE),0))</f>
        <v/>
      </c>
      <c r="G804" s="11" t="n"/>
      <c r="H804" s="10">
        <f>IF(G804="","",IFERROR(VLOOKUP(G804,T_ANUG,2,FALSE),0))</f>
        <v/>
      </c>
      <c r="I804" s="11" t="n"/>
      <c r="J804" s="11" t="n"/>
      <c r="K804" s="11" t="n"/>
      <c r="L804" s="11" t="n"/>
      <c r="M804" s="11" t="n"/>
      <c r="N804" s="11" t="n"/>
      <c r="O804" s="11" t="n"/>
      <c r="P804" s="10">
        <f>IF(COUNTA(I804:O804)=0,"",MIN(10,SUM(I804:O804)))</f>
        <v/>
      </c>
      <c r="Q804" s="11" t="n"/>
      <c r="R804" s="10">
        <f>IF(Q804="","",IFERROR(VLOOKUP(Q804,T_NILAM,2,FALSE),0))</f>
        <v/>
      </c>
      <c r="S804" s="11" t="n"/>
      <c r="T804" s="10">
        <f>IF(S804="","",IFERROR(VLOOKUP(S804,T_TIMSS,2,FALSE),0))</f>
        <v/>
      </c>
      <c r="U804" s="19">
        <f>IF(COUNT(F804,H804,P804,R804,T804)=0,"",MIN(10,MAX(F804,H804,P804,R804,T804)))</f>
        <v/>
      </c>
      <c r="V804" s="11" t="n"/>
    </row>
    <row r="805">
      <c r="A805" s="15">
        <f>Murid!A805</f>
        <v/>
      </c>
      <c r="B805" s="15">
        <f>IF(Murid!B805="","",Murid!B805)</f>
        <v/>
      </c>
      <c r="C805" s="16">
        <f>IF(Murid!C805="","",Murid!C805)</f>
        <v/>
      </c>
      <c r="D805" s="15">
        <f>IF(Murid!E805="","",Murid!E805)</f>
        <v/>
      </c>
      <c r="E805" s="11" t="n"/>
      <c r="F805" s="10">
        <f>IF(E805="","",IFERROR(VLOOKUP(E805,T_PERK,2,FALSE),0))</f>
        <v/>
      </c>
      <c r="G805" s="11" t="n"/>
      <c r="H805" s="10">
        <f>IF(G805="","",IFERROR(VLOOKUP(G805,T_ANUG,2,FALSE),0))</f>
        <v/>
      </c>
      <c r="I805" s="11" t="n"/>
      <c r="J805" s="11" t="n"/>
      <c r="K805" s="11" t="n"/>
      <c r="L805" s="11" t="n"/>
      <c r="M805" s="11" t="n"/>
      <c r="N805" s="11" t="n"/>
      <c r="O805" s="11" t="n"/>
      <c r="P805" s="10">
        <f>IF(COUNTA(I805:O805)=0,"",MIN(10,SUM(I805:O805)))</f>
        <v/>
      </c>
      <c r="Q805" s="11" t="n"/>
      <c r="R805" s="10">
        <f>IF(Q805="","",IFERROR(VLOOKUP(Q805,T_NILAM,2,FALSE),0))</f>
        <v/>
      </c>
      <c r="S805" s="11" t="n"/>
      <c r="T805" s="10">
        <f>IF(S805="","",IFERROR(VLOOKUP(S805,T_TIMSS,2,FALSE),0))</f>
        <v/>
      </c>
      <c r="U805" s="19">
        <f>IF(COUNT(F805,H805,P805,R805,T805)=0,"",MIN(10,MAX(F805,H805,P805,R805,T805)))</f>
        <v/>
      </c>
      <c r="V805" s="11" t="n"/>
    </row>
    <row r="806">
      <c r="A806" s="15">
        <f>Murid!A806</f>
        <v/>
      </c>
      <c r="B806" s="15">
        <f>IF(Murid!B806="","",Murid!B806)</f>
        <v/>
      </c>
      <c r="C806" s="16">
        <f>IF(Murid!C806="","",Murid!C806)</f>
        <v/>
      </c>
      <c r="D806" s="15">
        <f>IF(Murid!E806="","",Murid!E806)</f>
        <v/>
      </c>
      <c r="E806" s="11" t="n"/>
      <c r="F806" s="10">
        <f>IF(E806="","",IFERROR(VLOOKUP(E806,T_PERK,2,FALSE),0))</f>
        <v/>
      </c>
      <c r="G806" s="11" t="n"/>
      <c r="H806" s="10">
        <f>IF(G806="","",IFERROR(VLOOKUP(G806,T_ANUG,2,FALSE),0))</f>
        <v/>
      </c>
      <c r="I806" s="11" t="n"/>
      <c r="J806" s="11" t="n"/>
      <c r="K806" s="11" t="n"/>
      <c r="L806" s="11" t="n"/>
      <c r="M806" s="11" t="n"/>
      <c r="N806" s="11" t="n"/>
      <c r="O806" s="11" t="n"/>
      <c r="P806" s="10">
        <f>IF(COUNTA(I806:O806)=0,"",MIN(10,SUM(I806:O806)))</f>
        <v/>
      </c>
      <c r="Q806" s="11" t="n"/>
      <c r="R806" s="10">
        <f>IF(Q806="","",IFERROR(VLOOKUP(Q806,T_NILAM,2,FALSE),0))</f>
        <v/>
      </c>
      <c r="S806" s="11" t="n"/>
      <c r="T806" s="10">
        <f>IF(S806="","",IFERROR(VLOOKUP(S806,T_TIMSS,2,FALSE),0))</f>
        <v/>
      </c>
      <c r="U806" s="19">
        <f>IF(COUNT(F806,H806,P806,R806,T806)=0,"",MIN(10,MAX(F806,H806,P806,R806,T806)))</f>
        <v/>
      </c>
      <c r="V806" s="11" t="n"/>
    </row>
    <row r="807">
      <c r="A807" s="15">
        <f>Murid!A807</f>
        <v/>
      </c>
      <c r="B807" s="15">
        <f>IF(Murid!B807="","",Murid!B807)</f>
        <v/>
      </c>
      <c r="C807" s="16">
        <f>IF(Murid!C807="","",Murid!C807)</f>
        <v/>
      </c>
      <c r="D807" s="15">
        <f>IF(Murid!E807="","",Murid!E807)</f>
        <v/>
      </c>
      <c r="E807" s="11" t="n"/>
      <c r="F807" s="10">
        <f>IF(E807="","",IFERROR(VLOOKUP(E807,T_PERK,2,FALSE),0))</f>
        <v/>
      </c>
      <c r="G807" s="11" t="n"/>
      <c r="H807" s="10">
        <f>IF(G807="","",IFERROR(VLOOKUP(G807,T_ANUG,2,FALSE),0))</f>
        <v/>
      </c>
      <c r="I807" s="11" t="n"/>
      <c r="J807" s="11" t="n"/>
      <c r="K807" s="11" t="n"/>
      <c r="L807" s="11" t="n"/>
      <c r="M807" s="11" t="n"/>
      <c r="N807" s="11" t="n"/>
      <c r="O807" s="11" t="n"/>
      <c r="P807" s="10">
        <f>IF(COUNTA(I807:O807)=0,"",MIN(10,SUM(I807:O807)))</f>
        <v/>
      </c>
      <c r="Q807" s="11" t="n"/>
      <c r="R807" s="10">
        <f>IF(Q807="","",IFERROR(VLOOKUP(Q807,T_NILAM,2,FALSE),0))</f>
        <v/>
      </c>
      <c r="S807" s="11" t="n"/>
      <c r="T807" s="10">
        <f>IF(S807="","",IFERROR(VLOOKUP(S807,T_TIMSS,2,FALSE),0))</f>
        <v/>
      </c>
      <c r="U807" s="19">
        <f>IF(COUNT(F807,H807,P807,R807,T807)=0,"",MIN(10,MAX(F807,H807,P807,R807,T807)))</f>
        <v/>
      </c>
      <c r="V807" s="11" t="n"/>
    </row>
    <row r="808">
      <c r="A808" s="15">
        <f>Murid!A808</f>
        <v/>
      </c>
      <c r="B808" s="15">
        <f>IF(Murid!B808="","",Murid!B808)</f>
        <v/>
      </c>
      <c r="C808" s="16">
        <f>IF(Murid!C808="","",Murid!C808)</f>
        <v/>
      </c>
      <c r="D808" s="15">
        <f>IF(Murid!E808="","",Murid!E808)</f>
        <v/>
      </c>
      <c r="E808" s="11" t="n"/>
      <c r="F808" s="10">
        <f>IF(E808="","",IFERROR(VLOOKUP(E808,T_PERK,2,FALSE),0))</f>
        <v/>
      </c>
      <c r="G808" s="11" t="n"/>
      <c r="H808" s="10">
        <f>IF(G808="","",IFERROR(VLOOKUP(G808,T_ANUG,2,FALSE),0))</f>
        <v/>
      </c>
      <c r="I808" s="11" t="n"/>
      <c r="J808" s="11" t="n"/>
      <c r="K808" s="11" t="n"/>
      <c r="L808" s="11" t="n"/>
      <c r="M808" s="11" t="n"/>
      <c r="N808" s="11" t="n"/>
      <c r="O808" s="11" t="n"/>
      <c r="P808" s="10">
        <f>IF(COUNTA(I808:O808)=0,"",MIN(10,SUM(I808:O808)))</f>
        <v/>
      </c>
      <c r="Q808" s="11" t="n"/>
      <c r="R808" s="10">
        <f>IF(Q808="","",IFERROR(VLOOKUP(Q808,T_NILAM,2,FALSE),0))</f>
        <v/>
      </c>
      <c r="S808" s="11" t="n"/>
      <c r="T808" s="10">
        <f>IF(S808="","",IFERROR(VLOOKUP(S808,T_TIMSS,2,FALSE),0))</f>
        <v/>
      </c>
      <c r="U808" s="19">
        <f>IF(COUNT(F808,H808,P808,R808,T808)=0,"",MIN(10,MAX(F808,H808,P808,R808,T808)))</f>
        <v/>
      </c>
      <c r="V808" s="11" t="n"/>
    </row>
    <row r="809">
      <c r="A809" s="15">
        <f>Murid!A809</f>
        <v/>
      </c>
      <c r="B809" s="15">
        <f>IF(Murid!B809="","",Murid!B809)</f>
        <v/>
      </c>
      <c r="C809" s="16">
        <f>IF(Murid!C809="","",Murid!C809)</f>
        <v/>
      </c>
      <c r="D809" s="15">
        <f>IF(Murid!E809="","",Murid!E809)</f>
        <v/>
      </c>
      <c r="E809" s="11" t="n"/>
      <c r="F809" s="10">
        <f>IF(E809="","",IFERROR(VLOOKUP(E809,T_PERK,2,FALSE),0))</f>
        <v/>
      </c>
      <c r="G809" s="11" t="n"/>
      <c r="H809" s="10">
        <f>IF(G809="","",IFERROR(VLOOKUP(G809,T_ANUG,2,FALSE),0))</f>
        <v/>
      </c>
      <c r="I809" s="11" t="n"/>
      <c r="J809" s="11" t="n"/>
      <c r="K809" s="11" t="n"/>
      <c r="L809" s="11" t="n"/>
      <c r="M809" s="11" t="n"/>
      <c r="N809" s="11" t="n"/>
      <c r="O809" s="11" t="n"/>
      <c r="P809" s="10">
        <f>IF(COUNTA(I809:O809)=0,"",MIN(10,SUM(I809:O809)))</f>
        <v/>
      </c>
      <c r="Q809" s="11" t="n"/>
      <c r="R809" s="10">
        <f>IF(Q809="","",IFERROR(VLOOKUP(Q809,T_NILAM,2,FALSE),0))</f>
        <v/>
      </c>
      <c r="S809" s="11" t="n"/>
      <c r="T809" s="10">
        <f>IF(S809="","",IFERROR(VLOOKUP(S809,T_TIMSS,2,FALSE),0))</f>
        <v/>
      </c>
      <c r="U809" s="19">
        <f>IF(COUNT(F809,H809,P809,R809,T809)=0,"",MIN(10,MAX(F809,H809,P809,R809,T809)))</f>
        <v/>
      </c>
      <c r="V809" s="11" t="n"/>
    </row>
    <row r="810">
      <c r="A810" s="15">
        <f>Murid!A810</f>
        <v/>
      </c>
      <c r="B810" s="15">
        <f>IF(Murid!B810="","",Murid!B810)</f>
        <v/>
      </c>
      <c r="C810" s="16">
        <f>IF(Murid!C810="","",Murid!C810)</f>
        <v/>
      </c>
      <c r="D810" s="15">
        <f>IF(Murid!E810="","",Murid!E810)</f>
        <v/>
      </c>
      <c r="E810" s="11" t="n"/>
      <c r="F810" s="10">
        <f>IF(E810="","",IFERROR(VLOOKUP(E810,T_PERK,2,FALSE),0))</f>
        <v/>
      </c>
      <c r="G810" s="11" t="n"/>
      <c r="H810" s="10">
        <f>IF(G810="","",IFERROR(VLOOKUP(G810,T_ANUG,2,FALSE),0))</f>
        <v/>
      </c>
      <c r="I810" s="11" t="n"/>
      <c r="J810" s="11" t="n"/>
      <c r="K810" s="11" t="n"/>
      <c r="L810" s="11" t="n"/>
      <c r="M810" s="11" t="n"/>
      <c r="N810" s="11" t="n"/>
      <c r="O810" s="11" t="n"/>
      <c r="P810" s="10">
        <f>IF(COUNTA(I810:O810)=0,"",MIN(10,SUM(I810:O810)))</f>
        <v/>
      </c>
      <c r="Q810" s="11" t="n"/>
      <c r="R810" s="10">
        <f>IF(Q810="","",IFERROR(VLOOKUP(Q810,T_NILAM,2,FALSE),0))</f>
        <v/>
      </c>
      <c r="S810" s="11" t="n"/>
      <c r="T810" s="10">
        <f>IF(S810="","",IFERROR(VLOOKUP(S810,T_TIMSS,2,FALSE),0))</f>
        <v/>
      </c>
      <c r="U810" s="19">
        <f>IF(COUNT(F810,H810,P810,R810,T810)=0,"",MIN(10,MAX(F810,H810,P810,R810,T810)))</f>
        <v/>
      </c>
      <c r="V810" s="11" t="n"/>
    </row>
    <row r="811">
      <c r="A811" s="15">
        <f>Murid!A811</f>
        <v/>
      </c>
      <c r="B811" s="15">
        <f>IF(Murid!B811="","",Murid!B811)</f>
        <v/>
      </c>
      <c r="C811" s="16">
        <f>IF(Murid!C811="","",Murid!C811)</f>
        <v/>
      </c>
      <c r="D811" s="15">
        <f>IF(Murid!E811="","",Murid!E811)</f>
        <v/>
      </c>
      <c r="E811" s="11" t="n"/>
      <c r="F811" s="10">
        <f>IF(E811="","",IFERROR(VLOOKUP(E811,T_PERK,2,FALSE),0))</f>
        <v/>
      </c>
      <c r="G811" s="11" t="n"/>
      <c r="H811" s="10">
        <f>IF(G811="","",IFERROR(VLOOKUP(G811,T_ANUG,2,FALSE),0))</f>
        <v/>
      </c>
      <c r="I811" s="11" t="n"/>
      <c r="J811" s="11" t="n"/>
      <c r="K811" s="11" t="n"/>
      <c r="L811" s="11" t="n"/>
      <c r="M811" s="11" t="n"/>
      <c r="N811" s="11" t="n"/>
      <c r="O811" s="11" t="n"/>
      <c r="P811" s="10">
        <f>IF(COUNTA(I811:O811)=0,"",MIN(10,SUM(I811:O811)))</f>
        <v/>
      </c>
      <c r="Q811" s="11" t="n"/>
      <c r="R811" s="10">
        <f>IF(Q811="","",IFERROR(VLOOKUP(Q811,T_NILAM,2,FALSE),0))</f>
        <v/>
      </c>
      <c r="S811" s="11" t="n"/>
      <c r="T811" s="10">
        <f>IF(S811="","",IFERROR(VLOOKUP(S811,T_TIMSS,2,FALSE),0))</f>
        <v/>
      </c>
      <c r="U811" s="19">
        <f>IF(COUNT(F811,H811,P811,R811,T811)=0,"",MIN(10,MAX(F811,H811,P811,R811,T811)))</f>
        <v/>
      </c>
      <c r="V811" s="11" t="n"/>
    </row>
    <row r="812">
      <c r="A812" s="15">
        <f>Murid!A812</f>
        <v/>
      </c>
      <c r="B812" s="15">
        <f>IF(Murid!B812="","",Murid!B812)</f>
        <v/>
      </c>
      <c r="C812" s="16">
        <f>IF(Murid!C812="","",Murid!C812)</f>
        <v/>
      </c>
      <c r="D812" s="15">
        <f>IF(Murid!E812="","",Murid!E812)</f>
        <v/>
      </c>
      <c r="E812" s="11" t="n"/>
      <c r="F812" s="10">
        <f>IF(E812="","",IFERROR(VLOOKUP(E812,T_PERK,2,FALSE),0))</f>
        <v/>
      </c>
      <c r="G812" s="11" t="n"/>
      <c r="H812" s="10">
        <f>IF(G812="","",IFERROR(VLOOKUP(G812,T_ANUG,2,FALSE),0))</f>
        <v/>
      </c>
      <c r="I812" s="11" t="n"/>
      <c r="J812" s="11" t="n"/>
      <c r="K812" s="11" t="n"/>
      <c r="L812" s="11" t="n"/>
      <c r="M812" s="11" t="n"/>
      <c r="N812" s="11" t="n"/>
      <c r="O812" s="11" t="n"/>
      <c r="P812" s="10">
        <f>IF(COUNTA(I812:O812)=0,"",MIN(10,SUM(I812:O812)))</f>
        <v/>
      </c>
      <c r="Q812" s="11" t="n"/>
      <c r="R812" s="10">
        <f>IF(Q812="","",IFERROR(VLOOKUP(Q812,T_NILAM,2,FALSE),0))</f>
        <v/>
      </c>
      <c r="S812" s="11" t="n"/>
      <c r="T812" s="10">
        <f>IF(S812="","",IFERROR(VLOOKUP(S812,T_TIMSS,2,FALSE),0))</f>
        <v/>
      </c>
      <c r="U812" s="19">
        <f>IF(COUNT(F812,H812,P812,R812,T812)=0,"",MIN(10,MAX(F812,H812,P812,R812,T812)))</f>
        <v/>
      </c>
      <c r="V812" s="11" t="n"/>
    </row>
    <row r="813">
      <c r="A813" s="15">
        <f>Murid!A813</f>
        <v/>
      </c>
      <c r="B813" s="15">
        <f>IF(Murid!B813="","",Murid!B813)</f>
        <v/>
      </c>
      <c r="C813" s="16">
        <f>IF(Murid!C813="","",Murid!C813)</f>
        <v/>
      </c>
      <c r="D813" s="15">
        <f>IF(Murid!E813="","",Murid!E813)</f>
        <v/>
      </c>
      <c r="E813" s="11" t="n"/>
      <c r="F813" s="10">
        <f>IF(E813="","",IFERROR(VLOOKUP(E813,T_PERK,2,FALSE),0))</f>
        <v/>
      </c>
      <c r="G813" s="11" t="n"/>
      <c r="H813" s="10">
        <f>IF(G813="","",IFERROR(VLOOKUP(G813,T_ANUG,2,FALSE),0))</f>
        <v/>
      </c>
      <c r="I813" s="11" t="n"/>
      <c r="J813" s="11" t="n"/>
      <c r="K813" s="11" t="n"/>
      <c r="L813" s="11" t="n"/>
      <c r="M813" s="11" t="n"/>
      <c r="N813" s="11" t="n"/>
      <c r="O813" s="11" t="n"/>
      <c r="P813" s="10">
        <f>IF(COUNTA(I813:O813)=0,"",MIN(10,SUM(I813:O813)))</f>
        <v/>
      </c>
      <c r="Q813" s="11" t="n"/>
      <c r="R813" s="10">
        <f>IF(Q813="","",IFERROR(VLOOKUP(Q813,T_NILAM,2,FALSE),0))</f>
        <v/>
      </c>
      <c r="S813" s="11" t="n"/>
      <c r="T813" s="10">
        <f>IF(S813="","",IFERROR(VLOOKUP(S813,T_TIMSS,2,FALSE),0))</f>
        <v/>
      </c>
      <c r="U813" s="19">
        <f>IF(COUNT(F813,H813,P813,R813,T813)=0,"",MIN(10,MAX(F813,H813,P813,R813,T813)))</f>
        <v/>
      </c>
      <c r="V813" s="11" t="n"/>
    </row>
    <row r="814">
      <c r="A814" s="15">
        <f>Murid!A814</f>
        <v/>
      </c>
      <c r="B814" s="15">
        <f>IF(Murid!B814="","",Murid!B814)</f>
        <v/>
      </c>
      <c r="C814" s="16">
        <f>IF(Murid!C814="","",Murid!C814)</f>
        <v/>
      </c>
      <c r="D814" s="15">
        <f>IF(Murid!E814="","",Murid!E814)</f>
        <v/>
      </c>
      <c r="E814" s="11" t="n"/>
      <c r="F814" s="10">
        <f>IF(E814="","",IFERROR(VLOOKUP(E814,T_PERK,2,FALSE),0))</f>
        <v/>
      </c>
      <c r="G814" s="11" t="n"/>
      <c r="H814" s="10">
        <f>IF(G814="","",IFERROR(VLOOKUP(G814,T_ANUG,2,FALSE),0))</f>
        <v/>
      </c>
      <c r="I814" s="11" t="n"/>
      <c r="J814" s="11" t="n"/>
      <c r="K814" s="11" t="n"/>
      <c r="L814" s="11" t="n"/>
      <c r="M814" s="11" t="n"/>
      <c r="N814" s="11" t="n"/>
      <c r="O814" s="11" t="n"/>
      <c r="P814" s="10">
        <f>IF(COUNTA(I814:O814)=0,"",MIN(10,SUM(I814:O814)))</f>
        <v/>
      </c>
      <c r="Q814" s="11" t="n"/>
      <c r="R814" s="10">
        <f>IF(Q814="","",IFERROR(VLOOKUP(Q814,T_NILAM,2,FALSE),0))</f>
        <v/>
      </c>
      <c r="S814" s="11" t="n"/>
      <c r="T814" s="10">
        <f>IF(S814="","",IFERROR(VLOOKUP(S814,T_TIMSS,2,FALSE),0))</f>
        <v/>
      </c>
      <c r="U814" s="19">
        <f>IF(COUNT(F814,H814,P814,R814,T814)=0,"",MIN(10,MAX(F814,H814,P814,R814,T814)))</f>
        <v/>
      </c>
      <c r="V814" s="11" t="n"/>
    </row>
    <row r="815">
      <c r="A815" s="15">
        <f>Murid!A815</f>
        <v/>
      </c>
      <c r="B815" s="15">
        <f>IF(Murid!B815="","",Murid!B815)</f>
        <v/>
      </c>
      <c r="C815" s="16">
        <f>IF(Murid!C815="","",Murid!C815)</f>
        <v/>
      </c>
      <c r="D815" s="15">
        <f>IF(Murid!E815="","",Murid!E815)</f>
        <v/>
      </c>
      <c r="E815" s="11" t="n"/>
      <c r="F815" s="10">
        <f>IF(E815="","",IFERROR(VLOOKUP(E815,T_PERK,2,FALSE),0))</f>
        <v/>
      </c>
      <c r="G815" s="11" t="n"/>
      <c r="H815" s="10">
        <f>IF(G815="","",IFERROR(VLOOKUP(G815,T_ANUG,2,FALSE),0))</f>
        <v/>
      </c>
      <c r="I815" s="11" t="n"/>
      <c r="J815" s="11" t="n"/>
      <c r="K815" s="11" t="n"/>
      <c r="L815" s="11" t="n"/>
      <c r="M815" s="11" t="n"/>
      <c r="N815" s="11" t="n"/>
      <c r="O815" s="11" t="n"/>
      <c r="P815" s="10">
        <f>IF(COUNTA(I815:O815)=0,"",MIN(10,SUM(I815:O815)))</f>
        <v/>
      </c>
      <c r="Q815" s="11" t="n"/>
      <c r="R815" s="10">
        <f>IF(Q815="","",IFERROR(VLOOKUP(Q815,T_NILAM,2,FALSE),0))</f>
        <v/>
      </c>
      <c r="S815" s="11" t="n"/>
      <c r="T815" s="10">
        <f>IF(S815="","",IFERROR(VLOOKUP(S815,T_TIMSS,2,FALSE),0))</f>
        <v/>
      </c>
      <c r="U815" s="19">
        <f>IF(COUNT(F815,H815,P815,R815,T815)=0,"",MIN(10,MAX(F815,H815,P815,R815,T815)))</f>
        <v/>
      </c>
      <c r="V815" s="11" t="n"/>
    </row>
    <row r="816">
      <c r="A816" s="15">
        <f>Murid!A816</f>
        <v/>
      </c>
      <c r="B816" s="15">
        <f>IF(Murid!B816="","",Murid!B816)</f>
        <v/>
      </c>
      <c r="C816" s="16">
        <f>IF(Murid!C816="","",Murid!C816)</f>
        <v/>
      </c>
      <c r="D816" s="15">
        <f>IF(Murid!E816="","",Murid!E816)</f>
        <v/>
      </c>
      <c r="E816" s="11" t="n"/>
      <c r="F816" s="10">
        <f>IF(E816="","",IFERROR(VLOOKUP(E816,T_PERK,2,FALSE),0))</f>
        <v/>
      </c>
      <c r="G816" s="11" t="n"/>
      <c r="H816" s="10">
        <f>IF(G816="","",IFERROR(VLOOKUP(G816,T_ANUG,2,FALSE),0))</f>
        <v/>
      </c>
      <c r="I816" s="11" t="n"/>
      <c r="J816" s="11" t="n"/>
      <c r="K816" s="11" t="n"/>
      <c r="L816" s="11" t="n"/>
      <c r="M816" s="11" t="n"/>
      <c r="N816" s="11" t="n"/>
      <c r="O816" s="11" t="n"/>
      <c r="P816" s="10">
        <f>IF(COUNTA(I816:O816)=0,"",MIN(10,SUM(I816:O816)))</f>
        <v/>
      </c>
      <c r="Q816" s="11" t="n"/>
      <c r="R816" s="10">
        <f>IF(Q816="","",IFERROR(VLOOKUP(Q816,T_NILAM,2,FALSE),0))</f>
        <v/>
      </c>
      <c r="S816" s="11" t="n"/>
      <c r="T816" s="10">
        <f>IF(S816="","",IFERROR(VLOOKUP(S816,T_TIMSS,2,FALSE),0))</f>
        <v/>
      </c>
      <c r="U816" s="19">
        <f>IF(COUNT(F816,H816,P816,R816,T816)=0,"",MIN(10,MAX(F816,H816,P816,R816,T816)))</f>
        <v/>
      </c>
      <c r="V816" s="11" t="n"/>
    </row>
    <row r="817">
      <c r="A817" s="15">
        <f>Murid!A817</f>
        <v/>
      </c>
      <c r="B817" s="15">
        <f>IF(Murid!B817="","",Murid!B817)</f>
        <v/>
      </c>
      <c r="C817" s="16">
        <f>IF(Murid!C817="","",Murid!C817)</f>
        <v/>
      </c>
      <c r="D817" s="15">
        <f>IF(Murid!E817="","",Murid!E817)</f>
        <v/>
      </c>
      <c r="E817" s="11" t="n"/>
      <c r="F817" s="10">
        <f>IF(E817="","",IFERROR(VLOOKUP(E817,T_PERK,2,FALSE),0))</f>
        <v/>
      </c>
      <c r="G817" s="11" t="n"/>
      <c r="H817" s="10">
        <f>IF(G817="","",IFERROR(VLOOKUP(G817,T_ANUG,2,FALSE),0))</f>
        <v/>
      </c>
      <c r="I817" s="11" t="n"/>
      <c r="J817" s="11" t="n"/>
      <c r="K817" s="11" t="n"/>
      <c r="L817" s="11" t="n"/>
      <c r="M817" s="11" t="n"/>
      <c r="N817" s="11" t="n"/>
      <c r="O817" s="11" t="n"/>
      <c r="P817" s="10">
        <f>IF(COUNTA(I817:O817)=0,"",MIN(10,SUM(I817:O817)))</f>
        <v/>
      </c>
      <c r="Q817" s="11" t="n"/>
      <c r="R817" s="10">
        <f>IF(Q817="","",IFERROR(VLOOKUP(Q817,T_NILAM,2,FALSE),0))</f>
        <v/>
      </c>
      <c r="S817" s="11" t="n"/>
      <c r="T817" s="10">
        <f>IF(S817="","",IFERROR(VLOOKUP(S817,T_TIMSS,2,FALSE),0))</f>
        <v/>
      </c>
      <c r="U817" s="19">
        <f>IF(COUNT(F817,H817,P817,R817,T817)=0,"",MIN(10,MAX(F817,H817,P817,R817,T817)))</f>
        <v/>
      </c>
      <c r="V817" s="11" t="n"/>
    </row>
    <row r="818">
      <c r="A818" s="15">
        <f>Murid!A818</f>
        <v/>
      </c>
      <c r="B818" s="15">
        <f>IF(Murid!B818="","",Murid!B818)</f>
        <v/>
      </c>
      <c r="C818" s="16">
        <f>IF(Murid!C818="","",Murid!C818)</f>
        <v/>
      </c>
      <c r="D818" s="15">
        <f>IF(Murid!E818="","",Murid!E818)</f>
        <v/>
      </c>
      <c r="E818" s="11" t="n"/>
      <c r="F818" s="10">
        <f>IF(E818="","",IFERROR(VLOOKUP(E818,T_PERK,2,FALSE),0))</f>
        <v/>
      </c>
      <c r="G818" s="11" t="n"/>
      <c r="H818" s="10">
        <f>IF(G818="","",IFERROR(VLOOKUP(G818,T_ANUG,2,FALSE),0))</f>
        <v/>
      </c>
      <c r="I818" s="11" t="n"/>
      <c r="J818" s="11" t="n"/>
      <c r="K818" s="11" t="n"/>
      <c r="L818" s="11" t="n"/>
      <c r="M818" s="11" t="n"/>
      <c r="N818" s="11" t="n"/>
      <c r="O818" s="11" t="n"/>
      <c r="P818" s="10">
        <f>IF(COUNTA(I818:O818)=0,"",MIN(10,SUM(I818:O818)))</f>
        <v/>
      </c>
      <c r="Q818" s="11" t="n"/>
      <c r="R818" s="10">
        <f>IF(Q818="","",IFERROR(VLOOKUP(Q818,T_NILAM,2,FALSE),0))</f>
        <v/>
      </c>
      <c r="S818" s="11" t="n"/>
      <c r="T818" s="10">
        <f>IF(S818="","",IFERROR(VLOOKUP(S818,T_TIMSS,2,FALSE),0))</f>
        <v/>
      </c>
      <c r="U818" s="19">
        <f>IF(COUNT(F818,H818,P818,R818,T818)=0,"",MIN(10,MAX(F818,H818,P818,R818,T818)))</f>
        <v/>
      </c>
      <c r="V818" s="11" t="n"/>
    </row>
    <row r="819">
      <c r="A819" s="15">
        <f>Murid!A819</f>
        <v/>
      </c>
      <c r="B819" s="15">
        <f>IF(Murid!B819="","",Murid!B819)</f>
        <v/>
      </c>
      <c r="C819" s="16">
        <f>IF(Murid!C819="","",Murid!C819)</f>
        <v/>
      </c>
      <c r="D819" s="15">
        <f>IF(Murid!E819="","",Murid!E819)</f>
        <v/>
      </c>
      <c r="E819" s="11" t="n"/>
      <c r="F819" s="10">
        <f>IF(E819="","",IFERROR(VLOOKUP(E819,T_PERK,2,FALSE),0))</f>
        <v/>
      </c>
      <c r="G819" s="11" t="n"/>
      <c r="H819" s="10">
        <f>IF(G819="","",IFERROR(VLOOKUP(G819,T_ANUG,2,FALSE),0))</f>
        <v/>
      </c>
      <c r="I819" s="11" t="n"/>
      <c r="J819" s="11" t="n"/>
      <c r="K819" s="11" t="n"/>
      <c r="L819" s="11" t="n"/>
      <c r="M819" s="11" t="n"/>
      <c r="N819" s="11" t="n"/>
      <c r="O819" s="11" t="n"/>
      <c r="P819" s="10">
        <f>IF(COUNTA(I819:O819)=0,"",MIN(10,SUM(I819:O819)))</f>
        <v/>
      </c>
      <c r="Q819" s="11" t="n"/>
      <c r="R819" s="10">
        <f>IF(Q819="","",IFERROR(VLOOKUP(Q819,T_NILAM,2,FALSE),0))</f>
        <v/>
      </c>
      <c r="S819" s="11" t="n"/>
      <c r="T819" s="10">
        <f>IF(S819="","",IFERROR(VLOOKUP(S819,T_TIMSS,2,FALSE),0))</f>
        <v/>
      </c>
      <c r="U819" s="19">
        <f>IF(COUNT(F819,H819,P819,R819,T819)=0,"",MIN(10,MAX(F819,H819,P819,R819,T819)))</f>
        <v/>
      </c>
      <c r="V819" s="11" t="n"/>
    </row>
    <row r="820">
      <c r="A820" s="15">
        <f>Murid!A820</f>
        <v/>
      </c>
      <c r="B820" s="15">
        <f>IF(Murid!B820="","",Murid!B820)</f>
        <v/>
      </c>
      <c r="C820" s="16">
        <f>IF(Murid!C820="","",Murid!C820)</f>
        <v/>
      </c>
      <c r="D820" s="15">
        <f>IF(Murid!E820="","",Murid!E820)</f>
        <v/>
      </c>
      <c r="E820" s="11" t="n"/>
      <c r="F820" s="10">
        <f>IF(E820="","",IFERROR(VLOOKUP(E820,T_PERK,2,FALSE),0))</f>
        <v/>
      </c>
      <c r="G820" s="11" t="n"/>
      <c r="H820" s="10">
        <f>IF(G820="","",IFERROR(VLOOKUP(G820,T_ANUG,2,FALSE),0))</f>
        <v/>
      </c>
      <c r="I820" s="11" t="n"/>
      <c r="J820" s="11" t="n"/>
      <c r="K820" s="11" t="n"/>
      <c r="L820" s="11" t="n"/>
      <c r="M820" s="11" t="n"/>
      <c r="N820" s="11" t="n"/>
      <c r="O820" s="11" t="n"/>
      <c r="P820" s="10">
        <f>IF(COUNTA(I820:O820)=0,"",MIN(10,SUM(I820:O820)))</f>
        <v/>
      </c>
      <c r="Q820" s="11" t="n"/>
      <c r="R820" s="10">
        <f>IF(Q820="","",IFERROR(VLOOKUP(Q820,T_NILAM,2,FALSE),0))</f>
        <v/>
      </c>
      <c r="S820" s="11" t="n"/>
      <c r="T820" s="10">
        <f>IF(S820="","",IFERROR(VLOOKUP(S820,T_TIMSS,2,FALSE),0))</f>
        <v/>
      </c>
      <c r="U820" s="19">
        <f>IF(COUNT(F820,H820,P820,R820,T820)=0,"",MIN(10,MAX(F820,H820,P820,R820,T820)))</f>
        <v/>
      </c>
      <c r="V820" s="11" t="n"/>
    </row>
    <row r="821">
      <c r="A821" s="15">
        <f>Murid!A821</f>
        <v/>
      </c>
      <c r="B821" s="15">
        <f>IF(Murid!B821="","",Murid!B821)</f>
        <v/>
      </c>
      <c r="C821" s="16">
        <f>IF(Murid!C821="","",Murid!C821)</f>
        <v/>
      </c>
      <c r="D821" s="15">
        <f>IF(Murid!E821="","",Murid!E821)</f>
        <v/>
      </c>
      <c r="E821" s="11" t="n"/>
      <c r="F821" s="10">
        <f>IF(E821="","",IFERROR(VLOOKUP(E821,T_PERK,2,FALSE),0))</f>
        <v/>
      </c>
      <c r="G821" s="11" t="n"/>
      <c r="H821" s="10">
        <f>IF(G821="","",IFERROR(VLOOKUP(G821,T_ANUG,2,FALSE),0))</f>
        <v/>
      </c>
      <c r="I821" s="11" t="n"/>
      <c r="J821" s="11" t="n"/>
      <c r="K821" s="11" t="n"/>
      <c r="L821" s="11" t="n"/>
      <c r="M821" s="11" t="n"/>
      <c r="N821" s="11" t="n"/>
      <c r="O821" s="11" t="n"/>
      <c r="P821" s="10">
        <f>IF(COUNTA(I821:O821)=0,"",MIN(10,SUM(I821:O821)))</f>
        <v/>
      </c>
      <c r="Q821" s="11" t="n"/>
      <c r="R821" s="10">
        <f>IF(Q821="","",IFERROR(VLOOKUP(Q821,T_NILAM,2,FALSE),0))</f>
        <v/>
      </c>
      <c r="S821" s="11" t="n"/>
      <c r="T821" s="10">
        <f>IF(S821="","",IFERROR(VLOOKUP(S821,T_TIMSS,2,FALSE),0))</f>
        <v/>
      </c>
      <c r="U821" s="19">
        <f>IF(COUNT(F821,H821,P821,R821,T821)=0,"",MIN(10,MAX(F821,H821,P821,R821,T821)))</f>
        <v/>
      </c>
      <c r="V821" s="11" t="n"/>
    </row>
    <row r="822">
      <c r="A822" s="15">
        <f>Murid!A822</f>
        <v/>
      </c>
      <c r="B822" s="15">
        <f>IF(Murid!B822="","",Murid!B822)</f>
        <v/>
      </c>
      <c r="C822" s="16">
        <f>IF(Murid!C822="","",Murid!C822)</f>
        <v/>
      </c>
      <c r="D822" s="15">
        <f>IF(Murid!E822="","",Murid!E822)</f>
        <v/>
      </c>
      <c r="E822" s="11" t="n"/>
      <c r="F822" s="10">
        <f>IF(E822="","",IFERROR(VLOOKUP(E822,T_PERK,2,FALSE),0))</f>
        <v/>
      </c>
      <c r="G822" s="11" t="n"/>
      <c r="H822" s="10">
        <f>IF(G822="","",IFERROR(VLOOKUP(G822,T_ANUG,2,FALSE),0))</f>
        <v/>
      </c>
      <c r="I822" s="11" t="n"/>
      <c r="J822" s="11" t="n"/>
      <c r="K822" s="11" t="n"/>
      <c r="L822" s="11" t="n"/>
      <c r="M822" s="11" t="n"/>
      <c r="N822" s="11" t="n"/>
      <c r="O822" s="11" t="n"/>
      <c r="P822" s="10">
        <f>IF(COUNTA(I822:O822)=0,"",MIN(10,SUM(I822:O822)))</f>
        <v/>
      </c>
      <c r="Q822" s="11" t="n"/>
      <c r="R822" s="10">
        <f>IF(Q822="","",IFERROR(VLOOKUP(Q822,T_NILAM,2,FALSE),0))</f>
        <v/>
      </c>
      <c r="S822" s="11" t="n"/>
      <c r="T822" s="10">
        <f>IF(S822="","",IFERROR(VLOOKUP(S822,T_TIMSS,2,FALSE),0))</f>
        <v/>
      </c>
      <c r="U822" s="19">
        <f>IF(COUNT(F822,H822,P822,R822,T822)=0,"",MIN(10,MAX(F822,H822,P822,R822,T822)))</f>
        <v/>
      </c>
      <c r="V822" s="11" t="n"/>
    </row>
    <row r="823">
      <c r="A823" s="15">
        <f>Murid!A823</f>
        <v/>
      </c>
      <c r="B823" s="15">
        <f>IF(Murid!B823="","",Murid!B823)</f>
        <v/>
      </c>
      <c r="C823" s="16">
        <f>IF(Murid!C823="","",Murid!C823)</f>
        <v/>
      </c>
      <c r="D823" s="15">
        <f>IF(Murid!E823="","",Murid!E823)</f>
        <v/>
      </c>
      <c r="E823" s="11" t="n"/>
      <c r="F823" s="10">
        <f>IF(E823="","",IFERROR(VLOOKUP(E823,T_PERK,2,FALSE),0))</f>
        <v/>
      </c>
      <c r="G823" s="11" t="n"/>
      <c r="H823" s="10">
        <f>IF(G823="","",IFERROR(VLOOKUP(G823,T_ANUG,2,FALSE),0))</f>
        <v/>
      </c>
      <c r="I823" s="11" t="n"/>
      <c r="J823" s="11" t="n"/>
      <c r="K823" s="11" t="n"/>
      <c r="L823" s="11" t="n"/>
      <c r="M823" s="11" t="n"/>
      <c r="N823" s="11" t="n"/>
      <c r="O823" s="11" t="n"/>
      <c r="P823" s="10">
        <f>IF(COUNTA(I823:O823)=0,"",MIN(10,SUM(I823:O823)))</f>
        <v/>
      </c>
      <c r="Q823" s="11" t="n"/>
      <c r="R823" s="10">
        <f>IF(Q823="","",IFERROR(VLOOKUP(Q823,T_NILAM,2,FALSE),0))</f>
        <v/>
      </c>
      <c r="S823" s="11" t="n"/>
      <c r="T823" s="10">
        <f>IF(S823="","",IFERROR(VLOOKUP(S823,T_TIMSS,2,FALSE),0))</f>
        <v/>
      </c>
      <c r="U823" s="19">
        <f>IF(COUNT(F823,H823,P823,R823,T823)=0,"",MIN(10,MAX(F823,H823,P823,R823,T823)))</f>
        <v/>
      </c>
      <c r="V823" s="11" t="n"/>
    </row>
    <row r="824">
      <c r="A824" s="15">
        <f>Murid!A824</f>
        <v/>
      </c>
      <c r="B824" s="15">
        <f>IF(Murid!B824="","",Murid!B824)</f>
        <v/>
      </c>
      <c r="C824" s="16">
        <f>IF(Murid!C824="","",Murid!C824)</f>
        <v/>
      </c>
      <c r="D824" s="15">
        <f>IF(Murid!E824="","",Murid!E824)</f>
        <v/>
      </c>
      <c r="E824" s="11" t="n"/>
      <c r="F824" s="10">
        <f>IF(E824="","",IFERROR(VLOOKUP(E824,T_PERK,2,FALSE),0))</f>
        <v/>
      </c>
      <c r="G824" s="11" t="n"/>
      <c r="H824" s="10">
        <f>IF(G824="","",IFERROR(VLOOKUP(G824,T_ANUG,2,FALSE),0))</f>
        <v/>
      </c>
      <c r="I824" s="11" t="n"/>
      <c r="J824" s="11" t="n"/>
      <c r="K824" s="11" t="n"/>
      <c r="L824" s="11" t="n"/>
      <c r="M824" s="11" t="n"/>
      <c r="N824" s="11" t="n"/>
      <c r="O824" s="11" t="n"/>
      <c r="P824" s="10">
        <f>IF(COUNTA(I824:O824)=0,"",MIN(10,SUM(I824:O824)))</f>
        <v/>
      </c>
      <c r="Q824" s="11" t="n"/>
      <c r="R824" s="10">
        <f>IF(Q824="","",IFERROR(VLOOKUP(Q824,T_NILAM,2,FALSE),0))</f>
        <v/>
      </c>
      <c r="S824" s="11" t="n"/>
      <c r="T824" s="10">
        <f>IF(S824="","",IFERROR(VLOOKUP(S824,T_TIMSS,2,FALSE),0))</f>
        <v/>
      </c>
      <c r="U824" s="19">
        <f>IF(COUNT(F824,H824,P824,R824,T824)=0,"",MIN(10,MAX(F824,H824,P824,R824,T824)))</f>
        <v/>
      </c>
      <c r="V824" s="11" t="n"/>
    </row>
    <row r="825">
      <c r="A825" s="15">
        <f>Murid!A825</f>
        <v/>
      </c>
      <c r="B825" s="15">
        <f>IF(Murid!B825="","",Murid!B825)</f>
        <v/>
      </c>
      <c r="C825" s="16">
        <f>IF(Murid!C825="","",Murid!C825)</f>
        <v/>
      </c>
      <c r="D825" s="15">
        <f>IF(Murid!E825="","",Murid!E825)</f>
        <v/>
      </c>
      <c r="E825" s="11" t="n"/>
      <c r="F825" s="10">
        <f>IF(E825="","",IFERROR(VLOOKUP(E825,T_PERK,2,FALSE),0))</f>
        <v/>
      </c>
      <c r="G825" s="11" t="n"/>
      <c r="H825" s="10">
        <f>IF(G825="","",IFERROR(VLOOKUP(G825,T_ANUG,2,FALSE),0))</f>
        <v/>
      </c>
      <c r="I825" s="11" t="n"/>
      <c r="J825" s="11" t="n"/>
      <c r="K825" s="11" t="n"/>
      <c r="L825" s="11" t="n"/>
      <c r="M825" s="11" t="n"/>
      <c r="N825" s="11" t="n"/>
      <c r="O825" s="11" t="n"/>
      <c r="P825" s="10">
        <f>IF(COUNTA(I825:O825)=0,"",MIN(10,SUM(I825:O825)))</f>
        <v/>
      </c>
      <c r="Q825" s="11" t="n"/>
      <c r="R825" s="10">
        <f>IF(Q825="","",IFERROR(VLOOKUP(Q825,T_NILAM,2,FALSE),0))</f>
        <v/>
      </c>
      <c r="S825" s="11" t="n"/>
      <c r="T825" s="10">
        <f>IF(S825="","",IFERROR(VLOOKUP(S825,T_TIMSS,2,FALSE),0))</f>
        <v/>
      </c>
      <c r="U825" s="19">
        <f>IF(COUNT(F825,H825,P825,R825,T825)=0,"",MIN(10,MAX(F825,H825,P825,R825,T825)))</f>
        <v/>
      </c>
      <c r="V825" s="11" t="n"/>
    </row>
    <row r="826">
      <c r="A826" s="15">
        <f>Murid!A826</f>
        <v/>
      </c>
      <c r="B826" s="15">
        <f>IF(Murid!B826="","",Murid!B826)</f>
        <v/>
      </c>
      <c r="C826" s="16">
        <f>IF(Murid!C826="","",Murid!C826)</f>
        <v/>
      </c>
      <c r="D826" s="15">
        <f>IF(Murid!E826="","",Murid!E826)</f>
        <v/>
      </c>
      <c r="E826" s="11" t="n"/>
      <c r="F826" s="10">
        <f>IF(E826="","",IFERROR(VLOOKUP(E826,T_PERK,2,FALSE),0))</f>
        <v/>
      </c>
      <c r="G826" s="11" t="n"/>
      <c r="H826" s="10">
        <f>IF(G826="","",IFERROR(VLOOKUP(G826,T_ANUG,2,FALSE),0))</f>
        <v/>
      </c>
      <c r="I826" s="11" t="n"/>
      <c r="J826" s="11" t="n"/>
      <c r="K826" s="11" t="n"/>
      <c r="L826" s="11" t="n"/>
      <c r="M826" s="11" t="n"/>
      <c r="N826" s="11" t="n"/>
      <c r="O826" s="11" t="n"/>
      <c r="P826" s="10">
        <f>IF(COUNTA(I826:O826)=0,"",MIN(10,SUM(I826:O826)))</f>
        <v/>
      </c>
      <c r="Q826" s="11" t="n"/>
      <c r="R826" s="10">
        <f>IF(Q826="","",IFERROR(VLOOKUP(Q826,T_NILAM,2,FALSE),0))</f>
        <v/>
      </c>
      <c r="S826" s="11" t="n"/>
      <c r="T826" s="10">
        <f>IF(S826="","",IFERROR(VLOOKUP(S826,T_TIMSS,2,FALSE),0))</f>
        <v/>
      </c>
      <c r="U826" s="19">
        <f>IF(COUNT(F826,H826,P826,R826,T826)=0,"",MIN(10,MAX(F826,H826,P826,R826,T826)))</f>
        <v/>
      </c>
      <c r="V826" s="11" t="n"/>
    </row>
    <row r="827">
      <c r="A827" s="15">
        <f>Murid!A827</f>
        <v/>
      </c>
      <c r="B827" s="15">
        <f>IF(Murid!B827="","",Murid!B827)</f>
        <v/>
      </c>
      <c r="C827" s="16">
        <f>IF(Murid!C827="","",Murid!C827)</f>
        <v/>
      </c>
      <c r="D827" s="15">
        <f>IF(Murid!E827="","",Murid!E827)</f>
        <v/>
      </c>
      <c r="E827" s="11" t="n"/>
      <c r="F827" s="10">
        <f>IF(E827="","",IFERROR(VLOOKUP(E827,T_PERK,2,FALSE),0))</f>
        <v/>
      </c>
      <c r="G827" s="11" t="n"/>
      <c r="H827" s="10">
        <f>IF(G827="","",IFERROR(VLOOKUP(G827,T_ANUG,2,FALSE),0))</f>
        <v/>
      </c>
      <c r="I827" s="11" t="n"/>
      <c r="J827" s="11" t="n"/>
      <c r="K827" s="11" t="n"/>
      <c r="L827" s="11" t="n"/>
      <c r="M827" s="11" t="n"/>
      <c r="N827" s="11" t="n"/>
      <c r="O827" s="11" t="n"/>
      <c r="P827" s="10">
        <f>IF(COUNTA(I827:O827)=0,"",MIN(10,SUM(I827:O827)))</f>
        <v/>
      </c>
      <c r="Q827" s="11" t="n"/>
      <c r="R827" s="10">
        <f>IF(Q827="","",IFERROR(VLOOKUP(Q827,T_NILAM,2,FALSE),0))</f>
        <v/>
      </c>
      <c r="S827" s="11" t="n"/>
      <c r="T827" s="10">
        <f>IF(S827="","",IFERROR(VLOOKUP(S827,T_TIMSS,2,FALSE),0))</f>
        <v/>
      </c>
      <c r="U827" s="19">
        <f>IF(COUNT(F827,H827,P827,R827,T827)=0,"",MIN(10,MAX(F827,H827,P827,R827,T827)))</f>
        <v/>
      </c>
      <c r="V827" s="11" t="n"/>
    </row>
    <row r="828">
      <c r="A828" s="15">
        <f>Murid!A828</f>
        <v/>
      </c>
      <c r="B828" s="15">
        <f>IF(Murid!B828="","",Murid!B828)</f>
        <v/>
      </c>
      <c r="C828" s="16">
        <f>IF(Murid!C828="","",Murid!C828)</f>
        <v/>
      </c>
      <c r="D828" s="15">
        <f>IF(Murid!E828="","",Murid!E828)</f>
        <v/>
      </c>
      <c r="E828" s="11" t="n"/>
      <c r="F828" s="10">
        <f>IF(E828="","",IFERROR(VLOOKUP(E828,T_PERK,2,FALSE),0))</f>
        <v/>
      </c>
      <c r="G828" s="11" t="n"/>
      <c r="H828" s="10">
        <f>IF(G828="","",IFERROR(VLOOKUP(G828,T_ANUG,2,FALSE),0))</f>
        <v/>
      </c>
      <c r="I828" s="11" t="n"/>
      <c r="J828" s="11" t="n"/>
      <c r="K828" s="11" t="n"/>
      <c r="L828" s="11" t="n"/>
      <c r="M828" s="11" t="n"/>
      <c r="N828" s="11" t="n"/>
      <c r="O828" s="11" t="n"/>
      <c r="P828" s="10">
        <f>IF(COUNTA(I828:O828)=0,"",MIN(10,SUM(I828:O828)))</f>
        <v/>
      </c>
      <c r="Q828" s="11" t="n"/>
      <c r="R828" s="10">
        <f>IF(Q828="","",IFERROR(VLOOKUP(Q828,T_NILAM,2,FALSE),0))</f>
        <v/>
      </c>
      <c r="S828" s="11" t="n"/>
      <c r="T828" s="10">
        <f>IF(S828="","",IFERROR(VLOOKUP(S828,T_TIMSS,2,FALSE),0))</f>
        <v/>
      </c>
      <c r="U828" s="19">
        <f>IF(COUNT(F828,H828,P828,R828,T828)=0,"",MIN(10,MAX(F828,H828,P828,R828,T828)))</f>
        <v/>
      </c>
      <c r="V828" s="11" t="n"/>
    </row>
    <row r="829">
      <c r="A829" s="15">
        <f>Murid!A829</f>
        <v/>
      </c>
      <c r="B829" s="15">
        <f>IF(Murid!B829="","",Murid!B829)</f>
        <v/>
      </c>
      <c r="C829" s="16">
        <f>IF(Murid!C829="","",Murid!C829)</f>
        <v/>
      </c>
      <c r="D829" s="15">
        <f>IF(Murid!E829="","",Murid!E829)</f>
        <v/>
      </c>
      <c r="E829" s="11" t="n"/>
      <c r="F829" s="10">
        <f>IF(E829="","",IFERROR(VLOOKUP(E829,T_PERK,2,FALSE),0))</f>
        <v/>
      </c>
      <c r="G829" s="11" t="n"/>
      <c r="H829" s="10">
        <f>IF(G829="","",IFERROR(VLOOKUP(G829,T_ANUG,2,FALSE),0))</f>
        <v/>
      </c>
      <c r="I829" s="11" t="n"/>
      <c r="J829" s="11" t="n"/>
      <c r="K829" s="11" t="n"/>
      <c r="L829" s="11" t="n"/>
      <c r="M829" s="11" t="n"/>
      <c r="N829" s="11" t="n"/>
      <c r="O829" s="11" t="n"/>
      <c r="P829" s="10">
        <f>IF(COUNTA(I829:O829)=0,"",MIN(10,SUM(I829:O829)))</f>
        <v/>
      </c>
      <c r="Q829" s="11" t="n"/>
      <c r="R829" s="10">
        <f>IF(Q829="","",IFERROR(VLOOKUP(Q829,T_NILAM,2,FALSE),0))</f>
        <v/>
      </c>
      <c r="S829" s="11" t="n"/>
      <c r="T829" s="10">
        <f>IF(S829="","",IFERROR(VLOOKUP(S829,T_TIMSS,2,FALSE),0))</f>
        <v/>
      </c>
      <c r="U829" s="19">
        <f>IF(COUNT(F829,H829,P829,R829,T829)=0,"",MIN(10,MAX(F829,H829,P829,R829,T829)))</f>
        <v/>
      </c>
      <c r="V829" s="11" t="n"/>
    </row>
    <row r="830">
      <c r="A830" s="15">
        <f>Murid!A830</f>
        <v/>
      </c>
      <c r="B830" s="15">
        <f>IF(Murid!B830="","",Murid!B830)</f>
        <v/>
      </c>
      <c r="C830" s="16">
        <f>IF(Murid!C830="","",Murid!C830)</f>
        <v/>
      </c>
      <c r="D830" s="15">
        <f>IF(Murid!E830="","",Murid!E830)</f>
        <v/>
      </c>
      <c r="E830" s="11" t="n"/>
      <c r="F830" s="10">
        <f>IF(E830="","",IFERROR(VLOOKUP(E830,T_PERK,2,FALSE),0))</f>
        <v/>
      </c>
      <c r="G830" s="11" t="n"/>
      <c r="H830" s="10">
        <f>IF(G830="","",IFERROR(VLOOKUP(G830,T_ANUG,2,FALSE),0))</f>
        <v/>
      </c>
      <c r="I830" s="11" t="n"/>
      <c r="J830" s="11" t="n"/>
      <c r="K830" s="11" t="n"/>
      <c r="L830" s="11" t="n"/>
      <c r="M830" s="11" t="n"/>
      <c r="N830" s="11" t="n"/>
      <c r="O830" s="11" t="n"/>
      <c r="P830" s="10">
        <f>IF(COUNTA(I830:O830)=0,"",MIN(10,SUM(I830:O830)))</f>
        <v/>
      </c>
      <c r="Q830" s="11" t="n"/>
      <c r="R830" s="10">
        <f>IF(Q830="","",IFERROR(VLOOKUP(Q830,T_NILAM,2,FALSE),0))</f>
        <v/>
      </c>
      <c r="S830" s="11" t="n"/>
      <c r="T830" s="10">
        <f>IF(S830="","",IFERROR(VLOOKUP(S830,T_TIMSS,2,FALSE),0))</f>
        <v/>
      </c>
      <c r="U830" s="19">
        <f>IF(COUNT(F830,H830,P830,R830,T830)=0,"",MIN(10,MAX(F830,H830,P830,R830,T830)))</f>
        <v/>
      </c>
      <c r="V830" s="11" t="n"/>
    </row>
    <row r="831">
      <c r="A831" s="15">
        <f>Murid!A831</f>
        <v/>
      </c>
      <c r="B831" s="15">
        <f>IF(Murid!B831="","",Murid!B831)</f>
        <v/>
      </c>
      <c r="C831" s="16">
        <f>IF(Murid!C831="","",Murid!C831)</f>
        <v/>
      </c>
      <c r="D831" s="15">
        <f>IF(Murid!E831="","",Murid!E831)</f>
        <v/>
      </c>
      <c r="E831" s="11" t="n"/>
      <c r="F831" s="10">
        <f>IF(E831="","",IFERROR(VLOOKUP(E831,T_PERK,2,FALSE),0))</f>
        <v/>
      </c>
      <c r="G831" s="11" t="n"/>
      <c r="H831" s="10">
        <f>IF(G831="","",IFERROR(VLOOKUP(G831,T_ANUG,2,FALSE),0))</f>
        <v/>
      </c>
      <c r="I831" s="11" t="n"/>
      <c r="J831" s="11" t="n"/>
      <c r="K831" s="11" t="n"/>
      <c r="L831" s="11" t="n"/>
      <c r="M831" s="11" t="n"/>
      <c r="N831" s="11" t="n"/>
      <c r="O831" s="11" t="n"/>
      <c r="P831" s="10">
        <f>IF(COUNTA(I831:O831)=0,"",MIN(10,SUM(I831:O831)))</f>
        <v/>
      </c>
      <c r="Q831" s="11" t="n"/>
      <c r="R831" s="10">
        <f>IF(Q831="","",IFERROR(VLOOKUP(Q831,T_NILAM,2,FALSE),0))</f>
        <v/>
      </c>
      <c r="S831" s="11" t="n"/>
      <c r="T831" s="10">
        <f>IF(S831="","",IFERROR(VLOOKUP(S831,T_TIMSS,2,FALSE),0))</f>
        <v/>
      </c>
      <c r="U831" s="19">
        <f>IF(COUNT(F831,H831,P831,R831,T831)=0,"",MIN(10,MAX(F831,H831,P831,R831,T831)))</f>
        <v/>
      </c>
      <c r="V831" s="11" t="n"/>
    </row>
    <row r="832">
      <c r="A832" s="15">
        <f>Murid!A832</f>
        <v/>
      </c>
      <c r="B832" s="15">
        <f>IF(Murid!B832="","",Murid!B832)</f>
        <v/>
      </c>
      <c r="C832" s="16">
        <f>IF(Murid!C832="","",Murid!C832)</f>
        <v/>
      </c>
      <c r="D832" s="15">
        <f>IF(Murid!E832="","",Murid!E832)</f>
        <v/>
      </c>
      <c r="E832" s="11" t="n"/>
      <c r="F832" s="10">
        <f>IF(E832="","",IFERROR(VLOOKUP(E832,T_PERK,2,FALSE),0))</f>
        <v/>
      </c>
      <c r="G832" s="11" t="n"/>
      <c r="H832" s="10">
        <f>IF(G832="","",IFERROR(VLOOKUP(G832,T_ANUG,2,FALSE),0))</f>
        <v/>
      </c>
      <c r="I832" s="11" t="n"/>
      <c r="J832" s="11" t="n"/>
      <c r="K832" s="11" t="n"/>
      <c r="L832" s="11" t="n"/>
      <c r="M832" s="11" t="n"/>
      <c r="N832" s="11" t="n"/>
      <c r="O832" s="11" t="n"/>
      <c r="P832" s="10">
        <f>IF(COUNTA(I832:O832)=0,"",MIN(10,SUM(I832:O832)))</f>
        <v/>
      </c>
      <c r="Q832" s="11" t="n"/>
      <c r="R832" s="10">
        <f>IF(Q832="","",IFERROR(VLOOKUP(Q832,T_NILAM,2,FALSE),0))</f>
        <v/>
      </c>
      <c r="S832" s="11" t="n"/>
      <c r="T832" s="10">
        <f>IF(S832="","",IFERROR(VLOOKUP(S832,T_TIMSS,2,FALSE),0))</f>
        <v/>
      </c>
      <c r="U832" s="19">
        <f>IF(COUNT(F832,H832,P832,R832,T832)=0,"",MIN(10,MAX(F832,H832,P832,R832,T832)))</f>
        <v/>
      </c>
      <c r="V832" s="11" t="n"/>
    </row>
    <row r="833">
      <c r="A833" s="15">
        <f>Murid!A833</f>
        <v/>
      </c>
      <c r="B833" s="15">
        <f>IF(Murid!B833="","",Murid!B833)</f>
        <v/>
      </c>
      <c r="C833" s="16">
        <f>IF(Murid!C833="","",Murid!C833)</f>
        <v/>
      </c>
      <c r="D833" s="15">
        <f>IF(Murid!E833="","",Murid!E833)</f>
        <v/>
      </c>
      <c r="E833" s="11" t="n"/>
      <c r="F833" s="10">
        <f>IF(E833="","",IFERROR(VLOOKUP(E833,T_PERK,2,FALSE),0))</f>
        <v/>
      </c>
      <c r="G833" s="11" t="n"/>
      <c r="H833" s="10">
        <f>IF(G833="","",IFERROR(VLOOKUP(G833,T_ANUG,2,FALSE),0))</f>
        <v/>
      </c>
      <c r="I833" s="11" t="n"/>
      <c r="J833" s="11" t="n"/>
      <c r="K833" s="11" t="n"/>
      <c r="L833" s="11" t="n"/>
      <c r="M833" s="11" t="n"/>
      <c r="N833" s="11" t="n"/>
      <c r="O833" s="11" t="n"/>
      <c r="P833" s="10">
        <f>IF(COUNTA(I833:O833)=0,"",MIN(10,SUM(I833:O833)))</f>
        <v/>
      </c>
      <c r="Q833" s="11" t="n"/>
      <c r="R833" s="10">
        <f>IF(Q833="","",IFERROR(VLOOKUP(Q833,T_NILAM,2,FALSE),0))</f>
        <v/>
      </c>
      <c r="S833" s="11" t="n"/>
      <c r="T833" s="10">
        <f>IF(S833="","",IFERROR(VLOOKUP(S833,T_TIMSS,2,FALSE),0))</f>
        <v/>
      </c>
      <c r="U833" s="19">
        <f>IF(COUNT(F833,H833,P833,R833,T833)=0,"",MIN(10,MAX(F833,H833,P833,R833,T833)))</f>
        <v/>
      </c>
      <c r="V833" s="11" t="n"/>
    </row>
    <row r="834">
      <c r="A834" s="15">
        <f>Murid!A834</f>
        <v/>
      </c>
      <c r="B834" s="15">
        <f>IF(Murid!B834="","",Murid!B834)</f>
        <v/>
      </c>
      <c r="C834" s="16">
        <f>IF(Murid!C834="","",Murid!C834)</f>
        <v/>
      </c>
      <c r="D834" s="15">
        <f>IF(Murid!E834="","",Murid!E834)</f>
        <v/>
      </c>
      <c r="E834" s="11" t="n"/>
      <c r="F834" s="10">
        <f>IF(E834="","",IFERROR(VLOOKUP(E834,T_PERK,2,FALSE),0))</f>
        <v/>
      </c>
      <c r="G834" s="11" t="n"/>
      <c r="H834" s="10">
        <f>IF(G834="","",IFERROR(VLOOKUP(G834,T_ANUG,2,FALSE),0))</f>
        <v/>
      </c>
      <c r="I834" s="11" t="n"/>
      <c r="J834" s="11" t="n"/>
      <c r="K834" s="11" t="n"/>
      <c r="L834" s="11" t="n"/>
      <c r="M834" s="11" t="n"/>
      <c r="N834" s="11" t="n"/>
      <c r="O834" s="11" t="n"/>
      <c r="P834" s="10">
        <f>IF(COUNTA(I834:O834)=0,"",MIN(10,SUM(I834:O834)))</f>
        <v/>
      </c>
      <c r="Q834" s="11" t="n"/>
      <c r="R834" s="10">
        <f>IF(Q834="","",IFERROR(VLOOKUP(Q834,T_NILAM,2,FALSE),0))</f>
        <v/>
      </c>
      <c r="S834" s="11" t="n"/>
      <c r="T834" s="10">
        <f>IF(S834="","",IFERROR(VLOOKUP(S834,T_TIMSS,2,FALSE),0))</f>
        <v/>
      </c>
      <c r="U834" s="19">
        <f>IF(COUNT(F834,H834,P834,R834,T834)=0,"",MIN(10,MAX(F834,H834,P834,R834,T834)))</f>
        <v/>
      </c>
      <c r="V834" s="11" t="n"/>
    </row>
    <row r="835">
      <c r="A835" s="15">
        <f>Murid!A835</f>
        <v/>
      </c>
      <c r="B835" s="15">
        <f>IF(Murid!B835="","",Murid!B835)</f>
        <v/>
      </c>
      <c r="C835" s="16">
        <f>IF(Murid!C835="","",Murid!C835)</f>
        <v/>
      </c>
      <c r="D835" s="15">
        <f>IF(Murid!E835="","",Murid!E835)</f>
        <v/>
      </c>
      <c r="E835" s="11" t="n"/>
      <c r="F835" s="10">
        <f>IF(E835="","",IFERROR(VLOOKUP(E835,T_PERK,2,FALSE),0))</f>
        <v/>
      </c>
      <c r="G835" s="11" t="n"/>
      <c r="H835" s="10">
        <f>IF(G835="","",IFERROR(VLOOKUP(G835,T_ANUG,2,FALSE),0))</f>
        <v/>
      </c>
      <c r="I835" s="11" t="n"/>
      <c r="J835" s="11" t="n"/>
      <c r="K835" s="11" t="n"/>
      <c r="L835" s="11" t="n"/>
      <c r="M835" s="11" t="n"/>
      <c r="N835" s="11" t="n"/>
      <c r="O835" s="11" t="n"/>
      <c r="P835" s="10">
        <f>IF(COUNTA(I835:O835)=0,"",MIN(10,SUM(I835:O835)))</f>
        <v/>
      </c>
      <c r="Q835" s="11" t="n"/>
      <c r="R835" s="10">
        <f>IF(Q835="","",IFERROR(VLOOKUP(Q835,T_NILAM,2,FALSE),0))</f>
        <v/>
      </c>
      <c r="S835" s="11" t="n"/>
      <c r="T835" s="10">
        <f>IF(S835="","",IFERROR(VLOOKUP(S835,T_TIMSS,2,FALSE),0))</f>
        <v/>
      </c>
      <c r="U835" s="19">
        <f>IF(COUNT(F835,H835,P835,R835,T835)=0,"",MIN(10,MAX(F835,H835,P835,R835,T835)))</f>
        <v/>
      </c>
      <c r="V835" s="11" t="n"/>
    </row>
    <row r="836">
      <c r="A836" s="15">
        <f>Murid!A836</f>
        <v/>
      </c>
      <c r="B836" s="15">
        <f>IF(Murid!B836="","",Murid!B836)</f>
        <v/>
      </c>
      <c r="C836" s="16">
        <f>IF(Murid!C836="","",Murid!C836)</f>
        <v/>
      </c>
      <c r="D836" s="15">
        <f>IF(Murid!E836="","",Murid!E836)</f>
        <v/>
      </c>
      <c r="E836" s="11" t="n"/>
      <c r="F836" s="10">
        <f>IF(E836="","",IFERROR(VLOOKUP(E836,T_PERK,2,FALSE),0))</f>
        <v/>
      </c>
      <c r="G836" s="11" t="n"/>
      <c r="H836" s="10">
        <f>IF(G836="","",IFERROR(VLOOKUP(G836,T_ANUG,2,FALSE),0))</f>
        <v/>
      </c>
      <c r="I836" s="11" t="n"/>
      <c r="J836" s="11" t="n"/>
      <c r="K836" s="11" t="n"/>
      <c r="L836" s="11" t="n"/>
      <c r="M836" s="11" t="n"/>
      <c r="N836" s="11" t="n"/>
      <c r="O836" s="11" t="n"/>
      <c r="P836" s="10">
        <f>IF(COUNTA(I836:O836)=0,"",MIN(10,SUM(I836:O836)))</f>
        <v/>
      </c>
      <c r="Q836" s="11" t="n"/>
      <c r="R836" s="10">
        <f>IF(Q836="","",IFERROR(VLOOKUP(Q836,T_NILAM,2,FALSE),0))</f>
        <v/>
      </c>
      <c r="S836" s="11" t="n"/>
      <c r="T836" s="10">
        <f>IF(S836="","",IFERROR(VLOOKUP(S836,T_TIMSS,2,FALSE),0))</f>
        <v/>
      </c>
      <c r="U836" s="19">
        <f>IF(COUNT(F836,H836,P836,R836,T836)=0,"",MIN(10,MAX(F836,H836,P836,R836,T836)))</f>
        <v/>
      </c>
      <c r="V836" s="11" t="n"/>
    </row>
    <row r="837">
      <c r="A837" s="15">
        <f>Murid!A837</f>
        <v/>
      </c>
      <c r="B837" s="15">
        <f>IF(Murid!B837="","",Murid!B837)</f>
        <v/>
      </c>
      <c r="C837" s="16">
        <f>IF(Murid!C837="","",Murid!C837)</f>
        <v/>
      </c>
      <c r="D837" s="15">
        <f>IF(Murid!E837="","",Murid!E837)</f>
        <v/>
      </c>
      <c r="E837" s="11" t="n"/>
      <c r="F837" s="10">
        <f>IF(E837="","",IFERROR(VLOOKUP(E837,T_PERK,2,FALSE),0))</f>
        <v/>
      </c>
      <c r="G837" s="11" t="n"/>
      <c r="H837" s="10">
        <f>IF(G837="","",IFERROR(VLOOKUP(G837,T_ANUG,2,FALSE),0))</f>
        <v/>
      </c>
      <c r="I837" s="11" t="n"/>
      <c r="J837" s="11" t="n"/>
      <c r="K837" s="11" t="n"/>
      <c r="L837" s="11" t="n"/>
      <c r="M837" s="11" t="n"/>
      <c r="N837" s="11" t="n"/>
      <c r="O837" s="11" t="n"/>
      <c r="P837" s="10">
        <f>IF(COUNTA(I837:O837)=0,"",MIN(10,SUM(I837:O837)))</f>
        <v/>
      </c>
      <c r="Q837" s="11" t="n"/>
      <c r="R837" s="10">
        <f>IF(Q837="","",IFERROR(VLOOKUP(Q837,T_NILAM,2,FALSE),0))</f>
        <v/>
      </c>
      <c r="S837" s="11" t="n"/>
      <c r="T837" s="10">
        <f>IF(S837="","",IFERROR(VLOOKUP(S837,T_TIMSS,2,FALSE),0))</f>
        <v/>
      </c>
      <c r="U837" s="19">
        <f>IF(COUNT(F837,H837,P837,R837,T837)=0,"",MIN(10,MAX(F837,H837,P837,R837,T837)))</f>
        <v/>
      </c>
      <c r="V837" s="11" t="n"/>
    </row>
    <row r="838">
      <c r="A838" s="15">
        <f>Murid!A838</f>
        <v/>
      </c>
      <c r="B838" s="15">
        <f>IF(Murid!B838="","",Murid!B838)</f>
        <v/>
      </c>
      <c r="C838" s="16">
        <f>IF(Murid!C838="","",Murid!C838)</f>
        <v/>
      </c>
      <c r="D838" s="15">
        <f>IF(Murid!E838="","",Murid!E838)</f>
        <v/>
      </c>
      <c r="E838" s="11" t="n"/>
      <c r="F838" s="10">
        <f>IF(E838="","",IFERROR(VLOOKUP(E838,T_PERK,2,FALSE),0))</f>
        <v/>
      </c>
      <c r="G838" s="11" t="n"/>
      <c r="H838" s="10">
        <f>IF(G838="","",IFERROR(VLOOKUP(G838,T_ANUG,2,FALSE),0))</f>
        <v/>
      </c>
      <c r="I838" s="11" t="n"/>
      <c r="J838" s="11" t="n"/>
      <c r="K838" s="11" t="n"/>
      <c r="L838" s="11" t="n"/>
      <c r="M838" s="11" t="n"/>
      <c r="N838" s="11" t="n"/>
      <c r="O838" s="11" t="n"/>
      <c r="P838" s="10">
        <f>IF(COUNTA(I838:O838)=0,"",MIN(10,SUM(I838:O838)))</f>
        <v/>
      </c>
      <c r="Q838" s="11" t="n"/>
      <c r="R838" s="10">
        <f>IF(Q838="","",IFERROR(VLOOKUP(Q838,T_NILAM,2,FALSE),0))</f>
        <v/>
      </c>
      <c r="S838" s="11" t="n"/>
      <c r="T838" s="10">
        <f>IF(S838="","",IFERROR(VLOOKUP(S838,T_TIMSS,2,FALSE),0))</f>
        <v/>
      </c>
      <c r="U838" s="19">
        <f>IF(COUNT(F838,H838,P838,R838,T838)=0,"",MIN(10,MAX(F838,H838,P838,R838,T838)))</f>
        <v/>
      </c>
      <c r="V838" s="11" t="n"/>
    </row>
    <row r="839">
      <c r="A839" s="15">
        <f>Murid!A839</f>
        <v/>
      </c>
      <c r="B839" s="15">
        <f>IF(Murid!B839="","",Murid!B839)</f>
        <v/>
      </c>
      <c r="C839" s="16">
        <f>IF(Murid!C839="","",Murid!C839)</f>
        <v/>
      </c>
      <c r="D839" s="15">
        <f>IF(Murid!E839="","",Murid!E839)</f>
        <v/>
      </c>
      <c r="E839" s="11" t="n"/>
      <c r="F839" s="10">
        <f>IF(E839="","",IFERROR(VLOOKUP(E839,T_PERK,2,FALSE),0))</f>
        <v/>
      </c>
      <c r="G839" s="11" t="n"/>
      <c r="H839" s="10">
        <f>IF(G839="","",IFERROR(VLOOKUP(G839,T_ANUG,2,FALSE),0))</f>
        <v/>
      </c>
      <c r="I839" s="11" t="n"/>
      <c r="J839" s="11" t="n"/>
      <c r="K839" s="11" t="n"/>
      <c r="L839" s="11" t="n"/>
      <c r="M839" s="11" t="n"/>
      <c r="N839" s="11" t="n"/>
      <c r="O839" s="11" t="n"/>
      <c r="P839" s="10">
        <f>IF(COUNTA(I839:O839)=0,"",MIN(10,SUM(I839:O839)))</f>
        <v/>
      </c>
      <c r="Q839" s="11" t="n"/>
      <c r="R839" s="10">
        <f>IF(Q839="","",IFERROR(VLOOKUP(Q839,T_NILAM,2,FALSE),0))</f>
        <v/>
      </c>
      <c r="S839" s="11" t="n"/>
      <c r="T839" s="10">
        <f>IF(S839="","",IFERROR(VLOOKUP(S839,T_TIMSS,2,FALSE),0))</f>
        <v/>
      </c>
      <c r="U839" s="19">
        <f>IF(COUNT(F839,H839,P839,R839,T839)=0,"",MIN(10,MAX(F839,H839,P839,R839,T839)))</f>
        <v/>
      </c>
      <c r="V839" s="11" t="n"/>
    </row>
    <row r="840">
      <c r="A840" s="15">
        <f>Murid!A840</f>
        <v/>
      </c>
      <c r="B840" s="15">
        <f>IF(Murid!B840="","",Murid!B840)</f>
        <v/>
      </c>
      <c r="C840" s="16">
        <f>IF(Murid!C840="","",Murid!C840)</f>
        <v/>
      </c>
      <c r="D840" s="15">
        <f>IF(Murid!E840="","",Murid!E840)</f>
        <v/>
      </c>
      <c r="E840" s="11" t="n"/>
      <c r="F840" s="10">
        <f>IF(E840="","",IFERROR(VLOOKUP(E840,T_PERK,2,FALSE),0))</f>
        <v/>
      </c>
      <c r="G840" s="11" t="n"/>
      <c r="H840" s="10">
        <f>IF(G840="","",IFERROR(VLOOKUP(G840,T_ANUG,2,FALSE),0))</f>
        <v/>
      </c>
      <c r="I840" s="11" t="n"/>
      <c r="J840" s="11" t="n"/>
      <c r="K840" s="11" t="n"/>
      <c r="L840" s="11" t="n"/>
      <c r="M840" s="11" t="n"/>
      <c r="N840" s="11" t="n"/>
      <c r="O840" s="11" t="n"/>
      <c r="P840" s="10">
        <f>IF(COUNTA(I840:O840)=0,"",MIN(10,SUM(I840:O840)))</f>
        <v/>
      </c>
      <c r="Q840" s="11" t="n"/>
      <c r="R840" s="10">
        <f>IF(Q840="","",IFERROR(VLOOKUP(Q840,T_NILAM,2,FALSE),0))</f>
        <v/>
      </c>
      <c r="S840" s="11" t="n"/>
      <c r="T840" s="10">
        <f>IF(S840="","",IFERROR(VLOOKUP(S840,T_TIMSS,2,FALSE),0))</f>
        <v/>
      </c>
      <c r="U840" s="19">
        <f>IF(COUNT(F840,H840,P840,R840,T840)=0,"",MIN(10,MAX(F840,H840,P840,R840,T840)))</f>
        <v/>
      </c>
      <c r="V840" s="11" t="n"/>
    </row>
    <row r="841">
      <c r="A841" s="15">
        <f>Murid!A841</f>
        <v/>
      </c>
      <c r="B841" s="15">
        <f>IF(Murid!B841="","",Murid!B841)</f>
        <v/>
      </c>
      <c r="C841" s="16">
        <f>IF(Murid!C841="","",Murid!C841)</f>
        <v/>
      </c>
      <c r="D841" s="15">
        <f>IF(Murid!E841="","",Murid!E841)</f>
        <v/>
      </c>
      <c r="E841" s="11" t="n"/>
      <c r="F841" s="10">
        <f>IF(E841="","",IFERROR(VLOOKUP(E841,T_PERK,2,FALSE),0))</f>
        <v/>
      </c>
      <c r="G841" s="11" t="n"/>
      <c r="H841" s="10">
        <f>IF(G841="","",IFERROR(VLOOKUP(G841,T_ANUG,2,FALSE),0))</f>
        <v/>
      </c>
      <c r="I841" s="11" t="n"/>
      <c r="J841" s="11" t="n"/>
      <c r="K841" s="11" t="n"/>
      <c r="L841" s="11" t="n"/>
      <c r="M841" s="11" t="n"/>
      <c r="N841" s="11" t="n"/>
      <c r="O841" s="11" t="n"/>
      <c r="P841" s="10">
        <f>IF(COUNTA(I841:O841)=0,"",MIN(10,SUM(I841:O841)))</f>
        <v/>
      </c>
      <c r="Q841" s="11" t="n"/>
      <c r="R841" s="10">
        <f>IF(Q841="","",IFERROR(VLOOKUP(Q841,T_NILAM,2,FALSE),0))</f>
        <v/>
      </c>
      <c r="S841" s="11" t="n"/>
      <c r="T841" s="10">
        <f>IF(S841="","",IFERROR(VLOOKUP(S841,T_TIMSS,2,FALSE),0))</f>
        <v/>
      </c>
      <c r="U841" s="19">
        <f>IF(COUNT(F841,H841,P841,R841,T841)=0,"",MIN(10,MAX(F841,H841,P841,R841,T841)))</f>
        <v/>
      </c>
      <c r="V841" s="11" t="n"/>
    </row>
    <row r="842">
      <c r="A842" s="15">
        <f>Murid!A842</f>
        <v/>
      </c>
      <c r="B842" s="15">
        <f>IF(Murid!B842="","",Murid!B842)</f>
        <v/>
      </c>
      <c r="C842" s="16">
        <f>IF(Murid!C842="","",Murid!C842)</f>
        <v/>
      </c>
      <c r="D842" s="15">
        <f>IF(Murid!E842="","",Murid!E842)</f>
        <v/>
      </c>
      <c r="E842" s="11" t="n"/>
      <c r="F842" s="10">
        <f>IF(E842="","",IFERROR(VLOOKUP(E842,T_PERK,2,FALSE),0))</f>
        <v/>
      </c>
      <c r="G842" s="11" t="n"/>
      <c r="H842" s="10">
        <f>IF(G842="","",IFERROR(VLOOKUP(G842,T_ANUG,2,FALSE),0))</f>
        <v/>
      </c>
      <c r="I842" s="11" t="n"/>
      <c r="J842" s="11" t="n"/>
      <c r="K842" s="11" t="n"/>
      <c r="L842" s="11" t="n"/>
      <c r="M842" s="11" t="n"/>
      <c r="N842" s="11" t="n"/>
      <c r="O842" s="11" t="n"/>
      <c r="P842" s="10">
        <f>IF(COUNTA(I842:O842)=0,"",MIN(10,SUM(I842:O842)))</f>
        <v/>
      </c>
      <c r="Q842" s="11" t="n"/>
      <c r="R842" s="10">
        <f>IF(Q842="","",IFERROR(VLOOKUP(Q842,T_NILAM,2,FALSE),0))</f>
        <v/>
      </c>
      <c r="S842" s="11" t="n"/>
      <c r="T842" s="10">
        <f>IF(S842="","",IFERROR(VLOOKUP(S842,T_TIMSS,2,FALSE),0))</f>
        <v/>
      </c>
      <c r="U842" s="19">
        <f>IF(COUNT(F842,H842,P842,R842,T842)=0,"",MIN(10,MAX(F842,H842,P842,R842,T842)))</f>
        <v/>
      </c>
      <c r="V842" s="11" t="n"/>
    </row>
    <row r="843">
      <c r="A843" s="15">
        <f>Murid!A843</f>
        <v/>
      </c>
      <c r="B843" s="15">
        <f>IF(Murid!B843="","",Murid!B843)</f>
        <v/>
      </c>
      <c r="C843" s="16">
        <f>IF(Murid!C843="","",Murid!C843)</f>
        <v/>
      </c>
      <c r="D843" s="15">
        <f>IF(Murid!E843="","",Murid!E843)</f>
        <v/>
      </c>
      <c r="E843" s="11" t="n"/>
      <c r="F843" s="10">
        <f>IF(E843="","",IFERROR(VLOOKUP(E843,T_PERK,2,FALSE),0))</f>
        <v/>
      </c>
      <c r="G843" s="11" t="n"/>
      <c r="H843" s="10">
        <f>IF(G843="","",IFERROR(VLOOKUP(G843,T_ANUG,2,FALSE),0))</f>
        <v/>
      </c>
      <c r="I843" s="11" t="n"/>
      <c r="J843" s="11" t="n"/>
      <c r="K843" s="11" t="n"/>
      <c r="L843" s="11" t="n"/>
      <c r="M843" s="11" t="n"/>
      <c r="N843" s="11" t="n"/>
      <c r="O843" s="11" t="n"/>
      <c r="P843" s="10">
        <f>IF(COUNTA(I843:O843)=0,"",MIN(10,SUM(I843:O843)))</f>
        <v/>
      </c>
      <c r="Q843" s="11" t="n"/>
      <c r="R843" s="10">
        <f>IF(Q843="","",IFERROR(VLOOKUP(Q843,T_NILAM,2,FALSE),0))</f>
        <v/>
      </c>
      <c r="S843" s="11" t="n"/>
      <c r="T843" s="10">
        <f>IF(S843="","",IFERROR(VLOOKUP(S843,T_TIMSS,2,FALSE),0))</f>
        <v/>
      </c>
      <c r="U843" s="19">
        <f>IF(COUNT(F843,H843,P843,R843,T843)=0,"",MIN(10,MAX(F843,H843,P843,R843,T843)))</f>
        <v/>
      </c>
      <c r="V843" s="11" t="n"/>
    </row>
    <row r="844">
      <c r="A844" s="15">
        <f>Murid!A844</f>
        <v/>
      </c>
      <c r="B844" s="15">
        <f>IF(Murid!B844="","",Murid!B844)</f>
        <v/>
      </c>
      <c r="C844" s="16">
        <f>IF(Murid!C844="","",Murid!C844)</f>
        <v/>
      </c>
      <c r="D844" s="15">
        <f>IF(Murid!E844="","",Murid!E844)</f>
        <v/>
      </c>
      <c r="E844" s="11" t="n"/>
      <c r="F844" s="10">
        <f>IF(E844="","",IFERROR(VLOOKUP(E844,T_PERK,2,FALSE),0))</f>
        <v/>
      </c>
      <c r="G844" s="11" t="n"/>
      <c r="H844" s="10">
        <f>IF(G844="","",IFERROR(VLOOKUP(G844,T_ANUG,2,FALSE),0))</f>
        <v/>
      </c>
      <c r="I844" s="11" t="n"/>
      <c r="J844" s="11" t="n"/>
      <c r="K844" s="11" t="n"/>
      <c r="L844" s="11" t="n"/>
      <c r="M844" s="11" t="n"/>
      <c r="N844" s="11" t="n"/>
      <c r="O844" s="11" t="n"/>
      <c r="P844" s="10">
        <f>IF(COUNTA(I844:O844)=0,"",MIN(10,SUM(I844:O844)))</f>
        <v/>
      </c>
      <c r="Q844" s="11" t="n"/>
      <c r="R844" s="10">
        <f>IF(Q844="","",IFERROR(VLOOKUP(Q844,T_NILAM,2,FALSE),0))</f>
        <v/>
      </c>
      <c r="S844" s="11" t="n"/>
      <c r="T844" s="10">
        <f>IF(S844="","",IFERROR(VLOOKUP(S844,T_TIMSS,2,FALSE),0))</f>
        <v/>
      </c>
      <c r="U844" s="19">
        <f>IF(COUNT(F844,H844,P844,R844,T844)=0,"",MIN(10,MAX(F844,H844,P844,R844,T844)))</f>
        <v/>
      </c>
      <c r="V844" s="11" t="n"/>
    </row>
    <row r="845">
      <c r="A845" s="15">
        <f>Murid!A845</f>
        <v/>
      </c>
      <c r="B845" s="15">
        <f>IF(Murid!B845="","",Murid!B845)</f>
        <v/>
      </c>
      <c r="C845" s="16">
        <f>IF(Murid!C845="","",Murid!C845)</f>
        <v/>
      </c>
      <c r="D845" s="15">
        <f>IF(Murid!E845="","",Murid!E845)</f>
        <v/>
      </c>
      <c r="E845" s="11" t="n"/>
      <c r="F845" s="10">
        <f>IF(E845="","",IFERROR(VLOOKUP(E845,T_PERK,2,FALSE),0))</f>
        <v/>
      </c>
      <c r="G845" s="11" t="n"/>
      <c r="H845" s="10">
        <f>IF(G845="","",IFERROR(VLOOKUP(G845,T_ANUG,2,FALSE),0))</f>
        <v/>
      </c>
      <c r="I845" s="11" t="n"/>
      <c r="J845" s="11" t="n"/>
      <c r="K845" s="11" t="n"/>
      <c r="L845" s="11" t="n"/>
      <c r="M845" s="11" t="n"/>
      <c r="N845" s="11" t="n"/>
      <c r="O845" s="11" t="n"/>
      <c r="P845" s="10">
        <f>IF(COUNTA(I845:O845)=0,"",MIN(10,SUM(I845:O845)))</f>
        <v/>
      </c>
      <c r="Q845" s="11" t="n"/>
      <c r="R845" s="10">
        <f>IF(Q845="","",IFERROR(VLOOKUP(Q845,T_NILAM,2,FALSE),0))</f>
        <v/>
      </c>
      <c r="S845" s="11" t="n"/>
      <c r="T845" s="10">
        <f>IF(S845="","",IFERROR(VLOOKUP(S845,T_TIMSS,2,FALSE),0))</f>
        <v/>
      </c>
      <c r="U845" s="19">
        <f>IF(COUNT(F845,H845,P845,R845,T845)=0,"",MIN(10,MAX(F845,H845,P845,R845,T845)))</f>
        <v/>
      </c>
      <c r="V845" s="11" t="n"/>
    </row>
    <row r="846">
      <c r="A846" s="15">
        <f>Murid!A846</f>
        <v/>
      </c>
      <c r="B846" s="15">
        <f>IF(Murid!B846="","",Murid!B846)</f>
        <v/>
      </c>
      <c r="C846" s="16">
        <f>IF(Murid!C846="","",Murid!C846)</f>
        <v/>
      </c>
      <c r="D846" s="15">
        <f>IF(Murid!E846="","",Murid!E846)</f>
        <v/>
      </c>
      <c r="E846" s="11" t="n"/>
      <c r="F846" s="10">
        <f>IF(E846="","",IFERROR(VLOOKUP(E846,T_PERK,2,FALSE),0))</f>
        <v/>
      </c>
      <c r="G846" s="11" t="n"/>
      <c r="H846" s="10">
        <f>IF(G846="","",IFERROR(VLOOKUP(G846,T_ANUG,2,FALSE),0))</f>
        <v/>
      </c>
      <c r="I846" s="11" t="n"/>
      <c r="J846" s="11" t="n"/>
      <c r="K846" s="11" t="n"/>
      <c r="L846" s="11" t="n"/>
      <c r="M846" s="11" t="n"/>
      <c r="N846" s="11" t="n"/>
      <c r="O846" s="11" t="n"/>
      <c r="P846" s="10">
        <f>IF(COUNTA(I846:O846)=0,"",MIN(10,SUM(I846:O846)))</f>
        <v/>
      </c>
      <c r="Q846" s="11" t="n"/>
      <c r="R846" s="10">
        <f>IF(Q846="","",IFERROR(VLOOKUP(Q846,T_NILAM,2,FALSE),0))</f>
        <v/>
      </c>
      <c r="S846" s="11" t="n"/>
      <c r="T846" s="10">
        <f>IF(S846="","",IFERROR(VLOOKUP(S846,T_TIMSS,2,FALSE),0))</f>
        <v/>
      </c>
      <c r="U846" s="19">
        <f>IF(COUNT(F846,H846,P846,R846,T846)=0,"",MIN(10,MAX(F846,H846,P846,R846,T846)))</f>
        <v/>
      </c>
      <c r="V846" s="11" t="n"/>
    </row>
    <row r="847">
      <c r="A847" s="15">
        <f>Murid!A847</f>
        <v/>
      </c>
      <c r="B847" s="15">
        <f>IF(Murid!B847="","",Murid!B847)</f>
        <v/>
      </c>
      <c r="C847" s="16">
        <f>IF(Murid!C847="","",Murid!C847)</f>
        <v/>
      </c>
      <c r="D847" s="15">
        <f>IF(Murid!E847="","",Murid!E847)</f>
        <v/>
      </c>
      <c r="E847" s="11" t="n"/>
      <c r="F847" s="10">
        <f>IF(E847="","",IFERROR(VLOOKUP(E847,T_PERK,2,FALSE),0))</f>
        <v/>
      </c>
      <c r="G847" s="11" t="n"/>
      <c r="H847" s="10">
        <f>IF(G847="","",IFERROR(VLOOKUP(G847,T_ANUG,2,FALSE),0))</f>
        <v/>
      </c>
      <c r="I847" s="11" t="n"/>
      <c r="J847" s="11" t="n"/>
      <c r="K847" s="11" t="n"/>
      <c r="L847" s="11" t="n"/>
      <c r="M847" s="11" t="n"/>
      <c r="N847" s="11" t="n"/>
      <c r="O847" s="11" t="n"/>
      <c r="P847" s="10">
        <f>IF(COUNTA(I847:O847)=0,"",MIN(10,SUM(I847:O847)))</f>
        <v/>
      </c>
      <c r="Q847" s="11" t="n"/>
      <c r="R847" s="10">
        <f>IF(Q847="","",IFERROR(VLOOKUP(Q847,T_NILAM,2,FALSE),0))</f>
        <v/>
      </c>
      <c r="S847" s="11" t="n"/>
      <c r="T847" s="10">
        <f>IF(S847="","",IFERROR(VLOOKUP(S847,T_TIMSS,2,FALSE),0))</f>
        <v/>
      </c>
      <c r="U847" s="19">
        <f>IF(COUNT(F847,H847,P847,R847,T847)=0,"",MIN(10,MAX(F847,H847,P847,R847,T847)))</f>
        <v/>
      </c>
      <c r="V847" s="11" t="n"/>
    </row>
    <row r="848">
      <c r="A848" s="15">
        <f>Murid!A848</f>
        <v/>
      </c>
      <c r="B848" s="15">
        <f>IF(Murid!B848="","",Murid!B848)</f>
        <v/>
      </c>
      <c r="C848" s="16">
        <f>IF(Murid!C848="","",Murid!C848)</f>
        <v/>
      </c>
      <c r="D848" s="15">
        <f>IF(Murid!E848="","",Murid!E848)</f>
        <v/>
      </c>
      <c r="E848" s="11" t="n"/>
      <c r="F848" s="10">
        <f>IF(E848="","",IFERROR(VLOOKUP(E848,T_PERK,2,FALSE),0))</f>
        <v/>
      </c>
      <c r="G848" s="11" t="n"/>
      <c r="H848" s="10">
        <f>IF(G848="","",IFERROR(VLOOKUP(G848,T_ANUG,2,FALSE),0))</f>
        <v/>
      </c>
      <c r="I848" s="11" t="n"/>
      <c r="J848" s="11" t="n"/>
      <c r="K848" s="11" t="n"/>
      <c r="L848" s="11" t="n"/>
      <c r="M848" s="11" t="n"/>
      <c r="N848" s="11" t="n"/>
      <c r="O848" s="11" t="n"/>
      <c r="P848" s="10">
        <f>IF(COUNTA(I848:O848)=0,"",MIN(10,SUM(I848:O848)))</f>
        <v/>
      </c>
      <c r="Q848" s="11" t="n"/>
      <c r="R848" s="10">
        <f>IF(Q848="","",IFERROR(VLOOKUP(Q848,T_NILAM,2,FALSE),0))</f>
        <v/>
      </c>
      <c r="S848" s="11" t="n"/>
      <c r="T848" s="10">
        <f>IF(S848="","",IFERROR(VLOOKUP(S848,T_TIMSS,2,FALSE),0))</f>
        <v/>
      </c>
      <c r="U848" s="19">
        <f>IF(COUNT(F848,H848,P848,R848,T848)=0,"",MIN(10,MAX(F848,H848,P848,R848,T848)))</f>
        <v/>
      </c>
      <c r="V848" s="11" t="n"/>
    </row>
    <row r="849">
      <c r="A849" s="15">
        <f>Murid!A849</f>
        <v/>
      </c>
      <c r="B849" s="15">
        <f>IF(Murid!B849="","",Murid!B849)</f>
        <v/>
      </c>
      <c r="C849" s="16">
        <f>IF(Murid!C849="","",Murid!C849)</f>
        <v/>
      </c>
      <c r="D849" s="15">
        <f>IF(Murid!E849="","",Murid!E849)</f>
        <v/>
      </c>
      <c r="E849" s="11" t="n"/>
      <c r="F849" s="10">
        <f>IF(E849="","",IFERROR(VLOOKUP(E849,T_PERK,2,FALSE),0))</f>
        <v/>
      </c>
      <c r="G849" s="11" t="n"/>
      <c r="H849" s="10">
        <f>IF(G849="","",IFERROR(VLOOKUP(G849,T_ANUG,2,FALSE),0))</f>
        <v/>
      </c>
      <c r="I849" s="11" t="n"/>
      <c r="J849" s="11" t="n"/>
      <c r="K849" s="11" t="n"/>
      <c r="L849" s="11" t="n"/>
      <c r="M849" s="11" t="n"/>
      <c r="N849" s="11" t="n"/>
      <c r="O849" s="11" t="n"/>
      <c r="P849" s="10">
        <f>IF(COUNTA(I849:O849)=0,"",MIN(10,SUM(I849:O849)))</f>
        <v/>
      </c>
      <c r="Q849" s="11" t="n"/>
      <c r="R849" s="10">
        <f>IF(Q849="","",IFERROR(VLOOKUP(Q849,T_NILAM,2,FALSE),0))</f>
        <v/>
      </c>
      <c r="S849" s="11" t="n"/>
      <c r="T849" s="10">
        <f>IF(S849="","",IFERROR(VLOOKUP(S849,T_TIMSS,2,FALSE),0))</f>
        <v/>
      </c>
      <c r="U849" s="19">
        <f>IF(COUNT(F849,H849,P849,R849,T849)=0,"",MIN(10,MAX(F849,H849,P849,R849,T849)))</f>
        <v/>
      </c>
      <c r="V849" s="11" t="n"/>
    </row>
    <row r="850">
      <c r="A850" s="15">
        <f>Murid!A850</f>
        <v/>
      </c>
      <c r="B850" s="15">
        <f>IF(Murid!B850="","",Murid!B850)</f>
        <v/>
      </c>
      <c r="C850" s="16">
        <f>IF(Murid!C850="","",Murid!C850)</f>
        <v/>
      </c>
      <c r="D850" s="15">
        <f>IF(Murid!E850="","",Murid!E850)</f>
        <v/>
      </c>
      <c r="E850" s="11" t="n"/>
      <c r="F850" s="10">
        <f>IF(E850="","",IFERROR(VLOOKUP(E850,T_PERK,2,FALSE),0))</f>
        <v/>
      </c>
      <c r="G850" s="11" t="n"/>
      <c r="H850" s="10">
        <f>IF(G850="","",IFERROR(VLOOKUP(G850,T_ANUG,2,FALSE),0))</f>
        <v/>
      </c>
      <c r="I850" s="11" t="n"/>
      <c r="J850" s="11" t="n"/>
      <c r="K850" s="11" t="n"/>
      <c r="L850" s="11" t="n"/>
      <c r="M850" s="11" t="n"/>
      <c r="N850" s="11" t="n"/>
      <c r="O850" s="11" t="n"/>
      <c r="P850" s="10">
        <f>IF(COUNTA(I850:O850)=0,"",MIN(10,SUM(I850:O850)))</f>
        <v/>
      </c>
      <c r="Q850" s="11" t="n"/>
      <c r="R850" s="10">
        <f>IF(Q850="","",IFERROR(VLOOKUP(Q850,T_NILAM,2,FALSE),0))</f>
        <v/>
      </c>
      <c r="S850" s="11" t="n"/>
      <c r="T850" s="10">
        <f>IF(S850="","",IFERROR(VLOOKUP(S850,T_TIMSS,2,FALSE),0))</f>
        <v/>
      </c>
      <c r="U850" s="19">
        <f>IF(COUNT(F850,H850,P850,R850,T850)=0,"",MIN(10,MAX(F850,H850,P850,R850,T850)))</f>
        <v/>
      </c>
      <c r="V850" s="11" t="n"/>
    </row>
    <row r="851">
      <c r="A851" s="15">
        <f>Murid!A851</f>
        <v/>
      </c>
      <c r="B851" s="15">
        <f>IF(Murid!B851="","",Murid!B851)</f>
        <v/>
      </c>
      <c r="C851" s="16">
        <f>IF(Murid!C851="","",Murid!C851)</f>
        <v/>
      </c>
      <c r="D851" s="15">
        <f>IF(Murid!E851="","",Murid!E851)</f>
        <v/>
      </c>
      <c r="E851" s="11" t="n"/>
      <c r="F851" s="10">
        <f>IF(E851="","",IFERROR(VLOOKUP(E851,T_PERK,2,FALSE),0))</f>
        <v/>
      </c>
      <c r="G851" s="11" t="n"/>
      <c r="H851" s="10">
        <f>IF(G851="","",IFERROR(VLOOKUP(G851,T_ANUG,2,FALSE),0))</f>
        <v/>
      </c>
      <c r="I851" s="11" t="n"/>
      <c r="J851" s="11" t="n"/>
      <c r="K851" s="11" t="n"/>
      <c r="L851" s="11" t="n"/>
      <c r="M851" s="11" t="n"/>
      <c r="N851" s="11" t="n"/>
      <c r="O851" s="11" t="n"/>
      <c r="P851" s="10">
        <f>IF(COUNTA(I851:O851)=0,"",MIN(10,SUM(I851:O851)))</f>
        <v/>
      </c>
      <c r="Q851" s="11" t="n"/>
      <c r="R851" s="10">
        <f>IF(Q851="","",IFERROR(VLOOKUP(Q851,T_NILAM,2,FALSE),0))</f>
        <v/>
      </c>
      <c r="S851" s="11" t="n"/>
      <c r="T851" s="10">
        <f>IF(S851="","",IFERROR(VLOOKUP(S851,T_TIMSS,2,FALSE),0))</f>
        <v/>
      </c>
      <c r="U851" s="19">
        <f>IF(COUNT(F851,H851,P851,R851,T851)=0,"",MIN(10,MAX(F851,H851,P851,R851,T851)))</f>
        <v/>
      </c>
      <c r="V851" s="11" t="n"/>
    </row>
    <row r="852">
      <c r="A852" s="15">
        <f>Murid!A852</f>
        <v/>
      </c>
      <c r="B852" s="15">
        <f>IF(Murid!B852="","",Murid!B852)</f>
        <v/>
      </c>
      <c r="C852" s="16">
        <f>IF(Murid!C852="","",Murid!C852)</f>
        <v/>
      </c>
      <c r="D852" s="15">
        <f>IF(Murid!E852="","",Murid!E852)</f>
        <v/>
      </c>
      <c r="E852" s="11" t="n"/>
      <c r="F852" s="10">
        <f>IF(E852="","",IFERROR(VLOOKUP(E852,T_PERK,2,FALSE),0))</f>
        <v/>
      </c>
      <c r="G852" s="11" t="n"/>
      <c r="H852" s="10">
        <f>IF(G852="","",IFERROR(VLOOKUP(G852,T_ANUG,2,FALSE),0))</f>
        <v/>
      </c>
      <c r="I852" s="11" t="n"/>
      <c r="J852" s="11" t="n"/>
      <c r="K852" s="11" t="n"/>
      <c r="L852" s="11" t="n"/>
      <c r="M852" s="11" t="n"/>
      <c r="N852" s="11" t="n"/>
      <c r="O852" s="11" t="n"/>
      <c r="P852" s="10">
        <f>IF(COUNTA(I852:O852)=0,"",MIN(10,SUM(I852:O852)))</f>
        <v/>
      </c>
      <c r="Q852" s="11" t="n"/>
      <c r="R852" s="10">
        <f>IF(Q852="","",IFERROR(VLOOKUP(Q852,T_NILAM,2,FALSE),0))</f>
        <v/>
      </c>
      <c r="S852" s="11" t="n"/>
      <c r="T852" s="10">
        <f>IF(S852="","",IFERROR(VLOOKUP(S852,T_TIMSS,2,FALSE),0))</f>
        <v/>
      </c>
      <c r="U852" s="19">
        <f>IF(COUNT(F852,H852,P852,R852,T852)=0,"",MIN(10,MAX(F852,H852,P852,R852,T852)))</f>
        <v/>
      </c>
      <c r="V852" s="11" t="n"/>
    </row>
    <row r="853">
      <c r="A853" s="15">
        <f>Murid!A853</f>
        <v/>
      </c>
      <c r="B853" s="15">
        <f>IF(Murid!B853="","",Murid!B853)</f>
        <v/>
      </c>
      <c r="C853" s="16">
        <f>IF(Murid!C853="","",Murid!C853)</f>
        <v/>
      </c>
      <c r="D853" s="15">
        <f>IF(Murid!E853="","",Murid!E853)</f>
        <v/>
      </c>
      <c r="E853" s="11" t="n"/>
      <c r="F853" s="10">
        <f>IF(E853="","",IFERROR(VLOOKUP(E853,T_PERK,2,FALSE),0))</f>
        <v/>
      </c>
      <c r="G853" s="11" t="n"/>
      <c r="H853" s="10">
        <f>IF(G853="","",IFERROR(VLOOKUP(G853,T_ANUG,2,FALSE),0))</f>
        <v/>
      </c>
      <c r="I853" s="11" t="n"/>
      <c r="J853" s="11" t="n"/>
      <c r="K853" s="11" t="n"/>
      <c r="L853" s="11" t="n"/>
      <c r="M853" s="11" t="n"/>
      <c r="N853" s="11" t="n"/>
      <c r="O853" s="11" t="n"/>
      <c r="P853" s="10">
        <f>IF(COUNTA(I853:O853)=0,"",MIN(10,SUM(I853:O853)))</f>
        <v/>
      </c>
      <c r="Q853" s="11" t="n"/>
      <c r="R853" s="10">
        <f>IF(Q853="","",IFERROR(VLOOKUP(Q853,T_NILAM,2,FALSE),0))</f>
        <v/>
      </c>
      <c r="S853" s="11" t="n"/>
      <c r="T853" s="10">
        <f>IF(S853="","",IFERROR(VLOOKUP(S853,T_TIMSS,2,FALSE),0))</f>
        <v/>
      </c>
      <c r="U853" s="19">
        <f>IF(COUNT(F853,H853,P853,R853,T853)=0,"",MIN(10,MAX(F853,H853,P853,R853,T853)))</f>
        <v/>
      </c>
      <c r="V853" s="11" t="n"/>
    </row>
    <row r="854">
      <c r="A854" s="15">
        <f>Murid!A854</f>
        <v/>
      </c>
      <c r="B854" s="15">
        <f>IF(Murid!B854="","",Murid!B854)</f>
        <v/>
      </c>
      <c r="C854" s="16">
        <f>IF(Murid!C854="","",Murid!C854)</f>
        <v/>
      </c>
      <c r="D854" s="15">
        <f>IF(Murid!E854="","",Murid!E854)</f>
        <v/>
      </c>
      <c r="E854" s="11" t="n"/>
      <c r="F854" s="10">
        <f>IF(E854="","",IFERROR(VLOOKUP(E854,T_PERK,2,FALSE),0))</f>
        <v/>
      </c>
      <c r="G854" s="11" t="n"/>
      <c r="H854" s="10">
        <f>IF(G854="","",IFERROR(VLOOKUP(G854,T_ANUG,2,FALSE),0))</f>
        <v/>
      </c>
      <c r="I854" s="11" t="n"/>
      <c r="J854" s="11" t="n"/>
      <c r="K854" s="11" t="n"/>
      <c r="L854" s="11" t="n"/>
      <c r="M854" s="11" t="n"/>
      <c r="N854" s="11" t="n"/>
      <c r="O854" s="11" t="n"/>
      <c r="P854" s="10">
        <f>IF(COUNTA(I854:O854)=0,"",MIN(10,SUM(I854:O854)))</f>
        <v/>
      </c>
      <c r="Q854" s="11" t="n"/>
      <c r="R854" s="10">
        <f>IF(Q854="","",IFERROR(VLOOKUP(Q854,T_NILAM,2,FALSE),0))</f>
        <v/>
      </c>
      <c r="S854" s="11" t="n"/>
      <c r="T854" s="10">
        <f>IF(S854="","",IFERROR(VLOOKUP(S854,T_TIMSS,2,FALSE),0))</f>
        <v/>
      </c>
      <c r="U854" s="19">
        <f>IF(COUNT(F854,H854,P854,R854,T854)=0,"",MIN(10,MAX(F854,H854,P854,R854,T854)))</f>
        <v/>
      </c>
      <c r="V854" s="11" t="n"/>
    </row>
    <row r="855">
      <c r="A855" s="15">
        <f>Murid!A855</f>
        <v/>
      </c>
      <c r="B855" s="15">
        <f>IF(Murid!B855="","",Murid!B855)</f>
        <v/>
      </c>
      <c r="C855" s="16">
        <f>IF(Murid!C855="","",Murid!C855)</f>
        <v/>
      </c>
      <c r="D855" s="15">
        <f>IF(Murid!E855="","",Murid!E855)</f>
        <v/>
      </c>
      <c r="E855" s="11" t="n"/>
      <c r="F855" s="10">
        <f>IF(E855="","",IFERROR(VLOOKUP(E855,T_PERK,2,FALSE),0))</f>
        <v/>
      </c>
      <c r="G855" s="11" t="n"/>
      <c r="H855" s="10">
        <f>IF(G855="","",IFERROR(VLOOKUP(G855,T_ANUG,2,FALSE),0))</f>
        <v/>
      </c>
      <c r="I855" s="11" t="n"/>
      <c r="J855" s="11" t="n"/>
      <c r="K855" s="11" t="n"/>
      <c r="L855" s="11" t="n"/>
      <c r="M855" s="11" t="n"/>
      <c r="N855" s="11" t="n"/>
      <c r="O855" s="11" t="n"/>
      <c r="P855" s="10">
        <f>IF(COUNTA(I855:O855)=0,"",MIN(10,SUM(I855:O855)))</f>
        <v/>
      </c>
      <c r="Q855" s="11" t="n"/>
      <c r="R855" s="10">
        <f>IF(Q855="","",IFERROR(VLOOKUP(Q855,T_NILAM,2,FALSE),0))</f>
        <v/>
      </c>
      <c r="S855" s="11" t="n"/>
      <c r="T855" s="10">
        <f>IF(S855="","",IFERROR(VLOOKUP(S855,T_TIMSS,2,FALSE),0))</f>
        <v/>
      </c>
      <c r="U855" s="19">
        <f>IF(COUNT(F855,H855,P855,R855,T855)=0,"",MIN(10,MAX(F855,H855,P855,R855,T855)))</f>
        <v/>
      </c>
      <c r="V855" s="11" t="n"/>
    </row>
    <row r="856">
      <c r="A856" s="15">
        <f>Murid!A856</f>
        <v/>
      </c>
      <c r="B856" s="15">
        <f>IF(Murid!B856="","",Murid!B856)</f>
        <v/>
      </c>
      <c r="C856" s="16">
        <f>IF(Murid!C856="","",Murid!C856)</f>
        <v/>
      </c>
      <c r="D856" s="15">
        <f>IF(Murid!E856="","",Murid!E856)</f>
        <v/>
      </c>
      <c r="E856" s="11" t="n"/>
      <c r="F856" s="10">
        <f>IF(E856="","",IFERROR(VLOOKUP(E856,T_PERK,2,FALSE),0))</f>
        <v/>
      </c>
      <c r="G856" s="11" t="n"/>
      <c r="H856" s="10">
        <f>IF(G856="","",IFERROR(VLOOKUP(G856,T_ANUG,2,FALSE),0))</f>
        <v/>
      </c>
      <c r="I856" s="11" t="n"/>
      <c r="J856" s="11" t="n"/>
      <c r="K856" s="11" t="n"/>
      <c r="L856" s="11" t="n"/>
      <c r="M856" s="11" t="n"/>
      <c r="N856" s="11" t="n"/>
      <c r="O856" s="11" t="n"/>
      <c r="P856" s="10">
        <f>IF(COUNTA(I856:O856)=0,"",MIN(10,SUM(I856:O856)))</f>
        <v/>
      </c>
      <c r="Q856" s="11" t="n"/>
      <c r="R856" s="10">
        <f>IF(Q856="","",IFERROR(VLOOKUP(Q856,T_NILAM,2,FALSE),0))</f>
        <v/>
      </c>
      <c r="S856" s="11" t="n"/>
      <c r="T856" s="10">
        <f>IF(S856="","",IFERROR(VLOOKUP(S856,T_TIMSS,2,FALSE),0))</f>
        <v/>
      </c>
      <c r="U856" s="19">
        <f>IF(COUNT(F856,H856,P856,R856,T856)=0,"",MIN(10,MAX(F856,H856,P856,R856,T856)))</f>
        <v/>
      </c>
      <c r="V856" s="11" t="n"/>
    </row>
    <row r="857">
      <c r="A857" s="15">
        <f>Murid!A857</f>
        <v/>
      </c>
      <c r="B857" s="15">
        <f>IF(Murid!B857="","",Murid!B857)</f>
        <v/>
      </c>
      <c r="C857" s="16">
        <f>IF(Murid!C857="","",Murid!C857)</f>
        <v/>
      </c>
      <c r="D857" s="15">
        <f>IF(Murid!E857="","",Murid!E857)</f>
        <v/>
      </c>
      <c r="E857" s="11" t="n"/>
      <c r="F857" s="10">
        <f>IF(E857="","",IFERROR(VLOOKUP(E857,T_PERK,2,FALSE),0))</f>
        <v/>
      </c>
      <c r="G857" s="11" t="n"/>
      <c r="H857" s="10">
        <f>IF(G857="","",IFERROR(VLOOKUP(G857,T_ANUG,2,FALSE),0))</f>
        <v/>
      </c>
      <c r="I857" s="11" t="n"/>
      <c r="J857" s="11" t="n"/>
      <c r="K857" s="11" t="n"/>
      <c r="L857" s="11" t="n"/>
      <c r="M857" s="11" t="n"/>
      <c r="N857" s="11" t="n"/>
      <c r="O857" s="11" t="n"/>
      <c r="P857" s="10">
        <f>IF(COUNTA(I857:O857)=0,"",MIN(10,SUM(I857:O857)))</f>
        <v/>
      </c>
      <c r="Q857" s="11" t="n"/>
      <c r="R857" s="10">
        <f>IF(Q857="","",IFERROR(VLOOKUP(Q857,T_NILAM,2,FALSE),0))</f>
        <v/>
      </c>
      <c r="S857" s="11" t="n"/>
      <c r="T857" s="10">
        <f>IF(S857="","",IFERROR(VLOOKUP(S857,T_TIMSS,2,FALSE),0))</f>
        <v/>
      </c>
      <c r="U857" s="19">
        <f>IF(COUNT(F857,H857,P857,R857,T857)=0,"",MIN(10,MAX(F857,H857,P857,R857,T857)))</f>
        <v/>
      </c>
      <c r="V857" s="11" t="n"/>
    </row>
    <row r="858">
      <c r="A858" s="15">
        <f>Murid!A858</f>
        <v/>
      </c>
      <c r="B858" s="15">
        <f>IF(Murid!B858="","",Murid!B858)</f>
        <v/>
      </c>
      <c r="C858" s="16">
        <f>IF(Murid!C858="","",Murid!C858)</f>
        <v/>
      </c>
      <c r="D858" s="15">
        <f>IF(Murid!E858="","",Murid!E858)</f>
        <v/>
      </c>
      <c r="E858" s="11" t="n"/>
      <c r="F858" s="10">
        <f>IF(E858="","",IFERROR(VLOOKUP(E858,T_PERK,2,FALSE),0))</f>
        <v/>
      </c>
      <c r="G858" s="11" t="n"/>
      <c r="H858" s="10">
        <f>IF(G858="","",IFERROR(VLOOKUP(G858,T_ANUG,2,FALSE),0))</f>
        <v/>
      </c>
      <c r="I858" s="11" t="n"/>
      <c r="J858" s="11" t="n"/>
      <c r="K858" s="11" t="n"/>
      <c r="L858" s="11" t="n"/>
      <c r="M858" s="11" t="n"/>
      <c r="N858" s="11" t="n"/>
      <c r="O858" s="11" t="n"/>
      <c r="P858" s="10">
        <f>IF(COUNTA(I858:O858)=0,"",MIN(10,SUM(I858:O858)))</f>
        <v/>
      </c>
      <c r="Q858" s="11" t="n"/>
      <c r="R858" s="10">
        <f>IF(Q858="","",IFERROR(VLOOKUP(Q858,T_NILAM,2,FALSE),0))</f>
        <v/>
      </c>
      <c r="S858" s="11" t="n"/>
      <c r="T858" s="10">
        <f>IF(S858="","",IFERROR(VLOOKUP(S858,T_TIMSS,2,FALSE),0))</f>
        <v/>
      </c>
      <c r="U858" s="19">
        <f>IF(COUNT(F858,H858,P858,R858,T858)=0,"",MIN(10,MAX(F858,H858,P858,R858,T858)))</f>
        <v/>
      </c>
      <c r="V858" s="11" t="n"/>
    </row>
    <row r="859">
      <c r="A859" s="15">
        <f>Murid!A859</f>
        <v/>
      </c>
      <c r="B859" s="15">
        <f>IF(Murid!B859="","",Murid!B859)</f>
        <v/>
      </c>
      <c r="C859" s="16">
        <f>IF(Murid!C859="","",Murid!C859)</f>
        <v/>
      </c>
      <c r="D859" s="15">
        <f>IF(Murid!E859="","",Murid!E859)</f>
        <v/>
      </c>
      <c r="E859" s="11" t="n"/>
      <c r="F859" s="10">
        <f>IF(E859="","",IFERROR(VLOOKUP(E859,T_PERK,2,FALSE),0))</f>
        <v/>
      </c>
      <c r="G859" s="11" t="n"/>
      <c r="H859" s="10">
        <f>IF(G859="","",IFERROR(VLOOKUP(G859,T_ANUG,2,FALSE),0))</f>
        <v/>
      </c>
      <c r="I859" s="11" t="n"/>
      <c r="J859" s="11" t="n"/>
      <c r="K859" s="11" t="n"/>
      <c r="L859" s="11" t="n"/>
      <c r="M859" s="11" t="n"/>
      <c r="N859" s="11" t="n"/>
      <c r="O859" s="11" t="n"/>
      <c r="P859" s="10">
        <f>IF(COUNTA(I859:O859)=0,"",MIN(10,SUM(I859:O859)))</f>
        <v/>
      </c>
      <c r="Q859" s="11" t="n"/>
      <c r="R859" s="10">
        <f>IF(Q859="","",IFERROR(VLOOKUP(Q859,T_NILAM,2,FALSE),0))</f>
        <v/>
      </c>
      <c r="S859" s="11" t="n"/>
      <c r="T859" s="10">
        <f>IF(S859="","",IFERROR(VLOOKUP(S859,T_TIMSS,2,FALSE),0))</f>
        <v/>
      </c>
      <c r="U859" s="19">
        <f>IF(COUNT(F859,H859,P859,R859,T859)=0,"",MIN(10,MAX(F859,H859,P859,R859,T859)))</f>
        <v/>
      </c>
      <c r="V859" s="11" t="n"/>
    </row>
    <row r="860">
      <c r="A860" s="15">
        <f>Murid!A860</f>
        <v/>
      </c>
      <c r="B860" s="15">
        <f>IF(Murid!B860="","",Murid!B860)</f>
        <v/>
      </c>
      <c r="C860" s="16">
        <f>IF(Murid!C860="","",Murid!C860)</f>
        <v/>
      </c>
      <c r="D860" s="15">
        <f>IF(Murid!E860="","",Murid!E860)</f>
        <v/>
      </c>
      <c r="E860" s="11" t="n"/>
      <c r="F860" s="10">
        <f>IF(E860="","",IFERROR(VLOOKUP(E860,T_PERK,2,FALSE),0))</f>
        <v/>
      </c>
      <c r="G860" s="11" t="n"/>
      <c r="H860" s="10">
        <f>IF(G860="","",IFERROR(VLOOKUP(G860,T_ANUG,2,FALSE),0))</f>
        <v/>
      </c>
      <c r="I860" s="11" t="n"/>
      <c r="J860" s="11" t="n"/>
      <c r="K860" s="11" t="n"/>
      <c r="L860" s="11" t="n"/>
      <c r="M860" s="11" t="n"/>
      <c r="N860" s="11" t="n"/>
      <c r="O860" s="11" t="n"/>
      <c r="P860" s="10">
        <f>IF(COUNTA(I860:O860)=0,"",MIN(10,SUM(I860:O860)))</f>
        <v/>
      </c>
      <c r="Q860" s="11" t="n"/>
      <c r="R860" s="10">
        <f>IF(Q860="","",IFERROR(VLOOKUP(Q860,T_NILAM,2,FALSE),0))</f>
        <v/>
      </c>
      <c r="S860" s="11" t="n"/>
      <c r="T860" s="10">
        <f>IF(S860="","",IFERROR(VLOOKUP(S860,T_TIMSS,2,FALSE),0))</f>
        <v/>
      </c>
      <c r="U860" s="19">
        <f>IF(COUNT(F860,H860,P860,R860,T860)=0,"",MIN(10,MAX(F860,H860,P860,R860,T860)))</f>
        <v/>
      </c>
      <c r="V860" s="11" t="n"/>
    </row>
    <row r="861">
      <c r="A861" s="15">
        <f>Murid!A861</f>
        <v/>
      </c>
      <c r="B861" s="15">
        <f>IF(Murid!B861="","",Murid!B861)</f>
        <v/>
      </c>
      <c r="C861" s="16">
        <f>IF(Murid!C861="","",Murid!C861)</f>
        <v/>
      </c>
      <c r="D861" s="15">
        <f>IF(Murid!E861="","",Murid!E861)</f>
        <v/>
      </c>
      <c r="E861" s="11" t="n"/>
      <c r="F861" s="10">
        <f>IF(E861="","",IFERROR(VLOOKUP(E861,T_PERK,2,FALSE),0))</f>
        <v/>
      </c>
      <c r="G861" s="11" t="n"/>
      <c r="H861" s="10">
        <f>IF(G861="","",IFERROR(VLOOKUP(G861,T_ANUG,2,FALSE),0))</f>
        <v/>
      </c>
      <c r="I861" s="11" t="n"/>
      <c r="J861" s="11" t="n"/>
      <c r="K861" s="11" t="n"/>
      <c r="L861" s="11" t="n"/>
      <c r="M861" s="11" t="n"/>
      <c r="N861" s="11" t="n"/>
      <c r="O861" s="11" t="n"/>
      <c r="P861" s="10">
        <f>IF(COUNTA(I861:O861)=0,"",MIN(10,SUM(I861:O861)))</f>
        <v/>
      </c>
      <c r="Q861" s="11" t="n"/>
      <c r="R861" s="10">
        <f>IF(Q861="","",IFERROR(VLOOKUP(Q861,T_NILAM,2,FALSE),0))</f>
        <v/>
      </c>
      <c r="S861" s="11" t="n"/>
      <c r="T861" s="10">
        <f>IF(S861="","",IFERROR(VLOOKUP(S861,T_TIMSS,2,FALSE),0))</f>
        <v/>
      </c>
      <c r="U861" s="19">
        <f>IF(COUNT(F861,H861,P861,R861,T861)=0,"",MIN(10,MAX(F861,H861,P861,R861,T861)))</f>
        <v/>
      </c>
      <c r="V861" s="11" t="n"/>
    </row>
    <row r="862">
      <c r="A862" s="15">
        <f>Murid!A862</f>
        <v/>
      </c>
      <c r="B862" s="15">
        <f>IF(Murid!B862="","",Murid!B862)</f>
        <v/>
      </c>
      <c r="C862" s="16">
        <f>IF(Murid!C862="","",Murid!C862)</f>
        <v/>
      </c>
      <c r="D862" s="15">
        <f>IF(Murid!E862="","",Murid!E862)</f>
        <v/>
      </c>
      <c r="E862" s="11" t="n"/>
      <c r="F862" s="10">
        <f>IF(E862="","",IFERROR(VLOOKUP(E862,T_PERK,2,FALSE),0))</f>
        <v/>
      </c>
      <c r="G862" s="11" t="n"/>
      <c r="H862" s="10">
        <f>IF(G862="","",IFERROR(VLOOKUP(G862,T_ANUG,2,FALSE),0))</f>
        <v/>
      </c>
      <c r="I862" s="11" t="n"/>
      <c r="J862" s="11" t="n"/>
      <c r="K862" s="11" t="n"/>
      <c r="L862" s="11" t="n"/>
      <c r="M862" s="11" t="n"/>
      <c r="N862" s="11" t="n"/>
      <c r="O862" s="11" t="n"/>
      <c r="P862" s="10">
        <f>IF(COUNTA(I862:O862)=0,"",MIN(10,SUM(I862:O862)))</f>
        <v/>
      </c>
      <c r="Q862" s="11" t="n"/>
      <c r="R862" s="10">
        <f>IF(Q862="","",IFERROR(VLOOKUP(Q862,T_NILAM,2,FALSE),0))</f>
        <v/>
      </c>
      <c r="S862" s="11" t="n"/>
      <c r="T862" s="10">
        <f>IF(S862="","",IFERROR(VLOOKUP(S862,T_TIMSS,2,FALSE),0))</f>
        <v/>
      </c>
      <c r="U862" s="19">
        <f>IF(COUNT(F862,H862,P862,R862,T862)=0,"",MIN(10,MAX(F862,H862,P862,R862,T862)))</f>
        <v/>
      </c>
      <c r="V862" s="11" t="n"/>
    </row>
    <row r="863">
      <c r="A863" s="15">
        <f>Murid!A863</f>
        <v/>
      </c>
      <c r="B863" s="15">
        <f>IF(Murid!B863="","",Murid!B863)</f>
        <v/>
      </c>
      <c r="C863" s="16">
        <f>IF(Murid!C863="","",Murid!C863)</f>
        <v/>
      </c>
      <c r="D863" s="15">
        <f>IF(Murid!E863="","",Murid!E863)</f>
        <v/>
      </c>
      <c r="E863" s="11" t="n"/>
      <c r="F863" s="10">
        <f>IF(E863="","",IFERROR(VLOOKUP(E863,T_PERK,2,FALSE),0))</f>
        <v/>
      </c>
      <c r="G863" s="11" t="n"/>
      <c r="H863" s="10">
        <f>IF(G863="","",IFERROR(VLOOKUP(G863,T_ANUG,2,FALSE),0))</f>
        <v/>
      </c>
      <c r="I863" s="11" t="n"/>
      <c r="J863" s="11" t="n"/>
      <c r="K863" s="11" t="n"/>
      <c r="L863" s="11" t="n"/>
      <c r="M863" s="11" t="n"/>
      <c r="N863" s="11" t="n"/>
      <c r="O863" s="11" t="n"/>
      <c r="P863" s="10">
        <f>IF(COUNTA(I863:O863)=0,"",MIN(10,SUM(I863:O863)))</f>
        <v/>
      </c>
      <c r="Q863" s="11" t="n"/>
      <c r="R863" s="10">
        <f>IF(Q863="","",IFERROR(VLOOKUP(Q863,T_NILAM,2,FALSE),0))</f>
        <v/>
      </c>
      <c r="S863" s="11" t="n"/>
      <c r="T863" s="10">
        <f>IF(S863="","",IFERROR(VLOOKUP(S863,T_TIMSS,2,FALSE),0))</f>
        <v/>
      </c>
      <c r="U863" s="19">
        <f>IF(COUNT(F863,H863,P863,R863,T863)=0,"",MIN(10,MAX(F863,H863,P863,R863,T863)))</f>
        <v/>
      </c>
      <c r="V863" s="11" t="n"/>
    </row>
    <row r="864">
      <c r="A864" s="15">
        <f>Murid!A864</f>
        <v/>
      </c>
      <c r="B864" s="15">
        <f>IF(Murid!B864="","",Murid!B864)</f>
        <v/>
      </c>
      <c r="C864" s="16">
        <f>IF(Murid!C864="","",Murid!C864)</f>
        <v/>
      </c>
      <c r="D864" s="15">
        <f>IF(Murid!E864="","",Murid!E864)</f>
        <v/>
      </c>
      <c r="E864" s="11" t="n"/>
      <c r="F864" s="10">
        <f>IF(E864="","",IFERROR(VLOOKUP(E864,T_PERK,2,FALSE),0))</f>
        <v/>
      </c>
      <c r="G864" s="11" t="n"/>
      <c r="H864" s="10">
        <f>IF(G864="","",IFERROR(VLOOKUP(G864,T_ANUG,2,FALSE),0))</f>
        <v/>
      </c>
      <c r="I864" s="11" t="n"/>
      <c r="J864" s="11" t="n"/>
      <c r="K864" s="11" t="n"/>
      <c r="L864" s="11" t="n"/>
      <c r="M864" s="11" t="n"/>
      <c r="N864" s="11" t="n"/>
      <c r="O864" s="11" t="n"/>
      <c r="P864" s="10">
        <f>IF(COUNTA(I864:O864)=0,"",MIN(10,SUM(I864:O864)))</f>
        <v/>
      </c>
      <c r="Q864" s="11" t="n"/>
      <c r="R864" s="10">
        <f>IF(Q864="","",IFERROR(VLOOKUP(Q864,T_NILAM,2,FALSE),0))</f>
        <v/>
      </c>
      <c r="S864" s="11" t="n"/>
      <c r="T864" s="10">
        <f>IF(S864="","",IFERROR(VLOOKUP(S864,T_TIMSS,2,FALSE),0))</f>
        <v/>
      </c>
      <c r="U864" s="19">
        <f>IF(COUNT(F864,H864,P864,R864,T864)=0,"",MIN(10,MAX(F864,H864,P864,R864,T864)))</f>
        <v/>
      </c>
      <c r="V864" s="11" t="n"/>
    </row>
    <row r="865">
      <c r="A865" s="15">
        <f>Murid!A865</f>
        <v/>
      </c>
      <c r="B865" s="15">
        <f>IF(Murid!B865="","",Murid!B865)</f>
        <v/>
      </c>
      <c r="C865" s="16">
        <f>IF(Murid!C865="","",Murid!C865)</f>
        <v/>
      </c>
      <c r="D865" s="15">
        <f>IF(Murid!E865="","",Murid!E865)</f>
        <v/>
      </c>
      <c r="E865" s="11" t="n"/>
      <c r="F865" s="10">
        <f>IF(E865="","",IFERROR(VLOOKUP(E865,T_PERK,2,FALSE),0))</f>
        <v/>
      </c>
      <c r="G865" s="11" t="n"/>
      <c r="H865" s="10">
        <f>IF(G865="","",IFERROR(VLOOKUP(G865,T_ANUG,2,FALSE),0))</f>
        <v/>
      </c>
      <c r="I865" s="11" t="n"/>
      <c r="J865" s="11" t="n"/>
      <c r="K865" s="11" t="n"/>
      <c r="L865" s="11" t="n"/>
      <c r="M865" s="11" t="n"/>
      <c r="N865" s="11" t="n"/>
      <c r="O865" s="11" t="n"/>
      <c r="P865" s="10">
        <f>IF(COUNTA(I865:O865)=0,"",MIN(10,SUM(I865:O865)))</f>
        <v/>
      </c>
      <c r="Q865" s="11" t="n"/>
      <c r="R865" s="10">
        <f>IF(Q865="","",IFERROR(VLOOKUP(Q865,T_NILAM,2,FALSE),0))</f>
        <v/>
      </c>
      <c r="S865" s="11" t="n"/>
      <c r="T865" s="10">
        <f>IF(S865="","",IFERROR(VLOOKUP(S865,T_TIMSS,2,FALSE),0))</f>
        <v/>
      </c>
      <c r="U865" s="19">
        <f>IF(COUNT(F865,H865,P865,R865,T865)=0,"",MIN(10,MAX(F865,H865,P865,R865,T865)))</f>
        <v/>
      </c>
      <c r="V865" s="11" t="n"/>
    </row>
    <row r="866">
      <c r="A866" s="15">
        <f>Murid!A866</f>
        <v/>
      </c>
      <c r="B866" s="15">
        <f>IF(Murid!B866="","",Murid!B866)</f>
        <v/>
      </c>
      <c r="C866" s="16">
        <f>IF(Murid!C866="","",Murid!C866)</f>
        <v/>
      </c>
      <c r="D866" s="15">
        <f>IF(Murid!E866="","",Murid!E866)</f>
        <v/>
      </c>
      <c r="E866" s="11" t="n"/>
      <c r="F866" s="10">
        <f>IF(E866="","",IFERROR(VLOOKUP(E866,T_PERK,2,FALSE),0))</f>
        <v/>
      </c>
      <c r="G866" s="11" t="n"/>
      <c r="H866" s="10">
        <f>IF(G866="","",IFERROR(VLOOKUP(G866,T_ANUG,2,FALSE),0))</f>
        <v/>
      </c>
      <c r="I866" s="11" t="n"/>
      <c r="J866" s="11" t="n"/>
      <c r="K866" s="11" t="n"/>
      <c r="L866" s="11" t="n"/>
      <c r="M866" s="11" t="n"/>
      <c r="N866" s="11" t="n"/>
      <c r="O866" s="11" t="n"/>
      <c r="P866" s="10">
        <f>IF(COUNTA(I866:O866)=0,"",MIN(10,SUM(I866:O866)))</f>
        <v/>
      </c>
      <c r="Q866" s="11" t="n"/>
      <c r="R866" s="10">
        <f>IF(Q866="","",IFERROR(VLOOKUP(Q866,T_NILAM,2,FALSE),0))</f>
        <v/>
      </c>
      <c r="S866" s="11" t="n"/>
      <c r="T866" s="10">
        <f>IF(S866="","",IFERROR(VLOOKUP(S866,T_TIMSS,2,FALSE),0))</f>
        <v/>
      </c>
      <c r="U866" s="19">
        <f>IF(COUNT(F866,H866,P866,R866,T866)=0,"",MIN(10,MAX(F866,H866,P866,R866,T866)))</f>
        <v/>
      </c>
      <c r="V866" s="11" t="n"/>
    </row>
    <row r="867">
      <c r="A867" s="15">
        <f>Murid!A867</f>
        <v/>
      </c>
      <c r="B867" s="15">
        <f>IF(Murid!B867="","",Murid!B867)</f>
        <v/>
      </c>
      <c r="C867" s="16">
        <f>IF(Murid!C867="","",Murid!C867)</f>
        <v/>
      </c>
      <c r="D867" s="15">
        <f>IF(Murid!E867="","",Murid!E867)</f>
        <v/>
      </c>
      <c r="E867" s="11" t="n"/>
      <c r="F867" s="10">
        <f>IF(E867="","",IFERROR(VLOOKUP(E867,T_PERK,2,FALSE),0))</f>
        <v/>
      </c>
      <c r="G867" s="11" t="n"/>
      <c r="H867" s="10">
        <f>IF(G867="","",IFERROR(VLOOKUP(G867,T_ANUG,2,FALSE),0))</f>
        <v/>
      </c>
      <c r="I867" s="11" t="n"/>
      <c r="J867" s="11" t="n"/>
      <c r="K867" s="11" t="n"/>
      <c r="L867" s="11" t="n"/>
      <c r="M867" s="11" t="n"/>
      <c r="N867" s="11" t="n"/>
      <c r="O867" s="11" t="n"/>
      <c r="P867" s="10">
        <f>IF(COUNTA(I867:O867)=0,"",MIN(10,SUM(I867:O867)))</f>
        <v/>
      </c>
      <c r="Q867" s="11" t="n"/>
      <c r="R867" s="10">
        <f>IF(Q867="","",IFERROR(VLOOKUP(Q867,T_NILAM,2,FALSE),0))</f>
        <v/>
      </c>
      <c r="S867" s="11" t="n"/>
      <c r="T867" s="10">
        <f>IF(S867="","",IFERROR(VLOOKUP(S867,T_TIMSS,2,FALSE),0))</f>
        <v/>
      </c>
      <c r="U867" s="19">
        <f>IF(COUNT(F867,H867,P867,R867,T867)=0,"",MIN(10,MAX(F867,H867,P867,R867,T867)))</f>
        <v/>
      </c>
      <c r="V867" s="11" t="n"/>
    </row>
    <row r="868">
      <c r="A868" s="15">
        <f>Murid!A868</f>
        <v/>
      </c>
      <c r="B868" s="15">
        <f>IF(Murid!B868="","",Murid!B868)</f>
        <v/>
      </c>
      <c r="C868" s="16">
        <f>IF(Murid!C868="","",Murid!C868)</f>
        <v/>
      </c>
      <c r="D868" s="15">
        <f>IF(Murid!E868="","",Murid!E868)</f>
        <v/>
      </c>
      <c r="E868" s="11" t="n"/>
      <c r="F868" s="10">
        <f>IF(E868="","",IFERROR(VLOOKUP(E868,T_PERK,2,FALSE),0))</f>
        <v/>
      </c>
      <c r="G868" s="11" t="n"/>
      <c r="H868" s="10">
        <f>IF(G868="","",IFERROR(VLOOKUP(G868,T_ANUG,2,FALSE),0))</f>
        <v/>
      </c>
      <c r="I868" s="11" t="n"/>
      <c r="J868" s="11" t="n"/>
      <c r="K868" s="11" t="n"/>
      <c r="L868" s="11" t="n"/>
      <c r="M868" s="11" t="n"/>
      <c r="N868" s="11" t="n"/>
      <c r="O868" s="11" t="n"/>
      <c r="P868" s="10">
        <f>IF(COUNTA(I868:O868)=0,"",MIN(10,SUM(I868:O868)))</f>
        <v/>
      </c>
      <c r="Q868" s="11" t="n"/>
      <c r="R868" s="10">
        <f>IF(Q868="","",IFERROR(VLOOKUP(Q868,T_NILAM,2,FALSE),0))</f>
        <v/>
      </c>
      <c r="S868" s="11" t="n"/>
      <c r="T868" s="10">
        <f>IF(S868="","",IFERROR(VLOOKUP(S868,T_TIMSS,2,FALSE),0))</f>
        <v/>
      </c>
      <c r="U868" s="19">
        <f>IF(COUNT(F868,H868,P868,R868,T868)=0,"",MIN(10,MAX(F868,H868,P868,R868,T868)))</f>
        <v/>
      </c>
      <c r="V868" s="11" t="n"/>
    </row>
    <row r="869">
      <c r="A869" s="15">
        <f>Murid!A869</f>
        <v/>
      </c>
      <c r="B869" s="15">
        <f>IF(Murid!B869="","",Murid!B869)</f>
        <v/>
      </c>
      <c r="C869" s="16">
        <f>IF(Murid!C869="","",Murid!C869)</f>
        <v/>
      </c>
      <c r="D869" s="15">
        <f>IF(Murid!E869="","",Murid!E869)</f>
        <v/>
      </c>
      <c r="E869" s="11" t="n"/>
      <c r="F869" s="10">
        <f>IF(E869="","",IFERROR(VLOOKUP(E869,T_PERK,2,FALSE),0))</f>
        <v/>
      </c>
      <c r="G869" s="11" t="n"/>
      <c r="H869" s="10">
        <f>IF(G869="","",IFERROR(VLOOKUP(G869,T_ANUG,2,FALSE),0))</f>
        <v/>
      </c>
      <c r="I869" s="11" t="n"/>
      <c r="J869" s="11" t="n"/>
      <c r="K869" s="11" t="n"/>
      <c r="L869" s="11" t="n"/>
      <c r="M869" s="11" t="n"/>
      <c r="N869" s="11" t="n"/>
      <c r="O869" s="11" t="n"/>
      <c r="P869" s="10">
        <f>IF(COUNTA(I869:O869)=0,"",MIN(10,SUM(I869:O869)))</f>
        <v/>
      </c>
      <c r="Q869" s="11" t="n"/>
      <c r="R869" s="10">
        <f>IF(Q869="","",IFERROR(VLOOKUP(Q869,T_NILAM,2,FALSE),0))</f>
        <v/>
      </c>
      <c r="S869" s="11" t="n"/>
      <c r="T869" s="10">
        <f>IF(S869="","",IFERROR(VLOOKUP(S869,T_TIMSS,2,FALSE),0))</f>
        <v/>
      </c>
      <c r="U869" s="19">
        <f>IF(COUNT(F869,H869,P869,R869,T869)=0,"",MIN(10,MAX(F869,H869,P869,R869,T869)))</f>
        <v/>
      </c>
      <c r="V869" s="11" t="n"/>
    </row>
    <row r="870">
      <c r="A870" s="15">
        <f>Murid!A870</f>
        <v/>
      </c>
      <c r="B870" s="15">
        <f>IF(Murid!B870="","",Murid!B870)</f>
        <v/>
      </c>
      <c r="C870" s="16">
        <f>IF(Murid!C870="","",Murid!C870)</f>
        <v/>
      </c>
      <c r="D870" s="15">
        <f>IF(Murid!E870="","",Murid!E870)</f>
        <v/>
      </c>
      <c r="E870" s="11" t="n"/>
      <c r="F870" s="10">
        <f>IF(E870="","",IFERROR(VLOOKUP(E870,T_PERK,2,FALSE),0))</f>
        <v/>
      </c>
      <c r="G870" s="11" t="n"/>
      <c r="H870" s="10">
        <f>IF(G870="","",IFERROR(VLOOKUP(G870,T_ANUG,2,FALSE),0))</f>
        <v/>
      </c>
      <c r="I870" s="11" t="n"/>
      <c r="J870" s="11" t="n"/>
      <c r="K870" s="11" t="n"/>
      <c r="L870" s="11" t="n"/>
      <c r="M870" s="11" t="n"/>
      <c r="N870" s="11" t="n"/>
      <c r="O870" s="11" t="n"/>
      <c r="P870" s="10">
        <f>IF(COUNTA(I870:O870)=0,"",MIN(10,SUM(I870:O870)))</f>
        <v/>
      </c>
      <c r="Q870" s="11" t="n"/>
      <c r="R870" s="10">
        <f>IF(Q870="","",IFERROR(VLOOKUP(Q870,T_NILAM,2,FALSE),0))</f>
        <v/>
      </c>
      <c r="S870" s="11" t="n"/>
      <c r="T870" s="10">
        <f>IF(S870="","",IFERROR(VLOOKUP(S870,T_TIMSS,2,FALSE),0))</f>
        <v/>
      </c>
      <c r="U870" s="19">
        <f>IF(COUNT(F870,H870,P870,R870,T870)=0,"",MIN(10,MAX(F870,H870,P870,R870,T870)))</f>
        <v/>
      </c>
      <c r="V870" s="11" t="n"/>
    </row>
    <row r="871">
      <c r="A871" s="15">
        <f>Murid!A871</f>
        <v/>
      </c>
      <c r="B871" s="15">
        <f>IF(Murid!B871="","",Murid!B871)</f>
        <v/>
      </c>
      <c r="C871" s="16">
        <f>IF(Murid!C871="","",Murid!C871)</f>
        <v/>
      </c>
      <c r="D871" s="15">
        <f>IF(Murid!E871="","",Murid!E871)</f>
        <v/>
      </c>
      <c r="E871" s="11" t="n"/>
      <c r="F871" s="10">
        <f>IF(E871="","",IFERROR(VLOOKUP(E871,T_PERK,2,FALSE),0))</f>
        <v/>
      </c>
      <c r="G871" s="11" t="n"/>
      <c r="H871" s="10">
        <f>IF(G871="","",IFERROR(VLOOKUP(G871,T_ANUG,2,FALSE),0))</f>
        <v/>
      </c>
      <c r="I871" s="11" t="n"/>
      <c r="J871" s="11" t="n"/>
      <c r="K871" s="11" t="n"/>
      <c r="L871" s="11" t="n"/>
      <c r="M871" s="11" t="n"/>
      <c r="N871" s="11" t="n"/>
      <c r="O871" s="11" t="n"/>
      <c r="P871" s="10">
        <f>IF(COUNTA(I871:O871)=0,"",MIN(10,SUM(I871:O871)))</f>
        <v/>
      </c>
      <c r="Q871" s="11" t="n"/>
      <c r="R871" s="10">
        <f>IF(Q871="","",IFERROR(VLOOKUP(Q871,T_NILAM,2,FALSE),0))</f>
        <v/>
      </c>
      <c r="S871" s="11" t="n"/>
      <c r="T871" s="10">
        <f>IF(S871="","",IFERROR(VLOOKUP(S871,T_TIMSS,2,FALSE),0))</f>
        <v/>
      </c>
      <c r="U871" s="19">
        <f>IF(COUNT(F871,H871,P871,R871,T871)=0,"",MIN(10,MAX(F871,H871,P871,R871,T871)))</f>
        <v/>
      </c>
      <c r="V871" s="11" t="n"/>
    </row>
    <row r="872">
      <c r="A872" s="15">
        <f>Murid!A872</f>
        <v/>
      </c>
      <c r="B872" s="15">
        <f>IF(Murid!B872="","",Murid!B872)</f>
        <v/>
      </c>
      <c r="C872" s="16">
        <f>IF(Murid!C872="","",Murid!C872)</f>
        <v/>
      </c>
      <c r="D872" s="15">
        <f>IF(Murid!E872="","",Murid!E872)</f>
        <v/>
      </c>
      <c r="E872" s="11" t="n"/>
      <c r="F872" s="10">
        <f>IF(E872="","",IFERROR(VLOOKUP(E872,T_PERK,2,FALSE),0))</f>
        <v/>
      </c>
      <c r="G872" s="11" t="n"/>
      <c r="H872" s="10">
        <f>IF(G872="","",IFERROR(VLOOKUP(G872,T_ANUG,2,FALSE),0))</f>
        <v/>
      </c>
      <c r="I872" s="11" t="n"/>
      <c r="J872" s="11" t="n"/>
      <c r="K872" s="11" t="n"/>
      <c r="L872" s="11" t="n"/>
      <c r="M872" s="11" t="n"/>
      <c r="N872" s="11" t="n"/>
      <c r="O872" s="11" t="n"/>
      <c r="P872" s="10">
        <f>IF(COUNTA(I872:O872)=0,"",MIN(10,SUM(I872:O872)))</f>
        <v/>
      </c>
      <c r="Q872" s="11" t="n"/>
      <c r="R872" s="10">
        <f>IF(Q872="","",IFERROR(VLOOKUP(Q872,T_NILAM,2,FALSE),0))</f>
        <v/>
      </c>
      <c r="S872" s="11" t="n"/>
      <c r="T872" s="10">
        <f>IF(S872="","",IFERROR(VLOOKUP(S872,T_TIMSS,2,FALSE),0))</f>
        <v/>
      </c>
      <c r="U872" s="19">
        <f>IF(COUNT(F872,H872,P872,R872,T872)=0,"",MIN(10,MAX(F872,H872,P872,R872,T872)))</f>
        <v/>
      </c>
      <c r="V872" s="11" t="n"/>
    </row>
    <row r="873">
      <c r="A873" s="15">
        <f>Murid!A873</f>
        <v/>
      </c>
      <c r="B873" s="15">
        <f>IF(Murid!B873="","",Murid!B873)</f>
        <v/>
      </c>
      <c r="C873" s="16">
        <f>IF(Murid!C873="","",Murid!C873)</f>
        <v/>
      </c>
      <c r="D873" s="15">
        <f>IF(Murid!E873="","",Murid!E873)</f>
        <v/>
      </c>
      <c r="E873" s="11" t="n"/>
      <c r="F873" s="10">
        <f>IF(E873="","",IFERROR(VLOOKUP(E873,T_PERK,2,FALSE),0))</f>
        <v/>
      </c>
      <c r="G873" s="11" t="n"/>
      <c r="H873" s="10">
        <f>IF(G873="","",IFERROR(VLOOKUP(G873,T_ANUG,2,FALSE),0))</f>
        <v/>
      </c>
      <c r="I873" s="11" t="n"/>
      <c r="J873" s="11" t="n"/>
      <c r="K873" s="11" t="n"/>
      <c r="L873" s="11" t="n"/>
      <c r="M873" s="11" t="n"/>
      <c r="N873" s="11" t="n"/>
      <c r="O873" s="11" t="n"/>
      <c r="P873" s="10">
        <f>IF(COUNTA(I873:O873)=0,"",MIN(10,SUM(I873:O873)))</f>
        <v/>
      </c>
      <c r="Q873" s="11" t="n"/>
      <c r="R873" s="10">
        <f>IF(Q873="","",IFERROR(VLOOKUP(Q873,T_NILAM,2,FALSE),0))</f>
        <v/>
      </c>
      <c r="S873" s="11" t="n"/>
      <c r="T873" s="10">
        <f>IF(S873="","",IFERROR(VLOOKUP(S873,T_TIMSS,2,FALSE),0))</f>
        <v/>
      </c>
      <c r="U873" s="19">
        <f>IF(COUNT(F873,H873,P873,R873,T873)=0,"",MIN(10,MAX(F873,H873,P873,R873,T873)))</f>
        <v/>
      </c>
      <c r="V873" s="11" t="n"/>
    </row>
    <row r="874">
      <c r="A874" s="15">
        <f>Murid!A874</f>
        <v/>
      </c>
      <c r="B874" s="15">
        <f>IF(Murid!B874="","",Murid!B874)</f>
        <v/>
      </c>
      <c r="C874" s="16">
        <f>IF(Murid!C874="","",Murid!C874)</f>
        <v/>
      </c>
      <c r="D874" s="15">
        <f>IF(Murid!E874="","",Murid!E874)</f>
        <v/>
      </c>
      <c r="E874" s="11" t="n"/>
      <c r="F874" s="10">
        <f>IF(E874="","",IFERROR(VLOOKUP(E874,T_PERK,2,FALSE),0))</f>
        <v/>
      </c>
      <c r="G874" s="11" t="n"/>
      <c r="H874" s="10">
        <f>IF(G874="","",IFERROR(VLOOKUP(G874,T_ANUG,2,FALSE),0))</f>
        <v/>
      </c>
      <c r="I874" s="11" t="n"/>
      <c r="J874" s="11" t="n"/>
      <c r="K874" s="11" t="n"/>
      <c r="L874" s="11" t="n"/>
      <c r="M874" s="11" t="n"/>
      <c r="N874" s="11" t="n"/>
      <c r="O874" s="11" t="n"/>
      <c r="P874" s="10">
        <f>IF(COUNTA(I874:O874)=0,"",MIN(10,SUM(I874:O874)))</f>
        <v/>
      </c>
      <c r="Q874" s="11" t="n"/>
      <c r="R874" s="10">
        <f>IF(Q874="","",IFERROR(VLOOKUP(Q874,T_NILAM,2,FALSE),0))</f>
        <v/>
      </c>
      <c r="S874" s="11" t="n"/>
      <c r="T874" s="10">
        <f>IF(S874="","",IFERROR(VLOOKUP(S874,T_TIMSS,2,FALSE),0))</f>
        <v/>
      </c>
      <c r="U874" s="19">
        <f>IF(COUNT(F874,H874,P874,R874,T874)=0,"",MIN(10,MAX(F874,H874,P874,R874,T874)))</f>
        <v/>
      </c>
      <c r="V874" s="11" t="n"/>
    </row>
    <row r="875">
      <c r="A875" s="15">
        <f>Murid!A875</f>
        <v/>
      </c>
      <c r="B875" s="15">
        <f>IF(Murid!B875="","",Murid!B875)</f>
        <v/>
      </c>
      <c r="C875" s="16">
        <f>IF(Murid!C875="","",Murid!C875)</f>
        <v/>
      </c>
      <c r="D875" s="15">
        <f>IF(Murid!E875="","",Murid!E875)</f>
        <v/>
      </c>
      <c r="E875" s="11" t="n"/>
      <c r="F875" s="10">
        <f>IF(E875="","",IFERROR(VLOOKUP(E875,T_PERK,2,FALSE),0))</f>
        <v/>
      </c>
      <c r="G875" s="11" t="n"/>
      <c r="H875" s="10">
        <f>IF(G875="","",IFERROR(VLOOKUP(G875,T_ANUG,2,FALSE),0))</f>
        <v/>
      </c>
      <c r="I875" s="11" t="n"/>
      <c r="J875" s="11" t="n"/>
      <c r="K875" s="11" t="n"/>
      <c r="L875" s="11" t="n"/>
      <c r="M875" s="11" t="n"/>
      <c r="N875" s="11" t="n"/>
      <c r="O875" s="11" t="n"/>
      <c r="P875" s="10">
        <f>IF(COUNTA(I875:O875)=0,"",MIN(10,SUM(I875:O875)))</f>
        <v/>
      </c>
      <c r="Q875" s="11" t="n"/>
      <c r="R875" s="10">
        <f>IF(Q875="","",IFERROR(VLOOKUP(Q875,T_NILAM,2,FALSE),0))</f>
        <v/>
      </c>
      <c r="S875" s="11" t="n"/>
      <c r="T875" s="10">
        <f>IF(S875="","",IFERROR(VLOOKUP(S875,T_TIMSS,2,FALSE),0))</f>
        <v/>
      </c>
      <c r="U875" s="19">
        <f>IF(COUNT(F875,H875,P875,R875,T875)=0,"",MIN(10,MAX(F875,H875,P875,R875,T875)))</f>
        <v/>
      </c>
      <c r="V875" s="11" t="n"/>
    </row>
    <row r="876">
      <c r="A876" s="15">
        <f>Murid!A876</f>
        <v/>
      </c>
      <c r="B876" s="15">
        <f>IF(Murid!B876="","",Murid!B876)</f>
        <v/>
      </c>
      <c r="C876" s="16">
        <f>IF(Murid!C876="","",Murid!C876)</f>
        <v/>
      </c>
      <c r="D876" s="15">
        <f>IF(Murid!E876="","",Murid!E876)</f>
        <v/>
      </c>
      <c r="E876" s="11" t="n"/>
      <c r="F876" s="10">
        <f>IF(E876="","",IFERROR(VLOOKUP(E876,T_PERK,2,FALSE),0))</f>
        <v/>
      </c>
      <c r="G876" s="11" t="n"/>
      <c r="H876" s="10">
        <f>IF(G876="","",IFERROR(VLOOKUP(G876,T_ANUG,2,FALSE),0))</f>
        <v/>
      </c>
      <c r="I876" s="11" t="n"/>
      <c r="J876" s="11" t="n"/>
      <c r="K876" s="11" t="n"/>
      <c r="L876" s="11" t="n"/>
      <c r="M876" s="11" t="n"/>
      <c r="N876" s="11" t="n"/>
      <c r="O876" s="11" t="n"/>
      <c r="P876" s="10">
        <f>IF(COUNTA(I876:O876)=0,"",MIN(10,SUM(I876:O876)))</f>
        <v/>
      </c>
      <c r="Q876" s="11" t="n"/>
      <c r="R876" s="10">
        <f>IF(Q876="","",IFERROR(VLOOKUP(Q876,T_NILAM,2,FALSE),0))</f>
        <v/>
      </c>
      <c r="S876" s="11" t="n"/>
      <c r="T876" s="10">
        <f>IF(S876="","",IFERROR(VLOOKUP(S876,T_TIMSS,2,FALSE),0))</f>
        <v/>
      </c>
      <c r="U876" s="19">
        <f>IF(COUNT(F876,H876,P876,R876,T876)=0,"",MIN(10,MAX(F876,H876,P876,R876,T876)))</f>
        <v/>
      </c>
      <c r="V876" s="11" t="n"/>
    </row>
    <row r="877">
      <c r="A877" s="15">
        <f>Murid!A877</f>
        <v/>
      </c>
      <c r="B877" s="15">
        <f>IF(Murid!B877="","",Murid!B877)</f>
        <v/>
      </c>
      <c r="C877" s="16">
        <f>IF(Murid!C877="","",Murid!C877)</f>
        <v/>
      </c>
      <c r="D877" s="15">
        <f>IF(Murid!E877="","",Murid!E877)</f>
        <v/>
      </c>
      <c r="E877" s="11" t="n"/>
      <c r="F877" s="10">
        <f>IF(E877="","",IFERROR(VLOOKUP(E877,T_PERK,2,FALSE),0))</f>
        <v/>
      </c>
      <c r="G877" s="11" t="n"/>
      <c r="H877" s="10">
        <f>IF(G877="","",IFERROR(VLOOKUP(G877,T_ANUG,2,FALSE),0))</f>
        <v/>
      </c>
      <c r="I877" s="11" t="n"/>
      <c r="J877" s="11" t="n"/>
      <c r="K877" s="11" t="n"/>
      <c r="L877" s="11" t="n"/>
      <c r="M877" s="11" t="n"/>
      <c r="N877" s="11" t="n"/>
      <c r="O877" s="11" t="n"/>
      <c r="P877" s="10">
        <f>IF(COUNTA(I877:O877)=0,"",MIN(10,SUM(I877:O877)))</f>
        <v/>
      </c>
      <c r="Q877" s="11" t="n"/>
      <c r="R877" s="10">
        <f>IF(Q877="","",IFERROR(VLOOKUP(Q877,T_NILAM,2,FALSE),0))</f>
        <v/>
      </c>
      <c r="S877" s="11" t="n"/>
      <c r="T877" s="10">
        <f>IF(S877="","",IFERROR(VLOOKUP(S877,T_TIMSS,2,FALSE),0))</f>
        <v/>
      </c>
      <c r="U877" s="19">
        <f>IF(COUNT(F877,H877,P877,R877,T877)=0,"",MIN(10,MAX(F877,H877,P877,R877,T877)))</f>
        <v/>
      </c>
      <c r="V877" s="11" t="n"/>
    </row>
    <row r="878">
      <c r="A878" s="15">
        <f>Murid!A878</f>
        <v/>
      </c>
      <c r="B878" s="15">
        <f>IF(Murid!B878="","",Murid!B878)</f>
        <v/>
      </c>
      <c r="C878" s="16">
        <f>IF(Murid!C878="","",Murid!C878)</f>
        <v/>
      </c>
      <c r="D878" s="15">
        <f>IF(Murid!E878="","",Murid!E878)</f>
        <v/>
      </c>
      <c r="E878" s="11" t="n"/>
      <c r="F878" s="10">
        <f>IF(E878="","",IFERROR(VLOOKUP(E878,T_PERK,2,FALSE),0))</f>
        <v/>
      </c>
      <c r="G878" s="11" t="n"/>
      <c r="H878" s="10">
        <f>IF(G878="","",IFERROR(VLOOKUP(G878,T_ANUG,2,FALSE),0))</f>
        <v/>
      </c>
      <c r="I878" s="11" t="n"/>
      <c r="J878" s="11" t="n"/>
      <c r="K878" s="11" t="n"/>
      <c r="L878" s="11" t="n"/>
      <c r="M878" s="11" t="n"/>
      <c r="N878" s="11" t="n"/>
      <c r="O878" s="11" t="n"/>
      <c r="P878" s="10">
        <f>IF(COUNTA(I878:O878)=0,"",MIN(10,SUM(I878:O878)))</f>
        <v/>
      </c>
      <c r="Q878" s="11" t="n"/>
      <c r="R878" s="10">
        <f>IF(Q878="","",IFERROR(VLOOKUP(Q878,T_NILAM,2,FALSE),0))</f>
        <v/>
      </c>
      <c r="S878" s="11" t="n"/>
      <c r="T878" s="10">
        <f>IF(S878="","",IFERROR(VLOOKUP(S878,T_TIMSS,2,FALSE),0))</f>
        <v/>
      </c>
      <c r="U878" s="19">
        <f>IF(COUNT(F878,H878,P878,R878,T878)=0,"",MIN(10,MAX(F878,H878,P878,R878,T878)))</f>
        <v/>
      </c>
      <c r="V878" s="11" t="n"/>
    </row>
    <row r="879">
      <c r="A879" s="15">
        <f>Murid!A879</f>
        <v/>
      </c>
      <c r="B879" s="15">
        <f>IF(Murid!B879="","",Murid!B879)</f>
        <v/>
      </c>
      <c r="C879" s="16">
        <f>IF(Murid!C879="","",Murid!C879)</f>
        <v/>
      </c>
      <c r="D879" s="15">
        <f>IF(Murid!E879="","",Murid!E879)</f>
        <v/>
      </c>
      <c r="E879" s="11" t="n"/>
      <c r="F879" s="10">
        <f>IF(E879="","",IFERROR(VLOOKUP(E879,T_PERK,2,FALSE),0))</f>
        <v/>
      </c>
      <c r="G879" s="11" t="n"/>
      <c r="H879" s="10">
        <f>IF(G879="","",IFERROR(VLOOKUP(G879,T_ANUG,2,FALSE),0))</f>
        <v/>
      </c>
      <c r="I879" s="11" t="n"/>
      <c r="J879" s="11" t="n"/>
      <c r="K879" s="11" t="n"/>
      <c r="L879" s="11" t="n"/>
      <c r="M879" s="11" t="n"/>
      <c r="N879" s="11" t="n"/>
      <c r="O879" s="11" t="n"/>
      <c r="P879" s="10">
        <f>IF(COUNTA(I879:O879)=0,"",MIN(10,SUM(I879:O879)))</f>
        <v/>
      </c>
      <c r="Q879" s="11" t="n"/>
      <c r="R879" s="10">
        <f>IF(Q879="","",IFERROR(VLOOKUP(Q879,T_NILAM,2,FALSE),0))</f>
        <v/>
      </c>
      <c r="S879" s="11" t="n"/>
      <c r="T879" s="10">
        <f>IF(S879="","",IFERROR(VLOOKUP(S879,T_TIMSS,2,FALSE),0))</f>
        <v/>
      </c>
      <c r="U879" s="19">
        <f>IF(COUNT(F879,H879,P879,R879,T879)=0,"",MIN(10,MAX(F879,H879,P879,R879,T879)))</f>
        <v/>
      </c>
      <c r="V879" s="11" t="n"/>
    </row>
    <row r="880">
      <c r="A880" s="15">
        <f>Murid!A880</f>
        <v/>
      </c>
      <c r="B880" s="15">
        <f>IF(Murid!B880="","",Murid!B880)</f>
        <v/>
      </c>
      <c r="C880" s="16">
        <f>IF(Murid!C880="","",Murid!C880)</f>
        <v/>
      </c>
      <c r="D880" s="15">
        <f>IF(Murid!E880="","",Murid!E880)</f>
        <v/>
      </c>
      <c r="E880" s="11" t="n"/>
      <c r="F880" s="10">
        <f>IF(E880="","",IFERROR(VLOOKUP(E880,T_PERK,2,FALSE),0))</f>
        <v/>
      </c>
      <c r="G880" s="11" t="n"/>
      <c r="H880" s="10">
        <f>IF(G880="","",IFERROR(VLOOKUP(G880,T_ANUG,2,FALSE),0))</f>
        <v/>
      </c>
      <c r="I880" s="11" t="n"/>
      <c r="J880" s="11" t="n"/>
      <c r="K880" s="11" t="n"/>
      <c r="L880" s="11" t="n"/>
      <c r="M880" s="11" t="n"/>
      <c r="N880" s="11" t="n"/>
      <c r="O880" s="11" t="n"/>
      <c r="P880" s="10">
        <f>IF(COUNTA(I880:O880)=0,"",MIN(10,SUM(I880:O880)))</f>
        <v/>
      </c>
      <c r="Q880" s="11" t="n"/>
      <c r="R880" s="10">
        <f>IF(Q880="","",IFERROR(VLOOKUP(Q880,T_NILAM,2,FALSE),0))</f>
        <v/>
      </c>
      <c r="S880" s="11" t="n"/>
      <c r="T880" s="10">
        <f>IF(S880="","",IFERROR(VLOOKUP(S880,T_TIMSS,2,FALSE),0))</f>
        <v/>
      </c>
      <c r="U880" s="19">
        <f>IF(COUNT(F880,H880,P880,R880,T880)=0,"",MIN(10,MAX(F880,H880,P880,R880,T880)))</f>
        <v/>
      </c>
      <c r="V880" s="11" t="n"/>
    </row>
    <row r="881">
      <c r="A881" s="15">
        <f>Murid!A881</f>
        <v/>
      </c>
      <c r="B881" s="15">
        <f>IF(Murid!B881="","",Murid!B881)</f>
        <v/>
      </c>
      <c r="C881" s="16">
        <f>IF(Murid!C881="","",Murid!C881)</f>
        <v/>
      </c>
      <c r="D881" s="15">
        <f>IF(Murid!E881="","",Murid!E881)</f>
        <v/>
      </c>
      <c r="E881" s="11" t="n"/>
      <c r="F881" s="10">
        <f>IF(E881="","",IFERROR(VLOOKUP(E881,T_PERK,2,FALSE),0))</f>
        <v/>
      </c>
      <c r="G881" s="11" t="n"/>
      <c r="H881" s="10">
        <f>IF(G881="","",IFERROR(VLOOKUP(G881,T_ANUG,2,FALSE),0))</f>
        <v/>
      </c>
      <c r="I881" s="11" t="n"/>
      <c r="J881" s="11" t="n"/>
      <c r="K881" s="11" t="n"/>
      <c r="L881" s="11" t="n"/>
      <c r="M881" s="11" t="n"/>
      <c r="N881" s="11" t="n"/>
      <c r="O881" s="11" t="n"/>
      <c r="P881" s="10">
        <f>IF(COUNTA(I881:O881)=0,"",MIN(10,SUM(I881:O881)))</f>
        <v/>
      </c>
      <c r="Q881" s="11" t="n"/>
      <c r="R881" s="10">
        <f>IF(Q881="","",IFERROR(VLOOKUP(Q881,T_NILAM,2,FALSE),0))</f>
        <v/>
      </c>
      <c r="S881" s="11" t="n"/>
      <c r="T881" s="10">
        <f>IF(S881="","",IFERROR(VLOOKUP(S881,T_TIMSS,2,FALSE),0))</f>
        <v/>
      </c>
      <c r="U881" s="19">
        <f>IF(COUNT(F881,H881,P881,R881,T881)=0,"",MIN(10,MAX(F881,H881,P881,R881,T881)))</f>
        <v/>
      </c>
      <c r="V881" s="11" t="n"/>
    </row>
    <row r="882">
      <c r="A882" s="15">
        <f>Murid!A882</f>
        <v/>
      </c>
      <c r="B882" s="15">
        <f>IF(Murid!B882="","",Murid!B882)</f>
        <v/>
      </c>
      <c r="C882" s="16">
        <f>IF(Murid!C882="","",Murid!C882)</f>
        <v/>
      </c>
      <c r="D882" s="15">
        <f>IF(Murid!E882="","",Murid!E882)</f>
        <v/>
      </c>
      <c r="E882" s="11" t="n"/>
      <c r="F882" s="10">
        <f>IF(E882="","",IFERROR(VLOOKUP(E882,T_PERK,2,FALSE),0))</f>
        <v/>
      </c>
      <c r="G882" s="11" t="n"/>
      <c r="H882" s="10">
        <f>IF(G882="","",IFERROR(VLOOKUP(G882,T_ANUG,2,FALSE),0))</f>
        <v/>
      </c>
      <c r="I882" s="11" t="n"/>
      <c r="J882" s="11" t="n"/>
      <c r="K882" s="11" t="n"/>
      <c r="L882" s="11" t="n"/>
      <c r="M882" s="11" t="n"/>
      <c r="N882" s="11" t="n"/>
      <c r="O882" s="11" t="n"/>
      <c r="P882" s="10">
        <f>IF(COUNTA(I882:O882)=0,"",MIN(10,SUM(I882:O882)))</f>
        <v/>
      </c>
      <c r="Q882" s="11" t="n"/>
      <c r="R882" s="10">
        <f>IF(Q882="","",IFERROR(VLOOKUP(Q882,T_NILAM,2,FALSE),0))</f>
        <v/>
      </c>
      <c r="S882" s="11" t="n"/>
      <c r="T882" s="10">
        <f>IF(S882="","",IFERROR(VLOOKUP(S882,T_TIMSS,2,FALSE),0))</f>
        <v/>
      </c>
      <c r="U882" s="19">
        <f>IF(COUNT(F882,H882,P882,R882,T882)=0,"",MIN(10,MAX(F882,H882,P882,R882,T882)))</f>
        <v/>
      </c>
      <c r="V882" s="11" t="n"/>
    </row>
    <row r="883">
      <c r="A883" s="15">
        <f>Murid!A883</f>
        <v/>
      </c>
      <c r="B883" s="15">
        <f>IF(Murid!B883="","",Murid!B883)</f>
        <v/>
      </c>
      <c r="C883" s="16">
        <f>IF(Murid!C883="","",Murid!C883)</f>
        <v/>
      </c>
      <c r="D883" s="15">
        <f>IF(Murid!E883="","",Murid!E883)</f>
        <v/>
      </c>
      <c r="E883" s="11" t="n"/>
      <c r="F883" s="10">
        <f>IF(E883="","",IFERROR(VLOOKUP(E883,T_PERK,2,FALSE),0))</f>
        <v/>
      </c>
      <c r="G883" s="11" t="n"/>
      <c r="H883" s="10">
        <f>IF(G883="","",IFERROR(VLOOKUP(G883,T_ANUG,2,FALSE),0))</f>
        <v/>
      </c>
      <c r="I883" s="11" t="n"/>
      <c r="J883" s="11" t="n"/>
      <c r="K883" s="11" t="n"/>
      <c r="L883" s="11" t="n"/>
      <c r="M883" s="11" t="n"/>
      <c r="N883" s="11" t="n"/>
      <c r="O883" s="11" t="n"/>
      <c r="P883" s="10">
        <f>IF(COUNTA(I883:O883)=0,"",MIN(10,SUM(I883:O883)))</f>
        <v/>
      </c>
      <c r="Q883" s="11" t="n"/>
      <c r="R883" s="10">
        <f>IF(Q883="","",IFERROR(VLOOKUP(Q883,T_NILAM,2,FALSE),0))</f>
        <v/>
      </c>
      <c r="S883" s="11" t="n"/>
      <c r="T883" s="10">
        <f>IF(S883="","",IFERROR(VLOOKUP(S883,T_TIMSS,2,FALSE),0))</f>
        <v/>
      </c>
      <c r="U883" s="19">
        <f>IF(COUNT(F883,H883,P883,R883,T883)=0,"",MIN(10,MAX(F883,H883,P883,R883,T883)))</f>
        <v/>
      </c>
      <c r="V883" s="11" t="n"/>
    </row>
    <row r="884">
      <c r="A884" s="15">
        <f>Murid!A884</f>
        <v/>
      </c>
      <c r="B884" s="15">
        <f>IF(Murid!B884="","",Murid!B884)</f>
        <v/>
      </c>
      <c r="C884" s="16">
        <f>IF(Murid!C884="","",Murid!C884)</f>
        <v/>
      </c>
      <c r="D884" s="15">
        <f>IF(Murid!E884="","",Murid!E884)</f>
        <v/>
      </c>
      <c r="E884" s="11" t="n"/>
      <c r="F884" s="10">
        <f>IF(E884="","",IFERROR(VLOOKUP(E884,T_PERK,2,FALSE),0))</f>
        <v/>
      </c>
      <c r="G884" s="11" t="n"/>
      <c r="H884" s="10">
        <f>IF(G884="","",IFERROR(VLOOKUP(G884,T_ANUG,2,FALSE),0))</f>
        <v/>
      </c>
      <c r="I884" s="11" t="n"/>
      <c r="J884" s="11" t="n"/>
      <c r="K884" s="11" t="n"/>
      <c r="L884" s="11" t="n"/>
      <c r="M884" s="11" t="n"/>
      <c r="N884" s="11" t="n"/>
      <c r="O884" s="11" t="n"/>
      <c r="P884" s="10">
        <f>IF(COUNTA(I884:O884)=0,"",MIN(10,SUM(I884:O884)))</f>
        <v/>
      </c>
      <c r="Q884" s="11" t="n"/>
      <c r="R884" s="10">
        <f>IF(Q884="","",IFERROR(VLOOKUP(Q884,T_NILAM,2,FALSE),0))</f>
        <v/>
      </c>
      <c r="S884" s="11" t="n"/>
      <c r="T884" s="10">
        <f>IF(S884="","",IFERROR(VLOOKUP(S884,T_TIMSS,2,FALSE),0))</f>
        <v/>
      </c>
      <c r="U884" s="19">
        <f>IF(COUNT(F884,H884,P884,R884,T884)=0,"",MIN(10,MAX(F884,H884,P884,R884,T884)))</f>
        <v/>
      </c>
      <c r="V884" s="11" t="n"/>
    </row>
    <row r="885">
      <c r="A885" s="15">
        <f>Murid!A885</f>
        <v/>
      </c>
      <c r="B885" s="15">
        <f>IF(Murid!B885="","",Murid!B885)</f>
        <v/>
      </c>
      <c r="C885" s="16">
        <f>IF(Murid!C885="","",Murid!C885)</f>
        <v/>
      </c>
      <c r="D885" s="15">
        <f>IF(Murid!E885="","",Murid!E885)</f>
        <v/>
      </c>
      <c r="E885" s="11" t="n"/>
      <c r="F885" s="10">
        <f>IF(E885="","",IFERROR(VLOOKUP(E885,T_PERK,2,FALSE),0))</f>
        <v/>
      </c>
      <c r="G885" s="11" t="n"/>
      <c r="H885" s="10">
        <f>IF(G885="","",IFERROR(VLOOKUP(G885,T_ANUG,2,FALSE),0))</f>
        <v/>
      </c>
      <c r="I885" s="11" t="n"/>
      <c r="J885" s="11" t="n"/>
      <c r="K885" s="11" t="n"/>
      <c r="L885" s="11" t="n"/>
      <c r="M885" s="11" t="n"/>
      <c r="N885" s="11" t="n"/>
      <c r="O885" s="11" t="n"/>
      <c r="P885" s="10">
        <f>IF(COUNTA(I885:O885)=0,"",MIN(10,SUM(I885:O885)))</f>
        <v/>
      </c>
      <c r="Q885" s="11" t="n"/>
      <c r="R885" s="10">
        <f>IF(Q885="","",IFERROR(VLOOKUP(Q885,T_NILAM,2,FALSE),0))</f>
        <v/>
      </c>
      <c r="S885" s="11" t="n"/>
      <c r="T885" s="10">
        <f>IF(S885="","",IFERROR(VLOOKUP(S885,T_TIMSS,2,FALSE),0))</f>
        <v/>
      </c>
      <c r="U885" s="19">
        <f>IF(COUNT(F885,H885,P885,R885,T885)=0,"",MIN(10,MAX(F885,H885,P885,R885,T885)))</f>
        <v/>
      </c>
      <c r="V885" s="11" t="n"/>
    </row>
    <row r="886">
      <c r="A886" s="15">
        <f>Murid!A886</f>
        <v/>
      </c>
      <c r="B886" s="15">
        <f>IF(Murid!B886="","",Murid!B886)</f>
        <v/>
      </c>
      <c r="C886" s="16">
        <f>IF(Murid!C886="","",Murid!C886)</f>
        <v/>
      </c>
      <c r="D886" s="15">
        <f>IF(Murid!E886="","",Murid!E886)</f>
        <v/>
      </c>
      <c r="E886" s="11" t="n"/>
      <c r="F886" s="10">
        <f>IF(E886="","",IFERROR(VLOOKUP(E886,T_PERK,2,FALSE),0))</f>
        <v/>
      </c>
      <c r="G886" s="11" t="n"/>
      <c r="H886" s="10">
        <f>IF(G886="","",IFERROR(VLOOKUP(G886,T_ANUG,2,FALSE),0))</f>
        <v/>
      </c>
      <c r="I886" s="11" t="n"/>
      <c r="J886" s="11" t="n"/>
      <c r="K886" s="11" t="n"/>
      <c r="L886" s="11" t="n"/>
      <c r="M886" s="11" t="n"/>
      <c r="N886" s="11" t="n"/>
      <c r="O886" s="11" t="n"/>
      <c r="P886" s="10">
        <f>IF(COUNTA(I886:O886)=0,"",MIN(10,SUM(I886:O886)))</f>
        <v/>
      </c>
      <c r="Q886" s="11" t="n"/>
      <c r="R886" s="10">
        <f>IF(Q886="","",IFERROR(VLOOKUP(Q886,T_NILAM,2,FALSE),0))</f>
        <v/>
      </c>
      <c r="S886" s="11" t="n"/>
      <c r="T886" s="10">
        <f>IF(S886="","",IFERROR(VLOOKUP(S886,T_TIMSS,2,FALSE),0))</f>
        <v/>
      </c>
      <c r="U886" s="19">
        <f>IF(COUNT(F886,H886,P886,R886,T886)=0,"",MIN(10,MAX(F886,H886,P886,R886,T886)))</f>
        <v/>
      </c>
      <c r="V886" s="11" t="n"/>
    </row>
    <row r="887">
      <c r="A887" s="15">
        <f>Murid!A887</f>
        <v/>
      </c>
      <c r="B887" s="15">
        <f>IF(Murid!B887="","",Murid!B887)</f>
        <v/>
      </c>
      <c r="C887" s="16">
        <f>IF(Murid!C887="","",Murid!C887)</f>
        <v/>
      </c>
      <c r="D887" s="15">
        <f>IF(Murid!E887="","",Murid!E887)</f>
        <v/>
      </c>
      <c r="E887" s="11" t="n"/>
      <c r="F887" s="10">
        <f>IF(E887="","",IFERROR(VLOOKUP(E887,T_PERK,2,FALSE),0))</f>
        <v/>
      </c>
      <c r="G887" s="11" t="n"/>
      <c r="H887" s="10">
        <f>IF(G887="","",IFERROR(VLOOKUP(G887,T_ANUG,2,FALSE),0))</f>
        <v/>
      </c>
      <c r="I887" s="11" t="n"/>
      <c r="J887" s="11" t="n"/>
      <c r="K887" s="11" t="n"/>
      <c r="L887" s="11" t="n"/>
      <c r="M887" s="11" t="n"/>
      <c r="N887" s="11" t="n"/>
      <c r="O887" s="11" t="n"/>
      <c r="P887" s="10">
        <f>IF(COUNTA(I887:O887)=0,"",MIN(10,SUM(I887:O887)))</f>
        <v/>
      </c>
      <c r="Q887" s="11" t="n"/>
      <c r="R887" s="10">
        <f>IF(Q887="","",IFERROR(VLOOKUP(Q887,T_NILAM,2,FALSE),0))</f>
        <v/>
      </c>
      <c r="S887" s="11" t="n"/>
      <c r="T887" s="10">
        <f>IF(S887="","",IFERROR(VLOOKUP(S887,T_TIMSS,2,FALSE),0))</f>
        <v/>
      </c>
      <c r="U887" s="19">
        <f>IF(COUNT(F887,H887,P887,R887,T887)=0,"",MIN(10,MAX(F887,H887,P887,R887,T887)))</f>
        <v/>
      </c>
      <c r="V887" s="11" t="n"/>
    </row>
    <row r="888">
      <c r="A888" s="15">
        <f>Murid!A888</f>
        <v/>
      </c>
      <c r="B888" s="15">
        <f>IF(Murid!B888="","",Murid!B888)</f>
        <v/>
      </c>
      <c r="C888" s="16">
        <f>IF(Murid!C888="","",Murid!C888)</f>
        <v/>
      </c>
      <c r="D888" s="15">
        <f>IF(Murid!E888="","",Murid!E888)</f>
        <v/>
      </c>
      <c r="E888" s="11" t="n"/>
      <c r="F888" s="10">
        <f>IF(E888="","",IFERROR(VLOOKUP(E888,T_PERK,2,FALSE),0))</f>
        <v/>
      </c>
      <c r="G888" s="11" t="n"/>
      <c r="H888" s="10">
        <f>IF(G888="","",IFERROR(VLOOKUP(G888,T_ANUG,2,FALSE),0))</f>
        <v/>
      </c>
      <c r="I888" s="11" t="n"/>
      <c r="J888" s="11" t="n"/>
      <c r="K888" s="11" t="n"/>
      <c r="L888" s="11" t="n"/>
      <c r="M888" s="11" t="n"/>
      <c r="N888" s="11" t="n"/>
      <c r="O888" s="11" t="n"/>
      <c r="P888" s="10">
        <f>IF(COUNTA(I888:O888)=0,"",MIN(10,SUM(I888:O888)))</f>
        <v/>
      </c>
      <c r="Q888" s="11" t="n"/>
      <c r="R888" s="10">
        <f>IF(Q888="","",IFERROR(VLOOKUP(Q888,T_NILAM,2,FALSE),0))</f>
        <v/>
      </c>
      <c r="S888" s="11" t="n"/>
      <c r="T888" s="10">
        <f>IF(S888="","",IFERROR(VLOOKUP(S888,T_TIMSS,2,FALSE),0))</f>
        <v/>
      </c>
      <c r="U888" s="19">
        <f>IF(COUNT(F888,H888,P888,R888,T888)=0,"",MIN(10,MAX(F888,H888,P888,R888,T888)))</f>
        <v/>
      </c>
      <c r="V888" s="11" t="n"/>
    </row>
    <row r="889">
      <c r="A889" s="15">
        <f>Murid!A889</f>
        <v/>
      </c>
      <c r="B889" s="15">
        <f>IF(Murid!B889="","",Murid!B889)</f>
        <v/>
      </c>
      <c r="C889" s="16">
        <f>IF(Murid!C889="","",Murid!C889)</f>
        <v/>
      </c>
      <c r="D889" s="15">
        <f>IF(Murid!E889="","",Murid!E889)</f>
        <v/>
      </c>
      <c r="E889" s="11" t="n"/>
      <c r="F889" s="10">
        <f>IF(E889="","",IFERROR(VLOOKUP(E889,T_PERK,2,FALSE),0))</f>
        <v/>
      </c>
      <c r="G889" s="11" t="n"/>
      <c r="H889" s="10">
        <f>IF(G889="","",IFERROR(VLOOKUP(G889,T_ANUG,2,FALSE),0))</f>
        <v/>
      </c>
      <c r="I889" s="11" t="n"/>
      <c r="J889" s="11" t="n"/>
      <c r="K889" s="11" t="n"/>
      <c r="L889" s="11" t="n"/>
      <c r="M889" s="11" t="n"/>
      <c r="N889" s="11" t="n"/>
      <c r="O889" s="11" t="n"/>
      <c r="P889" s="10">
        <f>IF(COUNTA(I889:O889)=0,"",MIN(10,SUM(I889:O889)))</f>
        <v/>
      </c>
      <c r="Q889" s="11" t="n"/>
      <c r="R889" s="10">
        <f>IF(Q889="","",IFERROR(VLOOKUP(Q889,T_NILAM,2,FALSE),0))</f>
        <v/>
      </c>
      <c r="S889" s="11" t="n"/>
      <c r="T889" s="10">
        <f>IF(S889="","",IFERROR(VLOOKUP(S889,T_TIMSS,2,FALSE),0))</f>
        <v/>
      </c>
      <c r="U889" s="19">
        <f>IF(COUNT(F889,H889,P889,R889,T889)=0,"",MIN(10,MAX(F889,H889,P889,R889,T889)))</f>
        <v/>
      </c>
      <c r="V889" s="11" t="n"/>
    </row>
    <row r="890">
      <c r="A890" s="15">
        <f>Murid!A890</f>
        <v/>
      </c>
      <c r="B890" s="15">
        <f>IF(Murid!B890="","",Murid!B890)</f>
        <v/>
      </c>
      <c r="C890" s="16">
        <f>IF(Murid!C890="","",Murid!C890)</f>
        <v/>
      </c>
      <c r="D890" s="15">
        <f>IF(Murid!E890="","",Murid!E890)</f>
        <v/>
      </c>
      <c r="E890" s="11" t="n"/>
      <c r="F890" s="10">
        <f>IF(E890="","",IFERROR(VLOOKUP(E890,T_PERK,2,FALSE),0))</f>
        <v/>
      </c>
      <c r="G890" s="11" t="n"/>
      <c r="H890" s="10">
        <f>IF(G890="","",IFERROR(VLOOKUP(G890,T_ANUG,2,FALSE),0))</f>
        <v/>
      </c>
      <c r="I890" s="11" t="n"/>
      <c r="J890" s="11" t="n"/>
      <c r="K890" s="11" t="n"/>
      <c r="L890" s="11" t="n"/>
      <c r="M890" s="11" t="n"/>
      <c r="N890" s="11" t="n"/>
      <c r="O890" s="11" t="n"/>
      <c r="P890" s="10">
        <f>IF(COUNTA(I890:O890)=0,"",MIN(10,SUM(I890:O890)))</f>
        <v/>
      </c>
      <c r="Q890" s="11" t="n"/>
      <c r="R890" s="10">
        <f>IF(Q890="","",IFERROR(VLOOKUP(Q890,T_NILAM,2,FALSE),0))</f>
        <v/>
      </c>
      <c r="S890" s="11" t="n"/>
      <c r="T890" s="10">
        <f>IF(S890="","",IFERROR(VLOOKUP(S890,T_TIMSS,2,FALSE),0))</f>
        <v/>
      </c>
      <c r="U890" s="19">
        <f>IF(COUNT(F890,H890,P890,R890,T890)=0,"",MIN(10,MAX(F890,H890,P890,R890,T890)))</f>
        <v/>
      </c>
      <c r="V890" s="11" t="n"/>
    </row>
    <row r="891">
      <c r="A891" s="15">
        <f>Murid!A891</f>
        <v/>
      </c>
      <c r="B891" s="15">
        <f>IF(Murid!B891="","",Murid!B891)</f>
        <v/>
      </c>
      <c r="C891" s="16">
        <f>IF(Murid!C891="","",Murid!C891)</f>
        <v/>
      </c>
      <c r="D891" s="15">
        <f>IF(Murid!E891="","",Murid!E891)</f>
        <v/>
      </c>
      <c r="E891" s="11" t="n"/>
      <c r="F891" s="10">
        <f>IF(E891="","",IFERROR(VLOOKUP(E891,T_PERK,2,FALSE),0))</f>
        <v/>
      </c>
      <c r="G891" s="11" t="n"/>
      <c r="H891" s="10">
        <f>IF(G891="","",IFERROR(VLOOKUP(G891,T_ANUG,2,FALSE),0))</f>
        <v/>
      </c>
      <c r="I891" s="11" t="n"/>
      <c r="J891" s="11" t="n"/>
      <c r="K891" s="11" t="n"/>
      <c r="L891" s="11" t="n"/>
      <c r="M891" s="11" t="n"/>
      <c r="N891" s="11" t="n"/>
      <c r="O891" s="11" t="n"/>
      <c r="P891" s="10">
        <f>IF(COUNTA(I891:O891)=0,"",MIN(10,SUM(I891:O891)))</f>
        <v/>
      </c>
      <c r="Q891" s="11" t="n"/>
      <c r="R891" s="10">
        <f>IF(Q891="","",IFERROR(VLOOKUP(Q891,T_NILAM,2,FALSE),0))</f>
        <v/>
      </c>
      <c r="S891" s="11" t="n"/>
      <c r="T891" s="10">
        <f>IF(S891="","",IFERROR(VLOOKUP(S891,T_TIMSS,2,FALSE),0))</f>
        <v/>
      </c>
      <c r="U891" s="19">
        <f>IF(COUNT(F891,H891,P891,R891,T891)=0,"",MIN(10,MAX(F891,H891,P891,R891,T891)))</f>
        <v/>
      </c>
      <c r="V891" s="11" t="n"/>
    </row>
    <row r="892">
      <c r="A892" s="15">
        <f>Murid!A892</f>
        <v/>
      </c>
      <c r="B892" s="15">
        <f>IF(Murid!B892="","",Murid!B892)</f>
        <v/>
      </c>
      <c r="C892" s="16">
        <f>IF(Murid!C892="","",Murid!C892)</f>
        <v/>
      </c>
      <c r="D892" s="15">
        <f>IF(Murid!E892="","",Murid!E892)</f>
        <v/>
      </c>
      <c r="E892" s="11" t="n"/>
      <c r="F892" s="10">
        <f>IF(E892="","",IFERROR(VLOOKUP(E892,T_PERK,2,FALSE),0))</f>
        <v/>
      </c>
      <c r="G892" s="11" t="n"/>
      <c r="H892" s="10">
        <f>IF(G892="","",IFERROR(VLOOKUP(G892,T_ANUG,2,FALSE),0))</f>
        <v/>
      </c>
      <c r="I892" s="11" t="n"/>
      <c r="J892" s="11" t="n"/>
      <c r="K892" s="11" t="n"/>
      <c r="L892" s="11" t="n"/>
      <c r="M892" s="11" t="n"/>
      <c r="N892" s="11" t="n"/>
      <c r="O892" s="11" t="n"/>
      <c r="P892" s="10">
        <f>IF(COUNTA(I892:O892)=0,"",MIN(10,SUM(I892:O892)))</f>
        <v/>
      </c>
      <c r="Q892" s="11" t="n"/>
      <c r="R892" s="10">
        <f>IF(Q892="","",IFERROR(VLOOKUP(Q892,T_NILAM,2,FALSE),0))</f>
        <v/>
      </c>
      <c r="S892" s="11" t="n"/>
      <c r="T892" s="10">
        <f>IF(S892="","",IFERROR(VLOOKUP(S892,T_TIMSS,2,FALSE),0))</f>
        <v/>
      </c>
      <c r="U892" s="19">
        <f>IF(COUNT(F892,H892,P892,R892,T892)=0,"",MIN(10,MAX(F892,H892,P892,R892,T892)))</f>
        <v/>
      </c>
      <c r="V892" s="11" t="n"/>
    </row>
    <row r="893">
      <c r="A893" s="15">
        <f>Murid!A893</f>
        <v/>
      </c>
      <c r="B893" s="15">
        <f>IF(Murid!B893="","",Murid!B893)</f>
        <v/>
      </c>
      <c r="C893" s="16">
        <f>IF(Murid!C893="","",Murid!C893)</f>
        <v/>
      </c>
      <c r="D893" s="15">
        <f>IF(Murid!E893="","",Murid!E893)</f>
        <v/>
      </c>
      <c r="E893" s="11" t="n"/>
      <c r="F893" s="10">
        <f>IF(E893="","",IFERROR(VLOOKUP(E893,T_PERK,2,FALSE),0))</f>
        <v/>
      </c>
      <c r="G893" s="11" t="n"/>
      <c r="H893" s="10">
        <f>IF(G893="","",IFERROR(VLOOKUP(G893,T_ANUG,2,FALSE),0))</f>
        <v/>
      </c>
      <c r="I893" s="11" t="n"/>
      <c r="J893" s="11" t="n"/>
      <c r="K893" s="11" t="n"/>
      <c r="L893" s="11" t="n"/>
      <c r="M893" s="11" t="n"/>
      <c r="N893" s="11" t="n"/>
      <c r="O893" s="11" t="n"/>
      <c r="P893" s="10">
        <f>IF(COUNTA(I893:O893)=0,"",MIN(10,SUM(I893:O893)))</f>
        <v/>
      </c>
      <c r="Q893" s="11" t="n"/>
      <c r="R893" s="10">
        <f>IF(Q893="","",IFERROR(VLOOKUP(Q893,T_NILAM,2,FALSE),0))</f>
        <v/>
      </c>
      <c r="S893" s="11" t="n"/>
      <c r="T893" s="10">
        <f>IF(S893="","",IFERROR(VLOOKUP(S893,T_TIMSS,2,FALSE),0))</f>
        <v/>
      </c>
      <c r="U893" s="19">
        <f>IF(COUNT(F893,H893,P893,R893,T893)=0,"",MIN(10,MAX(F893,H893,P893,R893,T893)))</f>
        <v/>
      </c>
      <c r="V893" s="11" t="n"/>
    </row>
    <row r="894">
      <c r="A894" s="15">
        <f>Murid!A894</f>
        <v/>
      </c>
      <c r="B894" s="15">
        <f>IF(Murid!B894="","",Murid!B894)</f>
        <v/>
      </c>
      <c r="C894" s="16">
        <f>IF(Murid!C894="","",Murid!C894)</f>
        <v/>
      </c>
      <c r="D894" s="15">
        <f>IF(Murid!E894="","",Murid!E894)</f>
        <v/>
      </c>
      <c r="E894" s="11" t="n"/>
      <c r="F894" s="10">
        <f>IF(E894="","",IFERROR(VLOOKUP(E894,T_PERK,2,FALSE),0))</f>
        <v/>
      </c>
      <c r="G894" s="11" t="n"/>
      <c r="H894" s="10">
        <f>IF(G894="","",IFERROR(VLOOKUP(G894,T_ANUG,2,FALSE),0))</f>
        <v/>
      </c>
      <c r="I894" s="11" t="n"/>
      <c r="J894" s="11" t="n"/>
      <c r="K894" s="11" t="n"/>
      <c r="L894" s="11" t="n"/>
      <c r="M894" s="11" t="n"/>
      <c r="N894" s="11" t="n"/>
      <c r="O894" s="11" t="n"/>
      <c r="P894" s="10">
        <f>IF(COUNTA(I894:O894)=0,"",MIN(10,SUM(I894:O894)))</f>
        <v/>
      </c>
      <c r="Q894" s="11" t="n"/>
      <c r="R894" s="10">
        <f>IF(Q894="","",IFERROR(VLOOKUP(Q894,T_NILAM,2,FALSE),0))</f>
        <v/>
      </c>
      <c r="S894" s="11" t="n"/>
      <c r="T894" s="10">
        <f>IF(S894="","",IFERROR(VLOOKUP(S894,T_TIMSS,2,FALSE),0))</f>
        <v/>
      </c>
      <c r="U894" s="19">
        <f>IF(COUNT(F894,H894,P894,R894,T894)=0,"",MIN(10,MAX(F894,H894,P894,R894,T894)))</f>
        <v/>
      </c>
      <c r="V894" s="11" t="n"/>
    </row>
    <row r="895">
      <c r="A895" s="15">
        <f>Murid!A895</f>
        <v/>
      </c>
      <c r="B895" s="15">
        <f>IF(Murid!B895="","",Murid!B895)</f>
        <v/>
      </c>
      <c r="C895" s="16">
        <f>IF(Murid!C895="","",Murid!C895)</f>
        <v/>
      </c>
      <c r="D895" s="15">
        <f>IF(Murid!E895="","",Murid!E895)</f>
        <v/>
      </c>
      <c r="E895" s="11" t="n"/>
      <c r="F895" s="10">
        <f>IF(E895="","",IFERROR(VLOOKUP(E895,T_PERK,2,FALSE),0))</f>
        <v/>
      </c>
      <c r="G895" s="11" t="n"/>
      <c r="H895" s="10">
        <f>IF(G895="","",IFERROR(VLOOKUP(G895,T_ANUG,2,FALSE),0))</f>
        <v/>
      </c>
      <c r="I895" s="11" t="n"/>
      <c r="J895" s="11" t="n"/>
      <c r="K895" s="11" t="n"/>
      <c r="L895" s="11" t="n"/>
      <c r="M895" s="11" t="n"/>
      <c r="N895" s="11" t="n"/>
      <c r="O895" s="11" t="n"/>
      <c r="P895" s="10">
        <f>IF(COUNTA(I895:O895)=0,"",MIN(10,SUM(I895:O895)))</f>
        <v/>
      </c>
      <c r="Q895" s="11" t="n"/>
      <c r="R895" s="10">
        <f>IF(Q895="","",IFERROR(VLOOKUP(Q895,T_NILAM,2,FALSE),0))</f>
        <v/>
      </c>
      <c r="S895" s="11" t="n"/>
      <c r="T895" s="10">
        <f>IF(S895="","",IFERROR(VLOOKUP(S895,T_TIMSS,2,FALSE),0))</f>
        <v/>
      </c>
      <c r="U895" s="19">
        <f>IF(COUNT(F895,H895,P895,R895,T895)=0,"",MIN(10,MAX(F895,H895,P895,R895,T895)))</f>
        <v/>
      </c>
      <c r="V895" s="11" t="n"/>
    </row>
    <row r="896">
      <c r="A896" s="15">
        <f>Murid!A896</f>
        <v/>
      </c>
      <c r="B896" s="15">
        <f>IF(Murid!B896="","",Murid!B896)</f>
        <v/>
      </c>
      <c r="C896" s="16">
        <f>IF(Murid!C896="","",Murid!C896)</f>
        <v/>
      </c>
      <c r="D896" s="15">
        <f>IF(Murid!E896="","",Murid!E896)</f>
        <v/>
      </c>
      <c r="E896" s="11" t="n"/>
      <c r="F896" s="10">
        <f>IF(E896="","",IFERROR(VLOOKUP(E896,T_PERK,2,FALSE),0))</f>
        <v/>
      </c>
      <c r="G896" s="11" t="n"/>
      <c r="H896" s="10">
        <f>IF(G896="","",IFERROR(VLOOKUP(G896,T_ANUG,2,FALSE),0))</f>
        <v/>
      </c>
      <c r="I896" s="11" t="n"/>
      <c r="J896" s="11" t="n"/>
      <c r="K896" s="11" t="n"/>
      <c r="L896" s="11" t="n"/>
      <c r="M896" s="11" t="n"/>
      <c r="N896" s="11" t="n"/>
      <c r="O896" s="11" t="n"/>
      <c r="P896" s="10">
        <f>IF(COUNTA(I896:O896)=0,"",MIN(10,SUM(I896:O896)))</f>
        <v/>
      </c>
      <c r="Q896" s="11" t="n"/>
      <c r="R896" s="10">
        <f>IF(Q896="","",IFERROR(VLOOKUP(Q896,T_NILAM,2,FALSE),0))</f>
        <v/>
      </c>
      <c r="S896" s="11" t="n"/>
      <c r="T896" s="10">
        <f>IF(S896="","",IFERROR(VLOOKUP(S896,T_TIMSS,2,FALSE),0))</f>
        <v/>
      </c>
      <c r="U896" s="19">
        <f>IF(COUNT(F896,H896,P896,R896,T896)=0,"",MIN(10,MAX(F896,H896,P896,R896,T896)))</f>
        <v/>
      </c>
      <c r="V896" s="11" t="n"/>
    </row>
    <row r="897">
      <c r="A897" s="15">
        <f>Murid!A897</f>
        <v/>
      </c>
      <c r="B897" s="15">
        <f>IF(Murid!B897="","",Murid!B897)</f>
        <v/>
      </c>
      <c r="C897" s="16">
        <f>IF(Murid!C897="","",Murid!C897)</f>
        <v/>
      </c>
      <c r="D897" s="15">
        <f>IF(Murid!E897="","",Murid!E897)</f>
        <v/>
      </c>
      <c r="E897" s="11" t="n"/>
      <c r="F897" s="10">
        <f>IF(E897="","",IFERROR(VLOOKUP(E897,T_PERK,2,FALSE),0))</f>
        <v/>
      </c>
      <c r="G897" s="11" t="n"/>
      <c r="H897" s="10">
        <f>IF(G897="","",IFERROR(VLOOKUP(G897,T_ANUG,2,FALSE),0))</f>
        <v/>
      </c>
      <c r="I897" s="11" t="n"/>
      <c r="J897" s="11" t="n"/>
      <c r="K897" s="11" t="n"/>
      <c r="L897" s="11" t="n"/>
      <c r="M897" s="11" t="n"/>
      <c r="N897" s="11" t="n"/>
      <c r="O897" s="11" t="n"/>
      <c r="P897" s="10">
        <f>IF(COUNTA(I897:O897)=0,"",MIN(10,SUM(I897:O897)))</f>
        <v/>
      </c>
      <c r="Q897" s="11" t="n"/>
      <c r="R897" s="10">
        <f>IF(Q897="","",IFERROR(VLOOKUP(Q897,T_NILAM,2,FALSE),0))</f>
        <v/>
      </c>
      <c r="S897" s="11" t="n"/>
      <c r="T897" s="10">
        <f>IF(S897="","",IFERROR(VLOOKUP(S897,T_TIMSS,2,FALSE),0))</f>
        <v/>
      </c>
      <c r="U897" s="19">
        <f>IF(COUNT(F897,H897,P897,R897,T897)=0,"",MIN(10,MAX(F897,H897,P897,R897,T897)))</f>
        <v/>
      </c>
      <c r="V897" s="11" t="n"/>
    </row>
    <row r="898">
      <c r="A898" s="15">
        <f>Murid!A898</f>
        <v/>
      </c>
      <c r="B898" s="15">
        <f>IF(Murid!B898="","",Murid!B898)</f>
        <v/>
      </c>
      <c r="C898" s="16">
        <f>IF(Murid!C898="","",Murid!C898)</f>
        <v/>
      </c>
      <c r="D898" s="15">
        <f>IF(Murid!E898="","",Murid!E898)</f>
        <v/>
      </c>
      <c r="E898" s="11" t="n"/>
      <c r="F898" s="10">
        <f>IF(E898="","",IFERROR(VLOOKUP(E898,T_PERK,2,FALSE),0))</f>
        <v/>
      </c>
      <c r="G898" s="11" t="n"/>
      <c r="H898" s="10">
        <f>IF(G898="","",IFERROR(VLOOKUP(G898,T_ANUG,2,FALSE),0))</f>
        <v/>
      </c>
      <c r="I898" s="11" t="n"/>
      <c r="J898" s="11" t="n"/>
      <c r="K898" s="11" t="n"/>
      <c r="L898" s="11" t="n"/>
      <c r="M898" s="11" t="n"/>
      <c r="N898" s="11" t="n"/>
      <c r="O898" s="11" t="n"/>
      <c r="P898" s="10">
        <f>IF(COUNTA(I898:O898)=0,"",MIN(10,SUM(I898:O898)))</f>
        <v/>
      </c>
      <c r="Q898" s="11" t="n"/>
      <c r="R898" s="10">
        <f>IF(Q898="","",IFERROR(VLOOKUP(Q898,T_NILAM,2,FALSE),0))</f>
        <v/>
      </c>
      <c r="S898" s="11" t="n"/>
      <c r="T898" s="10">
        <f>IF(S898="","",IFERROR(VLOOKUP(S898,T_TIMSS,2,FALSE),0))</f>
        <v/>
      </c>
      <c r="U898" s="19">
        <f>IF(COUNT(F898,H898,P898,R898,T898)=0,"",MIN(10,MAX(F898,H898,P898,R898,T898)))</f>
        <v/>
      </c>
      <c r="V898" s="11" t="n"/>
    </row>
    <row r="899">
      <c r="A899" s="15">
        <f>Murid!A899</f>
        <v/>
      </c>
      <c r="B899" s="15">
        <f>IF(Murid!B899="","",Murid!B899)</f>
        <v/>
      </c>
      <c r="C899" s="16">
        <f>IF(Murid!C899="","",Murid!C899)</f>
        <v/>
      </c>
      <c r="D899" s="15">
        <f>IF(Murid!E899="","",Murid!E899)</f>
        <v/>
      </c>
      <c r="E899" s="11" t="n"/>
      <c r="F899" s="10">
        <f>IF(E899="","",IFERROR(VLOOKUP(E899,T_PERK,2,FALSE),0))</f>
        <v/>
      </c>
      <c r="G899" s="11" t="n"/>
      <c r="H899" s="10">
        <f>IF(G899="","",IFERROR(VLOOKUP(G899,T_ANUG,2,FALSE),0))</f>
        <v/>
      </c>
      <c r="I899" s="11" t="n"/>
      <c r="J899" s="11" t="n"/>
      <c r="K899" s="11" t="n"/>
      <c r="L899" s="11" t="n"/>
      <c r="M899" s="11" t="n"/>
      <c r="N899" s="11" t="n"/>
      <c r="O899" s="11" t="n"/>
      <c r="P899" s="10">
        <f>IF(COUNTA(I899:O899)=0,"",MIN(10,SUM(I899:O899)))</f>
        <v/>
      </c>
      <c r="Q899" s="11" t="n"/>
      <c r="R899" s="10">
        <f>IF(Q899="","",IFERROR(VLOOKUP(Q899,T_NILAM,2,FALSE),0))</f>
        <v/>
      </c>
      <c r="S899" s="11" t="n"/>
      <c r="T899" s="10">
        <f>IF(S899="","",IFERROR(VLOOKUP(S899,T_TIMSS,2,FALSE),0))</f>
        <v/>
      </c>
      <c r="U899" s="19">
        <f>IF(COUNT(F899,H899,P899,R899,T899)=0,"",MIN(10,MAX(F899,H899,P899,R899,T899)))</f>
        <v/>
      </c>
      <c r="V899" s="11" t="n"/>
    </row>
    <row r="900">
      <c r="A900" s="15">
        <f>Murid!A900</f>
        <v/>
      </c>
      <c r="B900" s="15">
        <f>IF(Murid!B900="","",Murid!B900)</f>
        <v/>
      </c>
      <c r="C900" s="16">
        <f>IF(Murid!C900="","",Murid!C900)</f>
        <v/>
      </c>
      <c r="D900" s="15">
        <f>IF(Murid!E900="","",Murid!E900)</f>
        <v/>
      </c>
      <c r="E900" s="11" t="n"/>
      <c r="F900" s="10">
        <f>IF(E900="","",IFERROR(VLOOKUP(E900,T_PERK,2,FALSE),0))</f>
        <v/>
      </c>
      <c r="G900" s="11" t="n"/>
      <c r="H900" s="10">
        <f>IF(G900="","",IFERROR(VLOOKUP(G900,T_ANUG,2,FALSE),0))</f>
        <v/>
      </c>
      <c r="I900" s="11" t="n"/>
      <c r="J900" s="11" t="n"/>
      <c r="K900" s="11" t="n"/>
      <c r="L900" s="11" t="n"/>
      <c r="M900" s="11" t="n"/>
      <c r="N900" s="11" t="n"/>
      <c r="O900" s="11" t="n"/>
      <c r="P900" s="10">
        <f>IF(COUNTA(I900:O900)=0,"",MIN(10,SUM(I900:O900)))</f>
        <v/>
      </c>
      <c r="Q900" s="11" t="n"/>
      <c r="R900" s="10">
        <f>IF(Q900="","",IFERROR(VLOOKUP(Q900,T_NILAM,2,FALSE),0))</f>
        <v/>
      </c>
      <c r="S900" s="11" t="n"/>
      <c r="T900" s="10">
        <f>IF(S900="","",IFERROR(VLOOKUP(S900,T_TIMSS,2,FALSE),0))</f>
        <v/>
      </c>
      <c r="U900" s="19">
        <f>IF(COUNT(F900,H900,P900,R900,T900)=0,"",MIN(10,MAX(F900,H900,P900,R900,T900)))</f>
        <v/>
      </c>
      <c r="V900" s="11" t="n"/>
    </row>
    <row r="901">
      <c r="A901" s="15">
        <f>Murid!A901</f>
        <v/>
      </c>
      <c r="B901" s="15">
        <f>IF(Murid!B901="","",Murid!B901)</f>
        <v/>
      </c>
      <c r="C901" s="16">
        <f>IF(Murid!C901="","",Murid!C901)</f>
        <v/>
      </c>
      <c r="D901" s="15">
        <f>IF(Murid!E901="","",Murid!E901)</f>
        <v/>
      </c>
      <c r="E901" s="11" t="n"/>
      <c r="F901" s="10">
        <f>IF(E901="","",IFERROR(VLOOKUP(E901,T_PERK,2,FALSE),0))</f>
        <v/>
      </c>
      <c r="G901" s="11" t="n"/>
      <c r="H901" s="10">
        <f>IF(G901="","",IFERROR(VLOOKUP(G901,T_ANUG,2,FALSE),0))</f>
        <v/>
      </c>
      <c r="I901" s="11" t="n"/>
      <c r="J901" s="11" t="n"/>
      <c r="K901" s="11" t="n"/>
      <c r="L901" s="11" t="n"/>
      <c r="M901" s="11" t="n"/>
      <c r="N901" s="11" t="n"/>
      <c r="O901" s="11" t="n"/>
      <c r="P901" s="10">
        <f>IF(COUNTA(I901:O901)=0,"",MIN(10,SUM(I901:O901)))</f>
        <v/>
      </c>
      <c r="Q901" s="11" t="n"/>
      <c r="R901" s="10">
        <f>IF(Q901="","",IFERROR(VLOOKUP(Q901,T_NILAM,2,FALSE),0))</f>
        <v/>
      </c>
      <c r="S901" s="11" t="n"/>
      <c r="T901" s="10">
        <f>IF(S901="","",IFERROR(VLOOKUP(S901,T_TIMSS,2,FALSE),0))</f>
        <v/>
      </c>
      <c r="U901" s="19">
        <f>IF(COUNT(F901,H901,P901,R901,T901)=0,"",MIN(10,MAX(F901,H901,P901,R901,T901)))</f>
        <v/>
      </c>
      <c r="V901" s="11" t="n"/>
    </row>
    <row r="902">
      <c r="A902" s="15">
        <f>Murid!A902</f>
        <v/>
      </c>
      <c r="B902" s="15">
        <f>IF(Murid!B902="","",Murid!B902)</f>
        <v/>
      </c>
      <c r="C902" s="16">
        <f>IF(Murid!C902="","",Murid!C902)</f>
        <v/>
      </c>
      <c r="D902" s="15">
        <f>IF(Murid!E902="","",Murid!E902)</f>
        <v/>
      </c>
      <c r="E902" s="11" t="n"/>
      <c r="F902" s="10">
        <f>IF(E902="","",IFERROR(VLOOKUP(E902,T_PERK,2,FALSE),0))</f>
        <v/>
      </c>
      <c r="G902" s="11" t="n"/>
      <c r="H902" s="10">
        <f>IF(G902="","",IFERROR(VLOOKUP(G902,T_ANUG,2,FALSE),0))</f>
        <v/>
      </c>
      <c r="I902" s="11" t="n"/>
      <c r="J902" s="11" t="n"/>
      <c r="K902" s="11" t="n"/>
      <c r="L902" s="11" t="n"/>
      <c r="M902" s="11" t="n"/>
      <c r="N902" s="11" t="n"/>
      <c r="O902" s="11" t="n"/>
      <c r="P902" s="10">
        <f>IF(COUNTA(I902:O902)=0,"",MIN(10,SUM(I902:O902)))</f>
        <v/>
      </c>
      <c r="Q902" s="11" t="n"/>
      <c r="R902" s="10">
        <f>IF(Q902="","",IFERROR(VLOOKUP(Q902,T_NILAM,2,FALSE),0))</f>
        <v/>
      </c>
      <c r="S902" s="11" t="n"/>
      <c r="T902" s="10">
        <f>IF(S902="","",IFERROR(VLOOKUP(S902,T_TIMSS,2,FALSE),0))</f>
        <v/>
      </c>
      <c r="U902" s="19">
        <f>IF(COUNT(F902,H902,P902,R902,T902)=0,"",MIN(10,MAX(F902,H902,P902,R902,T902)))</f>
        <v/>
      </c>
      <c r="V902" s="11" t="n"/>
    </row>
    <row r="903">
      <c r="A903" s="15">
        <f>Murid!A903</f>
        <v/>
      </c>
      <c r="B903" s="15">
        <f>IF(Murid!B903="","",Murid!B903)</f>
        <v/>
      </c>
      <c r="C903" s="16">
        <f>IF(Murid!C903="","",Murid!C903)</f>
        <v/>
      </c>
      <c r="D903" s="15">
        <f>IF(Murid!E903="","",Murid!E903)</f>
        <v/>
      </c>
      <c r="E903" s="11" t="n"/>
      <c r="F903" s="10">
        <f>IF(E903="","",IFERROR(VLOOKUP(E903,T_PERK,2,FALSE),0))</f>
        <v/>
      </c>
      <c r="G903" s="11" t="n"/>
      <c r="H903" s="10">
        <f>IF(G903="","",IFERROR(VLOOKUP(G903,T_ANUG,2,FALSE),0))</f>
        <v/>
      </c>
      <c r="I903" s="11" t="n"/>
      <c r="J903" s="11" t="n"/>
      <c r="K903" s="11" t="n"/>
      <c r="L903" s="11" t="n"/>
      <c r="M903" s="11" t="n"/>
      <c r="N903" s="11" t="n"/>
      <c r="O903" s="11" t="n"/>
      <c r="P903" s="10">
        <f>IF(COUNTA(I903:O903)=0,"",MIN(10,SUM(I903:O903)))</f>
        <v/>
      </c>
      <c r="Q903" s="11" t="n"/>
      <c r="R903" s="10">
        <f>IF(Q903="","",IFERROR(VLOOKUP(Q903,T_NILAM,2,FALSE),0))</f>
        <v/>
      </c>
      <c r="S903" s="11" t="n"/>
      <c r="T903" s="10">
        <f>IF(S903="","",IFERROR(VLOOKUP(S903,T_TIMSS,2,FALSE),0))</f>
        <v/>
      </c>
      <c r="U903" s="19">
        <f>IF(COUNT(F903,H903,P903,R903,T903)=0,"",MIN(10,MAX(F903,H903,P903,R903,T903)))</f>
        <v/>
      </c>
      <c r="V903" s="11" t="n"/>
    </row>
    <row r="904">
      <c r="A904" s="15">
        <f>Murid!A904</f>
        <v/>
      </c>
      <c r="B904" s="15">
        <f>IF(Murid!B904="","",Murid!B904)</f>
        <v/>
      </c>
      <c r="C904" s="16">
        <f>IF(Murid!C904="","",Murid!C904)</f>
        <v/>
      </c>
      <c r="D904" s="15">
        <f>IF(Murid!E904="","",Murid!E904)</f>
        <v/>
      </c>
      <c r="E904" s="11" t="n"/>
      <c r="F904" s="10">
        <f>IF(E904="","",IFERROR(VLOOKUP(E904,T_PERK,2,FALSE),0))</f>
        <v/>
      </c>
      <c r="G904" s="11" t="n"/>
      <c r="H904" s="10">
        <f>IF(G904="","",IFERROR(VLOOKUP(G904,T_ANUG,2,FALSE),0))</f>
        <v/>
      </c>
      <c r="I904" s="11" t="n"/>
      <c r="J904" s="11" t="n"/>
      <c r="K904" s="11" t="n"/>
      <c r="L904" s="11" t="n"/>
      <c r="M904" s="11" t="n"/>
      <c r="N904" s="11" t="n"/>
      <c r="O904" s="11" t="n"/>
      <c r="P904" s="10">
        <f>IF(COUNTA(I904:O904)=0,"",MIN(10,SUM(I904:O904)))</f>
        <v/>
      </c>
      <c r="Q904" s="11" t="n"/>
      <c r="R904" s="10">
        <f>IF(Q904="","",IFERROR(VLOOKUP(Q904,T_NILAM,2,FALSE),0))</f>
        <v/>
      </c>
      <c r="S904" s="11" t="n"/>
      <c r="T904" s="10">
        <f>IF(S904="","",IFERROR(VLOOKUP(S904,T_TIMSS,2,FALSE),0))</f>
        <v/>
      </c>
      <c r="U904" s="19">
        <f>IF(COUNT(F904,H904,P904,R904,T904)=0,"",MIN(10,MAX(F904,H904,P904,R904,T904)))</f>
        <v/>
      </c>
      <c r="V904" s="11" t="n"/>
    </row>
    <row r="905">
      <c r="A905" s="15">
        <f>Murid!A905</f>
        <v/>
      </c>
      <c r="B905" s="15">
        <f>IF(Murid!B905="","",Murid!B905)</f>
        <v/>
      </c>
      <c r="C905" s="16">
        <f>IF(Murid!C905="","",Murid!C905)</f>
        <v/>
      </c>
      <c r="D905" s="15">
        <f>IF(Murid!E905="","",Murid!E905)</f>
        <v/>
      </c>
      <c r="E905" s="11" t="n"/>
      <c r="F905" s="10">
        <f>IF(E905="","",IFERROR(VLOOKUP(E905,T_PERK,2,FALSE),0))</f>
        <v/>
      </c>
      <c r="G905" s="11" t="n"/>
      <c r="H905" s="10">
        <f>IF(G905="","",IFERROR(VLOOKUP(G905,T_ANUG,2,FALSE),0))</f>
        <v/>
      </c>
      <c r="I905" s="11" t="n"/>
      <c r="J905" s="11" t="n"/>
      <c r="K905" s="11" t="n"/>
      <c r="L905" s="11" t="n"/>
      <c r="M905" s="11" t="n"/>
      <c r="N905" s="11" t="n"/>
      <c r="O905" s="11" t="n"/>
      <c r="P905" s="10">
        <f>IF(COUNTA(I905:O905)=0,"",MIN(10,SUM(I905:O905)))</f>
        <v/>
      </c>
      <c r="Q905" s="11" t="n"/>
      <c r="R905" s="10">
        <f>IF(Q905="","",IFERROR(VLOOKUP(Q905,T_NILAM,2,FALSE),0))</f>
        <v/>
      </c>
      <c r="S905" s="11" t="n"/>
      <c r="T905" s="10">
        <f>IF(S905="","",IFERROR(VLOOKUP(S905,T_TIMSS,2,FALSE),0))</f>
        <v/>
      </c>
      <c r="U905" s="19">
        <f>IF(COUNT(F905,H905,P905,R905,T905)=0,"",MIN(10,MAX(F905,H905,P905,R905,T905)))</f>
        <v/>
      </c>
      <c r="V905" s="11" t="n"/>
    </row>
    <row r="906">
      <c r="A906" s="15">
        <f>Murid!A906</f>
        <v/>
      </c>
      <c r="B906" s="15">
        <f>IF(Murid!B906="","",Murid!B906)</f>
        <v/>
      </c>
      <c r="C906" s="16">
        <f>IF(Murid!C906="","",Murid!C906)</f>
        <v/>
      </c>
      <c r="D906" s="15">
        <f>IF(Murid!E906="","",Murid!E906)</f>
        <v/>
      </c>
      <c r="E906" s="11" t="n"/>
      <c r="F906" s="10">
        <f>IF(E906="","",IFERROR(VLOOKUP(E906,T_PERK,2,FALSE),0))</f>
        <v/>
      </c>
      <c r="G906" s="11" t="n"/>
      <c r="H906" s="10">
        <f>IF(G906="","",IFERROR(VLOOKUP(G906,T_ANUG,2,FALSE),0))</f>
        <v/>
      </c>
      <c r="I906" s="11" t="n"/>
      <c r="J906" s="11" t="n"/>
      <c r="K906" s="11" t="n"/>
      <c r="L906" s="11" t="n"/>
      <c r="M906" s="11" t="n"/>
      <c r="N906" s="11" t="n"/>
      <c r="O906" s="11" t="n"/>
      <c r="P906" s="10">
        <f>IF(COUNTA(I906:O906)=0,"",MIN(10,SUM(I906:O906)))</f>
        <v/>
      </c>
      <c r="Q906" s="11" t="n"/>
      <c r="R906" s="10">
        <f>IF(Q906="","",IFERROR(VLOOKUP(Q906,T_NILAM,2,FALSE),0))</f>
        <v/>
      </c>
      <c r="S906" s="11" t="n"/>
      <c r="T906" s="10">
        <f>IF(S906="","",IFERROR(VLOOKUP(S906,T_TIMSS,2,FALSE),0))</f>
        <v/>
      </c>
      <c r="U906" s="19">
        <f>IF(COUNT(F906,H906,P906,R906,T906)=0,"",MIN(10,MAX(F906,H906,P906,R906,T906)))</f>
        <v/>
      </c>
      <c r="V906" s="11" t="n"/>
    </row>
    <row r="907">
      <c r="A907" s="15">
        <f>Murid!A907</f>
        <v/>
      </c>
      <c r="B907" s="15">
        <f>IF(Murid!B907="","",Murid!B907)</f>
        <v/>
      </c>
      <c r="C907" s="16">
        <f>IF(Murid!C907="","",Murid!C907)</f>
        <v/>
      </c>
      <c r="D907" s="15">
        <f>IF(Murid!E907="","",Murid!E907)</f>
        <v/>
      </c>
      <c r="E907" s="11" t="n"/>
      <c r="F907" s="10">
        <f>IF(E907="","",IFERROR(VLOOKUP(E907,T_PERK,2,FALSE),0))</f>
        <v/>
      </c>
      <c r="G907" s="11" t="n"/>
      <c r="H907" s="10">
        <f>IF(G907="","",IFERROR(VLOOKUP(G907,T_ANUG,2,FALSE),0))</f>
        <v/>
      </c>
      <c r="I907" s="11" t="n"/>
      <c r="J907" s="11" t="n"/>
      <c r="K907" s="11" t="n"/>
      <c r="L907" s="11" t="n"/>
      <c r="M907" s="11" t="n"/>
      <c r="N907" s="11" t="n"/>
      <c r="O907" s="11" t="n"/>
      <c r="P907" s="10">
        <f>IF(COUNTA(I907:O907)=0,"",MIN(10,SUM(I907:O907)))</f>
        <v/>
      </c>
      <c r="Q907" s="11" t="n"/>
      <c r="R907" s="10">
        <f>IF(Q907="","",IFERROR(VLOOKUP(Q907,T_NILAM,2,FALSE),0))</f>
        <v/>
      </c>
      <c r="S907" s="11" t="n"/>
      <c r="T907" s="10">
        <f>IF(S907="","",IFERROR(VLOOKUP(S907,T_TIMSS,2,FALSE),0))</f>
        <v/>
      </c>
      <c r="U907" s="19">
        <f>IF(COUNT(F907,H907,P907,R907,T907)=0,"",MIN(10,MAX(F907,H907,P907,R907,T907)))</f>
        <v/>
      </c>
      <c r="V907" s="11" t="n"/>
    </row>
    <row r="908">
      <c r="A908" s="15">
        <f>Murid!A908</f>
        <v/>
      </c>
      <c r="B908" s="15">
        <f>IF(Murid!B908="","",Murid!B908)</f>
        <v/>
      </c>
      <c r="C908" s="16">
        <f>IF(Murid!C908="","",Murid!C908)</f>
        <v/>
      </c>
      <c r="D908" s="15">
        <f>IF(Murid!E908="","",Murid!E908)</f>
        <v/>
      </c>
      <c r="E908" s="11" t="n"/>
      <c r="F908" s="10">
        <f>IF(E908="","",IFERROR(VLOOKUP(E908,T_PERK,2,FALSE),0))</f>
        <v/>
      </c>
      <c r="G908" s="11" t="n"/>
      <c r="H908" s="10">
        <f>IF(G908="","",IFERROR(VLOOKUP(G908,T_ANUG,2,FALSE),0))</f>
        <v/>
      </c>
      <c r="I908" s="11" t="n"/>
      <c r="J908" s="11" t="n"/>
      <c r="K908" s="11" t="n"/>
      <c r="L908" s="11" t="n"/>
      <c r="M908" s="11" t="n"/>
      <c r="N908" s="11" t="n"/>
      <c r="O908" s="11" t="n"/>
      <c r="P908" s="10">
        <f>IF(COUNTA(I908:O908)=0,"",MIN(10,SUM(I908:O908)))</f>
        <v/>
      </c>
      <c r="Q908" s="11" t="n"/>
      <c r="R908" s="10">
        <f>IF(Q908="","",IFERROR(VLOOKUP(Q908,T_NILAM,2,FALSE),0))</f>
        <v/>
      </c>
      <c r="S908" s="11" t="n"/>
      <c r="T908" s="10">
        <f>IF(S908="","",IFERROR(VLOOKUP(S908,T_TIMSS,2,FALSE),0))</f>
        <v/>
      </c>
      <c r="U908" s="19">
        <f>IF(COUNT(F908,H908,P908,R908,T908)=0,"",MIN(10,MAX(F908,H908,P908,R908,T908)))</f>
        <v/>
      </c>
      <c r="V908" s="11" t="n"/>
    </row>
    <row r="909">
      <c r="A909" s="15">
        <f>Murid!A909</f>
        <v/>
      </c>
      <c r="B909" s="15">
        <f>IF(Murid!B909="","",Murid!B909)</f>
        <v/>
      </c>
      <c r="C909" s="16">
        <f>IF(Murid!C909="","",Murid!C909)</f>
        <v/>
      </c>
      <c r="D909" s="15">
        <f>IF(Murid!E909="","",Murid!E909)</f>
        <v/>
      </c>
      <c r="E909" s="11" t="n"/>
      <c r="F909" s="10">
        <f>IF(E909="","",IFERROR(VLOOKUP(E909,T_PERK,2,FALSE),0))</f>
        <v/>
      </c>
      <c r="G909" s="11" t="n"/>
      <c r="H909" s="10">
        <f>IF(G909="","",IFERROR(VLOOKUP(G909,T_ANUG,2,FALSE),0))</f>
        <v/>
      </c>
      <c r="I909" s="11" t="n"/>
      <c r="J909" s="11" t="n"/>
      <c r="K909" s="11" t="n"/>
      <c r="L909" s="11" t="n"/>
      <c r="M909" s="11" t="n"/>
      <c r="N909" s="11" t="n"/>
      <c r="O909" s="11" t="n"/>
      <c r="P909" s="10">
        <f>IF(COUNTA(I909:O909)=0,"",MIN(10,SUM(I909:O909)))</f>
        <v/>
      </c>
      <c r="Q909" s="11" t="n"/>
      <c r="R909" s="10">
        <f>IF(Q909="","",IFERROR(VLOOKUP(Q909,T_NILAM,2,FALSE),0))</f>
        <v/>
      </c>
      <c r="S909" s="11" t="n"/>
      <c r="T909" s="10">
        <f>IF(S909="","",IFERROR(VLOOKUP(S909,T_TIMSS,2,FALSE),0))</f>
        <v/>
      </c>
      <c r="U909" s="19">
        <f>IF(COUNT(F909,H909,P909,R909,T909)=0,"",MIN(10,MAX(F909,H909,P909,R909,T909)))</f>
        <v/>
      </c>
      <c r="V909" s="11" t="n"/>
    </row>
    <row r="910">
      <c r="A910" s="15">
        <f>Murid!A910</f>
        <v/>
      </c>
      <c r="B910" s="15">
        <f>IF(Murid!B910="","",Murid!B910)</f>
        <v/>
      </c>
      <c r="C910" s="16">
        <f>IF(Murid!C910="","",Murid!C910)</f>
        <v/>
      </c>
      <c r="D910" s="15">
        <f>IF(Murid!E910="","",Murid!E910)</f>
        <v/>
      </c>
      <c r="E910" s="11" t="n"/>
      <c r="F910" s="10">
        <f>IF(E910="","",IFERROR(VLOOKUP(E910,T_PERK,2,FALSE),0))</f>
        <v/>
      </c>
      <c r="G910" s="11" t="n"/>
      <c r="H910" s="10">
        <f>IF(G910="","",IFERROR(VLOOKUP(G910,T_ANUG,2,FALSE),0))</f>
        <v/>
      </c>
      <c r="I910" s="11" t="n"/>
      <c r="J910" s="11" t="n"/>
      <c r="K910" s="11" t="n"/>
      <c r="L910" s="11" t="n"/>
      <c r="M910" s="11" t="n"/>
      <c r="N910" s="11" t="n"/>
      <c r="O910" s="11" t="n"/>
      <c r="P910" s="10">
        <f>IF(COUNTA(I910:O910)=0,"",MIN(10,SUM(I910:O910)))</f>
        <v/>
      </c>
      <c r="Q910" s="11" t="n"/>
      <c r="R910" s="10">
        <f>IF(Q910="","",IFERROR(VLOOKUP(Q910,T_NILAM,2,FALSE),0))</f>
        <v/>
      </c>
      <c r="S910" s="11" t="n"/>
      <c r="T910" s="10">
        <f>IF(S910="","",IFERROR(VLOOKUP(S910,T_TIMSS,2,FALSE),0))</f>
        <v/>
      </c>
      <c r="U910" s="19">
        <f>IF(COUNT(F910,H910,P910,R910,T910)=0,"",MIN(10,MAX(F910,H910,P910,R910,T910)))</f>
        <v/>
      </c>
      <c r="V910" s="11" t="n"/>
    </row>
    <row r="911">
      <c r="A911" s="15">
        <f>Murid!A911</f>
        <v/>
      </c>
      <c r="B911" s="15">
        <f>IF(Murid!B911="","",Murid!B911)</f>
        <v/>
      </c>
      <c r="C911" s="16">
        <f>IF(Murid!C911="","",Murid!C911)</f>
        <v/>
      </c>
      <c r="D911" s="15">
        <f>IF(Murid!E911="","",Murid!E911)</f>
        <v/>
      </c>
      <c r="E911" s="11" t="n"/>
      <c r="F911" s="10">
        <f>IF(E911="","",IFERROR(VLOOKUP(E911,T_PERK,2,FALSE),0))</f>
        <v/>
      </c>
      <c r="G911" s="11" t="n"/>
      <c r="H911" s="10">
        <f>IF(G911="","",IFERROR(VLOOKUP(G911,T_ANUG,2,FALSE),0))</f>
        <v/>
      </c>
      <c r="I911" s="11" t="n"/>
      <c r="J911" s="11" t="n"/>
      <c r="K911" s="11" t="n"/>
      <c r="L911" s="11" t="n"/>
      <c r="M911" s="11" t="n"/>
      <c r="N911" s="11" t="n"/>
      <c r="O911" s="11" t="n"/>
      <c r="P911" s="10">
        <f>IF(COUNTA(I911:O911)=0,"",MIN(10,SUM(I911:O911)))</f>
        <v/>
      </c>
      <c r="Q911" s="11" t="n"/>
      <c r="R911" s="10">
        <f>IF(Q911="","",IFERROR(VLOOKUP(Q911,T_NILAM,2,FALSE),0))</f>
        <v/>
      </c>
      <c r="S911" s="11" t="n"/>
      <c r="T911" s="10">
        <f>IF(S911="","",IFERROR(VLOOKUP(S911,T_TIMSS,2,FALSE),0))</f>
        <v/>
      </c>
      <c r="U911" s="19">
        <f>IF(COUNT(F911,H911,P911,R911,T911)=0,"",MIN(10,MAX(F911,H911,P911,R911,T911)))</f>
        <v/>
      </c>
      <c r="V911" s="11" t="n"/>
    </row>
    <row r="912">
      <c r="A912" s="15">
        <f>Murid!A912</f>
        <v/>
      </c>
      <c r="B912" s="15">
        <f>IF(Murid!B912="","",Murid!B912)</f>
        <v/>
      </c>
      <c r="C912" s="16">
        <f>IF(Murid!C912="","",Murid!C912)</f>
        <v/>
      </c>
      <c r="D912" s="15">
        <f>IF(Murid!E912="","",Murid!E912)</f>
        <v/>
      </c>
      <c r="E912" s="11" t="n"/>
      <c r="F912" s="10">
        <f>IF(E912="","",IFERROR(VLOOKUP(E912,T_PERK,2,FALSE),0))</f>
        <v/>
      </c>
      <c r="G912" s="11" t="n"/>
      <c r="H912" s="10">
        <f>IF(G912="","",IFERROR(VLOOKUP(G912,T_ANUG,2,FALSE),0))</f>
        <v/>
      </c>
      <c r="I912" s="11" t="n"/>
      <c r="J912" s="11" t="n"/>
      <c r="K912" s="11" t="n"/>
      <c r="L912" s="11" t="n"/>
      <c r="M912" s="11" t="n"/>
      <c r="N912" s="11" t="n"/>
      <c r="O912" s="11" t="n"/>
      <c r="P912" s="10">
        <f>IF(COUNTA(I912:O912)=0,"",MIN(10,SUM(I912:O912)))</f>
        <v/>
      </c>
      <c r="Q912" s="11" t="n"/>
      <c r="R912" s="10">
        <f>IF(Q912="","",IFERROR(VLOOKUP(Q912,T_NILAM,2,FALSE),0))</f>
        <v/>
      </c>
      <c r="S912" s="11" t="n"/>
      <c r="T912" s="10">
        <f>IF(S912="","",IFERROR(VLOOKUP(S912,T_TIMSS,2,FALSE),0))</f>
        <v/>
      </c>
      <c r="U912" s="19">
        <f>IF(COUNT(F912,H912,P912,R912,T912)=0,"",MIN(10,MAX(F912,H912,P912,R912,T912)))</f>
        <v/>
      </c>
      <c r="V912" s="11" t="n"/>
    </row>
    <row r="913">
      <c r="A913" s="15">
        <f>Murid!A913</f>
        <v/>
      </c>
      <c r="B913" s="15">
        <f>IF(Murid!B913="","",Murid!B913)</f>
        <v/>
      </c>
      <c r="C913" s="16">
        <f>IF(Murid!C913="","",Murid!C913)</f>
        <v/>
      </c>
      <c r="D913" s="15">
        <f>IF(Murid!E913="","",Murid!E913)</f>
        <v/>
      </c>
      <c r="E913" s="11" t="n"/>
      <c r="F913" s="10">
        <f>IF(E913="","",IFERROR(VLOOKUP(E913,T_PERK,2,FALSE),0))</f>
        <v/>
      </c>
      <c r="G913" s="11" t="n"/>
      <c r="H913" s="10">
        <f>IF(G913="","",IFERROR(VLOOKUP(G913,T_ANUG,2,FALSE),0))</f>
        <v/>
      </c>
      <c r="I913" s="11" t="n"/>
      <c r="J913" s="11" t="n"/>
      <c r="K913" s="11" t="n"/>
      <c r="L913" s="11" t="n"/>
      <c r="M913" s="11" t="n"/>
      <c r="N913" s="11" t="n"/>
      <c r="O913" s="11" t="n"/>
      <c r="P913" s="10">
        <f>IF(COUNTA(I913:O913)=0,"",MIN(10,SUM(I913:O913)))</f>
        <v/>
      </c>
      <c r="Q913" s="11" t="n"/>
      <c r="R913" s="10">
        <f>IF(Q913="","",IFERROR(VLOOKUP(Q913,T_NILAM,2,FALSE),0))</f>
        <v/>
      </c>
      <c r="S913" s="11" t="n"/>
      <c r="T913" s="10">
        <f>IF(S913="","",IFERROR(VLOOKUP(S913,T_TIMSS,2,FALSE),0))</f>
        <v/>
      </c>
      <c r="U913" s="19">
        <f>IF(COUNT(F913,H913,P913,R913,T913)=0,"",MIN(10,MAX(F913,H913,P913,R913,T913)))</f>
        <v/>
      </c>
      <c r="V913" s="11" t="n"/>
    </row>
    <row r="914">
      <c r="A914" s="15">
        <f>Murid!A914</f>
        <v/>
      </c>
      <c r="B914" s="15">
        <f>IF(Murid!B914="","",Murid!B914)</f>
        <v/>
      </c>
      <c r="C914" s="16">
        <f>IF(Murid!C914="","",Murid!C914)</f>
        <v/>
      </c>
      <c r="D914" s="15">
        <f>IF(Murid!E914="","",Murid!E914)</f>
        <v/>
      </c>
      <c r="E914" s="11" t="n"/>
      <c r="F914" s="10">
        <f>IF(E914="","",IFERROR(VLOOKUP(E914,T_PERK,2,FALSE),0))</f>
        <v/>
      </c>
      <c r="G914" s="11" t="n"/>
      <c r="H914" s="10">
        <f>IF(G914="","",IFERROR(VLOOKUP(G914,T_ANUG,2,FALSE),0))</f>
        <v/>
      </c>
      <c r="I914" s="11" t="n"/>
      <c r="J914" s="11" t="n"/>
      <c r="K914" s="11" t="n"/>
      <c r="L914" s="11" t="n"/>
      <c r="M914" s="11" t="n"/>
      <c r="N914" s="11" t="n"/>
      <c r="O914" s="11" t="n"/>
      <c r="P914" s="10">
        <f>IF(COUNTA(I914:O914)=0,"",MIN(10,SUM(I914:O914)))</f>
        <v/>
      </c>
      <c r="Q914" s="11" t="n"/>
      <c r="R914" s="10">
        <f>IF(Q914="","",IFERROR(VLOOKUP(Q914,T_NILAM,2,FALSE),0))</f>
        <v/>
      </c>
      <c r="S914" s="11" t="n"/>
      <c r="T914" s="10">
        <f>IF(S914="","",IFERROR(VLOOKUP(S914,T_TIMSS,2,FALSE),0))</f>
        <v/>
      </c>
      <c r="U914" s="19">
        <f>IF(COUNT(F914,H914,P914,R914,T914)=0,"",MIN(10,MAX(F914,H914,P914,R914,T914)))</f>
        <v/>
      </c>
      <c r="V914" s="11" t="n"/>
    </row>
    <row r="915">
      <c r="A915" s="15">
        <f>Murid!A915</f>
        <v/>
      </c>
      <c r="B915" s="15">
        <f>IF(Murid!B915="","",Murid!B915)</f>
        <v/>
      </c>
      <c r="C915" s="16">
        <f>IF(Murid!C915="","",Murid!C915)</f>
        <v/>
      </c>
      <c r="D915" s="15">
        <f>IF(Murid!E915="","",Murid!E915)</f>
        <v/>
      </c>
      <c r="E915" s="11" t="n"/>
      <c r="F915" s="10">
        <f>IF(E915="","",IFERROR(VLOOKUP(E915,T_PERK,2,FALSE),0))</f>
        <v/>
      </c>
      <c r="G915" s="11" t="n"/>
      <c r="H915" s="10">
        <f>IF(G915="","",IFERROR(VLOOKUP(G915,T_ANUG,2,FALSE),0))</f>
        <v/>
      </c>
      <c r="I915" s="11" t="n"/>
      <c r="J915" s="11" t="n"/>
      <c r="K915" s="11" t="n"/>
      <c r="L915" s="11" t="n"/>
      <c r="M915" s="11" t="n"/>
      <c r="N915" s="11" t="n"/>
      <c r="O915" s="11" t="n"/>
      <c r="P915" s="10">
        <f>IF(COUNTA(I915:O915)=0,"",MIN(10,SUM(I915:O915)))</f>
        <v/>
      </c>
      <c r="Q915" s="11" t="n"/>
      <c r="R915" s="10">
        <f>IF(Q915="","",IFERROR(VLOOKUP(Q915,T_NILAM,2,FALSE),0))</f>
        <v/>
      </c>
      <c r="S915" s="11" t="n"/>
      <c r="T915" s="10">
        <f>IF(S915="","",IFERROR(VLOOKUP(S915,T_TIMSS,2,FALSE),0))</f>
        <v/>
      </c>
      <c r="U915" s="19">
        <f>IF(COUNT(F915,H915,P915,R915,T915)=0,"",MIN(10,MAX(F915,H915,P915,R915,T915)))</f>
        <v/>
      </c>
      <c r="V915" s="11" t="n"/>
    </row>
    <row r="916">
      <c r="A916" s="15">
        <f>Murid!A916</f>
        <v/>
      </c>
      <c r="B916" s="15">
        <f>IF(Murid!B916="","",Murid!B916)</f>
        <v/>
      </c>
      <c r="C916" s="16">
        <f>IF(Murid!C916="","",Murid!C916)</f>
        <v/>
      </c>
      <c r="D916" s="15">
        <f>IF(Murid!E916="","",Murid!E916)</f>
        <v/>
      </c>
      <c r="E916" s="11" t="n"/>
      <c r="F916" s="10">
        <f>IF(E916="","",IFERROR(VLOOKUP(E916,T_PERK,2,FALSE),0))</f>
        <v/>
      </c>
      <c r="G916" s="11" t="n"/>
      <c r="H916" s="10">
        <f>IF(G916="","",IFERROR(VLOOKUP(G916,T_ANUG,2,FALSE),0))</f>
        <v/>
      </c>
      <c r="I916" s="11" t="n"/>
      <c r="J916" s="11" t="n"/>
      <c r="K916" s="11" t="n"/>
      <c r="L916" s="11" t="n"/>
      <c r="M916" s="11" t="n"/>
      <c r="N916" s="11" t="n"/>
      <c r="O916" s="11" t="n"/>
      <c r="P916" s="10">
        <f>IF(COUNTA(I916:O916)=0,"",MIN(10,SUM(I916:O916)))</f>
        <v/>
      </c>
      <c r="Q916" s="11" t="n"/>
      <c r="R916" s="10">
        <f>IF(Q916="","",IFERROR(VLOOKUP(Q916,T_NILAM,2,FALSE),0))</f>
        <v/>
      </c>
      <c r="S916" s="11" t="n"/>
      <c r="T916" s="10">
        <f>IF(S916="","",IFERROR(VLOOKUP(S916,T_TIMSS,2,FALSE),0))</f>
        <v/>
      </c>
      <c r="U916" s="19">
        <f>IF(COUNT(F916,H916,P916,R916,T916)=0,"",MIN(10,MAX(F916,H916,P916,R916,T916)))</f>
        <v/>
      </c>
      <c r="V916" s="11" t="n"/>
    </row>
    <row r="917">
      <c r="A917" s="15">
        <f>Murid!A917</f>
        <v/>
      </c>
      <c r="B917" s="15">
        <f>IF(Murid!B917="","",Murid!B917)</f>
        <v/>
      </c>
      <c r="C917" s="16">
        <f>IF(Murid!C917="","",Murid!C917)</f>
        <v/>
      </c>
      <c r="D917" s="15">
        <f>IF(Murid!E917="","",Murid!E917)</f>
        <v/>
      </c>
      <c r="E917" s="11" t="n"/>
      <c r="F917" s="10">
        <f>IF(E917="","",IFERROR(VLOOKUP(E917,T_PERK,2,FALSE),0))</f>
        <v/>
      </c>
      <c r="G917" s="11" t="n"/>
      <c r="H917" s="10">
        <f>IF(G917="","",IFERROR(VLOOKUP(G917,T_ANUG,2,FALSE),0))</f>
        <v/>
      </c>
      <c r="I917" s="11" t="n"/>
      <c r="J917" s="11" t="n"/>
      <c r="K917" s="11" t="n"/>
      <c r="L917" s="11" t="n"/>
      <c r="M917" s="11" t="n"/>
      <c r="N917" s="11" t="n"/>
      <c r="O917" s="11" t="n"/>
      <c r="P917" s="10">
        <f>IF(COUNTA(I917:O917)=0,"",MIN(10,SUM(I917:O917)))</f>
        <v/>
      </c>
      <c r="Q917" s="11" t="n"/>
      <c r="R917" s="10">
        <f>IF(Q917="","",IFERROR(VLOOKUP(Q917,T_NILAM,2,FALSE),0))</f>
        <v/>
      </c>
      <c r="S917" s="11" t="n"/>
      <c r="T917" s="10">
        <f>IF(S917="","",IFERROR(VLOOKUP(S917,T_TIMSS,2,FALSE),0))</f>
        <v/>
      </c>
      <c r="U917" s="19">
        <f>IF(COUNT(F917,H917,P917,R917,T917)=0,"",MIN(10,MAX(F917,H917,P917,R917,T917)))</f>
        <v/>
      </c>
      <c r="V917" s="11" t="n"/>
    </row>
    <row r="918">
      <c r="A918" s="15">
        <f>Murid!A918</f>
        <v/>
      </c>
      <c r="B918" s="15">
        <f>IF(Murid!B918="","",Murid!B918)</f>
        <v/>
      </c>
      <c r="C918" s="16">
        <f>IF(Murid!C918="","",Murid!C918)</f>
        <v/>
      </c>
      <c r="D918" s="15">
        <f>IF(Murid!E918="","",Murid!E918)</f>
        <v/>
      </c>
      <c r="E918" s="11" t="n"/>
      <c r="F918" s="10">
        <f>IF(E918="","",IFERROR(VLOOKUP(E918,T_PERK,2,FALSE),0))</f>
        <v/>
      </c>
      <c r="G918" s="11" t="n"/>
      <c r="H918" s="10">
        <f>IF(G918="","",IFERROR(VLOOKUP(G918,T_ANUG,2,FALSE),0))</f>
        <v/>
      </c>
      <c r="I918" s="11" t="n"/>
      <c r="J918" s="11" t="n"/>
      <c r="K918" s="11" t="n"/>
      <c r="L918" s="11" t="n"/>
      <c r="M918" s="11" t="n"/>
      <c r="N918" s="11" t="n"/>
      <c r="O918" s="11" t="n"/>
      <c r="P918" s="10">
        <f>IF(COUNTA(I918:O918)=0,"",MIN(10,SUM(I918:O918)))</f>
        <v/>
      </c>
      <c r="Q918" s="11" t="n"/>
      <c r="R918" s="10">
        <f>IF(Q918="","",IFERROR(VLOOKUP(Q918,T_NILAM,2,FALSE),0))</f>
        <v/>
      </c>
      <c r="S918" s="11" t="n"/>
      <c r="T918" s="10">
        <f>IF(S918="","",IFERROR(VLOOKUP(S918,T_TIMSS,2,FALSE),0))</f>
        <v/>
      </c>
      <c r="U918" s="19">
        <f>IF(COUNT(F918,H918,P918,R918,T918)=0,"",MIN(10,MAX(F918,H918,P918,R918,T918)))</f>
        <v/>
      </c>
      <c r="V918" s="11" t="n"/>
    </row>
    <row r="919">
      <c r="A919" s="15">
        <f>Murid!A919</f>
        <v/>
      </c>
      <c r="B919" s="15">
        <f>IF(Murid!B919="","",Murid!B919)</f>
        <v/>
      </c>
      <c r="C919" s="16">
        <f>IF(Murid!C919="","",Murid!C919)</f>
        <v/>
      </c>
      <c r="D919" s="15">
        <f>IF(Murid!E919="","",Murid!E919)</f>
        <v/>
      </c>
      <c r="E919" s="11" t="n"/>
      <c r="F919" s="10">
        <f>IF(E919="","",IFERROR(VLOOKUP(E919,T_PERK,2,FALSE),0))</f>
        <v/>
      </c>
      <c r="G919" s="11" t="n"/>
      <c r="H919" s="10">
        <f>IF(G919="","",IFERROR(VLOOKUP(G919,T_ANUG,2,FALSE),0))</f>
        <v/>
      </c>
      <c r="I919" s="11" t="n"/>
      <c r="J919" s="11" t="n"/>
      <c r="K919" s="11" t="n"/>
      <c r="L919" s="11" t="n"/>
      <c r="M919" s="11" t="n"/>
      <c r="N919" s="11" t="n"/>
      <c r="O919" s="11" t="n"/>
      <c r="P919" s="10">
        <f>IF(COUNTA(I919:O919)=0,"",MIN(10,SUM(I919:O919)))</f>
        <v/>
      </c>
      <c r="Q919" s="11" t="n"/>
      <c r="R919" s="10">
        <f>IF(Q919="","",IFERROR(VLOOKUP(Q919,T_NILAM,2,FALSE),0))</f>
        <v/>
      </c>
      <c r="S919" s="11" t="n"/>
      <c r="T919" s="10">
        <f>IF(S919="","",IFERROR(VLOOKUP(S919,T_TIMSS,2,FALSE),0))</f>
        <v/>
      </c>
      <c r="U919" s="19">
        <f>IF(COUNT(F919,H919,P919,R919,T919)=0,"",MIN(10,MAX(F919,H919,P919,R919,T919)))</f>
        <v/>
      </c>
      <c r="V919" s="11" t="n"/>
    </row>
    <row r="920">
      <c r="A920" s="15">
        <f>Murid!A920</f>
        <v/>
      </c>
      <c r="B920" s="15">
        <f>IF(Murid!B920="","",Murid!B920)</f>
        <v/>
      </c>
      <c r="C920" s="16">
        <f>IF(Murid!C920="","",Murid!C920)</f>
        <v/>
      </c>
      <c r="D920" s="15">
        <f>IF(Murid!E920="","",Murid!E920)</f>
        <v/>
      </c>
      <c r="E920" s="11" t="n"/>
      <c r="F920" s="10">
        <f>IF(E920="","",IFERROR(VLOOKUP(E920,T_PERK,2,FALSE),0))</f>
        <v/>
      </c>
      <c r="G920" s="11" t="n"/>
      <c r="H920" s="10">
        <f>IF(G920="","",IFERROR(VLOOKUP(G920,T_ANUG,2,FALSE),0))</f>
        <v/>
      </c>
      <c r="I920" s="11" t="n"/>
      <c r="J920" s="11" t="n"/>
      <c r="K920" s="11" t="n"/>
      <c r="L920" s="11" t="n"/>
      <c r="M920" s="11" t="n"/>
      <c r="N920" s="11" t="n"/>
      <c r="O920" s="11" t="n"/>
      <c r="P920" s="10">
        <f>IF(COUNTA(I920:O920)=0,"",MIN(10,SUM(I920:O920)))</f>
        <v/>
      </c>
      <c r="Q920" s="11" t="n"/>
      <c r="R920" s="10">
        <f>IF(Q920="","",IFERROR(VLOOKUP(Q920,T_NILAM,2,FALSE),0))</f>
        <v/>
      </c>
      <c r="S920" s="11" t="n"/>
      <c r="T920" s="10">
        <f>IF(S920="","",IFERROR(VLOOKUP(S920,T_TIMSS,2,FALSE),0))</f>
        <v/>
      </c>
      <c r="U920" s="19">
        <f>IF(COUNT(F920,H920,P920,R920,T920)=0,"",MIN(10,MAX(F920,H920,P920,R920,T920)))</f>
        <v/>
      </c>
      <c r="V920" s="11" t="n"/>
    </row>
    <row r="921">
      <c r="A921" s="15">
        <f>Murid!A921</f>
        <v/>
      </c>
      <c r="B921" s="15">
        <f>IF(Murid!B921="","",Murid!B921)</f>
        <v/>
      </c>
      <c r="C921" s="16">
        <f>IF(Murid!C921="","",Murid!C921)</f>
        <v/>
      </c>
      <c r="D921" s="15">
        <f>IF(Murid!E921="","",Murid!E921)</f>
        <v/>
      </c>
      <c r="E921" s="11" t="n"/>
      <c r="F921" s="10">
        <f>IF(E921="","",IFERROR(VLOOKUP(E921,T_PERK,2,FALSE),0))</f>
        <v/>
      </c>
      <c r="G921" s="11" t="n"/>
      <c r="H921" s="10">
        <f>IF(G921="","",IFERROR(VLOOKUP(G921,T_ANUG,2,FALSE),0))</f>
        <v/>
      </c>
      <c r="I921" s="11" t="n"/>
      <c r="J921" s="11" t="n"/>
      <c r="K921" s="11" t="n"/>
      <c r="L921" s="11" t="n"/>
      <c r="M921" s="11" t="n"/>
      <c r="N921" s="11" t="n"/>
      <c r="O921" s="11" t="n"/>
      <c r="P921" s="10">
        <f>IF(COUNTA(I921:O921)=0,"",MIN(10,SUM(I921:O921)))</f>
        <v/>
      </c>
      <c r="Q921" s="11" t="n"/>
      <c r="R921" s="10">
        <f>IF(Q921="","",IFERROR(VLOOKUP(Q921,T_NILAM,2,FALSE),0))</f>
        <v/>
      </c>
      <c r="S921" s="11" t="n"/>
      <c r="T921" s="10">
        <f>IF(S921="","",IFERROR(VLOOKUP(S921,T_TIMSS,2,FALSE),0))</f>
        <v/>
      </c>
      <c r="U921" s="19">
        <f>IF(COUNT(F921,H921,P921,R921,T921)=0,"",MIN(10,MAX(F921,H921,P921,R921,T921)))</f>
        <v/>
      </c>
      <c r="V921" s="11" t="n"/>
    </row>
    <row r="922">
      <c r="A922" s="15">
        <f>Murid!A922</f>
        <v/>
      </c>
      <c r="B922" s="15">
        <f>IF(Murid!B922="","",Murid!B922)</f>
        <v/>
      </c>
      <c r="C922" s="16">
        <f>IF(Murid!C922="","",Murid!C922)</f>
        <v/>
      </c>
      <c r="D922" s="15">
        <f>IF(Murid!E922="","",Murid!E922)</f>
        <v/>
      </c>
      <c r="E922" s="11" t="n"/>
      <c r="F922" s="10">
        <f>IF(E922="","",IFERROR(VLOOKUP(E922,T_PERK,2,FALSE),0))</f>
        <v/>
      </c>
      <c r="G922" s="11" t="n"/>
      <c r="H922" s="10">
        <f>IF(G922="","",IFERROR(VLOOKUP(G922,T_ANUG,2,FALSE),0))</f>
        <v/>
      </c>
      <c r="I922" s="11" t="n"/>
      <c r="J922" s="11" t="n"/>
      <c r="K922" s="11" t="n"/>
      <c r="L922" s="11" t="n"/>
      <c r="M922" s="11" t="n"/>
      <c r="N922" s="11" t="n"/>
      <c r="O922" s="11" t="n"/>
      <c r="P922" s="10">
        <f>IF(COUNTA(I922:O922)=0,"",MIN(10,SUM(I922:O922)))</f>
        <v/>
      </c>
      <c r="Q922" s="11" t="n"/>
      <c r="R922" s="10">
        <f>IF(Q922="","",IFERROR(VLOOKUP(Q922,T_NILAM,2,FALSE),0))</f>
        <v/>
      </c>
      <c r="S922" s="11" t="n"/>
      <c r="T922" s="10">
        <f>IF(S922="","",IFERROR(VLOOKUP(S922,T_TIMSS,2,FALSE),0))</f>
        <v/>
      </c>
      <c r="U922" s="19">
        <f>IF(COUNT(F922,H922,P922,R922,T922)=0,"",MIN(10,MAX(F922,H922,P922,R922,T922)))</f>
        <v/>
      </c>
      <c r="V922" s="11" t="n"/>
    </row>
    <row r="923">
      <c r="A923" s="15">
        <f>Murid!A923</f>
        <v/>
      </c>
      <c r="B923" s="15">
        <f>IF(Murid!B923="","",Murid!B923)</f>
        <v/>
      </c>
      <c r="C923" s="16">
        <f>IF(Murid!C923="","",Murid!C923)</f>
        <v/>
      </c>
      <c r="D923" s="15">
        <f>IF(Murid!E923="","",Murid!E923)</f>
        <v/>
      </c>
      <c r="E923" s="11" t="n"/>
      <c r="F923" s="10">
        <f>IF(E923="","",IFERROR(VLOOKUP(E923,T_PERK,2,FALSE),0))</f>
        <v/>
      </c>
      <c r="G923" s="11" t="n"/>
      <c r="H923" s="10">
        <f>IF(G923="","",IFERROR(VLOOKUP(G923,T_ANUG,2,FALSE),0))</f>
        <v/>
      </c>
      <c r="I923" s="11" t="n"/>
      <c r="J923" s="11" t="n"/>
      <c r="K923" s="11" t="n"/>
      <c r="L923" s="11" t="n"/>
      <c r="M923" s="11" t="n"/>
      <c r="N923" s="11" t="n"/>
      <c r="O923" s="11" t="n"/>
      <c r="P923" s="10">
        <f>IF(COUNTA(I923:O923)=0,"",MIN(10,SUM(I923:O923)))</f>
        <v/>
      </c>
      <c r="Q923" s="11" t="n"/>
      <c r="R923" s="10">
        <f>IF(Q923="","",IFERROR(VLOOKUP(Q923,T_NILAM,2,FALSE),0))</f>
        <v/>
      </c>
      <c r="S923" s="11" t="n"/>
      <c r="T923" s="10">
        <f>IF(S923="","",IFERROR(VLOOKUP(S923,T_TIMSS,2,FALSE),0))</f>
        <v/>
      </c>
      <c r="U923" s="19">
        <f>IF(COUNT(F923,H923,P923,R923,T923)=0,"",MIN(10,MAX(F923,H923,P923,R923,T923)))</f>
        <v/>
      </c>
      <c r="V923" s="11" t="n"/>
    </row>
    <row r="924">
      <c r="A924" s="15">
        <f>Murid!A924</f>
        <v/>
      </c>
      <c r="B924" s="15">
        <f>IF(Murid!B924="","",Murid!B924)</f>
        <v/>
      </c>
      <c r="C924" s="16">
        <f>IF(Murid!C924="","",Murid!C924)</f>
        <v/>
      </c>
      <c r="D924" s="15">
        <f>IF(Murid!E924="","",Murid!E924)</f>
        <v/>
      </c>
      <c r="E924" s="11" t="n"/>
      <c r="F924" s="10">
        <f>IF(E924="","",IFERROR(VLOOKUP(E924,T_PERK,2,FALSE),0))</f>
        <v/>
      </c>
      <c r="G924" s="11" t="n"/>
      <c r="H924" s="10">
        <f>IF(G924="","",IFERROR(VLOOKUP(G924,T_ANUG,2,FALSE),0))</f>
        <v/>
      </c>
      <c r="I924" s="11" t="n"/>
      <c r="J924" s="11" t="n"/>
      <c r="K924" s="11" t="n"/>
      <c r="L924" s="11" t="n"/>
      <c r="M924" s="11" t="n"/>
      <c r="N924" s="11" t="n"/>
      <c r="O924" s="11" t="n"/>
      <c r="P924" s="10">
        <f>IF(COUNTA(I924:O924)=0,"",MIN(10,SUM(I924:O924)))</f>
        <v/>
      </c>
      <c r="Q924" s="11" t="n"/>
      <c r="R924" s="10">
        <f>IF(Q924="","",IFERROR(VLOOKUP(Q924,T_NILAM,2,FALSE),0))</f>
        <v/>
      </c>
      <c r="S924" s="11" t="n"/>
      <c r="T924" s="10">
        <f>IF(S924="","",IFERROR(VLOOKUP(S924,T_TIMSS,2,FALSE),0))</f>
        <v/>
      </c>
      <c r="U924" s="19">
        <f>IF(COUNT(F924,H924,P924,R924,T924)=0,"",MIN(10,MAX(F924,H924,P924,R924,T924)))</f>
        <v/>
      </c>
      <c r="V924" s="11" t="n"/>
    </row>
    <row r="925">
      <c r="A925" s="15">
        <f>Murid!A925</f>
        <v/>
      </c>
      <c r="B925" s="15">
        <f>IF(Murid!B925="","",Murid!B925)</f>
        <v/>
      </c>
      <c r="C925" s="16">
        <f>IF(Murid!C925="","",Murid!C925)</f>
        <v/>
      </c>
      <c r="D925" s="15">
        <f>IF(Murid!E925="","",Murid!E925)</f>
        <v/>
      </c>
      <c r="E925" s="11" t="n"/>
      <c r="F925" s="10">
        <f>IF(E925="","",IFERROR(VLOOKUP(E925,T_PERK,2,FALSE),0))</f>
        <v/>
      </c>
      <c r="G925" s="11" t="n"/>
      <c r="H925" s="10">
        <f>IF(G925="","",IFERROR(VLOOKUP(G925,T_ANUG,2,FALSE),0))</f>
        <v/>
      </c>
      <c r="I925" s="11" t="n"/>
      <c r="J925" s="11" t="n"/>
      <c r="K925" s="11" t="n"/>
      <c r="L925" s="11" t="n"/>
      <c r="M925" s="11" t="n"/>
      <c r="N925" s="11" t="n"/>
      <c r="O925" s="11" t="n"/>
      <c r="P925" s="10">
        <f>IF(COUNTA(I925:O925)=0,"",MIN(10,SUM(I925:O925)))</f>
        <v/>
      </c>
      <c r="Q925" s="11" t="n"/>
      <c r="R925" s="10">
        <f>IF(Q925="","",IFERROR(VLOOKUP(Q925,T_NILAM,2,FALSE),0))</f>
        <v/>
      </c>
      <c r="S925" s="11" t="n"/>
      <c r="T925" s="10">
        <f>IF(S925="","",IFERROR(VLOOKUP(S925,T_TIMSS,2,FALSE),0))</f>
        <v/>
      </c>
      <c r="U925" s="19">
        <f>IF(COUNT(F925,H925,P925,R925,T925)=0,"",MIN(10,MAX(F925,H925,P925,R925,T925)))</f>
        <v/>
      </c>
      <c r="V925" s="11" t="n"/>
    </row>
    <row r="926">
      <c r="A926" s="15">
        <f>Murid!A926</f>
        <v/>
      </c>
      <c r="B926" s="15">
        <f>IF(Murid!B926="","",Murid!B926)</f>
        <v/>
      </c>
      <c r="C926" s="16">
        <f>IF(Murid!C926="","",Murid!C926)</f>
        <v/>
      </c>
      <c r="D926" s="15">
        <f>IF(Murid!E926="","",Murid!E926)</f>
        <v/>
      </c>
      <c r="E926" s="11" t="n"/>
      <c r="F926" s="10">
        <f>IF(E926="","",IFERROR(VLOOKUP(E926,T_PERK,2,FALSE),0))</f>
        <v/>
      </c>
      <c r="G926" s="11" t="n"/>
      <c r="H926" s="10">
        <f>IF(G926="","",IFERROR(VLOOKUP(G926,T_ANUG,2,FALSE),0))</f>
        <v/>
      </c>
      <c r="I926" s="11" t="n"/>
      <c r="J926" s="11" t="n"/>
      <c r="K926" s="11" t="n"/>
      <c r="L926" s="11" t="n"/>
      <c r="M926" s="11" t="n"/>
      <c r="N926" s="11" t="n"/>
      <c r="O926" s="11" t="n"/>
      <c r="P926" s="10">
        <f>IF(COUNTA(I926:O926)=0,"",MIN(10,SUM(I926:O926)))</f>
        <v/>
      </c>
      <c r="Q926" s="11" t="n"/>
      <c r="R926" s="10">
        <f>IF(Q926="","",IFERROR(VLOOKUP(Q926,T_NILAM,2,FALSE),0))</f>
        <v/>
      </c>
      <c r="S926" s="11" t="n"/>
      <c r="T926" s="10">
        <f>IF(S926="","",IFERROR(VLOOKUP(S926,T_TIMSS,2,FALSE),0))</f>
        <v/>
      </c>
      <c r="U926" s="19">
        <f>IF(COUNT(F926,H926,P926,R926,T926)=0,"",MIN(10,MAX(F926,H926,P926,R926,T926)))</f>
        <v/>
      </c>
      <c r="V926" s="11" t="n"/>
    </row>
    <row r="927">
      <c r="A927" s="15">
        <f>Murid!A927</f>
        <v/>
      </c>
      <c r="B927" s="15">
        <f>IF(Murid!B927="","",Murid!B927)</f>
        <v/>
      </c>
      <c r="C927" s="16">
        <f>IF(Murid!C927="","",Murid!C927)</f>
        <v/>
      </c>
      <c r="D927" s="15">
        <f>IF(Murid!E927="","",Murid!E927)</f>
        <v/>
      </c>
      <c r="E927" s="11" t="n"/>
      <c r="F927" s="10">
        <f>IF(E927="","",IFERROR(VLOOKUP(E927,T_PERK,2,FALSE),0))</f>
        <v/>
      </c>
      <c r="G927" s="11" t="n"/>
      <c r="H927" s="10">
        <f>IF(G927="","",IFERROR(VLOOKUP(G927,T_ANUG,2,FALSE),0))</f>
        <v/>
      </c>
      <c r="I927" s="11" t="n"/>
      <c r="J927" s="11" t="n"/>
      <c r="K927" s="11" t="n"/>
      <c r="L927" s="11" t="n"/>
      <c r="M927" s="11" t="n"/>
      <c r="N927" s="11" t="n"/>
      <c r="O927" s="11" t="n"/>
      <c r="P927" s="10">
        <f>IF(COUNTA(I927:O927)=0,"",MIN(10,SUM(I927:O927)))</f>
        <v/>
      </c>
      <c r="Q927" s="11" t="n"/>
      <c r="R927" s="10">
        <f>IF(Q927="","",IFERROR(VLOOKUP(Q927,T_NILAM,2,FALSE),0))</f>
        <v/>
      </c>
      <c r="S927" s="11" t="n"/>
      <c r="T927" s="10">
        <f>IF(S927="","",IFERROR(VLOOKUP(S927,T_TIMSS,2,FALSE),0))</f>
        <v/>
      </c>
      <c r="U927" s="19">
        <f>IF(COUNT(F927,H927,P927,R927,T927)=0,"",MIN(10,MAX(F927,H927,P927,R927,T927)))</f>
        <v/>
      </c>
      <c r="V927" s="11" t="n"/>
    </row>
    <row r="928">
      <c r="A928" s="15">
        <f>Murid!A928</f>
        <v/>
      </c>
      <c r="B928" s="15">
        <f>IF(Murid!B928="","",Murid!B928)</f>
        <v/>
      </c>
      <c r="C928" s="16">
        <f>IF(Murid!C928="","",Murid!C928)</f>
        <v/>
      </c>
      <c r="D928" s="15">
        <f>IF(Murid!E928="","",Murid!E928)</f>
        <v/>
      </c>
      <c r="E928" s="11" t="n"/>
      <c r="F928" s="10">
        <f>IF(E928="","",IFERROR(VLOOKUP(E928,T_PERK,2,FALSE),0))</f>
        <v/>
      </c>
      <c r="G928" s="11" t="n"/>
      <c r="H928" s="10">
        <f>IF(G928="","",IFERROR(VLOOKUP(G928,T_ANUG,2,FALSE),0))</f>
        <v/>
      </c>
      <c r="I928" s="11" t="n"/>
      <c r="J928" s="11" t="n"/>
      <c r="K928" s="11" t="n"/>
      <c r="L928" s="11" t="n"/>
      <c r="M928" s="11" t="n"/>
      <c r="N928" s="11" t="n"/>
      <c r="O928" s="11" t="n"/>
      <c r="P928" s="10">
        <f>IF(COUNTA(I928:O928)=0,"",MIN(10,SUM(I928:O928)))</f>
        <v/>
      </c>
      <c r="Q928" s="11" t="n"/>
      <c r="R928" s="10">
        <f>IF(Q928="","",IFERROR(VLOOKUP(Q928,T_NILAM,2,FALSE),0))</f>
        <v/>
      </c>
      <c r="S928" s="11" t="n"/>
      <c r="T928" s="10">
        <f>IF(S928="","",IFERROR(VLOOKUP(S928,T_TIMSS,2,FALSE),0))</f>
        <v/>
      </c>
      <c r="U928" s="19">
        <f>IF(COUNT(F928,H928,P928,R928,T928)=0,"",MIN(10,MAX(F928,H928,P928,R928,T928)))</f>
        <v/>
      </c>
      <c r="V928" s="11" t="n"/>
    </row>
    <row r="929">
      <c r="A929" s="15">
        <f>Murid!A929</f>
        <v/>
      </c>
      <c r="B929" s="15">
        <f>IF(Murid!B929="","",Murid!B929)</f>
        <v/>
      </c>
      <c r="C929" s="16">
        <f>IF(Murid!C929="","",Murid!C929)</f>
        <v/>
      </c>
      <c r="D929" s="15">
        <f>IF(Murid!E929="","",Murid!E929)</f>
        <v/>
      </c>
      <c r="E929" s="11" t="n"/>
      <c r="F929" s="10">
        <f>IF(E929="","",IFERROR(VLOOKUP(E929,T_PERK,2,FALSE),0))</f>
        <v/>
      </c>
      <c r="G929" s="11" t="n"/>
      <c r="H929" s="10">
        <f>IF(G929="","",IFERROR(VLOOKUP(G929,T_ANUG,2,FALSE),0))</f>
        <v/>
      </c>
      <c r="I929" s="11" t="n"/>
      <c r="J929" s="11" t="n"/>
      <c r="K929" s="11" t="n"/>
      <c r="L929" s="11" t="n"/>
      <c r="M929" s="11" t="n"/>
      <c r="N929" s="11" t="n"/>
      <c r="O929" s="11" t="n"/>
      <c r="P929" s="10">
        <f>IF(COUNTA(I929:O929)=0,"",MIN(10,SUM(I929:O929)))</f>
        <v/>
      </c>
      <c r="Q929" s="11" t="n"/>
      <c r="R929" s="10">
        <f>IF(Q929="","",IFERROR(VLOOKUP(Q929,T_NILAM,2,FALSE),0))</f>
        <v/>
      </c>
      <c r="S929" s="11" t="n"/>
      <c r="T929" s="10">
        <f>IF(S929="","",IFERROR(VLOOKUP(S929,T_TIMSS,2,FALSE),0))</f>
        <v/>
      </c>
      <c r="U929" s="19">
        <f>IF(COUNT(F929,H929,P929,R929,T929)=0,"",MIN(10,MAX(F929,H929,P929,R929,T929)))</f>
        <v/>
      </c>
      <c r="V929" s="11" t="n"/>
    </row>
    <row r="930">
      <c r="A930" s="15">
        <f>Murid!A930</f>
        <v/>
      </c>
      <c r="B930" s="15">
        <f>IF(Murid!B930="","",Murid!B930)</f>
        <v/>
      </c>
      <c r="C930" s="16">
        <f>IF(Murid!C930="","",Murid!C930)</f>
        <v/>
      </c>
      <c r="D930" s="15">
        <f>IF(Murid!E930="","",Murid!E930)</f>
        <v/>
      </c>
      <c r="E930" s="11" t="n"/>
      <c r="F930" s="10">
        <f>IF(E930="","",IFERROR(VLOOKUP(E930,T_PERK,2,FALSE),0))</f>
        <v/>
      </c>
      <c r="G930" s="11" t="n"/>
      <c r="H930" s="10">
        <f>IF(G930="","",IFERROR(VLOOKUP(G930,T_ANUG,2,FALSE),0))</f>
        <v/>
      </c>
      <c r="I930" s="11" t="n"/>
      <c r="J930" s="11" t="n"/>
      <c r="K930" s="11" t="n"/>
      <c r="L930" s="11" t="n"/>
      <c r="M930" s="11" t="n"/>
      <c r="N930" s="11" t="n"/>
      <c r="O930" s="11" t="n"/>
      <c r="P930" s="10">
        <f>IF(COUNTA(I930:O930)=0,"",MIN(10,SUM(I930:O930)))</f>
        <v/>
      </c>
      <c r="Q930" s="11" t="n"/>
      <c r="R930" s="10">
        <f>IF(Q930="","",IFERROR(VLOOKUP(Q930,T_NILAM,2,FALSE),0))</f>
        <v/>
      </c>
      <c r="S930" s="11" t="n"/>
      <c r="T930" s="10">
        <f>IF(S930="","",IFERROR(VLOOKUP(S930,T_TIMSS,2,FALSE),0))</f>
        <v/>
      </c>
      <c r="U930" s="19">
        <f>IF(COUNT(F930,H930,P930,R930,T930)=0,"",MIN(10,MAX(F930,H930,P930,R930,T930)))</f>
        <v/>
      </c>
      <c r="V930" s="11" t="n"/>
    </row>
    <row r="931">
      <c r="A931" s="15">
        <f>Murid!A931</f>
        <v/>
      </c>
      <c r="B931" s="15">
        <f>IF(Murid!B931="","",Murid!B931)</f>
        <v/>
      </c>
      <c r="C931" s="16">
        <f>IF(Murid!C931="","",Murid!C931)</f>
        <v/>
      </c>
      <c r="D931" s="15">
        <f>IF(Murid!E931="","",Murid!E931)</f>
        <v/>
      </c>
      <c r="E931" s="11" t="n"/>
      <c r="F931" s="10">
        <f>IF(E931="","",IFERROR(VLOOKUP(E931,T_PERK,2,FALSE),0))</f>
        <v/>
      </c>
      <c r="G931" s="11" t="n"/>
      <c r="H931" s="10">
        <f>IF(G931="","",IFERROR(VLOOKUP(G931,T_ANUG,2,FALSE),0))</f>
        <v/>
      </c>
      <c r="I931" s="11" t="n"/>
      <c r="J931" s="11" t="n"/>
      <c r="K931" s="11" t="n"/>
      <c r="L931" s="11" t="n"/>
      <c r="M931" s="11" t="n"/>
      <c r="N931" s="11" t="n"/>
      <c r="O931" s="11" t="n"/>
      <c r="P931" s="10">
        <f>IF(COUNTA(I931:O931)=0,"",MIN(10,SUM(I931:O931)))</f>
        <v/>
      </c>
      <c r="Q931" s="11" t="n"/>
      <c r="R931" s="10">
        <f>IF(Q931="","",IFERROR(VLOOKUP(Q931,T_NILAM,2,FALSE),0))</f>
        <v/>
      </c>
      <c r="S931" s="11" t="n"/>
      <c r="T931" s="10">
        <f>IF(S931="","",IFERROR(VLOOKUP(S931,T_TIMSS,2,FALSE),0))</f>
        <v/>
      </c>
      <c r="U931" s="19">
        <f>IF(COUNT(F931,H931,P931,R931,T931)=0,"",MIN(10,MAX(F931,H931,P931,R931,T931)))</f>
        <v/>
      </c>
      <c r="V931" s="11" t="n"/>
    </row>
    <row r="932">
      <c r="A932" s="15">
        <f>Murid!A932</f>
        <v/>
      </c>
      <c r="B932" s="15">
        <f>IF(Murid!B932="","",Murid!B932)</f>
        <v/>
      </c>
      <c r="C932" s="16">
        <f>IF(Murid!C932="","",Murid!C932)</f>
        <v/>
      </c>
      <c r="D932" s="15">
        <f>IF(Murid!E932="","",Murid!E932)</f>
        <v/>
      </c>
      <c r="E932" s="11" t="n"/>
      <c r="F932" s="10">
        <f>IF(E932="","",IFERROR(VLOOKUP(E932,T_PERK,2,FALSE),0))</f>
        <v/>
      </c>
      <c r="G932" s="11" t="n"/>
      <c r="H932" s="10">
        <f>IF(G932="","",IFERROR(VLOOKUP(G932,T_ANUG,2,FALSE),0))</f>
        <v/>
      </c>
      <c r="I932" s="11" t="n"/>
      <c r="J932" s="11" t="n"/>
      <c r="K932" s="11" t="n"/>
      <c r="L932" s="11" t="n"/>
      <c r="M932" s="11" t="n"/>
      <c r="N932" s="11" t="n"/>
      <c r="O932" s="11" t="n"/>
      <c r="P932" s="10">
        <f>IF(COUNTA(I932:O932)=0,"",MIN(10,SUM(I932:O932)))</f>
        <v/>
      </c>
      <c r="Q932" s="11" t="n"/>
      <c r="R932" s="10">
        <f>IF(Q932="","",IFERROR(VLOOKUP(Q932,T_NILAM,2,FALSE),0))</f>
        <v/>
      </c>
      <c r="S932" s="11" t="n"/>
      <c r="T932" s="10">
        <f>IF(S932="","",IFERROR(VLOOKUP(S932,T_TIMSS,2,FALSE),0))</f>
        <v/>
      </c>
      <c r="U932" s="19">
        <f>IF(COUNT(F932,H932,P932,R932,T932)=0,"",MIN(10,MAX(F932,H932,P932,R932,T932)))</f>
        <v/>
      </c>
      <c r="V932" s="11" t="n"/>
    </row>
    <row r="933">
      <c r="A933" s="15">
        <f>Murid!A933</f>
        <v/>
      </c>
      <c r="B933" s="15">
        <f>IF(Murid!B933="","",Murid!B933)</f>
        <v/>
      </c>
      <c r="C933" s="16">
        <f>IF(Murid!C933="","",Murid!C933)</f>
        <v/>
      </c>
      <c r="D933" s="15">
        <f>IF(Murid!E933="","",Murid!E933)</f>
        <v/>
      </c>
      <c r="E933" s="11" t="n"/>
      <c r="F933" s="10">
        <f>IF(E933="","",IFERROR(VLOOKUP(E933,T_PERK,2,FALSE),0))</f>
        <v/>
      </c>
      <c r="G933" s="11" t="n"/>
      <c r="H933" s="10">
        <f>IF(G933="","",IFERROR(VLOOKUP(G933,T_ANUG,2,FALSE),0))</f>
        <v/>
      </c>
      <c r="I933" s="11" t="n"/>
      <c r="J933" s="11" t="n"/>
      <c r="K933" s="11" t="n"/>
      <c r="L933" s="11" t="n"/>
      <c r="M933" s="11" t="n"/>
      <c r="N933" s="11" t="n"/>
      <c r="O933" s="11" t="n"/>
      <c r="P933" s="10">
        <f>IF(COUNTA(I933:O933)=0,"",MIN(10,SUM(I933:O933)))</f>
        <v/>
      </c>
      <c r="Q933" s="11" t="n"/>
      <c r="R933" s="10">
        <f>IF(Q933="","",IFERROR(VLOOKUP(Q933,T_NILAM,2,FALSE),0))</f>
        <v/>
      </c>
      <c r="S933" s="11" t="n"/>
      <c r="T933" s="10">
        <f>IF(S933="","",IFERROR(VLOOKUP(S933,T_TIMSS,2,FALSE),0))</f>
        <v/>
      </c>
      <c r="U933" s="19">
        <f>IF(COUNT(F933,H933,P933,R933,T933)=0,"",MIN(10,MAX(F933,H933,P933,R933,T933)))</f>
        <v/>
      </c>
      <c r="V933" s="11" t="n"/>
    </row>
    <row r="934">
      <c r="A934" s="15">
        <f>Murid!A934</f>
        <v/>
      </c>
      <c r="B934" s="15">
        <f>IF(Murid!B934="","",Murid!B934)</f>
        <v/>
      </c>
      <c r="C934" s="16">
        <f>IF(Murid!C934="","",Murid!C934)</f>
        <v/>
      </c>
      <c r="D934" s="15">
        <f>IF(Murid!E934="","",Murid!E934)</f>
        <v/>
      </c>
      <c r="E934" s="11" t="n"/>
      <c r="F934" s="10">
        <f>IF(E934="","",IFERROR(VLOOKUP(E934,T_PERK,2,FALSE),0))</f>
        <v/>
      </c>
      <c r="G934" s="11" t="n"/>
      <c r="H934" s="10">
        <f>IF(G934="","",IFERROR(VLOOKUP(G934,T_ANUG,2,FALSE),0))</f>
        <v/>
      </c>
      <c r="I934" s="11" t="n"/>
      <c r="J934" s="11" t="n"/>
      <c r="K934" s="11" t="n"/>
      <c r="L934" s="11" t="n"/>
      <c r="M934" s="11" t="n"/>
      <c r="N934" s="11" t="n"/>
      <c r="O934" s="11" t="n"/>
      <c r="P934" s="10">
        <f>IF(COUNTA(I934:O934)=0,"",MIN(10,SUM(I934:O934)))</f>
        <v/>
      </c>
      <c r="Q934" s="11" t="n"/>
      <c r="R934" s="10">
        <f>IF(Q934="","",IFERROR(VLOOKUP(Q934,T_NILAM,2,FALSE),0))</f>
        <v/>
      </c>
      <c r="S934" s="11" t="n"/>
      <c r="T934" s="10">
        <f>IF(S934="","",IFERROR(VLOOKUP(S934,T_TIMSS,2,FALSE),0))</f>
        <v/>
      </c>
      <c r="U934" s="19">
        <f>IF(COUNT(F934,H934,P934,R934,T934)=0,"",MIN(10,MAX(F934,H934,P934,R934,T934)))</f>
        <v/>
      </c>
      <c r="V934" s="11" t="n"/>
    </row>
    <row r="935">
      <c r="A935" s="15">
        <f>Murid!A935</f>
        <v/>
      </c>
      <c r="B935" s="15">
        <f>IF(Murid!B935="","",Murid!B935)</f>
        <v/>
      </c>
      <c r="C935" s="16">
        <f>IF(Murid!C935="","",Murid!C935)</f>
        <v/>
      </c>
      <c r="D935" s="15">
        <f>IF(Murid!E935="","",Murid!E935)</f>
        <v/>
      </c>
      <c r="E935" s="11" t="n"/>
      <c r="F935" s="10">
        <f>IF(E935="","",IFERROR(VLOOKUP(E935,T_PERK,2,FALSE),0))</f>
        <v/>
      </c>
      <c r="G935" s="11" t="n"/>
      <c r="H935" s="10">
        <f>IF(G935="","",IFERROR(VLOOKUP(G935,T_ANUG,2,FALSE),0))</f>
        <v/>
      </c>
      <c r="I935" s="11" t="n"/>
      <c r="J935" s="11" t="n"/>
      <c r="K935" s="11" t="n"/>
      <c r="L935" s="11" t="n"/>
      <c r="M935" s="11" t="n"/>
      <c r="N935" s="11" t="n"/>
      <c r="O935" s="11" t="n"/>
      <c r="P935" s="10">
        <f>IF(COUNTA(I935:O935)=0,"",MIN(10,SUM(I935:O935)))</f>
        <v/>
      </c>
      <c r="Q935" s="11" t="n"/>
      <c r="R935" s="10">
        <f>IF(Q935="","",IFERROR(VLOOKUP(Q935,T_NILAM,2,FALSE),0))</f>
        <v/>
      </c>
      <c r="S935" s="11" t="n"/>
      <c r="T935" s="10">
        <f>IF(S935="","",IFERROR(VLOOKUP(S935,T_TIMSS,2,FALSE),0))</f>
        <v/>
      </c>
      <c r="U935" s="19">
        <f>IF(COUNT(F935,H935,P935,R935,T935)=0,"",MIN(10,MAX(F935,H935,P935,R935,T935)))</f>
        <v/>
      </c>
      <c r="V935" s="11" t="n"/>
    </row>
    <row r="936">
      <c r="A936" s="15">
        <f>Murid!A936</f>
        <v/>
      </c>
      <c r="B936" s="15">
        <f>IF(Murid!B936="","",Murid!B936)</f>
        <v/>
      </c>
      <c r="C936" s="16">
        <f>IF(Murid!C936="","",Murid!C936)</f>
        <v/>
      </c>
      <c r="D936" s="15">
        <f>IF(Murid!E936="","",Murid!E936)</f>
        <v/>
      </c>
      <c r="E936" s="11" t="n"/>
      <c r="F936" s="10">
        <f>IF(E936="","",IFERROR(VLOOKUP(E936,T_PERK,2,FALSE),0))</f>
        <v/>
      </c>
      <c r="G936" s="11" t="n"/>
      <c r="H936" s="10">
        <f>IF(G936="","",IFERROR(VLOOKUP(G936,T_ANUG,2,FALSE),0))</f>
        <v/>
      </c>
      <c r="I936" s="11" t="n"/>
      <c r="J936" s="11" t="n"/>
      <c r="K936" s="11" t="n"/>
      <c r="L936" s="11" t="n"/>
      <c r="M936" s="11" t="n"/>
      <c r="N936" s="11" t="n"/>
      <c r="O936" s="11" t="n"/>
      <c r="P936" s="10">
        <f>IF(COUNTA(I936:O936)=0,"",MIN(10,SUM(I936:O936)))</f>
        <v/>
      </c>
      <c r="Q936" s="11" t="n"/>
      <c r="R936" s="10">
        <f>IF(Q936="","",IFERROR(VLOOKUP(Q936,T_NILAM,2,FALSE),0))</f>
        <v/>
      </c>
      <c r="S936" s="11" t="n"/>
      <c r="T936" s="10">
        <f>IF(S936="","",IFERROR(VLOOKUP(S936,T_TIMSS,2,FALSE),0))</f>
        <v/>
      </c>
      <c r="U936" s="19">
        <f>IF(COUNT(F936,H936,P936,R936,T936)=0,"",MIN(10,MAX(F936,H936,P936,R936,T936)))</f>
        <v/>
      </c>
      <c r="V936" s="11" t="n"/>
    </row>
    <row r="937">
      <c r="A937" s="15">
        <f>Murid!A937</f>
        <v/>
      </c>
      <c r="B937" s="15">
        <f>IF(Murid!B937="","",Murid!B937)</f>
        <v/>
      </c>
      <c r="C937" s="16">
        <f>IF(Murid!C937="","",Murid!C937)</f>
        <v/>
      </c>
      <c r="D937" s="15">
        <f>IF(Murid!E937="","",Murid!E937)</f>
        <v/>
      </c>
      <c r="E937" s="11" t="n"/>
      <c r="F937" s="10">
        <f>IF(E937="","",IFERROR(VLOOKUP(E937,T_PERK,2,FALSE),0))</f>
        <v/>
      </c>
      <c r="G937" s="11" t="n"/>
      <c r="H937" s="10">
        <f>IF(G937="","",IFERROR(VLOOKUP(G937,T_ANUG,2,FALSE),0))</f>
        <v/>
      </c>
      <c r="I937" s="11" t="n"/>
      <c r="J937" s="11" t="n"/>
      <c r="K937" s="11" t="n"/>
      <c r="L937" s="11" t="n"/>
      <c r="M937" s="11" t="n"/>
      <c r="N937" s="11" t="n"/>
      <c r="O937" s="11" t="n"/>
      <c r="P937" s="10">
        <f>IF(COUNTA(I937:O937)=0,"",MIN(10,SUM(I937:O937)))</f>
        <v/>
      </c>
      <c r="Q937" s="11" t="n"/>
      <c r="R937" s="10">
        <f>IF(Q937="","",IFERROR(VLOOKUP(Q937,T_NILAM,2,FALSE),0))</f>
        <v/>
      </c>
      <c r="S937" s="11" t="n"/>
      <c r="T937" s="10">
        <f>IF(S937="","",IFERROR(VLOOKUP(S937,T_TIMSS,2,FALSE),0))</f>
        <v/>
      </c>
      <c r="U937" s="19">
        <f>IF(COUNT(F937,H937,P937,R937,T937)=0,"",MIN(10,MAX(F937,H937,P937,R937,T937)))</f>
        <v/>
      </c>
      <c r="V937" s="11" t="n"/>
    </row>
    <row r="938">
      <c r="A938" s="15">
        <f>Murid!A938</f>
        <v/>
      </c>
      <c r="B938" s="15">
        <f>IF(Murid!B938="","",Murid!B938)</f>
        <v/>
      </c>
      <c r="C938" s="16">
        <f>IF(Murid!C938="","",Murid!C938)</f>
        <v/>
      </c>
      <c r="D938" s="15">
        <f>IF(Murid!E938="","",Murid!E938)</f>
        <v/>
      </c>
      <c r="E938" s="11" t="n"/>
      <c r="F938" s="10">
        <f>IF(E938="","",IFERROR(VLOOKUP(E938,T_PERK,2,FALSE),0))</f>
        <v/>
      </c>
      <c r="G938" s="11" t="n"/>
      <c r="H938" s="10">
        <f>IF(G938="","",IFERROR(VLOOKUP(G938,T_ANUG,2,FALSE),0))</f>
        <v/>
      </c>
      <c r="I938" s="11" t="n"/>
      <c r="J938" s="11" t="n"/>
      <c r="K938" s="11" t="n"/>
      <c r="L938" s="11" t="n"/>
      <c r="M938" s="11" t="n"/>
      <c r="N938" s="11" t="n"/>
      <c r="O938" s="11" t="n"/>
      <c r="P938" s="10">
        <f>IF(COUNTA(I938:O938)=0,"",MIN(10,SUM(I938:O938)))</f>
        <v/>
      </c>
      <c r="Q938" s="11" t="n"/>
      <c r="R938" s="10">
        <f>IF(Q938="","",IFERROR(VLOOKUP(Q938,T_NILAM,2,FALSE),0))</f>
        <v/>
      </c>
      <c r="S938" s="11" t="n"/>
      <c r="T938" s="10">
        <f>IF(S938="","",IFERROR(VLOOKUP(S938,T_TIMSS,2,FALSE),0))</f>
        <v/>
      </c>
      <c r="U938" s="19">
        <f>IF(COUNT(F938,H938,P938,R938,T938)=0,"",MIN(10,MAX(F938,H938,P938,R938,T938)))</f>
        <v/>
      </c>
      <c r="V938" s="11" t="n"/>
    </row>
    <row r="939">
      <c r="A939" s="15">
        <f>Murid!A939</f>
        <v/>
      </c>
      <c r="B939" s="15">
        <f>IF(Murid!B939="","",Murid!B939)</f>
        <v/>
      </c>
      <c r="C939" s="16">
        <f>IF(Murid!C939="","",Murid!C939)</f>
        <v/>
      </c>
      <c r="D939" s="15">
        <f>IF(Murid!E939="","",Murid!E939)</f>
        <v/>
      </c>
      <c r="E939" s="11" t="n"/>
      <c r="F939" s="10">
        <f>IF(E939="","",IFERROR(VLOOKUP(E939,T_PERK,2,FALSE),0))</f>
        <v/>
      </c>
      <c r="G939" s="11" t="n"/>
      <c r="H939" s="10">
        <f>IF(G939="","",IFERROR(VLOOKUP(G939,T_ANUG,2,FALSE),0))</f>
        <v/>
      </c>
      <c r="I939" s="11" t="n"/>
      <c r="J939" s="11" t="n"/>
      <c r="K939" s="11" t="n"/>
      <c r="L939" s="11" t="n"/>
      <c r="M939" s="11" t="n"/>
      <c r="N939" s="11" t="n"/>
      <c r="O939" s="11" t="n"/>
      <c r="P939" s="10">
        <f>IF(COUNTA(I939:O939)=0,"",MIN(10,SUM(I939:O939)))</f>
        <v/>
      </c>
      <c r="Q939" s="11" t="n"/>
      <c r="R939" s="10">
        <f>IF(Q939="","",IFERROR(VLOOKUP(Q939,T_NILAM,2,FALSE),0))</f>
        <v/>
      </c>
      <c r="S939" s="11" t="n"/>
      <c r="T939" s="10">
        <f>IF(S939="","",IFERROR(VLOOKUP(S939,T_TIMSS,2,FALSE),0))</f>
        <v/>
      </c>
      <c r="U939" s="19">
        <f>IF(COUNT(F939,H939,P939,R939,T939)=0,"",MIN(10,MAX(F939,H939,P939,R939,T939)))</f>
        <v/>
      </c>
      <c r="V939" s="11" t="n"/>
    </row>
    <row r="940">
      <c r="A940" s="15">
        <f>Murid!A940</f>
        <v/>
      </c>
      <c r="B940" s="15">
        <f>IF(Murid!B940="","",Murid!B940)</f>
        <v/>
      </c>
      <c r="C940" s="16">
        <f>IF(Murid!C940="","",Murid!C940)</f>
        <v/>
      </c>
      <c r="D940" s="15">
        <f>IF(Murid!E940="","",Murid!E940)</f>
        <v/>
      </c>
      <c r="E940" s="11" t="n"/>
      <c r="F940" s="10">
        <f>IF(E940="","",IFERROR(VLOOKUP(E940,T_PERK,2,FALSE),0))</f>
        <v/>
      </c>
      <c r="G940" s="11" t="n"/>
      <c r="H940" s="10">
        <f>IF(G940="","",IFERROR(VLOOKUP(G940,T_ANUG,2,FALSE),0))</f>
        <v/>
      </c>
      <c r="I940" s="11" t="n"/>
      <c r="J940" s="11" t="n"/>
      <c r="K940" s="11" t="n"/>
      <c r="L940" s="11" t="n"/>
      <c r="M940" s="11" t="n"/>
      <c r="N940" s="11" t="n"/>
      <c r="O940" s="11" t="n"/>
      <c r="P940" s="10">
        <f>IF(COUNTA(I940:O940)=0,"",MIN(10,SUM(I940:O940)))</f>
        <v/>
      </c>
      <c r="Q940" s="11" t="n"/>
      <c r="R940" s="10">
        <f>IF(Q940="","",IFERROR(VLOOKUP(Q940,T_NILAM,2,FALSE),0))</f>
        <v/>
      </c>
      <c r="S940" s="11" t="n"/>
      <c r="T940" s="10">
        <f>IF(S940="","",IFERROR(VLOOKUP(S940,T_TIMSS,2,FALSE),0))</f>
        <v/>
      </c>
      <c r="U940" s="19">
        <f>IF(COUNT(F940,H940,P940,R940,T940)=0,"",MIN(10,MAX(F940,H940,P940,R940,T940)))</f>
        <v/>
      </c>
      <c r="V940" s="11" t="n"/>
    </row>
    <row r="941">
      <c r="A941" s="15">
        <f>Murid!A941</f>
        <v/>
      </c>
      <c r="B941" s="15">
        <f>IF(Murid!B941="","",Murid!B941)</f>
        <v/>
      </c>
      <c r="C941" s="16">
        <f>IF(Murid!C941="","",Murid!C941)</f>
        <v/>
      </c>
      <c r="D941" s="15">
        <f>IF(Murid!E941="","",Murid!E941)</f>
        <v/>
      </c>
      <c r="E941" s="11" t="n"/>
      <c r="F941" s="10">
        <f>IF(E941="","",IFERROR(VLOOKUP(E941,T_PERK,2,FALSE),0))</f>
        <v/>
      </c>
      <c r="G941" s="11" t="n"/>
      <c r="H941" s="10">
        <f>IF(G941="","",IFERROR(VLOOKUP(G941,T_ANUG,2,FALSE),0))</f>
        <v/>
      </c>
      <c r="I941" s="11" t="n"/>
      <c r="J941" s="11" t="n"/>
      <c r="K941" s="11" t="n"/>
      <c r="L941" s="11" t="n"/>
      <c r="M941" s="11" t="n"/>
      <c r="N941" s="11" t="n"/>
      <c r="O941" s="11" t="n"/>
      <c r="P941" s="10">
        <f>IF(COUNTA(I941:O941)=0,"",MIN(10,SUM(I941:O941)))</f>
        <v/>
      </c>
      <c r="Q941" s="11" t="n"/>
      <c r="R941" s="10">
        <f>IF(Q941="","",IFERROR(VLOOKUP(Q941,T_NILAM,2,FALSE),0))</f>
        <v/>
      </c>
      <c r="S941" s="11" t="n"/>
      <c r="T941" s="10">
        <f>IF(S941="","",IFERROR(VLOOKUP(S941,T_TIMSS,2,FALSE),0))</f>
        <v/>
      </c>
      <c r="U941" s="19">
        <f>IF(COUNT(F941,H941,P941,R941,T941)=0,"",MIN(10,MAX(F941,H941,P941,R941,T941)))</f>
        <v/>
      </c>
      <c r="V941" s="11" t="n"/>
    </row>
    <row r="942">
      <c r="A942" s="15">
        <f>Murid!A942</f>
        <v/>
      </c>
      <c r="B942" s="15">
        <f>IF(Murid!B942="","",Murid!B942)</f>
        <v/>
      </c>
      <c r="C942" s="16">
        <f>IF(Murid!C942="","",Murid!C942)</f>
        <v/>
      </c>
      <c r="D942" s="15">
        <f>IF(Murid!E942="","",Murid!E942)</f>
        <v/>
      </c>
      <c r="E942" s="11" t="n"/>
      <c r="F942" s="10">
        <f>IF(E942="","",IFERROR(VLOOKUP(E942,T_PERK,2,FALSE),0))</f>
        <v/>
      </c>
      <c r="G942" s="11" t="n"/>
      <c r="H942" s="10">
        <f>IF(G942="","",IFERROR(VLOOKUP(G942,T_ANUG,2,FALSE),0))</f>
        <v/>
      </c>
      <c r="I942" s="11" t="n"/>
      <c r="J942" s="11" t="n"/>
      <c r="K942" s="11" t="n"/>
      <c r="L942" s="11" t="n"/>
      <c r="M942" s="11" t="n"/>
      <c r="N942" s="11" t="n"/>
      <c r="O942" s="11" t="n"/>
      <c r="P942" s="10">
        <f>IF(COUNTA(I942:O942)=0,"",MIN(10,SUM(I942:O942)))</f>
        <v/>
      </c>
      <c r="Q942" s="11" t="n"/>
      <c r="R942" s="10">
        <f>IF(Q942="","",IFERROR(VLOOKUP(Q942,T_NILAM,2,FALSE),0))</f>
        <v/>
      </c>
      <c r="S942" s="11" t="n"/>
      <c r="T942" s="10">
        <f>IF(S942="","",IFERROR(VLOOKUP(S942,T_TIMSS,2,FALSE),0))</f>
        <v/>
      </c>
      <c r="U942" s="19">
        <f>IF(COUNT(F942,H942,P942,R942,T942)=0,"",MIN(10,MAX(F942,H942,P942,R942,T942)))</f>
        <v/>
      </c>
      <c r="V942" s="11" t="n"/>
    </row>
    <row r="943">
      <c r="A943" s="15">
        <f>Murid!A943</f>
        <v/>
      </c>
      <c r="B943" s="15">
        <f>IF(Murid!B943="","",Murid!B943)</f>
        <v/>
      </c>
      <c r="C943" s="16">
        <f>IF(Murid!C943="","",Murid!C943)</f>
        <v/>
      </c>
      <c r="D943" s="15">
        <f>IF(Murid!E943="","",Murid!E943)</f>
        <v/>
      </c>
      <c r="E943" s="11" t="n"/>
      <c r="F943" s="10">
        <f>IF(E943="","",IFERROR(VLOOKUP(E943,T_PERK,2,FALSE),0))</f>
        <v/>
      </c>
      <c r="G943" s="11" t="n"/>
      <c r="H943" s="10">
        <f>IF(G943="","",IFERROR(VLOOKUP(G943,T_ANUG,2,FALSE),0))</f>
        <v/>
      </c>
      <c r="I943" s="11" t="n"/>
      <c r="J943" s="11" t="n"/>
      <c r="K943" s="11" t="n"/>
      <c r="L943" s="11" t="n"/>
      <c r="M943" s="11" t="n"/>
      <c r="N943" s="11" t="n"/>
      <c r="O943" s="11" t="n"/>
      <c r="P943" s="10">
        <f>IF(COUNTA(I943:O943)=0,"",MIN(10,SUM(I943:O943)))</f>
        <v/>
      </c>
      <c r="Q943" s="11" t="n"/>
      <c r="R943" s="10">
        <f>IF(Q943="","",IFERROR(VLOOKUP(Q943,T_NILAM,2,FALSE),0))</f>
        <v/>
      </c>
      <c r="S943" s="11" t="n"/>
      <c r="T943" s="10">
        <f>IF(S943="","",IFERROR(VLOOKUP(S943,T_TIMSS,2,FALSE),0))</f>
        <v/>
      </c>
      <c r="U943" s="19">
        <f>IF(COUNT(F943,H943,P943,R943,T943)=0,"",MIN(10,MAX(F943,H943,P943,R943,T943)))</f>
        <v/>
      </c>
      <c r="V943" s="11" t="n"/>
    </row>
    <row r="944">
      <c r="A944" s="15">
        <f>Murid!A944</f>
        <v/>
      </c>
      <c r="B944" s="15">
        <f>IF(Murid!B944="","",Murid!B944)</f>
        <v/>
      </c>
      <c r="C944" s="16">
        <f>IF(Murid!C944="","",Murid!C944)</f>
        <v/>
      </c>
      <c r="D944" s="15">
        <f>IF(Murid!E944="","",Murid!E944)</f>
        <v/>
      </c>
      <c r="E944" s="11" t="n"/>
      <c r="F944" s="10">
        <f>IF(E944="","",IFERROR(VLOOKUP(E944,T_PERK,2,FALSE),0))</f>
        <v/>
      </c>
      <c r="G944" s="11" t="n"/>
      <c r="H944" s="10">
        <f>IF(G944="","",IFERROR(VLOOKUP(G944,T_ANUG,2,FALSE),0))</f>
        <v/>
      </c>
      <c r="I944" s="11" t="n"/>
      <c r="J944" s="11" t="n"/>
      <c r="K944" s="11" t="n"/>
      <c r="L944" s="11" t="n"/>
      <c r="M944" s="11" t="n"/>
      <c r="N944" s="11" t="n"/>
      <c r="O944" s="11" t="n"/>
      <c r="P944" s="10">
        <f>IF(COUNTA(I944:O944)=0,"",MIN(10,SUM(I944:O944)))</f>
        <v/>
      </c>
      <c r="Q944" s="11" t="n"/>
      <c r="R944" s="10">
        <f>IF(Q944="","",IFERROR(VLOOKUP(Q944,T_NILAM,2,FALSE),0))</f>
        <v/>
      </c>
      <c r="S944" s="11" t="n"/>
      <c r="T944" s="10">
        <f>IF(S944="","",IFERROR(VLOOKUP(S944,T_TIMSS,2,FALSE),0))</f>
        <v/>
      </c>
      <c r="U944" s="19">
        <f>IF(COUNT(F944,H944,P944,R944,T944)=0,"",MIN(10,MAX(F944,H944,P944,R944,T944)))</f>
        <v/>
      </c>
      <c r="V944" s="11" t="n"/>
    </row>
    <row r="945">
      <c r="A945" s="15">
        <f>Murid!A945</f>
        <v/>
      </c>
      <c r="B945" s="15">
        <f>IF(Murid!B945="","",Murid!B945)</f>
        <v/>
      </c>
      <c r="C945" s="16">
        <f>IF(Murid!C945="","",Murid!C945)</f>
        <v/>
      </c>
      <c r="D945" s="15">
        <f>IF(Murid!E945="","",Murid!E945)</f>
        <v/>
      </c>
      <c r="E945" s="11" t="n"/>
      <c r="F945" s="10">
        <f>IF(E945="","",IFERROR(VLOOKUP(E945,T_PERK,2,FALSE),0))</f>
        <v/>
      </c>
      <c r="G945" s="11" t="n"/>
      <c r="H945" s="10">
        <f>IF(G945="","",IFERROR(VLOOKUP(G945,T_ANUG,2,FALSE),0))</f>
        <v/>
      </c>
      <c r="I945" s="11" t="n"/>
      <c r="J945" s="11" t="n"/>
      <c r="K945" s="11" t="n"/>
      <c r="L945" s="11" t="n"/>
      <c r="M945" s="11" t="n"/>
      <c r="N945" s="11" t="n"/>
      <c r="O945" s="11" t="n"/>
      <c r="P945" s="10">
        <f>IF(COUNTA(I945:O945)=0,"",MIN(10,SUM(I945:O945)))</f>
        <v/>
      </c>
      <c r="Q945" s="11" t="n"/>
      <c r="R945" s="10">
        <f>IF(Q945="","",IFERROR(VLOOKUP(Q945,T_NILAM,2,FALSE),0))</f>
        <v/>
      </c>
      <c r="S945" s="11" t="n"/>
      <c r="T945" s="10">
        <f>IF(S945="","",IFERROR(VLOOKUP(S945,T_TIMSS,2,FALSE),0))</f>
        <v/>
      </c>
      <c r="U945" s="19">
        <f>IF(COUNT(F945,H945,P945,R945,T945)=0,"",MIN(10,MAX(F945,H945,P945,R945,T945)))</f>
        <v/>
      </c>
      <c r="V945" s="11" t="n"/>
    </row>
    <row r="946">
      <c r="A946" s="15">
        <f>Murid!A946</f>
        <v/>
      </c>
      <c r="B946" s="15">
        <f>IF(Murid!B946="","",Murid!B946)</f>
        <v/>
      </c>
      <c r="C946" s="16">
        <f>IF(Murid!C946="","",Murid!C946)</f>
        <v/>
      </c>
      <c r="D946" s="15">
        <f>IF(Murid!E946="","",Murid!E946)</f>
        <v/>
      </c>
      <c r="E946" s="11" t="n"/>
      <c r="F946" s="10">
        <f>IF(E946="","",IFERROR(VLOOKUP(E946,T_PERK,2,FALSE),0))</f>
        <v/>
      </c>
      <c r="G946" s="11" t="n"/>
      <c r="H946" s="10">
        <f>IF(G946="","",IFERROR(VLOOKUP(G946,T_ANUG,2,FALSE),0))</f>
        <v/>
      </c>
      <c r="I946" s="11" t="n"/>
      <c r="J946" s="11" t="n"/>
      <c r="K946" s="11" t="n"/>
      <c r="L946" s="11" t="n"/>
      <c r="M946" s="11" t="n"/>
      <c r="N946" s="11" t="n"/>
      <c r="O946" s="11" t="n"/>
      <c r="P946" s="10">
        <f>IF(COUNTA(I946:O946)=0,"",MIN(10,SUM(I946:O946)))</f>
        <v/>
      </c>
      <c r="Q946" s="11" t="n"/>
      <c r="R946" s="10">
        <f>IF(Q946="","",IFERROR(VLOOKUP(Q946,T_NILAM,2,FALSE),0))</f>
        <v/>
      </c>
      <c r="S946" s="11" t="n"/>
      <c r="T946" s="10">
        <f>IF(S946="","",IFERROR(VLOOKUP(S946,T_TIMSS,2,FALSE),0))</f>
        <v/>
      </c>
      <c r="U946" s="19">
        <f>IF(COUNT(F946,H946,P946,R946,T946)=0,"",MIN(10,MAX(F946,H946,P946,R946,T946)))</f>
        <v/>
      </c>
      <c r="V946" s="11" t="n"/>
    </row>
    <row r="947">
      <c r="A947" s="15">
        <f>Murid!A947</f>
        <v/>
      </c>
      <c r="B947" s="15">
        <f>IF(Murid!B947="","",Murid!B947)</f>
        <v/>
      </c>
      <c r="C947" s="16">
        <f>IF(Murid!C947="","",Murid!C947)</f>
        <v/>
      </c>
      <c r="D947" s="15">
        <f>IF(Murid!E947="","",Murid!E947)</f>
        <v/>
      </c>
      <c r="E947" s="11" t="n"/>
      <c r="F947" s="10">
        <f>IF(E947="","",IFERROR(VLOOKUP(E947,T_PERK,2,FALSE),0))</f>
        <v/>
      </c>
      <c r="G947" s="11" t="n"/>
      <c r="H947" s="10">
        <f>IF(G947="","",IFERROR(VLOOKUP(G947,T_ANUG,2,FALSE),0))</f>
        <v/>
      </c>
      <c r="I947" s="11" t="n"/>
      <c r="J947" s="11" t="n"/>
      <c r="K947" s="11" t="n"/>
      <c r="L947" s="11" t="n"/>
      <c r="M947" s="11" t="n"/>
      <c r="N947" s="11" t="n"/>
      <c r="O947" s="11" t="n"/>
      <c r="P947" s="10">
        <f>IF(COUNTA(I947:O947)=0,"",MIN(10,SUM(I947:O947)))</f>
        <v/>
      </c>
      <c r="Q947" s="11" t="n"/>
      <c r="R947" s="10">
        <f>IF(Q947="","",IFERROR(VLOOKUP(Q947,T_NILAM,2,FALSE),0))</f>
        <v/>
      </c>
      <c r="S947" s="11" t="n"/>
      <c r="T947" s="10">
        <f>IF(S947="","",IFERROR(VLOOKUP(S947,T_TIMSS,2,FALSE),0))</f>
        <v/>
      </c>
      <c r="U947" s="19">
        <f>IF(COUNT(F947,H947,P947,R947,T947)=0,"",MIN(10,MAX(F947,H947,P947,R947,T947)))</f>
        <v/>
      </c>
      <c r="V947" s="11" t="n"/>
    </row>
    <row r="948">
      <c r="A948" s="15">
        <f>Murid!A948</f>
        <v/>
      </c>
      <c r="B948" s="15">
        <f>IF(Murid!B948="","",Murid!B948)</f>
        <v/>
      </c>
      <c r="C948" s="16">
        <f>IF(Murid!C948="","",Murid!C948)</f>
        <v/>
      </c>
      <c r="D948" s="15">
        <f>IF(Murid!E948="","",Murid!E948)</f>
        <v/>
      </c>
      <c r="E948" s="11" t="n"/>
      <c r="F948" s="10">
        <f>IF(E948="","",IFERROR(VLOOKUP(E948,T_PERK,2,FALSE),0))</f>
        <v/>
      </c>
      <c r="G948" s="11" t="n"/>
      <c r="H948" s="10">
        <f>IF(G948="","",IFERROR(VLOOKUP(G948,T_ANUG,2,FALSE),0))</f>
        <v/>
      </c>
      <c r="I948" s="11" t="n"/>
      <c r="J948" s="11" t="n"/>
      <c r="K948" s="11" t="n"/>
      <c r="L948" s="11" t="n"/>
      <c r="M948" s="11" t="n"/>
      <c r="N948" s="11" t="n"/>
      <c r="O948" s="11" t="n"/>
      <c r="P948" s="10">
        <f>IF(COUNTA(I948:O948)=0,"",MIN(10,SUM(I948:O948)))</f>
        <v/>
      </c>
      <c r="Q948" s="11" t="n"/>
      <c r="R948" s="10">
        <f>IF(Q948="","",IFERROR(VLOOKUP(Q948,T_NILAM,2,FALSE),0))</f>
        <v/>
      </c>
      <c r="S948" s="11" t="n"/>
      <c r="T948" s="10">
        <f>IF(S948="","",IFERROR(VLOOKUP(S948,T_TIMSS,2,FALSE),0))</f>
        <v/>
      </c>
      <c r="U948" s="19">
        <f>IF(COUNT(F948,H948,P948,R948,T948)=0,"",MIN(10,MAX(F948,H948,P948,R948,T948)))</f>
        <v/>
      </c>
      <c r="V948" s="11" t="n"/>
    </row>
    <row r="949">
      <c r="A949" s="15">
        <f>Murid!A949</f>
        <v/>
      </c>
      <c r="B949" s="15">
        <f>IF(Murid!B949="","",Murid!B949)</f>
        <v/>
      </c>
      <c r="C949" s="16">
        <f>IF(Murid!C949="","",Murid!C949)</f>
        <v/>
      </c>
      <c r="D949" s="15">
        <f>IF(Murid!E949="","",Murid!E949)</f>
        <v/>
      </c>
      <c r="E949" s="11" t="n"/>
      <c r="F949" s="10">
        <f>IF(E949="","",IFERROR(VLOOKUP(E949,T_PERK,2,FALSE),0))</f>
        <v/>
      </c>
      <c r="G949" s="11" t="n"/>
      <c r="H949" s="10">
        <f>IF(G949="","",IFERROR(VLOOKUP(G949,T_ANUG,2,FALSE),0))</f>
        <v/>
      </c>
      <c r="I949" s="11" t="n"/>
      <c r="J949" s="11" t="n"/>
      <c r="K949" s="11" t="n"/>
      <c r="L949" s="11" t="n"/>
      <c r="M949" s="11" t="n"/>
      <c r="N949" s="11" t="n"/>
      <c r="O949" s="11" t="n"/>
      <c r="P949" s="10">
        <f>IF(COUNTA(I949:O949)=0,"",MIN(10,SUM(I949:O949)))</f>
        <v/>
      </c>
      <c r="Q949" s="11" t="n"/>
      <c r="R949" s="10">
        <f>IF(Q949="","",IFERROR(VLOOKUP(Q949,T_NILAM,2,FALSE),0))</f>
        <v/>
      </c>
      <c r="S949" s="11" t="n"/>
      <c r="T949" s="10">
        <f>IF(S949="","",IFERROR(VLOOKUP(S949,T_TIMSS,2,FALSE),0))</f>
        <v/>
      </c>
      <c r="U949" s="19">
        <f>IF(COUNT(F949,H949,P949,R949,T949)=0,"",MIN(10,MAX(F949,H949,P949,R949,T949)))</f>
        <v/>
      </c>
      <c r="V949" s="11" t="n"/>
    </row>
    <row r="950">
      <c r="A950" s="15">
        <f>Murid!A950</f>
        <v/>
      </c>
      <c r="B950" s="15">
        <f>IF(Murid!B950="","",Murid!B950)</f>
        <v/>
      </c>
      <c r="C950" s="16">
        <f>IF(Murid!C950="","",Murid!C950)</f>
        <v/>
      </c>
      <c r="D950" s="15">
        <f>IF(Murid!E950="","",Murid!E950)</f>
        <v/>
      </c>
      <c r="E950" s="11" t="n"/>
      <c r="F950" s="10">
        <f>IF(E950="","",IFERROR(VLOOKUP(E950,T_PERK,2,FALSE),0))</f>
        <v/>
      </c>
      <c r="G950" s="11" t="n"/>
      <c r="H950" s="10">
        <f>IF(G950="","",IFERROR(VLOOKUP(G950,T_ANUG,2,FALSE),0))</f>
        <v/>
      </c>
      <c r="I950" s="11" t="n"/>
      <c r="J950" s="11" t="n"/>
      <c r="K950" s="11" t="n"/>
      <c r="L950" s="11" t="n"/>
      <c r="M950" s="11" t="n"/>
      <c r="N950" s="11" t="n"/>
      <c r="O950" s="11" t="n"/>
      <c r="P950" s="10">
        <f>IF(COUNTA(I950:O950)=0,"",MIN(10,SUM(I950:O950)))</f>
        <v/>
      </c>
      <c r="Q950" s="11" t="n"/>
      <c r="R950" s="10">
        <f>IF(Q950="","",IFERROR(VLOOKUP(Q950,T_NILAM,2,FALSE),0))</f>
        <v/>
      </c>
      <c r="S950" s="11" t="n"/>
      <c r="T950" s="10">
        <f>IF(S950="","",IFERROR(VLOOKUP(S950,T_TIMSS,2,FALSE),0))</f>
        <v/>
      </c>
      <c r="U950" s="19">
        <f>IF(COUNT(F950,H950,P950,R950,T950)=0,"",MIN(10,MAX(F950,H950,P950,R950,T950)))</f>
        <v/>
      </c>
      <c r="V950" s="11" t="n"/>
    </row>
    <row r="951">
      <c r="A951" s="15">
        <f>Murid!A951</f>
        <v/>
      </c>
      <c r="B951" s="15">
        <f>IF(Murid!B951="","",Murid!B951)</f>
        <v/>
      </c>
      <c r="C951" s="16">
        <f>IF(Murid!C951="","",Murid!C951)</f>
        <v/>
      </c>
      <c r="D951" s="15">
        <f>IF(Murid!E951="","",Murid!E951)</f>
        <v/>
      </c>
      <c r="E951" s="11" t="n"/>
      <c r="F951" s="10">
        <f>IF(E951="","",IFERROR(VLOOKUP(E951,T_PERK,2,FALSE),0))</f>
        <v/>
      </c>
      <c r="G951" s="11" t="n"/>
      <c r="H951" s="10">
        <f>IF(G951="","",IFERROR(VLOOKUP(G951,T_ANUG,2,FALSE),0))</f>
        <v/>
      </c>
      <c r="I951" s="11" t="n"/>
      <c r="J951" s="11" t="n"/>
      <c r="K951" s="11" t="n"/>
      <c r="L951" s="11" t="n"/>
      <c r="M951" s="11" t="n"/>
      <c r="N951" s="11" t="n"/>
      <c r="O951" s="11" t="n"/>
      <c r="P951" s="10">
        <f>IF(COUNTA(I951:O951)=0,"",MIN(10,SUM(I951:O951)))</f>
        <v/>
      </c>
      <c r="Q951" s="11" t="n"/>
      <c r="R951" s="10">
        <f>IF(Q951="","",IFERROR(VLOOKUP(Q951,T_NILAM,2,FALSE),0))</f>
        <v/>
      </c>
      <c r="S951" s="11" t="n"/>
      <c r="T951" s="10">
        <f>IF(S951="","",IFERROR(VLOOKUP(S951,T_TIMSS,2,FALSE),0))</f>
        <v/>
      </c>
      <c r="U951" s="19">
        <f>IF(COUNT(F951,H951,P951,R951,T951)=0,"",MIN(10,MAX(F951,H951,P951,R951,T951)))</f>
        <v/>
      </c>
      <c r="V951" s="11" t="n"/>
    </row>
    <row r="952">
      <c r="A952" s="15">
        <f>Murid!A952</f>
        <v/>
      </c>
      <c r="B952" s="15">
        <f>IF(Murid!B952="","",Murid!B952)</f>
        <v/>
      </c>
      <c r="C952" s="16">
        <f>IF(Murid!C952="","",Murid!C952)</f>
        <v/>
      </c>
      <c r="D952" s="15">
        <f>IF(Murid!E952="","",Murid!E952)</f>
        <v/>
      </c>
      <c r="E952" s="11" t="n"/>
      <c r="F952" s="10">
        <f>IF(E952="","",IFERROR(VLOOKUP(E952,T_PERK,2,FALSE),0))</f>
        <v/>
      </c>
      <c r="G952" s="11" t="n"/>
      <c r="H952" s="10">
        <f>IF(G952="","",IFERROR(VLOOKUP(G952,T_ANUG,2,FALSE),0))</f>
        <v/>
      </c>
      <c r="I952" s="11" t="n"/>
      <c r="J952" s="11" t="n"/>
      <c r="K952" s="11" t="n"/>
      <c r="L952" s="11" t="n"/>
      <c r="M952" s="11" t="n"/>
      <c r="N952" s="11" t="n"/>
      <c r="O952" s="11" t="n"/>
      <c r="P952" s="10">
        <f>IF(COUNTA(I952:O952)=0,"",MIN(10,SUM(I952:O952)))</f>
        <v/>
      </c>
      <c r="Q952" s="11" t="n"/>
      <c r="R952" s="10">
        <f>IF(Q952="","",IFERROR(VLOOKUP(Q952,T_NILAM,2,FALSE),0))</f>
        <v/>
      </c>
      <c r="S952" s="11" t="n"/>
      <c r="T952" s="10">
        <f>IF(S952="","",IFERROR(VLOOKUP(S952,T_TIMSS,2,FALSE),0))</f>
        <v/>
      </c>
      <c r="U952" s="19">
        <f>IF(COUNT(F952,H952,P952,R952,T952)=0,"",MIN(10,MAX(F952,H952,P952,R952,T952)))</f>
        <v/>
      </c>
      <c r="V952" s="11" t="n"/>
    </row>
    <row r="953">
      <c r="A953" s="15">
        <f>Murid!A953</f>
        <v/>
      </c>
      <c r="B953" s="15">
        <f>IF(Murid!B953="","",Murid!B953)</f>
        <v/>
      </c>
      <c r="C953" s="16">
        <f>IF(Murid!C953="","",Murid!C953)</f>
        <v/>
      </c>
      <c r="D953" s="15">
        <f>IF(Murid!E953="","",Murid!E953)</f>
        <v/>
      </c>
      <c r="E953" s="11" t="n"/>
      <c r="F953" s="10">
        <f>IF(E953="","",IFERROR(VLOOKUP(E953,T_PERK,2,FALSE),0))</f>
        <v/>
      </c>
      <c r="G953" s="11" t="n"/>
      <c r="H953" s="10">
        <f>IF(G953="","",IFERROR(VLOOKUP(G953,T_ANUG,2,FALSE),0))</f>
        <v/>
      </c>
      <c r="I953" s="11" t="n"/>
      <c r="J953" s="11" t="n"/>
      <c r="K953" s="11" t="n"/>
      <c r="L953" s="11" t="n"/>
      <c r="M953" s="11" t="n"/>
      <c r="N953" s="11" t="n"/>
      <c r="O953" s="11" t="n"/>
      <c r="P953" s="10">
        <f>IF(COUNTA(I953:O953)=0,"",MIN(10,SUM(I953:O953)))</f>
        <v/>
      </c>
      <c r="Q953" s="11" t="n"/>
      <c r="R953" s="10">
        <f>IF(Q953="","",IFERROR(VLOOKUP(Q953,T_NILAM,2,FALSE),0))</f>
        <v/>
      </c>
      <c r="S953" s="11" t="n"/>
      <c r="T953" s="10">
        <f>IF(S953="","",IFERROR(VLOOKUP(S953,T_TIMSS,2,FALSE),0))</f>
        <v/>
      </c>
      <c r="U953" s="19">
        <f>IF(COUNT(F953,H953,P953,R953,T953)=0,"",MIN(10,MAX(F953,H953,P953,R953,T953)))</f>
        <v/>
      </c>
      <c r="V953" s="11" t="n"/>
    </row>
    <row r="954">
      <c r="A954" s="15">
        <f>Murid!A954</f>
        <v/>
      </c>
      <c r="B954" s="15">
        <f>IF(Murid!B954="","",Murid!B954)</f>
        <v/>
      </c>
      <c r="C954" s="16">
        <f>IF(Murid!C954="","",Murid!C954)</f>
        <v/>
      </c>
      <c r="D954" s="15">
        <f>IF(Murid!E954="","",Murid!E954)</f>
        <v/>
      </c>
      <c r="E954" s="11" t="n"/>
      <c r="F954" s="10">
        <f>IF(E954="","",IFERROR(VLOOKUP(E954,T_PERK,2,FALSE),0))</f>
        <v/>
      </c>
      <c r="G954" s="11" t="n"/>
      <c r="H954" s="10">
        <f>IF(G954="","",IFERROR(VLOOKUP(G954,T_ANUG,2,FALSE),0))</f>
        <v/>
      </c>
      <c r="I954" s="11" t="n"/>
      <c r="J954" s="11" t="n"/>
      <c r="K954" s="11" t="n"/>
      <c r="L954" s="11" t="n"/>
      <c r="M954" s="11" t="n"/>
      <c r="N954" s="11" t="n"/>
      <c r="O954" s="11" t="n"/>
      <c r="P954" s="10">
        <f>IF(COUNTA(I954:O954)=0,"",MIN(10,SUM(I954:O954)))</f>
        <v/>
      </c>
      <c r="Q954" s="11" t="n"/>
      <c r="R954" s="10">
        <f>IF(Q954="","",IFERROR(VLOOKUP(Q954,T_NILAM,2,FALSE),0))</f>
        <v/>
      </c>
      <c r="S954" s="11" t="n"/>
      <c r="T954" s="10">
        <f>IF(S954="","",IFERROR(VLOOKUP(S954,T_TIMSS,2,FALSE),0))</f>
        <v/>
      </c>
      <c r="U954" s="19">
        <f>IF(COUNT(F954,H954,P954,R954,T954)=0,"",MIN(10,MAX(F954,H954,P954,R954,T954)))</f>
        <v/>
      </c>
      <c r="V954" s="11" t="n"/>
    </row>
    <row r="955">
      <c r="A955" s="15">
        <f>Murid!A955</f>
        <v/>
      </c>
      <c r="B955" s="15">
        <f>IF(Murid!B955="","",Murid!B955)</f>
        <v/>
      </c>
      <c r="C955" s="16">
        <f>IF(Murid!C955="","",Murid!C955)</f>
        <v/>
      </c>
      <c r="D955" s="15">
        <f>IF(Murid!E955="","",Murid!E955)</f>
        <v/>
      </c>
      <c r="E955" s="11" t="n"/>
      <c r="F955" s="10">
        <f>IF(E955="","",IFERROR(VLOOKUP(E955,T_PERK,2,FALSE),0))</f>
        <v/>
      </c>
      <c r="G955" s="11" t="n"/>
      <c r="H955" s="10">
        <f>IF(G955="","",IFERROR(VLOOKUP(G955,T_ANUG,2,FALSE),0))</f>
        <v/>
      </c>
      <c r="I955" s="11" t="n"/>
      <c r="J955" s="11" t="n"/>
      <c r="K955" s="11" t="n"/>
      <c r="L955" s="11" t="n"/>
      <c r="M955" s="11" t="n"/>
      <c r="N955" s="11" t="n"/>
      <c r="O955" s="11" t="n"/>
      <c r="P955" s="10">
        <f>IF(COUNTA(I955:O955)=0,"",MIN(10,SUM(I955:O955)))</f>
        <v/>
      </c>
      <c r="Q955" s="11" t="n"/>
      <c r="R955" s="10">
        <f>IF(Q955="","",IFERROR(VLOOKUP(Q955,T_NILAM,2,FALSE),0))</f>
        <v/>
      </c>
      <c r="S955" s="11" t="n"/>
      <c r="T955" s="10">
        <f>IF(S955="","",IFERROR(VLOOKUP(S955,T_TIMSS,2,FALSE),0))</f>
        <v/>
      </c>
      <c r="U955" s="19">
        <f>IF(COUNT(F955,H955,P955,R955,T955)=0,"",MIN(10,MAX(F955,H955,P955,R955,T955)))</f>
        <v/>
      </c>
      <c r="V955" s="11" t="n"/>
    </row>
    <row r="956">
      <c r="A956" s="15">
        <f>Murid!A956</f>
        <v/>
      </c>
      <c r="B956" s="15">
        <f>IF(Murid!B956="","",Murid!B956)</f>
        <v/>
      </c>
      <c r="C956" s="16">
        <f>IF(Murid!C956="","",Murid!C956)</f>
        <v/>
      </c>
      <c r="D956" s="15">
        <f>IF(Murid!E956="","",Murid!E956)</f>
        <v/>
      </c>
      <c r="E956" s="11" t="n"/>
      <c r="F956" s="10">
        <f>IF(E956="","",IFERROR(VLOOKUP(E956,T_PERK,2,FALSE),0))</f>
        <v/>
      </c>
      <c r="G956" s="11" t="n"/>
      <c r="H956" s="10">
        <f>IF(G956="","",IFERROR(VLOOKUP(G956,T_ANUG,2,FALSE),0))</f>
        <v/>
      </c>
      <c r="I956" s="11" t="n"/>
      <c r="J956" s="11" t="n"/>
      <c r="K956" s="11" t="n"/>
      <c r="L956" s="11" t="n"/>
      <c r="M956" s="11" t="n"/>
      <c r="N956" s="11" t="n"/>
      <c r="O956" s="11" t="n"/>
      <c r="P956" s="10">
        <f>IF(COUNTA(I956:O956)=0,"",MIN(10,SUM(I956:O956)))</f>
        <v/>
      </c>
      <c r="Q956" s="11" t="n"/>
      <c r="R956" s="10">
        <f>IF(Q956="","",IFERROR(VLOOKUP(Q956,T_NILAM,2,FALSE),0))</f>
        <v/>
      </c>
      <c r="S956" s="11" t="n"/>
      <c r="T956" s="10">
        <f>IF(S956="","",IFERROR(VLOOKUP(S956,T_TIMSS,2,FALSE),0))</f>
        <v/>
      </c>
      <c r="U956" s="19">
        <f>IF(COUNT(F956,H956,P956,R956,T956)=0,"",MIN(10,MAX(F956,H956,P956,R956,T956)))</f>
        <v/>
      </c>
      <c r="V956" s="11" t="n"/>
    </row>
    <row r="957">
      <c r="A957" s="15">
        <f>Murid!A957</f>
        <v/>
      </c>
      <c r="B957" s="15">
        <f>IF(Murid!B957="","",Murid!B957)</f>
        <v/>
      </c>
      <c r="C957" s="16">
        <f>IF(Murid!C957="","",Murid!C957)</f>
        <v/>
      </c>
      <c r="D957" s="15">
        <f>IF(Murid!E957="","",Murid!E957)</f>
        <v/>
      </c>
      <c r="E957" s="11" t="n"/>
      <c r="F957" s="10">
        <f>IF(E957="","",IFERROR(VLOOKUP(E957,T_PERK,2,FALSE),0))</f>
        <v/>
      </c>
      <c r="G957" s="11" t="n"/>
      <c r="H957" s="10">
        <f>IF(G957="","",IFERROR(VLOOKUP(G957,T_ANUG,2,FALSE),0))</f>
        <v/>
      </c>
      <c r="I957" s="11" t="n"/>
      <c r="J957" s="11" t="n"/>
      <c r="K957" s="11" t="n"/>
      <c r="L957" s="11" t="n"/>
      <c r="M957" s="11" t="n"/>
      <c r="N957" s="11" t="n"/>
      <c r="O957" s="11" t="n"/>
      <c r="P957" s="10">
        <f>IF(COUNTA(I957:O957)=0,"",MIN(10,SUM(I957:O957)))</f>
        <v/>
      </c>
      <c r="Q957" s="11" t="n"/>
      <c r="R957" s="10">
        <f>IF(Q957="","",IFERROR(VLOOKUP(Q957,T_NILAM,2,FALSE),0))</f>
        <v/>
      </c>
      <c r="S957" s="11" t="n"/>
      <c r="T957" s="10">
        <f>IF(S957="","",IFERROR(VLOOKUP(S957,T_TIMSS,2,FALSE),0))</f>
        <v/>
      </c>
      <c r="U957" s="19">
        <f>IF(COUNT(F957,H957,P957,R957,T957)=0,"",MIN(10,MAX(F957,H957,P957,R957,T957)))</f>
        <v/>
      </c>
      <c r="V957" s="11" t="n"/>
    </row>
    <row r="958">
      <c r="A958" s="15">
        <f>Murid!A958</f>
        <v/>
      </c>
      <c r="B958" s="15">
        <f>IF(Murid!B958="","",Murid!B958)</f>
        <v/>
      </c>
      <c r="C958" s="16">
        <f>IF(Murid!C958="","",Murid!C958)</f>
        <v/>
      </c>
      <c r="D958" s="15">
        <f>IF(Murid!E958="","",Murid!E958)</f>
        <v/>
      </c>
      <c r="E958" s="11" t="n"/>
      <c r="F958" s="10">
        <f>IF(E958="","",IFERROR(VLOOKUP(E958,T_PERK,2,FALSE),0))</f>
        <v/>
      </c>
      <c r="G958" s="11" t="n"/>
      <c r="H958" s="10">
        <f>IF(G958="","",IFERROR(VLOOKUP(G958,T_ANUG,2,FALSE),0))</f>
        <v/>
      </c>
      <c r="I958" s="11" t="n"/>
      <c r="J958" s="11" t="n"/>
      <c r="K958" s="11" t="n"/>
      <c r="L958" s="11" t="n"/>
      <c r="M958" s="11" t="n"/>
      <c r="N958" s="11" t="n"/>
      <c r="O958" s="11" t="n"/>
      <c r="P958" s="10">
        <f>IF(COUNTA(I958:O958)=0,"",MIN(10,SUM(I958:O958)))</f>
        <v/>
      </c>
      <c r="Q958" s="11" t="n"/>
      <c r="R958" s="10">
        <f>IF(Q958="","",IFERROR(VLOOKUP(Q958,T_NILAM,2,FALSE),0))</f>
        <v/>
      </c>
      <c r="S958" s="11" t="n"/>
      <c r="T958" s="10">
        <f>IF(S958="","",IFERROR(VLOOKUP(S958,T_TIMSS,2,FALSE),0))</f>
        <v/>
      </c>
      <c r="U958" s="19">
        <f>IF(COUNT(F958,H958,P958,R958,T958)=0,"",MIN(10,MAX(F958,H958,P958,R958,T958)))</f>
        <v/>
      </c>
      <c r="V958" s="11" t="n"/>
    </row>
    <row r="959">
      <c r="A959" s="15">
        <f>Murid!A959</f>
        <v/>
      </c>
      <c r="B959" s="15">
        <f>IF(Murid!B959="","",Murid!B959)</f>
        <v/>
      </c>
      <c r="C959" s="16">
        <f>IF(Murid!C959="","",Murid!C959)</f>
        <v/>
      </c>
      <c r="D959" s="15">
        <f>IF(Murid!E959="","",Murid!E959)</f>
        <v/>
      </c>
      <c r="E959" s="11" t="n"/>
      <c r="F959" s="10">
        <f>IF(E959="","",IFERROR(VLOOKUP(E959,T_PERK,2,FALSE),0))</f>
        <v/>
      </c>
      <c r="G959" s="11" t="n"/>
      <c r="H959" s="10">
        <f>IF(G959="","",IFERROR(VLOOKUP(G959,T_ANUG,2,FALSE),0))</f>
        <v/>
      </c>
      <c r="I959" s="11" t="n"/>
      <c r="J959" s="11" t="n"/>
      <c r="K959" s="11" t="n"/>
      <c r="L959" s="11" t="n"/>
      <c r="M959" s="11" t="n"/>
      <c r="N959" s="11" t="n"/>
      <c r="O959" s="11" t="n"/>
      <c r="P959" s="10">
        <f>IF(COUNTA(I959:O959)=0,"",MIN(10,SUM(I959:O959)))</f>
        <v/>
      </c>
      <c r="Q959" s="11" t="n"/>
      <c r="R959" s="10">
        <f>IF(Q959="","",IFERROR(VLOOKUP(Q959,T_NILAM,2,FALSE),0))</f>
        <v/>
      </c>
      <c r="S959" s="11" t="n"/>
      <c r="T959" s="10">
        <f>IF(S959="","",IFERROR(VLOOKUP(S959,T_TIMSS,2,FALSE),0))</f>
        <v/>
      </c>
      <c r="U959" s="19">
        <f>IF(COUNT(F959,H959,P959,R959,T959)=0,"",MIN(10,MAX(F959,H959,P959,R959,T959)))</f>
        <v/>
      </c>
      <c r="V959" s="11" t="n"/>
    </row>
    <row r="960">
      <c r="A960" s="15">
        <f>Murid!A960</f>
        <v/>
      </c>
      <c r="B960" s="15">
        <f>IF(Murid!B960="","",Murid!B960)</f>
        <v/>
      </c>
      <c r="C960" s="16">
        <f>IF(Murid!C960="","",Murid!C960)</f>
        <v/>
      </c>
      <c r="D960" s="15">
        <f>IF(Murid!E960="","",Murid!E960)</f>
        <v/>
      </c>
      <c r="E960" s="11" t="n"/>
      <c r="F960" s="10">
        <f>IF(E960="","",IFERROR(VLOOKUP(E960,T_PERK,2,FALSE),0))</f>
        <v/>
      </c>
      <c r="G960" s="11" t="n"/>
      <c r="H960" s="10">
        <f>IF(G960="","",IFERROR(VLOOKUP(G960,T_ANUG,2,FALSE),0))</f>
        <v/>
      </c>
      <c r="I960" s="11" t="n"/>
      <c r="J960" s="11" t="n"/>
      <c r="K960" s="11" t="n"/>
      <c r="L960" s="11" t="n"/>
      <c r="M960" s="11" t="n"/>
      <c r="N960" s="11" t="n"/>
      <c r="O960" s="11" t="n"/>
      <c r="P960" s="10">
        <f>IF(COUNTA(I960:O960)=0,"",MIN(10,SUM(I960:O960)))</f>
        <v/>
      </c>
      <c r="Q960" s="11" t="n"/>
      <c r="R960" s="10">
        <f>IF(Q960="","",IFERROR(VLOOKUP(Q960,T_NILAM,2,FALSE),0))</f>
        <v/>
      </c>
      <c r="S960" s="11" t="n"/>
      <c r="T960" s="10">
        <f>IF(S960="","",IFERROR(VLOOKUP(S960,T_TIMSS,2,FALSE),0))</f>
        <v/>
      </c>
      <c r="U960" s="19">
        <f>IF(COUNT(F960,H960,P960,R960,T960)=0,"",MIN(10,MAX(F960,H960,P960,R960,T960)))</f>
        <v/>
      </c>
      <c r="V960" s="11" t="n"/>
    </row>
    <row r="961">
      <c r="A961" s="15">
        <f>Murid!A961</f>
        <v/>
      </c>
      <c r="B961" s="15">
        <f>IF(Murid!B961="","",Murid!B961)</f>
        <v/>
      </c>
      <c r="C961" s="16">
        <f>IF(Murid!C961="","",Murid!C961)</f>
        <v/>
      </c>
      <c r="D961" s="15">
        <f>IF(Murid!E961="","",Murid!E961)</f>
        <v/>
      </c>
      <c r="E961" s="11" t="n"/>
      <c r="F961" s="10">
        <f>IF(E961="","",IFERROR(VLOOKUP(E961,T_PERK,2,FALSE),0))</f>
        <v/>
      </c>
      <c r="G961" s="11" t="n"/>
      <c r="H961" s="10">
        <f>IF(G961="","",IFERROR(VLOOKUP(G961,T_ANUG,2,FALSE),0))</f>
        <v/>
      </c>
      <c r="I961" s="11" t="n"/>
      <c r="J961" s="11" t="n"/>
      <c r="K961" s="11" t="n"/>
      <c r="L961" s="11" t="n"/>
      <c r="M961" s="11" t="n"/>
      <c r="N961" s="11" t="n"/>
      <c r="O961" s="11" t="n"/>
      <c r="P961" s="10">
        <f>IF(COUNTA(I961:O961)=0,"",MIN(10,SUM(I961:O961)))</f>
        <v/>
      </c>
      <c r="Q961" s="11" t="n"/>
      <c r="R961" s="10">
        <f>IF(Q961="","",IFERROR(VLOOKUP(Q961,T_NILAM,2,FALSE),0))</f>
        <v/>
      </c>
      <c r="S961" s="11" t="n"/>
      <c r="T961" s="10">
        <f>IF(S961="","",IFERROR(VLOOKUP(S961,T_TIMSS,2,FALSE),0))</f>
        <v/>
      </c>
      <c r="U961" s="19">
        <f>IF(COUNT(F961,H961,P961,R961,T961)=0,"",MIN(10,MAX(F961,H961,P961,R961,T961)))</f>
        <v/>
      </c>
      <c r="V961" s="11" t="n"/>
    </row>
    <row r="962">
      <c r="A962" s="15">
        <f>Murid!A962</f>
        <v/>
      </c>
      <c r="B962" s="15">
        <f>IF(Murid!B962="","",Murid!B962)</f>
        <v/>
      </c>
      <c r="C962" s="16">
        <f>IF(Murid!C962="","",Murid!C962)</f>
        <v/>
      </c>
      <c r="D962" s="15">
        <f>IF(Murid!E962="","",Murid!E962)</f>
        <v/>
      </c>
      <c r="E962" s="11" t="n"/>
      <c r="F962" s="10">
        <f>IF(E962="","",IFERROR(VLOOKUP(E962,T_PERK,2,FALSE),0))</f>
        <v/>
      </c>
      <c r="G962" s="11" t="n"/>
      <c r="H962" s="10">
        <f>IF(G962="","",IFERROR(VLOOKUP(G962,T_ANUG,2,FALSE),0))</f>
        <v/>
      </c>
      <c r="I962" s="11" t="n"/>
      <c r="J962" s="11" t="n"/>
      <c r="K962" s="11" t="n"/>
      <c r="L962" s="11" t="n"/>
      <c r="M962" s="11" t="n"/>
      <c r="N962" s="11" t="n"/>
      <c r="O962" s="11" t="n"/>
      <c r="P962" s="10">
        <f>IF(COUNTA(I962:O962)=0,"",MIN(10,SUM(I962:O962)))</f>
        <v/>
      </c>
      <c r="Q962" s="11" t="n"/>
      <c r="R962" s="10">
        <f>IF(Q962="","",IFERROR(VLOOKUP(Q962,T_NILAM,2,FALSE),0))</f>
        <v/>
      </c>
      <c r="S962" s="11" t="n"/>
      <c r="T962" s="10">
        <f>IF(S962="","",IFERROR(VLOOKUP(S962,T_TIMSS,2,FALSE),0))</f>
        <v/>
      </c>
      <c r="U962" s="19">
        <f>IF(COUNT(F962,H962,P962,R962,T962)=0,"",MIN(10,MAX(F962,H962,P962,R962,T962)))</f>
        <v/>
      </c>
      <c r="V962" s="11" t="n"/>
    </row>
    <row r="963">
      <c r="A963" s="15">
        <f>Murid!A963</f>
        <v/>
      </c>
      <c r="B963" s="15">
        <f>IF(Murid!B963="","",Murid!B963)</f>
        <v/>
      </c>
      <c r="C963" s="16">
        <f>IF(Murid!C963="","",Murid!C963)</f>
        <v/>
      </c>
      <c r="D963" s="15">
        <f>IF(Murid!E963="","",Murid!E963)</f>
        <v/>
      </c>
      <c r="E963" s="11" t="n"/>
      <c r="F963" s="10">
        <f>IF(E963="","",IFERROR(VLOOKUP(E963,T_PERK,2,FALSE),0))</f>
        <v/>
      </c>
      <c r="G963" s="11" t="n"/>
      <c r="H963" s="10">
        <f>IF(G963="","",IFERROR(VLOOKUP(G963,T_ANUG,2,FALSE),0))</f>
        <v/>
      </c>
      <c r="I963" s="11" t="n"/>
      <c r="J963" s="11" t="n"/>
      <c r="K963" s="11" t="n"/>
      <c r="L963" s="11" t="n"/>
      <c r="M963" s="11" t="n"/>
      <c r="N963" s="11" t="n"/>
      <c r="O963" s="11" t="n"/>
      <c r="P963" s="10">
        <f>IF(COUNTA(I963:O963)=0,"",MIN(10,SUM(I963:O963)))</f>
        <v/>
      </c>
      <c r="Q963" s="11" t="n"/>
      <c r="R963" s="10">
        <f>IF(Q963="","",IFERROR(VLOOKUP(Q963,T_NILAM,2,FALSE),0))</f>
        <v/>
      </c>
      <c r="S963" s="11" t="n"/>
      <c r="T963" s="10">
        <f>IF(S963="","",IFERROR(VLOOKUP(S963,T_TIMSS,2,FALSE),0))</f>
        <v/>
      </c>
      <c r="U963" s="19">
        <f>IF(COUNT(F963,H963,P963,R963,T963)=0,"",MIN(10,MAX(F963,H963,P963,R963,T963)))</f>
        <v/>
      </c>
      <c r="V963" s="11" t="n"/>
    </row>
    <row r="964">
      <c r="A964" s="15">
        <f>Murid!A964</f>
        <v/>
      </c>
      <c r="B964" s="15">
        <f>IF(Murid!B964="","",Murid!B964)</f>
        <v/>
      </c>
      <c r="C964" s="16">
        <f>IF(Murid!C964="","",Murid!C964)</f>
        <v/>
      </c>
      <c r="D964" s="15">
        <f>IF(Murid!E964="","",Murid!E964)</f>
        <v/>
      </c>
      <c r="E964" s="11" t="n"/>
      <c r="F964" s="10">
        <f>IF(E964="","",IFERROR(VLOOKUP(E964,T_PERK,2,FALSE),0))</f>
        <v/>
      </c>
      <c r="G964" s="11" t="n"/>
      <c r="H964" s="10">
        <f>IF(G964="","",IFERROR(VLOOKUP(G964,T_ANUG,2,FALSE),0))</f>
        <v/>
      </c>
      <c r="I964" s="11" t="n"/>
      <c r="J964" s="11" t="n"/>
      <c r="K964" s="11" t="n"/>
      <c r="L964" s="11" t="n"/>
      <c r="M964" s="11" t="n"/>
      <c r="N964" s="11" t="n"/>
      <c r="O964" s="11" t="n"/>
      <c r="P964" s="10">
        <f>IF(COUNTA(I964:O964)=0,"",MIN(10,SUM(I964:O964)))</f>
        <v/>
      </c>
      <c r="Q964" s="11" t="n"/>
      <c r="R964" s="10">
        <f>IF(Q964="","",IFERROR(VLOOKUP(Q964,T_NILAM,2,FALSE),0))</f>
        <v/>
      </c>
      <c r="S964" s="11" t="n"/>
      <c r="T964" s="10">
        <f>IF(S964="","",IFERROR(VLOOKUP(S964,T_TIMSS,2,FALSE),0))</f>
        <v/>
      </c>
      <c r="U964" s="19">
        <f>IF(COUNT(F964,H964,P964,R964,T964)=0,"",MIN(10,MAX(F964,H964,P964,R964,T964)))</f>
        <v/>
      </c>
      <c r="V964" s="11" t="n"/>
    </row>
    <row r="965">
      <c r="A965" s="15">
        <f>Murid!A965</f>
        <v/>
      </c>
      <c r="B965" s="15">
        <f>IF(Murid!B965="","",Murid!B965)</f>
        <v/>
      </c>
      <c r="C965" s="16">
        <f>IF(Murid!C965="","",Murid!C965)</f>
        <v/>
      </c>
      <c r="D965" s="15">
        <f>IF(Murid!E965="","",Murid!E965)</f>
        <v/>
      </c>
      <c r="E965" s="11" t="n"/>
      <c r="F965" s="10">
        <f>IF(E965="","",IFERROR(VLOOKUP(E965,T_PERK,2,FALSE),0))</f>
        <v/>
      </c>
      <c r="G965" s="11" t="n"/>
      <c r="H965" s="10">
        <f>IF(G965="","",IFERROR(VLOOKUP(G965,T_ANUG,2,FALSE),0))</f>
        <v/>
      </c>
      <c r="I965" s="11" t="n"/>
      <c r="J965" s="11" t="n"/>
      <c r="K965" s="11" t="n"/>
      <c r="L965" s="11" t="n"/>
      <c r="M965" s="11" t="n"/>
      <c r="N965" s="11" t="n"/>
      <c r="O965" s="11" t="n"/>
      <c r="P965" s="10">
        <f>IF(COUNTA(I965:O965)=0,"",MIN(10,SUM(I965:O965)))</f>
        <v/>
      </c>
      <c r="Q965" s="11" t="n"/>
      <c r="R965" s="10">
        <f>IF(Q965="","",IFERROR(VLOOKUP(Q965,T_NILAM,2,FALSE),0))</f>
        <v/>
      </c>
      <c r="S965" s="11" t="n"/>
      <c r="T965" s="10">
        <f>IF(S965="","",IFERROR(VLOOKUP(S965,T_TIMSS,2,FALSE),0))</f>
        <v/>
      </c>
      <c r="U965" s="19">
        <f>IF(COUNT(F965,H965,P965,R965,T965)=0,"",MIN(10,MAX(F965,H965,P965,R965,T965)))</f>
        <v/>
      </c>
      <c r="V965" s="11" t="n"/>
    </row>
    <row r="966">
      <c r="A966" s="15">
        <f>Murid!A966</f>
        <v/>
      </c>
      <c r="B966" s="15">
        <f>IF(Murid!B966="","",Murid!B966)</f>
        <v/>
      </c>
      <c r="C966" s="16">
        <f>IF(Murid!C966="","",Murid!C966)</f>
        <v/>
      </c>
      <c r="D966" s="15">
        <f>IF(Murid!E966="","",Murid!E966)</f>
        <v/>
      </c>
      <c r="E966" s="11" t="n"/>
      <c r="F966" s="10">
        <f>IF(E966="","",IFERROR(VLOOKUP(E966,T_PERK,2,FALSE),0))</f>
        <v/>
      </c>
      <c r="G966" s="11" t="n"/>
      <c r="H966" s="10">
        <f>IF(G966="","",IFERROR(VLOOKUP(G966,T_ANUG,2,FALSE),0))</f>
        <v/>
      </c>
      <c r="I966" s="11" t="n"/>
      <c r="J966" s="11" t="n"/>
      <c r="K966" s="11" t="n"/>
      <c r="L966" s="11" t="n"/>
      <c r="M966" s="11" t="n"/>
      <c r="N966" s="11" t="n"/>
      <c r="O966" s="11" t="n"/>
      <c r="P966" s="10">
        <f>IF(COUNTA(I966:O966)=0,"",MIN(10,SUM(I966:O966)))</f>
        <v/>
      </c>
      <c r="Q966" s="11" t="n"/>
      <c r="R966" s="10">
        <f>IF(Q966="","",IFERROR(VLOOKUP(Q966,T_NILAM,2,FALSE),0))</f>
        <v/>
      </c>
      <c r="S966" s="11" t="n"/>
      <c r="T966" s="10">
        <f>IF(S966="","",IFERROR(VLOOKUP(S966,T_TIMSS,2,FALSE),0))</f>
        <v/>
      </c>
      <c r="U966" s="19">
        <f>IF(COUNT(F966,H966,P966,R966,T966)=0,"",MIN(10,MAX(F966,H966,P966,R966,T966)))</f>
        <v/>
      </c>
      <c r="V966" s="11" t="n"/>
    </row>
    <row r="967">
      <c r="A967" s="15">
        <f>Murid!A967</f>
        <v/>
      </c>
      <c r="B967" s="15">
        <f>IF(Murid!B967="","",Murid!B967)</f>
        <v/>
      </c>
      <c r="C967" s="16">
        <f>IF(Murid!C967="","",Murid!C967)</f>
        <v/>
      </c>
      <c r="D967" s="15">
        <f>IF(Murid!E967="","",Murid!E967)</f>
        <v/>
      </c>
      <c r="E967" s="11" t="n"/>
      <c r="F967" s="10">
        <f>IF(E967="","",IFERROR(VLOOKUP(E967,T_PERK,2,FALSE),0))</f>
        <v/>
      </c>
      <c r="G967" s="11" t="n"/>
      <c r="H967" s="10">
        <f>IF(G967="","",IFERROR(VLOOKUP(G967,T_ANUG,2,FALSE),0))</f>
        <v/>
      </c>
      <c r="I967" s="11" t="n"/>
      <c r="J967" s="11" t="n"/>
      <c r="K967" s="11" t="n"/>
      <c r="L967" s="11" t="n"/>
      <c r="M967" s="11" t="n"/>
      <c r="N967" s="11" t="n"/>
      <c r="O967" s="11" t="n"/>
      <c r="P967" s="10">
        <f>IF(COUNTA(I967:O967)=0,"",MIN(10,SUM(I967:O967)))</f>
        <v/>
      </c>
      <c r="Q967" s="11" t="n"/>
      <c r="R967" s="10">
        <f>IF(Q967="","",IFERROR(VLOOKUP(Q967,T_NILAM,2,FALSE),0))</f>
        <v/>
      </c>
      <c r="S967" s="11" t="n"/>
      <c r="T967" s="10">
        <f>IF(S967="","",IFERROR(VLOOKUP(S967,T_TIMSS,2,FALSE),0))</f>
        <v/>
      </c>
      <c r="U967" s="19">
        <f>IF(COUNT(F967,H967,P967,R967,T967)=0,"",MIN(10,MAX(F967,H967,P967,R967,T967)))</f>
        <v/>
      </c>
      <c r="V967" s="11" t="n"/>
    </row>
    <row r="968">
      <c r="A968" s="15">
        <f>Murid!A968</f>
        <v/>
      </c>
      <c r="B968" s="15">
        <f>IF(Murid!B968="","",Murid!B968)</f>
        <v/>
      </c>
      <c r="C968" s="16">
        <f>IF(Murid!C968="","",Murid!C968)</f>
        <v/>
      </c>
      <c r="D968" s="15">
        <f>IF(Murid!E968="","",Murid!E968)</f>
        <v/>
      </c>
      <c r="E968" s="11" t="n"/>
      <c r="F968" s="10">
        <f>IF(E968="","",IFERROR(VLOOKUP(E968,T_PERK,2,FALSE),0))</f>
        <v/>
      </c>
      <c r="G968" s="11" t="n"/>
      <c r="H968" s="10">
        <f>IF(G968="","",IFERROR(VLOOKUP(G968,T_ANUG,2,FALSE),0))</f>
        <v/>
      </c>
      <c r="I968" s="11" t="n"/>
      <c r="J968" s="11" t="n"/>
      <c r="K968" s="11" t="n"/>
      <c r="L968" s="11" t="n"/>
      <c r="M968" s="11" t="n"/>
      <c r="N968" s="11" t="n"/>
      <c r="O968" s="11" t="n"/>
      <c r="P968" s="10">
        <f>IF(COUNTA(I968:O968)=0,"",MIN(10,SUM(I968:O968)))</f>
        <v/>
      </c>
      <c r="Q968" s="11" t="n"/>
      <c r="R968" s="10">
        <f>IF(Q968="","",IFERROR(VLOOKUP(Q968,T_NILAM,2,FALSE),0))</f>
        <v/>
      </c>
      <c r="S968" s="11" t="n"/>
      <c r="T968" s="10">
        <f>IF(S968="","",IFERROR(VLOOKUP(S968,T_TIMSS,2,FALSE),0))</f>
        <v/>
      </c>
      <c r="U968" s="19">
        <f>IF(COUNT(F968,H968,P968,R968,T968)=0,"",MIN(10,MAX(F968,H968,P968,R968,T968)))</f>
        <v/>
      </c>
      <c r="V968" s="11" t="n"/>
    </row>
    <row r="969">
      <c r="A969" s="15">
        <f>Murid!A969</f>
        <v/>
      </c>
      <c r="B969" s="15">
        <f>IF(Murid!B969="","",Murid!B969)</f>
        <v/>
      </c>
      <c r="C969" s="16">
        <f>IF(Murid!C969="","",Murid!C969)</f>
        <v/>
      </c>
      <c r="D969" s="15">
        <f>IF(Murid!E969="","",Murid!E969)</f>
        <v/>
      </c>
      <c r="E969" s="11" t="n"/>
      <c r="F969" s="10">
        <f>IF(E969="","",IFERROR(VLOOKUP(E969,T_PERK,2,FALSE),0))</f>
        <v/>
      </c>
      <c r="G969" s="11" t="n"/>
      <c r="H969" s="10">
        <f>IF(G969="","",IFERROR(VLOOKUP(G969,T_ANUG,2,FALSE),0))</f>
        <v/>
      </c>
      <c r="I969" s="11" t="n"/>
      <c r="J969" s="11" t="n"/>
      <c r="K969" s="11" t="n"/>
      <c r="L969" s="11" t="n"/>
      <c r="M969" s="11" t="n"/>
      <c r="N969" s="11" t="n"/>
      <c r="O969" s="11" t="n"/>
      <c r="P969" s="10">
        <f>IF(COUNTA(I969:O969)=0,"",MIN(10,SUM(I969:O969)))</f>
        <v/>
      </c>
      <c r="Q969" s="11" t="n"/>
      <c r="R969" s="10">
        <f>IF(Q969="","",IFERROR(VLOOKUP(Q969,T_NILAM,2,FALSE),0))</f>
        <v/>
      </c>
      <c r="S969" s="11" t="n"/>
      <c r="T969" s="10">
        <f>IF(S969="","",IFERROR(VLOOKUP(S969,T_TIMSS,2,FALSE),0))</f>
        <v/>
      </c>
      <c r="U969" s="19">
        <f>IF(COUNT(F969,H969,P969,R969,T969)=0,"",MIN(10,MAX(F969,H969,P969,R969,T969)))</f>
        <v/>
      </c>
      <c r="V969" s="11" t="n"/>
    </row>
    <row r="970">
      <c r="A970" s="15">
        <f>Murid!A970</f>
        <v/>
      </c>
      <c r="B970" s="15">
        <f>IF(Murid!B970="","",Murid!B970)</f>
        <v/>
      </c>
      <c r="C970" s="16">
        <f>IF(Murid!C970="","",Murid!C970)</f>
        <v/>
      </c>
      <c r="D970" s="15">
        <f>IF(Murid!E970="","",Murid!E970)</f>
        <v/>
      </c>
      <c r="E970" s="11" t="n"/>
      <c r="F970" s="10">
        <f>IF(E970="","",IFERROR(VLOOKUP(E970,T_PERK,2,FALSE),0))</f>
        <v/>
      </c>
      <c r="G970" s="11" t="n"/>
      <c r="H970" s="10">
        <f>IF(G970="","",IFERROR(VLOOKUP(G970,T_ANUG,2,FALSE),0))</f>
        <v/>
      </c>
      <c r="I970" s="11" t="n"/>
      <c r="J970" s="11" t="n"/>
      <c r="K970" s="11" t="n"/>
      <c r="L970" s="11" t="n"/>
      <c r="M970" s="11" t="n"/>
      <c r="N970" s="11" t="n"/>
      <c r="O970" s="11" t="n"/>
      <c r="P970" s="10">
        <f>IF(COUNTA(I970:O970)=0,"",MIN(10,SUM(I970:O970)))</f>
        <v/>
      </c>
      <c r="Q970" s="11" t="n"/>
      <c r="R970" s="10">
        <f>IF(Q970="","",IFERROR(VLOOKUP(Q970,T_NILAM,2,FALSE),0))</f>
        <v/>
      </c>
      <c r="S970" s="11" t="n"/>
      <c r="T970" s="10">
        <f>IF(S970="","",IFERROR(VLOOKUP(S970,T_TIMSS,2,FALSE),0))</f>
        <v/>
      </c>
      <c r="U970" s="19">
        <f>IF(COUNT(F970,H970,P970,R970,T970)=0,"",MIN(10,MAX(F970,H970,P970,R970,T970)))</f>
        <v/>
      </c>
      <c r="V970" s="11" t="n"/>
    </row>
    <row r="971">
      <c r="A971" s="15">
        <f>Murid!A971</f>
        <v/>
      </c>
      <c r="B971" s="15">
        <f>IF(Murid!B971="","",Murid!B971)</f>
        <v/>
      </c>
      <c r="C971" s="16">
        <f>IF(Murid!C971="","",Murid!C971)</f>
        <v/>
      </c>
      <c r="D971" s="15">
        <f>IF(Murid!E971="","",Murid!E971)</f>
        <v/>
      </c>
      <c r="E971" s="11" t="n"/>
      <c r="F971" s="10">
        <f>IF(E971="","",IFERROR(VLOOKUP(E971,T_PERK,2,FALSE),0))</f>
        <v/>
      </c>
      <c r="G971" s="11" t="n"/>
      <c r="H971" s="10">
        <f>IF(G971="","",IFERROR(VLOOKUP(G971,T_ANUG,2,FALSE),0))</f>
        <v/>
      </c>
      <c r="I971" s="11" t="n"/>
      <c r="J971" s="11" t="n"/>
      <c r="K971" s="11" t="n"/>
      <c r="L971" s="11" t="n"/>
      <c r="M971" s="11" t="n"/>
      <c r="N971" s="11" t="n"/>
      <c r="O971" s="11" t="n"/>
      <c r="P971" s="10">
        <f>IF(COUNTA(I971:O971)=0,"",MIN(10,SUM(I971:O971)))</f>
        <v/>
      </c>
      <c r="Q971" s="11" t="n"/>
      <c r="R971" s="10">
        <f>IF(Q971="","",IFERROR(VLOOKUP(Q971,T_NILAM,2,FALSE),0))</f>
        <v/>
      </c>
      <c r="S971" s="11" t="n"/>
      <c r="T971" s="10">
        <f>IF(S971="","",IFERROR(VLOOKUP(S971,T_TIMSS,2,FALSE),0))</f>
        <v/>
      </c>
      <c r="U971" s="19">
        <f>IF(COUNT(F971,H971,P971,R971,T971)=0,"",MIN(10,MAX(F971,H971,P971,R971,T971)))</f>
        <v/>
      </c>
      <c r="V971" s="11" t="n"/>
    </row>
    <row r="972">
      <c r="A972" s="15">
        <f>Murid!A972</f>
        <v/>
      </c>
      <c r="B972" s="15">
        <f>IF(Murid!B972="","",Murid!B972)</f>
        <v/>
      </c>
      <c r="C972" s="16">
        <f>IF(Murid!C972="","",Murid!C972)</f>
        <v/>
      </c>
      <c r="D972" s="15">
        <f>IF(Murid!E972="","",Murid!E972)</f>
        <v/>
      </c>
      <c r="E972" s="11" t="n"/>
      <c r="F972" s="10">
        <f>IF(E972="","",IFERROR(VLOOKUP(E972,T_PERK,2,FALSE),0))</f>
        <v/>
      </c>
      <c r="G972" s="11" t="n"/>
      <c r="H972" s="10">
        <f>IF(G972="","",IFERROR(VLOOKUP(G972,T_ANUG,2,FALSE),0))</f>
        <v/>
      </c>
      <c r="I972" s="11" t="n"/>
      <c r="J972" s="11" t="n"/>
      <c r="K972" s="11" t="n"/>
      <c r="L972" s="11" t="n"/>
      <c r="M972" s="11" t="n"/>
      <c r="N972" s="11" t="n"/>
      <c r="O972" s="11" t="n"/>
      <c r="P972" s="10">
        <f>IF(COUNTA(I972:O972)=0,"",MIN(10,SUM(I972:O972)))</f>
        <v/>
      </c>
      <c r="Q972" s="11" t="n"/>
      <c r="R972" s="10">
        <f>IF(Q972="","",IFERROR(VLOOKUP(Q972,T_NILAM,2,FALSE),0))</f>
        <v/>
      </c>
      <c r="S972" s="11" t="n"/>
      <c r="T972" s="10">
        <f>IF(S972="","",IFERROR(VLOOKUP(S972,T_TIMSS,2,FALSE),0))</f>
        <v/>
      </c>
      <c r="U972" s="19">
        <f>IF(COUNT(F972,H972,P972,R972,T972)=0,"",MIN(10,MAX(F972,H972,P972,R972,T972)))</f>
        <v/>
      </c>
      <c r="V972" s="11" t="n"/>
    </row>
    <row r="973">
      <c r="A973" s="15">
        <f>Murid!A973</f>
        <v/>
      </c>
      <c r="B973" s="15">
        <f>IF(Murid!B973="","",Murid!B973)</f>
        <v/>
      </c>
      <c r="C973" s="16">
        <f>IF(Murid!C973="","",Murid!C973)</f>
        <v/>
      </c>
      <c r="D973" s="15">
        <f>IF(Murid!E973="","",Murid!E973)</f>
        <v/>
      </c>
      <c r="E973" s="11" t="n"/>
      <c r="F973" s="10">
        <f>IF(E973="","",IFERROR(VLOOKUP(E973,T_PERK,2,FALSE),0))</f>
        <v/>
      </c>
      <c r="G973" s="11" t="n"/>
      <c r="H973" s="10">
        <f>IF(G973="","",IFERROR(VLOOKUP(G973,T_ANUG,2,FALSE),0))</f>
        <v/>
      </c>
      <c r="I973" s="11" t="n"/>
      <c r="J973" s="11" t="n"/>
      <c r="K973" s="11" t="n"/>
      <c r="L973" s="11" t="n"/>
      <c r="M973" s="11" t="n"/>
      <c r="N973" s="11" t="n"/>
      <c r="O973" s="11" t="n"/>
      <c r="P973" s="10">
        <f>IF(COUNTA(I973:O973)=0,"",MIN(10,SUM(I973:O973)))</f>
        <v/>
      </c>
      <c r="Q973" s="11" t="n"/>
      <c r="R973" s="10">
        <f>IF(Q973="","",IFERROR(VLOOKUP(Q973,T_NILAM,2,FALSE),0))</f>
        <v/>
      </c>
      <c r="S973" s="11" t="n"/>
      <c r="T973" s="10">
        <f>IF(S973="","",IFERROR(VLOOKUP(S973,T_TIMSS,2,FALSE),0))</f>
        <v/>
      </c>
      <c r="U973" s="19">
        <f>IF(COUNT(F973,H973,P973,R973,T973)=0,"",MIN(10,MAX(F973,H973,P973,R973,T973)))</f>
        <v/>
      </c>
      <c r="V973" s="11" t="n"/>
    </row>
    <row r="974">
      <c r="A974" s="15">
        <f>Murid!A974</f>
        <v/>
      </c>
      <c r="B974" s="15">
        <f>IF(Murid!B974="","",Murid!B974)</f>
        <v/>
      </c>
      <c r="C974" s="16">
        <f>IF(Murid!C974="","",Murid!C974)</f>
        <v/>
      </c>
      <c r="D974" s="15">
        <f>IF(Murid!E974="","",Murid!E974)</f>
        <v/>
      </c>
      <c r="E974" s="11" t="n"/>
      <c r="F974" s="10">
        <f>IF(E974="","",IFERROR(VLOOKUP(E974,T_PERK,2,FALSE),0))</f>
        <v/>
      </c>
      <c r="G974" s="11" t="n"/>
      <c r="H974" s="10">
        <f>IF(G974="","",IFERROR(VLOOKUP(G974,T_ANUG,2,FALSE),0))</f>
        <v/>
      </c>
      <c r="I974" s="11" t="n"/>
      <c r="J974" s="11" t="n"/>
      <c r="K974" s="11" t="n"/>
      <c r="L974" s="11" t="n"/>
      <c r="M974" s="11" t="n"/>
      <c r="N974" s="11" t="n"/>
      <c r="O974" s="11" t="n"/>
      <c r="P974" s="10">
        <f>IF(COUNTA(I974:O974)=0,"",MIN(10,SUM(I974:O974)))</f>
        <v/>
      </c>
      <c r="Q974" s="11" t="n"/>
      <c r="R974" s="10">
        <f>IF(Q974="","",IFERROR(VLOOKUP(Q974,T_NILAM,2,FALSE),0))</f>
        <v/>
      </c>
      <c r="S974" s="11" t="n"/>
      <c r="T974" s="10">
        <f>IF(S974="","",IFERROR(VLOOKUP(S974,T_TIMSS,2,FALSE),0))</f>
        <v/>
      </c>
      <c r="U974" s="19">
        <f>IF(COUNT(F974,H974,P974,R974,T974)=0,"",MIN(10,MAX(F974,H974,P974,R974,T974)))</f>
        <v/>
      </c>
      <c r="V974" s="11" t="n"/>
    </row>
    <row r="975">
      <c r="A975" s="15">
        <f>Murid!A975</f>
        <v/>
      </c>
      <c r="B975" s="15">
        <f>IF(Murid!B975="","",Murid!B975)</f>
        <v/>
      </c>
      <c r="C975" s="16">
        <f>IF(Murid!C975="","",Murid!C975)</f>
        <v/>
      </c>
      <c r="D975" s="15">
        <f>IF(Murid!E975="","",Murid!E975)</f>
        <v/>
      </c>
      <c r="E975" s="11" t="n"/>
      <c r="F975" s="10">
        <f>IF(E975="","",IFERROR(VLOOKUP(E975,T_PERK,2,FALSE),0))</f>
        <v/>
      </c>
      <c r="G975" s="11" t="n"/>
      <c r="H975" s="10">
        <f>IF(G975="","",IFERROR(VLOOKUP(G975,T_ANUG,2,FALSE),0))</f>
        <v/>
      </c>
      <c r="I975" s="11" t="n"/>
      <c r="J975" s="11" t="n"/>
      <c r="K975" s="11" t="n"/>
      <c r="L975" s="11" t="n"/>
      <c r="M975" s="11" t="n"/>
      <c r="N975" s="11" t="n"/>
      <c r="O975" s="11" t="n"/>
      <c r="P975" s="10">
        <f>IF(COUNTA(I975:O975)=0,"",MIN(10,SUM(I975:O975)))</f>
        <v/>
      </c>
      <c r="Q975" s="11" t="n"/>
      <c r="R975" s="10">
        <f>IF(Q975="","",IFERROR(VLOOKUP(Q975,T_NILAM,2,FALSE),0))</f>
        <v/>
      </c>
      <c r="S975" s="11" t="n"/>
      <c r="T975" s="10">
        <f>IF(S975="","",IFERROR(VLOOKUP(S975,T_TIMSS,2,FALSE),0))</f>
        <v/>
      </c>
      <c r="U975" s="19">
        <f>IF(COUNT(F975,H975,P975,R975,T975)=0,"",MIN(10,MAX(F975,H975,P975,R975,T975)))</f>
        <v/>
      </c>
      <c r="V975" s="11" t="n"/>
    </row>
    <row r="976">
      <c r="A976" s="15">
        <f>Murid!A976</f>
        <v/>
      </c>
      <c r="B976" s="15">
        <f>IF(Murid!B976="","",Murid!B976)</f>
        <v/>
      </c>
      <c r="C976" s="16">
        <f>IF(Murid!C976="","",Murid!C976)</f>
        <v/>
      </c>
      <c r="D976" s="15">
        <f>IF(Murid!E976="","",Murid!E976)</f>
        <v/>
      </c>
      <c r="E976" s="11" t="n"/>
      <c r="F976" s="10">
        <f>IF(E976="","",IFERROR(VLOOKUP(E976,T_PERK,2,FALSE),0))</f>
        <v/>
      </c>
      <c r="G976" s="11" t="n"/>
      <c r="H976" s="10">
        <f>IF(G976="","",IFERROR(VLOOKUP(G976,T_ANUG,2,FALSE),0))</f>
        <v/>
      </c>
      <c r="I976" s="11" t="n"/>
      <c r="J976" s="11" t="n"/>
      <c r="K976" s="11" t="n"/>
      <c r="L976" s="11" t="n"/>
      <c r="M976" s="11" t="n"/>
      <c r="N976" s="11" t="n"/>
      <c r="O976" s="11" t="n"/>
      <c r="P976" s="10">
        <f>IF(COUNTA(I976:O976)=0,"",MIN(10,SUM(I976:O976)))</f>
        <v/>
      </c>
      <c r="Q976" s="11" t="n"/>
      <c r="R976" s="10">
        <f>IF(Q976="","",IFERROR(VLOOKUP(Q976,T_NILAM,2,FALSE),0))</f>
        <v/>
      </c>
      <c r="S976" s="11" t="n"/>
      <c r="T976" s="10">
        <f>IF(S976="","",IFERROR(VLOOKUP(S976,T_TIMSS,2,FALSE),0))</f>
        <v/>
      </c>
      <c r="U976" s="19">
        <f>IF(COUNT(F976,H976,P976,R976,T976)=0,"",MIN(10,MAX(F976,H976,P976,R976,T976)))</f>
        <v/>
      </c>
      <c r="V976" s="11" t="n"/>
    </row>
    <row r="977">
      <c r="A977" s="15">
        <f>Murid!A977</f>
        <v/>
      </c>
      <c r="B977" s="15">
        <f>IF(Murid!B977="","",Murid!B977)</f>
        <v/>
      </c>
      <c r="C977" s="16">
        <f>IF(Murid!C977="","",Murid!C977)</f>
        <v/>
      </c>
      <c r="D977" s="15">
        <f>IF(Murid!E977="","",Murid!E977)</f>
        <v/>
      </c>
      <c r="E977" s="11" t="n"/>
      <c r="F977" s="10">
        <f>IF(E977="","",IFERROR(VLOOKUP(E977,T_PERK,2,FALSE),0))</f>
        <v/>
      </c>
      <c r="G977" s="11" t="n"/>
      <c r="H977" s="10">
        <f>IF(G977="","",IFERROR(VLOOKUP(G977,T_ANUG,2,FALSE),0))</f>
        <v/>
      </c>
      <c r="I977" s="11" t="n"/>
      <c r="J977" s="11" t="n"/>
      <c r="K977" s="11" t="n"/>
      <c r="L977" s="11" t="n"/>
      <c r="M977" s="11" t="n"/>
      <c r="N977" s="11" t="n"/>
      <c r="O977" s="11" t="n"/>
      <c r="P977" s="10">
        <f>IF(COUNTA(I977:O977)=0,"",MIN(10,SUM(I977:O977)))</f>
        <v/>
      </c>
      <c r="Q977" s="11" t="n"/>
      <c r="R977" s="10">
        <f>IF(Q977="","",IFERROR(VLOOKUP(Q977,T_NILAM,2,FALSE),0))</f>
        <v/>
      </c>
      <c r="S977" s="11" t="n"/>
      <c r="T977" s="10">
        <f>IF(S977="","",IFERROR(VLOOKUP(S977,T_TIMSS,2,FALSE),0))</f>
        <v/>
      </c>
      <c r="U977" s="19">
        <f>IF(COUNT(F977,H977,P977,R977,T977)=0,"",MIN(10,MAX(F977,H977,P977,R977,T977)))</f>
        <v/>
      </c>
      <c r="V977" s="11" t="n"/>
    </row>
    <row r="978">
      <c r="A978" s="15">
        <f>Murid!A978</f>
        <v/>
      </c>
      <c r="B978" s="15">
        <f>IF(Murid!B978="","",Murid!B978)</f>
        <v/>
      </c>
      <c r="C978" s="16">
        <f>IF(Murid!C978="","",Murid!C978)</f>
        <v/>
      </c>
      <c r="D978" s="15">
        <f>IF(Murid!E978="","",Murid!E978)</f>
        <v/>
      </c>
      <c r="E978" s="11" t="n"/>
      <c r="F978" s="10">
        <f>IF(E978="","",IFERROR(VLOOKUP(E978,T_PERK,2,FALSE),0))</f>
        <v/>
      </c>
      <c r="G978" s="11" t="n"/>
      <c r="H978" s="10">
        <f>IF(G978="","",IFERROR(VLOOKUP(G978,T_ANUG,2,FALSE),0))</f>
        <v/>
      </c>
      <c r="I978" s="11" t="n"/>
      <c r="J978" s="11" t="n"/>
      <c r="K978" s="11" t="n"/>
      <c r="L978" s="11" t="n"/>
      <c r="M978" s="11" t="n"/>
      <c r="N978" s="11" t="n"/>
      <c r="O978" s="11" t="n"/>
      <c r="P978" s="10">
        <f>IF(COUNTA(I978:O978)=0,"",MIN(10,SUM(I978:O978)))</f>
        <v/>
      </c>
      <c r="Q978" s="11" t="n"/>
      <c r="R978" s="10">
        <f>IF(Q978="","",IFERROR(VLOOKUP(Q978,T_NILAM,2,FALSE),0))</f>
        <v/>
      </c>
      <c r="S978" s="11" t="n"/>
      <c r="T978" s="10">
        <f>IF(S978="","",IFERROR(VLOOKUP(S978,T_TIMSS,2,FALSE),0))</f>
        <v/>
      </c>
      <c r="U978" s="19">
        <f>IF(COUNT(F978,H978,P978,R978,T978)=0,"",MIN(10,MAX(F978,H978,P978,R978,T978)))</f>
        <v/>
      </c>
      <c r="V978" s="11" t="n"/>
    </row>
    <row r="979">
      <c r="A979" s="15">
        <f>Murid!A979</f>
        <v/>
      </c>
      <c r="B979" s="15">
        <f>IF(Murid!B979="","",Murid!B979)</f>
        <v/>
      </c>
      <c r="C979" s="16">
        <f>IF(Murid!C979="","",Murid!C979)</f>
        <v/>
      </c>
      <c r="D979" s="15">
        <f>IF(Murid!E979="","",Murid!E979)</f>
        <v/>
      </c>
      <c r="E979" s="11" t="n"/>
      <c r="F979" s="10">
        <f>IF(E979="","",IFERROR(VLOOKUP(E979,T_PERK,2,FALSE),0))</f>
        <v/>
      </c>
      <c r="G979" s="11" t="n"/>
      <c r="H979" s="10">
        <f>IF(G979="","",IFERROR(VLOOKUP(G979,T_ANUG,2,FALSE),0))</f>
        <v/>
      </c>
      <c r="I979" s="11" t="n"/>
      <c r="J979" s="11" t="n"/>
      <c r="K979" s="11" t="n"/>
      <c r="L979" s="11" t="n"/>
      <c r="M979" s="11" t="n"/>
      <c r="N979" s="11" t="n"/>
      <c r="O979" s="11" t="n"/>
      <c r="P979" s="10">
        <f>IF(COUNTA(I979:O979)=0,"",MIN(10,SUM(I979:O979)))</f>
        <v/>
      </c>
      <c r="Q979" s="11" t="n"/>
      <c r="R979" s="10">
        <f>IF(Q979="","",IFERROR(VLOOKUP(Q979,T_NILAM,2,FALSE),0))</f>
        <v/>
      </c>
      <c r="S979" s="11" t="n"/>
      <c r="T979" s="10">
        <f>IF(S979="","",IFERROR(VLOOKUP(S979,T_TIMSS,2,FALSE),0))</f>
        <v/>
      </c>
      <c r="U979" s="19">
        <f>IF(COUNT(F979,H979,P979,R979,T979)=0,"",MIN(10,MAX(F979,H979,P979,R979,T979)))</f>
        <v/>
      </c>
      <c r="V979" s="11" t="n"/>
    </row>
    <row r="980">
      <c r="A980" s="15">
        <f>Murid!A980</f>
        <v/>
      </c>
      <c r="B980" s="15">
        <f>IF(Murid!B980="","",Murid!B980)</f>
        <v/>
      </c>
      <c r="C980" s="16">
        <f>IF(Murid!C980="","",Murid!C980)</f>
        <v/>
      </c>
      <c r="D980" s="15">
        <f>IF(Murid!E980="","",Murid!E980)</f>
        <v/>
      </c>
      <c r="E980" s="11" t="n"/>
      <c r="F980" s="10">
        <f>IF(E980="","",IFERROR(VLOOKUP(E980,T_PERK,2,FALSE),0))</f>
        <v/>
      </c>
      <c r="G980" s="11" t="n"/>
      <c r="H980" s="10">
        <f>IF(G980="","",IFERROR(VLOOKUP(G980,T_ANUG,2,FALSE),0))</f>
        <v/>
      </c>
      <c r="I980" s="11" t="n"/>
      <c r="J980" s="11" t="n"/>
      <c r="K980" s="11" t="n"/>
      <c r="L980" s="11" t="n"/>
      <c r="M980" s="11" t="n"/>
      <c r="N980" s="11" t="n"/>
      <c r="O980" s="11" t="n"/>
      <c r="P980" s="10">
        <f>IF(COUNTA(I980:O980)=0,"",MIN(10,SUM(I980:O980)))</f>
        <v/>
      </c>
      <c r="Q980" s="11" t="n"/>
      <c r="R980" s="10">
        <f>IF(Q980="","",IFERROR(VLOOKUP(Q980,T_NILAM,2,FALSE),0))</f>
        <v/>
      </c>
      <c r="S980" s="11" t="n"/>
      <c r="T980" s="10">
        <f>IF(S980="","",IFERROR(VLOOKUP(S980,T_TIMSS,2,FALSE),0))</f>
        <v/>
      </c>
      <c r="U980" s="19">
        <f>IF(COUNT(F980,H980,P980,R980,T980)=0,"",MIN(10,MAX(F980,H980,P980,R980,T980)))</f>
        <v/>
      </c>
      <c r="V980" s="11" t="n"/>
    </row>
    <row r="981">
      <c r="A981" s="15">
        <f>Murid!A981</f>
        <v/>
      </c>
      <c r="B981" s="15">
        <f>IF(Murid!B981="","",Murid!B981)</f>
        <v/>
      </c>
      <c r="C981" s="16">
        <f>IF(Murid!C981="","",Murid!C981)</f>
        <v/>
      </c>
      <c r="D981" s="15">
        <f>IF(Murid!E981="","",Murid!E981)</f>
        <v/>
      </c>
      <c r="E981" s="11" t="n"/>
      <c r="F981" s="10">
        <f>IF(E981="","",IFERROR(VLOOKUP(E981,T_PERK,2,FALSE),0))</f>
        <v/>
      </c>
      <c r="G981" s="11" t="n"/>
      <c r="H981" s="10">
        <f>IF(G981="","",IFERROR(VLOOKUP(G981,T_ANUG,2,FALSE),0))</f>
        <v/>
      </c>
      <c r="I981" s="11" t="n"/>
      <c r="J981" s="11" t="n"/>
      <c r="K981" s="11" t="n"/>
      <c r="L981" s="11" t="n"/>
      <c r="M981" s="11" t="n"/>
      <c r="N981" s="11" t="n"/>
      <c r="O981" s="11" t="n"/>
      <c r="P981" s="10">
        <f>IF(COUNTA(I981:O981)=0,"",MIN(10,SUM(I981:O981)))</f>
        <v/>
      </c>
      <c r="Q981" s="11" t="n"/>
      <c r="R981" s="10">
        <f>IF(Q981="","",IFERROR(VLOOKUP(Q981,T_NILAM,2,FALSE),0))</f>
        <v/>
      </c>
      <c r="S981" s="11" t="n"/>
      <c r="T981" s="10">
        <f>IF(S981="","",IFERROR(VLOOKUP(S981,T_TIMSS,2,FALSE),0))</f>
        <v/>
      </c>
      <c r="U981" s="19">
        <f>IF(COUNT(F981,H981,P981,R981,T981)=0,"",MIN(10,MAX(F981,H981,P981,R981,T981)))</f>
        <v/>
      </c>
      <c r="V981" s="11" t="n"/>
    </row>
    <row r="982">
      <c r="A982" s="15">
        <f>Murid!A982</f>
        <v/>
      </c>
      <c r="B982" s="15">
        <f>IF(Murid!B982="","",Murid!B982)</f>
        <v/>
      </c>
      <c r="C982" s="16">
        <f>IF(Murid!C982="","",Murid!C982)</f>
        <v/>
      </c>
      <c r="D982" s="15">
        <f>IF(Murid!E982="","",Murid!E982)</f>
        <v/>
      </c>
      <c r="E982" s="11" t="n"/>
      <c r="F982" s="10">
        <f>IF(E982="","",IFERROR(VLOOKUP(E982,T_PERK,2,FALSE),0))</f>
        <v/>
      </c>
      <c r="G982" s="11" t="n"/>
      <c r="H982" s="10">
        <f>IF(G982="","",IFERROR(VLOOKUP(G982,T_ANUG,2,FALSE),0))</f>
        <v/>
      </c>
      <c r="I982" s="11" t="n"/>
      <c r="J982" s="11" t="n"/>
      <c r="K982" s="11" t="n"/>
      <c r="L982" s="11" t="n"/>
      <c r="M982" s="11" t="n"/>
      <c r="N982" s="11" t="n"/>
      <c r="O982" s="11" t="n"/>
      <c r="P982" s="10">
        <f>IF(COUNTA(I982:O982)=0,"",MIN(10,SUM(I982:O982)))</f>
        <v/>
      </c>
      <c r="Q982" s="11" t="n"/>
      <c r="R982" s="10">
        <f>IF(Q982="","",IFERROR(VLOOKUP(Q982,T_NILAM,2,FALSE),0))</f>
        <v/>
      </c>
      <c r="S982" s="11" t="n"/>
      <c r="T982" s="10">
        <f>IF(S982="","",IFERROR(VLOOKUP(S982,T_TIMSS,2,FALSE),0))</f>
        <v/>
      </c>
      <c r="U982" s="19">
        <f>IF(COUNT(F982,H982,P982,R982,T982)=0,"",MIN(10,MAX(F982,H982,P982,R982,T982)))</f>
        <v/>
      </c>
      <c r="V982" s="11" t="n"/>
    </row>
    <row r="983">
      <c r="A983" s="15">
        <f>Murid!A983</f>
        <v/>
      </c>
      <c r="B983" s="15">
        <f>IF(Murid!B983="","",Murid!B983)</f>
        <v/>
      </c>
      <c r="C983" s="16">
        <f>IF(Murid!C983="","",Murid!C983)</f>
        <v/>
      </c>
      <c r="D983" s="15">
        <f>IF(Murid!E983="","",Murid!E983)</f>
        <v/>
      </c>
      <c r="E983" s="11" t="n"/>
      <c r="F983" s="10">
        <f>IF(E983="","",IFERROR(VLOOKUP(E983,T_PERK,2,FALSE),0))</f>
        <v/>
      </c>
      <c r="G983" s="11" t="n"/>
      <c r="H983" s="10">
        <f>IF(G983="","",IFERROR(VLOOKUP(G983,T_ANUG,2,FALSE),0))</f>
        <v/>
      </c>
      <c r="I983" s="11" t="n"/>
      <c r="J983" s="11" t="n"/>
      <c r="K983" s="11" t="n"/>
      <c r="L983" s="11" t="n"/>
      <c r="M983" s="11" t="n"/>
      <c r="N983" s="11" t="n"/>
      <c r="O983" s="11" t="n"/>
      <c r="P983" s="10">
        <f>IF(COUNTA(I983:O983)=0,"",MIN(10,SUM(I983:O983)))</f>
        <v/>
      </c>
      <c r="Q983" s="11" t="n"/>
      <c r="R983" s="10">
        <f>IF(Q983="","",IFERROR(VLOOKUP(Q983,T_NILAM,2,FALSE),0))</f>
        <v/>
      </c>
      <c r="S983" s="11" t="n"/>
      <c r="T983" s="10">
        <f>IF(S983="","",IFERROR(VLOOKUP(S983,T_TIMSS,2,FALSE),0))</f>
        <v/>
      </c>
      <c r="U983" s="19">
        <f>IF(COUNT(F983,H983,P983,R983,T983)=0,"",MIN(10,MAX(F983,H983,P983,R983,T983)))</f>
        <v/>
      </c>
      <c r="V983" s="11" t="n"/>
    </row>
    <row r="984">
      <c r="A984" s="15">
        <f>Murid!A984</f>
        <v/>
      </c>
      <c r="B984" s="15">
        <f>IF(Murid!B984="","",Murid!B984)</f>
        <v/>
      </c>
      <c r="C984" s="16">
        <f>IF(Murid!C984="","",Murid!C984)</f>
        <v/>
      </c>
      <c r="D984" s="15">
        <f>IF(Murid!E984="","",Murid!E984)</f>
        <v/>
      </c>
      <c r="E984" s="11" t="n"/>
      <c r="F984" s="10">
        <f>IF(E984="","",IFERROR(VLOOKUP(E984,T_PERK,2,FALSE),0))</f>
        <v/>
      </c>
      <c r="G984" s="11" t="n"/>
      <c r="H984" s="10">
        <f>IF(G984="","",IFERROR(VLOOKUP(G984,T_ANUG,2,FALSE),0))</f>
        <v/>
      </c>
      <c r="I984" s="11" t="n"/>
      <c r="J984" s="11" t="n"/>
      <c r="K984" s="11" t="n"/>
      <c r="L984" s="11" t="n"/>
      <c r="M984" s="11" t="n"/>
      <c r="N984" s="11" t="n"/>
      <c r="O984" s="11" t="n"/>
      <c r="P984" s="10">
        <f>IF(COUNTA(I984:O984)=0,"",MIN(10,SUM(I984:O984)))</f>
        <v/>
      </c>
      <c r="Q984" s="11" t="n"/>
      <c r="R984" s="10">
        <f>IF(Q984="","",IFERROR(VLOOKUP(Q984,T_NILAM,2,FALSE),0))</f>
        <v/>
      </c>
      <c r="S984" s="11" t="n"/>
      <c r="T984" s="10">
        <f>IF(S984="","",IFERROR(VLOOKUP(S984,T_TIMSS,2,FALSE),0))</f>
        <v/>
      </c>
      <c r="U984" s="19">
        <f>IF(COUNT(F984,H984,P984,R984,T984)=0,"",MIN(10,MAX(F984,H984,P984,R984,T984)))</f>
        <v/>
      </c>
      <c r="V984" s="11" t="n"/>
    </row>
    <row r="985">
      <c r="A985" s="15">
        <f>Murid!A985</f>
        <v/>
      </c>
      <c r="B985" s="15">
        <f>IF(Murid!B985="","",Murid!B985)</f>
        <v/>
      </c>
      <c r="C985" s="16">
        <f>IF(Murid!C985="","",Murid!C985)</f>
        <v/>
      </c>
      <c r="D985" s="15">
        <f>IF(Murid!E985="","",Murid!E985)</f>
        <v/>
      </c>
      <c r="E985" s="11" t="n"/>
      <c r="F985" s="10">
        <f>IF(E985="","",IFERROR(VLOOKUP(E985,T_PERK,2,FALSE),0))</f>
        <v/>
      </c>
      <c r="G985" s="11" t="n"/>
      <c r="H985" s="10">
        <f>IF(G985="","",IFERROR(VLOOKUP(G985,T_ANUG,2,FALSE),0))</f>
        <v/>
      </c>
      <c r="I985" s="11" t="n"/>
      <c r="J985" s="11" t="n"/>
      <c r="K985" s="11" t="n"/>
      <c r="L985" s="11" t="n"/>
      <c r="M985" s="11" t="n"/>
      <c r="N985" s="11" t="n"/>
      <c r="O985" s="11" t="n"/>
      <c r="P985" s="10">
        <f>IF(COUNTA(I985:O985)=0,"",MIN(10,SUM(I985:O985)))</f>
        <v/>
      </c>
      <c r="Q985" s="11" t="n"/>
      <c r="R985" s="10">
        <f>IF(Q985="","",IFERROR(VLOOKUP(Q985,T_NILAM,2,FALSE),0))</f>
        <v/>
      </c>
      <c r="S985" s="11" t="n"/>
      <c r="T985" s="10">
        <f>IF(S985="","",IFERROR(VLOOKUP(S985,T_TIMSS,2,FALSE),0))</f>
        <v/>
      </c>
      <c r="U985" s="19">
        <f>IF(COUNT(F985,H985,P985,R985,T985)=0,"",MIN(10,MAX(F985,H985,P985,R985,T985)))</f>
        <v/>
      </c>
      <c r="V985" s="11" t="n"/>
    </row>
    <row r="986">
      <c r="A986" s="15">
        <f>Murid!A986</f>
        <v/>
      </c>
      <c r="B986" s="15">
        <f>IF(Murid!B986="","",Murid!B986)</f>
        <v/>
      </c>
      <c r="C986" s="16">
        <f>IF(Murid!C986="","",Murid!C986)</f>
        <v/>
      </c>
      <c r="D986" s="15">
        <f>IF(Murid!E986="","",Murid!E986)</f>
        <v/>
      </c>
      <c r="E986" s="11" t="n"/>
      <c r="F986" s="10">
        <f>IF(E986="","",IFERROR(VLOOKUP(E986,T_PERK,2,FALSE),0))</f>
        <v/>
      </c>
      <c r="G986" s="11" t="n"/>
      <c r="H986" s="10">
        <f>IF(G986="","",IFERROR(VLOOKUP(G986,T_ANUG,2,FALSE),0))</f>
        <v/>
      </c>
      <c r="I986" s="11" t="n"/>
      <c r="J986" s="11" t="n"/>
      <c r="K986" s="11" t="n"/>
      <c r="L986" s="11" t="n"/>
      <c r="M986" s="11" t="n"/>
      <c r="N986" s="11" t="n"/>
      <c r="O986" s="11" t="n"/>
      <c r="P986" s="10">
        <f>IF(COUNTA(I986:O986)=0,"",MIN(10,SUM(I986:O986)))</f>
        <v/>
      </c>
      <c r="Q986" s="11" t="n"/>
      <c r="R986" s="10">
        <f>IF(Q986="","",IFERROR(VLOOKUP(Q986,T_NILAM,2,FALSE),0))</f>
        <v/>
      </c>
      <c r="S986" s="11" t="n"/>
      <c r="T986" s="10">
        <f>IF(S986="","",IFERROR(VLOOKUP(S986,T_TIMSS,2,FALSE),0))</f>
        <v/>
      </c>
      <c r="U986" s="19">
        <f>IF(COUNT(F986,H986,P986,R986,T986)=0,"",MIN(10,MAX(F986,H986,P986,R986,T986)))</f>
        <v/>
      </c>
      <c r="V986" s="11" t="n"/>
    </row>
    <row r="987">
      <c r="A987" s="15">
        <f>Murid!A987</f>
        <v/>
      </c>
      <c r="B987" s="15">
        <f>IF(Murid!B987="","",Murid!B987)</f>
        <v/>
      </c>
      <c r="C987" s="16">
        <f>IF(Murid!C987="","",Murid!C987)</f>
        <v/>
      </c>
      <c r="D987" s="15">
        <f>IF(Murid!E987="","",Murid!E987)</f>
        <v/>
      </c>
      <c r="E987" s="11" t="n"/>
      <c r="F987" s="10">
        <f>IF(E987="","",IFERROR(VLOOKUP(E987,T_PERK,2,FALSE),0))</f>
        <v/>
      </c>
      <c r="G987" s="11" t="n"/>
      <c r="H987" s="10">
        <f>IF(G987="","",IFERROR(VLOOKUP(G987,T_ANUG,2,FALSE),0))</f>
        <v/>
      </c>
      <c r="I987" s="11" t="n"/>
      <c r="J987" s="11" t="n"/>
      <c r="K987" s="11" t="n"/>
      <c r="L987" s="11" t="n"/>
      <c r="M987" s="11" t="n"/>
      <c r="N987" s="11" t="n"/>
      <c r="O987" s="11" t="n"/>
      <c r="P987" s="10">
        <f>IF(COUNTA(I987:O987)=0,"",MIN(10,SUM(I987:O987)))</f>
        <v/>
      </c>
      <c r="Q987" s="11" t="n"/>
      <c r="R987" s="10">
        <f>IF(Q987="","",IFERROR(VLOOKUP(Q987,T_NILAM,2,FALSE),0))</f>
        <v/>
      </c>
      <c r="S987" s="11" t="n"/>
      <c r="T987" s="10">
        <f>IF(S987="","",IFERROR(VLOOKUP(S987,T_TIMSS,2,FALSE),0))</f>
        <v/>
      </c>
      <c r="U987" s="19">
        <f>IF(COUNT(F987,H987,P987,R987,T987)=0,"",MIN(10,MAX(F987,H987,P987,R987,T987)))</f>
        <v/>
      </c>
      <c r="V987" s="11" t="n"/>
    </row>
    <row r="988">
      <c r="A988" s="15">
        <f>Murid!A988</f>
        <v/>
      </c>
      <c r="B988" s="15">
        <f>IF(Murid!B988="","",Murid!B988)</f>
        <v/>
      </c>
      <c r="C988" s="16">
        <f>IF(Murid!C988="","",Murid!C988)</f>
        <v/>
      </c>
      <c r="D988" s="15">
        <f>IF(Murid!E988="","",Murid!E988)</f>
        <v/>
      </c>
      <c r="E988" s="11" t="n"/>
      <c r="F988" s="10">
        <f>IF(E988="","",IFERROR(VLOOKUP(E988,T_PERK,2,FALSE),0))</f>
        <v/>
      </c>
      <c r="G988" s="11" t="n"/>
      <c r="H988" s="10">
        <f>IF(G988="","",IFERROR(VLOOKUP(G988,T_ANUG,2,FALSE),0))</f>
        <v/>
      </c>
      <c r="I988" s="11" t="n"/>
      <c r="J988" s="11" t="n"/>
      <c r="K988" s="11" t="n"/>
      <c r="L988" s="11" t="n"/>
      <c r="M988" s="11" t="n"/>
      <c r="N988" s="11" t="n"/>
      <c r="O988" s="11" t="n"/>
      <c r="P988" s="10">
        <f>IF(COUNTA(I988:O988)=0,"",MIN(10,SUM(I988:O988)))</f>
        <v/>
      </c>
      <c r="Q988" s="11" t="n"/>
      <c r="R988" s="10">
        <f>IF(Q988="","",IFERROR(VLOOKUP(Q988,T_NILAM,2,FALSE),0))</f>
        <v/>
      </c>
      <c r="S988" s="11" t="n"/>
      <c r="T988" s="10">
        <f>IF(S988="","",IFERROR(VLOOKUP(S988,T_TIMSS,2,FALSE),0))</f>
        <v/>
      </c>
      <c r="U988" s="19">
        <f>IF(COUNT(F988,H988,P988,R988,T988)=0,"",MIN(10,MAX(F988,H988,P988,R988,T988)))</f>
        <v/>
      </c>
      <c r="V988" s="11" t="n"/>
    </row>
    <row r="989">
      <c r="A989" s="15">
        <f>Murid!A989</f>
        <v/>
      </c>
      <c r="B989" s="15">
        <f>IF(Murid!B989="","",Murid!B989)</f>
        <v/>
      </c>
      <c r="C989" s="16">
        <f>IF(Murid!C989="","",Murid!C989)</f>
        <v/>
      </c>
      <c r="D989" s="15">
        <f>IF(Murid!E989="","",Murid!E989)</f>
        <v/>
      </c>
      <c r="E989" s="11" t="n"/>
      <c r="F989" s="10">
        <f>IF(E989="","",IFERROR(VLOOKUP(E989,T_PERK,2,FALSE),0))</f>
        <v/>
      </c>
      <c r="G989" s="11" t="n"/>
      <c r="H989" s="10">
        <f>IF(G989="","",IFERROR(VLOOKUP(G989,T_ANUG,2,FALSE),0))</f>
        <v/>
      </c>
      <c r="I989" s="11" t="n"/>
      <c r="J989" s="11" t="n"/>
      <c r="K989" s="11" t="n"/>
      <c r="L989" s="11" t="n"/>
      <c r="M989" s="11" t="n"/>
      <c r="N989" s="11" t="n"/>
      <c r="O989" s="11" t="n"/>
      <c r="P989" s="10">
        <f>IF(COUNTA(I989:O989)=0,"",MIN(10,SUM(I989:O989)))</f>
        <v/>
      </c>
      <c r="Q989" s="11" t="n"/>
      <c r="R989" s="10">
        <f>IF(Q989="","",IFERROR(VLOOKUP(Q989,T_NILAM,2,FALSE),0))</f>
        <v/>
      </c>
      <c r="S989" s="11" t="n"/>
      <c r="T989" s="10">
        <f>IF(S989="","",IFERROR(VLOOKUP(S989,T_TIMSS,2,FALSE),0))</f>
        <v/>
      </c>
      <c r="U989" s="19">
        <f>IF(COUNT(F989,H989,P989,R989,T989)=0,"",MIN(10,MAX(F989,H989,P989,R989,T989)))</f>
        <v/>
      </c>
      <c r="V989" s="11" t="n"/>
    </row>
    <row r="990">
      <c r="A990" s="15">
        <f>Murid!A990</f>
        <v/>
      </c>
      <c r="B990" s="15">
        <f>IF(Murid!B990="","",Murid!B990)</f>
        <v/>
      </c>
      <c r="C990" s="16">
        <f>IF(Murid!C990="","",Murid!C990)</f>
        <v/>
      </c>
      <c r="D990" s="15">
        <f>IF(Murid!E990="","",Murid!E990)</f>
        <v/>
      </c>
      <c r="E990" s="11" t="n"/>
      <c r="F990" s="10">
        <f>IF(E990="","",IFERROR(VLOOKUP(E990,T_PERK,2,FALSE),0))</f>
        <v/>
      </c>
      <c r="G990" s="11" t="n"/>
      <c r="H990" s="10">
        <f>IF(G990="","",IFERROR(VLOOKUP(G990,T_ANUG,2,FALSE),0))</f>
        <v/>
      </c>
      <c r="I990" s="11" t="n"/>
      <c r="J990" s="11" t="n"/>
      <c r="K990" s="11" t="n"/>
      <c r="L990" s="11" t="n"/>
      <c r="M990" s="11" t="n"/>
      <c r="N990" s="11" t="n"/>
      <c r="O990" s="11" t="n"/>
      <c r="P990" s="10">
        <f>IF(COUNTA(I990:O990)=0,"",MIN(10,SUM(I990:O990)))</f>
        <v/>
      </c>
      <c r="Q990" s="11" t="n"/>
      <c r="R990" s="10">
        <f>IF(Q990="","",IFERROR(VLOOKUP(Q990,T_NILAM,2,FALSE),0))</f>
        <v/>
      </c>
      <c r="S990" s="11" t="n"/>
      <c r="T990" s="10">
        <f>IF(S990="","",IFERROR(VLOOKUP(S990,T_TIMSS,2,FALSE),0))</f>
        <v/>
      </c>
      <c r="U990" s="19">
        <f>IF(COUNT(F990,H990,P990,R990,T990)=0,"",MIN(10,MAX(F990,H990,P990,R990,T990)))</f>
        <v/>
      </c>
      <c r="V990" s="11" t="n"/>
    </row>
    <row r="991">
      <c r="A991" s="15">
        <f>Murid!A991</f>
        <v/>
      </c>
      <c r="B991" s="15">
        <f>IF(Murid!B991="","",Murid!B991)</f>
        <v/>
      </c>
      <c r="C991" s="16">
        <f>IF(Murid!C991="","",Murid!C991)</f>
        <v/>
      </c>
      <c r="D991" s="15">
        <f>IF(Murid!E991="","",Murid!E991)</f>
        <v/>
      </c>
      <c r="E991" s="11" t="n"/>
      <c r="F991" s="10">
        <f>IF(E991="","",IFERROR(VLOOKUP(E991,T_PERK,2,FALSE),0))</f>
        <v/>
      </c>
      <c r="G991" s="11" t="n"/>
      <c r="H991" s="10">
        <f>IF(G991="","",IFERROR(VLOOKUP(G991,T_ANUG,2,FALSE),0))</f>
        <v/>
      </c>
      <c r="I991" s="11" t="n"/>
      <c r="J991" s="11" t="n"/>
      <c r="K991" s="11" t="n"/>
      <c r="L991" s="11" t="n"/>
      <c r="M991" s="11" t="n"/>
      <c r="N991" s="11" t="n"/>
      <c r="O991" s="11" t="n"/>
      <c r="P991" s="10">
        <f>IF(COUNTA(I991:O991)=0,"",MIN(10,SUM(I991:O991)))</f>
        <v/>
      </c>
      <c r="Q991" s="11" t="n"/>
      <c r="R991" s="10">
        <f>IF(Q991="","",IFERROR(VLOOKUP(Q991,T_NILAM,2,FALSE),0))</f>
        <v/>
      </c>
      <c r="S991" s="11" t="n"/>
      <c r="T991" s="10">
        <f>IF(S991="","",IFERROR(VLOOKUP(S991,T_TIMSS,2,FALSE),0))</f>
        <v/>
      </c>
      <c r="U991" s="19">
        <f>IF(COUNT(F991,H991,P991,R991,T991)=0,"",MIN(10,MAX(F991,H991,P991,R991,T991)))</f>
        <v/>
      </c>
      <c r="V991" s="11" t="n"/>
    </row>
    <row r="992">
      <c r="A992" s="15">
        <f>Murid!A992</f>
        <v/>
      </c>
      <c r="B992" s="15">
        <f>IF(Murid!B992="","",Murid!B992)</f>
        <v/>
      </c>
      <c r="C992" s="16">
        <f>IF(Murid!C992="","",Murid!C992)</f>
        <v/>
      </c>
      <c r="D992" s="15">
        <f>IF(Murid!E992="","",Murid!E992)</f>
        <v/>
      </c>
      <c r="E992" s="11" t="n"/>
      <c r="F992" s="10">
        <f>IF(E992="","",IFERROR(VLOOKUP(E992,T_PERK,2,FALSE),0))</f>
        <v/>
      </c>
      <c r="G992" s="11" t="n"/>
      <c r="H992" s="10">
        <f>IF(G992="","",IFERROR(VLOOKUP(G992,T_ANUG,2,FALSE),0))</f>
        <v/>
      </c>
      <c r="I992" s="11" t="n"/>
      <c r="J992" s="11" t="n"/>
      <c r="K992" s="11" t="n"/>
      <c r="L992" s="11" t="n"/>
      <c r="M992" s="11" t="n"/>
      <c r="N992" s="11" t="n"/>
      <c r="O992" s="11" t="n"/>
      <c r="P992" s="10">
        <f>IF(COUNTA(I992:O992)=0,"",MIN(10,SUM(I992:O992)))</f>
        <v/>
      </c>
      <c r="Q992" s="11" t="n"/>
      <c r="R992" s="10">
        <f>IF(Q992="","",IFERROR(VLOOKUP(Q992,T_NILAM,2,FALSE),0))</f>
        <v/>
      </c>
      <c r="S992" s="11" t="n"/>
      <c r="T992" s="10">
        <f>IF(S992="","",IFERROR(VLOOKUP(S992,T_TIMSS,2,FALSE),0))</f>
        <v/>
      </c>
      <c r="U992" s="19">
        <f>IF(COUNT(F992,H992,P992,R992,T992)=0,"",MIN(10,MAX(F992,H992,P992,R992,T992)))</f>
        <v/>
      </c>
      <c r="V992" s="11" t="n"/>
    </row>
    <row r="993">
      <c r="A993" s="15">
        <f>Murid!A993</f>
        <v/>
      </c>
      <c r="B993" s="15">
        <f>IF(Murid!B993="","",Murid!B993)</f>
        <v/>
      </c>
      <c r="C993" s="16">
        <f>IF(Murid!C993="","",Murid!C993)</f>
        <v/>
      </c>
      <c r="D993" s="15">
        <f>IF(Murid!E993="","",Murid!E993)</f>
        <v/>
      </c>
      <c r="E993" s="11" t="n"/>
      <c r="F993" s="10">
        <f>IF(E993="","",IFERROR(VLOOKUP(E993,T_PERK,2,FALSE),0))</f>
        <v/>
      </c>
      <c r="G993" s="11" t="n"/>
      <c r="H993" s="10">
        <f>IF(G993="","",IFERROR(VLOOKUP(G993,T_ANUG,2,FALSE),0))</f>
        <v/>
      </c>
      <c r="I993" s="11" t="n"/>
      <c r="J993" s="11" t="n"/>
      <c r="K993" s="11" t="n"/>
      <c r="L993" s="11" t="n"/>
      <c r="M993" s="11" t="n"/>
      <c r="N993" s="11" t="n"/>
      <c r="O993" s="11" t="n"/>
      <c r="P993" s="10">
        <f>IF(COUNTA(I993:O993)=0,"",MIN(10,SUM(I993:O993)))</f>
        <v/>
      </c>
      <c r="Q993" s="11" t="n"/>
      <c r="R993" s="10">
        <f>IF(Q993="","",IFERROR(VLOOKUP(Q993,T_NILAM,2,FALSE),0))</f>
        <v/>
      </c>
      <c r="S993" s="11" t="n"/>
      <c r="T993" s="10">
        <f>IF(S993="","",IFERROR(VLOOKUP(S993,T_TIMSS,2,FALSE),0))</f>
        <v/>
      </c>
      <c r="U993" s="19">
        <f>IF(COUNT(F993,H993,P993,R993,T993)=0,"",MIN(10,MAX(F993,H993,P993,R993,T993)))</f>
        <v/>
      </c>
      <c r="V993" s="11" t="n"/>
    </row>
    <row r="994">
      <c r="A994" s="15">
        <f>Murid!A994</f>
        <v/>
      </c>
      <c r="B994" s="15">
        <f>IF(Murid!B994="","",Murid!B994)</f>
        <v/>
      </c>
      <c r="C994" s="16">
        <f>IF(Murid!C994="","",Murid!C994)</f>
        <v/>
      </c>
      <c r="D994" s="15">
        <f>IF(Murid!E994="","",Murid!E994)</f>
        <v/>
      </c>
      <c r="E994" s="11" t="n"/>
      <c r="F994" s="10">
        <f>IF(E994="","",IFERROR(VLOOKUP(E994,T_PERK,2,FALSE),0))</f>
        <v/>
      </c>
      <c r="G994" s="11" t="n"/>
      <c r="H994" s="10">
        <f>IF(G994="","",IFERROR(VLOOKUP(G994,T_ANUG,2,FALSE),0))</f>
        <v/>
      </c>
      <c r="I994" s="11" t="n"/>
      <c r="J994" s="11" t="n"/>
      <c r="K994" s="11" t="n"/>
      <c r="L994" s="11" t="n"/>
      <c r="M994" s="11" t="n"/>
      <c r="N994" s="11" t="n"/>
      <c r="O994" s="11" t="n"/>
      <c r="P994" s="10">
        <f>IF(COUNTA(I994:O994)=0,"",MIN(10,SUM(I994:O994)))</f>
        <v/>
      </c>
      <c r="Q994" s="11" t="n"/>
      <c r="R994" s="10">
        <f>IF(Q994="","",IFERROR(VLOOKUP(Q994,T_NILAM,2,FALSE),0))</f>
        <v/>
      </c>
      <c r="S994" s="11" t="n"/>
      <c r="T994" s="10">
        <f>IF(S994="","",IFERROR(VLOOKUP(S994,T_TIMSS,2,FALSE),0))</f>
        <v/>
      </c>
      <c r="U994" s="19">
        <f>IF(COUNT(F994,H994,P994,R994,T994)=0,"",MIN(10,MAX(F994,H994,P994,R994,T994)))</f>
        <v/>
      </c>
      <c r="V994" s="11" t="n"/>
    </row>
    <row r="995">
      <c r="A995" s="15">
        <f>Murid!A995</f>
        <v/>
      </c>
      <c r="B995" s="15">
        <f>IF(Murid!B995="","",Murid!B995)</f>
        <v/>
      </c>
      <c r="C995" s="16">
        <f>IF(Murid!C995="","",Murid!C995)</f>
        <v/>
      </c>
      <c r="D995" s="15">
        <f>IF(Murid!E995="","",Murid!E995)</f>
        <v/>
      </c>
      <c r="E995" s="11" t="n"/>
      <c r="F995" s="10">
        <f>IF(E995="","",IFERROR(VLOOKUP(E995,T_PERK,2,FALSE),0))</f>
        <v/>
      </c>
      <c r="G995" s="11" t="n"/>
      <c r="H995" s="10">
        <f>IF(G995="","",IFERROR(VLOOKUP(G995,T_ANUG,2,FALSE),0))</f>
        <v/>
      </c>
      <c r="I995" s="11" t="n"/>
      <c r="J995" s="11" t="n"/>
      <c r="K995" s="11" t="n"/>
      <c r="L995" s="11" t="n"/>
      <c r="M995" s="11" t="n"/>
      <c r="N995" s="11" t="n"/>
      <c r="O995" s="11" t="n"/>
      <c r="P995" s="10">
        <f>IF(COUNTA(I995:O995)=0,"",MIN(10,SUM(I995:O995)))</f>
        <v/>
      </c>
      <c r="Q995" s="11" t="n"/>
      <c r="R995" s="10">
        <f>IF(Q995="","",IFERROR(VLOOKUP(Q995,T_NILAM,2,FALSE),0))</f>
        <v/>
      </c>
      <c r="S995" s="11" t="n"/>
      <c r="T995" s="10">
        <f>IF(S995="","",IFERROR(VLOOKUP(S995,T_TIMSS,2,FALSE),0))</f>
        <v/>
      </c>
      <c r="U995" s="19">
        <f>IF(COUNT(F995,H995,P995,R995,T995)=0,"",MIN(10,MAX(F995,H995,P995,R995,T995)))</f>
        <v/>
      </c>
      <c r="V995" s="11" t="n"/>
    </row>
    <row r="996">
      <c r="A996" s="15">
        <f>Murid!A996</f>
        <v/>
      </c>
      <c r="B996" s="15">
        <f>IF(Murid!B996="","",Murid!B996)</f>
        <v/>
      </c>
      <c r="C996" s="16">
        <f>IF(Murid!C996="","",Murid!C996)</f>
        <v/>
      </c>
      <c r="D996" s="15">
        <f>IF(Murid!E996="","",Murid!E996)</f>
        <v/>
      </c>
      <c r="E996" s="11" t="n"/>
      <c r="F996" s="10">
        <f>IF(E996="","",IFERROR(VLOOKUP(E996,T_PERK,2,FALSE),0))</f>
        <v/>
      </c>
      <c r="G996" s="11" t="n"/>
      <c r="H996" s="10">
        <f>IF(G996="","",IFERROR(VLOOKUP(G996,T_ANUG,2,FALSE),0))</f>
        <v/>
      </c>
      <c r="I996" s="11" t="n"/>
      <c r="J996" s="11" t="n"/>
      <c r="K996" s="11" t="n"/>
      <c r="L996" s="11" t="n"/>
      <c r="M996" s="11" t="n"/>
      <c r="N996" s="11" t="n"/>
      <c r="O996" s="11" t="n"/>
      <c r="P996" s="10">
        <f>IF(COUNTA(I996:O996)=0,"",MIN(10,SUM(I996:O996)))</f>
        <v/>
      </c>
      <c r="Q996" s="11" t="n"/>
      <c r="R996" s="10">
        <f>IF(Q996="","",IFERROR(VLOOKUP(Q996,T_NILAM,2,FALSE),0))</f>
        <v/>
      </c>
      <c r="S996" s="11" t="n"/>
      <c r="T996" s="10">
        <f>IF(S996="","",IFERROR(VLOOKUP(S996,T_TIMSS,2,FALSE),0))</f>
        <v/>
      </c>
      <c r="U996" s="19">
        <f>IF(COUNT(F996,H996,P996,R996,T996)=0,"",MIN(10,MAX(F996,H996,P996,R996,T996)))</f>
        <v/>
      </c>
      <c r="V996" s="11" t="n"/>
    </row>
    <row r="997">
      <c r="A997" s="15">
        <f>Murid!A997</f>
        <v/>
      </c>
      <c r="B997" s="15">
        <f>IF(Murid!B997="","",Murid!B997)</f>
        <v/>
      </c>
      <c r="C997" s="16">
        <f>IF(Murid!C997="","",Murid!C997)</f>
        <v/>
      </c>
      <c r="D997" s="15">
        <f>IF(Murid!E997="","",Murid!E997)</f>
        <v/>
      </c>
      <c r="E997" s="11" t="n"/>
      <c r="F997" s="10">
        <f>IF(E997="","",IFERROR(VLOOKUP(E997,T_PERK,2,FALSE),0))</f>
        <v/>
      </c>
      <c r="G997" s="11" t="n"/>
      <c r="H997" s="10">
        <f>IF(G997="","",IFERROR(VLOOKUP(G997,T_ANUG,2,FALSE),0))</f>
        <v/>
      </c>
      <c r="I997" s="11" t="n"/>
      <c r="J997" s="11" t="n"/>
      <c r="K997" s="11" t="n"/>
      <c r="L997" s="11" t="n"/>
      <c r="M997" s="11" t="n"/>
      <c r="N997" s="11" t="n"/>
      <c r="O997" s="11" t="n"/>
      <c r="P997" s="10">
        <f>IF(COUNTA(I997:O997)=0,"",MIN(10,SUM(I997:O997)))</f>
        <v/>
      </c>
      <c r="Q997" s="11" t="n"/>
      <c r="R997" s="10">
        <f>IF(Q997="","",IFERROR(VLOOKUP(Q997,T_NILAM,2,FALSE),0))</f>
        <v/>
      </c>
      <c r="S997" s="11" t="n"/>
      <c r="T997" s="10">
        <f>IF(S997="","",IFERROR(VLOOKUP(S997,T_TIMSS,2,FALSE),0))</f>
        <v/>
      </c>
      <c r="U997" s="19">
        <f>IF(COUNT(F997,H997,P997,R997,T997)=0,"",MIN(10,MAX(F997,H997,P997,R997,T997)))</f>
        <v/>
      </c>
      <c r="V997" s="11" t="n"/>
    </row>
    <row r="998">
      <c r="A998" s="15">
        <f>Murid!A998</f>
        <v/>
      </c>
      <c r="B998" s="15">
        <f>IF(Murid!B998="","",Murid!B998)</f>
        <v/>
      </c>
      <c r="C998" s="16">
        <f>IF(Murid!C998="","",Murid!C998)</f>
        <v/>
      </c>
      <c r="D998" s="15">
        <f>IF(Murid!E998="","",Murid!E998)</f>
        <v/>
      </c>
      <c r="E998" s="11" t="n"/>
      <c r="F998" s="10">
        <f>IF(E998="","",IFERROR(VLOOKUP(E998,T_PERK,2,FALSE),0))</f>
        <v/>
      </c>
      <c r="G998" s="11" t="n"/>
      <c r="H998" s="10">
        <f>IF(G998="","",IFERROR(VLOOKUP(G998,T_ANUG,2,FALSE),0))</f>
        <v/>
      </c>
      <c r="I998" s="11" t="n"/>
      <c r="J998" s="11" t="n"/>
      <c r="K998" s="11" t="n"/>
      <c r="L998" s="11" t="n"/>
      <c r="M998" s="11" t="n"/>
      <c r="N998" s="11" t="n"/>
      <c r="O998" s="11" t="n"/>
      <c r="P998" s="10">
        <f>IF(COUNTA(I998:O998)=0,"",MIN(10,SUM(I998:O998)))</f>
        <v/>
      </c>
      <c r="Q998" s="11" t="n"/>
      <c r="R998" s="10">
        <f>IF(Q998="","",IFERROR(VLOOKUP(Q998,T_NILAM,2,FALSE),0))</f>
        <v/>
      </c>
      <c r="S998" s="11" t="n"/>
      <c r="T998" s="10">
        <f>IF(S998="","",IFERROR(VLOOKUP(S998,T_TIMSS,2,FALSE),0))</f>
        <v/>
      </c>
      <c r="U998" s="19">
        <f>IF(COUNT(F998,H998,P998,R998,T998)=0,"",MIN(10,MAX(F998,H998,P998,R998,T998)))</f>
        <v/>
      </c>
      <c r="V998" s="11" t="n"/>
    </row>
    <row r="999">
      <c r="A999" s="15">
        <f>Murid!A999</f>
        <v/>
      </c>
      <c r="B999" s="15">
        <f>IF(Murid!B999="","",Murid!B999)</f>
        <v/>
      </c>
      <c r="C999" s="16">
        <f>IF(Murid!C999="","",Murid!C999)</f>
        <v/>
      </c>
      <c r="D999" s="15">
        <f>IF(Murid!E999="","",Murid!E999)</f>
        <v/>
      </c>
      <c r="E999" s="11" t="n"/>
      <c r="F999" s="10">
        <f>IF(E999="","",IFERROR(VLOOKUP(E999,T_PERK,2,FALSE),0))</f>
        <v/>
      </c>
      <c r="G999" s="11" t="n"/>
      <c r="H999" s="10">
        <f>IF(G999="","",IFERROR(VLOOKUP(G999,T_ANUG,2,FALSE),0))</f>
        <v/>
      </c>
      <c r="I999" s="11" t="n"/>
      <c r="J999" s="11" t="n"/>
      <c r="K999" s="11" t="n"/>
      <c r="L999" s="11" t="n"/>
      <c r="M999" s="11" t="n"/>
      <c r="N999" s="11" t="n"/>
      <c r="O999" s="11" t="n"/>
      <c r="P999" s="10">
        <f>IF(COUNTA(I999:O999)=0,"",MIN(10,SUM(I999:O999)))</f>
        <v/>
      </c>
      <c r="Q999" s="11" t="n"/>
      <c r="R999" s="10">
        <f>IF(Q999="","",IFERROR(VLOOKUP(Q999,T_NILAM,2,FALSE),0))</f>
        <v/>
      </c>
      <c r="S999" s="11" t="n"/>
      <c r="T999" s="10">
        <f>IF(S999="","",IFERROR(VLOOKUP(S999,T_TIMSS,2,FALSE),0))</f>
        <v/>
      </c>
      <c r="U999" s="19">
        <f>IF(COUNT(F999,H999,P999,R999,T999)=0,"",MIN(10,MAX(F999,H999,P999,R999,T999)))</f>
        <v/>
      </c>
      <c r="V999" s="11" t="n"/>
    </row>
    <row r="1000">
      <c r="A1000" s="15">
        <f>Murid!A1000</f>
        <v/>
      </c>
      <c r="B1000" s="15">
        <f>IF(Murid!B1000="","",Murid!B1000)</f>
        <v/>
      </c>
      <c r="C1000" s="16">
        <f>IF(Murid!C1000="","",Murid!C1000)</f>
        <v/>
      </c>
      <c r="D1000" s="15">
        <f>IF(Murid!E1000="","",Murid!E1000)</f>
        <v/>
      </c>
      <c r="E1000" s="11" t="n"/>
      <c r="F1000" s="10">
        <f>IF(E1000="","",IFERROR(VLOOKUP(E1000,T_PERK,2,FALSE),0))</f>
        <v/>
      </c>
      <c r="G1000" s="11" t="n"/>
      <c r="H1000" s="10">
        <f>IF(G1000="","",IFERROR(VLOOKUP(G1000,T_ANUG,2,FALSE),0))</f>
        <v/>
      </c>
      <c r="I1000" s="11" t="n"/>
      <c r="J1000" s="11" t="n"/>
      <c r="K1000" s="11" t="n"/>
      <c r="L1000" s="11" t="n"/>
      <c r="M1000" s="11" t="n"/>
      <c r="N1000" s="11" t="n"/>
      <c r="O1000" s="11" t="n"/>
      <c r="P1000" s="10">
        <f>IF(COUNTA(I1000:O1000)=0,"",MIN(10,SUM(I1000:O1000)))</f>
        <v/>
      </c>
      <c r="Q1000" s="11" t="n"/>
      <c r="R1000" s="10">
        <f>IF(Q1000="","",IFERROR(VLOOKUP(Q1000,T_NILAM,2,FALSE),0))</f>
        <v/>
      </c>
      <c r="S1000" s="11" t="n"/>
      <c r="T1000" s="10">
        <f>IF(S1000="","",IFERROR(VLOOKUP(S1000,T_TIMSS,2,FALSE),0))</f>
        <v/>
      </c>
      <c r="U1000" s="19">
        <f>IF(COUNT(F1000,H1000,P1000,R1000,T1000)=0,"",MIN(10,MAX(F1000,H1000,P1000,R1000,T1000)))</f>
        <v/>
      </c>
      <c r="V1000" s="11" t="n"/>
    </row>
    <row r="1001">
      <c r="A1001" s="15">
        <f>Murid!A1001</f>
        <v/>
      </c>
      <c r="B1001" s="15">
        <f>IF(Murid!B1001="","",Murid!B1001)</f>
        <v/>
      </c>
      <c r="C1001" s="16">
        <f>IF(Murid!C1001="","",Murid!C1001)</f>
        <v/>
      </c>
      <c r="D1001" s="15">
        <f>IF(Murid!E1001="","",Murid!E1001)</f>
        <v/>
      </c>
      <c r="E1001" s="11" t="n"/>
      <c r="F1001" s="10">
        <f>IF(E1001="","",IFERROR(VLOOKUP(E1001,T_PERK,2,FALSE),0))</f>
        <v/>
      </c>
      <c r="G1001" s="11" t="n"/>
      <c r="H1001" s="10">
        <f>IF(G1001="","",IFERROR(VLOOKUP(G1001,T_ANUG,2,FALSE),0))</f>
        <v/>
      </c>
      <c r="I1001" s="11" t="n"/>
      <c r="J1001" s="11" t="n"/>
      <c r="K1001" s="11" t="n"/>
      <c r="L1001" s="11" t="n"/>
      <c r="M1001" s="11" t="n"/>
      <c r="N1001" s="11" t="n"/>
      <c r="O1001" s="11" t="n"/>
      <c r="P1001" s="10">
        <f>IF(COUNTA(I1001:O1001)=0,"",MIN(10,SUM(I1001:O1001)))</f>
        <v/>
      </c>
      <c r="Q1001" s="11" t="n"/>
      <c r="R1001" s="10">
        <f>IF(Q1001="","",IFERROR(VLOOKUP(Q1001,T_NILAM,2,FALSE),0))</f>
        <v/>
      </c>
      <c r="S1001" s="11" t="n"/>
      <c r="T1001" s="10">
        <f>IF(S1001="","",IFERROR(VLOOKUP(S1001,T_TIMSS,2,FALSE),0))</f>
        <v/>
      </c>
      <c r="U1001" s="19">
        <f>IF(COUNT(F1001,H1001,P1001,R1001,T1001)=0,"",MIN(10,MAX(F1001,H1001,P1001,R1001,T1001)))</f>
        <v/>
      </c>
      <c r="V1001" s="11" t="n"/>
    </row>
    <row r="1002">
      <c r="A1002" s="15">
        <f>Murid!A1002</f>
        <v/>
      </c>
      <c r="B1002" s="15">
        <f>IF(Murid!B1002="","",Murid!B1002)</f>
        <v/>
      </c>
      <c r="C1002" s="16">
        <f>IF(Murid!C1002="","",Murid!C1002)</f>
        <v/>
      </c>
      <c r="D1002" s="15">
        <f>IF(Murid!E1002="","",Murid!E1002)</f>
        <v/>
      </c>
      <c r="E1002" s="11" t="n"/>
      <c r="F1002" s="10">
        <f>IF(E1002="","",IFERROR(VLOOKUP(E1002,T_PERK,2,FALSE),0))</f>
        <v/>
      </c>
      <c r="G1002" s="11" t="n"/>
      <c r="H1002" s="10">
        <f>IF(G1002="","",IFERROR(VLOOKUP(G1002,T_ANUG,2,FALSE),0))</f>
        <v/>
      </c>
      <c r="I1002" s="11" t="n"/>
      <c r="J1002" s="11" t="n"/>
      <c r="K1002" s="11" t="n"/>
      <c r="L1002" s="11" t="n"/>
      <c r="M1002" s="11" t="n"/>
      <c r="N1002" s="11" t="n"/>
      <c r="O1002" s="11" t="n"/>
      <c r="P1002" s="10">
        <f>IF(COUNTA(I1002:O1002)=0,"",MIN(10,SUM(I1002:O1002)))</f>
        <v/>
      </c>
      <c r="Q1002" s="11" t="n"/>
      <c r="R1002" s="10">
        <f>IF(Q1002="","",IFERROR(VLOOKUP(Q1002,T_NILAM,2,FALSE),0))</f>
        <v/>
      </c>
      <c r="S1002" s="11" t="n"/>
      <c r="T1002" s="10">
        <f>IF(S1002="","",IFERROR(VLOOKUP(S1002,T_TIMSS,2,FALSE),0))</f>
        <v/>
      </c>
      <c r="U1002" s="19">
        <f>IF(COUNT(F1002,H1002,P1002,R1002,T1002)=0,"",MIN(10,MAX(F1002,H1002,P1002,R1002,T1002)))</f>
        <v/>
      </c>
      <c r="V1002" s="11" t="n"/>
    </row>
    <row r="1003">
      <c r="A1003" s="15">
        <f>Murid!A1003</f>
        <v/>
      </c>
      <c r="B1003" s="15">
        <f>IF(Murid!B1003="","",Murid!B1003)</f>
        <v/>
      </c>
      <c r="C1003" s="16">
        <f>IF(Murid!C1003="","",Murid!C1003)</f>
        <v/>
      </c>
      <c r="D1003" s="15">
        <f>IF(Murid!E1003="","",Murid!E1003)</f>
        <v/>
      </c>
      <c r="E1003" s="11" t="n"/>
      <c r="F1003" s="10">
        <f>IF(E1003="","",IFERROR(VLOOKUP(E1003,T_PERK,2,FALSE),0))</f>
        <v/>
      </c>
      <c r="G1003" s="11" t="n"/>
      <c r="H1003" s="10">
        <f>IF(G1003="","",IFERROR(VLOOKUP(G1003,T_ANUG,2,FALSE),0))</f>
        <v/>
      </c>
      <c r="I1003" s="11" t="n"/>
      <c r="J1003" s="11" t="n"/>
      <c r="K1003" s="11" t="n"/>
      <c r="L1003" s="11" t="n"/>
      <c r="M1003" s="11" t="n"/>
      <c r="N1003" s="11" t="n"/>
      <c r="O1003" s="11" t="n"/>
      <c r="P1003" s="10">
        <f>IF(COUNTA(I1003:O1003)=0,"",MIN(10,SUM(I1003:O1003)))</f>
        <v/>
      </c>
      <c r="Q1003" s="11" t="n"/>
      <c r="R1003" s="10">
        <f>IF(Q1003="","",IFERROR(VLOOKUP(Q1003,T_NILAM,2,FALSE),0))</f>
        <v/>
      </c>
      <c r="S1003" s="11" t="n"/>
      <c r="T1003" s="10">
        <f>IF(S1003="","",IFERROR(VLOOKUP(S1003,T_TIMSS,2,FALSE),0))</f>
        <v/>
      </c>
      <c r="U1003" s="19">
        <f>IF(COUNT(F1003,H1003,P1003,R1003,T1003)=0,"",MIN(10,MAX(F1003,H1003,P1003,R1003,T1003)))</f>
        <v/>
      </c>
      <c r="V1003" s="11" t="n"/>
    </row>
    <row r="1004">
      <c r="A1004" s="15">
        <f>Murid!A1004</f>
        <v/>
      </c>
      <c r="B1004" s="15">
        <f>IF(Murid!B1004="","",Murid!B1004)</f>
        <v/>
      </c>
      <c r="C1004" s="16">
        <f>IF(Murid!C1004="","",Murid!C1004)</f>
        <v/>
      </c>
      <c r="D1004" s="15">
        <f>IF(Murid!E1004="","",Murid!E1004)</f>
        <v/>
      </c>
      <c r="E1004" s="11" t="n"/>
      <c r="F1004" s="10">
        <f>IF(E1004="","",IFERROR(VLOOKUP(E1004,T_PERK,2,FALSE),0))</f>
        <v/>
      </c>
      <c r="G1004" s="11" t="n"/>
      <c r="H1004" s="10">
        <f>IF(G1004="","",IFERROR(VLOOKUP(G1004,T_ANUG,2,FALSE),0))</f>
        <v/>
      </c>
      <c r="I1004" s="11" t="n"/>
      <c r="J1004" s="11" t="n"/>
      <c r="K1004" s="11" t="n"/>
      <c r="L1004" s="11" t="n"/>
      <c r="M1004" s="11" t="n"/>
      <c r="N1004" s="11" t="n"/>
      <c r="O1004" s="11" t="n"/>
      <c r="P1004" s="10">
        <f>IF(COUNTA(I1004:O1004)=0,"",MIN(10,SUM(I1004:O1004)))</f>
        <v/>
      </c>
      <c r="Q1004" s="11" t="n"/>
      <c r="R1004" s="10">
        <f>IF(Q1004="","",IFERROR(VLOOKUP(Q1004,T_NILAM,2,FALSE),0))</f>
        <v/>
      </c>
      <c r="S1004" s="11" t="n"/>
      <c r="T1004" s="10">
        <f>IF(S1004="","",IFERROR(VLOOKUP(S1004,T_TIMSS,2,FALSE),0))</f>
        <v/>
      </c>
      <c r="U1004" s="19">
        <f>IF(COUNT(F1004,H1004,P1004,R1004,T1004)=0,"",MIN(10,MAX(F1004,H1004,P1004,R1004,T1004)))</f>
        <v/>
      </c>
      <c r="V1004" s="11" t="n"/>
    </row>
  </sheetData>
  <autoFilter ref="A4:V1004"/>
  <mergeCells count="6">
    <mergeCell ref="Q3:R3"/>
    <mergeCell ref="I3:P3"/>
    <mergeCell ref="U3"/>
    <mergeCell ref="S3:T3"/>
    <mergeCell ref="G3:H3"/>
    <mergeCell ref="E3:F3"/>
  </mergeCells>
  <dataValidations count="5">
    <dataValidation sqref="E5:E1004" showDropDown="0" showInputMessage="0" showErrorMessage="1" allowBlank="1" errorTitle="Pilihan tidak sah" error="Pilih perkhidmatan daripada senarai." type="list">
      <formula1>=L_PERK</formula1>
    </dataValidation>
    <dataValidation sqref="G5:G1004" showDropDown="0" showInputMessage="0" showErrorMessage="1" allowBlank="1" errorTitle="Pilihan tidak sah" error="Pilih anugerah daripada senarai." type="list">
      <formula1>=L_ANUG</formula1>
    </dataValidation>
    <dataValidation sqref="I5:O1004" showDropDown="0" showInputMessage="0" showErrorMessage="1" allowBlank="1" errorTitle="Nombor tidak sah" error="Masukkan bilangan aktiviti 0 hingga 5." type="whole" operator="between">
      <formula1>0</formula1>
      <formula2>5</formula2>
    </dataValidation>
    <dataValidation sqref="Q5:Q1004" showDropDown="0" showInputMessage="0" showErrorMessage="1" allowBlank="1" errorTitle="Pilihan tidak sah" error="Pilih bilangan bintang NILAM." type="list">
      <formula1>=L_NILAM</formula1>
    </dataValidation>
    <dataValidation sqref="S5:S1004" showDropDown="0" showInputMessage="0" showErrorMessage="1" allowBlank="1" errorTitle="Pilihan tidak sah" error="Pilih daripada senarai." type="list">
      <formula1>=L_TIMSS</formula1>
    </dataValidation>
  </dataValidations>
  <pageMargins left="0.75" right="0.75" top="1" bottom="1" header="0.5" footer="0.5"/>
</worksheet>
</file>

<file path=xl/worksheets/sheet7.xml><?xml version="1.0" encoding="utf-8"?>
<worksheet xmlns="http://schemas.openxmlformats.org/spreadsheetml/2006/main">
  <sheetPr>
    <tabColor rgb="0000B050"/>
    <outlinePr summaryBelow="1" summaryRight="1"/>
    <pageSetUpPr/>
  </sheetPr>
  <dimension ref="A1:L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1" customWidth="1" min="4" max="4"/>
    <col width="9" customWidth="1" min="5" max="5"/>
    <col width="9" customWidth="1" min="6" max="6"/>
    <col width="9" customWidth="1" min="7" max="7"/>
    <col width="11" customWidth="1" min="8" max="8"/>
    <col width="9" customWidth="1" min="9" max="9"/>
    <col width="9" customWidth="1" min="10" max="10"/>
    <col width="8" customWidth="1" min="11" max="11"/>
    <col width="18" customWidth="1" min="12" max="12"/>
  </cols>
  <sheetData>
    <row r="1">
      <c r="A1" s="1" t="inlineStr">
        <is>
          <t>RUMUSAN MARKAH PAJSK (KOKURIKULUM)</t>
        </is>
      </c>
    </row>
    <row r="2">
      <c r="A2" s="2" t="inlineStr">
        <is>
          <t>Semua dikira automatik. GPA = purata 2 markah terbaik (KP/UB/SP) + Ekstra, maksimum 100. Anggaran untuk semakan; markah MOEIS adalah muktamad.</t>
        </is>
      </c>
    </row>
    <row r="4" ht="42" customHeight="1">
      <c r="A4" s="9" t="inlineStr">
        <is>
          <t>Bil</t>
        </is>
      </c>
      <c r="B4" s="9" t="inlineStr">
        <is>
          <t>Nama Murid</t>
        </is>
      </c>
      <c r="C4" s="9" t="inlineStr">
        <is>
          <t>No. MyKad</t>
        </is>
      </c>
      <c r="D4" s="9" t="inlineStr">
        <is>
          <t>Kelas</t>
        </is>
      </c>
      <c r="E4" s="9" t="inlineStr">
        <is>
          <t>KP
(100)</t>
        </is>
      </c>
      <c r="F4" s="9" t="inlineStr">
        <is>
          <t>UB
(100)</t>
        </is>
      </c>
      <c r="G4" s="9" t="inlineStr">
        <is>
          <t>SP
(100)</t>
        </is>
      </c>
      <c r="H4" s="9" t="inlineStr">
        <is>
          <t>Purata 2
Terbaik</t>
        </is>
      </c>
      <c r="I4" s="9" t="inlineStr">
        <is>
          <t>Ekstra
(10)</t>
        </is>
      </c>
      <c r="J4" s="9" t="inlineStr">
        <is>
          <t>GPA</t>
        </is>
      </c>
      <c r="K4" s="9" t="inlineStr">
        <is>
          <t>Gred</t>
        </is>
      </c>
      <c r="L4" s="9" t="inlineStr">
        <is>
          <t>Tahap</t>
        </is>
      </c>
    </row>
    <row r="5">
      <c r="A5" s="15">
        <f>Murid!A5</f>
        <v/>
      </c>
      <c r="B5" s="15">
        <f>IF(Murid!B5="","",Murid!B5)</f>
        <v/>
      </c>
      <c r="C5" s="16">
        <f>IF(Murid!C5="","",Murid!C5)</f>
        <v/>
      </c>
      <c r="D5" s="15">
        <f>IF(Murid!E5="","",Murid!E5)</f>
        <v/>
      </c>
      <c r="E5" s="17">
        <f>KP!X5</f>
        <v/>
      </c>
      <c r="F5" s="17">
        <f>UB!X5</f>
        <v/>
      </c>
      <c r="G5" s="17">
        <f>SP!X5</f>
        <v/>
      </c>
      <c r="H5" s="17">
        <f>IF(COUNT(E5:G5)=0,"",ROUND((LARGE(E5:G5,1)+IF(COUNT(E5:G5)&gt;=2,LARGE(E5:G5,2),0))/2,2))</f>
        <v/>
      </c>
      <c r="I5" s="10">
        <f>Ekstra!U5</f>
        <v/>
      </c>
      <c r="J5" s="18">
        <f>IF(B5="","",IF(Murid!F5="TL","TL",IF(H5="","",MIN(100,ROUND(H5+N(I5),2)))))</f>
        <v/>
      </c>
      <c r="K5" s="19">
        <f>IF(J5="","",IF(J5="TL","TL",IF(J5&gt;=80,"A",IF(J5&gt;=60,"B",IF(J5&gt;=40,"C",IF(J5&gt;=20,"D","E"))))))</f>
        <v/>
      </c>
      <c r="L5" s="15">
        <f>IF(K5="","",IF(K5="A","Cemerlang",IF(K5="B","Kepujian",IF(K5="C","Baik",IF(K5="D","Kurang Memuaskan",IF(K5="E","Tidak Memuaskan","Tidak Laksana"))))))</f>
        <v/>
      </c>
    </row>
    <row r="6">
      <c r="A6" s="15">
        <f>Murid!A6</f>
        <v/>
      </c>
      <c r="B6" s="15">
        <f>IF(Murid!B6="","",Murid!B6)</f>
        <v/>
      </c>
      <c r="C6" s="16">
        <f>IF(Murid!C6="","",Murid!C6)</f>
        <v/>
      </c>
      <c r="D6" s="15">
        <f>IF(Murid!E6="","",Murid!E6)</f>
        <v/>
      </c>
      <c r="E6" s="17">
        <f>KP!X6</f>
        <v/>
      </c>
      <c r="F6" s="17">
        <f>UB!X6</f>
        <v/>
      </c>
      <c r="G6" s="17">
        <f>SP!X6</f>
        <v/>
      </c>
      <c r="H6" s="17">
        <f>IF(COUNT(E6:G6)=0,"",ROUND((LARGE(E6:G6,1)+IF(COUNT(E6:G6)&gt;=2,LARGE(E6:G6,2),0))/2,2))</f>
        <v/>
      </c>
      <c r="I6" s="10">
        <f>Ekstra!U6</f>
        <v/>
      </c>
      <c r="J6" s="18">
        <f>IF(B6="","",IF(Murid!F6="TL","TL",IF(H6="","",MIN(100,ROUND(H6+N(I6),2)))))</f>
        <v/>
      </c>
      <c r="K6" s="19">
        <f>IF(J6="","",IF(J6="TL","TL",IF(J6&gt;=80,"A",IF(J6&gt;=60,"B",IF(J6&gt;=40,"C",IF(J6&gt;=20,"D","E"))))))</f>
        <v/>
      </c>
      <c r="L6" s="15">
        <f>IF(K6="","",IF(K6="A","Cemerlang",IF(K6="B","Kepujian",IF(K6="C","Baik",IF(K6="D","Kurang Memuaskan",IF(K6="E","Tidak Memuaskan","Tidak Laksana"))))))</f>
        <v/>
      </c>
    </row>
    <row r="7">
      <c r="A7" s="15">
        <f>Murid!A7</f>
        <v/>
      </c>
      <c r="B7" s="15">
        <f>IF(Murid!B7="","",Murid!B7)</f>
        <v/>
      </c>
      <c r="C7" s="16">
        <f>IF(Murid!C7="","",Murid!C7)</f>
        <v/>
      </c>
      <c r="D7" s="15">
        <f>IF(Murid!E7="","",Murid!E7)</f>
        <v/>
      </c>
      <c r="E7" s="17">
        <f>KP!X7</f>
        <v/>
      </c>
      <c r="F7" s="17">
        <f>UB!X7</f>
        <v/>
      </c>
      <c r="G7" s="17">
        <f>SP!X7</f>
        <v/>
      </c>
      <c r="H7" s="17">
        <f>IF(COUNT(E7:G7)=0,"",ROUND((LARGE(E7:G7,1)+IF(COUNT(E7:G7)&gt;=2,LARGE(E7:G7,2),0))/2,2))</f>
        <v/>
      </c>
      <c r="I7" s="10">
        <f>Ekstra!U7</f>
        <v/>
      </c>
      <c r="J7" s="18">
        <f>IF(B7="","",IF(Murid!F7="TL","TL",IF(H7="","",MIN(100,ROUND(H7+N(I7),2)))))</f>
        <v/>
      </c>
      <c r="K7" s="19">
        <f>IF(J7="","",IF(J7="TL","TL",IF(J7&gt;=80,"A",IF(J7&gt;=60,"B",IF(J7&gt;=40,"C",IF(J7&gt;=20,"D","E"))))))</f>
        <v/>
      </c>
      <c r="L7" s="15">
        <f>IF(K7="","",IF(K7="A","Cemerlang",IF(K7="B","Kepujian",IF(K7="C","Baik",IF(K7="D","Kurang Memuaskan",IF(K7="E","Tidak Memuaskan","Tidak Laksana"))))))</f>
        <v/>
      </c>
    </row>
    <row r="8">
      <c r="A8" s="15">
        <f>Murid!A8</f>
        <v/>
      </c>
      <c r="B8" s="15">
        <f>IF(Murid!B8="","",Murid!B8)</f>
        <v/>
      </c>
      <c r="C8" s="16">
        <f>IF(Murid!C8="","",Murid!C8)</f>
        <v/>
      </c>
      <c r="D8" s="15">
        <f>IF(Murid!E8="","",Murid!E8)</f>
        <v/>
      </c>
      <c r="E8" s="17">
        <f>KP!X8</f>
        <v/>
      </c>
      <c r="F8" s="17">
        <f>UB!X8</f>
        <v/>
      </c>
      <c r="G8" s="17">
        <f>SP!X8</f>
        <v/>
      </c>
      <c r="H8" s="17">
        <f>IF(COUNT(E8:G8)=0,"",ROUND((LARGE(E8:G8,1)+IF(COUNT(E8:G8)&gt;=2,LARGE(E8:G8,2),0))/2,2))</f>
        <v/>
      </c>
      <c r="I8" s="10">
        <f>Ekstra!U8</f>
        <v/>
      </c>
      <c r="J8" s="18">
        <f>IF(B8="","",IF(Murid!F8="TL","TL",IF(H8="","",MIN(100,ROUND(H8+N(I8),2)))))</f>
        <v/>
      </c>
      <c r="K8" s="19">
        <f>IF(J8="","",IF(J8="TL","TL",IF(J8&gt;=80,"A",IF(J8&gt;=60,"B",IF(J8&gt;=40,"C",IF(J8&gt;=20,"D","E"))))))</f>
        <v/>
      </c>
      <c r="L8" s="15">
        <f>IF(K8="","",IF(K8="A","Cemerlang",IF(K8="B","Kepujian",IF(K8="C","Baik",IF(K8="D","Kurang Memuaskan",IF(K8="E","Tidak Memuaskan","Tidak Laksana"))))))</f>
        <v/>
      </c>
    </row>
    <row r="9">
      <c r="A9" s="15">
        <f>Murid!A9</f>
        <v/>
      </c>
      <c r="B9" s="15">
        <f>IF(Murid!B9="","",Murid!B9)</f>
        <v/>
      </c>
      <c r="C9" s="16">
        <f>IF(Murid!C9="","",Murid!C9)</f>
        <v/>
      </c>
      <c r="D9" s="15">
        <f>IF(Murid!E9="","",Murid!E9)</f>
        <v/>
      </c>
      <c r="E9" s="17">
        <f>KP!X9</f>
        <v/>
      </c>
      <c r="F9" s="17">
        <f>UB!X9</f>
        <v/>
      </c>
      <c r="G9" s="17">
        <f>SP!X9</f>
        <v/>
      </c>
      <c r="H9" s="17">
        <f>IF(COUNT(E9:G9)=0,"",ROUND((LARGE(E9:G9,1)+IF(COUNT(E9:G9)&gt;=2,LARGE(E9:G9,2),0))/2,2))</f>
        <v/>
      </c>
      <c r="I9" s="10">
        <f>Ekstra!U9</f>
        <v/>
      </c>
      <c r="J9" s="18">
        <f>IF(B9="","",IF(Murid!F9="TL","TL",IF(H9="","",MIN(100,ROUND(H9+N(I9),2)))))</f>
        <v/>
      </c>
      <c r="K9" s="19">
        <f>IF(J9="","",IF(J9="TL","TL",IF(J9&gt;=80,"A",IF(J9&gt;=60,"B",IF(J9&gt;=40,"C",IF(J9&gt;=20,"D","E"))))))</f>
        <v/>
      </c>
      <c r="L9" s="15">
        <f>IF(K9="","",IF(K9="A","Cemerlang",IF(K9="B","Kepujian",IF(K9="C","Baik",IF(K9="D","Kurang Memuaskan",IF(K9="E","Tidak Memuaskan","Tidak Laksana"))))))</f>
        <v/>
      </c>
    </row>
    <row r="10">
      <c r="A10" s="15">
        <f>Murid!A10</f>
        <v/>
      </c>
      <c r="B10" s="15">
        <f>IF(Murid!B10="","",Murid!B10)</f>
        <v/>
      </c>
      <c r="C10" s="16">
        <f>IF(Murid!C10="","",Murid!C10)</f>
        <v/>
      </c>
      <c r="D10" s="15">
        <f>IF(Murid!E10="","",Murid!E10)</f>
        <v/>
      </c>
      <c r="E10" s="17">
        <f>KP!X10</f>
        <v/>
      </c>
      <c r="F10" s="17">
        <f>UB!X10</f>
        <v/>
      </c>
      <c r="G10" s="17">
        <f>SP!X10</f>
        <v/>
      </c>
      <c r="H10" s="17">
        <f>IF(COUNT(E10:G10)=0,"",ROUND((LARGE(E10:G10,1)+IF(COUNT(E10:G10)&gt;=2,LARGE(E10:G10,2),0))/2,2))</f>
        <v/>
      </c>
      <c r="I10" s="10">
        <f>Ekstra!U10</f>
        <v/>
      </c>
      <c r="J10" s="18">
        <f>IF(B10="","",IF(Murid!F10="TL","TL",IF(H10="","",MIN(100,ROUND(H10+N(I10),2)))))</f>
        <v/>
      </c>
      <c r="K10" s="19">
        <f>IF(J10="","",IF(J10="TL","TL",IF(J10&gt;=80,"A",IF(J10&gt;=60,"B",IF(J10&gt;=40,"C",IF(J10&gt;=20,"D","E"))))))</f>
        <v/>
      </c>
      <c r="L10" s="15">
        <f>IF(K10="","",IF(K10="A","Cemerlang",IF(K10="B","Kepujian",IF(K10="C","Baik",IF(K10="D","Kurang Memuaskan",IF(K10="E","Tidak Memuaskan","Tidak Laksana"))))))</f>
        <v/>
      </c>
    </row>
    <row r="11">
      <c r="A11" s="15">
        <f>Murid!A11</f>
        <v/>
      </c>
      <c r="B11" s="15">
        <f>IF(Murid!B11="","",Murid!B11)</f>
        <v/>
      </c>
      <c r="C11" s="16">
        <f>IF(Murid!C11="","",Murid!C11)</f>
        <v/>
      </c>
      <c r="D11" s="15">
        <f>IF(Murid!E11="","",Murid!E11)</f>
        <v/>
      </c>
      <c r="E11" s="17">
        <f>KP!X11</f>
        <v/>
      </c>
      <c r="F11" s="17">
        <f>UB!X11</f>
        <v/>
      </c>
      <c r="G11" s="17">
        <f>SP!X11</f>
        <v/>
      </c>
      <c r="H11" s="17">
        <f>IF(COUNT(E11:G11)=0,"",ROUND((LARGE(E11:G11,1)+IF(COUNT(E11:G11)&gt;=2,LARGE(E11:G11,2),0))/2,2))</f>
        <v/>
      </c>
      <c r="I11" s="10">
        <f>Ekstra!U11</f>
        <v/>
      </c>
      <c r="J11" s="18">
        <f>IF(B11="","",IF(Murid!F11="TL","TL",IF(H11="","",MIN(100,ROUND(H11+N(I11),2)))))</f>
        <v/>
      </c>
      <c r="K11" s="19">
        <f>IF(J11="","",IF(J11="TL","TL",IF(J11&gt;=80,"A",IF(J11&gt;=60,"B",IF(J11&gt;=40,"C",IF(J11&gt;=20,"D","E"))))))</f>
        <v/>
      </c>
      <c r="L11" s="15">
        <f>IF(K11="","",IF(K11="A","Cemerlang",IF(K11="B","Kepujian",IF(K11="C","Baik",IF(K11="D","Kurang Memuaskan",IF(K11="E","Tidak Memuaskan","Tidak Laksana"))))))</f>
        <v/>
      </c>
    </row>
    <row r="12">
      <c r="A12" s="15">
        <f>Murid!A12</f>
        <v/>
      </c>
      <c r="B12" s="15">
        <f>IF(Murid!B12="","",Murid!B12)</f>
        <v/>
      </c>
      <c r="C12" s="16">
        <f>IF(Murid!C12="","",Murid!C12)</f>
        <v/>
      </c>
      <c r="D12" s="15">
        <f>IF(Murid!E12="","",Murid!E12)</f>
        <v/>
      </c>
      <c r="E12" s="17">
        <f>KP!X12</f>
        <v/>
      </c>
      <c r="F12" s="17">
        <f>UB!X12</f>
        <v/>
      </c>
      <c r="G12" s="17">
        <f>SP!X12</f>
        <v/>
      </c>
      <c r="H12" s="17">
        <f>IF(COUNT(E12:G12)=0,"",ROUND((LARGE(E12:G12,1)+IF(COUNT(E12:G12)&gt;=2,LARGE(E12:G12,2),0))/2,2))</f>
        <v/>
      </c>
      <c r="I12" s="10">
        <f>Ekstra!U12</f>
        <v/>
      </c>
      <c r="J12" s="18">
        <f>IF(B12="","",IF(Murid!F12="TL","TL",IF(H12="","",MIN(100,ROUND(H12+N(I12),2)))))</f>
        <v/>
      </c>
      <c r="K12" s="19">
        <f>IF(J12="","",IF(J12="TL","TL",IF(J12&gt;=80,"A",IF(J12&gt;=60,"B",IF(J12&gt;=40,"C",IF(J12&gt;=20,"D","E"))))))</f>
        <v/>
      </c>
      <c r="L12" s="15">
        <f>IF(K12="","",IF(K12="A","Cemerlang",IF(K12="B","Kepujian",IF(K12="C","Baik",IF(K12="D","Kurang Memuaskan",IF(K12="E","Tidak Memuaskan","Tidak Laksana"))))))</f>
        <v/>
      </c>
    </row>
    <row r="13">
      <c r="A13" s="15">
        <f>Murid!A13</f>
        <v/>
      </c>
      <c r="B13" s="15">
        <f>IF(Murid!B13="","",Murid!B13)</f>
        <v/>
      </c>
      <c r="C13" s="16">
        <f>IF(Murid!C13="","",Murid!C13)</f>
        <v/>
      </c>
      <c r="D13" s="15">
        <f>IF(Murid!E13="","",Murid!E13)</f>
        <v/>
      </c>
      <c r="E13" s="17">
        <f>KP!X13</f>
        <v/>
      </c>
      <c r="F13" s="17">
        <f>UB!X13</f>
        <v/>
      </c>
      <c r="G13" s="17">
        <f>SP!X13</f>
        <v/>
      </c>
      <c r="H13" s="17">
        <f>IF(COUNT(E13:G13)=0,"",ROUND((LARGE(E13:G13,1)+IF(COUNT(E13:G13)&gt;=2,LARGE(E13:G13,2),0))/2,2))</f>
        <v/>
      </c>
      <c r="I13" s="10">
        <f>Ekstra!U13</f>
        <v/>
      </c>
      <c r="J13" s="18">
        <f>IF(B13="","",IF(Murid!F13="TL","TL",IF(H13="","",MIN(100,ROUND(H13+N(I13),2)))))</f>
        <v/>
      </c>
      <c r="K13" s="19">
        <f>IF(J13="","",IF(J13="TL","TL",IF(J13&gt;=80,"A",IF(J13&gt;=60,"B",IF(J13&gt;=40,"C",IF(J13&gt;=20,"D","E"))))))</f>
        <v/>
      </c>
      <c r="L13" s="15">
        <f>IF(K13="","",IF(K13="A","Cemerlang",IF(K13="B","Kepujian",IF(K13="C","Baik",IF(K13="D","Kurang Memuaskan",IF(K13="E","Tidak Memuaskan","Tidak Laksana"))))))</f>
        <v/>
      </c>
    </row>
    <row r="14">
      <c r="A14" s="15">
        <f>Murid!A14</f>
        <v/>
      </c>
      <c r="B14" s="15">
        <f>IF(Murid!B14="","",Murid!B14)</f>
        <v/>
      </c>
      <c r="C14" s="16">
        <f>IF(Murid!C14="","",Murid!C14)</f>
        <v/>
      </c>
      <c r="D14" s="15">
        <f>IF(Murid!E14="","",Murid!E14)</f>
        <v/>
      </c>
      <c r="E14" s="17">
        <f>KP!X14</f>
        <v/>
      </c>
      <c r="F14" s="17">
        <f>UB!X14</f>
        <v/>
      </c>
      <c r="G14" s="17">
        <f>SP!X14</f>
        <v/>
      </c>
      <c r="H14" s="17">
        <f>IF(COUNT(E14:G14)=0,"",ROUND((LARGE(E14:G14,1)+IF(COUNT(E14:G14)&gt;=2,LARGE(E14:G14,2),0))/2,2))</f>
        <v/>
      </c>
      <c r="I14" s="10">
        <f>Ekstra!U14</f>
        <v/>
      </c>
      <c r="J14" s="18">
        <f>IF(B14="","",IF(Murid!F14="TL","TL",IF(H14="","",MIN(100,ROUND(H14+N(I14),2)))))</f>
        <v/>
      </c>
      <c r="K14" s="19">
        <f>IF(J14="","",IF(J14="TL","TL",IF(J14&gt;=80,"A",IF(J14&gt;=60,"B",IF(J14&gt;=40,"C",IF(J14&gt;=20,"D","E"))))))</f>
        <v/>
      </c>
      <c r="L14" s="15">
        <f>IF(K14="","",IF(K14="A","Cemerlang",IF(K14="B","Kepujian",IF(K14="C","Baik",IF(K14="D","Kurang Memuaskan",IF(K14="E","Tidak Memuaskan","Tidak Laksana"))))))</f>
        <v/>
      </c>
    </row>
    <row r="15">
      <c r="A15" s="15">
        <f>Murid!A15</f>
        <v/>
      </c>
      <c r="B15" s="15">
        <f>IF(Murid!B15="","",Murid!B15)</f>
        <v/>
      </c>
      <c r="C15" s="16">
        <f>IF(Murid!C15="","",Murid!C15)</f>
        <v/>
      </c>
      <c r="D15" s="15">
        <f>IF(Murid!E15="","",Murid!E15)</f>
        <v/>
      </c>
      <c r="E15" s="17">
        <f>KP!X15</f>
        <v/>
      </c>
      <c r="F15" s="17">
        <f>UB!X15</f>
        <v/>
      </c>
      <c r="G15" s="17">
        <f>SP!X15</f>
        <v/>
      </c>
      <c r="H15" s="17">
        <f>IF(COUNT(E15:G15)=0,"",ROUND((LARGE(E15:G15,1)+IF(COUNT(E15:G15)&gt;=2,LARGE(E15:G15,2),0))/2,2))</f>
        <v/>
      </c>
      <c r="I15" s="10">
        <f>Ekstra!U15</f>
        <v/>
      </c>
      <c r="J15" s="18">
        <f>IF(B15="","",IF(Murid!F15="TL","TL",IF(H15="","",MIN(100,ROUND(H15+N(I15),2)))))</f>
        <v/>
      </c>
      <c r="K15" s="19">
        <f>IF(J15="","",IF(J15="TL","TL",IF(J15&gt;=80,"A",IF(J15&gt;=60,"B",IF(J15&gt;=40,"C",IF(J15&gt;=20,"D","E"))))))</f>
        <v/>
      </c>
      <c r="L15" s="15">
        <f>IF(K15="","",IF(K15="A","Cemerlang",IF(K15="B","Kepujian",IF(K15="C","Baik",IF(K15="D","Kurang Memuaskan",IF(K15="E","Tidak Memuaskan","Tidak Laksana"))))))</f>
        <v/>
      </c>
    </row>
    <row r="16">
      <c r="A16" s="15">
        <f>Murid!A16</f>
        <v/>
      </c>
      <c r="B16" s="15">
        <f>IF(Murid!B16="","",Murid!B16)</f>
        <v/>
      </c>
      <c r="C16" s="16">
        <f>IF(Murid!C16="","",Murid!C16)</f>
        <v/>
      </c>
      <c r="D16" s="15">
        <f>IF(Murid!E16="","",Murid!E16)</f>
        <v/>
      </c>
      <c r="E16" s="17">
        <f>KP!X16</f>
        <v/>
      </c>
      <c r="F16" s="17">
        <f>UB!X16</f>
        <v/>
      </c>
      <c r="G16" s="17">
        <f>SP!X16</f>
        <v/>
      </c>
      <c r="H16" s="17">
        <f>IF(COUNT(E16:G16)=0,"",ROUND((LARGE(E16:G16,1)+IF(COUNT(E16:G16)&gt;=2,LARGE(E16:G16,2),0))/2,2))</f>
        <v/>
      </c>
      <c r="I16" s="10">
        <f>Ekstra!U16</f>
        <v/>
      </c>
      <c r="J16" s="18">
        <f>IF(B16="","",IF(Murid!F16="TL","TL",IF(H16="","",MIN(100,ROUND(H16+N(I16),2)))))</f>
        <v/>
      </c>
      <c r="K16" s="19">
        <f>IF(J16="","",IF(J16="TL","TL",IF(J16&gt;=80,"A",IF(J16&gt;=60,"B",IF(J16&gt;=40,"C",IF(J16&gt;=20,"D","E"))))))</f>
        <v/>
      </c>
      <c r="L16" s="15">
        <f>IF(K16="","",IF(K16="A","Cemerlang",IF(K16="B","Kepujian",IF(K16="C","Baik",IF(K16="D","Kurang Memuaskan",IF(K16="E","Tidak Memuaskan","Tidak Laksana"))))))</f>
        <v/>
      </c>
    </row>
    <row r="17">
      <c r="A17" s="15">
        <f>Murid!A17</f>
        <v/>
      </c>
      <c r="B17" s="15">
        <f>IF(Murid!B17="","",Murid!B17)</f>
        <v/>
      </c>
      <c r="C17" s="16">
        <f>IF(Murid!C17="","",Murid!C17)</f>
        <v/>
      </c>
      <c r="D17" s="15">
        <f>IF(Murid!E17="","",Murid!E17)</f>
        <v/>
      </c>
      <c r="E17" s="17">
        <f>KP!X17</f>
        <v/>
      </c>
      <c r="F17" s="17">
        <f>UB!X17</f>
        <v/>
      </c>
      <c r="G17" s="17">
        <f>SP!X17</f>
        <v/>
      </c>
      <c r="H17" s="17">
        <f>IF(COUNT(E17:G17)=0,"",ROUND((LARGE(E17:G17,1)+IF(COUNT(E17:G17)&gt;=2,LARGE(E17:G17,2),0))/2,2))</f>
        <v/>
      </c>
      <c r="I17" s="10">
        <f>Ekstra!U17</f>
        <v/>
      </c>
      <c r="J17" s="18">
        <f>IF(B17="","",IF(Murid!F17="TL","TL",IF(H17="","",MIN(100,ROUND(H17+N(I17),2)))))</f>
        <v/>
      </c>
      <c r="K17" s="19">
        <f>IF(J17="","",IF(J17="TL","TL",IF(J17&gt;=80,"A",IF(J17&gt;=60,"B",IF(J17&gt;=40,"C",IF(J17&gt;=20,"D","E"))))))</f>
        <v/>
      </c>
      <c r="L17" s="15">
        <f>IF(K17="","",IF(K17="A","Cemerlang",IF(K17="B","Kepujian",IF(K17="C","Baik",IF(K17="D","Kurang Memuaskan",IF(K17="E","Tidak Memuaskan","Tidak Laksana"))))))</f>
        <v/>
      </c>
    </row>
    <row r="18">
      <c r="A18" s="15">
        <f>Murid!A18</f>
        <v/>
      </c>
      <c r="B18" s="15">
        <f>IF(Murid!B18="","",Murid!B18)</f>
        <v/>
      </c>
      <c r="C18" s="16">
        <f>IF(Murid!C18="","",Murid!C18)</f>
        <v/>
      </c>
      <c r="D18" s="15">
        <f>IF(Murid!E18="","",Murid!E18)</f>
        <v/>
      </c>
      <c r="E18" s="17">
        <f>KP!X18</f>
        <v/>
      </c>
      <c r="F18" s="17">
        <f>UB!X18</f>
        <v/>
      </c>
      <c r="G18" s="17">
        <f>SP!X18</f>
        <v/>
      </c>
      <c r="H18" s="17">
        <f>IF(COUNT(E18:G18)=0,"",ROUND((LARGE(E18:G18,1)+IF(COUNT(E18:G18)&gt;=2,LARGE(E18:G18,2),0))/2,2))</f>
        <v/>
      </c>
      <c r="I18" s="10">
        <f>Ekstra!U18</f>
        <v/>
      </c>
      <c r="J18" s="18">
        <f>IF(B18="","",IF(Murid!F18="TL","TL",IF(H18="","",MIN(100,ROUND(H18+N(I18),2)))))</f>
        <v/>
      </c>
      <c r="K18" s="19">
        <f>IF(J18="","",IF(J18="TL","TL",IF(J18&gt;=80,"A",IF(J18&gt;=60,"B",IF(J18&gt;=40,"C",IF(J18&gt;=20,"D","E"))))))</f>
        <v/>
      </c>
      <c r="L18" s="15">
        <f>IF(K18="","",IF(K18="A","Cemerlang",IF(K18="B","Kepujian",IF(K18="C","Baik",IF(K18="D","Kurang Memuaskan",IF(K18="E","Tidak Memuaskan","Tidak Laksana"))))))</f>
        <v/>
      </c>
    </row>
    <row r="19">
      <c r="A19" s="15">
        <f>Murid!A19</f>
        <v/>
      </c>
      <c r="B19" s="15">
        <f>IF(Murid!B19="","",Murid!B19)</f>
        <v/>
      </c>
      <c r="C19" s="16">
        <f>IF(Murid!C19="","",Murid!C19)</f>
        <v/>
      </c>
      <c r="D19" s="15">
        <f>IF(Murid!E19="","",Murid!E19)</f>
        <v/>
      </c>
      <c r="E19" s="17">
        <f>KP!X19</f>
        <v/>
      </c>
      <c r="F19" s="17">
        <f>UB!X19</f>
        <v/>
      </c>
      <c r="G19" s="17">
        <f>SP!X19</f>
        <v/>
      </c>
      <c r="H19" s="17">
        <f>IF(COUNT(E19:G19)=0,"",ROUND((LARGE(E19:G19,1)+IF(COUNT(E19:G19)&gt;=2,LARGE(E19:G19,2),0))/2,2))</f>
        <v/>
      </c>
      <c r="I19" s="10">
        <f>Ekstra!U19</f>
        <v/>
      </c>
      <c r="J19" s="18">
        <f>IF(B19="","",IF(Murid!F19="TL","TL",IF(H19="","",MIN(100,ROUND(H19+N(I19),2)))))</f>
        <v/>
      </c>
      <c r="K19" s="19">
        <f>IF(J19="","",IF(J19="TL","TL",IF(J19&gt;=80,"A",IF(J19&gt;=60,"B",IF(J19&gt;=40,"C",IF(J19&gt;=20,"D","E"))))))</f>
        <v/>
      </c>
      <c r="L19" s="15">
        <f>IF(K19="","",IF(K19="A","Cemerlang",IF(K19="B","Kepujian",IF(K19="C","Baik",IF(K19="D","Kurang Memuaskan",IF(K19="E","Tidak Memuaskan","Tidak Laksana"))))))</f>
        <v/>
      </c>
    </row>
    <row r="20">
      <c r="A20" s="15">
        <f>Murid!A20</f>
        <v/>
      </c>
      <c r="B20" s="15">
        <f>IF(Murid!B20="","",Murid!B20)</f>
        <v/>
      </c>
      <c r="C20" s="16">
        <f>IF(Murid!C20="","",Murid!C20)</f>
        <v/>
      </c>
      <c r="D20" s="15">
        <f>IF(Murid!E20="","",Murid!E20)</f>
        <v/>
      </c>
      <c r="E20" s="17">
        <f>KP!X20</f>
        <v/>
      </c>
      <c r="F20" s="17">
        <f>UB!X20</f>
        <v/>
      </c>
      <c r="G20" s="17">
        <f>SP!X20</f>
        <v/>
      </c>
      <c r="H20" s="17">
        <f>IF(COUNT(E20:G20)=0,"",ROUND((LARGE(E20:G20,1)+IF(COUNT(E20:G20)&gt;=2,LARGE(E20:G20,2),0))/2,2))</f>
        <v/>
      </c>
      <c r="I20" s="10">
        <f>Ekstra!U20</f>
        <v/>
      </c>
      <c r="J20" s="18">
        <f>IF(B20="","",IF(Murid!F20="TL","TL",IF(H20="","",MIN(100,ROUND(H20+N(I20),2)))))</f>
        <v/>
      </c>
      <c r="K20" s="19">
        <f>IF(J20="","",IF(J20="TL","TL",IF(J20&gt;=80,"A",IF(J20&gt;=60,"B",IF(J20&gt;=40,"C",IF(J20&gt;=20,"D","E"))))))</f>
        <v/>
      </c>
      <c r="L20" s="15">
        <f>IF(K20="","",IF(K20="A","Cemerlang",IF(K20="B","Kepujian",IF(K20="C","Baik",IF(K20="D","Kurang Memuaskan",IF(K20="E","Tidak Memuaskan","Tidak Laksana"))))))</f>
        <v/>
      </c>
    </row>
    <row r="21">
      <c r="A21" s="15">
        <f>Murid!A21</f>
        <v/>
      </c>
      <c r="B21" s="15">
        <f>IF(Murid!B21="","",Murid!B21)</f>
        <v/>
      </c>
      <c r="C21" s="16">
        <f>IF(Murid!C21="","",Murid!C21)</f>
        <v/>
      </c>
      <c r="D21" s="15">
        <f>IF(Murid!E21="","",Murid!E21)</f>
        <v/>
      </c>
      <c r="E21" s="17">
        <f>KP!X21</f>
        <v/>
      </c>
      <c r="F21" s="17">
        <f>UB!X21</f>
        <v/>
      </c>
      <c r="G21" s="17">
        <f>SP!X21</f>
        <v/>
      </c>
      <c r="H21" s="17">
        <f>IF(COUNT(E21:G21)=0,"",ROUND((LARGE(E21:G21,1)+IF(COUNT(E21:G21)&gt;=2,LARGE(E21:G21,2),0))/2,2))</f>
        <v/>
      </c>
      <c r="I21" s="10">
        <f>Ekstra!U21</f>
        <v/>
      </c>
      <c r="J21" s="18">
        <f>IF(B21="","",IF(Murid!F21="TL","TL",IF(H21="","",MIN(100,ROUND(H21+N(I21),2)))))</f>
        <v/>
      </c>
      <c r="K21" s="19">
        <f>IF(J21="","",IF(J21="TL","TL",IF(J21&gt;=80,"A",IF(J21&gt;=60,"B",IF(J21&gt;=40,"C",IF(J21&gt;=20,"D","E"))))))</f>
        <v/>
      </c>
      <c r="L21" s="15">
        <f>IF(K21="","",IF(K21="A","Cemerlang",IF(K21="B","Kepujian",IF(K21="C","Baik",IF(K21="D","Kurang Memuaskan",IF(K21="E","Tidak Memuaskan","Tidak Laksana"))))))</f>
        <v/>
      </c>
    </row>
    <row r="22">
      <c r="A22" s="15">
        <f>Murid!A22</f>
        <v/>
      </c>
      <c r="B22" s="15">
        <f>IF(Murid!B22="","",Murid!B22)</f>
        <v/>
      </c>
      <c r="C22" s="16">
        <f>IF(Murid!C22="","",Murid!C22)</f>
        <v/>
      </c>
      <c r="D22" s="15">
        <f>IF(Murid!E22="","",Murid!E22)</f>
        <v/>
      </c>
      <c r="E22" s="17">
        <f>KP!X22</f>
        <v/>
      </c>
      <c r="F22" s="17">
        <f>UB!X22</f>
        <v/>
      </c>
      <c r="G22" s="17">
        <f>SP!X22</f>
        <v/>
      </c>
      <c r="H22" s="17">
        <f>IF(COUNT(E22:G22)=0,"",ROUND((LARGE(E22:G22,1)+IF(COUNT(E22:G22)&gt;=2,LARGE(E22:G22,2),0))/2,2))</f>
        <v/>
      </c>
      <c r="I22" s="10">
        <f>Ekstra!U22</f>
        <v/>
      </c>
      <c r="J22" s="18">
        <f>IF(B22="","",IF(Murid!F22="TL","TL",IF(H22="","",MIN(100,ROUND(H22+N(I22),2)))))</f>
        <v/>
      </c>
      <c r="K22" s="19">
        <f>IF(J22="","",IF(J22="TL","TL",IF(J22&gt;=80,"A",IF(J22&gt;=60,"B",IF(J22&gt;=40,"C",IF(J22&gt;=20,"D","E"))))))</f>
        <v/>
      </c>
      <c r="L22" s="15">
        <f>IF(K22="","",IF(K22="A","Cemerlang",IF(K22="B","Kepujian",IF(K22="C","Baik",IF(K22="D","Kurang Memuaskan",IF(K22="E","Tidak Memuaskan","Tidak Laksana"))))))</f>
        <v/>
      </c>
    </row>
    <row r="23">
      <c r="A23" s="15">
        <f>Murid!A23</f>
        <v/>
      </c>
      <c r="B23" s="15">
        <f>IF(Murid!B23="","",Murid!B23)</f>
        <v/>
      </c>
      <c r="C23" s="16">
        <f>IF(Murid!C23="","",Murid!C23)</f>
        <v/>
      </c>
      <c r="D23" s="15">
        <f>IF(Murid!E23="","",Murid!E23)</f>
        <v/>
      </c>
      <c r="E23" s="17">
        <f>KP!X23</f>
        <v/>
      </c>
      <c r="F23" s="17">
        <f>UB!X23</f>
        <v/>
      </c>
      <c r="G23" s="17">
        <f>SP!X23</f>
        <v/>
      </c>
      <c r="H23" s="17">
        <f>IF(COUNT(E23:G23)=0,"",ROUND((LARGE(E23:G23,1)+IF(COUNT(E23:G23)&gt;=2,LARGE(E23:G23,2),0))/2,2))</f>
        <v/>
      </c>
      <c r="I23" s="10">
        <f>Ekstra!U23</f>
        <v/>
      </c>
      <c r="J23" s="18">
        <f>IF(B23="","",IF(Murid!F23="TL","TL",IF(H23="","",MIN(100,ROUND(H23+N(I23),2)))))</f>
        <v/>
      </c>
      <c r="K23" s="19">
        <f>IF(J23="","",IF(J23="TL","TL",IF(J23&gt;=80,"A",IF(J23&gt;=60,"B",IF(J23&gt;=40,"C",IF(J23&gt;=20,"D","E"))))))</f>
        <v/>
      </c>
      <c r="L23" s="15">
        <f>IF(K23="","",IF(K23="A","Cemerlang",IF(K23="B","Kepujian",IF(K23="C","Baik",IF(K23="D","Kurang Memuaskan",IF(K23="E","Tidak Memuaskan","Tidak Laksana"))))))</f>
        <v/>
      </c>
    </row>
    <row r="24">
      <c r="A24" s="15">
        <f>Murid!A24</f>
        <v/>
      </c>
      <c r="B24" s="15">
        <f>IF(Murid!B24="","",Murid!B24)</f>
        <v/>
      </c>
      <c r="C24" s="16">
        <f>IF(Murid!C24="","",Murid!C24)</f>
        <v/>
      </c>
      <c r="D24" s="15">
        <f>IF(Murid!E24="","",Murid!E24)</f>
        <v/>
      </c>
      <c r="E24" s="17">
        <f>KP!X24</f>
        <v/>
      </c>
      <c r="F24" s="17">
        <f>UB!X24</f>
        <v/>
      </c>
      <c r="G24" s="17">
        <f>SP!X24</f>
        <v/>
      </c>
      <c r="H24" s="17">
        <f>IF(COUNT(E24:G24)=0,"",ROUND((LARGE(E24:G24,1)+IF(COUNT(E24:G24)&gt;=2,LARGE(E24:G24,2),0))/2,2))</f>
        <v/>
      </c>
      <c r="I24" s="10">
        <f>Ekstra!U24</f>
        <v/>
      </c>
      <c r="J24" s="18">
        <f>IF(B24="","",IF(Murid!F24="TL","TL",IF(H24="","",MIN(100,ROUND(H24+N(I24),2)))))</f>
        <v/>
      </c>
      <c r="K24" s="19">
        <f>IF(J24="","",IF(J24="TL","TL",IF(J24&gt;=80,"A",IF(J24&gt;=60,"B",IF(J24&gt;=40,"C",IF(J24&gt;=20,"D","E"))))))</f>
        <v/>
      </c>
      <c r="L24" s="15">
        <f>IF(K24="","",IF(K24="A","Cemerlang",IF(K24="B","Kepujian",IF(K24="C","Baik",IF(K24="D","Kurang Memuaskan",IF(K24="E","Tidak Memuaskan","Tidak Laksana"))))))</f>
        <v/>
      </c>
    </row>
    <row r="25">
      <c r="A25" s="15">
        <f>Murid!A25</f>
        <v/>
      </c>
      <c r="B25" s="15">
        <f>IF(Murid!B25="","",Murid!B25)</f>
        <v/>
      </c>
      <c r="C25" s="16">
        <f>IF(Murid!C25="","",Murid!C25)</f>
        <v/>
      </c>
      <c r="D25" s="15">
        <f>IF(Murid!E25="","",Murid!E25)</f>
        <v/>
      </c>
      <c r="E25" s="17">
        <f>KP!X25</f>
        <v/>
      </c>
      <c r="F25" s="17">
        <f>UB!X25</f>
        <v/>
      </c>
      <c r="G25" s="17">
        <f>SP!X25</f>
        <v/>
      </c>
      <c r="H25" s="17">
        <f>IF(COUNT(E25:G25)=0,"",ROUND((LARGE(E25:G25,1)+IF(COUNT(E25:G25)&gt;=2,LARGE(E25:G25,2),0))/2,2))</f>
        <v/>
      </c>
      <c r="I25" s="10">
        <f>Ekstra!U25</f>
        <v/>
      </c>
      <c r="J25" s="18">
        <f>IF(B25="","",IF(Murid!F25="TL","TL",IF(H25="","",MIN(100,ROUND(H25+N(I25),2)))))</f>
        <v/>
      </c>
      <c r="K25" s="19">
        <f>IF(J25="","",IF(J25="TL","TL",IF(J25&gt;=80,"A",IF(J25&gt;=60,"B",IF(J25&gt;=40,"C",IF(J25&gt;=20,"D","E"))))))</f>
        <v/>
      </c>
      <c r="L25" s="15">
        <f>IF(K25="","",IF(K25="A","Cemerlang",IF(K25="B","Kepujian",IF(K25="C","Baik",IF(K25="D","Kurang Memuaskan",IF(K25="E","Tidak Memuaskan","Tidak Laksana"))))))</f>
        <v/>
      </c>
    </row>
    <row r="26">
      <c r="A26" s="15">
        <f>Murid!A26</f>
        <v/>
      </c>
      <c r="B26" s="15">
        <f>IF(Murid!B26="","",Murid!B26)</f>
        <v/>
      </c>
      <c r="C26" s="16">
        <f>IF(Murid!C26="","",Murid!C26)</f>
        <v/>
      </c>
      <c r="D26" s="15">
        <f>IF(Murid!E26="","",Murid!E26)</f>
        <v/>
      </c>
      <c r="E26" s="17">
        <f>KP!X26</f>
        <v/>
      </c>
      <c r="F26" s="17">
        <f>UB!X26</f>
        <v/>
      </c>
      <c r="G26" s="17">
        <f>SP!X26</f>
        <v/>
      </c>
      <c r="H26" s="17">
        <f>IF(COUNT(E26:G26)=0,"",ROUND((LARGE(E26:G26,1)+IF(COUNT(E26:G26)&gt;=2,LARGE(E26:G26,2),0))/2,2))</f>
        <v/>
      </c>
      <c r="I26" s="10">
        <f>Ekstra!U26</f>
        <v/>
      </c>
      <c r="J26" s="18">
        <f>IF(B26="","",IF(Murid!F26="TL","TL",IF(H26="","",MIN(100,ROUND(H26+N(I26),2)))))</f>
        <v/>
      </c>
      <c r="K26" s="19">
        <f>IF(J26="","",IF(J26="TL","TL",IF(J26&gt;=80,"A",IF(J26&gt;=60,"B",IF(J26&gt;=40,"C",IF(J26&gt;=20,"D","E"))))))</f>
        <v/>
      </c>
      <c r="L26" s="15">
        <f>IF(K26="","",IF(K26="A","Cemerlang",IF(K26="B","Kepujian",IF(K26="C","Baik",IF(K26="D","Kurang Memuaskan",IF(K26="E","Tidak Memuaskan","Tidak Laksana"))))))</f>
        <v/>
      </c>
    </row>
    <row r="27">
      <c r="A27" s="15">
        <f>Murid!A27</f>
        <v/>
      </c>
      <c r="B27" s="15">
        <f>IF(Murid!B27="","",Murid!B27)</f>
        <v/>
      </c>
      <c r="C27" s="16">
        <f>IF(Murid!C27="","",Murid!C27)</f>
        <v/>
      </c>
      <c r="D27" s="15">
        <f>IF(Murid!E27="","",Murid!E27)</f>
        <v/>
      </c>
      <c r="E27" s="17">
        <f>KP!X27</f>
        <v/>
      </c>
      <c r="F27" s="17">
        <f>UB!X27</f>
        <v/>
      </c>
      <c r="G27" s="17">
        <f>SP!X27</f>
        <v/>
      </c>
      <c r="H27" s="17">
        <f>IF(COUNT(E27:G27)=0,"",ROUND((LARGE(E27:G27,1)+IF(COUNT(E27:G27)&gt;=2,LARGE(E27:G27,2),0))/2,2))</f>
        <v/>
      </c>
      <c r="I27" s="10">
        <f>Ekstra!U27</f>
        <v/>
      </c>
      <c r="J27" s="18">
        <f>IF(B27="","",IF(Murid!F27="TL","TL",IF(H27="","",MIN(100,ROUND(H27+N(I27),2)))))</f>
        <v/>
      </c>
      <c r="K27" s="19">
        <f>IF(J27="","",IF(J27="TL","TL",IF(J27&gt;=80,"A",IF(J27&gt;=60,"B",IF(J27&gt;=40,"C",IF(J27&gt;=20,"D","E"))))))</f>
        <v/>
      </c>
      <c r="L27" s="15">
        <f>IF(K27="","",IF(K27="A","Cemerlang",IF(K27="B","Kepujian",IF(K27="C","Baik",IF(K27="D","Kurang Memuaskan",IF(K27="E","Tidak Memuaskan","Tidak Laksana"))))))</f>
        <v/>
      </c>
    </row>
    <row r="28">
      <c r="A28" s="15">
        <f>Murid!A28</f>
        <v/>
      </c>
      <c r="B28" s="15">
        <f>IF(Murid!B28="","",Murid!B28)</f>
        <v/>
      </c>
      <c r="C28" s="16">
        <f>IF(Murid!C28="","",Murid!C28)</f>
        <v/>
      </c>
      <c r="D28" s="15">
        <f>IF(Murid!E28="","",Murid!E28)</f>
        <v/>
      </c>
      <c r="E28" s="17">
        <f>KP!X28</f>
        <v/>
      </c>
      <c r="F28" s="17">
        <f>UB!X28</f>
        <v/>
      </c>
      <c r="G28" s="17">
        <f>SP!X28</f>
        <v/>
      </c>
      <c r="H28" s="17">
        <f>IF(COUNT(E28:G28)=0,"",ROUND((LARGE(E28:G28,1)+IF(COUNT(E28:G28)&gt;=2,LARGE(E28:G28,2),0))/2,2))</f>
        <v/>
      </c>
      <c r="I28" s="10">
        <f>Ekstra!U28</f>
        <v/>
      </c>
      <c r="J28" s="18">
        <f>IF(B28="","",IF(Murid!F28="TL","TL",IF(H28="","",MIN(100,ROUND(H28+N(I28),2)))))</f>
        <v/>
      </c>
      <c r="K28" s="19">
        <f>IF(J28="","",IF(J28="TL","TL",IF(J28&gt;=80,"A",IF(J28&gt;=60,"B",IF(J28&gt;=40,"C",IF(J28&gt;=20,"D","E"))))))</f>
        <v/>
      </c>
      <c r="L28" s="15">
        <f>IF(K28="","",IF(K28="A","Cemerlang",IF(K28="B","Kepujian",IF(K28="C","Baik",IF(K28="D","Kurang Memuaskan",IF(K28="E","Tidak Memuaskan","Tidak Laksana"))))))</f>
        <v/>
      </c>
    </row>
    <row r="29">
      <c r="A29" s="15">
        <f>Murid!A29</f>
        <v/>
      </c>
      <c r="B29" s="15">
        <f>IF(Murid!B29="","",Murid!B29)</f>
        <v/>
      </c>
      <c r="C29" s="16">
        <f>IF(Murid!C29="","",Murid!C29)</f>
        <v/>
      </c>
      <c r="D29" s="15">
        <f>IF(Murid!E29="","",Murid!E29)</f>
        <v/>
      </c>
      <c r="E29" s="17">
        <f>KP!X29</f>
        <v/>
      </c>
      <c r="F29" s="17">
        <f>UB!X29</f>
        <v/>
      </c>
      <c r="G29" s="17">
        <f>SP!X29</f>
        <v/>
      </c>
      <c r="H29" s="17">
        <f>IF(COUNT(E29:G29)=0,"",ROUND((LARGE(E29:G29,1)+IF(COUNT(E29:G29)&gt;=2,LARGE(E29:G29,2),0))/2,2))</f>
        <v/>
      </c>
      <c r="I29" s="10">
        <f>Ekstra!U29</f>
        <v/>
      </c>
      <c r="J29" s="18">
        <f>IF(B29="","",IF(Murid!F29="TL","TL",IF(H29="","",MIN(100,ROUND(H29+N(I29),2)))))</f>
        <v/>
      </c>
      <c r="K29" s="19">
        <f>IF(J29="","",IF(J29="TL","TL",IF(J29&gt;=80,"A",IF(J29&gt;=60,"B",IF(J29&gt;=40,"C",IF(J29&gt;=20,"D","E"))))))</f>
        <v/>
      </c>
      <c r="L29" s="15">
        <f>IF(K29="","",IF(K29="A","Cemerlang",IF(K29="B","Kepujian",IF(K29="C","Baik",IF(K29="D","Kurang Memuaskan",IF(K29="E","Tidak Memuaskan","Tidak Laksana"))))))</f>
        <v/>
      </c>
    </row>
    <row r="30">
      <c r="A30" s="15">
        <f>Murid!A30</f>
        <v/>
      </c>
      <c r="B30" s="15">
        <f>IF(Murid!B30="","",Murid!B30)</f>
        <v/>
      </c>
      <c r="C30" s="16">
        <f>IF(Murid!C30="","",Murid!C30)</f>
        <v/>
      </c>
      <c r="D30" s="15">
        <f>IF(Murid!E30="","",Murid!E30)</f>
        <v/>
      </c>
      <c r="E30" s="17">
        <f>KP!X30</f>
        <v/>
      </c>
      <c r="F30" s="17">
        <f>UB!X30</f>
        <v/>
      </c>
      <c r="G30" s="17">
        <f>SP!X30</f>
        <v/>
      </c>
      <c r="H30" s="17">
        <f>IF(COUNT(E30:G30)=0,"",ROUND((LARGE(E30:G30,1)+IF(COUNT(E30:G30)&gt;=2,LARGE(E30:G30,2),0))/2,2))</f>
        <v/>
      </c>
      <c r="I30" s="10">
        <f>Ekstra!U30</f>
        <v/>
      </c>
      <c r="J30" s="18">
        <f>IF(B30="","",IF(Murid!F30="TL","TL",IF(H30="","",MIN(100,ROUND(H30+N(I30),2)))))</f>
        <v/>
      </c>
      <c r="K30" s="19">
        <f>IF(J30="","",IF(J30="TL","TL",IF(J30&gt;=80,"A",IF(J30&gt;=60,"B",IF(J30&gt;=40,"C",IF(J30&gt;=20,"D","E"))))))</f>
        <v/>
      </c>
      <c r="L30" s="15">
        <f>IF(K30="","",IF(K30="A","Cemerlang",IF(K30="B","Kepujian",IF(K30="C","Baik",IF(K30="D","Kurang Memuaskan",IF(K30="E","Tidak Memuaskan","Tidak Laksana"))))))</f>
        <v/>
      </c>
    </row>
    <row r="31">
      <c r="A31" s="15">
        <f>Murid!A31</f>
        <v/>
      </c>
      <c r="B31" s="15">
        <f>IF(Murid!B31="","",Murid!B31)</f>
        <v/>
      </c>
      <c r="C31" s="16">
        <f>IF(Murid!C31="","",Murid!C31)</f>
        <v/>
      </c>
      <c r="D31" s="15">
        <f>IF(Murid!E31="","",Murid!E31)</f>
        <v/>
      </c>
      <c r="E31" s="17">
        <f>KP!X31</f>
        <v/>
      </c>
      <c r="F31" s="17">
        <f>UB!X31</f>
        <v/>
      </c>
      <c r="G31" s="17">
        <f>SP!X31</f>
        <v/>
      </c>
      <c r="H31" s="17">
        <f>IF(COUNT(E31:G31)=0,"",ROUND((LARGE(E31:G31,1)+IF(COUNT(E31:G31)&gt;=2,LARGE(E31:G31,2),0))/2,2))</f>
        <v/>
      </c>
      <c r="I31" s="10">
        <f>Ekstra!U31</f>
        <v/>
      </c>
      <c r="J31" s="18">
        <f>IF(B31="","",IF(Murid!F31="TL","TL",IF(H31="","",MIN(100,ROUND(H31+N(I31),2)))))</f>
        <v/>
      </c>
      <c r="K31" s="19">
        <f>IF(J31="","",IF(J31="TL","TL",IF(J31&gt;=80,"A",IF(J31&gt;=60,"B",IF(J31&gt;=40,"C",IF(J31&gt;=20,"D","E"))))))</f>
        <v/>
      </c>
      <c r="L31" s="15">
        <f>IF(K31="","",IF(K31="A","Cemerlang",IF(K31="B","Kepujian",IF(K31="C","Baik",IF(K31="D","Kurang Memuaskan",IF(K31="E","Tidak Memuaskan","Tidak Laksana"))))))</f>
        <v/>
      </c>
    </row>
    <row r="32">
      <c r="A32" s="15">
        <f>Murid!A32</f>
        <v/>
      </c>
      <c r="B32" s="15">
        <f>IF(Murid!B32="","",Murid!B32)</f>
        <v/>
      </c>
      <c r="C32" s="16">
        <f>IF(Murid!C32="","",Murid!C32)</f>
        <v/>
      </c>
      <c r="D32" s="15">
        <f>IF(Murid!E32="","",Murid!E32)</f>
        <v/>
      </c>
      <c r="E32" s="17">
        <f>KP!X32</f>
        <v/>
      </c>
      <c r="F32" s="17">
        <f>UB!X32</f>
        <v/>
      </c>
      <c r="G32" s="17">
        <f>SP!X32</f>
        <v/>
      </c>
      <c r="H32" s="17">
        <f>IF(COUNT(E32:G32)=0,"",ROUND((LARGE(E32:G32,1)+IF(COUNT(E32:G32)&gt;=2,LARGE(E32:G32,2),0))/2,2))</f>
        <v/>
      </c>
      <c r="I32" s="10">
        <f>Ekstra!U32</f>
        <v/>
      </c>
      <c r="J32" s="18">
        <f>IF(B32="","",IF(Murid!F32="TL","TL",IF(H32="","",MIN(100,ROUND(H32+N(I32),2)))))</f>
        <v/>
      </c>
      <c r="K32" s="19">
        <f>IF(J32="","",IF(J32="TL","TL",IF(J32&gt;=80,"A",IF(J32&gt;=60,"B",IF(J32&gt;=40,"C",IF(J32&gt;=20,"D","E"))))))</f>
        <v/>
      </c>
      <c r="L32" s="15">
        <f>IF(K32="","",IF(K32="A","Cemerlang",IF(K32="B","Kepujian",IF(K32="C","Baik",IF(K32="D","Kurang Memuaskan",IF(K32="E","Tidak Memuaskan","Tidak Laksana"))))))</f>
        <v/>
      </c>
    </row>
    <row r="33">
      <c r="A33" s="15">
        <f>Murid!A33</f>
        <v/>
      </c>
      <c r="B33" s="15">
        <f>IF(Murid!B33="","",Murid!B33)</f>
        <v/>
      </c>
      <c r="C33" s="16">
        <f>IF(Murid!C33="","",Murid!C33)</f>
        <v/>
      </c>
      <c r="D33" s="15">
        <f>IF(Murid!E33="","",Murid!E33)</f>
        <v/>
      </c>
      <c r="E33" s="17">
        <f>KP!X33</f>
        <v/>
      </c>
      <c r="F33" s="17">
        <f>UB!X33</f>
        <v/>
      </c>
      <c r="G33" s="17">
        <f>SP!X33</f>
        <v/>
      </c>
      <c r="H33" s="17">
        <f>IF(COUNT(E33:G33)=0,"",ROUND((LARGE(E33:G33,1)+IF(COUNT(E33:G33)&gt;=2,LARGE(E33:G33,2),0))/2,2))</f>
        <v/>
      </c>
      <c r="I33" s="10">
        <f>Ekstra!U33</f>
        <v/>
      </c>
      <c r="J33" s="18">
        <f>IF(B33="","",IF(Murid!F33="TL","TL",IF(H33="","",MIN(100,ROUND(H33+N(I33),2)))))</f>
        <v/>
      </c>
      <c r="K33" s="19">
        <f>IF(J33="","",IF(J33="TL","TL",IF(J33&gt;=80,"A",IF(J33&gt;=60,"B",IF(J33&gt;=40,"C",IF(J33&gt;=20,"D","E"))))))</f>
        <v/>
      </c>
      <c r="L33" s="15">
        <f>IF(K33="","",IF(K33="A","Cemerlang",IF(K33="B","Kepujian",IF(K33="C","Baik",IF(K33="D","Kurang Memuaskan",IF(K33="E","Tidak Memuaskan","Tidak Laksana"))))))</f>
        <v/>
      </c>
    </row>
    <row r="34">
      <c r="A34" s="15">
        <f>Murid!A34</f>
        <v/>
      </c>
      <c r="B34" s="15">
        <f>IF(Murid!B34="","",Murid!B34)</f>
        <v/>
      </c>
      <c r="C34" s="16">
        <f>IF(Murid!C34="","",Murid!C34)</f>
        <v/>
      </c>
      <c r="D34" s="15">
        <f>IF(Murid!E34="","",Murid!E34)</f>
        <v/>
      </c>
      <c r="E34" s="17">
        <f>KP!X34</f>
        <v/>
      </c>
      <c r="F34" s="17">
        <f>UB!X34</f>
        <v/>
      </c>
      <c r="G34" s="17">
        <f>SP!X34</f>
        <v/>
      </c>
      <c r="H34" s="17">
        <f>IF(COUNT(E34:G34)=0,"",ROUND((LARGE(E34:G34,1)+IF(COUNT(E34:G34)&gt;=2,LARGE(E34:G34,2),0))/2,2))</f>
        <v/>
      </c>
      <c r="I34" s="10">
        <f>Ekstra!U34</f>
        <v/>
      </c>
      <c r="J34" s="18">
        <f>IF(B34="","",IF(Murid!F34="TL","TL",IF(H34="","",MIN(100,ROUND(H34+N(I34),2)))))</f>
        <v/>
      </c>
      <c r="K34" s="19">
        <f>IF(J34="","",IF(J34="TL","TL",IF(J34&gt;=80,"A",IF(J34&gt;=60,"B",IF(J34&gt;=40,"C",IF(J34&gt;=20,"D","E"))))))</f>
        <v/>
      </c>
      <c r="L34" s="15">
        <f>IF(K34="","",IF(K34="A","Cemerlang",IF(K34="B","Kepujian",IF(K34="C","Baik",IF(K34="D","Kurang Memuaskan",IF(K34="E","Tidak Memuaskan","Tidak Laksana"))))))</f>
        <v/>
      </c>
    </row>
    <row r="35">
      <c r="A35" s="15">
        <f>Murid!A35</f>
        <v/>
      </c>
      <c r="B35" s="15">
        <f>IF(Murid!B35="","",Murid!B35)</f>
        <v/>
      </c>
      <c r="C35" s="16">
        <f>IF(Murid!C35="","",Murid!C35)</f>
        <v/>
      </c>
      <c r="D35" s="15">
        <f>IF(Murid!E35="","",Murid!E35)</f>
        <v/>
      </c>
      <c r="E35" s="17">
        <f>KP!X35</f>
        <v/>
      </c>
      <c r="F35" s="17">
        <f>UB!X35</f>
        <v/>
      </c>
      <c r="G35" s="17">
        <f>SP!X35</f>
        <v/>
      </c>
      <c r="H35" s="17">
        <f>IF(COUNT(E35:G35)=0,"",ROUND((LARGE(E35:G35,1)+IF(COUNT(E35:G35)&gt;=2,LARGE(E35:G35,2),0))/2,2))</f>
        <v/>
      </c>
      <c r="I35" s="10">
        <f>Ekstra!U35</f>
        <v/>
      </c>
      <c r="J35" s="18">
        <f>IF(B35="","",IF(Murid!F35="TL","TL",IF(H35="","",MIN(100,ROUND(H35+N(I35),2)))))</f>
        <v/>
      </c>
      <c r="K35" s="19">
        <f>IF(J35="","",IF(J35="TL","TL",IF(J35&gt;=80,"A",IF(J35&gt;=60,"B",IF(J35&gt;=40,"C",IF(J35&gt;=20,"D","E"))))))</f>
        <v/>
      </c>
      <c r="L35" s="15">
        <f>IF(K35="","",IF(K35="A","Cemerlang",IF(K35="B","Kepujian",IF(K35="C","Baik",IF(K35="D","Kurang Memuaskan",IF(K35="E","Tidak Memuaskan","Tidak Laksana"))))))</f>
        <v/>
      </c>
    </row>
    <row r="36">
      <c r="A36" s="15">
        <f>Murid!A36</f>
        <v/>
      </c>
      <c r="B36" s="15">
        <f>IF(Murid!B36="","",Murid!B36)</f>
        <v/>
      </c>
      <c r="C36" s="16">
        <f>IF(Murid!C36="","",Murid!C36)</f>
        <v/>
      </c>
      <c r="D36" s="15">
        <f>IF(Murid!E36="","",Murid!E36)</f>
        <v/>
      </c>
      <c r="E36" s="17">
        <f>KP!X36</f>
        <v/>
      </c>
      <c r="F36" s="17">
        <f>UB!X36</f>
        <v/>
      </c>
      <c r="G36" s="17">
        <f>SP!X36</f>
        <v/>
      </c>
      <c r="H36" s="17">
        <f>IF(COUNT(E36:G36)=0,"",ROUND((LARGE(E36:G36,1)+IF(COUNT(E36:G36)&gt;=2,LARGE(E36:G36,2),0))/2,2))</f>
        <v/>
      </c>
      <c r="I36" s="10">
        <f>Ekstra!U36</f>
        <v/>
      </c>
      <c r="J36" s="18">
        <f>IF(B36="","",IF(Murid!F36="TL","TL",IF(H36="","",MIN(100,ROUND(H36+N(I36),2)))))</f>
        <v/>
      </c>
      <c r="K36" s="19">
        <f>IF(J36="","",IF(J36="TL","TL",IF(J36&gt;=80,"A",IF(J36&gt;=60,"B",IF(J36&gt;=40,"C",IF(J36&gt;=20,"D","E"))))))</f>
        <v/>
      </c>
      <c r="L36" s="15">
        <f>IF(K36="","",IF(K36="A","Cemerlang",IF(K36="B","Kepujian",IF(K36="C","Baik",IF(K36="D","Kurang Memuaskan",IF(K36="E","Tidak Memuaskan","Tidak Laksana"))))))</f>
        <v/>
      </c>
    </row>
    <row r="37">
      <c r="A37" s="15">
        <f>Murid!A37</f>
        <v/>
      </c>
      <c r="B37" s="15">
        <f>IF(Murid!B37="","",Murid!B37)</f>
        <v/>
      </c>
      <c r="C37" s="16">
        <f>IF(Murid!C37="","",Murid!C37)</f>
        <v/>
      </c>
      <c r="D37" s="15">
        <f>IF(Murid!E37="","",Murid!E37)</f>
        <v/>
      </c>
      <c r="E37" s="17">
        <f>KP!X37</f>
        <v/>
      </c>
      <c r="F37" s="17">
        <f>UB!X37</f>
        <v/>
      </c>
      <c r="G37" s="17">
        <f>SP!X37</f>
        <v/>
      </c>
      <c r="H37" s="17">
        <f>IF(COUNT(E37:G37)=0,"",ROUND((LARGE(E37:G37,1)+IF(COUNT(E37:G37)&gt;=2,LARGE(E37:G37,2),0))/2,2))</f>
        <v/>
      </c>
      <c r="I37" s="10">
        <f>Ekstra!U37</f>
        <v/>
      </c>
      <c r="J37" s="18">
        <f>IF(B37="","",IF(Murid!F37="TL","TL",IF(H37="","",MIN(100,ROUND(H37+N(I37),2)))))</f>
        <v/>
      </c>
      <c r="K37" s="19">
        <f>IF(J37="","",IF(J37="TL","TL",IF(J37&gt;=80,"A",IF(J37&gt;=60,"B",IF(J37&gt;=40,"C",IF(J37&gt;=20,"D","E"))))))</f>
        <v/>
      </c>
      <c r="L37" s="15">
        <f>IF(K37="","",IF(K37="A","Cemerlang",IF(K37="B","Kepujian",IF(K37="C","Baik",IF(K37="D","Kurang Memuaskan",IF(K37="E","Tidak Memuaskan","Tidak Laksana"))))))</f>
        <v/>
      </c>
    </row>
    <row r="38">
      <c r="A38" s="15">
        <f>Murid!A38</f>
        <v/>
      </c>
      <c r="B38" s="15">
        <f>IF(Murid!B38="","",Murid!B38)</f>
        <v/>
      </c>
      <c r="C38" s="16">
        <f>IF(Murid!C38="","",Murid!C38)</f>
        <v/>
      </c>
      <c r="D38" s="15">
        <f>IF(Murid!E38="","",Murid!E38)</f>
        <v/>
      </c>
      <c r="E38" s="17">
        <f>KP!X38</f>
        <v/>
      </c>
      <c r="F38" s="17">
        <f>UB!X38</f>
        <v/>
      </c>
      <c r="G38" s="17">
        <f>SP!X38</f>
        <v/>
      </c>
      <c r="H38" s="17">
        <f>IF(COUNT(E38:G38)=0,"",ROUND((LARGE(E38:G38,1)+IF(COUNT(E38:G38)&gt;=2,LARGE(E38:G38,2),0))/2,2))</f>
        <v/>
      </c>
      <c r="I38" s="10">
        <f>Ekstra!U38</f>
        <v/>
      </c>
      <c r="J38" s="18">
        <f>IF(B38="","",IF(Murid!F38="TL","TL",IF(H38="","",MIN(100,ROUND(H38+N(I38),2)))))</f>
        <v/>
      </c>
      <c r="K38" s="19">
        <f>IF(J38="","",IF(J38="TL","TL",IF(J38&gt;=80,"A",IF(J38&gt;=60,"B",IF(J38&gt;=40,"C",IF(J38&gt;=20,"D","E"))))))</f>
        <v/>
      </c>
      <c r="L38" s="15">
        <f>IF(K38="","",IF(K38="A","Cemerlang",IF(K38="B","Kepujian",IF(K38="C","Baik",IF(K38="D","Kurang Memuaskan",IF(K38="E","Tidak Memuaskan","Tidak Laksana"))))))</f>
        <v/>
      </c>
    </row>
    <row r="39">
      <c r="A39" s="15">
        <f>Murid!A39</f>
        <v/>
      </c>
      <c r="B39" s="15">
        <f>IF(Murid!B39="","",Murid!B39)</f>
        <v/>
      </c>
      <c r="C39" s="16">
        <f>IF(Murid!C39="","",Murid!C39)</f>
        <v/>
      </c>
      <c r="D39" s="15">
        <f>IF(Murid!E39="","",Murid!E39)</f>
        <v/>
      </c>
      <c r="E39" s="17">
        <f>KP!X39</f>
        <v/>
      </c>
      <c r="F39" s="17">
        <f>UB!X39</f>
        <v/>
      </c>
      <c r="G39" s="17">
        <f>SP!X39</f>
        <v/>
      </c>
      <c r="H39" s="17">
        <f>IF(COUNT(E39:G39)=0,"",ROUND((LARGE(E39:G39,1)+IF(COUNT(E39:G39)&gt;=2,LARGE(E39:G39,2),0))/2,2))</f>
        <v/>
      </c>
      <c r="I39" s="10">
        <f>Ekstra!U39</f>
        <v/>
      </c>
      <c r="J39" s="18">
        <f>IF(B39="","",IF(Murid!F39="TL","TL",IF(H39="","",MIN(100,ROUND(H39+N(I39),2)))))</f>
        <v/>
      </c>
      <c r="K39" s="19">
        <f>IF(J39="","",IF(J39="TL","TL",IF(J39&gt;=80,"A",IF(J39&gt;=60,"B",IF(J39&gt;=40,"C",IF(J39&gt;=20,"D","E"))))))</f>
        <v/>
      </c>
      <c r="L39" s="15">
        <f>IF(K39="","",IF(K39="A","Cemerlang",IF(K39="B","Kepujian",IF(K39="C","Baik",IF(K39="D","Kurang Memuaskan",IF(K39="E","Tidak Memuaskan","Tidak Laksana"))))))</f>
        <v/>
      </c>
    </row>
    <row r="40">
      <c r="A40" s="15">
        <f>Murid!A40</f>
        <v/>
      </c>
      <c r="B40" s="15">
        <f>IF(Murid!B40="","",Murid!B40)</f>
        <v/>
      </c>
      <c r="C40" s="16">
        <f>IF(Murid!C40="","",Murid!C40)</f>
        <v/>
      </c>
      <c r="D40" s="15">
        <f>IF(Murid!E40="","",Murid!E40)</f>
        <v/>
      </c>
      <c r="E40" s="17">
        <f>KP!X40</f>
        <v/>
      </c>
      <c r="F40" s="17">
        <f>UB!X40</f>
        <v/>
      </c>
      <c r="G40" s="17">
        <f>SP!X40</f>
        <v/>
      </c>
      <c r="H40" s="17">
        <f>IF(COUNT(E40:G40)=0,"",ROUND((LARGE(E40:G40,1)+IF(COUNT(E40:G40)&gt;=2,LARGE(E40:G40,2),0))/2,2))</f>
        <v/>
      </c>
      <c r="I40" s="10">
        <f>Ekstra!U40</f>
        <v/>
      </c>
      <c r="J40" s="18">
        <f>IF(B40="","",IF(Murid!F40="TL","TL",IF(H40="","",MIN(100,ROUND(H40+N(I40),2)))))</f>
        <v/>
      </c>
      <c r="K40" s="19">
        <f>IF(J40="","",IF(J40="TL","TL",IF(J40&gt;=80,"A",IF(J40&gt;=60,"B",IF(J40&gt;=40,"C",IF(J40&gt;=20,"D","E"))))))</f>
        <v/>
      </c>
      <c r="L40" s="15">
        <f>IF(K40="","",IF(K40="A","Cemerlang",IF(K40="B","Kepujian",IF(K40="C","Baik",IF(K40="D","Kurang Memuaskan",IF(K40="E","Tidak Memuaskan","Tidak Laksana"))))))</f>
        <v/>
      </c>
    </row>
    <row r="41">
      <c r="A41" s="15">
        <f>Murid!A41</f>
        <v/>
      </c>
      <c r="B41" s="15">
        <f>IF(Murid!B41="","",Murid!B41)</f>
        <v/>
      </c>
      <c r="C41" s="16">
        <f>IF(Murid!C41="","",Murid!C41)</f>
        <v/>
      </c>
      <c r="D41" s="15">
        <f>IF(Murid!E41="","",Murid!E41)</f>
        <v/>
      </c>
      <c r="E41" s="17">
        <f>KP!X41</f>
        <v/>
      </c>
      <c r="F41" s="17">
        <f>UB!X41</f>
        <v/>
      </c>
      <c r="G41" s="17">
        <f>SP!X41</f>
        <v/>
      </c>
      <c r="H41" s="17">
        <f>IF(COUNT(E41:G41)=0,"",ROUND((LARGE(E41:G41,1)+IF(COUNT(E41:G41)&gt;=2,LARGE(E41:G41,2),0))/2,2))</f>
        <v/>
      </c>
      <c r="I41" s="10">
        <f>Ekstra!U41</f>
        <v/>
      </c>
      <c r="J41" s="18">
        <f>IF(B41="","",IF(Murid!F41="TL","TL",IF(H41="","",MIN(100,ROUND(H41+N(I41),2)))))</f>
        <v/>
      </c>
      <c r="K41" s="19">
        <f>IF(J41="","",IF(J41="TL","TL",IF(J41&gt;=80,"A",IF(J41&gt;=60,"B",IF(J41&gt;=40,"C",IF(J41&gt;=20,"D","E"))))))</f>
        <v/>
      </c>
      <c r="L41" s="15">
        <f>IF(K41="","",IF(K41="A","Cemerlang",IF(K41="B","Kepujian",IF(K41="C","Baik",IF(K41="D","Kurang Memuaskan",IF(K41="E","Tidak Memuaskan","Tidak Laksana"))))))</f>
        <v/>
      </c>
    </row>
    <row r="42">
      <c r="A42" s="15">
        <f>Murid!A42</f>
        <v/>
      </c>
      <c r="B42" s="15">
        <f>IF(Murid!B42="","",Murid!B42)</f>
        <v/>
      </c>
      <c r="C42" s="16">
        <f>IF(Murid!C42="","",Murid!C42)</f>
        <v/>
      </c>
      <c r="D42" s="15">
        <f>IF(Murid!E42="","",Murid!E42)</f>
        <v/>
      </c>
      <c r="E42" s="17">
        <f>KP!X42</f>
        <v/>
      </c>
      <c r="F42" s="17">
        <f>UB!X42</f>
        <v/>
      </c>
      <c r="G42" s="17">
        <f>SP!X42</f>
        <v/>
      </c>
      <c r="H42" s="17">
        <f>IF(COUNT(E42:G42)=0,"",ROUND((LARGE(E42:G42,1)+IF(COUNT(E42:G42)&gt;=2,LARGE(E42:G42,2),0))/2,2))</f>
        <v/>
      </c>
      <c r="I42" s="10">
        <f>Ekstra!U42</f>
        <v/>
      </c>
      <c r="J42" s="18">
        <f>IF(B42="","",IF(Murid!F42="TL","TL",IF(H42="","",MIN(100,ROUND(H42+N(I42),2)))))</f>
        <v/>
      </c>
      <c r="K42" s="19">
        <f>IF(J42="","",IF(J42="TL","TL",IF(J42&gt;=80,"A",IF(J42&gt;=60,"B",IF(J42&gt;=40,"C",IF(J42&gt;=20,"D","E"))))))</f>
        <v/>
      </c>
      <c r="L42" s="15">
        <f>IF(K42="","",IF(K42="A","Cemerlang",IF(K42="B","Kepujian",IF(K42="C","Baik",IF(K42="D","Kurang Memuaskan",IF(K42="E","Tidak Memuaskan","Tidak Laksana"))))))</f>
        <v/>
      </c>
    </row>
    <row r="43">
      <c r="A43" s="15">
        <f>Murid!A43</f>
        <v/>
      </c>
      <c r="B43" s="15">
        <f>IF(Murid!B43="","",Murid!B43)</f>
        <v/>
      </c>
      <c r="C43" s="16">
        <f>IF(Murid!C43="","",Murid!C43)</f>
        <v/>
      </c>
      <c r="D43" s="15">
        <f>IF(Murid!E43="","",Murid!E43)</f>
        <v/>
      </c>
      <c r="E43" s="17">
        <f>KP!X43</f>
        <v/>
      </c>
      <c r="F43" s="17">
        <f>UB!X43</f>
        <v/>
      </c>
      <c r="G43" s="17">
        <f>SP!X43</f>
        <v/>
      </c>
      <c r="H43" s="17">
        <f>IF(COUNT(E43:G43)=0,"",ROUND((LARGE(E43:G43,1)+IF(COUNT(E43:G43)&gt;=2,LARGE(E43:G43,2),0))/2,2))</f>
        <v/>
      </c>
      <c r="I43" s="10">
        <f>Ekstra!U43</f>
        <v/>
      </c>
      <c r="J43" s="18">
        <f>IF(B43="","",IF(Murid!F43="TL","TL",IF(H43="","",MIN(100,ROUND(H43+N(I43),2)))))</f>
        <v/>
      </c>
      <c r="K43" s="19">
        <f>IF(J43="","",IF(J43="TL","TL",IF(J43&gt;=80,"A",IF(J43&gt;=60,"B",IF(J43&gt;=40,"C",IF(J43&gt;=20,"D","E"))))))</f>
        <v/>
      </c>
      <c r="L43" s="15">
        <f>IF(K43="","",IF(K43="A","Cemerlang",IF(K43="B","Kepujian",IF(K43="C","Baik",IF(K43="D","Kurang Memuaskan",IF(K43="E","Tidak Memuaskan","Tidak Laksana"))))))</f>
        <v/>
      </c>
    </row>
    <row r="44">
      <c r="A44" s="15">
        <f>Murid!A44</f>
        <v/>
      </c>
      <c r="B44" s="15">
        <f>IF(Murid!B44="","",Murid!B44)</f>
        <v/>
      </c>
      <c r="C44" s="16">
        <f>IF(Murid!C44="","",Murid!C44)</f>
        <v/>
      </c>
      <c r="D44" s="15">
        <f>IF(Murid!E44="","",Murid!E44)</f>
        <v/>
      </c>
      <c r="E44" s="17">
        <f>KP!X44</f>
        <v/>
      </c>
      <c r="F44" s="17">
        <f>UB!X44</f>
        <v/>
      </c>
      <c r="G44" s="17">
        <f>SP!X44</f>
        <v/>
      </c>
      <c r="H44" s="17">
        <f>IF(COUNT(E44:G44)=0,"",ROUND((LARGE(E44:G44,1)+IF(COUNT(E44:G44)&gt;=2,LARGE(E44:G44,2),0))/2,2))</f>
        <v/>
      </c>
      <c r="I44" s="10">
        <f>Ekstra!U44</f>
        <v/>
      </c>
      <c r="J44" s="18">
        <f>IF(B44="","",IF(Murid!F44="TL","TL",IF(H44="","",MIN(100,ROUND(H44+N(I44),2)))))</f>
        <v/>
      </c>
      <c r="K44" s="19">
        <f>IF(J44="","",IF(J44="TL","TL",IF(J44&gt;=80,"A",IF(J44&gt;=60,"B",IF(J44&gt;=40,"C",IF(J44&gt;=20,"D","E"))))))</f>
        <v/>
      </c>
      <c r="L44" s="15">
        <f>IF(K44="","",IF(K44="A","Cemerlang",IF(K44="B","Kepujian",IF(K44="C","Baik",IF(K44="D","Kurang Memuaskan",IF(K44="E","Tidak Memuaskan","Tidak Laksana"))))))</f>
        <v/>
      </c>
    </row>
    <row r="45">
      <c r="A45" s="15">
        <f>Murid!A45</f>
        <v/>
      </c>
      <c r="B45" s="15">
        <f>IF(Murid!B45="","",Murid!B45)</f>
        <v/>
      </c>
      <c r="C45" s="16">
        <f>IF(Murid!C45="","",Murid!C45)</f>
        <v/>
      </c>
      <c r="D45" s="15">
        <f>IF(Murid!E45="","",Murid!E45)</f>
        <v/>
      </c>
      <c r="E45" s="17">
        <f>KP!X45</f>
        <v/>
      </c>
      <c r="F45" s="17">
        <f>UB!X45</f>
        <v/>
      </c>
      <c r="G45" s="17">
        <f>SP!X45</f>
        <v/>
      </c>
      <c r="H45" s="17">
        <f>IF(COUNT(E45:G45)=0,"",ROUND((LARGE(E45:G45,1)+IF(COUNT(E45:G45)&gt;=2,LARGE(E45:G45,2),0))/2,2))</f>
        <v/>
      </c>
      <c r="I45" s="10">
        <f>Ekstra!U45</f>
        <v/>
      </c>
      <c r="J45" s="18">
        <f>IF(B45="","",IF(Murid!F45="TL","TL",IF(H45="","",MIN(100,ROUND(H45+N(I45),2)))))</f>
        <v/>
      </c>
      <c r="K45" s="19">
        <f>IF(J45="","",IF(J45="TL","TL",IF(J45&gt;=80,"A",IF(J45&gt;=60,"B",IF(J45&gt;=40,"C",IF(J45&gt;=20,"D","E"))))))</f>
        <v/>
      </c>
      <c r="L45" s="15">
        <f>IF(K45="","",IF(K45="A","Cemerlang",IF(K45="B","Kepujian",IF(K45="C","Baik",IF(K45="D","Kurang Memuaskan",IF(K45="E","Tidak Memuaskan","Tidak Laksana"))))))</f>
        <v/>
      </c>
    </row>
    <row r="46">
      <c r="A46" s="15">
        <f>Murid!A46</f>
        <v/>
      </c>
      <c r="B46" s="15">
        <f>IF(Murid!B46="","",Murid!B46)</f>
        <v/>
      </c>
      <c r="C46" s="16">
        <f>IF(Murid!C46="","",Murid!C46)</f>
        <v/>
      </c>
      <c r="D46" s="15">
        <f>IF(Murid!E46="","",Murid!E46)</f>
        <v/>
      </c>
      <c r="E46" s="17">
        <f>KP!X46</f>
        <v/>
      </c>
      <c r="F46" s="17">
        <f>UB!X46</f>
        <v/>
      </c>
      <c r="G46" s="17">
        <f>SP!X46</f>
        <v/>
      </c>
      <c r="H46" s="17">
        <f>IF(COUNT(E46:G46)=0,"",ROUND((LARGE(E46:G46,1)+IF(COUNT(E46:G46)&gt;=2,LARGE(E46:G46,2),0))/2,2))</f>
        <v/>
      </c>
      <c r="I46" s="10">
        <f>Ekstra!U46</f>
        <v/>
      </c>
      <c r="J46" s="18">
        <f>IF(B46="","",IF(Murid!F46="TL","TL",IF(H46="","",MIN(100,ROUND(H46+N(I46),2)))))</f>
        <v/>
      </c>
      <c r="K46" s="19">
        <f>IF(J46="","",IF(J46="TL","TL",IF(J46&gt;=80,"A",IF(J46&gt;=60,"B",IF(J46&gt;=40,"C",IF(J46&gt;=20,"D","E"))))))</f>
        <v/>
      </c>
      <c r="L46" s="15">
        <f>IF(K46="","",IF(K46="A","Cemerlang",IF(K46="B","Kepujian",IF(K46="C","Baik",IF(K46="D","Kurang Memuaskan",IF(K46="E","Tidak Memuaskan","Tidak Laksana"))))))</f>
        <v/>
      </c>
    </row>
    <row r="47">
      <c r="A47" s="15">
        <f>Murid!A47</f>
        <v/>
      </c>
      <c r="B47" s="15">
        <f>IF(Murid!B47="","",Murid!B47)</f>
        <v/>
      </c>
      <c r="C47" s="16">
        <f>IF(Murid!C47="","",Murid!C47)</f>
        <v/>
      </c>
      <c r="D47" s="15">
        <f>IF(Murid!E47="","",Murid!E47)</f>
        <v/>
      </c>
      <c r="E47" s="17">
        <f>KP!X47</f>
        <v/>
      </c>
      <c r="F47" s="17">
        <f>UB!X47</f>
        <v/>
      </c>
      <c r="G47" s="17">
        <f>SP!X47</f>
        <v/>
      </c>
      <c r="H47" s="17">
        <f>IF(COUNT(E47:G47)=0,"",ROUND((LARGE(E47:G47,1)+IF(COUNT(E47:G47)&gt;=2,LARGE(E47:G47,2),0))/2,2))</f>
        <v/>
      </c>
      <c r="I47" s="10">
        <f>Ekstra!U47</f>
        <v/>
      </c>
      <c r="J47" s="18">
        <f>IF(B47="","",IF(Murid!F47="TL","TL",IF(H47="","",MIN(100,ROUND(H47+N(I47),2)))))</f>
        <v/>
      </c>
      <c r="K47" s="19">
        <f>IF(J47="","",IF(J47="TL","TL",IF(J47&gt;=80,"A",IF(J47&gt;=60,"B",IF(J47&gt;=40,"C",IF(J47&gt;=20,"D","E"))))))</f>
        <v/>
      </c>
      <c r="L47" s="15">
        <f>IF(K47="","",IF(K47="A","Cemerlang",IF(K47="B","Kepujian",IF(K47="C","Baik",IF(K47="D","Kurang Memuaskan",IF(K47="E","Tidak Memuaskan","Tidak Laksana"))))))</f>
        <v/>
      </c>
    </row>
    <row r="48">
      <c r="A48" s="15">
        <f>Murid!A48</f>
        <v/>
      </c>
      <c r="B48" s="15">
        <f>IF(Murid!B48="","",Murid!B48)</f>
        <v/>
      </c>
      <c r="C48" s="16">
        <f>IF(Murid!C48="","",Murid!C48)</f>
        <v/>
      </c>
      <c r="D48" s="15">
        <f>IF(Murid!E48="","",Murid!E48)</f>
        <v/>
      </c>
      <c r="E48" s="17">
        <f>KP!X48</f>
        <v/>
      </c>
      <c r="F48" s="17">
        <f>UB!X48</f>
        <v/>
      </c>
      <c r="G48" s="17">
        <f>SP!X48</f>
        <v/>
      </c>
      <c r="H48" s="17">
        <f>IF(COUNT(E48:G48)=0,"",ROUND((LARGE(E48:G48,1)+IF(COUNT(E48:G48)&gt;=2,LARGE(E48:G48,2),0))/2,2))</f>
        <v/>
      </c>
      <c r="I48" s="10">
        <f>Ekstra!U48</f>
        <v/>
      </c>
      <c r="J48" s="18">
        <f>IF(B48="","",IF(Murid!F48="TL","TL",IF(H48="","",MIN(100,ROUND(H48+N(I48),2)))))</f>
        <v/>
      </c>
      <c r="K48" s="19">
        <f>IF(J48="","",IF(J48="TL","TL",IF(J48&gt;=80,"A",IF(J48&gt;=60,"B",IF(J48&gt;=40,"C",IF(J48&gt;=20,"D","E"))))))</f>
        <v/>
      </c>
      <c r="L48" s="15">
        <f>IF(K48="","",IF(K48="A","Cemerlang",IF(K48="B","Kepujian",IF(K48="C","Baik",IF(K48="D","Kurang Memuaskan",IF(K48="E","Tidak Memuaskan","Tidak Laksana"))))))</f>
        <v/>
      </c>
    </row>
    <row r="49">
      <c r="A49" s="15">
        <f>Murid!A49</f>
        <v/>
      </c>
      <c r="B49" s="15">
        <f>IF(Murid!B49="","",Murid!B49)</f>
        <v/>
      </c>
      <c r="C49" s="16">
        <f>IF(Murid!C49="","",Murid!C49)</f>
        <v/>
      </c>
      <c r="D49" s="15">
        <f>IF(Murid!E49="","",Murid!E49)</f>
        <v/>
      </c>
      <c r="E49" s="17">
        <f>KP!X49</f>
        <v/>
      </c>
      <c r="F49" s="17">
        <f>UB!X49</f>
        <v/>
      </c>
      <c r="G49" s="17">
        <f>SP!X49</f>
        <v/>
      </c>
      <c r="H49" s="17">
        <f>IF(COUNT(E49:G49)=0,"",ROUND((LARGE(E49:G49,1)+IF(COUNT(E49:G49)&gt;=2,LARGE(E49:G49,2),0))/2,2))</f>
        <v/>
      </c>
      <c r="I49" s="10">
        <f>Ekstra!U49</f>
        <v/>
      </c>
      <c r="J49" s="18">
        <f>IF(B49="","",IF(Murid!F49="TL","TL",IF(H49="","",MIN(100,ROUND(H49+N(I49),2)))))</f>
        <v/>
      </c>
      <c r="K49" s="19">
        <f>IF(J49="","",IF(J49="TL","TL",IF(J49&gt;=80,"A",IF(J49&gt;=60,"B",IF(J49&gt;=40,"C",IF(J49&gt;=20,"D","E"))))))</f>
        <v/>
      </c>
      <c r="L49" s="15">
        <f>IF(K49="","",IF(K49="A","Cemerlang",IF(K49="B","Kepujian",IF(K49="C","Baik",IF(K49="D","Kurang Memuaskan",IF(K49="E","Tidak Memuaskan","Tidak Laksana"))))))</f>
        <v/>
      </c>
    </row>
    <row r="50">
      <c r="A50" s="15">
        <f>Murid!A50</f>
        <v/>
      </c>
      <c r="B50" s="15">
        <f>IF(Murid!B50="","",Murid!B50)</f>
        <v/>
      </c>
      <c r="C50" s="16">
        <f>IF(Murid!C50="","",Murid!C50)</f>
        <v/>
      </c>
      <c r="D50" s="15">
        <f>IF(Murid!E50="","",Murid!E50)</f>
        <v/>
      </c>
      <c r="E50" s="17">
        <f>KP!X50</f>
        <v/>
      </c>
      <c r="F50" s="17">
        <f>UB!X50</f>
        <v/>
      </c>
      <c r="G50" s="17">
        <f>SP!X50</f>
        <v/>
      </c>
      <c r="H50" s="17">
        <f>IF(COUNT(E50:G50)=0,"",ROUND((LARGE(E50:G50,1)+IF(COUNT(E50:G50)&gt;=2,LARGE(E50:G50,2),0))/2,2))</f>
        <v/>
      </c>
      <c r="I50" s="10">
        <f>Ekstra!U50</f>
        <v/>
      </c>
      <c r="J50" s="18">
        <f>IF(B50="","",IF(Murid!F50="TL","TL",IF(H50="","",MIN(100,ROUND(H50+N(I50),2)))))</f>
        <v/>
      </c>
      <c r="K50" s="19">
        <f>IF(J50="","",IF(J50="TL","TL",IF(J50&gt;=80,"A",IF(J50&gt;=60,"B",IF(J50&gt;=40,"C",IF(J50&gt;=20,"D","E"))))))</f>
        <v/>
      </c>
      <c r="L50" s="15">
        <f>IF(K50="","",IF(K50="A","Cemerlang",IF(K50="B","Kepujian",IF(K50="C","Baik",IF(K50="D","Kurang Memuaskan",IF(K50="E","Tidak Memuaskan","Tidak Laksana"))))))</f>
        <v/>
      </c>
    </row>
    <row r="51">
      <c r="A51" s="15">
        <f>Murid!A51</f>
        <v/>
      </c>
      <c r="B51" s="15">
        <f>IF(Murid!B51="","",Murid!B51)</f>
        <v/>
      </c>
      <c r="C51" s="16">
        <f>IF(Murid!C51="","",Murid!C51)</f>
        <v/>
      </c>
      <c r="D51" s="15">
        <f>IF(Murid!E51="","",Murid!E51)</f>
        <v/>
      </c>
      <c r="E51" s="17">
        <f>KP!X51</f>
        <v/>
      </c>
      <c r="F51" s="17">
        <f>UB!X51</f>
        <v/>
      </c>
      <c r="G51" s="17">
        <f>SP!X51</f>
        <v/>
      </c>
      <c r="H51" s="17">
        <f>IF(COUNT(E51:G51)=0,"",ROUND((LARGE(E51:G51,1)+IF(COUNT(E51:G51)&gt;=2,LARGE(E51:G51,2),0))/2,2))</f>
        <v/>
      </c>
      <c r="I51" s="10">
        <f>Ekstra!U51</f>
        <v/>
      </c>
      <c r="J51" s="18">
        <f>IF(B51="","",IF(Murid!F51="TL","TL",IF(H51="","",MIN(100,ROUND(H51+N(I51),2)))))</f>
        <v/>
      </c>
      <c r="K51" s="19">
        <f>IF(J51="","",IF(J51="TL","TL",IF(J51&gt;=80,"A",IF(J51&gt;=60,"B",IF(J51&gt;=40,"C",IF(J51&gt;=20,"D","E"))))))</f>
        <v/>
      </c>
      <c r="L51" s="15">
        <f>IF(K51="","",IF(K51="A","Cemerlang",IF(K51="B","Kepujian",IF(K51="C","Baik",IF(K51="D","Kurang Memuaskan",IF(K51="E","Tidak Memuaskan","Tidak Laksana"))))))</f>
        <v/>
      </c>
    </row>
    <row r="52">
      <c r="A52" s="15">
        <f>Murid!A52</f>
        <v/>
      </c>
      <c r="B52" s="15">
        <f>IF(Murid!B52="","",Murid!B52)</f>
        <v/>
      </c>
      <c r="C52" s="16">
        <f>IF(Murid!C52="","",Murid!C52)</f>
        <v/>
      </c>
      <c r="D52" s="15">
        <f>IF(Murid!E52="","",Murid!E52)</f>
        <v/>
      </c>
      <c r="E52" s="17">
        <f>KP!X52</f>
        <v/>
      </c>
      <c r="F52" s="17">
        <f>UB!X52</f>
        <v/>
      </c>
      <c r="G52" s="17">
        <f>SP!X52</f>
        <v/>
      </c>
      <c r="H52" s="17">
        <f>IF(COUNT(E52:G52)=0,"",ROUND((LARGE(E52:G52,1)+IF(COUNT(E52:G52)&gt;=2,LARGE(E52:G52,2),0))/2,2))</f>
        <v/>
      </c>
      <c r="I52" s="10">
        <f>Ekstra!U52</f>
        <v/>
      </c>
      <c r="J52" s="18">
        <f>IF(B52="","",IF(Murid!F52="TL","TL",IF(H52="","",MIN(100,ROUND(H52+N(I52),2)))))</f>
        <v/>
      </c>
      <c r="K52" s="19">
        <f>IF(J52="","",IF(J52="TL","TL",IF(J52&gt;=80,"A",IF(J52&gt;=60,"B",IF(J52&gt;=40,"C",IF(J52&gt;=20,"D","E"))))))</f>
        <v/>
      </c>
      <c r="L52" s="15">
        <f>IF(K52="","",IF(K52="A","Cemerlang",IF(K52="B","Kepujian",IF(K52="C","Baik",IF(K52="D","Kurang Memuaskan",IF(K52="E","Tidak Memuaskan","Tidak Laksana"))))))</f>
        <v/>
      </c>
    </row>
    <row r="53">
      <c r="A53" s="15">
        <f>Murid!A53</f>
        <v/>
      </c>
      <c r="B53" s="15">
        <f>IF(Murid!B53="","",Murid!B53)</f>
        <v/>
      </c>
      <c r="C53" s="16">
        <f>IF(Murid!C53="","",Murid!C53)</f>
        <v/>
      </c>
      <c r="D53" s="15">
        <f>IF(Murid!E53="","",Murid!E53)</f>
        <v/>
      </c>
      <c r="E53" s="17">
        <f>KP!X53</f>
        <v/>
      </c>
      <c r="F53" s="17">
        <f>UB!X53</f>
        <v/>
      </c>
      <c r="G53" s="17">
        <f>SP!X53</f>
        <v/>
      </c>
      <c r="H53" s="17">
        <f>IF(COUNT(E53:G53)=0,"",ROUND((LARGE(E53:G53,1)+IF(COUNT(E53:G53)&gt;=2,LARGE(E53:G53,2),0))/2,2))</f>
        <v/>
      </c>
      <c r="I53" s="10">
        <f>Ekstra!U53</f>
        <v/>
      </c>
      <c r="J53" s="18">
        <f>IF(B53="","",IF(Murid!F53="TL","TL",IF(H53="","",MIN(100,ROUND(H53+N(I53),2)))))</f>
        <v/>
      </c>
      <c r="K53" s="19">
        <f>IF(J53="","",IF(J53="TL","TL",IF(J53&gt;=80,"A",IF(J53&gt;=60,"B",IF(J53&gt;=40,"C",IF(J53&gt;=20,"D","E"))))))</f>
        <v/>
      </c>
      <c r="L53" s="15">
        <f>IF(K53="","",IF(K53="A","Cemerlang",IF(K53="B","Kepujian",IF(K53="C","Baik",IF(K53="D","Kurang Memuaskan",IF(K53="E","Tidak Memuaskan","Tidak Laksana"))))))</f>
        <v/>
      </c>
    </row>
    <row r="54">
      <c r="A54" s="15">
        <f>Murid!A54</f>
        <v/>
      </c>
      <c r="B54" s="15">
        <f>IF(Murid!B54="","",Murid!B54)</f>
        <v/>
      </c>
      <c r="C54" s="16">
        <f>IF(Murid!C54="","",Murid!C54)</f>
        <v/>
      </c>
      <c r="D54" s="15">
        <f>IF(Murid!E54="","",Murid!E54)</f>
        <v/>
      </c>
      <c r="E54" s="17">
        <f>KP!X54</f>
        <v/>
      </c>
      <c r="F54" s="17">
        <f>UB!X54</f>
        <v/>
      </c>
      <c r="G54" s="17">
        <f>SP!X54</f>
        <v/>
      </c>
      <c r="H54" s="17">
        <f>IF(COUNT(E54:G54)=0,"",ROUND((LARGE(E54:G54,1)+IF(COUNT(E54:G54)&gt;=2,LARGE(E54:G54,2),0))/2,2))</f>
        <v/>
      </c>
      <c r="I54" s="10">
        <f>Ekstra!U54</f>
        <v/>
      </c>
      <c r="J54" s="18">
        <f>IF(B54="","",IF(Murid!F54="TL","TL",IF(H54="","",MIN(100,ROUND(H54+N(I54),2)))))</f>
        <v/>
      </c>
      <c r="K54" s="19">
        <f>IF(J54="","",IF(J54="TL","TL",IF(J54&gt;=80,"A",IF(J54&gt;=60,"B",IF(J54&gt;=40,"C",IF(J54&gt;=20,"D","E"))))))</f>
        <v/>
      </c>
      <c r="L54" s="15">
        <f>IF(K54="","",IF(K54="A","Cemerlang",IF(K54="B","Kepujian",IF(K54="C","Baik",IF(K54="D","Kurang Memuaskan",IF(K54="E","Tidak Memuaskan","Tidak Laksana"))))))</f>
        <v/>
      </c>
    </row>
    <row r="55">
      <c r="A55" s="15">
        <f>Murid!A55</f>
        <v/>
      </c>
      <c r="B55" s="15">
        <f>IF(Murid!B55="","",Murid!B55)</f>
        <v/>
      </c>
      <c r="C55" s="16">
        <f>IF(Murid!C55="","",Murid!C55)</f>
        <v/>
      </c>
      <c r="D55" s="15">
        <f>IF(Murid!E55="","",Murid!E55)</f>
        <v/>
      </c>
      <c r="E55" s="17">
        <f>KP!X55</f>
        <v/>
      </c>
      <c r="F55" s="17">
        <f>UB!X55</f>
        <v/>
      </c>
      <c r="G55" s="17">
        <f>SP!X55</f>
        <v/>
      </c>
      <c r="H55" s="17">
        <f>IF(COUNT(E55:G55)=0,"",ROUND((LARGE(E55:G55,1)+IF(COUNT(E55:G55)&gt;=2,LARGE(E55:G55,2),0))/2,2))</f>
        <v/>
      </c>
      <c r="I55" s="10">
        <f>Ekstra!U55</f>
        <v/>
      </c>
      <c r="J55" s="18">
        <f>IF(B55="","",IF(Murid!F55="TL","TL",IF(H55="","",MIN(100,ROUND(H55+N(I55),2)))))</f>
        <v/>
      </c>
      <c r="K55" s="19">
        <f>IF(J55="","",IF(J55="TL","TL",IF(J55&gt;=80,"A",IF(J55&gt;=60,"B",IF(J55&gt;=40,"C",IF(J55&gt;=20,"D","E"))))))</f>
        <v/>
      </c>
      <c r="L55" s="15">
        <f>IF(K55="","",IF(K55="A","Cemerlang",IF(K55="B","Kepujian",IF(K55="C","Baik",IF(K55="D","Kurang Memuaskan",IF(K55="E","Tidak Memuaskan","Tidak Laksana"))))))</f>
        <v/>
      </c>
    </row>
    <row r="56">
      <c r="A56" s="15">
        <f>Murid!A56</f>
        <v/>
      </c>
      <c r="B56" s="15">
        <f>IF(Murid!B56="","",Murid!B56)</f>
        <v/>
      </c>
      <c r="C56" s="16">
        <f>IF(Murid!C56="","",Murid!C56)</f>
        <v/>
      </c>
      <c r="D56" s="15">
        <f>IF(Murid!E56="","",Murid!E56)</f>
        <v/>
      </c>
      <c r="E56" s="17">
        <f>KP!X56</f>
        <v/>
      </c>
      <c r="F56" s="17">
        <f>UB!X56</f>
        <v/>
      </c>
      <c r="G56" s="17">
        <f>SP!X56</f>
        <v/>
      </c>
      <c r="H56" s="17">
        <f>IF(COUNT(E56:G56)=0,"",ROUND((LARGE(E56:G56,1)+IF(COUNT(E56:G56)&gt;=2,LARGE(E56:G56,2),0))/2,2))</f>
        <v/>
      </c>
      <c r="I56" s="10">
        <f>Ekstra!U56</f>
        <v/>
      </c>
      <c r="J56" s="18">
        <f>IF(B56="","",IF(Murid!F56="TL","TL",IF(H56="","",MIN(100,ROUND(H56+N(I56),2)))))</f>
        <v/>
      </c>
      <c r="K56" s="19">
        <f>IF(J56="","",IF(J56="TL","TL",IF(J56&gt;=80,"A",IF(J56&gt;=60,"B",IF(J56&gt;=40,"C",IF(J56&gt;=20,"D","E"))))))</f>
        <v/>
      </c>
      <c r="L56" s="15">
        <f>IF(K56="","",IF(K56="A","Cemerlang",IF(K56="B","Kepujian",IF(K56="C","Baik",IF(K56="D","Kurang Memuaskan",IF(K56="E","Tidak Memuaskan","Tidak Laksana"))))))</f>
        <v/>
      </c>
    </row>
    <row r="57">
      <c r="A57" s="15">
        <f>Murid!A57</f>
        <v/>
      </c>
      <c r="B57" s="15">
        <f>IF(Murid!B57="","",Murid!B57)</f>
        <v/>
      </c>
      <c r="C57" s="16">
        <f>IF(Murid!C57="","",Murid!C57)</f>
        <v/>
      </c>
      <c r="D57" s="15">
        <f>IF(Murid!E57="","",Murid!E57)</f>
        <v/>
      </c>
      <c r="E57" s="17">
        <f>KP!X57</f>
        <v/>
      </c>
      <c r="F57" s="17">
        <f>UB!X57</f>
        <v/>
      </c>
      <c r="G57" s="17">
        <f>SP!X57</f>
        <v/>
      </c>
      <c r="H57" s="17">
        <f>IF(COUNT(E57:G57)=0,"",ROUND((LARGE(E57:G57,1)+IF(COUNT(E57:G57)&gt;=2,LARGE(E57:G57,2),0))/2,2))</f>
        <v/>
      </c>
      <c r="I57" s="10">
        <f>Ekstra!U57</f>
        <v/>
      </c>
      <c r="J57" s="18">
        <f>IF(B57="","",IF(Murid!F57="TL","TL",IF(H57="","",MIN(100,ROUND(H57+N(I57),2)))))</f>
        <v/>
      </c>
      <c r="K57" s="19">
        <f>IF(J57="","",IF(J57="TL","TL",IF(J57&gt;=80,"A",IF(J57&gt;=60,"B",IF(J57&gt;=40,"C",IF(J57&gt;=20,"D","E"))))))</f>
        <v/>
      </c>
      <c r="L57" s="15">
        <f>IF(K57="","",IF(K57="A","Cemerlang",IF(K57="B","Kepujian",IF(K57="C","Baik",IF(K57="D","Kurang Memuaskan",IF(K57="E","Tidak Memuaskan","Tidak Laksana"))))))</f>
        <v/>
      </c>
    </row>
    <row r="58">
      <c r="A58" s="15">
        <f>Murid!A58</f>
        <v/>
      </c>
      <c r="B58" s="15">
        <f>IF(Murid!B58="","",Murid!B58)</f>
        <v/>
      </c>
      <c r="C58" s="16">
        <f>IF(Murid!C58="","",Murid!C58)</f>
        <v/>
      </c>
      <c r="D58" s="15">
        <f>IF(Murid!E58="","",Murid!E58)</f>
        <v/>
      </c>
      <c r="E58" s="17">
        <f>KP!X58</f>
        <v/>
      </c>
      <c r="F58" s="17">
        <f>UB!X58</f>
        <v/>
      </c>
      <c r="G58" s="17">
        <f>SP!X58</f>
        <v/>
      </c>
      <c r="H58" s="17">
        <f>IF(COUNT(E58:G58)=0,"",ROUND((LARGE(E58:G58,1)+IF(COUNT(E58:G58)&gt;=2,LARGE(E58:G58,2),0))/2,2))</f>
        <v/>
      </c>
      <c r="I58" s="10">
        <f>Ekstra!U58</f>
        <v/>
      </c>
      <c r="J58" s="18">
        <f>IF(B58="","",IF(Murid!F58="TL","TL",IF(H58="","",MIN(100,ROUND(H58+N(I58),2)))))</f>
        <v/>
      </c>
      <c r="K58" s="19">
        <f>IF(J58="","",IF(J58="TL","TL",IF(J58&gt;=80,"A",IF(J58&gt;=60,"B",IF(J58&gt;=40,"C",IF(J58&gt;=20,"D","E"))))))</f>
        <v/>
      </c>
      <c r="L58" s="15">
        <f>IF(K58="","",IF(K58="A","Cemerlang",IF(K58="B","Kepujian",IF(K58="C","Baik",IF(K58="D","Kurang Memuaskan",IF(K58="E","Tidak Memuaskan","Tidak Laksana"))))))</f>
        <v/>
      </c>
    </row>
    <row r="59">
      <c r="A59" s="15">
        <f>Murid!A59</f>
        <v/>
      </c>
      <c r="B59" s="15">
        <f>IF(Murid!B59="","",Murid!B59)</f>
        <v/>
      </c>
      <c r="C59" s="16">
        <f>IF(Murid!C59="","",Murid!C59)</f>
        <v/>
      </c>
      <c r="D59" s="15">
        <f>IF(Murid!E59="","",Murid!E59)</f>
        <v/>
      </c>
      <c r="E59" s="17">
        <f>KP!X59</f>
        <v/>
      </c>
      <c r="F59" s="17">
        <f>UB!X59</f>
        <v/>
      </c>
      <c r="G59" s="17">
        <f>SP!X59</f>
        <v/>
      </c>
      <c r="H59" s="17">
        <f>IF(COUNT(E59:G59)=0,"",ROUND((LARGE(E59:G59,1)+IF(COUNT(E59:G59)&gt;=2,LARGE(E59:G59,2),0))/2,2))</f>
        <v/>
      </c>
      <c r="I59" s="10">
        <f>Ekstra!U59</f>
        <v/>
      </c>
      <c r="J59" s="18">
        <f>IF(B59="","",IF(Murid!F59="TL","TL",IF(H59="","",MIN(100,ROUND(H59+N(I59),2)))))</f>
        <v/>
      </c>
      <c r="K59" s="19">
        <f>IF(J59="","",IF(J59="TL","TL",IF(J59&gt;=80,"A",IF(J59&gt;=60,"B",IF(J59&gt;=40,"C",IF(J59&gt;=20,"D","E"))))))</f>
        <v/>
      </c>
      <c r="L59" s="15">
        <f>IF(K59="","",IF(K59="A","Cemerlang",IF(K59="B","Kepujian",IF(K59="C","Baik",IF(K59="D","Kurang Memuaskan",IF(K59="E","Tidak Memuaskan","Tidak Laksana"))))))</f>
        <v/>
      </c>
    </row>
    <row r="60">
      <c r="A60" s="15">
        <f>Murid!A60</f>
        <v/>
      </c>
      <c r="B60" s="15">
        <f>IF(Murid!B60="","",Murid!B60)</f>
        <v/>
      </c>
      <c r="C60" s="16">
        <f>IF(Murid!C60="","",Murid!C60)</f>
        <v/>
      </c>
      <c r="D60" s="15">
        <f>IF(Murid!E60="","",Murid!E60)</f>
        <v/>
      </c>
      <c r="E60" s="17">
        <f>KP!X60</f>
        <v/>
      </c>
      <c r="F60" s="17">
        <f>UB!X60</f>
        <v/>
      </c>
      <c r="G60" s="17">
        <f>SP!X60</f>
        <v/>
      </c>
      <c r="H60" s="17">
        <f>IF(COUNT(E60:G60)=0,"",ROUND((LARGE(E60:G60,1)+IF(COUNT(E60:G60)&gt;=2,LARGE(E60:G60,2),0))/2,2))</f>
        <v/>
      </c>
      <c r="I60" s="10">
        <f>Ekstra!U60</f>
        <v/>
      </c>
      <c r="J60" s="18">
        <f>IF(B60="","",IF(Murid!F60="TL","TL",IF(H60="","",MIN(100,ROUND(H60+N(I60),2)))))</f>
        <v/>
      </c>
      <c r="K60" s="19">
        <f>IF(J60="","",IF(J60="TL","TL",IF(J60&gt;=80,"A",IF(J60&gt;=60,"B",IF(J60&gt;=40,"C",IF(J60&gt;=20,"D","E"))))))</f>
        <v/>
      </c>
      <c r="L60" s="15">
        <f>IF(K60="","",IF(K60="A","Cemerlang",IF(K60="B","Kepujian",IF(K60="C","Baik",IF(K60="D","Kurang Memuaskan",IF(K60="E","Tidak Memuaskan","Tidak Laksana"))))))</f>
        <v/>
      </c>
    </row>
    <row r="61">
      <c r="A61" s="15">
        <f>Murid!A61</f>
        <v/>
      </c>
      <c r="B61" s="15">
        <f>IF(Murid!B61="","",Murid!B61)</f>
        <v/>
      </c>
      <c r="C61" s="16">
        <f>IF(Murid!C61="","",Murid!C61)</f>
        <v/>
      </c>
      <c r="D61" s="15">
        <f>IF(Murid!E61="","",Murid!E61)</f>
        <v/>
      </c>
      <c r="E61" s="17">
        <f>KP!X61</f>
        <v/>
      </c>
      <c r="F61" s="17">
        <f>UB!X61</f>
        <v/>
      </c>
      <c r="G61" s="17">
        <f>SP!X61</f>
        <v/>
      </c>
      <c r="H61" s="17">
        <f>IF(COUNT(E61:G61)=0,"",ROUND((LARGE(E61:G61,1)+IF(COUNT(E61:G61)&gt;=2,LARGE(E61:G61,2),0))/2,2))</f>
        <v/>
      </c>
      <c r="I61" s="10">
        <f>Ekstra!U61</f>
        <v/>
      </c>
      <c r="J61" s="18">
        <f>IF(B61="","",IF(Murid!F61="TL","TL",IF(H61="","",MIN(100,ROUND(H61+N(I61),2)))))</f>
        <v/>
      </c>
      <c r="K61" s="19">
        <f>IF(J61="","",IF(J61="TL","TL",IF(J61&gt;=80,"A",IF(J61&gt;=60,"B",IF(J61&gt;=40,"C",IF(J61&gt;=20,"D","E"))))))</f>
        <v/>
      </c>
      <c r="L61" s="15">
        <f>IF(K61="","",IF(K61="A","Cemerlang",IF(K61="B","Kepujian",IF(K61="C","Baik",IF(K61="D","Kurang Memuaskan",IF(K61="E","Tidak Memuaskan","Tidak Laksana"))))))</f>
        <v/>
      </c>
    </row>
    <row r="62">
      <c r="A62" s="15">
        <f>Murid!A62</f>
        <v/>
      </c>
      <c r="B62" s="15">
        <f>IF(Murid!B62="","",Murid!B62)</f>
        <v/>
      </c>
      <c r="C62" s="16">
        <f>IF(Murid!C62="","",Murid!C62)</f>
        <v/>
      </c>
      <c r="D62" s="15">
        <f>IF(Murid!E62="","",Murid!E62)</f>
        <v/>
      </c>
      <c r="E62" s="17">
        <f>KP!X62</f>
        <v/>
      </c>
      <c r="F62" s="17">
        <f>UB!X62</f>
        <v/>
      </c>
      <c r="G62" s="17">
        <f>SP!X62</f>
        <v/>
      </c>
      <c r="H62" s="17">
        <f>IF(COUNT(E62:G62)=0,"",ROUND((LARGE(E62:G62,1)+IF(COUNT(E62:G62)&gt;=2,LARGE(E62:G62,2),0))/2,2))</f>
        <v/>
      </c>
      <c r="I62" s="10">
        <f>Ekstra!U62</f>
        <v/>
      </c>
      <c r="J62" s="18">
        <f>IF(B62="","",IF(Murid!F62="TL","TL",IF(H62="","",MIN(100,ROUND(H62+N(I62),2)))))</f>
        <v/>
      </c>
      <c r="K62" s="19">
        <f>IF(J62="","",IF(J62="TL","TL",IF(J62&gt;=80,"A",IF(J62&gt;=60,"B",IF(J62&gt;=40,"C",IF(J62&gt;=20,"D","E"))))))</f>
        <v/>
      </c>
      <c r="L62" s="15">
        <f>IF(K62="","",IF(K62="A","Cemerlang",IF(K62="B","Kepujian",IF(K62="C","Baik",IF(K62="D","Kurang Memuaskan",IF(K62="E","Tidak Memuaskan","Tidak Laksana"))))))</f>
        <v/>
      </c>
    </row>
    <row r="63">
      <c r="A63" s="15">
        <f>Murid!A63</f>
        <v/>
      </c>
      <c r="B63" s="15">
        <f>IF(Murid!B63="","",Murid!B63)</f>
        <v/>
      </c>
      <c r="C63" s="16">
        <f>IF(Murid!C63="","",Murid!C63)</f>
        <v/>
      </c>
      <c r="D63" s="15">
        <f>IF(Murid!E63="","",Murid!E63)</f>
        <v/>
      </c>
      <c r="E63" s="17">
        <f>KP!X63</f>
        <v/>
      </c>
      <c r="F63" s="17">
        <f>UB!X63</f>
        <v/>
      </c>
      <c r="G63" s="17">
        <f>SP!X63</f>
        <v/>
      </c>
      <c r="H63" s="17">
        <f>IF(COUNT(E63:G63)=0,"",ROUND((LARGE(E63:G63,1)+IF(COUNT(E63:G63)&gt;=2,LARGE(E63:G63,2),0))/2,2))</f>
        <v/>
      </c>
      <c r="I63" s="10">
        <f>Ekstra!U63</f>
        <v/>
      </c>
      <c r="J63" s="18">
        <f>IF(B63="","",IF(Murid!F63="TL","TL",IF(H63="","",MIN(100,ROUND(H63+N(I63),2)))))</f>
        <v/>
      </c>
      <c r="K63" s="19">
        <f>IF(J63="","",IF(J63="TL","TL",IF(J63&gt;=80,"A",IF(J63&gt;=60,"B",IF(J63&gt;=40,"C",IF(J63&gt;=20,"D","E"))))))</f>
        <v/>
      </c>
      <c r="L63" s="15">
        <f>IF(K63="","",IF(K63="A","Cemerlang",IF(K63="B","Kepujian",IF(K63="C","Baik",IF(K63="D","Kurang Memuaskan",IF(K63="E","Tidak Memuaskan","Tidak Laksana"))))))</f>
        <v/>
      </c>
    </row>
    <row r="64">
      <c r="A64" s="15">
        <f>Murid!A64</f>
        <v/>
      </c>
      <c r="B64" s="15">
        <f>IF(Murid!B64="","",Murid!B64)</f>
        <v/>
      </c>
      <c r="C64" s="16">
        <f>IF(Murid!C64="","",Murid!C64)</f>
        <v/>
      </c>
      <c r="D64" s="15">
        <f>IF(Murid!E64="","",Murid!E64)</f>
        <v/>
      </c>
      <c r="E64" s="17">
        <f>KP!X64</f>
        <v/>
      </c>
      <c r="F64" s="17">
        <f>UB!X64</f>
        <v/>
      </c>
      <c r="G64" s="17">
        <f>SP!X64</f>
        <v/>
      </c>
      <c r="H64" s="17">
        <f>IF(COUNT(E64:G64)=0,"",ROUND((LARGE(E64:G64,1)+IF(COUNT(E64:G64)&gt;=2,LARGE(E64:G64,2),0))/2,2))</f>
        <v/>
      </c>
      <c r="I64" s="10">
        <f>Ekstra!U64</f>
        <v/>
      </c>
      <c r="J64" s="18">
        <f>IF(B64="","",IF(Murid!F64="TL","TL",IF(H64="","",MIN(100,ROUND(H64+N(I64),2)))))</f>
        <v/>
      </c>
      <c r="K64" s="19">
        <f>IF(J64="","",IF(J64="TL","TL",IF(J64&gt;=80,"A",IF(J64&gt;=60,"B",IF(J64&gt;=40,"C",IF(J64&gt;=20,"D","E"))))))</f>
        <v/>
      </c>
      <c r="L64" s="15">
        <f>IF(K64="","",IF(K64="A","Cemerlang",IF(K64="B","Kepujian",IF(K64="C","Baik",IF(K64="D","Kurang Memuaskan",IF(K64="E","Tidak Memuaskan","Tidak Laksana"))))))</f>
        <v/>
      </c>
    </row>
    <row r="65">
      <c r="A65" s="15">
        <f>Murid!A65</f>
        <v/>
      </c>
      <c r="B65" s="15">
        <f>IF(Murid!B65="","",Murid!B65)</f>
        <v/>
      </c>
      <c r="C65" s="16">
        <f>IF(Murid!C65="","",Murid!C65)</f>
        <v/>
      </c>
      <c r="D65" s="15">
        <f>IF(Murid!E65="","",Murid!E65)</f>
        <v/>
      </c>
      <c r="E65" s="17">
        <f>KP!X65</f>
        <v/>
      </c>
      <c r="F65" s="17">
        <f>UB!X65</f>
        <v/>
      </c>
      <c r="G65" s="17">
        <f>SP!X65</f>
        <v/>
      </c>
      <c r="H65" s="17">
        <f>IF(COUNT(E65:G65)=0,"",ROUND((LARGE(E65:G65,1)+IF(COUNT(E65:G65)&gt;=2,LARGE(E65:G65,2),0))/2,2))</f>
        <v/>
      </c>
      <c r="I65" s="10">
        <f>Ekstra!U65</f>
        <v/>
      </c>
      <c r="J65" s="18">
        <f>IF(B65="","",IF(Murid!F65="TL","TL",IF(H65="","",MIN(100,ROUND(H65+N(I65),2)))))</f>
        <v/>
      </c>
      <c r="K65" s="19">
        <f>IF(J65="","",IF(J65="TL","TL",IF(J65&gt;=80,"A",IF(J65&gt;=60,"B",IF(J65&gt;=40,"C",IF(J65&gt;=20,"D","E"))))))</f>
        <v/>
      </c>
      <c r="L65" s="15">
        <f>IF(K65="","",IF(K65="A","Cemerlang",IF(K65="B","Kepujian",IF(K65="C","Baik",IF(K65="D","Kurang Memuaskan",IF(K65="E","Tidak Memuaskan","Tidak Laksana"))))))</f>
        <v/>
      </c>
    </row>
    <row r="66">
      <c r="A66" s="15">
        <f>Murid!A66</f>
        <v/>
      </c>
      <c r="B66" s="15">
        <f>IF(Murid!B66="","",Murid!B66)</f>
        <v/>
      </c>
      <c r="C66" s="16">
        <f>IF(Murid!C66="","",Murid!C66)</f>
        <v/>
      </c>
      <c r="D66" s="15">
        <f>IF(Murid!E66="","",Murid!E66)</f>
        <v/>
      </c>
      <c r="E66" s="17">
        <f>KP!X66</f>
        <v/>
      </c>
      <c r="F66" s="17">
        <f>UB!X66</f>
        <v/>
      </c>
      <c r="G66" s="17">
        <f>SP!X66</f>
        <v/>
      </c>
      <c r="H66" s="17">
        <f>IF(COUNT(E66:G66)=0,"",ROUND((LARGE(E66:G66,1)+IF(COUNT(E66:G66)&gt;=2,LARGE(E66:G66,2),0))/2,2))</f>
        <v/>
      </c>
      <c r="I66" s="10">
        <f>Ekstra!U66</f>
        <v/>
      </c>
      <c r="J66" s="18">
        <f>IF(B66="","",IF(Murid!F66="TL","TL",IF(H66="","",MIN(100,ROUND(H66+N(I66),2)))))</f>
        <v/>
      </c>
      <c r="K66" s="19">
        <f>IF(J66="","",IF(J66="TL","TL",IF(J66&gt;=80,"A",IF(J66&gt;=60,"B",IF(J66&gt;=40,"C",IF(J66&gt;=20,"D","E"))))))</f>
        <v/>
      </c>
      <c r="L66" s="15">
        <f>IF(K66="","",IF(K66="A","Cemerlang",IF(K66="B","Kepujian",IF(K66="C","Baik",IF(K66="D","Kurang Memuaskan",IF(K66="E","Tidak Memuaskan","Tidak Laksana"))))))</f>
        <v/>
      </c>
    </row>
    <row r="67">
      <c r="A67" s="15">
        <f>Murid!A67</f>
        <v/>
      </c>
      <c r="B67" s="15">
        <f>IF(Murid!B67="","",Murid!B67)</f>
        <v/>
      </c>
      <c r="C67" s="16">
        <f>IF(Murid!C67="","",Murid!C67)</f>
        <v/>
      </c>
      <c r="D67" s="15">
        <f>IF(Murid!E67="","",Murid!E67)</f>
        <v/>
      </c>
      <c r="E67" s="17">
        <f>KP!X67</f>
        <v/>
      </c>
      <c r="F67" s="17">
        <f>UB!X67</f>
        <v/>
      </c>
      <c r="G67" s="17">
        <f>SP!X67</f>
        <v/>
      </c>
      <c r="H67" s="17">
        <f>IF(COUNT(E67:G67)=0,"",ROUND((LARGE(E67:G67,1)+IF(COUNT(E67:G67)&gt;=2,LARGE(E67:G67,2),0))/2,2))</f>
        <v/>
      </c>
      <c r="I67" s="10">
        <f>Ekstra!U67</f>
        <v/>
      </c>
      <c r="J67" s="18">
        <f>IF(B67="","",IF(Murid!F67="TL","TL",IF(H67="","",MIN(100,ROUND(H67+N(I67),2)))))</f>
        <v/>
      </c>
      <c r="K67" s="19">
        <f>IF(J67="","",IF(J67="TL","TL",IF(J67&gt;=80,"A",IF(J67&gt;=60,"B",IF(J67&gt;=40,"C",IF(J67&gt;=20,"D","E"))))))</f>
        <v/>
      </c>
      <c r="L67" s="15">
        <f>IF(K67="","",IF(K67="A","Cemerlang",IF(K67="B","Kepujian",IF(K67="C","Baik",IF(K67="D","Kurang Memuaskan",IF(K67="E","Tidak Memuaskan","Tidak Laksana"))))))</f>
        <v/>
      </c>
    </row>
    <row r="68">
      <c r="A68" s="15">
        <f>Murid!A68</f>
        <v/>
      </c>
      <c r="B68" s="15">
        <f>IF(Murid!B68="","",Murid!B68)</f>
        <v/>
      </c>
      <c r="C68" s="16">
        <f>IF(Murid!C68="","",Murid!C68)</f>
        <v/>
      </c>
      <c r="D68" s="15">
        <f>IF(Murid!E68="","",Murid!E68)</f>
        <v/>
      </c>
      <c r="E68" s="17">
        <f>KP!X68</f>
        <v/>
      </c>
      <c r="F68" s="17">
        <f>UB!X68</f>
        <v/>
      </c>
      <c r="G68" s="17">
        <f>SP!X68</f>
        <v/>
      </c>
      <c r="H68" s="17">
        <f>IF(COUNT(E68:G68)=0,"",ROUND((LARGE(E68:G68,1)+IF(COUNT(E68:G68)&gt;=2,LARGE(E68:G68,2),0))/2,2))</f>
        <v/>
      </c>
      <c r="I68" s="10">
        <f>Ekstra!U68</f>
        <v/>
      </c>
      <c r="J68" s="18">
        <f>IF(B68="","",IF(Murid!F68="TL","TL",IF(H68="","",MIN(100,ROUND(H68+N(I68),2)))))</f>
        <v/>
      </c>
      <c r="K68" s="19">
        <f>IF(J68="","",IF(J68="TL","TL",IF(J68&gt;=80,"A",IF(J68&gt;=60,"B",IF(J68&gt;=40,"C",IF(J68&gt;=20,"D","E"))))))</f>
        <v/>
      </c>
      <c r="L68" s="15">
        <f>IF(K68="","",IF(K68="A","Cemerlang",IF(K68="B","Kepujian",IF(K68="C","Baik",IF(K68="D","Kurang Memuaskan",IF(K68="E","Tidak Memuaskan","Tidak Laksana"))))))</f>
        <v/>
      </c>
    </row>
    <row r="69">
      <c r="A69" s="15">
        <f>Murid!A69</f>
        <v/>
      </c>
      <c r="B69" s="15">
        <f>IF(Murid!B69="","",Murid!B69)</f>
        <v/>
      </c>
      <c r="C69" s="16">
        <f>IF(Murid!C69="","",Murid!C69)</f>
        <v/>
      </c>
      <c r="D69" s="15">
        <f>IF(Murid!E69="","",Murid!E69)</f>
        <v/>
      </c>
      <c r="E69" s="17">
        <f>KP!X69</f>
        <v/>
      </c>
      <c r="F69" s="17">
        <f>UB!X69</f>
        <v/>
      </c>
      <c r="G69" s="17">
        <f>SP!X69</f>
        <v/>
      </c>
      <c r="H69" s="17">
        <f>IF(COUNT(E69:G69)=0,"",ROUND((LARGE(E69:G69,1)+IF(COUNT(E69:G69)&gt;=2,LARGE(E69:G69,2),0))/2,2))</f>
        <v/>
      </c>
      <c r="I69" s="10">
        <f>Ekstra!U69</f>
        <v/>
      </c>
      <c r="J69" s="18">
        <f>IF(B69="","",IF(Murid!F69="TL","TL",IF(H69="","",MIN(100,ROUND(H69+N(I69),2)))))</f>
        <v/>
      </c>
      <c r="K69" s="19">
        <f>IF(J69="","",IF(J69="TL","TL",IF(J69&gt;=80,"A",IF(J69&gt;=60,"B",IF(J69&gt;=40,"C",IF(J69&gt;=20,"D","E"))))))</f>
        <v/>
      </c>
      <c r="L69" s="15">
        <f>IF(K69="","",IF(K69="A","Cemerlang",IF(K69="B","Kepujian",IF(K69="C","Baik",IF(K69="D","Kurang Memuaskan",IF(K69="E","Tidak Memuaskan","Tidak Laksana"))))))</f>
        <v/>
      </c>
    </row>
    <row r="70">
      <c r="A70" s="15">
        <f>Murid!A70</f>
        <v/>
      </c>
      <c r="B70" s="15">
        <f>IF(Murid!B70="","",Murid!B70)</f>
        <v/>
      </c>
      <c r="C70" s="16">
        <f>IF(Murid!C70="","",Murid!C70)</f>
        <v/>
      </c>
      <c r="D70" s="15">
        <f>IF(Murid!E70="","",Murid!E70)</f>
        <v/>
      </c>
      <c r="E70" s="17">
        <f>KP!X70</f>
        <v/>
      </c>
      <c r="F70" s="17">
        <f>UB!X70</f>
        <v/>
      </c>
      <c r="G70" s="17">
        <f>SP!X70</f>
        <v/>
      </c>
      <c r="H70" s="17">
        <f>IF(COUNT(E70:G70)=0,"",ROUND((LARGE(E70:G70,1)+IF(COUNT(E70:G70)&gt;=2,LARGE(E70:G70,2),0))/2,2))</f>
        <v/>
      </c>
      <c r="I70" s="10">
        <f>Ekstra!U70</f>
        <v/>
      </c>
      <c r="J70" s="18">
        <f>IF(B70="","",IF(Murid!F70="TL","TL",IF(H70="","",MIN(100,ROUND(H70+N(I70),2)))))</f>
        <v/>
      </c>
      <c r="K70" s="19">
        <f>IF(J70="","",IF(J70="TL","TL",IF(J70&gt;=80,"A",IF(J70&gt;=60,"B",IF(J70&gt;=40,"C",IF(J70&gt;=20,"D","E"))))))</f>
        <v/>
      </c>
      <c r="L70" s="15">
        <f>IF(K70="","",IF(K70="A","Cemerlang",IF(K70="B","Kepujian",IF(K70="C","Baik",IF(K70="D","Kurang Memuaskan",IF(K70="E","Tidak Memuaskan","Tidak Laksana"))))))</f>
        <v/>
      </c>
    </row>
    <row r="71">
      <c r="A71" s="15">
        <f>Murid!A71</f>
        <v/>
      </c>
      <c r="B71" s="15">
        <f>IF(Murid!B71="","",Murid!B71)</f>
        <v/>
      </c>
      <c r="C71" s="16">
        <f>IF(Murid!C71="","",Murid!C71)</f>
        <v/>
      </c>
      <c r="D71" s="15">
        <f>IF(Murid!E71="","",Murid!E71)</f>
        <v/>
      </c>
      <c r="E71" s="17">
        <f>KP!X71</f>
        <v/>
      </c>
      <c r="F71" s="17">
        <f>UB!X71</f>
        <v/>
      </c>
      <c r="G71" s="17">
        <f>SP!X71</f>
        <v/>
      </c>
      <c r="H71" s="17">
        <f>IF(COUNT(E71:G71)=0,"",ROUND((LARGE(E71:G71,1)+IF(COUNT(E71:G71)&gt;=2,LARGE(E71:G71,2),0))/2,2))</f>
        <v/>
      </c>
      <c r="I71" s="10">
        <f>Ekstra!U71</f>
        <v/>
      </c>
      <c r="J71" s="18">
        <f>IF(B71="","",IF(Murid!F71="TL","TL",IF(H71="","",MIN(100,ROUND(H71+N(I71),2)))))</f>
        <v/>
      </c>
      <c r="K71" s="19">
        <f>IF(J71="","",IF(J71="TL","TL",IF(J71&gt;=80,"A",IF(J71&gt;=60,"B",IF(J71&gt;=40,"C",IF(J71&gt;=20,"D","E"))))))</f>
        <v/>
      </c>
      <c r="L71" s="15">
        <f>IF(K71="","",IF(K71="A","Cemerlang",IF(K71="B","Kepujian",IF(K71="C","Baik",IF(K71="D","Kurang Memuaskan",IF(K71="E","Tidak Memuaskan","Tidak Laksana"))))))</f>
        <v/>
      </c>
    </row>
    <row r="72">
      <c r="A72" s="15">
        <f>Murid!A72</f>
        <v/>
      </c>
      <c r="B72" s="15">
        <f>IF(Murid!B72="","",Murid!B72)</f>
        <v/>
      </c>
      <c r="C72" s="16">
        <f>IF(Murid!C72="","",Murid!C72)</f>
        <v/>
      </c>
      <c r="D72" s="15">
        <f>IF(Murid!E72="","",Murid!E72)</f>
        <v/>
      </c>
      <c r="E72" s="17">
        <f>KP!X72</f>
        <v/>
      </c>
      <c r="F72" s="17">
        <f>UB!X72</f>
        <v/>
      </c>
      <c r="G72" s="17">
        <f>SP!X72</f>
        <v/>
      </c>
      <c r="H72" s="17">
        <f>IF(COUNT(E72:G72)=0,"",ROUND((LARGE(E72:G72,1)+IF(COUNT(E72:G72)&gt;=2,LARGE(E72:G72,2),0))/2,2))</f>
        <v/>
      </c>
      <c r="I72" s="10">
        <f>Ekstra!U72</f>
        <v/>
      </c>
      <c r="J72" s="18">
        <f>IF(B72="","",IF(Murid!F72="TL","TL",IF(H72="","",MIN(100,ROUND(H72+N(I72),2)))))</f>
        <v/>
      </c>
      <c r="K72" s="19">
        <f>IF(J72="","",IF(J72="TL","TL",IF(J72&gt;=80,"A",IF(J72&gt;=60,"B",IF(J72&gt;=40,"C",IF(J72&gt;=20,"D","E"))))))</f>
        <v/>
      </c>
      <c r="L72" s="15">
        <f>IF(K72="","",IF(K72="A","Cemerlang",IF(K72="B","Kepujian",IF(K72="C","Baik",IF(K72="D","Kurang Memuaskan",IF(K72="E","Tidak Memuaskan","Tidak Laksana"))))))</f>
        <v/>
      </c>
    </row>
    <row r="73">
      <c r="A73" s="15">
        <f>Murid!A73</f>
        <v/>
      </c>
      <c r="B73" s="15">
        <f>IF(Murid!B73="","",Murid!B73)</f>
        <v/>
      </c>
      <c r="C73" s="16">
        <f>IF(Murid!C73="","",Murid!C73)</f>
        <v/>
      </c>
      <c r="D73" s="15">
        <f>IF(Murid!E73="","",Murid!E73)</f>
        <v/>
      </c>
      <c r="E73" s="17">
        <f>KP!X73</f>
        <v/>
      </c>
      <c r="F73" s="17">
        <f>UB!X73</f>
        <v/>
      </c>
      <c r="G73" s="17">
        <f>SP!X73</f>
        <v/>
      </c>
      <c r="H73" s="17">
        <f>IF(COUNT(E73:G73)=0,"",ROUND((LARGE(E73:G73,1)+IF(COUNT(E73:G73)&gt;=2,LARGE(E73:G73,2),0))/2,2))</f>
        <v/>
      </c>
      <c r="I73" s="10">
        <f>Ekstra!U73</f>
        <v/>
      </c>
      <c r="J73" s="18">
        <f>IF(B73="","",IF(Murid!F73="TL","TL",IF(H73="","",MIN(100,ROUND(H73+N(I73),2)))))</f>
        <v/>
      </c>
      <c r="K73" s="19">
        <f>IF(J73="","",IF(J73="TL","TL",IF(J73&gt;=80,"A",IF(J73&gt;=60,"B",IF(J73&gt;=40,"C",IF(J73&gt;=20,"D","E"))))))</f>
        <v/>
      </c>
      <c r="L73" s="15">
        <f>IF(K73="","",IF(K73="A","Cemerlang",IF(K73="B","Kepujian",IF(K73="C","Baik",IF(K73="D","Kurang Memuaskan",IF(K73="E","Tidak Memuaskan","Tidak Laksana"))))))</f>
        <v/>
      </c>
    </row>
    <row r="74">
      <c r="A74" s="15">
        <f>Murid!A74</f>
        <v/>
      </c>
      <c r="B74" s="15">
        <f>IF(Murid!B74="","",Murid!B74)</f>
        <v/>
      </c>
      <c r="C74" s="16">
        <f>IF(Murid!C74="","",Murid!C74)</f>
        <v/>
      </c>
      <c r="D74" s="15">
        <f>IF(Murid!E74="","",Murid!E74)</f>
        <v/>
      </c>
      <c r="E74" s="17">
        <f>KP!X74</f>
        <v/>
      </c>
      <c r="F74" s="17">
        <f>UB!X74</f>
        <v/>
      </c>
      <c r="G74" s="17">
        <f>SP!X74</f>
        <v/>
      </c>
      <c r="H74" s="17">
        <f>IF(COUNT(E74:G74)=0,"",ROUND((LARGE(E74:G74,1)+IF(COUNT(E74:G74)&gt;=2,LARGE(E74:G74,2),0))/2,2))</f>
        <v/>
      </c>
      <c r="I74" s="10">
        <f>Ekstra!U74</f>
        <v/>
      </c>
      <c r="J74" s="18">
        <f>IF(B74="","",IF(Murid!F74="TL","TL",IF(H74="","",MIN(100,ROUND(H74+N(I74),2)))))</f>
        <v/>
      </c>
      <c r="K74" s="19">
        <f>IF(J74="","",IF(J74="TL","TL",IF(J74&gt;=80,"A",IF(J74&gt;=60,"B",IF(J74&gt;=40,"C",IF(J74&gt;=20,"D","E"))))))</f>
        <v/>
      </c>
      <c r="L74" s="15">
        <f>IF(K74="","",IF(K74="A","Cemerlang",IF(K74="B","Kepujian",IF(K74="C","Baik",IF(K74="D","Kurang Memuaskan",IF(K74="E","Tidak Memuaskan","Tidak Laksana"))))))</f>
        <v/>
      </c>
    </row>
    <row r="75">
      <c r="A75" s="15">
        <f>Murid!A75</f>
        <v/>
      </c>
      <c r="B75" s="15">
        <f>IF(Murid!B75="","",Murid!B75)</f>
        <v/>
      </c>
      <c r="C75" s="16">
        <f>IF(Murid!C75="","",Murid!C75)</f>
        <v/>
      </c>
      <c r="D75" s="15">
        <f>IF(Murid!E75="","",Murid!E75)</f>
        <v/>
      </c>
      <c r="E75" s="17">
        <f>KP!X75</f>
        <v/>
      </c>
      <c r="F75" s="17">
        <f>UB!X75</f>
        <v/>
      </c>
      <c r="G75" s="17">
        <f>SP!X75</f>
        <v/>
      </c>
      <c r="H75" s="17">
        <f>IF(COUNT(E75:G75)=0,"",ROUND((LARGE(E75:G75,1)+IF(COUNT(E75:G75)&gt;=2,LARGE(E75:G75,2),0))/2,2))</f>
        <v/>
      </c>
      <c r="I75" s="10">
        <f>Ekstra!U75</f>
        <v/>
      </c>
      <c r="J75" s="18">
        <f>IF(B75="","",IF(Murid!F75="TL","TL",IF(H75="","",MIN(100,ROUND(H75+N(I75),2)))))</f>
        <v/>
      </c>
      <c r="K75" s="19">
        <f>IF(J75="","",IF(J75="TL","TL",IF(J75&gt;=80,"A",IF(J75&gt;=60,"B",IF(J75&gt;=40,"C",IF(J75&gt;=20,"D","E"))))))</f>
        <v/>
      </c>
      <c r="L75" s="15">
        <f>IF(K75="","",IF(K75="A","Cemerlang",IF(K75="B","Kepujian",IF(K75="C","Baik",IF(K75="D","Kurang Memuaskan",IF(K75="E","Tidak Memuaskan","Tidak Laksana"))))))</f>
        <v/>
      </c>
    </row>
    <row r="76">
      <c r="A76" s="15">
        <f>Murid!A76</f>
        <v/>
      </c>
      <c r="B76" s="15">
        <f>IF(Murid!B76="","",Murid!B76)</f>
        <v/>
      </c>
      <c r="C76" s="16">
        <f>IF(Murid!C76="","",Murid!C76)</f>
        <v/>
      </c>
      <c r="D76" s="15">
        <f>IF(Murid!E76="","",Murid!E76)</f>
        <v/>
      </c>
      <c r="E76" s="17">
        <f>KP!X76</f>
        <v/>
      </c>
      <c r="F76" s="17">
        <f>UB!X76</f>
        <v/>
      </c>
      <c r="G76" s="17">
        <f>SP!X76</f>
        <v/>
      </c>
      <c r="H76" s="17">
        <f>IF(COUNT(E76:G76)=0,"",ROUND((LARGE(E76:G76,1)+IF(COUNT(E76:G76)&gt;=2,LARGE(E76:G76,2),0))/2,2))</f>
        <v/>
      </c>
      <c r="I76" s="10">
        <f>Ekstra!U76</f>
        <v/>
      </c>
      <c r="J76" s="18">
        <f>IF(B76="","",IF(Murid!F76="TL","TL",IF(H76="","",MIN(100,ROUND(H76+N(I76),2)))))</f>
        <v/>
      </c>
      <c r="K76" s="19">
        <f>IF(J76="","",IF(J76="TL","TL",IF(J76&gt;=80,"A",IF(J76&gt;=60,"B",IF(J76&gt;=40,"C",IF(J76&gt;=20,"D","E"))))))</f>
        <v/>
      </c>
      <c r="L76" s="15">
        <f>IF(K76="","",IF(K76="A","Cemerlang",IF(K76="B","Kepujian",IF(K76="C","Baik",IF(K76="D","Kurang Memuaskan",IF(K76="E","Tidak Memuaskan","Tidak Laksana"))))))</f>
        <v/>
      </c>
    </row>
    <row r="77">
      <c r="A77" s="15">
        <f>Murid!A77</f>
        <v/>
      </c>
      <c r="B77" s="15">
        <f>IF(Murid!B77="","",Murid!B77)</f>
        <v/>
      </c>
      <c r="C77" s="16">
        <f>IF(Murid!C77="","",Murid!C77)</f>
        <v/>
      </c>
      <c r="D77" s="15">
        <f>IF(Murid!E77="","",Murid!E77)</f>
        <v/>
      </c>
      <c r="E77" s="17">
        <f>KP!X77</f>
        <v/>
      </c>
      <c r="F77" s="17">
        <f>UB!X77</f>
        <v/>
      </c>
      <c r="G77" s="17">
        <f>SP!X77</f>
        <v/>
      </c>
      <c r="H77" s="17">
        <f>IF(COUNT(E77:G77)=0,"",ROUND((LARGE(E77:G77,1)+IF(COUNT(E77:G77)&gt;=2,LARGE(E77:G77,2),0))/2,2))</f>
        <v/>
      </c>
      <c r="I77" s="10">
        <f>Ekstra!U77</f>
        <v/>
      </c>
      <c r="J77" s="18">
        <f>IF(B77="","",IF(Murid!F77="TL","TL",IF(H77="","",MIN(100,ROUND(H77+N(I77),2)))))</f>
        <v/>
      </c>
      <c r="K77" s="19">
        <f>IF(J77="","",IF(J77="TL","TL",IF(J77&gt;=80,"A",IF(J77&gt;=60,"B",IF(J77&gt;=40,"C",IF(J77&gt;=20,"D","E"))))))</f>
        <v/>
      </c>
      <c r="L77" s="15">
        <f>IF(K77="","",IF(K77="A","Cemerlang",IF(K77="B","Kepujian",IF(K77="C","Baik",IF(K77="D","Kurang Memuaskan",IF(K77="E","Tidak Memuaskan","Tidak Laksana"))))))</f>
        <v/>
      </c>
    </row>
    <row r="78">
      <c r="A78" s="15">
        <f>Murid!A78</f>
        <v/>
      </c>
      <c r="B78" s="15">
        <f>IF(Murid!B78="","",Murid!B78)</f>
        <v/>
      </c>
      <c r="C78" s="16">
        <f>IF(Murid!C78="","",Murid!C78)</f>
        <v/>
      </c>
      <c r="D78" s="15">
        <f>IF(Murid!E78="","",Murid!E78)</f>
        <v/>
      </c>
      <c r="E78" s="17">
        <f>KP!X78</f>
        <v/>
      </c>
      <c r="F78" s="17">
        <f>UB!X78</f>
        <v/>
      </c>
      <c r="G78" s="17">
        <f>SP!X78</f>
        <v/>
      </c>
      <c r="H78" s="17">
        <f>IF(COUNT(E78:G78)=0,"",ROUND((LARGE(E78:G78,1)+IF(COUNT(E78:G78)&gt;=2,LARGE(E78:G78,2),0))/2,2))</f>
        <v/>
      </c>
      <c r="I78" s="10">
        <f>Ekstra!U78</f>
        <v/>
      </c>
      <c r="J78" s="18">
        <f>IF(B78="","",IF(Murid!F78="TL","TL",IF(H78="","",MIN(100,ROUND(H78+N(I78),2)))))</f>
        <v/>
      </c>
      <c r="K78" s="19">
        <f>IF(J78="","",IF(J78="TL","TL",IF(J78&gt;=80,"A",IF(J78&gt;=60,"B",IF(J78&gt;=40,"C",IF(J78&gt;=20,"D","E"))))))</f>
        <v/>
      </c>
      <c r="L78" s="15">
        <f>IF(K78="","",IF(K78="A","Cemerlang",IF(K78="B","Kepujian",IF(K78="C","Baik",IF(K78="D","Kurang Memuaskan",IF(K78="E","Tidak Memuaskan","Tidak Laksana"))))))</f>
        <v/>
      </c>
    </row>
    <row r="79">
      <c r="A79" s="15">
        <f>Murid!A79</f>
        <v/>
      </c>
      <c r="B79" s="15">
        <f>IF(Murid!B79="","",Murid!B79)</f>
        <v/>
      </c>
      <c r="C79" s="16">
        <f>IF(Murid!C79="","",Murid!C79)</f>
        <v/>
      </c>
      <c r="D79" s="15">
        <f>IF(Murid!E79="","",Murid!E79)</f>
        <v/>
      </c>
      <c r="E79" s="17">
        <f>KP!X79</f>
        <v/>
      </c>
      <c r="F79" s="17">
        <f>UB!X79</f>
        <v/>
      </c>
      <c r="G79" s="17">
        <f>SP!X79</f>
        <v/>
      </c>
      <c r="H79" s="17">
        <f>IF(COUNT(E79:G79)=0,"",ROUND((LARGE(E79:G79,1)+IF(COUNT(E79:G79)&gt;=2,LARGE(E79:G79,2),0))/2,2))</f>
        <v/>
      </c>
      <c r="I79" s="10">
        <f>Ekstra!U79</f>
        <v/>
      </c>
      <c r="J79" s="18">
        <f>IF(B79="","",IF(Murid!F79="TL","TL",IF(H79="","",MIN(100,ROUND(H79+N(I79),2)))))</f>
        <v/>
      </c>
      <c r="K79" s="19">
        <f>IF(J79="","",IF(J79="TL","TL",IF(J79&gt;=80,"A",IF(J79&gt;=60,"B",IF(J79&gt;=40,"C",IF(J79&gt;=20,"D","E"))))))</f>
        <v/>
      </c>
      <c r="L79" s="15">
        <f>IF(K79="","",IF(K79="A","Cemerlang",IF(K79="B","Kepujian",IF(K79="C","Baik",IF(K79="D","Kurang Memuaskan",IF(K79="E","Tidak Memuaskan","Tidak Laksana"))))))</f>
        <v/>
      </c>
    </row>
    <row r="80">
      <c r="A80" s="15">
        <f>Murid!A80</f>
        <v/>
      </c>
      <c r="B80" s="15">
        <f>IF(Murid!B80="","",Murid!B80)</f>
        <v/>
      </c>
      <c r="C80" s="16">
        <f>IF(Murid!C80="","",Murid!C80)</f>
        <v/>
      </c>
      <c r="D80" s="15">
        <f>IF(Murid!E80="","",Murid!E80)</f>
        <v/>
      </c>
      <c r="E80" s="17">
        <f>KP!X80</f>
        <v/>
      </c>
      <c r="F80" s="17">
        <f>UB!X80</f>
        <v/>
      </c>
      <c r="G80" s="17">
        <f>SP!X80</f>
        <v/>
      </c>
      <c r="H80" s="17">
        <f>IF(COUNT(E80:G80)=0,"",ROUND((LARGE(E80:G80,1)+IF(COUNT(E80:G80)&gt;=2,LARGE(E80:G80,2),0))/2,2))</f>
        <v/>
      </c>
      <c r="I80" s="10">
        <f>Ekstra!U80</f>
        <v/>
      </c>
      <c r="J80" s="18">
        <f>IF(B80="","",IF(Murid!F80="TL","TL",IF(H80="","",MIN(100,ROUND(H80+N(I80),2)))))</f>
        <v/>
      </c>
      <c r="K80" s="19">
        <f>IF(J80="","",IF(J80="TL","TL",IF(J80&gt;=80,"A",IF(J80&gt;=60,"B",IF(J80&gt;=40,"C",IF(J80&gt;=20,"D","E"))))))</f>
        <v/>
      </c>
      <c r="L80" s="15">
        <f>IF(K80="","",IF(K80="A","Cemerlang",IF(K80="B","Kepujian",IF(K80="C","Baik",IF(K80="D","Kurang Memuaskan",IF(K80="E","Tidak Memuaskan","Tidak Laksana"))))))</f>
        <v/>
      </c>
    </row>
    <row r="81">
      <c r="A81" s="15">
        <f>Murid!A81</f>
        <v/>
      </c>
      <c r="B81" s="15">
        <f>IF(Murid!B81="","",Murid!B81)</f>
        <v/>
      </c>
      <c r="C81" s="16">
        <f>IF(Murid!C81="","",Murid!C81)</f>
        <v/>
      </c>
      <c r="D81" s="15">
        <f>IF(Murid!E81="","",Murid!E81)</f>
        <v/>
      </c>
      <c r="E81" s="17">
        <f>KP!X81</f>
        <v/>
      </c>
      <c r="F81" s="17">
        <f>UB!X81</f>
        <v/>
      </c>
      <c r="G81" s="17">
        <f>SP!X81</f>
        <v/>
      </c>
      <c r="H81" s="17">
        <f>IF(COUNT(E81:G81)=0,"",ROUND((LARGE(E81:G81,1)+IF(COUNT(E81:G81)&gt;=2,LARGE(E81:G81,2),0))/2,2))</f>
        <v/>
      </c>
      <c r="I81" s="10">
        <f>Ekstra!U81</f>
        <v/>
      </c>
      <c r="J81" s="18">
        <f>IF(B81="","",IF(Murid!F81="TL","TL",IF(H81="","",MIN(100,ROUND(H81+N(I81),2)))))</f>
        <v/>
      </c>
      <c r="K81" s="19">
        <f>IF(J81="","",IF(J81="TL","TL",IF(J81&gt;=80,"A",IF(J81&gt;=60,"B",IF(J81&gt;=40,"C",IF(J81&gt;=20,"D","E"))))))</f>
        <v/>
      </c>
      <c r="L81" s="15">
        <f>IF(K81="","",IF(K81="A","Cemerlang",IF(K81="B","Kepujian",IF(K81="C","Baik",IF(K81="D","Kurang Memuaskan",IF(K81="E","Tidak Memuaskan","Tidak Laksana"))))))</f>
        <v/>
      </c>
    </row>
    <row r="82">
      <c r="A82" s="15">
        <f>Murid!A82</f>
        <v/>
      </c>
      <c r="B82" s="15">
        <f>IF(Murid!B82="","",Murid!B82)</f>
        <v/>
      </c>
      <c r="C82" s="16">
        <f>IF(Murid!C82="","",Murid!C82)</f>
        <v/>
      </c>
      <c r="D82" s="15">
        <f>IF(Murid!E82="","",Murid!E82)</f>
        <v/>
      </c>
      <c r="E82" s="17">
        <f>KP!X82</f>
        <v/>
      </c>
      <c r="F82" s="17">
        <f>UB!X82</f>
        <v/>
      </c>
      <c r="G82" s="17">
        <f>SP!X82</f>
        <v/>
      </c>
      <c r="H82" s="17">
        <f>IF(COUNT(E82:G82)=0,"",ROUND((LARGE(E82:G82,1)+IF(COUNT(E82:G82)&gt;=2,LARGE(E82:G82,2),0))/2,2))</f>
        <v/>
      </c>
      <c r="I82" s="10">
        <f>Ekstra!U82</f>
        <v/>
      </c>
      <c r="J82" s="18">
        <f>IF(B82="","",IF(Murid!F82="TL","TL",IF(H82="","",MIN(100,ROUND(H82+N(I82),2)))))</f>
        <v/>
      </c>
      <c r="K82" s="19">
        <f>IF(J82="","",IF(J82="TL","TL",IF(J82&gt;=80,"A",IF(J82&gt;=60,"B",IF(J82&gt;=40,"C",IF(J82&gt;=20,"D","E"))))))</f>
        <v/>
      </c>
      <c r="L82" s="15">
        <f>IF(K82="","",IF(K82="A","Cemerlang",IF(K82="B","Kepujian",IF(K82="C","Baik",IF(K82="D","Kurang Memuaskan",IF(K82="E","Tidak Memuaskan","Tidak Laksana"))))))</f>
        <v/>
      </c>
    </row>
    <row r="83">
      <c r="A83" s="15">
        <f>Murid!A83</f>
        <v/>
      </c>
      <c r="B83" s="15">
        <f>IF(Murid!B83="","",Murid!B83)</f>
        <v/>
      </c>
      <c r="C83" s="16">
        <f>IF(Murid!C83="","",Murid!C83)</f>
        <v/>
      </c>
      <c r="D83" s="15">
        <f>IF(Murid!E83="","",Murid!E83)</f>
        <v/>
      </c>
      <c r="E83" s="17">
        <f>KP!X83</f>
        <v/>
      </c>
      <c r="F83" s="17">
        <f>UB!X83</f>
        <v/>
      </c>
      <c r="G83" s="17">
        <f>SP!X83</f>
        <v/>
      </c>
      <c r="H83" s="17">
        <f>IF(COUNT(E83:G83)=0,"",ROUND((LARGE(E83:G83,1)+IF(COUNT(E83:G83)&gt;=2,LARGE(E83:G83,2),0))/2,2))</f>
        <v/>
      </c>
      <c r="I83" s="10">
        <f>Ekstra!U83</f>
        <v/>
      </c>
      <c r="J83" s="18">
        <f>IF(B83="","",IF(Murid!F83="TL","TL",IF(H83="","",MIN(100,ROUND(H83+N(I83),2)))))</f>
        <v/>
      </c>
      <c r="K83" s="19">
        <f>IF(J83="","",IF(J83="TL","TL",IF(J83&gt;=80,"A",IF(J83&gt;=60,"B",IF(J83&gt;=40,"C",IF(J83&gt;=20,"D","E"))))))</f>
        <v/>
      </c>
      <c r="L83" s="15">
        <f>IF(K83="","",IF(K83="A","Cemerlang",IF(K83="B","Kepujian",IF(K83="C","Baik",IF(K83="D","Kurang Memuaskan",IF(K83="E","Tidak Memuaskan","Tidak Laksana"))))))</f>
        <v/>
      </c>
    </row>
    <row r="84">
      <c r="A84" s="15">
        <f>Murid!A84</f>
        <v/>
      </c>
      <c r="B84" s="15">
        <f>IF(Murid!B84="","",Murid!B84)</f>
        <v/>
      </c>
      <c r="C84" s="16">
        <f>IF(Murid!C84="","",Murid!C84)</f>
        <v/>
      </c>
      <c r="D84" s="15">
        <f>IF(Murid!E84="","",Murid!E84)</f>
        <v/>
      </c>
      <c r="E84" s="17">
        <f>KP!X84</f>
        <v/>
      </c>
      <c r="F84" s="17">
        <f>UB!X84</f>
        <v/>
      </c>
      <c r="G84" s="17">
        <f>SP!X84</f>
        <v/>
      </c>
      <c r="H84" s="17">
        <f>IF(COUNT(E84:G84)=0,"",ROUND((LARGE(E84:G84,1)+IF(COUNT(E84:G84)&gt;=2,LARGE(E84:G84,2),0))/2,2))</f>
        <v/>
      </c>
      <c r="I84" s="10">
        <f>Ekstra!U84</f>
        <v/>
      </c>
      <c r="J84" s="18">
        <f>IF(B84="","",IF(Murid!F84="TL","TL",IF(H84="","",MIN(100,ROUND(H84+N(I84),2)))))</f>
        <v/>
      </c>
      <c r="K84" s="19">
        <f>IF(J84="","",IF(J84="TL","TL",IF(J84&gt;=80,"A",IF(J84&gt;=60,"B",IF(J84&gt;=40,"C",IF(J84&gt;=20,"D","E"))))))</f>
        <v/>
      </c>
      <c r="L84" s="15">
        <f>IF(K84="","",IF(K84="A","Cemerlang",IF(K84="B","Kepujian",IF(K84="C","Baik",IF(K84="D","Kurang Memuaskan",IF(K84="E","Tidak Memuaskan","Tidak Laksana"))))))</f>
        <v/>
      </c>
    </row>
    <row r="85">
      <c r="A85" s="15">
        <f>Murid!A85</f>
        <v/>
      </c>
      <c r="B85" s="15">
        <f>IF(Murid!B85="","",Murid!B85)</f>
        <v/>
      </c>
      <c r="C85" s="16">
        <f>IF(Murid!C85="","",Murid!C85)</f>
        <v/>
      </c>
      <c r="D85" s="15">
        <f>IF(Murid!E85="","",Murid!E85)</f>
        <v/>
      </c>
      <c r="E85" s="17">
        <f>KP!X85</f>
        <v/>
      </c>
      <c r="F85" s="17">
        <f>UB!X85</f>
        <v/>
      </c>
      <c r="G85" s="17">
        <f>SP!X85</f>
        <v/>
      </c>
      <c r="H85" s="17">
        <f>IF(COUNT(E85:G85)=0,"",ROUND((LARGE(E85:G85,1)+IF(COUNT(E85:G85)&gt;=2,LARGE(E85:G85,2),0))/2,2))</f>
        <v/>
      </c>
      <c r="I85" s="10">
        <f>Ekstra!U85</f>
        <v/>
      </c>
      <c r="J85" s="18">
        <f>IF(B85="","",IF(Murid!F85="TL","TL",IF(H85="","",MIN(100,ROUND(H85+N(I85),2)))))</f>
        <v/>
      </c>
      <c r="K85" s="19">
        <f>IF(J85="","",IF(J85="TL","TL",IF(J85&gt;=80,"A",IF(J85&gt;=60,"B",IF(J85&gt;=40,"C",IF(J85&gt;=20,"D","E"))))))</f>
        <v/>
      </c>
      <c r="L85" s="15">
        <f>IF(K85="","",IF(K85="A","Cemerlang",IF(K85="B","Kepujian",IF(K85="C","Baik",IF(K85="D","Kurang Memuaskan",IF(K85="E","Tidak Memuaskan","Tidak Laksana"))))))</f>
        <v/>
      </c>
    </row>
    <row r="86">
      <c r="A86" s="15">
        <f>Murid!A86</f>
        <v/>
      </c>
      <c r="B86" s="15">
        <f>IF(Murid!B86="","",Murid!B86)</f>
        <v/>
      </c>
      <c r="C86" s="16">
        <f>IF(Murid!C86="","",Murid!C86)</f>
        <v/>
      </c>
      <c r="D86" s="15">
        <f>IF(Murid!E86="","",Murid!E86)</f>
        <v/>
      </c>
      <c r="E86" s="17">
        <f>KP!X86</f>
        <v/>
      </c>
      <c r="F86" s="17">
        <f>UB!X86</f>
        <v/>
      </c>
      <c r="G86" s="17">
        <f>SP!X86</f>
        <v/>
      </c>
      <c r="H86" s="17">
        <f>IF(COUNT(E86:G86)=0,"",ROUND((LARGE(E86:G86,1)+IF(COUNT(E86:G86)&gt;=2,LARGE(E86:G86,2),0))/2,2))</f>
        <v/>
      </c>
      <c r="I86" s="10">
        <f>Ekstra!U86</f>
        <v/>
      </c>
      <c r="J86" s="18">
        <f>IF(B86="","",IF(Murid!F86="TL","TL",IF(H86="","",MIN(100,ROUND(H86+N(I86),2)))))</f>
        <v/>
      </c>
      <c r="K86" s="19">
        <f>IF(J86="","",IF(J86="TL","TL",IF(J86&gt;=80,"A",IF(J86&gt;=60,"B",IF(J86&gt;=40,"C",IF(J86&gt;=20,"D","E"))))))</f>
        <v/>
      </c>
      <c r="L86" s="15">
        <f>IF(K86="","",IF(K86="A","Cemerlang",IF(K86="B","Kepujian",IF(K86="C","Baik",IF(K86="D","Kurang Memuaskan",IF(K86="E","Tidak Memuaskan","Tidak Laksana"))))))</f>
        <v/>
      </c>
    </row>
    <row r="87">
      <c r="A87" s="15">
        <f>Murid!A87</f>
        <v/>
      </c>
      <c r="B87" s="15">
        <f>IF(Murid!B87="","",Murid!B87)</f>
        <v/>
      </c>
      <c r="C87" s="16">
        <f>IF(Murid!C87="","",Murid!C87)</f>
        <v/>
      </c>
      <c r="D87" s="15">
        <f>IF(Murid!E87="","",Murid!E87)</f>
        <v/>
      </c>
      <c r="E87" s="17">
        <f>KP!X87</f>
        <v/>
      </c>
      <c r="F87" s="17">
        <f>UB!X87</f>
        <v/>
      </c>
      <c r="G87" s="17">
        <f>SP!X87</f>
        <v/>
      </c>
      <c r="H87" s="17">
        <f>IF(COUNT(E87:G87)=0,"",ROUND((LARGE(E87:G87,1)+IF(COUNT(E87:G87)&gt;=2,LARGE(E87:G87,2),0))/2,2))</f>
        <v/>
      </c>
      <c r="I87" s="10">
        <f>Ekstra!U87</f>
        <v/>
      </c>
      <c r="J87" s="18">
        <f>IF(B87="","",IF(Murid!F87="TL","TL",IF(H87="","",MIN(100,ROUND(H87+N(I87),2)))))</f>
        <v/>
      </c>
      <c r="K87" s="19">
        <f>IF(J87="","",IF(J87="TL","TL",IF(J87&gt;=80,"A",IF(J87&gt;=60,"B",IF(J87&gt;=40,"C",IF(J87&gt;=20,"D","E"))))))</f>
        <v/>
      </c>
      <c r="L87" s="15">
        <f>IF(K87="","",IF(K87="A","Cemerlang",IF(K87="B","Kepujian",IF(K87="C","Baik",IF(K87="D","Kurang Memuaskan",IF(K87="E","Tidak Memuaskan","Tidak Laksana"))))))</f>
        <v/>
      </c>
    </row>
    <row r="88">
      <c r="A88" s="15">
        <f>Murid!A88</f>
        <v/>
      </c>
      <c r="B88" s="15">
        <f>IF(Murid!B88="","",Murid!B88)</f>
        <v/>
      </c>
      <c r="C88" s="16">
        <f>IF(Murid!C88="","",Murid!C88)</f>
        <v/>
      </c>
      <c r="D88" s="15">
        <f>IF(Murid!E88="","",Murid!E88)</f>
        <v/>
      </c>
      <c r="E88" s="17">
        <f>KP!X88</f>
        <v/>
      </c>
      <c r="F88" s="17">
        <f>UB!X88</f>
        <v/>
      </c>
      <c r="G88" s="17">
        <f>SP!X88</f>
        <v/>
      </c>
      <c r="H88" s="17">
        <f>IF(COUNT(E88:G88)=0,"",ROUND((LARGE(E88:G88,1)+IF(COUNT(E88:G88)&gt;=2,LARGE(E88:G88,2),0))/2,2))</f>
        <v/>
      </c>
      <c r="I88" s="10">
        <f>Ekstra!U88</f>
        <v/>
      </c>
      <c r="J88" s="18">
        <f>IF(B88="","",IF(Murid!F88="TL","TL",IF(H88="","",MIN(100,ROUND(H88+N(I88),2)))))</f>
        <v/>
      </c>
      <c r="K88" s="19">
        <f>IF(J88="","",IF(J88="TL","TL",IF(J88&gt;=80,"A",IF(J88&gt;=60,"B",IF(J88&gt;=40,"C",IF(J88&gt;=20,"D","E"))))))</f>
        <v/>
      </c>
      <c r="L88" s="15">
        <f>IF(K88="","",IF(K88="A","Cemerlang",IF(K88="B","Kepujian",IF(K88="C","Baik",IF(K88="D","Kurang Memuaskan",IF(K88="E","Tidak Memuaskan","Tidak Laksana"))))))</f>
        <v/>
      </c>
    </row>
    <row r="89">
      <c r="A89" s="15">
        <f>Murid!A89</f>
        <v/>
      </c>
      <c r="B89" s="15">
        <f>IF(Murid!B89="","",Murid!B89)</f>
        <v/>
      </c>
      <c r="C89" s="16">
        <f>IF(Murid!C89="","",Murid!C89)</f>
        <v/>
      </c>
      <c r="D89" s="15">
        <f>IF(Murid!E89="","",Murid!E89)</f>
        <v/>
      </c>
      <c r="E89" s="17">
        <f>KP!X89</f>
        <v/>
      </c>
      <c r="F89" s="17">
        <f>UB!X89</f>
        <v/>
      </c>
      <c r="G89" s="17">
        <f>SP!X89</f>
        <v/>
      </c>
      <c r="H89" s="17">
        <f>IF(COUNT(E89:G89)=0,"",ROUND((LARGE(E89:G89,1)+IF(COUNT(E89:G89)&gt;=2,LARGE(E89:G89,2),0))/2,2))</f>
        <v/>
      </c>
      <c r="I89" s="10">
        <f>Ekstra!U89</f>
        <v/>
      </c>
      <c r="J89" s="18">
        <f>IF(B89="","",IF(Murid!F89="TL","TL",IF(H89="","",MIN(100,ROUND(H89+N(I89),2)))))</f>
        <v/>
      </c>
      <c r="K89" s="19">
        <f>IF(J89="","",IF(J89="TL","TL",IF(J89&gt;=80,"A",IF(J89&gt;=60,"B",IF(J89&gt;=40,"C",IF(J89&gt;=20,"D","E"))))))</f>
        <v/>
      </c>
      <c r="L89" s="15">
        <f>IF(K89="","",IF(K89="A","Cemerlang",IF(K89="B","Kepujian",IF(K89="C","Baik",IF(K89="D","Kurang Memuaskan",IF(K89="E","Tidak Memuaskan","Tidak Laksana"))))))</f>
        <v/>
      </c>
    </row>
    <row r="90">
      <c r="A90" s="15">
        <f>Murid!A90</f>
        <v/>
      </c>
      <c r="B90" s="15">
        <f>IF(Murid!B90="","",Murid!B90)</f>
        <v/>
      </c>
      <c r="C90" s="16">
        <f>IF(Murid!C90="","",Murid!C90)</f>
        <v/>
      </c>
      <c r="D90" s="15">
        <f>IF(Murid!E90="","",Murid!E90)</f>
        <v/>
      </c>
      <c r="E90" s="17">
        <f>KP!X90</f>
        <v/>
      </c>
      <c r="F90" s="17">
        <f>UB!X90</f>
        <v/>
      </c>
      <c r="G90" s="17">
        <f>SP!X90</f>
        <v/>
      </c>
      <c r="H90" s="17">
        <f>IF(COUNT(E90:G90)=0,"",ROUND((LARGE(E90:G90,1)+IF(COUNT(E90:G90)&gt;=2,LARGE(E90:G90,2),0))/2,2))</f>
        <v/>
      </c>
      <c r="I90" s="10">
        <f>Ekstra!U90</f>
        <v/>
      </c>
      <c r="J90" s="18">
        <f>IF(B90="","",IF(Murid!F90="TL","TL",IF(H90="","",MIN(100,ROUND(H90+N(I90),2)))))</f>
        <v/>
      </c>
      <c r="K90" s="19">
        <f>IF(J90="","",IF(J90="TL","TL",IF(J90&gt;=80,"A",IF(J90&gt;=60,"B",IF(J90&gt;=40,"C",IF(J90&gt;=20,"D","E"))))))</f>
        <v/>
      </c>
      <c r="L90" s="15">
        <f>IF(K90="","",IF(K90="A","Cemerlang",IF(K90="B","Kepujian",IF(K90="C","Baik",IF(K90="D","Kurang Memuaskan",IF(K90="E","Tidak Memuaskan","Tidak Laksana"))))))</f>
        <v/>
      </c>
    </row>
    <row r="91">
      <c r="A91" s="15">
        <f>Murid!A91</f>
        <v/>
      </c>
      <c r="B91" s="15">
        <f>IF(Murid!B91="","",Murid!B91)</f>
        <v/>
      </c>
      <c r="C91" s="16">
        <f>IF(Murid!C91="","",Murid!C91)</f>
        <v/>
      </c>
      <c r="D91" s="15">
        <f>IF(Murid!E91="","",Murid!E91)</f>
        <v/>
      </c>
      <c r="E91" s="17">
        <f>KP!X91</f>
        <v/>
      </c>
      <c r="F91" s="17">
        <f>UB!X91</f>
        <v/>
      </c>
      <c r="G91" s="17">
        <f>SP!X91</f>
        <v/>
      </c>
      <c r="H91" s="17">
        <f>IF(COUNT(E91:G91)=0,"",ROUND((LARGE(E91:G91,1)+IF(COUNT(E91:G91)&gt;=2,LARGE(E91:G91,2),0))/2,2))</f>
        <v/>
      </c>
      <c r="I91" s="10">
        <f>Ekstra!U91</f>
        <v/>
      </c>
      <c r="J91" s="18">
        <f>IF(B91="","",IF(Murid!F91="TL","TL",IF(H91="","",MIN(100,ROUND(H91+N(I91),2)))))</f>
        <v/>
      </c>
      <c r="K91" s="19">
        <f>IF(J91="","",IF(J91="TL","TL",IF(J91&gt;=80,"A",IF(J91&gt;=60,"B",IF(J91&gt;=40,"C",IF(J91&gt;=20,"D","E"))))))</f>
        <v/>
      </c>
      <c r="L91" s="15">
        <f>IF(K91="","",IF(K91="A","Cemerlang",IF(K91="B","Kepujian",IF(K91="C","Baik",IF(K91="D","Kurang Memuaskan",IF(K91="E","Tidak Memuaskan","Tidak Laksana"))))))</f>
        <v/>
      </c>
    </row>
    <row r="92">
      <c r="A92" s="15">
        <f>Murid!A92</f>
        <v/>
      </c>
      <c r="B92" s="15">
        <f>IF(Murid!B92="","",Murid!B92)</f>
        <v/>
      </c>
      <c r="C92" s="16">
        <f>IF(Murid!C92="","",Murid!C92)</f>
        <v/>
      </c>
      <c r="D92" s="15">
        <f>IF(Murid!E92="","",Murid!E92)</f>
        <v/>
      </c>
      <c r="E92" s="17">
        <f>KP!X92</f>
        <v/>
      </c>
      <c r="F92" s="17">
        <f>UB!X92</f>
        <v/>
      </c>
      <c r="G92" s="17">
        <f>SP!X92</f>
        <v/>
      </c>
      <c r="H92" s="17">
        <f>IF(COUNT(E92:G92)=0,"",ROUND((LARGE(E92:G92,1)+IF(COUNT(E92:G92)&gt;=2,LARGE(E92:G92,2),0))/2,2))</f>
        <v/>
      </c>
      <c r="I92" s="10">
        <f>Ekstra!U92</f>
        <v/>
      </c>
      <c r="J92" s="18">
        <f>IF(B92="","",IF(Murid!F92="TL","TL",IF(H92="","",MIN(100,ROUND(H92+N(I92),2)))))</f>
        <v/>
      </c>
      <c r="K92" s="19">
        <f>IF(J92="","",IF(J92="TL","TL",IF(J92&gt;=80,"A",IF(J92&gt;=60,"B",IF(J92&gt;=40,"C",IF(J92&gt;=20,"D","E"))))))</f>
        <v/>
      </c>
      <c r="L92" s="15">
        <f>IF(K92="","",IF(K92="A","Cemerlang",IF(K92="B","Kepujian",IF(K92="C","Baik",IF(K92="D","Kurang Memuaskan",IF(K92="E","Tidak Memuaskan","Tidak Laksana"))))))</f>
        <v/>
      </c>
    </row>
    <row r="93">
      <c r="A93" s="15">
        <f>Murid!A93</f>
        <v/>
      </c>
      <c r="B93" s="15">
        <f>IF(Murid!B93="","",Murid!B93)</f>
        <v/>
      </c>
      <c r="C93" s="16">
        <f>IF(Murid!C93="","",Murid!C93)</f>
        <v/>
      </c>
      <c r="D93" s="15">
        <f>IF(Murid!E93="","",Murid!E93)</f>
        <v/>
      </c>
      <c r="E93" s="17">
        <f>KP!X93</f>
        <v/>
      </c>
      <c r="F93" s="17">
        <f>UB!X93</f>
        <v/>
      </c>
      <c r="G93" s="17">
        <f>SP!X93</f>
        <v/>
      </c>
      <c r="H93" s="17">
        <f>IF(COUNT(E93:G93)=0,"",ROUND((LARGE(E93:G93,1)+IF(COUNT(E93:G93)&gt;=2,LARGE(E93:G93,2),0))/2,2))</f>
        <v/>
      </c>
      <c r="I93" s="10">
        <f>Ekstra!U93</f>
        <v/>
      </c>
      <c r="J93" s="18">
        <f>IF(B93="","",IF(Murid!F93="TL","TL",IF(H93="","",MIN(100,ROUND(H93+N(I93),2)))))</f>
        <v/>
      </c>
      <c r="K93" s="19">
        <f>IF(J93="","",IF(J93="TL","TL",IF(J93&gt;=80,"A",IF(J93&gt;=60,"B",IF(J93&gt;=40,"C",IF(J93&gt;=20,"D","E"))))))</f>
        <v/>
      </c>
      <c r="L93" s="15">
        <f>IF(K93="","",IF(K93="A","Cemerlang",IF(K93="B","Kepujian",IF(K93="C","Baik",IF(K93="D","Kurang Memuaskan",IF(K93="E","Tidak Memuaskan","Tidak Laksana"))))))</f>
        <v/>
      </c>
    </row>
    <row r="94">
      <c r="A94" s="15">
        <f>Murid!A94</f>
        <v/>
      </c>
      <c r="B94" s="15">
        <f>IF(Murid!B94="","",Murid!B94)</f>
        <v/>
      </c>
      <c r="C94" s="16">
        <f>IF(Murid!C94="","",Murid!C94)</f>
        <v/>
      </c>
      <c r="D94" s="15">
        <f>IF(Murid!E94="","",Murid!E94)</f>
        <v/>
      </c>
      <c r="E94" s="17">
        <f>KP!X94</f>
        <v/>
      </c>
      <c r="F94" s="17">
        <f>UB!X94</f>
        <v/>
      </c>
      <c r="G94" s="17">
        <f>SP!X94</f>
        <v/>
      </c>
      <c r="H94" s="17">
        <f>IF(COUNT(E94:G94)=0,"",ROUND((LARGE(E94:G94,1)+IF(COUNT(E94:G94)&gt;=2,LARGE(E94:G94,2),0))/2,2))</f>
        <v/>
      </c>
      <c r="I94" s="10">
        <f>Ekstra!U94</f>
        <v/>
      </c>
      <c r="J94" s="18">
        <f>IF(B94="","",IF(Murid!F94="TL","TL",IF(H94="","",MIN(100,ROUND(H94+N(I94),2)))))</f>
        <v/>
      </c>
      <c r="K94" s="19">
        <f>IF(J94="","",IF(J94="TL","TL",IF(J94&gt;=80,"A",IF(J94&gt;=60,"B",IF(J94&gt;=40,"C",IF(J94&gt;=20,"D","E"))))))</f>
        <v/>
      </c>
      <c r="L94" s="15">
        <f>IF(K94="","",IF(K94="A","Cemerlang",IF(K94="B","Kepujian",IF(K94="C","Baik",IF(K94="D","Kurang Memuaskan",IF(K94="E","Tidak Memuaskan","Tidak Laksana"))))))</f>
        <v/>
      </c>
    </row>
    <row r="95">
      <c r="A95" s="15">
        <f>Murid!A95</f>
        <v/>
      </c>
      <c r="B95" s="15">
        <f>IF(Murid!B95="","",Murid!B95)</f>
        <v/>
      </c>
      <c r="C95" s="16">
        <f>IF(Murid!C95="","",Murid!C95)</f>
        <v/>
      </c>
      <c r="D95" s="15">
        <f>IF(Murid!E95="","",Murid!E95)</f>
        <v/>
      </c>
      <c r="E95" s="17">
        <f>KP!X95</f>
        <v/>
      </c>
      <c r="F95" s="17">
        <f>UB!X95</f>
        <v/>
      </c>
      <c r="G95" s="17">
        <f>SP!X95</f>
        <v/>
      </c>
      <c r="H95" s="17">
        <f>IF(COUNT(E95:G95)=0,"",ROUND((LARGE(E95:G95,1)+IF(COUNT(E95:G95)&gt;=2,LARGE(E95:G95,2),0))/2,2))</f>
        <v/>
      </c>
      <c r="I95" s="10">
        <f>Ekstra!U95</f>
        <v/>
      </c>
      <c r="J95" s="18">
        <f>IF(B95="","",IF(Murid!F95="TL","TL",IF(H95="","",MIN(100,ROUND(H95+N(I95),2)))))</f>
        <v/>
      </c>
      <c r="K95" s="19">
        <f>IF(J95="","",IF(J95="TL","TL",IF(J95&gt;=80,"A",IF(J95&gt;=60,"B",IF(J95&gt;=40,"C",IF(J95&gt;=20,"D","E"))))))</f>
        <v/>
      </c>
      <c r="L95" s="15">
        <f>IF(K95="","",IF(K95="A","Cemerlang",IF(K95="B","Kepujian",IF(K95="C","Baik",IF(K95="D","Kurang Memuaskan",IF(K95="E","Tidak Memuaskan","Tidak Laksana"))))))</f>
        <v/>
      </c>
    </row>
    <row r="96">
      <c r="A96" s="15">
        <f>Murid!A96</f>
        <v/>
      </c>
      <c r="B96" s="15">
        <f>IF(Murid!B96="","",Murid!B96)</f>
        <v/>
      </c>
      <c r="C96" s="16">
        <f>IF(Murid!C96="","",Murid!C96)</f>
        <v/>
      </c>
      <c r="D96" s="15">
        <f>IF(Murid!E96="","",Murid!E96)</f>
        <v/>
      </c>
      <c r="E96" s="17">
        <f>KP!X96</f>
        <v/>
      </c>
      <c r="F96" s="17">
        <f>UB!X96</f>
        <v/>
      </c>
      <c r="G96" s="17">
        <f>SP!X96</f>
        <v/>
      </c>
      <c r="H96" s="17">
        <f>IF(COUNT(E96:G96)=0,"",ROUND((LARGE(E96:G96,1)+IF(COUNT(E96:G96)&gt;=2,LARGE(E96:G96,2),0))/2,2))</f>
        <v/>
      </c>
      <c r="I96" s="10">
        <f>Ekstra!U96</f>
        <v/>
      </c>
      <c r="J96" s="18">
        <f>IF(B96="","",IF(Murid!F96="TL","TL",IF(H96="","",MIN(100,ROUND(H96+N(I96),2)))))</f>
        <v/>
      </c>
      <c r="K96" s="19">
        <f>IF(J96="","",IF(J96="TL","TL",IF(J96&gt;=80,"A",IF(J96&gt;=60,"B",IF(J96&gt;=40,"C",IF(J96&gt;=20,"D","E"))))))</f>
        <v/>
      </c>
      <c r="L96" s="15">
        <f>IF(K96="","",IF(K96="A","Cemerlang",IF(K96="B","Kepujian",IF(K96="C","Baik",IF(K96="D","Kurang Memuaskan",IF(K96="E","Tidak Memuaskan","Tidak Laksana"))))))</f>
        <v/>
      </c>
    </row>
    <row r="97">
      <c r="A97" s="15">
        <f>Murid!A97</f>
        <v/>
      </c>
      <c r="B97" s="15">
        <f>IF(Murid!B97="","",Murid!B97)</f>
        <v/>
      </c>
      <c r="C97" s="16">
        <f>IF(Murid!C97="","",Murid!C97)</f>
        <v/>
      </c>
      <c r="D97" s="15">
        <f>IF(Murid!E97="","",Murid!E97)</f>
        <v/>
      </c>
      <c r="E97" s="17">
        <f>KP!X97</f>
        <v/>
      </c>
      <c r="F97" s="17">
        <f>UB!X97</f>
        <v/>
      </c>
      <c r="G97" s="17">
        <f>SP!X97</f>
        <v/>
      </c>
      <c r="H97" s="17">
        <f>IF(COUNT(E97:G97)=0,"",ROUND((LARGE(E97:G97,1)+IF(COUNT(E97:G97)&gt;=2,LARGE(E97:G97,2),0))/2,2))</f>
        <v/>
      </c>
      <c r="I97" s="10">
        <f>Ekstra!U97</f>
        <v/>
      </c>
      <c r="J97" s="18">
        <f>IF(B97="","",IF(Murid!F97="TL","TL",IF(H97="","",MIN(100,ROUND(H97+N(I97),2)))))</f>
        <v/>
      </c>
      <c r="K97" s="19">
        <f>IF(J97="","",IF(J97="TL","TL",IF(J97&gt;=80,"A",IF(J97&gt;=60,"B",IF(J97&gt;=40,"C",IF(J97&gt;=20,"D","E"))))))</f>
        <v/>
      </c>
      <c r="L97" s="15">
        <f>IF(K97="","",IF(K97="A","Cemerlang",IF(K97="B","Kepujian",IF(K97="C","Baik",IF(K97="D","Kurang Memuaskan",IF(K97="E","Tidak Memuaskan","Tidak Laksana"))))))</f>
        <v/>
      </c>
    </row>
    <row r="98">
      <c r="A98" s="15">
        <f>Murid!A98</f>
        <v/>
      </c>
      <c r="B98" s="15">
        <f>IF(Murid!B98="","",Murid!B98)</f>
        <v/>
      </c>
      <c r="C98" s="16">
        <f>IF(Murid!C98="","",Murid!C98)</f>
        <v/>
      </c>
      <c r="D98" s="15">
        <f>IF(Murid!E98="","",Murid!E98)</f>
        <v/>
      </c>
      <c r="E98" s="17">
        <f>KP!X98</f>
        <v/>
      </c>
      <c r="F98" s="17">
        <f>UB!X98</f>
        <v/>
      </c>
      <c r="G98" s="17">
        <f>SP!X98</f>
        <v/>
      </c>
      <c r="H98" s="17">
        <f>IF(COUNT(E98:G98)=0,"",ROUND((LARGE(E98:G98,1)+IF(COUNT(E98:G98)&gt;=2,LARGE(E98:G98,2),0))/2,2))</f>
        <v/>
      </c>
      <c r="I98" s="10">
        <f>Ekstra!U98</f>
        <v/>
      </c>
      <c r="J98" s="18">
        <f>IF(B98="","",IF(Murid!F98="TL","TL",IF(H98="","",MIN(100,ROUND(H98+N(I98),2)))))</f>
        <v/>
      </c>
      <c r="K98" s="19">
        <f>IF(J98="","",IF(J98="TL","TL",IF(J98&gt;=80,"A",IF(J98&gt;=60,"B",IF(J98&gt;=40,"C",IF(J98&gt;=20,"D","E"))))))</f>
        <v/>
      </c>
      <c r="L98" s="15">
        <f>IF(K98="","",IF(K98="A","Cemerlang",IF(K98="B","Kepujian",IF(K98="C","Baik",IF(K98="D","Kurang Memuaskan",IF(K98="E","Tidak Memuaskan","Tidak Laksana"))))))</f>
        <v/>
      </c>
    </row>
    <row r="99">
      <c r="A99" s="15">
        <f>Murid!A99</f>
        <v/>
      </c>
      <c r="B99" s="15">
        <f>IF(Murid!B99="","",Murid!B99)</f>
        <v/>
      </c>
      <c r="C99" s="16">
        <f>IF(Murid!C99="","",Murid!C99)</f>
        <v/>
      </c>
      <c r="D99" s="15">
        <f>IF(Murid!E99="","",Murid!E99)</f>
        <v/>
      </c>
      <c r="E99" s="17">
        <f>KP!X99</f>
        <v/>
      </c>
      <c r="F99" s="17">
        <f>UB!X99</f>
        <v/>
      </c>
      <c r="G99" s="17">
        <f>SP!X99</f>
        <v/>
      </c>
      <c r="H99" s="17">
        <f>IF(COUNT(E99:G99)=0,"",ROUND((LARGE(E99:G99,1)+IF(COUNT(E99:G99)&gt;=2,LARGE(E99:G99,2),0))/2,2))</f>
        <v/>
      </c>
      <c r="I99" s="10">
        <f>Ekstra!U99</f>
        <v/>
      </c>
      <c r="J99" s="18">
        <f>IF(B99="","",IF(Murid!F99="TL","TL",IF(H99="","",MIN(100,ROUND(H99+N(I99),2)))))</f>
        <v/>
      </c>
      <c r="K99" s="19">
        <f>IF(J99="","",IF(J99="TL","TL",IF(J99&gt;=80,"A",IF(J99&gt;=60,"B",IF(J99&gt;=40,"C",IF(J99&gt;=20,"D","E"))))))</f>
        <v/>
      </c>
      <c r="L99" s="15">
        <f>IF(K99="","",IF(K99="A","Cemerlang",IF(K99="B","Kepujian",IF(K99="C","Baik",IF(K99="D","Kurang Memuaskan",IF(K99="E","Tidak Memuaskan","Tidak Laksana"))))))</f>
        <v/>
      </c>
    </row>
    <row r="100">
      <c r="A100" s="15">
        <f>Murid!A100</f>
        <v/>
      </c>
      <c r="B100" s="15">
        <f>IF(Murid!B100="","",Murid!B100)</f>
        <v/>
      </c>
      <c r="C100" s="16">
        <f>IF(Murid!C100="","",Murid!C100)</f>
        <v/>
      </c>
      <c r="D100" s="15">
        <f>IF(Murid!E100="","",Murid!E100)</f>
        <v/>
      </c>
      <c r="E100" s="17">
        <f>KP!X100</f>
        <v/>
      </c>
      <c r="F100" s="17">
        <f>UB!X100</f>
        <v/>
      </c>
      <c r="G100" s="17">
        <f>SP!X100</f>
        <v/>
      </c>
      <c r="H100" s="17">
        <f>IF(COUNT(E100:G100)=0,"",ROUND((LARGE(E100:G100,1)+IF(COUNT(E100:G100)&gt;=2,LARGE(E100:G100,2),0))/2,2))</f>
        <v/>
      </c>
      <c r="I100" s="10">
        <f>Ekstra!U100</f>
        <v/>
      </c>
      <c r="J100" s="18">
        <f>IF(B100="","",IF(Murid!F100="TL","TL",IF(H100="","",MIN(100,ROUND(H100+N(I100),2)))))</f>
        <v/>
      </c>
      <c r="K100" s="19">
        <f>IF(J100="","",IF(J100="TL","TL",IF(J100&gt;=80,"A",IF(J100&gt;=60,"B",IF(J100&gt;=40,"C",IF(J100&gt;=20,"D","E"))))))</f>
        <v/>
      </c>
      <c r="L100" s="15">
        <f>IF(K100="","",IF(K100="A","Cemerlang",IF(K100="B","Kepujian",IF(K100="C","Baik",IF(K100="D","Kurang Memuaskan",IF(K100="E","Tidak Memuaskan","Tidak Laksana"))))))</f>
        <v/>
      </c>
    </row>
    <row r="101">
      <c r="A101" s="15">
        <f>Murid!A101</f>
        <v/>
      </c>
      <c r="B101" s="15">
        <f>IF(Murid!B101="","",Murid!B101)</f>
        <v/>
      </c>
      <c r="C101" s="16">
        <f>IF(Murid!C101="","",Murid!C101)</f>
        <v/>
      </c>
      <c r="D101" s="15">
        <f>IF(Murid!E101="","",Murid!E101)</f>
        <v/>
      </c>
      <c r="E101" s="17">
        <f>KP!X101</f>
        <v/>
      </c>
      <c r="F101" s="17">
        <f>UB!X101</f>
        <v/>
      </c>
      <c r="G101" s="17">
        <f>SP!X101</f>
        <v/>
      </c>
      <c r="H101" s="17">
        <f>IF(COUNT(E101:G101)=0,"",ROUND((LARGE(E101:G101,1)+IF(COUNT(E101:G101)&gt;=2,LARGE(E101:G101,2),0))/2,2))</f>
        <v/>
      </c>
      <c r="I101" s="10">
        <f>Ekstra!U101</f>
        <v/>
      </c>
      <c r="J101" s="18">
        <f>IF(B101="","",IF(Murid!F101="TL","TL",IF(H101="","",MIN(100,ROUND(H101+N(I101),2)))))</f>
        <v/>
      </c>
      <c r="K101" s="19">
        <f>IF(J101="","",IF(J101="TL","TL",IF(J101&gt;=80,"A",IF(J101&gt;=60,"B",IF(J101&gt;=40,"C",IF(J101&gt;=20,"D","E"))))))</f>
        <v/>
      </c>
      <c r="L101" s="15">
        <f>IF(K101="","",IF(K101="A","Cemerlang",IF(K101="B","Kepujian",IF(K101="C","Baik",IF(K101="D","Kurang Memuaskan",IF(K101="E","Tidak Memuaskan","Tidak Laksana"))))))</f>
        <v/>
      </c>
    </row>
    <row r="102">
      <c r="A102" s="15">
        <f>Murid!A102</f>
        <v/>
      </c>
      <c r="B102" s="15">
        <f>IF(Murid!B102="","",Murid!B102)</f>
        <v/>
      </c>
      <c r="C102" s="16">
        <f>IF(Murid!C102="","",Murid!C102)</f>
        <v/>
      </c>
      <c r="D102" s="15">
        <f>IF(Murid!E102="","",Murid!E102)</f>
        <v/>
      </c>
      <c r="E102" s="17">
        <f>KP!X102</f>
        <v/>
      </c>
      <c r="F102" s="17">
        <f>UB!X102</f>
        <v/>
      </c>
      <c r="G102" s="17">
        <f>SP!X102</f>
        <v/>
      </c>
      <c r="H102" s="17">
        <f>IF(COUNT(E102:G102)=0,"",ROUND((LARGE(E102:G102,1)+IF(COUNT(E102:G102)&gt;=2,LARGE(E102:G102,2),0))/2,2))</f>
        <v/>
      </c>
      <c r="I102" s="10">
        <f>Ekstra!U102</f>
        <v/>
      </c>
      <c r="J102" s="18">
        <f>IF(B102="","",IF(Murid!F102="TL","TL",IF(H102="","",MIN(100,ROUND(H102+N(I102),2)))))</f>
        <v/>
      </c>
      <c r="K102" s="19">
        <f>IF(J102="","",IF(J102="TL","TL",IF(J102&gt;=80,"A",IF(J102&gt;=60,"B",IF(J102&gt;=40,"C",IF(J102&gt;=20,"D","E"))))))</f>
        <v/>
      </c>
      <c r="L102" s="15">
        <f>IF(K102="","",IF(K102="A","Cemerlang",IF(K102="B","Kepujian",IF(K102="C","Baik",IF(K102="D","Kurang Memuaskan",IF(K102="E","Tidak Memuaskan","Tidak Laksana"))))))</f>
        <v/>
      </c>
    </row>
    <row r="103">
      <c r="A103" s="15">
        <f>Murid!A103</f>
        <v/>
      </c>
      <c r="B103" s="15">
        <f>IF(Murid!B103="","",Murid!B103)</f>
        <v/>
      </c>
      <c r="C103" s="16">
        <f>IF(Murid!C103="","",Murid!C103)</f>
        <v/>
      </c>
      <c r="D103" s="15">
        <f>IF(Murid!E103="","",Murid!E103)</f>
        <v/>
      </c>
      <c r="E103" s="17">
        <f>KP!X103</f>
        <v/>
      </c>
      <c r="F103" s="17">
        <f>UB!X103</f>
        <v/>
      </c>
      <c r="G103" s="17">
        <f>SP!X103</f>
        <v/>
      </c>
      <c r="H103" s="17">
        <f>IF(COUNT(E103:G103)=0,"",ROUND((LARGE(E103:G103,1)+IF(COUNT(E103:G103)&gt;=2,LARGE(E103:G103,2),0))/2,2))</f>
        <v/>
      </c>
      <c r="I103" s="10">
        <f>Ekstra!U103</f>
        <v/>
      </c>
      <c r="J103" s="18">
        <f>IF(B103="","",IF(Murid!F103="TL","TL",IF(H103="","",MIN(100,ROUND(H103+N(I103),2)))))</f>
        <v/>
      </c>
      <c r="K103" s="19">
        <f>IF(J103="","",IF(J103="TL","TL",IF(J103&gt;=80,"A",IF(J103&gt;=60,"B",IF(J103&gt;=40,"C",IF(J103&gt;=20,"D","E"))))))</f>
        <v/>
      </c>
      <c r="L103" s="15">
        <f>IF(K103="","",IF(K103="A","Cemerlang",IF(K103="B","Kepujian",IF(K103="C","Baik",IF(K103="D","Kurang Memuaskan",IF(K103="E","Tidak Memuaskan","Tidak Laksana"))))))</f>
        <v/>
      </c>
    </row>
    <row r="104">
      <c r="A104" s="15">
        <f>Murid!A104</f>
        <v/>
      </c>
      <c r="B104" s="15">
        <f>IF(Murid!B104="","",Murid!B104)</f>
        <v/>
      </c>
      <c r="C104" s="16">
        <f>IF(Murid!C104="","",Murid!C104)</f>
        <v/>
      </c>
      <c r="D104" s="15">
        <f>IF(Murid!E104="","",Murid!E104)</f>
        <v/>
      </c>
      <c r="E104" s="17">
        <f>KP!X104</f>
        <v/>
      </c>
      <c r="F104" s="17">
        <f>UB!X104</f>
        <v/>
      </c>
      <c r="G104" s="17">
        <f>SP!X104</f>
        <v/>
      </c>
      <c r="H104" s="17">
        <f>IF(COUNT(E104:G104)=0,"",ROUND((LARGE(E104:G104,1)+IF(COUNT(E104:G104)&gt;=2,LARGE(E104:G104,2),0))/2,2))</f>
        <v/>
      </c>
      <c r="I104" s="10">
        <f>Ekstra!U104</f>
        <v/>
      </c>
      <c r="J104" s="18">
        <f>IF(B104="","",IF(Murid!F104="TL","TL",IF(H104="","",MIN(100,ROUND(H104+N(I104),2)))))</f>
        <v/>
      </c>
      <c r="K104" s="19">
        <f>IF(J104="","",IF(J104="TL","TL",IF(J104&gt;=80,"A",IF(J104&gt;=60,"B",IF(J104&gt;=40,"C",IF(J104&gt;=20,"D","E"))))))</f>
        <v/>
      </c>
      <c r="L104" s="15">
        <f>IF(K104="","",IF(K104="A","Cemerlang",IF(K104="B","Kepujian",IF(K104="C","Baik",IF(K104="D","Kurang Memuaskan",IF(K104="E","Tidak Memuaskan","Tidak Laksana"))))))</f>
        <v/>
      </c>
    </row>
    <row r="105">
      <c r="A105" s="15">
        <f>Murid!A105</f>
        <v/>
      </c>
      <c r="B105" s="15">
        <f>IF(Murid!B105="","",Murid!B105)</f>
        <v/>
      </c>
      <c r="C105" s="16">
        <f>IF(Murid!C105="","",Murid!C105)</f>
        <v/>
      </c>
      <c r="D105" s="15">
        <f>IF(Murid!E105="","",Murid!E105)</f>
        <v/>
      </c>
      <c r="E105" s="17">
        <f>KP!X105</f>
        <v/>
      </c>
      <c r="F105" s="17">
        <f>UB!X105</f>
        <v/>
      </c>
      <c r="G105" s="17">
        <f>SP!X105</f>
        <v/>
      </c>
      <c r="H105" s="17">
        <f>IF(COUNT(E105:G105)=0,"",ROUND((LARGE(E105:G105,1)+IF(COUNT(E105:G105)&gt;=2,LARGE(E105:G105,2),0))/2,2))</f>
        <v/>
      </c>
      <c r="I105" s="10">
        <f>Ekstra!U105</f>
        <v/>
      </c>
      <c r="J105" s="18">
        <f>IF(B105="","",IF(Murid!F105="TL","TL",IF(H105="","",MIN(100,ROUND(H105+N(I105),2)))))</f>
        <v/>
      </c>
      <c r="K105" s="19">
        <f>IF(J105="","",IF(J105="TL","TL",IF(J105&gt;=80,"A",IF(J105&gt;=60,"B",IF(J105&gt;=40,"C",IF(J105&gt;=20,"D","E"))))))</f>
        <v/>
      </c>
      <c r="L105" s="15">
        <f>IF(K105="","",IF(K105="A","Cemerlang",IF(K105="B","Kepujian",IF(K105="C","Baik",IF(K105="D","Kurang Memuaskan",IF(K105="E","Tidak Memuaskan","Tidak Laksana"))))))</f>
        <v/>
      </c>
    </row>
    <row r="106">
      <c r="A106" s="15">
        <f>Murid!A106</f>
        <v/>
      </c>
      <c r="B106" s="15">
        <f>IF(Murid!B106="","",Murid!B106)</f>
        <v/>
      </c>
      <c r="C106" s="16">
        <f>IF(Murid!C106="","",Murid!C106)</f>
        <v/>
      </c>
      <c r="D106" s="15">
        <f>IF(Murid!E106="","",Murid!E106)</f>
        <v/>
      </c>
      <c r="E106" s="17">
        <f>KP!X106</f>
        <v/>
      </c>
      <c r="F106" s="17">
        <f>UB!X106</f>
        <v/>
      </c>
      <c r="G106" s="17">
        <f>SP!X106</f>
        <v/>
      </c>
      <c r="H106" s="17">
        <f>IF(COUNT(E106:G106)=0,"",ROUND((LARGE(E106:G106,1)+IF(COUNT(E106:G106)&gt;=2,LARGE(E106:G106,2),0))/2,2))</f>
        <v/>
      </c>
      <c r="I106" s="10">
        <f>Ekstra!U106</f>
        <v/>
      </c>
      <c r="J106" s="18">
        <f>IF(B106="","",IF(Murid!F106="TL","TL",IF(H106="","",MIN(100,ROUND(H106+N(I106),2)))))</f>
        <v/>
      </c>
      <c r="K106" s="19">
        <f>IF(J106="","",IF(J106="TL","TL",IF(J106&gt;=80,"A",IF(J106&gt;=60,"B",IF(J106&gt;=40,"C",IF(J106&gt;=20,"D","E"))))))</f>
        <v/>
      </c>
      <c r="L106" s="15">
        <f>IF(K106="","",IF(K106="A","Cemerlang",IF(K106="B","Kepujian",IF(K106="C","Baik",IF(K106="D","Kurang Memuaskan",IF(K106="E","Tidak Memuaskan","Tidak Laksana"))))))</f>
        <v/>
      </c>
    </row>
    <row r="107">
      <c r="A107" s="15">
        <f>Murid!A107</f>
        <v/>
      </c>
      <c r="B107" s="15">
        <f>IF(Murid!B107="","",Murid!B107)</f>
        <v/>
      </c>
      <c r="C107" s="16">
        <f>IF(Murid!C107="","",Murid!C107)</f>
        <v/>
      </c>
      <c r="D107" s="15">
        <f>IF(Murid!E107="","",Murid!E107)</f>
        <v/>
      </c>
      <c r="E107" s="17">
        <f>KP!X107</f>
        <v/>
      </c>
      <c r="F107" s="17">
        <f>UB!X107</f>
        <v/>
      </c>
      <c r="G107" s="17">
        <f>SP!X107</f>
        <v/>
      </c>
      <c r="H107" s="17">
        <f>IF(COUNT(E107:G107)=0,"",ROUND((LARGE(E107:G107,1)+IF(COUNT(E107:G107)&gt;=2,LARGE(E107:G107,2),0))/2,2))</f>
        <v/>
      </c>
      <c r="I107" s="10">
        <f>Ekstra!U107</f>
        <v/>
      </c>
      <c r="J107" s="18">
        <f>IF(B107="","",IF(Murid!F107="TL","TL",IF(H107="","",MIN(100,ROUND(H107+N(I107),2)))))</f>
        <v/>
      </c>
      <c r="K107" s="19">
        <f>IF(J107="","",IF(J107="TL","TL",IF(J107&gt;=80,"A",IF(J107&gt;=60,"B",IF(J107&gt;=40,"C",IF(J107&gt;=20,"D","E"))))))</f>
        <v/>
      </c>
      <c r="L107" s="15">
        <f>IF(K107="","",IF(K107="A","Cemerlang",IF(K107="B","Kepujian",IF(K107="C","Baik",IF(K107="D","Kurang Memuaskan",IF(K107="E","Tidak Memuaskan","Tidak Laksana"))))))</f>
        <v/>
      </c>
    </row>
    <row r="108">
      <c r="A108" s="15">
        <f>Murid!A108</f>
        <v/>
      </c>
      <c r="B108" s="15">
        <f>IF(Murid!B108="","",Murid!B108)</f>
        <v/>
      </c>
      <c r="C108" s="16">
        <f>IF(Murid!C108="","",Murid!C108)</f>
        <v/>
      </c>
      <c r="D108" s="15">
        <f>IF(Murid!E108="","",Murid!E108)</f>
        <v/>
      </c>
      <c r="E108" s="17">
        <f>KP!X108</f>
        <v/>
      </c>
      <c r="F108" s="17">
        <f>UB!X108</f>
        <v/>
      </c>
      <c r="G108" s="17">
        <f>SP!X108</f>
        <v/>
      </c>
      <c r="H108" s="17">
        <f>IF(COUNT(E108:G108)=0,"",ROUND((LARGE(E108:G108,1)+IF(COUNT(E108:G108)&gt;=2,LARGE(E108:G108,2),0))/2,2))</f>
        <v/>
      </c>
      <c r="I108" s="10">
        <f>Ekstra!U108</f>
        <v/>
      </c>
      <c r="J108" s="18">
        <f>IF(B108="","",IF(Murid!F108="TL","TL",IF(H108="","",MIN(100,ROUND(H108+N(I108),2)))))</f>
        <v/>
      </c>
      <c r="K108" s="19">
        <f>IF(J108="","",IF(J108="TL","TL",IF(J108&gt;=80,"A",IF(J108&gt;=60,"B",IF(J108&gt;=40,"C",IF(J108&gt;=20,"D","E"))))))</f>
        <v/>
      </c>
      <c r="L108" s="15">
        <f>IF(K108="","",IF(K108="A","Cemerlang",IF(K108="B","Kepujian",IF(K108="C","Baik",IF(K108="D","Kurang Memuaskan",IF(K108="E","Tidak Memuaskan","Tidak Laksana"))))))</f>
        <v/>
      </c>
    </row>
    <row r="109">
      <c r="A109" s="15">
        <f>Murid!A109</f>
        <v/>
      </c>
      <c r="B109" s="15">
        <f>IF(Murid!B109="","",Murid!B109)</f>
        <v/>
      </c>
      <c r="C109" s="16">
        <f>IF(Murid!C109="","",Murid!C109)</f>
        <v/>
      </c>
      <c r="D109" s="15">
        <f>IF(Murid!E109="","",Murid!E109)</f>
        <v/>
      </c>
      <c r="E109" s="17">
        <f>KP!X109</f>
        <v/>
      </c>
      <c r="F109" s="17">
        <f>UB!X109</f>
        <v/>
      </c>
      <c r="G109" s="17">
        <f>SP!X109</f>
        <v/>
      </c>
      <c r="H109" s="17">
        <f>IF(COUNT(E109:G109)=0,"",ROUND((LARGE(E109:G109,1)+IF(COUNT(E109:G109)&gt;=2,LARGE(E109:G109,2),0))/2,2))</f>
        <v/>
      </c>
      <c r="I109" s="10">
        <f>Ekstra!U109</f>
        <v/>
      </c>
      <c r="J109" s="18">
        <f>IF(B109="","",IF(Murid!F109="TL","TL",IF(H109="","",MIN(100,ROUND(H109+N(I109),2)))))</f>
        <v/>
      </c>
      <c r="K109" s="19">
        <f>IF(J109="","",IF(J109="TL","TL",IF(J109&gt;=80,"A",IF(J109&gt;=60,"B",IF(J109&gt;=40,"C",IF(J109&gt;=20,"D","E"))))))</f>
        <v/>
      </c>
      <c r="L109" s="15">
        <f>IF(K109="","",IF(K109="A","Cemerlang",IF(K109="B","Kepujian",IF(K109="C","Baik",IF(K109="D","Kurang Memuaskan",IF(K109="E","Tidak Memuaskan","Tidak Laksana"))))))</f>
        <v/>
      </c>
    </row>
    <row r="110">
      <c r="A110" s="15">
        <f>Murid!A110</f>
        <v/>
      </c>
      <c r="B110" s="15">
        <f>IF(Murid!B110="","",Murid!B110)</f>
        <v/>
      </c>
      <c r="C110" s="16">
        <f>IF(Murid!C110="","",Murid!C110)</f>
        <v/>
      </c>
      <c r="D110" s="15">
        <f>IF(Murid!E110="","",Murid!E110)</f>
        <v/>
      </c>
      <c r="E110" s="17">
        <f>KP!X110</f>
        <v/>
      </c>
      <c r="F110" s="17">
        <f>UB!X110</f>
        <v/>
      </c>
      <c r="G110" s="17">
        <f>SP!X110</f>
        <v/>
      </c>
      <c r="H110" s="17">
        <f>IF(COUNT(E110:G110)=0,"",ROUND((LARGE(E110:G110,1)+IF(COUNT(E110:G110)&gt;=2,LARGE(E110:G110,2),0))/2,2))</f>
        <v/>
      </c>
      <c r="I110" s="10">
        <f>Ekstra!U110</f>
        <v/>
      </c>
      <c r="J110" s="18">
        <f>IF(B110="","",IF(Murid!F110="TL","TL",IF(H110="","",MIN(100,ROUND(H110+N(I110),2)))))</f>
        <v/>
      </c>
      <c r="K110" s="19">
        <f>IF(J110="","",IF(J110="TL","TL",IF(J110&gt;=80,"A",IF(J110&gt;=60,"B",IF(J110&gt;=40,"C",IF(J110&gt;=20,"D","E"))))))</f>
        <v/>
      </c>
      <c r="L110" s="15">
        <f>IF(K110="","",IF(K110="A","Cemerlang",IF(K110="B","Kepujian",IF(K110="C","Baik",IF(K110="D","Kurang Memuaskan",IF(K110="E","Tidak Memuaskan","Tidak Laksana"))))))</f>
        <v/>
      </c>
    </row>
    <row r="111">
      <c r="A111" s="15">
        <f>Murid!A111</f>
        <v/>
      </c>
      <c r="B111" s="15">
        <f>IF(Murid!B111="","",Murid!B111)</f>
        <v/>
      </c>
      <c r="C111" s="16">
        <f>IF(Murid!C111="","",Murid!C111)</f>
        <v/>
      </c>
      <c r="D111" s="15">
        <f>IF(Murid!E111="","",Murid!E111)</f>
        <v/>
      </c>
      <c r="E111" s="17">
        <f>KP!X111</f>
        <v/>
      </c>
      <c r="F111" s="17">
        <f>UB!X111</f>
        <v/>
      </c>
      <c r="G111" s="17">
        <f>SP!X111</f>
        <v/>
      </c>
      <c r="H111" s="17">
        <f>IF(COUNT(E111:G111)=0,"",ROUND((LARGE(E111:G111,1)+IF(COUNT(E111:G111)&gt;=2,LARGE(E111:G111,2),0))/2,2))</f>
        <v/>
      </c>
      <c r="I111" s="10">
        <f>Ekstra!U111</f>
        <v/>
      </c>
      <c r="J111" s="18">
        <f>IF(B111="","",IF(Murid!F111="TL","TL",IF(H111="","",MIN(100,ROUND(H111+N(I111),2)))))</f>
        <v/>
      </c>
      <c r="K111" s="19">
        <f>IF(J111="","",IF(J111="TL","TL",IF(J111&gt;=80,"A",IF(J111&gt;=60,"B",IF(J111&gt;=40,"C",IF(J111&gt;=20,"D","E"))))))</f>
        <v/>
      </c>
      <c r="L111" s="15">
        <f>IF(K111="","",IF(K111="A","Cemerlang",IF(K111="B","Kepujian",IF(K111="C","Baik",IF(K111="D","Kurang Memuaskan",IF(K111="E","Tidak Memuaskan","Tidak Laksana"))))))</f>
        <v/>
      </c>
    </row>
    <row r="112">
      <c r="A112" s="15">
        <f>Murid!A112</f>
        <v/>
      </c>
      <c r="B112" s="15">
        <f>IF(Murid!B112="","",Murid!B112)</f>
        <v/>
      </c>
      <c r="C112" s="16">
        <f>IF(Murid!C112="","",Murid!C112)</f>
        <v/>
      </c>
      <c r="D112" s="15">
        <f>IF(Murid!E112="","",Murid!E112)</f>
        <v/>
      </c>
      <c r="E112" s="17">
        <f>KP!X112</f>
        <v/>
      </c>
      <c r="F112" s="17">
        <f>UB!X112</f>
        <v/>
      </c>
      <c r="G112" s="17">
        <f>SP!X112</f>
        <v/>
      </c>
      <c r="H112" s="17">
        <f>IF(COUNT(E112:G112)=0,"",ROUND((LARGE(E112:G112,1)+IF(COUNT(E112:G112)&gt;=2,LARGE(E112:G112,2),0))/2,2))</f>
        <v/>
      </c>
      <c r="I112" s="10">
        <f>Ekstra!U112</f>
        <v/>
      </c>
      <c r="J112" s="18">
        <f>IF(B112="","",IF(Murid!F112="TL","TL",IF(H112="","",MIN(100,ROUND(H112+N(I112),2)))))</f>
        <v/>
      </c>
      <c r="K112" s="19">
        <f>IF(J112="","",IF(J112="TL","TL",IF(J112&gt;=80,"A",IF(J112&gt;=60,"B",IF(J112&gt;=40,"C",IF(J112&gt;=20,"D","E"))))))</f>
        <v/>
      </c>
      <c r="L112" s="15">
        <f>IF(K112="","",IF(K112="A","Cemerlang",IF(K112="B","Kepujian",IF(K112="C","Baik",IF(K112="D","Kurang Memuaskan",IF(K112="E","Tidak Memuaskan","Tidak Laksana"))))))</f>
        <v/>
      </c>
    </row>
    <row r="113">
      <c r="A113" s="15">
        <f>Murid!A113</f>
        <v/>
      </c>
      <c r="B113" s="15">
        <f>IF(Murid!B113="","",Murid!B113)</f>
        <v/>
      </c>
      <c r="C113" s="16">
        <f>IF(Murid!C113="","",Murid!C113)</f>
        <v/>
      </c>
      <c r="D113" s="15">
        <f>IF(Murid!E113="","",Murid!E113)</f>
        <v/>
      </c>
      <c r="E113" s="17">
        <f>KP!X113</f>
        <v/>
      </c>
      <c r="F113" s="17">
        <f>UB!X113</f>
        <v/>
      </c>
      <c r="G113" s="17">
        <f>SP!X113</f>
        <v/>
      </c>
      <c r="H113" s="17">
        <f>IF(COUNT(E113:G113)=0,"",ROUND((LARGE(E113:G113,1)+IF(COUNT(E113:G113)&gt;=2,LARGE(E113:G113,2),0))/2,2))</f>
        <v/>
      </c>
      <c r="I113" s="10">
        <f>Ekstra!U113</f>
        <v/>
      </c>
      <c r="J113" s="18">
        <f>IF(B113="","",IF(Murid!F113="TL","TL",IF(H113="","",MIN(100,ROUND(H113+N(I113),2)))))</f>
        <v/>
      </c>
      <c r="K113" s="19">
        <f>IF(J113="","",IF(J113="TL","TL",IF(J113&gt;=80,"A",IF(J113&gt;=60,"B",IF(J113&gt;=40,"C",IF(J113&gt;=20,"D","E"))))))</f>
        <v/>
      </c>
      <c r="L113" s="15">
        <f>IF(K113="","",IF(K113="A","Cemerlang",IF(K113="B","Kepujian",IF(K113="C","Baik",IF(K113="D","Kurang Memuaskan",IF(K113="E","Tidak Memuaskan","Tidak Laksana"))))))</f>
        <v/>
      </c>
    </row>
    <row r="114">
      <c r="A114" s="15">
        <f>Murid!A114</f>
        <v/>
      </c>
      <c r="B114" s="15">
        <f>IF(Murid!B114="","",Murid!B114)</f>
        <v/>
      </c>
      <c r="C114" s="16">
        <f>IF(Murid!C114="","",Murid!C114)</f>
        <v/>
      </c>
      <c r="D114" s="15">
        <f>IF(Murid!E114="","",Murid!E114)</f>
        <v/>
      </c>
      <c r="E114" s="17">
        <f>KP!X114</f>
        <v/>
      </c>
      <c r="F114" s="17">
        <f>UB!X114</f>
        <v/>
      </c>
      <c r="G114" s="17">
        <f>SP!X114</f>
        <v/>
      </c>
      <c r="H114" s="17">
        <f>IF(COUNT(E114:G114)=0,"",ROUND((LARGE(E114:G114,1)+IF(COUNT(E114:G114)&gt;=2,LARGE(E114:G114,2),0))/2,2))</f>
        <v/>
      </c>
      <c r="I114" s="10">
        <f>Ekstra!U114</f>
        <v/>
      </c>
      <c r="J114" s="18">
        <f>IF(B114="","",IF(Murid!F114="TL","TL",IF(H114="","",MIN(100,ROUND(H114+N(I114),2)))))</f>
        <v/>
      </c>
      <c r="K114" s="19">
        <f>IF(J114="","",IF(J114="TL","TL",IF(J114&gt;=80,"A",IF(J114&gt;=60,"B",IF(J114&gt;=40,"C",IF(J114&gt;=20,"D","E"))))))</f>
        <v/>
      </c>
      <c r="L114" s="15">
        <f>IF(K114="","",IF(K114="A","Cemerlang",IF(K114="B","Kepujian",IF(K114="C","Baik",IF(K114="D","Kurang Memuaskan",IF(K114="E","Tidak Memuaskan","Tidak Laksana"))))))</f>
        <v/>
      </c>
    </row>
    <row r="115">
      <c r="A115" s="15">
        <f>Murid!A115</f>
        <v/>
      </c>
      <c r="B115" s="15">
        <f>IF(Murid!B115="","",Murid!B115)</f>
        <v/>
      </c>
      <c r="C115" s="16">
        <f>IF(Murid!C115="","",Murid!C115)</f>
        <v/>
      </c>
      <c r="D115" s="15">
        <f>IF(Murid!E115="","",Murid!E115)</f>
        <v/>
      </c>
      <c r="E115" s="17">
        <f>KP!X115</f>
        <v/>
      </c>
      <c r="F115" s="17">
        <f>UB!X115</f>
        <v/>
      </c>
      <c r="G115" s="17">
        <f>SP!X115</f>
        <v/>
      </c>
      <c r="H115" s="17">
        <f>IF(COUNT(E115:G115)=0,"",ROUND((LARGE(E115:G115,1)+IF(COUNT(E115:G115)&gt;=2,LARGE(E115:G115,2),0))/2,2))</f>
        <v/>
      </c>
      <c r="I115" s="10">
        <f>Ekstra!U115</f>
        <v/>
      </c>
      <c r="J115" s="18">
        <f>IF(B115="","",IF(Murid!F115="TL","TL",IF(H115="","",MIN(100,ROUND(H115+N(I115),2)))))</f>
        <v/>
      </c>
      <c r="K115" s="19">
        <f>IF(J115="","",IF(J115="TL","TL",IF(J115&gt;=80,"A",IF(J115&gt;=60,"B",IF(J115&gt;=40,"C",IF(J115&gt;=20,"D","E"))))))</f>
        <v/>
      </c>
      <c r="L115" s="15">
        <f>IF(K115="","",IF(K115="A","Cemerlang",IF(K115="B","Kepujian",IF(K115="C","Baik",IF(K115="D","Kurang Memuaskan",IF(K115="E","Tidak Memuaskan","Tidak Laksana"))))))</f>
        <v/>
      </c>
    </row>
    <row r="116">
      <c r="A116" s="15">
        <f>Murid!A116</f>
        <v/>
      </c>
      <c r="B116" s="15">
        <f>IF(Murid!B116="","",Murid!B116)</f>
        <v/>
      </c>
      <c r="C116" s="16">
        <f>IF(Murid!C116="","",Murid!C116)</f>
        <v/>
      </c>
      <c r="D116" s="15">
        <f>IF(Murid!E116="","",Murid!E116)</f>
        <v/>
      </c>
      <c r="E116" s="17">
        <f>KP!X116</f>
        <v/>
      </c>
      <c r="F116" s="17">
        <f>UB!X116</f>
        <v/>
      </c>
      <c r="G116" s="17">
        <f>SP!X116</f>
        <v/>
      </c>
      <c r="H116" s="17">
        <f>IF(COUNT(E116:G116)=0,"",ROUND((LARGE(E116:G116,1)+IF(COUNT(E116:G116)&gt;=2,LARGE(E116:G116,2),0))/2,2))</f>
        <v/>
      </c>
      <c r="I116" s="10">
        <f>Ekstra!U116</f>
        <v/>
      </c>
      <c r="J116" s="18">
        <f>IF(B116="","",IF(Murid!F116="TL","TL",IF(H116="","",MIN(100,ROUND(H116+N(I116),2)))))</f>
        <v/>
      </c>
      <c r="K116" s="19">
        <f>IF(J116="","",IF(J116="TL","TL",IF(J116&gt;=80,"A",IF(J116&gt;=60,"B",IF(J116&gt;=40,"C",IF(J116&gt;=20,"D","E"))))))</f>
        <v/>
      </c>
      <c r="L116" s="15">
        <f>IF(K116="","",IF(K116="A","Cemerlang",IF(K116="B","Kepujian",IF(K116="C","Baik",IF(K116="D","Kurang Memuaskan",IF(K116="E","Tidak Memuaskan","Tidak Laksana"))))))</f>
        <v/>
      </c>
    </row>
    <row r="117">
      <c r="A117" s="15">
        <f>Murid!A117</f>
        <v/>
      </c>
      <c r="B117" s="15">
        <f>IF(Murid!B117="","",Murid!B117)</f>
        <v/>
      </c>
      <c r="C117" s="16">
        <f>IF(Murid!C117="","",Murid!C117)</f>
        <v/>
      </c>
      <c r="D117" s="15">
        <f>IF(Murid!E117="","",Murid!E117)</f>
        <v/>
      </c>
      <c r="E117" s="17">
        <f>KP!X117</f>
        <v/>
      </c>
      <c r="F117" s="17">
        <f>UB!X117</f>
        <v/>
      </c>
      <c r="G117" s="17">
        <f>SP!X117</f>
        <v/>
      </c>
      <c r="H117" s="17">
        <f>IF(COUNT(E117:G117)=0,"",ROUND((LARGE(E117:G117,1)+IF(COUNT(E117:G117)&gt;=2,LARGE(E117:G117,2),0))/2,2))</f>
        <v/>
      </c>
      <c r="I117" s="10">
        <f>Ekstra!U117</f>
        <v/>
      </c>
      <c r="J117" s="18">
        <f>IF(B117="","",IF(Murid!F117="TL","TL",IF(H117="","",MIN(100,ROUND(H117+N(I117),2)))))</f>
        <v/>
      </c>
      <c r="K117" s="19">
        <f>IF(J117="","",IF(J117="TL","TL",IF(J117&gt;=80,"A",IF(J117&gt;=60,"B",IF(J117&gt;=40,"C",IF(J117&gt;=20,"D","E"))))))</f>
        <v/>
      </c>
      <c r="L117" s="15">
        <f>IF(K117="","",IF(K117="A","Cemerlang",IF(K117="B","Kepujian",IF(K117="C","Baik",IF(K117="D","Kurang Memuaskan",IF(K117="E","Tidak Memuaskan","Tidak Laksana"))))))</f>
        <v/>
      </c>
    </row>
    <row r="118">
      <c r="A118" s="15">
        <f>Murid!A118</f>
        <v/>
      </c>
      <c r="B118" s="15">
        <f>IF(Murid!B118="","",Murid!B118)</f>
        <v/>
      </c>
      <c r="C118" s="16">
        <f>IF(Murid!C118="","",Murid!C118)</f>
        <v/>
      </c>
      <c r="D118" s="15">
        <f>IF(Murid!E118="","",Murid!E118)</f>
        <v/>
      </c>
      <c r="E118" s="17">
        <f>KP!X118</f>
        <v/>
      </c>
      <c r="F118" s="17">
        <f>UB!X118</f>
        <v/>
      </c>
      <c r="G118" s="17">
        <f>SP!X118</f>
        <v/>
      </c>
      <c r="H118" s="17">
        <f>IF(COUNT(E118:G118)=0,"",ROUND((LARGE(E118:G118,1)+IF(COUNT(E118:G118)&gt;=2,LARGE(E118:G118,2),0))/2,2))</f>
        <v/>
      </c>
      <c r="I118" s="10">
        <f>Ekstra!U118</f>
        <v/>
      </c>
      <c r="J118" s="18">
        <f>IF(B118="","",IF(Murid!F118="TL","TL",IF(H118="","",MIN(100,ROUND(H118+N(I118),2)))))</f>
        <v/>
      </c>
      <c r="K118" s="19">
        <f>IF(J118="","",IF(J118="TL","TL",IF(J118&gt;=80,"A",IF(J118&gt;=60,"B",IF(J118&gt;=40,"C",IF(J118&gt;=20,"D","E"))))))</f>
        <v/>
      </c>
      <c r="L118" s="15">
        <f>IF(K118="","",IF(K118="A","Cemerlang",IF(K118="B","Kepujian",IF(K118="C","Baik",IF(K118="D","Kurang Memuaskan",IF(K118="E","Tidak Memuaskan","Tidak Laksana"))))))</f>
        <v/>
      </c>
    </row>
    <row r="119">
      <c r="A119" s="15">
        <f>Murid!A119</f>
        <v/>
      </c>
      <c r="B119" s="15">
        <f>IF(Murid!B119="","",Murid!B119)</f>
        <v/>
      </c>
      <c r="C119" s="16">
        <f>IF(Murid!C119="","",Murid!C119)</f>
        <v/>
      </c>
      <c r="D119" s="15">
        <f>IF(Murid!E119="","",Murid!E119)</f>
        <v/>
      </c>
      <c r="E119" s="17">
        <f>KP!X119</f>
        <v/>
      </c>
      <c r="F119" s="17">
        <f>UB!X119</f>
        <v/>
      </c>
      <c r="G119" s="17">
        <f>SP!X119</f>
        <v/>
      </c>
      <c r="H119" s="17">
        <f>IF(COUNT(E119:G119)=0,"",ROUND((LARGE(E119:G119,1)+IF(COUNT(E119:G119)&gt;=2,LARGE(E119:G119,2),0))/2,2))</f>
        <v/>
      </c>
      <c r="I119" s="10">
        <f>Ekstra!U119</f>
        <v/>
      </c>
      <c r="J119" s="18">
        <f>IF(B119="","",IF(Murid!F119="TL","TL",IF(H119="","",MIN(100,ROUND(H119+N(I119),2)))))</f>
        <v/>
      </c>
      <c r="K119" s="19">
        <f>IF(J119="","",IF(J119="TL","TL",IF(J119&gt;=80,"A",IF(J119&gt;=60,"B",IF(J119&gt;=40,"C",IF(J119&gt;=20,"D","E"))))))</f>
        <v/>
      </c>
      <c r="L119" s="15">
        <f>IF(K119="","",IF(K119="A","Cemerlang",IF(K119="B","Kepujian",IF(K119="C","Baik",IF(K119="D","Kurang Memuaskan",IF(K119="E","Tidak Memuaskan","Tidak Laksana"))))))</f>
        <v/>
      </c>
    </row>
    <row r="120">
      <c r="A120" s="15">
        <f>Murid!A120</f>
        <v/>
      </c>
      <c r="B120" s="15">
        <f>IF(Murid!B120="","",Murid!B120)</f>
        <v/>
      </c>
      <c r="C120" s="16">
        <f>IF(Murid!C120="","",Murid!C120)</f>
        <v/>
      </c>
      <c r="D120" s="15">
        <f>IF(Murid!E120="","",Murid!E120)</f>
        <v/>
      </c>
      <c r="E120" s="17">
        <f>KP!X120</f>
        <v/>
      </c>
      <c r="F120" s="17">
        <f>UB!X120</f>
        <v/>
      </c>
      <c r="G120" s="17">
        <f>SP!X120</f>
        <v/>
      </c>
      <c r="H120" s="17">
        <f>IF(COUNT(E120:G120)=0,"",ROUND((LARGE(E120:G120,1)+IF(COUNT(E120:G120)&gt;=2,LARGE(E120:G120,2),0))/2,2))</f>
        <v/>
      </c>
      <c r="I120" s="10">
        <f>Ekstra!U120</f>
        <v/>
      </c>
      <c r="J120" s="18">
        <f>IF(B120="","",IF(Murid!F120="TL","TL",IF(H120="","",MIN(100,ROUND(H120+N(I120),2)))))</f>
        <v/>
      </c>
      <c r="K120" s="19">
        <f>IF(J120="","",IF(J120="TL","TL",IF(J120&gt;=80,"A",IF(J120&gt;=60,"B",IF(J120&gt;=40,"C",IF(J120&gt;=20,"D","E"))))))</f>
        <v/>
      </c>
      <c r="L120" s="15">
        <f>IF(K120="","",IF(K120="A","Cemerlang",IF(K120="B","Kepujian",IF(K120="C","Baik",IF(K120="D","Kurang Memuaskan",IF(K120="E","Tidak Memuaskan","Tidak Laksana"))))))</f>
        <v/>
      </c>
    </row>
    <row r="121">
      <c r="A121" s="15">
        <f>Murid!A121</f>
        <v/>
      </c>
      <c r="B121" s="15">
        <f>IF(Murid!B121="","",Murid!B121)</f>
        <v/>
      </c>
      <c r="C121" s="16">
        <f>IF(Murid!C121="","",Murid!C121)</f>
        <v/>
      </c>
      <c r="D121" s="15">
        <f>IF(Murid!E121="","",Murid!E121)</f>
        <v/>
      </c>
      <c r="E121" s="17">
        <f>KP!X121</f>
        <v/>
      </c>
      <c r="F121" s="17">
        <f>UB!X121</f>
        <v/>
      </c>
      <c r="G121" s="17">
        <f>SP!X121</f>
        <v/>
      </c>
      <c r="H121" s="17">
        <f>IF(COUNT(E121:G121)=0,"",ROUND((LARGE(E121:G121,1)+IF(COUNT(E121:G121)&gt;=2,LARGE(E121:G121,2),0))/2,2))</f>
        <v/>
      </c>
      <c r="I121" s="10">
        <f>Ekstra!U121</f>
        <v/>
      </c>
      <c r="J121" s="18">
        <f>IF(B121="","",IF(Murid!F121="TL","TL",IF(H121="","",MIN(100,ROUND(H121+N(I121),2)))))</f>
        <v/>
      </c>
      <c r="K121" s="19">
        <f>IF(J121="","",IF(J121="TL","TL",IF(J121&gt;=80,"A",IF(J121&gt;=60,"B",IF(J121&gt;=40,"C",IF(J121&gt;=20,"D","E"))))))</f>
        <v/>
      </c>
      <c r="L121" s="15">
        <f>IF(K121="","",IF(K121="A","Cemerlang",IF(K121="B","Kepujian",IF(K121="C","Baik",IF(K121="D","Kurang Memuaskan",IF(K121="E","Tidak Memuaskan","Tidak Laksana"))))))</f>
        <v/>
      </c>
    </row>
    <row r="122">
      <c r="A122" s="15">
        <f>Murid!A122</f>
        <v/>
      </c>
      <c r="B122" s="15">
        <f>IF(Murid!B122="","",Murid!B122)</f>
        <v/>
      </c>
      <c r="C122" s="16">
        <f>IF(Murid!C122="","",Murid!C122)</f>
        <v/>
      </c>
      <c r="D122" s="15">
        <f>IF(Murid!E122="","",Murid!E122)</f>
        <v/>
      </c>
      <c r="E122" s="17">
        <f>KP!X122</f>
        <v/>
      </c>
      <c r="F122" s="17">
        <f>UB!X122</f>
        <v/>
      </c>
      <c r="G122" s="17">
        <f>SP!X122</f>
        <v/>
      </c>
      <c r="H122" s="17">
        <f>IF(COUNT(E122:G122)=0,"",ROUND((LARGE(E122:G122,1)+IF(COUNT(E122:G122)&gt;=2,LARGE(E122:G122,2),0))/2,2))</f>
        <v/>
      </c>
      <c r="I122" s="10">
        <f>Ekstra!U122</f>
        <v/>
      </c>
      <c r="J122" s="18">
        <f>IF(B122="","",IF(Murid!F122="TL","TL",IF(H122="","",MIN(100,ROUND(H122+N(I122),2)))))</f>
        <v/>
      </c>
      <c r="K122" s="19">
        <f>IF(J122="","",IF(J122="TL","TL",IF(J122&gt;=80,"A",IF(J122&gt;=60,"B",IF(J122&gt;=40,"C",IF(J122&gt;=20,"D","E"))))))</f>
        <v/>
      </c>
      <c r="L122" s="15">
        <f>IF(K122="","",IF(K122="A","Cemerlang",IF(K122="B","Kepujian",IF(K122="C","Baik",IF(K122="D","Kurang Memuaskan",IF(K122="E","Tidak Memuaskan","Tidak Laksana"))))))</f>
        <v/>
      </c>
    </row>
    <row r="123">
      <c r="A123" s="15">
        <f>Murid!A123</f>
        <v/>
      </c>
      <c r="B123" s="15">
        <f>IF(Murid!B123="","",Murid!B123)</f>
        <v/>
      </c>
      <c r="C123" s="16">
        <f>IF(Murid!C123="","",Murid!C123)</f>
        <v/>
      </c>
      <c r="D123" s="15">
        <f>IF(Murid!E123="","",Murid!E123)</f>
        <v/>
      </c>
      <c r="E123" s="17">
        <f>KP!X123</f>
        <v/>
      </c>
      <c r="F123" s="17">
        <f>UB!X123</f>
        <v/>
      </c>
      <c r="G123" s="17">
        <f>SP!X123</f>
        <v/>
      </c>
      <c r="H123" s="17">
        <f>IF(COUNT(E123:G123)=0,"",ROUND((LARGE(E123:G123,1)+IF(COUNT(E123:G123)&gt;=2,LARGE(E123:G123,2),0))/2,2))</f>
        <v/>
      </c>
      <c r="I123" s="10">
        <f>Ekstra!U123</f>
        <v/>
      </c>
      <c r="J123" s="18">
        <f>IF(B123="","",IF(Murid!F123="TL","TL",IF(H123="","",MIN(100,ROUND(H123+N(I123),2)))))</f>
        <v/>
      </c>
      <c r="K123" s="19">
        <f>IF(J123="","",IF(J123="TL","TL",IF(J123&gt;=80,"A",IF(J123&gt;=60,"B",IF(J123&gt;=40,"C",IF(J123&gt;=20,"D","E"))))))</f>
        <v/>
      </c>
      <c r="L123" s="15">
        <f>IF(K123="","",IF(K123="A","Cemerlang",IF(K123="B","Kepujian",IF(K123="C","Baik",IF(K123="D","Kurang Memuaskan",IF(K123="E","Tidak Memuaskan","Tidak Laksana"))))))</f>
        <v/>
      </c>
    </row>
    <row r="124">
      <c r="A124" s="15">
        <f>Murid!A124</f>
        <v/>
      </c>
      <c r="B124" s="15">
        <f>IF(Murid!B124="","",Murid!B124)</f>
        <v/>
      </c>
      <c r="C124" s="16">
        <f>IF(Murid!C124="","",Murid!C124)</f>
        <v/>
      </c>
      <c r="D124" s="15">
        <f>IF(Murid!E124="","",Murid!E124)</f>
        <v/>
      </c>
      <c r="E124" s="17">
        <f>KP!X124</f>
        <v/>
      </c>
      <c r="F124" s="17">
        <f>UB!X124</f>
        <v/>
      </c>
      <c r="G124" s="17">
        <f>SP!X124</f>
        <v/>
      </c>
      <c r="H124" s="17">
        <f>IF(COUNT(E124:G124)=0,"",ROUND((LARGE(E124:G124,1)+IF(COUNT(E124:G124)&gt;=2,LARGE(E124:G124,2),0))/2,2))</f>
        <v/>
      </c>
      <c r="I124" s="10">
        <f>Ekstra!U124</f>
        <v/>
      </c>
      <c r="J124" s="18">
        <f>IF(B124="","",IF(Murid!F124="TL","TL",IF(H124="","",MIN(100,ROUND(H124+N(I124),2)))))</f>
        <v/>
      </c>
      <c r="K124" s="19">
        <f>IF(J124="","",IF(J124="TL","TL",IF(J124&gt;=80,"A",IF(J124&gt;=60,"B",IF(J124&gt;=40,"C",IF(J124&gt;=20,"D","E"))))))</f>
        <v/>
      </c>
      <c r="L124" s="15">
        <f>IF(K124="","",IF(K124="A","Cemerlang",IF(K124="B","Kepujian",IF(K124="C","Baik",IF(K124="D","Kurang Memuaskan",IF(K124="E","Tidak Memuaskan","Tidak Laksana"))))))</f>
        <v/>
      </c>
    </row>
    <row r="125">
      <c r="A125" s="15">
        <f>Murid!A125</f>
        <v/>
      </c>
      <c r="B125" s="15">
        <f>IF(Murid!B125="","",Murid!B125)</f>
        <v/>
      </c>
      <c r="C125" s="16">
        <f>IF(Murid!C125="","",Murid!C125)</f>
        <v/>
      </c>
      <c r="D125" s="15">
        <f>IF(Murid!E125="","",Murid!E125)</f>
        <v/>
      </c>
      <c r="E125" s="17">
        <f>KP!X125</f>
        <v/>
      </c>
      <c r="F125" s="17">
        <f>UB!X125</f>
        <v/>
      </c>
      <c r="G125" s="17">
        <f>SP!X125</f>
        <v/>
      </c>
      <c r="H125" s="17">
        <f>IF(COUNT(E125:G125)=0,"",ROUND((LARGE(E125:G125,1)+IF(COUNT(E125:G125)&gt;=2,LARGE(E125:G125,2),0))/2,2))</f>
        <v/>
      </c>
      <c r="I125" s="10">
        <f>Ekstra!U125</f>
        <v/>
      </c>
      <c r="J125" s="18">
        <f>IF(B125="","",IF(Murid!F125="TL","TL",IF(H125="","",MIN(100,ROUND(H125+N(I125),2)))))</f>
        <v/>
      </c>
      <c r="K125" s="19">
        <f>IF(J125="","",IF(J125="TL","TL",IF(J125&gt;=80,"A",IF(J125&gt;=60,"B",IF(J125&gt;=40,"C",IF(J125&gt;=20,"D","E"))))))</f>
        <v/>
      </c>
      <c r="L125" s="15">
        <f>IF(K125="","",IF(K125="A","Cemerlang",IF(K125="B","Kepujian",IF(K125="C","Baik",IF(K125="D","Kurang Memuaskan",IF(K125="E","Tidak Memuaskan","Tidak Laksana"))))))</f>
        <v/>
      </c>
    </row>
    <row r="126">
      <c r="A126" s="15">
        <f>Murid!A126</f>
        <v/>
      </c>
      <c r="B126" s="15">
        <f>IF(Murid!B126="","",Murid!B126)</f>
        <v/>
      </c>
      <c r="C126" s="16">
        <f>IF(Murid!C126="","",Murid!C126)</f>
        <v/>
      </c>
      <c r="D126" s="15">
        <f>IF(Murid!E126="","",Murid!E126)</f>
        <v/>
      </c>
      <c r="E126" s="17">
        <f>KP!X126</f>
        <v/>
      </c>
      <c r="F126" s="17">
        <f>UB!X126</f>
        <v/>
      </c>
      <c r="G126" s="17">
        <f>SP!X126</f>
        <v/>
      </c>
      <c r="H126" s="17">
        <f>IF(COUNT(E126:G126)=0,"",ROUND((LARGE(E126:G126,1)+IF(COUNT(E126:G126)&gt;=2,LARGE(E126:G126,2),0))/2,2))</f>
        <v/>
      </c>
      <c r="I126" s="10">
        <f>Ekstra!U126</f>
        <v/>
      </c>
      <c r="J126" s="18">
        <f>IF(B126="","",IF(Murid!F126="TL","TL",IF(H126="","",MIN(100,ROUND(H126+N(I126),2)))))</f>
        <v/>
      </c>
      <c r="K126" s="19">
        <f>IF(J126="","",IF(J126="TL","TL",IF(J126&gt;=80,"A",IF(J126&gt;=60,"B",IF(J126&gt;=40,"C",IF(J126&gt;=20,"D","E"))))))</f>
        <v/>
      </c>
      <c r="L126" s="15">
        <f>IF(K126="","",IF(K126="A","Cemerlang",IF(K126="B","Kepujian",IF(K126="C","Baik",IF(K126="D","Kurang Memuaskan",IF(K126="E","Tidak Memuaskan","Tidak Laksana"))))))</f>
        <v/>
      </c>
    </row>
    <row r="127">
      <c r="A127" s="15">
        <f>Murid!A127</f>
        <v/>
      </c>
      <c r="B127" s="15">
        <f>IF(Murid!B127="","",Murid!B127)</f>
        <v/>
      </c>
      <c r="C127" s="16">
        <f>IF(Murid!C127="","",Murid!C127)</f>
        <v/>
      </c>
      <c r="D127" s="15">
        <f>IF(Murid!E127="","",Murid!E127)</f>
        <v/>
      </c>
      <c r="E127" s="17">
        <f>KP!X127</f>
        <v/>
      </c>
      <c r="F127" s="17">
        <f>UB!X127</f>
        <v/>
      </c>
      <c r="G127" s="17">
        <f>SP!X127</f>
        <v/>
      </c>
      <c r="H127" s="17">
        <f>IF(COUNT(E127:G127)=0,"",ROUND((LARGE(E127:G127,1)+IF(COUNT(E127:G127)&gt;=2,LARGE(E127:G127,2),0))/2,2))</f>
        <v/>
      </c>
      <c r="I127" s="10">
        <f>Ekstra!U127</f>
        <v/>
      </c>
      <c r="J127" s="18">
        <f>IF(B127="","",IF(Murid!F127="TL","TL",IF(H127="","",MIN(100,ROUND(H127+N(I127),2)))))</f>
        <v/>
      </c>
      <c r="K127" s="19">
        <f>IF(J127="","",IF(J127="TL","TL",IF(J127&gt;=80,"A",IF(J127&gt;=60,"B",IF(J127&gt;=40,"C",IF(J127&gt;=20,"D","E"))))))</f>
        <v/>
      </c>
      <c r="L127" s="15">
        <f>IF(K127="","",IF(K127="A","Cemerlang",IF(K127="B","Kepujian",IF(K127="C","Baik",IF(K127="D","Kurang Memuaskan",IF(K127="E","Tidak Memuaskan","Tidak Laksana"))))))</f>
        <v/>
      </c>
    </row>
    <row r="128">
      <c r="A128" s="15">
        <f>Murid!A128</f>
        <v/>
      </c>
      <c r="B128" s="15">
        <f>IF(Murid!B128="","",Murid!B128)</f>
        <v/>
      </c>
      <c r="C128" s="16">
        <f>IF(Murid!C128="","",Murid!C128)</f>
        <v/>
      </c>
      <c r="D128" s="15">
        <f>IF(Murid!E128="","",Murid!E128)</f>
        <v/>
      </c>
      <c r="E128" s="17">
        <f>KP!X128</f>
        <v/>
      </c>
      <c r="F128" s="17">
        <f>UB!X128</f>
        <v/>
      </c>
      <c r="G128" s="17">
        <f>SP!X128</f>
        <v/>
      </c>
      <c r="H128" s="17">
        <f>IF(COUNT(E128:G128)=0,"",ROUND((LARGE(E128:G128,1)+IF(COUNT(E128:G128)&gt;=2,LARGE(E128:G128,2),0))/2,2))</f>
        <v/>
      </c>
      <c r="I128" s="10">
        <f>Ekstra!U128</f>
        <v/>
      </c>
      <c r="J128" s="18">
        <f>IF(B128="","",IF(Murid!F128="TL","TL",IF(H128="","",MIN(100,ROUND(H128+N(I128),2)))))</f>
        <v/>
      </c>
      <c r="K128" s="19">
        <f>IF(J128="","",IF(J128="TL","TL",IF(J128&gt;=80,"A",IF(J128&gt;=60,"B",IF(J128&gt;=40,"C",IF(J128&gt;=20,"D","E"))))))</f>
        <v/>
      </c>
      <c r="L128" s="15">
        <f>IF(K128="","",IF(K128="A","Cemerlang",IF(K128="B","Kepujian",IF(K128="C","Baik",IF(K128="D","Kurang Memuaskan",IF(K128="E","Tidak Memuaskan","Tidak Laksana"))))))</f>
        <v/>
      </c>
    </row>
    <row r="129">
      <c r="A129" s="15">
        <f>Murid!A129</f>
        <v/>
      </c>
      <c r="B129" s="15">
        <f>IF(Murid!B129="","",Murid!B129)</f>
        <v/>
      </c>
      <c r="C129" s="16">
        <f>IF(Murid!C129="","",Murid!C129)</f>
        <v/>
      </c>
      <c r="D129" s="15">
        <f>IF(Murid!E129="","",Murid!E129)</f>
        <v/>
      </c>
      <c r="E129" s="17">
        <f>KP!X129</f>
        <v/>
      </c>
      <c r="F129" s="17">
        <f>UB!X129</f>
        <v/>
      </c>
      <c r="G129" s="17">
        <f>SP!X129</f>
        <v/>
      </c>
      <c r="H129" s="17">
        <f>IF(COUNT(E129:G129)=0,"",ROUND((LARGE(E129:G129,1)+IF(COUNT(E129:G129)&gt;=2,LARGE(E129:G129,2),0))/2,2))</f>
        <v/>
      </c>
      <c r="I129" s="10">
        <f>Ekstra!U129</f>
        <v/>
      </c>
      <c r="J129" s="18">
        <f>IF(B129="","",IF(Murid!F129="TL","TL",IF(H129="","",MIN(100,ROUND(H129+N(I129),2)))))</f>
        <v/>
      </c>
      <c r="K129" s="19">
        <f>IF(J129="","",IF(J129="TL","TL",IF(J129&gt;=80,"A",IF(J129&gt;=60,"B",IF(J129&gt;=40,"C",IF(J129&gt;=20,"D","E"))))))</f>
        <v/>
      </c>
      <c r="L129" s="15">
        <f>IF(K129="","",IF(K129="A","Cemerlang",IF(K129="B","Kepujian",IF(K129="C","Baik",IF(K129="D","Kurang Memuaskan",IF(K129="E","Tidak Memuaskan","Tidak Laksana"))))))</f>
        <v/>
      </c>
    </row>
    <row r="130">
      <c r="A130" s="15">
        <f>Murid!A130</f>
        <v/>
      </c>
      <c r="B130" s="15">
        <f>IF(Murid!B130="","",Murid!B130)</f>
        <v/>
      </c>
      <c r="C130" s="16">
        <f>IF(Murid!C130="","",Murid!C130)</f>
        <v/>
      </c>
      <c r="D130" s="15">
        <f>IF(Murid!E130="","",Murid!E130)</f>
        <v/>
      </c>
      <c r="E130" s="17">
        <f>KP!X130</f>
        <v/>
      </c>
      <c r="F130" s="17">
        <f>UB!X130</f>
        <v/>
      </c>
      <c r="G130" s="17">
        <f>SP!X130</f>
        <v/>
      </c>
      <c r="H130" s="17">
        <f>IF(COUNT(E130:G130)=0,"",ROUND((LARGE(E130:G130,1)+IF(COUNT(E130:G130)&gt;=2,LARGE(E130:G130,2),0))/2,2))</f>
        <v/>
      </c>
      <c r="I130" s="10">
        <f>Ekstra!U130</f>
        <v/>
      </c>
      <c r="J130" s="18">
        <f>IF(B130="","",IF(Murid!F130="TL","TL",IF(H130="","",MIN(100,ROUND(H130+N(I130),2)))))</f>
        <v/>
      </c>
      <c r="K130" s="19">
        <f>IF(J130="","",IF(J130="TL","TL",IF(J130&gt;=80,"A",IF(J130&gt;=60,"B",IF(J130&gt;=40,"C",IF(J130&gt;=20,"D","E"))))))</f>
        <v/>
      </c>
      <c r="L130" s="15">
        <f>IF(K130="","",IF(K130="A","Cemerlang",IF(K130="B","Kepujian",IF(K130="C","Baik",IF(K130="D","Kurang Memuaskan",IF(K130="E","Tidak Memuaskan","Tidak Laksana"))))))</f>
        <v/>
      </c>
    </row>
    <row r="131">
      <c r="A131" s="15">
        <f>Murid!A131</f>
        <v/>
      </c>
      <c r="B131" s="15">
        <f>IF(Murid!B131="","",Murid!B131)</f>
        <v/>
      </c>
      <c r="C131" s="16">
        <f>IF(Murid!C131="","",Murid!C131)</f>
        <v/>
      </c>
      <c r="D131" s="15">
        <f>IF(Murid!E131="","",Murid!E131)</f>
        <v/>
      </c>
      <c r="E131" s="17">
        <f>KP!X131</f>
        <v/>
      </c>
      <c r="F131" s="17">
        <f>UB!X131</f>
        <v/>
      </c>
      <c r="G131" s="17">
        <f>SP!X131</f>
        <v/>
      </c>
      <c r="H131" s="17">
        <f>IF(COUNT(E131:G131)=0,"",ROUND((LARGE(E131:G131,1)+IF(COUNT(E131:G131)&gt;=2,LARGE(E131:G131,2),0))/2,2))</f>
        <v/>
      </c>
      <c r="I131" s="10">
        <f>Ekstra!U131</f>
        <v/>
      </c>
      <c r="J131" s="18">
        <f>IF(B131="","",IF(Murid!F131="TL","TL",IF(H131="","",MIN(100,ROUND(H131+N(I131),2)))))</f>
        <v/>
      </c>
      <c r="K131" s="19">
        <f>IF(J131="","",IF(J131="TL","TL",IF(J131&gt;=80,"A",IF(J131&gt;=60,"B",IF(J131&gt;=40,"C",IF(J131&gt;=20,"D","E"))))))</f>
        <v/>
      </c>
      <c r="L131" s="15">
        <f>IF(K131="","",IF(K131="A","Cemerlang",IF(K131="B","Kepujian",IF(K131="C","Baik",IF(K131="D","Kurang Memuaskan",IF(K131="E","Tidak Memuaskan","Tidak Laksana"))))))</f>
        <v/>
      </c>
    </row>
    <row r="132">
      <c r="A132" s="15">
        <f>Murid!A132</f>
        <v/>
      </c>
      <c r="B132" s="15">
        <f>IF(Murid!B132="","",Murid!B132)</f>
        <v/>
      </c>
      <c r="C132" s="16">
        <f>IF(Murid!C132="","",Murid!C132)</f>
        <v/>
      </c>
      <c r="D132" s="15">
        <f>IF(Murid!E132="","",Murid!E132)</f>
        <v/>
      </c>
      <c r="E132" s="17">
        <f>KP!X132</f>
        <v/>
      </c>
      <c r="F132" s="17">
        <f>UB!X132</f>
        <v/>
      </c>
      <c r="G132" s="17">
        <f>SP!X132</f>
        <v/>
      </c>
      <c r="H132" s="17">
        <f>IF(COUNT(E132:G132)=0,"",ROUND((LARGE(E132:G132,1)+IF(COUNT(E132:G132)&gt;=2,LARGE(E132:G132,2),0))/2,2))</f>
        <v/>
      </c>
      <c r="I132" s="10">
        <f>Ekstra!U132</f>
        <v/>
      </c>
      <c r="J132" s="18">
        <f>IF(B132="","",IF(Murid!F132="TL","TL",IF(H132="","",MIN(100,ROUND(H132+N(I132),2)))))</f>
        <v/>
      </c>
      <c r="K132" s="19">
        <f>IF(J132="","",IF(J132="TL","TL",IF(J132&gt;=80,"A",IF(J132&gt;=60,"B",IF(J132&gt;=40,"C",IF(J132&gt;=20,"D","E"))))))</f>
        <v/>
      </c>
      <c r="L132" s="15">
        <f>IF(K132="","",IF(K132="A","Cemerlang",IF(K132="B","Kepujian",IF(K132="C","Baik",IF(K132="D","Kurang Memuaskan",IF(K132="E","Tidak Memuaskan","Tidak Laksana"))))))</f>
        <v/>
      </c>
    </row>
    <row r="133">
      <c r="A133" s="15">
        <f>Murid!A133</f>
        <v/>
      </c>
      <c r="B133" s="15">
        <f>IF(Murid!B133="","",Murid!B133)</f>
        <v/>
      </c>
      <c r="C133" s="16">
        <f>IF(Murid!C133="","",Murid!C133)</f>
        <v/>
      </c>
      <c r="D133" s="15">
        <f>IF(Murid!E133="","",Murid!E133)</f>
        <v/>
      </c>
      <c r="E133" s="17">
        <f>KP!X133</f>
        <v/>
      </c>
      <c r="F133" s="17">
        <f>UB!X133</f>
        <v/>
      </c>
      <c r="G133" s="17">
        <f>SP!X133</f>
        <v/>
      </c>
      <c r="H133" s="17">
        <f>IF(COUNT(E133:G133)=0,"",ROUND((LARGE(E133:G133,1)+IF(COUNT(E133:G133)&gt;=2,LARGE(E133:G133,2),0))/2,2))</f>
        <v/>
      </c>
      <c r="I133" s="10">
        <f>Ekstra!U133</f>
        <v/>
      </c>
      <c r="J133" s="18">
        <f>IF(B133="","",IF(Murid!F133="TL","TL",IF(H133="","",MIN(100,ROUND(H133+N(I133),2)))))</f>
        <v/>
      </c>
      <c r="K133" s="19">
        <f>IF(J133="","",IF(J133="TL","TL",IF(J133&gt;=80,"A",IF(J133&gt;=60,"B",IF(J133&gt;=40,"C",IF(J133&gt;=20,"D","E"))))))</f>
        <v/>
      </c>
      <c r="L133" s="15">
        <f>IF(K133="","",IF(K133="A","Cemerlang",IF(K133="B","Kepujian",IF(K133="C","Baik",IF(K133="D","Kurang Memuaskan",IF(K133="E","Tidak Memuaskan","Tidak Laksana"))))))</f>
        <v/>
      </c>
    </row>
    <row r="134">
      <c r="A134" s="15">
        <f>Murid!A134</f>
        <v/>
      </c>
      <c r="B134" s="15">
        <f>IF(Murid!B134="","",Murid!B134)</f>
        <v/>
      </c>
      <c r="C134" s="16">
        <f>IF(Murid!C134="","",Murid!C134)</f>
        <v/>
      </c>
      <c r="D134" s="15">
        <f>IF(Murid!E134="","",Murid!E134)</f>
        <v/>
      </c>
      <c r="E134" s="17">
        <f>KP!X134</f>
        <v/>
      </c>
      <c r="F134" s="17">
        <f>UB!X134</f>
        <v/>
      </c>
      <c r="G134" s="17">
        <f>SP!X134</f>
        <v/>
      </c>
      <c r="H134" s="17">
        <f>IF(COUNT(E134:G134)=0,"",ROUND((LARGE(E134:G134,1)+IF(COUNT(E134:G134)&gt;=2,LARGE(E134:G134,2),0))/2,2))</f>
        <v/>
      </c>
      <c r="I134" s="10">
        <f>Ekstra!U134</f>
        <v/>
      </c>
      <c r="J134" s="18">
        <f>IF(B134="","",IF(Murid!F134="TL","TL",IF(H134="","",MIN(100,ROUND(H134+N(I134),2)))))</f>
        <v/>
      </c>
      <c r="K134" s="19">
        <f>IF(J134="","",IF(J134="TL","TL",IF(J134&gt;=80,"A",IF(J134&gt;=60,"B",IF(J134&gt;=40,"C",IF(J134&gt;=20,"D","E"))))))</f>
        <v/>
      </c>
      <c r="L134" s="15">
        <f>IF(K134="","",IF(K134="A","Cemerlang",IF(K134="B","Kepujian",IF(K134="C","Baik",IF(K134="D","Kurang Memuaskan",IF(K134="E","Tidak Memuaskan","Tidak Laksana"))))))</f>
        <v/>
      </c>
    </row>
    <row r="135">
      <c r="A135" s="15">
        <f>Murid!A135</f>
        <v/>
      </c>
      <c r="B135" s="15">
        <f>IF(Murid!B135="","",Murid!B135)</f>
        <v/>
      </c>
      <c r="C135" s="16">
        <f>IF(Murid!C135="","",Murid!C135)</f>
        <v/>
      </c>
      <c r="D135" s="15">
        <f>IF(Murid!E135="","",Murid!E135)</f>
        <v/>
      </c>
      <c r="E135" s="17">
        <f>KP!X135</f>
        <v/>
      </c>
      <c r="F135" s="17">
        <f>UB!X135</f>
        <v/>
      </c>
      <c r="G135" s="17">
        <f>SP!X135</f>
        <v/>
      </c>
      <c r="H135" s="17">
        <f>IF(COUNT(E135:G135)=0,"",ROUND((LARGE(E135:G135,1)+IF(COUNT(E135:G135)&gt;=2,LARGE(E135:G135,2),0))/2,2))</f>
        <v/>
      </c>
      <c r="I135" s="10">
        <f>Ekstra!U135</f>
        <v/>
      </c>
      <c r="J135" s="18">
        <f>IF(B135="","",IF(Murid!F135="TL","TL",IF(H135="","",MIN(100,ROUND(H135+N(I135),2)))))</f>
        <v/>
      </c>
      <c r="K135" s="19">
        <f>IF(J135="","",IF(J135="TL","TL",IF(J135&gt;=80,"A",IF(J135&gt;=60,"B",IF(J135&gt;=40,"C",IF(J135&gt;=20,"D","E"))))))</f>
        <v/>
      </c>
      <c r="L135" s="15">
        <f>IF(K135="","",IF(K135="A","Cemerlang",IF(K135="B","Kepujian",IF(K135="C","Baik",IF(K135="D","Kurang Memuaskan",IF(K135="E","Tidak Memuaskan","Tidak Laksana"))))))</f>
        <v/>
      </c>
    </row>
    <row r="136">
      <c r="A136" s="15">
        <f>Murid!A136</f>
        <v/>
      </c>
      <c r="B136" s="15">
        <f>IF(Murid!B136="","",Murid!B136)</f>
        <v/>
      </c>
      <c r="C136" s="16">
        <f>IF(Murid!C136="","",Murid!C136)</f>
        <v/>
      </c>
      <c r="D136" s="15">
        <f>IF(Murid!E136="","",Murid!E136)</f>
        <v/>
      </c>
      <c r="E136" s="17">
        <f>KP!X136</f>
        <v/>
      </c>
      <c r="F136" s="17">
        <f>UB!X136</f>
        <v/>
      </c>
      <c r="G136" s="17">
        <f>SP!X136</f>
        <v/>
      </c>
      <c r="H136" s="17">
        <f>IF(COUNT(E136:G136)=0,"",ROUND((LARGE(E136:G136,1)+IF(COUNT(E136:G136)&gt;=2,LARGE(E136:G136,2),0))/2,2))</f>
        <v/>
      </c>
      <c r="I136" s="10">
        <f>Ekstra!U136</f>
        <v/>
      </c>
      <c r="J136" s="18">
        <f>IF(B136="","",IF(Murid!F136="TL","TL",IF(H136="","",MIN(100,ROUND(H136+N(I136),2)))))</f>
        <v/>
      </c>
      <c r="K136" s="19">
        <f>IF(J136="","",IF(J136="TL","TL",IF(J136&gt;=80,"A",IF(J136&gt;=60,"B",IF(J136&gt;=40,"C",IF(J136&gt;=20,"D","E"))))))</f>
        <v/>
      </c>
      <c r="L136" s="15">
        <f>IF(K136="","",IF(K136="A","Cemerlang",IF(K136="B","Kepujian",IF(K136="C","Baik",IF(K136="D","Kurang Memuaskan",IF(K136="E","Tidak Memuaskan","Tidak Laksana"))))))</f>
        <v/>
      </c>
    </row>
    <row r="137">
      <c r="A137" s="15">
        <f>Murid!A137</f>
        <v/>
      </c>
      <c r="B137" s="15">
        <f>IF(Murid!B137="","",Murid!B137)</f>
        <v/>
      </c>
      <c r="C137" s="16">
        <f>IF(Murid!C137="","",Murid!C137)</f>
        <v/>
      </c>
      <c r="D137" s="15">
        <f>IF(Murid!E137="","",Murid!E137)</f>
        <v/>
      </c>
      <c r="E137" s="17">
        <f>KP!X137</f>
        <v/>
      </c>
      <c r="F137" s="17">
        <f>UB!X137</f>
        <v/>
      </c>
      <c r="G137" s="17">
        <f>SP!X137</f>
        <v/>
      </c>
      <c r="H137" s="17">
        <f>IF(COUNT(E137:G137)=0,"",ROUND((LARGE(E137:G137,1)+IF(COUNT(E137:G137)&gt;=2,LARGE(E137:G137,2),0))/2,2))</f>
        <v/>
      </c>
      <c r="I137" s="10">
        <f>Ekstra!U137</f>
        <v/>
      </c>
      <c r="J137" s="18">
        <f>IF(B137="","",IF(Murid!F137="TL","TL",IF(H137="","",MIN(100,ROUND(H137+N(I137),2)))))</f>
        <v/>
      </c>
      <c r="K137" s="19">
        <f>IF(J137="","",IF(J137="TL","TL",IF(J137&gt;=80,"A",IF(J137&gt;=60,"B",IF(J137&gt;=40,"C",IF(J137&gt;=20,"D","E"))))))</f>
        <v/>
      </c>
      <c r="L137" s="15">
        <f>IF(K137="","",IF(K137="A","Cemerlang",IF(K137="B","Kepujian",IF(K137="C","Baik",IF(K137="D","Kurang Memuaskan",IF(K137="E","Tidak Memuaskan","Tidak Laksana"))))))</f>
        <v/>
      </c>
    </row>
    <row r="138">
      <c r="A138" s="15">
        <f>Murid!A138</f>
        <v/>
      </c>
      <c r="B138" s="15">
        <f>IF(Murid!B138="","",Murid!B138)</f>
        <v/>
      </c>
      <c r="C138" s="16">
        <f>IF(Murid!C138="","",Murid!C138)</f>
        <v/>
      </c>
      <c r="D138" s="15">
        <f>IF(Murid!E138="","",Murid!E138)</f>
        <v/>
      </c>
      <c r="E138" s="17">
        <f>KP!X138</f>
        <v/>
      </c>
      <c r="F138" s="17">
        <f>UB!X138</f>
        <v/>
      </c>
      <c r="G138" s="17">
        <f>SP!X138</f>
        <v/>
      </c>
      <c r="H138" s="17">
        <f>IF(COUNT(E138:G138)=0,"",ROUND((LARGE(E138:G138,1)+IF(COUNT(E138:G138)&gt;=2,LARGE(E138:G138,2),0))/2,2))</f>
        <v/>
      </c>
      <c r="I138" s="10">
        <f>Ekstra!U138</f>
        <v/>
      </c>
      <c r="J138" s="18">
        <f>IF(B138="","",IF(Murid!F138="TL","TL",IF(H138="","",MIN(100,ROUND(H138+N(I138),2)))))</f>
        <v/>
      </c>
      <c r="K138" s="19">
        <f>IF(J138="","",IF(J138="TL","TL",IF(J138&gt;=80,"A",IF(J138&gt;=60,"B",IF(J138&gt;=40,"C",IF(J138&gt;=20,"D","E"))))))</f>
        <v/>
      </c>
      <c r="L138" s="15">
        <f>IF(K138="","",IF(K138="A","Cemerlang",IF(K138="B","Kepujian",IF(K138="C","Baik",IF(K138="D","Kurang Memuaskan",IF(K138="E","Tidak Memuaskan","Tidak Laksana"))))))</f>
        <v/>
      </c>
    </row>
    <row r="139">
      <c r="A139" s="15">
        <f>Murid!A139</f>
        <v/>
      </c>
      <c r="B139" s="15">
        <f>IF(Murid!B139="","",Murid!B139)</f>
        <v/>
      </c>
      <c r="C139" s="16">
        <f>IF(Murid!C139="","",Murid!C139)</f>
        <v/>
      </c>
      <c r="D139" s="15">
        <f>IF(Murid!E139="","",Murid!E139)</f>
        <v/>
      </c>
      <c r="E139" s="17">
        <f>KP!X139</f>
        <v/>
      </c>
      <c r="F139" s="17">
        <f>UB!X139</f>
        <v/>
      </c>
      <c r="G139" s="17">
        <f>SP!X139</f>
        <v/>
      </c>
      <c r="H139" s="17">
        <f>IF(COUNT(E139:G139)=0,"",ROUND((LARGE(E139:G139,1)+IF(COUNT(E139:G139)&gt;=2,LARGE(E139:G139,2),0))/2,2))</f>
        <v/>
      </c>
      <c r="I139" s="10">
        <f>Ekstra!U139</f>
        <v/>
      </c>
      <c r="J139" s="18">
        <f>IF(B139="","",IF(Murid!F139="TL","TL",IF(H139="","",MIN(100,ROUND(H139+N(I139),2)))))</f>
        <v/>
      </c>
      <c r="K139" s="19">
        <f>IF(J139="","",IF(J139="TL","TL",IF(J139&gt;=80,"A",IF(J139&gt;=60,"B",IF(J139&gt;=40,"C",IF(J139&gt;=20,"D","E"))))))</f>
        <v/>
      </c>
      <c r="L139" s="15">
        <f>IF(K139="","",IF(K139="A","Cemerlang",IF(K139="B","Kepujian",IF(K139="C","Baik",IF(K139="D","Kurang Memuaskan",IF(K139="E","Tidak Memuaskan","Tidak Laksana"))))))</f>
        <v/>
      </c>
    </row>
    <row r="140">
      <c r="A140" s="15">
        <f>Murid!A140</f>
        <v/>
      </c>
      <c r="B140" s="15">
        <f>IF(Murid!B140="","",Murid!B140)</f>
        <v/>
      </c>
      <c r="C140" s="16">
        <f>IF(Murid!C140="","",Murid!C140)</f>
        <v/>
      </c>
      <c r="D140" s="15">
        <f>IF(Murid!E140="","",Murid!E140)</f>
        <v/>
      </c>
      <c r="E140" s="17">
        <f>KP!X140</f>
        <v/>
      </c>
      <c r="F140" s="17">
        <f>UB!X140</f>
        <v/>
      </c>
      <c r="G140" s="17">
        <f>SP!X140</f>
        <v/>
      </c>
      <c r="H140" s="17">
        <f>IF(COUNT(E140:G140)=0,"",ROUND((LARGE(E140:G140,1)+IF(COUNT(E140:G140)&gt;=2,LARGE(E140:G140,2),0))/2,2))</f>
        <v/>
      </c>
      <c r="I140" s="10">
        <f>Ekstra!U140</f>
        <v/>
      </c>
      <c r="J140" s="18">
        <f>IF(B140="","",IF(Murid!F140="TL","TL",IF(H140="","",MIN(100,ROUND(H140+N(I140),2)))))</f>
        <v/>
      </c>
      <c r="K140" s="19">
        <f>IF(J140="","",IF(J140="TL","TL",IF(J140&gt;=80,"A",IF(J140&gt;=60,"B",IF(J140&gt;=40,"C",IF(J140&gt;=20,"D","E"))))))</f>
        <v/>
      </c>
      <c r="L140" s="15">
        <f>IF(K140="","",IF(K140="A","Cemerlang",IF(K140="B","Kepujian",IF(K140="C","Baik",IF(K140="D","Kurang Memuaskan",IF(K140="E","Tidak Memuaskan","Tidak Laksana"))))))</f>
        <v/>
      </c>
    </row>
    <row r="141">
      <c r="A141" s="15">
        <f>Murid!A141</f>
        <v/>
      </c>
      <c r="B141" s="15">
        <f>IF(Murid!B141="","",Murid!B141)</f>
        <v/>
      </c>
      <c r="C141" s="16">
        <f>IF(Murid!C141="","",Murid!C141)</f>
        <v/>
      </c>
      <c r="D141" s="15">
        <f>IF(Murid!E141="","",Murid!E141)</f>
        <v/>
      </c>
      <c r="E141" s="17">
        <f>KP!X141</f>
        <v/>
      </c>
      <c r="F141" s="17">
        <f>UB!X141</f>
        <v/>
      </c>
      <c r="G141" s="17">
        <f>SP!X141</f>
        <v/>
      </c>
      <c r="H141" s="17">
        <f>IF(COUNT(E141:G141)=0,"",ROUND((LARGE(E141:G141,1)+IF(COUNT(E141:G141)&gt;=2,LARGE(E141:G141,2),0))/2,2))</f>
        <v/>
      </c>
      <c r="I141" s="10">
        <f>Ekstra!U141</f>
        <v/>
      </c>
      <c r="J141" s="18">
        <f>IF(B141="","",IF(Murid!F141="TL","TL",IF(H141="","",MIN(100,ROUND(H141+N(I141),2)))))</f>
        <v/>
      </c>
      <c r="K141" s="19">
        <f>IF(J141="","",IF(J141="TL","TL",IF(J141&gt;=80,"A",IF(J141&gt;=60,"B",IF(J141&gt;=40,"C",IF(J141&gt;=20,"D","E"))))))</f>
        <v/>
      </c>
      <c r="L141" s="15">
        <f>IF(K141="","",IF(K141="A","Cemerlang",IF(K141="B","Kepujian",IF(K141="C","Baik",IF(K141="D","Kurang Memuaskan",IF(K141="E","Tidak Memuaskan","Tidak Laksana"))))))</f>
        <v/>
      </c>
    </row>
    <row r="142">
      <c r="A142" s="15">
        <f>Murid!A142</f>
        <v/>
      </c>
      <c r="B142" s="15">
        <f>IF(Murid!B142="","",Murid!B142)</f>
        <v/>
      </c>
      <c r="C142" s="16">
        <f>IF(Murid!C142="","",Murid!C142)</f>
        <v/>
      </c>
      <c r="D142" s="15">
        <f>IF(Murid!E142="","",Murid!E142)</f>
        <v/>
      </c>
      <c r="E142" s="17">
        <f>KP!X142</f>
        <v/>
      </c>
      <c r="F142" s="17">
        <f>UB!X142</f>
        <v/>
      </c>
      <c r="G142" s="17">
        <f>SP!X142</f>
        <v/>
      </c>
      <c r="H142" s="17">
        <f>IF(COUNT(E142:G142)=0,"",ROUND((LARGE(E142:G142,1)+IF(COUNT(E142:G142)&gt;=2,LARGE(E142:G142,2),0))/2,2))</f>
        <v/>
      </c>
      <c r="I142" s="10">
        <f>Ekstra!U142</f>
        <v/>
      </c>
      <c r="J142" s="18">
        <f>IF(B142="","",IF(Murid!F142="TL","TL",IF(H142="","",MIN(100,ROUND(H142+N(I142),2)))))</f>
        <v/>
      </c>
      <c r="K142" s="19">
        <f>IF(J142="","",IF(J142="TL","TL",IF(J142&gt;=80,"A",IF(J142&gt;=60,"B",IF(J142&gt;=40,"C",IF(J142&gt;=20,"D","E"))))))</f>
        <v/>
      </c>
      <c r="L142" s="15">
        <f>IF(K142="","",IF(K142="A","Cemerlang",IF(K142="B","Kepujian",IF(K142="C","Baik",IF(K142="D","Kurang Memuaskan",IF(K142="E","Tidak Memuaskan","Tidak Laksana"))))))</f>
        <v/>
      </c>
    </row>
    <row r="143">
      <c r="A143" s="15">
        <f>Murid!A143</f>
        <v/>
      </c>
      <c r="B143" s="15">
        <f>IF(Murid!B143="","",Murid!B143)</f>
        <v/>
      </c>
      <c r="C143" s="16">
        <f>IF(Murid!C143="","",Murid!C143)</f>
        <v/>
      </c>
      <c r="D143" s="15">
        <f>IF(Murid!E143="","",Murid!E143)</f>
        <v/>
      </c>
      <c r="E143" s="17">
        <f>KP!X143</f>
        <v/>
      </c>
      <c r="F143" s="17">
        <f>UB!X143</f>
        <v/>
      </c>
      <c r="G143" s="17">
        <f>SP!X143</f>
        <v/>
      </c>
      <c r="H143" s="17">
        <f>IF(COUNT(E143:G143)=0,"",ROUND((LARGE(E143:G143,1)+IF(COUNT(E143:G143)&gt;=2,LARGE(E143:G143,2),0))/2,2))</f>
        <v/>
      </c>
      <c r="I143" s="10">
        <f>Ekstra!U143</f>
        <v/>
      </c>
      <c r="J143" s="18">
        <f>IF(B143="","",IF(Murid!F143="TL","TL",IF(H143="","",MIN(100,ROUND(H143+N(I143),2)))))</f>
        <v/>
      </c>
      <c r="K143" s="19">
        <f>IF(J143="","",IF(J143="TL","TL",IF(J143&gt;=80,"A",IF(J143&gt;=60,"B",IF(J143&gt;=40,"C",IF(J143&gt;=20,"D","E"))))))</f>
        <v/>
      </c>
      <c r="L143" s="15">
        <f>IF(K143="","",IF(K143="A","Cemerlang",IF(K143="B","Kepujian",IF(K143="C","Baik",IF(K143="D","Kurang Memuaskan",IF(K143="E","Tidak Memuaskan","Tidak Laksana"))))))</f>
        <v/>
      </c>
    </row>
    <row r="144">
      <c r="A144" s="15">
        <f>Murid!A144</f>
        <v/>
      </c>
      <c r="B144" s="15">
        <f>IF(Murid!B144="","",Murid!B144)</f>
        <v/>
      </c>
      <c r="C144" s="16">
        <f>IF(Murid!C144="","",Murid!C144)</f>
        <v/>
      </c>
      <c r="D144" s="15">
        <f>IF(Murid!E144="","",Murid!E144)</f>
        <v/>
      </c>
      <c r="E144" s="17">
        <f>KP!X144</f>
        <v/>
      </c>
      <c r="F144" s="17">
        <f>UB!X144</f>
        <v/>
      </c>
      <c r="G144" s="17">
        <f>SP!X144</f>
        <v/>
      </c>
      <c r="H144" s="17">
        <f>IF(COUNT(E144:G144)=0,"",ROUND((LARGE(E144:G144,1)+IF(COUNT(E144:G144)&gt;=2,LARGE(E144:G144,2),0))/2,2))</f>
        <v/>
      </c>
      <c r="I144" s="10">
        <f>Ekstra!U144</f>
        <v/>
      </c>
      <c r="J144" s="18">
        <f>IF(B144="","",IF(Murid!F144="TL","TL",IF(H144="","",MIN(100,ROUND(H144+N(I144),2)))))</f>
        <v/>
      </c>
      <c r="K144" s="19">
        <f>IF(J144="","",IF(J144="TL","TL",IF(J144&gt;=80,"A",IF(J144&gt;=60,"B",IF(J144&gt;=40,"C",IF(J144&gt;=20,"D","E"))))))</f>
        <v/>
      </c>
      <c r="L144" s="15">
        <f>IF(K144="","",IF(K144="A","Cemerlang",IF(K144="B","Kepujian",IF(K144="C","Baik",IF(K144="D","Kurang Memuaskan",IF(K144="E","Tidak Memuaskan","Tidak Laksana"))))))</f>
        <v/>
      </c>
    </row>
    <row r="145">
      <c r="A145" s="15">
        <f>Murid!A145</f>
        <v/>
      </c>
      <c r="B145" s="15">
        <f>IF(Murid!B145="","",Murid!B145)</f>
        <v/>
      </c>
      <c r="C145" s="16">
        <f>IF(Murid!C145="","",Murid!C145)</f>
        <v/>
      </c>
      <c r="D145" s="15">
        <f>IF(Murid!E145="","",Murid!E145)</f>
        <v/>
      </c>
      <c r="E145" s="17">
        <f>KP!X145</f>
        <v/>
      </c>
      <c r="F145" s="17">
        <f>UB!X145</f>
        <v/>
      </c>
      <c r="G145" s="17">
        <f>SP!X145</f>
        <v/>
      </c>
      <c r="H145" s="17">
        <f>IF(COUNT(E145:G145)=0,"",ROUND((LARGE(E145:G145,1)+IF(COUNT(E145:G145)&gt;=2,LARGE(E145:G145,2),0))/2,2))</f>
        <v/>
      </c>
      <c r="I145" s="10">
        <f>Ekstra!U145</f>
        <v/>
      </c>
      <c r="J145" s="18">
        <f>IF(B145="","",IF(Murid!F145="TL","TL",IF(H145="","",MIN(100,ROUND(H145+N(I145),2)))))</f>
        <v/>
      </c>
      <c r="K145" s="19">
        <f>IF(J145="","",IF(J145="TL","TL",IF(J145&gt;=80,"A",IF(J145&gt;=60,"B",IF(J145&gt;=40,"C",IF(J145&gt;=20,"D","E"))))))</f>
        <v/>
      </c>
      <c r="L145" s="15">
        <f>IF(K145="","",IF(K145="A","Cemerlang",IF(K145="B","Kepujian",IF(K145="C","Baik",IF(K145="D","Kurang Memuaskan",IF(K145="E","Tidak Memuaskan","Tidak Laksana"))))))</f>
        <v/>
      </c>
    </row>
    <row r="146">
      <c r="A146" s="15">
        <f>Murid!A146</f>
        <v/>
      </c>
      <c r="B146" s="15">
        <f>IF(Murid!B146="","",Murid!B146)</f>
        <v/>
      </c>
      <c r="C146" s="16">
        <f>IF(Murid!C146="","",Murid!C146)</f>
        <v/>
      </c>
      <c r="D146" s="15">
        <f>IF(Murid!E146="","",Murid!E146)</f>
        <v/>
      </c>
      <c r="E146" s="17">
        <f>KP!X146</f>
        <v/>
      </c>
      <c r="F146" s="17">
        <f>UB!X146</f>
        <v/>
      </c>
      <c r="G146" s="17">
        <f>SP!X146</f>
        <v/>
      </c>
      <c r="H146" s="17">
        <f>IF(COUNT(E146:G146)=0,"",ROUND((LARGE(E146:G146,1)+IF(COUNT(E146:G146)&gt;=2,LARGE(E146:G146,2),0))/2,2))</f>
        <v/>
      </c>
      <c r="I146" s="10">
        <f>Ekstra!U146</f>
        <v/>
      </c>
      <c r="J146" s="18">
        <f>IF(B146="","",IF(Murid!F146="TL","TL",IF(H146="","",MIN(100,ROUND(H146+N(I146),2)))))</f>
        <v/>
      </c>
      <c r="K146" s="19">
        <f>IF(J146="","",IF(J146="TL","TL",IF(J146&gt;=80,"A",IF(J146&gt;=60,"B",IF(J146&gt;=40,"C",IF(J146&gt;=20,"D","E"))))))</f>
        <v/>
      </c>
      <c r="L146" s="15">
        <f>IF(K146="","",IF(K146="A","Cemerlang",IF(K146="B","Kepujian",IF(K146="C","Baik",IF(K146="D","Kurang Memuaskan",IF(K146="E","Tidak Memuaskan","Tidak Laksana"))))))</f>
        <v/>
      </c>
    </row>
    <row r="147">
      <c r="A147" s="15">
        <f>Murid!A147</f>
        <v/>
      </c>
      <c r="B147" s="15">
        <f>IF(Murid!B147="","",Murid!B147)</f>
        <v/>
      </c>
      <c r="C147" s="16">
        <f>IF(Murid!C147="","",Murid!C147)</f>
        <v/>
      </c>
      <c r="D147" s="15">
        <f>IF(Murid!E147="","",Murid!E147)</f>
        <v/>
      </c>
      <c r="E147" s="17">
        <f>KP!X147</f>
        <v/>
      </c>
      <c r="F147" s="17">
        <f>UB!X147</f>
        <v/>
      </c>
      <c r="G147" s="17">
        <f>SP!X147</f>
        <v/>
      </c>
      <c r="H147" s="17">
        <f>IF(COUNT(E147:G147)=0,"",ROUND((LARGE(E147:G147,1)+IF(COUNT(E147:G147)&gt;=2,LARGE(E147:G147,2),0))/2,2))</f>
        <v/>
      </c>
      <c r="I147" s="10">
        <f>Ekstra!U147</f>
        <v/>
      </c>
      <c r="J147" s="18">
        <f>IF(B147="","",IF(Murid!F147="TL","TL",IF(H147="","",MIN(100,ROUND(H147+N(I147),2)))))</f>
        <v/>
      </c>
      <c r="K147" s="19">
        <f>IF(J147="","",IF(J147="TL","TL",IF(J147&gt;=80,"A",IF(J147&gt;=60,"B",IF(J147&gt;=40,"C",IF(J147&gt;=20,"D","E"))))))</f>
        <v/>
      </c>
      <c r="L147" s="15">
        <f>IF(K147="","",IF(K147="A","Cemerlang",IF(K147="B","Kepujian",IF(K147="C","Baik",IF(K147="D","Kurang Memuaskan",IF(K147="E","Tidak Memuaskan","Tidak Laksana"))))))</f>
        <v/>
      </c>
    </row>
    <row r="148">
      <c r="A148" s="15">
        <f>Murid!A148</f>
        <v/>
      </c>
      <c r="B148" s="15">
        <f>IF(Murid!B148="","",Murid!B148)</f>
        <v/>
      </c>
      <c r="C148" s="16">
        <f>IF(Murid!C148="","",Murid!C148)</f>
        <v/>
      </c>
      <c r="D148" s="15">
        <f>IF(Murid!E148="","",Murid!E148)</f>
        <v/>
      </c>
      <c r="E148" s="17">
        <f>KP!X148</f>
        <v/>
      </c>
      <c r="F148" s="17">
        <f>UB!X148</f>
        <v/>
      </c>
      <c r="G148" s="17">
        <f>SP!X148</f>
        <v/>
      </c>
      <c r="H148" s="17">
        <f>IF(COUNT(E148:G148)=0,"",ROUND((LARGE(E148:G148,1)+IF(COUNT(E148:G148)&gt;=2,LARGE(E148:G148,2),0))/2,2))</f>
        <v/>
      </c>
      <c r="I148" s="10">
        <f>Ekstra!U148</f>
        <v/>
      </c>
      <c r="J148" s="18">
        <f>IF(B148="","",IF(Murid!F148="TL","TL",IF(H148="","",MIN(100,ROUND(H148+N(I148),2)))))</f>
        <v/>
      </c>
      <c r="K148" s="19">
        <f>IF(J148="","",IF(J148="TL","TL",IF(J148&gt;=80,"A",IF(J148&gt;=60,"B",IF(J148&gt;=40,"C",IF(J148&gt;=20,"D","E"))))))</f>
        <v/>
      </c>
      <c r="L148" s="15">
        <f>IF(K148="","",IF(K148="A","Cemerlang",IF(K148="B","Kepujian",IF(K148="C","Baik",IF(K148="D","Kurang Memuaskan",IF(K148="E","Tidak Memuaskan","Tidak Laksana"))))))</f>
        <v/>
      </c>
    </row>
    <row r="149">
      <c r="A149" s="15">
        <f>Murid!A149</f>
        <v/>
      </c>
      <c r="B149" s="15">
        <f>IF(Murid!B149="","",Murid!B149)</f>
        <v/>
      </c>
      <c r="C149" s="16">
        <f>IF(Murid!C149="","",Murid!C149)</f>
        <v/>
      </c>
      <c r="D149" s="15">
        <f>IF(Murid!E149="","",Murid!E149)</f>
        <v/>
      </c>
      <c r="E149" s="17">
        <f>KP!X149</f>
        <v/>
      </c>
      <c r="F149" s="17">
        <f>UB!X149</f>
        <v/>
      </c>
      <c r="G149" s="17">
        <f>SP!X149</f>
        <v/>
      </c>
      <c r="H149" s="17">
        <f>IF(COUNT(E149:G149)=0,"",ROUND((LARGE(E149:G149,1)+IF(COUNT(E149:G149)&gt;=2,LARGE(E149:G149,2),0))/2,2))</f>
        <v/>
      </c>
      <c r="I149" s="10">
        <f>Ekstra!U149</f>
        <v/>
      </c>
      <c r="J149" s="18">
        <f>IF(B149="","",IF(Murid!F149="TL","TL",IF(H149="","",MIN(100,ROUND(H149+N(I149),2)))))</f>
        <v/>
      </c>
      <c r="K149" s="19">
        <f>IF(J149="","",IF(J149="TL","TL",IF(J149&gt;=80,"A",IF(J149&gt;=60,"B",IF(J149&gt;=40,"C",IF(J149&gt;=20,"D","E"))))))</f>
        <v/>
      </c>
      <c r="L149" s="15">
        <f>IF(K149="","",IF(K149="A","Cemerlang",IF(K149="B","Kepujian",IF(K149="C","Baik",IF(K149="D","Kurang Memuaskan",IF(K149="E","Tidak Memuaskan","Tidak Laksana"))))))</f>
        <v/>
      </c>
    </row>
    <row r="150">
      <c r="A150" s="15">
        <f>Murid!A150</f>
        <v/>
      </c>
      <c r="B150" s="15">
        <f>IF(Murid!B150="","",Murid!B150)</f>
        <v/>
      </c>
      <c r="C150" s="16">
        <f>IF(Murid!C150="","",Murid!C150)</f>
        <v/>
      </c>
      <c r="D150" s="15">
        <f>IF(Murid!E150="","",Murid!E150)</f>
        <v/>
      </c>
      <c r="E150" s="17">
        <f>KP!X150</f>
        <v/>
      </c>
      <c r="F150" s="17">
        <f>UB!X150</f>
        <v/>
      </c>
      <c r="G150" s="17">
        <f>SP!X150</f>
        <v/>
      </c>
      <c r="H150" s="17">
        <f>IF(COUNT(E150:G150)=0,"",ROUND((LARGE(E150:G150,1)+IF(COUNT(E150:G150)&gt;=2,LARGE(E150:G150,2),0))/2,2))</f>
        <v/>
      </c>
      <c r="I150" s="10">
        <f>Ekstra!U150</f>
        <v/>
      </c>
      <c r="J150" s="18">
        <f>IF(B150="","",IF(Murid!F150="TL","TL",IF(H150="","",MIN(100,ROUND(H150+N(I150),2)))))</f>
        <v/>
      </c>
      <c r="K150" s="19">
        <f>IF(J150="","",IF(J150="TL","TL",IF(J150&gt;=80,"A",IF(J150&gt;=60,"B",IF(J150&gt;=40,"C",IF(J150&gt;=20,"D","E"))))))</f>
        <v/>
      </c>
      <c r="L150" s="15">
        <f>IF(K150="","",IF(K150="A","Cemerlang",IF(K150="B","Kepujian",IF(K150="C","Baik",IF(K150="D","Kurang Memuaskan",IF(K150="E","Tidak Memuaskan","Tidak Laksana"))))))</f>
        <v/>
      </c>
    </row>
    <row r="151">
      <c r="A151" s="15">
        <f>Murid!A151</f>
        <v/>
      </c>
      <c r="B151" s="15">
        <f>IF(Murid!B151="","",Murid!B151)</f>
        <v/>
      </c>
      <c r="C151" s="16">
        <f>IF(Murid!C151="","",Murid!C151)</f>
        <v/>
      </c>
      <c r="D151" s="15">
        <f>IF(Murid!E151="","",Murid!E151)</f>
        <v/>
      </c>
      <c r="E151" s="17">
        <f>KP!X151</f>
        <v/>
      </c>
      <c r="F151" s="17">
        <f>UB!X151</f>
        <v/>
      </c>
      <c r="G151" s="17">
        <f>SP!X151</f>
        <v/>
      </c>
      <c r="H151" s="17">
        <f>IF(COUNT(E151:G151)=0,"",ROUND((LARGE(E151:G151,1)+IF(COUNT(E151:G151)&gt;=2,LARGE(E151:G151,2),0))/2,2))</f>
        <v/>
      </c>
      <c r="I151" s="10">
        <f>Ekstra!U151</f>
        <v/>
      </c>
      <c r="J151" s="18">
        <f>IF(B151="","",IF(Murid!F151="TL","TL",IF(H151="","",MIN(100,ROUND(H151+N(I151),2)))))</f>
        <v/>
      </c>
      <c r="K151" s="19">
        <f>IF(J151="","",IF(J151="TL","TL",IF(J151&gt;=80,"A",IF(J151&gt;=60,"B",IF(J151&gt;=40,"C",IF(J151&gt;=20,"D","E"))))))</f>
        <v/>
      </c>
      <c r="L151" s="15">
        <f>IF(K151="","",IF(K151="A","Cemerlang",IF(K151="B","Kepujian",IF(K151="C","Baik",IF(K151="D","Kurang Memuaskan",IF(K151="E","Tidak Memuaskan","Tidak Laksana"))))))</f>
        <v/>
      </c>
    </row>
    <row r="152">
      <c r="A152" s="15">
        <f>Murid!A152</f>
        <v/>
      </c>
      <c r="B152" s="15">
        <f>IF(Murid!B152="","",Murid!B152)</f>
        <v/>
      </c>
      <c r="C152" s="16">
        <f>IF(Murid!C152="","",Murid!C152)</f>
        <v/>
      </c>
      <c r="D152" s="15">
        <f>IF(Murid!E152="","",Murid!E152)</f>
        <v/>
      </c>
      <c r="E152" s="17">
        <f>KP!X152</f>
        <v/>
      </c>
      <c r="F152" s="17">
        <f>UB!X152</f>
        <v/>
      </c>
      <c r="G152" s="17">
        <f>SP!X152</f>
        <v/>
      </c>
      <c r="H152" s="17">
        <f>IF(COUNT(E152:G152)=0,"",ROUND((LARGE(E152:G152,1)+IF(COUNT(E152:G152)&gt;=2,LARGE(E152:G152,2),0))/2,2))</f>
        <v/>
      </c>
      <c r="I152" s="10">
        <f>Ekstra!U152</f>
        <v/>
      </c>
      <c r="J152" s="18">
        <f>IF(B152="","",IF(Murid!F152="TL","TL",IF(H152="","",MIN(100,ROUND(H152+N(I152),2)))))</f>
        <v/>
      </c>
      <c r="K152" s="19">
        <f>IF(J152="","",IF(J152="TL","TL",IF(J152&gt;=80,"A",IF(J152&gt;=60,"B",IF(J152&gt;=40,"C",IF(J152&gt;=20,"D","E"))))))</f>
        <v/>
      </c>
      <c r="L152" s="15">
        <f>IF(K152="","",IF(K152="A","Cemerlang",IF(K152="B","Kepujian",IF(K152="C","Baik",IF(K152="D","Kurang Memuaskan",IF(K152="E","Tidak Memuaskan","Tidak Laksana"))))))</f>
        <v/>
      </c>
    </row>
    <row r="153">
      <c r="A153" s="15">
        <f>Murid!A153</f>
        <v/>
      </c>
      <c r="B153" s="15">
        <f>IF(Murid!B153="","",Murid!B153)</f>
        <v/>
      </c>
      <c r="C153" s="16">
        <f>IF(Murid!C153="","",Murid!C153)</f>
        <v/>
      </c>
      <c r="D153" s="15">
        <f>IF(Murid!E153="","",Murid!E153)</f>
        <v/>
      </c>
      <c r="E153" s="17">
        <f>KP!X153</f>
        <v/>
      </c>
      <c r="F153" s="17">
        <f>UB!X153</f>
        <v/>
      </c>
      <c r="G153" s="17">
        <f>SP!X153</f>
        <v/>
      </c>
      <c r="H153" s="17">
        <f>IF(COUNT(E153:G153)=0,"",ROUND((LARGE(E153:G153,1)+IF(COUNT(E153:G153)&gt;=2,LARGE(E153:G153,2),0))/2,2))</f>
        <v/>
      </c>
      <c r="I153" s="10">
        <f>Ekstra!U153</f>
        <v/>
      </c>
      <c r="J153" s="18">
        <f>IF(B153="","",IF(Murid!F153="TL","TL",IF(H153="","",MIN(100,ROUND(H153+N(I153),2)))))</f>
        <v/>
      </c>
      <c r="K153" s="19">
        <f>IF(J153="","",IF(J153="TL","TL",IF(J153&gt;=80,"A",IF(J153&gt;=60,"B",IF(J153&gt;=40,"C",IF(J153&gt;=20,"D","E"))))))</f>
        <v/>
      </c>
      <c r="L153" s="15">
        <f>IF(K153="","",IF(K153="A","Cemerlang",IF(K153="B","Kepujian",IF(K153="C","Baik",IF(K153="D","Kurang Memuaskan",IF(K153="E","Tidak Memuaskan","Tidak Laksana"))))))</f>
        <v/>
      </c>
    </row>
    <row r="154">
      <c r="A154" s="15">
        <f>Murid!A154</f>
        <v/>
      </c>
      <c r="B154" s="15">
        <f>IF(Murid!B154="","",Murid!B154)</f>
        <v/>
      </c>
      <c r="C154" s="16">
        <f>IF(Murid!C154="","",Murid!C154)</f>
        <v/>
      </c>
      <c r="D154" s="15">
        <f>IF(Murid!E154="","",Murid!E154)</f>
        <v/>
      </c>
      <c r="E154" s="17">
        <f>KP!X154</f>
        <v/>
      </c>
      <c r="F154" s="17">
        <f>UB!X154</f>
        <v/>
      </c>
      <c r="G154" s="17">
        <f>SP!X154</f>
        <v/>
      </c>
      <c r="H154" s="17">
        <f>IF(COUNT(E154:G154)=0,"",ROUND((LARGE(E154:G154,1)+IF(COUNT(E154:G154)&gt;=2,LARGE(E154:G154,2),0))/2,2))</f>
        <v/>
      </c>
      <c r="I154" s="10">
        <f>Ekstra!U154</f>
        <v/>
      </c>
      <c r="J154" s="18">
        <f>IF(B154="","",IF(Murid!F154="TL","TL",IF(H154="","",MIN(100,ROUND(H154+N(I154),2)))))</f>
        <v/>
      </c>
      <c r="K154" s="19">
        <f>IF(J154="","",IF(J154="TL","TL",IF(J154&gt;=80,"A",IF(J154&gt;=60,"B",IF(J154&gt;=40,"C",IF(J154&gt;=20,"D","E"))))))</f>
        <v/>
      </c>
      <c r="L154" s="15">
        <f>IF(K154="","",IF(K154="A","Cemerlang",IF(K154="B","Kepujian",IF(K154="C","Baik",IF(K154="D","Kurang Memuaskan",IF(K154="E","Tidak Memuaskan","Tidak Laksana"))))))</f>
        <v/>
      </c>
    </row>
    <row r="155">
      <c r="A155" s="15">
        <f>Murid!A155</f>
        <v/>
      </c>
      <c r="B155" s="15">
        <f>IF(Murid!B155="","",Murid!B155)</f>
        <v/>
      </c>
      <c r="C155" s="16">
        <f>IF(Murid!C155="","",Murid!C155)</f>
        <v/>
      </c>
      <c r="D155" s="15">
        <f>IF(Murid!E155="","",Murid!E155)</f>
        <v/>
      </c>
      <c r="E155" s="17">
        <f>KP!X155</f>
        <v/>
      </c>
      <c r="F155" s="17">
        <f>UB!X155</f>
        <v/>
      </c>
      <c r="G155" s="17">
        <f>SP!X155</f>
        <v/>
      </c>
      <c r="H155" s="17">
        <f>IF(COUNT(E155:G155)=0,"",ROUND((LARGE(E155:G155,1)+IF(COUNT(E155:G155)&gt;=2,LARGE(E155:G155,2),0))/2,2))</f>
        <v/>
      </c>
      <c r="I155" s="10">
        <f>Ekstra!U155</f>
        <v/>
      </c>
      <c r="J155" s="18">
        <f>IF(B155="","",IF(Murid!F155="TL","TL",IF(H155="","",MIN(100,ROUND(H155+N(I155),2)))))</f>
        <v/>
      </c>
      <c r="K155" s="19">
        <f>IF(J155="","",IF(J155="TL","TL",IF(J155&gt;=80,"A",IF(J155&gt;=60,"B",IF(J155&gt;=40,"C",IF(J155&gt;=20,"D","E"))))))</f>
        <v/>
      </c>
      <c r="L155" s="15">
        <f>IF(K155="","",IF(K155="A","Cemerlang",IF(K155="B","Kepujian",IF(K155="C","Baik",IF(K155="D","Kurang Memuaskan",IF(K155="E","Tidak Memuaskan","Tidak Laksana"))))))</f>
        <v/>
      </c>
    </row>
    <row r="156">
      <c r="A156" s="15">
        <f>Murid!A156</f>
        <v/>
      </c>
      <c r="B156" s="15">
        <f>IF(Murid!B156="","",Murid!B156)</f>
        <v/>
      </c>
      <c r="C156" s="16">
        <f>IF(Murid!C156="","",Murid!C156)</f>
        <v/>
      </c>
      <c r="D156" s="15">
        <f>IF(Murid!E156="","",Murid!E156)</f>
        <v/>
      </c>
      <c r="E156" s="17">
        <f>KP!X156</f>
        <v/>
      </c>
      <c r="F156" s="17">
        <f>UB!X156</f>
        <v/>
      </c>
      <c r="G156" s="17">
        <f>SP!X156</f>
        <v/>
      </c>
      <c r="H156" s="17">
        <f>IF(COUNT(E156:G156)=0,"",ROUND((LARGE(E156:G156,1)+IF(COUNT(E156:G156)&gt;=2,LARGE(E156:G156,2),0))/2,2))</f>
        <v/>
      </c>
      <c r="I156" s="10">
        <f>Ekstra!U156</f>
        <v/>
      </c>
      <c r="J156" s="18">
        <f>IF(B156="","",IF(Murid!F156="TL","TL",IF(H156="","",MIN(100,ROUND(H156+N(I156),2)))))</f>
        <v/>
      </c>
      <c r="K156" s="19">
        <f>IF(J156="","",IF(J156="TL","TL",IF(J156&gt;=80,"A",IF(J156&gt;=60,"B",IF(J156&gt;=40,"C",IF(J156&gt;=20,"D","E"))))))</f>
        <v/>
      </c>
      <c r="L156" s="15">
        <f>IF(K156="","",IF(K156="A","Cemerlang",IF(K156="B","Kepujian",IF(K156="C","Baik",IF(K156="D","Kurang Memuaskan",IF(K156="E","Tidak Memuaskan","Tidak Laksana"))))))</f>
        <v/>
      </c>
    </row>
    <row r="157">
      <c r="A157" s="15">
        <f>Murid!A157</f>
        <v/>
      </c>
      <c r="B157" s="15">
        <f>IF(Murid!B157="","",Murid!B157)</f>
        <v/>
      </c>
      <c r="C157" s="16">
        <f>IF(Murid!C157="","",Murid!C157)</f>
        <v/>
      </c>
      <c r="D157" s="15">
        <f>IF(Murid!E157="","",Murid!E157)</f>
        <v/>
      </c>
      <c r="E157" s="17">
        <f>KP!X157</f>
        <v/>
      </c>
      <c r="F157" s="17">
        <f>UB!X157</f>
        <v/>
      </c>
      <c r="G157" s="17">
        <f>SP!X157</f>
        <v/>
      </c>
      <c r="H157" s="17">
        <f>IF(COUNT(E157:G157)=0,"",ROUND((LARGE(E157:G157,1)+IF(COUNT(E157:G157)&gt;=2,LARGE(E157:G157,2),0))/2,2))</f>
        <v/>
      </c>
      <c r="I157" s="10">
        <f>Ekstra!U157</f>
        <v/>
      </c>
      <c r="J157" s="18">
        <f>IF(B157="","",IF(Murid!F157="TL","TL",IF(H157="","",MIN(100,ROUND(H157+N(I157),2)))))</f>
        <v/>
      </c>
      <c r="K157" s="19">
        <f>IF(J157="","",IF(J157="TL","TL",IF(J157&gt;=80,"A",IF(J157&gt;=60,"B",IF(J157&gt;=40,"C",IF(J157&gt;=20,"D","E"))))))</f>
        <v/>
      </c>
      <c r="L157" s="15">
        <f>IF(K157="","",IF(K157="A","Cemerlang",IF(K157="B","Kepujian",IF(K157="C","Baik",IF(K157="D","Kurang Memuaskan",IF(K157="E","Tidak Memuaskan","Tidak Laksana"))))))</f>
        <v/>
      </c>
    </row>
    <row r="158">
      <c r="A158" s="15">
        <f>Murid!A158</f>
        <v/>
      </c>
      <c r="B158" s="15">
        <f>IF(Murid!B158="","",Murid!B158)</f>
        <v/>
      </c>
      <c r="C158" s="16">
        <f>IF(Murid!C158="","",Murid!C158)</f>
        <v/>
      </c>
      <c r="D158" s="15">
        <f>IF(Murid!E158="","",Murid!E158)</f>
        <v/>
      </c>
      <c r="E158" s="17">
        <f>KP!X158</f>
        <v/>
      </c>
      <c r="F158" s="17">
        <f>UB!X158</f>
        <v/>
      </c>
      <c r="G158" s="17">
        <f>SP!X158</f>
        <v/>
      </c>
      <c r="H158" s="17">
        <f>IF(COUNT(E158:G158)=0,"",ROUND((LARGE(E158:G158,1)+IF(COUNT(E158:G158)&gt;=2,LARGE(E158:G158,2),0))/2,2))</f>
        <v/>
      </c>
      <c r="I158" s="10">
        <f>Ekstra!U158</f>
        <v/>
      </c>
      <c r="J158" s="18">
        <f>IF(B158="","",IF(Murid!F158="TL","TL",IF(H158="","",MIN(100,ROUND(H158+N(I158),2)))))</f>
        <v/>
      </c>
      <c r="K158" s="19">
        <f>IF(J158="","",IF(J158="TL","TL",IF(J158&gt;=80,"A",IF(J158&gt;=60,"B",IF(J158&gt;=40,"C",IF(J158&gt;=20,"D","E"))))))</f>
        <v/>
      </c>
      <c r="L158" s="15">
        <f>IF(K158="","",IF(K158="A","Cemerlang",IF(K158="B","Kepujian",IF(K158="C","Baik",IF(K158="D","Kurang Memuaskan",IF(K158="E","Tidak Memuaskan","Tidak Laksana"))))))</f>
        <v/>
      </c>
    </row>
    <row r="159">
      <c r="A159" s="15">
        <f>Murid!A159</f>
        <v/>
      </c>
      <c r="B159" s="15">
        <f>IF(Murid!B159="","",Murid!B159)</f>
        <v/>
      </c>
      <c r="C159" s="16">
        <f>IF(Murid!C159="","",Murid!C159)</f>
        <v/>
      </c>
      <c r="D159" s="15">
        <f>IF(Murid!E159="","",Murid!E159)</f>
        <v/>
      </c>
      <c r="E159" s="17">
        <f>KP!X159</f>
        <v/>
      </c>
      <c r="F159" s="17">
        <f>UB!X159</f>
        <v/>
      </c>
      <c r="G159" s="17">
        <f>SP!X159</f>
        <v/>
      </c>
      <c r="H159" s="17">
        <f>IF(COUNT(E159:G159)=0,"",ROUND((LARGE(E159:G159,1)+IF(COUNT(E159:G159)&gt;=2,LARGE(E159:G159,2),0))/2,2))</f>
        <v/>
      </c>
      <c r="I159" s="10">
        <f>Ekstra!U159</f>
        <v/>
      </c>
      <c r="J159" s="18">
        <f>IF(B159="","",IF(Murid!F159="TL","TL",IF(H159="","",MIN(100,ROUND(H159+N(I159),2)))))</f>
        <v/>
      </c>
      <c r="K159" s="19">
        <f>IF(J159="","",IF(J159="TL","TL",IF(J159&gt;=80,"A",IF(J159&gt;=60,"B",IF(J159&gt;=40,"C",IF(J159&gt;=20,"D","E"))))))</f>
        <v/>
      </c>
      <c r="L159" s="15">
        <f>IF(K159="","",IF(K159="A","Cemerlang",IF(K159="B","Kepujian",IF(K159="C","Baik",IF(K159="D","Kurang Memuaskan",IF(K159="E","Tidak Memuaskan","Tidak Laksana"))))))</f>
        <v/>
      </c>
    </row>
    <row r="160">
      <c r="A160" s="15">
        <f>Murid!A160</f>
        <v/>
      </c>
      <c r="B160" s="15">
        <f>IF(Murid!B160="","",Murid!B160)</f>
        <v/>
      </c>
      <c r="C160" s="16">
        <f>IF(Murid!C160="","",Murid!C160)</f>
        <v/>
      </c>
      <c r="D160" s="15">
        <f>IF(Murid!E160="","",Murid!E160)</f>
        <v/>
      </c>
      <c r="E160" s="17">
        <f>KP!X160</f>
        <v/>
      </c>
      <c r="F160" s="17">
        <f>UB!X160</f>
        <v/>
      </c>
      <c r="G160" s="17">
        <f>SP!X160</f>
        <v/>
      </c>
      <c r="H160" s="17">
        <f>IF(COUNT(E160:G160)=0,"",ROUND((LARGE(E160:G160,1)+IF(COUNT(E160:G160)&gt;=2,LARGE(E160:G160,2),0))/2,2))</f>
        <v/>
      </c>
      <c r="I160" s="10">
        <f>Ekstra!U160</f>
        <v/>
      </c>
      <c r="J160" s="18">
        <f>IF(B160="","",IF(Murid!F160="TL","TL",IF(H160="","",MIN(100,ROUND(H160+N(I160),2)))))</f>
        <v/>
      </c>
      <c r="K160" s="19">
        <f>IF(J160="","",IF(J160="TL","TL",IF(J160&gt;=80,"A",IF(J160&gt;=60,"B",IF(J160&gt;=40,"C",IF(J160&gt;=20,"D","E"))))))</f>
        <v/>
      </c>
      <c r="L160" s="15">
        <f>IF(K160="","",IF(K160="A","Cemerlang",IF(K160="B","Kepujian",IF(K160="C","Baik",IF(K160="D","Kurang Memuaskan",IF(K160="E","Tidak Memuaskan","Tidak Laksana"))))))</f>
        <v/>
      </c>
    </row>
    <row r="161">
      <c r="A161" s="15">
        <f>Murid!A161</f>
        <v/>
      </c>
      <c r="B161" s="15">
        <f>IF(Murid!B161="","",Murid!B161)</f>
        <v/>
      </c>
      <c r="C161" s="16">
        <f>IF(Murid!C161="","",Murid!C161)</f>
        <v/>
      </c>
      <c r="D161" s="15">
        <f>IF(Murid!E161="","",Murid!E161)</f>
        <v/>
      </c>
      <c r="E161" s="17">
        <f>KP!X161</f>
        <v/>
      </c>
      <c r="F161" s="17">
        <f>UB!X161</f>
        <v/>
      </c>
      <c r="G161" s="17">
        <f>SP!X161</f>
        <v/>
      </c>
      <c r="H161" s="17">
        <f>IF(COUNT(E161:G161)=0,"",ROUND((LARGE(E161:G161,1)+IF(COUNT(E161:G161)&gt;=2,LARGE(E161:G161,2),0))/2,2))</f>
        <v/>
      </c>
      <c r="I161" s="10">
        <f>Ekstra!U161</f>
        <v/>
      </c>
      <c r="J161" s="18">
        <f>IF(B161="","",IF(Murid!F161="TL","TL",IF(H161="","",MIN(100,ROUND(H161+N(I161),2)))))</f>
        <v/>
      </c>
      <c r="K161" s="19">
        <f>IF(J161="","",IF(J161="TL","TL",IF(J161&gt;=80,"A",IF(J161&gt;=60,"B",IF(J161&gt;=40,"C",IF(J161&gt;=20,"D","E"))))))</f>
        <v/>
      </c>
      <c r="L161" s="15">
        <f>IF(K161="","",IF(K161="A","Cemerlang",IF(K161="B","Kepujian",IF(K161="C","Baik",IF(K161="D","Kurang Memuaskan",IF(K161="E","Tidak Memuaskan","Tidak Laksana"))))))</f>
        <v/>
      </c>
    </row>
    <row r="162">
      <c r="A162" s="15">
        <f>Murid!A162</f>
        <v/>
      </c>
      <c r="B162" s="15">
        <f>IF(Murid!B162="","",Murid!B162)</f>
        <v/>
      </c>
      <c r="C162" s="16">
        <f>IF(Murid!C162="","",Murid!C162)</f>
        <v/>
      </c>
      <c r="D162" s="15">
        <f>IF(Murid!E162="","",Murid!E162)</f>
        <v/>
      </c>
      <c r="E162" s="17">
        <f>KP!X162</f>
        <v/>
      </c>
      <c r="F162" s="17">
        <f>UB!X162</f>
        <v/>
      </c>
      <c r="G162" s="17">
        <f>SP!X162</f>
        <v/>
      </c>
      <c r="H162" s="17">
        <f>IF(COUNT(E162:G162)=0,"",ROUND((LARGE(E162:G162,1)+IF(COUNT(E162:G162)&gt;=2,LARGE(E162:G162,2),0))/2,2))</f>
        <v/>
      </c>
      <c r="I162" s="10">
        <f>Ekstra!U162</f>
        <v/>
      </c>
      <c r="J162" s="18">
        <f>IF(B162="","",IF(Murid!F162="TL","TL",IF(H162="","",MIN(100,ROUND(H162+N(I162),2)))))</f>
        <v/>
      </c>
      <c r="K162" s="19">
        <f>IF(J162="","",IF(J162="TL","TL",IF(J162&gt;=80,"A",IF(J162&gt;=60,"B",IF(J162&gt;=40,"C",IF(J162&gt;=20,"D","E"))))))</f>
        <v/>
      </c>
      <c r="L162" s="15">
        <f>IF(K162="","",IF(K162="A","Cemerlang",IF(K162="B","Kepujian",IF(K162="C","Baik",IF(K162="D","Kurang Memuaskan",IF(K162="E","Tidak Memuaskan","Tidak Laksana"))))))</f>
        <v/>
      </c>
    </row>
    <row r="163">
      <c r="A163" s="15">
        <f>Murid!A163</f>
        <v/>
      </c>
      <c r="B163" s="15">
        <f>IF(Murid!B163="","",Murid!B163)</f>
        <v/>
      </c>
      <c r="C163" s="16">
        <f>IF(Murid!C163="","",Murid!C163)</f>
        <v/>
      </c>
      <c r="D163" s="15">
        <f>IF(Murid!E163="","",Murid!E163)</f>
        <v/>
      </c>
      <c r="E163" s="17">
        <f>KP!X163</f>
        <v/>
      </c>
      <c r="F163" s="17">
        <f>UB!X163</f>
        <v/>
      </c>
      <c r="G163" s="17">
        <f>SP!X163</f>
        <v/>
      </c>
      <c r="H163" s="17">
        <f>IF(COUNT(E163:G163)=0,"",ROUND((LARGE(E163:G163,1)+IF(COUNT(E163:G163)&gt;=2,LARGE(E163:G163,2),0))/2,2))</f>
        <v/>
      </c>
      <c r="I163" s="10">
        <f>Ekstra!U163</f>
        <v/>
      </c>
      <c r="J163" s="18">
        <f>IF(B163="","",IF(Murid!F163="TL","TL",IF(H163="","",MIN(100,ROUND(H163+N(I163),2)))))</f>
        <v/>
      </c>
      <c r="K163" s="19">
        <f>IF(J163="","",IF(J163="TL","TL",IF(J163&gt;=80,"A",IF(J163&gt;=60,"B",IF(J163&gt;=40,"C",IF(J163&gt;=20,"D","E"))))))</f>
        <v/>
      </c>
      <c r="L163" s="15">
        <f>IF(K163="","",IF(K163="A","Cemerlang",IF(K163="B","Kepujian",IF(K163="C","Baik",IF(K163="D","Kurang Memuaskan",IF(K163="E","Tidak Memuaskan","Tidak Laksana"))))))</f>
        <v/>
      </c>
    </row>
    <row r="164">
      <c r="A164" s="15">
        <f>Murid!A164</f>
        <v/>
      </c>
      <c r="B164" s="15">
        <f>IF(Murid!B164="","",Murid!B164)</f>
        <v/>
      </c>
      <c r="C164" s="16">
        <f>IF(Murid!C164="","",Murid!C164)</f>
        <v/>
      </c>
      <c r="D164" s="15">
        <f>IF(Murid!E164="","",Murid!E164)</f>
        <v/>
      </c>
      <c r="E164" s="17">
        <f>KP!X164</f>
        <v/>
      </c>
      <c r="F164" s="17">
        <f>UB!X164</f>
        <v/>
      </c>
      <c r="G164" s="17">
        <f>SP!X164</f>
        <v/>
      </c>
      <c r="H164" s="17">
        <f>IF(COUNT(E164:G164)=0,"",ROUND((LARGE(E164:G164,1)+IF(COUNT(E164:G164)&gt;=2,LARGE(E164:G164,2),0))/2,2))</f>
        <v/>
      </c>
      <c r="I164" s="10">
        <f>Ekstra!U164</f>
        <v/>
      </c>
      <c r="J164" s="18">
        <f>IF(B164="","",IF(Murid!F164="TL","TL",IF(H164="","",MIN(100,ROUND(H164+N(I164),2)))))</f>
        <v/>
      </c>
      <c r="K164" s="19">
        <f>IF(J164="","",IF(J164="TL","TL",IF(J164&gt;=80,"A",IF(J164&gt;=60,"B",IF(J164&gt;=40,"C",IF(J164&gt;=20,"D","E"))))))</f>
        <v/>
      </c>
      <c r="L164" s="15">
        <f>IF(K164="","",IF(K164="A","Cemerlang",IF(K164="B","Kepujian",IF(K164="C","Baik",IF(K164="D","Kurang Memuaskan",IF(K164="E","Tidak Memuaskan","Tidak Laksana"))))))</f>
        <v/>
      </c>
    </row>
    <row r="165">
      <c r="A165" s="15">
        <f>Murid!A165</f>
        <v/>
      </c>
      <c r="B165" s="15">
        <f>IF(Murid!B165="","",Murid!B165)</f>
        <v/>
      </c>
      <c r="C165" s="16">
        <f>IF(Murid!C165="","",Murid!C165)</f>
        <v/>
      </c>
      <c r="D165" s="15">
        <f>IF(Murid!E165="","",Murid!E165)</f>
        <v/>
      </c>
      <c r="E165" s="17">
        <f>KP!X165</f>
        <v/>
      </c>
      <c r="F165" s="17">
        <f>UB!X165</f>
        <v/>
      </c>
      <c r="G165" s="17">
        <f>SP!X165</f>
        <v/>
      </c>
      <c r="H165" s="17">
        <f>IF(COUNT(E165:G165)=0,"",ROUND((LARGE(E165:G165,1)+IF(COUNT(E165:G165)&gt;=2,LARGE(E165:G165,2),0))/2,2))</f>
        <v/>
      </c>
      <c r="I165" s="10">
        <f>Ekstra!U165</f>
        <v/>
      </c>
      <c r="J165" s="18">
        <f>IF(B165="","",IF(Murid!F165="TL","TL",IF(H165="","",MIN(100,ROUND(H165+N(I165),2)))))</f>
        <v/>
      </c>
      <c r="K165" s="19">
        <f>IF(J165="","",IF(J165="TL","TL",IF(J165&gt;=80,"A",IF(J165&gt;=60,"B",IF(J165&gt;=40,"C",IF(J165&gt;=20,"D","E"))))))</f>
        <v/>
      </c>
      <c r="L165" s="15">
        <f>IF(K165="","",IF(K165="A","Cemerlang",IF(K165="B","Kepujian",IF(K165="C","Baik",IF(K165="D","Kurang Memuaskan",IF(K165="E","Tidak Memuaskan","Tidak Laksana"))))))</f>
        <v/>
      </c>
    </row>
    <row r="166">
      <c r="A166" s="15">
        <f>Murid!A166</f>
        <v/>
      </c>
      <c r="B166" s="15">
        <f>IF(Murid!B166="","",Murid!B166)</f>
        <v/>
      </c>
      <c r="C166" s="16">
        <f>IF(Murid!C166="","",Murid!C166)</f>
        <v/>
      </c>
      <c r="D166" s="15">
        <f>IF(Murid!E166="","",Murid!E166)</f>
        <v/>
      </c>
      <c r="E166" s="17">
        <f>KP!X166</f>
        <v/>
      </c>
      <c r="F166" s="17">
        <f>UB!X166</f>
        <v/>
      </c>
      <c r="G166" s="17">
        <f>SP!X166</f>
        <v/>
      </c>
      <c r="H166" s="17">
        <f>IF(COUNT(E166:G166)=0,"",ROUND((LARGE(E166:G166,1)+IF(COUNT(E166:G166)&gt;=2,LARGE(E166:G166,2),0))/2,2))</f>
        <v/>
      </c>
      <c r="I166" s="10">
        <f>Ekstra!U166</f>
        <v/>
      </c>
      <c r="J166" s="18">
        <f>IF(B166="","",IF(Murid!F166="TL","TL",IF(H166="","",MIN(100,ROUND(H166+N(I166),2)))))</f>
        <v/>
      </c>
      <c r="K166" s="19">
        <f>IF(J166="","",IF(J166="TL","TL",IF(J166&gt;=80,"A",IF(J166&gt;=60,"B",IF(J166&gt;=40,"C",IF(J166&gt;=20,"D","E"))))))</f>
        <v/>
      </c>
      <c r="L166" s="15">
        <f>IF(K166="","",IF(K166="A","Cemerlang",IF(K166="B","Kepujian",IF(K166="C","Baik",IF(K166="D","Kurang Memuaskan",IF(K166="E","Tidak Memuaskan","Tidak Laksana"))))))</f>
        <v/>
      </c>
    </row>
    <row r="167">
      <c r="A167" s="15">
        <f>Murid!A167</f>
        <v/>
      </c>
      <c r="B167" s="15">
        <f>IF(Murid!B167="","",Murid!B167)</f>
        <v/>
      </c>
      <c r="C167" s="16">
        <f>IF(Murid!C167="","",Murid!C167)</f>
        <v/>
      </c>
      <c r="D167" s="15">
        <f>IF(Murid!E167="","",Murid!E167)</f>
        <v/>
      </c>
      <c r="E167" s="17">
        <f>KP!X167</f>
        <v/>
      </c>
      <c r="F167" s="17">
        <f>UB!X167</f>
        <v/>
      </c>
      <c r="G167" s="17">
        <f>SP!X167</f>
        <v/>
      </c>
      <c r="H167" s="17">
        <f>IF(COUNT(E167:G167)=0,"",ROUND((LARGE(E167:G167,1)+IF(COUNT(E167:G167)&gt;=2,LARGE(E167:G167,2),0))/2,2))</f>
        <v/>
      </c>
      <c r="I167" s="10">
        <f>Ekstra!U167</f>
        <v/>
      </c>
      <c r="J167" s="18">
        <f>IF(B167="","",IF(Murid!F167="TL","TL",IF(H167="","",MIN(100,ROUND(H167+N(I167),2)))))</f>
        <v/>
      </c>
      <c r="K167" s="19">
        <f>IF(J167="","",IF(J167="TL","TL",IF(J167&gt;=80,"A",IF(J167&gt;=60,"B",IF(J167&gt;=40,"C",IF(J167&gt;=20,"D","E"))))))</f>
        <v/>
      </c>
      <c r="L167" s="15">
        <f>IF(K167="","",IF(K167="A","Cemerlang",IF(K167="B","Kepujian",IF(K167="C","Baik",IF(K167="D","Kurang Memuaskan",IF(K167="E","Tidak Memuaskan","Tidak Laksana"))))))</f>
        <v/>
      </c>
    </row>
    <row r="168">
      <c r="A168" s="15">
        <f>Murid!A168</f>
        <v/>
      </c>
      <c r="B168" s="15">
        <f>IF(Murid!B168="","",Murid!B168)</f>
        <v/>
      </c>
      <c r="C168" s="16">
        <f>IF(Murid!C168="","",Murid!C168)</f>
        <v/>
      </c>
      <c r="D168" s="15">
        <f>IF(Murid!E168="","",Murid!E168)</f>
        <v/>
      </c>
      <c r="E168" s="17">
        <f>KP!X168</f>
        <v/>
      </c>
      <c r="F168" s="17">
        <f>UB!X168</f>
        <v/>
      </c>
      <c r="G168" s="17">
        <f>SP!X168</f>
        <v/>
      </c>
      <c r="H168" s="17">
        <f>IF(COUNT(E168:G168)=0,"",ROUND((LARGE(E168:G168,1)+IF(COUNT(E168:G168)&gt;=2,LARGE(E168:G168,2),0))/2,2))</f>
        <v/>
      </c>
      <c r="I168" s="10">
        <f>Ekstra!U168</f>
        <v/>
      </c>
      <c r="J168" s="18">
        <f>IF(B168="","",IF(Murid!F168="TL","TL",IF(H168="","",MIN(100,ROUND(H168+N(I168),2)))))</f>
        <v/>
      </c>
      <c r="K168" s="19">
        <f>IF(J168="","",IF(J168="TL","TL",IF(J168&gt;=80,"A",IF(J168&gt;=60,"B",IF(J168&gt;=40,"C",IF(J168&gt;=20,"D","E"))))))</f>
        <v/>
      </c>
      <c r="L168" s="15">
        <f>IF(K168="","",IF(K168="A","Cemerlang",IF(K168="B","Kepujian",IF(K168="C","Baik",IF(K168="D","Kurang Memuaskan",IF(K168="E","Tidak Memuaskan","Tidak Laksana"))))))</f>
        <v/>
      </c>
    </row>
    <row r="169">
      <c r="A169" s="15">
        <f>Murid!A169</f>
        <v/>
      </c>
      <c r="B169" s="15">
        <f>IF(Murid!B169="","",Murid!B169)</f>
        <v/>
      </c>
      <c r="C169" s="16">
        <f>IF(Murid!C169="","",Murid!C169)</f>
        <v/>
      </c>
      <c r="D169" s="15">
        <f>IF(Murid!E169="","",Murid!E169)</f>
        <v/>
      </c>
      <c r="E169" s="17">
        <f>KP!X169</f>
        <v/>
      </c>
      <c r="F169" s="17">
        <f>UB!X169</f>
        <v/>
      </c>
      <c r="G169" s="17">
        <f>SP!X169</f>
        <v/>
      </c>
      <c r="H169" s="17">
        <f>IF(COUNT(E169:G169)=0,"",ROUND((LARGE(E169:G169,1)+IF(COUNT(E169:G169)&gt;=2,LARGE(E169:G169,2),0))/2,2))</f>
        <v/>
      </c>
      <c r="I169" s="10">
        <f>Ekstra!U169</f>
        <v/>
      </c>
      <c r="J169" s="18">
        <f>IF(B169="","",IF(Murid!F169="TL","TL",IF(H169="","",MIN(100,ROUND(H169+N(I169),2)))))</f>
        <v/>
      </c>
      <c r="K169" s="19">
        <f>IF(J169="","",IF(J169="TL","TL",IF(J169&gt;=80,"A",IF(J169&gt;=60,"B",IF(J169&gt;=40,"C",IF(J169&gt;=20,"D","E"))))))</f>
        <v/>
      </c>
      <c r="L169" s="15">
        <f>IF(K169="","",IF(K169="A","Cemerlang",IF(K169="B","Kepujian",IF(K169="C","Baik",IF(K169="D","Kurang Memuaskan",IF(K169="E","Tidak Memuaskan","Tidak Laksana"))))))</f>
        <v/>
      </c>
    </row>
    <row r="170">
      <c r="A170" s="15">
        <f>Murid!A170</f>
        <v/>
      </c>
      <c r="B170" s="15">
        <f>IF(Murid!B170="","",Murid!B170)</f>
        <v/>
      </c>
      <c r="C170" s="16">
        <f>IF(Murid!C170="","",Murid!C170)</f>
        <v/>
      </c>
      <c r="D170" s="15">
        <f>IF(Murid!E170="","",Murid!E170)</f>
        <v/>
      </c>
      <c r="E170" s="17">
        <f>KP!X170</f>
        <v/>
      </c>
      <c r="F170" s="17">
        <f>UB!X170</f>
        <v/>
      </c>
      <c r="G170" s="17">
        <f>SP!X170</f>
        <v/>
      </c>
      <c r="H170" s="17">
        <f>IF(COUNT(E170:G170)=0,"",ROUND((LARGE(E170:G170,1)+IF(COUNT(E170:G170)&gt;=2,LARGE(E170:G170,2),0))/2,2))</f>
        <v/>
      </c>
      <c r="I170" s="10">
        <f>Ekstra!U170</f>
        <v/>
      </c>
      <c r="J170" s="18">
        <f>IF(B170="","",IF(Murid!F170="TL","TL",IF(H170="","",MIN(100,ROUND(H170+N(I170),2)))))</f>
        <v/>
      </c>
      <c r="K170" s="19">
        <f>IF(J170="","",IF(J170="TL","TL",IF(J170&gt;=80,"A",IF(J170&gt;=60,"B",IF(J170&gt;=40,"C",IF(J170&gt;=20,"D","E"))))))</f>
        <v/>
      </c>
      <c r="L170" s="15">
        <f>IF(K170="","",IF(K170="A","Cemerlang",IF(K170="B","Kepujian",IF(K170="C","Baik",IF(K170="D","Kurang Memuaskan",IF(K170="E","Tidak Memuaskan","Tidak Laksana"))))))</f>
        <v/>
      </c>
    </row>
    <row r="171">
      <c r="A171" s="15">
        <f>Murid!A171</f>
        <v/>
      </c>
      <c r="B171" s="15">
        <f>IF(Murid!B171="","",Murid!B171)</f>
        <v/>
      </c>
      <c r="C171" s="16">
        <f>IF(Murid!C171="","",Murid!C171)</f>
        <v/>
      </c>
      <c r="D171" s="15">
        <f>IF(Murid!E171="","",Murid!E171)</f>
        <v/>
      </c>
      <c r="E171" s="17">
        <f>KP!X171</f>
        <v/>
      </c>
      <c r="F171" s="17">
        <f>UB!X171</f>
        <v/>
      </c>
      <c r="G171" s="17">
        <f>SP!X171</f>
        <v/>
      </c>
      <c r="H171" s="17">
        <f>IF(COUNT(E171:G171)=0,"",ROUND((LARGE(E171:G171,1)+IF(COUNT(E171:G171)&gt;=2,LARGE(E171:G171,2),0))/2,2))</f>
        <v/>
      </c>
      <c r="I171" s="10">
        <f>Ekstra!U171</f>
        <v/>
      </c>
      <c r="J171" s="18">
        <f>IF(B171="","",IF(Murid!F171="TL","TL",IF(H171="","",MIN(100,ROUND(H171+N(I171),2)))))</f>
        <v/>
      </c>
      <c r="K171" s="19">
        <f>IF(J171="","",IF(J171="TL","TL",IF(J171&gt;=80,"A",IF(J171&gt;=60,"B",IF(J171&gt;=40,"C",IF(J171&gt;=20,"D","E"))))))</f>
        <v/>
      </c>
      <c r="L171" s="15">
        <f>IF(K171="","",IF(K171="A","Cemerlang",IF(K171="B","Kepujian",IF(K171="C","Baik",IF(K171="D","Kurang Memuaskan",IF(K171="E","Tidak Memuaskan","Tidak Laksana"))))))</f>
        <v/>
      </c>
    </row>
    <row r="172">
      <c r="A172" s="15">
        <f>Murid!A172</f>
        <v/>
      </c>
      <c r="B172" s="15">
        <f>IF(Murid!B172="","",Murid!B172)</f>
        <v/>
      </c>
      <c r="C172" s="16">
        <f>IF(Murid!C172="","",Murid!C172)</f>
        <v/>
      </c>
      <c r="D172" s="15">
        <f>IF(Murid!E172="","",Murid!E172)</f>
        <v/>
      </c>
      <c r="E172" s="17">
        <f>KP!X172</f>
        <v/>
      </c>
      <c r="F172" s="17">
        <f>UB!X172</f>
        <v/>
      </c>
      <c r="G172" s="17">
        <f>SP!X172</f>
        <v/>
      </c>
      <c r="H172" s="17">
        <f>IF(COUNT(E172:G172)=0,"",ROUND((LARGE(E172:G172,1)+IF(COUNT(E172:G172)&gt;=2,LARGE(E172:G172,2),0))/2,2))</f>
        <v/>
      </c>
      <c r="I172" s="10">
        <f>Ekstra!U172</f>
        <v/>
      </c>
      <c r="J172" s="18">
        <f>IF(B172="","",IF(Murid!F172="TL","TL",IF(H172="","",MIN(100,ROUND(H172+N(I172),2)))))</f>
        <v/>
      </c>
      <c r="K172" s="19">
        <f>IF(J172="","",IF(J172="TL","TL",IF(J172&gt;=80,"A",IF(J172&gt;=60,"B",IF(J172&gt;=40,"C",IF(J172&gt;=20,"D","E"))))))</f>
        <v/>
      </c>
      <c r="L172" s="15">
        <f>IF(K172="","",IF(K172="A","Cemerlang",IF(K172="B","Kepujian",IF(K172="C","Baik",IF(K172="D","Kurang Memuaskan",IF(K172="E","Tidak Memuaskan","Tidak Laksana"))))))</f>
        <v/>
      </c>
    </row>
    <row r="173">
      <c r="A173" s="15">
        <f>Murid!A173</f>
        <v/>
      </c>
      <c r="B173" s="15">
        <f>IF(Murid!B173="","",Murid!B173)</f>
        <v/>
      </c>
      <c r="C173" s="16">
        <f>IF(Murid!C173="","",Murid!C173)</f>
        <v/>
      </c>
      <c r="D173" s="15">
        <f>IF(Murid!E173="","",Murid!E173)</f>
        <v/>
      </c>
      <c r="E173" s="17">
        <f>KP!X173</f>
        <v/>
      </c>
      <c r="F173" s="17">
        <f>UB!X173</f>
        <v/>
      </c>
      <c r="G173" s="17">
        <f>SP!X173</f>
        <v/>
      </c>
      <c r="H173" s="17">
        <f>IF(COUNT(E173:G173)=0,"",ROUND((LARGE(E173:G173,1)+IF(COUNT(E173:G173)&gt;=2,LARGE(E173:G173,2),0))/2,2))</f>
        <v/>
      </c>
      <c r="I173" s="10">
        <f>Ekstra!U173</f>
        <v/>
      </c>
      <c r="J173" s="18">
        <f>IF(B173="","",IF(Murid!F173="TL","TL",IF(H173="","",MIN(100,ROUND(H173+N(I173),2)))))</f>
        <v/>
      </c>
      <c r="K173" s="19">
        <f>IF(J173="","",IF(J173="TL","TL",IF(J173&gt;=80,"A",IF(J173&gt;=60,"B",IF(J173&gt;=40,"C",IF(J173&gt;=20,"D","E"))))))</f>
        <v/>
      </c>
      <c r="L173" s="15">
        <f>IF(K173="","",IF(K173="A","Cemerlang",IF(K173="B","Kepujian",IF(K173="C","Baik",IF(K173="D","Kurang Memuaskan",IF(K173="E","Tidak Memuaskan","Tidak Laksana"))))))</f>
        <v/>
      </c>
    </row>
    <row r="174">
      <c r="A174" s="15">
        <f>Murid!A174</f>
        <v/>
      </c>
      <c r="B174" s="15">
        <f>IF(Murid!B174="","",Murid!B174)</f>
        <v/>
      </c>
      <c r="C174" s="16">
        <f>IF(Murid!C174="","",Murid!C174)</f>
        <v/>
      </c>
      <c r="D174" s="15">
        <f>IF(Murid!E174="","",Murid!E174)</f>
        <v/>
      </c>
      <c r="E174" s="17">
        <f>KP!X174</f>
        <v/>
      </c>
      <c r="F174" s="17">
        <f>UB!X174</f>
        <v/>
      </c>
      <c r="G174" s="17">
        <f>SP!X174</f>
        <v/>
      </c>
      <c r="H174" s="17">
        <f>IF(COUNT(E174:G174)=0,"",ROUND((LARGE(E174:G174,1)+IF(COUNT(E174:G174)&gt;=2,LARGE(E174:G174,2),0))/2,2))</f>
        <v/>
      </c>
      <c r="I174" s="10">
        <f>Ekstra!U174</f>
        <v/>
      </c>
      <c r="J174" s="18">
        <f>IF(B174="","",IF(Murid!F174="TL","TL",IF(H174="","",MIN(100,ROUND(H174+N(I174),2)))))</f>
        <v/>
      </c>
      <c r="K174" s="19">
        <f>IF(J174="","",IF(J174="TL","TL",IF(J174&gt;=80,"A",IF(J174&gt;=60,"B",IF(J174&gt;=40,"C",IF(J174&gt;=20,"D","E"))))))</f>
        <v/>
      </c>
      <c r="L174" s="15">
        <f>IF(K174="","",IF(K174="A","Cemerlang",IF(K174="B","Kepujian",IF(K174="C","Baik",IF(K174="D","Kurang Memuaskan",IF(K174="E","Tidak Memuaskan","Tidak Laksana"))))))</f>
        <v/>
      </c>
    </row>
    <row r="175">
      <c r="A175" s="15">
        <f>Murid!A175</f>
        <v/>
      </c>
      <c r="B175" s="15">
        <f>IF(Murid!B175="","",Murid!B175)</f>
        <v/>
      </c>
      <c r="C175" s="16">
        <f>IF(Murid!C175="","",Murid!C175)</f>
        <v/>
      </c>
      <c r="D175" s="15">
        <f>IF(Murid!E175="","",Murid!E175)</f>
        <v/>
      </c>
      <c r="E175" s="17">
        <f>KP!X175</f>
        <v/>
      </c>
      <c r="F175" s="17">
        <f>UB!X175</f>
        <v/>
      </c>
      <c r="G175" s="17">
        <f>SP!X175</f>
        <v/>
      </c>
      <c r="H175" s="17">
        <f>IF(COUNT(E175:G175)=0,"",ROUND((LARGE(E175:G175,1)+IF(COUNT(E175:G175)&gt;=2,LARGE(E175:G175,2),0))/2,2))</f>
        <v/>
      </c>
      <c r="I175" s="10">
        <f>Ekstra!U175</f>
        <v/>
      </c>
      <c r="J175" s="18">
        <f>IF(B175="","",IF(Murid!F175="TL","TL",IF(H175="","",MIN(100,ROUND(H175+N(I175),2)))))</f>
        <v/>
      </c>
      <c r="K175" s="19">
        <f>IF(J175="","",IF(J175="TL","TL",IF(J175&gt;=80,"A",IF(J175&gt;=60,"B",IF(J175&gt;=40,"C",IF(J175&gt;=20,"D","E"))))))</f>
        <v/>
      </c>
      <c r="L175" s="15">
        <f>IF(K175="","",IF(K175="A","Cemerlang",IF(K175="B","Kepujian",IF(K175="C","Baik",IF(K175="D","Kurang Memuaskan",IF(K175="E","Tidak Memuaskan","Tidak Laksana"))))))</f>
        <v/>
      </c>
    </row>
    <row r="176">
      <c r="A176" s="15">
        <f>Murid!A176</f>
        <v/>
      </c>
      <c r="B176" s="15">
        <f>IF(Murid!B176="","",Murid!B176)</f>
        <v/>
      </c>
      <c r="C176" s="16">
        <f>IF(Murid!C176="","",Murid!C176)</f>
        <v/>
      </c>
      <c r="D176" s="15">
        <f>IF(Murid!E176="","",Murid!E176)</f>
        <v/>
      </c>
      <c r="E176" s="17">
        <f>KP!X176</f>
        <v/>
      </c>
      <c r="F176" s="17">
        <f>UB!X176</f>
        <v/>
      </c>
      <c r="G176" s="17">
        <f>SP!X176</f>
        <v/>
      </c>
      <c r="H176" s="17">
        <f>IF(COUNT(E176:G176)=0,"",ROUND((LARGE(E176:G176,1)+IF(COUNT(E176:G176)&gt;=2,LARGE(E176:G176,2),0))/2,2))</f>
        <v/>
      </c>
      <c r="I176" s="10">
        <f>Ekstra!U176</f>
        <v/>
      </c>
      <c r="J176" s="18">
        <f>IF(B176="","",IF(Murid!F176="TL","TL",IF(H176="","",MIN(100,ROUND(H176+N(I176),2)))))</f>
        <v/>
      </c>
      <c r="K176" s="19">
        <f>IF(J176="","",IF(J176="TL","TL",IF(J176&gt;=80,"A",IF(J176&gt;=60,"B",IF(J176&gt;=40,"C",IF(J176&gt;=20,"D","E"))))))</f>
        <v/>
      </c>
      <c r="L176" s="15">
        <f>IF(K176="","",IF(K176="A","Cemerlang",IF(K176="B","Kepujian",IF(K176="C","Baik",IF(K176="D","Kurang Memuaskan",IF(K176="E","Tidak Memuaskan","Tidak Laksana"))))))</f>
        <v/>
      </c>
    </row>
    <row r="177">
      <c r="A177" s="15">
        <f>Murid!A177</f>
        <v/>
      </c>
      <c r="B177" s="15">
        <f>IF(Murid!B177="","",Murid!B177)</f>
        <v/>
      </c>
      <c r="C177" s="16">
        <f>IF(Murid!C177="","",Murid!C177)</f>
        <v/>
      </c>
      <c r="D177" s="15">
        <f>IF(Murid!E177="","",Murid!E177)</f>
        <v/>
      </c>
      <c r="E177" s="17">
        <f>KP!X177</f>
        <v/>
      </c>
      <c r="F177" s="17">
        <f>UB!X177</f>
        <v/>
      </c>
      <c r="G177" s="17">
        <f>SP!X177</f>
        <v/>
      </c>
      <c r="H177" s="17">
        <f>IF(COUNT(E177:G177)=0,"",ROUND((LARGE(E177:G177,1)+IF(COUNT(E177:G177)&gt;=2,LARGE(E177:G177,2),0))/2,2))</f>
        <v/>
      </c>
      <c r="I177" s="10">
        <f>Ekstra!U177</f>
        <v/>
      </c>
      <c r="J177" s="18">
        <f>IF(B177="","",IF(Murid!F177="TL","TL",IF(H177="","",MIN(100,ROUND(H177+N(I177),2)))))</f>
        <v/>
      </c>
      <c r="K177" s="19">
        <f>IF(J177="","",IF(J177="TL","TL",IF(J177&gt;=80,"A",IF(J177&gt;=60,"B",IF(J177&gt;=40,"C",IF(J177&gt;=20,"D","E"))))))</f>
        <v/>
      </c>
      <c r="L177" s="15">
        <f>IF(K177="","",IF(K177="A","Cemerlang",IF(K177="B","Kepujian",IF(K177="C","Baik",IF(K177="D","Kurang Memuaskan",IF(K177="E","Tidak Memuaskan","Tidak Laksana"))))))</f>
        <v/>
      </c>
    </row>
    <row r="178">
      <c r="A178" s="15">
        <f>Murid!A178</f>
        <v/>
      </c>
      <c r="B178" s="15">
        <f>IF(Murid!B178="","",Murid!B178)</f>
        <v/>
      </c>
      <c r="C178" s="16">
        <f>IF(Murid!C178="","",Murid!C178)</f>
        <v/>
      </c>
      <c r="D178" s="15">
        <f>IF(Murid!E178="","",Murid!E178)</f>
        <v/>
      </c>
      <c r="E178" s="17">
        <f>KP!X178</f>
        <v/>
      </c>
      <c r="F178" s="17">
        <f>UB!X178</f>
        <v/>
      </c>
      <c r="G178" s="17">
        <f>SP!X178</f>
        <v/>
      </c>
      <c r="H178" s="17">
        <f>IF(COUNT(E178:G178)=0,"",ROUND((LARGE(E178:G178,1)+IF(COUNT(E178:G178)&gt;=2,LARGE(E178:G178,2),0))/2,2))</f>
        <v/>
      </c>
      <c r="I178" s="10">
        <f>Ekstra!U178</f>
        <v/>
      </c>
      <c r="J178" s="18">
        <f>IF(B178="","",IF(Murid!F178="TL","TL",IF(H178="","",MIN(100,ROUND(H178+N(I178),2)))))</f>
        <v/>
      </c>
      <c r="K178" s="19">
        <f>IF(J178="","",IF(J178="TL","TL",IF(J178&gt;=80,"A",IF(J178&gt;=60,"B",IF(J178&gt;=40,"C",IF(J178&gt;=20,"D","E"))))))</f>
        <v/>
      </c>
      <c r="L178" s="15">
        <f>IF(K178="","",IF(K178="A","Cemerlang",IF(K178="B","Kepujian",IF(K178="C","Baik",IF(K178="D","Kurang Memuaskan",IF(K178="E","Tidak Memuaskan","Tidak Laksana"))))))</f>
        <v/>
      </c>
    </row>
    <row r="179">
      <c r="A179" s="15">
        <f>Murid!A179</f>
        <v/>
      </c>
      <c r="B179" s="15">
        <f>IF(Murid!B179="","",Murid!B179)</f>
        <v/>
      </c>
      <c r="C179" s="16">
        <f>IF(Murid!C179="","",Murid!C179)</f>
        <v/>
      </c>
      <c r="D179" s="15">
        <f>IF(Murid!E179="","",Murid!E179)</f>
        <v/>
      </c>
      <c r="E179" s="17">
        <f>KP!X179</f>
        <v/>
      </c>
      <c r="F179" s="17">
        <f>UB!X179</f>
        <v/>
      </c>
      <c r="G179" s="17">
        <f>SP!X179</f>
        <v/>
      </c>
      <c r="H179" s="17">
        <f>IF(COUNT(E179:G179)=0,"",ROUND((LARGE(E179:G179,1)+IF(COUNT(E179:G179)&gt;=2,LARGE(E179:G179,2),0))/2,2))</f>
        <v/>
      </c>
      <c r="I179" s="10">
        <f>Ekstra!U179</f>
        <v/>
      </c>
      <c r="J179" s="18">
        <f>IF(B179="","",IF(Murid!F179="TL","TL",IF(H179="","",MIN(100,ROUND(H179+N(I179),2)))))</f>
        <v/>
      </c>
      <c r="K179" s="19">
        <f>IF(J179="","",IF(J179="TL","TL",IF(J179&gt;=80,"A",IF(J179&gt;=60,"B",IF(J179&gt;=40,"C",IF(J179&gt;=20,"D","E"))))))</f>
        <v/>
      </c>
      <c r="L179" s="15">
        <f>IF(K179="","",IF(K179="A","Cemerlang",IF(K179="B","Kepujian",IF(K179="C","Baik",IF(K179="D","Kurang Memuaskan",IF(K179="E","Tidak Memuaskan","Tidak Laksana"))))))</f>
        <v/>
      </c>
    </row>
    <row r="180">
      <c r="A180" s="15">
        <f>Murid!A180</f>
        <v/>
      </c>
      <c r="B180" s="15">
        <f>IF(Murid!B180="","",Murid!B180)</f>
        <v/>
      </c>
      <c r="C180" s="16">
        <f>IF(Murid!C180="","",Murid!C180)</f>
        <v/>
      </c>
      <c r="D180" s="15">
        <f>IF(Murid!E180="","",Murid!E180)</f>
        <v/>
      </c>
      <c r="E180" s="17">
        <f>KP!X180</f>
        <v/>
      </c>
      <c r="F180" s="17">
        <f>UB!X180</f>
        <v/>
      </c>
      <c r="G180" s="17">
        <f>SP!X180</f>
        <v/>
      </c>
      <c r="H180" s="17">
        <f>IF(COUNT(E180:G180)=0,"",ROUND((LARGE(E180:G180,1)+IF(COUNT(E180:G180)&gt;=2,LARGE(E180:G180,2),0))/2,2))</f>
        <v/>
      </c>
      <c r="I180" s="10">
        <f>Ekstra!U180</f>
        <v/>
      </c>
      <c r="J180" s="18">
        <f>IF(B180="","",IF(Murid!F180="TL","TL",IF(H180="","",MIN(100,ROUND(H180+N(I180),2)))))</f>
        <v/>
      </c>
      <c r="K180" s="19">
        <f>IF(J180="","",IF(J180="TL","TL",IF(J180&gt;=80,"A",IF(J180&gt;=60,"B",IF(J180&gt;=40,"C",IF(J180&gt;=20,"D","E"))))))</f>
        <v/>
      </c>
      <c r="L180" s="15">
        <f>IF(K180="","",IF(K180="A","Cemerlang",IF(K180="B","Kepujian",IF(K180="C","Baik",IF(K180="D","Kurang Memuaskan",IF(K180="E","Tidak Memuaskan","Tidak Laksana"))))))</f>
        <v/>
      </c>
    </row>
    <row r="181">
      <c r="A181" s="15">
        <f>Murid!A181</f>
        <v/>
      </c>
      <c r="B181" s="15">
        <f>IF(Murid!B181="","",Murid!B181)</f>
        <v/>
      </c>
      <c r="C181" s="16">
        <f>IF(Murid!C181="","",Murid!C181)</f>
        <v/>
      </c>
      <c r="D181" s="15">
        <f>IF(Murid!E181="","",Murid!E181)</f>
        <v/>
      </c>
      <c r="E181" s="17">
        <f>KP!X181</f>
        <v/>
      </c>
      <c r="F181" s="17">
        <f>UB!X181</f>
        <v/>
      </c>
      <c r="G181" s="17">
        <f>SP!X181</f>
        <v/>
      </c>
      <c r="H181" s="17">
        <f>IF(COUNT(E181:G181)=0,"",ROUND((LARGE(E181:G181,1)+IF(COUNT(E181:G181)&gt;=2,LARGE(E181:G181,2),0))/2,2))</f>
        <v/>
      </c>
      <c r="I181" s="10">
        <f>Ekstra!U181</f>
        <v/>
      </c>
      <c r="J181" s="18">
        <f>IF(B181="","",IF(Murid!F181="TL","TL",IF(H181="","",MIN(100,ROUND(H181+N(I181),2)))))</f>
        <v/>
      </c>
      <c r="K181" s="19">
        <f>IF(J181="","",IF(J181="TL","TL",IF(J181&gt;=80,"A",IF(J181&gt;=60,"B",IF(J181&gt;=40,"C",IF(J181&gt;=20,"D","E"))))))</f>
        <v/>
      </c>
      <c r="L181" s="15">
        <f>IF(K181="","",IF(K181="A","Cemerlang",IF(K181="B","Kepujian",IF(K181="C","Baik",IF(K181="D","Kurang Memuaskan",IF(K181="E","Tidak Memuaskan","Tidak Laksana"))))))</f>
        <v/>
      </c>
    </row>
    <row r="182">
      <c r="A182" s="15">
        <f>Murid!A182</f>
        <v/>
      </c>
      <c r="B182" s="15">
        <f>IF(Murid!B182="","",Murid!B182)</f>
        <v/>
      </c>
      <c r="C182" s="16">
        <f>IF(Murid!C182="","",Murid!C182)</f>
        <v/>
      </c>
      <c r="D182" s="15">
        <f>IF(Murid!E182="","",Murid!E182)</f>
        <v/>
      </c>
      <c r="E182" s="17">
        <f>KP!X182</f>
        <v/>
      </c>
      <c r="F182" s="17">
        <f>UB!X182</f>
        <v/>
      </c>
      <c r="G182" s="17">
        <f>SP!X182</f>
        <v/>
      </c>
      <c r="H182" s="17">
        <f>IF(COUNT(E182:G182)=0,"",ROUND((LARGE(E182:G182,1)+IF(COUNT(E182:G182)&gt;=2,LARGE(E182:G182,2),0))/2,2))</f>
        <v/>
      </c>
      <c r="I182" s="10">
        <f>Ekstra!U182</f>
        <v/>
      </c>
      <c r="J182" s="18">
        <f>IF(B182="","",IF(Murid!F182="TL","TL",IF(H182="","",MIN(100,ROUND(H182+N(I182),2)))))</f>
        <v/>
      </c>
      <c r="K182" s="19">
        <f>IF(J182="","",IF(J182="TL","TL",IF(J182&gt;=80,"A",IF(J182&gt;=60,"B",IF(J182&gt;=40,"C",IF(J182&gt;=20,"D","E"))))))</f>
        <v/>
      </c>
      <c r="L182" s="15">
        <f>IF(K182="","",IF(K182="A","Cemerlang",IF(K182="B","Kepujian",IF(K182="C","Baik",IF(K182="D","Kurang Memuaskan",IF(K182="E","Tidak Memuaskan","Tidak Laksana"))))))</f>
        <v/>
      </c>
    </row>
    <row r="183">
      <c r="A183" s="15">
        <f>Murid!A183</f>
        <v/>
      </c>
      <c r="B183" s="15">
        <f>IF(Murid!B183="","",Murid!B183)</f>
        <v/>
      </c>
      <c r="C183" s="16">
        <f>IF(Murid!C183="","",Murid!C183)</f>
        <v/>
      </c>
      <c r="D183" s="15">
        <f>IF(Murid!E183="","",Murid!E183)</f>
        <v/>
      </c>
      <c r="E183" s="17">
        <f>KP!X183</f>
        <v/>
      </c>
      <c r="F183" s="17">
        <f>UB!X183</f>
        <v/>
      </c>
      <c r="G183" s="17">
        <f>SP!X183</f>
        <v/>
      </c>
      <c r="H183" s="17">
        <f>IF(COUNT(E183:G183)=0,"",ROUND((LARGE(E183:G183,1)+IF(COUNT(E183:G183)&gt;=2,LARGE(E183:G183,2),0))/2,2))</f>
        <v/>
      </c>
      <c r="I183" s="10">
        <f>Ekstra!U183</f>
        <v/>
      </c>
      <c r="J183" s="18">
        <f>IF(B183="","",IF(Murid!F183="TL","TL",IF(H183="","",MIN(100,ROUND(H183+N(I183),2)))))</f>
        <v/>
      </c>
      <c r="K183" s="19">
        <f>IF(J183="","",IF(J183="TL","TL",IF(J183&gt;=80,"A",IF(J183&gt;=60,"B",IF(J183&gt;=40,"C",IF(J183&gt;=20,"D","E"))))))</f>
        <v/>
      </c>
      <c r="L183" s="15">
        <f>IF(K183="","",IF(K183="A","Cemerlang",IF(K183="B","Kepujian",IF(K183="C","Baik",IF(K183="D","Kurang Memuaskan",IF(K183="E","Tidak Memuaskan","Tidak Laksana"))))))</f>
        <v/>
      </c>
    </row>
    <row r="184">
      <c r="A184" s="15">
        <f>Murid!A184</f>
        <v/>
      </c>
      <c r="B184" s="15">
        <f>IF(Murid!B184="","",Murid!B184)</f>
        <v/>
      </c>
      <c r="C184" s="16">
        <f>IF(Murid!C184="","",Murid!C184)</f>
        <v/>
      </c>
      <c r="D184" s="15">
        <f>IF(Murid!E184="","",Murid!E184)</f>
        <v/>
      </c>
      <c r="E184" s="17">
        <f>KP!X184</f>
        <v/>
      </c>
      <c r="F184" s="17">
        <f>UB!X184</f>
        <v/>
      </c>
      <c r="G184" s="17">
        <f>SP!X184</f>
        <v/>
      </c>
      <c r="H184" s="17">
        <f>IF(COUNT(E184:G184)=0,"",ROUND((LARGE(E184:G184,1)+IF(COUNT(E184:G184)&gt;=2,LARGE(E184:G184,2),0))/2,2))</f>
        <v/>
      </c>
      <c r="I184" s="10">
        <f>Ekstra!U184</f>
        <v/>
      </c>
      <c r="J184" s="18">
        <f>IF(B184="","",IF(Murid!F184="TL","TL",IF(H184="","",MIN(100,ROUND(H184+N(I184),2)))))</f>
        <v/>
      </c>
      <c r="K184" s="19">
        <f>IF(J184="","",IF(J184="TL","TL",IF(J184&gt;=80,"A",IF(J184&gt;=60,"B",IF(J184&gt;=40,"C",IF(J184&gt;=20,"D","E"))))))</f>
        <v/>
      </c>
      <c r="L184" s="15">
        <f>IF(K184="","",IF(K184="A","Cemerlang",IF(K184="B","Kepujian",IF(K184="C","Baik",IF(K184="D","Kurang Memuaskan",IF(K184="E","Tidak Memuaskan","Tidak Laksana"))))))</f>
        <v/>
      </c>
    </row>
    <row r="185">
      <c r="A185" s="15">
        <f>Murid!A185</f>
        <v/>
      </c>
      <c r="B185" s="15">
        <f>IF(Murid!B185="","",Murid!B185)</f>
        <v/>
      </c>
      <c r="C185" s="16">
        <f>IF(Murid!C185="","",Murid!C185)</f>
        <v/>
      </c>
      <c r="D185" s="15">
        <f>IF(Murid!E185="","",Murid!E185)</f>
        <v/>
      </c>
      <c r="E185" s="17">
        <f>KP!X185</f>
        <v/>
      </c>
      <c r="F185" s="17">
        <f>UB!X185</f>
        <v/>
      </c>
      <c r="G185" s="17">
        <f>SP!X185</f>
        <v/>
      </c>
      <c r="H185" s="17">
        <f>IF(COUNT(E185:G185)=0,"",ROUND((LARGE(E185:G185,1)+IF(COUNT(E185:G185)&gt;=2,LARGE(E185:G185,2),0))/2,2))</f>
        <v/>
      </c>
      <c r="I185" s="10">
        <f>Ekstra!U185</f>
        <v/>
      </c>
      <c r="J185" s="18">
        <f>IF(B185="","",IF(Murid!F185="TL","TL",IF(H185="","",MIN(100,ROUND(H185+N(I185),2)))))</f>
        <v/>
      </c>
      <c r="K185" s="19">
        <f>IF(J185="","",IF(J185="TL","TL",IF(J185&gt;=80,"A",IF(J185&gt;=60,"B",IF(J185&gt;=40,"C",IF(J185&gt;=20,"D","E"))))))</f>
        <v/>
      </c>
      <c r="L185" s="15">
        <f>IF(K185="","",IF(K185="A","Cemerlang",IF(K185="B","Kepujian",IF(K185="C","Baik",IF(K185="D","Kurang Memuaskan",IF(K185="E","Tidak Memuaskan","Tidak Laksana"))))))</f>
        <v/>
      </c>
    </row>
    <row r="186">
      <c r="A186" s="15">
        <f>Murid!A186</f>
        <v/>
      </c>
      <c r="B186" s="15">
        <f>IF(Murid!B186="","",Murid!B186)</f>
        <v/>
      </c>
      <c r="C186" s="16">
        <f>IF(Murid!C186="","",Murid!C186)</f>
        <v/>
      </c>
      <c r="D186" s="15">
        <f>IF(Murid!E186="","",Murid!E186)</f>
        <v/>
      </c>
      <c r="E186" s="17">
        <f>KP!X186</f>
        <v/>
      </c>
      <c r="F186" s="17">
        <f>UB!X186</f>
        <v/>
      </c>
      <c r="G186" s="17">
        <f>SP!X186</f>
        <v/>
      </c>
      <c r="H186" s="17">
        <f>IF(COUNT(E186:G186)=0,"",ROUND((LARGE(E186:G186,1)+IF(COUNT(E186:G186)&gt;=2,LARGE(E186:G186,2),0))/2,2))</f>
        <v/>
      </c>
      <c r="I186" s="10">
        <f>Ekstra!U186</f>
        <v/>
      </c>
      <c r="J186" s="18">
        <f>IF(B186="","",IF(Murid!F186="TL","TL",IF(H186="","",MIN(100,ROUND(H186+N(I186),2)))))</f>
        <v/>
      </c>
      <c r="K186" s="19">
        <f>IF(J186="","",IF(J186="TL","TL",IF(J186&gt;=80,"A",IF(J186&gt;=60,"B",IF(J186&gt;=40,"C",IF(J186&gt;=20,"D","E"))))))</f>
        <v/>
      </c>
      <c r="L186" s="15">
        <f>IF(K186="","",IF(K186="A","Cemerlang",IF(K186="B","Kepujian",IF(K186="C","Baik",IF(K186="D","Kurang Memuaskan",IF(K186="E","Tidak Memuaskan","Tidak Laksana"))))))</f>
        <v/>
      </c>
    </row>
    <row r="187">
      <c r="A187" s="15">
        <f>Murid!A187</f>
        <v/>
      </c>
      <c r="B187" s="15">
        <f>IF(Murid!B187="","",Murid!B187)</f>
        <v/>
      </c>
      <c r="C187" s="16">
        <f>IF(Murid!C187="","",Murid!C187)</f>
        <v/>
      </c>
      <c r="D187" s="15">
        <f>IF(Murid!E187="","",Murid!E187)</f>
        <v/>
      </c>
      <c r="E187" s="17">
        <f>KP!X187</f>
        <v/>
      </c>
      <c r="F187" s="17">
        <f>UB!X187</f>
        <v/>
      </c>
      <c r="G187" s="17">
        <f>SP!X187</f>
        <v/>
      </c>
      <c r="H187" s="17">
        <f>IF(COUNT(E187:G187)=0,"",ROUND((LARGE(E187:G187,1)+IF(COUNT(E187:G187)&gt;=2,LARGE(E187:G187,2),0))/2,2))</f>
        <v/>
      </c>
      <c r="I187" s="10">
        <f>Ekstra!U187</f>
        <v/>
      </c>
      <c r="J187" s="18">
        <f>IF(B187="","",IF(Murid!F187="TL","TL",IF(H187="","",MIN(100,ROUND(H187+N(I187),2)))))</f>
        <v/>
      </c>
      <c r="K187" s="19">
        <f>IF(J187="","",IF(J187="TL","TL",IF(J187&gt;=80,"A",IF(J187&gt;=60,"B",IF(J187&gt;=40,"C",IF(J187&gt;=20,"D","E"))))))</f>
        <v/>
      </c>
      <c r="L187" s="15">
        <f>IF(K187="","",IF(K187="A","Cemerlang",IF(K187="B","Kepujian",IF(K187="C","Baik",IF(K187="D","Kurang Memuaskan",IF(K187="E","Tidak Memuaskan","Tidak Laksana"))))))</f>
        <v/>
      </c>
    </row>
    <row r="188">
      <c r="A188" s="15">
        <f>Murid!A188</f>
        <v/>
      </c>
      <c r="B188" s="15">
        <f>IF(Murid!B188="","",Murid!B188)</f>
        <v/>
      </c>
      <c r="C188" s="16">
        <f>IF(Murid!C188="","",Murid!C188)</f>
        <v/>
      </c>
      <c r="D188" s="15">
        <f>IF(Murid!E188="","",Murid!E188)</f>
        <v/>
      </c>
      <c r="E188" s="17">
        <f>KP!X188</f>
        <v/>
      </c>
      <c r="F188" s="17">
        <f>UB!X188</f>
        <v/>
      </c>
      <c r="G188" s="17">
        <f>SP!X188</f>
        <v/>
      </c>
      <c r="H188" s="17">
        <f>IF(COUNT(E188:G188)=0,"",ROUND((LARGE(E188:G188,1)+IF(COUNT(E188:G188)&gt;=2,LARGE(E188:G188,2),0))/2,2))</f>
        <v/>
      </c>
      <c r="I188" s="10">
        <f>Ekstra!U188</f>
        <v/>
      </c>
      <c r="J188" s="18">
        <f>IF(B188="","",IF(Murid!F188="TL","TL",IF(H188="","",MIN(100,ROUND(H188+N(I188),2)))))</f>
        <v/>
      </c>
      <c r="K188" s="19">
        <f>IF(J188="","",IF(J188="TL","TL",IF(J188&gt;=80,"A",IF(J188&gt;=60,"B",IF(J188&gt;=40,"C",IF(J188&gt;=20,"D","E"))))))</f>
        <v/>
      </c>
      <c r="L188" s="15">
        <f>IF(K188="","",IF(K188="A","Cemerlang",IF(K188="B","Kepujian",IF(K188="C","Baik",IF(K188="D","Kurang Memuaskan",IF(K188="E","Tidak Memuaskan","Tidak Laksana"))))))</f>
        <v/>
      </c>
    </row>
    <row r="189">
      <c r="A189" s="15">
        <f>Murid!A189</f>
        <v/>
      </c>
      <c r="B189" s="15">
        <f>IF(Murid!B189="","",Murid!B189)</f>
        <v/>
      </c>
      <c r="C189" s="16">
        <f>IF(Murid!C189="","",Murid!C189)</f>
        <v/>
      </c>
      <c r="D189" s="15">
        <f>IF(Murid!E189="","",Murid!E189)</f>
        <v/>
      </c>
      <c r="E189" s="17">
        <f>KP!X189</f>
        <v/>
      </c>
      <c r="F189" s="17">
        <f>UB!X189</f>
        <v/>
      </c>
      <c r="G189" s="17">
        <f>SP!X189</f>
        <v/>
      </c>
      <c r="H189" s="17">
        <f>IF(COUNT(E189:G189)=0,"",ROUND((LARGE(E189:G189,1)+IF(COUNT(E189:G189)&gt;=2,LARGE(E189:G189,2),0))/2,2))</f>
        <v/>
      </c>
      <c r="I189" s="10">
        <f>Ekstra!U189</f>
        <v/>
      </c>
      <c r="J189" s="18">
        <f>IF(B189="","",IF(Murid!F189="TL","TL",IF(H189="","",MIN(100,ROUND(H189+N(I189),2)))))</f>
        <v/>
      </c>
      <c r="K189" s="19">
        <f>IF(J189="","",IF(J189="TL","TL",IF(J189&gt;=80,"A",IF(J189&gt;=60,"B",IF(J189&gt;=40,"C",IF(J189&gt;=20,"D","E"))))))</f>
        <v/>
      </c>
      <c r="L189" s="15">
        <f>IF(K189="","",IF(K189="A","Cemerlang",IF(K189="B","Kepujian",IF(K189="C","Baik",IF(K189="D","Kurang Memuaskan",IF(K189="E","Tidak Memuaskan","Tidak Laksana"))))))</f>
        <v/>
      </c>
    </row>
    <row r="190">
      <c r="A190" s="15">
        <f>Murid!A190</f>
        <v/>
      </c>
      <c r="B190" s="15">
        <f>IF(Murid!B190="","",Murid!B190)</f>
        <v/>
      </c>
      <c r="C190" s="16">
        <f>IF(Murid!C190="","",Murid!C190)</f>
        <v/>
      </c>
      <c r="D190" s="15">
        <f>IF(Murid!E190="","",Murid!E190)</f>
        <v/>
      </c>
      <c r="E190" s="17">
        <f>KP!X190</f>
        <v/>
      </c>
      <c r="F190" s="17">
        <f>UB!X190</f>
        <v/>
      </c>
      <c r="G190" s="17">
        <f>SP!X190</f>
        <v/>
      </c>
      <c r="H190" s="17">
        <f>IF(COUNT(E190:G190)=0,"",ROUND((LARGE(E190:G190,1)+IF(COUNT(E190:G190)&gt;=2,LARGE(E190:G190,2),0))/2,2))</f>
        <v/>
      </c>
      <c r="I190" s="10">
        <f>Ekstra!U190</f>
        <v/>
      </c>
      <c r="J190" s="18">
        <f>IF(B190="","",IF(Murid!F190="TL","TL",IF(H190="","",MIN(100,ROUND(H190+N(I190),2)))))</f>
        <v/>
      </c>
      <c r="K190" s="19">
        <f>IF(J190="","",IF(J190="TL","TL",IF(J190&gt;=80,"A",IF(J190&gt;=60,"B",IF(J190&gt;=40,"C",IF(J190&gt;=20,"D","E"))))))</f>
        <v/>
      </c>
      <c r="L190" s="15">
        <f>IF(K190="","",IF(K190="A","Cemerlang",IF(K190="B","Kepujian",IF(K190="C","Baik",IF(K190="D","Kurang Memuaskan",IF(K190="E","Tidak Memuaskan","Tidak Laksana"))))))</f>
        <v/>
      </c>
    </row>
    <row r="191">
      <c r="A191" s="15">
        <f>Murid!A191</f>
        <v/>
      </c>
      <c r="B191" s="15">
        <f>IF(Murid!B191="","",Murid!B191)</f>
        <v/>
      </c>
      <c r="C191" s="16">
        <f>IF(Murid!C191="","",Murid!C191)</f>
        <v/>
      </c>
      <c r="D191" s="15">
        <f>IF(Murid!E191="","",Murid!E191)</f>
        <v/>
      </c>
      <c r="E191" s="17">
        <f>KP!X191</f>
        <v/>
      </c>
      <c r="F191" s="17">
        <f>UB!X191</f>
        <v/>
      </c>
      <c r="G191" s="17">
        <f>SP!X191</f>
        <v/>
      </c>
      <c r="H191" s="17">
        <f>IF(COUNT(E191:G191)=0,"",ROUND((LARGE(E191:G191,1)+IF(COUNT(E191:G191)&gt;=2,LARGE(E191:G191,2),0))/2,2))</f>
        <v/>
      </c>
      <c r="I191" s="10">
        <f>Ekstra!U191</f>
        <v/>
      </c>
      <c r="J191" s="18">
        <f>IF(B191="","",IF(Murid!F191="TL","TL",IF(H191="","",MIN(100,ROUND(H191+N(I191),2)))))</f>
        <v/>
      </c>
      <c r="K191" s="19">
        <f>IF(J191="","",IF(J191="TL","TL",IF(J191&gt;=80,"A",IF(J191&gt;=60,"B",IF(J191&gt;=40,"C",IF(J191&gt;=20,"D","E"))))))</f>
        <v/>
      </c>
      <c r="L191" s="15">
        <f>IF(K191="","",IF(K191="A","Cemerlang",IF(K191="B","Kepujian",IF(K191="C","Baik",IF(K191="D","Kurang Memuaskan",IF(K191="E","Tidak Memuaskan","Tidak Laksana"))))))</f>
        <v/>
      </c>
    </row>
    <row r="192">
      <c r="A192" s="15">
        <f>Murid!A192</f>
        <v/>
      </c>
      <c r="B192" s="15">
        <f>IF(Murid!B192="","",Murid!B192)</f>
        <v/>
      </c>
      <c r="C192" s="16">
        <f>IF(Murid!C192="","",Murid!C192)</f>
        <v/>
      </c>
      <c r="D192" s="15">
        <f>IF(Murid!E192="","",Murid!E192)</f>
        <v/>
      </c>
      <c r="E192" s="17">
        <f>KP!X192</f>
        <v/>
      </c>
      <c r="F192" s="17">
        <f>UB!X192</f>
        <v/>
      </c>
      <c r="G192" s="17">
        <f>SP!X192</f>
        <v/>
      </c>
      <c r="H192" s="17">
        <f>IF(COUNT(E192:G192)=0,"",ROUND((LARGE(E192:G192,1)+IF(COUNT(E192:G192)&gt;=2,LARGE(E192:G192,2),0))/2,2))</f>
        <v/>
      </c>
      <c r="I192" s="10">
        <f>Ekstra!U192</f>
        <v/>
      </c>
      <c r="J192" s="18">
        <f>IF(B192="","",IF(Murid!F192="TL","TL",IF(H192="","",MIN(100,ROUND(H192+N(I192),2)))))</f>
        <v/>
      </c>
      <c r="K192" s="19">
        <f>IF(J192="","",IF(J192="TL","TL",IF(J192&gt;=80,"A",IF(J192&gt;=60,"B",IF(J192&gt;=40,"C",IF(J192&gt;=20,"D","E"))))))</f>
        <v/>
      </c>
      <c r="L192" s="15">
        <f>IF(K192="","",IF(K192="A","Cemerlang",IF(K192="B","Kepujian",IF(K192="C","Baik",IF(K192="D","Kurang Memuaskan",IF(K192="E","Tidak Memuaskan","Tidak Laksana"))))))</f>
        <v/>
      </c>
    </row>
    <row r="193">
      <c r="A193" s="15">
        <f>Murid!A193</f>
        <v/>
      </c>
      <c r="B193" s="15">
        <f>IF(Murid!B193="","",Murid!B193)</f>
        <v/>
      </c>
      <c r="C193" s="16">
        <f>IF(Murid!C193="","",Murid!C193)</f>
        <v/>
      </c>
      <c r="D193" s="15">
        <f>IF(Murid!E193="","",Murid!E193)</f>
        <v/>
      </c>
      <c r="E193" s="17">
        <f>KP!X193</f>
        <v/>
      </c>
      <c r="F193" s="17">
        <f>UB!X193</f>
        <v/>
      </c>
      <c r="G193" s="17">
        <f>SP!X193</f>
        <v/>
      </c>
      <c r="H193" s="17">
        <f>IF(COUNT(E193:G193)=0,"",ROUND((LARGE(E193:G193,1)+IF(COUNT(E193:G193)&gt;=2,LARGE(E193:G193,2),0))/2,2))</f>
        <v/>
      </c>
      <c r="I193" s="10">
        <f>Ekstra!U193</f>
        <v/>
      </c>
      <c r="J193" s="18">
        <f>IF(B193="","",IF(Murid!F193="TL","TL",IF(H193="","",MIN(100,ROUND(H193+N(I193),2)))))</f>
        <v/>
      </c>
      <c r="K193" s="19">
        <f>IF(J193="","",IF(J193="TL","TL",IF(J193&gt;=80,"A",IF(J193&gt;=60,"B",IF(J193&gt;=40,"C",IF(J193&gt;=20,"D","E"))))))</f>
        <v/>
      </c>
      <c r="L193" s="15">
        <f>IF(K193="","",IF(K193="A","Cemerlang",IF(K193="B","Kepujian",IF(K193="C","Baik",IF(K193="D","Kurang Memuaskan",IF(K193="E","Tidak Memuaskan","Tidak Laksana"))))))</f>
        <v/>
      </c>
    </row>
    <row r="194">
      <c r="A194" s="15">
        <f>Murid!A194</f>
        <v/>
      </c>
      <c r="B194" s="15">
        <f>IF(Murid!B194="","",Murid!B194)</f>
        <v/>
      </c>
      <c r="C194" s="16">
        <f>IF(Murid!C194="","",Murid!C194)</f>
        <v/>
      </c>
      <c r="D194" s="15">
        <f>IF(Murid!E194="","",Murid!E194)</f>
        <v/>
      </c>
      <c r="E194" s="17">
        <f>KP!X194</f>
        <v/>
      </c>
      <c r="F194" s="17">
        <f>UB!X194</f>
        <v/>
      </c>
      <c r="G194" s="17">
        <f>SP!X194</f>
        <v/>
      </c>
      <c r="H194" s="17">
        <f>IF(COUNT(E194:G194)=0,"",ROUND((LARGE(E194:G194,1)+IF(COUNT(E194:G194)&gt;=2,LARGE(E194:G194,2),0))/2,2))</f>
        <v/>
      </c>
      <c r="I194" s="10">
        <f>Ekstra!U194</f>
        <v/>
      </c>
      <c r="J194" s="18">
        <f>IF(B194="","",IF(Murid!F194="TL","TL",IF(H194="","",MIN(100,ROUND(H194+N(I194),2)))))</f>
        <v/>
      </c>
      <c r="K194" s="19">
        <f>IF(J194="","",IF(J194="TL","TL",IF(J194&gt;=80,"A",IF(J194&gt;=60,"B",IF(J194&gt;=40,"C",IF(J194&gt;=20,"D","E"))))))</f>
        <v/>
      </c>
      <c r="L194" s="15">
        <f>IF(K194="","",IF(K194="A","Cemerlang",IF(K194="B","Kepujian",IF(K194="C","Baik",IF(K194="D","Kurang Memuaskan",IF(K194="E","Tidak Memuaskan","Tidak Laksana"))))))</f>
        <v/>
      </c>
    </row>
    <row r="195">
      <c r="A195" s="15">
        <f>Murid!A195</f>
        <v/>
      </c>
      <c r="B195" s="15">
        <f>IF(Murid!B195="","",Murid!B195)</f>
        <v/>
      </c>
      <c r="C195" s="16">
        <f>IF(Murid!C195="","",Murid!C195)</f>
        <v/>
      </c>
      <c r="D195" s="15">
        <f>IF(Murid!E195="","",Murid!E195)</f>
        <v/>
      </c>
      <c r="E195" s="17">
        <f>KP!X195</f>
        <v/>
      </c>
      <c r="F195" s="17">
        <f>UB!X195</f>
        <v/>
      </c>
      <c r="G195" s="17">
        <f>SP!X195</f>
        <v/>
      </c>
      <c r="H195" s="17">
        <f>IF(COUNT(E195:G195)=0,"",ROUND((LARGE(E195:G195,1)+IF(COUNT(E195:G195)&gt;=2,LARGE(E195:G195,2),0))/2,2))</f>
        <v/>
      </c>
      <c r="I195" s="10">
        <f>Ekstra!U195</f>
        <v/>
      </c>
      <c r="J195" s="18">
        <f>IF(B195="","",IF(Murid!F195="TL","TL",IF(H195="","",MIN(100,ROUND(H195+N(I195),2)))))</f>
        <v/>
      </c>
      <c r="K195" s="19">
        <f>IF(J195="","",IF(J195="TL","TL",IF(J195&gt;=80,"A",IF(J195&gt;=60,"B",IF(J195&gt;=40,"C",IF(J195&gt;=20,"D","E"))))))</f>
        <v/>
      </c>
      <c r="L195" s="15">
        <f>IF(K195="","",IF(K195="A","Cemerlang",IF(K195="B","Kepujian",IF(K195="C","Baik",IF(K195="D","Kurang Memuaskan",IF(K195="E","Tidak Memuaskan","Tidak Laksana"))))))</f>
        <v/>
      </c>
    </row>
    <row r="196">
      <c r="A196" s="15">
        <f>Murid!A196</f>
        <v/>
      </c>
      <c r="B196" s="15">
        <f>IF(Murid!B196="","",Murid!B196)</f>
        <v/>
      </c>
      <c r="C196" s="16">
        <f>IF(Murid!C196="","",Murid!C196)</f>
        <v/>
      </c>
      <c r="D196" s="15">
        <f>IF(Murid!E196="","",Murid!E196)</f>
        <v/>
      </c>
      <c r="E196" s="17">
        <f>KP!X196</f>
        <v/>
      </c>
      <c r="F196" s="17">
        <f>UB!X196</f>
        <v/>
      </c>
      <c r="G196" s="17">
        <f>SP!X196</f>
        <v/>
      </c>
      <c r="H196" s="17">
        <f>IF(COUNT(E196:G196)=0,"",ROUND((LARGE(E196:G196,1)+IF(COUNT(E196:G196)&gt;=2,LARGE(E196:G196,2),0))/2,2))</f>
        <v/>
      </c>
      <c r="I196" s="10">
        <f>Ekstra!U196</f>
        <v/>
      </c>
      <c r="J196" s="18">
        <f>IF(B196="","",IF(Murid!F196="TL","TL",IF(H196="","",MIN(100,ROUND(H196+N(I196),2)))))</f>
        <v/>
      </c>
      <c r="K196" s="19">
        <f>IF(J196="","",IF(J196="TL","TL",IF(J196&gt;=80,"A",IF(J196&gt;=60,"B",IF(J196&gt;=40,"C",IF(J196&gt;=20,"D","E"))))))</f>
        <v/>
      </c>
      <c r="L196" s="15">
        <f>IF(K196="","",IF(K196="A","Cemerlang",IF(K196="B","Kepujian",IF(K196="C","Baik",IF(K196="D","Kurang Memuaskan",IF(K196="E","Tidak Memuaskan","Tidak Laksana"))))))</f>
        <v/>
      </c>
    </row>
    <row r="197">
      <c r="A197" s="15">
        <f>Murid!A197</f>
        <v/>
      </c>
      <c r="B197" s="15">
        <f>IF(Murid!B197="","",Murid!B197)</f>
        <v/>
      </c>
      <c r="C197" s="16">
        <f>IF(Murid!C197="","",Murid!C197)</f>
        <v/>
      </c>
      <c r="D197" s="15">
        <f>IF(Murid!E197="","",Murid!E197)</f>
        <v/>
      </c>
      <c r="E197" s="17">
        <f>KP!X197</f>
        <v/>
      </c>
      <c r="F197" s="17">
        <f>UB!X197</f>
        <v/>
      </c>
      <c r="G197" s="17">
        <f>SP!X197</f>
        <v/>
      </c>
      <c r="H197" s="17">
        <f>IF(COUNT(E197:G197)=0,"",ROUND((LARGE(E197:G197,1)+IF(COUNT(E197:G197)&gt;=2,LARGE(E197:G197,2),0))/2,2))</f>
        <v/>
      </c>
      <c r="I197" s="10">
        <f>Ekstra!U197</f>
        <v/>
      </c>
      <c r="J197" s="18">
        <f>IF(B197="","",IF(Murid!F197="TL","TL",IF(H197="","",MIN(100,ROUND(H197+N(I197),2)))))</f>
        <v/>
      </c>
      <c r="K197" s="19">
        <f>IF(J197="","",IF(J197="TL","TL",IF(J197&gt;=80,"A",IF(J197&gt;=60,"B",IF(J197&gt;=40,"C",IF(J197&gt;=20,"D","E"))))))</f>
        <v/>
      </c>
      <c r="L197" s="15">
        <f>IF(K197="","",IF(K197="A","Cemerlang",IF(K197="B","Kepujian",IF(K197="C","Baik",IF(K197="D","Kurang Memuaskan",IF(K197="E","Tidak Memuaskan","Tidak Laksana"))))))</f>
        <v/>
      </c>
    </row>
    <row r="198">
      <c r="A198" s="15">
        <f>Murid!A198</f>
        <v/>
      </c>
      <c r="B198" s="15">
        <f>IF(Murid!B198="","",Murid!B198)</f>
        <v/>
      </c>
      <c r="C198" s="16">
        <f>IF(Murid!C198="","",Murid!C198)</f>
        <v/>
      </c>
      <c r="D198" s="15">
        <f>IF(Murid!E198="","",Murid!E198)</f>
        <v/>
      </c>
      <c r="E198" s="17">
        <f>KP!X198</f>
        <v/>
      </c>
      <c r="F198" s="17">
        <f>UB!X198</f>
        <v/>
      </c>
      <c r="G198" s="17">
        <f>SP!X198</f>
        <v/>
      </c>
      <c r="H198" s="17">
        <f>IF(COUNT(E198:G198)=0,"",ROUND((LARGE(E198:G198,1)+IF(COUNT(E198:G198)&gt;=2,LARGE(E198:G198,2),0))/2,2))</f>
        <v/>
      </c>
      <c r="I198" s="10">
        <f>Ekstra!U198</f>
        <v/>
      </c>
      <c r="J198" s="18">
        <f>IF(B198="","",IF(Murid!F198="TL","TL",IF(H198="","",MIN(100,ROUND(H198+N(I198),2)))))</f>
        <v/>
      </c>
      <c r="K198" s="19">
        <f>IF(J198="","",IF(J198="TL","TL",IF(J198&gt;=80,"A",IF(J198&gt;=60,"B",IF(J198&gt;=40,"C",IF(J198&gt;=20,"D","E"))))))</f>
        <v/>
      </c>
      <c r="L198" s="15">
        <f>IF(K198="","",IF(K198="A","Cemerlang",IF(K198="B","Kepujian",IF(K198="C","Baik",IF(K198="D","Kurang Memuaskan",IF(K198="E","Tidak Memuaskan","Tidak Laksana"))))))</f>
        <v/>
      </c>
    </row>
    <row r="199">
      <c r="A199" s="15">
        <f>Murid!A199</f>
        <v/>
      </c>
      <c r="B199" s="15">
        <f>IF(Murid!B199="","",Murid!B199)</f>
        <v/>
      </c>
      <c r="C199" s="16">
        <f>IF(Murid!C199="","",Murid!C199)</f>
        <v/>
      </c>
      <c r="D199" s="15">
        <f>IF(Murid!E199="","",Murid!E199)</f>
        <v/>
      </c>
      <c r="E199" s="17">
        <f>KP!X199</f>
        <v/>
      </c>
      <c r="F199" s="17">
        <f>UB!X199</f>
        <v/>
      </c>
      <c r="G199" s="17">
        <f>SP!X199</f>
        <v/>
      </c>
      <c r="H199" s="17">
        <f>IF(COUNT(E199:G199)=0,"",ROUND((LARGE(E199:G199,1)+IF(COUNT(E199:G199)&gt;=2,LARGE(E199:G199,2),0))/2,2))</f>
        <v/>
      </c>
      <c r="I199" s="10">
        <f>Ekstra!U199</f>
        <v/>
      </c>
      <c r="J199" s="18">
        <f>IF(B199="","",IF(Murid!F199="TL","TL",IF(H199="","",MIN(100,ROUND(H199+N(I199),2)))))</f>
        <v/>
      </c>
      <c r="K199" s="19">
        <f>IF(J199="","",IF(J199="TL","TL",IF(J199&gt;=80,"A",IF(J199&gt;=60,"B",IF(J199&gt;=40,"C",IF(J199&gt;=20,"D","E"))))))</f>
        <v/>
      </c>
      <c r="L199" s="15">
        <f>IF(K199="","",IF(K199="A","Cemerlang",IF(K199="B","Kepujian",IF(K199="C","Baik",IF(K199="D","Kurang Memuaskan",IF(K199="E","Tidak Memuaskan","Tidak Laksana"))))))</f>
        <v/>
      </c>
    </row>
    <row r="200">
      <c r="A200" s="15">
        <f>Murid!A200</f>
        <v/>
      </c>
      <c r="B200" s="15">
        <f>IF(Murid!B200="","",Murid!B200)</f>
        <v/>
      </c>
      <c r="C200" s="16">
        <f>IF(Murid!C200="","",Murid!C200)</f>
        <v/>
      </c>
      <c r="D200" s="15">
        <f>IF(Murid!E200="","",Murid!E200)</f>
        <v/>
      </c>
      <c r="E200" s="17">
        <f>KP!X200</f>
        <v/>
      </c>
      <c r="F200" s="17">
        <f>UB!X200</f>
        <v/>
      </c>
      <c r="G200" s="17">
        <f>SP!X200</f>
        <v/>
      </c>
      <c r="H200" s="17">
        <f>IF(COUNT(E200:G200)=0,"",ROUND((LARGE(E200:G200,1)+IF(COUNT(E200:G200)&gt;=2,LARGE(E200:G200,2),0))/2,2))</f>
        <v/>
      </c>
      <c r="I200" s="10">
        <f>Ekstra!U200</f>
        <v/>
      </c>
      <c r="J200" s="18">
        <f>IF(B200="","",IF(Murid!F200="TL","TL",IF(H200="","",MIN(100,ROUND(H200+N(I200),2)))))</f>
        <v/>
      </c>
      <c r="K200" s="19">
        <f>IF(J200="","",IF(J200="TL","TL",IF(J200&gt;=80,"A",IF(J200&gt;=60,"B",IF(J200&gt;=40,"C",IF(J200&gt;=20,"D","E"))))))</f>
        <v/>
      </c>
      <c r="L200" s="15">
        <f>IF(K200="","",IF(K200="A","Cemerlang",IF(K200="B","Kepujian",IF(K200="C","Baik",IF(K200="D","Kurang Memuaskan",IF(K200="E","Tidak Memuaskan","Tidak Laksana"))))))</f>
        <v/>
      </c>
    </row>
    <row r="201">
      <c r="A201" s="15">
        <f>Murid!A201</f>
        <v/>
      </c>
      <c r="B201" s="15">
        <f>IF(Murid!B201="","",Murid!B201)</f>
        <v/>
      </c>
      <c r="C201" s="16">
        <f>IF(Murid!C201="","",Murid!C201)</f>
        <v/>
      </c>
      <c r="D201" s="15">
        <f>IF(Murid!E201="","",Murid!E201)</f>
        <v/>
      </c>
      <c r="E201" s="17">
        <f>KP!X201</f>
        <v/>
      </c>
      <c r="F201" s="17">
        <f>UB!X201</f>
        <v/>
      </c>
      <c r="G201" s="17">
        <f>SP!X201</f>
        <v/>
      </c>
      <c r="H201" s="17">
        <f>IF(COUNT(E201:G201)=0,"",ROUND((LARGE(E201:G201,1)+IF(COUNT(E201:G201)&gt;=2,LARGE(E201:G201,2),0))/2,2))</f>
        <v/>
      </c>
      <c r="I201" s="10">
        <f>Ekstra!U201</f>
        <v/>
      </c>
      <c r="J201" s="18">
        <f>IF(B201="","",IF(Murid!F201="TL","TL",IF(H201="","",MIN(100,ROUND(H201+N(I201),2)))))</f>
        <v/>
      </c>
      <c r="K201" s="19">
        <f>IF(J201="","",IF(J201="TL","TL",IF(J201&gt;=80,"A",IF(J201&gt;=60,"B",IF(J201&gt;=40,"C",IF(J201&gt;=20,"D","E"))))))</f>
        <v/>
      </c>
      <c r="L201" s="15">
        <f>IF(K201="","",IF(K201="A","Cemerlang",IF(K201="B","Kepujian",IF(K201="C","Baik",IF(K201="D","Kurang Memuaskan",IF(K201="E","Tidak Memuaskan","Tidak Laksana"))))))</f>
        <v/>
      </c>
    </row>
    <row r="202">
      <c r="A202" s="15">
        <f>Murid!A202</f>
        <v/>
      </c>
      <c r="B202" s="15">
        <f>IF(Murid!B202="","",Murid!B202)</f>
        <v/>
      </c>
      <c r="C202" s="16">
        <f>IF(Murid!C202="","",Murid!C202)</f>
        <v/>
      </c>
      <c r="D202" s="15">
        <f>IF(Murid!E202="","",Murid!E202)</f>
        <v/>
      </c>
      <c r="E202" s="17">
        <f>KP!X202</f>
        <v/>
      </c>
      <c r="F202" s="17">
        <f>UB!X202</f>
        <v/>
      </c>
      <c r="G202" s="17">
        <f>SP!X202</f>
        <v/>
      </c>
      <c r="H202" s="17">
        <f>IF(COUNT(E202:G202)=0,"",ROUND((LARGE(E202:G202,1)+IF(COUNT(E202:G202)&gt;=2,LARGE(E202:G202,2),0))/2,2))</f>
        <v/>
      </c>
      <c r="I202" s="10">
        <f>Ekstra!U202</f>
        <v/>
      </c>
      <c r="J202" s="18">
        <f>IF(B202="","",IF(Murid!F202="TL","TL",IF(H202="","",MIN(100,ROUND(H202+N(I202),2)))))</f>
        <v/>
      </c>
      <c r="K202" s="19">
        <f>IF(J202="","",IF(J202="TL","TL",IF(J202&gt;=80,"A",IF(J202&gt;=60,"B",IF(J202&gt;=40,"C",IF(J202&gt;=20,"D","E"))))))</f>
        <v/>
      </c>
      <c r="L202" s="15">
        <f>IF(K202="","",IF(K202="A","Cemerlang",IF(K202="B","Kepujian",IF(K202="C","Baik",IF(K202="D","Kurang Memuaskan",IF(K202="E","Tidak Memuaskan","Tidak Laksana"))))))</f>
        <v/>
      </c>
    </row>
    <row r="203">
      <c r="A203" s="15">
        <f>Murid!A203</f>
        <v/>
      </c>
      <c r="B203" s="15">
        <f>IF(Murid!B203="","",Murid!B203)</f>
        <v/>
      </c>
      <c r="C203" s="16">
        <f>IF(Murid!C203="","",Murid!C203)</f>
        <v/>
      </c>
      <c r="D203" s="15">
        <f>IF(Murid!E203="","",Murid!E203)</f>
        <v/>
      </c>
      <c r="E203" s="17">
        <f>KP!X203</f>
        <v/>
      </c>
      <c r="F203" s="17">
        <f>UB!X203</f>
        <v/>
      </c>
      <c r="G203" s="17">
        <f>SP!X203</f>
        <v/>
      </c>
      <c r="H203" s="17">
        <f>IF(COUNT(E203:G203)=0,"",ROUND((LARGE(E203:G203,1)+IF(COUNT(E203:G203)&gt;=2,LARGE(E203:G203,2),0))/2,2))</f>
        <v/>
      </c>
      <c r="I203" s="10">
        <f>Ekstra!U203</f>
        <v/>
      </c>
      <c r="J203" s="18">
        <f>IF(B203="","",IF(Murid!F203="TL","TL",IF(H203="","",MIN(100,ROUND(H203+N(I203),2)))))</f>
        <v/>
      </c>
      <c r="K203" s="19">
        <f>IF(J203="","",IF(J203="TL","TL",IF(J203&gt;=80,"A",IF(J203&gt;=60,"B",IF(J203&gt;=40,"C",IF(J203&gt;=20,"D","E"))))))</f>
        <v/>
      </c>
      <c r="L203" s="15">
        <f>IF(K203="","",IF(K203="A","Cemerlang",IF(K203="B","Kepujian",IF(K203="C","Baik",IF(K203="D","Kurang Memuaskan",IF(K203="E","Tidak Memuaskan","Tidak Laksana"))))))</f>
        <v/>
      </c>
    </row>
    <row r="204">
      <c r="A204" s="15">
        <f>Murid!A204</f>
        <v/>
      </c>
      <c r="B204" s="15">
        <f>IF(Murid!B204="","",Murid!B204)</f>
        <v/>
      </c>
      <c r="C204" s="16">
        <f>IF(Murid!C204="","",Murid!C204)</f>
        <v/>
      </c>
      <c r="D204" s="15">
        <f>IF(Murid!E204="","",Murid!E204)</f>
        <v/>
      </c>
      <c r="E204" s="17">
        <f>KP!X204</f>
        <v/>
      </c>
      <c r="F204" s="17">
        <f>UB!X204</f>
        <v/>
      </c>
      <c r="G204" s="17">
        <f>SP!X204</f>
        <v/>
      </c>
      <c r="H204" s="17">
        <f>IF(COUNT(E204:G204)=0,"",ROUND((LARGE(E204:G204,1)+IF(COUNT(E204:G204)&gt;=2,LARGE(E204:G204,2),0))/2,2))</f>
        <v/>
      </c>
      <c r="I204" s="10">
        <f>Ekstra!U204</f>
        <v/>
      </c>
      <c r="J204" s="18">
        <f>IF(B204="","",IF(Murid!F204="TL","TL",IF(H204="","",MIN(100,ROUND(H204+N(I204),2)))))</f>
        <v/>
      </c>
      <c r="K204" s="19">
        <f>IF(J204="","",IF(J204="TL","TL",IF(J204&gt;=80,"A",IF(J204&gt;=60,"B",IF(J204&gt;=40,"C",IF(J204&gt;=20,"D","E"))))))</f>
        <v/>
      </c>
      <c r="L204" s="15">
        <f>IF(K204="","",IF(K204="A","Cemerlang",IF(K204="B","Kepujian",IF(K204="C","Baik",IF(K204="D","Kurang Memuaskan",IF(K204="E","Tidak Memuaskan","Tidak Laksana"))))))</f>
        <v/>
      </c>
    </row>
    <row r="205">
      <c r="A205" s="15">
        <f>Murid!A205</f>
        <v/>
      </c>
      <c r="B205" s="15">
        <f>IF(Murid!B205="","",Murid!B205)</f>
        <v/>
      </c>
      <c r="C205" s="16">
        <f>IF(Murid!C205="","",Murid!C205)</f>
        <v/>
      </c>
      <c r="D205" s="15">
        <f>IF(Murid!E205="","",Murid!E205)</f>
        <v/>
      </c>
      <c r="E205" s="17">
        <f>KP!X205</f>
        <v/>
      </c>
      <c r="F205" s="17">
        <f>UB!X205</f>
        <v/>
      </c>
      <c r="G205" s="17">
        <f>SP!X205</f>
        <v/>
      </c>
      <c r="H205" s="17">
        <f>IF(COUNT(E205:G205)=0,"",ROUND((LARGE(E205:G205,1)+IF(COUNT(E205:G205)&gt;=2,LARGE(E205:G205,2),0))/2,2))</f>
        <v/>
      </c>
      <c r="I205" s="10">
        <f>Ekstra!U205</f>
        <v/>
      </c>
      <c r="J205" s="18">
        <f>IF(B205="","",IF(Murid!F205="TL","TL",IF(H205="","",MIN(100,ROUND(H205+N(I205),2)))))</f>
        <v/>
      </c>
      <c r="K205" s="19">
        <f>IF(J205="","",IF(J205="TL","TL",IF(J205&gt;=80,"A",IF(J205&gt;=60,"B",IF(J205&gt;=40,"C",IF(J205&gt;=20,"D","E"))))))</f>
        <v/>
      </c>
      <c r="L205" s="15">
        <f>IF(K205="","",IF(K205="A","Cemerlang",IF(K205="B","Kepujian",IF(K205="C","Baik",IF(K205="D","Kurang Memuaskan",IF(K205="E","Tidak Memuaskan","Tidak Laksana"))))))</f>
        <v/>
      </c>
    </row>
    <row r="206">
      <c r="A206" s="15">
        <f>Murid!A206</f>
        <v/>
      </c>
      <c r="B206" s="15">
        <f>IF(Murid!B206="","",Murid!B206)</f>
        <v/>
      </c>
      <c r="C206" s="16">
        <f>IF(Murid!C206="","",Murid!C206)</f>
        <v/>
      </c>
      <c r="D206" s="15">
        <f>IF(Murid!E206="","",Murid!E206)</f>
        <v/>
      </c>
      <c r="E206" s="17">
        <f>KP!X206</f>
        <v/>
      </c>
      <c r="F206" s="17">
        <f>UB!X206</f>
        <v/>
      </c>
      <c r="G206" s="17">
        <f>SP!X206</f>
        <v/>
      </c>
      <c r="H206" s="17">
        <f>IF(COUNT(E206:G206)=0,"",ROUND((LARGE(E206:G206,1)+IF(COUNT(E206:G206)&gt;=2,LARGE(E206:G206,2),0))/2,2))</f>
        <v/>
      </c>
      <c r="I206" s="10">
        <f>Ekstra!U206</f>
        <v/>
      </c>
      <c r="J206" s="18">
        <f>IF(B206="","",IF(Murid!F206="TL","TL",IF(H206="","",MIN(100,ROUND(H206+N(I206),2)))))</f>
        <v/>
      </c>
      <c r="K206" s="19">
        <f>IF(J206="","",IF(J206="TL","TL",IF(J206&gt;=80,"A",IF(J206&gt;=60,"B",IF(J206&gt;=40,"C",IF(J206&gt;=20,"D","E"))))))</f>
        <v/>
      </c>
      <c r="L206" s="15">
        <f>IF(K206="","",IF(K206="A","Cemerlang",IF(K206="B","Kepujian",IF(K206="C","Baik",IF(K206="D","Kurang Memuaskan",IF(K206="E","Tidak Memuaskan","Tidak Laksana"))))))</f>
        <v/>
      </c>
    </row>
    <row r="207">
      <c r="A207" s="15">
        <f>Murid!A207</f>
        <v/>
      </c>
      <c r="B207" s="15">
        <f>IF(Murid!B207="","",Murid!B207)</f>
        <v/>
      </c>
      <c r="C207" s="16">
        <f>IF(Murid!C207="","",Murid!C207)</f>
        <v/>
      </c>
      <c r="D207" s="15">
        <f>IF(Murid!E207="","",Murid!E207)</f>
        <v/>
      </c>
      <c r="E207" s="17">
        <f>KP!X207</f>
        <v/>
      </c>
      <c r="F207" s="17">
        <f>UB!X207</f>
        <v/>
      </c>
      <c r="G207" s="17">
        <f>SP!X207</f>
        <v/>
      </c>
      <c r="H207" s="17">
        <f>IF(COUNT(E207:G207)=0,"",ROUND((LARGE(E207:G207,1)+IF(COUNT(E207:G207)&gt;=2,LARGE(E207:G207,2),0))/2,2))</f>
        <v/>
      </c>
      <c r="I207" s="10">
        <f>Ekstra!U207</f>
        <v/>
      </c>
      <c r="J207" s="18">
        <f>IF(B207="","",IF(Murid!F207="TL","TL",IF(H207="","",MIN(100,ROUND(H207+N(I207),2)))))</f>
        <v/>
      </c>
      <c r="K207" s="19">
        <f>IF(J207="","",IF(J207="TL","TL",IF(J207&gt;=80,"A",IF(J207&gt;=60,"B",IF(J207&gt;=40,"C",IF(J207&gt;=20,"D","E"))))))</f>
        <v/>
      </c>
      <c r="L207" s="15">
        <f>IF(K207="","",IF(K207="A","Cemerlang",IF(K207="B","Kepujian",IF(K207="C","Baik",IF(K207="D","Kurang Memuaskan",IF(K207="E","Tidak Memuaskan","Tidak Laksana"))))))</f>
        <v/>
      </c>
    </row>
    <row r="208">
      <c r="A208" s="15">
        <f>Murid!A208</f>
        <v/>
      </c>
      <c r="B208" s="15">
        <f>IF(Murid!B208="","",Murid!B208)</f>
        <v/>
      </c>
      <c r="C208" s="16">
        <f>IF(Murid!C208="","",Murid!C208)</f>
        <v/>
      </c>
      <c r="D208" s="15">
        <f>IF(Murid!E208="","",Murid!E208)</f>
        <v/>
      </c>
      <c r="E208" s="17">
        <f>KP!X208</f>
        <v/>
      </c>
      <c r="F208" s="17">
        <f>UB!X208</f>
        <v/>
      </c>
      <c r="G208" s="17">
        <f>SP!X208</f>
        <v/>
      </c>
      <c r="H208" s="17">
        <f>IF(COUNT(E208:G208)=0,"",ROUND((LARGE(E208:G208,1)+IF(COUNT(E208:G208)&gt;=2,LARGE(E208:G208,2),0))/2,2))</f>
        <v/>
      </c>
      <c r="I208" s="10">
        <f>Ekstra!U208</f>
        <v/>
      </c>
      <c r="J208" s="18">
        <f>IF(B208="","",IF(Murid!F208="TL","TL",IF(H208="","",MIN(100,ROUND(H208+N(I208),2)))))</f>
        <v/>
      </c>
      <c r="K208" s="19">
        <f>IF(J208="","",IF(J208="TL","TL",IF(J208&gt;=80,"A",IF(J208&gt;=60,"B",IF(J208&gt;=40,"C",IF(J208&gt;=20,"D","E"))))))</f>
        <v/>
      </c>
      <c r="L208" s="15">
        <f>IF(K208="","",IF(K208="A","Cemerlang",IF(K208="B","Kepujian",IF(K208="C","Baik",IF(K208="D","Kurang Memuaskan",IF(K208="E","Tidak Memuaskan","Tidak Laksana"))))))</f>
        <v/>
      </c>
    </row>
    <row r="209">
      <c r="A209" s="15">
        <f>Murid!A209</f>
        <v/>
      </c>
      <c r="B209" s="15">
        <f>IF(Murid!B209="","",Murid!B209)</f>
        <v/>
      </c>
      <c r="C209" s="16">
        <f>IF(Murid!C209="","",Murid!C209)</f>
        <v/>
      </c>
      <c r="D209" s="15">
        <f>IF(Murid!E209="","",Murid!E209)</f>
        <v/>
      </c>
      <c r="E209" s="17">
        <f>KP!X209</f>
        <v/>
      </c>
      <c r="F209" s="17">
        <f>UB!X209</f>
        <v/>
      </c>
      <c r="G209" s="17">
        <f>SP!X209</f>
        <v/>
      </c>
      <c r="H209" s="17">
        <f>IF(COUNT(E209:G209)=0,"",ROUND((LARGE(E209:G209,1)+IF(COUNT(E209:G209)&gt;=2,LARGE(E209:G209,2),0))/2,2))</f>
        <v/>
      </c>
      <c r="I209" s="10">
        <f>Ekstra!U209</f>
        <v/>
      </c>
      <c r="J209" s="18">
        <f>IF(B209="","",IF(Murid!F209="TL","TL",IF(H209="","",MIN(100,ROUND(H209+N(I209),2)))))</f>
        <v/>
      </c>
      <c r="K209" s="19">
        <f>IF(J209="","",IF(J209="TL","TL",IF(J209&gt;=80,"A",IF(J209&gt;=60,"B",IF(J209&gt;=40,"C",IF(J209&gt;=20,"D","E"))))))</f>
        <v/>
      </c>
      <c r="L209" s="15">
        <f>IF(K209="","",IF(K209="A","Cemerlang",IF(K209="B","Kepujian",IF(K209="C","Baik",IF(K209="D","Kurang Memuaskan",IF(K209="E","Tidak Memuaskan","Tidak Laksana"))))))</f>
        <v/>
      </c>
    </row>
    <row r="210">
      <c r="A210" s="15">
        <f>Murid!A210</f>
        <v/>
      </c>
      <c r="B210" s="15">
        <f>IF(Murid!B210="","",Murid!B210)</f>
        <v/>
      </c>
      <c r="C210" s="16">
        <f>IF(Murid!C210="","",Murid!C210)</f>
        <v/>
      </c>
      <c r="D210" s="15">
        <f>IF(Murid!E210="","",Murid!E210)</f>
        <v/>
      </c>
      <c r="E210" s="17">
        <f>KP!X210</f>
        <v/>
      </c>
      <c r="F210" s="17">
        <f>UB!X210</f>
        <v/>
      </c>
      <c r="G210" s="17">
        <f>SP!X210</f>
        <v/>
      </c>
      <c r="H210" s="17">
        <f>IF(COUNT(E210:G210)=0,"",ROUND((LARGE(E210:G210,1)+IF(COUNT(E210:G210)&gt;=2,LARGE(E210:G210,2),0))/2,2))</f>
        <v/>
      </c>
      <c r="I210" s="10">
        <f>Ekstra!U210</f>
        <v/>
      </c>
      <c r="J210" s="18">
        <f>IF(B210="","",IF(Murid!F210="TL","TL",IF(H210="","",MIN(100,ROUND(H210+N(I210),2)))))</f>
        <v/>
      </c>
      <c r="K210" s="19">
        <f>IF(J210="","",IF(J210="TL","TL",IF(J210&gt;=80,"A",IF(J210&gt;=60,"B",IF(J210&gt;=40,"C",IF(J210&gt;=20,"D","E"))))))</f>
        <v/>
      </c>
      <c r="L210" s="15">
        <f>IF(K210="","",IF(K210="A","Cemerlang",IF(K210="B","Kepujian",IF(K210="C","Baik",IF(K210="D","Kurang Memuaskan",IF(K210="E","Tidak Memuaskan","Tidak Laksana"))))))</f>
        <v/>
      </c>
    </row>
    <row r="211">
      <c r="A211" s="15">
        <f>Murid!A211</f>
        <v/>
      </c>
      <c r="B211" s="15">
        <f>IF(Murid!B211="","",Murid!B211)</f>
        <v/>
      </c>
      <c r="C211" s="16">
        <f>IF(Murid!C211="","",Murid!C211)</f>
        <v/>
      </c>
      <c r="D211" s="15">
        <f>IF(Murid!E211="","",Murid!E211)</f>
        <v/>
      </c>
      <c r="E211" s="17">
        <f>KP!X211</f>
        <v/>
      </c>
      <c r="F211" s="17">
        <f>UB!X211</f>
        <v/>
      </c>
      <c r="G211" s="17">
        <f>SP!X211</f>
        <v/>
      </c>
      <c r="H211" s="17">
        <f>IF(COUNT(E211:G211)=0,"",ROUND((LARGE(E211:G211,1)+IF(COUNT(E211:G211)&gt;=2,LARGE(E211:G211,2),0))/2,2))</f>
        <v/>
      </c>
      <c r="I211" s="10">
        <f>Ekstra!U211</f>
        <v/>
      </c>
      <c r="J211" s="18">
        <f>IF(B211="","",IF(Murid!F211="TL","TL",IF(H211="","",MIN(100,ROUND(H211+N(I211),2)))))</f>
        <v/>
      </c>
      <c r="K211" s="19">
        <f>IF(J211="","",IF(J211="TL","TL",IF(J211&gt;=80,"A",IF(J211&gt;=60,"B",IF(J211&gt;=40,"C",IF(J211&gt;=20,"D","E"))))))</f>
        <v/>
      </c>
      <c r="L211" s="15">
        <f>IF(K211="","",IF(K211="A","Cemerlang",IF(K211="B","Kepujian",IF(K211="C","Baik",IF(K211="D","Kurang Memuaskan",IF(K211="E","Tidak Memuaskan","Tidak Laksana"))))))</f>
        <v/>
      </c>
    </row>
    <row r="212">
      <c r="A212" s="15">
        <f>Murid!A212</f>
        <v/>
      </c>
      <c r="B212" s="15">
        <f>IF(Murid!B212="","",Murid!B212)</f>
        <v/>
      </c>
      <c r="C212" s="16">
        <f>IF(Murid!C212="","",Murid!C212)</f>
        <v/>
      </c>
      <c r="D212" s="15">
        <f>IF(Murid!E212="","",Murid!E212)</f>
        <v/>
      </c>
      <c r="E212" s="17">
        <f>KP!X212</f>
        <v/>
      </c>
      <c r="F212" s="17">
        <f>UB!X212</f>
        <v/>
      </c>
      <c r="G212" s="17">
        <f>SP!X212</f>
        <v/>
      </c>
      <c r="H212" s="17">
        <f>IF(COUNT(E212:G212)=0,"",ROUND((LARGE(E212:G212,1)+IF(COUNT(E212:G212)&gt;=2,LARGE(E212:G212,2),0))/2,2))</f>
        <v/>
      </c>
      <c r="I212" s="10">
        <f>Ekstra!U212</f>
        <v/>
      </c>
      <c r="J212" s="18">
        <f>IF(B212="","",IF(Murid!F212="TL","TL",IF(H212="","",MIN(100,ROUND(H212+N(I212),2)))))</f>
        <v/>
      </c>
      <c r="K212" s="19">
        <f>IF(J212="","",IF(J212="TL","TL",IF(J212&gt;=80,"A",IF(J212&gt;=60,"B",IF(J212&gt;=40,"C",IF(J212&gt;=20,"D","E"))))))</f>
        <v/>
      </c>
      <c r="L212" s="15">
        <f>IF(K212="","",IF(K212="A","Cemerlang",IF(K212="B","Kepujian",IF(K212="C","Baik",IF(K212="D","Kurang Memuaskan",IF(K212="E","Tidak Memuaskan","Tidak Laksana"))))))</f>
        <v/>
      </c>
    </row>
    <row r="213">
      <c r="A213" s="15">
        <f>Murid!A213</f>
        <v/>
      </c>
      <c r="B213" s="15">
        <f>IF(Murid!B213="","",Murid!B213)</f>
        <v/>
      </c>
      <c r="C213" s="16">
        <f>IF(Murid!C213="","",Murid!C213)</f>
        <v/>
      </c>
      <c r="D213" s="15">
        <f>IF(Murid!E213="","",Murid!E213)</f>
        <v/>
      </c>
      <c r="E213" s="17">
        <f>KP!X213</f>
        <v/>
      </c>
      <c r="F213" s="17">
        <f>UB!X213</f>
        <v/>
      </c>
      <c r="G213" s="17">
        <f>SP!X213</f>
        <v/>
      </c>
      <c r="H213" s="17">
        <f>IF(COUNT(E213:G213)=0,"",ROUND((LARGE(E213:G213,1)+IF(COUNT(E213:G213)&gt;=2,LARGE(E213:G213,2),0))/2,2))</f>
        <v/>
      </c>
      <c r="I213" s="10">
        <f>Ekstra!U213</f>
        <v/>
      </c>
      <c r="J213" s="18">
        <f>IF(B213="","",IF(Murid!F213="TL","TL",IF(H213="","",MIN(100,ROUND(H213+N(I213),2)))))</f>
        <v/>
      </c>
      <c r="K213" s="19">
        <f>IF(J213="","",IF(J213="TL","TL",IF(J213&gt;=80,"A",IF(J213&gt;=60,"B",IF(J213&gt;=40,"C",IF(J213&gt;=20,"D","E"))))))</f>
        <v/>
      </c>
      <c r="L213" s="15">
        <f>IF(K213="","",IF(K213="A","Cemerlang",IF(K213="B","Kepujian",IF(K213="C","Baik",IF(K213="D","Kurang Memuaskan",IF(K213="E","Tidak Memuaskan","Tidak Laksana"))))))</f>
        <v/>
      </c>
    </row>
    <row r="214">
      <c r="A214" s="15">
        <f>Murid!A214</f>
        <v/>
      </c>
      <c r="B214" s="15">
        <f>IF(Murid!B214="","",Murid!B214)</f>
        <v/>
      </c>
      <c r="C214" s="16">
        <f>IF(Murid!C214="","",Murid!C214)</f>
        <v/>
      </c>
      <c r="D214" s="15">
        <f>IF(Murid!E214="","",Murid!E214)</f>
        <v/>
      </c>
      <c r="E214" s="17">
        <f>KP!X214</f>
        <v/>
      </c>
      <c r="F214" s="17">
        <f>UB!X214</f>
        <v/>
      </c>
      <c r="G214" s="17">
        <f>SP!X214</f>
        <v/>
      </c>
      <c r="H214" s="17">
        <f>IF(COUNT(E214:G214)=0,"",ROUND((LARGE(E214:G214,1)+IF(COUNT(E214:G214)&gt;=2,LARGE(E214:G214,2),0))/2,2))</f>
        <v/>
      </c>
      <c r="I214" s="10">
        <f>Ekstra!U214</f>
        <v/>
      </c>
      <c r="J214" s="18">
        <f>IF(B214="","",IF(Murid!F214="TL","TL",IF(H214="","",MIN(100,ROUND(H214+N(I214),2)))))</f>
        <v/>
      </c>
      <c r="K214" s="19">
        <f>IF(J214="","",IF(J214="TL","TL",IF(J214&gt;=80,"A",IF(J214&gt;=60,"B",IF(J214&gt;=40,"C",IF(J214&gt;=20,"D","E"))))))</f>
        <v/>
      </c>
      <c r="L214" s="15">
        <f>IF(K214="","",IF(K214="A","Cemerlang",IF(K214="B","Kepujian",IF(K214="C","Baik",IF(K214="D","Kurang Memuaskan",IF(K214="E","Tidak Memuaskan","Tidak Laksana"))))))</f>
        <v/>
      </c>
    </row>
    <row r="215">
      <c r="A215" s="15">
        <f>Murid!A215</f>
        <v/>
      </c>
      <c r="B215" s="15">
        <f>IF(Murid!B215="","",Murid!B215)</f>
        <v/>
      </c>
      <c r="C215" s="16">
        <f>IF(Murid!C215="","",Murid!C215)</f>
        <v/>
      </c>
      <c r="D215" s="15">
        <f>IF(Murid!E215="","",Murid!E215)</f>
        <v/>
      </c>
      <c r="E215" s="17">
        <f>KP!X215</f>
        <v/>
      </c>
      <c r="F215" s="17">
        <f>UB!X215</f>
        <v/>
      </c>
      <c r="G215" s="17">
        <f>SP!X215</f>
        <v/>
      </c>
      <c r="H215" s="17">
        <f>IF(COUNT(E215:G215)=0,"",ROUND((LARGE(E215:G215,1)+IF(COUNT(E215:G215)&gt;=2,LARGE(E215:G215,2),0))/2,2))</f>
        <v/>
      </c>
      <c r="I215" s="10">
        <f>Ekstra!U215</f>
        <v/>
      </c>
      <c r="J215" s="18">
        <f>IF(B215="","",IF(Murid!F215="TL","TL",IF(H215="","",MIN(100,ROUND(H215+N(I215),2)))))</f>
        <v/>
      </c>
      <c r="K215" s="19">
        <f>IF(J215="","",IF(J215="TL","TL",IF(J215&gt;=80,"A",IF(J215&gt;=60,"B",IF(J215&gt;=40,"C",IF(J215&gt;=20,"D","E"))))))</f>
        <v/>
      </c>
      <c r="L215" s="15">
        <f>IF(K215="","",IF(K215="A","Cemerlang",IF(K215="B","Kepujian",IF(K215="C","Baik",IF(K215="D","Kurang Memuaskan",IF(K215="E","Tidak Memuaskan","Tidak Laksana"))))))</f>
        <v/>
      </c>
    </row>
    <row r="216">
      <c r="A216" s="15">
        <f>Murid!A216</f>
        <v/>
      </c>
      <c r="B216" s="15">
        <f>IF(Murid!B216="","",Murid!B216)</f>
        <v/>
      </c>
      <c r="C216" s="16">
        <f>IF(Murid!C216="","",Murid!C216)</f>
        <v/>
      </c>
      <c r="D216" s="15">
        <f>IF(Murid!E216="","",Murid!E216)</f>
        <v/>
      </c>
      <c r="E216" s="17">
        <f>KP!X216</f>
        <v/>
      </c>
      <c r="F216" s="17">
        <f>UB!X216</f>
        <v/>
      </c>
      <c r="G216" s="17">
        <f>SP!X216</f>
        <v/>
      </c>
      <c r="H216" s="17">
        <f>IF(COUNT(E216:G216)=0,"",ROUND((LARGE(E216:G216,1)+IF(COUNT(E216:G216)&gt;=2,LARGE(E216:G216,2),0))/2,2))</f>
        <v/>
      </c>
      <c r="I216" s="10">
        <f>Ekstra!U216</f>
        <v/>
      </c>
      <c r="J216" s="18">
        <f>IF(B216="","",IF(Murid!F216="TL","TL",IF(H216="","",MIN(100,ROUND(H216+N(I216),2)))))</f>
        <v/>
      </c>
      <c r="K216" s="19">
        <f>IF(J216="","",IF(J216="TL","TL",IF(J216&gt;=80,"A",IF(J216&gt;=60,"B",IF(J216&gt;=40,"C",IF(J216&gt;=20,"D","E"))))))</f>
        <v/>
      </c>
      <c r="L216" s="15">
        <f>IF(K216="","",IF(K216="A","Cemerlang",IF(K216="B","Kepujian",IF(K216="C","Baik",IF(K216="D","Kurang Memuaskan",IF(K216="E","Tidak Memuaskan","Tidak Laksana"))))))</f>
        <v/>
      </c>
    </row>
    <row r="217">
      <c r="A217" s="15">
        <f>Murid!A217</f>
        <v/>
      </c>
      <c r="B217" s="15">
        <f>IF(Murid!B217="","",Murid!B217)</f>
        <v/>
      </c>
      <c r="C217" s="16">
        <f>IF(Murid!C217="","",Murid!C217)</f>
        <v/>
      </c>
      <c r="D217" s="15">
        <f>IF(Murid!E217="","",Murid!E217)</f>
        <v/>
      </c>
      <c r="E217" s="17">
        <f>KP!X217</f>
        <v/>
      </c>
      <c r="F217" s="17">
        <f>UB!X217</f>
        <v/>
      </c>
      <c r="G217" s="17">
        <f>SP!X217</f>
        <v/>
      </c>
      <c r="H217" s="17">
        <f>IF(COUNT(E217:G217)=0,"",ROUND((LARGE(E217:G217,1)+IF(COUNT(E217:G217)&gt;=2,LARGE(E217:G217,2),0))/2,2))</f>
        <v/>
      </c>
      <c r="I217" s="10">
        <f>Ekstra!U217</f>
        <v/>
      </c>
      <c r="J217" s="18">
        <f>IF(B217="","",IF(Murid!F217="TL","TL",IF(H217="","",MIN(100,ROUND(H217+N(I217),2)))))</f>
        <v/>
      </c>
      <c r="K217" s="19">
        <f>IF(J217="","",IF(J217="TL","TL",IF(J217&gt;=80,"A",IF(J217&gt;=60,"B",IF(J217&gt;=40,"C",IF(J217&gt;=20,"D","E"))))))</f>
        <v/>
      </c>
      <c r="L217" s="15">
        <f>IF(K217="","",IF(K217="A","Cemerlang",IF(K217="B","Kepujian",IF(K217="C","Baik",IF(K217="D","Kurang Memuaskan",IF(K217="E","Tidak Memuaskan","Tidak Laksana"))))))</f>
        <v/>
      </c>
    </row>
    <row r="218">
      <c r="A218" s="15">
        <f>Murid!A218</f>
        <v/>
      </c>
      <c r="B218" s="15">
        <f>IF(Murid!B218="","",Murid!B218)</f>
        <v/>
      </c>
      <c r="C218" s="16">
        <f>IF(Murid!C218="","",Murid!C218)</f>
        <v/>
      </c>
      <c r="D218" s="15">
        <f>IF(Murid!E218="","",Murid!E218)</f>
        <v/>
      </c>
      <c r="E218" s="17">
        <f>KP!X218</f>
        <v/>
      </c>
      <c r="F218" s="17">
        <f>UB!X218</f>
        <v/>
      </c>
      <c r="G218" s="17">
        <f>SP!X218</f>
        <v/>
      </c>
      <c r="H218" s="17">
        <f>IF(COUNT(E218:G218)=0,"",ROUND((LARGE(E218:G218,1)+IF(COUNT(E218:G218)&gt;=2,LARGE(E218:G218,2),0))/2,2))</f>
        <v/>
      </c>
      <c r="I218" s="10">
        <f>Ekstra!U218</f>
        <v/>
      </c>
      <c r="J218" s="18">
        <f>IF(B218="","",IF(Murid!F218="TL","TL",IF(H218="","",MIN(100,ROUND(H218+N(I218),2)))))</f>
        <v/>
      </c>
      <c r="K218" s="19">
        <f>IF(J218="","",IF(J218="TL","TL",IF(J218&gt;=80,"A",IF(J218&gt;=60,"B",IF(J218&gt;=40,"C",IF(J218&gt;=20,"D","E"))))))</f>
        <v/>
      </c>
      <c r="L218" s="15">
        <f>IF(K218="","",IF(K218="A","Cemerlang",IF(K218="B","Kepujian",IF(K218="C","Baik",IF(K218="D","Kurang Memuaskan",IF(K218="E","Tidak Memuaskan","Tidak Laksana"))))))</f>
        <v/>
      </c>
    </row>
    <row r="219">
      <c r="A219" s="15">
        <f>Murid!A219</f>
        <v/>
      </c>
      <c r="B219" s="15">
        <f>IF(Murid!B219="","",Murid!B219)</f>
        <v/>
      </c>
      <c r="C219" s="16">
        <f>IF(Murid!C219="","",Murid!C219)</f>
        <v/>
      </c>
      <c r="D219" s="15">
        <f>IF(Murid!E219="","",Murid!E219)</f>
        <v/>
      </c>
      <c r="E219" s="17">
        <f>KP!X219</f>
        <v/>
      </c>
      <c r="F219" s="17">
        <f>UB!X219</f>
        <v/>
      </c>
      <c r="G219" s="17">
        <f>SP!X219</f>
        <v/>
      </c>
      <c r="H219" s="17">
        <f>IF(COUNT(E219:G219)=0,"",ROUND((LARGE(E219:G219,1)+IF(COUNT(E219:G219)&gt;=2,LARGE(E219:G219,2),0))/2,2))</f>
        <v/>
      </c>
      <c r="I219" s="10">
        <f>Ekstra!U219</f>
        <v/>
      </c>
      <c r="J219" s="18">
        <f>IF(B219="","",IF(Murid!F219="TL","TL",IF(H219="","",MIN(100,ROUND(H219+N(I219),2)))))</f>
        <v/>
      </c>
      <c r="K219" s="19">
        <f>IF(J219="","",IF(J219="TL","TL",IF(J219&gt;=80,"A",IF(J219&gt;=60,"B",IF(J219&gt;=40,"C",IF(J219&gt;=20,"D","E"))))))</f>
        <v/>
      </c>
      <c r="L219" s="15">
        <f>IF(K219="","",IF(K219="A","Cemerlang",IF(K219="B","Kepujian",IF(K219="C","Baik",IF(K219="D","Kurang Memuaskan",IF(K219="E","Tidak Memuaskan","Tidak Laksana"))))))</f>
        <v/>
      </c>
    </row>
    <row r="220">
      <c r="A220" s="15">
        <f>Murid!A220</f>
        <v/>
      </c>
      <c r="B220" s="15">
        <f>IF(Murid!B220="","",Murid!B220)</f>
        <v/>
      </c>
      <c r="C220" s="16">
        <f>IF(Murid!C220="","",Murid!C220)</f>
        <v/>
      </c>
      <c r="D220" s="15">
        <f>IF(Murid!E220="","",Murid!E220)</f>
        <v/>
      </c>
      <c r="E220" s="17">
        <f>KP!X220</f>
        <v/>
      </c>
      <c r="F220" s="17">
        <f>UB!X220</f>
        <v/>
      </c>
      <c r="G220" s="17">
        <f>SP!X220</f>
        <v/>
      </c>
      <c r="H220" s="17">
        <f>IF(COUNT(E220:G220)=0,"",ROUND((LARGE(E220:G220,1)+IF(COUNT(E220:G220)&gt;=2,LARGE(E220:G220,2),0))/2,2))</f>
        <v/>
      </c>
      <c r="I220" s="10">
        <f>Ekstra!U220</f>
        <v/>
      </c>
      <c r="J220" s="18">
        <f>IF(B220="","",IF(Murid!F220="TL","TL",IF(H220="","",MIN(100,ROUND(H220+N(I220),2)))))</f>
        <v/>
      </c>
      <c r="K220" s="19">
        <f>IF(J220="","",IF(J220="TL","TL",IF(J220&gt;=80,"A",IF(J220&gt;=60,"B",IF(J220&gt;=40,"C",IF(J220&gt;=20,"D","E"))))))</f>
        <v/>
      </c>
      <c r="L220" s="15">
        <f>IF(K220="","",IF(K220="A","Cemerlang",IF(K220="B","Kepujian",IF(K220="C","Baik",IF(K220="D","Kurang Memuaskan",IF(K220="E","Tidak Memuaskan","Tidak Laksana"))))))</f>
        <v/>
      </c>
    </row>
    <row r="221">
      <c r="A221" s="15">
        <f>Murid!A221</f>
        <v/>
      </c>
      <c r="B221" s="15">
        <f>IF(Murid!B221="","",Murid!B221)</f>
        <v/>
      </c>
      <c r="C221" s="16">
        <f>IF(Murid!C221="","",Murid!C221)</f>
        <v/>
      </c>
      <c r="D221" s="15">
        <f>IF(Murid!E221="","",Murid!E221)</f>
        <v/>
      </c>
      <c r="E221" s="17">
        <f>KP!X221</f>
        <v/>
      </c>
      <c r="F221" s="17">
        <f>UB!X221</f>
        <v/>
      </c>
      <c r="G221" s="17">
        <f>SP!X221</f>
        <v/>
      </c>
      <c r="H221" s="17">
        <f>IF(COUNT(E221:G221)=0,"",ROUND((LARGE(E221:G221,1)+IF(COUNT(E221:G221)&gt;=2,LARGE(E221:G221,2),0))/2,2))</f>
        <v/>
      </c>
      <c r="I221" s="10">
        <f>Ekstra!U221</f>
        <v/>
      </c>
      <c r="J221" s="18">
        <f>IF(B221="","",IF(Murid!F221="TL","TL",IF(H221="","",MIN(100,ROUND(H221+N(I221),2)))))</f>
        <v/>
      </c>
      <c r="K221" s="19">
        <f>IF(J221="","",IF(J221="TL","TL",IF(J221&gt;=80,"A",IF(J221&gt;=60,"B",IF(J221&gt;=40,"C",IF(J221&gt;=20,"D","E"))))))</f>
        <v/>
      </c>
      <c r="L221" s="15">
        <f>IF(K221="","",IF(K221="A","Cemerlang",IF(K221="B","Kepujian",IF(K221="C","Baik",IF(K221="D","Kurang Memuaskan",IF(K221="E","Tidak Memuaskan","Tidak Laksana"))))))</f>
        <v/>
      </c>
    </row>
    <row r="222">
      <c r="A222" s="15">
        <f>Murid!A222</f>
        <v/>
      </c>
      <c r="B222" s="15">
        <f>IF(Murid!B222="","",Murid!B222)</f>
        <v/>
      </c>
      <c r="C222" s="16">
        <f>IF(Murid!C222="","",Murid!C222)</f>
        <v/>
      </c>
      <c r="D222" s="15">
        <f>IF(Murid!E222="","",Murid!E222)</f>
        <v/>
      </c>
      <c r="E222" s="17">
        <f>KP!X222</f>
        <v/>
      </c>
      <c r="F222" s="17">
        <f>UB!X222</f>
        <v/>
      </c>
      <c r="G222" s="17">
        <f>SP!X222</f>
        <v/>
      </c>
      <c r="H222" s="17">
        <f>IF(COUNT(E222:G222)=0,"",ROUND((LARGE(E222:G222,1)+IF(COUNT(E222:G222)&gt;=2,LARGE(E222:G222,2),0))/2,2))</f>
        <v/>
      </c>
      <c r="I222" s="10">
        <f>Ekstra!U222</f>
        <v/>
      </c>
      <c r="J222" s="18">
        <f>IF(B222="","",IF(Murid!F222="TL","TL",IF(H222="","",MIN(100,ROUND(H222+N(I222),2)))))</f>
        <v/>
      </c>
      <c r="K222" s="19">
        <f>IF(J222="","",IF(J222="TL","TL",IF(J222&gt;=80,"A",IF(J222&gt;=60,"B",IF(J222&gt;=40,"C",IF(J222&gt;=20,"D","E"))))))</f>
        <v/>
      </c>
      <c r="L222" s="15">
        <f>IF(K222="","",IF(K222="A","Cemerlang",IF(K222="B","Kepujian",IF(K222="C","Baik",IF(K222="D","Kurang Memuaskan",IF(K222="E","Tidak Memuaskan","Tidak Laksana"))))))</f>
        <v/>
      </c>
    </row>
    <row r="223">
      <c r="A223" s="15">
        <f>Murid!A223</f>
        <v/>
      </c>
      <c r="B223" s="15">
        <f>IF(Murid!B223="","",Murid!B223)</f>
        <v/>
      </c>
      <c r="C223" s="16">
        <f>IF(Murid!C223="","",Murid!C223)</f>
        <v/>
      </c>
      <c r="D223" s="15">
        <f>IF(Murid!E223="","",Murid!E223)</f>
        <v/>
      </c>
      <c r="E223" s="17">
        <f>KP!X223</f>
        <v/>
      </c>
      <c r="F223" s="17">
        <f>UB!X223</f>
        <v/>
      </c>
      <c r="G223" s="17">
        <f>SP!X223</f>
        <v/>
      </c>
      <c r="H223" s="17">
        <f>IF(COUNT(E223:G223)=0,"",ROUND((LARGE(E223:G223,1)+IF(COUNT(E223:G223)&gt;=2,LARGE(E223:G223,2),0))/2,2))</f>
        <v/>
      </c>
      <c r="I223" s="10">
        <f>Ekstra!U223</f>
        <v/>
      </c>
      <c r="J223" s="18">
        <f>IF(B223="","",IF(Murid!F223="TL","TL",IF(H223="","",MIN(100,ROUND(H223+N(I223),2)))))</f>
        <v/>
      </c>
      <c r="K223" s="19">
        <f>IF(J223="","",IF(J223="TL","TL",IF(J223&gt;=80,"A",IF(J223&gt;=60,"B",IF(J223&gt;=40,"C",IF(J223&gt;=20,"D","E"))))))</f>
        <v/>
      </c>
      <c r="L223" s="15">
        <f>IF(K223="","",IF(K223="A","Cemerlang",IF(K223="B","Kepujian",IF(K223="C","Baik",IF(K223="D","Kurang Memuaskan",IF(K223="E","Tidak Memuaskan","Tidak Laksana"))))))</f>
        <v/>
      </c>
    </row>
    <row r="224">
      <c r="A224" s="15">
        <f>Murid!A224</f>
        <v/>
      </c>
      <c r="B224" s="15">
        <f>IF(Murid!B224="","",Murid!B224)</f>
        <v/>
      </c>
      <c r="C224" s="16">
        <f>IF(Murid!C224="","",Murid!C224)</f>
        <v/>
      </c>
      <c r="D224" s="15">
        <f>IF(Murid!E224="","",Murid!E224)</f>
        <v/>
      </c>
      <c r="E224" s="17">
        <f>KP!X224</f>
        <v/>
      </c>
      <c r="F224" s="17">
        <f>UB!X224</f>
        <v/>
      </c>
      <c r="G224" s="17">
        <f>SP!X224</f>
        <v/>
      </c>
      <c r="H224" s="17">
        <f>IF(COUNT(E224:G224)=0,"",ROUND((LARGE(E224:G224,1)+IF(COUNT(E224:G224)&gt;=2,LARGE(E224:G224,2),0))/2,2))</f>
        <v/>
      </c>
      <c r="I224" s="10">
        <f>Ekstra!U224</f>
        <v/>
      </c>
      <c r="J224" s="18">
        <f>IF(B224="","",IF(Murid!F224="TL","TL",IF(H224="","",MIN(100,ROUND(H224+N(I224),2)))))</f>
        <v/>
      </c>
      <c r="K224" s="19">
        <f>IF(J224="","",IF(J224="TL","TL",IF(J224&gt;=80,"A",IF(J224&gt;=60,"B",IF(J224&gt;=40,"C",IF(J224&gt;=20,"D","E"))))))</f>
        <v/>
      </c>
      <c r="L224" s="15">
        <f>IF(K224="","",IF(K224="A","Cemerlang",IF(K224="B","Kepujian",IF(K224="C","Baik",IF(K224="D","Kurang Memuaskan",IF(K224="E","Tidak Memuaskan","Tidak Laksana"))))))</f>
        <v/>
      </c>
    </row>
    <row r="225">
      <c r="A225" s="15">
        <f>Murid!A225</f>
        <v/>
      </c>
      <c r="B225" s="15">
        <f>IF(Murid!B225="","",Murid!B225)</f>
        <v/>
      </c>
      <c r="C225" s="16">
        <f>IF(Murid!C225="","",Murid!C225)</f>
        <v/>
      </c>
      <c r="D225" s="15">
        <f>IF(Murid!E225="","",Murid!E225)</f>
        <v/>
      </c>
      <c r="E225" s="17">
        <f>KP!X225</f>
        <v/>
      </c>
      <c r="F225" s="17">
        <f>UB!X225</f>
        <v/>
      </c>
      <c r="G225" s="17">
        <f>SP!X225</f>
        <v/>
      </c>
      <c r="H225" s="17">
        <f>IF(COUNT(E225:G225)=0,"",ROUND((LARGE(E225:G225,1)+IF(COUNT(E225:G225)&gt;=2,LARGE(E225:G225,2),0))/2,2))</f>
        <v/>
      </c>
      <c r="I225" s="10">
        <f>Ekstra!U225</f>
        <v/>
      </c>
      <c r="J225" s="18">
        <f>IF(B225="","",IF(Murid!F225="TL","TL",IF(H225="","",MIN(100,ROUND(H225+N(I225),2)))))</f>
        <v/>
      </c>
      <c r="K225" s="19">
        <f>IF(J225="","",IF(J225="TL","TL",IF(J225&gt;=80,"A",IF(J225&gt;=60,"B",IF(J225&gt;=40,"C",IF(J225&gt;=20,"D","E"))))))</f>
        <v/>
      </c>
      <c r="L225" s="15">
        <f>IF(K225="","",IF(K225="A","Cemerlang",IF(K225="B","Kepujian",IF(K225="C","Baik",IF(K225="D","Kurang Memuaskan",IF(K225="E","Tidak Memuaskan","Tidak Laksana"))))))</f>
        <v/>
      </c>
    </row>
    <row r="226">
      <c r="A226" s="15">
        <f>Murid!A226</f>
        <v/>
      </c>
      <c r="B226" s="15">
        <f>IF(Murid!B226="","",Murid!B226)</f>
        <v/>
      </c>
      <c r="C226" s="16">
        <f>IF(Murid!C226="","",Murid!C226)</f>
        <v/>
      </c>
      <c r="D226" s="15">
        <f>IF(Murid!E226="","",Murid!E226)</f>
        <v/>
      </c>
      <c r="E226" s="17">
        <f>KP!X226</f>
        <v/>
      </c>
      <c r="F226" s="17">
        <f>UB!X226</f>
        <v/>
      </c>
      <c r="G226" s="17">
        <f>SP!X226</f>
        <v/>
      </c>
      <c r="H226" s="17">
        <f>IF(COUNT(E226:G226)=0,"",ROUND((LARGE(E226:G226,1)+IF(COUNT(E226:G226)&gt;=2,LARGE(E226:G226,2),0))/2,2))</f>
        <v/>
      </c>
      <c r="I226" s="10">
        <f>Ekstra!U226</f>
        <v/>
      </c>
      <c r="J226" s="18">
        <f>IF(B226="","",IF(Murid!F226="TL","TL",IF(H226="","",MIN(100,ROUND(H226+N(I226),2)))))</f>
        <v/>
      </c>
      <c r="K226" s="19">
        <f>IF(J226="","",IF(J226="TL","TL",IF(J226&gt;=80,"A",IF(J226&gt;=60,"B",IF(J226&gt;=40,"C",IF(J226&gt;=20,"D","E"))))))</f>
        <v/>
      </c>
      <c r="L226" s="15">
        <f>IF(K226="","",IF(K226="A","Cemerlang",IF(K226="B","Kepujian",IF(K226="C","Baik",IF(K226="D","Kurang Memuaskan",IF(K226="E","Tidak Memuaskan","Tidak Laksana"))))))</f>
        <v/>
      </c>
    </row>
    <row r="227">
      <c r="A227" s="15">
        <f>Murid!A227</f>
        <v/>
      </c>
      <c r="B227" s="15">
        <f>IF(Murid!B227="","",Murid!B227)</f>
        <v/>
      </c>
      <c r="C227" s="16">
        <f>IF(Murid!C227="","",Murid!C227)</f>
        <v/>
      </c>
      <c r="D227" s="15">
        <f>IF(Murid!E227="","",Murid!E227)</f>
        <v/>
      </c>
      <c r="E227" s="17">
        <f>KP!X227</f>
        <v/>
      </c>
      <c r="F227" s="17">
        <f>UB!X227</f>
        <v/>
      </c>
      <c r="G227" s="17">
        <f>SP!X227</f>
        <v/>
      </c>
      <c r="H227" s="17">
        <f>IF(COUNT(E227:G227)=0,"",ROUND((LARGE(E227:G227,1)+IF(COUNT(E227:G227)&gt;=2,LARGE(E227:G227,2),0))/2,2))</f>
        <v/>
      </c>
      <c r="I227" s="10">
        <f>Ekstra!U227</f>
        <v/>
      </c>
      <c r="J227" s="18">
        <f>IF(B227="","",IF(Murid!F227="TL","TL",IF(H227="","",MIN(100,ROUND(H227+N(I227),2)))))</f>
        <v/>
      </c>
      <c r="K227" s="19">
        <f>IF(J227="","",IF(J227="TL","TL",IF(J227&gt;=80,"A",IF(J227&gt;=60,"B",IF(J227&gt;=40,"C",IF(J227&gt;=20,"D","E"))))))</f>
        <v/>
      </c>
      <c r="L227" s="15">
        <f>IF(K227="","",IF(K227="A","Cemerlang",IF(K227="B","Kepujian",IF(K227="C","Baik",IF(K227="D","Kurang Memuaskan",IF(K227="E","Tidak Memuaskan","Tidak Laksana"))))))</f>
        <v/>
      </c>
    </row>
    <row r="228">
      <c r="A228" s="15">
        <f>Murid!A228</f>
        <v/>
      </c>
      <c r="B228" s="15">
        <f>IF(Murid!B228="","",Murid!B228)</f>
        <v/>
      </c>
      <c r="C228" s="16">
        <f>IF(Murid!C228="","",Murid!C228)</f>
        <v/>
      </c>
      <c r="D228" s="15">
        <f>IF(Murid!E228="","",Murid!E228)</f>
        <v/>
      </c>
      <c r="E228" s="17">
        <f>KP!X228</f>
        <v/>
      </c>
      <c r="F228" s="17">
        <f>UB!X228</f>
        <v/>
      </c>
      <c r="G228" s="17">
        <f>SP!X228</f>
        <v/>
      </c>
      <c r="H228" s="17">
        <f>IF(COUNT(E228:G228)=0,"",ROUND((LARGE(E228:G228,1)+IF(COUNT(E228:G228)&gt;=2,LARGE(E228:G228,2),0))/2,2))</f>
        <v/>
      </c>
      <c r="I228" s="10">
        <f>Ekstra!U228</f>
        <v/>
      </c>
      <c r="J228" s="18">
        <f>IF(B228="","",IF(Murid!F228="TL","TL",IF(H228="","",MIN(100,ROUND(H228+N(I228),2)))))</f>
        <v/>
      </c>
      <c r="K228" s="19">
        <f>IF(J228="","",IF(J228="TL","TL",IF(J228&gt;=80,"A",IF(J228&gt;=60,"B",IF(J228&gt;=40,"C",IF(J228&gt;=20,"D","E"))))))</f>
        <v/>
      </c>
      <c r="L228" s="15">
        <f>IF(K228="","",IF(K228="A","Cemerlang",IF(K228="B","Kepujian",IF(K228="C","Baik",IF(K228="D","Kurang Memuaskan",IF(K228="E","Tidak Memuaskan","Tidak Laksana"))))))</f>
        <v/>
      </c>
    </row>
    <row r="229">
      <c r="A229" s="15">
        <f>Murid!A229</f>
        <v/>
      </c>
      <c r="B229" s="15">
        <f>IF(Murid!B229="","",Murid!B229)</f>
        <v/>
      </c>
      <c r="C229" s="16">
        <f>IF(Murid!C229="","",Murid!C229)</f>
        <v/>
      </c>
      <c r="D229" s="15">
        <f>IF(Murid!E229="","",Murid!E229)</f>
        <v/>
      </c>
      <c r="E229" s="17">
        <f>KP!X229</f>
        <v/>
      </c>
      <c r="F229" s="17">
        <f>UB!X229</f>
        <v/>
      </c>
      <c r="G229" s="17">
        <f>SP!X229</f>
        <v/>
      </c>
      <c r="H229" s="17">
        <f>IF(COUNT(E229:G229)=0,"",ROUND((LARGE(E229:G229,1)+IF(COUNT(E229:G229)&gt;=2,LARGE(E229:G229,2),0))/2,2))</f>
        <v/>
      </c>
      <c r="I229" s="10">
        <f>Ekstra!U229</f>
        <v/>
      </c>
      <c r="J229" s="18">
        <f>IF(B229="","",IF(Murid!F229="TL","TL",IF(H229="","",MIN(100,ROUND(H229+N(I229),2)))))</f>
        <v/>
      </c>
      <c r="K229" s="19">
        <f>IF(J229="","",IF(J229="TL","TL",IF(J229&gt;=80,"A",IF(J229&gt;=60,"B",IF(J229&gt;=40,"C",IF(J229&gt;=20,"D","E"))))))</f>
        <v/>
      </c>
      <c r="L229" s="15">
        <f>IF(K229="","",IF(K229="A","Cemerlang",IF(K229="B","Kepujian",IF(K229="C","Baik",IF(K229="D","Kurang Memuaskan",IF(K229="E","Tidak Memuaskan","Tidak Laksana"))))))</f>
        <v/>
      </c>
    </row>
    <row r="230">
      <c r="A230" s="15">
        <f>Murid!A230</f>
        <v/>
      </c>
      <c r="B230" s="15">
        <f>IF(Murid!B230="","",Murid!B230)</f>
        <v/>
      </c>
      <c r="C230" s="16">
        <f>IF(Murid!C230="","",Murid!C230)</f>
        <v/>
      </c>
      <c r="D230" s="15">
        <f>IF(Murid!E230="","",Murid!E230)</f>
        <v/>
      </c>
      <c r="E230" s="17">
        <f>KP!X230</f>
        <v/>
      </c>
      <c r="F230" s="17">
        <f>UB!X230</f>
        <v/>
      </c>
      <c r="G230" s="17">
        <f>SP!X230</f>
        <v/>
      </c>
      <c r="H230" s="17">
        <f>IF(COUNT(E230:G230)=0,"",ROUND((LARGE(E230:G230,1)+IF(COUNT(E230:G230)&gt;=2,LARGE(E230:G230,2),0))/2,2))</f>
        <v/>
      </c>
      <c r="I230" s="10">
        <f>Ekstra!U230</f>
        <v/>
      </c>
      <c r="J230" s="18">
        <f>IF(B230="","",IF(Murid!F230="TL","TL",IF(H230="","",MIN(100,ROUND(H230+N(I230),2)))))</f>
        <v/>
      </c>
      <c r="K230" s="19">
        <f>IF(J230="","",IF(J230="TL","TL",IF(J230&gt;=80,"A",IF(J230&gt;=60,"B",IF(J230&gt;=40,"C",IF(J230&gt;=20,"D","E"))))))</f>
        <v/>
      </c>
      <c r="L230" s="15">
        <f>IF(K230="","",IF(K230="A","Cemerlang",IF(K230="B","Kepujian",IF(K230="C","Baik",IF(K230="D","Kurang Memuaskan",IF(K230="E","Tidak Memuaskan","Tidak Laksana"))))))</f>
        <v/>
      </c>
    </row>
    <row r="231">
      <c r="A231" s="15">
        <f>Murid!A231</f>
        <v/>
      </c>
      <c r="B231" s="15">
        <f>IF(Murid!B231="","",Murid!B231)</f>
        <v/>
      </c>
      <c r="C231" s="16">
        <f>IF(Murid!C231="","",Murid!C231)</f>
        <v/>
      </c>
      <c r="D231" s="15">
        <f>IF(Murid!E231="","",Murid!E231)</f>
        <v/>
      </c>
      <c r="E231" s="17">
        <f>KP!X231</f>
        <v/>
      </c>
      <c r="F231" s="17">
        <f>UB!X231</f>
        <v/>
      </c>
      <c r="G231" s="17">
        <f>SP!X231</f>
        <v/>
      </c>
      <c r="H231" s="17">
        <f>IF(COUNT(E231:G231)=0,"",ROUND((LARGE(E231:G231,1)+IF(COUNT(E231:G231)&gt;=2,LARGE(E231:G231,2),0))/2,2))</f>
        <v/>
      </c>
      <c r="I231" s="10">
        <f>Ekstra!U231</f>
        <v/>
      </c>
      <c r="J231" s="18">
        <f>IF(B231="","",IF(Murid!F231="TL","TL",IF(H231="","",MIN(100,ROUND(H231+N(I231),2)))))</f>
        <v/>
      </c>
      <c r="K231" s="19">
        <f>IF(J231="","",IF(J231="TL","TL",IF(J231&gt;=80,"A",IF(J231&gt;=60,"B",IF(J231&gt;=40,"C",IF(J231&gt;=20,"D","E"))))))</f>
        <v/>
      </c>
      <c r="L231" s="15">
        <f>IF(K231="","",IF(K231="A","Cemerlang",IF(K231="B","Kepujian",IF(K231="C","Baik",IF(K231="D","Kurang Memuaskan",IF(K231="E","Tidak Memuaskan","Tidak Laksana"))))))</f>
        <v/>
      </c>
    </row>
    <row r="232">
      <c r="A232" s="15">
        <f>Murid!A232</f>
        <v/>
      </c>
      <c r="B232" s="15">
        <f>IF(Murid!B232="","",Murid!B232)</f>
        <v/>
      </c>
      <c r="C232" s="16">
        <f>IF(Murid!C232="","",Murid!C232)</f>
        <v/>
      </c>
      <c r="D232" s="15">
        <f>IF(Murid!E232="","",Murid!E232)</f>
        <v/>
      </c>
      <c r="E232" s="17">
        <f>KP!X232</f>
        <v/>
      </c>
      <c r="F232" s="17">
        <f>UB!X232</f>
        <v/>
      </c>
      <c r="G232" s="17">
        <f>SP!X232</f>
        <v/>
      </c>
      <c r="H232" s="17">
        <f>IF(COUNT(E232:G232)=0,"",ROUND((LARGE(E232:G232,1)+IF(COUNT(E232:G232)&gt;=2,LARGE(E232:G232,2),0))/2,2))</f>
        <v/>
      </c>
      <c r="I232" s="10">
        <f>Ekstra!U232</f>
        <v/>
      </c>
      <c r="J232" s="18">
        <f>IF(B232="","",IF(Murid!F232="TL","TL",IF(H232="","",MIN(100,ROUND(H232+N(I232),2)))))</f>
        <v/>
      </c>
      <c r="K232" s="19">
        <f>IF(J232="","",IF(J232="TL","TL",IF(J232&gt;=80,"A",IF(J232&gt;=60,"B",IF(J232&gt;=40,"C",IF(J232&gt;=20,"D","E"))))))</f>
        <v/>
      </c>
      <c r="L232" s="15">
        <f>IF(K232="","",IF(K232="A","Cemerlang",IF(K232="B","Kepujian",IF(K232="C","Baik",IF(K232="D","Kurang Memuaskan",IF(K232="E","Tidak Memuaskan","Tidak Laksana"))))))</f>
        <v/>
      </c>
    </row>
    <row r="233">
      <c r="A233" s="15">
        <f>Murid!A233</f>
        <v/>
      </c>
      <c r="B233" s="15">
        <f>IF(Murid!B233="","",Murid!B233)</f>
        <v/>
      </c>
      <c r="C233" s="16">
        <f>IF(Murid!C233="","",Murid!C233)</f>
        <v/>
      </c>
      <c r="D233" s="15">
        <f>IF(Murid!E233="","",Murid!E233)</f>
        <v/>
      </c>
      <c r="E233" s="17">
        <f>KP!X233</f>
        <v/>
      </c>
      <c r="F233" s="17">
        <f>UB!X233</f>
        <v/>
      </c>
      <c r="G233" s="17">
        <f>SP!X233</f>
        <v/>
      </c>
      <c r="H233" s="17">
        <f>IF(COUNT(E233:G233)=0,"",ROUND((LARGE(E233:G233,1)+IF(COUNT(E233:G233)&gt;=2,LARGE(E233:G233,2),0))/2,2))</f>
        <v/>
      </c>
      <c r="I233" s="10">
        <f>Ekstra!U233</f>
        <v/>
      </c>
      <c r="J233" s="18">
        <f>IF(B233="","",IF(Murid!F233="TL","TL",IF(H233="","",MIN(100,ROUND(H233+N(I233),2)))))</f>
        <v/>
      </c>
      <c r="K233" s="19">
        <f>IF(J233="","",IF(J233="TL","TL",IF(J233&gt;=80,"A",IF(J233&gt;=60,"B",IF(J233&gt;=40,"C",IF(J233&gt;=20,"D","E"))))))</f>
        <v/>
      </c>
      <c r="L233" s="15">
        <f>IF(K233="","",IF(K233="A","Cemerlang",IF(K233="B","Kepujian",IF(K233="C","Baik",IF(K233="D","Kurang Memuaskan",IF(K233="E","Tidak Memuaskan","Tidak Laksana"))))))</f>
        <v/>
      </c>
    </row>
    <row r="234">
      <c r="A234" s="15">
        <f>Murid!A234</f>
        <v/>
      </c>
      <c r="B234" s="15">
        <f>IF(Murid!B234="","",Murid!B234)</f>
        <v/>
      </c>
      <c r="C234" s="16">
        <f>IF(Murid!C234="","",Murid!C234)</f>
        <v/>
      </c>
      <c r="D234" s="15">
        <f>IF(Murid!E234="","",Murid!E234)</f>
        <v/>
      </c>
      <c r="E234" s="17">
        <f>KP!X234</f>
        <v/>
      </c>
      <c r="F234" s="17">
        <f>UB!X234</f>
        <v/>
      </c>
      <c r="G234" s="17">
        <f>SP!X234</f>
        <v/>
      </c>
      <c r="H234" s="17">
        <f>IF(COUNT(E234:G234)=0,"",ROUND((LARGE(E234:G234,1)+IF(COUNT(E234:G234)&gt;=2,LARGE(E234:G234,2),0))/2,2))</f>
        <v/>
      </c>
      <c r="I234" s="10">
        <f>Ekstra!U234</f>
        <v/>
      </c>
      <c r="J234" s="18">
        <f>IF(B234="","",IF(Murid!F234="TL","TL",IF(H234="","",MIN(100,ROUND(H234+N(I234),2)))))</f>
        <v/>
      </c>
      <c r="K234" s="19">
        <f>IF(J234="","",IF(J234="TL","TL",IF(J234&gt;=80,"A",IF(J234&gt;=60,"B",IF(J234&gt;=40,"C",IF(J234&gt;=20,"D","E"))))))</f>
        <v/>
      </c>
      <c r="L234" s="15">
        <f>IF(K234="","",IF(K234="A","Cemerlang",IF(K234="B","Kepujian",IF(K234="C","Baik",IF(K234="D","Kurang Memuaskan",IF(K234="E","Tidak Memuaskan","Tidak Laksana"))))))</f>
        <v/>
      </c>
    </row>
    <row r="235">
      <c r="A235" s="15">
        <f>Murid!A235</f>
        <v/>
      </c>
      <c r="B235" s="15">
        <f>IF(Murid!B235="","",Murid!B235)</f>
        <v/>
      </c>
      <c r="C235" s="16">
        <f>IF(Murid!C235="","",Murid!C235)</f>
        <v/>
      </c>
      <c r="D235" s="15">
        <f>IF(Murid!E235="","",Murid!E235)</f>
        <v/>
      </c>
      <c r="E235" s="17">
        <f>KP!X235</f>
        <v/>
      </c>
      <c r="F235" s="17">
        <f>UB!X235</f>
        <v/>
      </c>
      <c r="G235" s="17">
        <f>SP!X235</f>
        <v/>
      </c>
      <c r="H235" s="17">
        <f>IF(COUNT(E235:G235)=0,"",ROUND((LARGE(E235:G235,1)+IF(COUNT(E235:G235)&gt;=2,LARGE(E235:G235,2),0))/2,2))</f>
        <v/>
      </c>
      <c r="I235" s="10">
        <f>Ekstra!U235</f>
        <v/>
      </c>
      <c r="J235" s="18">
        <f>IF(B235="","",IF(Murid!F235="TL","TL",IF(H235="","",MIN(100,ROUND(H235+N(I235),2)))))</f>
        <v/>
      </c>
      <c r="K235" s="19">
        <f>IF(J235="","",IF(J235="TL","TL",IF(J235&gt;=80,"A",IF(J235&gt;=60,"B",IF(J235&gt;=40,"C",IF(J235&gt;=20,"D","E"))))))</f>
        <v/>
      </c>
      <c r="L235" s="15">
        <f>IF(K235="","",IF(K235="A","Cemerlang",IF(K235="B","Kepujian",IF(K235="C","Baik",IF(K235="D","Kurang Memuaskan",IF(K235="E","Tidak Memuaskan","Tidak Laksana"))))))</f>
        <v/>
      </c>
    </row>
    <row r="236">
      <c r="A236" s="15">
        <f>Murid!A236</f>
        <v/>
      </c>
      <c r="B236" s="15">
        <f>IF(Murid!B236="","",Murid!B236)</f>
        <v/>
      </c>
      <c r="C236" s="16">
        <f>IF(Murid!C236="","",Murid!C236)</f>
        <v/>
      </c>
      <c r="D236" s="15">
        <f>IF(Murid!E236="","",Murid!E236)</f>
        <v/>
      </c>
      <c r="E236" s="17">
        <f>KP!X236</f>
        <v/>
      </c>
      <c r="F236" s="17">
        <f>UB!X236</f>
        <v/>
      </c>
      <c r="G236" s="17">
        <f>SP!X236</f>
        <v/>
      </c>
      <c r="H236" s="17">
        <f>IF(COUNT(E236:G236)=0,"",ROUND((LARGE(E236:G236,1)+IF(COUNT(E236:G236)&gt;=2,LARGE(E236:G236,2),0))/2,2))</f>
        <v/>
      </c>
      <c r="I236" s="10">
        <f>Ekstra!U236</f>
        <v/>
      </c>
      <c r="J236" s="18">
        <f>IF(B236="","",IF(Murid!F236="TL","TL",IF(H236="","",MIN(100,ROUND(H236+N(I236),2)))))</f>
        <v/>
      </c>
      <c r="K236" s="19">
        <f>IF(J236="","",IF(J236="TL","TL",IF(J236&gt;=80,"A",IF(J236&gt;=60,"B",IF(J236&gt;=40,"C",IF(J236&gt;=20,"D","E"))))))</f>
        <v/>
      </c>
      <c r="L236" s="15">
        <f>IF(K236="","",IF(K236="A","Cemerlang",IF(K236="B","Kepujian",IF(K236="C","Baik",IF(K236="D","Kurang Memuaskan",IF(K236="E","Tidak Memuaskan","Tidak Laksana"))))))</f>
        <v/>
      </c>
    </row>
    <row r="237">
      <c r="A237" s="15">
        <f>Murid!A237</f>
        <v/>
      </c>
      <c r="B237" s="15">
        <f>IF(Murid!B237="","",Murid!B237)</f>
        <v/>
      </c>
      <c r="C237" s="16">
        <f>IF(Murid!C237="","",Murid!C237)</f>
        <v/>
      </c>
      <c r="D237" s="15">
        <f>IF(Murid!E237="","",Murid!E237)</f>
        <v/>
      </c>
      <c r="E237" s="17">
        <f>KP!X237</f>
        <v/>
      </c>
      <c r="F237" s="17">
        <f>UB!X237</f>
        <v/>
      </c>
      <c r="G237" s="17">
        <f>SP!X237</f>
        <v/>
      </c>
      <c r="H237" s="17">
        <f>IF(COUNT(E237:G237)=0,"",ROUND((LARGE(E237:G237,1)+IF(COUNT(E237:G237)&gt;=2,LARGE(E237:G237,2),0))/2,2))</f>
        <v/>
      </c>
      <c r="I237" s="10">
        <f>Ekstra!U237</f>
        <v/>
      </c>
      <c r="J237" s="18">
        <f>IF(B237="","",IF(Murid!F237="TL","TL",IF(H237="","",MIN(100,ROUND(H237+N(I237),2)))))</f>
        <v/>
      </c>
      <c r="K237" s="19">
        <f>IF(J237="","",IF(J237="TL","TL",IF(J237&gt;=80,"A",IF(J237&gt;=60,"B",IF(J237&gt;=40,"C",IF(J237&gt;=20,"D","E"))))))</f>
        <v/>
      </c>
      <c r="L237" s="15">
        <f>IF(K237="","",IF(K237="A","Cemerlang",IF(K237="B","Kepujian",IF(K237="C","Baik",IF(K237="D","Kurang Memuaskan",IF(K237="E","Tidak Memuaskan","Tidak Laksana"))))))</f>
        <v/>
      </c>
    </row>
    <row r="238">
      <c r="A238" s="15">
        <f>Murid!A238</f>
        <v/>
      </c>
      <c r="B238" s="15">
        <f>IF(Murid!B238="","",Murid!B238)</f>
        <v/>
      </c>
      <c r="C238" s="16">
        <f>IF(Murid!C238="","",Murid!C238)</f>
        <v/>
      </c>
      <c r="D238" s="15">
        <f>IF(Murid!E238="","",Murid!E238)</f>
        <v/>
      </c>
      <c r="E238" s="17">
        <f>KP!X238</f>
        <v/>
      </c>
      <c r="F238" s="17">
        <f>UB!X238</f>
        <v/>
      </c>
      <c r="G238" s="17">
        <f>SP!X238</f>
        <v/>
      </c>
      <c r="H238" s="17">
        <f>IF(COUNT(E238:G238)=0,"",ROUND((LARGE(E238:G238,1)+IF(COUNT(E238:G238)&gt;=2,LARGE(E238:G238,2),0))/2,2))</f>
        <v/>
      </c>
      <c r="I238" s="10">
        <f>Ekstra!U238</f>
        <v/>
      </c>
      <c r="J238" s="18">
        <f>IF(B238="","",IF(Murid!F238="TL","TL",IF(H238="","",MIN(100,ROUND(H238+N(I238),2)))))</f>
        <v/>
      </c>
      <c r="K238" s="19">
        <f>IF(J238="","",IF(J238="TL","TL",IF(J238&gt;=80,"A",IF(J238&gt;=60,"B",IF(J238&gt;=40,"C",IF(J238&gt;=20,"D","E"))))))</f>
        <v/>
      </c>
      <c r="L238" s="15">
        <f>IF(K238="","",IF(K238="A","Cemerlang",IF(K238="B","Kepujian",IF(K238="C","Baik",IF(K238="D","Kurang Memuaskan",IF(K238="E","Tidak Memuaskan","Tidak Laksana"))))))</f>
        <v/>
      </c>
    </row>
    <row r="239">
      <c r="A239" s="15">
        <f>Murid!A239</f>
        <v/>
      </c>
      <c r="B239" s="15">
        <f>IF(Murid!B239="","",Murid!B239)</f>
        <v/>
      </c>
      <c r="C239" s="16">
        <f>IF(Murid!C239="","",Murid!C239)</f>
        <v/>
      </c>
      <c r="D239" s="15">
        <f>IF(Murid!E239="","",Murid!E239)</f>
        <v/>
      </c>
      <c r="E239" s="17">
        <f>KP!X239</f>
        <v/>
      </c>
      <c r="F239" s="17">
        <f>UB!X239</f>
        <v/>
      </c>
      <c r="G239" s="17">
        <f>SP!X239</f>
        <v/>
      </c>
      <c r="H239" s="17">
        <f>IF(COUNT(E239:G239)=0,"",ROUND((LARGE(E239:G239,1)+IF(COUNT(E239:G239)&gt;=2,LARGE(E239:G239,2),0))/2,2))</f>
        <v/>
      </c>
      <c r="I239" s="10">
        <f>Ekstra!U239</f>
        <v/>
      </c>
      <c r="J239" s="18">
        <f>IF(B239="","",IF(Murid!F239="TL","TL",IF(H239="","",MIN(100,ROUND(H239+N(I239),2)))))</f>
        <v/>
      </c>
      <c r="K239" s="19">
        <f>IF(J239="","",IF(J239="TL","TL",IF(J239&gt;=80,"A",IF(J239&gt;=60,"B",IF(J239&gt;=40,"C",IF(J239&gt;=20,"D","E"))))))</f>
        <v/>
      </c>
      <c r="L239" s="15">
        <f>IF(K239="","",IF(K239="A","Cemerlang",IF(K239="B","Kepujian",IF(K239="C","Baik",IF(K239="D","Kurang Memuaskan",IF(K239="E","Tidak Memuaskan","Tidak Laksana"))))))</f>
        <v/>
      </c>
    </row>
    <row r="240">
      <c r="A240" s="15">
        <f>Murid!A240</f>
        <v/>
      </c>
      <c r="B240" s="15">
        <f>IF(Murid!B240="","",Murid!B240)</f>
        <v/>
      </c>
      <c r="C240" s="16">
        <f>IF(Murid!C240="","",Murid!C240)</f>
        <v/>
      </c>
      <c r="D240" s="15">
        <f>IF(Murid!E240="","",Murid!E240)</f>
        <v/>
      </c>
      <c r="E240" s="17">
        <f>KP!X240</f>
        <v/>
      </c>
      <c r="F240" s="17">
        <f>UB!X240</f>
        <v/>
      </c>
      <c r="G240" s="17">
        <f>SP!X240</f>
        <v/>
      </c>
      <c r="H240" s="17">
        <f>IF(COUNT(E240:G240)=0,"",ROUND((LARGE(E240:G240,1)+IF(COUNT(E240:G240)&gt;=2,LARGE(E240:G240,2),0))/2,2))</f>
        <v/>
      </c>
      <c r="I240" s="10">
        <f>Ekstra!U240</f>
        <v/>
      </c>
      <c r="J240" s="18">
        <f>IF(B240="","",IF(Murid!F240="TL","TL",IF(H240="","",MIN(100,ROUND(H240+N(I240),2)))))</f>
        <v/>
      </c>
      <c r="K240" s="19">
        <f>IF(J240="","",IF(J240="TL","TL",IF(J240&gt;=80,"A",IF(J240&gt;=60,"B",IF(J240&gt;=40,"C",IF(J240&gt;=20,"D","E"))))))</f>
        <v/>
      </c>
      <c r="L240" s="15">
        <f>IF(K240="","",IF(K240="A","Cemerlang",IF(K240="B","Kepujian",IF(K240="C","Baik",IF(K240="D","Kurang Memuaskan",IF(K240="E","Tidak Memuaskan","Tidak Laksana"))))))</f>
        <v/>
      </c>
    </row>
    <row r="241">
      <c r="A241" s="15">
        <f>Murid!A241</f>
        <v/>
      </c>
      <c r="B241" s="15">
        <f>IF(Murid!B241="","",Murid!B241)</f>
        <v/>
      </c>
      <c r="C241" s="16">
        <f>IF(Murid!C241="","",Murid!C241)</f>
        <v/>
      </c>
      <c r="D241" s="15">
        <f>IF(Murid!E241="","",Murid!E241)</f>
        <v/>
      </c>
      <c r="E241" s="17">
        <f>KP!X241</f>
        <v/>
      </c>
      <c r="F241" s="17">
        <f>UB!X241</f>
        <v/>
      </c>
      <c r="G241" s="17">
        <f>SP!X241</f>
        <v/>
      </c>
      <c r="H241" s="17">
        <f>IF(COUNT(E241:G241)=0,"",ROUND((LARGE(E241:G241,1)+IF(COUNT(E241:G241)&gt;=2,LARGE(E241:G241,2),0))/2,2))</f>
        <v/>
      </c>
      <c r="I241" s="10">
        <f>Ekstra!U241</f>
        <v/>
      </c>
      <c r="J241" s="18">
        <f>IF(B241="","",IF(Murid!F241="TL","TL",IF(H241="","",MIN(100,ROUND(H241+N(I241),2)))))</f>
        <v/>
      </c>
      <c r="K241" s="19">
        <f>IF(J241="","",IF(J241="TL","TL",IF(J241&gt;=80,"A",IF(J241&gt;=60,"B",IF(J241&gt;=40,"C",IF(J241&gt;=20,"D","E"))))))</f>
        <v/>
      </c>
      <c r="L241" s="15">
        <f>IF(K241="","",IF(K241="A","Cemerlang",IF(K241="B","Kepujian",IF(K241="C","Baik",IF(K241="D","Kurang Memuaskan",IF(K241="E","Tidak Memuaskan","Tidak Laksana"))))))</f>
        <v/>
      </c>
    </row>
    <row r="242">
      <c r="A242" s="15">
        <f>Murid!A242</f>
        <v/>
      </c>
      <c r="B242" s="15">
        <f>IF(Murid!B242="","",Murid!B242)</f>
        <v/>
      </c>
      <c r="C242" s="16">
        <f>IF(Murid!C242="","",Murid!C242)</f>
        <v/>
      </c>
      <c r="D242" s="15">
        <f>IF(Murid!E242="","",Murid!E242)</f>
        <v/>
      </c>
      <c r="E242" s="17">
        <f>KP!X242</f>
        <v/>
      </c>
      <c r="F242" s="17">
        <f>UB!X242</f>
        <v/>
      </c>
      <c r="G242" s="17">
        <f>SP!X242</f>
        <v/>
      </c>
      <c r="H242" s="17">
        <f>IF(COUNT(E242:G242)=0,"",ROUND((LARGE(E242:G242,1)+IF(COUNT(E242:G242)&gt;=2,LARGE(E242:G242,2),0))/2,2))</f>
        <v/>
      </c>
      <c r="I242" s="10">
        <f>Ekstra!U242</f>
        <v/>
      </c>
      <c r="J242" s="18">
        <f>IF(B242="","",IF(Murid!F242="TL","TL",IF(H242="","",MIN(100,ROUND(H242+N(I242),2)))))</f>
        <v/>
      </c>
      <c r="K242" s="19">
        <f>IF(J242="","",IF(J242="TL","TL",IF(J242&gt;=80,"A",IF(J242&gt;=60,"B",IF(J242&gt;=40,"C",IF(J242&gt;=20,"D","E"))))))</f>
        <v/>
      </c>
      <c r="L242" s="15">
        <f>IF(K242="","",IF(K242="A","Cemerlang",IF(K242="B","Kepujian",IF(K242="C","Baik",IF(K242="D","Kurang Memuaskan",IF(K242="E","Tidak Memuaskan","Tidak Laksana"))))))</f>
        <v/>
      </c>
    </row>
    <row r="243">
      <c r="A243" s="15">
        <f>Murid!A243</f>
        <v/>
      </c>
      <c r="B243" s="15">
        <f>IF(Murid!B243="","",Murid!B243)</f>
        <v/>
      </c>
      <c r="C243" s="16">
        <f>IF(Murid!C243="","",Murid!C243)</f>
        <v/>
      </c>
      <c r="D243" s="15">
        <f>IF(Murid!E243="","",Murid!E243)</f>
        <v/>
      </c>
      <c r="E243" s="17">
        <f>KP!X243</f>
        <v/>
      </c>
      <c r="F243" s="17">
        <f>UB!X243</f>
        <v/>
      </c>
      <c r="G243" s="17">
        <f>SP!X243</f>
        <v/>
      </c>
      <c r="H243" s="17">
        <f>IF(COUNT(E243:G243)=0,"",ROUND((LARGE(E243:G243,1)+IF(COUNT(E243:G243)&gt;=2,LARGE(E243:G243,2),0))/2,2))</f>
        <v/>
      </c>
      <c r="I243" s="10">
        <f>Ekstra!U243</f>
        <v/>
      </c>
      <c r="J243" s="18">
        <f>IF(B243="","",IF(Murid!F243="TL","TL",IF(H243="","",MIN(100,ROUND(H243+N(I243),2)))))</f>
        <v/>
      </c>
      <c r="K243" s="19">
        <f>IF(J243="","",IF(J243="TL","TL",IF(J243&gt;=80,"A",IF(J243&gt;=60,"B",IF(J243&gt;=40,"C",IF(J243&gt;=20,"D","E"))))))</f>
        <v/>
      </c>
      <c r="L243" s="15">
        <f>IF(K243="","",IF(K243="A","Cemerlang",IF(K243="B","Kepujian",IF(K243="C","Baik",IF(K243="D","Kurang Memuaskan",IF(K243="E","Tidak Memuaskan","Tidak Laksana"))))))</f>
        <v/>
      </c>
    </row>
    <row r="244">
      <c r="A244" s="15">
        <f>Murid!A244</f>
        <v/>
      </c>
      <c r="B244" s="15">
        <f>IF(Murid!B244="","",Murid!B244)</f>
        <v/>
      </c>
      <c r="C244" s="16">
        <f>IF(Murid!C244="","",Murid!C244)</f>
        <v/>
      </c>
      <c r="D244" s="15">
        <f>IF(Murid!E244="","",Murid!E244)</f>
        <v/>
      </c>
      <c r="E244" s="17">
        <f>KP!X244</f>
        <v/>
      </c>
      <c r="F244" s="17">
        <f>UB!X244</f>
        <v/>
      </c>
      <c r="G244" s="17">
        <f>SP!X244</f>
        <v/>
      </c>
      <c r="H244" s="17">
        <f>IF(COUNT(E244:G244)=0,"",ROUND((LARGE(E244:G244,1)+IF(COUNT(E244:G244)&gt;=2,LARGE(E244:G244,2),0))/2,2))</f>
        <v/>
      </c>
      <c r="I244" s="10">
        <f>Ekstra!U244</f>
        <v/>
      </c>
      <c r="J244" s="18">
        <f>IF(B244="","",IF(Murid!F244="TL","TL",IF(H244="","",MIN(100,ROUND(H244+N(I244),2)))))</f>
        <v/>
      </c>
      <c r="K244" s="19">
        <f>IF(J244="","",IF(J244="TL","TL",IF(J244&gt;=80,"A",IF(J244&gt;=60,"B",IF(J244&gt;=40,"C",IF(J244&gt;=20,"D","E"))))))</f>
        <v/>
      </c>
      <c r="L244" s="15">
        <f>IF(K244="","",IF(K244="A","Cemerlang",IF(K244="B","Kepujian",IF(K244="C","Baik",IF(K244="D","Kurang Memuaskan",IF(K244="E","Tidak Memuaskan","Tidak Laksana"))))))</f>
        <v/>
      </c>
    </row>
    <row r="245">
      <c r="A245" s="15">
        <f>Murid!A245</f>
        <v/>
      </c>
      <c r="B245" s="15">
        <f>IF(Murid!B245="","",Murid!B245)</f>
        <v/>
      </c>
      <c r="C245" s="16">
        <f>IF(Murid!C245="","",Murid!C245)</f>
        <v/>
      </c>
      <c r="D245" s="15">
        <f>IF(Murid!E245="","",Murid!E245)</f>
        <v/>
      </c>
      <c r="E245" s="17">
        <f>KP!X245</f>
        <v/>
      </c>
      <c r="F245" s="17">
        <f>UB!X245</f>
        <v/>
      </c>
      <c r="G245" s="17">
        <f>SP!X245</f>
        <v/>
      </c>
      <c r="H245" s="17">
        <f>IF(COUNT(E245:G245)=0,"",ROUND((LARGE(E245:G245,1)+IF(COUNT(E245:G245)&gt;=2,LARGE(E245:G245,2),0))/2,2))</f>
        <v/>
      </c>
      <c r="I245" s="10">
        <f>Ekstra!U245</f>
        <v/>
      </c>
      <c r="J245" s="18">
        <f>IF(B245="","",IF(Murid!F245="TL","TL",IF(H245="","",MIN(100,ROUND(H245+N(I245),2)))))</f>
        <v/>
      </c>
      <c r="K245" s="19">
        <f>IF(J245="","",IF(J245="TL","TL",IF(J245&gt;=80,"A",IF(J245&gt;=60,"B",IF(J245&gt;=40,"C",IF(J245&gt;=20,"D","E"))))))</f>
        <v/>
      </c>
      <c r="L245" s="15">
        <f>IF(K245="","",IF(K245="A","Cemerlang",IF(K245="B","Kepujian",IF(K245="C","Baik",IF(K245="D","Kurang Memuaskan",IF(K245="E","Tidak Memuaskan","Tidak Laksana"))))))</f>
        <v/>
      </c>
    </row>
    <row r="246">
      <c r="A246" s="15">
        <f>Murid!A246</f>
        <v/>
      </c>
      <c r="B246" s="15">
        <f>IF(Murid!B246="","",Murid!B246)</f>
        <v/>
      </c>
      <c r="C246" s="16">
        <f>IF(Murid!C246="","",Murid!C246)</f>
        <v/>
      </c>
      <c r="D246" s="15">
        <f>IF(Murid!E246="","",Murid!E246)</f>
        <v/>
      </c>
      <c r="E246" s="17">
        <f>KP!X246</f>
        <v/>
      </c>
      <c r="F246" s="17">
        <f>UB!X246</f>
        <v/>
      </c>
      <c r="G246" s="17">
        <f>SP!X246</f>
        <v/>
      </c>
      <c r="H246" s="17">
        <f>IF(COUNT(E246:G246)=0,"",ROUND((LARGE(E246:G246,1)+IF(COUNT(E246:G246)&gt;=2,LARGE(E246:G246,2),0))/2,2))</f>
        <v/>
      </c>
      <c r="I246" s="10">
        <f>Ekstra!U246</f>
        <v/>
      </c>
      <c r="J246" s="18">
        <f>IF(B246="","",IF(Murid!F246="TL","TL",IF(H246="","",MIN(100,ROUND(H246+N(I246),2)))))</f>
        <v/>
      </c>
      <c r="K246" s="19">
        <f>IF(J246="","",IF(J246="TL","TL",IF(J246&gt;=80,"A",IF(J246&gt;=60,"B",IF(J246&gt;=40,"C",IF(J246&gt;=20,"D","E"))))))</f>
        <v/>
      </c>
      <c r="L246" s="15">
        <f>IF(K246="","",IF(K246="A","Cemerlang",IF(K246="B","Kepujian",IF(K246="C","Baik",IF(K246="D","Kurang Memuaskan",IF(K246="E","Tidak Memuaskan","Tidak Laksana"))))))</f>
        <v/>
      </c>
    </row>
    <row r="247">
      <c r="A247" s="15">
        <f>Murid!A247</f>
        <v/>
      </c>
      <c r="B247" s="15">
        <f>IF(Murid!B247="","",Murid!B247)</f>
        <v/>
      </c>
      <c r="C247" s="16">
        <f>IF(Murid!C247="","",Murid!C247)</f>
        <v/>
      </c>
      <c r="D247" s="15">
        <f>IF(Murid!E247="","",Murid!E247)</f>
        <v/>
      </c>
      <c r="E247" s="17">
        <f>KP!X247</f>
        <v/>
      </c>
      <c r="F247" s="17">
        <f>UB!X247</f>
        <v/>
      </c>
      <c r="G247" s="17">
        <f>SP!X247</f>
        <v/>
      </c>
      <c r="H247" s="17">
        <f>IF(COUNT(E247:G247)=0,"",ROUND((LARGE(E247:G247,1)+IF(COUNT(E247:G247)&gt;=2,LARGE(E247:G247,2),0))/2,2))</f>
        <v/>
      </c>
      <c r="I247" s="10">
        <f>Ekstra!U247</f>
        <v/>
      </c>
      <c r="J247" s="18">
        <f>IF(B247="","",IF(Murid!F247="TL","TL",IF(H247="","",MIN(100,ROUND(H247+N(I247),2)))))</f>
        <v/>
      </c>
      <c r="K247" s="19">
        <f>IF(J247="","",IF(J247="TL","TL",IF(J247&gt;=80,"A",IF(J247&gt;=60,"B",IF(J247&gt;=40,"C",IF(J247&gt;=20,"D","E"))))))</f>
        <v/>
      </c>
      <c r="L247" s="15">
        <f>IF(K247="","",IF(K247="A","Cemerlang",IF(K247="B","Kepujian",IF(K247="C","Baik",IF(K247="D","Kurang Memuaskan",IF(K247="E","Tidak Memuaskan","Tidak Laksana"))))))</f>
        <v/>
      </c>
    </row>
    <row r="248">
      <c r="A248" s="15">
        <f>Murid!A248</f>
        <v/>
      </c>
      <c r="B248" s="15">
        <f>IF(Murid!B248="","",Murid!B248)</f>
        <v/>
      </c>
      <c r="C248" s="16">
        <f>IF(Murid!C248="","",Murid!C248)</f>
        <v/>
      </c>
      <c r="D248" s="15">
        <f>IF(Murid!E248="","",Murid!E248)</f>
        <v/>
      </c>
      <c r="E248" s="17">
        <f>KP!X248</f>
        <v/>
      </c>
      <c r="F248" s="17">
        <f>UB!X248</f>
        <v/>
      </c>
      <c r="G248" s="17">
        <f>SP!X248</f>
        <v/>
      </c>
      <c r="H248" s="17">
        <f>IF(COUNT(E248:G248)=0,"",ROUND((LARGE(E248:G248,1)+IF(COUNT(E248:G248)&gt;=2,LARGE(E248:G248,2),0))/2,2))</f>
        <v/>
      </c>
      <c r="I248" s="10">
        <f>Ekstra!U248</f>
        <v/>
      </c>
      <c r="J248" s="18">
        <f>IF(B248="","",IF(Murid!F248="TL","TL",IF(H248="","",MIN(100,ROUND(H248+N(I248),2)))))</f>
        <v/>
      </c>
      <c r="K248" s="19">
        <f>IF(J248="","",IF(J248="TL","TL",IF(J248&gt;=80,"A",IF(J248&gt;=60,"B",IF(J248&gt;=40,"C",IF(J248&gt;=20,"D","E"))))))</f>
        <v/>
      </c>
      <c r="L248" s="15">
        <f>IF(K248="","",IF(K248="A","Cemerlang",IF(K248="B","Kepujian",IF(K248="C","Baik",IF(K248="D","Kurang Memuaskan",IF(K248="E","Tidak Memuaskan","Tidak Laksana"))))))</f>
        <v/>
      </c>
    </row>
    <row r="249">
      <c r="A249" s="15">
        <f>Murid!A249</f>
        <v/>
      </c>
      <c r="B249" s="15">
        <f>IF(Murid!B249="","",Murid!B249)</f>
        <v/>
      </c>
      <c r="C249" s="16">
        <f>IF(Murid!C249="","",Murid!C249)</f>
        <v/>
      </c>
      <c r="D249" s="15">
        <f>IF(Murid!E249="","",Murid!E249)</f>
        <v/>
      </c>
      <c r="E249" s="17">
        <f>KP!X249</f>
        <v/>
      </c>
      <c r="F249" s="17">
        <f>UB!X249</f>
        <v/>
      </c>
      <c r="G249" s="17">
        <f>SP!X249</f>
        <v/>
      </c>
      <c r="H249" s="17">
        <f>IF(COUNT(E249:G249)=0,"",ROUND((LARGE(E249:G249,1)+IF(COUNT(E249:G249)&gt;=2,LARGE(E249:G249,2),0))/2,2))</f>
        <v/>
      </c>
      <c r="I249" s="10">
        <f>Ekstra!U249</f>
        <v/>
      </c>
      <c r="J249" s="18">
        <f>IF(B249="","",IF(Murid!F249="TL","TL",IF(H249="","",MIN(100,ROUND(H249+N(I249),2)))))</f>
        <v/>
      </c>
      <c r="K249" s="19">
        <f>IF(J249="","",IF(J249="TL","TL",IF(J249&gt;=80,"A",IF(J249&gt;=60,"B",IF(J249&gt;=40,"C",IF(J249&gt;=20,"D","E"))))))</f>
        <v/>
      </c>
      <c r="L249" s="15">
        <f>IF(K249="","",IF(K249="A","Cemerlang",IF(K249="B","Kepujian",IF(K249="C","Baik",IF(K249="D","Kurang Memuaskan",IF(K249="E","Tidak Memuaskan","Tidak Laksana"))))))</f>
        <v/>
      </c>
    </row>
    <row r="250">
      <c r="A250" s="15">
        <f>Murid!A250</f>
        <v/>
      </c>
      <c r="B250" s="15">
        <f>IF(Murid!B250="","",Murid!B250)</f>
        <v/>
      </c>
      <c r="C250" s="16">
        <f>IF(Murid!C250="","",Murid!C250)</f>
        <v/>
      </c>
      <c r="D250" s="15">
        <f>IF(Murid!E250="","",Murid!E250)</f>
        <v/>
      </c>
      <c r="E250" s="17">
        <f>KP!X250</f>
        <v/>
      </c>
      <c r="F250" s="17">
        <f>UB!X250</f>
        <v/>
      </c>
      <c r="G250" s="17">
        <f>SP!X250</f>
        <v/>
      </c>
      <c r="H250" s="17">
        <f>IF(COUNT(E250:G250)=0,"",ROUND((LARGE(E250:G250,1)+IF(COUNT(E250:G250)&gt;=2,LARGE(E250:G250,2),0))/2,2))</f>
        <v/>
      </c>
      <c r="I250" s="10">
        <f>Ekstra!U250</f>
        <v/>
      </c>
      <c r="J250" s="18">
        <f>IF(B250="","",IF(Murid!F250="TL","TL",IF(H250="","",MIN(100,ROUND(H250+N(I250),2)))))</f>
        <v/>
      </c>
      <c r="K250" s="19">
        <f>IF(J250="","",IF(J250="TL","TL",IF(J250&gt;=80,"A",IF(J250&gt;=60,"B",IF(J250&gt;=40,"C",IF(J250&gt;=20,"D","E"))))))</f>
        <v/>
      </c>
      <c r="L250" s="15">
        <f>IF(K250="","",IF(K250="A","Cemerlang",IF(K250="B","Kepujian",IF(K250="C","Baik",IF(K250="D","Kurang Memuaskan",IF(K250="E","Tidak Memuaskan","Tidak Laksana"))))))</f>
        <v/>
      </c>
    </row>
    <row r="251">
      <c r="A251" s="15">
        <f>Murid!A251</f>
        <v/>
      </c>
      <c r="B251" s="15">
        <f>IF(Murid!B251="","",Murid!B251)</f>
        <v/>
      </c>
      <c r="C251" s="16">
        <f>IF(Murid!C251="","",Murid!C251)</f>
        <v/>
      </c>
      <c r="D251" s="15">
        <f>IF(Murid!E251="","",Murid!E251)</f>
        <v/>
      </c>
      <c r="E251" s="17">
        <f>KP!X251</f>
        <v/>
      </c>
      <c r="F251" s="17">
        <f>UB!X251</f>
        <v/>
      </c>
      <c r="G251" s="17">
        <f>SP!X251</f>
        <v/>
      </c>
      <c r="H251" s="17">
        <f>IF(COUNT(E251:G251)=0,"",ROUND((LARGE(E251:G251,1)+IF(COUNT(E251:G251)&gt;=2,LARGE(E251:G251,2),0))/2,2))</f>
        <v/>
      </c>
      <c r="I251" s="10">
        <f>Ekstra!U251</f>
        <v/>
      </c>
      <c r="J251" s="18">
        <f>IF(B251="","",IF(Murid!F251="TL","TL",IF(H251="","",MIN(100,ROUND(H251+N(I251),2)))))</f>
        <v/>
      </c>
      <c r="K251" s="19">
        <f>IF(J251="","",IF(J251="TL","TL",IF(J251&gt;=80,"A",IF(J251&gt;=60,"B",IF(J251&gt;=40,"C",IF(J251&gt;=20,"D","E"))))))</f>
        <v/>
      </c>
      <c r="L251" s="15">
        <f>IF(K251="","",IF(K251="A","Cemerlang",IF(K251="B","Kepujian",IF(K251="C","Baik",IF(K251="D","Kurang Memuaskan",IF(K251="E","Tidak Memuaskan","Tidak Laksana"))))))</f>
        <v/>
      </c>
    </row>
    <row r="252">
      <c r="A252" s="15">
        <f>Murid!A252</f>
        <v/>
      </c>
      <c r="B252" s="15">
        <f>IF(Murid!B252="","",Murid!B252)</f>
        <v/>
      </c>
      <c r="C252" s="16">
        <f>IF(Murid!C252="","",Murid!C252)</f>
        <v/>
      </c>
      <c r="D252" s="15">
        <f>IF(Murid!E252="","",Murid!E252)</f>
        <v/>
      </c>
      <c r="E252" s="17">
        <f>KP!X252</f>
        <v/>
      </c>
      <c r="F252" s="17">
        <f>UB!X252</f>
        <v/>
      </c>
      <c r="G252" s="17">
        <f>SP!X252</f>
        <v/>
      </c>
      <c r="H252" s="17">
        <f>IF(COUNT(E252:G252)=0,"",ROUND((LARGE(E252:G252,1)+IF(COUNT(E252:G252)&gt;=2,LARGE(E252:G252,2),0))/2,2))</f>
        <v/>
      </c>
      <c r="I252" s="10">
        <f>Ekstra!U252</f>
        <v/>
      </c>
      <c r="J252" s="18">
        <f>IF(B252="","",IF(Murid!F252="TL","TL",IF(H252="","",MIN(100,ROUND(H252+N(I252),2)))))</f>
        <v/>
      </c>
      <c r="K252" s="19">
        <f>IF(J252="","",IF(J252="TL","TL",IF(J252&gt;=80,"A",IF(J252&gt;=60,"B",IF(J252&gt;=40,"C",IF(J252&gt;=20,"D","E"))))))</f>
        <v/>
      </c>
      <c r="L252" s="15">
        <f>IF(K252="","",IF(K252="A","Cemerlang",IF(K252="B","Kepujian",IF(K252="C","Baik",IF(K252="D","Kurang Memuaskan",IF(K252="E","Tidak Memuaskan","Tidak Laksana"))))))</f>
        <v/>
      </c>
    </row>
    <row r="253">
      <c r="A253" s="15">
        <f>Murid!A253</f>
        <v/>
      </c>
      <c r="B253" s="15">
        <f>IF(Murid!B253="","",Murid!B253)</f>
        <v/>
      </c>
      <c r="C253" s="16">
        <f>IF(Murid!C253="","",Murid!C253)</f>
        <v/>
      </c>
      <c r="D253" s="15">
        <f>IF(Murid!E253="","",Murid!E253)</f>
        <v/>
      </c>
      <c r="E253" s="17">
        <f>KP!X253</f>
        <v/>
      </c>
      <c r="F253" s="17">
        <f>UB!X253</f>
        <v/>
      </c>
      <c r="G253" s="17">
        <f>SP!X253</f>
        <v/>
      </c>
      <c r="H253" s="17">
        <f>IF(COUNT(E253:G253)=0,"",ROUND((LARGE(E253:G253,1)+IF(COUNT(E253:G253)&gt;=2,LARGE(E253:G253,2),0))/2,2))</f>
        <v/>
      </c>
      <c r="I253" s="10">
        <f>Ekstra!U253</f>
        <v/>
      </c>
      <c r="J253" s="18">
        <f>IF(B253="","",IF(Murid!F253="TL","TL",IF(H253="","",MIN(100,ROUND(H253+N(I253),2)))))</f>
        <v/>
      </c>
      <c r="K253" s="19">
        <f>IF(J253="","",IF(J253="TL","TL",IF(J253&gt;=80,"A",IF(J253&gt;=60,"B",IF(J253&gt;=40,"C",IF(J253&gt;=20,"D","E"))))))</f>
        <v/>
      </c>
      <c r="L253" s="15">
        <f>IF(K253="","",IF(K253="A","Cemerlang",IF(K253="B","Kepujian",IF(K253="C","Baik",IF(K253="D","Kurang Memuaskan",IF(K253="E","Tidak Memuaskan","Tidak Laksana"))))))</f>
        <v/>
      </c>
    </row>
    <row r="254">
      <c r="A254" s="15">
        <f>Murid!A254</f>
        <v/>
      </c>
      <c r="B254" s="15">
        <f>IF(Murid!B254="","",Murid!B254)</f>
        <v/>
      </c>
      <c r="C254" s="16">
        <f>IF(Murid!C254="","",Murid!C254)</f>
        <v/>
      </c>
      <c r="D254" s="15">
        <f>IF(Murid!E254="","",Murid!E254)</f>
        <v/>
      </c>
      <c r="E254" s="17">
        <f>KP!X254</f>
        <v/>
      </c>
      <c r="F254" s="17">
        <f>UB!X254</f>
        <v/>
      </c>
      <c r="G254" s="17">
        <f>SP!X254</f>
        <v/>
      </c>
      <c r="H254" s="17">
        <f>IF(COUNT(E254:G254)=0,"",ROUND((LARGE(E254:G254,1)+IF(COUNT(E254:G254)&gt;=2,LARGE(E254:G254,2),0))/2,2))</f>
        <v/>
      </c>
      <c r="I254" s="10">
        <f>Ekstra!U254</f>
        <v/>
      </c>
      <c r="J254" s="18">
        <f>IF(B254="","",IF(Murid!F254="TL","TL",IF(H254="","",MIN(100,ROUND(H254+N(I254),2)))))</f>
        <v/>
      </c>
      <c r="K254" s="19">
        <f>IF(J254="","",IF(J254="TL","TL",IF(J254&gt;=80,"A",IF(J254&gt;=60,"B",IF(J254&gt;=40,"C",IF(J254&gt;=20,"D","E"))))))</f>
        <v/>
      </c>
      <c r="L254" s="15">
        <f>IF(K254="","",IF(K254="A","Cemerlang",IF(K254="B","Kepujian",IF(K254="C","Baik",IF(K254="D","Kurang Memuaskan",IF(K254="E","Tidak Memuaskan","Tidak Laksana"))))))</f>
        <v/>
      </c>
    </row>
    <row r="255">
      <c r="A255" s="15">
        <f>Murid!A255</f>
        <v/>
      </c>
      <c r="B255" s="15">
        <f>IF(Murid!B255="","",Murid!B255)</f>
        <v/>
      </c>
      <c r="C255" s="16">
        <f>IF(Murid!C255="","",Murid!C255)</f>
        <v/>
      </c>
      <c r="D255" s="15">
        <f>IF(Murid!E255="","",Murid!E255)</f>
        <v/>
      </c>
      <c r="E255" s="17">
        <f>KP!X255</f>
        <v/>
      </c>
      <c r="F255" s="17">
        <f>UB!X255</f>
        <v/>
      </c>
      <c r="G255" s="17">
        <f>SP!X255</f>
        <v/>
      </c>
      <c r="H255" s="17">
        <f>IF(COUNT(E255:G255)=0,"",ROUND((LARGE(E255:G255,1)+IF(COUNT(E255:G255)&gt;=2,LARGE(E255:G255,2),0))/2,2))</f>
        <v/>
      </c>
      <c r="I255" s="10">
        <f>Ekstra!U255</f>
        <v/>
      </c>
      <c r="J255" s="18">
        <f>IF(B255="","",IF(Murid!F255="TL","TL",IF(H255="","",MIN(100,ROUND(H255+N(I255),2)))))</f>
        <v/>
      </c>
      <c r="K255" s="19">
        <f>IF(J255="","",IF(J255="TL","TL",IF(J255&gt;=80,"A",IF(J255&gt;=60,"B",IF(J255&gt;=40,"C",IF(J255&gt;=20,"D","E"))))))</f>
        <v/>
      </c>
      <c r="L255" s="15">
        <f>IF(K255="","",IF(K255="A","Cemerlang",IF(K255="B","Kepujian",IF(K255="C","Baik",IF(K255="D","Kurang Memuaskan",IF(K255="E","Tidak Memuaskan","Tidak Laksana"))))))</f>
        <v/>
      </c>
    </row>
    <row r="256">
      <c r="A256" s="15">
        <f>Murid!A256</f>
        <v/>
      </c>
      <c r="B256" s="15">
        <f>IF(Murid!B256="","",Murid!B256)</f>
        <v/>
      </c>
      <c r="C256" s="16">
        <f>IF(Murid!C256="","",Murid!C256)</f>
        <v/>
      </c>
      <c r="D256" s="15">
        <f>IF(Murid!E256="","",Murid!E256)</f>
        <v/>
      </c>
      <c r="E256" s="17">
        <f>KP!X256</f>
        <v/>
      </c>
      <c r="F256" s="17">
        <f>UB!X256</f>
        <v/>
      </c>
      <c r="G256" s="17">
        <f>SP!X256</f>
        <v/>
      </c>
      <c r="H256" s="17">
        <f>IF(COUNT(E256:G256)=0,"",ROUND((LARGE(E256:G256,1)+IF(COUNT(E256:G256)&gt;=2,LARGE(E256:G256,2),0))/2,2))</f>
        <v/>
      </c>
      <c r="I256" s="10">
        <f>Ekstra!U256</f>
        <v/>
      </c>
      <c r="J256" s="18">
        <f>IF(B256="","",IF(Murid!F256="TL","TL",IF(H256="","",MIN(100,ROUND(H256+N(I256),2)))))</f>
        <v/>
      </c>
      <c r="K256" s="19">
        <f>IF(J256="","",IF(J256="TL","TL",IF(J256&gt;=80,"A",IF(J256&gt;=60,"B",IF(J256&gt;=40,"C",IF(J256&gt;=20,"D","E"))))))</f>
        <v/>
      </c>
      <c r="L256" s="15">
        <f>IF(K256="","",IF(K256="A","Cemerlang",IF(K256="B","Kepujian",IF(K256="C","Baik",IF(K256="D","Kurang Memuaskan",IF(K256="E","Tidak Memuaskan","Tidak Laksana"))))))</f>
        <v/>
      </c>
    </row>
    <row r="257">
      <c r="A257" s="15">
        <f>Murid!A257</f>
        <v/>
      </c>
      <c r="B257" s="15">
        <f>IF(Murid!B257="","",Murid!B257)</f>
        <v/>
      </c>
      <c r="C257" s="16">
        <f>IF(Murid!C257="","",Murid!C257)</f>
        <v/>
      </c>
      <c r="D257" s="15">
        <f>IF(Murid!E257="","",Murid!E257)</f>
        <v/>
      </c>
      <c r="E257" s="17">
        <f>KP!X257</f>
        <v/>
      </c>
      <c r="F257" s="17">
        <f>UB!X257</f>
        <v/>
      </c>
      <c r="G257" s="17">
        <f>SP!X257</f>
        <v/>
      </c>
      <c r="H257" s="17">
        <f>IF(COUNT(E257:G257)=0,"",ROUND((LARGE(E257:G257,1)+IF(COUNT(E257:G257)&gt;=2,LARGE(E257:G257,2),0))/2,2))</f>
        <v/>
      </c>
      <c r="I257" s="10">
        <f>Ekstra!U257</f>
        <v/>
      </c>
      <c r="J257" s="18">
        <f>IF(B257="","",IF(Murid!F257="TL","TL",IF(H257="","",MIN(100,ROUND(H257+N(I257),2)))))</f>
        <v/>
      </c>
      <c r="K257" s="19">
        <f>IF(J257="","",IF(J257="TL","TL",IF(J257&gt;=80,"A",IF(J257&gt;=60,"B",IF(J257&gt;=40,"C",IF(J257&gt;=20,"D","E"))))))</f>
        <v/>
      </c>
      <c r="L257" s="15">
        <f>IF(K257="","",IF(K257="A","Cemerlang",IF(K257="B","Kepujian",IF(K257="C","Baik",IF(K257="D","Kurang Memuaskan",IF(K257="E","Tidak Memuaskan","Tidak Laksana"))))))</f>
        <v/>
      </c>
    </row>
    <row r="258">
      <c r="A258" s="15">
        <f>Murid!A258</f>
        <v/>
      </c>
      <c r="B258" s="15">
        <f>IF(Murid!B258="","",Murid!B258)</f>
        <v/>
      </c>
      <c r="C258" s="16">
        <f>IF(Murid!C258="","",Murid!C258)</f>
        <v/>
      </c>
      <c r="D258" s="15">
        <f>IF(Murid!E258="","",Murid!E258)</f>
        <v/>
      </c>
      <c r="E258" s="17">
        <f>KP!X258</f>
        <v/>
      </c>
      <c r="F258" s="17">
        <f>UB!X258</f>
        <v/>
      </c>
      <c r="G258" s="17">
        <f>SP!X258</f>
        <v/>
      </c>
      <c r="H258" s="17">
        <f>IF(COUNT(E258:G258)=0,"",ROUND((LARGE(E258:G258,1)+IF(COUNT(E258:G258)&gt;=2,LARGE(E258:G258,2),0))/2,2))</f>
        <v/>
      </c>
      <c r="I258" s="10">
        <f>Ekstra!U258</f>
        <v/>
      </c>
      <c r="J258" s="18">
        <f>IF(B258="","",IF(Murid!F258="TL","TL",IF(H258="","",MIN(100,ROUND(H258+N(I258),2)))))</f>
        <v/>
      </c>
      <c r="K258" s="19">
        <f>IF(J258="","",IF(J258="TL","TL",IF(J258&gt;=80,"A",IF(J258&gt;=60,"B",IF(J258&gt;=40,"C",IF(J258&gt;=20,"D","E"))))))</f>
        <v/>
      </c>
      <c r="L258" s="15">
        <f>IF(K258="","",IF(K258="A","Cemerlang",IF(K258="B","Kepujian",IF(K258="C","Baik",IF(K258="D","Kurang Memuaskan",IF(K258="E","Tidak Memuaskan","Tidak Laksana"))))))</f>
        <v/>
      </c>
    </row>
    <row r="259">
      <c r="A259" s="15">
        <f>Murid!A259</f>
        <v/>
      </c>
      <c r="B259" s="15">
        <f>IF(Murid!B259="","",Murid!B259)</f>
        <v/>
      </c>
      <c r="C259" s="16">
        <f>IF(Murid!C259="","",Murid!C259)</f>
        <v/>
      </c>
      <c r="D259" s="15">
        <f>IF(Murid!E259="","",Murid!E259)</f>
        <v/>
      </c>
      <c r="E259" s="17">
        <f>KP!X259</f>
        <v/>
      </c>
      <c r="F259" s="17">
        <f>UB!X259</f>
        <v/>
      </c>
      <c r="G259" s="17">
        <f>SP!X259</f>
        <v/>
      </c>
      <c r="H259" s="17">
        <f>IF(COUNT(E259:G259)=0,"",ROUND((LARGE(E259:G259,1)+IF(COUNT(E259:G259)&gt;=2,LARGE(E259:G259,2),0))/2,2))</f>
        <v/>
      </c>
      <c r="I259" s="10">
        <f>Ekstra!U259</f>
        <v/>
      </c>
      <c r="J259" s="18">
        <f>IF(B259="","",IF(Murid!F259="TL","TL",IF(H259="","",MIN(100,ROUND(H259+N(I259),2)))))</f>
        <v/>
      </c>
      <c r="K259" s="19">
        <f>IF(J259="","",IF(J259="TL","TL",IF(J259&gt;=80,"A",IF(J259&gt;=60,"B",IF(J259&gt;=40,"C",IF(J259&gt;=20,"D","E"))))))</f>
        <v/>
      </c>
      <c r="L259" s="15">
        <f>IF(K259="","",IF(K259="A","Cemerlang",IF(K259="B","Kepujian",IF(K259="C","Baik",IF(K259="D","Kurang Memuaskan",IF(K259="E","Tidak Memuaskan","Tidak Laksana"))))))</f>
        <v/>
      </c>
    </row>
    <row r="260">
      <c r="A260" s="15">
        <f>Murid!A260</f>
        <v/>
      </c>
      <c r="B260" s="15">
        <f>IF(Murid!B260="","",Murid!B260)</f>
        <v/>
      </c>
      <c r="C260" s="16">
        <f>IF(Murid!C260="","",Murid!C260)</f>
        <v/>
      </c>
      <c r="D260" s="15">
        <f>IF(Murid!E260="","",Murid!E260)</f>
        <v/>
      </c>
      <c r="E260" s="17">
        <f>KP!X260</f>
        <v/>
      </c>
      <c r="F260" s="17">
        <f>UB!X260</f>
        <v/>
      </c>
      <c r="G260" s="17">
        <f>SP!X260</f>
        <v/>
      </c>
      <c r="H260" s="17">
        <f>IF(COUNT(E260:G260)=0,"",ROUND((LARGE(E260:G260,1)+IF(COUNT(E260:G260)&gt;=2,LARGE(E260:G260,2),0))/2,2))</f>
        <v/>
      </c>
      <c r="I260" s="10">
        <f>Ekstra!U260</f>
        <v/>
      </c>
      <c r="J260" s="18">
        <f>IF(B260="","",IF(Murid!F260="TL","TL",IF(H260="","",MIN(100,ROUND(H260+N(I260),2)))))</f>
        <v/>
      </c>
      <c r="K260" s="19">
        <f>IF(J260="","",IF(J260="TL","TL",IF(J260&gt;=80,"A",IF(J260&gt;=60,"B",IF(J260&gt;=40,"C",IF(J260&gt;=20,"D","E"))))))</f>
        <v/>
      </c>
      <c r="L260" s="15">
        <f>IF(K260="","",IF(K260="A","Cemerlang",IF(K260="B","Kepujian",IF(K260="C","Baik",IF(K260="D","Kurang Memuaskan",IF(K260="E","Tidak Memuaskan","Tidak Laksana"))))))</f>
        <v/>
      </c>
    </row>
    <row r="261">
      <c r="A261" s="15">
        <f>Murid!A261</f>
        <v/>
      </c>
      <c r="B261" s="15">
        <f>IF(Murid!B261="","",Murid!B261)</f>
        <v/>
      </c>
      <c r="C261" s="16">
        <f>IF(Murid!C261="","",Murid!C261)</f>
        <v/>
      </c>
      <c r="D261" s="15">
        <f>IF(Murid!E261="","",Murid!E261)</f>
        <v/>
      </c>
      <c r="E261" s="17">
        <f>KP!X261</f>
        <v/>
      </c>
      <c r="F261" s="17">
        <f>UB!X261</f>
        <v/>
      </c>
      <c r="G261" s="17">
        <f>SP!X261</f>
        <v/>
      </c>
      <c r="H261" s="17">
        <f>IF(COUNT(E261:G261)=0,"",ROUND((LARGE(E261:G261,1)+IF(COUNT(E261:G261)&gt;=2,LARGE(E261:G261,2),0))/2,2))</f>
        <v/>
      </c>
      <c r="I261" s="10">
        <f>Ekstra!U261</f>
        <v/>
      </c>
      <c r="J261" s="18">
        <f>IF(B261="","",IF(Murid!F261="TL","TL",IF(H261="","",MIN(100,ROUND(H261+N(I261),2)))))</f>
        <v/>
      </c>
      <c r="K261" s="19">
        <f>IF(J261="","",IF(J261="TL","TL",IF(J261&gt;=80,"A",IF(J261&gt;=60,"B",IF(J261&gt;=40,"C",IF(J261&gt;=20,"D","E"))))))</f>
        <v/>
      </c>
      <c r="L261" s="15">
        <f>IF(K261="","",IF(K261="A","Cemerlang",IF(K261="B","Kepujian",IF(K261="C","Baik",IF(K261="D","Kurang Memuaskan",IF(K261="E","Tidak Memuaskan","Tidak Laksana"))))))</f>
        <v/>
      </c>
    </row>
    <row r="262">
      <c r="A262" s="15">
        <f>Murid!A262</f>
        <v/>
      </c>
      <c r="B262" s="15">
        <f>IF(Murid!B262="","",Murid!B262)</f>
        <v/>
      </c>
      <c r="C262" s="16">
        <f>IF(Murid!C262="","",Murid!C262)</f>
        <v/>
      </c>
      <c r="D262" s="15">
        <f>IF(Murid!E262="","",Murid!E262)</f>
        <v/>
      </c>
      <c r="E262" s="17">
        <f>KP!X262</f>
        <v/>
      </c>
      <c r="F262" s="17">
        <f>UB!X262</f>
        <v/>
      </c>
      <c r="G262" s="17">
        <f>SP!X262</f>
        <v/>
      </c>
      <c r="H262" s="17">
        <f>IF(COUNT(E262:G262)=0,"",ROUND((LARGE(E262:G262,1)+IF(COUNT(E262:G262)&gt;=2,LARGE(E262:G262,2),0))/2,2))</f>
        <v/>
      </c>
      <c r="I262" s="10">
        <f>Ekstra!U262</f>
        <v/>
      </c>
      <c r="J262" s="18">
        <f>IF(B262="","",IF(Murid!F262="TL","TL",IF(H262="","",MIN(100,ROUND(H262+N(I262),2)))))</f>
        <v/>
      </c>
      <c r="K262" s="19">
        <f>IF(J262="","",IF(J262="TL","TL",IF(J262&gt;=80,"A",IF(J262&gt;=60,"B",IF(J262&gt;=40,"C",IF(J262&gt;=20,"D","E"))))))</f>
        <v/>
      </c>
      <c r="L262" s="15">
        <f>IF(K262="","",IF(K262="A","Cemerlang",IF(K262="B","Kepujian",IF(K262="C","Baik",IF(K262="D","Kurang Memuaskan",IF(K262="E","Tidak Memuaskan","Tidak Laksana"))))))</f>
        <v/>
      </c>
    </row>
    <row r="263">
      <c r="A263" s="15">
        <f>Murid!A263</f>
        <v/>
      </c>
      <c r="B263" s="15">
        <f>IF(Murid!B263="","",Murid!B263)</f>
        <v/>
      </c>
      <c r="C263" s="16">
        <f>IF(Murid!C263="","",Murid!C263)</f>
        <v/>
      </c>
      <c r="D263" s="15">
        <f>IF(Murid!E263="","",Murid!E263)</f>
        <v/>
      </c>
      <c r="E263" s="17">
        <f>KP!X263</f>
        <v/>
      </c>
      <c r="F263" s="17">
        <f>UB!X263</f>
        <v/>
      </c>
      <c r="G263" s="17">
        <f>SP!X263</f>
        <v/>
      </c>
      <c r="H263" s="17">
        <f>IF(COUNT(E263:G263)=0,"",ROUND((LARGE(E263:G263,1)+IF(COUNT(E263:G263)&gt;=2,LARGE(E263:G263,2),0))/2,2))</f>
        <v/>
      </c>
      <c r="I263" s="10">
        <f>Ekstra!U263</f>
        <v/>
      </c>
      <c r="J263" s="18">
        <f>IF(B263="","",IF(Murid!F263="TL","TL",IF(H263="","",MIN(100,ROUND(H263+N(I263),2)))))</f>
        <v/>
      </c>
      <c r="K263" s="19">
        <f>IF(J263="","",IF(J263="TL","TL",IF(J263&gt;=80,"A",IF(J263&gt;=60,"B",IF(J263&gt;=40,"C",IF(J263&gt;=20,"D","E"))))))</f>
        <v/>
      </c>
      <c r="L263" s="15">
        <f>IF(K263="","",IF(K263="A","Cemerlang",IF(K263="B","Kepujian",IF(K263="C","Baik",IF(K263="D","Kurang Memuaskan",IF(K263="E","Tidak Memuaskan","Tidak Laksana"))))))</f>
        <v/>
      </c>
    </row>
    <row r="264">
      <c r="A264" s="15">
        <f>Murid!A264</f>
        <v/>
      </c>
      <c r="B264" s="15">
        <f>IF(Murid!B264="","",Murid!B264)</f>
        <v/>
      </c>
      <c r="C264" s="16">
        <f>IF(Murid!C264="","",Murid!C264)</f>
        <v/>
      </c>
      <c r="D264" s="15">
        <f>IF(Murid!E264="","",Murid!E264)</f>
        <v/>
      </c>
      <c r="E264" s="17">
        <f>KP!X264</f>
        <v/>
      </c>
      <c r="F264" s="17">
        <f>UB!X264</f>
        <v/>
      </c>
      <c r="G264" s="17">
        <f>SP!X264</f>
        <v/>
      </c>
      <c r="H264" s="17">
        <f>IF(COUNT(E264:G264)=0,"",ROUND((LARGE(E264:G264,1)+IF(COUNT(E264:G264)&gt;=2,LARGE(E264:G264,2),0))/2,2))</f>
        <v/>
      </c>
      <c r="I264" s="10">
        <f>Ekstra!U264</f>
        <v/>
      </c>
      <c r="J264" s="18">
        <f>IF(B264="","",IF(Murid!F264="TL","TL",IF(H264="","",MIN(100,ROUND(H264+N(I264),2)))))</f>
        <v/>
      </c>
      <c r="K264" s="19">
        <f>IF(J264="","",IF(J264="TL","TL",IF(J264&gt;=80,"A",IF(J264&gt;=60,"B",IF(J264&gt;=40,"C",IF(J264&gt;=20,"D","E"))))))</f>
        <v/>
      </c>
      <c r="L264" s="15">
        <f>IF(K264="","",IF(K264="A","Cemerlang",IF(K264="B","Kepujian",IF(K264="C","Baik",IF(K264="D","Kurang Memuaskan",IF(K264="E","Tidak Memuaskan","Tidak Laksana"))))))</f>
        <v/>
      </c>
    </row>
    <row r="265">
      <c r="A265" s="15">
        <f>Murid!A265</f>
        <v/>
      </c>
      <c r="B265" s="15">
        <f>IF(Murid!B265="","",Murid!B265)</f>
        <v/>
      </c>
      <c r="C265" s="16">
        <f>IF(Murid!C265="","",Murid!C265)</f>
        <v/>
      </c>
      <c r="D265" s="15">
        <f>IF(Murid!E265="","",Murid!E265)</f>
        <v/>
      </c>
      <c r="E265" s="17">
        <f>KP!X265</f>
        <v/>
      </c>
      <c r="F265" s="17">
        <f>UB!X265</f>
        <v/>
      </c>
      <c r="G265" s="17">
        <f>SP!X265</f>
        <v/>
      </c>
      <c r="H265" s="17">
        <f>IF(COUNT(E265:G265)=0,"",ROUND((LARGE(E265:G265,1)+IF(COUNT(E265:G265)&gt;=2,LARGE(E265:G265,2),0))/2,2))</f>
        <v/>
      </c>
      <c r="I265" s="10">
        <f>Ekstra!U265</f>
        <v/>
      </c>
      <c r="J265" s="18">
        <f>IF(B265="","",IF(Murid!F265="TL","TL",IF(H265="","",MIN(100,ROUND(H265+N(I265),2)))))</f>
        <v/>
      </c>
      <c r="K265" s="19">
        <f>IF(J265="","",IF(J265="TL","TL",IF(J265&gt;=80,"A",IF(J265&gt;=60,"B",IF(J265&gt;=40,"C",IF(J265&gt;=20,"D","E"))))))</f>
        <v/>
      </c>
      <c r="L265" s="15">
        <f>IF(K265="","",IF(K265="A","Cemerlang",IF(K265="B","Kepujian",IF(K265="C","Baik",IF(K265="D","Kurang Memuaskan",IF(K265="E","Tidak Memuaskan","Tidak Laksana"))))))</f>
        <v/>
      </c>
    </row>
    <row r="266">
      <c r="A266" s="15">
        <f>Murid!A266</f>
        <v/>
      </c>
      <c r="B266" s="15">
        <f>IF(Murid!B266="","",Murid!B266)</f>
        <v/>
      </c>
      <c r="C266" s="16">
        <f>IF(Murid!C266="","",Murid!C266)</f>
        <v/>
      </c>
      <c r="D266" s="15">
        <f>IF(Murid!E266="","",Murid!E266)</f>
        <v/>
      </c>
      <c r="E266" s="17">
        <f>KP!X266</f>
        <v/>
      </c>
      <c r="F266" s="17">
        <f>UB!X266</f>
        <v/>
      </c>
      <c r="G266" s="17">
        <f>SP!X266</f>
        <v/>
      </c>
      <c r="H266" s="17">
        <f>IF(COUNT(E266:G266)=0,"",ROUND((LARGE(E266:G266,1)+IF(COUNT(E266:G266)&gt;=2,LARGE(E266:G266,2),0))/2,2))</f>
        <v/>
      </c>
      <c r="I266" s="10">
        <f>Ekstra!U266</f>
        <v/>
      </c>
      <c r="J266" s="18">
        <f>IF(B266="","",IF(Murid!F266="TL","TL",IF(H266="","",MIN(100,ROUND(H266+N(I266),2)))))</f>
        <v/>
      </c>
      <c r="K266" s="19">
        <f>IF(J266="","",IF(J266="TL","TL",IF(J266&gt;=80,"A",IF(J266&gt;=60,"B",IF(J266&gt;=40,"C",IF(J266&gt;=20,"D","E"))))))</f>
        <v/>
      </c>
      <c r="L266" s="15">
        <f>IF(K266="","",IF(K266="A","Cemerlang",IF(K266="B","Kepujian",IF(K266="C","Baik",IF(K266="D","Kurang Memuaskan",IF(K266="E","Tidak Memuaskan","Tidak Laksana"))))))</f>
        <v/>
      </c>
    </row>
    <row r="267">
      <c r="A267" s="15">
        <f>Murid!A267</f>
        <v/>
      </c>
      <c r="B267" s="15">
        <f>IF(Murid!B267="","",Murid!B267)</f>
        <v/>
      </c>
      <c r="C267" s="16">
        <f>IF(Murid!C267="","",Murid!C267)</f>
        <v/>
      </c>
      <c r="D267" s="15">
        <f>IF(Murid!E267="","",Murid!E267)</f>
        <v/>
      </c>
      <c r="E267" s="17">
        <f>KP!X267</f>
        <v/>
      </c>
      <c r="F267" s="17">
        <f>UB!X267</f>
        <v/>
      </c>
      <c r="G267" s="17">
        <f>SP!X267</f>
        <v/>
      </c>
      <c r="H267" s="17">
        <f>IF(COUNT(E267:G267)=0,"",ROUND((LARGE(E267:G267,1)+IF(COUNT(E267:G267)&gt;=2,LARGE(E267:G267,2),0))/2,2))</f>
        <v/>
      </c>
      <c r="I267" s="10">
        <f>Ekstra!U267</f>
        <v/>
      </c>
      <c r="J267" s="18">
        <f>IF(B267="","",IF(Murid!F267="TL","TL",IF(H267="","",MIN(100,ROUND(H267+N(I267),2)))))</f>
        <v/>
      </c>
      <c r="K267" s="19">
        <f>IF(J267="","",IF(J267="TL","TL",IF(J267&gt;=80,"A",IF(J267&gt;=60,"B",IF(J267&gt;=40,"C",IF(J267&gt;=20,"D","E"))))))</f>
        <v/>
      </c>
      <c r="L267" s="15">
        <f>IF(K267="","",IF(K267="A","Cemerlang",IF(K267="B","Kepujian",IF(K267="C","Baik",IF(K267="D","Kurang Memuaskan",IF(K267="E","Tidak Memuaskan","Tidak Laksana"))))))</f>
        <v/>
      </c>
    </row>
    <row r="268">
      <c r="A268" s="15">
        <f>Murid!A268</f>
        <v/>
      </c>
      <c r="B268" s="15">
        <f>IF(Murid!B268="","",Murid!B268)</f>
        <v/>
      </c>
      <c r="C268" s="16">
        <f>IF(Murid!C268="","",Murid!C268)</f>
        <v/>
      </c>
      <c r="D268" s="15">
        <f>IF(Murid!E268="","",Murid!E268)</f>
        <v/>
      </c>
      <c r="E268" s="17">
        <f>KP!X268</f>
        <v/>
      </c>
      <c r="F268" s="17">
        <f>UB!X268</f>
        <v/>
      </c>
      <c r="G268" s="17">
        <f>SP!X268</f>
        <v/>
      </c>
      <c r="H268" s="17">
        <f>IF(COUNT(E268:G268)=0,"",ROUND((LARGE(E268:G268,1)+IF(COUNT(E268:G268)&gt;=2,LARGE(E268:G268,2),0))/2,2))</f>
        <v/>
      </c>
      <c r="I268" s="10">
        <f>Ekstra!U268</f>
        <v/>
      </c>
      <c r="J268" s="18">
        <f>IF(B268="","",IF(Murid!F268="TL","TL",IF(H268="","",MIN(100,ROUND(H268+N(I268),2)))))</f>
        <v/>
      </c>
      <c r="K268" s="19">
        <f>IF(J268="","",IF(J268="TL","TL",IF(J268&gt;=80,"A",IF(J268&gt;=60,"B",IF(J268&gt;=40,"C",IF(J268&gt;=20,"D","E"))))))</f>
        <v/>
      </c>
      <c r="L268" s="15">
        <f>IF(K268="","",IF(K268="A","Cemerlang",IF(K268="B","Kepujian",IF(K268="C","Baik",IF(K268="D","Kurang Memuaskan",IF(K268="E","Tidak Memuaskan","Tidak Laksana"))))))</f>
        <v/>
      </c>
    </row>
    <row r="269">
      <c r="A269" s="15">
        <f>Murid!A269</f>
        <v/>
      </c>
      <c r="B269" s="15">
        <f>IF(Murid!B269="","",Murid!B269)</f>
        <v/>
      </c>
      <c r="C269" s="16">
        <f>IF(Murid!C269="","",Murid!C269)</f>
        <v/>
      </c>
      <c r="D269" s="15">
        <f>IF(Murid!E269="","",Murid!E269)</f>
        <v/>
      </c>
      <c r="E269" s="17">
        <f>KP!X269</f>
        <v/>
      </c>
      <c r="F269" s="17">
        <f>UB!X269</f>
        <v/>
      </c>
      <c r="G269" s="17">
        <f>SP!X269</f>
        <v/>
      </c>
      <c r="H269" s="17">
        <f>IF(COUNT(E269:G269)=0,"",ROUND((LARGE(E269:G269,1)+IF(COUNT(E269:G269)&gt;=2,LARGE(E269:G269,2),0))/2,2))</f>
        <v/>
      </c>
      <c r="I269" s="10">
        <f>Ekstra!U269</f>
        <v/>
      </c>
      <c r="J269" s="18">
        <f>IF(B269="","",IF(Murid!F269="TL","TL",IF(H269="","",MIN(100,ROUND(H269+N(I269),2)))))</f>
        <v/>
      </c>
      <c r="K269" s="19">
        <f>IF(J269="","",IF(J269="TL","TL",IF(J269&gt;=80,"A",IF(J269&gt;=60,"B",IF(J269&gt;=40,"C",IF(J269&gt;=20,"D","E"))))))</f>
        <v/>
      </c>
      <c r="L269" s="15">
        <f>IF(K269="","",IF(K269="A","Cemerlang",IF(K269="B","Kepujian",IF(K269="C","Baik",IF(K269="D","Kurang Memuaskan",IF(K269="E","Tidak Memuaskan","Tidak Laksana"))))))</f>
        <v/>
      </c>
    </row>
    <row r="270">
      <c r="A270" s="15">
        <f>Murid!A270</f>
        <v/>
      </c>
      <c r="B270" s="15">
        <f>IF(Murid!B270="","",Murid!B270)</f>
        <v/>
      </c>
      <c r="C270" s="16">
        <f>IF(Murid!C270="","",Murid!C270)</f>
        <v/>
      </c>
      <c r="D270" s="15">
        <f>IF(Murid!E270="","",Murid!E270)</f>
        <v/>
      </c>
      <c r="E270" s="17">
        <f>KP!X270</f>
        <v/>
      </c>
      <c r="F270" s="17">
        <f>UB!X270</f>
        <v/>
      </c>
      <c r="G270" s="17">
        <f>SP!X270</f>
        <v/>
      </c>
      <c r="H270" s="17">
        <f>IF(COUNT(E270:G270)=0,"",ROUND((LARGE(E270:G270,1)+IF(COUNT(E270:G270)&gt;=2,LARGE(E270:G270,2),0))/2,2))</f>
        <v/>
      </c>
      <c r="I270" s="10">
        <f>Ekstra!U270</f>
        <v/>
      </c>
      <c r="J270" s="18">
        <f>IF(B270="","",IF(Murid!F270="TL","TL",IF(H270="","",MIN(100,ROUND(H270+N(I270),2)))))</f>
        <v/>
      </c>
      <c r="K270" s="19">
        <f>IF(J270="","",IF(J270="TL","TL",IF(J270&gt;=80,"A",IF(J270&gt;=60,"B",IF(J270&gt;=40,"C",IF(J270&gt;=20,"D","E"))))))</f>
        <v/>
      </c>
      <c r="L270" s="15">
        <f>IF(K270="","",IF(K270="A","Cemerlang",IF(K270="B","Kepujian",IF(K270="C","Baik",IF(K270="D","Kurang Memuaskan",IF(K270="E","Tidak Memuaskan","Tidak Laksana"))))))</f>
        <v/>
      </c>
    </row>
    <row r="271">
      <c r="A271" s="15">
        <f>Murid!A271</f>
        <v/>
      </c>
      <c r="B271" s="15">
        <f>IF(Murid!B271="","",Murid!B271)</f>
        <v/>
      </c>
      <c r="C271" s="16">
        <f>IF(Murid!C271="","",Murid!C271)</f>
        <v/>
      </c>
      <c r="D271" s="15">
        <f>IF(Murid!E271="","",Murid!E271)</f>
        <v/>
      </c>
      <c r="E271" s="17">
        <f>KP!X271</f>
        <v/>
      </c>
      <c r="F271" s="17">
        <f>UB!X271</f>
        <v/>
      </c>
      <c r="G271" s="17">
        <f>SP!X271</f>
        <v/>
      </c>
      <c r="H271" s="17">
        <f>IF(COUNT(E271:G271)=0,"",ROUND((LARGE(E271:G271,1)+IF(COUNT(E271:G271)&gt;=2,LARGE(E271:G271,2),0))/2,2))</f>
        <v/>
      </c>
      <c r="I271" s="10">
        <f>Ekstra!U271</f>
        <v/>
      </c>
      <c r="J271" s="18">
        <f>IF(B271="","",IF(Murid!F271="TL","TL",IF(H271="","",MIN(100,ROUND(H271+N(I271),2)))))</f>
        <v/>
      </c>
      <c r="K271" s="19">
        <f>IF(J271="","",IF(J271="TL","TL",IF(J271&gt;=80,"A",IF(J271&gt;=60,"B",IF(J271&gt;=40,"C",IF(J271&gt;=20,"D","E"))))))</f>
        <v/>
      </c>
      <c r="L271" s="15">
        <f>IF(K271="","",IF(K271="A","Cemerlang",IF(K271="B","Kepujian",IF(K271="C","Baik",IF(K271="D","Kurang Memuaskan",IF(K271="E","Tidak Memuaskan","Tidak Laksana"))))))</f>
        <v/>
      </c>
    </row>
    <row r="272">
      <c r="A272" s="15">
        <f>Murid!A272</f>
        <v/>
      </c>
      <c r="B272" s="15">
        <f>IF(Murid!B272="","",Murid!B272)</f>
        <v/>
      </c>
      <c r="C272" s="16">
        <f>IF(Murid!C272="","",Murid!C272)</f>
        <v/>
      </c>
      <c r="D272" s="15">
        <f>IF(Murid!E272="","",Murid!E272)</f>
        <v/>
      </c>
      <c r="E272" s="17">
        <f>KP!X272</f>
        <v/>
      </c>
      <c r="F272" s="17">
        <f>UB!X272</f>
        <v/>
      </c>
      <c r="G272" s="17">
        <f>SP!X272</f>
        <v/>
      </c>
      <c r="H272" s="17">
        <f>IF(COUNT(E272:G272)=0,"",ROUND((LARGE(E272:G272,1)+IF(COUNT(E272:G272)&gt;=2,LARGE(E272:G272,2),0))/2,2))</f>
        <v/>
      </c>
      <c r="I272" s="10">
        <f>Ekstra!U272</f>
        <v/>
      </c>
      <c r="J272" s="18">
        <f>IF(B272="","",IF(Murid!F272="TL","TL",IF(H272="","",MIN(100,ROUND(H272+N(I272),2)))))</f>
        <v/>
      </c>
      <c r="K272" s="19">
        <f>IF(J272="","",IF(J272="TL","TL",IF(J272&gt;=80,"A",IF(J272&gt;=60,"B",IF(J272&gt;=40,"C",IF(J272&gt;=20,"D","E"))))))</f>
        <v/>
      </c>
      <c r="L272" s="15">
        <f>IF(K272="","",IF(K272="A","Cemerlang",IF(K272="B","Kepujian",IF(K272="C","Baik",IF(K272="D","Kurang Memuaskan",IF(K272="E","Tidak Memuaskan","Tidak Laksana"))))))</f>
        <v/>
      </c>
    </row>
    <row r="273">
      <c r="A273" s="15">
        <f>Murid!A273</f>
        <v/>
      </c>
      <c r="B273" s="15">
        <f>IF(Murid!B273="","",Murid!B273)</f>
        <v/>
      </c>
      <c r="C273" s="16">
        <f>IF(Murid!C273="","",Murid!C273)</f>
        <v/>
      </c>
      <c r="D273" s="15">
        <f>IF(Murid!E273="","",Murid!E273)</f>
        <v/>
      </c>
      <c r="E273" s="17">
        <f>KP!X273</f>
        <v/>
      </c>
      <c r="F273" s="17">
        <f>UB!X273</f>
        <v/>
      </c>
      <c r="G273" s="17">
        <f>SP!X273</f>
        <v/>
      </c>
      <c r="H273" s="17">
        <f>IF(COUNT(E273:G273)=0,"",ROUND((LARGE(E273:G273,1)+IF(COUNT(E273:G273)&gt;=2,LARGE(E273:G273,2),0))/2,2))</f>
        <v/>
      </c>
      <c r="I273" s="10">
        <f>Ekstra!U273</f>
        <v/>
      </c>
      <c r="J273" s="18">
        <f>IF(B273="","",IF(Murid!F273="TL","TL",IF(H273="","",MIN(100,ROUND(H273+N(I273),2)))))</f>
        <v/>
      </c>
      <c r="K273" s="19">
        <f>IF(J273="","",IF(J273="TL","TL",IF(J273&gt;=80,"A",IF(J273&gt;=60,"B",IF(J273&gt;=40,"C",IF(J273&gt;=20,"D","E"))))))</f>
        <v/>
      </c>
      <c r="L273" s="15">
        <f>IF(K273="","",IF(K273="A","Cemerlang",IF(K273="B","Kepujian",IF(K273="C","Baik",IF(K273="D","Kurang Memuaskan",IF(K273="E","Tidak Memuaskan","Tidak Laksana"))))))</f>
        <v/>
      </c>
    </row>
    <row r="274">
      <c r="A274" s="15">
        <f>Murid!A274</f>
        <v/>
      </c>
      <c r="B274" s="15">
        <f>IF(Murid!B274="","",Murid!B274)</f>
        <v/>
      </c>
      <c r="C274" s="16">
        <f>IF(Murid!C274="","",Murid!C274)</f>
        <v/>
      </c>
      <c r="D274" s="15">
        <f>IF(Murid!E274="","",Murid!E274)</f>
        <v/>
      </c>
      <c r="E274" s="17">
        <f>KP!X274</f>
        <v/>
      </c>
      <c r="F274" s="17">
        <f>UB!X274</f>
        <v/>
      </c>
      <c r="G274" s="17">
        <f>SP!X274</f>
        <v/>
      </c>
      <c r="H274" s="17">
        <f>IF(COUNT(E274:G274)=0,"",ROUND((LARGE(E274:G274,1)+IF(COUNT(E274:G274)&gt;=2,LARGE(E274:G274,2),0))/2,2))</f>
        <v/>
      </c>
      <c r="I274" s="10">
        <f>Ekstra!U274</f>
        <v/>
      </c>
      <c r="J274" s="18">
        <f>IF(B274="","",IF(Murid!F274="TL","TL",IF(H274="","",MIN(100,ROUND(H274+N(I274),2)))))</f>
        <v/>
      </c>
      <c r="K274" s="19">
        <f>IF(J274="","",IF(J274="TL","TL",IF(J274&gt;=80,"A",IF(J274&gt;=60,"B",IF(J274&gt;=40,"C",IF(J274&gt;=20,"D","E"))))))</f>
        <v/>
      </c>
      <c r="L274" s="15">
        <f>IF(K274="","",IF(K274="A","Cemerlang",IF(K274="B","Kepujian",IF(K274="C","Baik",IF(K274="D","Kurang Memuaskan",IF(K274="E","Tidak Memuaskan","Tidak Laksana"))))))</f>
        <v/>
      </c>
    </row>
    <row r="275">
      <c r="A275" s="15">
        <f>Murid!A275</f>
        <v/>
      </c>
      <c r="B275" s="15">
        <f>IF(Murid!B275="","",Murid!B275)</f>
        <v/>
      </c>
      <c r="C275" s="16">
        <f>IF(Murid!C275="","",Murid!C275)</f>
        <v/>
      </c>
      <c r="D275" s="15">
        <f>IF(Murid!E275="","",Murid!E275)</f>
        <v/>
      </c>
      <c r="E275" s="17">
        <f>KP!X275</f>
        <v/>
      </c>
      <c r="F275" s="17">
        <f>UB!X275</f>
        <v/>
      </c>
      <c r="G275" s="17">
        <f>SP!X275</f>
        <v/>
      </c>
      <c r="H275" s="17">
        <f>IF(COUNT(E275:G275)=0,"",ROUND((LARGE(E275:G275,1)+IF(COUNT(E275:G275)&gt;=2,LARGE(E275:G275,2),0))/2,2))</f>
        <v/>
      </c>
      <c r="I275" s="10">
        <f>Ekstra!U275</f>
        <v/>
      </c>
      <c r="J275" s="18">
        <f>IF(B275="","",IF(Murid!F275="TL","TL",IF(H275="","",MIN(100,ROUND(H275+N(I275),2)))))</f>
        <v/>
      </c>
      <c r="K275" s="19">
        <f>IF(J275="","",IF(J275="TL","TL",IF(J275&gt;=80,"A",IF(J275&gt;=60,"B",IF(J275&gt;=40,"C",IF(J275&gt;=20,"D","E"))))))</f>
        <v/>
      </c>
      <c r="L275" s="15">
        <f>IF(K275="","",IF(K275="A","Cemerlang",IF(K275="B","Kepujian",IF(K275="C","Baik",IF(K275="D","Kurang Memuaskan",IF(K275="E","Tidak Memuaskan","Tidak Laksana"))))))</f>
        <v/>
      </c>
    </row>
    <row r="276">
      <c r="A276" s="15">
        <f>Murid!A276</f>
        <v/>
      </c>
      <c r="B276" s="15">
        <f>IF(Murid!B276="","",Murid!B276)</f>
        <v/>
      </c>
      <c r="C276" s="16">
        <f>IF(Murid!C276="","",Murid!C276)</f>
        <v/>
      </c>
      <c r="D276" s="15">
        <f>IF(Murid!E276="","",Murid!E276)</f>
        <v/>
      </c>
      <c r="E276" s="17">
        <f>KP!X276</f>
        <v/>
      </c>
      <c r="F276" s="17">
        <f>UB!X276</f>
        <v/>
      </c>
      <c r="G276" s="17">
        <f>SP!X276</f>
        <v/>
      </c>
      <c r="H276" s="17">
        <f>IF(COUNT(E276:G276)=0,"",ROUND((LARGE(E276:G276,1)+IF(COUNT(E276:G276)&gt;=2,LARGE(E276:G276,2),0))/2,2))</f>
        <v/>
      </c>
      <c r="I276" s="10">
        <f>Ekstra!U276</f>
        <v/>
      </c>
      <c r="J276" s="18">
        <f>IF(B276="","",IF(Murid!F276="TL","TL",IF(H276="","",MIN(100,ROUND(H276+N(I276),2)))))</f>
        <v/>
      </c>
      <c r="K276" s="19">
        <f>IF(J276="","",IF(J276="TL","TL",IF(J276&gt;=80,"A",IF(J276&gt;=60,"B",IF(J276&gt;=40,"C",IF(J276&gt;=20,"D","E"))))))</f>
        <v/>
      </c>
      <c r="L276" s="15">
        <f>IF(K276="","",IF(K276="A","Cemerlang",IF(K276="B","Kepujian",IF(K276="C","Baik",IF(K276="D","Kurang Memuaskan",IF(K276="E","Tidak Memuaskan","Tidak Laksana"))))))</f>
        <v/>
      </c>
    </row>
    <row r="277">
      <c r="A277" s="15">
        <f>Murid!A277</f>
        <v/>
      </c>
      <c r="B277" s="15">
        <f>IF(Murid!B277="","",Murid!B277)</f>
        <v/>
      </c>
      <c r="C277" s="16">
        <f>IF(Murid!C277="","",Murid!C277)</f>
        <v/>
      </c>
      <c r="D277" s="15">
        <f>IF(Murid!E277="","",Murid!E277)</f>
        <v/>
      </c>
      <c r="E277" s="17">
        <f>KP!X277</f>
        <v/>
      </c>
      <c r="F277" s="17">
        <f>UB!X277</f>
        <v/>
      </c>
      <c r="G277" s="17">
        <f>SP!X277</f>
        <v/>
      </c>
      <c r="H277" s="17">
        <f>IF(COUNT(E277:G277)=0,"",ROUND((LARGE(E277:G277,1)+IF(COUNT(E277:G277)&gt;=2,LARGE(E277:G277,2),0))/2,2))</f>
        <v/>
      </c>
      <c r="I277" s="10">
        <f>Ekstra!U277</f>
        <v/>
      </c>
      <c r="J277" s="18">
        <f>IF(B277="","",IF(Murid!F277="TL","TL",IF(H277="","",MIN(100,ROUND(H277+N(I277),2)))))</f>
        <v/>
      </c>
      <c r="K277" s="19">
        <f>IF(J277="","",IF(J277="TL","TL",IF(J277&gt;=80,"A",IF(J277&gt;=60,"B",IF(J277&gt;=40,"C",IF(J277&gt;=20,"D","E"))))))</f>
        <v/>
      </c>
      <c r="L277" s="15">
        <f>IF(K277="","",IF(K277="A","Cemerlang",IF(K277="B","Kepujian",IF(K277="C","Baik",IF(K277="D","Kurang Memuaskan",IF(K277="E","Tidak Memuaskan","Tidak Laksana"))))))</f>
        <v/>
      </c>
    </row>
    <row r="278">
      <c r="A278" s="15">
        <f>Murid!A278</f>
        <v/>
      </c>
      <c r="B278" s="15">
        <f>IF(Murid!B278="","",Murid!B278)</f>
        <v/>
      </c>
      <c r="C278" s="16">
        <f>IF(Murid!C278="","",Murid!C278)</f>
        <v/>
      </c>
      <c r="D278" s="15">
        <f>IF(Murid!E278="","",Murid!E278)</f>
        <v/>
      </c>
      <c r="E278" s="17">
        <f>KP!X278</f>
        <v/>
      </c>
      <c r="F278" s="17">
        <f>UB!X278</f>
        <v/>
      </c>
      <c r="G278" s="17">
        <f>SP!X278</f>
        <v/>
      </c>
      <c r="H278" s="17">
        <f>IF(COUNT(E278:G278)=0,"",ROUND((LARGE(E278:G278,1)+IF(COUNT(E278:G278)&gt;=2,LARGE(E278:G278,2),0))/2,2))</f>
        <v/>
      </c>
      <c r="I278" s="10">
        <f>Ekstra!U278</f>
        <v/>
      </c>
      <c r="J278" s="18">
        <f>IF(B278="","",IF(Murid!F278="TL","TL",IF(H278="","",MIN(100,ROUND(H278+N(I278),2)))))</f>
        <v/>
      </c>
      <c r="K278" s="19">
        <f>IF(J278="","",IF(J278="TL","TL",IF(J278&gt;=80,"A",IF(J278&gt;=60,"B",IF(J278&gt;=40,"C",IF(J278&gt;=20,"D","E"))))))</f>
        <v/>
      </c>
      <c r="L278" s="15">
        <f>IF(K278="","",IF(K278="A","Cemerlang",IF(K278="B","Kepujian",IF(K278="C","Baik",IF(K278="D","Kurang Memuaskan",IF(K278="E","Tidak Memuaskan","Tidak Laksana"))))))</f>
        <v/>
      </c>
    </row>
    <row r="279">
      <c r="A279" s="15">
        <f>Murid!A279</f>
        <v/>
      </c>
      <c r="B279" s="15">
        <f>IF(Murid!B279="","",Murid!B279)</f>
        <v/>
      </c>
      <c r="C279" s="16">
        <f>IF(Murid!C279="","",Murid!C279)</f>
        <v/>
      </c>
      <c r="D279" s="15">
        <f>IF(Murid!E279="","",Murid!E279)</f>
        <v/>
      </c>
      <c r="E279" s="17">
        <f>KP!X279</f>
        <v/>
      </c>
      <c r="F279" s="17">
        <f>UB!X279</f>
        <v/>
      </c>
      <c r="G279" s="17">
        <f>SP!X279</f>
        <v/>
      </c>
      <c r="H279" s="17">
        <f>IF(COUNT(E279:G279)=0,"",ROUND((LARGE(E279:G279,1)+IF(COUNT(E279:G279)&gt;=2,LARGE(E279:G279,2),0))/2,2))</f>
        <v/>
      </c>
      <c r="I279" s="10">
        <f>Ekstra!U279</f>
        <v/>
      </c>
      <c r="J279" s="18">
        <f>IF(B279="","",IF(Murid!F279="TL","TL",IF(H279="","",MIN(100,ROUND(H279+N(I279),2)))))</f>
        <v/>
      </c>
      <c r="K279" s="19">
        <f>IF(J279="","",IF(J279="TL","TL",IF(J279&gt;=80,"A",IF(J279&gt;=60,"B",IF(J279&gt;=40,"C",IF(J279&gt;=20,"D","E"))))))</f>
        <v/>
      </c>
      <c r="L279" s="15">
        <f>IF(K279="","",IF(K279="A","Cemerlang",IF(K279="B","Kepujian",IF(K279="C","Baik",IF(K279="D","Kurang Memuaskan",IF(K279="E","Tidak Memuaskan","Tidak Laksana"))))))</f>
        <v/>
      </c>
    </row>
    <row r="280">
      <c r="A280" s="15">
        <f>Murid!A280</f>
        <v/>
      </c>
      <c r="B280" s="15">
        <f>IF(Murid!B280="","",Murid!B280)</f>
        <v/>
      </c>
      <c r="C280" s="16">
        <f>IF(Murid!C280="","",Murid!C280)</f>
        <v/>
      </c>
      <c r="D280" s="15">
        <f>IF(Murid!E280="","",Murid!E280)</f>
        <v/>
      </c>
      <c r="E280" s="17">
        <f>KP!X280</f>
        <v/>
      </c>
      <c r="F280" s="17">
        <f>UB!X280</f>
        <v/>
      </c>
      <c r="G280" s="17">
        <f>SP!X280</f>
        <v/>
      </c>
      <c r="H280" s="17">
        <f>IF(COUNT(E280:G280)=0,"",ROUND((LARGE(E280:G280,1)+IF(COUNT(E280:G280)&gt;=2,LARGE(E280:G280,2),0))/2,2))</f>
        <v/>
      </c>
      <c r="I280" s="10">
        <f>Ekstra!U280</f>
        <v/>
      </c>
      <c r="J280" s="18">
        <f>IF(B280="","",IF(Murid!F280="TL","TL",IF(H280="","",MIN(100,ROUND(H280+N(I280),2)))))</f>
        <v/>
      </c>
      <c r="K280" s="19">
        <f>IF(J280="","",IF(J280="TL","TL",IF(J280&gt;=80,"A",IF(J280&gt;=60,"B",IF(J280&gt;=40,"C",IF(J280&gt;=20,"D","E"))))))</f>
        <v/>
      </c>
      <c r="L280" s="15">
        <f>IF(K280="","",IF(K280="A","Cemerlang",IF(K280="B","Kepujian",IF(K280="C","Baik",IF(K280="D","Kurang Memuaskan",IF(K280="E","Tidak Memuaskan","Tidak Laksana"))))))</f>
        <v/>
      </c>
    </row>
    <row r="281">
      <c r="A281" s="15">
        <f>Murid!A281</f>
        <v/>
      </c>
      <c r="B281" s="15">
        <f>IF(Murid!B281="","",Murid!B281)</f>
        <v/>
      </c>
      <c r="C281" s="16">
        <f>IF(Murid!C281="","",Murid!C281)</f>
        <v/>
      </c>
      <c r="D281" s="15">
        <f>IF(Murid!E281="","",Murid!E281)</f>
        <v/>
      </c>
      <c r="E281" s="17">
        <f>KP!X281</f>
        <v/>
      </c>
      <c r="F281" s="17">
        <f>UB!X281</f>
        <v/>
      </c>
      <c r="G281" s="17">
        <f>SP!X281</f>
        <v/>
      </c>
      <c r="H281" s="17">
        <f>IF(COUNT(E281:G281)=0,"",ROUND((LARGE(E281:G281,1)+IF(COUNT(E281:G281)&gt;=2,LARGE(E281:G281,2),0))/2,2))</f>
        <v/>
      </c>
      <c r="I281" s="10">
        <f>Ekstra!U281</f>
        <v/>
      </c>
      <c r="J281" s="18">
        <f>IF(B281="","",IF(Murid!F281="TL","TL",IF(H281="","",MIN(100,ROUND(H281+N(I281),2)))))</f>
        <v/>
      </c>
      <c r="K281" s="19">
        <f>IF(J281="","",IF(J281="TL","TL",IF(J281&gt;=80,"A",IF(J281&gt;=60,"B",IF(J281&gt;=40,"C",IF(J281&gt;=20,"D","E"))))))</f>
        <v/>
      </c>
      <c r="L281" s="15">
        <f>IF(K281="","",IF(K281="A","Cemerlang",IF(K281="B","Kepujian",IF(K281="C","Baik",IF(K281="D","Kurang Memuaskan",IF(K281="E","Tidak Memuaskan","Tidak Laksana"))))))</f>
        <v/>
      </c>
    </row>
    <row r="282">
      <c r="A282" s="15">
        <f>Murid!A282</f>
        <v/>
      </c>
      <c r="B282" s="15">
        <f>IF(Murid!B282="","",Murid!B282)</f>
        <v/>
      </c>
      <c r="C282" s="16">
        <f>IF(Murid!C282="","",Murid!C282)</f>
        <v/>
      </c>
      <c r="D282" s="15">
        <f>IF(Murid!E282="","",Murid!E282)</f>
        <v/>
      </c>
      <c r="E282" s="17">
        <f>KP!X282</f>
        <v/>
      </c>
      <c r="F282" s="17">
        <f>UB!X282</f>
        <v/>
      </c>
      <c r="G282" s="17">
        <f>SP!X282</f>
        <v/>
      </c>
      <c r="H282" s="17">
        <f>IF(COUNT(E282:G282)=0,"",ROUND((LARGE(E282:G282,1)+IF(COUNT(E282:G282)&gt;=2,LARGE(E282:G282,2),0))/2,2))</f>
        <v/>
      </c>
      <c r="I282" s="10">
        <f>Ekstra!U282</f>
        <v/>
      </c>
      <c r="J282" s="18">
        <f>IF(B282="","",IF(Murid!F282="TL","TL",IF(H282="","",MIN(100,ROUND(H282+N(I282),2)))))</f>
        <v/>
      </c>
      <c r="K282" s="19">
        <f>IF(J282="","",IF(J282="TL","TL",IF(J282&gt;=80,"A",IF(J282&gt;=60,"B",IF(J282&gt;=40,"C",IF(J282&gt;=20,"D","E"))))))</f>
        <v/>
      </c>
      <c r="L282" s="15">
        <f>IF(K282="","",IF(K282="A","Cemerlang",IF(K282="B","Kepujian",IF(K282="C","Baik",IF(K282="D","Kurang Memuaskan",IF(K282="E","Tidak Memuaskan","Tidak Laksana"))))))</f>
        <v/>
      </c>
    </row>
    <row r="283">
      <c r="A283" s="15">
        <f>Murid!A283</f>
        <v/>
      </c>
      <c r="B283" s="15">
        <f>IF(Murid!B283="","",Murid!B283)</f>
        <v/>
      </c>
      <c r="C283" s="16">
        <f>IF(Murid!C283="","",Murid!C283)</f>
        <v/>
      </c>
      <c r="D283" s="15">
        <f>IF(Murid!E283="","",Murid!E283)</f>
        <v/>
      </c>
      <c r="E283" s="17">
        <f>KP!X283</f>
        <v/>
      </c>
      <c r="F283" s="17">
        <f>UB!X283</f>
        <v/>
      </c>
      <c r="G283" s="17">
        <f>SP!X283</f>
        <v/>
      </c>
      <c r="H283" s="17">
        <f>IF(COUNT(E283:G283)=0,"",ROUND((LARGE(E283:G283,1)+IF(COUNT(E283:G283)&gt;=2,LARGE(E283:G283,2),0))/2,2))</f>
        <v/>
      </c>
      <c r="I283" s="10">
        <f>Ekstra!U283</f>
        <v/>
      </c>
      <c r="J283" s="18">
        <f>IF(B283="","",IF(Murid!F283="TL","TL",IF(H283="","",MIN(100,ROUND(H283+N(I283),2)))))</f>
        <v/>
      </c>
      <c r="K283" s="19">
        <f>IF(J283="","",IF(J283="TL","TL",IF(J283&gt;=80,"A",IF(J283&gt;=60,"B",IF(J283&gt;=40,"C",IF(J283&gt;=20,"D","E"))))))</f>
        <v/>
      </c>
      <c r="L283" s="15">
        <f>IF(K283="","",IF(K283="A","Cemerlang",IF(K283="B","Kepujian",IF(K283="C","Baik",IF(K283="D","Kurang Memuaskan",IF(K283="E","Tidak Memuaskan","Tidak Laksana"))))))</f>
        <v/>
      </c>
    </row>
    <row r="284">
      <c r="A284" s="15">
        <f>Murid!A284</f>
        <v/>
      </c>
      <c r="B284" s="15">
        <f>IF(Murid!B284="","",Murid!B284)</f>
        <v/>
      </c>
      <c r="C284" s="16">
        <f>IF(Murid!C284="","",Murid!C284)</f>
        <v/>
      </c>
      <c r="D284" s="15">
        <f>IF(Murid!E284="","",Murid!E284)</f>
        <v/>
      </c>
      <c r="E284" s="17">
        <f>KP!X284</f>
        <v/>
      </c>
      <c r="F284" s="17">
        <f>UB!X284</f>
        <v/>
      </c>
      <c r="G284" s="17">
        <f>SP!X284</f>
        <v/>
      </c>
      <c r="H284" s="17">
        <f>IF(COUNT(E284:G284)=0,"",ROUND((LARGE(E284:G284,1)+IF(COUNT(E284:G284)&gt;=2,LARGE(E284:G284,2),0))/2,2))</f>
        <v/>
      </c>
      <c r="I284" s="10">
        <f>Ekstra!U284</f>
        <v/>
      </c>
      <c r="J284" s="18">
        <f>IF(B284="","",IF(Murid!F284="TL","TL",IF(H284="","",MIN(100,ROUND(H284+N(I284),2)))))</f>
        <v/>
      </c>
      <c r="K284" s="19">
        <f>IF(J284="","",IF(J284="TL","TL",IF(J284&gt;=80,"A",IF(J284&gt;=60,"B",IF(J284&gt;=40,"C",IF(J284&gt;=20,"D","E"))))))</f>
        <v/>
      </c>
      <c r="L284" s="15">
        <f>IF(K284="","",IF(K284="A","Cemerlang",IF(K284="B","Kepujian",IF(K284="C","Baik",IF(K284="D","Kurang Memuaskan",IF(K284="E","Tidak Memuaskan","Tidak Laksana"))))))</f>
        <v/>
      </c>
    </row>
    <row r="285">
      <c r="A285" s="15">
        <f>Murid!A285</f>
        <v/>
      </c>
      <c r="B285" s="15">
        <f>IF(Murid!B285="","",Murid!B285)</f>
        <v/>
      </c>
      <c r="C285" s="16">
        <f>IF(Murid!C285="","",Murid!C285)</f>
        <v/>
      </c>
      <c r="D285" s="15">
        <f>IF(Murid!E285="","",Murid!E285)</f>
        <v/>
      </c>
      <c r="E285" s="17">
        <f>KP!X285</f>
        <v/>
      </c>
      <c r="F285" s="17">
        <f>UB!X285</f>
        <v/>
      </c>
      <c r="G285" s="17">
        <f>SP!X285</f>
        <v/>
      </c>
      <c r="H285" s="17">
        <f>IF(COUNT(E285:G285)=0,"",ROUND((LARGE(E285:G285,1)+IF(COUNT(E285:G285)&gt;=2,LARGE(E285:G285,2),0))/2,2))</f>
        <v/>
      </c>
      <c r="I285" s="10">
        <f>Ekstra!U285</f>
        <v/>
      </c>
      <c r="J285" s="18">
        <f>IF(B285="","",IF(Murid!F285="TL","TL",IF(H285="","",MIN(100,ROUND(H285+N(I285),2)))))</f>
        <v/>
      </c>
      <c r="K285" s="19">
        <f>IF(J285="","",IF(J285="TL","TL",IF(J285&gt;=80,"A",IF(J285&gt;=60,"B",IF(J285&gt;=40,"C",IF(J285&gt;=20,"D","E"))))))</f>
        <v/>
      </c>
      <c r="L285" s="15">
        <f>IF(K285="","",IF(K285="A","Cemerlang",IF(K285="B","Kepujian",IF(K285="C","Baik",IF(K285="D","Kurang Memuaskan",IF(K285="E","Tidak Memuaskan","Tidak Laksana"))))))</f>
        <v/>
      </c>
    </row>
    <row r="286">
      <c r="A286" s="15">
        <f>Murid!A286</f>
        <v/>
      </c>
      <c r="B286" s="15">
        <f>IF(Murid!B286="","",Murid!B286)</f>
        <v/>
      </c>
      <c r="C286" s="16">
        <f>IF(Murid!C286="","",Murid!C286)</f>
        <v/>
      </c>
      <c r="D286" s="15">
        <f>IF(Murid!E286="","",Murid!E286)</f>
        <v/>
      </c>
      <c r="E286" s="17">
        <f>KP!X286</f>
        <v/>
      </c>
      <c r="F286" s="17">
        <f>UB!X286</f>
        <v/>
      </c>
      <c r="G286" s="17">
        <f>SP!X286</f>
        <v/>
      </c>
      <c r="H286" s="17">
        <f>IF(COUNT(E286:G286)=0,"",ROUND((LARGE(E286:G286,1)+IF(COUNT(E286:G286)&gt;=2,LARGE(E286:G286,2),0))/2,2))</f>
        <v/>
      </c>
      <c r="I286" s="10">
        <f>Ekstra!U286</f>
        <v/>
      </c>
      <c r="J286" s="18">
        <f>IF(B286="","",IF(Murid!F286="TL","TL",IF(H286="","",MIN(100,ROUND(H286+N(I286),2)))))</f>
        <v/>
      </c>
      <c r="K286" s="19">
        <f>IF(J286="","",IF(J286="TL","TL",IF(J286&gt;=80,"A",IF(J286&gt;=60,"B",IF(J286&gt;=40,"C",IF(J286&gt;=20,"D","E"))))))</f>
        <v/>
      </c>
      <c r="L286" s="15">
        <f>IF(K286="","",IF(K286="A","Cemerlang",IF(K286="B","Kepujian",IF(K286="C","Baik",IF(K286="D","Kurang Memuaskan",IF(K286="E","Tidak Memuaskan","Tidak Laksana"))))))</f>
        <v/>
      </c>
    </row>
    <row r="287">
      <c r="A287" s="15">
        <f>Murid!A287</f>
        <v/>
      </c>
      <c r="B287" s="15">
        <f>IF(Murid!B287="","",Murid!B287)</f>
        <v/>
      </c>
      <c r="C287" s="16">
        <f>IF(Murid!C287="","",Murid!C287)</f>
        <v/>
      </c>
      <c r="D287" s="15">
        <f>IF(Murid!E287="","",Murid!E287)</f>
        <v/>
      </c>
      <c r="E287" s="17">
        <f>KP!X287</f>
        <v/>
      </c>
      <c r="F287" s="17">
        <f>UB!X287</f>
        <v/>
      </c>
      <c r="G287" s="17">
        <f>SP!X287</f>
        <v/>
      </c>
      <c r="H287" s="17">
        <f>IF(COUNT(E287:G287)=0,"",ROUND((LARGE(E287:G287,1)+IF(COUNT(E287:G287)&gt;=2,LARGE(E287:G287,2),0))/2,2))</f>
        <v/>
      </c>
      <c r="I287" s="10">
        <f>Ekstra!U287</f>
        <v/>
      </c>
      <c r="J287" s="18">
        <f>IF(B287="","",IF(Murid!F287="TL","TL",IF(H287="","",MIN(100,ROUND(H287+N(I287),2)))))</f>
        <v/>
      </c>
      <c r="K287" s="19">
        <f>IF(J287="","",IF(J287="TL","TL",IF(J287&gt;=80,"A",IF(J287&gt;=60,"B",IF(J287&gt;=40,"C",IF(J287&gt;=20,"D","E"))))))</f>
        <v/>
      </c>
      <c r="L287" s="15">
        <f>IF(K287="","",IF(K287="A","Cemerlang",IF(K287="B","Kepujian",IF(K287="C","Baik",IF(K287="D","Kurang Memuaskan",IF(K287="E","Tidak Memuaskan","Tidak Laksana"))))))</f>
        <v/>
      </c>
    </row>
    <row r="288">
      <c r="A288" s="15">
        <f>Murid!A288</f>
        <v/>
      </c>
      <c r="B288" s="15">
        <f>IF(Murid!B288="","",Murid!B288)</f>
        <v/>
      </c>
      <c r="C288" s="16">
        <f>IF(Murid!C288="","",Murid!C288)</f>
        <v/>
      </c>
      <c r="D288" s="15">
        <f>IF(Murid!E288="","",Murid!E288)</f>
        <v/>
      </c>
      <c r="E288" s="17">
        <f>KP!X288</f>
        <v/>
      </c>
      <c r="F288" s="17">
        <f>UB!X288</f>
        <v/>
      </c>
      <c r="G288" s="17">
        <f>SP!X288</f>
        <v/>
      </c>
      <c r="H288" s="17">
        <f>IF(COUNT(E288:G288)=0,"",ROUND((LARGE(E288:G288,1)+IF(COUNT(E288:G288)&gt;=2,LARGE(E288:G288,2),0))/2,2))</f>
        <v/>
      </c>
      <c r="I288" s="10">
        <f>Ekstra!U288</f>
        <v/>
      </c>
      <c r="J288" s="18">
        <f>IF(B288="","",IF(Murid!F288="TL","TL",IF(H288="","",MIN(100,ROUND(H288+N(I288),2)))))</f>
        <v/>
      </c>
      <c r="K288" s="19">
        <f>IF(J288="","",IF(J288="TL","TL",IF(J288&gt;=80,"A",IF(J288&gt;=60,"B",IF(J288&gt;=40,"C",IF(J288&gt;=20,"D","E"))))))</f>
        <v/>
      </c>
      <c r="L288" s="15">
        <f>IF(K288="","",IF(K288="A","Cemerlang",IF(K288="B","Kepujian",IF(K288="C","Baik",IF(K288="D","Kurang Memuaskan",IF(K288="E","Tidak Memuaskan","Tidak Laksana"))))))</f>
        <v/>
      </c>
    </row>
    <row r="289">
      <c r="A289" s="15">
        <f>Murid!A289</f>
        <v/>
      </c>
      <c r="B289" s="15">
        <f>IF(Murid!B289="","",Murid!B289)</f>
        <v/>
      </c>
      <c r="C289" s="16">
        <f>IF(Murid!C289="","",Murid!C289)</f>
        <v/>
      </c>
      <c r="D289" s="15">
        <f>IF(Murid!E289="","",Murid!E289)</f>
        <v/>
      </c>
      <c r="E289" s="17">
        <f>KP!X289</f>
        <v/>
      </c>
      <c r="F289" s="17">
        <f>UB!X289</f>
        <v/>
      </c>
      <c r="G289" s="17">
        <f>SP!X289</f>
        <v/>
      </c>
      <c r="H289" s="17">
        <f>IF(COUNT(E289:G289)=0,"",ROUND((LARGE(E289:G289,1)+IF(COUNT(E289:G289)&gt;=2,LARGE(E289:G289,2),0))/2,2))</f>
        <v/>
      </c>
      <c r="I289" s="10">
        <f>Ekstra!U289</f>
        <v/>
      </c>
      <c r="J289" s="18">
        <f>IF(B289="","",IF(Murid!F289="TL","TL",IF(H289="","",MIN(100,ROUND(H289+N(I289),2)))))</f>
        <v/>
      </c>
      <c r="K289" s="19">
        <f>IF(J289="","",IF(J289="TL","TL",IF(J289&gt;=80,"A",IF(J289&gt;=60,"B",IF(J289&gt;=40,"C",IF(J289&gt;=20,"D","E"))))))</f>
        <v/>
      </c>
      <c r="L289" s="15">
        <f>IF(K289="","",IF(K289="A","Cemerlang",IF(K289="B","Kepujian",IF(K289="C","Baik",IF(K289="D","Kurang Memuaskan",IF(K289="E","Tidak Memuaskan","Tidak Laksana"))))))</f>
        <v/>
      </c>
    </row>
    <row r="290">
      <c r="A290" s="15">
        <f>Murid!A290</f>
        <v/>
      </c>
      <c r="B290" s="15">
        <f>IF(Murid!B290="","",Murid!B290)</f>
        <v/>
      </c>
      <c r="C290" s="16">
        <f>IF(Murid!C290="","",Murid!C290)</f>
        <v/>
      </c>
      <c r="D290" s="15">
        <f>IF(Murid!E290="","",Murid!E290)</f>
        <v/>
      </c>
      <c r="E290" s="17">
        <f>KP!X290</f>
        <v/>
      </c>
      <c r="F290" s="17">
        <f>UB!X290</f>
        <v/>
      </c>
      <c r="G290" s="17">
        <f>SP!X290</f>
        <v/>
      </c>
      <c r="H290" s="17">
        <f>IF(COUNT(E290:G290)=0,"",ROUND((LARGE(E290:G290,1)+IF(COUNT(E290:G290)&gt;=2,LARGE(E290:G290,2),0))/2,2))</f>
        <v/>
      </c>
      <c r="I290" s="10">
        <f>Ekstra!U290</f>
        <v/>
      </c>
      <c r="J290" s="18">
        <f>IF(B290="","",IF(Murid!F290="TL","TL",IF(H290="","",MIN(100,ROUND(H290+N(I290),2)))))</f>
        <v/>
      </c>
      <c r="K290" s="19">
        <f>IF(J290="","",IF(J290="TL","TL",IF(J290&gt;=80,"A",IF(J290&gt;=60,"B",IF(J290&gt;=40,"C",IF(J290&gt;=20,"D","E"))))))</f>
        <v/>
      </c>
      <c r="L290" s="15">
        <f>IF(K290="","",IF(K290="A","Cemerlang",IF(K290="B","Kepujian",IF(K290="C","Baik",IF(K290="D","Kurang Memuaskan",IF(K290="E","Tidak Memuaskan","Tidak Laksana"))))))</f>
        <v/>
      </c>
    </row>
    <row r="291">
      <c r="A291" s="15">
        <f>Murid!A291</f>
        <v/>
      </c>
      <c r="B291" s="15">
        <f>IF(Murid!B291="","",Murid!B291)</f>
        <v/>
      </c>
      <c r="C291" s="16">
        <f>IF(Murid!C291="","",Murid!C291)</f>
        <v/>
      </c>
      <c r="D291" s="15">
        <f>IF(Murid!E291="","",Murid!E291)</f>
        <v/>
      </c>
      <c r="E291" s="17">
        <f>KP!X291</f>
        <v/>
      </c>
      <c r="F291" s="17">
        <f>UB!X291</f>
        <v/>
      </c>
      <c r="G291" s="17">
        <f>SP!X291</f>
        <v/>
      </c>
      <c r="H291" s="17">
        <f>IF(COUNT(E291:G291)=0,"",ROUND((LARGE(E291:G291,1)+IF(COUNT(E291:G291)&gt;=2,LARGE(E291:G291,2),0))/2,2))</f>
        <v/>
      </c>
      <c r="I291" s="10">
        <f>Ekstra!U291</f>
        <v/>
      </c>
      <c r="J291" s="18">
        <f>IF(B291="","",IF(Murid!F291="TL","TL",IF(H291="","",MIN(100,ROUND(H291+N(I291),2)))))</f>
        <v/>
      </c>
      <c r="K291" s="19">
        <f>IF(J291="","",IF(J291="TL","TL",IF(J291&gt;=80,"A",IF(J291&gt;=60,"B",IF(J291&gt;=40,"C",IF(J291&gt;=20,"D","E"))))))</f>
        <v/>
      </c>
      <c r="L291" s="15">
        <f>IF(K291="","",IF(K291="A","Cemerlang",IF(K291="B","Kepujian",IF(K291="C","Baik",IF(K291="D","Kurang Memuaskan",IF(K291="E","Tidak Memuaskan","Tidak Laksana"))))))</f>
        <v/>
      </c>
    </row>
    <row r="292">
      <c r="A292" s="15">
        <f>Murid!A292</f>
        <v/>
      </c>
      <c r="B292" s="15">
        <f>IF(Murid!B292="","",Murid!B292)</f>
        <v/>
      </c>
      <c r="C292" s="16">
        <f>IF(Murid!C292="","",Murid!C292)</f>
        <v/>
      </c>
      <c r="D292" s="15">
        <f>IF(Murid!E292="","",Murid!E292)</f>
        <v/>
      </c>
      <c r="E292" s="17">
        <f>KP!X292</f>
        <v/>
      </c>
      <c r="F292" s="17">
        <f>UB!X292</f>
        <v/>
      </c>
      <c r="G292" s="17">
        <f>SP!X292</f>
        <v/>
      </c>
      <c r="H292" s="17">
        <f>IF(COUNT(E292:G292)=0,"",ROUND((LARGE(E292:G292,1)+IF(COUNT(E292:G292)&gt;=2,LARGE(E292:G292,2),0))/2,2))</f>
        <v/>
      </c>
      <c r="I292" s="10">
        <f>Ekstra!U292</f>
        <v/>
      </c>
      <c r="J292" s="18">
        <f>IF(B292="","",IF(Murid!F292="TL","TL",IF(H292="","",MIN(100,ROUND(H292+N(I292),2)))))</f>
        <v/>
      </c>
      <c r="K292" s="19">
        <f>IF(J292="","",IF(J292="TL","TL",IF(J292&gt;=80,"A",IF(J292&gt;=60,"B",IF(J292&gt;=40,"C",IF(J292&gt;=20,"D","E"))))))</f>
        <v/>
      </c>
      <c r="L292" s="15">
        <f>IF(K292="","",IF(K292="A","Cemerlang",IF(K292="B","Kepujian",IF(K292="C","Baik",IF(K292="D","Kurang Memuaskan",IF(K292="E","Tidak Memuaskan","Tidak Laksana"))))))</f>
        <v/>
      </c>
    </row>
    <row r="293">
      <c r="A293" s="15">
        <f>Murid!A293</f>
        <v/>
      </c>
      <c r="B293" s="15">
        <f>IF(Murid!B293="","",Murid!B293)</f>
        <v/>
      </c>
      <c r="C293" s="16">
        <f>IF(Murid!C293="","",Murid!C293)</f>
        <v/>
      </c>
      <c r="D293" s="15">
        <f>IF(Murid!E293="","",Murid!E293)</f>
        <v/>
      </c>
      <c r="E293" s="17">
        <f>KP!X293</f>
        <v/>
      </c>
      <c r="F293" s="17">
        <f>UB!X293</f>
        <v/>
      </c>
      <c r="G293" s="17">
        <f>SP!X293</f>
        <v/>
      </c>
      <c r="H293" s="17">
        <f>IF(COUNT(E293:G293)=0,"",ROUND((LARGE(E293:G293,1)+IF(COUNT(E293:G293)&gt;=2,LARGE(E293:G293,2),0))/2,2))</f>
        <v/>
      </c>
      <c r="I293" s="10">
        <f>Ekstra!U293</f>
        <v/>
      </c>
      <c r="J293" s="18">
        <f>IF(B293="","",IF(Murid!F293="TL","TL",IF(H293="","",MIN(100,ROUND(H293+N(I293),2)))))</f>
        <v/>
      </c>
      <c r="K293" s="19">
        <f>IF(J293="","",IF(J293="TL","TL",IF(J293&gt;=80,"A",IF(J293&gt;=60,"B",IF(J293&gt;=40,"C",IF(J293&gt;=20,"D","E"))))))</f>
        <v/>
      </c>
      <c r="L293" s="15">
        <f>IF(K293="","",IF(K293="A","Cemerlang",IF(K293="B","Kepujian",IF(K293="C","Baik",IF(K293="D","Kurang Memuaskan",IF(K293="E","Tidak Memuaskan","Tidak Laksana"))))))</f>
        <v/>
      </c>
    </row>
    <row r="294">
      <c r="A294" s="15">
        <f>Murid!A294</f>
        <v/>
      </c>
      <c r="B294" s="15">
        <f>IF(Murid!B294="","",Murid!B294)</f>
        <v/>
      </c>
      <c r="C294" s="16">
        <f>IF(Murid!C294="","",Murid!C294)</f>
        <v/>
      </c>
      <c r="D294" s="15">
        <f>IF(Murid!E294="","",Murid!E294)</f>
        <v/>
      </c>
      <c r="E294" s="17">
        <f>KP!X294</f>
        <v/>
      </c>
      <c r="F294" s="17">
        <f>UB!X294</f>
        <v/>
      </c>
      <c r="G294" s="17">
        <f>SP!X294</f>
        <v/>
      </c>
      <c r="H294" s="17">
        <f>IF(COUNT(E294:G294)=0,"",ROUND((LARGE(E294:G294,1)+IF(COUNT(E294:G294)&gt;=2,LARGE(E294:G294,2),0))/2,2))</f>
        <v/>
      </c>
      <c r="I294" s="10">
        <f>Ekstra!U294</f>
        <v/>
      </c>
      <c r="J294" s="18">
        <f>IF(B294="","",IF(Murid!F294="TL","TL",IF(H294="","",MIN(100,ROUND(H294+N(I294),2)))))</f>
        <v/>
      </c>
      <c r="K294" s="19">
        <f>IF(J294="","",IF(J294="TL","TL",IF(J294&gt;=80,"A",IF(J294&gt;=60,"B",IF(J294&gt;=40,"C",IF(J294&gt;=20,"D","E"))))))</f>
        <v/>
      </c>
      <c r="L294" s="15">
        <f>IF(K294="","",IF(K294="A","Cemerlang",IF(K294="B","Kepujian",IF(K294="C","Baik",IF(K294="D","Kurang Memuaskan",IF(K294="E","Tidak Memuaskan","Tidak Laksana"))))))</f>
        <v/>
      </c>
    </row>
    <row r="295">
      <c r="A295" s="15">
        <f>Murid!A295</f>
        <v/>
      </c>
      <c r="B295" s="15">
        <f>IF(Murid!B295="","",Murid!B295)</f>
        <v/>
      </c>
      <c r="C295" s="16">
        <f>IF(Murid!C295="","",Murid!C295)</f>
        <v/>
      </c>
      <c r="D295" s="15">
        <f>IF(Murid!E295="","",Murid!E295)</f>
        <v/>
      </c>
      <c r="E295" s="17">
        <f>KP!X295</f>
        <v/>
      </c>
      <c r="F295" s="17">
        <f>UB!X295</f>
        <v/>
      </c>
      <c r="G295" s="17">
        <f>SP!X295</f>
        <v/>
      </c>
      <c r="H295" s="17">
        <f>IF(COUNT(E295:G295)=0,"",ROUND((LARGE(E295:G295,1)+IF(COUNT(E295:G295)&gt;=2,LARGE(E295:G295,2),0))/2,2))</f>
        <v/>
      </c>
      <c r="I295" s="10">
        <f>Ekstra!U295</f>
        <v/>
      </c>
      <c r="J295" s="18">
        <f>IF(B295="","",IF(Murid!F295="TL","TL",IF(H295="","",MIN(100,ROUND(H295+N(I295),2)))))</f>
        <v/>
      </c>
      <c r="K295" s="19">
        <f>IF(J295="","",IF(J295="TL","TL",IF(J295&gt;=80,"A",IF(J295&gt;=60,"B",IF(J295&gt;=40,"C",IF(J295&gt;=20,"D","E"))))))</f>
        <v/>
      </c>
      <c r="L295" s="15">
        <f>IF(K295="","",IF(K295="A","Cemerlang",IF(K295="B","Kepujian",IF(K295="C","Baik",IF(K295="D","Kurang Memuaskan",IF(K295="E","Tidak Memuaskan","Tidak Laksana"))))))</f>
        <v/>
      </c>
    </row>
    <row r="296">
      <c r="A296" s="15">
        <f>Murid!A296</f>
        <v/>
      </c>
      <c r="B296" s="15">
        <f>IF(Murid!B296="","",Murid!B296)</f>
        <v/>
      </c>
      <c r="C296" s="16">
        <f>IF(Murid!C296="","",Murid!C296)</f>
        <v/>
      </c>
      <c r="D296" s="15">
        <f>IF(Murid!E296="","",Murid!E296)</f>
        <v/>
      </c>
      <c r="E296" s="17">
        <f>KP!X296</f>
        <v/>
      </c>
      <c r="F296" s="17">
        <f>UB!X296</f>
        <v/>
      </c>
      <c r="G296" s="17">
        <f>SP!X296</f>
        <v/>
      </c>
      <c r="H296" s="17">
        <f>IF(COUNT(E296:G296)=0,"",ROUND((LARGE(E296:G296,1)+IF(COUNT(E296:G296)&gt;=2,LARGE(E296:G296,2),0))/2,2))</f>
        <v/>
      </c>
      <c r="I296" s="10">
        <f>Ekstra!U296</f>
        <v/>
      </c>
      <c r="J296" s="18">
        <f>IF(B296="","",IF(Murid!F296="TL","TL",IF(H296="","",MIN(100,ROUND(H296+N(I296),2)))))</f>
        <v/>
      </c>
      <c r="K296" s="19">
        <f>IF(J296="","",IF(J296="TL","TL",IF(J296&gt;=80,"A",IF(J296&gt;=60,"B",IF(J296&gt;=40,"C",IF(J296&gt;=20,"D","E"))))))</f>
        <v/>
      </c>
      <c r="L296" s="15">
        <f>IF(K296="","",IF(K296="A","Cemerlang",IF(K296="B","Kepujian",IF(K296="C","Baik",IF(K296="D","Kurang Memuaskan",IF(K296="E","Tidak Memuaskan","Tidak Laksana"))))))</f>
        <v/>
      </c>
    </row>
    <row r="297">
      <c r="A297" s="15">
        <f>Murid!A297</f>
        <v/>
      </c>
      <c r="B297" s="15">
        <f>IF(Murid!B297="","",Murid!B297)</f>
        <v/>
      </c>
      <c r="C297" s="16">
        <f>IF(Murid!C297="","",Murid!C297)</f>
        <v/>
      </c>
      <c r="D297" s="15">
        <f>IF(Murid!E297="","",Murid!E297)</f>
        <v/>
      </c>
      <c r="E297" s="17">
        <f>KP!X297</f>
        <v/>
      </c>
      <c r="F297" s="17">
        <f>UB!X297</f>
        <v/>
      </c>
      <c r="G297" s="17">
        <f>SP!X297</f>
        <v/>
      </c>
      <c r="H297" s="17">
        <f>IF(COUNT(E297:G297)=0,"",ROUND((LARGE(E297:G297,1)+IF(COUNT(E297:G297)&gt;=2,LARGE(E297:G297,2),0))/2,2))</f>
        <v/>
      </c>
      <c r="I297" s="10">
        <f>Ekstra!U297</f>
        <v/>
      </c>
      <c r="J297" s="18">
        <f>IF(B297="","",IF(Murid!F297="TL","TL",IF(H297="","",MIN(100,ROUND(H297+N(I297),2)))))</f>
        <v/>
      </c>
      <c r="K297" s="19">
        <f>IF(J297="","",IF(J297="TL","TL",IF(J297&gt;=80,"A",IF(J297&gt;=60,"B",IF(J297&gt;=40,"C",IF(J297&gt;=20,"D","E"))))))</f>
        <v/>
      </c>
      <c r="L297" s="15">
        <f>IF(K297="","",IF(K297="A","Cemerlang",IF(K297="B","Kepujian",IF(K297="C","Baik",IF(K297="D","Kurang Memuaskan",IF(K297="E","Tidak Memuaskan","Tidak Laksana"))))))</f>
        <v/>
      </c>
    </row>
    <row r="298">
      <c r="A298" s="15">
        <f>Murid!A298</f>
        <v/>
      </c>
      <c r="B298" s="15">
        <f>IF(Murid!B298="","",Murid!B298)</f>
        <v/>
      </c>
      <c r="C298" s="16">
        <f>IF(Murid!C298="","",Murid!C298)</f>
        <v/>
      </c>
      <c r="D298" s="15">
        <f>IF(Murid!E298="","",Murid!E298)</f>
        <v/>
      </c>
      <c r="E298" s="17">
        <f>KP!X298</f>
        <v/>
      </c>
      <c r="F298" s="17">
        <f>UB!X298</f>
        <v/>
      </c>
      <c r="G298" s="17">
        <f>SP!X298</f>
        <v/>
      </c>
      <c r="H298" s="17">
        <f>IF(COUNT(E298:G298)=0,"",ROUND((LARGE(E298:G298,1)+IF(COUNT(E298:G298)&gt;=2,LARGE(E298:G298,2),0))/2,2))</f>
        <v/>
      </c>
      <c r="I298" s="10">
        <f>Ekstra!U298</f>
        <v/>
      </c>
      <c r="J298" s="18">
        <f>IF(B298="","",IF(Murid!F298="TL","TL",IF(H298="","",MIN(100,ROUND(H298+N(I298),2)))))</f>
        <v/>
      </c>
      <c r="K298" s="19">
        <f>IF(J298="","",IF(J298="TL","TL",IF(J298&gt;=80,"A",IF(J298&gt;=60,"B",IF(J298&gt;=40,"C",IF(J298&gt;=20,"D","E"))))))</f>
        <v/>
      </c>
      <c r="L298" s="15">
        <f>IF(K298="","",IF(K298="A","Cemerlang",IF(K298="B","Kepujian",IF(K298="C","Baik",IF(K298="D","Kurang Memuaskan",IF(K298="E","Tidak Memuaskan","Tidak Laksana"))))))</f>
        <v/>
      </c>
    </row>
    <row r="299">
      <c r="A299" s="15">
        <f>Murid!A299</f>
        <v/>
      </c>
      <c r="B299" s="15">
        <f>IF(Murid!B299="","",Murid!B299)</f>
        <v/>
      </c>
      <c r="C299" s="16">
        <f>IF(Murid!C299="","",Murid!C299)</f>
        <v/>
      </c>
      <c r="D299" s="15">
        <f>IF(Murid!E299="","",Murid!E299)</f>
        <v/>
      </c>
      <c r="E299" s="17">
        <f>KP!X299</f>
        <v/>
      </c>
      <c r="F299" s="17">
        <f>UB!X299</f>
        <v/>
      </c>
      <c r="G299" s="17">
        <f>SP!X299</f>
        <v/>
      </c>
      <c r="H299" s="17">
        <f>IF(COUNT(E299:G299)=0,"",ROUND((LARGE(E299:G299,1)+IF(COUNT(E299:G299)&gt;=2,LARGE(E299:G299,2),0))/2,2))</f>
        <v/>
      </c>
      <c r="I299" s="10">
        <f>Ekstra!U299</f>
        <v/>
      </c>
      <c r="J299" s="18">
        <f>IF(B299="","",IF(Murid!F299="TL","TL",IF(H299="","",MIN(100,ROUND(H299+N(I299),2)))))</f>
        <v/>
      </c>
      <c r="K299" s="19">
        <f>IF(J299="","",IF(J299="TL","TL",IF(J299&gt;=80,"A",IF(J299&gt;=60,"B",IF(J299&gt;=40,"C",IF(J299&gt;=20,"D","E"))))))</f>
        <v/>
      </c>
      <c r="L299" s="15">
        <f>IF(K299="","",IF(K299="A","Cemerlang",IF(K299="B","Kepujian",IF(K299="C","Baik",IF(K299="D","Kurang Memuaskan",IF(K299="E","Tidak Memuaskan","Tidak Laksana"))))))</f>
        <v/>
      </c>
    </row>
    <row r="300">
      <c r="A300" s="15">
        <f>Murid!A300</f>
        <v/>
      </c>
      <c r="B300" s="15">
        <f>IF(Murid!B300="","",Murid!B300)</f>
        <v/>
      </c>
      <c r="C300" s="16">
        <f>IF(Murid!C300="","",Murid!C300)</f>
        <v/>
      </c>
      <c r="D300" s="15">
        <f>IF(Murid!E300="","",Murid!E300)</f>
        <v/>
      </c>
      <c r="E300" s="17">
        <f>KP!X300</f>
        <v/>
      </c>
      <c r="F300" s="17">
        <f>UB!X300</f>
        <v/>
      </c>
      <c r="G300" s="17">
        <f>SP!X300</f>
        <v/>
      </c>
      <c r="H300" s="17">
        <f>IF(COUNT(E300:G300)=0,"",ROUND((LARGE(E300:G300,1)+IF(COUNT(E300:G300)&gt;=2,LARGE(E300:G300,2),0))/2,2))</f>
        <v/>
      </c>
      <c r="I300" s="10">
        <f>Ekstra!U300</f>
        <v/>
      </c>
      <c r="J300" s="18">
        <f>IF(B300="","",IF(Murid!F300="TL","TL",IF(H300="","",MIN(100,ROUND(H300+N(I300),2)))))</f>
        <v/>
      </c>
      <c r="K300" s="19">
        <f>IF(J300="","",IF(J300="TL","TL",IF(J300&gt;=80,"A",IF(J300&gt;=60,"B",IF(J300&gt;=40,"C",IF(J300&gt;=20,"D","E"))))))</f>
        <v/>
      </c>
      <c r="L300" s="15">
        <f>IF(K300="","",IF(K300="A","Cemerlang",IF(K300="B","Kepujian",IF(K300="C","Baik",IF(K300="D","Kurang Memuaskan",IF(K300="E","Tidak Memuaskan","Tidak Laksana"))))))</f>
        <v/>
      </c>
    </row>
    <row r="301">
      <c r="A301" s="15">
        <f>Murid!A301</f>
        <v/>
      </c>
      <c r="B301" s="15">
        <f>IF(Murid!B301="","",Murid!B301)</f>
        <v/>
      </c>
      <c r="C301" s="16">
        <f>IF(Murid!C301="","",Murid!C301)</f>
        <v/>
      </c>
      <c r="D301" s="15">
        <f>IF(Murid!E301="","",Murid!E301)</f>
        <v/>
      </c>
      <c r="E301" s="17">
        <f>KP!X301</f>
        <v/>
      </c>
      <c r="F301" s="17">
        <f>UB!X301</f>
        <v/>
      </c>
      <c r="G301" s="17">
        <f>SP!X301</f>
        <v/>
      </c>
      <c r="H301" s="17">
        <f>IF(COUNT(E301:G301)=0,"",ROUND((LARGE(E301:G301,1)+IF(COUNT(E301:G301)&gt;=2,LARGE(E301:G301,2),0))/2,2))</f>
        <v/>
      </c>
      <c r="I301" s="10">
        <f>Ekstra!U301</f>
        <v/>
      </c>
      <c r="J301" s="18">
        <f>IF(B301="","",IF(Murid!F301="TL","TL",IF(H301="","",MIN(100,ROUND(H301+N(I301),2)))))</f>
        <v/>
      </c>
      <c r="K301" s="19">
        <f>IF(J301="","",IF(J301="TL","TL",IF(J301&gt;=80,"A",IF(J301&gt;=60,"B",IF(J301&gt;=40,"C",IF(J301&gt;=20,"D","E"))))))</f>
        <v/>
      </c>
      <c r="L301" s="15">
        <f>IF(K301="","",IF(K301="A","Cemerlang",IF(K301="B","Kepujian",IF(K301="C","Baik",IF(K301="D","Kurang Memuaskan",IF(K301="E","Tidak Memuaskan","Tidak Laksana"))))))</f>
        <v/>
      </c>
    </row>
    <row r="302">
      <c r="A302" s="15">
        <f>Murid!A302</f>
        <v/>
      </c>
      <c r="B302" s="15">
        <f>IF(Murid!B302="","",Murid!B302)</f>
        <v/>
      </c>
      <c r="C302" s="16">
        <f>IF(Murid!C302="","",Murid!C302)</f>
        <v/>
      </c>
      <c r="D302" s="15">
        <f>IF(Murid!E302="","",Murid!E302)</f>
        <v/>
      </c>
      <c r="E302" s="17">
        <f>KP!X302</f>
        <v/>
      </c>
      <c r="F302" s="17">
        <f>UB!X302</f>
        <v/>
      </c>
      <c r="G302" s="17">
        <f>SP!X302</f>
        <v/>
      </c>
      <c r="H302" s="17">
        <f>IF(COUNT(E302:G302)=0,"",ROUND((LARGE(E302:G302,1)+IF(COUNT(E302:G302)&gt;=2,LARGE(E302:G302,2),0))/2,2))</f>
        <v/>
      </c>
      <c r="I302" s="10">
        <f>Ekstra!U302</f>
        <v/>
      </c>
      <c r="J302" s="18">
        <f>IF(B302="","",IF(Murid!F302="TL","TL",IF(H302="","",MIN(100,ROUND(H302+N(I302),2)))))</f>
        <v/>
      </c>
      <c r="K302" s="19">
        <f>IF(J302="","",IF(J302="TL","TL",IF(J302&gt;=80,"A",IF(J302&gt;=60,"B",IF(J302&gt;=40,"C",IF(J302&gt;=20,"D","E"))))))</f>
        <v/>
      </c>
      <c r="L302" s="15">
        <f>IF(K302="","",IF(K302="A","Cemerlang",IF(K302="B","Kepujian",IF(K302="C","Baik",IF(K302="D","Kurang Memuaskan",IF(K302="E","Tidak Memuaskan","Tidak Laksana"))))))</f>
        <v/>
      </c>
    </row>
    <row r="303">
      <c r="A303" s="15">
        <f>Murid!A303</f>
        <v/>
      </c>
      <c r="B303" s="15">
        <f>IF(Murid!B303="","",Murid!B303)</f>
        <v/>
      </c>
      <c r="C303" s="16">
        <f>IF(Murid!C303="","",Murid!C303)</f>
        <v/>
      </c>
      <c r="D303" s="15">
        <f>IF(Murid!E303="","",Murid!E303)</f>
        <v/>
      </c>
      <c r="E303" s="17">
        <f>KP!X303</f>
        <v/>
      </c>
      <c r="F303" s="17">
        <f>UB!X303</f>
        <v/>
      </c>
      <c r="G303" s="17">
        <f>SP!X303</f>
        <v/>
      </c>
      <c r="H303" s="17">
        <f>IF(COUNT(E303:G303)=0,"",ROUND((LARGE(E303:G303,1)+IF(COUNT(E303:G303)&gt;=2,LARGE(E303:G303,2),0))/2,2))</f>
        <v/>
      </c>
      <c r="I303" s="10">
        <f>Ekstra!U303</f>
        <v/>
      </c>
      <c r="J303" s="18">
        <f>IF(B303="","",IF(Murid!F303="TL","TL",IF(H303="","",MIN(100,ROUND(H303+N(I303),2)))))</f>
        <v/>
      </c>
      <c r="K303" s="19">
        <f>IF(J303="","",IF(J303="TL","TL",IF(J303&gt;=80,"A",IF(J303&gt;=60,"B",IF(J303&gt;=40,"C",IF(J303&gt;=20,"D","E"))))))</f>
        <v/>
      </c>
      <c r="L303" s="15">
        <f>IF(K303="","",IF(K303="A","Cemerlang",IF(K303="B","Kepujian",IF(K303="C","Baik",IF(K303="D","Kurang Memuaskan",IF(K303="E","Tidak Memuaskan","Tidak Laksana"))))))</f>
        <v/>
      </c>
    </row>
    <row r="304">
      <c r="A304" s="15">
        <f>Murid!A304</f>
        <v/>
      </c>
      <c r="B304" s="15">
        <f>IF(Murid!B304="","",Murid!B304)</f>
        <v/>
      </c>
      <c r="C304" s="16">
        <f>IF(Murid!C304="","",Murid!C304)</f>
        <v/>
      </c>
      <c r="D304" s="15">
        <f>IF(Murid!E304="","",Murid!E304)</f>
        <v/>
      </c>
      <c r="E304" s="17">
        <f>KP!X304</f>
        <v/>
      </c>
      <c r="F304" s="17">
        <f>UB!X304</f>
        <v/>
      </c>
      <c r="G304" s="17">
        <f>SP!X304</f>
        <v/>
      </c>
      <c r="H304" s="17">
        <f>IF(COUNT(E304:G304)=0,"",ROUND((LARGE(E304:G304,1)+IF(COUNT(E304:G304)&gt;=2,LARGE(E304:G304,2),0))/2,2))</f>
        <v/>
      </c>
      <c r="I304" s="10">
        <f>Ekstra!U304</f>
        <v/>
      </c>
      <c r="J304" s="18">
        <f>IF(B304="","",IF(Murid!F304="TL","TL",IF(H304="","",MIN(100,ROUND(H304+N(I304),2)))))</f>
        <v/>
      </c>
      <c r="K304" s="19">
        <f>IF(J304="","",IF(J304="TL","TL",IF(J304&gt;=80,"A",IF(J304&gt;=60,"B",IF(J304&gt;=40,"C",IF(J304&gt;=20,"D","E"))))))</f>
        <v/>
      </c>
      <c r="L304" s="15">
        <f>IF(K304="","",IF(K304="A","Cemerlang",IF(K304="B","Kepujian",IF(K304="C","Baik",IF(K304="D","Kurang Memuaskan",IF(K304="E","Tidak Memuaskan","Tidak Laksana"))))))</f>
        <v/>
      </c>
    </row>
    <row r="305">
      <c r="A305" s="15">
        <f>Murid!A305</f>
        <v/>
      </c>
      <c r="B305" s="15">
        <f>IF(Murid!B305="","",Murid!B305)</f>
        <v/>
      </c>
      <c r="C305" s="16">
        <f>IF(Murid!C305="","",Murid!C305)</f>
        <v/>
      </c>
      <c r="D305" s="15">
        <f>IF(Murid!E305="","",Murid!E305)</f>
        <v/>
      </c>
      <c r="E305" s="17">
        <f>KP!X305</f>
        <v/>
      </c>
      <c r="F305" s="17">
        <f>UB!X305</f>
        <v/>
      </c>
      <c r="G305" s="17">
        <f>SP!X305</f>
        <v/>
      </c>
      <c r="H305" s="17">
        <f>IF(COUNT(E305:G305)=0,"",ROUND((LARGE(E305:G305,1)+IF(COUNT(E305:G305)&gt;=2,LARGE(E305:G305,2),0))/2,2))</f>
        <v/>
      </c>
      <c r="I305" s="10">
        <f>Ekstra!U305</f>
        <v/>
      </c>
      <c r="J305" s="18">
        <f>IF(B305="","",IF(Murid!F305="TL","TL",IF(H305="","",MIN(100,ROUND(H305+N(I305),2)))))</f>
        <v/>
      </c>
      <c r="K305" s="19">
        <f>IF(J305="","",IF(J305="TL","TL",IF(J305&gt;=80,"A",IF(J305&gt;=60,"B",IF(J305&gt;=40,"C",IF(J305&gt;=20,"D","E"))))))</f>
        <v/>
      </c>
      <c r="L305" s="15">
        <f>IF(K305="","",IF(K305="A","Cemerlang",IF(K305="B","Kepujian",IF(K305="C","Baik",IF(K305="D","Kurang Memuaskan",IF(K305="E","Tidak Memuaskan","Tidak Laksana"))))))</f>
        <v/>
      </c>
    </row>
    <row r="306">
      <c r="A306" s="15">
        <f>Murid!A306</f>
        <v/>
      </c>
      <c r="B306" s="15">
        <f>IF(Murid!B306="","",Murid!B306)</f>
        <v/>
      </c>
      <c r="C306" s="16">
        <f>IF(Murid!C306="","",Murid!C306)</f>
        <v/>
      </c>
      <c r="D306" s="15">
        <f>IF(Murid!E306="","",Murid!E306)</f>
        <v/>
      </c>
      <c r="E306" s="17">
        <f>KP!X306</f>
        <v/>
      </c>
      <c r="F306" s="17">
        <f>UB!X306</f>
        <v/>
      </c>
      <c r="G306" s="17">
        <f>SP!X306</f>
        <v/>
      </c>
      <c r="H306" s="17">
        <f>IF(COUNT(E306:G306)=0,"",ROUND((LARGE(E306:G306,1)+IF(COUNT(E306:G306)&gt;=2,LARGE(E306:G306,2),0))/2,2))</f>
        <v/>
      </c>
      <c r="I306" s="10">
        <f>Ekstra!U306</f>
        <v/>
      </c>
      <c r="J306" s="18">
        <f>IF(B306="","",IF(Murid!F306="TL","TL",IF(H306="","",MIN(100,ROUND(H306+N(I306),2)))))</f>
        <v/>
      </c>
      <c r="K306" s="19">
        <f>IF(J306="","",IF(J306="TL","TL",IF(J306&gt;=80,"A",IF(J306&gt;=60,"B",IF(J306&gt;=40,"C",IF(J306&gt;=20,"D","E"))))))</f>
        <v/>
      </c>
      <c r="L306" s="15">
        <f>IF(K306="","",IF(K306="A","Cemerlang",IF(K306="B","Kepujian",IF(K306="C","Baik",IF(K306="D","Kurang Memuaskan",IF(K306="E","Tidak Memuaskan","Tidak Laksana"))))))</f>
        <v/>
      </c>
    </row>
    <row r="307">
      <c r="A307" s="15">
        <f>Murid!A307</f>
        <v/>
      </c>
      <c r="B307" s="15">
        <f>IF(Murid!B307="","",Murid!B307)</f>
        <v/>
      </c>
      <c r="C307" s="16">
        <f>IF(Murid!C307="","",Murid!C307)</f>
        <v/>
      </c>
      <c r="D307" s="15">
        <f>IF(Murid!E307="","",Murid!E307)</f>
        <v/>
      </c>
      <c r="E307" s="17">
        <f>KP!X307</f>
        <v/>
      </c>
      <c r="F307" s="17">
        <f>UB!X307</f>
        <v/>
      </c>
      <c r="G307" s="17">
        <f>SP!X307</f>
        <v/>
      </c>
      <c r="H307" s="17">
        <f>IF(COUNT(E307:G307)=0,"",ROUND((LARGE(E307:G307,1)+IF(COUNT(E307:G307)&gt;=2,LARGE(E307:G307,2),0))/2,2))</f>
        <v/>
      </c>
      <c r="I307" s="10">
        <f>Ekstra!U307</f>
        <v/>
      </c>
      <c r="J307" s="18">
        <f>IF(B307="","",IF(Murid!F307="TL","TL",IF(H307="","",MIN(100,ROUND(H307+N(I307),2)))))</f>
        <v/>
      </c>
      <c r="K307" s="19">
        <f>IF(J307="","",IF(J307="TL","TL",IF(J307&gt;=80,"A",IF(J307&gt;=60,"B",IF(J307&gt;=40,"C",IF(J307&gt;=20,"D","E"))))))</f>
        <v/>
      </c>
      <c r="L307" s="15">
        <f>IF(K307="","",IF(K307="A","Cemerlang",IF(K307="B","Kepujian",IF(K307="C","Baik",IF(K307="D","Kurang Memuaskan",IF(K307="E","Tidak Memuaskan","Tidak Laksana"))))))</f>
        <v/>
      </c>
    </row>
    <row r="308">
      <c r="A308" s="15">
        <f>Murid!A308</f>
        <v/>
      </c>
      <c r="B308" s="15">
        <f>IF(Murid!B308="","",Murid!B308)</f>
        <v/>
      </c>
      <c r="C308" s="16">
        <f>IF(Murid!C308="","",Murid!C308)</f>
        <v/>
      </c>
      <c r="D308" s="15">
        <f>IF(Murid!E308="","",Murid!E308)</f>
        <v/>
      </c>
      <c r="E308" s="17">
        <f>KP!X308</f>
        <v/>
      </c>
      <c r="F308" s="17">
        <f>UB!X308</f>
        <v/>
      </c>
      <c r="G308" s="17">
        <f>SP!X308</f>
        <v/>
      </c>
      <c r="H308" s="17">
        <f>IF(COUNT(E308:G308)=0,"",ROUND((LARGE(E308:G308,1)+IF(COUNT(E308:G308)&gt;=2,LARGE(E308:G308,2),0))/2,2))</f>
        <v/>
      </c>
      <c r="I308" s="10">
        <f>Ekstra!U308</f>
        <v/>
      </c>
      <c r="J308" s="18">
        <f>IF(B308="","",IF(Murid!F308="TL","TL",IF(H308="","",MIN(100,ROUND(H308+N(I308),2)))))</f>
        <v/>
      </c>
      <c r="K308" s="19">
        <f>IF(J308="","",IF(J308="TL","TL",IF(J308&gt;=80,"A",IF(J308&gt;=60,"B",IF(J308&gt;=40,"C",IF(J308&gt;=20,"D","E"))))))</f>
        <v/>
      </c>
      <c r="L308" s="15">
        <f>IF(K308="","",IF(K308="A","Cemerlang",IF(K308="B","Kepujian",IF(K308="C","Baik",IF(K308="D","Kurang Memuaskan",IF(K308="E","Tidak Memuaskan","Tidak Laksana"))))))</f>
        <v/>
      </c>
    </row>
    <row r="309">
      <c r="A309" s="15">
        <f>Murid!A309</f>
        <v/>
      </c>
      <c r="B309" s="15">
        <f>IF(Murid!B309="","",Murid!B309)</f>
        <v/>
      </c>
      <c r="C309" s="16">
        <f>IF(Murid!C309="","",Murid!C309)</f>
        <v/>
      </c>
      <c r="D309" s="15">
        <f>IF(Murid!E309="","",Murid!E309)</f>
        <v/>
      </c>
      <c r="E309" s="17">
        <f>KP!X309</f>
        <v/>
      </c>
      <c r="F309" s="17">
        <f>UB!X309</f>
        <v/>
      </c>
      <c r="G309" s="17">
        <f>SP!X309</f>
        <v/>
      </c>
      <c r="H309" s="17">
        <f>IF(COUNT(E309:G309)=0,"",ROUND((LARGE(E309:G309,1)+IF(COUNT(E309:G309)&gt;=2,LARGE(E309:G309,2),0))/2,2))</f>
        <v/>
      </c>
      <c r="I309" s="10">
        <f>Ekstra!U309</f>
        <v/>
      </c>
      <c r="J309" s="18">
        <f>IF(B309="","",IF(Murid!F309="TL","TL",IF(H309="","",MIN(100,ROUND(H309+N(I309),2)))))</f>
        <v/>
      </c>
      <c r="K309" s="19">
        <f>IF(J309="","",IF(J309="TL","TL",IF(J309&gt;=80,"A",IF(J309&gt;=60,"B",IF(J309&gt;=40,"C",IF(J309&gt;=20,"D","E"))))))</f>
        <v/>
      </c>
      <c r="L309" s="15">
        <f>IF(K309="","",IF(K309="A","Cemerlang",IF(K309="B","Kepujian",IF(K309="C","Baik",IF(K309="D","Kurang Memuaskan",IF(K309="E","Tidak Memuaskan","Tidak Laksana"))))))</f>
        <v/>
      </c>
    </row>
    <row r="310">
      <c r="A310" s="15">
        <f>Murid!A310</f>
        <v/>
      </c>
      <c r="B310" s="15">
        <f>IF(Murid!B310="","",Murid!B310)</f>
        <v/>
      </c>
      <c r="C310" s="16">
        <f>IF(Murid!C310="","",Murid!C310)</f>
        <v/>
      </c>
      <c r="D310" s="15">
        <f>IF(Murid!E310="","",Murid!E310)</f>
        <v/>
      </c>
      <c r="E310" s="17">
        <f>KP!X310</f>
        <v/>
      </c>
      <c r="F310" s="17">
        <f>UB!X310</f>
        <v/>
      </c>
      <c r="G310" s="17">
        <f>SP!X310</f>
        <v/>
      </c>
      <c r="H310" s="17">
        <f>IF(COUNT(E310:G310)=0,"",ROUND((LARGE(E310:G310,1)+IF(COUNT(E310:G310)&gt;=2,LARGE(E310:G310,2),0))/2,2))</f>
        <v/>
      </c>
      <c r="I310" s="10">
        <f>Ekstra!U310</f>
        <v/>
      </c>
      <c r="J310" s="18">
        <f>IF(B310="","",IF(Murid!F310="TL","TL",IF(H310="","",MIN(100,ROUND(H310+N(I310),2)))))</f>
        <v/>
      </c>
      <c r="K310" s="19">
        <f>IF(J310="","",IF(J310="TL","TL",IF(J310&gt;=80,"A",IF(J310&gt;=60,"B",IF(J310&gt;=40,"C",IF(J310&gt;=20,"D","E"))))))</f>
        <v/>
      </c>
      <c r="L310" s="15">
        <f>IF(K310="","",IF(K310="A","Cemerlang",IF(K310="B","Kepujian",IF(K310="C","Baik",IF(K310="D","Kurang Memuaskan",IF(K310="E","Tidak Memuaskan","Tidak Laksana"))))))</f>
        <v/>
      </c>
    </row>
    <row r="311">
      <c r="A311" s="15">
        <f>Murid!A311</f>
        <v/>
      </c>
      <c r="B311" s="15">
        <f>IF(Murid!B311="","",Murid!B311)</f>
        <v/>
      </c>
      <c r="C311" s="16">
        <f>IF(Murid!C311="","",Murid!C311)</f>
        <v/>
      </c>
      <c r="D311" s="15">
        <f>IF(Murid!E311="","",Murid!E311)</f>
        <v/>
      </c>
      <c r="E311" s="17">
        <f>KP!X311</f>
        <v/>
      </c>
      <c r="F311" s="17">
        <f>UB!X311</f>
        <v/>
      </c>
      <c r="G311" s="17">
        <f>SP!X311</f>
        <v/>
      </c>
      <c r="H311" s="17">
        <f>IF(COUNT(E311:G311)=0,"",ROUND((LARGE(E311:G311,1)+IF(COUNT(E311:G311)&gt;=2,LARGE(E311:G311,2),0))/2,2))</f>
        <v/>
      </c>
      <c r="I311" s="10">
        <f>Ekstra!U311</f>
        <v/>
      </c>
      <c r="J311" s="18">
        <f>IF(B311="","",IF(Murid!F311="TL","TL",IF(H311="","",MIN(100,ROUND(H311+N(I311),2)))))</f>
        <v/>
      </c>
      <c r="K311" s="19">
        <f>IF(J311="","",IF(J311="TL","TL",IF(J311&gt;=80,"A",IF(J311&gt;=60,"B",IF(J311&gt;=40,"C",IF(J311&gt;=20,"D","E"))))))</f>
        <v/>
      </c>
      <c r="L311" s="15">
        <f>IF(K311="","",IF(K311="A","Cemerlang",IF(K311="B","Kepujian",IF(K311="C","Baik",IF(K311="D","Kurang Memuaskan",IF(K311="E","Tidak Memuaskan","Tidak Laksana"))))))</f>
        <v/>
      </c>
    </row>
    <row r="312">
      <c r="A312" s="15">
        <f>Murid!A312</f>
        <v/>
      </c>
      <c r="B312" s="15">
        <f>IF(Murid!B312="","",Murid!B312)</f>
        <v/>
      </c>
      <c r="C312" s="16">
        <f>IF(Murid!C312="","",Murid!C312)</f>
        <v/>
      </c>
      <c r="D312" s="15">
        <f>IF(Murid!E312="","",Murid!E312)</f>
        <v/>
      </c>
      <c r="E312" s="17">
        <f>KP!X312</f>
        <v/>
      </c>
      <c r="F312" s="17">
        <f>UB!X312</f>
        <v/>
      </c>
      <c r="G312" s="17">
        <f>SP!X312</f>
        <v/>
      </c>
      <c r="H312" s="17">
        <f>IF(COUNT(E312:G312)=0,"",ROUND((LARGE(E312:G312,1)+IF(COUNT(E312:G312)&gt;=2,LARGE(E312:G312,2),0))/2,2))</f>
        <v/>
      </c>
      <c r="I312" s="10">
        <f>Ekstra!U312</f>
        <v/>
      </c>
      <c r="J312" s="18">
        <f>IF(B312="","",IF(Murid!F312="TL","TL",IF(H312="","",MIN(100,ROUND(H312+N(I312),2)))))</f>
        <v/>
      </c>
      <c r="K312" s="19">
        <f>IF(J312="","",IF(J312="TL","TL",IF(J312&gt;=80,"A",IF(J312&gt;=60,"B",IF(J312&gt;=40,"C",IF(J312&gt;=20,"D","E"))))))</f>
        <v/>
      </c>
      <c r="L312" s="15">
        <f>IF(K312="","",IF(K312="A","Cemerlang",IF(K312="B","Kepujian",IF(K312="C","Baik",IF(K312="D","Kurang Memuaskan",IF(K312="E","Tidak Memuaskan","Tidak Laksana"))))))</f>
        <v/>
      </c>
    </row>
    <row r="313">
      <c r="A313" s="15">
        <f>Murid!A313</f>
        <v/>
      </c>
      <c r="B313" s="15">
        <f>IF(Murid!B313="","",Murid!B313)</f>
        <v/>
      </c>
      <c r="C313" s="16">
        <f>IF(Murid!C313="","",Murid!C313)</f>
        <v/>
      </c>
      <c r="D313" s="15">
        <f>IF(Murid!E313="","",Murid!E313)</f>
        <v/>
      </c>
      <c r="E313" s="17">
        <f>KP!X313</f>
        <v/>
      </c>
      <c r="F313" s="17">
        <f>UB!X313</f>
        <v/>
      </c>
      <c r="G313" s="17">
        <f>SP!X313</f>
        <v/>
      </c>
      <c r="H313" s="17">
        <f>IF(COUNT(E313:G313)=0,"",ROUND((LARGE(E313:G313,1)+IF(COUNT(E313:G313)&gt;=2,LARGE(E313:G313,2),0))/2,2))</f>
        <v/>
      </c>
      <c r="I313" s="10">
        <f>Ekstra!U313</f>
        <v/>
      </c>
      <c r="J313" s="18">
        <f>IF(B313="","",IF(Murid!F313="TL","TL",IF(H313="","",MIN(100,ROUND(H313+N(I313),2)))))</f>
        <v/>
      </c>
      <c r="K313" s="19">
        <f>IF(J313="","",IF(J313="TL","TL",IF(J313&gt;=80,"A",IF(J313&gt;=60,"B",IF(J313&gt;=40,"C",IF(J313&gt;=20,"D","E"))))))</f>
        <v/>
      </c>
      <c r="L313" s="15">
        <f>IF(K313="","",IF(K313="A","Cemerlang",IF(K313="B","Kepujian",IF(K313="C","Baik",IF(K313="D","Kurang Memuaskan",IF(K313="E","Tidak Memuaskan","Tidak Laksana"))))))</f>
        <v/>
      </c>
    </row>
    <row r="314">
      <c r="A314" s="15">
        <f>Murid!A314</f>
        <v/>
      </c>
      <c r="B314" s="15">
        <f>IF(Murid!B314="","",Murid!B314)</f>
        <v/>
      </c>
      <c r="C314" s="16">
        <f>IF(Murid!C314="","",Murid!C314)</f>
        <v/>
      </c>
      <c r="D314" s="15">
        <f>IF(Murid!E314="","",Murid!E314)</f>
        <v/>
      </c>
      <c r="E314" s="17">
        <f>KP!X314</f>
        <v/>
      </c>
      <c r="F314" s="17">
        <f>UB!X314</f>
        <v/>
      </c>
      <c r="G314" s="17">
        <f>SP!X314</f>
        <v/>
      </c>
      <c r="H314" s="17">
        <f>IF(COUNT(E314:G314)=0,"",ROUND((LARGE(E314:G314,1)+IF(COUNT(E314:G314)&gt;=2,LARGE(E314:G314,2),0))/2,2))</f>
        <v/>
      </c>
      <c r="I314" s="10">
        <f>Ekstra!U314</f>
        <v/>
      </c>
      <c r="J314" s="18">
        <f>IF(B314="","",IF(Murid!F314="TL","TL",IF(H314="","",MIN(100,ROUND(H314+N(I314),2)))))</f>
        <v/>
      </c>
      <c r="K314" s="19">
        <f>IF(J314="","",IF(J314="TL","TL",IF(J314&gt;=80,"A",IF(J314&gt;=60,"B",IF(J314&gt;=40,"C",IF(J314&gt;=20,"D","E"))))))</f>
        <v/>
      </c>
      <c r="L314" s="15">
        <f>IF(K314="","",IF(K314="A","Cemerlang",IF(K314="B","Kepujian",IF(K314="C","Baik",IF(K314="D","Kurang Memuaskan",IF(K314="E","Tidak Memuaskan","Tidak Laksana"))))))</f>
        <v/>
      </c>
    </row>
    <row r="315">
      <c r="A315" s="15">
        <f>Murid!A315</f>
        <v/>
      </c>
      <c r="B315" s="15">
        <f>IF(Murid!B315="","",Murid!B315)</f>
        <v/>
      </c>
      <c r="C315" s="16">
        <f>IF(Murid!C315="","",Murid!C315)</f>
        <v/>
      </c>
      <c r="D315" s="15">
        <f>IF(Murid!E315="","",Murid!E315)</f>
        <v/>
      </c>
      <c r="E315" s="17">
        <f>KP!X315</f>
        <v/>
      </c>
      <c r="F315" s="17">
        <f>UB!X315</f>
        <v/>
      </c>
      <c r="G315" s="17">
        <f>SP!X315</f>
        <v/>
      </c>
      <c r="H315" s="17">
        <f>IF(COUNT(E315:G315)=0,"",ROUND((LARGE(E315:G315,1)+IF(COUNT(E315:G315)&gt;=2,LARGE(E315:G315,2),0))/2,2))</f>
        <v/>
      </c>
      <c r="I315" s="10">
        <f>Ekstra!U315</f>
        <v/>
      </c>
      <c r="J315" s="18">
        <f>IF(B315="","",IF(Murid!F315="TL","TL",IF(H315="","",MIN(100,ROUND(H315+N(I315),2)))))</f>
        <v/>
      </c>
      <c r="K315" s="19">
        <f>IF(J315="","",IF(J315="TL","TL",IF(J315&gt;=80,"A",IF(J315&gt;=60,"B",IF(J315&gt;=40,"C",IF(J315&gt;=20,"D","E"))))))</f>
        <v/>
      </c>
      <c r="L315" s="15">
        <f>IF(K315="","",IF(K315="A","Cemerlang",IF(K315="B","Kepujian",IF(K315="C","Baik",IF(K315="D","Kurang Memuaskan",IF(K315="E","Tidak Memuaskan","Tidak Laksana"))))))</f>
        <v/>
      </c>
    </row>
    <row r="316">
      <c r="A316" s="15">
        <f>Murid!A316</f>
        <v/>
      </c>
      <c r="B316" s="15">
        <f>IF(Murid!B316="","",Murid!B316)</f>
        <v/>
      </c>
      <c r="C316" s="16">
        <f>IF(Murid!C316="","",Murid!C316)</f>
        <v/>
      </c>
      <c r="D316" s="15">
        <f>IF(Murid!E316="","",Murid!E316)</f>
        <v/>
      </c>
      <c r="E316" s="17">
        <f>KP!X316</f>
        <v/>
      </c>
      <c r="F316" s="17">
        <f>UB!X316</f>
        <v/>
      </c>
      <c r="G316" s="17">
        <f>SP!X316</f>
        <v/>
      </c>
      <c r="H316" s="17">
        <f>IF(COUNT(E316:G316)=0,"",ROUND((LARGE(E316:G316,1)+IF(COUNT(E316:G316)&gt;=2,LARGE(E316:G316,2),0))/2,2))</f>
        <v/>
      </c>
      <c r="I316" s="10">
        <f>Ekstra!U316</f>
        <v/>
      </c>
      <c r="J316" s="18">
        <f>IF(B316="","",IF(Murid!F316="TL","TL",IF(H316="","",MIN(100,ROUND(H316+N(I316),2)))))</f>
        <v/>
      </c>
      <c r="K316" s="19">
        <f>IF(J316="","",IF(J316="TL","TL",IF(J316&gt;=80,"A",IF(J316&gt;=60,"B",IF(J316&gt;=40,"C",IF(J316&gt;=20,"D","E"))))))</f>
        <v/>
      </c>
      <c r="L316" s="15">
        <f>IF(K316="","",IF(K316="A","Cemerlang",IF(K316="B","Kepujian",IF(K316="C","Baik",IF(K316="D","Kurang Memuaskan",IF(K316="E","Tidak Memuaskan","Tidak Laksana"))))))</f>
        <v/>
      </c>
    </row>
    <row r="317">
      <c r="A317" s="15">
        <f>Murid!A317</f>
        <v/>
      </c>
      <c r="B317" s="15">
        <f>IF(Murid!B317="","",Murid!B317)</f>
        <v/>
      </c>
      <c r="C317" s="16">
        <f>IF(Murid!C317="","",Murid!C317)</f>
        <v/>
      </c>
      <c r="D317" s="15">
        <f>IF(Murid!E317="","",Murid!E317)</f>
        <v/>
      </c>
      <c r="E317" s="17">
        <f>KP!X317</f>
        <v/>
      </c>
      <c r="F317" s="17">
        <f>UB!X317</f>
        <v/>
      </c>
      <c r="G317" s="17">
        <f>SP!X317</f>
        <v/>
      </c>
      <c r="H317" s="17">
        <f>IF(COUNT(E317:G317)=0,"",ROUND((LARGE(E317:G317,1)+IF(COUNT(E317:G317)&gt;=2,LARGE(E317:G317,2),0))/2,2))</f>
        <v/>
      </c>
      <c r="I317" s="10">
        <f>Ekstra!U317</f>
        <v/>
      </c>
      <c r="J317" s="18">
        <f>IF(B317="","",IF(Murid!F317="TL","TL",IF(H317="","",MIN(100,ROUND(H317+N(I317),2)))))</f>
        <v/>
      </c>
      <c r="K317" s="19">
        <f>IF(J317="","",IF(J317="TL","TL",IF(J317&gt;=80,"A",IF(J317&gt;=60,"B",IF(J317&gt;=40,"C",IF(J317&gt;=20,"D","E"))))))</f>
        <v/>
      </c>
      <c r="L317" s="15">
        <f>IF(K317="","",IF(K317="A","Cemerlang",IF(K317="B","Kepujian",IF(K317="C","Baik",IF(K317="D","Kurang Memuaskan",IF(K317="E","Tidak Memuaskan","Tidak Laksana"))))))</f>
        <v/>
      </c>
    </row>
    <row r="318">
      <c r="A318" s="15">
        <f>Murid!A318</f>
        <v/>
      </c>
      <c r="B318" s="15">
        <f>IF(Murid!B318="","",Murid!B318)</f>
        <v/>
      </c>
      <c r="C318" s="16">
        <f>IF(Murid!C318="","",Murid!C318)</f>
        <v/>
      </c>
      <c r="D318" s="15">
        <f>IF(Murid!E318="","",Murid!E318)</f>
        <v/>
      </c>
      <c r="E318" s="17">
        <f>KP!X318</f>
        <v/>
      </c>
      <c r="F318" s="17">
        <f>UB!X318</f>
        <v/>
      </c>
      <c r="G318" s="17">
        <f>SP!X318</f>
        <v/>
      </c>
      <c r="H318" s="17">
        <f>IF(COUNT(E318:G318)=0,"",ROUND((LARGE(E318:G318,1)+IF(COUNT(E318:G318)&gt;=2,LARGE(E318:G318,2),0))/2,2))</f>
        <v/>
      </c>
      <c r="I318" s="10">
        <f>Ekstra!U318</f>
        <v/>
      </c>
      <c r="J318" s="18">
        <f>IF(B318="","",IF(Murid!F318="TL","TL",IF(H318="","",MIN(100,ROUND(H318+N(I318),2)))))</f>
        <v/>
      </c>
      <c r="K318" s="19">
        <f>IF(J318="","",IF(J318="TL","TL",IF(J318&gt;=80,"A",IF(J318&gt;=60,"B",IF(J318&gt;=40,"C",IF(J318&gt;=20,"D","E"))))))</f>
        <v/>
      </c>
      <c r="L318" s="15">
        <f>IF(K318="","",IF(K318="A","Cemerlang",IF(K318="B","Kepujian",IF(K318="C","Baik",IF(K318="D","Kurang Memuaskan",IF(K318="E","Tidak Memuaskan","Tidak Laksana"))))))</f>
        <v/>
      </c>
    </row>
    <row r="319">
      <c r="A319" s="15">
        <f>Murid!A319</f>
        <v/>
      </c>
      <c r="B319" s="15">
        <f>IF(Murid!B319="","",Murid!B319)</f>
        <v/>
      </c>
      <c r="C319" s="16">
        <f>IF(Murid!C319="","",Murid!C319)</f>
        <v/>
      </c>
      <c r="D319" s="15">
        <f>IF(Murid!E319="","",Murid!E319)</f>
        <v/>
      </c>
      <c r="E319" s="17">
        <f>KP!X319</f>
        <v/>
      </c>
      <c r="F319" s="17">
        <f>UB!X319</f>
        <v/>
      </c>
      <c r="G319" s="17">
        <f>SP!X319</f>
        <v/>
      </c>
      <c r="H319" s="17">
        <f>IF(COUNT(E319:G319)=0,"",ROUND((LARGE(E319:G319,1)+IF(COUNT(E319:G319)&gt;=2,LARGE(E319:G319,2),0))/2,2))</f>
        <v/>
      </c>
      <c r="I319" s="10">
        <f>Ekstra!U319</f>
        <v/>
      </c>
      <c r="J319" s="18">
        <f>IF(B319="","",IF(Murid!F319="TL","TL",IF(H319="","",MIN(100,ROUND(H319+N(I319),2)))))</f>
        <v/>
      </c>
      <c r="K319" s="19">
        <f>IF(J319="","",IF(J319="TL","TL",IF(J319&gt;=80,"A",IF(J319&gt;=60,"B",IF(J319&gt;=40,"C",IF(J319&gt;=20,"D","E"))))))</f>
        <v/>
      </c>
      <c r="L319" s="15">
        <f>IF(K319="","",IF(K319="A","Cemerlang",IF(K319="B","Kepujian",IF(K319="C","Baik",IF(K319="D","Kurang Memuaskan",IF(K319="E","Tidak Memuaskan","Tidak Laksana"))))))</f>
        <v/>
      </c>
    </row>
    <row r="320">
      <c r="A320" s="15">
        <f>Murid!A320</f>
        <v/>
      </c>
      <c r="B320" s="15">
        <f>IF(Murid!B320="","",Murid!B320)</f>
        <v/>
      </c>
      <c r="C320" s="16">
        <f>IF(Murid!C320="","",Murid!C320)</f>
        <v/>
      </c>
      <c r="D320" s="15">
        <f>IF(Murid!E320="","",Murid!E320)</f>
        <v/>
      </c>
      <c r="E320" s="17">
        <f>KP!X320</f>
        <v/>
      </c>
      <c r="F320" s="17">
        <f>UB!X320</f>
        <v/>
      </c>
      <c r="G320" s="17">
        <f>SP!X320</f>
        <v/>
      </c>
      <c r="H320" s="17">
        <f>IF(COUNT(E320:G320)=0,"",ROUND((LARGE(E320:G320,1)+IF(COUNT(E320:G320)&gt;=2,LARGE(E320:G320,2),0))/2,2))</f>
        <v/>
      </c>
      <c r="I320" s="10">
        <f>Ekstra!U320</f>
        <v/>
      </c>
      <c r="J320" s="18">
        <f>IF(B320="","",IF(Murid!F320="TL","TL",IF(H320="","",MIN(100,ROUND(H320+N(I320),2)))))</f>
        <v/>
      </c>
      <c r="K320" s="19">
        <f>IF(J320="","",IF(J320="TL","TL",IF(J320&gt;=80,"A",IF(J320&gt;=60,"B",IF(J320&gt;=40,"C",IF(J320&gt;=20,"D","E"))))))</f>
        <v/>
      </c>
      <c r="L320" s="15">
        <f>IF(K320="","",IF(K320="A","Cemerlang",IF(K320="B","Kepujian",IF(K320="C","Baik",IF(K320="D","Kurang Memuaskan",IF(K320="E","Tidak Memuaskan","Tidak Laksana"))))))</f>
        <v/>
      </c>
    </row>
    <row r="321">
      <c r="A321" s="15">
        <f>Murid!A321</f>
        <v/>
      </c>
      <c r="B321" s="15">
        <f>IF(Murid!B321="","",Murid!B321)</f>
        <v/>
      </c>
      <c r="C321" s="16">
        <f>IF(Murid!C321="","",Murid!C321)</f>
        <v/>
      </c>
      <c r="D321" s="15">
        <f>IF(Murid!E321="","",Murid!E321)</f>
        <v/>
      </c>
      <c r="E321" s="17">
        <f>KP!X321</f>
        <v/>
      </c>
      <c r="F321" s="17">
        <f>UB!X321</f>
        <v/>
      </c>
      <c r="G321" s="17">
        <f>SP!X321</f>
        <v/>
      </c>
      <c r="H321" s="17">
        <f>IF(COUNT(E321:G321)=0,"",ROUND((LARGE(E321:G321,1)+IF(COUNT(E321:G321)&gt;=2,LARGE(E321:G321,2),0))/2,2))</f>
        <v/>
      </c>
      <c r="I321" s="10">
        <f>Ekstra!U321</f>
        <v/>
      </c>
      <c r="J321" s="18">
        <f>IF(B321="","",IF(Murid!F321="TL","TL",IF(H321="","",MIN(100,ROUND(H321+N(I321),2)))))</f>
        <v/>
      </c>
      <c r="K321" s="19">
        <f>IF(J321="","",IF(J321="TL","TL",IF(J321&gt;=80,"A",IF(J321&gt;=60,"B",IF(J321&gt;=40,"C",IF(J321&gt;=20,"D","E"))))))</f>
        <v/>
      </c>
      <c r="L321" s="15">
        <f>IF(K321="","",IF(K321="A","Cemerlang",IF(K321="B","Kepujian",IF(K321="C","Baik",IF(K321="D","Kurang Memuaskan",IF(K321="E","Tidak Memuaskan","Tidak Laksana"))))))</f>
        <v/>
      </c>
    </row>
    <row r="322">
      <c r="A322" s="15">
        <f>Murid!A322</f>
        <v/>
      </c>
      <c r="B322" s="15">
        <f>IF(Murid!B322="","",Murid!B322)</f>
        <v/>
      </c>
      <c r="C322" s="16">
        <f>IF(Murid!C322="","",Murid!C322)</f>
        <v/>
      </c>
      <c r="D322" s="15">
        <f>IF(Murid!E322="","",Murid!E322)</f>
        <v/>
      </c>
      <c r="E322" s="17">
        <f>KP!X322</f>
        <v/>
      </c>
      <c r="F322" s="17">
        <f>UB!X322</f>
        <v/>
      </c>
      <c r="G322" s="17">
        <f>SP!X322</f>
        <v/>
      </c>
      <c r="H322" s="17">
        <f>IF(COUNT(E322:G322)=0,"",ROUND((LARGE(E322:G322,1)+IF(COUNT(E322:G322)&gt;=2,LARGE(E322:G322,2),0))/2,2))</f>
        <v/>
      </c>
      <c r="I322" s="10">
        <f>Ekstra!U322</f>
        <v/>
      </c>
      <c r="J322" s="18">
        <f>IF(B322="","",IF(Murid!F322="TL","TL",IF(H322="","",MIN(100,ROUND(H322+N(I322),2)))))</f>
        <v/>
      </c>
      <c r="K322" s="19">
        <f>IF(J322="","",IF(J322="TL","TL",IF(J322&gt;=80,"A",IF(J322&gt;=60,"B",IF(J322&gt;=40,"C",IF(J322&gt;=20,"D","E"))))))</f>
        <v/>
      </c>
      <c r="L322" s="15">
        <f>IF(K322="","",IF(K322="A","Cemerlang",IF(K322="B","Kepujian",IF(K322="C","Baik",IF(K322="D","Kurang Memuaskan",IF(K322="E","Tidak Memuaskan","Tidak Laksana"))))))</f>
        <v/>
      </c>
    </row>
    <row r="323">
      <c r="A323" s="15">
        <f>Murid!A323</f>
        <v/>
      </c>
      <c r="B323" s="15">
        <f>IF(Murid!B323="","",Murid!B323)</f>
        <v/>
      </c>
      <c r="C323" s="16">
        <f>IF(Murid!C323="","",Murid!C323)</f>
        <v/>
      </c>
      <c r="D323" s="15">
        <f>IF(Murid!E323="","",Murid!E323)</f>
        <v/>
      </c>
      <c r="E323" s="17">
        <f>KP!X323</f>
        <v/>
      </c>
      <c r="F323" s="17">
        <f>UB!X323</f>
        <v/>
      </c>
      <c r="G323" s="17">
        <f>SP!X323</f>
        <v/>
      </c>
      <c r="H323" s="17">
        <f>IF(COUNT(E323:G323)=0,"",ROUND((LARGE(E323:G323,1)+IF(COUNT(E323:G323)&gt;=2,LARGE(E323:G323,2),0))/2,2))</f>
        <v/>
      </c>
      <c r="I323" s="10">
        <f>Ekstra!U323</f>
        <v/>
      </c>
      <c r="J323" s="18">
        <f>IF(B323="","",IF(Murid!F323="TL","TL",IF(H323="","",MIN(100,ROUND(H323+N(I323),2)))))</f>
        <v/>
      </c>
      <c r="K323" s="19">
        <f>IF(J323="","",IF(J323="TL","TL",IF(J323&gt;=80,"A",IF(J323&gt;=60,"B",IF(J323&gt;=40,"C",IF(J323&gt;=20,"D","E"))))))</f>
        <v/>
      </c>
      <c r="L323" s="15">
        <f>IF(K323="","",IF(K323="A","Cemerlang",IF(K323="B","Kepujian",IF(K323="C","Baik",IF(K323="D","Kurang Memuaskan",IF(K323="E","Tidak Memuaskan","Tidak Laksana"))))))</f>
        <v/>
      </c>
    </row>
    <row r="324">
      <c r="A324" s="15">
        <f>Murid!A324</f>
        <v/>
      </c>
      <c r="B324" s="15">
        <f>IF(Murid!B324="","",Murid!B324)</f>
        <v/>
      </c>
      <c r="C324" s="16">
        <f>IF(Murid!C324="","",Murid!C324)</f>
        <v/>
      </c>
      <c r="D324" s="15">
        <f>IF(Murid!E324="","",Murid!E324)</f>
        <v/>
      </c>
      <c r="E324" s="17">
        <f>KP!X324</f>
        <v/>
      </c>
      <c r="F324" s="17">
        <f>UB!X324</f>
        <v/>
      </c>
      <c r="G324" s="17">
        <f>SP!X324</f>
        <v/>
      </c>
      <c r="H324" s="17">
        <f>IF(COUNT(E324:G324)=0,"",ROUND((LARGE(E324:G324,1)+IF(COUNT(E324:G324)&gt;=2,LARGE(E324:G324,2),0))/2,2))</f>
        <v/>
      </c>
      <c r="I324" s="10">
        <f>Ekstra!U324</f>
        <v/>
      </c>
      <c r="J324" s="18">
        <f>IF(B324="","",IF(Murid!F324="TL","TL",IF(H324="","",MIN(100,ROUND(H324+N(I324),2)))))</f>
        <v/>
      </c>
      <c r="K324" s="19">
        <f>IF(J324="","",IF(J324="TL","TL",IF(J324&gt;=80,"A",IF(J324&gt;=60,"B",IF(J324&gt;=40,"C",IF(J324&gt;=20,"D","E"))))))</f>
        <v/>
      </c>
      <c r="L324" s="15">
        <f>IF(K324="","",IF(K324="A","Cemerlang",IF(K324="B","Kepujian",IF(K324="C","Baik",IF(K324="D","Kurang Memuaskan",IF(K324="E","Tidak Memuaskan","Tidak Laksana"))))))</f>
        <v/>
      </c>
    </row>
    <row r="325">
      <c r="A325" s="15">
        <f>Murid!A325</f>
        <v/>
      </c>
      <c r="B325" s="15">
        <f>IF(Murid!B325="","",Murid!B325)</f>
        <v/>
      </c>
      <c r="C325" s="16">
        <f>IF(Murid!C325="","",Murid!C325)</f>
        <v/>
      </c>
      <c r="D325" s="15">
        <f>IF(Murid!E325="","",Murid!E325)</f>
        <v/>
      </c>
      <c r="E325" s="17">
        <f>KP!X325</f>
        <v/>
      </c>
      <c r="F325" s="17">
        <f>UB!X325</f>
        <v/>
      </c>
      <c r="G325" s="17">
        <f>SP!X325</f>
        <v/>
      </c>
      <c r="H325" s="17">
        <f>IF(COUNT(E325:G325)=0,"",ROUND((LARGE(E325:G325,1)+IF(COUNT(E325:G325)&gt;=2,LARGE(E325:G325,2),0))/2,2))</f>
        <v/>
      </c>
      <c r="I325" s="10">
        <f>Ekstra!U325</f>
        <v/>
      </c>
      <c r="J325" s="18">
        <f>IF(B325="","",IF(Murid!F325="TL","TL",IF(H325="","",MIN(100,ROUND(H325+N(I325),2)))))</f>
        <v/>
      </c>
      <c r="K325" s="19">
        <f>IF(J325="","",IF(J325="TL","TL",IF(J325&gt;=80,"A",IF(J325&gt;=60,"B",IF(J325&gt;=40,"C",IF(J325&gt;=20,"D","E"))))))</f>
        <v/>
      </c>
      <c r="L325" s="15">
        <f>IF(K325="","",IF(K325="A","Cemerlang",IF(K325="B","Kepujian",IF(K325="C","Baik",IF(K325="D","Kurang Memuaskan",IF(K325="E","Tidak Memuaskan","Tidak Laksana"))))))</f>
        <v/>
      </c>
    </row>
    <row r="326">
      <c r="A326" s="15">
        <f>Murid!A326</f>
        <v/>
      </c>
      <c r="B326" s="15">
        <f>IF(Murid!B326="","",Murid!B326)</f>
        <v/>
      </c>
      <c r="C326" s="16">
        <f>IF(Murid!C326="","",Murid!C326)</f>
        <v/>
      </c>
      <c r="D326" s="15">
        <f>IF(Murid!E326="","",Murid!E326)</f>
        <v/>
      </c>
      <c r="E326" s="17">
        <f>KP!X326</f>
        <v/>
      </c>
      <c r="F326" s="17">
        <f>UB!X326</f>
        <v/>
      </c>
      <c r="G326" s="17">
        <f>SP!X326</f>
        <v/>
      </c>
      <c r="H326" s="17">
        <f>IF(COUNT(E326:G326)=0,"",ROUND((LARGE(E326:G326,1)+IF(COUNT(E326:G326)&gt;=2,LARGE(E326:G326,2),0))/2,2))</f>
        <v/>
      </c>
      <c r="I326" s="10">
        <f>Ekstra!U326</f>
        <v/>
      </c>
      <c r="J326" s="18">
        <f>IF(B326="","",IF(Murid!F326="TL","TL",IF(H326="","",MIN(100,ROUND(H326+N(I326),2)))))</f>
        <v/>
      </c>
      <c r="K326" s="19">
        <f>IF(J326="","",IF(J326="TL","TL",IF(J326&gt;=80,"A",IF(J326&gt;=60,"B",IF(J326&gt;=40,"C",IF(J326&gt;=20,"D","E"))))))</f>
        <v/>
      </c>
      <c r="L326" s="15">
        <f>IF(K326="","",IF(K326="A","Cemerlang",IF(K326="B","Kepujian",IF(K326="C","Baik",IF(K326="D","Kurang Memuaskan",IF(K326="E","Tidak Memuaskan","Tidak Laksana"))))))</f>
        <v/>
      </c>
    </row>
    <row r="327">
      <c r="A327" s="15">
        <f>Murid!A327</f>
        <v/>
      </c>
      <c r="B327" s="15">
        <f>IF(Murid!B327="","",Murid!B327)</f>
        <v/>
      </c>
      <c r="C327" s="16">
        <f>IF(Murid!C327="","",Murid!C327)</f>
        <v/>
      </c>
      <c r="D327" s="15">
        <f>IF(Murid!E327="","",Murid!E327)</f>
        <v/>
      </c>
      <c r="E327" s="17">
        <f>KP!X327</f>
        <v/>
      </c>
      <c r="F327" s="17">
        <f>UB!X327</f>
        <v/>
      </c>
      <c r="G327" s="17">
        <f>SP!X327</f>
        <v/>
      </c>
      <c r="H327" s="17">
        <f>IF(COUNT(E327:G327)=0,"",ROUND((LARGE(E327:G327,1)+IF(COUNT(E327:G327)&gt;=2,LARGE(E327:G327,2),0))/2,2))</f>
        <v/>
      </c>
      <c r="I327" s="10">
        <f>Ekstra!U327</f>
        <v/>
      </c>
      <c r="J327" s="18">
        <f>IF(B327="","",IF(Murid!F327="TL","TL",IF(H327="","",MIN(100,ROUND(H327+N(I327),2)))))</f>
        <v/>
      </c>
      <c r="K327" s="19">
        <f>IF(J327="","",IF(J327="TL","TL",IF(J327&gt;=80,"A",IF(J327&gt;=60,"B",IF(J327&gt;=40,"C",IF(J327&gt;=20,"D","E"))))))</f>
        <v/>
      </c>
      <c r="L327" s="15">
        <f>IF(K327="","",IF(K327="A","Cemerlang",IF(K327="B","Kepujian",IF(K327="C","Baik",IF(K327="D","Kurang Memuaskan",IF(K327="E","Tidak Memuaskan","Tidak Laksana"))))))</f>
        <v/>
      </c>
    </row>
    <row r="328">
      <c r="A328" s="15">
        <f>Murid!A328</f>
        <v/>
      </c>
      <c r="B328" s="15">
        <f>IF(Murid!B328="","",Murid!B328)</f>
        <v/>
      </c>
      <c r="C328" s="16">
        <f>IF(Murid!C328="","",Murid!C328)</f>
        <v/>
      </c>
      <c r="D328" s="15">
        <f>IF(Murid!E328="","",Murid!E328)</f>
        <v/>
      </c>
      <c r="E328" s="17">
        <f>KP!X328</f>
        <v/>
      </c>
      <c r="F328" s="17">
        <f>UB!X328</f>
        <v/>
      </c>
      <c r="G328" s="17">
        <f>SP!X328</f>
        <v/>
      </c>
      <c r="H328" s="17">
        <f>IF(COUNT(E328:G328)=0,"",ROUND((LARGE(E328:G328,1)+IF(COUNT(E328:G328)&gt;=2,LARGE(E328:G328,2),0))/2,2))</f>
        <v/>
      </c>
      <c r="I328" s="10">
        <f>Ekstra!U328</f>
        <v/>
      </c>
      <c r="J328" s="18">
        <f>IF(B328="","",IF(Murid!F328="TL","TL",IF(H328="","",MIN(100,ROUND(H328+N(I328),2)))))</f>
        <v/>
      </c>
      <c r="K328" s="19">
        <f>IF(J328="","",IF(J328="TL","TL",IF(J328&gt;=80,"A",IF(J328&gt;=60,"B",IF(J328&gt;=40,"C",IF(J328&gt;=20,"D","E"))))))</f>
        <v/>
      </c>
      <c r="L328" s="15">
        <f>IF(K328="","",IF(K328="A","Cemerlang",IF(K328="B","Kepujian",IF(K328="C","Baik",IF(K328="D","Kurang Memuaskan",IF(K328="E","Tidak Memuaskan","Tidak Laksana"))))))</f>
        <v/>
      </c>
    </row>
    <row r="329">
      <c r="A329" s="15">
        <f>Murid!A329</f>
        <v/>
      </c>
      <c r="B329" s="15">
        <f>IF(Murid!B329="","",Murid!B329)</f>
        <v/>
      </c>
      <c r="C329" s="16">
        <f>IF(Murid!C329="","",Murid!C329)</f>
        <v/>
      </c>
      <c r="D329" s="15">
        <f>IF(Murid!E329="","",Murid!E329)</f>
        <v/>
      </c>
      <c r="E329" s="17">
        <f>KP!X329</f>
        <v/>
      </c>
      <c r="F329" s="17">
        <f>UB!X329</f>
        <v/>
      </c>
      <c r="G329" s="17">
        <f>SP!X329</f>
        <v/>
      </c>
      <c r="H329" s="17">
        <f>IF(COUNT(E329:G329)=0,"",ROUND((LARGE(E329:G329,1)+IF(COUNT(E329:G329)&gt;=2,LARGE(E329:G329,2),0))/2,2))</f>
        <v/>
      </c>
      <c r="I329" s="10">
        <f>Ekstra!U329</f>
        <v/>
      </c>
      <c r="J329" s="18">
        <f>IF(B329="","",IF(Murid!F329="TL","TL",IF(H329="","",MIN(100,ROUND(H329+N(I329),2)))))</f>
        <v/>
      </c>
      <c r="K329" s="19">
        <f>IF(J329="","",IF(J329="TL","TL",IF(J329&gt;=80,"A",IF(J329&gt;=60,"B",IF(J329&gt;=40,"C",IF(J329&gt;=20,"D","E"))))))</f>
        <v/>
      </c>
      <c r="L329" s="15">
        <f>IF(K329="","",IF(K329="A","Cemerlang",IF(K329="B","Kepujian",IF(K329="C","Baik",IF(K329="D","Kurang Memuaskan",IF(K329="E","Tidak Memuaskan","Tidak Laksana"))))))</f>
        <v/>
      </c>
    </row>
    <row r="330">
      <c r="A330" s="15">
        <f>Murid!A330</f>
        <v/>
      </c>
      <c r="B330" s="15">
        <f>IF(Murid!B330="","",Murid!B330)</f>
        <v/>
      </c>
      <c r="C330" s="16">
        <f>IF(Murid!C330="","",Murid!C330)</f>
        <v/>
      </c>
      <c r="D330" s="15">
        <f>IF(Murid!E330="","",Murid!E330)</f>
        <v/>
      </c>
      <c r="E330" s="17">
        <f>KP!X330</f>
        <v/>
      </c>
      <c r="F330" s="17">
        <f>UB!X330</f>
        <v/>
      </c>
      <c r="G330" s="17">
        <f>SP!X330</f>
        <v/>
      </c>
      <c r="H330" s="17">
        <f>IF(COUNT(E330:G330)=0,"",ROUND((LARGE(E330:G330,1)+IF(COUNT(E330:G330)&gt;=2,LARGE(E330:G330,2),0))/2,2))</f>
        <v/>
      </c>
      <c r="I330" s="10">
        <f>Ekstra!U330</f>
        <v/>
      </c>
      <c r="J330" s="18">
        <f>IF(B330="","",IF(Murid!F330="TL","TL",IF(H330="","",MIN(100,ROUND(H330+N(I330),2)))))</f>
        <v/>
      </c>
      <c r="K330" s="19">
        <f>IF(J330="","",IF(J330="TL","TL",IF(J330&gt;=80,"A",IF(J330&gt;=60,"B",IF(J330&gt;=40,"C",IF(J330&gt;=20,"D","E"))))))</f>
        <v/>
      </c>
      <c r="L330" s="15">
        <f>IF(K330="","",IF(K330="A","Cemerlang",IF(K330="B","Kepujian",IF(K330="C","Baik",IF(K330="D","Kurang Memuaskan",IF(K330="E","Tidak Memuaskan","Tidak Laksana"))))))</f>
        <v/>
      </c>
    </row>
    <row r="331">
      <c r="A331" s="15">
        <f>Murid!A331</f>
        <v/>
      </c>
      <c r="B331" s="15">
        <f>IF(Murid!B331="","",Murid!B331)</f>
        <v/>
      </c>
      <c r="C331" s="16">
        <f>IF(Murid!C331="","",Murid!C331)</f>
        <v/>
      </c>
      <c r="D331" s="15">
        <f>IF(Murid!E331="","",Murid!E331)</f>
        <v/>
      </c>
      <c r="E331" s="17">
        <f>KP!X331</f>
        <v/>
      </c>
      <c r="F331" s="17">
        <f>UB!X331</f>
        <v/>
      </c>
      <c r="G331" s="17">
        <f>SP!X331</f>
        <v/>
      </c>
      <c r="H331" s="17">
        <f>IF(COUNT(E331:G331)=0,"",ROUND((LARGE(E331:G331,1)+IF(COUNT(E331:G331)&gt;=2,LARGE(E331:G331,2),0))/2,2))</f>
        <v/>
      </c>
      <c r="I331" s="10">
        <f>Ekstra!U331</f>
        <v/>
      </c>
      <c r="J331" s="18">
        <f>IF(B331="","",IF(Murid!F331="TL","TL",IF(H331="","",MIN(100,ROUND(H331+N(I331),2)))))</f>
        <v/>
      </c>
      <c r="K331" s="19">
        <f>IF(J331="","",IF(J331="TL","TL",IF(J331&gt;=80,"A",IF(J331&gt;=60,"B",IF(J331&gt;=40,"C",IF(J331&gt;=20,"D","E"))))))</f>
        <v/>
      </c>
      <c r="L331" s="15">
        <f>IF(K331="","",IF(K331="A","Cemerlang",IF(K331="B","Kepujian",IF(K331="C","Baik",IF(K331="D","Kurang Memuaskan",IF(K331="E","Tidak Memuaskan","Tidak Laksana"))))))</f>
        <v/>
      </c>
    </row>
    <row r="332">
      <c r="A332" s="15">
        <f>Murid!A332</f>
        <v/>
      </c>
      <c r="B332" s="15">
        <f>IF(Murid!B332="","",Murid!B332)</f>
        <v/>
      </c>
      <c r="C332" s="16">
        <f>IF(Murid!C332="","",Murid!C332)</f>
        <v/>
      </c>
      <c r="D332" s="15">
        <f>IF(Murid!E332="","",Murid!E332)</f>
        <v/>
      </c>
      <c r="E332" s="17">
        <f>KP!X332</f>
        <v/>
      </c>
      <c r="F332" s="17">
        <f>UB!X332</f>
        <v/>
      </c>
      <c r="G332" s="17">
        <f>SP!X332</f>
        <v/>
      </c>
      <c r="H332" s="17">
        <f>IF(COUNT(E332:G332)=0,"",ROUND((LARGE(E332:G332,1)+IF(COUNT(E332:G332)&gt;=2,LARGE(E332:G332,2),0))/2,2))</f>
        <v/>
      </c>
      <c r="I332" s="10">
        <f>Ekstra!U332</f>
        <v/>
      </c>
      <c r="J332" s="18">
        <f>IF(B332="","",IF(Murid!F332="TL","TL",IF(H332="","",MIN(100,ROUND(H332+N(I332),2)))))</f>
        <v/>
      </c>
      <c r="K332" s="19">
        <f>IF(J332="","",IF(J332="TL","TL",IF(J332&gt;=80,"A",IF(J332&gt;=60,"B",IF(J332&gt;=40,"C",IF(J332&gt;=20,"D","E"))))))</f>
        <v/>
      </c>
      <c r="L332" s="15">
        <f>IF(K332="","",IF(K332="A","Cemerlang",IF(K332="B","Kepujian",IF(K332="C","Baik",IF(K332="D","Kurang Memuaskan",IF(K332="E","Tidak Memuaskan","Tidak Laksana"))))))</f>
        <v/>
      </c>
    </row>
    <row r="333">
      <c r="A333" s="15">
        <f>Murid!A333</f>
        <v/>
      </c>
      <c r="B333" s="15">
        <f>IF(Murid!B333="","",Murid!B333)</f>
        <v/>
      </c>
      <c r="C333" s="16">
        <f>IF(Murid!C333="","",Murid!C333)</f>
        <v/>
      </c>
      <c r="D333" s="15">
        <f>IF(Murid!E333="","",Murid!E333)</f>
        <v/>
      </c>
      <c r="E333" s="17">
        <f>KP!X333</f>
        <v/>
      </c>
      <c r="F333" s="17">
        <f>UB!X333</f>
        <v/>
      </c>
      <c r="G333" s="17">
        <f>SP!X333</f>
        <v/>
      </c>
      <c r="H333" s="17">
        <f>IF(COUNT(E333:G333)=0,"",ROUND((LARGE(E333:G333,1)+IF(COUNT(E333:G333)&gt;=2,LARGE(E333:G333,2),0))/2,2))</f>
        <v/>
      </c>
      <c r="I333" s="10">
        <f>Ekstra!U333</f>
        <v/>
      </c>
      <c r="J333" s="18">
        <f>IF(B333="","",IF(Murid!F333="TL","TL",IF(H333="","",MIN(100,ROUND(H333+N(I333),2)))))</f>
        <v/>
      </c>
      <c r="K333" s="19">
        <f>IF(J333="","",IF(J333="TL","TL",IF(J333&gt;=80,"A",IF(J333&gt;=60,"B",IF(J333&gt;=40,"C",IF(J333&gt;=20,"D","E"))))))</f>
        <v/>
      </c>
      <c r="L333" s="15">
        <f>IF(K333="","",IF(K333="A","Cemerlang",IF(K333="B","Kepujian",IF(K333="C","Baik",IF(K333="D","Kurang Memuaskan",IF(K333="E","Tidak Memuaskan","Tidak Laksana"))))))</f>
        <v/>
      </c>
    </row>
    <row r="334">
      <c r="A334" s="15">
        <f>Murid!A334</f>
        <v/>
      </c>
      <c r="B334" s="15">
        <f>IF(Murid!B334="","",Murid!B334)</f>
        <v/>
      </c>
      <c r="C334" s="16">
        <f>IF(Murid!C334="","",Murid!C334)</f>
        <v/>
      </c>
      <c r="D334" s="15">
        <f>IF(Murid!E334="","",Murid!E334)</f>
        <v/>
      </c>
      <c r="E334" s="17">
        <f>KP!X334</f>
        <v/>
      </c>
      <c r="F334" s="17">
        <f>UB!X334</f>
        <v/>
      </c>
      <c r="G334" s="17">
        <f>SP!X334</f>
        <v/>
      </c>
      <c r="H334" s="17">
        <f>IF(COUNT(E334:G334)=0,"",ROUND((LARGE(E334:G334,1)+IF(COUNT(E334:G334)&gt;=2,LARGE(E334:G334,2),0))/2,2))</f>
        <v/>
      </c>
      <c r="I334" s="10">
        <f>Ekstra!U334</f>
        <v/>
      </c>
      <c r="J334" s="18">
        <f>IF(B334="","",IF(Murid!F334="TL","TL",IF(H334="","",MIN(100,ROUND(H334+N(I334),2)))))</f>
        <v/>
      </c>
      <c r="K334" s="19">
        <f>IF(J334="","",IF(J334="TL","TL",IF(J334&gt;=80,"A",IF(J334&gt;=60,"B",IF(J334&gt;=40,"C",IF(J334&gt;=20,"D","E"))))))</f>
        <v/>
      </c>
      <c r="L334" s="15">
        <f>IF(K334="","",IF(K334="A","Cemerlang",IF(K334="B","Kepujian",IF(K334="C","Baik",IF(K334="D","Kurang Memuaskan",IF(K334="E","Tidak Memuaskan","Tidak Laksana"))))))</f>
        <v/>
      </c>
    </row>
    <row r="335">
      <c r="A335" s="15">
        <f>Murid!A335</f>
        <v/>
      </c>
      <c r="B335" s="15">
        <f>IF(Murid!B335="","",Murid!B335)</f>
        <v/>
      </c>
      <c r="C335" s="16">
        <f>IF(Murid!C335="","",Murid!C335)</f>
        <v/>
      </c>
      <c r="D335" s="15">
        <f>IF(Murid!E335="","",Murid!E335)</f>
        <v/>
      </c>
      <c r="E335" s="17">
        <f>KP!X335</f>
        <v/>
      </c>
      <c r="F335" s="17">
        <f>UB!X335</f>
        <v/>
      </c>
      <c r="G335" s="17">
        <f>SP!X335</f>
        <v/>
      </c>
      <c r="H335" s="17">
        <f>IF(COUNT(E335:G335)=0,"",ROUND((LARGE(E335:G335,1)+IF(COUNT(E335:G335)&gt;=2,LARGE(E335:G335,2),0))/2,2))</f>
        <v/>
      </c>
      <c r="I335" s="10">
        <f>Ekstra!U335</f>
        <v/>
      </c>
      <c r="J335" s="18">
        <f>IF(B335="","",IF(Murid!F335="TL","TL",IF(H335="","",MIN(100,ROUND(H335+N(I335),2)))))</f>
        <v/>
      </c>
      <c r="K335" s="19">
        <f>IF(J335="","",IF(J335="TL","TL",IF(J335&gt;=80,"A",IF(J335&gt;=60,"B",IF(J335&gt;=40,"C",IF(J335&gt;=20,"D","E"))))))</f>
        <v/>
      </c>
      <c r="L335" s="15">
        <f>IF(K335="","",IF(K335="A","Cemerlang",IF(K335="B","Kepujian",IF(K335="C","Baik",IF(K335="D","Kurang Memuaskan",IF(K335="E","Tidak Memuaskan","Tidak Laksana"))))))</f>
        <v/>
      </c>
    </row>
    <row r="336">
      <c r="A336" s="15">
        <f>Murid!A336</f>
        <v/>
      </c>
      <c r="B336" s="15">
        <f>IF(Murid!B336="","",Murid!B336)</f>
        <v/>
      </c>
      <c r="C336" s="16">
        <f>IF(Murid!C336="","",Murid!C336)</f>
        <v/>
      </c>
      <c r="D336" s="15">
        <f>IF(Murid!E336="","",Murid!E336)</f>
        <v/>
      </c>
      <c r="E336" s="17">
        <f>KP!X336</f>
        <v/>
      </c>
      <c r="F336" s="17">
        <f>UB!X336</f>
        <v/>
      </c>
      <c r="G336" s="17">
        <f>SP!X336</f>
        <v/>
      </c>
      <c r="H336" s="17">
        <f>IF(COUNT(E336:G336)=0,"",ROUND((LARGE(E336:G336,1)+IF(COUNT(E336:G336)&gt;=2,LARGE(E336:G336,2),0))/2,2))</f>
        <v/>
      </c>
      <c r="I336" s="10">
        <f>Ekstra!U336</f>
        <v/>
      </c>
      <c r="J336" s="18">
        <f>IF(B336="","",IF(Murid!F336="TL","TL",IF(H336="","",MIN(100,ROUND(H336+N(I336),2)))))</f>
        <v/>
      </c>
      <c r="K336" s="19">
        <f>IF(J336="","",IF(J336="TL","TL",IF(J336&gt;=80,"A",IF(J336&gt;=60,"B",IF(J336&gt;=40,"C",IF(J336&gt;=20,"D","E"))))))</f>
        <v/>
      </c>
      <c r="L336" s="15">
        <f>IF(K336="","",IF(K336="A","Cemerlang",IF(K336="B","Kepujian",IF(K336="C","Baik",IF(K336="D","Kurang Memuaskan",IF(K336="E","Tidak Memuaskan","Tidak Laksana"))))))</f>
        <v/>
      </c>
    </row>
    <row r="337">
      <c r="A337" s="15">
        <f>Murid!A337</f>
        <v/>
      </c>
      <c r="B337" s="15">
        <f>IF(Murid!B337="","",Murid!B337)</f>
        <v/>
      </c>
      <c r="C337" s="16">
        <f>IF(Murid!C337="","",Murid!C337)</f>
        <v/>
      </c>
      <c r="D337" s="15">
        <f>IF(Murid!E337="","",Murid!E337)</f>
        <v/>
      </c>
      <c r="E337" s="17">
        <f>KP!X337</f>
        <v/>
      </c>
      <c r="F337" s="17">
        <f>UB!X337</f>
        <v/>
      </c>
      <c r="G337" s="17">
        <f>SP!X337</f>
        <v/>
      </c>
      <c r="H337" s="17">
        <f>IF(COUNT(E337:G337)=0,"",ROUND((LARGE(E337:G337,1)+IF(COUNT(E337:G337)&gt;=2,LARGE(E337:G337,2),0))/2,2))</f>
        <v/>
      </c>
      <c r="I337" s="10">
        <f>Ekstra!U337</f>
        <v/>
      </c>
      <c r="J337" s="18">
        <f>IF(B337="","",IF(Murid!F337="TL","TL",IF(H337="","",MIN(100,ROUND(H337+N(I337),2)))))</f>
        <v/>
      </c>
      <c r="K337" s="19">
        <f>IF(J337="","",IF(J337="TL","TL",IF(J337&gt;=80,"A",IF(J337&gt;=60,"B",IF(J337&gt;=40,"C",IF(J337&gt;=20,"D","E"))))))</f>
        <v/>
      </c>
      <c r="L337" s="15">
        <f>IF(K337="","",IF(K337="A","Cemerlang",IF(K337="B","Kepujian",IF(K337="C","Baik",IF(K337="D","Kurang Memuaskan",IF(K337="E","Tidak Memuaskan","Tidak Laksana"))))))</f>
        <v/>
      </c>
    </row>
    <row r="338">
      <c r="A338" s="15">
        <f>Murid!A338</f>
        <v/>
      </c>
      <c r="B338" s="15">
        <f>IF(Murid!B338="","",Murid!B338)</f>
        <v/>
      </c>
      <c r="C338" s="16">
        <f>IF(Murid!C338="","",Murid!C338)</f>
        <v/>
      </c>
      <c r="D338" s="15">
        <f>IF(Murid!E338="","",Murid!E338)</f>
        <v/>
      </c>
      <c r="E338" s="17">
        <f>KP!X338</f>
        <v/>
      </c>
      <c r="F338" s="17">
        <f>UB!X338</f>
        <v/>
      </c>
      <c r="G338" s="17">
        <f>SP!X338</f>
        <v/>
      </c>
      <c r="H338" s="17">
        <f>IF(COUNT(E338:G338)=0,"",ROUND((LARGE(E338:G338,1)+IF(COUNT(E338:G338)&gt;=2,LARGE(E338:G338,2),0))/2,2))</f>
        <v/>
      </c>
      <c r="I338" s="10">
        <f>Ekstra!U338</f>
        <v/>
      </c>
      <c r="J338" s="18">
        <f>IF(B338="","",IF(Murid!F338="TL","TL",IF(H338="","",MIN(100,ROUND(H338+N(I338),2)))))</f>
        <v/>
      </c>
      <c r="K338" s="19">
        <f>IF(J338="","",IF(J338="TL","TL",IF(J338&gt;=80,"A",IF(J338&gt;=60,"B",IF(J338&gt;=40,"C",IF(J338&gt;=20,"D","E"))))))</f>
        <v/>
      </c>
      <c r="L338" s="15">
        <f>IF(K338="","",IF(K338="A","Cemerlang",IF(K338="B","Kepujian",IF(K338="C","Baik",IF(K338="D","Kurang Memuaskan",IF(K338="E","Tidak Memuaskan","Tidak Laksana"))))))</f>
        <v/>
      </c>
    </row>
    <row r="339">
      <c r="A339" s="15">
        <f>Murid!A339</f>
        <v/>
      </c>
      <c r="B339" s="15">
        <f>IF(Murid!B339="","",Murid!B339)</f>
        <v/>
      </c>
      <c r="C339" s="16">
        <f>IF(Murid!C339="","",Murid!C339)</f>
        <v/>
      </c>
      <c r="D339" s="15">
        <f>IF(Murid!E339="","",Murid!E339)</f>
        <v/>
      </c>
      <c r="E339" s="17">
        <f>KP!X339</f>
        <v/>
      </c>
      <c r="F339" s="17">
        <f>UB!X339</f>
        <v/>
      </c>
      <c r="G339" s="17">
        <f>SP!X339</f>
        <v/>
      </c>
      <c r="H339" s="17">
        <f>IF(COUNT(E339:G339)=0,"",ROUND((LARGE(E339:G339,1)+IF(COUNT(E339:G339)&gt;=2,LARGE(E339:G339,2),0))/2,2))</f>
        <v/>
      </c>
      <c r="I339" s="10">
        <f>Ekstra!U339</f>
        <v/>
      </c>
      <c r="J339" s="18">
        <f>IF(B339="","",IF(Murid!F339="TL","TL",IF(H339="","",MIN(100,ROUND(H339+N(I339),2)))))</f>
        <v/>
      </c>
      <c r="K339" s="19">
        <f>IF(J339="","",IF(J339="TL","TL",IF(J339&gt;=80,"A",IF(J339&gt;=60,"B",IF(J339&gt;=40,"C",IF(J339&gt;=20,"D","E"))))))</f>
        <v/>
      </c>
      <c r="L339" s="15">
        <f>IF(K339="","",IF(K339="A","Cemerlang",IF(K339="B","Kepujian",IF(K339="C","Baik",IF(K339="D","Kurang Memuaskan",IF(K339="E","Tidak Memuaskan","Tidak Laksana"))))))</f>
        <v/>
      </c>
    </row>
    <row r="340">
      <c r="A340" s="15">
        <f>Murid!A340</f>
        <v/>
      </c>
      <c r="B340" s="15">
        <f>IF(Murid!B340="","",Murid!B340)</f>
        <v/>
      </c>
      <c r="C340" s="16">
        <f>IF(Murid!C340="","",Murid!C340)</f>
        <v/>
      </c>
      <c r="D340" s="15">
        <f>IF(Murid!E340="","",Murid!E340)</f>
        <v/>
      </c>
      <c r="E340" s="17">
        <f>KP!X340</f>
        <v/>
      </c>
      <c r="F340" s="17">
        <f>UB!X340</f>
        <v/>
      </c>
      <c r="G340" s="17">
        <f>SP!X340</f>
        <v/>
      </c>
      <c r="H340" s="17">
        <f>IF(COUNT(E340:G340)=0,"",ROUND((LARGE(E340:G340,1)+IF(COUNT(E340:G340)&gt;=2,LARGE(E340:G340,2),0))/2,2))</f>
        <v/>
      </c>
      <c r="I340" s="10">
        <f>Ekstra!U340</f>
        <v/>
      </c>
      <c r="J340" s="18">
        <f>IF(B340="","",IF(Murid!F340="TL","TL",IF(H340="","",MIN(100,ROUND(H340+N(I340),2)))))</f>
        <v/>
      </c>
      <c r="K340" s="19">
        <f>IF(J340="","",IF(J340="TL","TL",IF(J340&gt;=80,"A",IF(J340&gt;=60,"B",IF(J340&gt;=40,"C",IF(J340&gt;=20,"D","E"))))))</f>
        <v/>
      </c>
      <c r="L340" s="15">
        <f>IF(K340="","",IF(K340="A","Cemerlang",IF(K340="B","Kepujian",IF(K340="C","Baik",IF(K340="D","Kurang Memuaskan",IF(K340="E","Tidak Memuaskan","Tidak Laksana"))))))</f>
        <v/>
      </c>
    </row>
    <row r="341">
      <c r="A341" s="15">
        <f>Murid!A341</f>
        <v/>
      </c>
      <c r="B341" s="15">
        <f>IF(Murid!B341="","",Murid!B341)</f>
        <v/>
      </c>
      <c r="C341" s="16">
        <f>IF(Murid!C341="","",Murid!C341)</f>
        <v/>
      </c>
      <c r="D341" s="15">
        <f>IF(Murid!E341="","",Murid!E341)</f>
        <v/>
      </c>
      <c r="E341" s="17">
        <f>KP!X341</f>
        <v/>
      </c>
      <c r="F341" s="17">
        <f>UB!X341</f>
        <v/>
      </c>
      <c r="G341" s="17">
        <f>SP!X341</f>
        <v/>
      </c>
      <c r="H341" s="17">
        <f>IF(COUNT(E341:G341)=0,"",ROUND((LARGE(E341:G341,1)+IF(COUNT(E341:G341)&gt;=2,LARGE(E341:G341,2),0))/2,2))</f>
        <v/>
      </c>
      <c r="I341" s="10">
        <f>Ekstra!U341</f>
        <v/>
      </c>
      <c r="J341" s="18">
        <f>IF(B341="","",IF(Murid!F341="TL","TL",IF(H341="","",MIN(100,ROUND(H341+N(I341),2)))))</f>
        <v/>
      </c>
      <c r="K341" s="19">
        <f>IF(J341="","",IF(J341="TL","TL",IF(J341&gt;=80,"A",IF(J341&gt;=60,"B",IF(J341&gt;=40,"C",IF(J341&gt;=20,"D","E"))))))</f>
        <v/>
      </c>
      <c r="L341" s="15">
        <f>IF(K341="","",IF(K341="A","Cemerlang",IF(K341="B","Kepujian",IF(K341="C","Baik",IF(K341="D","Kurang Memuaskan",IF(K341="E","Tidak Memuaskan","Tidak Laksana"))))))</f>
        <v/>
      </c>
    </row>
    <row r="342">
      <c r="A342" s="15">
        <f>Murid!A342</f>
        <v/>
      </c>
      <c r="B342" s="15">
        <f>IF(Murid!B342="","",Murid!B342)</f>
        <v/>
      </c>
      <c r="C342" s="16">
        <f>IF(Murid!C342="","",Murid!C342)</f>
        <v/>
      </c>
      <c r="D342" s="15">
        <f>IF(Murid!E342="","",Murid!E342)</f>
        <v/>
      </c>
      <c r="E342" s="17">
        <f>KP!X342</f>
        <v/>
      </c>
      <c r="F342" s="17">
        <f>UB!X342</f>
        <v/>
      </c>
      <c r="G342" s="17">
        <f>SP!X342</f>
        <v/>
      </c>
      <c r="H342" s="17">
        <f>IF(COUNT(E342:G342)=0,"",ROUND((LARGE(E342:G342,1)+IF(COUNT(E342:G342)&gt;=2,LARGE(E342:G342,2),0))/2,2))</f>
        <v/>
      </c>
      <c r="I342" s="10">
        <f>Ekstra!U342</f>
        <v/>
      </c>
      <c r="J342" s="18">
        <f>IF(B342="","",IF(Murid!F342="TL","TL",IF(H342="","",MIN(100,ROUND(H342+N(I342),2)))))</f>
        <v/>
      </c>
      <c r="K342" s="19">
        <f>IF(J342="","",IF(J342="TL","TL",IF(J342&gt;=80,"A",IF(J342&gt;=60,"B",IF(J342&gt;=40,"C",IF(J342&gt;=20,"D","E"))))))</f>
        <v/>
      </c>
      <c r="L342" s="15">
        <f>IF(K342="","",IF(K342="A","Cemerlang",IF(K342="B","Kepujian",IF(K342="C","Baik",IF(K342="D","Kurang Memuaskan",IF(K342="E","Tidak Memuaskan","Tidak Laksana"))))))</f>
        <v/>
      </c>
    </row>
    <row r="343">
      <c r="A343" s="15">
        <f>Murid!A343</f>
        <v/>
      </c>
      <c r="B343" s="15">
        <f>IF(Murid!B343="","",Murid!B343)</f>
        <v/>
      </c>
      <c r="C343" s="16">
        <f>IF(Murid!C343="","",Murid!C343)</f>
        <v/>
      </c>
      <c r="D343" s="15">
        <f>IF(Murid!E343="","",Murid!E343)</f>
        <v/>
      </c>
      <c r="E343" s="17">
        <f>KP!X343</f>
        <v/>
      </c>
      <c r="F343" s="17">
        <f>UB!X343</f>
        <v/>
      </c>
      <c r="G343" s="17">
        <f>SP!X343</f>
        <v/>
      </c>
      <c r="H343" s="17">
        <f>IF(COUNT(E343:G343)=0,"",ROUND((LARGE(E343:G343,1)+IF(COUNT(E343:G343)&gt;=2,LARGE(E343:G343,2),0))/2,2))</f>
        <v/>
      </c>
      <c r="I343" s="10">
        <f>Ekstra!U343</f>
        <v/>
      </c>
      <c r="J343" s="18">
        <f>IF(B343="","",IF(Murid!F343="TL","TL",IF(H343="","",MIN(100,ROUND(H343+N(I343),2)))))</f>
        <v/>
      </c>
      <c r="K343" s="19">
        <f>IF(J343="","",IF(J343="TL","TL",IF(J343&gt;=80,"A",IF(J343&gt;=60,"B",IF(J343&gt;=40,"C",IF(J343&gt;=20,"D","E"))))))</f>
        <v/>
      </c>
      <c r="L343" s="15">
        <f>IF(K343="","",IF(K343="A","Cemerlang",IF(K343="B","Kepujian",IF(K343="C","Baik",IF(K343="D","Kurang Memuaskan",IF(K343="E","Tidak Memuaskan","Tidak Laksana"))))))</f>
        <v/>
      </c>
    </row>
    <row r="344">
      <c r="A344" s="15">
        <f>Murid!A344</f>
        <v/>
      </c>
      <c r="B344" s="15">
        <f>IF(Murid!B344="","",Murid!B344)</f>
        <v/>
      </c>
      <c r="C344" s="16">
        <f>IF(Murid!C344="","",Murid!C344)</f>
        <v/>
      </c>
      <c r="D344" s="15">
        <f>IF(Murid!E344="","",Murid!E344)</f>
        <v/>
      </c>
      <c r="E344" s="17">
        <f>KP!X344</f>
        <v/>
      </c>
      <c r="F344" s="17">
        <f>UB!X344</f>
        <v/>
      </c>
      <c r="G344" s="17">
        <f>SP!X344</f>
        <v/>
      </c>
      <c r="H344" s="17">
        <f>IF(COUNT(E344:G344)=0,"",ROUND((LARGE(E344:G344,1)+IF(COUNT(E344:G344)&gt;=2,LARGE(E344:G344,2),0))/2,2))</f>
        <v/>
      </c>
      <c r="I344" s="10">
        <f>Ekstra!U344</f>
        <v/>
      </c>
      <c r="J344" s="18">
        <f>IF(B344="","",IF(Murid!F344="TL","TL",IF(H344="","",MIN(100,ROUND(H344+N(I344),2)))))</f>
        <v/>
      </c>
      <c r="K344" s="19">
        <f>IF(J344="","",IF(J344="TL","TL",IF(J344&gt;=80,"A",IF(J344&gt;=60,"B",IF(J344&gt;=40,"C",IF(J344&gt;=20,"D","E"))))))</f>
        <v/>
      </c>
      <c r="L344" s="15">
        <f>IF(K344="","",IF(K344="A","Cemerlang",IF(K344="B","Kepujian",IF(K344="C","Baik",IF(K344="D","Kurang Memuaskan",IF(K344="E","Tidak Memuaskan","Tidak Laksana"))))))</f>
        <v/>
      </c>
    </row>
    <row r="345">
      <c r="A345" s="15">
        <f>Murid!A345</f>
        <v/>
      </c>
      <c r="B345" s="15">
        <f>IF(Murid!B345="","",Murid!B345)</f>
        <v/>
      </c>
      <c r="C345" s="16">
        <f>IF(Murid!C345="","",Murid!C345)</f>
        <v/>
      </c>
      <c r="D345" s="15">
        <f>IF(Murid!E345="","",Murid!E345)</f>
        <v/>
      </c>
      <c r="E345" s="17">
        <f>KP!X345</f>
        <v/>
      </c>
      <c r="F345" s="17">
        <f>UB!X345</f>
        <v/>
      </c>
      <c r="G345" s="17">
        <f>SP!X345</f>
        <v/>
      </c>
      <c r="H345" s="17">
        <f>IF(COUNT(E345:G345)=0,"",ROUND((LARGE(E345:G345,1)+IF(COUNT(E345:G345)&gt;=2,LARGE(E345:G345,2),0))/2,2))</f>
        <v/>
      </c>
      <c r="I345" s="10">
        <f>Ekstra!U345</f>
        <v/>
      </c>
      <c r="J345" s="18">
        <f>IF(B345="","",IF(Murid!F345="TL","TL",IF(H345="","",MIN(100,ROUND(H345+N(I345),2)))))</f>
        <v/>
      </c>
      <c r="K345" s="19">
        <f>IF(J345="","",IF(J345="TL","TL",IF(J345&gt;=80,"A",IF(J345&gt;=60,"B",IF(J345&gt;=40,"C",IF(J345&gt;=20,"D","E"))))))</f>
        <v/>
      </c>
      <c r="L345" s="15">
        <f>IF(K345="","",IF(K345="A","Cemerlang",IF(K345="B","Kepujian",IF(K345="C","Baik",IF(K345="D","Kurang Memuaskan",IF(K345="E","Tidak Memuaskan","Tidak Laksana"))))))</f>
        <v/>
      </c>
    </row>
    <row r="346">
      <c r="A346" s="15">
        <f>Murid!A346</f>
        <v/>
      </c>
      <c r="B346" s="15">
        <f>IF(Murid!B346="","",Murid!B346)</f>
        <v/>
      </c>
      <c r="C346" s="16">
        <f>IF(Murid!C346="","",Murid!C346)</f>
        <v/>
      </c>
      <c r="D346" s="15">
        <f>IF(Murid!E346="","",Murid!E346)</f>
        <v/>
      </c>
      <c r="E346" s="17">
        <f>KP!X346</f>
        <v/>
      </c>
      <c r="F346" s="17">
        <f>UB!X346</f>
        <v/>
      </c>
      <c r="G346" s="17">
        <f>SP!X346</f>
        <v/>
      </c>
      <c r="H346" s="17">
        <f>IF(COUNT(E346:G346)=0,"",ROUND((LARGE(E346:G346,1)+IF(COUNT(E346:G346)&gt;=2,LARGE(E346:G346,2),0))/2,2))</f>
        <v/>
      </c>
      <c r="I346" s="10">
        <f>Ekstra!U346</f>
        <v/>
      </c>
      <c r="J346" s="18">
        <f>IF(B346="","",IF(Murid!F346="TL","TL",IF(H346="","",MIN(100,ROUND(H346+N(I346),2)))))</f>
        <v/>
      </c>
      <c r="K346" s="19">
        <f>IF(J346="","",IF(J346="TL","TL",IF(J346&gt;=80,"A",IF(J346&gt;=60,"B",IF(J346&gt;=40,"C",IF(J346&gt;=20,"D","E"))))))</f>
        <v/>
      </c>
      <c r="L346" s="15">
        <f>IF(K346="","",IF(K346="A","Cemerlang",IF(K346="B","Kepujian",IF(K346="C","Baik",IF(K346="D","Kurang Memuaskan",IF(K346="E","Tidak Memuaskan","Tidak Laksana"))))))</f>
        <v/>
      </c>
    </row>
    <row r="347">
      <c r="A347" s="15">
        <f>Murid!A347</f>
        <v/>
      </c>
      <c r="B347" s="15">
        <f>IF(Murid!B347="","",Murid!B347)</f>
        <v/>
      </c>
      <c r="C347" s="16">
        <f>IF(Murid!C347="","",Murid!C347)</f>
        <v/>
      </c>
      <c r="D347" s="15">
        <f>IF(Murid!E347="","",Murid!E347)</f>
        <v/>
      </c>
      <c r="E347" s="17">
        <f>KP!X347</f>
        <v/>
      </c>
      <c r="F347" s="17">
        <f>UB!X347</f>
        <v/>
      </c>
      <c r="G347" s="17">
        <f>SP!X347</f>
        <v/>
      </c>
      <c r="H347" s="17">
        <f>IF(COUNT(E347:G347)=0,"",ROUND((LARGE(E347:G347,1)+IF(COUNT(E347:G347)&gt;=2,LARGE(E347:G347,2),0))/2,2))</f>
        <v/>
      </c>
      <c r="I347" s="10">
        <f>Ekstra!U347</f>
        <v/>
      </c>
      <c r="J347" s="18">
        <f>IF(B347="","",IF(Murid!F347="TL","TL",IF(H347="","",MIN(100,ROUND(H347+N(I347),2)))))</f>
        <v/>
      </c>
      <c r="K347" s="19">
        <f>IF(J347="","",IF(J347="TL","TL",IF(J347&gt;=80,"A",IF(J347&gt;=60,"B",IF(J347&gt;=40,"C",IF(J347&gt;=20,"D","E"))))))</f>
        <v/>
      </c>
      <c r="L347" s="15">
        <f>IF(K347="","",IF(K347="A","Cemerlang",IF(K347="B","Kepujian",IF(K347="C","Baik",IF(K347="D","Kurang Memuaskan",IF(K347="E","Tidak Memuaskan","Tidak Laksana"))))))</f>
        <v/>
      </c>
    </row>
    <row r="348">
      <c r="A348" s="15">
        <f>Murid!A348</f>
        <v/>
      </c>
      <c r="B348" s="15">
        <f>IF(Murid!B348="","",Murid!B348)</f>
        <v/>
      </c>
      <c r="C348" s="16">
        <f>IF(Murid!C348="","",Murid!C348)</f>
        <v/>
      </c>
      <c r="D348" s="15">
        <f>IF(Murid!E348="","",Murid!E348)</f>
        <v/>
      </c>
      <c r="E348" s="17">
        <f>KP!X348</f>
        <v/>
      </c>
      <c r="F348" s="17">
        <f>UB!X348</f>
        <v/>
      </c>
      <c r="G348" s="17">
        <f>SP!X348</f>
        <v/>
      </c>
      <c r="H348" s="17">
        <f>IF(COUNT(E348:G348)=0,"",ROUND((LARGE(E348:G348,1)+IF(COUNT(E348:G348)&gt;=2,LARGE(E348:G348,2),0))/2,2))</f>
        <v/>
      </c>
      <c r="I348" s="10">
        <f>Ekstra!U348</f>
        <v/>
      </c>
      <c r="J348" s="18">
        <f>IF(B348="","",IF(Murid!F348="TL","TL",IF(H348="","",MIN(100,ROUND(H348+N(I348),2)))))</f>
        <v/>
      </c>
      <c r="K348" s="19">
        <f>IF(J348="","",IF(J348="TL","TL",IF(J348&gt;=80,"A",IF(J348&gt;=60,"B",IF(J348&gt;=40,"C",IF(J348&gt;=20,"D","E"))))))</f>
        <v/>
      </c>
      <c r="L348" s="15">
        <f>IF(K348="","",IF(K348="A","Cemerlang",IF(K348="B","Kepujian",IF(K348="C","Baik",IF(K348="D","Kurang Memuaskan",IF(K348="E","Tidak Memuaskan","Tidak Laksana"))))))</f>
        <v/>
      </c>
    </row>
    <row r="349">
      <c r="A349" s="15">
        <f>Murid!A349</f>
        <v/>
      </c>
      <c r="B349" s="15">
        <f>IF(Murid!B349="","",Murid!B349)</f>
        <v/>
      </c>
      <c r="C349" s="16">
        <f>IF(Murid!C349="","",Murid!C349)</f>
        <v/>
      </c>
      <c r="D349" s="15">
        <f>IF(Murid!E349="","",Murid!E349)</f>
        <v/>
      </c>
      <c r="E349" s="17">
        <f>KP!X349</f>
        <v/>
      </c>
      <c r="F349" s="17">
        <f>UB!X349</f>
        <v/>
      </c>
      <c r="G349" s="17">
        <f>SP!X349</f>
        <v/>
      </c>
      <c r="H349" s="17">
        <f>IF(COUNT(E349:G349)=0,"",ROUND((LARGE(E349:G349,1)+IF(COUNT(E349:G349)&gt;=2,LARGE(E349:G349,2),0))/2,2))</f>
        <v/>
      </c>
      <c r="I349" s="10">
        <f>Ekstra!U349</f>
        <v/>
      </c>
      <c r="J349" s="18">
        <f>IF(B349="","",IF(Murid!F349="TL","TL",IF(H349="","",MIN(100,ROUND(H349+N(I349),2)))))</f>
        <v/>
      </c>
      <c r="K349" s="19">
        <f>IF(J349="","",IF(J349="TL","TL",IF(J349&gt;=80,"A",IF(J349&gt;=60,"B",IF(J349&gt;=40,"C",IF(J349&gt;=20,"D","E"))))))</f>
        <v/>
      </c>
      <c r="L349" s="15">
        <f>IF(K349="","",IF(K349="A","Cemerlang",IF(K349="B","Kepujian",IF(K349="C","Baik",IF(K349="D","Kurang Memuaskan",IF(K349="E","Tidak Memuaskan","Tidak Laksana"))))))</f>
        <v/>
      </c>
    </row>
    <row r="350">
      <c r="A350" s="15">
        <f>Murid!A350</f>
        <v/>
      </c>
      <c r="B350" s="15">
        <f>IF(Murid!B350="","",Murid!B350)</f>
        <v/>
      </c>
      <c r="C350" s="16">
        <f>IF(Murid!C350="","",Murid!C350)</f>
        <v/>
      </c>
      <c r="D350" s="15">
        <f>IF(Murid!E350="","",Murid!E350)</f>
        <v/>
      </c>
      <c r="E350" s="17">
        <f>KP!X350</f>
        <v/>
      </c>
      <c r="F350" s="17">
        <f>UB!X350</f>
        <v/>
      </c>
      <c r="G350" s="17">
        <f>SP!X350</f>
        <v/>
      </c>
      <c r="H350" s="17">
        <f>IF(COUNT(E350:G350)=0,"",ROUND((LARGE(E350:G350,1)+IF(COUNT(E350:G350)&gt;=2,LARGE(E350:G350,2),0))/2,2))</f>
        <v/>
      </c>
      <c r="I350" s="10">
        <f>Ekstra!U350</f>
        <v/>
      </c>
      <c r="J350" s="18">
        <f>IF(B350="","",IF(Murid!F350="TL","TL",IF(H350="","",MIN(100,ROUND(H350+N(I350),2)))))</f>
        <v/>
      </c>
      <c r="K350" s="19">
        <f>IF(J350="","",IF(J350="TL","TL",IF(J350&gt;=80,"A",IF(J350&gt;=60,"B",IF(J350&gt;=40,"C",IF(J350&gt;=20,"D","E"))))))</f>
        <v/>
      </c>
      <c r="L350" s="15">
        <f>IF(K350="","",IF(K350="A","Cemerlang",IF(K350="B","Kepujian",IF(K350="C","Baik",IF(K350="D","Kurang Memuaskan",IF(K350="E","Tidak Memuaskan","Tidak Laksana"))))))</f>
        <v/>
      </c>
    </row>
    <row r="351">
      <c r="A351" s="15">
        <f>Murid!A351</f>
        <v/>
      </c>
      <c r="B351" s="15">
        <f>IF(Murid!B351="","",Murid!B351)</f>
        <v/>
      </c>
      <c r="C351" s="16">
        <f>IF(Murid!C351="","",Murid!C351)</f>
        <v/>
      </c>
      <c r="D351" s="15">
        <f>IF(Murid!E351="","",Murid!E351)</f>
        <v/>
      </c>
      <c r="E351" s="17">
        <f>KP!X351</f>
        <v/>
      </c>
      <c r="F351" s="17">
        <f>UB!X351</f>
        <v/>
      </c>
      <c r="G351" s="17">
        <f>SP!X351</f>
        <v/>
      </c>
      <c r="H351" s="17">
        <f>IF(COUNT(E351:G351)=0,"",ROUND((LARGE(E351:G351,1)+IF(COUNT(E351:G351)&gt;=2,LARGE(E351:G351,2),0))/2,2))</f>
        <v/>
      </c>
      <c r="I351" s="10">
        <f>Ekstra!U351</f>
        <v/>
      </c>
      <c r="J351" s="18">
        <f>IF(B351="","",IF(Murid!F351="TL","TL",IF(H351="","",MIN(100,ROUND(H351+N(I351),2)))))</f>
        <v/>
      </c>
      <c r="K351" s="19">
        <f>IF(J351="","",IF(J351="TL","TL",IF(J351&gt;=80,"A",IF(J351&gt;=60,"B",IF(J351&gt;=40,"C",IF(J351&gt;=20,"D","E"))))))</f>
        <v/>
      </c>
      <c r="L351" s="15">
        <f>IF(K351="","",IF(K351="A","Cemerlang",IF(K351="B","Kepujian",IF(K351="C","Baik",IF(K351="D","Kurang Memuaskan",IF(K351="E","Tidak Memuaskan","Tidak Laksana"))))))</f>
        <v/>
      </c>
    </row>
    <row r="352">
      <c r="A352" s="15">
        <f>Murid!A352</f>
        <v/>
      </c>
      <c r="B352" s="15">
        <f>IF(Murid!B352="","",Murid!B352)</f>
        <v/>
      </c>
      <c r="C352" s="16">
        <f>IF(Murid!C352="","",Murid!C352)</f>
        <v/>
      </c>
      <c r="D352" s="15">
        <f>IF(Murid!E352="","",Murid!E352)</f>
        <v/>
      </c>
      <c r="E352" s="17">
        <f>KP!X352</f>
        <v/>
      </c>
      <c r="F352" s="17">
        <f>UB!X352</f>
        <v/>
      </c>
      <c r="G352" s="17">
        <f>SP!X352</f>
        <v/>
      </c>
      <c r="H352" s="17">
        <f>IF(COUNT(E352:G352)=0,"",ROUND((LARGE(E352:G352,1)+IF(COUNT(E352:G352)&gt;=2,LARGE(E352:G352,2),0))/2,2))</f>
        <v/>
      </c>
      <c r="I352" s="10">
        <f>Ekstra!U352</f>
        <v/>
      </c>
      <c r="J352" s="18">
        <f>IF(B352="","",IF(Murid!F352="TL","TL",IF(H352="","",MIN(100,ROUND(H352+N(I352),2)))))</f>
        <v/>
      </c>
      <c r="K352" s="19">
        <f>IF(J352="","",IF(J352="TL","TL",IF(J352&gt;=80,"A",IF(J352&gt;=60,"B",IF(J352&gt;=40,"C",IF(J352&gt;=20,"D","E"))))))</f>
        <v/>
      </c>
      <c r="L352" s="15">
        <f>IF(K352="","",IF(K352="A","Cemerlang",IF(K352="B","Kepujian",IF(K352="C","Baik",IF(K352="D","Kurang Memuaskan",IF(K352="E","Tidak Memuaskan","Tidak Laksana"))))))</f>
        <v/>
      </c>
    </row>
    <row r="353">
      <c r="A353" s="15">
        <f>Murid!A353</f>
        <v/>
      </c>
      <c r="B353" s="15">
        <f>IF(Murid!B353="","",Murid!B353)</f>
        <v/>
      </c>
      <c r="C353" s="16">
        <f>IF(Murid!C353="","",Murid!C353)</f>
        <v/>
      </c>
      <c r="D353" s="15">
        <f>IF(Murid!E353="","",Murid!E353)</f>
        <v/>
      </c>
      <c r="E353" s="17">
        <f>KP!X353</f>
        <v/>
      </c>
      <c r="F353" s="17">
        <f>UB!X353</f>
        <v/>
      </c>
      <c r="G353" s="17">
        <f>SP!X353</f>
        <v/>
      </c>
      <c r="H353" s="17">
        <f>IF(COUNT(E353:G353)=0,"",ROUND((LARGE(E353:G353,1)+IF(COUNT(E353:G353)&gt;=2,LARGE(E353:G353,2),0))/2,2))</f>
        <v/>
      </c>
      <c r="I353" s="10">
        <f>Ekstra!U353</f>
        <v/>
      </c>
      <c r="J353" s="18">
        <f>IF(B353="","",IF(Murid!F353="TL","TL",IF(H353="","",MIN(100,ROUND(H353+N(I353),2)))))</f>
        <v/>
      </c>
      <c r="K353" s="19">
        <f>IF(J353="","",IF(J353="TL","TL",IF(J353&gt;=80,"A",IF(J353&gt;=60,"B",IF(J353&gt;=40,"C",IF(J353&gt;=20,"D","E"))))))</f>
        <v/>
      </c>
      <c r="L353" s="15">
        <f>IF(K353="","",IF(K353="A","Cemerlang",IF(K353="B","Kepujian",IF(K353="C","Baik",IF(K353="D","Kurang Memuaskan",IF(K353="E","Tidak Memuaskan","Tidak Laksana"))))))</f>
        <v/>
      </c>
    </row>
    <row r="354">
      <c r="A354" s="15">
        <f>Murid!A354</f>
        <v/>
      </c>
      <c r="B354" s="15">
        <f>IF(Murid!B354="","",Murid!B354)</f>
        <v/>
      </c>
      <c r="C354" s="16">
        <f>IF(Murid!C354="","",Murid!C354)</f>
        <v/>
      </c>
      <c r="D354" s="15">
        <f>IF(Murid!E354="","",Murid!E354)</f>
        <v/>
      </c>
      <c r="E354" s="17">
        <f>KP!X354</f>
        <v/>
      </c>
      <c r="F354" s="17">
        <f>UB!X354</f>
        <v/>
      </c>
      <c r="G354" s="17">
        <f>SP!X354</f>
        <v/>
      </c>
      <c r="H354" s="17">
        <f>IF(COUNT(E354:G354)=0,"",ROUND((LARGE(E354:G354,1)+IF(COUNT(E354:G354)&gt;=2,LARGE(E354:G354,2),0))/2,2))</f>
        <v/>
      </c>
      <c r="I354" s="10">
        <f>Ekstra!U354</f>
        <v/>
      </c>
      <c r="J354" s="18">
        <f>IF(B354="","",IF(Murid!F354="TL","TL",IF(H354="","",MIN(100,ROUND(H354+N(I354),2)))))</f>
        <v/>
      </c>
      <c r="K354" s="19">
        <f>IF(J354="","",IF(J354="TL","TL",IF(J354&gt;=80,"A",IF(J354&gt;=60,"B",IF(J354&gt;=40,"C",IF(J354&gt;=20,"D","E"))))))</f>
        <v/>
      </c>
      <c r="L354" s="15">
        <f>IF(K354="","",IF(K354="A","Cemerlang",IF(K354="B","Kepujian",IF(K354="C","Baik",IF(K354="D","Kurang Memuaskan",IF(K354="E","Tidak Memuaskan","Tidak Laksana"))))))</f>
        <v/>
      </c>
    </row>
    <row r="355">
      <c r="A355" s="15">
        <f>Murid!A355</f>
        <v/>
      </c>
      <c r="B355" s="15">
        <f>IF(Murid!B355="","",Murid!B355)</f>
        <v/>
      </c>
      <c r="C355" s="16">
        <f>IF(Murid!C355="","",Murid!C355)</f>
        <v/>
      </c>
      <c r="D355" s="15">
        <f>IF(Murid!E355="","",Murid!E355)</f>
        <v/>
      </c>
      <c r="E355" s="17">
        <f>KP!X355</f>
        <v/>
      </c>
      <c r="F355" s="17">
        <f>UB!X355</f>
        <v/>
      </c>
      <c r="G355" s="17">
        <f>SP!X355</f>
        <v/>
      </c>
      <c r="H355" s="17">
        <f>IF(COUNT(E355:G355)=0,"",ROUND((LARGE(E355:G355,1)+IF(COUNT(E355:G355)&gt;=2,LARGE(E355:G355,2),0))/2,2))</f>
        <v/>
      </c>
      <c r="I355" s="10">
        <f>Ekstra!U355</f>
        <v/>
      </c>
      <c r="J355" s="18">
        <f>IF(B355="","",IF(Murid!F355="TL","TL",IF(H355="","",MIN(100,ROUND(H355+N(I355),2)))))</f>
        <v/>
      </c>
      <c r="K355" s="19">
        <f>IF(J355="","",IF(J355="TL","TL",IF(J355&gt;=80,"A",IF(J355&gt;=60,"B",IF(J355&gt;=40,"C",IF(J355&gt;=20,"D","E"))))))</f>
        <v/>
      </c>
      <c r="L355" s="15">
        <f>IF(K355="","",IF(K355="A","Cemerlang",IF(K355="B","Kepujian",IF(K355="C","Baik",IF(K355="D","Kurang Memuaskan",IF(K355="E","Tidak Memuaskan","Tidak Laksana"))))))</f>
        <v/>
      </c>
    </row>
    <row r="356">
      <c r="A356" s="15">
        <f>Murid!A356</f>
        <v/>
      </c>
      <c r="B356" s="15">
        <f>IF(Murid!B356="","",Murid!B356)</f>
        <v/>
      </c>
      <c r="C356" s="16">
        <f>IF(Murid!C356="","",Murid!C356)</f>
        <v/>
      </c>
      <c r="D356" s="15">
        <f>IF(Murid!E356="","",Murid!E356)</f>
        <v/>
      </c>
      <c r="E356" s="17">
        <f>KP!X356</f>
        <v/>
      </c>
      <c r="F356" s="17">
        <f>UB!X356</f>
        <v/>
      </c>
      <c r="G356" s="17">
        <f>SP!X356</f>
        <v/>
      </c>
      <c r="H356" s="17">
        <f>IF(COUNT(E356:G356)=0,"",ROUND((LARGE(E356:G356,1)+IF(COUNT(E356:G356)&gt;=2,LARGE(E356:G356,2),0))/2,2))</f>
        <v/>
      </c>
      <c r="I356" s="10">
        <f>Ekstra!U356</f>
        <v/>
      </c>
      <c r="J356" s="18">
        <f>IF(B356="","",IF(Murid!F356="TL","TL",IF(H356="","",MIN(100,ROUND(H356+N(I356),2)))))</f>
        <v/>
      </c>
      <c r="K356" s="19">
        <f>IF(J356="","",IF(J356="TL","TL",IF(J356&gt;=80,"A",IF(J356&gt;=60,"B",IF(J356&gt;=40,"C",IF(J356&gt;=20,"D","E"))))))</f>
        <v/>
      </c>
      <c r="L356" s="15">
        <f>IF(K356="","",IF(K356="A","Cemerlang",IF(K356="B","Kepujian",IF(K356="C","Baik",IF(K356="D","Kurang Memuaskan",IF(K356="E","Tidak Memuaskan","Tidak Laksana"))))))</f>
        <v/>
      </c>
    </row>
    <row r="357">
      <c r="A357" s="15">
        <f>Murid!A357</f>
        <v/>
      </c>
      <c r="B357" s="15">
        <f>IF(Murid!B357="","",Murid!B357)</f>
        <v/>
      </c>
      <c r="C357" s="16">
        <f>IF(Murid!C357="","",Murid!C357)</f>
        <v/>
      </c>
      <c r="D357" s="15">
        <f>IF(Murid!E357="","",Murid!E357)</f>
        <v/>
      </c>
      <c r="E357" s="17">
        <f>KP!X357</f>
        <v/>
      </c>
      <c r="F357" s="17">
        <f>UB!X357</f>
        <v/>
      </c>
      <c r="G357" s="17">
        <f>SP!X357</f>
        <v/>
      </c>
      <c r="H357" s="17">
        <f>IF(COUNT(E357:G357)=0,"",ROUND((LARGE(E357:G357,1)+IF(COUNT(E357:G357)&gt;=2,LARGE(E357:G357,2),0))/2,2))</f>
        <v/>
      </c>
      <c r="I357" s="10">
        <f>Ekstra!U357</f>
        <v/>
      </c>
      <c r="J357" s="18">
        <f>IF(B357="","",IF(Murid!F357="TL","TL",IF(H357="","",MIN(100,ROUND(H357+N(I357),2)))))</f>
        <v/>
      </c>
      <c r="K357" s="19">
        <f>IF(J357="","",IF(J357="TL","TL",IF(J357&gt;=80,"A",IF(J357&gt;=60,"B",IF(J357&gt;=40,"C",IF(J357&gt;=20,"D","E"))))))</f>
        <v/>
      </c>
      <c r="L357" s="15">
        <f>IF(K357="","",IF(K357="A","Cemerlang",IF(K357="B","Kepujian",IF(K357="C","Baik",IF(K357="D","Kurang Memuaskan",IF(K357="E","Tidak Memuaskan","Tidak Laksana"))))))</f>
        <v/>
      </c>
    </row>
    <row r="358">
      <c r="A358" s="15">
        <f>Murid!A358</f>
        <v/>
      </c>
      <c r="B358" s="15">
        <f>IF(Murid!B358="","",Murid!B358)</f>
        <v/>
      </c>
      <c r="C358" s="16">
        <f>IF(Murid!C358="","",Murid!C358)</f>
        <v/>
      </c>
      <c r="D358" s="15">
        <f>IF(Murid!E358="","",Murid!E358)</f>
        <v/>
      </c>
      <c r="E358" s="17">
        <f>KP!X358</f>
        <v/>
      </c>
      <c r="F358" s="17">
        <f>UB!X358</f>
        <v/>
      </c>
      <c r="G358" s="17">
        <f>SP!X358</f>
        <v/>
      </c>
      <c r="H358" s="17">
        <f>IF(COUNT(E358:G358)=0,"",ROUND((LARGE(E358:G358,1)+IF(COUNT(E358:G358)&gt;=2,LARGE(E358:G358,2),0))/2,2))</f>
        <v/>
      </c>
      <c r="I358" s="10">
        <f>Ekstra!U358</f>
        <v/>
      </c>
      <c r="J358" s="18">
        <f>IF(B358="","",IF(Murid!F358="TL","TL",IF(H358="","",MIN(100,ROUND(H358+N(I358),2)))))</f>
        <v/>
      </c>
      <c r="K358" s="19">
        <f>IF(J358="","",IF(J358="TL","TL",IF(J358&gt;=80,"A",IF(J358&gt;=60,"B",IF(J358&gt;=40,"C",IF(J358&gt;=20,"D","E"))))))</f>
        <v/>
      </c>
      <c r="L358" s="15">
        <f>IF(K358="","",IF(K358="A","Cemerlang",IF(K358="B","Kepujian",IF(K358="C","Baik",IF(K358="D","Kurang Memuaskan",IF(K358="E","Tidak Memuaskan","Tidak Laksana"))))))</f>
        <v/>
      </c>
    </row>
    <row r="359">
      <c r="A359" s="15">
        <f>Murid!A359</f>
        <v/>
      </c>
      <c r="B359" s="15">
        <f>IF(Murid!B359="","",Murid!B359)</f>
        <v/>
      </c>
      <c r="C359" s="16">
        <f>IF(Murid!C359="","",Murid!C359)</f>
        <v/>
      </c>
      <c r="D359" s="15">
        <f>IF(Murid!E359="","",Murid!E359)</f>
        <v/>
      </c>
      <c r="E359" s="17">
        <f>KP!X359</f>
        <v/>
      </c>
      <c r="F359" s="17">
        <f>UB!X359</f>
        <v/>
      </c>
      <c r="G359" s="17">
        <f>SP!X359</f>
        <v/>
      </c>
      <c r="H359" s="17">
        <f>IF(COUNT(E359:G359)=0,"",ROUND((LARGE(E359:G359,1)+IF(COUNT(E359:G359)&gt;=2,LARGE(E359:G359,2),0))/2,2))</f>
        <v/>
      </c>
      <c r="I359" s="10">
        <f>Ekstra!U359</f>
        <v/>
      </c>
      <c r="J359" s="18">
        <f>IF(B359="","",IF(Murid!F359="TL","TL",IF(H359="","",MIN(100,ROUND(H359+N(I359),2)))))</f>
        <v/>
      </c>
      <c r="K359" s="19">
        <f>IF(J359="","",IF(J359="TL","TL",IF(J359&gt;=80,"A",IF(J359&gt;=60,"B",IF(J359&gt;=40,"C",IF(J359&gt;=20,"D","E"))))))</f>
        <v/>
      </c>
      <c r="L359" s="15">
        <f>IF(K359="","",IF(K359="A","Cemerlang",IF(K359="B","Kepujian",IF(K359="C","Baik",IF(K359="D","Kurang Memuaskan",IF(K359="E","Tidak Memuaskan","Tidak Laksana"))))))</f>
        <v/>
      </c>
    </row>
    <row r="360">
      <c r="A360" s="15">
        <f>Murid!A360</f>
        <v/>
      </c>
      <c r="B360" s="15">
        <f>IF(Murid!B360="","",Murid!B360)</f>
        <v/>
      </c>
      <c r="C360" s="16">
        <f>IF(Murid!C360="","",Murid!C360)</f>
        <v/>
      </c>
      <c r="D360" s="15">
        <f>IF(Murid!E360="","",Murid!E360)</f>
        <v/>
      </c>
      <c r="E360" s="17">
        <f>KP!X360</f>
        <v/>
      </c>
      <c r="F360" s="17">
        <f>UB!X360</f>
        <v/>
      </c>
      <c r="G360" s="17">
        <f>SP!X360</f>
        <v/>
      </c>
      <c r="H360" s="17">
        <f>IF(COUNT(E360:G360)=0,"",ROUND((LARGE(E360:G360,1)+IF(COUNT(E360:G360)&gt;=2,LARGE(E360:G360,2),0))/2,2))</f>
        <v/>
      </c>
      <c r="I360" s="10">
        <f>Ekstra!U360</f>
        <v/>
      </c>
      <c r="J360" s="18">
        <f>IF(B360="","",IF(Murid!F360="TL","TL",IF(H360="","",MIN(100,ROUND(H360+N(I360),2)))))</f>
        <v/>
      </c>
      <c r="K360" s="19">
        <f>IF(J360="","",IF(J360="TL","TL",IF(J360&gt;=80,"A",IF(J360&gt;=60,"B",IF(J360&gt;=40,"C",IF(J360&gt;=20,"D","E"))))))</f>
        <v/>
      </c>
      <c r="L360" s="15">
        <f>IF(K360="","",IF(K360="A","Cemerlang",IF(K360="B","Kepujian",IF(K360="C","Baik",IF(K360="D","Kurang Memuaskan",IF(K360="E","Tidak Memuaskan","Tidak Laksana"))))))</f>
        <v/>
      </c>
    </row>
    <row r="361">
      <c r="A361" s="15">
        <f>Murid!A361</f>
        <v/>
      </c>
      <c r="B361" s="15">
        <f>IF(Murid!B361="","",Murid!B361)</f>
        <v/>
      </c>
      <c r="C361" s="16">
        <f>IF(Murid!C361="","",Murid!C361)</f>
        <v/>
      </c>
      <c r="D361" s="15">
        <f>IF(Murid!E361="","",Murid!E361)</f>
        <v/>
      </c>
      <c r="E361" s="17">
        <f>KP!X361</f>
        <v/>
      </c>
      <c r="F361" s="17">
        <f>UB!X361</f>
        <v/>
      </c>
      <c r="G361" s="17">
        <f>SP!X361</f>
        <v/>
      </c>
      <c r="H361" s="17">
        <f>IF(COUNT(E361:G361)=0,"",ROUND((LARGE(E361:G361,1)+IF(COUNT(E361:G361)&gt;=2,LARGE(E361:G361,2),0))/2,2))</f>
        <v/>
      </c>
      <c r="I361" s="10">
        <f>Ekstra!U361</f>
        <v/>
      </c>
      <c r="J361" s="18">
        <f>IF(B361="","",IF(Murid!F361="TL","TL",IF(H361="","",MIN(100,ROUND(H361+N(I361),2)))))</f>
        <v/>
      </c>
      <c r="K361" s="19">
        <f>IF(J361="","",IF(J361="TL","TL",IF(J361&gt;=80,"A",IF(J361&gt;=60,"B",IF(J361&gt;=40,"C",IF(J361&gt;=20,"D","E"))))))</f>
        <v/>
      </c>
      <c r="L361" s="15">
        <f>IF(K361="","",IF(K361="A","Cemerlang",IF(K361="B","Kepujian",IF(K361="C","Baik",IF(K361="D","Kurang Memuaskan",IF(K361="E","Tidak Memuaskan","Tidak Laksana"))))))</f>
        <v/>
      </c>
    </row>
    <row r="362">
      <c r="A362" s="15">
        <f>Murid!A362</f>
        <v/>
      </c>
      <c r="B362" s="15">
        <f>IF(Murid!B362="","",Murid!B362)</f>
        <v/>
      </c>
      <c r="C362" s="16">
        <f>IF(Murid!C362="","",Murid!C362)</f>
        <v/>
      </c>
      <c r="D362" s="15">
        <f>IF(Murid!E362="","",Murid!E362)</f>
        <v/>
      </c>
      <c r="E362" s="17">
        <f>KP!X362</f>
        <v/>
      </c>
      <c r="F362" s="17">
        <f>UB!X362</f>
        <v/>
      </c>
      <c r="G362" s="17">
        <f>SP!X362</f>
        <v/>
      </c>
      <c r="H362" s="17">
        <f>IF(COUNT(E362:G362)=0,"",ROUND((LARGE(E362:G362,1)+IF(COUNT(E362:G362)&gt;=2,LARGE(E362:G362,2),0))/2,2))</f>
        <v/>
      </c>
      <c r="I362" s="10">
        <f>Ekstra!U362</f>
        <v/>
      </c>
      <c r="J362" s="18">
        <f>IF(B362="","",IF(Murid!F362="TL","TL",IF(H362="","",MIN(100,ROUND(H362+N(I362),2)))))</f>
        <v/>
      </c>
      <c r="K362" s="19">
        <f>IF(J362="","",IF(J362="TL","TL",IF(J362&gt;=80,"A",IF(J362&gt;=60,"B",IF(J362&gt;=40,"C",IF(J362&gt;=20,"D","E"))))))</f>
        <v/>
      </c>
      <c r="L362" s="15">
        <f>IF(K362="","",IF(K362="A","Cemerlang",IF(K362="B","Kepujian",IF(K362="C","Baik",IF(K362="D","Kurang Memuaskan",IF(K362="E","Tidak Memuaskan","Tidak Laksana"))))))</f>
        <v/>
      </c>
    </row>
    <row r="363">
      <c r="A363" s="15">
        <f>Murid!A363</f>
        <v/>
      </c>
      <c r="B363" s="15">
        <f>IF(Murid!B363="","",Murid!B363)</f>
        <v/>
      </c>
      <c r="C363" s="16">
        <f>IF(Murid!C363="","",Murid!C363)</f>
        <v/>
      </c>
      <c r="D363" s="15">
        <f>IF(Murid!E363="","",Murid!E363)</f>
        <v/>
      </c>
      <c r="E363" s="17">
        <f>KP!X363</f>
        <v/>
      </c>
      <c r="F363" s="17">
        <f>UB!X363</f>
        <v/>
      </c>
      <c r="G363" s="17">
        <f>SP!X363</f>
        <v/>
      </c>
      <c r="H363" s="17">
        <f>IF(COUNT(E363:G363)=0,"",ROUND((LARGE(E363:G363,1)+IF(COUNT(E363:G363)&gt;=2,LARGE(E363:G363,2),0))/2,2))</f>
        <v/>
      </c>
      <c r="I363" s="10">
        <f>Ekstra!U363</f>
        <v/>
      </c>
      <c r="J363" s="18">
        <f>IF(B363="","",IF(Murid!F363="TL","TL",IF(H363="","",MIN(100,ROUND(H363+N(I363),2)))))</f>
        <v/>
      </c>
      <c r="K363" s="19">
        <f>IF(J363="","",IF(J363="TL","TL",IF(J363&gt;=80,"A",IF(J363&gt;=60,"B",IF(J363&gt;=40,"C",IF(J363&gt;=20,"D","E"))))))</f>
        <v/>
      </c>
      <c r="L363" s="15">
        <f>IF(K363="","",IF(K363="A","Cemerlang",IF(K363="B","Kepujian",IF(K363="C","Baik",IF(K363="D","Kurang Memuaskan",IF(K363="E","Tidak Memuaskan","Tidak Laksana"))))))</f>
        <v/>
      </c>
    </row>
    <row r="364">
      <c r="A364" s="15">
        <f>Murid!A364</f>
        <v/>
      </c>
      <c r="B364" s="15">
        <f>IF(Murid!B364="","",Murid!B364)</f>
        <v/>
      </c>
      <c r="C364" s="16">
        <f>IF(Murid!C364="","",Murid!C364)</f>
        <v/>
      </c>
      <c r="D364" s="15">
        <f>IF(Murid!E364="","",Murid!E364)</f>
        <v/>
      </c>
      <c r="E364" s="17">
        <f>KP!X364</f>
        <v/>
      </c>
      <c r="F364" s="17">
        <f>UB!X364</f>
        <v/>
      </c>
      <c r="G364" s="17">
        <f>SP!X364</f>
        <v/>
      </c>
      <c r="H364" s="17">
        <f>IF(COUNT(E364:G364)=0,"",ROUND((LARGE(E364:G364,1)+IF(COUNT(E364:G364)&gt;=2,LARGE(E364:G364,2),0))/2,2))</f>
        <v/>
      </c>
      <c r="I364" s="10">
        <f>Ekstra!U364</f>
        <v/>
      </c>
      <c r="J364" s="18">
        <f>IF(B364="","",IF(Murid!F364="TL","TL",IF(H364="","",MIN(100,ROUND(H364+N(I364),2)))))</f>
        <v/>
      </c>
      <c r="K364" s="19">
        <f>IF(J364="","",IF(J364="TL","TL",IF(J364&gt;=80,"A",IF(J364&gt;=60,"B",IF(J364&gt;=40,"C",IF(J364&gt;=20,"D","E"))))))</f>
        <v/>
      </c>
      <c r="L364" s="15">
        <f>IF(K364="","",IF(K364="A","Cemerlang",IF(K364="B","Kepujian",IF(K364="C","Baik",IF(K364="D","Kurang Memuaskan",IF(K364="E","Tidak Memuaskan","Tidak Laksana"))))))</f>
        <v/>
      </c>
    </row>
    <row r="365">
      <c r="A365" s="15">
        <f>Murid!A365</f>
        <v/>
      </c>
      <c r="B365" s="15">
        <f>IF(Murid!B365="","",Murid!B365)</f>
        <v/>
      </c>
      <c r="C365" s="16">
        <f>IF(Murid!C365="","",Murid!C365)</f>
        <v/>
      </c>
      <c r="D365" s="15">
        <f>IF(Murid!E365="","",Murid!E365)</f>
        <v/>
      </c>
      <c r="E365" s="17">
        <f>KP!X365</f>
        <v/>
      </c>
      <c r="F365" s="17">
        <f>UB!X365</f>
        <v/>
      </c>
      <c r="G365" s="17">
        <f>SP!X365</f>
        <v/>
      </c>
      <c r="H365" s="17">
        <f>IF(COUNT(E365:G365)=0,"",ROUND((LARGE(E365:G365,1)+IF(COUNT(E365:G365)&gt;=2,LARGE(E365:G365,2),0))/2,2))</f>
        <v/>
      </c>
      <c r="I365" s="10">
        <f>Ekstra!U365</f>
        <v/>
      </c>
      <c r="J365" s="18">
        <f>IF(B365="","",IF(Murid!F365="TL","TL",IF(H365="","",MIN(100,ROUND(H365+N(I365),2)))))</f>
        <v/>
      </c>
      <c r="K365" s="19">
        <f>IF(J365="","",IF(J365="TL","TL",IF(J365&gt;=80,"A",IF(J365&gt;=60,"B",IF(J365&gt;=40,"C",IF(J365&gt;=20,"D","E"))))))</f>
        <v/>
      </c>
      <c r="L365" s="15">
        <f>IF(K365="","",IF(K365="A","Cemerlang",IF(K365="B","Kepujian",IF(K365="C","Baik",IF(K365="D","Kurang Memuaskan",IF(K365="E","Tidak Memuaskan","Tidak Laksana"))))))</f>
        <v/>
      </c>
    </row>
    <row r="366">
      <c r="A366" s="15">
        <f>Murid!A366</f>
        <v/>
      </c>
      <c r="B366" s="15">
        <f>IF(Murid!B366="","",Murid!B366)</f>
        <v/>
      </c>
      <c r="C366" s="16">
        <f>IF(Murid!C366="","",Murid!C366)</f>
        <v/>
      </c>
      <c r="D366" s="15">
        <f>IF(Murid!E366="","",Murid!E366)</f>
        <v/>
      </c>
      <c r="E366" s="17">
        <f>KP!X366</f>
        <v/>
      </c>
      <c r="F366" s="17">
        <f>UB!X366</f>
        <v/>
      </c>
      <c r="G366" s="17">
        <f>SP!X366</f>
        <v/>
      </c>
      <c r="H366" s="17">
        <f>IF(COUNT(E366:G366)=0,"",ROUND((LARGE(E366:G366,1)+IF(COUNT(E366:G366)&gt;=2,LARGE(E366:G366,2),0))/2,2))</f>
        <v/>
      </c>
      <c r="I366" s="10">
        <f>Ekstra!U366</f>
        <v/>
      </c>
      <c r="J366" s="18">
        <f>IF(B366="","",IF(Murid!F366="TL","TL",IF(H366="","",MIN(100,ROUND(H366+N(I366),2)))))</f>
        <v/>
      </c>
      <c r="K366" s="19">
        <f>IF(J366="","",IF(J366="TL","TL",IF(J366&gt;=80,"A",IF(J366&gt;=60,"B",IF(J366&gt;=40,"C",IF(J366&gt;=20,"D","E"))))))</f>
        <v/>
      </c>
      <c r="L366" s="15">
        <f>IF(K366="","",IF(K366="A","Cemerlang",IF(K366="B","Kepujian",IF(K366="C","Baik",IF(K366="D","Kurang Memuaskan",IF(K366="E","Tidak Memuaskan","Tidak Laksana"))))))</f>
        <v/>
      </c>
    </row>
    <row r="367">
      <c r="A367" s="15">
        <f>Murid!A367</f>
        <v/>
      </c>
      <c r="B367" s="15">
        <f>IF(Murid!B367="","",Murid!B367)</f>
        <v/>
      </c>
      <c r="C367" s="16">
        <f>IF(Murid!C367="","",Murid!C367)</f>
        <v/>
      </c>
      <c r="D367" s="15">
        <f>IF(Murid!E367="","",Murid!E367)</f>
        <v/>
      </c>
      <c r="E367" s="17">
        <f>KP!X367</f>
        <v/>
      </c>
      <c r="F367" s="17">
        <f>UB!X367</f>
        <v/>
      </c>
      <c r="G367" s="17">
        <f>SP!X367</f>
        <v/>
      </c>
      <c r="H367" s="17">
        <f>IF(COUNT(E367:G367)=0,"",ROUND((LARGE(E367:G367,1)+IF(COUNT(E367:G367)&gt;=2,LARGE(E367:G367,2),0))/2,2))</f>
        <v/>
      </c>
      <c r="I367" s="10">
        <f>Ekstra!U367</f>
        <v/>
      </c>
      <c r="J367" s="18">
        <f>IF(B367="","",IF(Murid!F367="TL","TL",IF(H367="","",MIN(100,ROUND(H367+N(I367),2)))))</f>
        <v/>
      </c>
      <c r="K367" s="19">
        <f>IF(J367="","",IF(J367="TL","TL",IF(J367&gt;=80,"A",IF(J367&gt;=60,"B",IF(J367&gt;=40,"C",IF(J367&gt;=20,"D","E"))))))</f>
        <v/>
      </c>
      <c r="L367" s="15">
        <f>IF(K367="","",IF(K367="A","Cemerlang",IF(K367="B","Kepujian",IF(K367="C","Baik",IF(K367="D","Kurang Memuaskan",IF(K367="E","Tidak Memuaskan","Tidak Laksana"))))))</f>
        <v/>
      </c>
    </row>
    <row r="368">
      <c r="A368" s="15">
        <f>Murid!A368</f>
        <v/>
      </c>
      <c r="B368" s="15">
        <f>IF(Murid!B368="","",Murid!B368)</f>
        <v/>
      </c>
      <c r="C368" s="16">
        <f>IF(Murid!C368="","",Murid!C368)</f>
        <v/>
      </c>
      <c r="D368" s="15">
        <f>IF(Murid!E368="","",Murid!E368)</f>
        <v/>
      </c>
      <c r="E368" s="17">
        <f>KP!X368</f>
        <v/>
      </c>
      <c r="F368" s="17">
        <f>UB!X368</f>
        <v/>
      </c>
      <c r="G368" s="17">
        <f>SP!X368</f>
        <v/>
      </c>
      <c r="H368" s="17">
        <f>IF(COUNT(E368:G368)=0,"",ROUND((LARGE(E368:G368,1)+IF(COUNT(E368:G368)&gt;=2,LARGE(E368:G368,2),0))/2,2))</f>
        <v/>
      </c>
      <c r="I368" s="10">
        <f>Ekstra!U368</f>
        <v/>
      </c>
      <c r="J368" s="18">
        <f>IF(B368="","",IF(Murid!F368="TL","TL",IF(H368="","",MIN(100,ROUND(H368+N(I368),2)))))</f>
        <v/>
      </c>
      <c r="K368" s="19">
        <f>IF(J368="","",IF(J368="TL","TL",IF(J368&gt;=80,"A",IF(J368&gt;=60,"B",IF(J368&gt;=40,"C",IF(J368&gt;=20,"D","E"))))))</f>
        <v/>
      </c>
      <c r="L368" s="15">
        <f>IF(K368="","",IF(K368="A","Cemerlang",IF(K368="B","Kepujian",IF(K368="C","Baik",IF(K368="D","Kurang Memuaskan",IF(K368="E","Tidak Memuaskan","Tidak Laksana"))))))</f>
        <v/>
      </c>
    </row>
    <row r="369">
      <c r="A369" s="15">
        <f>Murid!A369</f>
        <v/>
      </c>
      <c r="B369" s="15">
        <f>IF(Murid!B369="","",Murid!B369)</f>
        <v/>
      </c>
      <c r="C369" s="16">
        <f>IF(Murid!C369="","",Murid!C369)</f>
        <v/>
      </c>
      <c r="D369" s="15">
        <f>IF(Murid!E369="","",Murid!E369)</f>
        <v/>
      </c>
      <c r="E369" s="17">
        <f>KP!X369</f>
        <v/>
      </c>
      <c r="F369" s="17">
        <f>UB!X369</f>
        <v/>
      </c>
      <c r="G369" s="17">
        <f>SP!X369</f>
        <v/>
      </c>
      <c r="H369" s="17">
        <f>IF(COUNT(E369:G369)=0,"",ROUND((LARGE(E369:G369,1)+IF(COUNT(E369:G369)&gt;=2,LARGE(E369:G369,2),0))/2,2))</f>
        <v/>
      </c>
      <c r="I369" s="10">
        <f>Ekstra!U369</f>
        <v/>
      </c>
      <c r="J369" s="18">
        <f>IF(B369="","",IF(Murid!F369="TL","TL",IF(H369="","",MIN(100,ROUND(H369+N(I369),2)))))</f>
        <v/>
      </c>
      <c r="K369" s="19">
        <f>IF(J369="","",IF(J369="TL","TL",IF(J369&gt;=80,"A",IF(J369&gt;=60,"B",IF(J369&gt;=40,"C",IF(J369&gt;=20,"D","E"))))))</f>
        <v/>
      </c>
      <c r="L369" s="15">
        <f>IF(K369="","",IF(K369="A","Cemerlang",IF(K369="B","Kepujian",IF(K369="C","Baik",IF(K369="D","Kurang Memuaskan",IF(K369="E","Tidak Memuaskan","Tidak Laksana"))))))</f>
        <v/>
      </c>
    </row>
    <row r="370">
      <c r="A370" s="15">
        <f>Murid!A370</f>
        <v/>
      </c>
      <c r="B370" s="15">
        <f>IF(Murid!B370="","",Murid!B370)</f>
        <v/>
      </c>
      <c r="C370" s="16">
        <f>IF(Murid!C370="","",Murid!C370)</f>
        <v/>
      </c>
      <c r="D370" s="15">
        <f>IF(Murid!E370="","",Murid!E370)</f>
        <v/>
      </c>
      <c r="E370" s="17">
        <f>KP!X370</f>
        <v/>
      </c>
      <c r="F370" s="17">
        <f>UB!X370</f>
        <v/>
      </c>
      <c r="G370" s="17">
        <f>SP!X370</f>
        <v/>
      </c>
      <c r="H370" s="17">
        <f>IF(COUNT(E370:G370)=0,"",ROUND((LARGE(E370:G370,1)+IF(COUNT(E370:G370)&gt;=2,LARGE(E370:G370,2),0))/2,2))</f>
        <v/>
      </c>
      <c r="I370" s="10">
        <f>Ekstra!U370</f>
        <v/>
      </c>
      <c r="J370" s="18">
        <f>IF(B370="","",IF(Murid!F370="TL","TL",IF(H370="","",MIN(100,ROUND(H370+N(I370),2)))))</f>
        <v/>
      </c>
      <c r="K370" s="19">
        <f>IF(J370="","",IF(J370="TL","TL",IF(J370&gt;=80,"A",IF(J370&gt;=60,"B",IF(J370&gt;=40,"C",IF(J370&gt;=20,"D","E"))))))</f>
        <v/>
      </c>
      <c r="L370" s="15">
        <f>IF(K370="","",IF(K370="A","Cemerlang",IF(K370="B","Kepujian",IF(K370="C","Baik",IF(K370="D","Kurang Memuaskan",IF(K370="E","Tidak Memuaskan","Tidak Laksana"))))))</f>
        <v/>
      </c>
    </row>
    <row r="371">
      <c r="A371" s="15">
        <f>Murid!A371</f>
        <v/>
      </c>
      <c r="B371" s="15">
        <f>IF(Murid!B371="","",Murid!B371)</f>
        <v/>
      </c>
      <c r="C371" s="16">
        <f>IF(Murid!C371="","",Murid!C371)</f>
        <v/>
      </c>
      <c r="D371" s="15">
        <f>IF(Murid!E371="","",Murid!E371)</f>
        <v/>
      </c>
      <c r="E371" s="17">
        <f>KP!X371</f>
        <v/>
      </c>
      <c r="F371" s="17">
        <f>UB!X371</f>
        <v/>
      </c>
      <c r="G371" s="17">
        <f>SP!X371</f>
        <v/>
      </c>
      <c r="H371" s="17">
        <f>IF(COUNT(E371:G371)=0,"",ROUND((LARGE(E371:G371,1)+IF(COUNT(E371:G371)&gt;=2,LARGE(E371:G371,2),0))/2,2))</f>
        <v/>
      </c>
      <c r="I371" s="10">
        <f>Ekstra!U371</f>
        <v/>
      </c>
      <c r="J371" s="18">
        <f>IF(B371="","",IF(Murid!F371="TL","TL",IF(H371="","",MIN(100,ROUND(H371+N(I371),2)))))</f>
        <v/>
      </c>
      <c r="K371" s="19">
        <f>IF(J371="","",IF(J371="TL","TL",IF(J371&gt;=80,"A",IF(J371&gt;=60,"B",IF(J371&gt;=40,"C",IF(J371&gt;=20,"D","E"))))))</f>
        <v/>
      </c>
      <c r="L371" s="15">
        <f>IF(K371="","",IF(K371="A","Cemerlang",IF(K371="B","Kepujian",IF(K371="C","Baik",IF(K371="D","Kurang Memuaskan",IF(K371="E","Tidak Memuaskan","Tidak Laksana"))))))</f>
        <v/>
      </c>
    </row>
    <row r="372">
      <c r="A372" s="15">
        <f>Murid!A372</f>
        <v/>
      </c>
      <c r="B372" s="15">
        <f>IF(Murid!B372="","",Murid!B372)</f>
        <v/>
      </c>
      <c r="C372" s="16">
        <f>IF(Murid!C372="","",Murid!C372)</f>
        <v/>
      </c>
      <c r="D372" s="15">
        <f>IF(Murid!E372="","",Murid!E372)</f>
        <v/>
      </c>
      <c r="E372" s="17">
        <f>KP!X372</f>
        <v/>
      </c>
      <c r="F372" s="17">
        <f>UB!X372</f>
        <v/>
      </c>
      <c r="G372" s="17">
        <f>SP!X372</f>
        <v/>
      </c>
      <c r="H372" s="17">
        <f>IF(COUNT(E372:G372)=0,"",ROUND((LARGE(E372:G372,1)+IF(COUNT(E372:G372)&gt;=2,LARGE(E372:G372,2),0))/2,2))</f>
        <v/>
      </c>
      <c r="I372" s="10">
        <f>Ekstra!U372</f>
        <v/>
      </c>
      <c r="J372" s="18">
        <f>IF(B372="","",IF(Murid!F372="TL","TL",IF(H372="","",MIN(100,ROUND(H372+N(I372),2)))))</f>
        <v/>
      </c>
      <c r="K372" s="19">
        <f>IF(J372="","",IF(J372="TL","TL",IF(J372&gt;=80,"A",IF(J372&gt;=60,"B",IF(J372&gt;=40,"C",IF(J372&gt;=20,"D","E"))))))</f>
        <v/>
      </c>
      <c r="L372" s="15">
        <f>IF(K372="","",IF(K372="A","Cemerlang",IF(K372="B","Kepujian",IF(K372="C","Baik",IF(K372="D","Kurang Memuaskan",IF(K372="E","Tidak Memuaskan","Tidak Laksana"))))))</f>
        <v/>
      </c>
    </row>
    <row r="373">
      <c r="A373" s="15">
        <f>Murid!A373</f>
        <v/>
      </c>
      <c r="B373" s="15">
        <f>IF(Murid!B373="","",Murid!B373)</f>
        <v/>
      </c>
      <c r="C373" s="16">
        <f>IF(Murid!C373="","",Murid!C373)</f>
        <v/>
      </c>
      <c r="D373" s="15">
        <f>IF(Murid!E373="","",Murid!E373)</f>
        <v/>
      </c>
      <c r="E373" s="17">
        <f>KP!X373</f>
        <v/>
      </c>
      <c r="F373" s="17">
        <f>UB!X373</f>
        <v/>
      </c>
      <c r="G373" s="17">
        <f>SP!X373</f>
        <v/>
      </c>
      <c r="H373" s="17">
        <f>IF(COUNT(E373:G373)=0,"",ROUND((LARGE(E373:G373,1)+IF(COUNT(E373:G373)&gt;=2,LARGE(E373:G373,2),0))/2,2))</f>
        <v/>
      </c>
      <c r="I373" s="10">
        <f>Ekstra!U373</f>
        <v/>
      </c>
      <c r="J373" s="18">
        <f>IF(B373="","",IF(Murid!F373="TL","TL",IF(H373="","",MIN(100,ROUND(H373+N(I373),2)))))</f>
        <v/>
      </c>
      <c r="K373" s="19">
        <f>IF(J373="","",IF(J373="TL","TL",IF(J373&gt;=80,"A",IF(J373&gt;=60,"B",IF(J373&gt;=40,"C",IF(J373&gt;=20,"D","E"))))))</f>
        <v/>
      </c>
      <c r="L373" s="15">
        <f>IF(K373="","",IF(K373="A","Cemerlang",IF(K373="B","Kepujian",IF(K373="C","Baik",IF(K373="D","Kurang Memuaskan",IF(K373="E","Tidak Memuaskan","Tidak Laksana"))))))</f>
        <v/>
      </c>
    </row>
    <row r="374">
      <c r="A374" s="15">
        <f>Murid!A374</f>
        <v/>
      </c>
      <c r="B374" s="15">
        <f>IF(Murid!B374="","",Murid!B374)</f>
        <v/>
      </c>
      <c r="C374" s="16">
        <f>IF(Murid!C374="","",Murid!C374)</f>
        <v/>
      </c>
      <c r="D374" s="15">
        <f>IF(Murid!E374="","",Murid!E374)</f>
        <v/>
      </c>
      <c r="E374" s="17">
        <f>KP!X374</f>
        <v/>
      </c>
      <c r="F374" s="17">
        <f>UB!X374</f>
        <v/>
      </c>
      <c r="G374" s="17">
        <f>SP!X374</f>
        <v/>
      </c>
      <c r="H374" s="17">
        <f>IF(COUNT(E374:G374)=0,"",ROUND((LARGE(E374:G374,1)+IF(COUNT(E374:G374)&gt;=2,LARGE(E374:G374,2),0))/2,2))</f>
        <v/>
      </c>
      <c r="I374" s="10">
        <f>Ekstra!U374</f>
        <v/>
      </c>
      <c r="J374" s="18">
        <f>IF(B374="","",IF(Murid!F374="TL","TL",IF(H374="","",MIN(100,ROUND(H374+N(I374),2)))))</f>
        <v/>
      </c>
      <c r="K374" s="19">
        <f>IF(J374="","",IF(J374="TL","TL",IF(J374&gt;=80,"A",IF(J374&gt;=60,"B",IF(J374&gt;=40,"C",IF(J374&gt;=20,"D","E"))))))</f>
        <v/>
      </c>
      <c r="L374" s="15">
        <f>IF(K374="","",IF(K374="A","Cemerlang",IF(K374="B","Kepujian",IF(K374="C","Baik",IF(K374="D","Kurang Memuaskan",IF(K374="E","Tidak Memuaskan","Tidak Laksana"))))))</f>
        <v/>
      </c>
    </row>
    <row r="375">
      <c r="A375" s="15">
        <f>Murid!A375</f>
        <v/>
      </c>
      <c r="B375" s="15">
        <f>IF(Murid!B375="","",Murid!B375)</f>
        <v/>
      </c>
      <c r="C375" s="16">
        <f>IF(Murid!C375="","",Murid!C375)</f>
        <v/>
      </c>
      <c r="D375" s="15">
        <f>IF(Murid!E375="","",Murid!E375)</f>
        <v/>
      </c>
      <c r="E375" s="17">
        <f>KP!X375</f>
        <v/>
      </c>
      <c r="F375" s="17">
        <f>UB!X375</f>
        <v/>
      </c>
      <c r="G375" s="17">
        <f>SP!X375</f>
        <v/>
      </c>
      <c r="H375" s="17">
        <f>IF(COUNT(E375:G375)=0,"",ROUND((LARGE(E375:G375,1)+IF(COUNT(E375:G375)&gt;=2,LARGE(E375:G375,2),0))/2,2))</f>
        <v/>
      </c>
      <c r="I375" s="10">
        <f>Ekstra!U375</f>
        <v/>
      </c>
      <c r="J375" s="18">
        <f>IF(B375="","",IF(Murid!F375="TL","TL",IF(H375="","",MIN(100,ROUND(H375+N(I375),2)))))</f>
        <v/>
      </c>
      <c r="K375" s="19">
        <f>IF(J375="","",IF(J375="TL","TL",IF(J375&gt;=80,"A",IF(J375&gt;=60,"B",IF(J375&gt;=40,"C",IF(J375&gt;=20,"D","E"))))))</f>
        <v/>
      </c>
      <c r="L375" s="15">
        <f>IF(K375="","",IF(K375="A","Cemerlang",IF(K375="B","Kepujian",IF(K375="C","Baik",IF(K375="D","Kurang Memuaskan",IF(K375="E","Tidak Memuaskan","Tidak Laksana"))))))</f>
        <v/>
      </c>
    </row>
    <row r="376">
      <c r="A376" s="15">
        <f>Murid!A376</f>
        <v/>
      </c>
      <c r="B376" s="15">
        <f>IF(Murid!B376="","",Murid!B376)</f>
        <v/>
      </c>
      <c r="C376" s="16">
        <f>IF(Murid!C376="","",Murid!C376)</f>
        <v/>
      </c>
      <c r="D376" s="15">
        <f>IF(Murid!E376="","",Murid!E376)</f>
        <v/>
      </c>
      <c r="E376" s="17">
        <f>KP!X376</f>
        <v/>
      </c>
      <c r="F376" s="17">
        <f>UB!X376</f>
        <v/>
      </c>
      <c r="G376" s="17">
        <f>SP!X376</f>
        <v/>
      </c>
      <c r="H376" s="17">
        <f>IF(COUNT(E376:G376)=0,"",ROUND((LARGE(E376:G376,1)+IF(COUNT(E376:G376)&gt;=2,LARGE(E376:G376,2),0))/2,2))</f>
        <v/>
      </c>
      <c r="I376" s="10">
        <f>Ekstra!U376</f>
        <v/>
      </c>
      <c r="J376" s="18">
        <f>IF(B376="","",IF(Murid!F376="TL","TL",IF(H376="","",MIN(100,ROUND(H376+N(I376),2)))))</f>
        <v/>
      </c>
      <c r="K376" s="19">
        <f>IF(J376="","",IF(J376="TL","TL",IF(J376&gt;=80,"A",IF(J376&gt;=60,"B",IF(J376&gt;=40,"C",IF(J376&gt;=20,"D","E"))))))</f>
        <v/>
      </c>
      <c r="L376" s="15">
        <f>IF(K376="","",IF(K376="A","Cemerlang",IF(K376="B","Kepujian",IF(K376="C","Baik",IF(K376="D","Kurang Memuaskan",IF(K376="E","Tidak Memuaskan","Tidak Laksana"))))))</f>
        <v/>
      </c>
    </row>
    <row r="377">
      <c r="A377" s="15">
        <f>Murid!A377</f>
        <v/>
      </c>
      <c r="B377" s="15">
        <f>IF(Murid!B377="","",Murid!B377)</f>
        <v/>
      </c>
      <c r="C377" s="16">
        <f>IF(Murid!C377="","",Murid!C377)</f>
        <v/>
      </c>
      <c r="D377" s="15">
        <f>IF(Murid!E377="","",Murid!E377)</f>
        <v/>
      </c>
      <c r="E377" s="17">
        <f>KP!X377</f>
        <v/>
      </c>
      <c r="F377" s="17">
        <f>UB!X377</f>
        <v/>
      </c>
      <c r="G377" s="17">
        <f>SP!X377</f>
        <v/>
      </c>
      <c r="H377" s="17">
        <f>IF(COUNT(E377:G377)=0,"",ROUND((LARGE(E377:G377,1)+IF(COUNT(E377:G377)&gt;=2,LARGE(E377:G377,2),0))/2,2))</f>
        <v/>
      </c>
      <c r="I377" s="10">
        <f>Ekstra!U377</f>
        <v/>
      </c>
      <c r="J377" s="18">
        <f>IF(B377="","",IF(Murid!F377="TL","TL",IF(H377="","",MIN(100,ROUND(H377+N(I377),2)))))</f>
        <v/>
      </c>
      <c r="K377" s="19">
        <f>IF(J377="","",IF(J377="TL","TL",IF(J377&gt;=80,"A",IF(J377&gt;=60,"B",IF(J377&gt;=40,"C",IF(J377&gt;=20,"D","E"))))))</f>
        <v/>
      </c>
      <c r="L377" s="15">
        <f>IF(K377="","",IF(K377="A","Cemerlang",IF(K377="B","Kepujian",IF(K377="C","Baik",IF(K377="D","Kurang Memuaskan",IF(K377="E","Tidak Memuaskan","Tidak Laksana"))))))</f>
        <v/>
      </c>
    </row>
    <row r="378">
      <c r="A378" s="15">
        <f>Murid!A378</f>
        <v/>
      </c>
      <c r="B378" s="15">
        <f>IF(Murid!B378="","",Murid!B378)</f>
        <v/>
      </c>
      <c r="C378" s="16">
        <f>IF(Murid!C378="","",Murid!C378)</f>
        <v/>
      </c>
      <c r="D378" s="15">
        <f>IF(Murid!E378="","",Murid!E378)</f>
        <v/>
      </c>
      <c r="E378" s="17">
        <f>KP!X378</f>
        <v/>
      </c>
      <c r="F378" s="17">
        <f>UB!X378</f>
        <v/>
      </c>
      <c r="G378" s="17">
        <f>SP!X378</f>
        <v/>
      </c>
      <c r="H378" s="17">
        <f>IF(COUNT(E378:G378)=0,"",ROUND((LARGE(E378:G378,1)+IF(COUNT(E378:G378)&gt;=2,LARGE(E378:G378,2),0))/2,2))</f>
        <v/>
      </c>
      <c r="I378" s="10">
        <f>Ekstra!U378</f>
        <v/>
      </c>
      <c r="J378" s="18">
        <f>IF(B378="","",IF(Murid!F378="TL","TL",IF(H378="","",MIN(100,ROUND(H378+N(I378),2)))))</f>
        <v/>
      </c>
      <c r="K378" s="19">
        <f>IF(J378="","",IF(J378="TL","TL",IF(J378&gt;=80,"A",IF(J378&gt;=60,"B",IF(J378&gt;=40,"C",IF(J378&gt;=20,"D","E"))))))</f>
        <v/>
      </c>
      <c r="L378" s="15">
        <f>IF(K378="","",IF(K378="A","Cemerlang",IF(K378="B","Kepujian",IF(K378="C","Baik",IF(K378="D","Kurang Memuaskan",IF(K378="E","Tidak Memuaskan","Tidak Laksana"))))))</f>
        <v/>
      </c>
    </row>
    <row r="379">
      <c r="A379" s="15">
        <f>Murid!A379</f>
        <v/>
      </c>
      <c r="B379" s="15">
        <f>IF(Murid!B379="","",Murid!B379)</f>
        <v/>
      </c>
      <c r="C379" s="16">
        <f>IF(Murid!C379="","",Murid!C379)</f>
        <v/>
      </c>
      <c r="D379" s="15">
        <f>IF(Murid!E379="","",Murid!E379)</f>
        <v/>
      </c>
      <c r="E379" s="17">
        <f>KP!X379</f>
        <v/>
      </c>
      <c r="F379" s="17">
        <f>UB!X379</f>
        <v/>
      </c>
      <c r="G379" s="17">
        <f>SP!X379</f>
        <v/>
      </c>
      <c r="H379" s="17">
        <f>IF(COUNT(E379:G379)=0,"",ROUND((LARGE(E379:G379,1)+IF(COUNT(E379:G379)&gt;=2,LARGE(E379:G379,2),0))/2,2))</f>
        <v/>
      </c>
      <c r="I379" s="10">
        <f>Ekstra!U379</f>
        <v/>
      </c>
      <c r="J379" s="18">
        <f>IF(B379="","",IF(Murid!F379="TL","TL",IF(H379="","",MIN(100,ROUND(H379+N(I379),2)))))</f>
        <v/>
      </c>
      <c r="K379" s="19">
        <f>IF(J379="","",IF(J379="TL","TL",IF(J379&gt;=80,"A",IF(J379&gt;=60,"B",IF(J379&gt;=40,"C",IF(J379&gt;=20,"D","E"))))))</f>
        <v/>
      </c>
      <c r="L379" s="15">
        <f>IF(K379="","",IF(K379="A","Cemerlang",IF(K379="B","Kepujian",IF(K379="C","Baik",IF(K379="D","Kurang Memuaskan",IF(K379="E","Tidak Memuaskan","Tidak Laksana"))))))</f>
        <v/>
      </c>
    </row>
    <row r="380">
      <c r="A380" s="15">
        <f>Murid!A380</f>
        <v/>
      </c>
      <c r="B380" s="15">
        <f>IF(Murid!B380="","",Murid!B380)</f>
        <v/>
      </c>
      <c r="C380" s="16">
        <f>IF(Murid!C380="","",Murid!C380)</f>
        <v/>
      </c>
      <c r="D380" s="15">
        <f>IF(Murid!E380="","",Murid!E380)</f>
        <v/>
      </c>
      <c r="E380" s="17">
        <f>KP!X380</f>
        <v/>
      </c>
      <c r="F380" s="17">
        <f>UB!X380</f>
        <v/>
      </c>
      <c r="G380" s="17">
        <f>SP!X380</f>
        <v/>
      </c>
      <c r="H380" s="17">
        <f>IF(COUNT(E380:G380)=0,"",ROUND((LARGE(E380:G380,1)+IF(COUNT(E380:G380)&gt;=2,LARGE(E380:G380,2),0))/2,2))</f>
        <v/>
      </c>
      <c r="I380" s="10">
        <f>Ekstra!U380</f>
        <v/>
      </c>
      <c r="J380" s="18">
        <f>IF(B380="","",IF(Murid!F380="TL","TL",IF(H380="","",MIN(100,ROUND(H380+N(I380),2)))))</f>
        <v/>
      </c>
      <c r="K380" s="19">
        <f>IF(J380="","",IF(J380="TL","TL",IF(J380&gt;=80,"A",IF(J380&gt;=60,"B",IF(J380&gt;=40,"C",IF(J380&gt;=20,"D","E"))))))</f>
        <v/>
      </c>
      <c r="L380" s="15">
        <f>IF(K380="","",IF(K380="A","Cemerlang",IF(K380="B","Kepujian",IF(K380="C","Baik",IF(K380="D","Kurang Memuaskan",IF(K380="E","Tidak Memuaskan","Tidak Laksana"))))))</f>
        <v/>
      </c>
    </row>
    <row r="381">
      <c r="A381" s="15">
        <f>Murid!A381</f>
        <v/>
      </c>
      <c r="B381" s="15">
        <f>IF(Murid!B381="","",Murid!B381)</f>
        <v/>
      </c>
      <c r="C381" s="16">
        <f>IF(Murid!C381="","",Murid!C381)</f>
        <v/>
      </c>
      <c r="D381" s="15">
        <f>IF(Murid!E381="","",Murid!E381)</f>
        <v/>
      </c>
      <c r="E381" s="17">
        <f>KP!X381</f>
        <v/>
      </c>
      <c r="F381" s="17">
        <f>UB!X381</f>
        <v/>
      </c>
      <c r="G381" s="17">
        <f>SP!X381</f>
        <v/>
      </c>
      <c r="H381" s="17">
        <f>IF(COUNT(E381:G381)=0,"",ROUND((LARGE(E381:G381,1)+IF(COUNT(E381:G381)&gt;=2,LARGE(E381:G381,2),0))/2,2))</f>
        <v/>
      </c>
      <c r="I381" s="10">
        <f>Ekstra!U381</f>
        <v/>
      </c>
      <c r="J381" s="18">
        <f>IF(B381="","",IF(Murid!F381="TL","TL",IF(H381="","",MIN(100,ROUND(H381+N(I381),2)))))</f>
        <v/>
      </c>
      <c r="K381" s="19">
        <f>IF(J381="","",IF(J381="TL","TL",IF(J381&gt;=80,"A",IF(J381&gt;=60,"B",IF(J381&gt;=40,"C",IF(J381&gt;=20,"D","E"))))))</f>
        <v/>
      </c>
      <c r="L381" s="15">
        <f>IF(K381="","",IF(K381="A","Cemerlang",IF(K381="B","Kepujian",IF(K381="C","Baik",IF(K381="D","Kurang Memuaskan",IF(K381="E","Tidak Memuaskan","Tidak Laksana"))))))</f>
        <v/>
      </c>
    </row>
    <row r="382">
      <c r="A382" s="15">
        <f>Murid!A382</f>
        <v/>
      </c>
      <c r="B382" s="15">
        <f>IF(Murid!B382="","",Murid!B382)</f>
        <v/>
      </c>
      <c r="C382" s="16">
        <f>IF(Murid!C382="","",Murid!C382)</f>
        <v/>
      </c>
      <c r="D382" s="15">
        <f>IF(Murid!E382="","",Murid!E382)</f>
        <v/>
      </c>
      <c r="E382" s="17">
        <f>KP!X382</f>
        <v/>
      </c>
      <c r="F382" s="17">
        <f>UB!X382</f>
        <v/>
      </c>
      <c r="G382" s="17">
        <f>SP!X382</f>
        <v/>
      </c>
      <c r="H382" s="17">
        <f>IF(COUNT(E382:G382)=0,"",ROUND((LARGE(E382:G382,1)+IF(COUNT(E382:G382)&gt;=2,LARGE(E382:G382,2),0))/2,2))</f>
        <v/>
      </c>
      <c r="I382" s="10">
        <f>Ekstra!U382</f>
        <v/>
      </c>
      <c r="J382" s="18">
        <f>IF(B382="","",IF(Murid!F382="TL","TL",IF(H382="","",MIN(100,ROUND(H382+N(I382),2)))))</f>
        <v/>
      </c>
      <c r="K382" s="19">
        <f>IF(J382="","",IF(J382="TL","TL",IF(J382&gt;=80,"A",IF(J382&gt;=60,"B",IF(J382&gt;=40,"C",IF(J382&gt;=20,"D","E"))))))</f>
        <v/>
      </c>
      <c r="L382" s="15">
        <f>IF(K382="","",IF(K382="A","Cemerlang",IF(K382="B","Kepujian",IF(K382="C","Baik",IF(K382="D","Kurang Memuaskan",IF(K382="E","Tidak Memuaskan","Tidak Laksana"))))))</f>
        <v/>
      </c>
    </row>
    <row r="383">
      <c r="A383" s="15">
        <f>Murid!A383</f>
        <v/>
      </c>
      <c r="B383" s="15">
        <f>IF(Murid!B383="","",Murid!B383)</f>
        <v/>
      </c>
      <c r="C383" s="16">
        <f>IF(Murid!C383="","",Murid!C383)</f>
        <v/>
      </c>
      <c r="D383" s="15">
        <f>IF(Murid!E383="","",Murid!E383)</f>
        <v/>
      </c>
      <c r="E383" s="17">
        <f>KP!X383</f>
        <v/>
      </c>
      <c r="F383" s="17">
        <f>UB!X383</f>
        <v/>
      </c>
      <c r="G383" s="17">
        <f>SP!X383</f>
        <v/>
      </c>
      <c r="H383" s="17">
        <f>IF(COUNT(E383:G383)=0,"",ROUND((LARGE(E383:G383,1)+IF(COUNT(E383:G383)&gt;=2,LARGE(E383:G383,2),0))/2,2))</f>
        <v/>
      </c>
      <c r="I383" s="10">
        <f>Ekstra!U383</f>
        <v/>
      </c>
      <c r="J383" s="18">
        <f>IF(B383="","",IF(Murid!F383="TL","TL",IF(H383="","",MIN(100,ROUND(H383+N(I383),2)))))</f>
        <v/>
      </c>
      <c r="K383" s="19">
        <f>IF(J383="","",IF(J383="TL","TL",IF(J383&gt;=80,"A",IF(J383&gt;=60,"B",IF(J383&gt;=40,"C",IF(J383&gt;=20,"D","E"))))))</f>
        <v/>
      </c>
      <c r="L383" s="15">
        <f>IF(K383="","",IF(K383="A","Cemerlang",IF(K383="B","Kepujian",IF(K383="C","Baik",IF(K383="D","Kurang Memuaskan",IF(K383="E","Tidak Memuaskan","Tidak Laksana"))))))</f>
        <v/>
      </c>
    </row>
    <row r="384">
      <c r="A384" s="15">
        <f>Murid!A384</f>
        <v/>
      </c>
      <c r="B384" s="15">
        <f>IF(Murid!B384="","",Murid!B384)</f>
        <v/>
      </c>
      <c r="C384" s="16">
        <f>IF(Murid!C384="","",Murid!C384)</f>
        <v/>
      </c>
      <c r="D384" s="15">
        <f>IF(Murid!E384="","",Murid!E384)</f>
        <v/>
      </c>
      <c r="E384" s="17">
        <f>KP!X384</f>
        <v/>
      </c>
      <c r="F384" s="17">
        <f>UB!X384</f>
        <v/>
      </c>
      <c r="G384" s="17">
        <f>SP!X384</f>
        <v/>
      </c>
      <c r="H384" s="17">
        <f>IF(COUNT(E384:G384)=0,"",ROUND((LARGE(E384:G384,1)+IF(COUNT(E384:G384)&gt;=2,LARGE(E384:G384,2),0))/2,2))</f>
        <v/>
      </c>
      <c r="I384" s="10">
        <f>Ekstra!U384</f>
        <v/>
      </c>
      <c r="J384" s="18">
        <f>IF(B384="","",IF(Murid!F384="TL","TL",IF(H384="","",MIN(100,ROUND(H384+N(I384),2)))))</f>
        <v/>
      </c>
      <c r="K384" s="19">
        <f>IF(J384="","",IF(J384="TL","TL",IF(J384&gt;=80,"A",IF(J384&gt;=60,"B",IF(J384&gt;=40,"C",IF(J384&gt;=20,"D","E"))))))</f>
        <v/>
      </c>
      <c r="L384" s="15">
        <f>IF(K384="","",IF(K384="A","Cemerlang",IF(K384="B","Kepujian",IF(K384="C","Baik",IF(K384="D","Kurang Memuaskan",IF(K384="E","Tidak Memuaskan","Tidak Laksana"))))))</f>
        <v/>
      </c>
    </row>
    <row r="385">
      <c r="A385" s="15">
        <f>Murid!A385</f>
        <v/>
      </c>
      <c r="B385" s="15">
        <f>IF(Murid!B385="","",Murid!B385)</f>
        <v/>
      </c>
      <c r="C385" s="16">
        <f>IF(Murid!C385="","",Murid!C385)</f>
        <v/>
      </c>
      <c r="D385" s="15">
        <f>IF(Murid!E385="","",Murid!E385)</f>
        <v/>
      </c>
      <c r="E385" s="17">
        <f>KP!X385</f>
        <v/>
      </c>
      <c r="F385" s="17">
        <f>UB!X385</f>
        <v/>
      </c>
      <c r="G385" s="17">
        <f>SP!X385</f>
        <v/>
      </c>
      <c r="H385" s="17">
        <f>IF(COUNT(E385:G385)=0,"",ROUND((LARGE(E385:G385,1)+IF(COUNT(E385:G385)&gt;=2,LARGE(E385:G385,2),0))/2,2))</f>
        <v/>
      </c>
      <c r="I385" s="10">
        <f>Ekstra!U385</f>
        <v/>
      </c>
      <c r="J385" s="18">
        <f>IF(B385="","",IF(Murid!F385="TL","TL",IF(H385="","",MIN(100,ROUND(H385+N(I385),2)))))</f>
        <v/>
      </c>
      <c r="K385" s="19">
        <f>IF(J385="","",IF(J385="TL","TL",IF(J385&gt;=80,"A",IF(J385&gt;=60,"B",IF(J385&gt;=40,"C",IF(J385&gt;=20,"D","E"))))))</f>
        <v/>
      </c>
      <c r="L385" s="15">
        <f>IF(K385="","",IF(K385="A","Cemerlang",IF(K385="B","Kepujian",IF(K385="C","Baik",IF(K385="D","Kurang Memuaskan",IF(K385="E","Tidak Memuaskan","Tidak Laksana"))))))</f>
        <v/>
      </c>
    </row>
    <row r="386">
      <c r="A386" s="15">
        <f>Murid!A386</f>
        <v/>
      </c>
      <c r="B386" s="15">
        <f>IF(Murid!B386="","",Murid!B386)</f>
        <v/>
      </c>
      <c r="C386" s="16">
        <f>IF(Murid!C386="","",Murid!C386)</f>
        <v/>
      </c>
      <c r="D386" s="15">
        <f>IF(Murid!E386="","",Murid!E386)</f>
        <v/>
      </c>
      <c r="E386" s="17">
        <f>KP!X386</f>
        <v/>
      </c>
      <c r="F386" s="17">
        <f>UB!X386</f>
        <v/>
      </c>
      <c r="G386" s="17">
        <f>SP!X386</f>
        <v/>
      </c>
      <c r="H386" s="17">
        <f>IF(COUNT(E386:G386)=0,"",ROUND((LARGE(E386:G386,1)+IF(COUNT(E386:G386)&gt;=2,LARGE(E386:G386,2),0))/2,2))</f>
        <v/>
      </c>
      <c r="I386" s="10">
        <f>Ekstra!U386</f>
        <v/>
      </c>
      <c r="J386" s="18">
        <f>IF(B386="","",IF(Murid!F386="TL","TL",IF(H386="","",MIN(100,ROUND(H386+N(I386),2)))))</f>
        <v/>
      </c>
      <c r="K386" s="19">
        <f>IF(J386="","",IF(J386="TL","TL",IF(J386&gt;=80,"A",IF(J386&gt;=60,"B",IF(J386&gt;=40,"C",IF(J386&gt;=20,"D","E"))))))</f>
        <v/>
      </c>
      <c r="L386" s="15">
        <f>IF(K386="","",IF(K386="A","Cemerlang",IF(K386="B","Kepujian",IF(K386="C","Baik",IF(K386="D","Kurang Memuaskan",IF(K386="E","Tidak Memuaskan","Tidak Laksana"))))))</f>
        <v/>
      </c>
    </row>
    <row r="387">
      <c r="A387" s="15">
        <f>Murid!A387</f>
        <v/>
      </c>
      <c r="B387" s="15">
        <f>IF(Murid!B387="","",Murid!B387)</f>
        <v/>
      </c>
      <c r="C387" s="16">
        <f>IF(Murid!C387="","",Murid!C387)</f>
        <v/>
      </c>
      <c r="D387" s="15">
        <f>IF(Murid!E387="","",Murid!E387)</f>
        <v/>
      </c>
      <c r="E387" s="17">
        <f>KP!X387</f>
        <v/>
      </c>
      <c r="F387" s="17">
        <f>UB!X387</f>
        <v/>
      </c>
      <c r="G387" s="17">
        <f>SP!X387</f>
        <v/>
      </c>
      <c r="H387" s="17">
        <f>IF(COUNT(E387:G387)=0,"",ROUND((LARGE(E387:G387,1)+IF(COUNT(E387:G387)&gt;=2,LARGE(E387:G387,2),0))/2,2))</f>
        <v/>
      </c>
      <c r="I387" s="10">
        <f>Ekstra!U387</f>
        <v/>
      </c>
      <c r="J387" s="18">
        <f>IF(B387="","",IF(Murid!F387="TL","TL",IF(H387="","",MIN(100,ROUND(H387+N(I387),2)))))</f>
        <v/>
      </c>
      <c r="K387" s="19">
        <f>IF(J387="","",IF(J387="TL","TL",IF(J387&gt;=80,"A",IF(J387&gt;=60,"B",IF(J387&gt;=40,"C",IF(J387&gt;=20,"D","E"))))))</f>
        <v/>
      </c>
      <c r="L387" s="15">
        <f>IF(K387="","",IF(K387="A","Cemerlang",IF(K387="B","Kepujian",IF(K387="C","Baik",IF(K387="D","Kurang Memuaskan",IF(K387="E","Tidak Memuaskan","Tidak Laksana"))))))</f>
        <v/>
      </c>
    </row>
    <row r="388">
      <c r="A388" s="15">
        <f>Murid!A388</f>
        <v/>
      </c>
      <c r="B388" s="15">
        <f>IF(Murid!B388="","",Murid!B388)</f>
        <v/>
      </c>
      <c r="C388" s="16">
        <f>IF(Murid!C388="","",Murid!C388)</f>
        <v/>
      </c>
      <c r="D388" s="15">
        <f>IF(Murid!E388="","",Murid!E388)</f>
        <v/>
      </c>
      <c r="E388" s="17">
        <f>KP!X388</f>
        <v/>
      </c>
      <c r="F388" s="17">
        <f>UB!X388</f>
        <v/>
      </c>
      <c r="G388" s="17">
        <f>SP!X388</f>
        <v/>
      </c>
      <c r="H388" s="17">
        <f>IF(COUNT(E388:G388)=0,"",ROUND((LARGE(E388:G388,1)+IF(COUNT(E388:G388)&gt;=2,LARGE(E388:G388,2),0))/2,2))</f>
        <v/>
      </c>
      <c r="I388" s="10">
        <f>Ekstra!U388</f>
        <v/>
      </c>
      <c r="J388" s="18">
        <f>IF(B388="","",IF(Murid!F388="TL","TL",IF(H388="","",MIN(100,ROUND(H388+N(I388),2)))))</f>
        <v/>
      </c>
      <c r="K388" s="19">
        <f>IF(J388="","",IF(J388="TL","TL",IF(J388&gt;=80,"A",IF(J388&gt;=60,"B",IF(J388&gt;=40,"C",IF(J388&gt;=20,"D","E"))))))</f>
        <v/>
      </c>
      <c r="L388" s="15">
        <f>IF(K388="","",IF(K388="A","Cemerlang",IF(K388="B","Kepujian",IF(K388="C","Baik",IF(K388="D","Kurang Memuaskan",IF(K388="E","Tidak Memuaskan","Tidak Laksana"))))))</f>
        <v/>
      </c>
    </row>
    <row r="389">
      <c r="A389" s="15">
        <f>Murid!A389</f>
        <v/>
      </c>
      <c r="B389" s="15">
        <f>IF(Murid!B389="","",Murid!B389)</f>
        <v/>
      </c>
      <c r="C389" s="16">
        <f>IF(Murid!C389="","",Murid!C389)</f>
        <v/>
      </c>
      <c r="D389" s="15">
        <f>IF(Murid!E389="","",Murid!E389)</f>
        <v/>
      </c>
      <c r="E389" s="17">
        <f>KP!X389</f>
        <v/>
      </c>
      <c r="F389" s="17">
        <f>UB!X389</f>
        <v/>
      </c>
      <c r="G389" s="17">
        <f>SP!X389</f>
        <v/>
      </c>
      <c r="H389" s="17">
        <f>IF(COUNT(E389:G389)=0,"",ROUND((LARGE(E389:G389,1)+IF(COUNT(E389:G389)&gt;=2,LARGE(E389:G389,2),0))/2,2))</f>
        <v/>
      </c>
      <c r="I389" s="10">
        <f>Ekstra!U389</f>
        <v/>
      </c>
      <c r="J389" s="18">
        <f>IF(B389="","",IF(Murid!F389="TL","TL",IF(H389="","",MIN(100,ROUND(H389+N(I389),2)))))</f>
        <v/>
      </c>
      <c r="K389" s="19">
        <f>IF(J389="","",IF(J389="TL","TL",IF(J389&gt;=80,"A",IF(J389&gt;=60,"B",IF(J389&gt;=40,"C",IF(J389&gt;=20,"D","E"))))))</f>
        <v/>
      </c>
      <c r="L389" s="15">
        <f>IF(K389="","",IF(K389="A","Cemerlang",IF(K389="B","Kepujian",IF(K389="C","Baik",IF(K389="D","Kurang Memuaskan",IF(K389="E","Tidak Memuaskan","Tidak Laksana"))))))</f>
        <v/>
      </c>
    </row>
    <row r="390">
      <c r="A390" s="15">
        <f>Murid!A390</f>
        <v/>
      </c>
      <c r="B390" s="15">
        <f>IF(Murid!B390="","",Murid!B390)</f>
        <v/>
      </c>
      <c r="C390" s="16">
        <f>IF(Murid!C390="","",Murid!C390)</f>
        <v/>
      </c>
      <c r="D390" s="15">
        <f>IF(Murid!E390="","",Murid!E390)</f>
        <v/>
      </c>
      <c r="E390" s="17">
        <f>KP!X390</f>
        <v/>
      </c>
      <c r="F390" s="17">
        <f>UB!X390</f>
        <v/>
      </c>
      <c r="G390" s="17">
        <f>SP!X390</f>
        <v/>
      </c>
      <c r="H390" s="17">
        <f>IF(COUNT(E390:G390)=0,"",ROUND((LARGE(E390:G390,1)+IF(COUNT(E390:G390)&gt;=2,LARGE(E390:G390,2),0))/2,2))</f>
        <v/>
      </c>
      <c r="I390" s="10">
        <f>Ekstra!U390</f>
        <v/>
      </c>
      <c r="J390" s="18">
        <f>IF(B390="","",IF(Murid!F390="TL","TL",IF(H390="","",MIN(100,ROUND(H390+N(I390),2)))))</f>
        <v/>
      </c>
      <c r="K390" s="19">
        <f>IF(J390="","",IF(J390="TL","TL",IF(J390&gt;=80,"A",IF(J390&gt;=60,"B",IF(J390&gt;=40,"C",IF(J390&gt;=20,"D","E"))))))</f>
        <v/>
      </c>
      <c r="L390" s="15">
        <f>IF(K390="","",IF(K390="A","Cemerlang",IF(K390="B","Kepujian",IF(K390="C","Baik",IF(K390="D","Kurang Memuaskan",IF(K390="E","Tidak Memuaskan","Tidak Laksana"))))))</f>
        <v/>
      </c>
    </row>
    <row r="391">
      <c r="A391" s="15">
        <f>Murid!A391</f>
        <v/>
      </c>
      <c r="B391" s="15">
        <f>IF(Murid!B391="","",Murid!B391)</f>
        <v/>
      </c>
      <c r="C391" s="16">
        <f>IF(Murid!C391="","",Murid!C391)</f>
        <v/>
      </c>
      <c r="D391" s="15">
        <f>IF(Murid!E391="","",Murid!E391)</f>
        <v/>
      </c>
      <c r="E391" s="17">
        <f>KP!X391</f>
        <v/>
      </c>
      <c r="F391" s="17">
        <f>UB!X391</f>
        <v/>
      </c>
      <c r="G391" s="17">
        <f>SP!X391</f>
        <v/>
      </c>
      <c r="H391" s="17">
        <f>IF(COUNT(E391:G391)=0,"",ROUND((LARGE(E391:G391,1)+IF(COUNT(E391:G391)&gt;=2,LARGE(E391:G391,2),0))/2,2))</f>
        <v/>
      </c>
      <c r="I391" s="10">
        <f>Ekstra!U391</f>
        <v/>
      </c>
      <c r="J391" s="18">
        <f>IF(B391="","",IF(Murid!F391="TL","TL",IF(H391="","",MIN(100,ROUND(H391+N(I391),2)))))</f>
        <v/>
      </c>
      <c r="K391" s="19">
        <f>IF(J391="","",IF(J391="TL","TL",IF(J391&gt;=80,"A",IF(J391&gt;=60,"B",IF(J391&gt;=40,"C",IF(J391&gt;=20,"D","E"))))))</f>
        <v/>
      </c>
      <c r="L391" s="15">
        <f>IF(K391="","",IF(K391="A","Cemerlang",IF(K391="B","Kepujian",IF(K391="C","Baik",IF(K391="D","Kurang Memuaskan",IF(K391="E","Tidak Memuaskan","Tidak Laksana"))))))</f>
        <v/>
      </c>
    </row>
    <row r="392">
      <c r="A392" s="15">
        <f>Murid!A392</f>
        <v/>
      </c>
      <c r="B392" s="15">
        <f>IF(Murid!B392="","",Murid!B392)</f>
        <v/>
      </c>
      <c r="C392" s="16">
        <f>IF(Murid!C392="","",Murid!C392)</f>
        <v/>
      </c>
      <c r="D392" s="15">
        <f>IF(Murid!E392="","",Murid!E392)</f>
        <v/>
      </c>
      <c r="E392" s="17">
        <f>KP!X392</f>
        <v/>
      </c>
      <c r="F392" s="17">
        <f>UB!X392</f>
        <v/>
      </c>
      <c r="G392" s="17">
        <f>SP!X392</f>
        <v/>
      </c>
      <c r="H392" s="17">
        <f>IF(COUNT(E392:G392)=0,"",ROUND((LARGE(E392:G392,1)+IF(COUNT(E392:G392)&gt;=2,LARGE(E392:G392,2),0))/2,2))</f>
        <v/>
      </c>
      <c r="I392" s="10">
        <f>Ekstra!U392</f>
        <v/>
      </c>
      <c r="J392" s="18">
        <f>IF(B392="","",IF(Murid!F392="TL","TL",IF(H392="","",MIN(100,ROUND(H392+N(I392),2)))))</f>
        <v/>
      </c>
      <c r="K392" s="19">
        <f>IF(J392="","",IF(J392="TL","TL",IF(J392&gt;=80,"A",IF(J392&gt;=60,"B",IF(J392&gt;=40,"C",IF(J392&gt;=20,"D","E"))))))</f>
        <v/>
      </c>
      <c r="L392" s="15">
        <f>IF(K392="","",IF(K392="A","Cemerlang",IF(K392="B","Kepujian",IF(K392="C","Baik",IF(K392="D","Kurang Memuaskan",IF(K392="E","Tidak Memuaskan","Tidak Laksana"))))))</f>
        <v/>
      </c>
    </row>
    <row r="393">
      <c r="A393" s="15">
        <f>Murid!A393</f>
        <v/>
      </c>
      <c r="B393" s="15">
        <f>IF(Murid!B393="","",Murid!B393)</f>
        <v/>
      </c>
      <c r="C393" s="16">
        <f>IF(Murid!C393="","",Murid!C393)</f>
        <v/>
      </c>
      <c r="D393" s="15">
        <f>IF(Murid!E393="","",Murid!E393)</f>
        <v/>
      </c>
      <c r="E393" s="17">
        <f>KP!X393</f>
        <v/>
      </c>
      <c r="F393" s="17">
        <f>UB!X393</f>
        <v/>
      </c>
      <c r="G393" s="17">
        <f>SP!X393</f>
        <v/>
      </c>
      <c r="H393" s="17">
        <f>IF(COUNT(E393:G393)=0,"",ROUND((LARGE(E393:G393,1)+IF(COUNT(E393:G393)&gt;=2,LARGE(E393:G393,2),0))/2,2))</f>
        <v/>
      </c>
      <c r="I393" s="10">
        <f>Ekstra!U393</f>
        <v/>
      </c>
      <c r="J393" s="18">
        <f>IF(B393="","",IF(Murid!F393="TL","TL",IF(H393="","",MIN(100,ROUND(H393+N(I393),2)))))</f>
        <v/>
      </c>
      <c r="K393" s="19">
        <f>IF(J393="","",IF(J393="TL","TL",IF(J393&gt;=80,"A",IF(J393&gt;=60,"B",IF(J393&gt;=40,"C",IF(J393&gt;=20,"D","E"))))))</f>
        <v/>
      </c>
      <c r="L393" s="15">
        <f>IF(K393="","",IF(K393="A","Cemerlang",IF(K393="B","Kepujian",IF(K393="C","Baik",IF(K393="D","Kurang Memuaskan",IF(K393="E","Tidak Memuaskan","Tidak Laksana"))))))</f>
        <v/>
      </c>
    </row>
    <row r="394">
      <c r="A394" s="15">
        <f>Murid!A394</f>
        <v/>
      </c>
      <c r="B394" s="15">
        <f>IF(Murid!B394="","",Murid!B394)</f>
        <v/>
      </c>
      <c r="C394" s="16">
        <f>IF(Murid!C394="","",Murid!C394)</f>
        <v/>
      </c>
      <c r="D394" s="15">
        <f>IF(Murid!E394="","",Murid!E394)</f>
        <v/>
      </c>
      <c r="E394" s="17">
        <f>KP!X394</f>
        <v/>
      </c>
      <c r="F394" s="17">
        <f>UB!X394</f>
        <v/>
      </c>
      <c r="G394" s="17">
        <f>SP!X394</f>
        <v/>
      </c>
      <c r="H394" s="17">
        <f>IF(COUNT(E394:G394)=0,"",ROUND((LARGE(E394:G394,1)+IF(COUNT(E394:G394)&gt;=2,LARGE(E394:G394,2),0))/2,2))</f>
        <v/>
      </c>
      <c r="I394" s="10">
        <f>Ekstra!U394</f>
        <v/>
      </c>
      <c r="J394" s="18">
        <f>IF(B394="","",IF(Murid!F394="TL","TL",IF(H394="","",MIN(100,ROUND(H394+N(I394),2)))))</f>
        <v/>
      </c>
      <c r="K394" s="19">
        <f>IF(J394="","",IF(J394="TL","TL",IF(J394&gt;=80,"A",IF(J394&gt;=60,"B",IF(J394&gt;=40,"C",IF(J394&gt;=20,"D","E"))))))</f>
        <v/>
      </c>
      <c r="L394" s="15">
        <f>IF(K394="","",IF(K394="A","Cemerlang",IF(K394="B","Kepujian",IF(K394="C","Baik",IF(K394="D","Kurang Memuaskan",IF(K394="E","Tidak Memuaskan","Tidak Laksana"))))))</f>
        <v/>
      </c>
    </row>
    <row r="395">
      <c r="A395" s="15">
        <f>Murid!A395</f>
        <v/>
      </c>
      <c r="B395" s="15">
        <f>IF(Murid!B395="","",Murid!B395)</f>
        <v/>
      </c>
      <c r="C395" s="16">
        <f>IF(Murid!C395="","",Murid!C395)</f>
        <v/>
      </c>
      <c r="D395" s="15">
        <f>IF(Murid!E395="","",Murid!E395)</f>
        <v/>
      </c>
      <c r="E395" s="17">
        <f>KP!X395</f>
        <v/>
      </c>
      <c r="F395" s="17">
        <f>UB!X395</f>
        <v/>
      </c>
      <c r="G395" s="17">
        <f>SP!X395</f>
        <v/>
      </c>
      <c r="H395" s="17">
        <f>IF(COUNT(E395:G395)=0,"",ROUND((LARGE(E395:G395,1)+IF(COUNT(E395:G395)&gt;=2,LARGE(E395:G395,2),0))/2,2))</f>
        <v/>
      </c>
      <c r="I395" s="10">
        <f>Ekstra!U395</f>
        <v/>
      </c>
      <c r="J395" s="18">
        <f>IF(B395="","",IF(Murid!F395="TL","TL",IF(H395="","",MIN(100,ROUND(H395+N(I395),2)))))</f>
        <v/>
      </c>
      <c r="K395" s="19">
        <f>IF(J395="","",IF(J395="TL","TL",IF(J395&gt;=80,"A",IF(J395&gt;=60,"B",IF(J395&gt;=40,"C",IF(J395&gt;=20,"D","E"))))))</f>
        <v/>
      </c>
      <c r="L395" s="15">
        <f>IF(K395="","",IF(K395="A","Cemerlang",IF(K395="B","Kepujian",IF(K395="C","Baik",IF(K395="D","Kurang Memuaskan",IF(K395="E","Tidak Memuaskan","Tidak Laksana"))))))</f>
        <v/>
      </c>
    </row>
    <row r="396">
      <c r="A396" s="15">
        <f>Murid!A396</f>
        <v/>
      </c>
      <c r="B396" s="15">
        <f>IF(Murid!B396="","",Murid!B396)</f>
        <v/>
      </c>
      <c r="C396" s="16">
        <f>IF(Murid!C396="","",Murid!C396)</f>
        <v/>
      </c>
      <c r="D396" s="15">
        <f>IF(Murid!E396="","",Murid!E396)</f>
        <v/>
      </c>
      <c r="E396" s="17">
        <f>KP!X396</f>
        <v/>
      </c>
      <c r="F396" s="17">
        <f>UB!X396</f>
        <v/>
      </c>
      <c r="G396" s="17">
        <f>SP!X396</f>
        <v/>
      </c>
      <c r="H396" s="17">
        <f>IF(COUNT(E396:G396)=0,"",ROUND((LARGE(E396:G396,1)+IF(COUNT(E396:G396)&gt;=2,LARGE(E396:G396,2),0))/2,2))</f>
        <v/>
      </c>
      <c r="I396" s="10">
        <f>Ekstra!U396</f>
        <v/>
      </c>
      <c r="J396" s="18">
        <f>IF(B396="","",IF(Murid!F396="TL","TL",IF(H396="","",MIN(100,ROUND(H396+N(I396),2)))))</f>
        <v/>
      </c>
      <c r="K396" s="19">
        <f>IF(J396="","",IF(J396="TL","TL",IF(J396&gt;=80,"A",IF(J396&gt;=60,"B",IF(J396&gt;=40,"C",IF(J396&gt;=20,"D","E"))))))</f>
        <v/>
      </c>
      <c r="L396" s="15">
        <f>IF(K396="","",IF(K396="A","Cemerlang",IF(K396="B","Kepujian",IF(K396="C","Baik",IF(K396="D","Kurang Memuaskan",IF(K396="E","Tidak Memuaskan","Tidak Laksana"))))))</f>
        <v/>
      </c>
    </row>
    <row r="397">
      <c r="A397" s="15">
        <f>Murid!A397</f>
        <v/>
      </c>
      <c r="B397" s="15">
        <f>IF(Murid!B397="","",Murid!B397)</f>
        <v/>
      </c>
      <c r="C397" s="16">
        <f>IF(Murid!C397="","",Murid!C397)</f>
        <v/>
      </c>
      <c r="D397" s="15">
        <f>IF(Murid!E397="","",Murid!E397)</f>
        <v/>
      </c>
      <c r="E397" s="17">
        <f>KP!X397</f>
        <v/>
      </c>
      <c r="F397" s="17">
        <f>UB!X397</f>
        <v/>
      </c>
      <c r="G397" s="17">
        <f>SP!X397</f>
        <v/>
      </c>
      <c r="H397" s="17">
        <f>IF(COUNT(E397:G397)=0,"",ROUND((LARGE(E397:G397,1)+IF(COUNT(E397:G397)&gt;=2,LARGE(E397:G397,2),0))/2,2))</f>
        <v/>
      </c>
      <c r="I397" s="10">
        <f>Ekstra!U397</f>
        <v/>
      </c>
      <c r="J397" s="18">
        <f>IF(B397="","",IF(Murid!F397="TL","TL",IF(H397="","",MIN(100,ROUND(H397+N(I397),2)))))</f>
        <v/>
      </c>
      <c r="K397" s="19">
        <f>IF(J397="","",IF(J397="TL","TL",IF(J397&gt;=80,"A",IF(J397&gt;=60,"B",IF(J397&gt;=40,"C",IF(J397&gt;=20,"D","E"))))))</f>
        <v/>
      </c>
      <c r="L397" s="15">
        <f>IF(K397="","",IF(K397="A","Cemerlang",IF(K397="B","Kepujian",IF(K397="C","Baik",IF(K397="D","Kurang Memuaskan",IF(K397="E","Tidak Memuaskan","Tidak Laksana"))))))</f>
        <v/>
      </c>
    </row>
    <row r="398">
      <c r="A398" s="15">
        <f>Murid!A398</f>
        <v/>
      </c>
      <c r="B398" s="15">
        <f>IF(Murid!B398="","",Murid!B398)</f>
        <v/>
      </c>
      <c r="C398" s="16">
        <f>IF(Murid!C398="","",Murid!C398)</f>
        <v/>
      </c>
      <c r="D398" s="15">
        <f>IF(Murid!E398="","",Murid!E398)</f>
        <v/>
      </c>
      <c r="E398" s="17">
        <f>KP!X398</f>
        <v/>
      </c>
      <c r="F398" s="17">
        <f>UB!X398</f>
        <v/>
      </c>
      <c r="G398" s="17">
        <f>SP!X398</f>
        <v/>
      </c>
      <c r="H398" s="17">
        <f>IF(COUNT(E398:G398)=0,"",ROUND((LARGE(E398:G398,1)+IF(COUNT(E398:G398)&gt;=2,LARGE(E398:G398,2),0))/2,2))</f>
        <v/>
      </c>
      <c r="I398" s="10">
        <f>Ekstra!U398</f>
        <v/>
      </c>
      <c r="J398" s="18">
        <f>IF(B398="","",IF(Murid!F398="TL","TL",IF(H398="","",MIN(100,ROUND(H398+N(I398),2)))))</f>
        <v/>
      </c>
      <c r="K398" s="19">
        <f>IF(J398="","",IF(J398="TL","TL",IF(J398&gt;=80,"A",IF(J398&gt;=60,"B",IF(J398&gt;=40,"C",IF(J398&gt;=20,"D","E"))))))</f>
        <v/>
      </c>
      <c r="L398" s="15">
        <f>IF(K398="","",IF(K398="A","Cemerlang",IF(K398="B","Kepujian",IF(K398="C","Baik",IF(K398="D","Kurang Memuaskan",IF(K398="E","Tidak Memuaskan","Tidak Laksana"))))))</f>
        <v/>
      </c>
    </row>
    <row r="399">
      <c r="A399" s="15">
        <f>Murid!A399</f>
        <v/>
      </c>
      <c r="B399" s="15">
        <f>IF(Murid!B399="","",Murid!B399)</f>
        <v/>
      </c>
      <c r="C399" s="16">
        <f>IF(Murid!C399="","",Murid!C399)</f>
        <v/>
      </c>
      <c r="D399" s="15">
        <f>IF(Murid!E399="","",Murid!E399)</f>
        <v/>
      </c>
      <c r="E399" s="17">
        <f>KP!X399</f>
        <v/>
      </c>
      <c r="F399" s="17">
        <f>UB!X399</f>
        <v/>
      </c>
      <c r="G399" s="17">
        <f>SP!X399</f>
        <v/>
      </c>
      <c r="H399" s="17">
        <f>IF(COUNT(E399:G399)=0,"",ROUND((LARGE(E399:G399,1)+IF(COUNT(E399:G399)&gt;=2,LARGE(E399:G399,2),0))/2,2))</f>
        <v/>
      </c>
      <c r="I399" s="10">
        <f>Ekstra!U399</f>
        <v/>
      </c>
      <c r="J399" s="18">
        <f>IF(B399="","",IF(Murid!F399="TL","TL",IF(H399="","",MIN(100,ROUND(H399+N(I399),2)))))</f>
        <v/>
      </c>
      <c r="K399" s="19">
        <f>IF(J399="","",IF(J399="TL","TL",IF(J399&gt;=80,"A",IF(J399&gt;=60,"B",IF(J399&gt;=40,"C",IF(J399&gt;=20,"D","E"))))))</f>
        <v/>
      </c>
      <c r="L399" s="15">
        <f>IF(K399="","",IF(K399="A","Cemerlang",IF(K399="B","Kepujian",IF(K399="C","Baik",IF(K399="D","Kurang Memuaskan",IF(K399="E","Tidak Memuaskan","Tidak Laksana"))))))</f>
        <v/>
      </c>
    </row>
    <row r="400">
      <c r="A400" s="15">
        <f>Murid!A400</f>
        <v/>
      </c>
      <c r="B400" s="15">
        <f>IF(Murid!B400="","",Murid!B400)</f>
        <v/>
      </c>
      <c r="C400" s="16">
        <f>IF(Murid!C400="","",Murid!C400)</f>
        <v/>
      </c>
      <c r="D400" s="15">
        <f>IF(Murid!E400="","",Murid!E400)</f>
        <v/>
      </c>
      <c r="E400" s="17">
        <f>KP!X400</f>
        <v/>
      </c>
      <c r="F400" s="17">
        <f>UB!X400</f>
        <v/>
      </c>
      <c r="G400" s="17">
        <f>SP!X400</f>
        <v/>
      </c>
      <c r="H400" s="17">
        <f>IF(COUNT(E400:G400)=0,"",ROUND((LARGE(E400:G400,1)+IF(COUNT(E400:G400)&gt;=2,LARGE(E400:G400,2),0))/2,2))</f>
        <v/>
      </c>
      <c r="I400" s="10">
        <f>Ekstra!U400</f>
        <v/>
      </c>
      <c r="J400" s="18">
        <f>IF(B400="","",IF(Murid!F400="TL","TL",IF(H400="","",MIN(100,ROUND(H400+N(I400),2)))))</f>
        <v/>
      </c>
      <c r="K400" s="19">
        <f>IF(J400="","",IF(J400="TL","TL",IF(J400&gt;=80,"A",IF(J400&gt;=60,"B",IF(J400&gt;=40,"C",IF(J400&gt;=20,"D","E"))))))</f>
        <v/>
      </c>
      <c r="L400" s="15">
        <f>IF(K400="","",IF(K400="A","Cemerlang",IF(K400="B","Kepujian",IF(K400="C","Baik",IF(K400="D","Kurang Memuaskan",IF(K400="E","Tidak Memuaskan","Tidak Laksana"))))))</f>
        <v/>
      </c>
    </row>
    <row r="401">
      <c r="A401" s="15">
        <f>Murid!A401</f>
        <v/>
      </c>
      <c r="B401" s="15">
        <f>IF(Murid!B401="","",Murid!B401)</f>
        <v/>
      </c>
      <c r="C401" s="16">
        <f>IF(Murid!C401="","",Murid!C401)</f>
        <v/>
      </c>
      <c r="D401" s="15">
        <f>IF(Murid!E401="","",Murid!E401)</f>
        <v/>
      </c>
      <c r="E401" s="17">
        <f>KP!X401</f>
        <v/>
      </c>
      <c r="F401" s="17">
        <f>UB!X401</f>
        <v/>
      </c>
      <c r="G401" s="17">
        <f>SP!X401</f>
        <v/>
      </c>
      <c r="H401" s="17">
        <f>IF(COUNT(E401:G401)=0,"",ROUND((LARGE(E401:G401,1)+IF(COUNT(E401:G401)&gt;=2,LARGE(E401:G401,2),0))/2,2))</f>
        <v/>
      </c>
      <c r="I401" s="10">
        <f>Ekstra!U401</f>
        <v/>
      </c>
      <c r="J401" s="18">
        <f>IF(B401="","",IF(Murid!F401="TL","TL",IF(H401="","",MIN(100,ROUND(H401+N(I401),2)))))</f>
        <v/>
      </c>
      <c r="K401" s="19">
        <f>IF(J401="","",IF(J401="TL","TL",IF(J401&gt;=80,"A",IF(J401&gt;=60,"B",IF(J401&gt;=40,"C",IF(J401&gt;=20,"D","E"))))))</f>
        <v/>
      </c>
      <c r="L401" s="15">
        <f>IF(K401="","",IF(K401="A","Cemerlang",IF(K401="B","Kepujian",IF(K401="C","Baik",IF(K401="D","Kurang Memuaskan",IF(K401="E","Tidak Memuaskan","Tidak Laksana"))))))</f>
        <v/>
      </c>
    </row>
    <row r="402">
      <c r="A402" s="15">
        <f>Murid!A402</f>
        <v/>
      </c>
      <c r="B402" s="15">
        <f>IF(Murid!B402="","",Murid!B402)</f>
        <v/>
      </c>
      <c r="C402" s="16">
        <f>IF(Murid!C402="","",Murid!C402)</f>
        <v/>
      </c>
      <c r="D402" s="15">
        <f>IF(Murid!E402="","",Murid!E402)</f>
        <v/>
      </c>
      <c r="E402" s="17">
        <f>KP!X402</f>
        <v/>
      </c>
      <c r="F402" s="17">
        <f>UB!X402</f>
        <v/>
      </c>
      <c r="G402" s="17">
        <f>SP!X402</f>
        <v/>
      </c>
      <c r="H402" s="17">
        <f>IF(COUNT(E402:G402)=0,"",ROUND((LARGE(E402:G402,1)+IF(COUNT(E402:G402)&gt;=2,LARGE(E402:G402,2),0))/2,2))</f>
        <v/>
      </c>
      <c r="I402" s="10">
        <f>Ekstra!U402</f>
        <v/>
      </c>
      <c r="J402" s="18">
        <f>IF(B402="","",IF(Murid!F402="TL","TL",IF(H402="","",MIN(100,ROUND(H402+N(I402),2)))))</f>
        <v/>
      </c>
      <c r="K402" s="19">
        <f>IF(J402="","",IF(J402="TL","TL",IF(J402&gt;=80,"A",IF(J402&gt;=60,"B",IF(J402&gt;=40,"C",IF(J402&gt;=20,"D","E"))))))</f>
        <v/>
      </c>
      <c r="L402" s="15">
        <f>IF(K402="","",IF(K402="A","Cemerlang",IF(K402="B","Kepujian",IF(K402="C","Baik",IF(K402="D","Kurang Memuaskan",IF(K402="E","Tidak Memuaskan","Tidak Laksana"))))))</f>
        <v/>
      </c>
    </row>
    <row r="403">
      <c r="A403" s="15">
        <f>Murid!A403</f>
        <v/>
      </c>
      <c r="B403" s="15">
        <f>IF(Murid!B403="","",Murid!B403)</f>
        <v/>
      </c>
      <c r="C403" s="16">
        <f>IF(Murid!C403="","",Murid!C403)</f>
        <v/>
      </c>
      <c r="D403" s="15">
        <f>IF(Murid!E403="","",Murid!E403)</f>
        <v/>
      </c>
      <c r="E403" s="17">
        <f>KP!X403</f>
        <v/>
      </c>
      <c r="F403" s="17">
        <f>UB!X403</f>
        <v/>
      </c>
      <c r="G403" s="17">
        <f>SP!X403</f>
        <v/>
      </c>
      <c r="H403" s="17">
        <f>IF(COUNT(E403:G403)=0,"",ROUND((LARGE(E403:G403,1)+IF(COUNT(E403:G403)&gt;=2,LARGE(E403:G403,2),0))/2,2))</f>
        <v/>
      </c>
      <c r="I403" s="10">
        <f>Ekstra!U403</f>
        <v/>
      </c>
      <c r="J403" s="18">
        <f>IF(B403="","",IF(Murid!F403="TL","TL",IF(H403="","",MIN(100,ROUND(H403+N(I403),2)))))</f>
        <v/>
      </c>
      <c r="K403" s="19">
        <f>IF(J403="","",IF(J403="TL","TL",IF(J403&gt;=80,"A",IF(J403&gt;=60,"B",IF(J403&gt;=40,"C",IF(J403&gt;=20,"D","E"))))))</f>
        <v/>
      </c>
      <c r="L403" s="15">
        <f>IF(K403="","",IF(K403="A","Cemerlang",IF(K403="B","Kepujian",IF(K403="C","Baik",IF(K403="D","Kurang Memuaskan",IF(K403="E","Tidak Memuaskan","Tidak Laksana"))))))</f>
        <v/>
      </c>
    </row>
    <row r="404">
      <c r="A404" s="15">
        <f>Murid!A404</f>
        <v/>
      </c>
      <c r="B404" s="15">
        <f>IF(Murid!B404="","",Murid!B404)</f>
        <v/>
      </c>
      <c r="C404" s="16">
        <f>IF(Murid!C404="","",Murid!C404)</f>
        <v/>
      </c>
      <c r="D404" s="15">
        <f>IF(Murid!E404="","",Murid!E404)</f>
        <v/>
      </c>
      <c r="E404" s="17">
        <f>KP!X404</f>
        <v/>
      </c>
      <c r="F404" s="17">
        <f>UB!X404</f>
        <v/>
      </c>
      <c r="G404" s="17">
        <f>SP!X404</f>
        <v/>
      </c>
      <c r="H404" s="17">
        <f>IF(COUNT(E404:G404)=0,"",ROUND((LARGE(E404:G404,1)+IF(COUNT(E404:G404)&gt;=2,LARGE(E404:G404,2),0))/2,2))</f>
        <v/>
      </c>
      <c r="I404" s="10">
        <f>Ekstra!U404</f>
        <v/>
      </c>
      <c r="J404" s="18">
        <f>IF(B404="","",IF(Murid!F404="TL","TL",IF(H404="","",MIN(100,ROUND(H404+N(I404),2)))))</f>
        <v/>
      </c>
      <c r="K404" s="19">
        <f>IF(J404="","",IF(J404="TL","TL",IF(J404&gt;=80,"A",IF(J404&gt;=60,"B",IF(J404&gt;=40,"C",IF(J404&gt;=20,"D","E"))))))</f>
        <v/>
      </c>
      <c r="L404" s="15">
        <f>IF(K404="","",IF(K404="A","Cemerlang",IF(K404="B","Kepujian",IF(K404="C","Baik",IF(K404="D","Kurang Memuaskan",IF(K404="E","Tidak Memuaskan","Tidak Laksana"))))))</f>
        <v/>
      </c>
    </row>
    <row r="405">
      <c r="A405" s="15">
        <f>Murid!A405</f>
        <v/>
      </c>
      <c r="B405" s="15">
        <f>IF(Murid!B405="","",Murid!B405)</f>
        <v/>
      </c>
      <c r="C405" s="16">
        <f>IF(Murid!C405="","",Murid!C405)</f>
        <v/>
      </c>
      <c r="D405" s="15">
        <f>IF(Murid!E405="","",Murid!E405)</f>
        <v/>
      </c>
      <c r="E405" s="17">
        <f>KP!X405</f>
        <v/>
      </c>
      <c r="F405" s="17">
        <f>UB!X405</f>
        <v/>
      </c>
      <c r="G405" s="17">
        <f>SP!X405</f>
        <v/>
      </c>
      <c r="H405" s="17">
        <f>IF(COUNT(E405:G405)=0,"",ROUND((LARGE(E405:G405,1)+IF(COUNT(E405:G405)&gt;=2,LARGE(E405:G405,2),0))/2,2))</f>
        <v/>
      </c>
      <c r="I405" s="10">
        <f>Ekstra!U405</f>
        <v/>
      </c>
      <c r="J405" s="18">
        <f>IF(B405="","",IF(Murid!F405="TL","TL",IF(H405="","",MIN(100,ROUND(H405+N(I405),2)))))</f>
        <v/>
      </c>
      <c r="K405" s="19">
        <f>IF(J405="","",IF(J405="TL","TL",IF(J405&gt;=80,"A",IF(J405&gt;=60,"B",IF(J405&gt;=40,"C",IF(J405&gt;=20,"D","E"))))))</f>
        <v/>
      </c>
      <c r="L405" s="15">
        <f>IF(K405="","",IF(K405="A","Cemerlang",IF(K405="B","Kepujian",IF(K405="C","Baik",IF(K405="D","Kurang Memuaskan",IF(K405="E","Tidak Memuaskan","Tidak Laksana"))))))</f>
        <v/>
      </c>
    </row>
    <row r="406">
      <c r="A406" s="15">
        <f>Murid!A406</f>
        <v/>
      </c>
      <c r="B406" s="15">
        <f>IF(Murid!B406="","",Murid!B406)</f>
        <v/>
      </c>
      <c r="C406" s="16">
        <f>IF(Murid!C406="","",Murid!C406)</f>
        <v/>
      </c>
      <c r="D406" s="15">
        <f>IF(Murid!E406="","",Murid!E406)</f>
        <v/>
      </c>
      <c r="E406" s="17">
        <f>KP!X406</f>
        <v/>
      </c>
      <c r="F406" s="17">
        <f>UB!X406</f>
        <v/>
      </c>
      <c r="G406" s="17">
        <f>SP!X406</f>
        <v/>
      </c>
      <c r="H406" s="17">
        <f>IF(COUNT(E406:G406)=0,"",ROUND((LARGE(E406:G406,1)+IF(COUNT(E406:G406)&gt;=2,LARGE(E406:G406,2),0))/2,2))</f>
        <v/>
      </c>
      <c r="I406" s="10">
        <f>Ekstra!U406</f>
        <v/>
      </c>
      <c r="J406" s="18">
        <f>IF(B406="","",IF(Murid!F406="TL","TL",IF(H406="","",MIN(100,ROUND(H406+N(I406),2)))))</f>
        <v/>
      </c>
      <c r="K406" s="19">
        <f>IF(J406="","",IF(J406="TL","TL",IF(J406&gt;=80,"A",IF(J406&gt;=60,"B",IF(J406&gt;=40,"C",IF(J406&gt;=20,"D","E"))))))</f>
        <v/>
      </c>
      <c r="L406" s="15">
        <f>IF(K406="","",IF(K406="A","Cemerlang",IF(K406="B","Kepujian",IF(K406="C","Baik",IF(K406="D","Kurang Memuaskan",IF(K406="E","Tidak Memuaskan","Tidak Laksana"))))))</f>
        <v/>
      </c>
    </row>
    <row r="407">
      <c r="A407" s="15">
        <f>Murid!A407</f>
        <v/>
      </c>
      <c r="B407" s="15">
        <f>IF(Murid!B407="","",Murid!B407)</f>
        <v/>
      </c>
      <c r="C407" s="16">
        <f>IF(Murid!C407="","",Murid!C407)</f>
        <v/>
      </c>
      <c r="D407" s="15">
        <f>IF(Murid!E407="","",Murid!E407)</f>
        <v/>
      </c>
      <c r="E407" s="17">
        <f>KP!X407</f>
        <v/>
      </c>
      <c r="F407" s="17">
        <f>UB!X407</f>
        <v/>
      </c>
      <c r="G407" s="17">
        <f>SP!X407</f>
        <v/>
      </c>
      <c r="H407" s="17">
        <f>IF(COUNT(E407:G407)=0,"",ROUND((LARGE(E407:G407,1)+IF(COUNT(E407:G407)&gt;=2,LARGE(E407:G407,2),0))/2,2))</f>
        <v/>
      </c>
      <c r="I407" s="10">
        <f>Ekstra!U407</f>
        <v/>
      </c>
      <c r="J407" s="18">
        <f>IF(B407="","",IF(Murid!F407="TL","TL",IF(H407="","",MIN(100,ROUND(H407+N(I407),2)))))</f>
        <v/>
      </c>
      <c r="K407" s="19">
        <f>IF(J407="","",IF(J407="TL","TL",IF(J407&gt;=80,"A",IF(J407&gt;=60,"B",IF(J407&gt;=40,"C",IF(J407&gt;=20,"D","E"))))))</f>
        <v/>
      </c>
      <c r="L407" s="15">
        <f>IF(K407="","",IF(K407="A","Cemerlang",IF(K407="B","Kepujian",IF(K407="C","Baik",IF(K407="D","Kurang Memuaskan",IF(K407="E","Tidak Memuaskan","Tidak Laksana"))))))</f>
        <v/>
      </c>
    </row>
    <row r="408">
      <c r="A408" s="15">
        <f>Murid!A408</f>
        <v/>
      </c>
      <c r="B408" s="15">
        <f>IF(Murid!B408="","",Murid!B408)</f>
        <v/>
      </c>
      <c r="C408" s="16">
        <f>IF(Murid!C408="","",Murid!C408)</f>
        <v/>
      </c>
      <c r="D408" s="15">
        <f>IF(Murid!E408="","",Murid!E408)</f>
        <v/>
      </c>
      <c r="E408" s="17">
        <f>KP!X408</f>
        <v/>
      </c>
      <c r="F408" s="17">
        <f>UB!X408</f>
        <v/>
      </c>
      <c r="G408" s="17">
        <f>SP!X408</f>
        <v/>
      </c>
      <c r="H408" s="17">
        <f>IF(COUNT(E408:G408)=0,"",ROUND((LARGE(E408:G408,1)+IF(COUNT(E408:G408)&gt;=2,LARGE(E408:G408,2),0))/2,2))</f>
        <v/>
      </c>
      <c r="I408" s="10">
        <f>Ekstra!U408</f>
        <v/>
      </c>
      <c r="J408" s="18">
        <f>IF(B408="","",IF(Murid!F408="TL","TL",IF(H408="","",MIN(100,ROUND(H408+N(I408),2)))))</f>
        <v/>
      </c>
      <c r="K408" s="19">
        <f>IF(J408="","",IF(J408="TL","TL",IF(J408&gt;=80,"A",IF(J408&gt;=60,"B",IF(J408&gt;=40,"C",IF(J408&gt;=20,"D","E"))))))</f>
        <v/>
      </c>
      <c r="L408" s="15">
        <f>IF(K408="","",IF(K408="A","Cemerlang",IF(K408="B","Kepujian",IF(K408="C","Baik",IF(K408="D","Kurang Memuaskan",IF(K408="E","Tidak Memuaskan","Tidak Laksana"))))))</f>
        <v/>
      </c>
    </row>
    <row r="409">
      <c r="A409" s="15">
        <f>Murid!A409</f>
        <v/>
      </c>
      <c r="B409" s="15">
        <f>IF(Murid!B409="","",Murid!B409)</f>
        <v/>
      </c>
      <c r="C409" s="16">
        <f>IF(Murid!C409="","",Murid!C409)</f>
        <v/>
      </c>
      <c r="D409" s="15">
        <f>IF(Murid!E409="","",Murid!E409)</f>
        <v/>
      </c>
      <c r="E409" s="17">
        <f>KP!X409</f>
        <v/>
      </c>
      <c r="F409" s="17">
        <f>UB!X409</f>
        <v/>
      </c>
      <c r="G409" s="17">
        <f>SP!X409</f>
        <v/>
      </c>
      <c r="H409" s="17">
        <f>IF(COUNT(E409:G409)=0,"",ROUND((LARGE(E409:G409,1)+IF(COUNT(E409:G409)&gt;=2,LARGE(E409:G409,2),0))/2,2))</f>
        <v/>
      </c>
      <c r="I409" s="10">
        <f>Ekstra!U409</f>
        <v/>
      </c>
      <c r="J409" s="18">
        <f>IF(B409="","",IF(Murid!F409="TL","TL",IF(H409="","",MIN(100,ROUND(H409+N(I409),2)))))</f>
        <v/>
      </c>
      <c r="K409" s="19">
        <f>IF(J409="","",IF(J409="TL","TL",IF(J409&gt;=80,"A",IF(J409&gt;=60,"B",IF(J409&gt;=40,"C",IF(J409&gt;=20,"D","E"))))))</f>
        <v/>
      </c>
      <c r="L409" s="15">
        <f>IF(K409="","",IF(K409="A","Cemerlang",IF(K409="B","Kepujian",IF(K409="C","Baik",IF(K409="D","Kurang Memuaskan",IF(K409="E","Tidak Memuaskan","Tidak Laksana"))))))</f>
        <v/>
      </c>
    </row>
    <row r="410">
      <c r="A410" s="15">
        <f>Murid!A410</f>
        <v/>
      </c>
      <c r="B410" s="15">
        <f>IF(Murid!B410="","",Murid!B410)</f>
        <v/>
      </c>
      <c r="C410" s="16">
        <f>IF(Murid!C410="","",Murid!C410)</f>
        <v/>
      </c>
      <c r="D410" s="15">
        <f>IF(Murid!E410="","",Murid!E410)</f>
        <v/>
      </c>
      <c r="E410" s="17">
        <f>KP!X410</f>
        <v/>
      </c>
      <c r="F410" s="17">
        <f>UB!X410</f>
        <v/>
      </c>
      <c r="G410" s="17">
        <f>SP!X410</f>
        <v/>
      </c>
      <c r="H410" s="17">
        <f>IF(COUNT(E410:G410)=0,"",ROUND((LARGE(E410:G410,1)+IF(COUNT(E410:G410)&gt;=2,LARGE(E410:G410,2),0))/2,2))</f>
        <v/>
      </c>
      <c r="I410" s="10">
        <f>Ekstra!U410</f>
        <v/>
      </c>
      <c r="J410" s="18">
        <f>IF(B410="","",IF(Murid!F410="TL","TL",IF(H410="","",MIN(100,ROUND(H410+N(I410),2)))))</f>
        <v/>
      </c>
      <c r="K410" s="19">
        <f>IF(J410="","",IF(J410="TL","TL",IF(J410&gt;=80,"A",IF(J410&gt;=60,"B",IF(J410&gt;=40,"C",IF(J410&gt;=20,"D","E"))))))</f>
        <v/>
      </c>
      <c r="L410" s="15">
        <f>IF(K410="","",IF(K410="A","Cemerlang",IF(K410="B","Kepujian",IF(K410="C","Baik",IF(K410="D","Kurang Memuaskan",IF(K410="E","Tidak Memuaskan","Tidak Laksana"))))))</f>
        <v/>
      </c>
    </row>
    <row r="411">
      <c r="A411" s="15">
        <f>Murid!A411</f>
        <v/>
      </c>
      <c r="B411" s="15">
        <f>IF(Murid!B411="","",Murid!B411)</f>
        <v/>
      </c>
      <c r="C411" s="16">
        <f>IF(Murid!C411="","",Murid!C411)</f>
        <v/>
      </c>
      <c r="D411" s="15">
        <f>IF(Murid!E411="","",Murid!E411)</f>
        <v/>
      </c>
      <c r="E411" s="17">
        <f>KP!X411</f>
        <v/>
      </c>
      <c r="F411" s="17">
        <f>UB!X411</f>
        <v/>
      </c>
      <c r="G411" s="17">
        <f>SP!X411</f>
        <v/>
      </c>
      <c r="H411" s="17">
        <f>IF(COUNT(E411:G411)=0,"",ROUND((LARGE(E411:G411,1)+IF(COUNT(E411:G411)&gt;=2,LARGE(E411:G411,2),0))/2,2))</f>
        <v/>
      </c>
      <c r="I411" s="10">
        <f>Ekstra!U411</f>
        <v/>
      </c>
      <c r="J411" s="18">
        <f>IF(B411="","",IF(Murid!F411="TL","TL",IF(H411="","",MIN(100,ROUND(H411+N(I411),2)))))</f>
        <v/>
      </c>
      <c r="K411" s="19">
        <f>IF(J411="","",IF(J411="TL","TL",IF(J411&gt;=80,"A",IF(J411&gt;=60,"B",IF(J411&gt;=40,"C",IF(J411&gt;=20,"D","E"))))))</f>
        <v/>
      </c>
      <c r="L411" s="15">
        <f>IF(K411="","",IF(K411="A","Cemerlang",IF(K411="B","Kepujian",IF(K411="C","Baik",IF(K411="D","Kurang Memuaskan",IF(K411="E","Tidak Memuaskan","Tidak Laksana"))))))</f>
        <v/>
      </c>
    </row>
    <row r="412">
      <c r="A412" s="15">
        <f>Murid!A412</f>
        <v/>
      </c>
      <c r="B412" s="15">
        <f>IF(Murid!B412="","",Murid!B412)</f>
        <v/>
      </c>
      <c r="C412" s="16">
        <f>IF(Murid!C412="","",Murid!C412)</f>
        <v/>
      </c>
      <c r="D412" s="15">
        <f>IF(Murid!E412="","",Murid!E412)</f>
        <v/>
      </c>
      <c r="E412" s="17">
        <f>KP!X412</f>
        <v/>
      </c>
      <c r="F412" s="17">
        <f>UB!X412</f>
        <v/>
      </c>
      <c r="G412" s="17">
        <f>SP!X412</f>
        <v/>
      </c>
      <c r="H412" s="17">
        <f>IF(COUNT(E412:G412)=0,"",ROUND((LARGE(E412:G412,1)+IF(COUNT(E412:G412)&gt;=2,LARGE(E412:G412,2),0))/2,2))</f>
        <v/>
      </c>
      <c r="I412" s="10">
        <f>Ekstra!U412</f>
        <v/>
      </c>
      <c r="J412" s="18">
        <f>IF(B412="","",IF(Murid!F412="TL","TL",IF(H412="","",MIN(100,ROUND(H412+N(I412),2)))))</f>
        <v/>
      </c>
      <c r="K412" s="19">
        <f>IF(J412="","",IF(J412="TL","TL",IF(J412&gt;=80,"A",IF(J412&gt;=60,"B",IF(J412&gt;=40,"C",IF(J412&gt;=20,"D","E"))))))</f>
        <v/>
      </c>
      <c r="L412" s="15">
        <f>IF(K412="","",IF(K412="A","Cemerlang",IF(K412="B","Kepujian",IF(K412="C","Baik",IF(K412="D","Kurang Memuaskan",IF(K412="E","Tidak Memuaskan","Tidak Laksana"))))))</f>
        <v/>
      </c>
    </row>
    <row r="413">
      <c r="A413" s="15">
        <f>Murid!A413</f>
        <v/>
      </c>
      <c r="B413" s="15">
        <f>IF(Murid!B413="","",Murid!B413)</f>
        <v/>
      </c>
      <c r="C413" s="16">
        <f>IF(Murid!C413="","",Murid!C413)</f>
        <v/>
      </c>
      <c r="D413" s="15">
        <f>IF(Murid!E413="","",Murid!E413)</f>
        <v/>
      </c>
      <c r="E413" s="17">
        <f>KP!X413</f>
        <v/>
      </c>
      <c r="F413" s="17">
        <f>UB!X413</f>
        <v/>
      </c>
      <c r="G413" s="17">
        <f>SP!X413</f>
        <v/>
      </c>
      <c r="H413" s="17">
        <f>IF(COUNT(E413:G413)=0,"",ROUND((LARGE(E413:G413,1)+IF(COUNT(E413:G413)&gt;=2,LARGE(E413:G413,2),0))/2,2))</f>
        <v/>
      </c>
      <c r="I413" s="10">
        <f>Ekstra!U413</f>
        <v/>
      </c>
      <c r="J413" s="18">
        <f>IF(B413="","",IF(Murid!F413="TL","TL",IF(H413="","",MIN(100,ROUND(H413+N(I413),2)))))</f>
        <v/>
      </c>
      <c r="K413" s="19">
        <f>IF(J413="","",IF(J413="TL","TL",IF(J413&gt;=80,"A",IF(J413&gt;=60,"B",IF(J413&gt;=40,"C",IF(J413&gt;=20,"D","E"))))))</f>
        <v/>
      </c>
      <c r="L413" s="15">
        <f>IF(K413="","",IF(K413="A","Cemerlang",IF(K413="B","Kepujian",IF(K413="C","Baik",IF(K413="D","Kurang Memuaskan",IF(K413="E","Tidak Memuaskan","Tidak Laksana"))))))</f>
        <v/>
      </c>
    </row>
    <row r="414">
      <c r="A414" s="15">
        <f>Murid!A414</f>
        <v/>
      </c>
      <c r="B414" s="15">
        <f>IF(Murid!B414="","",Murid!B414)</f>
        <v/>
      </c>
      <c r="C414" s="16">
        <f>IF(Murid!C414="","",Murid!C414)</f>
        <v/>
      </c>
      <c r="D414" s="15">
        <f>IF(Murid!E414="","",Murid!E414)</f>
        <v/>
      </c>
      <c r="E414" s="17">
        <f>KP!X414</f>
        <v/>
      </c>
      <c r="F414" s="17">
        <f>UB!X414</f>
        <v/>
      </c>
      <c r="G414" s="17">
        <f>SP!X414</f>
        <v/>
      </c>
      <c r="H414" s="17">
        <f>IF(COUNT(E414:G414)=0,"",ROUND((LARGE(E414:G414,1)+IF(COUNT(E414:G414)&gt;=2,LARGE(E414:G414,2),0))/2,2))</f>
        <v/>
      </c>
      <c r="I414" s="10">
        <f>Ekstra!U414</f>
        <v/>
      </c>
      <c r="J414" s="18">
        <f>IF(B414="","",IF(Murid!F414="TL","TL",IF(H414="","",MIN(100,ROUND(H414+N(I414),2)))))</f>
        <v/>
      </c>
      <c r="K414" s="19">
        <f>IF(J414="","",IF(J414="TL","TL",IF(J414&gt;=80,"A",IF(J414&gt;=60,"B",IF(J414&gt;=40,"C",IF(J414&gt;=20,"D","E"))))))</f>
        <v/>
      </c>
      <c r="L414" s="15">
        <f>IF(K414="","",IF(K414="A","Cemerlang",IF(K414="B","Kepujian",IF(K414="C","Baik",IF(K414="D","Kurang Memuaskan",IF(K414="E","Tidak Memuaskan","Tidak Laksana"))))))</f>
        <v/>
      </c>
    </row>
    <row r="415">
      <c r="A415" s="15">
        <f>Murid!A415</f>
        <v/>
      </c>
      <c r="B415" s="15">
        <f>IF(Murid!B415="","",Murid!B415)</f>
        <v/>
      </c>
      <c r="C415" s="16">
        <f>IF(Murid!C415="","",Murid!C415)</f>
        <v/>
      </c>
      <c r="D415" s="15">
        <f>IF(Murid!E415="","",Murid!E415)</f>
        <v/>
      </c>
      <c r="E415" s="17">
        <f>KP!X415</f>
        <v/>
      </c>
      <c r="F415" s="17">
        <f>UB!X415</f>
        <v/>
      </c>
      <c r="G415" s="17">
        <f>SP!X415</f>
        <v/>
      </c>
      <c r="H415" s="17">
        <f>IF(COUNT(E415:G415)=0,"",ROUND((LARGE(E415:G415,1)+IF(COUNT(E415:G415)&gt;=2,LARGE(E415:G415,2),0))/2,2))</f>
        <v/>
      </c>
      <c r="I415" s="10">
        <f>Ekstra!U415</f>
        <v/>
      </c>
      <c r="J415" s="18">
        <f>IF(B415="","",IF(Murid!F415="TL","TL",IF(H415="","",MIN(100,ROUND(H415+N(I415),2)))))</f>
        <v/>
      </c>
      <c r="K415" s="19">
        <f>IF(J415="","",IF(J415="TL","TL",IF(J415&gt;=80,"A",IF(J415&gt;=60,"B",IF(J415&gt;=40,"C",IF(J415&gt;=20,"D","E"))))))</f>
        <v/>
      </c>
      <c r="L415" s="15">
        <f>IF(K415="","",IF(K415="A","Cemerlang",IF(K415="B","Kepujian",IF(K415="C","Baik",IF(K415="D","Kurang Memuaskan",IF(K415="E","Tidak Memuaskan","Tidak Laksana"))))))</f>
        <v/>
      </c>
    </row>
    <row r="416">
      <c r="A416" s="15">
        <f>Murid!A416</f>
        <v/>
      </c>
      <c r="B416" s="15">
        <f>IF(Murid!B416="","",Murid!B416)</f>
        <v/>
      </c>
      <c r="C416" s="16">
        <f>IF(Murid!C416="","",Murid!C416)</f>
        <v/>
      </c>
      <c r="D416" s="15">
        <f>IF(Murid!E416="","",Murid!E416)</f>
        <v/>
      </c>
      <c r="E416" s="17">
        <f>KP!X416</f>
        <v/>
      </c>
      <c r="F416" s="17">
        <f>UB!X416</f>
        <v/>
      </c>
      <c r="G416" s="17">
        <f>SP!X416</f>
        <v/>
      </c>
      <c r="H416" s="17">
        <f>IF(COUNT(E416:G416)=0,"",ROUND((LARGE(E416:G416,1)+IF(COUNT(E416:G416)&gt;=2,LARGE(E416:G416,2),0))/2,2))</f>
        <v/>
      </c>
      <c r="I416" s="10">
        <f>Ekstra!U416</f>
        <v/>
      </c>
      <c r="J416" s="18">
        <f>IF(B416="","",IF(Murid!F416="TL","TL",IF(H416="","",MIN(100,ROUND(H416+N(I416),2)))))</f>
        <v/>
      </c>
      <c r="K416" s="19">
        <f>IF(J416="","",IF(J416="TL","TL",IF(J416&gt;=80,"A",IF(J416&gt;=60,"B",IF(J416&gt;=40,"C",IF(J416&gt;=20,"D","E"))))))</f>
        <v/>
      </c>
      <c r="L416" s="15">
        <f>IF(K416="","",IF(K416="A","Cemerlang",IF(K416="B","Kepujian",IF(K416="C","Baik",IF(K416="D","Kurang Memuaskan",IF(K416="E","Tidak Memuaskan","Tidak Laksana"))))))</f>
        <v/>
      </c>
    </row>
    <row r="417">
      <c r="A417" s="15">
        <f>Murid!A417</f>
        <v/>
      </c>
      <c r="B417" s="15">
        <f>IF(Murid!B417="","",Murid!B417)</f>
        <v/>
      </c>
      <c r="C417" s="16">
        <f>IF(Murid!C417="","",Murid!C417)</f>
        <v/>
      </c>
      <c r="D417" s="15">
        <f>IF(Murid!E417="","",Murid!E417)</f>
        <v/>
      </c>
      <c r="E417" s="17">
        <f>KP!X417</f>
        <v/>
      </c>
      <c r="F417" s="17">
        <f>UB!X417</f>
        <v/>
      </c>
      <c r="G417" s="17">
        <f>SP!X417</f>
        <v/>
      </c>
      <c r="H417" s="17">
        <f>IF(COUNT(E417:G417)=0,"",ROUND((LARGE(E417:G417,1)+IF(COUNT(E417:G417)&gt;=2,LARGE(E417:G417,2),0))/2,2))</f>
        <v/>
      </c>
      <c r="I417" s="10">
        <f>Ekstra!U417</f>
        <v/>
      </c>
      <c r="J417" s="18">
        <f>IF(B417="","",IF(Murid!F417="TL","TL",IF(H417="","",MIN(100,ROUND(H417+N(I417),2)))))</f>
        <v/>
      </c>
      <c r="K417" s="19">
        <f>IF(J417="","",IF(J417="TL","TL",IF(J417&gt;=80,"A",IF(J417&gt;=60,"B",IF(J417&gt;=40,"C",IF(J417&gt;=20,"D","E"))))))</f>
        <v/>
      </c>
      <c r="L417" s="15">
        <f>IF(K417="","",IF(K417="A","Cemerlang",IF(K417="B","Kepujian",IF(K417="C","Baik",IF(K417="D","Kurang Memuaskan",IF(K417="E","Tidak Memuaskan","Tidak Laksana"))))))</f>
        <v/>
      </c>
    </row>
    <row r="418">
      <c r="A418" s="15">
        <f>Murid!A418</f>
        <v/>
      </c>
      <c r="B418" s="15">
        <f>IF(Murid!B418="","",Murid!B418)</f>
        <v/>
      </c>
      <c r="C418" s="16">
        <f>IF(Murid!C418="","",Murid!C418)</f>
        <v/>
      </c>
      <c r="D418" s="15">
        <f>IF(Murid!E418="","",Murid!E418)</f>
        <v/>
      </c>
      <c r="E418" s="17">
        <f>KP!X418</f>
        <v/>
      </c>
      <c r="F418" s="17">
        <f>UB!X418</f>
        <v/>
      </c>
      <c r="G418" s="17">
        <f>SP!X418</f>
        <v/>
      </c>
      <c r="H418" s="17">
        <f>IF(COUNT(E418:G418)=0,"",ROUND((LARGE(E418:G418,1)+IF(COUNT(E418:G418)&gt;=2,LARGE(E418:G418,2),0))/2,2))</f>
        <v/>
      </c>
      <c r="I418" s="10">
        <f>Ekstra!U418</f>
        <v/>
      </c>
      <c r="J418" s="18">
        <f>IF(B418="","",IF(Murid!F418="TL","TL",IF(H418="","",MIN(100,ROUND(H418+N(I418),2)))))</f>
        <v/>
      </c>
      <c r="K418" s="19">
        <f>IF(J418="","",IF(J418="TL","TL",IF(J418&gt;=80,"A",IF(J418&gt;=60,"B",IF(J418&gt;=40,"C",IF(J418&gt;=20,"D","E"))))))</f>
        <v/>
      </c>
      <c r="L418" s="15">
        <f>IF(K418="","",IF(K418="A","Cemerlang",IF(K418="B","Kepujian",IF(K418="C","Baik",IF(K418="D","Kurang Memuaskan",IF(K418="E","Tidak Memuaskan","Tidak Laksana"))))))</f>
        <v/>
      </c>
    </row>
    <row r="419">
      <c r="A419" s="15">
        <f>Murid!A419</f>
        <v/>
      </c>
      <c r="B419" s="15">
        <f>IF(Murid!B419="","",Murid!B419)</f>
        <v/>
      </c>
      <c r="C419" s="16">
        <f>IF(Murid!C419="","",Murid!C419)</f>
        <v/>
      </c>
      <c r="D419" s="15">
        <f>IF(Murid!E419="","",Murid!E419)</f>
        <v/>
      </c>
      <c r="E419" s="17">
        <f>KP!X419</f>
        <v/>
      </c>
      <c r="F419" s="17">
        <f>UB!X419</f>
        <v/>
      </c>
      <c r="G419" s="17">
        <f>SP!X419</f>
        <v/>
      </c>
      <c r="H419" s="17">
        <f>IF(COUNT(E419:G419)=0,"",ROUND((LARGE(E419:G419,1)+IF(COUNT(E419:G419)&gt;=2,LARGE(E419:G419,2),0))/2,2))</f>
        <v/>
      </c>
      <c r="I419" s="10">
        <f>Ekstra!U419</f>
        <v/>
      </c>
      <c r="J419" s="18">
        <f>IF(B419="","",IF(Murid!F419="TL","TL",IF(H419="","",MIN(100,ROUND(H419+N(I419),2)))))</f>
        <v/>
      </c>
      <c r="K419" s="19">
        <f>IF(J419="","",IF(J419="TL","TL",IF(J419&gt;=80,"A",IF(J419&gt;=60,"B",IF(J419&gt;=40,"C",IF(J419&gt;=20,"D","E"))))))</f>
        <v/>
      </c>
      <c r="L419" s="15">
        <f>IF(K419="","",IF(K419="A","Cemerlang",IF(K419="B","Kepujian",IF(K419="C","Baik",IF(K419="D","Kurang Memuaskan",IF(K419="E","Tidak Memuaskan","Tidak Laksana"))))))</f>
        <v/>
      </c>
    </row>
    <row r="420">
      <c r="A420" s="15">
        <f>Murid!A420</f>
        <v/>
      </c>
      <c r="B420" s="15">
        <f>IF(Murid!B420="","",Murid!B420)</f>
        <v/>
      </c>
      <c r="C420" s="16">
        <f>IF(Murid!C420="","",Murid!C420)</f>
        <v/>
      </c>
      <c r="D420" s="15">
        <f>IF(Murid!E420="","",Murid!E420)</f>
        <v/>
      </c>
      <c r="E420" s="17">
        <f>KP!X420</f>
        <v/>
      </c>
      <c r="F420" s="17">
        <f>UB!X420</f>
        <v/>
      </c>
      <c r="G420" s="17">
        <f>SP!X420</f>
        <v/>
      </c>
      <c r="H420" s="17">
        <f>IF(COUNT(E420:G420)=0,"",ROUND((LARGE(E420:G420,1)+IF(COUNT(E420:G420)&gt;=2,LARGE(E420:G420,2),0))/2,2))</f>
        <v/>
      </c>
      <c r="I420" s="10">
        <f>Ekstra!U420</f>
        <v/>
      </c>
      <c r="J420" s="18">
        <f>IF(B420="","",IF(Murid!F420="TL","TL",IF(H420="","",MIN(100,ROUND(H420+N(I420),2)))))</f>
        <v/>
      </c>
      <c r="K420" s="19">
        <f>IF(J420="","",IF(J420="TL","TL",IF(J420&gt;=80,"A",IF(J420&gt;=60,"B",IF(J420&gt;=40,"C",IF(J420&gt;=20,"D","E"))))))</f>
        <v/>
      </c>
      <c r="L420" s="15">
        <f>IF(K420="","",IF(K420="A","Cemerlang",IF(K420="B","Kepujian",IF(K420="C","Baik",IF(K420="D","Kurang Memuaskan",IF(K420="E","Tidak Memuaskan","Tidak Laksana"))))))</f>
        <v/>
      </c>
    </row>
    <row r="421">
      <c r="A421" s="15">
        <f>Murid!A421</f>
        <v/>
      </c>
      <c r="B421" s="15">
        <f>IF(Murid!B421="","",Murid!B421)</f>
        <v/>
      </c>
      <c r="C421" s="16">
        <f>IF(Murid!C421="","",Murid!C421)</f>
        <v/>
      </c>
      <c r="D421" s="15">
        <f>IF(Murid!E421="","",Murid!E421)</f>
        <v/>
      </c>
      <c r="E421" s="17">
        <f>KP!X421</f>
        <v/>
      </c>
      <c r="F421" s="17">
        <f>UB!X421</f>
        <v/>
      </c>
      <c r="G421" s="17">
        <f>SP!X421</f>
        <v/>
      </c>
      <c r="H421" s="17">
        <f>IF(COUNT(E421:G421)=0,"",ROUND((LARGE(E421:G421,1)+IF(COUNT(E421:G421)&gt;=2,LARGE(E421:G421,2),0))/2,2))</f>
        <v/>
      </c>
      <c r="I421" s="10">
        <f>Ekstra!U421</f>
        <v/>
      </c>
      <c r="J421" s="18">
        <f>IF(B421="","",IF(Murid!F421="TL","TL",IF(H421="","",MIN(100,ROUND(H421+N(I421),2)))))</f>
        <v/>
      </c>
      <c r="K421" s="19">
        <f>IF(J421="","",IF(J421="TL","TL",IF(J421&gt;=80,"A",IF(J421&gt;=60,"B",IF(J421&gt;=40,"C",IF(J421&gt;=20,"D","E"))))))</f>
        <v/>
      </c>
      <c r="L421" s="15">
        <f>IF(K421="","",IF(K421="A","Cemerlang",IF(K421="B","Kepujian",IF(K421="C","Baik",IF(K421="D","Kurang Memuaskan",IF(K421="E","Tidak Memuaskan","Tidak Laksana"))))))</f>
        <v/>
      </c>
    </row>
    <row r="422">
      <c r="A422" s="15">
        <f>Murid!A422</f>
        <v/>
      </c>
      <c r="B422" s="15">
        <f>IF(Murid!B422="","",Murid!B422)</f>
        <v/>
      </c>
      <c r="C422" s="16">
        <f>IF(Murid!C422="","",Murid!C422)</f>
        <v/>
      </c>
      <c r="D422" s="15">
        <f>IF(Murid!E422="","",Murid!E422)</f>
        <v/>
      </c>
      <c r="E422" s="17">
        <f>KP!X422</f>
        <v/>
      </c>
      <c r="F422" s="17">
        <f>UB!X422</f>
        <v/>
      </c>
      <c r="G422" s="17">
        <f>SP!X422</f>
        <v/>
      </c>
      <c r="H422" s="17">
        <f>IF(COUNT(E422:G422)=0,"",ROUND((LARGE(E422:G422,1)+IF(COUNT(E422:G422)&gt;=2,LARGE(E422:G422,2),0))/2,2))</f>
        <v/>
      </c>
      <c r="I422" s="10">
        <f>Ekstra!U422</f>
        <v/>
      </c>
      <c r="J422" s="18">
        <f>IF(B422="","",IF(Murid!F422="TL","TL",IF(H422="","",MIN(100,ROUND(H422+N(I422),2)))))</f>
        <v/>
      </c>
      <c r="K422" s="19">
        <f>IF(J422="","",IF(J422="TL","TL",IF(J422&gt;=80,"A",IF(J422&gt;=60,"B",IF(J422&gt;=40,"C",IF(J422&gt;=20,"D","E"))))))</f>
        <v/>
      </c>
      <c r="L422" s="15">
        <f>IF(K422="","",IF(K422="A","Cemerlang",IF(K422="B","Kepujian",IF(K422="C","Baik",IF(K422="D","Kurang Memuaskan",IF(K422="E","Tidak Memuaskan","Tidak Laksana"))))))</f>
        <v/>
      </c>
    </row>
    <row r="423">
      <c r="A423" s="15">
        <f>Murid!A423</f>
        <v/>
      </c>
      <c r="B423" s="15">
        <f>IF(Murid!B423="","",Murid!B423)</f>
        <v/>
      </c>
      <c r="C423" s="16">
        <f>IF(Murid!C423="","",Murid!C423)</f>
        <v/>
      </c>
      <c r="D423" s="15">
        <f>IF(Murid!E423="","",Murid!E423)</f>
        <v/>
      </c>
      <c r="E423" s="17">
        <f>KP!X423</f>
        <v/>
      </c>
      <c r="F423" s="17">
        <f>UB!X423</f>
        <v/>
      </c>
      <c r="G423" s="17">
        <f>SP!X423</f>
        <v/>
      </c>
      <c r="H423" s="17">
        <f>IF(COUNT(E423:G423)=0,"",ROUND((LARGE(E423:G423,1)+IF(COUNT(E423:G423)&gt;=2,LARGE(E423:G423,2),0))/2,2))</f>
        <v/>
      </c>
      <c r="I423" s="10">
        <f>Ekstra!U423</f>
        <v/>
      </c>
      <c r="J423" s="18">
        <f>IF(B423="","",IF(Murid!F423="TL","TL",IF(H423="","",MIN(100,ROUND(H423+N(I423),2)))))</f>
        <v/>
      </c>
      <c r="K423" s="19">
        <f>IF(J423="","",IF(J423="TL","TL",IF(J423&gt;=80,"A",IF(J423&gt;=60,"B",IF(J423&gt;=40,"C",IF(J423&gt;=20,"D","E"))))))</f>
        <v/>
      </c>
      <c r="L423" s="15">
        <f>IF(K423="","",IF(K423="A","Cemerlang",IF(K423="B","Kepujian",IF(K423="C","Baik",IF(K423="D","Kurang Memuaskan",IF(K423="E","Tidak Memuaskan","Tidak Laksana"))))))</f>
        <v/>
      </c>
    </row>
    <row r="424">
      <c r="A424" s="15">
        <f>Murid!A424</f>
        <v/>
      </c>
      <c r="B424" s="15">
        <f>IF(Murid!B424="","",Murid!B424)</f>
        <v/>
      </c>
      <c r="C424" s="16">
        <f>IF(Murid!C424="","",Murid!C424)</f>
        <v/>
      </c>
      <c r="D424" s="15">
        <f>IF(Murid!E424="","",Murid!E424)</f>
        <v/>
      </c>
      <c r="E424" s="17">
        <f>KP!X424</f>
        <v/>
      </c>
      <c r="F424" s="17">
        <f>UB!X424</f>
        <v/>
      </c>
      <c r="G424" s="17">
        <f>SP!X424</f>
        <v/>
      </c>
      <c r="H424" s="17">
        <f>IF(COUNT(E424:G424)=0,"",ROUND((LARGE(E424:G424,1)+IF(COUNT(E424:G424)&gt;=2,LARGE(E424:G424,2),0))/2,2))</f>
        <v/>
      </c>
      <c r="I424" s="10">
        <f>Ekstra!U424</f>
        <v/>
      </c>
      <c r="J424" s="18">
        <f>IF(B424="","",IF(Murid!F424="TL","TL",IF(H424="","",MIN(100,ROUND(H424+N(I424),2)))))</f>
        <v/>
      </c>
      <c r="K424" s="19">
        <f>IF(J424="","",IF(J424="TL","TL",IF(J424&gt;=80,"A",IF(J424&gt;=60,"B",IF(J424&gt;=40,"C",IF(J424&gt;=20,"D","E"))))))</f>
        <v/>
      </c>
      <c r="L424" s="15">
        <f>IF(K424="","",IF(K424="A","Cemerlang",IF(K424="B","Kepujian",IF(K424="C","Baik",IF(K424="D","Kurang Memuaskan",IF(K424="E","Tidak Memuaskan","Tidak Laksana"))))))</f>
        <v/>
      </c>
    </row>
    <row r="425">
      <c r="A425" s="15">
        <f>Murid!A425</f>
        <v/>
      </c>
      <c r="B425" s="15">
        <f>IF(Murid!B425="","",Murid!B425)</f>
        <v/>
      </c>
      <c r="C425" s="16">
        <f>IF(Murid!C425="","",Murid!C425)</f>
        <v/>
      </c>
      <c r="D425" s="15">
        <f>IF(Murid!E425="","",Murid!E425)</f>
        <v/>
      </c>
      <c r="E425" s="17">
        <f>KP!X425</f>
        <v/>
      </c>
      <c r="F425" s="17">
        <f>UB!X425</f>
        <v/>
      </c>
      <c r="G425" s="17">
        <f>SP!X425</f>
        <v/>
      </c>
      <c r="H425" s="17">
        <f>IF(COUNT(E425:G425)=0,"",ROUND((LARGE(E425:G425,1)+IF(COUNT(E425:G425)&gt;=2,LARGE(E425:G425,2),0))/2,2))</f>
        <v/>
      </c>
      <c r="I425" s="10">
        <f>Ekstra!U425</f>
        <v/>
      </c>
      <c r="J425" s="18">
        <f>IF(B425="","",IF(Murid!F425="TL","TL",IF(H425="","",MIN(100,ROUND(H425+N(I425),2)))))</f>
        <v/>
      </c>
      <c r="K425" s="19">
        <f>IF(J425="","",IF(J425="TL","TL",IF(J425&gt;=80,"A",IF(J425&gt;=60,"B",IF(J425&gt;=40,"C",IF(J425&gt;=20,"D","E"))))))</f>
        <v/>
      </c>
      <c r="L425" s="15">
        <f>IF(K425="","",IF(K425="A","Cemerlang",IF(K425="B","Kepujian",IF(K425="C","Baik",IF(K425="D","Kurang Memuaskan",IF(K425="E","Tidak Memuaskan","Tidak Laksana"))))))</f>
        <v/>
      </c>
    </row>
    <row r="426">
      <c r="A426" s="15">
        <f>Murid!A426</f>
        <v/>
      </c>
      <c r="B426" s="15">
        <f>IF(Murid!B426="","",Murid!B426)</f>
        <v/>
      </c>
      <c r="C426" s="16">
        <f>IF(Murid!C426="","",Murid!C426)</f>
        <v/>
      </c>
      <c r="D426" s="15">
        <f>IF(Murid!E426="","",Murid!E426)</f>
        <v/>
      </c>
      <c r="E426" s="17">
        <f>KP!X426</f>
        <v/>
      </c>
      <c r="F426" s="17">
        <f>UB!X426</f>
        <v/>
      </c>
      <c r="G426" s="17">
        <f>SP!X426</f>
        <v/>
      </c>
      <c r="H426" s="17">
        <f>IF(COUNT(E426:G426)=0,"",ROUND((LARGE(E426:G426,1)+IF(COUNT(E426:G426)&gt;=2,LARGE(E426:G426,2),0))/2,2))</f>
        <v/>
      </c>
      <c r="I426" s="10">
        <f>Ekstra!U426</f>
        <v/>
      </c>
      <c r="J426" s="18">
        <f>IF(B426="","",IF(Murid!F426="TL","TL",IF(H426="","",MIN(100,ROUND(H426+N(I426),2)))))</f>
        <v/>
      </c>
      <c r="K426" s="19">
        <f>IF(J426="","",IF(J426="TL","TL",IF(J426&gt;=80,"A",IF(J426&gt;=60,"B",IF(J426&gt;=40,"C",IF(J426&gt;=20,"D","E"))))))</f>
        <v/>
      </c>
      <c r="L426" s="15">
        <f>IF(K426="","",IF(K426="A","Cemerlang",IF(K426="B","Kepujian",IF(K426="C","Baik",IF(K426="D","Kurang Memuaskan",IF(K426="E","Tidak Memuaskan","Tidak Laksana"))))))</f>
        <v/>
      </c>
    </row>
    <row r="427">
      <c r="A427" s="15">
        <f>Murid!A427</f>
        <v/>
      </c>
      <c r="B427" s="15">
        <f>IF(Murid!B427="","",Murid!B427)</f>
        <v/>
      </c>
      <c r="C427" s="16">
        <f>IF(Murid!C427="","",Murid!C427)</f>
        <v/>
      </c>
      <c r="D427" s="15">
        <f>IF(Murid!E427="","",Murid!E427)</f>
        <v/>
      </c>
      <c r="E427" s="17">
        <f>KP!X427</f>
        <v/>
      </c>
      <c r="F427" s="17">
        <f>UB!X427</f>
        <v/>
      </c>
      <c r="G427" s="17">
        <f>SP!X427</f>
        <v/>
      </c>
      <c r="H427" s="17">
        <f>IF(COUNT(E427:G427)=0,"",ROUND((LARGE(E427:G427,1)+IF(COUNT(E427:G427)&gt;=2,LARGE(E427:G427,2),0))/2,2))</f>
        <v/>
      </c>
      <c r="I427" s="10">
        <f>Ekstra!U427</f>
        <v/>
      </c>
      <c r="J427" s="18">
        <f>IF(B427="","",IF(Murid!F427="TL","TL",IF(H427="","",MIN(100,ROUND(H427+N(I427),2)))))</f>
        <v/>
      </c>
      <c r="K427" s="19">
        <f>IF(J427="","",IF(J427="TL","TL",IF(J427&gt;=80,"A",IF(J427&gt;=60,"B",IF(J427&gt;=40,"C",IF(J427&gt;=20,"D","E"))))))</f>
        <v/>
      </c>
      <c r="L427" s="15">
        <f>IF(K427="","",IF(K427="A","Cemerlang",IF(K427="B","Kepujian",IF(K427="C","Baik",IF(K427="D","Kurang Memuaskan",IF(K427="E","Tidak Memuaskan","Tidak Laksana"))))))</f>
        <v/>
      </c>
    </row>
    <row r="428">
      <c r="A428" s="15">
        <f>Murid!A428</f>
        <v/>
      </c>
      <c r="B428" s="15">
        <f>IF(Murid!B428="","",Murid!B428)</f>
        <v/>
      </c>
      <c r="C428" s="16">
        <f>IF(Murid!C428="","",Murid!C428)</f>
        <v/>
      </c>
      <c r="D428" s="15">
        <f>IF(Murid!E428="","",Murid!E428)</f>
        <v/>
      </c>
      <c r="E428" s="17">
        <f>KP!X428</f>
        <v/>
      </c>
      <c r="F428" s="17">
        <f>UB!X428</f>
        <v/>
      </c>
      <c r="G428" s="17">
        <f>SP!X428</f>
        <v/>
      </c>
      <c r="H428" s="17">
        <f>IF(COUNT(E428:G428)=0,"",ROUND((LARGE(E428:G428,1)+IF(COUNT(E428:G428)&gt;=2,LARGE(E428:G428,2),0))/2,2))</f>
        <v/>
      </c>
      <c r="I428" s="10">
        <f>Ekstra!U428</f>
        <v/>
      </c>
      <c r="J428" s="18">
        <f>IF(B428="","",IF(Murid!F428="TL","TL",IF(H428="","",MIN(100,ROUND(H428+N(I428),2)))))</f>
        <v/>
      </c>
      <c r="K428" s="19">
        <f>IF(J428="","",IF(J428="TL","TL",IF(J428&gt;=80,"A",IF(J428&gt;=60,"B",IF(J428&gt;=40,"C",IF(J428&gt;=20,"D","E"))))))</f>
        <v/>
      </c>
      <c r="L428" s="15">
        <f>IF(K428="","",IF(K428="A","Cemerlang",IF(K428="B","Kepujian",IF(K428="C","Baik",IF(K428="D","Kurang Memuaskan",IF(K428="E","Tidak Memuaskan","Tidak Laksana"))))))</f>
        <v/>
      </c>
    </row>
    <row r="429">
      <c r="A429" s="15">
        <f>Murid!A429</f>
        <v/>
      </c>
      <c r="B429" s="15">
        <f>IF(Murid!B429="","",Murid!B429)</f>
        <v/>
      </c>
      <c r="C429" s="16">
        <f>IF(Murid!C429="","",Murid!C429)</f>
        <v/>
      </c>
      <c r="D429" s="15">
        <f>IF(Murid!E429="","",Murid!E429)</f>
        <v/>
      </c>
      <c r="E429" s="17">
        <f>KP!X429</f>
        <v/>
      </c>
      <c r="F429" s="17">
        <f>UB!X429</f>
        <v/>
      </c>
      <c r="G429" s="17">
        <f>SP!X429</f>
        <v/>
      </c>
      <c r="H429" s="17">
        <f>IF(COUNT(E429:G429)=0,"",ROUND((LARGE(E429:G429,1)+IF(COUNT(E429:G429)&gt;=2,LARGE(E429:G429,2),0))/2,2))</f>
        <v/>
      </c>
      <c r="I429" s="10">
        <f>Ekstra!U429</f>
        <v/>
      </c>
      <c r="J429" s="18">
        <f>IF(B429="","",IF(Murid!F429="TL","TL",IF(H429="","",MIN(100,ROUND(H429+N(I429),2)))))</f>
        <v/>
      </c>
      <c r="K429" s="19">
        <f>IF(J429="","",IF(J429="TL","TL",IF(J429&gt;=80,"A",IF(J429&gt;=60,"B",IF(J429&gt;=40,"C",IF(J429&gt;=20,"D","E"))))))</f>
        <v/>
      </c>
      <c r="L429" s="15">
        <f>IF(K429="","",IF(K429="A","Cemerlang",IF(K429="B","Kepujian",IF(K429="C","Baik",IF(K429="D","Kurang Memuaskan",IF(K429="E","Tidak Memuaskan","Tidak Laksana"))))))</f>
        <v/>
      </c>
    </row>
    <row r="430">
      <c r="A430" s="15">
        <f>Murid!A430</f>
        <v/>
      </c>
      <c r="B430" s="15">
        <f>IF(Murid!B430="","",Murid!B430)</f>
        <v/>
      </c>
      <c r="C430" s="16">
        <f>IF(Murid!C430="","",Murid!C430)</f>
        <v/>
      </c>
      <c r="D430" s="15">
        <f>IF(Murid!E430="","",Murid!E430)</f>
        <v/>
      </c>
      <c r="E430" s="17">
        <f>KP!X430</f>
        <v/>
      </c>
      <c r="F430" s="17">
        <f>UB!X430</f>
        <v/>
      </c>
      <c r="G430" s="17">
        <f>SP!X430</f>
        <v/>
      </c>
      <c r="H430" s="17">
        <f>IF(COUNT(E430:G430)=0,"",ROUND((LARGE(E430:G430,1)+IF(COUNT(E430:G430)&gt;=2,LARGE(E430:G430,2),0))/2,2))</f>
        <v/>
      </c>
      <c r="I430" s="10">
        <f>Ekstra!U430</f>
        <v/>
      </c>
      <c r="J430" s="18">
        <f>IF(B430="","",IF(Murid!F430="TL","TL",IF(H430="","",MIN(100,ROUND(H430+N(I430),2)))))</f>
        <v/>
      </c>
      <c r="K430" s="19">
        <f>IF(J430="","",IF(J430="TL","TL",IF(J430&gt;=80,"A",IF(J430&gt;=60,"B",IF(J430&gt;=40,"C",IF(J430&gt;=20,"D","E"))))))</f>
        <v/>
      </c>
      <c r="L430" s="15">
        <f>IF(K430="","",IF(K430="A","Cemerlang",IF(K430="B","Kepujian",IF(K430="C","Baik",IF(K430="D","Kurang Memuaskan",IF(K430="E","Tidak Memuaskan","Tidak Laksana"))))))</f>
        <v/>
      </c>
    </row>
    <row r="431">
      <c r="A431" s="15">
        <f>Murid!A431</f>
        <v/>
      </c>
      <c r="B431" s="15">
        <f>IF(Murid!B431="","",Murid!B431)</f>
        <v/>
      </c>
      <c r="C431" s="16">
        <f>IF(Murid!C431="","",Murid!C431)</f>
        <v/>
      </c>
      <c r="D431" s="15">
        <f>IF(Murid!E431="","",Murid!E431)</f>
        <v/>
      </c>
      <c r="E431" s="17">
        <f>KP!X431</f>
        <v/>
      </c>
      <c r="F431" s="17">
        <f>UB!X431</f>
        <v/>
      </c>
      <c r="G431" s="17">
        <f>SP!X431</f>
        <v/>
      </c>
      <c r="H431" s="17">
        <f>IF(COUNT(E431:G431)=0,"",ROUND((LARGE(E431:G431,1)+IF(COUNT(E431:G431)&gt;=2,LARGE(E431:G431,2),0))/2,2))</f>
        <v/>
      </c>
      <c r="I431" s="10">
        <f>Ekstra!U431</f>
        <v/>
      </c>
      <c r="J431" s="18">
        <f>IF(B431="","",IF(Murid!F431="TL","TL",IF(H431="","",MIN(100,ROUND(H431+N(I431),2)))))</f>
        <v/>
      </c>
      <c r="K431" s="19">
        <f>IF(J431="","",IF(J431="TL","TL",IF(J431&gt;=80,"A",IF(J431&gt;=60,"B",IF(J431&gt;=40,"C",IF(J431&gt;=20,"D","E"))))))</f>
        <v/>
      </c>
      <c r="L431" s="15">
        <f>IF(K431="","",IF(K431="A","Cemerlang",IF(K431="B","Kepujian",IF(K431="C","Baik",IF(K431="D","Kurang Memuaskan",IF(K431="E","Tidak Memuaskan","Tidak Laksana"))))))</f>
        <v/>
      </c>
    </row>
    <row r="432">
      <c r="A432" s="15">
        <f>Murid!A432</f>
        <v/>
      </c>
      <c r="B432" s="15">
        <f>IF(Murid!B432="","",Murid!B432)</f>
        <v/>
      </c>
      <c r="C432" s="16">
        <f>IF(Murid!C432="","",Murid!C432)</f>
        <v/>
      </c>
      <c r="D432" s="15">
        <f>IF(Murid!E432="","",Murid!E432)</f>
        <v/>
      </c>
      <c r="E432" s="17">
        <f>KP!X432</f>
        <v/>
      </c>
      <c r="F432" s="17">
        <f>UB!X432</f>
        <v/>
      </c>
      <c r="G432" s="17">
        <f>SP!X432</f>
        <v/>
      </c>
      <c r="H432" s="17">
        <f>IF(COUNT(E432:G432)=0,"",ROUND((LARGE(E432:G432,1)+IF(COUNT(E432:G432)&gt;=2,LARGE(E432:G432,2),0))/2,2))</f>
        <v/>
      </c>
      <c r="I432" s="10">
        <f>Ekstra!U432</f>
        <v/>
      </c>
      <c r="J432" s="18">
        <f>IF(B432="","",IF(Murid!F432="TL","TL",IF(H432="","",MIN(100,ROUND(H432+N(I432),2)))))</f>
        <v/>
      </c>
      <c r="K432" s="19">
        <f>IF(J432="","",IF(J432="TL","TL",IF(J432&gt;=80,"A",IF(J432&gt;=60,"B",IF(J432&gt;=40,"C",IF(J432&gt;=20,"D","E"))))))</f>
        <v/>
      </c>
      <c r="L432" s="15">
        <f>IF(K432="","",IF(K432="A","Cemerlang",IF(K432="B","Kepujian",IF(K432="C","Baik",IF(K432="D","Kurang Memuaskan",IF(K432="E","Tidak Memuaskan","Tidak Laksana"))))))</f>
        <v/>
      </c>
    </row>
    <row r="433">
      <c r="A433" s="15">
        <f>Murid!A433</f>
        <v/>
      </c>
      <c r="B433" s="15">
        <f>IF(Murid!B433="","",Murid!B433)</f>
        <v/>
      </c>
      <c r="C433" s="16">
        <f>IF(Murid!C433="","",Murid!C433)</f>
        <v/>
      </c>
      <c r="D433" s="15">
        <f>IF(Murid!E433="","",Murid!E433)</f>
        <v/>
      </c>
      <c r="E433" s="17">
        <f>KP!X433</f>
        <v/>
      </c>
      <c r="F433" s="17">
        <f>UB!X433</f>
        <v/>
      </c>
      <c r="G433" s="17">
        <f>SP!X433</f>
        <v/>
      </c>
      <c r="H433" s="17">
        <f>IF(COUNT(E433:G433)=0,"",ROUND((LARGE(E433:G433,1)+IF(COUNT(E433:G433)&gt;=2,LARGE(E433:G433,2),0))/2,2))</f>
        <v/>
      </c>
      <c r="I433" s="10">
        <f>Ekstra!U433</f>
        <v/>
      </c>
      <c r="J433" s="18">
        <f>IF(B433="","",IF(Murid!F433="TL","TL",IF(H433="","",MIN(100,ROUND(H433+N(I433),2)))))</f>
        <v/>
      </c>
      <c r="K433" s="19">
        <f>IF(J433="","",IF(J433="TL","TL",IF(J433&gt;=80,"A",IF(J433&gt;=60,"B",IF(J433&gt;=40,"C",IF(J433&gt;=20,"D","E"))))))</f>
        <v/>
      </c>
      <c r="L433" s="15">
        <f>IF(K433="","",IF(K433="A","Cemerlang",IF(K433="B","Kepujian",IF(K433="C","Baik",IF(K433="D","Kurang Memuaskan",IF(K433="E","Tidak Memuaskan","Tidak Laksana"))))))</f>
        <v/>
      </c>
    </row>
    <row r="434">
      <c r="A434" s="15">
        <f>Murid!A434</f>
        <v/>
      </c>
      <c r="B434" s="15">
        <f>IF(Murid!B434="","",Murid!B434)</f>
        <v/>
      </c>
      <c r="C434" s="16">
        <f>IF(Murid!C434="","",Murid!C434)</f>
        <v/>
      </c>
      <c r="D434" s="15">
        <f>IF(Murid!E434="","",Murid!E434)</f>
        <v/>
      </c>
      <c r="E434" s="17">
        <f>KP!X434</f>
        <v/>
      </c>
      <c r="F434" s="17">
        <f>UB!X434</f>
        <v/>
      </c>
      <c r="G434" s="17">
        <f>SP!X434</f>
        <v/>
      </c>
      <c r="H434" s="17">
        <f>IF(COUNT(E434:G434)=0,"",ROUND((LARGE(E434:G434,1)+IF(COUNT(E434:G434)&gt;=2,LARGE(E434:G434,2),0))/2,2))</f>
        <v/>
      </c>
      <c r="I434" s="10">
        <f>Ekstra!U434</f>
        <v/>
      </c>
      <c r="J434" s="18">
        <f>IF(B434="","",IF(Murid!F434="TL","TL",IF(H434="","",MIN(100,ROUND(H434+N(I434),2)))))</f>
        <v/>
      </c>
      <c r="K434" s="19">
        <f>IF(J434="","",IF(J434="TL","TL",IF(J434&gt;=80,"A",IF(J434&gt;=60,"B",IF(J434&gt;=40,"C",IF(J434&gt;=20,"D","E"))))))</f>
        <v/>
      </c>
      <c r="L434" s="15">
        <f>IF(K434="","",IF(K434="A","Cemerlang",IF(K434="B","Kepujian",IF(K434="C","Baik",IF(K434="D","Kurang Memuaskan",IF(K434="E","Tidak Memuaskan","Tidak Laksana"))))))</f>
        <v/>
      </c>
    </row>
    <row r="435">
      <c r="A435" s="15">
        <f>Murid!A435</f>
        <v/>
      </c>
      <c r="B435" s="15">
        <f>IF(Murid!B435="","",Murid!B435)</f>
        <v/>
      </c>
      <c r="C435" s="16">
        <f>IF(Murid!C435="","",Murid!C435)</f>
        <v/>
      </c>
      <c r="D435" s="15">
        <f>IF(Murid!E435="","",Murid!E435)</f>
        <v/>
      </c>
      <c r="E435" s="17">
        <f>KP!X435</f>
        <v/>
      </c>
      <c r="F435" s="17">
        <f>UB!X435</f>
        <v/>
      </c>
      <c r="G435" s="17">
        <f>SP!X435</f>
        <v/>
      </c>
      <c r="H435" s="17">
        <f>IF(COUNT(E435:G435)=0,"",ROUND((LARGE(E435:G435,1)+IF(COUNT(E435:G435)&gt;=2,LARGE(E435:G435,2),0))/2,2))</f>
        <v/>
      </c>
      <c r="I435" s="10">
        <f>Ekstra!U435</f>
        <v/>
      </c>
      <c r="J435" s="18">
        <f>IF(B435="","",IF(Murid!F435="TL","TL",IF(H435="","",MIN(100,ROUND(H435+N(I435),2)))))</f>
        <v/>
      </c>
      <c r="K435" s="19">
        <f>IF(J435="","",IF(J435="TL","TL",IF(J435&gt;=80,"A",IF(J435&gt;=60,"B",IF(J435&gt;=40,"C",IF(J435&gt;=20,"D","E"))))))</f>
        <v/>
      </c>
      <c r="L435" s="15">
        <f>IF(K435="","",IF(K435="A","Cemerlang",IF(K435="B","Kepujian",IF(K435="C","Baik",IF(K435="D","Kurang Memuaskan",IF(K435="E","Tidak Memuaskan","Tidak Laksana"))))))</f>
        <v/>
      </c>
    </row>
    <row r="436">
      <c r="A436" s="15">
        <f>Murid!A436</f>
        <v/>
      </c>
      <c r="B436" s="15">
        <f>IF(Murid!B436="","",Murid!B436)</f>
        <v/>
      </c>
      <c r="C436" s="16">
        <f>IF(Murid!C436="","",Murid!C436)</f>
        <v/>
      </c>
      <c r="D436" s="15">
        <f>IF(Murid!E436="","",Murid!E436)</f>
        <v/>
      </c>
      <c r="E436" s="17">
        <f>KP!X436</f>
        <v/>
      </c>
      <c r="F436" s="17">
        <f>UB!X436</f>
        <v/>
      </c>
      <c r="G436" s="17">
        <f>SP!X436</f>
        <v/>
      </c>
      <c r="H436" s="17">
        <f>IF(COUNT(E436:G436)=0,"",ROUND((LARGE(E436:G436,1)+IF(COUNT(E436:G436)&gt;=2,LARGE(E436:G436,2),0))/2,2))</f>
        <v/>
      </c>
      <c r="I436" s="10">
        <f>Ekstra!U436</f>
        <v/>
      </c>
      <c r="J436" s="18">
        <f>IF(B436="","",IF(Murid!F436="TL","TL",IF(H436="","",MIN(100,ROUND(H436+N(I436),2)))))</f>
        <v/>
      </c>
      <c r="K436" s="19">
        <f>IF(J436="","",IF(J436="TL","TL",IF(J436&gt;=80,"A",IF(J436&gt;=60,"B",IF(J436&gt;=40,"C",IF(J436&gt;=20,"D","E"))))))</f>
        <v/>
      </c>
      <c r="L436" s="15">
        <f>IF(K436="","",IF(K436="A","Cemerlang",IF(K436="B","Kepujian",IF(K436="C","Baik",IF(K436="D","Kurang Memuaskan",IF(K436="E","Tidak Memuaskan","Tidak Laksana"))))))</f>
        <v/>
      </c>
    </row>
    <row r="437">
      <c r="A437" s="15">
        <f>Murid!A437</f>
        <v/>
      </c>
      <c r="B437" s="15">
        <f>IF(Murid!B437="","",Murid!B437)</f>
        <v/>
      </c>
      <c r="C437" s="16">
        <f>IF(Murid!C437="","",Murid!C437)</f>
        <v/>
      </c>
      <c r="D437" s="15">
        <f>IF(Murid!E437="","",Murid!E437)</f>
        <v/>
      </c>
      <c r="E437" s="17">
        <f>KP!X437</f>
        <v/>
      </c>
      <c r="F437" s="17">
        <f>UB!X437</f>
        <v/>
      </c>
      <c r="G437" s="17">
        <f>SP!X437</f>
        <v/>
      </c>
      <c r="H437" s="17">
        <f>IF(COUNT(E437:G437)=0,"",ROUND((LARGE(E437:G437,1)+IF(COUNT(E437:G437)&gt;=2,LARGE(E437:G437,2),0))/2,2))</f>
        <v/>
      </c>
      <c r="I437" s="10">
        <f>Ekstra!U437</f>
        <v/>
      </c>
      <c r="J437" s="18">
        <f>IF(B437="","",IF(Murid!F437="TL","TL",IF(H437="","",MIN(100,ROUND(H437+N(I437),2)))))</f>
        <v/>
      </c>
      <c r="K437" s="19">
        <f>IF(J437="","",IF(J437="TL","TL",IF(J437&gt;=80,"A",IF(J437&gt;=60,"B",IF(J437&gt;=40,"C",IF(J437&gt;=20,"D","E"))))))</f>
        <v/>
      </c>
      <c r="L437" s="15">
        <f>IF(K437="","",IF(K437="A","Cemerlang",IF(K437="B","Kepujian",IF(K437="C","Baik",IF(K437="D","Kurang Memuaskan",IF(K437="E","Tidak Memuaskan","Tidak Laksana"))))))</f>
        <v/>
      </c>
    </row>
    <row r="438">
      <c r="A438" s="15">
        <f>Murid!A438</f>
        <v/>
      </c>
      <c r="B438" s="15">
        <f>IF(Murid!B438="","",Murid!B438)</f>
        <v/>
      </c>
      <c r="C438" s="16">
        <f>IF(Murid!C438="","",Murid!C438)</f>
        <v/>
      </c>
      <c r="D438" s="15">
        <f>IF(Murid!E438="","",Murid!E438)</f>
        <v/>
      </c>
      <c r="E438" s="17">
        <f>KP!X438</f>
        <v/>
      </c>
      <c r="F438" s="17">
        <f>UB!X438</f>
        <v/>
      </c>
      <c r="G438" s="17">
        <f>SP!X438</f>
        <v/>
      </c>
      <c r="H438" s="17">
        <f>IF(COUNT(E438:G438)=0,"",ROUND((LARGE(E438:G438,1)+IF(COUNT(E438:G438)&gt;=2,LARGE(E438:G438,2),0))/2,2))</f>
        <v/>
      </c>
      <c r="I438" s="10">
        <f>Ekstra!U438</f>
        <v/>
      </c>
      <c r="J438" s="18">
        <f>IF(B438="","",IF(Murid!F438="TL","TL",IF(H438="","",MIN(100,ROUND(H438+N(I438),2)))))</f>
        <v/>
      </c>
      <c r="K438" s="19">
        <f>IF(J438="","",IF(J438="TL","TL",IF(J438&gt;=80,"A",IF(J438&gt;=60,"B",IF(J438&gt;=40,"C",IF(J438&gt;=20,"D","E"))))))</f>
        <v/>
      </c>
      <c r="L438" s="15">
        <f>IF(K438="","",IF(K438="A","Cemerlang",IF(K438="B","Kepujian",IF(K438="C","Baik",IF(K438="D","Kurang Memuaskan",IF(K438="E","Tidak Memuaskan","Tidak Laksana"))))))</f>
        <v/>
      </c>
    </row>
    <row r="439">
      <c r="A439" s="15">
        <f>Murid!A439</f>
        <v/>
      </c>
      <c r="B439" s="15">
        <f>IF(Murid!B439="","",Murid!B439)</f>
        <v/>
      </c>
      <c r="C439" s="16">
        <f>IF(Murid!C439="","",Murid!C439)</f>
        <v/>
      </c>
      <c r="D439" s="15">
        <f>IF(Murid!E439="","",Murid!E439)</f>
        <v/>
      </c>
      <c r="E439" s="17">
        <f>KP!X439</f>
        <v/>
      </c>
      <c r="F439" s="17">
        <f>UB!X439</f>
        <v/>
      </c>
      <c r="G439" s="17">
        <f>SP!X439</f>
        <v/>
      </c>
      <c r="H439" s="17">
        <f>IF(COUNT(E439:G439)=0,"",ROUND((LARGE(E439:G439,1)+IF(COUNT(E439:G439)&gt;=2,LARGE(E439:G439,2),0))/2,2))</f>
        <v/>
      </c>
      <c r="I439" s="10">
        <f>Ekstra!U439</f>
        <v/>
      </c>
      <c r="J439" s="18">
        <f>IF(B439="","",IF(Murid!F439="TL","TL",IF(H439="","",MIN(100,ROUND(H439+N(I439),2)))))</f>
        <v/>
      </c>
      <c r="K439" s="19">
        <f>IF(J439="","",IF(J439="TL","TL",IF(J439&gt;=80,"A",IF(J439&gt;=60,"B",IF(J439&gt;=40,"C",IF(J439&gt;=20,"D","E"))))))</f>
        <v/>
      </c>
      <c r="L439" s="15">
        <f>IF(K439="","",IF(K439="A","Cemerlang",IF(K439="B","Kepujian",IF(K439="C","Baik",IF(K439="D","Kurang Memuaskan",IF(K439="E","Tidak Memuaskan","Tidak Laksana"))))))</f>
        <v/>
      </c>
    </row>
    <row r="440">
      <c r="A440" s="15">
        <f>Murid!A440</f>
        <v/>
      </c>
      <c r="B440" s="15">
        <f>IF(Murid!B440="","",Murid!B440)</f>
        <v/>
      </c>
      <c r="C440" s="16">
        <f>IF(Murid!C440="","",Murid!C440)</f>
        <v/>
      </c>
      <c r="D440" s="15">
        <f>IF(Murid!E440="","",Murid!E440)</f>
        <v/>
      </c>
      <c r="E440" s="17">
        <f>KP!X440</f>
        <v/>
      </c>
      <c r="F440" s="17">
        <f>UB!X440</f>
        <v/>
      </c>
      <c r="G440" s="17">
        <f>SP!X440</f>
        <v/>
      </c>
      <c r="H440" s="17">
        <f>IF(COUNT(E440:G440)=0,"",ROUND((LARGE(E440:G440,1)+IF(COUNT(E440:G440)&gt;=2,LARGE(E440:G440,2),0))/2,2))</f>
        <v/>
      </c>
      <c r="I440" s="10">
        <f>Ekstra!U440</f>
        <v/>
      </c>
      <c r="J440" s="18">
        <f>IF(B440="","",IF(Murid!F440="TL","TL",IF(H440="","",MIN(100,ROUND(H440+N(I440),2)))))</f>
        <v/>
      </c>
      <c r="K440" s="19">
        <f>IF(J440="","",IF(J440="TL","TL",IF(J440&gt;=80,"A",IF(J440&gt;=60,"B",IF(J440&gt;=40,"C",IF(J440&gt;=20,"D","E"))))))</f>
        <v/>
      </c>
      <c r="L440" s="15">
        <f>IF(K440="","",IF(K440="A","Cemerlang",IF(K440="B","Kepujian",IF(K440="C","Baik",IF(K440="D","Kurang Memuaskan",IF(K440="E","Tidak Memuaskan","Tidak Laksana"))))))</f>
        <v/>
      </c>
    </row>
    <row r="441">
      <c r="A441" s="15">
        <f>Murid!A441</f>
        <v/>
      </c>
      <c r="B441" s="15">
        <f>IF(Murid!B441="","",Murid!B441)</f>
        <v/>
      </c>
      <c r="C441" s="16">
        <f>IF(Murid!C441="","",Murid!C441)</f>
        <v/>
      </c>
      <c r="D441" s="15">
        <f>IF(Murid!E441="","",Murid!E441)</f>
        <v/>
      </c>
      <c r="E441" s="17">
        <f>KP!X441</f>
        <v/>
      </c>
      <c r="F441" s="17">
        <f>UB!X441</f>
        <v/>
      </c>
      <c r="G441" s="17">
        <f>SP!X441</f>
        <v/>
      </c>
      <c r="H441" s="17">
        <f>IF(COUNT(E441:G441)=0,"",ROUND((LARGE(E441:G441,1)+IF(COUNT(E441:G441)&gt;=2,LARGE(E441:G441,2),0))/2,2))</f>
        <v/>
      </c>
      <c r="I441" s="10">
        <f>Ekstra!U441</f>
        <v/>
      </c>
      <c r="J441" s="18">
        <f>IF(B441="","",IF(Murid!F441="TL","TL",IF(H441="","",MIN(100,ROUND(H441+N(I441),2)))))</f>
        <v/>
      </c>
      <c r="K441" s="19">
        <f>IF(J441="","",IF(J441="TL","TL",IF(J441&gt;=80,"A",IF(J441&gt;=60,"B",IF(J441&gt;=40,"C",IF(J441&gt;=20,"D","E"))))))</f>
        <v/>
      </c>
      <c r="L441" s="15">
        <f>IF(K441="","",IF(K441="A","Cemerlang",IF(K441="B","Kepujian",IF(K441="C","Baik",IF(K441="D","Kurang Memuaskan",IF(K441="E","Tidak Memuaskan","Tidak Laksana"))))))</f>
        <v/>
      </c>
    </row>
    <row r="442">
      <c r="A442" s="15">
        <f>Murid!A442</f>
        <v/>
      </c>
      <c r="B442" s="15">
        <f>IF(Murid!B442="","",Murid!B442)</f>
        <v/>
      </c>
      <c r="C442" s="16">
        <f>IF(Murid!C442="","",Murid!C442)</f>
        <v/>
      </c>
      <c r="D442" s="15">
        <f>IF(Murid!E442="","",Murid!E442)</f>
        <v/>
      </c>
      <c r="E442" s="17">
        <f>KP!X442</f>
        <v/>
      </c>
      <c r="F442" s="17">
        <f>UB!X442</f>
        <v/>
      </c>
      <c r="G442" s="17">
        <f>SP!X442</f>
        <v/>
      </c>
      <c r="H442" s="17">
        <f>IF(COUNT(E442:G442)=0,"",ROUND((LARGE(E442:G442,1)+IF(COUNT(E442:G442)&gt;=2,LARGE(E442:G442,2),0))/2,2))</f>
        <v/>
      </c>
      <c r="I442" s="10">
        <f>Ekstra!U442</f>
        <v/>
      </c>
      <c r="J442" s="18">
        <f>IF(B442="","",IF(Murid!F442="TL","TL",IF(H442="","",MIN(100,ROUND(H442+N(I442),2)))))</f>
        <v/>
      </c>
      <c r="K442" s="19">
        <f>IF(J442="","",IF(J442="TL","TL",IF(J442&gt;=80,"A",IF(J442&gt;=60,"B",IF(J442&gt;=40,"C",IF(J442&gt;=20,"D","E"))))))</f>
        <v/>
      </c>
      <c r="L442" s="15">
        <f>IF(K442="","",IF(K442="A","Cemerlang",IF(K442="B","Kepujian",IF(K442="C","Baik",IF(K442="D","Kurang Memuaskan",IF(K442="E","Tidak Memuaskan","Tidak Laksana"))))))</f>
        <v/>
      </c>
    </row>
    <row r="443">
      <c r="A443" s="15">
        <f>Murid!A443</f>
        <v/>
      </c>
      <c r="B443" s="15">
        <f>IF(Murid!B443="","",Murid!B443)</f>
        <v/>
      </c>
      <c r="C443" s="16">
        <f>IF(Murid!C443="","",Murid!C443)</f>
        <v/>
      </c>
      <c r="D443" s="15">
        <f>IF(Murid!E443="","",Murid!E443)</f>
        <v/>
      </c>
      <c r="E443" s="17">
        <f>KP!X443</f>
        <v/>
      </c>
      <c r="F443" s="17">
        <f>UB!X443</f>
        <v/>
      </c>
      <c r="G443" s="17">
        <f>SP!X443</f>
        <v/>
      </c>
      <c r="H443" s="17">
        <f>IF(COUNT(E443:G443)=0,"",ROUND((LARGE(E443:G443,1)+IF(COUNT(E443:G443)&gt;=2,LARGE(E443:G443,2),0))/2,2))</f>
        <v/>
      </c>
      <c r="I443" s="10">
        <f>Ekstra!U443</f>
        <v/>
      </c>
      <c r="J443" s="18">
        <f>IF(B443="","",IF(Murid!F443="TL","TL",IF(H443="","",MIN(100,ROUND(H443+N(I443),2)))))</f>
        <v/>
      </c>
      <c r="K443" s="19">
        <f>IF(J443="","",IF(J443="TL","TL",IF(J443&gt;=80,"A",IF(J443&gt;=60,"B",IF(J443&gt;=40,"C",IF(J443&gt;=20,"D","E"))))))</f>
        <v/>
      </c>
      <c r="L443" s="15">
        <f>IF(K443="","",IF(K443="A","Cemerlang",IF(K443="B","Kepujian",IF(K443="C","Baik",IF(K443="D","Kurang Memuaskan",IF(K443="E","Tidak Memuaskan","Tidak Laksana"))))))</f>
        <v/>
      </c>
    </row>
    <row r="444">
      <c r="A444" s="15">
        <f>Murid!A444</f>
        <v/>
      </c>
      <c r="B444" s="15">
        <f>IF(Murid!B444="","",Murid!B444)</f>
        <v/>
      </c>
      <c r="C444" s="16">
        <f>IF(Murid!C444="","",Murid!C444)</f>
        <v/>
      </c>
      <c r="D444" s="15">
        <f>IF(Murid!E444="","",Murid!E444)</f>
        <v/>
      </c>
      <c r="E444" s="17">
        <f>KP!X444</f>
        <v/>
      </c>
      <c r="F444" s="17">
        <f>UB!X444</f>
        <v/>
      </c>
      <c r="G444" s="17">
        <f>SP!X444</f>
        <v/>
      </c>
      <c r="H444" s="17">
        <f>IF(COUNT(E444:G444)=0,"",ROUND((LARGE(E444:G444,1)+IF(COUNT(E444:G444)&gt;=2,LARGE(E444:G444,2),0))/2,2))</f>
        <v/>
      </c>
      <c r="I444" s="10">
        <f>Ekstra!U444</f>
        <v/>
      </c>
      <c r="J444" s="18">
        <f>IF(B444="","",IF(Murid!F444="TL","TL",IF(H444="","",MIN(100,ROUND(H444+N(I444),2)))))</f>
        <v/>
      </c>
      <c r="K444" s="19">
        <f>IF(J444="","",IF(J444="TL","TL",IF(J444&gt;=80,"A",IF(J444&gt;=60,"B",IF(J444&gt;=40,"C",IF(J444&gt;=20,"D","E"))))))</f>
        <v/>
      </c>
      <c r="L444" s="15">
        <f>IF(K444="","",IF(K444="A","Cemerlang",IF(K444="B","Kepujian",IF(K444="C","Baik",IF(K444="D","Kurang Memuaskan",IF(K444="E","Tidak Memuaskan","Tidak Laksana"))))))</f>
        <v/>
      </c>
    </row>
    <row r="445">
      <c r="A445" s="15">
        <f>Murid!A445</f>
        <v/>
      </c>
      <c r="B445" s="15">
        <f>IF(Murid!B445="","",Murid!B445)</f>
        <v/>
      </c>
      <c r="C445" s="16">
        <f>IF(Murid!C445="","",Murid!C445)</f>
        <v/>
      </c>
      <c r="D445" s="15">
        <f>IF(Murid!E445="","",Murid!E445)</f>
        <v/>
      </c>
      <c r="E445" s="17">
        <f>KP!X445</f>
        <v/>
      </c>
      <c r="F445" s="17">
        <f>UB!X445</f>
        <v/>
      </c>
      <c r="G445" s="17">
        <f>SP!X445</f>
        <v/>
      </c>
      <c r="H445" s="17">
        <f>IF(COUNT(E445:G445)=0,"",ROUND((LARGE(E445:G445,1)+IF(COUNT(E445:G445)&gt;=2,LARGE(E445:G445,2),0))/2,2))</f>
        <v/>
      </c>
      <c r="I445" s="10">
        <f>Ekstra!U445</f>
        <v/>
      </c>
      <c r="J445" s="18">
        <f>IF(B445="","",IF(Murid!F445="TL","TL",IF(H445="","",MIN(100,ROUND(H445+N(I445),2)))))</f>
        <v/>
      </c>
      <c r="K445" s="19">
        <f>IF(J445="","",IF(J445="TL","TL",IF(J445&gt;=80,"A",IF(J445&gt;=60,"B",IF(J445&gt;=40,"C",IF(J445&gt;=20,"D","E"))))))</f>
        <v/>
      </c>
      <c r="L445" s="15">
        <f>IF(K445="","",IF(K445="A","Cemerlang",IF(K445="B","Kepujian",IF(K445="C","Baik",IF(K445="D","Kurang Memuaskan",IF(K445="E","Tidak Memuaskan","Tidak Laksana"))))))</f>
        <v/>
      </c>
    </row>
    <row r="446">
      <c r="A446" s="15">
        <f>Murid!A446</f>
        <v/>
      </c>
      <c r="B446" s="15">
        <f>IF(Murid!B446="","",Murid!B446)</f>
        <v/>
      </c>
      <c r="C446" s="16">
        <f>IF(Murid!C446="","",Murid!C446)</f>
        <v/>
      </c>
      <c r="D446" s="15">
        <f>IF(Murid!E446="","",Murid!E446)</f>
        <v/>
      </c>
      <c r="E446" s="17">
        <f>KP!X446</f>
        <v/>
      </c>
      <c r="F446" s="17">
        <f>UB!X446</f>
        <v/>
      </c>
      <c r="G446" s="17">
        <f>SP!X446</f>
        <v/>
      </c>
      <c r="H446" s="17">
        <f>IF(COUNT(E446:G446)=0,"",ROUND((LARGE(E446:G446,1)+IF(COUNT(E446:G446)&gt;=2,LARGE(E446:G446,2),0))/2,2))</f>
        <v/>
      </c>
      <c r="I446" s="10">
        <f>Ekstra!U446</f>
        <v/>
      </c>
      <c r="J446" s="18">
        <f>IF(B446="","",IF(Murid!F446="TL","TL",IF(H446="","",MIN(100,ROUND(H446+N(I446),2)))))</f>
        <v/>
      </c>
      <c r="K446" s="19">
        <f>IF(J446="","",IF(J446="TL","TL",IF(J446&gt;=80,"A",IF(J446&gt;=60,"B",IF(J446&gt;=40,"C",IF(J446&gt;=20,"D","E"))))))</f>
        <v/>
      </c>
      <c r="L446" s="15">
        <f>IF(K446="","",IF(K446="A","Cemerlang",IF(K446="B","Kepujian",IF(K446="C","Baik",IF(K446="D","Kurang Memuaskan",IF(K446="E","Tidak Memuaskan","Tidak Laksana"))))))</f>
        <v/>
      </c>
    </row>
    <row r="447">
      <c r="A447" s="15">
        <f>Murid!A447</f>
        <v/>
      </c>
      <c r="B447" s="15">
        <f>IF(Murid!B447="","",Murid!B447)</f>
        <v/>
      </c>
      <c r="C447" s="16">
        <f>IF(Murid!C447="","",Murid!C447)</f>
        <v/>
      </c>
      <c r="D447" s="15">
        <f>IF(Murid!E447="","",Murid!E447)</f>
        <v/>
      </c>
      <c r="E447" s="17">
        <f>KP!X447</f>
        <v/>
      </c>
      <c r="F447" s="17">
        <f>UB!X447</f>
        <v/>
      </c>
      <c r="G447" s="17">
        <f>SP!X447</f>
        <v/>
      </c>
      <c r="H447" s="17">
        <f>IF(COUNT(E447:G447)=0,"",ROUND((LARGE(E447:G447,1)+IF(COUNT(E447:G447)&gt;=2,LARGE(E447:G447,2),0))/2,2))</f>
        <v/>
      </c>
      <c r="I447" s="10">
        <f>Ekstra!U447</f>
        <v/>
      </c>
      <c r="J447" s="18">
        <f>IF(B447="","",IF(Murid!F447="TL","TL",IF(H447="","",MIN(100,ROUND(H447+N(I447),2)))))</f>
        <v/>
      </c>
      <c r="K447" s="19">
        <f>IF(J447="","",IF(J447="TL","TL",IF(J447&gt;=80,"A",IF(J447&gt;=60,"B",IF(J447&gt;=40,"C",IF(J447&gt;=20,"D","E"))))))</f>
        <v/>
      </c>
      <c r="L447" s="15">
        <f>IF(K447="","",IF(K447="A","Cemerlang",IF(K447="B","Kepujian",IF(K447="C","Baik",IF(K447="D","Kurang Memuaskan",IF(K447="E","Tidak Memuaskan","Tidak Laksana"))))))</f>
        <v/>
      </c>
    </row>
    <row r="448">
      <c r="A448" s="15">
        <f>Murid!A448</f>
        <v/>
      </c>
      <c r="B448" s="15">
        <f>IF(Murid!B448="","",Murid!B448)</f>
        <v/>
      </c>
      <c r="C448" s="16">
        <f>IF(Murid!C448="","",Murid!C448)</f>
        <v/>
      </c>
      <c r="D448" s="15">
        <f>IF(Murid!E448="","",Murid!E448)</f>
        <v/>
      </c>
      <c r="E448" s="17">
        <f>KP!X448</f>
        <v/>
      </c>
      <c r="F448" s="17">
        <f>UB!X448</f>
        <v/>
      </c>
      <c r="G448" s="17">
        <f>SP!X448</f>
        <v/>
      </c>
      <c r="H448" s="17">
        <f>IF(COUNT(E448:G448)=0,"",ROUND((LARGE(E448:G448,1)+IF(COUNT(E448:G448)&gt;=2,LARGE(E448:G448,2),0))/2,2))</f>
        <v/>
      </c>
      <c r="I448" s="10">
        <f>Ekstra!U448</f>
        <v/>
      </c>
      <c r="J448" s="18">
        <f>IF(B448="","",IF(Murid!F448="TL","TL",IF(H448="","",MIN(100,ROUND(H448+N(I448),2)))))</f>
        <v/>
      </c>
      <c r="K448" s="19">
        <f>IF(J448="","",IF(J448="TL","TL",IF(J448&gt;=80,"A",IF(J448&gt;=60,"B",IF(J448&gt;=40,"C",IF(J448&gt;=20,"D","E"))))))</f>
        <v/>
      </c>
      <c r="L448" s="15">
        <f>IF(K448="","",IF(K448="A","Cemerlang",IF(K448="B","Kepujian",IF(K448="C","Baik",IF(K448="D","Kurang Memuaskan",IF(K448="E","Tidak Memuaskan","Tidak Laksana"))))))</f>
        <v/>
      </c>
    </row>
    <row r="449">
      <c r="A449" s="15">
        <f>Murid!A449</f>
        <v/>
      </c>
      <c r="B449" s="15">
        <f>IF(Murid!B449="","",Murid!B449)</f>
        <v/>
      </c>
      <c r="C449" s="16">
        <f>IF(Murid!C449="","",Murid!C449)</f>
        <v/>
      </c>
      <c r="D449" s="15">
        <f>IF(Murid!E449="","",Murid!E449)</f>
        <v/>
      </c>
      <c r="E449" s="17">
        <f>KP!X449</f>
        <v/>
      </c>
      <c r="F449" s="17">
        <f>UB!X449</f>
        <v/>
      </c>
      <c r="G449" s="17">
        <f>SP!X449</f>
        <v/>
      </c>
      <c r="H449" s="17">
        <f>IF(COUNT(E449:G449)=0,"",ROUND((LARGE(E449:G449,1)+IF(COUNT(E449:G449)&gt;=2,LARGE(E449:G449,2),0))/2,2))</f>
        <v/>
      </c>
      <c r="I449" s="10">
        <f>Ekstra!U449</f>
        <v/>
      </c>
      <c r="J449" s="18">
        <f>IF(B449="","",IF(Murid!F449="TL","TL",IF(H449="","",MIN(100,ROUND(H449+N(I449),2)))))</f>
        <v/>
      </c>
      <c r="K449" s="19">
        <f>IF(J449="","",IF(J449="TL","TL",IF(J449&gt;=80,"A",IF(J449&gt;=60,"B",IF(J449&gt;=40,"C",IF(J449&gt;=20,"D","E"))))))</f>
        <v/>
      </c>
      <c r="L449" s="15">
        <f>IF(K449="","",IF(K449="A","Cemerlang",IF(K449="B","Kepujian",IF(K449="C","Baik",IF(K449="D","Kurang Memuaskan",IF(K449="E","Tidak Memuaskan","Tidak Laksana"))))))</f>
        <v/>
      </c>
    </row>
    <row r="450">
      <c r="A450" s="15">
        <f>Murid!A450</f>
        <v/>
      </c>
      <c r="B450" s="15">
        <f>IF(Murid!B450="","",Murid!B450)</f>
        <v/>
      </c>
      <c r="C450" s="16">
        <f>IF(Murid!C450="","",Murid!C450)</f>
        <v/>
      </c>
      <c r="D450" s="15">
        <f>IF(Murid!E450="","",Murid!E450)</f>
        <v/>
      </c>
      <c r="E450" s="17">
        <f>KP!X450</f>
        <v/>
      </c>
      <c r="F450" s="17">
        <f>UB!X450</f>
        <v/>
      </c>
      <c r="G450" s="17">
        <f>SP!X450</f>
        <v/>
      </c>
      <c r="H450" s="17">
        <f>IF(COUNT(E450:G450)=0,"",ROUND((LARGE(E450:G450,1)+IF(COUNT(E450:G450)&gt;=2,LARGE(E450:G450,2),0))/2,2))</f>
        <v/>
      </c>
      <c r="I450" s="10">
        <f>Ekstra!U450</f>
        <v/>
      </c>
      <c r="J450" s="18">
        <f>IF(B450="","",IF(Murid!F450="TL","TL",IF(H450="","",MIN(100,ROUND(H450+N(I450),2)))))</f>
        <v/>
      </c>
      <c r="K450" s="19">
        <f>IF(J450="","",IF(J450="TL","TL",IF(J450&gt;=80,"A",IF(J450&gt;=60,"B",IF(J450&gt;=40,"C",IF(J450&gt;=20,"D","E"))))))</f>
        <v/>
      </c>
      <c r="L450" s="15">
        <f>IF(K450="","",IF(K450="A","Cemerlang",IF(K450="B","Kepujian",IF(K450="C","Baik",IF(K450="D","Kurang Memuaskan",IF(K450="E","Tidak Memuaskan","Tidak Laksana"))))))</f>
        <v/>
      </c>
    </row>
    <row r="451">
      <c r="A451" s="15">
        <f>Murid!A451</f>
        <v/>
      </c>
      <c r="B451" s="15">
        <f>IF(Murid!B451="","",Murid!B451)</f>
        <v/>
      </c>
      <c r="C451" s="16">
        <f>IF(Murid!C451="","",Murid!C451)</f>
        <v/>
      </c>
      <c r="D451" s="15">
        <f>IF(Murid!E451="","",Murid!E451)</f>
        <v/>
      </c>
      <c r="E451" s="17">
        <f>KP!X451</f>
        <v/>
      </c>
      <c r="F451" s="17">
        <f>UB!X451</f>
        <v/>
      </c>
      <c r="G451" s="17">
        <f>SP!X451</f>
        <v/>
      </c>
      <c r="H451" s="17">
        <f>IF(COUNT(E451:G451)=0,"",ROUND((LARGE(E451:G451,1)+IF(COUNT(E451:G451)&gt;=2,LARGE(E451:G451,2),0))/2,2))</f>
        <v/>
      </c>
      <c r="I451" s="10">
        <f>Ekstra!U451</f>
        <v/>
      </c>
      <c r="J451" s="18">
        <f>IF(B451="","",IF(Murid!F451="TL","TL",IF(H451="","",MIN(100,ROUND(H451+N(I451),2)))))</f>
        <v/>
      </c>
      <c r="K451" s="19">
        <f>IF(J451="","",IF(J451="TL","TL",IF(J451&gt;=80,"A",IF(J451&gt;=60,"B",IF(J451&gt;=40,"C",IF(J451&gt;=20,"D","E"))))))</f>
        <v/>
      </c>
      <c r="L451" s="15">
        <f>IF(K451="","",IF(K451="A","Cemerlang",IF(K451="B","Kepujian",IF(K451="C","Baik",IF(K451="D","Kurang Memuaskan",IF(K451="E","Tidak Memuaskan","Tidak Laksana"))))))</f>
        <v/>
      </c>
    </row>
    <row r="452">
      <c r="A452" s="15">
        <f>Murid!A452</f>
        <v/>
      </c>
      <c r="B452" s="15">
        <f>IF(Murid!B452="","",Murid!B452)</f>
        <v/>
      </c>
      <c r="C452" s="16">
        <f>IF(Murid!C452="","",Murid!C452)</f>
        <v/>
      </c>
      <c r="D452" s="15">
        <f>IF(Murid!E452="","",Murid!E452)</f>
        <v/>
      </c>
      <c r="E452" s="17">
        <f>KP!X452</f>
        <v/>
      </c>
      <c r="F452" s="17">
        <f>UB!X452</f>
        <v/>
      </c>
      <c r="G452" s="17">
        <f>SP!X452</f>
        <v/>
      </c>
      <c r="H452" s="17">
        <f>IF(COUNT(E452:G452)=0,"",ROUND((LARGE(E452:G452,1)+IF(COUNT(E452:G452)&gt;=2,LARGE(E452:G452,2),0))/2,2))</f>
        <v/>
      </c>
      <c r="I452" s="10">
        <f>Ekstra!U452</f>
        <v/>
      </c>
      <c r="J452" s="18">
        <f>IF(B452="","",IF(Murid!F452="TL","TL",IF(H452="","",MIN(100,ROUND(H452+N(I452),2)))))</f>
        <v/>
      </c>
      <c r="K452" s="19">
        <f>IF(J452="","",IF(J452="TL","TL",IF(J452&gt;=80,"A",IF(J452&gt;=60,"B",IF(J452&gt;=40,"C",IF(J452&gt;=20,"D","E"))))))</f>
        <v/>
      </c>
      <c r="L452" s="15">
        <f>IF(K452="","",IF(K452="A","Cemerlang",IF(K452="B","Kepujian",IF(K452="C","Baik",IF(K452="D","Kurang Memuaskan",IF(K452="E","Tidak Memuaskan","Tidak Laksana"))))))</f>
        <v/>
      </c>
    </row>
    <row r="453">
      <c r="A453" s="15">
        <f>Murid!A453</f>
        <v/>
      </c>
      <c r="B453" s="15">
        <f>IF(Murid!B453="","",Murid!B453)</f>
        <v/>
      </c>
      <c r="C453" s="16">
        <f>IF(Murid!C453="","",Murid!C453)</f>
        <v/>
      </c>
      <c r="D453" s="15">
        <f>IF(Murid!E453="","",Murid!E453)</f>
        <v/>
      </c>
      <c r="E453" s="17">
        <f>KP!X453</f>
        <v/>
      </c>
      <c r="F453" s="17">
        <f>UB!X453</f>
        <v/>
      </c>
      <c r="G453" s="17">
        <f>SP!X453</f>
        <v/>
      </c>
      <c r="H453" s="17">
        <f>IF(COUNT(E453:G453)=0,"",ROUND((LARGE(E453:G453,1)+IF(COUNT(E453:G453)&gt;=2,LARGE(E453:G453,2),0))/2,2))</f>
        <v/>
      </c>
      <c r="I453" s="10">
        <f>Ekstra!U453</f>
        <v/>
      </c>
      <c r="J453" s="18">
        <f>IF(B453="","",IF(Murid!F453="TL","TL",IF(H453="","",MIN(100,ROUND(H453+N(I453),2)))))</f>
        <v/>
      </c>
      <c r="K453" s="19">
        <f>IF(J453="","",IF(J453="TL","TL",IF(J453&gt;=80,"A",IF(J453&gt;=60,"B",IF(J453&gt;=40,"C",IF(J453&gt;=20,"D","E"))))))</f>
        <v/>
      </c>
      <c r="L453" s="15">
        <f>IF(K453="","",IF(K453="A","Cemerlang",IF(K453="B","Kepujian",IF(K453="C","Baik",IF(K453="D","Kurang Memuaskan",IF(K453="E","Tidak Memuaskan","Tidak Laksana"))))))</f>
        <v/>
      </c>
    </row>
    <row r="454">
      <c r="A454" s="15">
        <f>Murid!A454</f>
        <v/>
      </c>
      <c r="B454" s="15">
        <f>IF(Murid!B454="","",Murid!B454)</f>
        <v/>
      </c>
      <c r="C454" s="16">
        <f>IF(Murid!C454="","",Murid!C454)</f>
        <v/>
      </c>
      <c r="D454" s="15">
        <f>IF(Murid!E454="","",Murid!E454)</f>
        <v/>
      </c>
      <c r="E454" s="17">
        <f>KP!X454</f>
        <v/>
      </c>
      <c r="F454" s="17">
        <f>UB!X454</f>
        <v/>
      </c>
      <c r="G454" s="17">
        <f>SP!X454</f>
        <v/>
      </c>
      <c r="H454" s="17">
        <f>IF(COUNT(E454:G454)=0,"",ROUND((LARGE(E454:G454,1)+IF(COUNT(E454:G454)&gt;=2,LARGE(E454:G454,2),0))/2,2))</f>
        <v/>
      </c>
      <c r="I454" s="10">
        <f>Ekstra!U454</f>
        <v/>
      </c>
      <c r="J454" s="18">
        <f>IF(B454="","",IF(Murid!F454="TL","TL",IF(H454="","",MIN(100,ROUND(H454+N(I454),2)))))</f>
        <v/>
      </c>
      <c r="K454" s="19">
        <f>IF(J454="","",IF(J454="TL","TL",IF(J454&gt;=80,"A",IF(J454&gt;=60,"B",IF(J454&gt;=40,"C",IF(J454&gt;=20,"D","E"))))))</f>
        <v/>
      </c>
      <c r="L454" s="15">
        <f>IF(K454="","",IF(K454="A","Cemerlang",IF(K454="B","Kepujian",IF(K454="C","Baik",IF(K454="D","Kurang Memuaskan",IF(K454="E","Tidak Memuaskan","Tidak Laksana"))))))</f>
        <v/>
      </c>
    </row>
    <row r="455">
      <c r="A455" s="15">
        <f>Murid!A455</f>
        <v/>
      </c>
      <c r="B455" s="15">
        <f>IF(Murid!B455="","",Murid!B455)</f>
        <v/>
      </c>
      <c r="C455" s="16">
        <f>IF(Murid!C455="","",Murid!C455)</f>
        <v/>
      </c>
      <c r="D455" s="15">
        <f>IF(Murid!E455="","",Murid!E455)</f>
        <v/>
      </c>
      <c r="E455" s="17">
        <f>KP!X455</f>
        <v/>
      </c>
      <c r="F455" s="17">
        <f>UB!X455</f>
        <v/>
      </c>
      <c r="G455" s="17">
        <f>SP!X455</f>
        <v/>
      </c>
      <c r="H455" s="17">
        <f>IF(COUNT(E455:G455)=0,"",ROUND((LARGE(E455:G455,1)+IF(COUNT(E455:G455)&gt;=2,LARGE(E455:G455,2),0))/2,2))</f>
        <v/>
      </c>
      <c r="I455" s="10">
        <f>Ekstra!U455</f>
        <v/>
      </c>
      <c r="J455" s="18">
        <f>IF(B455="","",IF(Murid!F455="TL","TL",IF(H455="","",MIN(100,ROUND(H455+N(I455),2)))))</f>
        <v/>
      </c>
      <c r="K455" s="19">
        <f>IF(J455="","",IF(J455="TL","TL",IF(J455&gt;=80,"A",IF(J455&gt;=60,"B",IF(J455&gt;=40,"C",IF(J455&gt;=20,"D","E"))))))</f>
        <v/>
      </c>
      <c r="L455" s="15">
        <f>IF(K455="","",IF(K455="A","Cemerlang",IF(K455="B","Kepujian",IF(K455="C","Baik",IF(K455="D","Kurang Memuaskan",IF(K455="E","Tidak Memuaskan","Tidak Laksana"))))))</f>
        <v/>
      </c>
    </row>
    <row r="456">
      <c r="A456" s="15">
        <f>Murid!A456</f>
        <v/>
      </c>
      <c r="B456" s="15">
        <f>IF(Murid!B456="","",Murid!B456)</f>
        <v/>
      </c>
      <c r="C456" s="16">
        <f>IF(Murid!C456="","",Murid!C456)</f>
        <v/>
      </c>
      <c r="D456" s="15">
        <f>IF(Murid!E456="","",Murid!E456)</f>
        <v/>
      </c>
      <c r="E456" s="17">
        <f>KP!X456</f>
        <v/>
      </c>
      <c r="F456" s="17">
        <f>UB!X456</f>
        <v/>
      </c>
      <c r="G456" s="17">
        <f>SP!X456</f>
        <v/>
      </c>
      <c r="H456" s="17">
        <f>IF(COUNT(E456:G456)=0,"",ROUND((LARGE(E456:G456,1)+IF(COUNT(E456:G456)&gt;=2,LARGE(E456:G456,2),0))/2,2))</f>
        <v/>
      </c>
      <c r="I456" s="10">
        <f>Ekstra!U456</f>
        <v/>
      </c>
      <c r="J456" s="18">
        <f>IF(B456="","",IF(Murid!F456="TL","TL",IF(H456="","",MIN(100,ROUND(H456+N(I456),2)))))</f>
        <v/>
      </c>
      <c r="K456" s="19">
        <f>IF(J456="","",IF(J456="TL","TL",IF(J456&gt;=80,"A",IF(J456&gt;=60,"B",IF(J456&gt;=40,"C",IF(J456&gt;=20,"D","E"))))))</f>
        <v/>
      </c>
      <c r="L456" s="15">
        <f>IF(K456="","",IF(K456="A","Cemerlang",IF(K456="B","Kepujian",IF(K456="C","Baik",IF(K456="D","Kurang Memuaskan",IF(K456="E","Tidak Memuaskan","Tidak Laksana"))))))</f>
        <v/>
      </c>
    </row>
    <row r="457">
      <c r="A457" s="15">
        <f>Murid!A457</f>
        <v/>
      </c>
      <c r="B457" s="15">
        <f>IF(Murid!B457="","",Murid!B457)</f>
        <v/>
      </c>
      <c r="C457" s="16">
        <f>IF(Murid!C457="","",Murid!C457)</f>
        <v/>
      </c>
      <c r="D457" s="15">
        <f>IF(Murid!E457="","",Murid!E457)</f>
        <v/>
      </c>
      <c r="E457" s="17">
        <f>KP!X457</f>
        <v/>
      </c>
      <c r="F457" s="17">
        <f>UB!X457</f>
        <v/>
      </c>
      <c r="G457" s="17">
        <f>SP!X457</f>
        <v/>
      </c>
      <c r="H457" s="17">
        <f>IF(COUNT(E457:G457)=0,"",ROUND((LARGE(E457:G457,1)+IF(COUNT(E457:G457)&gt;=2,LARGE(E457:G457,2),0))/2,2))</f>
        <v/>
      </c>
      <c r="I457" s="10">
        <f>Ekstra!U457</f>
        <v/>
      </c>
      <c r="J457" s="18">
        <f>IF(B457="","",IF(Murid!F457="TL","TL",IF(H457="","",MIN(100,ROUND(H457+N(I457),2)))))</f>
        <v/>
      </c>
      <c r="K457" s="19">
        <f>IF(J457="","",IF(J457="TL","TL",IF(J457&gt;=80,"A",IF(J457&gt;=60,"B",IF(J457&gt;=40,"C",IF(J457&gt;=20,"D","E"))))))</f>
        <v/>
      </c>
      <c r="L457" s="15">
        <f>IF(K457="","",IF(K457="A","Cemerlang",IF(K457="B","Kepujian",IF(K457="C","Baik",IF(K457="D","Kurang Memuaskan",IF(K457="E","Tidak Memuaskan","Tidak Laksana"))))))</f>
        <v/>
      </c>
    </row>
    <row r="458">
      <c r="A458" s="15">
        <f>Murid!A458</f>
        <v/>
      </c>
      <c r="B458" s="15">
        <f>IF(Murid!B458="","",Murid!B458)</f>
        <v/>
      </c>
      <c r="C458" s="16">
        <f>IF(Murid!C458="","",Murid!C458)</f>
        <v/>
      </c>
      <c r="D458" s="15">
        <f>IF(Murid!E458="","",Murid!E458)</f>
        <v/>
      </c>
      <c r="E458" s="17">
        <f>KP!X458</f>
        <v/>
      </c>
      <c r="F458" s="17">
        <f>UB!X458</f>
        <v/>
      </c>
      <c r="G458" s="17">
        <f>SP!X458</f>
        <v/>
      </c>
      <c r="H458" s="17">
        <f>IF(COUNT(E458:G458)=0,"",ROUND((LARGE(E458:G458,1)+IF(COUNT(E458:G458)&gt;=2,LARGE(E458:G458,2),0))/2,2))</f>
        <v/>
      </c>
      <c r="I458" s="10">
        <f>Ekstra!U458</f>
        <v/>
      </c>
      <c r="J458" s="18">
        <f>IF(B458="","",IF(Murid!F458="TL","TL",IF(H458="","",MIN(100,ROUND(H458+N(I458),2)))))</f>
        <v/>
      </c>
      <c r="K458" s="19">
        <f>IF(J458="","",IF(J458="TL","TL",IF(J458&gt;=80,"A",IF(J458&gt;=60,"B",IF(J458&gt;=40,"C",IF(J458&gt;=20,"D","E"))))))</f>
        <v/>
      </c>
      <c r="L458" s="15">
        <f>IF(K458="","",IF(K458="A","Cemerlang",IF(K458="B","Kepujian",IF(K458="C","Baik",IF(K458="D","Kurang Memuaskan",IF(K458="E","Tidak Memuaskan","Tidak Laksana"))))))</f>
        <v/>
      </c>
    </row>
    <row r="459">
      <c r="A459" s="15">
        <f>Murid!A459</f>
        <v/>
      </c>
      <c r="B459" s="15">
        <f>IF(Murid!B459="","",Murid!B459)</f>
        <v/>
      </c>
      <c r="C459" s="16">
        <f>IF(Murid!C459="","",Murid!C459)</f>
        <v/>
      </c>
      <c r="D459" s="15">
        <f>IF(Murid!E459="","",Murid!E459)</f>
        <v/>
      </c>
      <c r="E459" s="17">
        <f>KP!X459</f>
        <v/>
      </c>
      <c r="F459" s="17">
        <f>UB!X459</f>
        <v/>
      </c>
      <c r="G459" s="17">
        <f>SP!X459</f>
        <v/>
      </c>
      <c r="H459" s="17">
        <f>IF(COUNT(E459:G459)=0,"",ROUND((LARGE(E459:G459,1)+IF(COUNT(E459:G459)&gt;=2,LARGE(E459:G459,2),0))/2,2))</f>
        <v/>
      </c>
      <c r="I459" s="10">
        <f>Ekstra!U459</f>
        <v/>
      </c>
      <c r="J459" s="18">
        <f>IF(B459="","",IF(Murid!F459="TL","TL",IF(H459="","",MIN(100,ROUND(H459+N(I459),2)))))</f>
        <v/>
      </c>
      <c r="K459" s="19">
        <f>IF(J459="","",IF(J459="TL","TL",IF(J459&gt;=80,"A",IF(J459&gt;=60,"B",IF(J459&gt;=40,"C",IF(J459&gt;=20,"D","E"))))))</f>
        <v/>
      </c>
      <c r="L459" s="15">
        <f>IF(K459="","",IF(K459="A","Cemerlang",IF(K459="B","Kepujian",IF(K459="C","Baik",IF(K459="D","Kurang Memuaskan",IF(K459="E","Tidak Memuaskan","Tidak Laksana"))))))</f>
        <v/>
      </c>
    </row>
    <row r="460">
      <c r="A460" s="15">
        <f>Murid!A460</f>
        <v/>
      </c>
      <c r="B460" s="15">
        <f>IF(Murid!B460="","",Murid!B460)</f>
        <v/>
      </c>
      <c r="C460" s="16">
        <f>IF(Murid!C460="","",Murid!C460)</f>
        <v/>
      </c>
      <c r="D460" s="15">
        <f>IF(Murid!E460="","",Murid!E460)</f>
        <v/>
      </c>
      <c r="E460" s="17">
        <f>KP!X460</f>
        <v/>
      </c>
      <c r="F460" s="17">
        <f>UB!X460</f>
        <v/>
      </c>
      <c r="G460" s="17">
        <f>SP!X460</f>
        <v/>
      </c>
      <c r="H460" s="17">
        <f>IF(COUNT(E460:G460)=0,"",ROUND((LARGE(E460:G460,1)+IF(COUNT(E460:G460)&gt;=2,LARGE(E460:G460,2),0))/2,2))</f>
        <v/>
      </c>
      <c r="I460" s="10">
        <f>Ekstra!U460</f>
        <v/>
      </c>
      <c r="J460" s="18">
        <f>IF(B460="","",IF(Murid!F460="TL","TL",IF(H460="","",MIN(100,ROUND(H460+N(I460),2)))))</f>
        <v/>
      </c>
      <c r="K460" s="19">
        <f>IF(J460="","",IF(J460="TL","TL",IF(J460&gt;=80,"A",IF(J460&gt;=60,"B",IF(J460&gt;=40,"C",IF(J460&gt;=20,"D","E"))))))</f>
        <v/>
      </c>
      <c r="L460" s="15">
        <f>IF(K460="","",IF(K460="A","Cemerlang",IF(K460="B","Kepujian",IF(K460="C","Baik",IF(K460="D","Kurang Memuaskan",IF(K460="E","Tidak Memuaskan","Tidak Laksana"))))))</f>
        <v/>
      </c>
    </row>
    <row r="461">
      <c r="A461" s="15">
        <f>Murid!A461</f>
        <v/>
      </c>
      <c r="B461" s="15">
        <f>IF(Murid!B461="","",Murid!B461)</f>
        <v/>
      </c>
      <c r="C461" s="16">
        <f>IF(Murid!C461="","",Murid!C461)</f>
        <v/>
      </c>
      <c r="D461" s="15">
        <f>IF(Murid!E461="","",Murid!E461)</f>
        <v/>
      </c>
      <c r="E461" s="17">
        <f>KP!X461</f>
        <v/>
      </c>
      <c r="F461" s="17">
        <f>UB!X461</f>
        <v/>
      </c>
      <c r="G461" s="17">
        <f>SP!X461</f>
        <v/>
      </c>
      <c r="H461" s="17">
        <f>IF(COUNT(E461:G461)=0,"",ROUND((LARGE(E461:G461,1)+IF(COUNT(E461:G461)&gt;=2,LARGE(E461:G461,2),0))/2,2))</f>
        <v/>
      </c>
      <c r="I461" s="10">
        <f>Ekstra!U461</f>
        <v/>
      </c>
      <c r="J461" s="18">
        <f>IF(B461="","",IF(Murid!F461="TL","TL",IF(H461="","",MIN(100,ROUND(H461+N(I461),2)))))</f>
        <v/>
      </c>
      <c r="K461" s="19">
        <f>IF(J461="","",IF(J461="TL","TL",IF(J461&gt;=80,"A",IF(J461&gt;=60,"B",IF(J461&gt;=40,"C",IF(J461&gt;=20,"D","E"))))))</f>
        <v/>
      </c>
      <c r="L461" s="15">
        <f>IF(K461="","",IF(K461="A","Cemerlang",IF(K461="B","Kepujian",IF(K461="C","Baik",IF(K461="D","Kurang Memuaskan",IF(K461="E","Tidak Memuaskan","Tidak Laksana"))))))</f>
        <v/>
      </c>
    </row>
    <row r="462">
      <c r="A462" s="15">
        <f>Murid!A462</f>
        <v/>
      </c>
      <c r="B462" s="15">
        <f>IF(Murid!B462="","",Murid!B462)</f>
        <v/>
      </c>
      <c r="C462" s="16">
        <f>IF(Murid!C462="","",Murid!C462)</f>
        <v/>
      </c>
      <c r="D462" s="15">
        <f>IF(Murid!E462="","",Murid!E462)</f>
        <v/>
      </c>
      <c r="E462" s="17">
        <f>KP!X462</f>
        <v/>
      </c>
      <c r="F462" s="17">
        <f>UB!X462</f>
        <v/>
      </c>
      <c r="G462" s="17">
        <f>SP!X462</f>
        <v/>
      </c>
      <c r="H462" s="17">
        <f>IF(COUNT(E462:G462)=0,"",ROUND((LARGE(E462:G462,1)+IF(COUNT(E462:G462)&gt;=2,LARGE(E462:G462,2),0))/2,2))</f>
        <v/>
      </c>
      <c r="I462" s="10">
        <f>Ekstra!U462</f>
        <v/>
      </c>
      <c r="J462" s="18">
        <f>IF(B462="","",IF(Murid!F462="TL","TL",IF(H462="","",MIN(100,ROUND(H462+N(I462),2)))))</f>
        <v/>
      </c>
      <c r="K462" s="19">
        <f>IF(J462="","",IF(J462="TL","TL",IF(J462&gt;=80,"A",IF(J462&gt;=60,"B",IF(J462&gt;=40,"C",IF(J462&gt;=20,"D","E"))))))</f>
        <v/>
      </c>
      <c r="L462" s="15">
        <f>IF(K462="","",IF(K462="A","Cemerlang",IF(K462="B","Kepujian",IF(K462="C","Baik",IF(K462="D","Kurang Memuaskan",IF(K462="E","Tidak Memuaskan","Tidak Laksana"))))))</f>
        <v/>
      </c>
    </row>
    <row r="463">
      <c r="A463" s="15">
        <f>Murid!A463</f>
        <v/>
      </c>
      <c r="B463" s="15">
        <f>IF(Murid!B463="","",Murid!B463)</f>
        <v/>
      </c>
      <c r="C463" s="16">
        <f>IF(Murid!C463="","",Murid!C463)</f>
        <v/>
      </c>
      <c r="D463" s="15">
        <f>IF(Murid!E463="","",Murid!E463)</f>
        <v/>
      </c>
      <c r="E463" s="17">
        <f>KP!X463</f>
        <v/>
      </c>
      <c r="F463" s="17">
        <f>UB!X463</f>
        <v/>
      </c>
      <c r="G463" s="17">
        <f>SP!X463</f>
        <v/>
      </c>
      <c r="H463" s="17">
        <f>IF(COUNT(E463:G463)=0,"",ROUND((LARGE(E463:G463,1)+IF(COUNT(E463:G463)&gt;=2,LARGE(E463:G463,2),0))/2,2))</f>
        <v/>
      </c>
      <c r="I463" s="10">
        <f>Ekstra!U463</f>
        <v/>
      </c>
      <c r="J463" s="18">
        <f>IF(B463="","",IF(Murid!F463="TL","TL",IF(H463="","",MIN(100,ROUND(H463+N(I463),2)))))</f>
        <v/>
      </c>
      <c r="K463" s="19">
        <f>IF(J463="","",IF(J463="TL","TL",IF(J463&gt;=80,"A",IF(J463&gt;=60,"B",IF(J463&gt;=40,"C",IF(J463&gt;=20,"D","E"))))))</f>
        <v/>
      </c>
      <c r="L463" s="15">
        <f>IF(K463="","",IF(K463="A","Cemerlang",IF(K463="B","Kepujian",IF(K463="C","Baik",IF(K463="D","Kurang Memuaskan",IF(K463="E","Tidak Memuaskan","Tidak Laksana"))))))</f>
        <v/>
      </c>
    </row>
    <row r="464">
      <c r="A464" s="15">
        <f>Murid!A464</f>
        <v/>
      </c>
      <c r="B464" s="15">
        <f>IF(Murid!B464="","",Murid!B464)</f>
        <v/>
      </c>
      <c r="C464" s="16">
        <f>IF(Murid!C464="","",Murid!C464)</f>
        <v/>
      </c>
      <c r="D464" s="15">
        <f>IF(Murid!E464="","",Murid!E464)</f>
        <v/>
      </c>
      <c r="E464" s="17">
        <f>KP!X464</f>
        <v/>
      </c>
      <c r="F464" s="17">
        <f>UB!X464</f>
        <v/>
      </c>
      <c r="G464" s="17">
        <f>SP!X464</f>
        <v/>
      </c>
      <c r="H464" s="17">
        <f>IF(COUNT(E464:G464)=0,"",ROUND((LARGE(E464:G464,1)+IF(COUNT(E464:G464)&gt;=2,LARGE(E464:G464,2),0))/2,2))</f>
        <v/>
      </c>
      <c r="I464" s="10">
        <f>Ekstra!U464</f>
        <v/>
      </c>
      <c r="J464" s="18">
        <f>IF(B464="","",IF(Murid!F464="TL","TL",IF(H464="","",MIN(100,ROUND(H464+N(I464),2)))))</f>
        <v/>
      </c>
      <c r="K464" s="19">
        <f>IF(J464="","",IF(J464="TL","TL",IF(J464&gt;=80,"A",IF(J464&gt;=60,"B",IF(J464&gt;=40,"C",IF(J464&gt;=20,"D","E"))))))</f>
        <v/>
      </c>
      <c r="L464" s="15">
        <f>IF(K464="","",IF(K464="A","Cemerlang",IF(K464="B","Kepujian",IF(K464="C","Baik",IF(K464="D","Kurang Memuaskan",IF(K464="E","Tidak Memuaskan","Tidak Laksana"))))))</f>
        <v/>
      </c>
    </row>
    <row r="465">
      <c r="A465" s="15">
        <f>Murid!A465</f>
        <v/>
      </c>
      <c r="B465" s="15">
        <f>IF(Murid!B465="","",Murid!B465)</f>
        <v/>
      </c>
      <c r="C465" s="16">
        <f>IF(Murid!C465="","",Murid!C465)</f>
        <v/>
      </c>
      <c r="D465" s="15">
        <f>IF(Murid!E465="","",Murid!E465)</f>
        <v/>
      </c>
      <c r="E465" s="17">
        <f>KP!X465</f>
        <v/>
      </c>
      <c r="F465" s="17">
        <f>UB!X465</f>
        <v/>
      </c>
      <c r="G465" s="17">
        <f>SP!X465</f>
        <v/>
      </c>
      <c r="H465" s="17">
        <f>IF(COUNT(E465:G465)=0,"",ROUND((LARGE(E465:G465,1)+IF(COUNT(E465:G465)&gt;=2,LARGE(E465:G465,2),0))/2,2))</f>
        <v/>
      </c>
      <c r="I465" s="10">
        <f>Ekstra!U465</f>
        <v/>
      </c>
      <c r="J465" s="18">
        <f>IF(B465="","",IF(Murid!F465="TL","TL",IF(H465="","",MIN(100,ROUND(H465+N(I465),2)))))</f>
        <v/>
      </c>
      <c r="K465" s="19">
        <f>IF(J465="","",IF(J465="TL","TL",IF(J465&gt;=80,"A",IF(J465&gt;=60,"B",IF(J465&gt;=40,"C",IF(J465&gt;=20,"D","E"))))))</f>
        <v/>
      </c>
      <c r="L465" s="15">
        <f>IF(K465="","",IF(K465="A","Cemerlang",IF(K465="B","Kepujian",IF(K465="C","Baik",IF(K465="D","Kurang Memuaskan",IF(K465="E","Tidak Memuaskan","Tidak Laksana"))))))</f>
        <v/>
      </c>
    </row>
    <row r="466">
      <c r="A466" s="15">
        <f>Murid!A466</f>
        <v/>
      </c>
      <c r="B466" s="15">
        <f>IF(Murid!B466="","",Murid!B466)</f>
        <v/>
      </c>
      <c r="C466" s="16">
        <f>IF(Murid!C466="","",Murid!C466)</f>
        <v/>
      </c>
      <c r="D466" s="15">
        <f>IF(Murid!E466="","",Murid!E466)</f>
        <v/>
      </c>
      <c r="E466" s="17">
        <f>KP!X466</f>
        <v/>
      </c>
      <c r="F466" s="17">
        <f>UB!X466</f>
        <v/>
      </c>
      <c r="G466" s="17">
        <f>SP!X466</f>
        <v/>
      </c>
      <c r="H466" s="17">
        <f>IF(COUNT(E466:G466)=0,"",ROUND((LARGE(E466:G466,1)+IF(COUNT(E466:G466)&gt;=2,LARGE(E466:G466,2),0))/2,2))</f>
        <v/>
      </c>
      <c r="I466" s="10">
        <f>Ekstra!U466</f>
        <v/>
      </c>
      <c r="J466" s="18">
        <f>IF(B466="","",IF(Murid!F466="TL","TL",IF(H466="","",MIN(100,ROUND(H466+N(I466),2)))))</f>
        <v/>
      </c>
      <c r="K466" s="19">
        <f>IF(J466="","",IF(J466="TL","TL",IF(J466&gt;=80,"A",IF(J466&gt;=60,"B",IF(J466&gt;=40,"C",IF(J466&gt;=20,"D","E"))))))</f>
        <v/>
      </c>
      <c r="L466" s="15">
        <f>IF(K466="","",IF(K466="A","Cemerlang",IF(K466="B","Kepujian",IF(K466="C","Baik",IF(K466="D","Kurang Memuaskan",IF(K466="E","Tidak Memuaskan","Tidak Laksana"))))))</f>
        <v/>
      </c>
    </row>
    <row r="467">
      <c r="A467" s="15">
        <f>Murid!A467</f>
        <v/>
      </c>
      <c r="B467" s="15">
        <f>IF(Murid!B467="","",Murid!B467)</f>
        <v/>
      </c>
      <c r="C467" s="16">
        <f>IF(Murid!C467="","",Murid!C467)</f>
        <v/>
      </c>
      <c r="D467" s="15">
        <f>IF(Murid!E467="","",Murid!E467)</f>
        <v/>
      </c>
      <c r="E467" s="17">
        <f>KP!X467</f>
        <v/>
      </c>
      <c r="F467" s="17">
        <f>UB!X467</f>
        <v/>
      </c>
      <c r="G467" s="17">
        <f>SP!X467</f>
        <v/>
      </c>
      <c r="H467" s="17">
        <f>IF(COUNT(E467:G467)=0,"",ROUND((LARGE(E467:G467,1)+IF(COUNT(E467:G467)&gt;=2,LARGE(E467:G467,2),0))/2,2))</f>
        <v/>
      </c>
      <c r="I467" s="10">
        <f>Ekstra!U467</f>
        <v/>
      </c>
      <c r="J467" s="18">
        <f>IF(B467="","",IF(Murid!F467="TL","TL",IF(H467="","",MIN(100,ROUND(H467+N(I467),2)))))</f>
        <v/>
      </c>
      <c r="K467" s="19">
        <f>IF(J467="","",IF(J467="TL","TL",IF(J467&gt;=80,"A",IF(J467&gt;=60,"B",IF(J467&gt;=40,"C",IF(J467&gt;=20,"D","E"))))))</f>
        <v/>
      </c>
      <c r="L467" s="15">
        <f>IF(K467="","",IF(K467="A","Cemerlang",IF(K467="B","Kepujian",IF(K467="C","Baik",IF(K467="D","Kurang Memuaskan",IF(K467="E","Tidak Memuaskan","Tidak Laksana"))))))</f>
        <v/>
      </c>
    </row>
    <row r="468">
      <c r="A468" s="15">
        <f>Murid!A468</f>
        <v/>
      </c>
      <c r="B468" s="15">
        <f>IF(Murid!B468="","",Murid!B468)</f>
        <v/>
      </c>
      <c r="C468" s="16">
        <f>IF(Murid!C468="","",Murid!C468)</f>
        <v/>
      </c>
      <c r="D468" s="15">
        <f>IF(Murid!E468="","",Murid!E468)</f>
        <v/>
      </c>
      <c r="E468" s="17">
        <f>KP!X468</f>
        <v/>
      </c>
      <c r="F468" s="17">
        <f>UB!X468</f>
        <v/>
      </c>
      <c r="G468" s="17">
        <f>SP!X468</f>
        <v/>
      </c>
      <c r="H468" s="17">
        <f>IF(COUNT(E468:G468)=0,"",ROUND((LARGE(E468:G468,1)+IF(COUNT(E468:G468)&gt;=2,LARGE(E468:G468,2),0))/2,2))</f>
        <v/>
      </c>
      <c r="I468" s="10">
        <f>Ekstra!U468</f>
        <v/>
      </c>
      <c r="J468" s="18">
        <f>IF(B468="","",IF(Murid!F468="TL","TL",IF(H468="","",MIN(100,ROUND(H468+N(I468),2)))))</f>
        <v/>
      </c>
      <c r="K468" s="19">
        <f>IF(J468="","",IF(J468="TL","TL",IF(J468&gt;=80,"A",IF(J468&gt;=60,"B",IF(J468&gt;=40,"C",IF(J468&gt;=20,"D","E"))))))</f>
        <v/>
      </c>
      <c r="L468" s="15">
        <f>IF(K468="","",IF(K468="A","Cemerlang",IF(K468="B","Kepujian",IF(K468="C","Baik",IF(K468="D","Kurang Memuaskan",IF(K468="E","Tidak Memuaskan","Tidak Laksana"))))))</f>
        <v/>
      </c>
    </row>
    <row r="469">
      <c r="A469" s="15">
        <f>Murid!A469</f>
        <v/>
      </c>
      <c r="B469" s="15">
        <f>IF(Murid!B469="","",Murid!B469)</f>
        <v/>
      </c>
      <c r="C469" s="16">
        <f>IF(Murid!C469="","",Murid!C469)</f>
        <v/>
      </c>
      <c r="D469" s="15">
        <f>IF(Murid!E469="","",Murid!E469)</f>
        <v/>
      </c>
      <c r="E469" s="17">
        <f>KP!X469</f>
        <v/>
      </c>
      <c r="F469" s="17">
        <f>UB!X469</f>
        <v/>
      </c>
      <c r="G469" s="17">
        <f>SP!X469</f>
        <v/>
      </c>
      <c r="H469" s="17">
        <f>IF(COUNT(E469:G469)=0,"",ROUND((LARGE(E469:G469,1)+IF(COUNT(E469:G469)&gt;=2,LARGE(E469:G469,2),0))/2,2))</f>
        <v/>
      </c>
      <c r="I469" s="10">
        <f>Ekstra!U469</f>
        <v/>
      </c>
      <c r="J469" s="18">
        <f>IF(B469="","",IF(Murid!F469="TL","TL",IF(H469="","",MIN(100,ROUND(H469+N(I469),2)))))</f>
        <v/>
      </c>
      <c r="K469" s="19">
        <f>IF(J469="","",IF(J469="TL","TL",IF(J469&gt;=80,"A",IF(J469&gt;=60,"B",IF(J469&gt;=40,"C",IF(J469&gt;=20,"D","E"))))))</f>
        <v/>
      </c>
      <c r="L469" s="15">
        <f>IF(K469="","",IF(K469="A","Cemerlang",IF(K469="B","Kepujian",IF(K469="C","Baik",IF(K469="D","Kurang Memuaskan",IF(K469="E","Tidak Memuaskan","Tidak Laksana"))))))</f>
        <v/>
      </c>
    </row>
    <row r="470">
      <c r="A470" s="15">
        <f>Murid!A470</f>
        <v/>
      </c>
      <c r="B470" s="15">
        <f>IF(Murid!B470="","",Murid!B470)</f>
        <v/>
      </c>
      <c r="C470" s="16">
        <f>IF(Murid!C470="","",Murid!C470)</f>
        <v/>
      </c>
      <c r="D470" s="15">
        <f>IF(Murid!E470="","",Murid!E470)</f>
        <v/>
      </c>
      <c r="E470" s="17">
        <f>KP!X470</f>
        <v/>
      </c>
      <c r="F470" s="17">
        <f>UB!X470</f>
        <v/>
      </c>
      <c r="G470" s="17">
        <f>SP!X470</f>
        <v/>
      </c>
      <c r="H470" s="17">
        <f>IF(COUNT(E470:G470)=0,"",ROUND((LARGE(E470:G470,1)+IF(COUNT(E470:G470)&gt;=2,LARGE(E470:G470,2),0))/2,2))</f>
        <v/>
      </c>
      <c r="I470" s="10">
        <f>Ekstra!U470</f>
        <v/>
      </c>
      <c r="J470" s="18">
        <f>IF(B470="","",IF(Murid!F470="TL","TL",IF(H470="","",MIN(100,ROUND(H470+N(I470),2)))))</f>
        <v/>
      </c>
      <c r="K470" s="19">
        <f>IF(J470="","",IF(J470="TL","TL",IF(J470&gt;=80,"A",IF(J470&gt;=60,"B",IF(J470&gt;=40,"C",IF(J470&gt;=20,"D","E"))))))</f>
        <v/>
      </c>
      <c r="L470" s="15">
        <f>IF(K470="","",IF(K470="A","Cemerlang",IF(K470="B","Kepujian",IF(K470="C","Baik",IF(K470="D","Kurang Memuaskan",IF(K470="E","Tidak Memuaskan","Tidak Laksana"))))))</f>
        <v/>
      </c>
    </row>
    <row r="471">
      <c r="A471" s="15">
        <f>Murid!A471</f>
        <v/>
      </c>
      <c r="B471" s="15">
        <f>IF(Murid!B471="","",Murid!B471)</f>
        <v/>
      </c>
      <c r="C471" s="16">
        <f>IF(Murid!C471="","",Murid!C471)</f>
        <v/>
      </c>
      <c r="D471" s="15">
        <f>IF(Murid!E471="","",Murid!E471)</f>
        <v/>
      </c>
      <c r="E471" s="17">
        <f>KP!X471</f>
        <v/>
      </c>
      <c r="F471" s="17">
        <f>UB!X471</f>
        <v/>
      </c>
      <c r="G471" s="17">
        <f>SP!X471</f>
        <v/>
      </c>
      <c r="H471" s="17">
        <f>IF(COUNT(E471:G471)=0,"",ROUND((LARGE(E471:G471,1)+IF(COUNT(E471:G471)&gt;=2,LARGE(E471:G471,2),0))/2,2))</f>
        <v/>
      </c>
      <c r="I471" s="10">
        <f>Ekstra!U471</f>
        <v/>
      </c>
      <c r="J471" s="18">
        <f>IF(B471="","",IF(Murid!F471="TL","TL",IF(H471="","",MIN(100,ROUND(H471+N(I471),2)))))</f>
        <v/>
      </c>
      <c r="K471" s="19">
        <f>IF(J471="","",IF(J471="TL","TL",IF(J471&gt;=80,"A",IF(J471&gt;=60,"B",IF(J471&gt;=40,"C",IF(J471&gt;=20,"D","E"))))))</f>
        <v/>
      </c>
      <c r="L471" s="15">
        <f>IF(K471="","",IF(K471="A","Cemerlang",IF(K471="B","Kepujian",IF(K471="C","Baik",IF(K471="D","Kurang Memuaskan",IF(K471="E","Tidak Memuaskan","Tidak Laksana"))))))</f>
        <v/>
      </c>
    </row>
    <row r="472">
      <c r="A472" s="15">
        <f>Murid!A472</f>
        <v/>
      </c>
      <c r="B472" s="15">
        <f>IF(Murid!B472="","",Murid!B472)</f>
        <v/>
      </c>
      <c r="C472" s="16">
        <f>IF(Murid!C472="","",Murid!C472)</f>
        <v/>
      </c>
      <c r="D472" s="15">
        <f>IF(Murid!E472="","",Murid!E472)</f>
        <v/>
      </c>
      <c r="E472" s="17">
        <f>KP!X472</f>
        <v/>
      </c>
      <c r="F472" s="17">
        <f>UB!X472</f>
        <v/>
      </c>
      <c r="G472" s="17">
        <f>SP!X472</f>
        <v/>
      </c>
      <c r="H472" s="17">
        <f>IF(COUNT(E472:G472)=0,"",ROUND((LARGE(E472:G472,1)+IF(COUNT(E472:G472)&gt;=2,LARGE(E472:G472,2),0))/2,2))</f>
        <v/>
      </c>
      <c r="I472" s="10">
        <f>Ekstra!U472</f>
        <v/>
      </c>
      <c r="J472" s="18">
        <f>IF(B472="","",IF(Murid!F472="TL","TL",IF(H472="","",MIN(100,ROUND(H472+N(I472),2)))))</f>
        <v/>
      </c>
      <c r="K472" s="19">
        <f>IF(J472="","",IF(J472="TL","TL",IF(J472&gt;=80,"A",IF(J472&gt;=60,"B",IF(J472&gt;=40,"C",IF(J472&gt;=20,"D","E"))))))</f>
        <v/>
      </c>
      <c r="L472" s="15">
        <f>IF(K472="","",IF(K472="A","Cemerlang",IF(K472="B","Kepujian",IF(K472="C","Baik",IF(K472="D","Kurang Memuaskan",IF(K472="E","Tidak Memuaskan","Tidak Laksana"))))))</f>
        <v/>
      </c>
    </row>
    <row r="473">
      <c r="A473" s="15">
        <f>Murid!A473</f>
        <v/>
      </c>
      <c r="B473" s="15">
        <f>IF(Murid!B473="","",Murid!B473)</f>
        <v/>
      </c>
      <c r="C473" s="16">
        <f>IF(Murid!C473="","",Murid!C473)</f>
        <v/>
      </c>
      <c r="D473" s="15">
        <f>IF(Murid!E473="","",Murid!E473)</f>
        <v/>
      </c>
      <c r="E473" s="17">
        <f>KP!X473</f>
        <v/>
      </c>
      <c r="F473" s="17">
        <f>UB!X473</f>
        <v/>
      </c>
      <c r="G473" s="17">
        <f>SP!X473</f>
        <v/>
      </c>
      <c r="H473" s="17">
        <f>IF(COUNT(E473:G473)=0,"",ROUND((LARGE(E473:G473,1)+IF(COUNT(E473:G473)&gt;=2,LARGE(E473:G473,2),0))/2,2))</f>
        <v/>
      </c>
      <c r="I473" s="10">
        <f>Ekstra!U473</f>
        <v/>
      </c>
      <c r="J473" s="18">
        <f>IF(B473="","",IF(Murid!F473="TL","TL",IF(H473="","",MIN(100,ROUND(H473+N(I473),2)))))</f>
        <v/>
      </c>
      <c r="K473" s="19">
        <f>IF(J473="","",IF(J473="TL","TL",IF(J473&gt;=80,"A",IF(J473&gt;=60,"B",IF(J473&gt;=40,"C",IF(J473&gt;=20,"D","E"))))))</f>
        <v/>
      </c>
      <c r="L473" s="15">
        <f>IF(K473="","",IF(K473="A","Cemerlang",IF(K473="B","Kepujian",IF(K473="C","Baik",IF(K473="D","Kurang Memuaskan",IF(K473="E","Tidak Memuaskan","Tidak Laksana"))))))</f>
        <v/>
      </c>
    </row>
    <row r="474">
      <c r="A474" s="15">
        <f>Murid!A474</f>
        <v/>
      </c>
      <c r="B474" s="15">
        <f>IF(Murid!B474="","",Murid!B474)</f>
        <v/>
      </c>
      <c r="C474" s="16">
        <f>IF(Murid!C474="","",Murid!C474)</f>
        <v/>
      </c>
      <c r="D474" s="15">
        <f>IF(Murid!E474="","",Murid!E474)</f>
        <v/>
      </c>
      <c r="E474" s="17">
        <f>KP!X474</f>
        <v/>
      </c>
      <c r="F474" s="17">
        <f>UB!X474</f>
        <v/>
      </c>
      <c r="G474" s="17">
        <f>SP!X474</f>
        <v/>
      </c>
      <c r="H474" s="17">
        <f>IF(COUNT(E474:G474)=0,"",ROUND((LARGE(E474:G474,1)+IF(COUNT(E474:G474)&gt;=2,LARGE(E474:G474,2),0))/2,2))</f>
        <v/>
      </c>
      <c r="I474" s="10">
        <f>Ekstra!U474</f>
        <v/>
      </c>
      <c r="J474" s="18">
        <f>IF(B474="","",IF(Murid!F474="TL","TL",IF(H474="","",MIN(100,ROUND(H474+N(I474),2)))))</f>
        <v/>
      </c>
      <c r="K474" s="19">
        <f>IF(J474="","",IF(J474="TL","TL",IF(J474&gt;=80,"A",IF(J474&gt;=60,"B",IF(J474&gt;=40,"C",IF(J474&gt;=20,"D","E"))))))</f>
        <v/>
      </c>
      <c r="L474" s="15">
        <f>IF(K474="","",IF(K474="A","Cemerlang",IF(K474="B","Kepujian",IF(K474="C","Baik",IF(K474="D","Kurang Memuaskan",IF(K474="E","Tidak Memuaskan","Tidak Laksana"))))))</f>
        <v/>
      </c>
    </row>
    <row r="475">
      <c r="A475" s="15">
        <f>Murid!A475</f>
        <v/>
      </c>
      <c r="B475" s="15">
        <f>IF(Murid!B475="","",Murid!B475)</f>
        <v/>
      </c>
      <c r="C475" s="16">
        <f>IF(Murid!C475="","",Murid!C475)</f>
        <v/>
      </c>
      <c r="D475" s="15">
        <f>IF(Murid!E475="","",Murid!E475)</f>
        <v/>
      </c>
      <c r="E475" s="17">
        <f>KP!X475</f>
        <v/>
      </c>
      <c r="F475" s="17">
        <f>UB!X475</f>
        <v/>
      </c>
      <c r="G475" s="17">
        <f>SP!X475</f>
        <v/>
      </c>
      <c r="H475" s="17">
        <f>IF(COUNT(E475:G475)=0,"",ROUND((LARGE(E475:G475,1)+IF(COUNT(E475:G475)&gt;=2,LARGE(E475:G475,2),0))/2,2))</f>
        <v/>
      </c>
      <c r="I475" s="10">
        <f>Ekstra!U475</f>
        <v/>
      </c>
      <c r="J475" s="18">
        <f>IF(B475="","",IF(Murid!F475="TL","TL",IF(H475="","",MIN(100,ROUND(H475+N(I475),2)))))</f>
        <v/>
      </c>
      <c r="K475" s="19">
        <f>IF(J475="","",IF(J475="TL","TL",IF(J475&gt;=80,"A",IF(J475&gt;=60,"B",IF(J475&gt;=40,"C",IF(J475&gt;=20,"D","E"))))))</f>
        <v/>
      </c>
      <c r="L475" s="15">
        <f>IF(K475="","",IF(K475="A","Cemerlang",IF(K475="B","Kepujian",IF(K475="C","Baik",IF(K475="D","Kurang Memuaskan",IF(K475="E","Tidak Memuaskan","Tidak Laksana"))))))</f>
        <v/>
      </c>
    </row>
    <row r="476">
      <c r="A476" s="15">
        <f>Murid!A476</f>
        <v/>
      </c>
      <c r="B476" s="15">
        <f>IF(Murid!B476="","",Murid!B476)</f>
        <v/>
      </c>
      <c r="C476" s="16">
        <f>IF(Murid!C476="","",Murid!C476)</f>
        <v/>
      </c>
      <c r="D476" s="15">
        <f>IF(Murid!E476="","",Murid!E476)</f>
        <v/>
      </c>
      <c r="E476" s="17">
        <f>KP!X476</f>
        <v/>
      </c>
      <c r="F476" s="17">
        <f>UB!X476</f>
        <v/>
      </c>
      <c r="G476" s="17">
        <f>SP!X476</f>
        <v/>
      </c>
      <c r="H476" s="17">
        <f>IF(COUNT(E476:G476)=0,"",ROUND((LARGE(E476:G476,1)+IF(COUNT(E476:G476)&gt;=2,LARGE(E476:G476,2),0))/2,2))</f>
        <v/>
      </c>
      <c r="I476" s="10">
        <f>Ekstra!U476</f>
        <v/>
      </c>
      <c r="J476" s="18">
        <f>IF(B476="","",IF(Murid!F476="TL","TL",IF(H476="","",MIN(100,ROUND(H476+N(I476),2)))))</f>
        <v/>
      </c>
      <c r="K476" s="19">
        <f>IF(J476="","",IF(J476="TL","TL",IF(J476&gt;=80,"A",IF(J476&gt;=60,"B",IF(J476&gt;=40,"C",IF(J476&gt;=20,"D","E"))))))</f>
        <v/>
      </c>
      <c r="L476" s="15">
        <f>IF(K476="","",IF(K476="A","Cemerlang",IF(K476="B","Kepujian",IF(K476="C","Baik",IF(K476="D","Kurang Memuaskan",IF(K476="E","Tidak Memuaskan","Tidak Laksana"))))))</f>
        <v/>
      </c>
    </row>
    <row r="477">
      <c r="A477" s="15">
        <f>Murid!A477</f>
        <v/>
      </c>
      <c r="B477" s="15">
        <f>IF(Murid!B477="","",Murid!B477)</f>
        <v/>
      </c>
      <c r="C477" s="16">
        <f>IF(Murid!C477="","",Murid!C477)</f>
        <v/>
      </c>
      <c r="D477" s="15">
        <f>IF(Murid!E477="","",Murid!E477)</f>
        <v/>
      </c>
      <c r="E477" s="17">
        <f>KP!X477</f>
        <v/>
      </c>
      <c r="F477" s="17">
        <f>UB!X477</f>
        <v/>
      </c>
      <c r="G477" s="17">
        <f>SP!X477</f>
        <v/>
      </c>
      <c r="H477" s="17">
        <f>IF(COUNT(E477:G477)=0,"",ROUND((LARGE(E477:G477,1)+IF(COUNT(E477:G477)&gt;=2,LARGE(E477:G477,2),0))/2,2))</f>
        <v/>
      </c>
      <c r="I477" s="10">
        <f>Ekstra!U477</f>
        <v/>
      </c>
      <c r="J477" s="18">
        <f>IF(B477="","",IF(Murid!F477="TL","TL",IF(H477="","",MIN(100,ROUND(H477+N(I477),2)))))</f>
        <v/>
      </c>
      <c r="K477" s="19">
        <f>IF(J477="","",IF(J477="TL","TL",IF(J477&gt;=80,"A",IF(J477&gt;=60,"B",IF(J477&gt;=40,"C",IF(J477&gt;=20,"D","E"))))))</f>
        <v/>
      </c>
      <c r="L477" s="15">
        <f>IF(K477="","",IF(K477="A","Cemerlang",IF(K477="B","Kepujian",IF(K477="C","Baik",IF(K477="D","Kurang Memuaskan",IF(K477="E","Tidak Memuaskan","Tidak Laksana"))))))</f>
        <v/>
      </c>
    </row>
    <row r="478">
      <c r="A478" s="15">
        <f>Murid!A478</f>
        <v/>
      </c>
      <c r="B478" s="15">
        <f>IF(Murid!B478="","",Murid!B478)</f>
        <v/>
      </c>
      <c r="C478" s="16">
        <f>IF(Murid!C478="","",Murid!C478)</f>
        <v/>
      </c>
      <c r="D478" s="15">
        <f>IF(Murid!E478="","",Murid!E478)</f>
        <v/>
      </c>
      <c r="E478" s="17">
        <f>KP!X478</f>
        <v/>
      </c>
      <c r="F478" s="17">
        <f>UB!X478</f>
        <v/>
      </c>
      <c r="G478" s="17">
        <f>SP!X478</f>
        <v/>
      </c>
      <c r="H478" s="17">
        <f>IF(COUNT(E478:G478)=0,"",ROUND((LARGE(E478:G478,1)+IF(COUNT(E478:G478)&gt;=2,LARGE(E478:G478,2),0))/2,2))</f>
        <v/>
      </c>
      <c r="I478" s="10">
        <f>Ekstra!U478</f>
        <v/>
      </c>
      <c r="J478" s="18">
        <f>IF(B478="","",IF(Murid!F478="TL","TL",IF(H478="","",MIN(100,ROUND(H478+N(I478),2)))))</f>
        <v/>
      </c>
      <c r="K478" s="19">
        <f>IF(J478="","",IF(J478="TL","TL",IF(J478&gt;=80,"A",IF(J478&gt;=60,"B",IF(J478&gt;=40,"C",IF(J478&gt;=20,"D","E"))))))</f>
        <v/>
      </c>
      <c r="L478" s="15">
        <f>IF(K478="","",IF(K478="A","Cemerlang",IF(K478="B","Kepujian",IF(K478="C","Baik",IF(K478="D","Kurang Memuaskan",IF(K478="E","Tidak Memuaskan","Tidak Laksana"))))))</f>
        <v/>
      </c>
    </row>
    <row r="479">
      <c r="A479" s="15">
        <f>Murid!A479</f>
        <v/>
      </c>
      <c r="B479" s="15">
        <f>IF(Murid!B479="","",Murid!B479)</f>
        <v/>
      </c>
      <c r="C479" s="16">
        <f>IF(Murid!C479="","",Murid!C479)</f>
        <v/>
      </c>
      <c r="D479" s="15">
        <f>IF(Murid!E479="","",Murid!E479)</f>
        <v/>
      </c>
      <c r="E479" s="17">
        <f>KP!X479</f>
        <v/>
      </c>
      <c r="F479" s="17">
        <f>UB!X479</f>
        <v/>
      </c>
      <c r="G479" s="17">
        <f>SP!X479</f>
        <v/>
      </c>
      <c r="H479" s="17">
        <f>IF(COUNT(E479:G479)=0,"",ROUND((LARGE(E479:G479,1)+IF(COUNT(E479:G479)&gt;=2,LARGE(E479:G479,2),0))/2,2))</f>
        <v/>
      </c>
      <c r="I479" s="10">
        <f>Ekstra!U479</f>
        <v/>
      </c>
      <c r="J479" s="18">
        <f>IF(B479="","",IF(Murid!F479="TL","TL",IF(H479="","",MIN(100,ROUND(H479+N(I479),2)))))</f>
        <v/>
      </c>
      <c r="K479" s="19">
        <f>IF(J479="","",IF(J479="TL","TL",IF(J479&gt;=80,"A",IF(J479&gt;=60,"B",IF(J479&gt;=40,"C",IF(J479&gt;=20,"D","E"))))))</f>
        <v/>
      </c>
      <c r="L479" s="15">
        <f>IF(K479="","",IF(K479="A","Cemerlang",IF(K479="B","Kepujian",IF(K479="C","Baik",IF(K479="D","Kurang Memuaskan",IF(K479="E","Tidak Memuaskan","Tidak Laksana"))))))</f>
        <v/>
      </c>
    </row>
    <row r="480">
      <c r="A480" s="15">
        <f>Murid!A480</f>
        <v/>
      </c>
      <c r="B480" s="15">
        <f>IF(Murid!B480="","",Murid!B480)</f>
        <v/>
      </c>
      <c r="C480" s="16">
        <f>IF(Murid!C480="","",Murid!C480)</f>
        <v/>
      </c>
      <c r="D480" s="15">
        <f>IF(Murid!E480="","",Murid!E480)</f>
        <v/>
      </c>
      <c r="E480" s="17">
        <f>KP!X480</f>
        <v/>
      </c>
      <c r="F480" s="17">
        <f>UB!X480</f>
        <v/>
      </c>
      <c r="G480" s="17">
        <f>SP!X480</f>
        <v/>
      </c>
      <c r="H480" s="17">
        <f>IF(COUNT(E480:G480)=0,"",ROUND((LARGE(E480:G480,1)+IF(COUNT(E480:G480)&gt;=2,LARGE(E480:G480,2),0))/2,2))</f>
        <v/>
      </c>
      <c r="I480" s="10">
        <f>Ekstra!U480</f>
        <v/>
      </c>
      <c r="J480" s="18">
        <f>IF(B480="","",IF(Murid!F480="TL","TL",IF(H480="","",MIN(100,ROUND(H480+N(I480),2)))))</f>
        <v/>
      </c>
      <c r="K480" s="19">
        <f>IF(J480="","",IF(J480="TL","TL",IF(J480&gt;=80,"A",IF(J480&gt;=60,"B",IF(J480&gt;=40,"C",IF(J480&gt;=20,"D","E"))))))</f>
        <v/>
      </c>
      <c r="L480" s="15">
        <f>IF(K480="","",IF(K480="A","Cemerlang",IF(K480="B","Kepujian",IF(K480="C","Baik",IF(K480="D","Kurang Memuaskan",IF(K480="E","Tidak Memuaskan","Tidak Laksana"))))))</f>
        <v/>
      </c>
    </row>
    <row r="481">
      <c r="A481" s="15">
        <f>Murid!A481</f>
        <v/>
      </c>
      <c r="B481" s="15">
        <f>IF(Murid!B481="","",Murid!B481)</f>
        <v/>
      </c>
      <c r="C481" s="16">
        <f>IF(Murid!C481="","",Murid!C481)</f>
        <v/>
      </c>
      <c r="D481" s="15">
        <f>IF(Murid!E481="","",Murid!E481)</f>
        <v/>
      </c>
      <c r="E481" s="17">
        <f>KP!X481</f>
        <v/>
      </c>
      <c r="F481" s="17">
        <f>UB!X481</f>
        <v/>
      </c>
      <c r="G481" s="17">
        <f>SP!X481</f>
        <v/>
      </c>
      <c r="H481" s="17">
        <f>IF(COUNT(E481:G481)=0,"",ROUND((LARGE(E481:G481,1)+IF(COUNT(E481:G481)&gt;=2,LARGE(E481:G481,2),0))/2,2))</f>
        <v/>
      </c>
      <c r="I481" s="10">
        <f>Ekstra!U481</f>
        <v/>
      </c>
      <c r="J481" s="18">
        <f>IF(B481="","",IF(Murid!F481="TL","TL",IF(H481="","",MIN(100,ROUND(H481+N(I481),2)))))</f>
        <v/>
      </c>
      <c r="K481" s="19">
        <f>IF(J481="","",IF(J481="TL","TL",IF(J481&gt;=80,"A",IF(J481&gt;=60,"B",IF(J481&gt;=40,"C",IF(J481&gt;=20,"D","E"))))))</f>
        <v/>
      </c>
      <c r="L481" s="15">
        <f>IF(K481="","",IF(K481="A","Cemerlang",IF(K481="B","Kepujian",IF(K481="C","Baik",IF(K481="D","Kurang Memuaskan",IF(K481="E","Tidak Memuaskan","Tidak Laksana"))))))</f>
        <v/>
      </c>
    </row>
    <row r="482">
      <c r="A482" s="15">
        <f>Murid!A482</f>
        <v/>
      </c>
      <c r="B482" s="15">
        <f>IF(Murid!B482="","",Murid!B482)</f>
        <v/>
      </c>
      <c r="C482" s="16">
        <f>IF(Murid!C482="","",Murid!C482)</f>
        <v/>
      </c>
      <c r="D482" s="15">
        <f>IF(Murid!E482="","",Murid!E482)</f>
        <v/>
      </c>
      <c r="E482" s="17">
        <f>KP!X482</f>
        <v/>
      </c>
      <c r="F482" s="17">
        <f>UB!X482</f>
        <v/>
      </c>
      <c r="G482" s="17">
        <f>SP!X482</f>
        <v/>
      </c>
      <c r="H482" s="17">
        <f>IF(COUNT(E482:G482)=0,"",ROUND((LARGE(E482:G482,1)+IF(COUNT(E482:G482)&gt;=2,LARGE(E482:G482,2),0))/2,2))</f>
        <v/>
      </c>
      <c r="I482" s="10">
        <f>Ekstra!U482</f>
        <v/>
      </c>
      <c r="J482" s="18">
        <f>IF(B482="","",IF(Murid!F482="TL","TL",IF(H482="","",MIN(100,ROUND(H482+N(I482),2)))))</f>
        <v/>
      </c>
      <c r="K482" s="19">
        <f>IF(J482="","",IF(J482="TL","TL",IF(J482&gt;=80,"A",IF(J482&gt;=60,"B",IF(J482&gt;=40,"C",IF(J482&gt;=20,"D","E"))))))</f>
        <v/>
      </c>
      <c r="L482" s="15">
        <f>IF(K482="","",IF(K482="A","Cemerlang",IF(K482="B","Kepujian",IF(K482="C","Baik",IF(K482="D","Kurang Memuaskan",IF(K482="E","Tidak Memuaskan","Tidak Laksana"))))))</f>
        <v/>
      </c>
    </row>
    <row r="483">
      <c r="A483" s="15">
        <f>Murid!A483</f>
        <v/>
      </c>
      <c r="B483" s="15">
        <f>IF(Murid!B483="","",Murid!B483)</f>
        <v/>
      </c>
      <c r="C483" s="16">
        <f>IF(Murid!C483="","",Murid!C483)</f>
        <v/>
      </c>
      <c r="D483" s="15">
        <f>IF(Murid!E483="","",Murid!E483)</f>
        <v/>
      </c>
      <c r="E483" s="17">
        <f>KP!X483</f>
        <v/>
      </c>
      <c r="F483" s="17">
        <f>UB!X483</f>
        <v/>
      </c>
      <c r="G483" s="17">
        <f>SP!X483</f>
        <v/>
      </c>
      <c r="H483" s="17">
        <f>IF(COUNT(E483:G483)=0,"",ROUND((LARGE(E483:G483,1)+IF(COUNT(E483:G483)&gt;=2,LARGE(E483:G483,2),0))/2,2))</f>
        <v/>
      </c>
      <c r="I483" s="10">
        <f>Ekstra!U483</f>
        <v/>
      </c>
      <c r="J483" s="18">
        <f>IF(B483="","",IF(Murid!F483="TL","TL",IF(H483="","",MIN(100,ROUND(H483+N(I483),2)))))</f>
        <v/>
      </c>
      <c r="K483" s="19">
        <f>IF(J483="","",IF(J483="TL","TL",IF(J483&gt;=80,"A",IF(J483&gt;=60,"B",IF(J483&gt;=40,"C",IF(J483&gt;=20,"D","E"))))))</f>
        <v/>
      </c>
      <c r="L483" s="15">
        <f>IF(K483="","",IF(K483="A","Cemerlang",IF(K483="B","Kepujian",IF(K483="C","Baik",IF(K483="D","Kurang Memuaskan",IF(K483="E","Tidak Memuaskan","Tidak Laksana"))))))</f>
        <v/>
      </c>
    </row>
    <row r="484">
      <c r="A484" s="15">
        <f>Murid!A484</f>
        <v/>
      </c>
      <c r="B484" s="15">
        <f>IF(Murid!B484="","",Murid!B484)</f>
        <v/>
      </c>
      <c r="C484" s="16">
        <f>IF(Murid!C484="","",Murid!C484)</f>
        <v/>
      </c>
      <c r="D484" s="15">
        <f>IF(Murid!E484="","",Murid!E484)</f>
        <v/>
      </c>
      <c r="E484" s="17">
        <f>KP!X484</f>
        <v/>
      </c>
      <c r="F484" s="17">
        <f>UB!X484</f>
        <v/>
      </c>
      <c r="G484" s="17">
        <f>SP!X484</f>
        <v/>
      </c>
      <c r="H484" s="17">
        <f>IF(COUNT(E484:G484)=0,"",ROUND((LARGE(E484:G484,1)+IF(COUNT(E484:G484)&gt;=2,LARGE(E484:G484,2),0))/2,2))</f>
        <v/>
      </c>
      <c r="I484" s="10">
        <f>Ekstra!U484</f>
        <v/>
      </c>
      <c r="J484" s="18">
        <f>IF(B484="","",IF(Murid!F484="TL","TL",IF(H484="","",MIN(100,ROUND(H484+N(I484),2)))))</f>
        <v/>
      </c>
      <c r="K484" s="19">
        <f>IF(J484="","",IF(J484="TL","TL",IF(J484&gt;=80,"A",IF(J484&gt;=60,"B",IF(J484&gt;=40,"C",IF(J484&gt;=20,"D","E"))))))</f>
        <v/>
      </c>
      <c r="L484" s="15">
        <f>IF(K484="","",IF(K484="A","Cemerlang",IF(K484="B","Kepujian",IF(K484="C","Baik",IF(K484="D","Kurang Memuaskan",IF(K484="E","Tidak Memuaskan","Tidak Laksana"))))))</f>
        <v/>
      </c>
    </row>
    <row r="485">
      <c r="A485" s="15">
        <f>Murid!A485</f>
        <v/>
      </c>
      <c r="B485" s="15">
        <f>IF(Murid!B485="","",Murid!B485)</f>
        <v/>
      </c>
      <c r="C485" s="16">
        <f>IF(Murid!C485="","",Murid!C485)</f>
        <v/>
      </c>
      <c r="D485" s="15">
        <f>IF(Murid!E485="","",Murid!E485)</f>
        <v/>
      </c>
      <c r="E485" s="17">
        <f>KP!X485</f>
        <v/>
      </c>
      <c r="F485" s="17">
        <f>UB!X485</f>
        <v/>
      </c>
      <c r="G485" s="17">
        <f>SP!X485</f>
        <v/>
      </c>
      <c r="H485" s="17">
        <f>IF(COUNT(E485:G485)=0,"",ROUND((LARGE(E485:G485,1)+IF(COUNT(E485:G485)&gt;=2,LARGE(E485:G485,2),0))/2,2))</f>
        <v/>
      </c>
      <c r="I485" s="10">
        <f>Ekstra!U485</f>
        <v/>
      </c>
      <c r="J485" s="18">
        <f>IF(B485="","",IF(Murid!F485="TL","TL",IF(H485="","",MIN(100,ROUND(H485+N(I485),2)))))</f>
        <v/>
      </c>
      <c r="K485" s="19">
        <f>IF(J485="","",IF(J485="TL","TL",IF(J485&gt;=80,"A",IF(J485&gt;=60,"B",IF(J485&gt;=40,"C",IF(J485&gt;=20,"D","E"))))))</f>
        <v/>
      </c>
      <c r="L485" s="15">
        <f>IF(K485="","",IF(K485="A","Cemerlang",IF(K485="B","Kepujian",IF(K485="C","Baik",IF(K485="D","Kurang Memuaskan",IF(K485="E","Tidak Memuaskan","Tidak Laksana"))))))</f>
        <v/>
      </c>
    </row>
    <row r="486">
      <c r="A486" s="15">
        <f>Murid!A486</f>
        <v/>
      </c>
      <c r="B486" s="15">
        <f>IF(Murid!B486="","",Murid!B486)</f>
        <v/>
      </c>
      <c r="C486" s="16">
        <f>IF(Murid!C486="","",Murid!C486)</f>
        <v/>
      </c>
      <c r="D486" s="15">
        <f>IF(Murid!E486="","",Murid!E486)</f>
        <v/>
      </c>
      <c r="E486" s="17">
        <f>KP!X486</f>
        <v/>
      </c>
      <c r="F486" s="17">
        <f>UB!X486</f>
        <v/>
      </c>
      <c r="G486" s="17">
        <f>SP!X486</f>
        <v/>
      </c>
      <c r="H486" s="17">
        <f>IF(COUNT(E486:G486)=0,"",ROUND((LARGE(E486:G486,1)+IF(COUNT(E486:G486)&gt;=2,LARGE(E486:G486,2),0))/2,2))</f>
        <v/>
      </c>
      <c r="I486" s="10">
        <f>Ekstra!U486</f>
        <v/>
      </c>
      <c r="J486" s="18">
        <f>IF(B486="","",IF(Murid!F486="TL","TL",IF(H486="","",MIN(100,ROUND(H486+N(I486),2)))))</f>
        <v/>
      </c>
      <c r="K486" s="19">
        <f>IF(J486="","",IF(J486="TL","TL",IF(J486&gt;=80,"A",IF(J486&gt;=60,"B",IF(J486&gt;=40,"C",IF(J486&gt;=20,"D","E"))))))</f>
        <v/>
      </c>
      <c r="L486" s="15">
        <f>IF(K486="","",IF(K486="A","Cemerlang",IF(K486="B","Kepujian",IF(K486="C","Baik",IF(K486="D","Kurang Memuaskan",IF(K486="E","Tidak Memuaskan","Tidak Laksana"))))))</f>
        <v/>
      </c>
    </row>
    <row r="487">
      <c r="A487" s="15">
        <f>Murid!A487</f>
        <v/>
      </c>
      <c r="B487" s="15">
        <f>IF(Murid!B487="","",Murid!B487)</f>
        <v/>
      </c>
      <c r="C487" s="16">
        <f>IF(Murid!C487="","",Murid!C487)</f>
        <v/>
      </c>
      <c r="D487" s="15">
        <f>IF(Murid!E487="","",Murid!E487)</f>
        <v/>
      </c>
      <c r="E487" s="17">
        <f>KP!X487</f>
        <v/>
      </c>
      <c r="F487" s="17">
        <f>UB!X487</f>
        <v/>
      </c>
      <c r="G487" s="17">
        <f>SP!X487</f>
        <v/>
      </c>
      <c r="H487" s="17">
        <f>IF(COUNT(E487:G487)=0,"",ROUND((LARGE(E487:G487,1)+IF(COUNT(E487:G487)&gt;=2,LARGE(E487:G487,2),0))/2,2))</f>
        <v/>
      </c>
      <c r="I487" s="10">
        <f>Ekstra!U487</f>
        <v/>
      </c>
      <c r="J487" s="18">
        <f>IF(B487="","",IF(Murid!F487="TL","TL",IF(H487="","",MIN(100,ROUND(H487+N(I487),2)))))</f>
        <v/>
      </c>
      <c r="K487" s="19">
        <f>IF(J487="","",IF(J487="TL","TL",IF(J487&gt;=80,"A",IF(J487&gt;=60,"B",IF(J487&gt;=40,"C",IF(J487&gt;=20,"D","E"))))))</f>
        <v/>
      </c>
      <c r="L487" s="15">
        <f>IF(K487="","",IF(K487="A","Cemerlang",IF(K487="B","Kepujian",IF(K487="C","Baik",IF(K487="D","Kurang Memuaskan",IF(K487="E","Tidak Memuaskan","Tidak Laksana"))))))</f>
        <v/>
      </c>
    </row>
    <row r="488">
      <c r="A488" s="15">
        <f>Murid!A488</f>
        <v/>
      </c>
      <c r="B488" s="15">
        <f>IF(Murid!B488="","",Murid!B488)</f>
        <v/>
      </c>
      <c r="C488" s="16">
        <f>IF(Murid!C488="","",Murid!C488)</f>
        <v/>
      </c>
      <c r="D488" s="15">
        <f>IF(Murid!E488="","",Murid!E488)</f>
        <v/>
      </c>
      <c r="E488" s="17">
        <f>KP!X488</f>
        <v/>
      </c>
      <c r="F488" s="17">
        <f>UB!X488</f>
        <v/>
      </c>
      <c r="G488" s="17">
        <f>SP!X488</f>
        <v/>
      </c>
      <c r="H488" s="17">
        <f>IF(COUNT(E488:G488)=0,"",ROUND((LARGE(E488:G488,1)+IF(COUNT(E488:G488)&gt;=2,LARGE(E488:G488,2),0))/2,2))</f>
        <v/>
      </c>
      <c r="I488" s="10">
        <f>Ekstra!U488</f>
        <v/>
      </c>
      <c r="J488" s="18">
        <f>IF(B488="","",IF(Murid!F488="TL","TL",IF(H488="","",MIN(100,ROUND(H488+N(I488),2)))))</f>
        <v/>
      </c>
      <c r="K488" s="19">
        <f>IF(J488="","",IF(J488="TL","TL",IF(J488&gt;=80,"A",IF(J488&gt;=60,"B",IF(J488&gt;=40,"C",IF(J488&gt;=20,"D","E"))))))</f>
        <v/>
      </c>
      <c r="L488" s="15">
        <f>IF(K488="","",IF(K488="A","Cemerlang",IF(K488="B","Kepujian",IF(K488="C","Baik",IF(K488="D","Kurang Memuaskan",IF(K488="E","Tidak Memuaskan","Tidak Laksana"))))))</f>
        <v/>
      </c>
    </row>
    <row r="489">
      <c r="A489" s="15">
        <f>Murid!A489</f>
        <v/>
      </c>
      <c r="B489" s="15">
        <f>IF(Murid!B489="","",Murid!B489)</f>
        <v/>
      </c>
      <c r="C489" s="16">
        <f>IF(Murid!C489="","",Murid!C489)</f>
        <v/>
      </c>
      <c r="D489" s="15">
        <f>IF(Murid!E489="","",Murid!E489)</f>
        <v/>
      </c>
      <c r="E489" s="17">
        <f>KP!X489</f>
        <v/>
      </c>
      <c r="F489" s="17">
        <f>UB!X489</f>
        <v/>
      </c>
      <c r="G489" s="17">
        <f>SP!X489</f>
        <v/>
      </c>
      <c r="H489" s="17">
        <f>IF(COUNT(E489:G489)=0,"",ROUND((LARGE(E489:G489,1)+IF(COUNT(E489:G489)&gt;=2,LARGE(E489:G489,2),0))/2,2))</f>
        <v/>
      </c>
      <c r="I489" s="10">
        <f>Ekstra!U489</f>
        <v/>
      </c>
      <c r="J489" s="18">
        <f>IF(B489="","",IF(Murid!F489="TL","TL",IF(H489="","",MIN(100,ROUND(H489+N(I489),2)))))</f>
        <v/>
      </c>
      <c r="K489" s="19">
        <f>IF(J489="","",IF(J489="TL","TL",IF(J489&gt;=80,"A",IF(J489&gt;=60,"B",IF(J489&gt;=40,"C",IF(J489&gt;=20,"D","E"))))))</f>
        <v/>
      </c>
      <c r="L489" s="15">
        <f>IF(K489="","",IF(K489="A","Cemerlang",IF(K489="B","Kepujian",IF(K489="C","Baik",IF(K489="D","Kurang Memuaskan",IF(K489="E","Tidak Memuaskan","Tidak Laksana"))))))</f>
        <v/>
      </c>
    </row>
    <row r="490">
      <c r="A490" s="15">
        <f>Murid!A490</f>
        <v/>
      </c>
      <c r="B490" s="15">
        <f>IF(Murid!B490="","",Murid!B490)</f>
        <v/>
      </c>
      <c r="C490" s="16">
        <f>IF(Murid!C490="","",Murid!C490)</f>
        <v/>
      </c>
      <c r="D490" s="15">
        <f>IF(Murid!E490="","",Murid!E490)</f>
        <v/>
      </c>
      <c r="E490" s="17">
        <f>KP!X490</f>
        <v/>
      </c>
      <c r="F490" s="17">
        <f>UB!X490</f>
        <v/>
      </c>
      <c r="G490" s="17">
        <f>SP!X490</f>
        <v/>
      </c>
      <c r="H490" s="17">
        <f>IF(COUNT(E490:G490)=0,"",ROUND((LARGE(E490:G490,1)+IF(COUNT(E490:G490)&gt;=2,LARGE(E490:G490,2),0))/2,2))</f>
        <v/>
      </c>
      <c r="I490" s="10">
        <f>Ekstra!U490</f>
        <v/>
      </c>
      <c r="J490" s="18">
        <f>IF(B490="","",IF(Murid!F490="TL","TL",IF(H490="","",MIN(100,ROUND(H490+N(I490),2)))))</f>
        <v/>
      </c>
      <c r="K490" s="19">
        <f>IF(J490="","",IF(J490="TL","TL",IF(J490&gt;=80,"A",IF(J490&gt;=60,"B",IF(J490&gt;=40,"C",IF(J490&gt;=20,"D","E"))))))</f>
        <v/>
      </c>
      <c r="L490" s="15">
        <f>IF(K490="","",IF(K490="A","Cemerlang",IF(K490="B","Kepujian",IF(K490="C","Baik",IF(K490="D","Kurang Memuaskan",IF(K490="E","Tidak Memuaskan","Tidak Laksana"))))))</f>
        <v/>
      </c>
    </row>
    <row r="491">
      <c r="A491" s="15">
        <f>Murid!A491</f>
        <v/>
      </c>
      <c r="B491" s="15">
        <f>IF(Murid!B491="","",Murid!B491)</f>
        <v/>
      </c>
      <c r="C491" s="16">
        <f>IF(Murid!C491="","",Murid!C491)</f>
        <v/>
      </c>
      <c r="D491" s="15">
        <f>IF(Murid!E491="","",Murid!E491)</f>
        <v/>
      </c>
      <c r="E491" s="17">
        <f>KP!X491</f>
        <v/>
      </c>
      <c r="F491" s="17">
        <f>UB!X491</f>
        <v/>
      </c>
      <c r="G491" s="17">
        <f>SP!X491</f>
        <v/>
      </c>
      <c r="H491" s="17">
        <f>IF(COUNT(E491:G491)=0,"",ROUND((LARGE(E491:G491,1)+IF(COUNT(E491:G491)&gt;=2,LARGE(E491:G491,2),0))/2,2))</f>
        <v/>
      </c>
      <c r="I491" s="10">
        <f>Ekstra!U491</f>
        <v/>
      </c>
      <c r="J491" s="18">
        <f>IF(B491="","",IF(Murid!F491="TL","TL",IF(H491="","",MIN(100,ROUND(H491+N(I491),2)))))</f>
        <v/>
      </c>
      <c r="K491" s="19">
        <f>IF(J491="","",IF(J491="TL","TL",IF(J491&gt;=80,"A",IF(J491&gt;=60,"B",IF(J491&gt;=40,"C",IF(J491&gt;=20,"D","E"))))))</f>
        <v/>
      </c>
      <c r="L491" s="15">
        <f>IF(K491="","",IF(K491="A","Cemerlang",IF(K491="B","Kepujian",IF(K491="C","Baik",IF(K491="D","Kurang Memuaskan",IF(K491="E","Tidak Memuaskan","Tidak Laksana"))))))</f>
        <v/>
      </c>
    </row>
    <row r="492">
      <c r="A492" s="15">
        <f>Murid!A492</f>
        <v/>
      </c>
      <c r="B492" s="15">
        <f>IF(Murid!B492="","",Murid!B492)</f>
        <v/>
      </c>
      <c r="C492" s="16">
        <f>IF(Murid!C492="","",Murid!C492)</f>
        <v/>
      </c>
      <c r="D492" s="15">
        <f>IF(Murid!E492="","",Murid!E492)</f>
        <v/>
      </c>
      <c r="E492" s="17">
        <f>KP!X492</f>
        <v/>
      </c>
      <c r="F492" s="17">
        <f>UB!X492</f>
        <v/>
      </c>
      <c r="G492" s="17">
        <f>SP!X492</f>
        <v/>
      </c>
      <c r="H492" s="17">
        <f>IF(COUNT(E492:G492)=0,"",ROUND((LARGE(E492:G492,1)+IF(COUNT(E492:G492)&gt;=2,LARGE(E492:G492,2),0))/2,2))</f>
        <v/>
      </c>
      <c r="I492" s="10">
        <f>Ekstra!U492</f>
        <v/>
      </c>
      <c r="J492" s="18">
        <f>IF(B492="","",IF(Murid!F492="TL","TL",IF(H492="","",MIN(100,ROUND(H492+N(I492),2)))))</f>
        <v/>
      </c>
      <c r="K492" s="19">
        <f>IF(J492="","",IF(J492="TL","TL",IF(J492&gt;=80,"A",IF(J492&gt;=60,"B",IF(J492&gt;=40,"C",IF(J492&gt;=20,"D","E"))))))</f>
        <v/>
      </c>
      <c r="L492" s="15">
        <f>IF(K492="","",IF(K492="A","Cemerlang",IF(K492="B","Kepujian",IF(K492="C","Baik",IF(K492="D","Kurang Memuaskan",IF(K492="E","Tidak Memuaskan","Tidak Laksana"))))))</f>
        <v/>
      </c>
    </row>
    <row r="493">
      <c r="A493" s="15">
        <f>Murid!A493</f>
        <v/>
      </c>
      <c r="B493" s="15">
        <f>IF(Murid!B493="","",Murid!B493)</f>
        <v/>
      </c>
      <c r="C493" s="16">
        <f>IF(Murid!C493="","",Murid!C493)</f>
        <v/>
      </c>
      <c r="D493" s="15">
        <f>IF(Murid!E493="","",Murid!E493)</f>
        <v/>
      </c>
      <c r="E493" s="17">
        <f>KP!X493</f>
        <v/>
      </c>
      <c r="F493" s="17">
        <f>UB!X493</f>
        <v/>
      </c>
      <c r="G493" s="17">
        <f>SP!X493</f>
        <v/>
      </c>
      <c r="H493" s="17">
        <f>IF(COUNT(E493:G493)=0,"",ROUND((LARGE(E493:G493,1)+IF(COUNT(E493:G493)&gt;=2,LARGE(E493:G493,2),0))/2,2))</f>
        <v/>
      </c>
      <c r="I493" s="10">
        <f>Ekstra!U493</f>
        <v/>
      </c>
      <c r="J493" s="18">
        <f>IF(B493="","",IF(Murid!F493="TL","TL",IF(H493="","",MIN(100,ROUND(H493+N(I493),2)))))</f>
        <v/>
      </c>
      <c r="K493" s="19">
        <f>IF(J493="","",IF(J493="TL","TL",IF(J493&gt;=80,"A",IF(J493&gt;=60,"B",IF(J493&gt;=40,"C",IF(J493&gt;=20,"D","E"))))))</f>
        <v/>
      </c>
      <c r="L493" s="15">
        <f>IF(K493="","",IF(K493="A","Cemerlang",IF(K493="B","Kepujian",IF(K493="C","Baik",IF(K493="D","Kurang Memuaskan",IF(K493="E","Tidak Memuaskan","Tidak Laksana"))))))</f>
        <v/>
      </c>
    </row>
    <row r="494">
      <c r="A494" s="15">
        <f>Murid!A494</f>
        <v/>
      </c>
      <c r="B494" s="15">
        <f>IF(Murid!B494="","",Murid!B494)</f>
        <v/>
      </c>
      <c r="C494" s="16">
        <f>IF(Murid!C494="","",Murid!C494)</f>
        <v/>
      </c>
      <c r="D494" s="15">
        <f>IF(Murid!E494="","",Murid!E494)</f>
        <v/>
      </c>
      <c r="E494" s="17">
        <f>KP!X494</f>
        <v/>
      </c>
      <c r="F494" s="17">
        <f>UB!X494</f>
        <v/>
      </c>
      <c r="G494" s="17">
        <f>SP!X494</f>
        <v/>
      </c>
      <c r="H494" s="17">
        <f>IF(COUNT(E494:G494)=0,"",ROUND((LARGE(E494:G494,1)+IF(COUNT(E494:G494)&gt;=2,LARGE(E494:G494,2),0))/2,2))</f>
        <v/>
      </c>
      <c r="I494" s="10">
        <f>Ekstra!U494</f>
        <v/>
      </c>
      <c r="J494" s="18">
        <f>IF(B494="","",IF(Murid!F494="TL","TL",IF(H494="","",MIN(100,ROUND(H494+N(I494),2)))))</f>
        <v/>
      </c>
      <c r="K494" s="19">
        <f>IF(J494="","",IF(J494="TL","TL",IF(J494&gt;=80,"A",IF(J494&gt;=60,"B",IF(J494&gt;=40,"C",IF(J494&gt;=20,"D","E"))))))</f>
        <v/>
      </c>
      <c r="L494" s="15">
        <f>IF(K494="","",IF(K494="A","Cemerlang",IF(K494="B","Kepujian",IF(K494="C","Baik",IF(K494="D","Kurang Memuaskan",IF(K494="E","Tidak Memuaskan","Tidak Laksana"))))))</f>
        <v/>
      </c>
    </row>
    <row r="495">
      <c r="A495" s="15">
        <f>Murid!A495</f>
        <v/>
      </c>
      <c r="B495" s="15">
        <f>IF(Murid!B495="","",Murid!B495)</f>
        <v/>
      </c>
      <c r="C495" s="16">
        <f>IF(Murid!C495="","",Murid!C495)</f>
        <v/>
      </c>
      <c r="D495" s="15">
        <f>IF(Murid!E495="","",Murid!E495)</f>
        <v/>
      </c>
      <c r="E495" s="17">
        <f>KP!X495</f>
        <v/>
      </c>
      <c r="F495" s="17">
        <f>UB!X495</f>
        <v/>
      </c>
      <c r="G495" s="17">
        <f>SP!X495</f>
        <v/>
      </c>
      <c r="H495" s="17">
        <f>IF(COUNT(E495:G495)=0,"",ROUND((LARGE(E495:G495,1)+IF(COUNT(E495:G495)&gt;=2,LARGE(E495:G495,2),0))/2,2))</f>
        <v/>
      </c>
      <c r="I495" s="10">
        <f>Ekstra!U495</f>
        <v/>
      </c>
      <c r="J495" s="18">
        <f>IF(B495="","",IF(Murid!F495="TL","TL",IF(H495="","",MIN(100,ROUND(H495+N(I495),2)))))</f>
        <v/>
      </c>
      <c r="K495" s="19">
        <f>IF(J495="","",IF(J495="TL","TL",IF(J495&gt;=80,"A",IF(J495&gt;=60,"B",IF(J495&gt;=40,"C",IF(J495&gt;=20,"D","E"))))))</f>
        <v/>
      </c>
      <c r="L495" s="15">
        <f>IF(K495="","",IF(K495="A","Cemerlang",IF(K495="B","Kepujian",IF(K495="C","Baik",IF(K495="D","Kurang Memuaskan",IF(K495="E","Tidak Memuaskan","Tidak Laksana"))))))</f>
        <v/>
      </c>
    </row>
    <row r="496">
      <c r="A496" s="15">
        <f>Murid!A496</f>
        <v/>
      </c>
      <c r="B496" s="15">
        <f>IF(Murid!B496="","",Murid!B496)</f>
        <v/>
      </c>
      <c r="C496" s="16">
        <f>IF(Murid!C496="","",Murid!C496)</f>
        <v/>
      </c>
      <c r="D496" s="15">
        <f>IF(Murid!E496="","",Murid!E496)</f>
        <v/>
      </c>
      <c r="E496" s="17">
        <f>KP!X496</f>
        <v/>
      </c>
      <c r="F496" s="17">
        <f>UB!X496</f>
        <v/>
      </c>
      <c r="G496" s="17">
        <f>SP!X496</f>
        <v/>
      </c>
      <c r="H496" s="17">
        <f>IF(COUNT(E496:G496)=0,"",ROUND((LARGE(E496:G496,1)+IF(COUNT(E496:G496)&gt;=2,LARGE(E496:G496,2),0))/2,2))</f>
        <v/>
      </c>
      <c r="I496" s="10">
        <f>Ekstra!U496</f>
        <v/>
      </c>
      <c r="J496" s="18">
        <f>IF(B496="","",IF(Murid!F496="TL","TL",IF(H496="","",MIN(100,ROUND(H496+N(I496),2)))))</f>
        <v/>
      </c>
      <c r="K496" s="19">
        <f>IF(J496="","",IF(J496="TL","TL",IF(J496&gt;=80,"A",IF(J496&gt;=60,"B",IF(J496&gt;=40,"C",IF(J496&gt;=20,"D","E"))))))</f>
        <v/>
      </c>
      <c r="L496" s="15">
        <f>IF(K496="","",IF(K496="A","Cemerlang",IF(K496="B","Kepujian",IF(K496="C","Baik",IF(K496="D","Kurang Memuaskan",IF(K496="E","Tidak Memuaskan","Tidak Laksana"))))))</f>
        <v/>
      </c>
    </row>
    <row r="497">
      <c r="A497" s="15">
        <f>Murid!A497</f>
        <v/>
      </c>
      <c r="B497" s="15">
        <f>IF(Murid!B497="","",Murid!B497)</f>
        <v/>
      </c>
      <c r="C497" s="16">
        <f>IF(Murid!C497="","",Murid!C497)</f>
        <v/>
      </c>
      <c r="D497" s="15">
        <f>IF(Murid!E497="","",Murid!E497)</f>
        <v/>
      </c>
      <c r="E497" s="17">
        <f>KP!X497</f>
        <v/>
      </c>
      <c r="F497" s="17">
        <f>UB!X497</f>
        <v/>
      </c>
      <c r="G497" s="17">
        <f>SP!X497</f>
        <v/>
      </c>
      <c r="H497" s="17">
        <f>IF(COUNT(E497:G497)=0,"",ROUND((LARGE(E497:G497,1)+IF(COUNT(E497:G497)&gt;=2,LARGE(E497:G497,2),0))/2,2))</f>
        <v/>
      </c>
      <c r="I497" s="10">
        <f>Ekstra!U497</f>
        <v/>
      </c>
      <c r="J497" s="18">
        <f>IF(B497="","",IF(Murid!F497="TL","TL",IF(H497="","",MIN(100,ROUND(H497+N(I497),2)))))</f>
        <v/>
      </c>
      <c r="K497" s="19">
        <f>IF(J497="","",IF(J497="TL","TL",IF(J497&gt;=80,"A",IF(J497&gt;=60,"B",IF(J497&gt;=40,"C",IF(J497&gt;=20,"D","E"))))))</f>
        <v/>
      </c>
      <c r="L497" s="15">
        <f>IF(K497="","",IF(K497="A","Cemerlang",IF(K497="B","Kepujian",IF(K497="C","Baik",IF(K497="D","Kurang Memuaskan",IF(K497="E","Tidak Memuaskan","Tidak Laksana"))))))</f>
        <v/>
      </c>
    </row>
    <row r="498">
      <c r="A498" s="15">
        <f>Murid!A498</f>
        <v/>
      </c>
      <c r="B498" s="15">
        <f>IF(Murid!B498="","",Murid!B498)</f>
        <v/>
      </c>
      <c r="C498" s="16">
        <f>IF(Murid!C498="","",Murid!C498)</f>
        <v/>
      </c>
      <c r="D498" s="15">
        <f>IF(Murid!E498="","",Murid!E498)</f>
        <v/>
      </c>
      <c r="E498" s="17">
        <f>KP!X498</f>
        <v/>
      </c>
      <c r="F498" s="17">
        <f>UB!X498</f>
        <v/>
      </c>
      <c r="G498" s="17">
        <f>SP!X498</f>
        <v/>
      </c>
      <c r="H498" s="17">
        <f>IF(COUNT(E498:G498)=0,"",ROUND((LARGE(E498:G498,1)+IF(COUNT(E498:G498)&gt;=2,LARGE(E498:G498,2),0))/2,2))</f>
        <v/>
      </c>
      <c r="I498" s="10">
        <f>Ekstra!U498</f>
        <v/>
      </c>
      <c r="J498" s="18">
        <f>IF(B498="","",IF(Murid!F498="TL","TL",IF(H498="","",MIN(100,ROUND(H498+N(I498),2)))))</f>
        <v/>
      </c>
      <c r="K498" s="19">
        <f>IF(J498="","",IF(J498="TL","TL",IF(J498&gt;=80,"A",IF(J498&gt;=60,"B",IF(J498&gt;=40,"C",IF(J498&gt;=20,"D","E"))))))</f>
        <v/>
      </c>
      <c r="L498" s="15">
        <f>IF(K498="","",IF(K498="A","Cemerlang",IF(K498="B","Kepujian",IF(K498="C","Baik",IF(K498="D","Kurang Memuaskan",IF(K498="E","Tidak Memuaskan","Tidak Laksana"))))))</f>
        <v/>
      </c>
    </row>
    <row r="499">
      <c r="A499" s="15">
        <f>Murid!A499</f>
        <v/>
      </c>
      <c r="B499" s="15">
        <f>IF(Murid!B499="","",Murid!B499)</f>
        <v/>
      </c>
      <c r="C499" s="16">
        <f>IF(Murid!C499="","",Murid!C499)</f>
        <v/>
      </c>
      <c r="D499" s="15">
        <f>IF(Murid!E499="","",Murid!E499)</f>
        <v/>
      </c>
      <c r="E499" s="17">
        <f>KP!X499</f>
        <v/>
      </c>
      <c r="F499" s="17">
        <f>UB!X499</f>
        <v/>
      </c>
      <c r="G499" s="17">
        <f>SP!X499</f>
        <v/>
      </c>
      <c r="H499" s="17">
        <f>IF(COUNT(E499:G499)=0,"",ROUND((LARGE(E499:G499,1)+IF(COUNT(E499:G499)&gt;=2,LARGE(E499:G499,2),0))/2,2))</f>
        <v/>
      </c>
      <c r="I499" s="10">
        <f>Ekstra!U499</f>
        <v/>
      </c>
      <c r="J499" s="18">
        <f>IF(B499="","",IF(Murid!F499="TL","TL",IF(H499="","",MIN(100,ROUND(H499+N(I499),2)))))</f>
        <v/>
      </c>
      <c r="K499" s="19">
        <f>IF(J499="","",IF(J499="TL","TL",IF(J499&gt;=80,"A",IF(J499&gt;=60,"B",IF(J499&gt;=40,"C",IF(J499&gt;=20,"D","E"))))))</f>
        <v/>
      </c>
      <c r="L499" s="15">
        <f>IF(K499="","",IF(K499="A","Cemerlang",IF(K499="B","Kepujian",IF(K499="C","Baik",IF(K499="D","Kurang Memuaskan",IF(K499="E","Tidak Memuaskan","Tidak Laksana"))))))</f>
        <v/>
      </c>
    </row>
    <row r="500">
      <c r="A500" s="15">
        <f>Murid!A500</f>
        <v/>
      </c>
      <c r="B500" s="15">
        <f>IF(Murid!B500="","",Murid!B500)</f>
        <v/>
      </c>
      <c r="C500" s="16">
        <f>IF(Murid!C500="","",Murid!C500)</f>
        <v/>
      </c>
      <c r="D500" s="15">
        <f>IF(Murid!E500="","",Murid!E500)</f>
        <v/>
      </c>
      <c r="E500" s="17">
        <f>KP!X500</f>
        <v/>
      </c>
      <c r="F500" s="17">
        <f>UB!X500</f>
        <v/>
      </c>
      <c r="G500" s="17">
        <f>SP!X500</f>
        <v/>
      </c>
      <c r="H500" s="17">
        <f>IF(COUNT(E500:G500)=0,"",ROUND((LARGE(E500:G500,1)+IF(COUNT(E500:G500)&gt;=2,LARGE(E500:G500,2),0))/2,2))</f>
        <v/>
      </c>
      <c r="I500" s="10">
        <f>Ekstra!U500</f>
        <v/>
      </c>
      <c r="J500" s="18">
        <f>IF(B500="","",IF(Murid!F500="TL","TL",IF(H500="","",MIN(100,ROUND(H500+N(I500),2)))))</f>
        <v/>
      </c>
      <c r="K500" s="19">
        <f>IF(J500="","",IF(J500="TL","TL",IF(J500&gt;=80,"A",IF(J500&gt;=60,"B",IF(J500&gt;=40,"C",IF(J500&gt;=20,"D","E"))))))</f>
        <v/>
      </c>
      <c r="L500" s="15">
        <f>IF(K500="","",IF(K500="A","Cemerlang",IF(K500="B","Kepujian",IF(K500="C","Baik",IF(K500="D","Kurang Memuaskan",IF(K500="E","Tidak Memuaskan","Tidak Laksana"))))))</f>
        <v/>
      </c>
    </row>
    <row r="501">
      <c r="A501" s="15">
        <f>Murid!A501</f>
        <v/>
      </c>
      <c r="B501" s="15">
        <f>IF(Murid!B501="","",Murid!B501)</f>
        <v/>
      </c>
      <c r="C501" s="16">
        <f>IF(Murid!C501="","",Murid!C501)</f>
        <v/>
      </c>
      <c r="D501" s="15">
        <f>IF(Murid!E501="","",Murid!E501)</f>
        <v/>
      </c>
      <c r="E501" s="17">
        <f>KP!X501</f>
        <v/>
      </c>
      <c r="F501" s="17">
        <f>UB!X501</f>
        <v/>
      </c>
      <c r="G501" s="17">
        <f>SP!X501</f>
        <v/>
      </c>
      <c r="H501" s="17">
        <f>IF(COUNT(E501:G501)=0,"",ROUND((LARGE(E501:G501,1)+IF(COUNT(E501:G501)&gt;=2,LARGE(E501:G501,2),0))/2,2))</f>
        <v/>
      </c>
      <c r="I501" s="10">
        <f>Ekstra!U501</f>
        <v/>
      </c>
      <c r="J501" s="18">
        <f>IF(B501="","",IF(Murid!F501="TL","TL",IF(H501="","",MIN(100,ROUND(H501+N(I501),2)))))</f>
        <v/>
      </c>
      <c r="K501" s="19">
        <f>IF(J501="","",IF(J501="TL","TL",IF(J501&gt;=80,"A",IF(J501&gt;=60,"B",IF(J501&gt;=40,"C",IF(J501&gt;=20,"D","E"))))))</f>
        <v/>
      </c>
      <c r="L501" s="15">
        <f>IF(K501="","",IF(K501="A","Cemerlang",IF(K501="B","Kepujian",IF(K501="C","Baik",IF(K501="D","Kurang Memuaskan",IF(K501="E","Tidak Memuaskan","Tidak Laksana"))))))</f>
        <v/>
      </c>
    </row>
    <row r="502">
      <c r="A502" s="15">
        <f>Murid!A502</f>
        <v/>
      </c>
      <c r="B502" s="15">
        <f>IF(Murid!B502="","",Murid!B502)</f>
        <v/>
      </c>
      <c r="C502" s="16">
        <f>IF(Murid!C502="","",Murid!C502)</f>
        <v/>
      </c>
      <c r="D502" s="15">
        <f>IF(Murid!E502="","",Murid!E502)</f>
        <v/>
      </c>
      <c r="E502" s="17">
        <f>KP!X502</f>
        <v/>
      </c>
      <c r="F502" s="17">
        <f>UB!X502</f>
        <v/>
      </c>
      <c r="G502" s="17">
        <f>SP!X502</f>
        <v/>
      </c>
      <c r="H502" s="17">
        <f>IF(COUNT(E502:G502)=0,"",ROUND((LARGE(E502:G502,1)+IF(COUNT(E502:G502)&gt;=2,LARGE(E502:G502,2),0))/2,2))</f>
        <v/>
      </c>
      <c r="I502" s="10">
        <f>Ekstra!U502</f>
        <v/>
      </c>
      <c r="J502" s="18">
        <f>IF(B502="","",IF(Murid!F502="TL","TL",IF(H502="","",MIN(100,ROUND(H502+N(I502),2)))))</f>
        <v/>
      </c>
      <c r="K502" s="19">
        <f>IF(J502="","",IF(J502="TL","TL",IF(J502&gt;=80,"A",IF(J502&gt;=60,"B",IF(J502&gt;=40,"C",IF(J502&gt;=20,"D","E"))))))</f>
        <v/>
      </c>
      <c r="L502" s="15">
        <f>IF(K502="","",IF(K502="A","Cemerlang",IF(K502="B","Kepujian",IF(K502="C","Baik",IF(K502="D","Kurang Memuaskan",IF(K502="E","Tidak Memuaskan","Tidak Laksana"))))))</f>
        <v/>
      </c>
    </row>
    <row r="503">
      <c r="A503" s="15">
        <f>Murid!A503</f>
        <v/>
      </c>
      <c r="B503" s="15">
        <f>IF(Murid!B503="","",Murid!B503)</f>
        <v/>
      </c>
      <c r="C503" s="16">
        <f>IF(Murid!C503="","",Murid!C503)</f>
        <v/>
      </c>
      <c r="D503" s="15">
        <f>IF(Murid!E503="","",Murid!E503)</f>
        <v/>
      </c>
      <c r="E503" s="17">
        <f>KP!X503</f>
        <v/>
      </c>
      <c r="F503" s="17">
        <f>UB!X503</f>
        <v/>
      </c>
      <c r="G503" s="17">
        <f>SP!X503</f>
        <v/>
      </c>
      <c r="H503" s="17">
        <f>IF(COUNT(E503:G503)=0,"",ROUND((LARGE(E503:G503,1)+IF(COUNT(E503:G503)&gt;=2,LARGE(E503:G503,2),0))/2,2))</f>
        <v/>
      </c>
      <c r="I503" s="10">
        <f>Ekstra!U503</f>
        <v/>
      </c>
      <c r="J503" s="18">
        <f>IF(B503="","",IF(Murid!F503="TL","TL",IF(H503="","",MIN(100,ROUND(H503+N(I503),2)))))</f>
        <v/>
      </c>
      <c r="K503" s="19">
        <f>IF(J503="","",IF(J503="TL","TL",IF(J503&gt;=80,"A",IF(J503&gt;=60,"B",IF(J503&gt;=40,"C",IF(J503&gt;=20,"D","E"))))))</f>
        <v/>
      </c>
      <c r="L503" s="15">
        <f>IF(K503="","",IF(K503="A","Cemerlang",IF(K503="B","Kepujian",IF(K503="C","Baik",IF(K503="D","Kurang Memuaskan",IF(K503="E","Tidak Memuaskan","Tidak Laksana"))))))</f>
        <v/>
      </c>
    </row>
    <row r="504">
      <c r="A504" s="15">
        <f>Murid!A504</f>
        <v/>
      </c>
      <c r="B504" s="15">
        <f>IF(Murid!B504="","",Murid!B504)</f>
        <v/>
      </c>
      <c r="C504" s="16">
        <f>IF(Murid!C504="","",Murid!C504)</f>
        <v/>
      </c>
      <c r="D504" s="15">
        <f>IF(Murid!E504="","",Murid!E504)</f>
        <v/>
      </c>
      <c r="E504" s="17">
        <f>KP!X504</f>
        <v/>
      </c>
      <c r="F504" s="17">
        <f>UB!X504</f>
        <v/>
      </c>
      <c r="G504" s="17">
        <f>SP!X504</f>
        <v/>
      </c>
      <c r="H504" s="17">
        <f>IF(COUNT(E504:G504)=0,"",ROUND((LARGE(E504:G504,1)+IF(COUNT(E504:G504)&gt;=2,LARGE(E504:G504,2),0))/2,2))</f>
        <v/>
      </c>
      <c r="I504" s="10">
        <f>Ekstra!U504</f>
        <v/>
      </c>
      <c r="J504" s="18">
        <f>IF(B504="","",IF(Murid!F504="TL","TL",IF(H504="","",MIN(100,ROUND(H504+N(I504),2)))))</f>
        <v/>
      </c>
      <c r="K504" s="19">
        <f>IF(J504="","",IF(J504="TL","TL",IF(J504&gt;=80,"A",IF(J504&gt;=60,"B",IF(J504&gt;=40,"C",IF(J504&gt;=20,"D","E"))))))</f>
        <v/>
      </c>
      <c r="L504" s="15">
        <f>IF(K504="","",IF(K504="A","Cemerlang",IF(K504="B","Kepujian",IF(K504="C","Baik",IF(K504="D","Kurang Memuaskan",IF(K504="E","Tidak Memuaskan","Tidak Laksana"))))))</f>
        <v/>
      </c>
    </row>
    <row r="505">
      <c r="A505" s="15">
        <f>Murid!A505</f>
        <v/>
      </c>
      <c r="B505" s="15">
        <f>IF(Murid!B505="","",Murid!B505)</f>
        <v/>
      </c>
      <c r="C505" s="16">
        <f>IF(Murid!C505="","",Murid!C505)</f>
        <v/>
      </c>
      <c r="D505" s="15">
        <f>IF(Murid!E505="","",Murid!E505)</f>
        <v/>
      </c>
      <c r="E505" s="17">
        <f>KP!X505</f>
        <v/>
      </c>
      <c r="F505" s="17">
        <f>UB!X505</f>
        <v/>
      </c>
      <c r="G505" s="17">
        <f>SP!X505</f>
        <v/>
      </c>
      <c r="H505" s="17">
        <f>IF(COUNT(E505:G505)=0,"",ROUND((LARGE(E505:G505,1)+IF(COUNT(E505:G505)&gt;=2,LARGE(E505:G505,2),0))/2,2))</f>
        <v/>
      </c>
      <c r="I505" s="10">
        <f>Ekstra!U505</f>
        <v/>
      </c>
      <c r="J505" s="18">
        <f>IF(B505="","",IF(Murid!F505="TL","TL",IF(H505="","",MIN(100,ROUND(H505+N(I505),2)))))</f>
        <v/>
      </c>
      <c r="K505" s="19">
        <f>IF(J505="","",IF(J505="TL","TL",IF(J505&gt;=80,"A",IF(J505&gt;=60,"B",IF(J505&gt;=40,"C",IF(J505&gt;=20,"D","E"))))))</f>
        <v/>
      </c>
      <c r="L505" s="15">
        <f>IF(K505="","",IF(K505="A","Cemerlang",IF(K505="B","Kepujian",IF(K505="C","Baik",IF(K505="D","Kurang Memuaskan",IF(K505="E","Tidak Memuaskan","Tidak Laksana"))))))</f>
        <v/>
      </c>
    </row>
    <row r="506">
      <c r="A506" s="15">
        <f>Murid!A506</f>
        <v/>
      </c>
      <c r="B506" s="15">
        <f>IF(Murid!B506="","",Murid!B506)</f>
        <v/>
      </c>
      <c r="C506" s="16">
        <f>IF(Murid!C506="","",Murid!C506)</f>
        <v/>
      </c>
      <c r="D506" s="15">
        <f>IF(Murid!E506="","",Murid!E506)</f>
        <v/>
      </c>
      <c r="E506" s="17">
        <f>KP!X506</f>
        <v/>
      </c>
      <c r="F506" s="17">
        <f>UB!X506</f>
        <v/>
      </c>
      <c r="G506" s="17">
        <f>SP!X506</f>
        <v/>
      </c>
      <c r="H506" s="17">
        <f>IF(COUNT(E506:G506)=0,"",ROUND((LARGE(E506:G506,1)+IF(COUNT(E506:G506)&gt;=2,LARGE(E506:G506,2),0))/2,2))</f>
        <v/>
      </c>
      <c r="I506" s="10">
        <f>Ekstra!U506</f>
        <v/>
      </c>
      <c r="J506" s="18">
        <f>IF(B506="","",IF(Murid!F506="TL","TL",IF(H506="","",MIN(100,ROUND(H506+N(I506),2)))))</f>
        <v/>
      </c>
      <c r="K506" s="19">
        <f>IF(J506="","",IF(J506="TL","TL",IF(J506&gt;=80,"A",IF(J506&gt;=60,"B",IF(J506&gt;=40,"C",IF(J506&gt;=20,"D","E"))))))</f>
        <v/>
      </c>
      <c r="L506" s="15">
        <f>IF(K506="","",IF(K506="A","Cemerlang",IF(K506="B","Kepujian",IF(K506="C","Baik",IF(K506="D","Kurang Memuaskan",IF(K506="E","Tidak Memuaskan","Tidak Laksana"))))))</f>
        <v/>
      </c>
    </row>
    <row r="507">
      <c r="A507" s="15">
        <f>Murid!A507</f>
        <v/>
      </c>
      <c r="B507" s="15">
        <f>IF(Murid!B507="","",Murid!B507)</f>
        <v/>
      </c>
      <c r="C507" s="16">
        <f>IF(Murid!C507="","",Murid!C507)</f>
        <v/>
      </c>
      <c r="D507" s="15">
        <f>IF(Murid!E507="","",Murid!E507)</f>
        <v/>
      </c>
      <c r="E507" s="17">
        <f>KP!X507</f>
        <v/>
      </c>
      <c r="F507" s="17">
        <f>UB!X507</f>
        <v/>
      </c>
      <c r="G507" s="17">
        <f>SP!X507</f>
        <v/>
      </c>
      <c r="H507" s="17">
        <f>IF(COUNT(E507:G507)=0,"",ROUND((LARGE(E507:G507,1)+IF(COUNT(E507:G507)&gt;=2,LARGE(E507:G507,2),0))/2,2))</f>
        <v/>
      </c>
      <c r="I507" s="10">
        <f>Ekstra!U507</f>
        <v/>
      </c>
      <c r="J507" s="18">
        <f>IF(B507="","",IF(Murid!F507="TL","TL",IF(H507="","",MIN(100,ROUND(H507+N(I507),2)))))</f>
        <v/>
      </c>
      <c r="K507" s="19">
        <f>IF(J507="","",IF(J507="TL","TL",IF(J507&gt;=80,"A",IF(J507&gt;=60,"B",IF(J507&gt;=40,"C",IF(J507&gt;=20,"D","E"))))))</f>
        <v/>
      </c>
      <c r="L507" s="15">
        <f>IF(K507="","",IF(K507="A","Cemerlang",IF(K507="B","Kepujian",IF(K507="C","Baik",IF(K507="D","Kurang Memuaskan",IF(K507="E","Tidak Memuaskan","Tidak Laksana"))))))</f>
        <v/>
      </c>
    </row>
    <row r="508">
      <c r="A508" s="15">
        <f>Murid!A508</f>
        <v/>
      </c>
      <c r="B508" s="15">
        <f>IF(Murid!B508="","",Murid!B508)</f>
        <v/>
      </c>
      <c r="C508" s="16">
        <f>IF(Murid!C508="","",Murid!C508)</f>
        <v/>
      </c>
      <c r="D508" s="15">
        <f>IF(Murid!E508="","",Murid!E508)</f>
        <v/>
      </c>
      <c r="E508" s="17">
        <f>KP!X508</f>
        <v/>
      </c>
      <c r="F508" s="17">
        <f>UB!X508</f>
        <v/>
      </c>
      <c r="G508" s="17">
        <f>SP!X508</f>
        <v/>
      </c>
      <c r="H508" s="17">
        <f>IF(COUNT(E508:G508)=0,"",ROUND((LARGE(E508:G508,1)+IF(COUNT(E508:G508)&gt;=2,LARGE(E508:G508,2),0))/2,2))</f>
        <v/>
      </c>
      <c r="I508" s="10">
        <f>Ekstra!U508</f>
        <v/>
      </c>
      <c r="J508" s="18">
        <f>IF(B508="","",IF(Murid!F508="TL","TL",IF(H508="","",MIN(100,ROUND(H508+N(I508),2)))))</f>
        <v/>
      </c>
      <c r="K508" s="19">
        <f>IF(J508="","",IF(J508="TL","TL",IF(J508&gt;=80,"A",IF(J508&gt;=60,"B",IF(J508&gt;=40,"C",IF(J508&gt;=20,"D","E"))))))</f>
        <v/>
      </c>
      <c r="L508" s="15">
        <f>IF(K508="","",IF(K508="A","Cemerlang",IF(K508="B","Kepujian",IF(K508="C","Baik",IF(K508="D","Kurang Memuaskan",IF(K508="E","Tidak Memuaskan","Tidak Laksana"))))))</f>
        <v/>
      </c>
    </row>
    <row r="509">
      <c r="A509" s="15">
        <f>Murid!A509</f>
        <v/>
      </c>
      <c r="B509" s="15">
        <f>IF(Murid!B509="","",Murid!B509)</f>
        <v/>
      </c>
      <c r="C509" s="16">
        <f>IF(Murid!C509="","",Murid!C509)</f>
        <v/>
      </c>
      <c r="D509" s="15">
        <f>IF(Murid!E509="","",Murid!E509)</f>
        <v/>
      </c>
      <c r="E509" s="17">
        <f>KP!X509</f>
        <v/>
      </c>
      <c r="F509" s="17">
        <f>UB!X509</f>
        <v/>
      </c>
      <c r="G509" s="17">
        <f>SP!X509</f>
        <v/>
      </c>
      <c r="H509" s="17">
        <f>IF(COUNT(E509:G509)=0,"",ROUND((LARGE(E509:G509,1)+IF(COUNT(E509:G509)&gt;=2,LARGE(E509:G509,2),0))/2,2))</f>
        <v/>
      </c>
      <c r="I509" s="10">
        <f>Ekstra!U509</f>
        <v/>
      </c>
      <c r="J509" s="18">
        <f>IF(B509="","",IF(Murid!F509="TL","TL",IF(H509="","",MIN(100,ROUND(H509+N(I509),2)))))</f>
        <v/>
      </c>
      <c r="K509" s="19">
        <f>IF(J509="","",IF(J509="TL","TL",IF(J509&gt;=80,"A",IF(J509&gt;=60,"B",IF(J509&gt;=40,"C",IF(J509&gt;=20,"D","E"))))))</f>
        <v/>
      </c>
      <c r="L509" s="15">
        <f>IF(K509="","",IF(K509="A","Cemerlang",IF(K509="B","Kepujian",IF(K509="C","Baik",IF(K509="D","Kurang Memuaskan",IF(K509="E","Tidak Memuaskan","Tidak Laksana"))))))</f>
        <v/>
      </c>
    </row>
    <row r="510">
      <c r="A510" s="15">
        <f>Murid!A510</f>
        <v/>
      </c>
      <c r="B510" s="15">
        <f>IF(Murid!B510="","",Murid!B510)</f>
        <v/>
      </c>
      <c r="C510" s="16">
        <f>IF(Murid!C510="","",Murid!C510)</f>
        <v/>
      </c>
      <c r="D510" s="15">
        <f>IF(Murid!E510="","",Murid!E510)</f>
        <v/>
      </c>
      <c r="E510" s="17">
        <f>KP!X510</f>
        <v/>
      </c>
      <c r="F510" s="17">
        <f>UB!X510</f>
        <v/>
      </c>
      <c r="G510" s="17">
        <f>SP!X510</f>
        <v/>
      </c>
      <c r="H510" s="17">
        <f>IF(COUNT(E510:G510)=0,"",ROUND((LARGE(E510:G510,1)+IF(COUNT(E510:G510)&gt;=2,LARGE(E510:G510,2),0))/2,2))</f>
        <v/>
      </c>
      <c r="I510" s="10">
        <f>Ekstra!U510</f>
        <v/>
      </c>
      <c r="J510" s="18">
        <f>IF(B510="","",IF(Murid!F510="TL","TL",IF(H510="","",MIN(100,ROUND(H510+N(I510),2)))))</f>
        <v/>
      </c>
      <c r="K510" s="19">
        <f>IF(J510="","",IF(J510="TL","TL",IF(J510&gt;=80,"A",IF(J510&gt;=60,"B",IF(J510&gt;=40,"C",IF(J510&gt;=20,"D","E"))))))</f>
        <v/>
      </c>
      <c r="L510" s="15">
        <f>IF(K510="","",IF(K510="A","Cemerlang",IF(K510="B","Kepujian",IF(K510="C","Baik",IF(K510="D","Kurang Memuaskan",IF(K510="E","Tidak Memuaskan","Tidak Laksana"))))))</f>
        <v/>
      </c>
    </row>
    <row r="511">
      <c r="A511" s="15">
        <f>Murid!A511</f>
        <v/>
      </c>
      <c r="B511" s="15">
        <f>IF(Murid!B511="","",Murid!B511)</f>
        <v/>
      </c>
      <c r="C511" s="16">
        <f>IF(Murid!C511="","",Murid!C511)</f>
        <v/>
      </c>
      <c r="D511" s="15">
        <f>IF(Murid!E511="","",Murid!E511)</f>
        <v/>
      </c>
      <c r="E511" s="17">
        <f>KP!X511</f>
        <v/>
      </c>
      <c r="F511" s="17">
        <f>UB!X511</f>
        <v/>
      </c>
      <c r="G511" s="17">
        <f>SP!X511</f>
        <v/>
      </c>
      <c r="H511" s="17">
        <f>IF(COUNT(E511:G511)=0,"",ROUND((LARGE(E511:G511,1)+IF(COUNT(E511:G511)&gt;=2,LARGE(E511:G511,2),0))/2,2))</f>
        <v/>
      </c>
      <c r="I511" s="10">
        <f>Ekstra!U511</f>
        <v/>
      </c>
      <c r="J511" s="18">
        <f>IF(B511="","",IF(Murid!F511="TL","TL",IF(H511="","",MIN(100,ROUND(H511+N(I511),2)))))</f>
        <v/>
      </c>
      <c r="K511" s="19">
        <f>IF(J511="","",IF(J511="TL","TL",IF(J511&gt;=80,"A",IF(J511&gt;=60,"B",IF(J511&gt;=40,"C",IF(J511&gt;=20,"D","E"))))))</f>
        <v/>
      </c>
      <c r="L511" s="15">
        <f>IF(K511="","",IF(K511="A","Cemerlang",IF(K511="B","Kepujian",IF(K511="C","Baik",IF(K511="D","Kurang Memuaskan",IF(K511="E","Tidak Memuaskan","Tidak Laksana"))))))</f>
        <v/>
      </c>
    </row>
    <row r="512">
      <c r="A512" s="15">
        <f>Murid!A512</f>
        <v/>
      </c>
      <c r="B512" s="15">
        <f>IF(Murid!B512="","",Murid!B512)</f>
        <v/>
      </c>
      <c r="C512" s="16">
        <f>IF(Murid!C512="","",Murid!C512)</f>
        <v/>
      </c>
      <c r="D512" s="15">
        <f>IF(Murid!E512="","",Murid!E512)</f>
        <v/>
      </c>
      <c r="E512" s="17">
        <f>KP!X512</f>
        <v/>
      </c>
      <c r="F512" s="17">
        <f>UB!X512</f>
        <v/>
      </c>
      <c r="G512" s="17">
        <f>SP!X512</f>
        <v/>
      </c>
      <c r="H512" s="17">
        <f>IF(COUNT(E512:G512)=0,"",ROUND((LARGE(E512:G512,1)+IF(COUNT(E512:G512)&gt;=2,LARGE(E512:G512,2),0))/2,2))</f>
        <v/>
      </c>
      <c r="I512" s="10">
        <f>Ekstra!U512</f>
        <v/>
      </c>
      <c r="J512" s="18">
        <f>IF(B512="","",IF(Murid!F512="TL","TL",IF(H512="","",MIN(100,ROUND(H512+N(I512),2)))))</f>
        <v/>
      </c>
      <c r="K512" s="19">
        <f>IF(J512="","",IF(J512="TL","TL",IF(J512&gt;=80,"A",IF(J512&gt;=60,"B",IF(J512&gt;=40,"C",IF(J512&gt;=20,"D","E"))))))</f>
        <v/>
      </c>
      <c r="L512" s="15">
        <f>IF(K512="","",IF(K512="A","Cemerlang",IF(K512="B","Kepujian",IF(K512="C","Baik",IF(K512="D","Kurang Memuaskan",IF(K512="E","Tidak Memuaskan","Tidak Laksana"))))))</f>
        <v/>
      </c>
    </row>
    <row r="513">
      <c r="A513" s="15">
        <f>Murid!A513</f>
        <v/>
      </c>
      <c r="B513" s="15">
        <f>IF(Murid!B513="","",Murid!B513)</f>
        <v/>
      </c>
      <c r="C513" s="16">
        <f>IF(Murid!C513="","",Murid!C513)</f>
        <v/>
      </c>
      <c r="D513" s="15">
        <f>IF(Murid!E513="","",Murid!E513)</f>
        <v/>
      </c>
      <c r="E513" s="17">
        <f>KP!X513</f>
        <v/>
      </c>
      <c r="F513" s="17">
        <f>UB!X513</f>
        <v/>
      </c>
      <c r="G513" s="17">
        <f>SP!X513</f>
        <v/>
      </c>
      <c r="H513" s="17">
        <f>IF(COUNT(E513:G513)=0,"",ROUND((LARGE(E513:G513,1)+IF(COUNT(E513:G513)&gt;=2,LARGE(E513:G513,2),0))/2,2))</f>
        <v/>
      </c>
      <c r="I513" s="10">
        <f>Ekstra!U513</f>
        <v/>
      </c>
      <c r="J513" s="18">
        <f>IF(B513="","",IF(Murid!F513="TL","TL",IF(H513="","",MIN(100,ROUND(H513+N(I513),2)))))</f>
        <v/>
      </c>
      <c r="K513" s="19">
        <f>IF(J513="","",IF(J513="TL","TL",IF(J513&gt;=80,"A",IF(J513&gt;=60,"B",IF(J513&gt;=40,"C",IF(J513&gt;=20,"D","E"))))))</f>
        <v/>
      </c>
      <c r="L513" s="15">
        <f>IF(K513="","",IF(K513="A","Cemerlang",IF(K513="B","Kepujian",IF(K513="C","Baik",IF(K513="D","Kurang Memuaskan",IF(K513="E","Tidak Memuaskan","Tidak Laksana"))))))</f>
        <v/>
      </c>
    </row>
    <row r="514">
      <c r="A514" s="15">
        <f>Murid!A514</f>
        <v/>
      </c>
      <c r="B514" s="15">
        <f>IF(Murid!B514="","",Murid!B514)</f>
        <v/>
      </c>
      <c r="C514" s="16">
        <f>IF(Murid!C514="","",Murid!C514)</f>
        <v/>
      </c>
      <c r="D514" s="15">
        <f>IF(Murid!E514="","",Murid!E514)</f>
        <v/>
      </c>
      <c r="E514" s="17">
        <f>KP!X514</f>
        <v/>
      </c>
      <c r="F514" s="17">
        <f>UB!X514</f>
        <v/>
      </c>
      <c r="G514" s="17">
        <f>SP!X514</f>
        <v/>
      </c>
      <c r="H514" s="17">
        <f>IF(COUNT(E514:G514)=0,"",ROUND((LARGE(E514:G514,1)+IF(COUNT(E514:G514)&gt;=2,LARGE(E514:G514,2),0))/2,2))</f>
        <v/>
      </c>
      <c r="I514" s="10">
        <f>Ekstra!U514</f>
        <v/>
      </c>
      <c r="J514" s="18">
        <f>IF(B514="","",IF(Murid!F514="TL","TL",IF(H514="","",MIN(100,ROUND(H514+N(I514),2)))))</f>
        <v/>
      </c>
      <c r="K514" s="19">
        <f>IF(J514="","",IF(J514="TL","TL",IF(J514&gt;=80,"A",IF(J514&gt;=60,"B",IF(J514&gt;=40,"C",IF(J514&gt;=20,"D","E"))))))</f>
        <v/>
      </c>
      <c r="L514" s="15">
        <f>IF(K514="","",IF(K514="A","Cemerlang",IF(K514="B","Kepujian",IF(K514="C","Baik",IF(K514="D","Kurang Memuaskan",IF(K514="E","Tidak Memuaskan","Tidak Laksana"))))))</f>
        <v/>
      </c>
    </row>
    <row r="515">
      <c r="A515" s="15">
        <f>Murid!A515</f>
        <v/>
      </c>
      <c r="B515" s="15">
        <f>IF(Murid!B515="","",Murid!B515)</f>
        <v/>
      </c>
      <c r="C515" s="16">
        <f>IF(Murid!C515="","",Murid!C515)</f>
        <v/>
      </c>
      <c r="D515" s="15">
        <f>IF(Murid!E515="","",Murid!E515)</f>
        <v/>
      </c>
      <c r="E515" s="17">
        <f>KP!X515</f>
        <v/>
      </c>
      <c r="F515" s="17">
        <f>UB!X515</f>
        <v/>
      </c>
      <c r="G515" s="17">
        <f>SP!X515</f>
        <v/>
      </c>
      <c r="H515" s="17">
        <f>IF(COUNT(E515:G515)=0,"",ROUND((LARGE(E515:G515,1)+IF(COUNT(E515:G515)&gt;=2,LARGE(E515:G515,2),0))/2,2))</f>
        <v/>
      </c>
      <c r="I515" s="10">
        <f>Ekstra!U515</f>
        <v/>
      </c>
      <c r="J515" s="18">
        <f>IF(B515="","",IF(Murid!F515="TL","TL",IF(H515="","",MIN(100,ROUND(H515+N(I515),2)))))</f>
        <v/>
      </c>
      <c r="K515" s="19">
        <f>IF(J515="","",IF(J515="TL","TL",IF(J515&gt;=80,"A",IF(J515&gt;=60,"B",IF(J515&gt;=40,"C",IF(J515&gt;=20,"D","E"))))))</f>
        <v/>
      </c>
      <c r="L515" s="15">
        <f>IF(K515="","",IF(K515="A","Cemerlang",IF(K515="B","Kepujian",IF(K515="C","Baik",IF(K515="D","Kurang Memuaskan",IF(K515="E","Tidak Memuaskan","Tidak Laksana"))))))</f>
        <v/>
      </c>
    </row>
    <row r="516">
      <c r="A516" s="15">
        <f>Murid!A516</f>
        <v/>
      </c>
      <c r="B516" s="15">
        <f>IF(Murid!B516="","",Murid!B516)</f>
        <v/>
      </c>
      <c r="C516" s="16">
        <f>IF(Murid!C516="","",Murid!C516)</f>
        <v/>
      </c>
      <c r="D516" s="15">
        <f>IF(Murid!E516="","",Murid!E516)</f>
        <v/>
      </c>
      <c r="E516" s="17">
        <f>KP!X516</f>
        <v/>
      </c>
      <c r="F516" s="17">
        <f>UB!X516</f>
        <v/>
      </c>
      <c r="G516" s="17">
        <f>SP!X516</f>
        <v/>
      </c>
      <c r="H516" s="17">
        <f>IF(COUNT(E516:G516)=0,"",ROUND((LARGE(E516:G516,1)+IF(COUNT(E516:G516)&gt;=2,LARGE(E516:G516,2),0))/2,2))</f>
        <v/>
      </c>
      <c r="I516" s="10">
        <f>Ekstra!U516</f>
        <v/>
      </c>
      <c r="J516" s="18">
        <f>IF(B516="","",IF(Murid!F516="TL","TL",IF(H516="","",MIN(100,ROUND(H516+N(I516),2)))))</f>
        <v/>
      </c>
      <c r="K516" s="19">
        <f>IF(J516="","",IF(J516="TL","TL",IF(J516&gt;=80,"A",IF(J516&gt;=60,"B",IF(J516&gt;=40,"C",IF(J516&gt;=20,"D","E"))))))</f>
        <v/>
      </c>
      <c r="L516" s="15">
        <f>IF(K516="","",IF(K516="A","Cemerlang",IF(K516="B","Kepujian",IF(K516="C","Baik",IF(K516="D","Kurang Memuaskan",IF(K516="E","Tidak Memuaskan","Tidak Laksana"))))))</f>
        <v/>
      </c>
    </row>
    <row r="517">
      <c r="A517" s="15">
        <f>Murid!A517</f>
        <v/>
      </c>
      <c r="B517" s="15">
        <f>IF(Murid!B517="","",Murid!B517)</f>
        <v/>
      </c>
      <c r="C517" s="16">
        <f>IF(Murid!C517="","",Murid!C517)</f>
        <v/>
      </c>
      <c r="D517" s="15">
        <f>IF(Murid!E517="","",Murid!E517)</f>
        <v/>
      </c>
      <c r="E517" s="17">
        <f>KP!X517</f>
        <v/>
      </c>
      <c r="F517" s="17">
        <f>UB!X517</f>
        <v/>
      </c>
      <c r="G517" s="17">
        <f>SP!X517</f>
        <v/>
      </c>
      <c r="H517" s="17">
        <f>IF(COUNT(E517:G517)=0,"",ROUND((LARGE(E517:G517,1)+IF(COUNT(E517:G517)&gt;=2,LARGE(E517:G517,2),0))/2,2))</f>
        <v/>
      </c>
      <c r="I517" s="10">
        <f>Ekstra!U517</f>
        <v/>
      </c>
      <c r="J517" s="18">
        <f>IF(B517="","",IF(Murid!F517="TL","TL",IF(H517="","",MIN(100,ROUND(H517+N(I517),2)))))</f>
        <v/>
      </c>
      <c r="K517" s="19">
        <f>IF(J517="","",IF(J517="TL","TL",IF(J517&gt;=80,"A",IF(J517&gt;=60,"B",IF(J517&gt;=40,"C",IF(J517&gt;=20,"D","E"))))))</f>
        <v/>
      </c>
      <c r="L517" s="15">
        <f>IF(K517="","",IF(K517="A","Cemerlang",IF(K517="B","Kepujian",IF(K517="C","Baik",IF(K517="D","Kurang Memuaskan",IF(K517="E","Tidak Memuaskan","Tidak Laksana"))))))</f>
        <v/>
      </c>
    </row>
    <row r="518">
      <c r="A518" s="15">
        <f>Murid!A518</f>
        <v/>
      </c>
      <c r="B518" s="15">
        <f>IF(Murid!B518="","",Murid!B518)</f>
        <v/>
      </c>
      <c r="C518" s="16">
        <f>IF(Murid!C518="","",Murid!C518)</f>
        <v/>
      </c>
      <c r="D518" s="15">
        <f>IF(Murid!E518="","",Murid!E518)</f>
        <v/>
      </c>
      <c r="E518" s="17">
        <f>KP!X518</f>
        <v/>
      </c>
      <c r="F518" s="17">
        <f>UB!X518</f>
        <v/>
      </c>
      <c r="G518" s="17">
        <f>SP!X518</f>
        <v/>
      </c>
      <c r="H518" s="17">
        <f>IF(COUNT(E518:G518)=0,"",ROUND((LARGE(E518:G518,1)+IF(COUNT(E518:G518)&gt;=2,LARGE(E518:G518,2),0))/2,2))</f>
        <v/>
      </c>
      <c r="I518" s="10">
        <f>Ekstra!U518</f>
        <v/>
      </c>
      <c r="J518" s="18">
        <f>IF(B518="","",IF(Murid!F518="TL","TL",IF(H518="","",MIN(100,ROUND(H518+N(I518),2)))))</f>
        <v/>
      </c>
      <c r="K518" s="19">
        <f>IF(J518="","",IF(J518="TL","TL",IF(J518&gt;=80,"A",IF(J518&gt;=60,"B",IF(J518&gt;=40,"C",IF(J518&gt;=20,"D","E"))))))</f>
        <v/>
      </c>
      <c r="L518" s="15">
        <f>IF(K518="","",IF(K518="A","Cemerlang",IF(K518="B","Kepujian",IF(K518="C","Baik",IF(K518="D","Kurang Memuaskan",IF(K518="E","Tidak Memuaskan","Tidak Laksana"))))))</f>
        <v/>
      </c>
    </row>
    <row r="519">
      <c r="A519" s="15">
        <f>Murid!A519</f>
        <v/>
      </c>
      <c r="B519" s="15">
        <f>IF(Murid!B519="","",Murid!B519)</f>
        <v/>
      </c>
      <c r="C519" s="16">
        <f>IF(Murid!C519="","",Murid!C519)</f>
        <v/>
      </c>
      <c r="D519" s="15">
        <f>IF(Murid!E519="","",Murid!E519)</f>
        <v/>
      </c>
      <c r="E519" s="17">
        <f>KP!X519</f>
        <v/>
      </c>
      <c r="F519" s="17">
        <f>UB!X519</f>
        <v/>
      </c>
      <c r="G519" s="17">
        <f>SP!X519</f>
        <v/>
      </c>
      <c r="H519" s="17">
        <f>IF(COUNT(E519:G519)=0,"",ROUND((LARGE(E519:G519,1)+IF(COUNT(E519:G519)&gt;=2,LARGE(E519:G519,2),0))/2,2))</f>
        <v/>
      </c>
      <c r="I519" s="10">
        <f>Ekstra!U519</f>
        <v/>
      </c>
      <c r="J519" s="18">
        <f>IF(B519="","",IF(Murid!F519="TL","TL",IF(H519="","",MIN(100,ROUND(H519+N(I519),2)))))</f>
        <v/>
      </c>
      <c r="K519" s="19">
        <f>IF(J519="","",IF(J519="TL","TL",IF(J519&gt;=80,"A",IF(J519&gt;=60,"B",IF(J519&gt;=40,"C",IF(J519&gt;=20,"D","E"))))))</f>
        <v/>
      </c>
      <c r="L519" s="15">
        <f>IF(K519="","",IF(K519="A","Cemerlang",IF(K519="B","Kepujian",IF(K519="C","Baik",IF(K519="D","Kurang Memuaskan",IF(K519="E","Tidak Memuaskan","Tidak Laksana"))))))</f>
        <v/>
      </c>
    </row>
    <row r="520">
      <c r="A520" s="15">
        <f>Murid!A520</f>
        <v/>
      </c>
      <c r="B520" s="15">
        <f>IF(Murid!B520="","",Murid!B520)</f>
        <v/>
      </c>
      <c r="C520" s="16">
        <f>IF(Murid!C520="","",Murid!C520)</f>
        <v/>
      </c>
      <c r="D520" s="15">
        <f>IF(Murid!E520="","",Murid!E520)</f>
        <v/>
      </c>
      <c r="E520" s="17">
        <f>KP!X520</f>
        <v/>
      </c>
      <c r="F520" s="17">
        <f>UB!X520</f>
        <v/>
      </c>
      <c r="G520" s="17">
        <f>SP!X520</f>
        <v/>
      </c>
      <c r="H520" s="17">
        <f>IF(COUNT(E520:G520)=0,"",ROUND((LARGE(E520:G520,1)+IF(COUNT(E520:G520)&gt;=2,LARGE(E520:G520,2),0))/2,2))</f>
        <v/>
      </c>
      <c r="I520" s="10">
        <f>Ekstra!U520</f>
        <v/>
      </c>
      <c r="J520" s="18">
        <f>IF(B520="","",IF(Murid!F520="TL","TL",IF(H520="","",MIN(100,ROUND(H520+N(I520),2)))))</f>
        <v/>
      </c>
      <c r="K520" s="19">
        <f>IF(J520="","",IF(J520="TL","TL",IF(J520&gt;=80,"A",IF(J520&gt;=60,"B",IF(J520&gt;=40,"C",IF(J520&gt;=20,"D","E"))))))</f>
        <v/>
      </c>
      <c r="L520" s="15">
        <f>IF(K520="","",IF(K520="A","Cemerlang",IF(K520="B","Kepujian",IF(K520="C","Baik",IF(K520="D","Kurang Memuaskan",IF(K520="E","Tidak Memuaskan","Tidak Laksana"))))))</f>
        <v/>
      </c>
    </row>
    <row r="521">
      <c r="A521" s="15">
        <f>Murid!A521</f>
        <v/>
      </c>
      <c r="B521" s="15">
        <f>IF(Murid!B521="","",Murid!B521)</f>
        <v/>
      </c>
      <c r="C521" s="16">
        <f>IF(Murid!C521="","",Murid!C521)</f>
        <v/>
      </c>
      <c r="D521" s="15">
        <f>IF(Murid!E521="","",Murid!E521)</f>
        <v/>
      </c>
      <c r="E521" s="17">
        <f>KP!X521</f>
        <v/>
      </c>
      <c r="F521" s="17">
        <f>UB!X521</f>
        <v/>
      </c>
      <c r="G521" s="17">
        <f>SP!X521</f>
        <v/>
      </c>
      <c r="H521" s="17">
        <f>IF(COUNT(E521:G521)=0,"",ROUND((LARGE(E521:G521,1)+IF(COUNT(E521:G521)&gt;=2,LARGE(E521:G521,2),0))/2,2))</f>
        <v/>
      </c>
      <c r="I521" s="10">
        <f>Ekstra!U521</f>
        <v/>
      </c>
      <c r="J521" s="18">
        <f>IF(B521="","",IF(Murid!F521="TL","TL",IF(H521="","",MIN(100,ROUND(H521+N(I521),2)))))</f>
        <v/>
      </c>
      <c r="K521" s="19">
        <f>IF(J521="","",IF(J521="TL","TL",IF(J521&gt;=80,"A",IF(J521&gt;=60,"B",IF(J521&gt;=40,"C",IF(J521&gt;=20,"D","E"))))))</f>
        <v/>
      </c>
      <c r="L521" s="15">
        <f>IF(K521="","",IF(K521="A","Cemerlang",IF(K521="B","Kepujian",IF(K521="C","Baik",IF(K521="D","Kurang Memuaskan",IF(K521="E","Tidak Memuaskan","Tidak Laksana"))))))</f>
        <v/>
      </c>
    </row>
    <row r="522">
      <c r="A522" s="15">
        <f>Murid!A522</f>
        <v/>
      </c>
      <c r="B522" s="15">
        <f>IF(Murid!B522="","",Murid!B522)</f>
        <v/>
      </c>
      <c r="C522" s="16">
        <f>IF(Murid!C522="","",Murid!C522)</f>
        <v/>
      </c>
      <c r="D522" s="15">
        <f>IF(Murid!E522="","",Murid!E522)</f>
        <v/>
      </c>
      <c r="E522" s="17">
        <f>KP!X522</f>
        <v/>
      </c>
      <c r="F522" s="17">
        <f>UB!X522</f>
        <v/>
      </c>
      <c r="G522" s="17">
        <f>SP!X522</f>
        <v/>
      </c>
      <c r="H522" s="17">
        <f>IF(COUNT(E522:G522)=0,"",ROUND((LARGE(E522:G522,1)+IF(COUNT(E522:G522)&gt;=2,LARGE(E522:G522,2),0))/2,2))</f>
        <v/>
      </c>
      <c r="I522" s="10">
        <f>Ekstra!U522</f>
        <v/>
      </c>
      <c r="J522" s="18">
        <f>IF(B522="","",IF(Murid!F522="TL","TL",IF(H522="","",MIN(100,ROUND(H522+N(I522),2)))))</f>
        <v/>
      </c>
      <c r="K522" s="19">
        <f>IF(J522="","",IF(J522="TL","TL",IF(J522&gt;=80,"A",IF(J522&gt;=60,"B",IF(J522&gt;=40,"C",IF(J522&gt;=20,"D","E"))))))</f>
        <v/>
      </c>
      <c r="L522" s="15">
        <f>IF(K522="","",IF(K522="A","Cemerlang",IF(K522="B","Kepujian",IF(K522="C","Baik",IF(K522="D","Kurang Memuaskan",IF(K522="E","Tidak Memuaskan","Tidak Laksana"))))))</f>
        <v/>
      </c>
    </row>
    <row r="523">
      <c r="A523" s="15">
        <f>Murid!A523</f>
        <v/>
      </c>
      <c r="B523" s="15">
        <f>IF(Murid!B523="","",Murid!B523)</f>
        <v/>
      </c>
      <c r="C523" s="16">
        <f>IF(Murid!C523="","",Murid!C523)</f>
        <v/>
      </c>
      <c r="D523" s="15">
        <f>IF(Murid!E523="","",Murid!E523)</f>
        <v/>
      </c>
      <c r="E523" s="17">
        <f>KP!X523</f>
        <v/>
      </c>
      <c r="F523" s="17">
        <f>UB!X523</f>
        <v/>
      </c>
      <c r="G523" s="17">
        <f>SP!X523</f>
        <v/>
      </c>
      <c r="H523" s="17">
        <f>IF(COUNT(E523:G523)=0,"",ROUND((LARGE(E523:G523,1)+IF(COUNT(E523:G523)&gt;=2,LARGE(E523:G523,2),0))/2,2))</f>
        <v/>
      </c>
      <c r="I523" s="10">
        <f>Ekstra!U523</f>
        <v/>
      </c>
      <c r="J523" s="18">
        <f>IF(B523="","",IF(Murid!F523="TL","TL",IF(H523="","",MIN(100,ROUND(H523+N(I523),2)))))</f>
        <v/>
      </c>
      <c r="K523" s="19">
        <f>IF(J523="","",IF(J523="TL","TL",IF(J523&gt;=80,"A",IF(J523&gt;=60,"B",IF(J523&gt;=40,"C",IF(J523&gt;=20,"D","E"))))))</f>
        <v/>
      </c>
      <c r="L523" s="15">
        <f>IF(K523="","",IF(K523="A","Cemerlang",IF(K523="B","Kepujian",IF(K523="C","Baik",IF(K523="D","Kurang Memuaskan",IF(K523="E","Tidak Memuaskan","Tidak Laksana"))))))</f>
        <v/>
      </c>
    </row>
    <row r="524">
      <c r="A524" s="15">
        <f>Murid!A524</f>
        <v/>
      </c>
      <c r="B524" s="15">
        <f>IF(Murid!B524="","",Murid!B524)</f>
        <v/>
      </c>
      <c r="C524" s="16">
        <f>IF(Murid!C524="","",Murid!C524)</f>
        <v/>
      </c>
      <c r="D524" s="15">
        <f>IF(Murid!E524="","",Murid!E524)</f>
        <v/>
      </c>
      <c r="E524" s="17">
        <f>KP!X524</f>
        <v/>
      </c>
      <c r="F524" s="17">
        <f>UB!X524</f>
        <v/>
      </c>
      <c r="G524" s="17">
        <f>SP!X524</f>
        <v/>
      </c>
      <c r="H524" s="17">
        <f>IF(COUNT(E524:G524)=0,"",ROUND((LARGE(E524:G524,1)+IF(COUNT(E524:G524)&gt;=2,LARGE(E524:G524,2),0))/2,2))</f>
        <v/>
      </c>
      <c r="I524" s="10">
        <f>Ekstra!U524</f>
        <v/>
      </c>
      <c r="J524" s="18">
        <f>IF(B524="","",IF(Murid!F524="TL","TL",IF(H524="","",MIN(100,ROUND(H524+N(I524),2)))))</f>
        <v/>
      </c>
      <c r="K524" s="19">
        <f>IF(J524="","",IF(J524="TL","TL",IF(J524&gt;=80,"A",IF(J524&gt;=60,"B",IF(J524&gt;=40,"C",IF(J524&gt;=20,"D","E"))))))</f>
        <v/>
      </c>
      <c r="L524" s="15">
        <f>IF(K524="","",IF(K524="A","Cemerlang",IF(K524="B","Kepujian",IF(K524="C","Baik",IF(K524="D","Kurang Memuaskan",IF(K524="E","Tidak Memuaskan","Tidak Laksana"))))))</f>
        <v/>
      </c>
    </row>
    <row r="525">
      <c r="A525" s="15">
        <f>Murid!A525</f>
        <v/>
      </c>
      <c r="B525" s="15">
        <f>IF(Murid!B525="","",Murid!B525)</f>
        <v/>
      </c>
      <c r="C525" s="16">
        <f>IF(Murid!C525="","",Murid!C525)</f>
        <v/>
      </c>
      <c r="D525" s="15">
        <f>IF(Murid!E525="","",Murid!E525)</f>
        <v/>
      </c>
      <c r="E525" s="17">
        <f>KP!X525</f>
        <v/>
      </c>
      <c r="F525" s="17">
        <f>UB!X525</f>
        <v/>
      </c>
      <c r="G525" s="17">
        <f>SP!X525</f>
        <v/>
      </c>
      <c r="H525" s="17">
        <f>IF(COUNT(E525:G525)=0,"",ROUND((LARGE(E525:G525,1)+IF(COUNT(E525:G525)&gt;=2,LARGE(E525:G525,2),0))/2,2))</f>
        <v/>
      </c>
      <c r="I525" s="10">
        <f>Ekstra!U525</f>
        <v/>
      </c>
      <c r="J525" s="18">
        <f>IF(B525="","",IF(Murid!F525="TL","TL",IF(H525="","",MIN(100,ROUND(H525+N(I525),2)))))</f>
        <v/>
      </c>
      <c r="K525" s="19">
        <f>IF(J525="","",IF(J525="TL","TL",IF(J525&gt;=80,"A",IF(J525&gt;=60,"B",IF(J525&gt;=40,"C",IF(J525&gt;=20,"D","E"))))))</f>
        <v/>
      </c>
      <c r="L525" s="15">
        <f>IF(K525="","",IF(K525="A","Cemerlang",IF(K525="B","Kepujian",IF(K525="C","Baik",IF(K525="D","Kurang Memuaskan",IF(K525="E","Tidak Memuaskan","Tidak Laksana"))))))</f>
        <v/>
      </c>
    </row>
    <row r="526">
      <c r="A526" s="15">
        <f>Murid!A526</f>
        <v/>
      </c>
      <c r="B526" s="15">
        <f>IF(Murid!B526="","",Murid!B526)</f>
        <v/>
      </c>
      <c r="C526" s="16">
        <f>IF(Murid!C526="","",Murid!C526)</f>
        <v/>
      </c>
      <c r="D526" s="15">
        <f>IF(Murid!E526="","",Murid!E526)</f>
        <v/>
      </c>
      <c r="E526" s="17">
        <f>KP!X526</f>
        <v/>
      </c>
      <c r="F526" s="17">
        <f>UB!X526</f>
        <v/>
      </c>
      <c r="G526" s="17">
        <f>SP!X526</f>
        <v/>
      </c>
      <c r="H526" s="17">
        <f>IF(COUNT(E526:G526)=0,"",ROUND((LARGE(E526:G526,1)+IF(COUNT(E526:G526)&gt;=2,LARGE(E526:G526,2),0))/2,2))</f>
        <v/>
      </c>
      <c r="I526" s="10">
        <f>Ekstra!U526</f>
        <v/>
      </c>
      <c r="J526" s="18">
        <f>IF(B526="","",IF(Murid!F526="TL","TL",IF(H526="","",MIN(100,ROUND(H526+N(I526),2)))))</f>
        <v/>
      </c>
      <c r="K526" s="19">
        <f>IF(J526="","",IF(J526="TL","TL",IF(J526&gt;=80,"A",IF(J526&gt;=60,"B",IF(J526&gt;=40,"C",IF(J526&gt;=20,"D","E"))))))</f>
        <v/>
      </c>
      <c r="L526" s="15">
        <f>IF(K526="","",IF(K526="A","Cemerlang",IF(K526="B","Kepujian",IF(K526="C","Baik",IF(K526="D","Kurang Memuaskan",IF(K526="E","Tidak Memuaskan","Tidak Laksana"))))))</f>
        <v/>
      </c>
    </row>
    <row r="527">
      <c r="A527" s="15">
        <f>Murid!A527</f>
        <v/>
      </c>
      <c r="B527" s="15">
        <f>IF(Murid!B527="","",Murid!B527)</f>
        <v/>
      </c>
      <c r="C527" s="16">
        <f>IF(Murid!C527="","",Murid!C527)</f>
        <v/>
      </c>
      <c r="D527" s="15">
        <f>IF(Murid!E527="","",Murid!E527)</f>
        <v/>
      </c>
      <c r="E527" s="17">
        <f>KP!X527</f>
        <v/>
      </c>
      <c r="F527" s="17">
        <f>UB!X527</f>
        <v/>
      </c>
      <c r="G527" s="17">
        <f>SP!X527</f>
        <v/>
      </c>
      <c r="H527" s="17">
        <f>IF(COUNT(E527:G527)=0,"",ROUND((LARGE(E527:G527,1)+IF(COUNT(E527:G527)&gt;=2,LARGE(E527:G527,2),0))/2,2))</f>
        <v/>
      </c>
      <c r="I527" s="10">
        <f>Ekstra!U527</f>
        <v/>
      </c>
      <c r="J527" s="18">
        <f>IF(B527="","",IF(Murid!F527="TL","TL",IF(H527="","",MIN(100,ROUND(H527+N(I527),2)))))</f>
        <v/>
      </c>
      <c r="K527" s="19">
        <f>IF(J527="","",IF(J527="TL","TL",IF(J527&gt;=80,"A",IF(J527&gt;=60,"B",IF(J527&gt;=40,"C",IF(J527&gt;=20,"D","E"))))))</f>
        <v/>
      </c>
      <c r="L527" s="15">
        <f>IF(K527="","",IF(K527="A","Cemerlang",IF(K527="B","Kepujian",IF(K527="C","Baik",IF(K527="D","Kurang Memuaskan",IF(K527="E","Tidak Memuaskan","Tidak Laksana"))))))</f>
        <v/>
      </c>
    </row>
    <row r="528">
      <c r="A528" s="15">
        <f>Murid!A528</f>
        <v/>
      </c>
      <c r="B528" s="15">
        <f>IF(Murid!B528="","",Murid!B528)</f>
        <v/>
      </c>
      <c r="C528" s="16">
        <f>IF(Murid!C528="","",Murid!C528)</f>
        <v/>
      </c>
      <c r="D528" s="15">
        <f>IF(Murid!E528="","",Murid!E528)</f>
        <v/>
      </c>
      <c r="E528" s="17">
        <f>KP!X528</f>
        <v/>
      </c>
      <c r="F528" s="17">
        <f>UB!X528</f>
        <v/>
      </c>
      <c r="G528" s="17">
        <f>SP!X528</f>
        <v/>
      </c>
      <c r="H528" s="17">
        <f>IF(COUNT(E528:G528)=0,"",ROUND((LARGE(E528:G528,1)+IF(COUNT(E528:G528)&gt;=2,LARGE(E528:G528,2),0))/2,2))</f>
        <v/>
      </c>
      <c r="I528" s="10">
        <f>Ekstra!U528</f>
        <v/>
      </c>
      <c r="J528" s="18">
        <f>IF(B528="","",IF(Murid!F528="TL","TL",IF(H528="","",MIN(100,ROUND(H528+N(I528),2)))))</f>
        <v/>
      </c>
      <c r="K528" s="19">
        <f>IF(J528="","",IF(J528="TL","TL",IF(J528&gt;=80,"A",IF(J528&gt;=60,"B",IF(J528&gt;=40,"C",IF(J528&gt;=20,"D","E"))))))</f>
        <v/>
      </c>
      <c r="L528" s="15">
        <f>IF(K528="","",IF(K528="A","Cemerlang",IF(K528="B","Kepujian",IF(K528="C","Baik",IF(K528="D","Kurang Memuaskan",IF(K528="E","Tidak Memuaskan","Tidak Laksana"))))))</f>
        <v/>
      </c>
    </row>
    <row r="529">
      <c r="A529" s="15">
        <f>Murid!A529</f>
        <v/>
      </c>
      <c r="B529" s="15">
        <f>IF(Murid!B529="","",Murid!B529)</f>
        <v/>
      </c>
      <c r="C529" s="16">
        <f>IF(Murid!C529="","",Murid!C529)</f>
        <v/>
      </c>
      <c r="D529" s="15">
        <f>IF(Murid!E529="","",Murid!E529)</f>
        <v/>
      </c>
      <c r="E529" s="17">
        <f>KP!X529</f>
        <v/>
      </c>
      <c r="F529" s="17">
        <f>UB!X529</f>
        <v/>
      </c>
      <c r="G529" s="17">
        <f>SP!X529</f>
        <v/>
      </c>
      <c r="H529" s="17">
        <f>IF(COUNT(E529:G529)=0,"",ROUND((LARGE(E529:G529,1)+IF(COUNT(E529:G529)&gt;=2,LARGE(E529:G529,2),0))/2,2))</f>
        <v/>
      </c>
      <c r="I529" s="10">
        <f>Ekstra!U529</f>
        <v/>
      </c>
      <c r="J529" s="18">
        <f>IF(B529="","",IF(Murid!F529="TL","TL",IF(H529="","",MIN(100,ROUND(H529+N(I529),2)))))</f>
        <v/>
      </c>
      <c r="K529" s="19">
        <f>IF(J529="","",IF(J529="TL","TL",IF(J529&gt;=80,"A",IF(J529&gt;=60,"B",IF(J529&gt;=40,"C",IF(J529&gt;=20,"D","E"))))))</f>
        <v/>
      </c>
      <c r="L529" s="15">
        <f>IF(K529="","",IF(K529="A","Cemerlang",IF(K529="B","Kepujian",IF(K529="C","Baik",IF(K529="D","Kurang Memuaskan",IF(K529="E","Tidak Memuaskan","Tidak Laksana"))))))</f>
        <v/>
      </c>
    </row>
    <row r="530">
      <c r="A530" s="15">
        <f>Murid!A530</f>
        <v/>
      </c>
      <c r="B530" s="15">
        <f>IF(Murid!B530="","",Murid!B530)</f>
        <v/>
      </c>
      <c r="C530" s="16">
        <f>IF(Murid!C530="","",Murid!C530)</f>
        <v/>
      </c>
      <c r="D530" s="15">
        <f>IF(Murid!E530="","",Murid!E530)</f>
        <v/>
      </c>
      <c r="E530" s="17">
        <f>KP!X530</f>
        <v/>
      </c>
      <c r="F530" s="17">
        <f>UB!X530</f>
        <v/>
      </c>
      <c r="G530" s="17">
        <f>SP!X530</f>
        <v/>
      </c>
      <c r="H530" s="17">
        <f>IF(COUNT(E530:G530)=0,"",ROUND((LARGE(E530:G530,1)+IF(COUNT(E530:G530)&gt;=2,LARGE(E530:G530,2),0))/2,2))</f>
        <v/>
      </c>
      <c r="I530" s="10">
        <f>Ekstra!U530</f>
        <v/>
      </c>
      <c r="J530" s="18">
        <f>IF(B530="","",IF(Murid!F530="TL","TL",IF(H530="","",MIN(100,ROUND(H530+N(I530),2)))))</f>
        <v/>
      </c>
      <c r="K530" s="19">
        <f>IF(J530="","",IF(J530="TL","TL",IF(J530&gt;=80,"A",IF(J530&gt;=60,"B",IF(J530&gt;=40,"C",IF(J530&gt;=20,"D","E"))))))</f>
        <v/>
      </c>
      <c r="L530" s="15">
        <f>IF(K530="","",IF(K530="A","Cemerlang",IF(K530="B","Kepujian",IF(K530="C","Baik",IF(K530="D","Kurang Memuaskan",IF(K530="E","Tidak Memuaskan","Tidak Laksana"))))))</f>
        <v/>
      </c>
    </row>
    <row r="531">
      <c r="A531" s="15">
        <f>Murid!A531</f>
        <v/>
      </c>
      <c r="B531" s="15">
        <f>IF(Murid!B531="","",Murid!B531)</f>
        <v/>
      </c>
      <c r="C531" s="16">
        <f>IF(Murid!C531="","",Murid!C531)</f>
        <v/>
      </c>
      <c r="D531" s="15">
        <f>IF(Murid!E531="","",Murid!E531)</f>
        <v/>
      </c>
      <c r="E531" s="17">
        <f>KP!X531</f>
        <v/>
      </c>
      <c r="F531" s="17">
        <f>UB!X531</f>
        <v/>
      </c>
      <c r="G531" s="17">
        <f>SP!X531</f>
        <v/>
      </c>
      <c r="H531" s="17">
        <f>IF(COUNT(E531:G531)=0,"",ROUND((LARGE(E531:G531,1)+IF(COUNT(E531:G531)&gt;=2,LARGE(E531:G531,2),0))/2,2))</f>
        <v/>
      </c>
      <c r="I531" s="10">
        <f>Ekstra!U531</f>
        <v/>
      </c>
      <c r="J531" s="18">
        <f>IF(B531="","",IF(Murid!F531="TL","TL",IF(H531="","",MIN(100,ROUND(H531+N(I531),2)))))</f>
        <v/>
      </c>
      <c r="K531" s="19">
        <f>IF(J531="","",IF(J531="TL","TL",IF(J531&gt;=80,"A",IF(J531&gt;=60,"B",IF(J531&gt;=40,"C",IF(J531&gt;=20,"D","E"))))))</f>
        <v/>
      </c>
      <c r="L531" s="15">
        <f>IF(K531="","",IF(K531="A","Cemerlang",IF(K531="B","Kepujian",IF(K531="C","Baik",IF(K531="D","Kurang Memuaskan",IF(K531="E","Tidak Memuaskan","Tidak Laksana"))))))</f>
        <v/>
      </c>
    </row>
    <row r="532">
      <c r="A532" s="15">
        <f>Murid!A532</f>
        <v/>
      </c>
      <c r="B532" s="15">
        <f>IF(Murid!B532="","",Murid!B532)</f>
        <v/>
      </c>
      <c r="C532" s="16">
        <f>IF(Murid!C532="","",Murid!C532)</f>
        <v/>
      </c>
      <c r="D532" s="15">
        <f>IF(Murid!E532="","",Murid!E532)</f>
        <v/>
      </c>
      <c r="E532" s="17">
        <f>KP!X532</f>
        <v/>
      </c>
      <c r="F532" s="17">
        <f>UB!X532</f>
        <v/>
      </c>
      <c r="G532" s="17">
        <f>SP!X532</f>
        <v/>
      </c>
      <c r="H532" s="17">
        <f>IF(COUNT(E532:G532)=0,"",ROUND((LARGE(E532:G532,1)+IF(COUNT(E532:G532)&gt;=2,LARGE(E532:G532,2),0))/2,2))</f>
        <v/>
      </c>
      <c r="I532" s="10">
        <f>Ekstra!U532</f>
        <v/>
      </c>
      <c r="J532" s="18">
        <f>IF(B532="","",IF(Murid!F532="TL","TL",IF(H532="","",MIN(100,ROUND(H532+N(I532),2)))))</f>
        <v/>
      </c>
      <c r="K532" s="19">
        <f>IF(J532="","",IF(J532="TL","TL",IF(J532&gt;=80,"A",IF(J532&gt;=60,"B",IF(J532&gt;=40,"C",IF(J532&gt;=20,"D","E"))))))</f>
        <v/>
      </c>
      <c r="L532" s="15">
        <f>IF(K532="","",IF(K532="A","Cemerlang",IF(K532="B","Kepujian",IF(K532="C","Baik",IF(K532="D","Kurang Memuaskan",IF(K532="E","Tidak Memuaskan","Tidak Laksana"))))))</f>
        <v/>
      </c>
    </row>
    <row r="533">
      <c r="A533" s="15">
        <f>Murid!A533</f>
        <v/>
      </c>
      <c r="B533" s="15">
        <f>IF(Murid!B533="","",Murid!B533)</f>
        <v/>
      </c>
      <c r="C533" s="16">
        <f>IF(Murid!C533="","",Murid!C533)</f>
        <v/>
      </c>
      <c r="D533" s="15">
        <f>IF(Murid!E533="","",Murid!E533)</f>
        <v/>
      </c>
      <c r="E533" s="17">
        <f>KP!X533</f>
        <v/>
      </c>
      <c r="F533" s="17">
        <f>UB!X533</f>
        <v/>
      </c>
      <c r="G533" s="17">
        <f>SP!X533</f>
        <v/>
      </c>
      <c r="H533" s="17">
        <f>IF(COUNT(E533:G533)=0,"",ROUND((LARGE(E533:G533,1)+IF(COUNT(E533:G533)&gt;=2,LARGE(E533:G533,2),0))/2,2))</f>
        <v/>
      </c>
      <c r="I533" s="10">
        <f>Ekstra!U533</f>
        <v/>
      </c>
      <c r="J533" s="18">
        <f>IF(B533="","",IF(Murid!F533="TL","TL",IF(H533="","",MIN(100,ROUND(H533+N(I533),2)))))</f>
        <v/>
      </c>
      <c r="K533" s="19">
        <f>IF(J533="","",IF(J533="TL","TL",IF(J533&gt;=80,"A",IF(J533&gt;=60,"B",IF(J533&gt;=40,"C",IF(J533&gt;=20,"D","E"))))))</f>
        <v/>
      </c>
      <c r="L533" s="15">
        <f>IF(K533="","",IF(K533="A","Cemerlang",IF(K533="B","Kepujian",IF(K533="C","Baik",IF(K533="D","Kurang Memuaskan",IF(K533="E","Tidak Memuaskan","Tidak Laksana"))))))</f>
        <v/>
      </c>
    </row>
    <row r="534">
      <c r="A534" s="15">
        <f>Murid!A534</f>
        <v/>
      </c>
      <c r="B534" s="15">
        <f>IF(Murid!B534="","",Murid!B534)</f>
        <v/>
      </c>
      <c r="C534" s="16">
        <f>IF(Murid!C534="","",Murid!C534)</f>
        <v/>
      </c>
      <c r="D534" s="15">
        <f>IF(Murid!E534="","",Murid!E534)</f>
        <v/>
      </c>
      <c r="E534" s="17">
        <f>KP!X534</f>
        <v/>
      </c>
      <c r="F534" s="17">
        <f>UB!X534</f>
        <v/>
      </c>
      <c r="G534" s="17">
        <f>SP!X534</f>
        <v/>
      </c>
      <c r="H534" s="17">
        <f>IF(COUNT(E534:G534)=0,"",ROUND((LARGE(E534:G534,1)+IF(COUNT(E534:G534)&gt;=2,LARGE(E534:G534,2),0))/2,2))</f>
        <v/>
      </c>
      <c r="I534" s="10">
        <f>Ekstra!U534</f>
        <v/>
      </c>
      <c r="J534" s="18">
        <f>IF(B534="","",IF(Murid!F534="TL","TL",IF(H534="","",MIN(100,ROUND(H534+N(I534),2)))))</f>
        <v/>
      </c>
      <c r="K534" s="19">
        <f>IF(J534="","",IF(J534="TL","TL",IF(J534&gt;=80,"A",IF(J534&gt;=60,"B",IF(J534&gt;=40,"C",IF(J534&gt;=20,"D","E"))))))</f>
        <v/>
      </c>
      <c r="L534" s="15">
        <f>IF(K534="","",IF(K534="A","Cemerlang",IF(K534="B","Kepujian",IF(K534="C","Baik",IF(K534="D","Kurang Memuaskan",IF(K534="E","Tidak Memuaskan","Tidak Laksana"))))))</f>
        <v/>
      </c>
    </row>
    <row r="535">
      <c r="A535" s="15">
        <f>Murid!A535</f>
        <v/>
      </c>
      <c r="B535" s="15">
        <f>IF(Murid!B535="","",Murid!B535)</f>
        <v/>
      </c>
      <c r="C535" s="16">
        <f>IF(Murid!C535="","",Murid!C535)</f>
        <v/>
      </c>
      <c r="D535" s="15">
        <f>IF(Murid!E535="","",Murid!E535)</f>
        <v/>
      </c>
      <c r="E535" s="17">
        <f>KP!X535</f>
        <v/>
      </c>
      <c r="F535" s="17">
        <f>UB!X535</f>
        <v/>
      </c>
      <c r="G535" s="17">
        <f>SP!X535</f>
        <v/>
      </c>
      <c r="H535" s="17">
        <f>IF(COUNT(E535:G535)=0,"",ROUND((LARGE(E535:G535,1)+IF(COUNT(E535:G535)&gt;=2,LARGE(E535:G535,2),0))/2,2))</f>
        <v/>
      </c>
      <c r="I535" s="10">
        <f>Ekstra!U535</f>
        <v/>
      </c>
      <c r="J535" s="18">
        <f>IF(B535="","",IF(Murid!F535="TL","TL",IF(H535="","",MIN(100,ROUND(H535+N(I535),2)))))</f>
        <v/>
      </c>
      <c r="K535" s="19">
        <f>IF(J535="","",IF(J535="TL","TL",IF(J535&gt;=80,"A",IF(J535&gt;=60,"B",IF(J535&gt;=40,"C",IF(J535&gt;=20,"D","E"))))))</f>
        <v/>
      </c>
      <c r="L535" s="15">
        <f>IF(K535="","",IF(K535="A","Cemerlang",IF(K535="B","Kepujian",IF(K535="C","Baik",IF(K535="D","Kurang Memuaskan",IF(K535="E","Tidak Memuaskan","Tidak Laksana"))))))</f>
        <v/>
      </c>
    </row>
    <row r="536">
      <c r="A536" s="15">
        <f>Murid!A536</f>
        <v/>
      </c>
      <c r="B536" s="15">
        <f>IF(Murid!B536="","",Murid!B536)</f>
        <v/>
      </c>
      <c r="C536" s="16">
        <f>IF(Murid!C536="","",Murid!C536)</f>
        <v/>
      </c>
      <c r="D536" s="15">
        <f>IF(Murid!E536="","",Murid!E536)</f>
        <v/>
      </c>
      <c r="E536" s="17">
        <f>KP!X536</f>
        <v/>
      </c>
      <c r="F536" s="17">
        <f>UB!X536</f>
        <v/>
      </c>
      <c r="G536" s="17">
        <f>SP!X536</f>
        <v/>
      </c>
      <c r="H536" s="17">
        <f>IF(COUNT(E536:G536)=0,"",ROUND((LARGE(E536:G536,1)+IF(COUNT(E536:G536)&gt;=2,LARGE(E536:G536,2),0))/2,2))</f>
        <v/>
      </c>
      <c r="I536" s="10">
        <f>Ekstra!U536</f>
        <v/>
      </c>
      <c r="J536" s="18">
        <f>IF(B536="","",IF(Murid!F536="TL","TL",IF(H536="","",MIN(100,ROUND(H536+N(I536),2)))))</f>
        <v/>
      </c>
      <c r="K536" s="19">
        <f>IF(J536="","",IF(J536="TL","TL",IF(J536&gt;=80,"A",IF(J536&gt;=60,"B",IF(J536&gt;=40,"C",IF(J536&gt;=20,"D","E"))))))</f>
        <v/>
      </c>
      <c r="L536" s="15">
        <f>IF(K536="","",IF(K536="A","Cemerlang",IF(K536="B","Kepujian",IF(K536="C","Baik",IF(K536="D","Kurang Memuaskan",IF(K536="E","Tidak Memuaskan","Tidak Laksana"))))))</f>
        <v/>
      </c>
    </row>
    <row r="537">
      <c r="A537" s="15">
        <f>Murid!A537</f>
        <v/>
      </c>
      <c r="B537" s="15">
        <f>IF(Murid!B537="","",Murid!B537)</f>
        <v/>
      </c>
      <c r="C537" s="16">
        <f>IF(Murid!C537="","",Murid!C537)</f>
        <v/>
      </c>
      <c r="D537" s="15">
        <f>IF(Murid!E537="","",Murid!E537)</f>
        <v/>
      </c>
      <c r="E537" s="17">
        <f>KP!X537</f>
        <v/>
      </c>
      <c r="F537" s="17">
        <f>UB!X537</f>
        <v/>
      </c>
      <c r="G537" s="17">
        <f>SP!X537</f>
        <v/>
      </c>
      <c r="H537" s="17">
        <f>IF(COUNT(E537:G537)=0,"",ROUND((LARGE(E537:G537,1)+IF(COUNT(E537:G537)&gt;=2,LARGE(E537:G537,2),0))/2,2))</f>
        <v/>
      </c>
      <c r="I537" s="10">
        <f>Ekstra!U537</f>
        <v/>
      </c>
      <c r="J537" s="18">
        <f>IF(B537="","",IF(Murid!F537="TL","TL",IF(H537="","",MIN(100,ROUND(H537+N(I537),2)))))</f>
        <v/>
      </c>
      <c r="K537" s="19">
        <f>IF(J537="","",IF(J537="TL","TL",IF(J537&gt;=80,"A",IF(J537&gt;=60,"B",IF(J537&gt;=40,"C",IF(J537&gt;=20,"D","E"))))))</f>
        <v/>
      </c>
      <c r="L537" s="15">
        <f>IF(K537="","",IF(K537="A","Cemerlang",IF(K537="B","Kepujian",IF(K537="C","Baik",IF(K537="D","Kurang Memuaskan",IF(K537="E","Tidak Memuaskan","Tidak Laksana"))))))</f>
        <v/>
      </c>
    </row>
    <row r="538">
      <c r="A538" s="15">
        <f>Murid!A538</f>
        <v/>
      </c>
      <c r="B538" s="15">
        <f>IF(Murid!B538="","",Murid!B538)</f>
        <v/>
      </c>
      <c r="C538" s="16">
        <f>IF(Murid!C538="","",Murid!C538)</f>
        <v/>
      </c>
      <c r="D538" s="15">
        <f>IF(Murid!E538="","",Murid!E538)</f>
        <v/>
      </c>
      <c r="E538" s="17">
        <f>KP!X538</f>
        <v/>
      </c>
      <c r="F538" s="17">
        <f>UB!X538</f>
        <v/>
      </c>
      <c r="G538" s="17">
        <f>SP!X538</f>
        <v/>
      </c>
      <c r="H538" s="17">
        <f>IF(COUNT(E538:G538)=0,"",ROUND((LARGE(E538:G538,1)+IF(COUNT(E538:G538)&gt;=2,LARGE(E538:G538,2),0))/2,2))</f>
        <v/>
      </c>
      <c r="I538" s="10">
        <f>Ekstra!U538</f>
        <v/>
      </c>
      <c r="J538" s="18">
        <f>IF(B538="","",IF(Murid!F538="TL","TL",IF(H538="","",MIN(100,ROUND(H538+N(I538),2)))))</f>
        <v/>
      </c>
      <c r="K538" s="19">
        <f>IF(J538="","",IF(J538="TL","TL",IF(J538&gt;=80,"A",IF(J538&gt;=60,"B",IF(J538&gt;=40,"C",IF(J538&gt;=20,"D","E"))))))</f>
        <v/>
      </c>
      <c r="L538" s="15">
        <f>IF(K538="","",IF(K538="A","Cemerlang",IF(K538="B","Kepujian",IF(K538="C","Baik",IF(K538="D","Kurang Memuaskan",IF(K538="E","Tidak Memuaskan","Tidak Laksana"))))))</f>
        <v/>
      </c>
    </row>
    <row r="539">
      <c r="A539" s="15">
        <f>Murid!A539</f>
        <v/>
      </c>
      <c r="B539" s="15">
        <f>IF(Murid!B539="","",Murid!B539)</f>
        <v/>
      </c>
      <c r="C539" s="16">
        <f>IF(Murid!C539="","",Murid!C539)</f>
        <v/>
      </c>
      <c r="D539" s="15">
        <f>IF(Murid!E539="","",Murid!E539)</f>
        <v/>
      </c>
      <c r="E539" s="17">
        <f>KP!X539</f>
        <v/>
      </c>
      <c r="F539" s="17">
        <f>UB!X539</f>
        <v/>
      </c>
      <c r="G539" s="17">
        <f>SP!X539</f>
        <v/>
      </c>
      <c r="H539" s="17">
        <f>IF(COUNT(E539:G539)=0,"",ROUND((LARGE(E539:G539,1)+IF(COUNT(E539:G539)&gt;=2,LARGE(E539:G539,2),0))/2,2))</f>
        <v/>
      </c>
      <c r="I539" s="10">
        <f>Ekstra!U539</f>
        <v/>
      </c>
      <c r="J539" s="18">
        <f>IF(B539="","",IF(Murid!F539="TL","TL",IF(H539="","",MIN(100,ROUND(H539+N(I539),2)))))</f>
        <v/>
      </c>
      <c r="K539" s="19">
        <f>IF(J539="","",IF(J539="TL","TL",IF(J539&gt;=80,"A",IF(J539&gt;=60,"B",IF(J539&gt;=40,"C",IF(J539&gt;=20,"D","E"))))))</f>
        <v/>
      </c>
      <c r="L539" s="15">
        <f>IF(K539="","",IF(K539="A","Cemerlang",IF(K539="B","Kepujian",IF(K539="C","Baik",IF(K539="D","Kurang Memuaskan",IF(K539="E","Tidak Memuaskan","Tidak Laksana"))))))</f>
        <v/>
      </c>
    </row>
    <row r="540">
      <c r="A540" s="15">
        <f>Murid!A540</f>
        <v/>
      </c>
      <c r="B540" s="15">
        <f>IF(Murid!B540="","",Murid!B540)</f>
        <v/>
      </c>
      <c r="C540" s="16">
        <f>IF(Murid!C540="","",Murid!C540)</f>
        <v/>
      </c>
      <c r="D540" s="15">
        <f>IF(Murid!E540="","",Murid!E540)</f>
        <v/>
      </c>
      <c r="E540" s="17">
        <f>KP!X540</f>
        <v/>
      </c>
      <c r="F540" s="17">
        <f>UB!X540</f>
        <v/>
      </c>
      <c r="G540" s="17">
        <f>SP!X540</f>
        <v/>
      </c>
      <c r="H540" s="17">
        <f>IF(COUNT(E540:G540)=0,"",ROUND((LARGE(E540:G540,1)+IF(COUNT(E540:G540)&gt;=2,LARGE(E540:G540,2),0))/2,2))</f>
        <v/>
      </c>
      <c r="I540" s="10">
        <f>Ekstra!U540</f>
        <v/>
      </c>
      <c r="J540" s="18">
        <f>IF(B540="","",IF(Murid!F540="TL","TL",IF(H540="","",MIN(100,ROUND(H540+N(I540),2)))))</f>
        <v/>
      </c>
      <c r="K540" s="19">
        <f>IF(J540="","",IF(J540="TL","TL",IF(J540&gt;=80,"A",IF(J540&gt;=60,"B",IF(J540&gt;=40,"C",IF(J540&gt;=20,"D","E"))))))</f>
        <v/>
      </c>
      <c r="L540" s="15">
        <f>IF(K540="","",IF(K540="A","Cemerlang",IF(K540="B","Kepujian",IF(K540="C","Baik",IF(K540="D","Kurang Memuaskan",IF(K540="E","Tidak Memuaskan","Tidak Laksana"))))))</f>
        <v/>
      </c>
    </row>
    <row r="541">
      <c r="A541" s="15">
        <f>Murid!A541</f>
        <v/>
      </c>
      <c r="B541" s="15">
        <f>IF(Murid!B541="","",Murid!B541)</f>
        <v/>
      </c>
      <c r="C541" s="16">
        <f>IF(Murid!C541="","",Murid!C541)</f>
        <v/>
      </c>
      <c r="D541" s="15">
        <f>IF(Murid!E541="","",Murid!E541)</f>
        <v/>
      </c>
      <c r="E541" s="17">
        <f>KP!X541</f>
        <v/>
      </c>
      <c r="F541" s="17">
        <f>UB!X541</f>
        <v/>
      </c>
      <c r="G541" s="17">
        <f>SP!X541</f>
        <v/>
      </c>
      <c r="H541" s="17">
        <f>IF(COUNT(E541:G541)=0,"",ROUND((LARGE(E541:G541,1)+IF(COUNT(E541:G541)&gt;=2,LARGE(E541:G541,2),0))/2,2))</f>
        <v/>
      </c>
      <c r="I541" s="10">
        <f>Ekstra!U541</f>
        <v/>
      </c>
      <c r="J541" s="18">
        <f>IF(B541="","",IF(Murid!F541="TL","TL",IF(H541="","",MIN(100,ROUND(H541+N(I541),2)))))</f>
        <v/>
      </c>
      <c r="K541" s="19">
        <f>IF(J541="","",IF(J541="TL","TL",IF(J541&gt;=80,"A",IF(J541&gt;=60,"B",IF(J541&gt;=40,"C",IF(J541&gt;=20,"D","E"))))))</f>
        <v/>
      </c>
      <c r="L541" s="15">
        <f>IF(K541="","",IF(K541="A","Cemerlang",IF(K541="B","Kepujian",IF(K541="C","Baik",IF(K541="D","Kurang Memuaskan",IF(K541="E","Tidak Memuaskan","Tidak Laksana"))))))</f>
        <v/>
      </c>
    </row>
    <row r="542">
      <c r="A542" s="15">
        <f>Murid!A542</f>
        <v/>
      </c>
      <c r="B542" s="15">
        <f>IF(Murid!B542="","",Murid!B542)</f>
        <v/>
      </c>
      <c r="C542" s="16">
        <f>IF(Murid!C542="","",Murid!C542)</f>
        <v/>
      </c>
      <c r="D542" s="15">
        <f>IF(Murid!E542="","",Murid!E542)</f>
        <v/>
      </c>
      <c r="E542" s="17">
        <f>KP!X542</f>
        <v/>
      </c>
      <c r="F542" s="17">
        <f>UB!X542</f>
        <v/>
      </c>
      <c r="G542" s="17">
        <f>SP!X542</f>
        <v/>
      </c>
      <c r="H542" s="17">
        <f>IF(COUNT(E542:G542)=0,"",ROUND((LARGE(E542:G542,1)+IF(COUNT(E542:G542)&gt;=2,LARGE(E542:G542,2),0))/2,2))</f>
        <v/>
      </c>
      <c r="I542" s="10">
        <f>Ekstra!U542</f>
        <v/>
      </c>
      <c r="J542" s="18">
        <f>IF(B542="","",IF(Murid!F542="TL","TL",IF(H542="","",MIN(100,ROUND(H542+N(I542),2)))))</f>
        <v/>
      </c>
      <c r="K542" s="19">
        <f>IF(J542="","",IF(J542="TL","TL",IF(J542&gt;=80,"A",IF(J542&gt;=60,"B",IF(J542&gt;=40,"C",IF(J542&gt;=20,"D","E"))))))</f>
        <v/>
      </c>
      <c r="L542" s="15">
        <f>IF(K542="","",IF(K542="A","Cemerlang",IF(K542="B","Kepujian",IF(K542="C","Baik",IF(K542="D","Kurang Memuaskan",IF(K542="E","Tidak Memuaskan","Tidak Laksana"))))))</f>
        <v/>
      </c>
    </row>
    <row r="543">
      <c r="A543" s="15">
        <f>Murid!A543</f>
        <v/>
      </c>
      <c r="B543" s="15">
        <f>IF(Murid!B543="","",Murid!B543)</f>
        <v/>
      </c>
      <c r="C543" s="16">
        <f>IF(Murid!C543="","",Murid!C543)</f>
        <v/>
      </c>
      <c r="D543" s="15">
        <f>IF(Murid!E543="","",Murid!E543)</f>
        <v/>
      </c>
      <c r="E543" s="17">
        <f>KP!X543</f>
        <v/>
      </c>
      <c r="F543" s="17">
        <f>UB!X543</f>
        <v/>
      </c>
      <c r="G543" s="17">
        <f>SP!X543</f>
        <v/>
      </c>
      <c r="H543" s="17">
        <f>IF(COUNT(E543:G543)=0,"",ROUND((LARGE(E543:G543,1)+IF(COUNT(E543:G543)&gt;=2,LARGE(E543:G543,2),0))/2,2))</f>
        <v/>
      </c>
      <c r="I543" s="10">
        <f>Ekstra!U543</f>
        <v/>
      </c>
      <c r="J543" s="18">
        <f>IF(B543="","",IF(Murid!F543="TL","TL",IF(H543="","",MIN(100,ROUND(H543+N(I543),2)))))</f>
        <v/>
      </c>
      <c r="K543" s="19">
        <f>IF(J543="","",IF(J543="TL","TL",IF(J543&gt;=80,"A",IF(J543&gt;=60,"B",IF(J543&gt;=40,"C",IF(J543&gt;=20,"D","E"))))))</f>
        <v/>
      </c>
      <c r="L543" s="15">
        <f>IF(K543="","",IF(K543="A","Cemerlang",IF(K543="B","Kepujian",IF(K543="C","Baik",IF(K543="D","Kurang Memuaskan",IF(K543="E","Tidak Memuaskan","Tidak Laksana"))))))</f>
        <v/>
      </c>
    </row>
    <row r="544">
      <c r="A544" s="15">
        <f>Murid!A544</f>
        <v/>
      </c>
      <c r="B544" s="15">
        <f>IF(Murid!B544="","",Murid!B544)</f>
        <v/>
      </c>
      <c r="C544" s="16">
        <f>IF(Murid!C544="","",Murid!C544)</f>
        <v/>
      </c>
      <c r="D544" s="15">
        <f>IF(Murid!E544="","",Murid!E544)</f>
        <v/>
      </c>
      <c r="E544" s="17">
        <f>KP!X544</f>
        <v/>
      </c>
      <c r="F544" s="17">
        <f>UB!X544</f>
        <v/>
      </c>
      <c r="G544" s="17">
        <f>SP!X544</f>
        <v/>
      </c>
      <c r="H544" s="17">
        <f>IF(COUNT(E544:G544)=0,"",ROUND((LARGE(E544:G544,1)+IF(COUNT(E544:G544)&gt;=2,LARGE(E544:G544,2),0))/2,2))</f>
        <v/>
      </c>
      <c r="I544" s="10">
        <f>Ekstra!U544</f>
        <v/>
      </c>
      <c r="J544" s="18">
        <f>IF(B544="","",IF(Murid!F544="TL","TL",IF(H544="","",MIN(100,ROUND(H544+N(I544),2)))))</f>
        <v/>
      </c>
      <c r="K544" s="19">
        <f>IF(J544="","",IF(J544="TL","TL",IF(J544&gt;=80,"A",IF(J544&gt;=60,"B",IF(J544&gt;=40,"C",IF(J544&gt;=20,"D","E"))))))</f>
        <v/>
      </c>
      <c r="L544" s="15">
        <f>IF(K544="","",IF(K544="A","Cemerlang",IF(K544="B","Kepujian",IF(K544="C","Baik",IF(K544="D","Kurang Memuaskan",IF(K544="E","Tidak Memuaskan","Tidak Laksana"))))))</f>
        <v/>
      </c>
    </row>
    <row r="545">
      <c r="A545" s="15">
        <f>Murid!A545</f>
        <v/>
      </c>
      <c r="B545" s="15">
        <f>IF(Murid!B545="","",Murid!B545)</f>
        <v/>
      </c>
      <c r="C545" s="16">
        <f>IF(Murid!C545="","",Murid!C545)</f>
        <v/>
      </c>
      <c r="D545" s="15">
        <f>IF(Murid!E545="","",Murid!E545)</f>
        <v/>
      </c>
      <c r="E545" s="17">
        <f>KP!X545</f>
        <v/>
      </c>
      <c r="F545" s="17">
        <f>UB!X545</f>
        <v/>
      </c>
      <c r="G545" s="17">
        <f>SP!X545</f>
        <v/>
      </c>
      <c r="H545" s="17">
        <f>IF(COUNT(E545:G545)=0,"",ROUND((LARGE(E545:G545,1)+IF(COUNT(E545:G545)&gt;=2,LARGE(E545:G545,2),0))/2,2))</f>
        <v/>
      </c>
      <c r="I545" s="10">
        <f>Ekstra!U545</f>
        <v/>
      </c>
      <c r="J545" s="18">
        <f>IF(B545="","",IF(Murid!F545="TL","TL",IF(H545="","",MIN(100,ROUND(H545+N(I545),2)))))</f>
        <v/>
      </c>
      <c r="K545" s="19">
        <f>IF(J545="","",IF(J545="TL","TL",IF(J545&gt;=80,"A",IF(J545&gt;=60,"B",IF(J545&gt;=40,"C",IF(J545&gt;=20,"D","E"))))))</f>
        <v/>
      </c>
      <c r="L545" s="15">
        <f>IF(K545="","",IF(K545="A","Cemerlang",IF(K545="B","Kepujian",IF(K545="C","Baik",IF(K545="D","Kurang Memuaskan",IF(K545="E","Tidak Memuaskan","Tidak Laksana"))))))</f>
        <v/>
      </c>
    </row>
    <row r="546">
      <c r="A546" s="15">
        <f>Murid!A546</f>
        <v/>
      </c>
      <c r="B546" s="15">
        <f>IF(Murid!B546="","",Murid!B546)</f>
        <v/>
      </c>
      <c r="C546" s="16">
        <f>IF(Murid!C546="","",Murid!C546)</f>
        <v/>
      </c>
      <c r="D546" s="15">
        <f>IF(Murid!E546="","",Murid!E546)</f>
        <v/>
      </c>
      <c r="E546" s="17">
        <f>KP!X546</f>
        <v/>
      </c>
      <c r="F546" s="17">
        <f>UB!X546</f>
        <v/>
      </c>
      <c r="G546" s="17">
        <f>SP!X546</f>
        <v/>
      </c>
      <c r="H546" s="17">
        <f>IF(COUNT(E546:G546)=0,"",ROUND((LARGE(E546:G546,1)+IF(COUNT(E546:G546)&gt;=2,LARGE(E546:G546,2),0))/2,2))</f>
        <v/>
      </c>
      <c r="I546" s="10">
        <f>Ekstra!U546</f>
        <v/>
      </c>
      <c r="J546" s="18">
        <f>IF(B546="","",IF(Murid!F546="TL","TL",IF(H546="","",MIN(100,ROUND(H546+N(I546),2)))))</f>
        <v/>
      </c>
      <c r="K546" s="19">
        <f>IF(J546="","",IF(J546="TL","TL",IF(J546&gt;=80,"A",IF(J546&gt;=60,"B",IF(J546&gt;=40,"C",IF(J546&gt;=20,"D","E"))))))</f>
        <v/>
      </c>
      <c r="L546" s="15">
        <f>IF(K546="","",IF(K546="A","Cemerlang",IF(K546="B","Kepujian",IF(K546="C","Baik",IF(K546="D","Kurang Memuaskan",IF(K546="E","Tidak Memuaskan","Tidak Laksana"))))))</f>
        <v/>
      </c>
    </row>
    <row r="547">
      <c r="A547" s="15">
        <f>Murid!A547</f>
        <v/>
      </c>
      <c r="B547" s="15">
        <f>IF(Murid!B547="","",Murid!B547)</f>
        <v/>
      </c>
      <c r="C547" s="16">
        <f>IF(Murid!C547="","",Murid!C547)</f>
        <v/>
      </c>
      <c r="D547" s="15">
        <f>IF(Murid!E547="","",Murid!E547)</f>
        <v/>
      </c>
      <c r="E547" s="17">
        <f>KP!X547</f>
        <v/>
      </c>
      <c r="F547" s="17">
        <f>UB!X547</f>
        <v/>
      </c>
      <c r="G547" s="17">
        <f>SP!X547</f>
        <v/>
      </c>
      <c r="H547" s="17">
        <f>IF(COUNT(E547:G547)=0,"",ROUND((LARGE(E547:G547,1)+IF(COUNT(E547:G547)&gt;=2,LARGE(E547:G547,2),0))/2,2))</f>
        <v/>
      </c>
      <c r="I547" s="10">
        <f>Ekstra!U547</f>
        <v/>
      </c>
      <c r="J547" s="18">
        <f>IF(B547="","",IF(Murid!F547="TL","TL",IF(H547="","",MIN(100,ROUND(H547+N(I547),2)))))</f>
        <v/>
      </c>
      <c r="K547" s="19">
        <f>IF(J547="","",IF(J547="TL","TL",IF(J547&gt;=80,"A",IF(J547&gt;=60,"B",IF(J547&gt;=40,"C",IF(J547&gt;=20,"D","E"))))))</f>
        <v/>
      </c>
      <c r="L547" s="15">
        <f>IF(K547="","",IF(K547="A","Cemerlang",IF(K547="B","Kepujian",IF(K547="C","Baik",IF(K547="D","Kurang Memuaskan",IF(K547="E","Tidak Memuaskan","Tidak Laksana"))))))</f>
        <v/>
      </c>
    </row>
    <row r="548">
      <c r="A548" s="15">
        <f>Murid!A548</f>
        <v/>
      </c>
      <c r="B548" s="15">
        <f>IF(Murid!B548="","",Murid!B548)</f>
        <v/>
      </c>
      <c r="C548" s="16">
        <f>IF(Murid!C548="","",Murid!C548)</f>
        <v/>
      </c>
      <c r="D548" s="15">
        <f>IF(Murid!E548="","",Murid!E548)</f>
        <v/>
      </c>
      <c r="E548" s="17">
        <f>KP!X548</f>
        <v/>
      </c>
      <c r="F548" s="17">
        <f>UB!X548</f>
        <v/>
      </c>
      <c r="G548" s="17">
        <f>SP!X548</f>
        <v/>
      </c>
      <c r="H548" s="17">
        <f>IF(COUNT(E548:G548)=0,"",ROUND((LARGE(E548:G548,1)+IF(COUNT(E548:G548)&gt;=2,LARGE(E548:G548,2),0))/2,2))</f>
        <v/>
      </c>
      <c r="I548" s="10">
        <f>Ekstra!U548</f>
        <v/>
      </c>
      <c r="J548" s="18">
        <f>IF(B548="","",IF(Murid!F548="TL","TL",IF(H548="","",MIN(100,ROUND(H548+N(I548),2)))))</f>
        <v/>
      </c>
      <c r="K548" s="19">
        <f>IF(J548="","",IF(J548="TL","TL",IF(J548&gt;=80,"A",IF(J548&gt;=60,"B",IF(J548&gt;=40,"C",IF(J548&gt;=20,"D","E"))))))</f>
        <v/>
      </c>
      <c r="L548" s="15">
        <f>IF(K548="","",IF(K548="A","Cemerlang",IF(K548="B","Kepujian",IF(K548="C","Baik",IF(K548="D","Kurang Memuaskan",IF(K548="E","Tidak Memuaskan","Tidak Laksana"))))))</f>
        <v/>
      </c>
    </row>
    <row r="549">
      <c r="A549" s="15">
        <f>Murid!A549</f>
        <v/>
      </c>
      <c r="B549" s="15">
        <f>IF(Murid!B549="","",Murid!B549)</f>
        <v/>
      </c>
      <c r="C549" s="16">
        <f>IF(Murid!C549="","",Murid!C549)</f>
        <v/>
      </c>
      <c r="D549" s="15">
        <f>IF(Murid!E549="","",Murid!E549)</f>
        <v/>
      </c>
      <c r="E549" s="17">
        <f>KP!X549</f>
        <v/>
      </c>
      <c r="F549" s="17">
        <f>UB!X549</f>
        <v/>
      </c>
      <c r="G549" s="17">
        <f>SP!X549</f>
        <v/>
      </c>
      <c r="H549" s="17">
        <f>IF(COUNT(E549:G549)=0,"",ROUND((LARGE(E549:G549,1)+IF(COUNT(E549:G549)&gt;=2,LARGE(E549:G549,2),0))/2,2))</f>
        <v/>
      </c>
      <c r="I549" s="10">
        <f>Ekstra!U549</f>
        <v/>
      </c>
      <c r="J549" s="18">
        <f>IF(B549="","",IF(Murid!F549="TL","TL",IF(H549="","",MIN(100,ROUND(H549+N(I549),2)))))</f>
        <v/>
      </c>
      <c r="K549" s="19">
        <f>IF(J549="","",IF(J549="TL","TL",IF(J549&gt;=80,"A",IF(J549&gt;=60,"B",IF(J549&gt;=40,"C",IF(J549&gt;=20,"D","E"))))))</f>
        <v/>
      </c>
      <c r="L549" s="15">
        <f>IF(K549="","",IF(K549="A","Cemerlang",IF(K549="B","Kepujian",IF(K549="C","Baik",IF(K549="D","Kurang Memuaskan",IF(K549="E","Tidak Memuaskan","Tidak Laksana"))))))</f>
        <v/>
      </c>
    </row>
    <row r="550">
      <c r="A550" s="15">
        <f>Murid!A550</f>
        <v/>
      </c>
      <c r="B550" s="15">
        <f>IF(Murid!B550="","",Murid!B550)</f>
        <v/>
      </c>
      <c r="C550" s="16">
        <f>IF(Murid!C550="","",Murid!C550)</f>
        <v/>
      </c>
      <c r="D550" s="15">
        <f>IF(Murid!E550="","",Murid!E550)</f>
        <v/>
      </c>
      <c r="E550" s="17">
        <f>KP!X550</f>
        <v/>
      </c>
      <c r="F550" s="17">
        <f>UB!X550</f>
        <v/>
      </c>
      <c r="G550" s="17">
        <f>SP!X550</f>
        <v/>
      </c>
      <c r="H550" s="17">
        <f>IF(COUNT(E550:G550)=0,"",ROUND((LARGE(E550:G550,1)+IF(COUNT(E550:G550)&gt;=2,LARGE(E550:G550,2),0))/2,2))</f>
        <v/>
      </c>
      <c r="I550" s="10">
        <f>Ekstra!U550</f>
        <v/>
      </c>
      <c r="J550" s="18">
        <f>IF(B550="","",IF(Murid!F550="TL","TL",IF(H550="","",MIN(100,ROUND(H550+N(I550),2)))))</f>
        <v/>
      </c>
      <c r="K550" s="19">
        <f>IF(J550="","",IF(J550="TL","TL",IF(J550&gt;=80,"A",IF(J550&gt;=60,"B",IF(J550&gt;=40,"C",IF(J550&gt;=20,"D","E"))))))</f>
        <v/>
      </c>
      <c r="L550" s="15">
        <f>IF(K550="","",IF(K550="A","Cemerlang",IF(K550="B","Kepujian",IF(K550="C","Baik",IF(K550="D","Kurang Memuaskan",IF(K550="E","Tidak Memuaskan","Tidak Laksana"))))))</f>
        <v/>
      </c>
    </row>
    <row r="551">
      <c r="A551" s="15">
        <f>Murid!A551</f>
        <v/>
      </c>
      <c r="B551" s="15">
        <f>IF(Murid!B551="","",Murid!B551)</f>
        <v/>
      </c>
      <c r="C551" s="16">
        <f>IF(Murid!C551="","",Murid!C551)</f>
        <v/>
      </c>
      <c r="D551" s="15">
        <f>IF(Murid!E551="","",Murid!E551)</f>
        <v/>
      </c>
      <c r="E551" s="17">
        <f>KP!X551</f>
        <v/>
      </c>
      <c r="F551" s="17">
        <f>UB!X551</f>
        <v/>
      </c>
      <c r="G551" s="17">
        <f>SP!X551</f>
        <v/>
      </c>
      <c r="H551" s="17">
        <f>IF(COUNT(E551:G551)=0,"",ROUND((LARGE(E551:G551,1)+IF(COUNT(E551:G551)&gt;=2,LARGE(E551:G551,2),0))/2,2))</f>
        <v/>
      </c>
      <c r="I551" s="10">
        <f>Ekstra!U551</f>
        <v/>
      </c>
      <c r="J551" s="18">
        <f>IF(B551="","",IF(Murid!F551="TL","TL",IF(H551="","",MIN(100,ROUND(H551+N(I551),2)))))</f>
        <v/>
      </c>
      <c r="K551" s="19">
        <f>IF(J551="","",IF(J551="TL","TL",IF(J551&gt;=80,"A",IF(J551&gt;=60,"B",IF(J551&gt;=40,"C",IF(J551&gt;=20,"D","E"))))))</f>
        <v/>
      </c>
      <c r="L551" s="15">
        <f>IF(K551="","",IF(K551="A","Cemerlang",IF(K551="B","Kepujian",IF(K551="C","Baik",IF(K551="D","Kurang Memuaskan",IF(K551="E","Tidak Memuaskan","Tidak Laksana"))))))</f>
        <v/>
      </c>
    </row>
    <row r="552">
      <c r="A552" s="15">
        <f>Murid!A552</f>
        <v/>
      </c>
      <c r="B552" s="15">
        <f>IF(Murid!B552="","",Murid!B552)</f>
        <v/>
      </c>
      <c r="C552" s="16">
        <f>IF(Murid!C552="","",Murid!C552)</f>
        <v/>
      </c>
      <c r="D552" s="15">
        <f>IF(Murid!E552="","",Murid!E552)</f>
        <v/>
      </c>
      <c r="E552" s="17">
        <f>KP!X552</f>
        <v/>
      </c>
      <c r="F552" s="17">
        <f>UB!X552</f>
        <v/>
      </c>
      <c r="G552" s="17">
        <f>SP!X552</f>
        <v/>
      </c>
      <c r="H552" s="17">
        <f>IF(COUNT(E552:G552)=0,"",ROUND((LARGE(E552:G552,1)+IF(COUNT(E552:G552)&gt;=2,LARGE(E552:G552,2),0))/2,2))</f>
        <v/>
      </c>
      <c r="I552" s="10">
        <f>Ekstra!U552</f>
        <v/>
      </c>
      <c r="J552" s="18">
        <f>IF(B552="","",IF(Murid!F552="TL","TL",IF(H552="","",MIN(100,ROUND(H552+N(I552),2)))))</f>
        <v/>
      </c>
      <c r="K552" s="19">
        <f>IF(J552="","",IF(J552="TL","TL",IF(J552&gt;=80,"A",IF(J552&gt;=60,"B",IF(J552&gt;=40,"C",IF(J552&gt;=20,"D","E"))))))</f>
        <v/>
      </c>
      <c r="L552" s="15">
        <f>IF(K552="","",IF(K552="A","Cemerlang",IF(K552="B","Kepujian",IF(K552="C","Baik",IF(K552="D","Kurang Memuaskan",IF(K552="E","Tidak Memuaskan","Tidak Laksana"))))))</f>
        <v/>
      </c>
    </row>
    <row r="553">
      <c r="A553" s="15">
        <f>Murid!A553</f>
        <v/>
      </c>
      <c r="B553" s="15">
        <f>IF(Murid!B553="","",Murid!B553)</f>
        <v/>
      </c>
      <c r="C553" s="16">
        <f>IF(Murid!C553="","",Murid!C553)</f>
        <v/>
      </c>
      <c r="D553" s="15">
        <f>IF(Murid!E553="","",Murid!E553)</f>
        <v/>
      </c>
      <c r="E553" s="17">
        <f>KP!X553</f>
        <v/>
      </c>
      <c r="F553" s="17">
        <f>UB!X553</f>
        <v/>
      </c>
      <c r="G553" s="17">
        <f>SP!X553</f>
        <v/>
      </c>
      <c r="H553" s="17">
        <f>IF(COUNT(E553:G553)=0,"",ROUND((LARGE(E553:G553,1)+IF(COUNT(E553:G553)&gt;=2,LARGE(E553:G553,2),0))/2,2))</f>
        <v/>
      </c>
      <c r="I553" s="10">
        <f>Ekstra!U553</f>
        <v/>
      </c>
      <c r="J553" s="18">
        <f>IF(B553="","",IF(Murid!F553="TL","TL",IF(H553="","",MIN(100,ROUND(H553+N(I553),2)))))</f>
        <v/>
      </c>
      <c r="K553" s="19">
        <f>IF(J553="","",IF(J553="TL","TL",IF(J553&gt;=80,"A",IF(J553&gt;=60,"B",IF(J553&gt;=40,"C",IF(J553&gt;=20,"D","E"))))))</f>
        <v/>
      </c>
      <c r="L553" s="15">
        <f>IF(K553="","",IF(K553="A","Cemerlang",IF(K553="B","Kepujian",IF(K553="C","Baik",IF(K553="D","Kurang Memuaskan",IF(K553="E","Tidak Memuaskan","Tidak Laksana"))))))</f>
        <v/>
      </c>
    </row>
    <row r="554">
      <c r="A554" s="15">
        <f>Murid!A554</f>
        <v/>
      </c>
      <c r="B554" s="15">
        <f>IF(Murid!B554="","",Murid!B554)</f>
        <v/>
      </c>
      <c r="C554" s="16">
        <f>IF(Murid!C554="","",Murid!C554)</f>
        <v/>
      </c>
      <c r="D554" s="15">
        <f>IF(Murid!E554="","",Murid!E554)</f>
        <v/>
      </c>
      <c r="E554" s="17">
        <f>KP!X554</f>
        <v/>
      </c>
      <c r="F554" s="17">
        <f>UB!X554</f>
        <v/>
      </c>
      <c r="G554" s="17">
        <f>SP!X554</f>
        <v/>
      </c>
      <c r="H554" s="17">
        <f>IF(COUNT(E554:G554)=0,"",ROUND((LARGE(E554:G554,1)+IF(COUNT(E554:G554)&gt;=2,LARGE(E554:G554,2),0))/2,2))</f>
        <v/>
      </c>
      <c r="I554" s="10">
        <f>Ekstra!U554</f>
        <v/>
      </c>
      <c r="J554" s="18">
        <f>IF(B554="","",IF(Murid!F554="TL","TL",IF(H554="","",MIN(100,ROUND(H554+N(I554),2)))))</f>
        <v/>
      </c>
      <c r="K554" s="19">
        <f>IF(J554="","",IF(J554="TL","TL",IF(J554&gt;=80,"A",IF(J554&gt;=60,"B",IF(J554&gt;=40,"C",IF(J554&gt;=20,"D","E"))))))</f>
        <v/>
      </c>
      <c r="L554" s="15">
        <f>IF(K554="","",IF(K554="A","Cemerlang",IF(K554="B","Kepujian",IF(K554="C","Baik",IF(K554="D","Kurang Memuaskan",IF(K554="E","Tidak Memuaskan","Tidak Laksana"))))))</f>
        <v/>
      </c>
    </row>
    <row r="555">
      <c r="A555" s="15">
        <f>Murid!A555</f>
        <v/>
      </c>
      <c r="B555" s="15">
        <f>IF(Murid!B555="","",Murid!B555)</f>
        <v/>
      </c>
      <c r="C555" s="16">
        <f>IF(Murid!C555="","",Murid!C555)</f>
        <v/>
      </c>
      <c r="D555" s="15">
        <f>IF(Murid!E555="","",Murid!E555)</f>
        <v/>
      </c>
      <c r="E555" s="17">
        <f>KP!X555</f>
        <v/>
      </c>
      <c r="F555" s="17">
        <f>UB!X555</f>
        <v/>
      </c>
      <c r="G555" s="17">
        <f>SP!X555</f>
        <v/>
      </c>
      <c r="H555" s="17">
        <f>IF(COUNT(E555:G555)=0,"",ROUND((LARGE(E555:G555,1)+IF(COUNT(E555:G555)&gt;=2,LARGE(E555:G555,2),0))/2,2))</f>
        <v/>
      </c>
      <c r="I555" s="10">
        <f>Ekstra!U555</f>
        <v/>
      </c>
      <c r="J555" s="18">
        <f>IF(B555="","",IF(Murid!F555="TL","TL",IF(H555="","",MIN(100,ROUND(H555+N(I555),2)))))</f>
        <v/>
      </c>
      <c r="K555" s="19">
        <f>IF(J555="","",IF(J555="TL","TL",IF(J555&gt;=80,"A",IF(J555&gt;=60,"B",IF(J555&gt;=40,"C",IF(J555&gt;=20,"D","E"))))))</f>
        <v/>
      </c>
      <c r="L555" s="15">
        <f>IF(K555="","",IF(K555="A","Cemerlang",IF(K555="B","Kepujian",IF(K555="C","Baik",IF(K555="D","Kurang Memuaskan",IF(K555="E","Tidak Memuaskan","Tidak Laksana"))))))</f>
        <v/>
      </c>
    </row>
    <row r="556">
      <c r="A556" s="15">
        <f>Murid!A556</f>
        <v/>
      </c>
      <c r="B556" s="15">
        <f>IF(Murid!B556="","",Murid!B556)</f>
        <v/>
      </c>
      <c r="C556" s="16">
        <f>IF(Murid!C556="","",Murid!C556)</f>
        <v/>
      </c>
      <c r="D556" s="15">
        <f>IF(Murid!E556="","",Murid!E556)</f>
        <v/>
      </c>
      <c r="E556" s="17">
        <f>KP!X556</f>
        <v/>
      </c>
      <c r="F556" s="17">
        <f>UB!X556</f>
        <v/>
      </c>
      <c r="G556" s="17">
        <f>SP!X556</f>
        <v/>
      </c>
      <c r="H556" s="17">
        <f>IF(COUNT(E556:G556)=0,"",ROUND((LARGE(E556:G556,1)+IF(COUNT(E556:G556)&gt;=2,LARGE(E556:G556,2),0))/2,2))</f>
        <v/>
      </c>
      <c r="I556" s="10">
        <f>Ekstra!U556</f>
        <v/>
      </c>
      <c r="J556" s="18">
        <f>IF(B556="","",IF(Murid!F556="TL","TL",IF(H556="","",MIN(100,ROUND(H556+N(I556),2)))))</f>
        <v/>
      </c>
      <c r="K556" s="19">
        <f>IF(J556="","",IF(J556="TL","TL",IF(J556&gt;=80,"A",IF(J556&gt;=60,"B",IF(J556&gt;=40,"C",IF(J556&gt;=20,"D","E"))))))</f>
        <v/>
      </c>
      <c r="L556" s="15">
        <f>IF(K556="","",IF(K556="A","Cemerlang",IF(K556="B","Kepujian",IF(K556="C","Baik",IF(K556="D","Kurang Memuaskan",IF(K556="E","Tidak Memuaskan","Tidak Laksana"))))))</f>
        <v/>
      </c>
    </row>
    <row r="557">
      <c r="A557" s="15">
        <f>Murid!A557</f>
        <v/>
      </c>
      <c r="B557" s="15">
        <f>IF(Murid!B557="","",Murid!B557)</f>
        <v/>
      </c>
      <c r="C557" s="16">
        <f>IF(Murid!C557="","",Murid!C557)</f>
        <v/>
      </c>
      <c r="D557" s="15">
        <f>IF(Murid!E557="","",Murid!E557)</f>
        <v/>
      </c>
      <c r="E557" s="17">
        <f>KP!X557</f>
        <v/>
      </c>
      <c r="F557" s="17">
        <f>UB!X557</f>
        <v/>
      </c>
      <c r="G557" s="17">
        <f>SP!X557</f>
        <v/>
      </c>
      <c r="H557" s="17">
        <f>IF(COUNT(E557:G557)=0,"",ROUND((LARGE(E557:G557,1)+IF(COUNT(E557:G557)&gt;=2,LARGE(E557:G557,2),0))/2,2))</f>
        <v/>
      </c>
      <c r="I557" s="10">
        <f>Ekstra!U557</f>
        <v/>
      </c>
      <c r="J557" s="18">
        <f>IF(B557="","",IF(Murid!F557="TL","TL",IF(H557="","",MIN(100,ROUND(H557+N(I557),2)))))</f>
        <v/>
      </c>
      <c r="K557" s="19">
        <f>IF(J557="","",IF(J557="TL","TL",IF(J557&gt;=80,"A",IF(J557&gt;=60,"B",IF(J557&gt;=40,"C",IF(J557&gt;=20,"D","E"))))))</f>
        <v/>
      </c>
      <c r="L557" s="15">
        <f>IF(K557="","",IF(K557="A","Cemerlang",IF(K557="B","Kepujian",IF(K557="C","Baik",IF(K557="D","Kurang Memuaskan",IF(K557="E","Tidak Memuaskan","Tidak Laksana"))))))</f>
        <v/>
      </c>
    </row>
    <row r="558">
      <c r="A558" s="15">
        <f>Murid!A558</f>
        <v/>
      </c>
      <c r="B558" s="15">
        <f>IF(Murid!B558="","",Murid!B558)</f>
        <v/>
      </c>
      <c r="C558" s="16">
        <f>IF(Murid!C558="","",Murid!C558)</f>
        <v/>
      </c>
      <c r="D558" s="15">
        <f>IF(Murid!E558="","",Murid!E558)</f>
        <v/>
      </c>
      <c r="E558" s="17">
        <f>KP!X558</f>
        <v/>
      </c>
      <c r="F558" s="17">
        <f>UB!X558</f>
        <v/>
      </c>
      <c r="G558" s="17">
        <f>SP!X558</f>
        <v/>
      </c>
      <c r="H558" s="17">
        <f>IF(COUNT(E558:G558)=0,"",ROUND((LARGE(E558:G558,1)+IF(COUNT(E558:G558)&gt;=2,LARGE(E558:G558,2),0))/2,2))</f>
        <v/>
      </c>
      <c r="I558" s="10">
        <f>Ekstra!U558</f>
        <v/>
      </c>
      <c r="J558" s="18">
        <f>IF(B558="","",IF(Murid!F558="TL","TL",IF(H558="","",MIN(100,ROUND(H558+N(I558),2)))))</f>
        <v/>
      </c>
      <c r="K558" s="19">
        <f>IF(J558="","",IF(J558="TL","TL",IF(J558&gt;=80,"A",IF(J558&gt;=60,"B",IF(J558&gt;=40,"C",IF(J558&gt;=20,"D","E"))))))</f>
        <v/>
      </c>
      <c r="L558" s="15">
        <f>IF(K558="","",IF(K558="A","Cemerlang",IF(K558="B","Kepujian",IF(K558="C","Baik",IF(K558="D","Kurang Memuaskan",IF(K558="E","Tidak Memuaskan","Tidak Laksana"))))))</f>
        <v/>
      </c>
    </row>
    <row r="559">
      <c r="A559" s="15">
        <f>Murid!A559</f>
        <v/>
      </c>
      <c r="B559" s="15">
        <f>IF(Murid!B559="","",Murid!B559)</f>
        <v/>
      </c>
      <c r="C559" s="16">
        <f>IF(Murid!C559="","",Murid!C559)</f>
        <v/>
      </c>
      <c r="D559" s="15">
        <f>IF(Murid!E559="","",Murid!E559)</f>
        <v/>
      </c>
      <c r="E559" s="17">
        <f>KP!X559</f>
        <v/>
      </c>
      <c r="F559" s="17">
        <f>UB!X559</f>
        <v/>
      </c>
      <c r="G559" s="17">
        <f>SP!X559</f>
        <v/>
      </c>
      <c r="H559" s="17">
        <f>IF(COUNT(E559:G559)=0,"",ROUND((LARGE(E559:G559,1)+IF(COUNT(E559:G559)&gt;=2,LARGE(E559:G559,2),0))/2,2))</f>
        <v/>
      </c>
      <c r="I559" s="10">
        <f>Ekstra!U559</f>
        <v/>
      </c>
      <c r="J559" s="18">
        <f>IF(B559="","",IF(Murid!F559="TL","TL",IF(H559="","",MIN(100,ROUND(H559+N(I559),2)))))</f>
        <v/>
      </c>
      <c r="K559" s="19">
        <f>IF(J559="","",IF(J559="TL","TL",IF(J559&gt;=80,"A",IF(J559&gt;=60,"B",IF(J559&gt;=40,"C",IF(J559&gt;=20,"D","E"))))))</f>
        <v/>
      </c>
      <c r="L559" s="15">
        <f>IF(K559="","",IF(K559="A","Cemerlang",IF(K559="B","Kepujian",IF(K559="C","Baik",IF(K559="D","Kurang Memuaskan",IF(K559="E","Tidak Memuaskan","Tidak Laksana"))))))</f>
        <v/>
      </c>
    </row>
    <row r="560">
      <c r="A560" s="15">
        <f>Murid!A560</f>
        <v/>
      </c>
      <c r="B560" s="15">
        <f>IF(Murid!B560="","",Murid!B560)</f>
        <v/>
      </c>
      <c r="C560" s="16">
        <f>IF(Murid!C560="","",Murid!C560)</f>
        <v/>
      </c>
      <c r="D560" s="15">
        <f>IF(Murid!E560="","",Murid!E560)</f>
        <v/>
      </c>
      <c r="E560" s="17">
        <f>KP!X560</f>
        <v/>
      </c>
      <c r="F560" s="17">
        <f>UB!X560</f>
        <v/>
      </c>
      <c r="G560" s="17">
        <f>SP!X560</f>
        <v/>
      </c>
      <c r="H560" s="17">
        <f>IF(COUNT(E560:G560)=0,"",ROUND((LARGE(E560:G560,1)+IF(COUNT(E560:G560)&gt;=2,LARGE(E560:G560,2),0))/2,2))</f>
        <v/>
      </c>
      <c r="I560" s="10">
        <f>Ekstra!U560</f>
        <v/>
      </c>
      <c r="J560" s="18">
        <f>IF(B560="","",IF(Murid!F560="TL","TL",IF(H560="","",MIN(100,ROUND(H560+N(I560),2)))))</f>
        <v/>
      </c>
      <c r="K560" s="19">
        <f>IF(J560="","",IF(J560="TL","TL",IF(J560&gt;=80,"A",IF(J560&gt;=60,"B",IF(J560&gt;=40,"C",IF(J560&gt;=20,"D","E"))))))</f>
        <v/>
      </c>
      <c r="L560" s="15">
        <f>IF(K560="","",IF(K560="A","Cemerlang",IF(K560="B","Kepujian",IF(K560="C","Baik",IF(K560="D","Kurang Memuaskan",IF(K560="E","Tidak Memuaskan","Tidak Laksana"))))))</f>
        <v/>
      </c>
    </row>
    <row r="561">
      <c r="A561" s="15">
        <f>Murid!A561</f>
        <v/>
      </c>
      <c r="B561" s="15">
        <f>IF(Murid!B561="","",Murid!B561)</f>
        <v/>
      </c>
      <c r="C561" s="16">
        <f>IF(Murid!C561="","",Murid!C561)</f>
        <v/>
      </c>
      <c r="D561" s="15">
        <f>IF(Murid!E561="","",Murid!E561)</f>
        <v/>
      </c>
      <c r="E561" s="17">
        <f>KP!X561</f>
        <v/>
      </c>
      <c r="F561" s="17">
        <f>UB!X561</f>
        <v/>
      </c>
      <c r="G561" s="17">
        <f>SP!X561</f>
        <v/>
      </c>
      <c r="H561" s="17">
        <f>IF(COUNT(E561:G561)=0,"",ROUND((LARGE(E561:G561,1)+IF(COUNT(E561:G561)&gt;=2,LARGE(E561:G561,2),0))/2,2))</f>
        <v/>
      </c>
      <c r="I561" s="10">
        <f>Ekstra!U561</f>
        <v/>
      </c>
      <c r="J561" s="18">
        <f>IF(B561="","",IF(Murid!F561="TL","TL",IF(H561="","",MIN(100,ROUND(H561+N(I561),2)))))</f>
        <v/>
      </c>
      <c r="K561" s="19">
        <f>IF(J561="","",IF(J561="TL","TL",IF(J561&gt;=80,"A",IF(J561&gt;=60,"B",IF(J561&gt;=40,"C",IF(J561&gt;=20,"D","E"))))))</f>
        <v/>
      </c>
      <c r="L561" s="15">
        <f>IF(K561="","",IF(K561="A","Cemerlang",IF(K561="B","Kepujian",IF(K561="C","Baik",IF(K561="D","Kurang Memuaskan",IF(K561="E","Tidak Memuaskan","Tidak Laksana"))))))</f>
        <v/>
      </c>
    </row>
    <row r="562">
      <c r="A562" s="15">
        <f>Murid!A562</f>
        <v/>
      </c>
      <c r="B562" s="15">
        <f>IF(Murid!B562="","",Murid!B562)</f>
        <v/>
      </c>
      <c r="C562" s="16">
        <f>IF(Murid!C562="","",Murid!C562)</f>
        <v/>
      </c>
      <c r="D562" s="15">
        <f>IF(Murid!E562="","",Murid!E562)</f>
        <v/>
      </c>
      <c r="E562" s="17">
        <f>KP!X562</f>
        <v/>
      </c>
      <c r="F562" s="17">
        <f>UB!X562</f>
        <v/>
      </c>
      <c r="G562" s="17">
        <f>SP!X562</f>
        <v/>
      </c>
      <c r="H562" s="17">
        <f>IF(COUNT(E562:G562)=0,"",ROUND((LARGE(E562:G562,1)+IF(COUNT(E562:G562)&gt;=2,LARGE(E562:G562,2),0))/2,2))</f>
        <v/>
      </c>
      <c r="I562" s="10">
        <f>Ekstra!U562</f>
        <v/>
      </c>
      <c r="J562" s="18">
        <f>IF(B562="","",IF(Murid!F562="TL","TL",IF(H562="","",MIN(100,ROUND(H562+N(I562),2)))))</f>
        <v/>
      </c>
      <c r="K562" s="19">
        <f>IF(J562="","",IF(J562="TL","TL",IF(J562&gt;=80,"A",IF(J562&gt;=60,"B",IF(J562&gt;=40,"C",IF(J562&gt;=20,"D","E"))))))</f>
        <v/>
      </c>
      <c r="L562" s="15">
        <f>IF(K562="","",IF(K562="A","Cemerlang",IF(K562="B","Kepujian",IF(K562="C","Baik",IF(K562="D","Kurang Memuaskan",IF(K562="E","Tidak Memuaskan","Tidak Laksana"))))))</f>
        <v/>
      </c>
    </row>
    <row r="563">
      <c r="A563" s="15">
        <f>Murid!A563</f>
        <v/>
      </c>
      <c r="B563" s="15">
        <f>IF(Murid!B563="","",Murid!B563)</f>
        <v/>
      </c>
      <c r="C563" s="16">
        <f>IF(Murid!C563="","",Murid!C563)</f>
        <v/>
      </c>
      <c r="D563" s="15">
        <f>IF(Murid!E563="","",Murid!E563)</f>
        <v/>
      </c>
      <c r="E563" s="17">
        <f>KP!X563</f>
        <v/>
      </c>
      <c r="F563" s="17">
        <f>UB!X563</f>
        <v/>
      </c>
      <c r="G563" s="17">
        <f>SP!X563</f>
        <v/>
      </c>
      <c r="H563" s="17">
        <f>IF(COUNT(E563:G563)=0,"",ROUND((LARGE(E563:G563,1)+IF(COUNT(E563:G563)&gt;=2,LARGE(E563:G563,2),0))/2,2))</f>
        <v/>
      </c>
      <c r="I563" s="10">
        <f>Ekstra!U563</f>
        <v/>
      </c>
      <c r="J563" s="18">
        <f>IF(B563="","",IF(Murid!F563="TL","TL",IF(H563="","",MIN(100,ROUND(H563+N(I563),2)))))</f>
        <v/>
      </c>
      <c r="K563" s="19">
        <f>IF(J563="","",IF(J563="TL","TL",IF(J563&gt;=80,"A",IF(J563&gt;=60,"B",IF(J563&gt;=40,"C",IF(J563&gt;=20,"D","E"))))))</f>
        <v/>
      </c>
      <c r="L563" s="15">
        <f>IF(K563="","",IF(K563="A","Cemerlang",IF(K563="B","Kepujian",IF(K563="C","Baik",IF(K563="D","Kurang Memuaskan",IF(K563="E","Tidak Memuaskan","Tidak Laksana"))))))</f>
        <v/>
      </c>
    </row>
    <row r="564">
      <c r="A564" s="15">
        <f>Murid!A564</f>
        <v/>
      </c>
      <c r="B564" s="15">
        <f>IF(Murid!B564="","",Murid!B564)</f>
        <v/>
      </c>
      <c r="C564" s="16">
        <f>IF(Murid!C564="","",Murid!C564)</f>
        <v/>
      </c>
      <c r="D564" s="15">
        <f>IF(Murid!E564="","",Murid!E564)</f>
        <v/>
      </c>
      <c r="E564" s="17">
        <f>KP!X564</f>
        <v/>
      </c>
      <c r="F564" s="17">
        <f>UB!X564</f>
        <v/>
      </c>
      <c r="G564" s="17">
        <f>SP!X564</f>
        <v/>
      </c>
      <c r="H564" s="17">
        <f>IF(COUNT(E564:G564)=0,"",ROUND((LARGE(E564:G564,1)+IF(COUNT(E564:G564)&gt;=2,LARGE(E564:G564,2),0))/2,2))</f>
        <v/>
      </c>
      <c r="I564" s="10">
        <f>Ekstra!U564</f>
        <v/>
      </c>
      <c r="J564" s="18">
        <f>IF(B564="","",IF(Murid!F564="TL","TL",IF(H564="","",MIN(100,ROUND(H564+N(I564),2)))))</f>
        <v/>
      </c>
      <c r="K564" s="19">
        <f>IF(J564="","",IF(J564="TL","TL",IF(J564&gt;=80,"A",IF(J564&gt;=60,"B",IF(J564&gt;=40,"C",IF(J564&gt;=20,"D","E"))))))</f>
        <v/>
      </c>
      <c r="L564" s="15">
        <f>IF(K564="","",IF(K564="A","Cemerlang",IF(K564="B","Kepujian",IF(K564="C","Baik",IF(K564="D","Kurang Memuaskan",IF(K564="E","Tidak Memuaskan","Tidak Laksana"))))))</f>
        <v/>
      </c>
    </row>
    <row r="565">
      <c r="A565" s="15">
        <f>Murid!A565</f>
        <v/>
      </c>
      <c r="B565" s="15">
        <f>IF(Murid!B565="","",Murid!B565)</f>
        <v/>
      </c>
      <c r="C565" s="16">
        <f>IF(Murid!C565="","",Murid!C565)</f>
        <v/>
      </c>
      <c r="D565" s="15">
        <f>IF(Murid!E565="","",Murid!E565)</f>
        <v/>
      </c>
      <c r="E565" s="17">
        <f>KP!X565</f>
        <v/>
      </c>
      <c r="F565" s="17">
        <f>UB!X565</f>
        <v/>
      </c>
      <c r="G565" s="17">
        <f>SP!X565</f>
        <v/>
      </c>
      <c r="H565" s="17">
        <f>IF(COUNT(E565:G565)=0,"",ROUND((LARGE(E565:G565,1)+IF(COUNT(E565:G565)&gt;=2,LARGE(E565:G565,2),0))/2,2))</f>
        <v/>
      </c>
      <c r="I565" s="10">
        <f>Ekstra!U565</f>
        <v/>
      </c>
      <c r="J565" s="18">
        <f>IF(B565="","",IF(Murid!F565="TL","TL",IF(H565="","",MIN(100,ROUND(H565+N(I565),2)))))</f>
        <v/>
      </c>
      <c r="K565" s="19">
        <f>IF(J565="","",IF(J565="TL","TL",IF(J565&gt;=80,"A",IF(J565&gt;=60,"B",IF(J565&gt;=40,"C",IF(J565&gt;=20,"D","E"))))))</f>
        <v/>
      </c>
      <c r="L565" s="15">
        <f>IF(K565="","",IF(K565="A","Cemerlang",IF(K565="B","Kepujian",IF(K565="C","Baik",IF(K565="D","Kurang Memuaskan",IF(K565="E","Tidak Memuaskan","Tidak Laksana"))))))</f>
        <v/>
      </c>
    </row>
    <row r="566">
      <c r="A566" s="15">
        <f>Murid!A566</f>
        <v/>
      </c>
      <c r="B566" s="15">
        <f>IF(Murid!B566="","",Murid!B566)</f>
        <v/>
      </c>
      <c r="C566" s="16">
        <f>IF(Murid!C566="","",Murid!C566)</f>
        <v/>
      </c>
      <c r="D566" s="15">
        <f>IF(Murid!E566="","",Murid!E566)</f>
        <v/>
      </c>
      <c r="E566" s="17">
        <f>KP!X566</f>
        <v/>
      </c>
      <c r="F566" s="17">
        <f>UB!X566</f>
        <v/>
      </c>
      <c r="G566" s="17">
        <f>SP!X566</f>
        <v/>
      </c>
      <c r="H566" s="17">
        <f>IF(COUNT(E566:G566)=0,"",ROUND((LARGE(E566:G566,1)+IF(COUNT(E566:G566)&gt;=2,LARGE(E566:G566,2),0))/2,2))</f>
        <v/>
      </c>
      <c r="I566" s="10">
        <f>Ekstra!U566</f>
        <v/>
      </c>
      <c r="J566" s="18">
        <f>IF(B566="","",IF(Murid!F566="TL","TL",IF(H566="","",MIN(100,ROUND(H566+N(I566),2)))))</f>
        <v/>
      </c>
      <c r="K566" s="19">
        <f>IF(J566="","",IF(J566="TL","TL",IF(J566&gt;=80,"A",IF(J566&gt;=60,"B",IF(J566&gt;=40,"C",IF(J566&gt;=20,"D","E"))))))</f>
        <v/>
      </c>
      <c r="L566" s="15">
        <f>IF(K566="","",IF(K566="A","Cemerlang",IF(K566="B","Kepujian",IF(K566="C","Baik",IF(K566="D","Kurang Memuaskan",IF(K566="E","Tidak Memuaskan","Tidak Laksana"))))))</f>
        <v/>
      </c>
    </row>
    <row r="567">
      <c r="A567" s="15">
        <f>Murid!A567</f>
        <v/>
      </c>
      <c r="B567" s="15">
        <f>IF(Murid!B567="","",Murid!B567)</f>
        <v/>
      </c>
      <c r="C567" s="16">
        <f>IF(Murid!C567="","",Murid!C567)</f>
        <v/>
      </c>
      <c r="D567" s="15">
        <f>IF(Murid!E567="","",Murid!E567)</f>
        <v/>
      </c>
      <c r="E567" s="17">
        <f>KP!X567</f>
        <v/>
      </c>
      <c r="F567" s="17">
        <f>UB!X567</f>
        <v/>
      </c>
      <c r="G567" s="17">
        <f>SP!X567</f>
        <v/>
      </c>
      <c r="H567" s="17">
        <f>IF(COUNT(E567:G567)=0,"",ROUND((LARGE(E567:G567,1)+IF(COUNT(E567:G567)&gt;=2,LARGE(E567:G567,2),0))/2,2))</f>
        <v/>
      </c>
      <c r="I567" s="10">
        <f>Ekstra!U567</f>
        <v/>
      </c>
      <c r="J567" s="18">
        <f>IF(B567="","",IF(Murid!F567="TL","TL",IF(H567="","",MIN(100,ROUND(H567+N(I567),2)))))</f>
        <v/>
      </c>
      <c r="K567" s="19">
        <f>IF(J567="","",IF(J567="TL","TL",IF(J567&gt;=80,"A",IF(J567&gt;=60,"B",IF(J567&gt;=40,"C",IF(J567&gt;=20,"D","E"))))))</f>
        <v/>
      </c>
      <c r="L567" s="15">
        <f>IF(K567="","",IF(K567="A","Cemerlang",IF(K567="B","Kepujian",IF(K567="C","Baik",IF(K567="D","Kurang Memuaskan",IF(K567="E","Tidak Memuaskan","Tidak Laksana"))))))</f>
        <v/>
      </c>
    </row>
    <row r="568">
      <c r="A568" s="15">
        <f>Murid!A568</f>
        <v/>
      </c>
      <c r="B568" s="15">
        <f>IF(Murid!B568="","",Murid!B568)</f>
        <v/>
      </c>
      <c r="C568" s="16">
        <f>IF(Murid!C568="","",Murid!C568)</f>
        <v/>
      </c>
      <c r="D568" s="15">
        <f>IF(Murid!E568="","",Murid!E568)</f>
        <v/>
      </c>
      <c r="E568" s="17">
        <f>KP!X568</f>
        <v/>
      </c>
      <c r="F568" s="17">
        <f>UB!X568</f>
        <v/>
      </c>
      <c r="G568" s="17">
        <f>SP!X568</f>
        <v/>
      </c>
      <c r="H568" s="17">
        <f>IF(COUNT(E568:G568)=0,"",ROUND((LARGE(E568:G568,1)+IF(COUNT(E568:G568)&gt;=2,LARGE(E568:G568,2),0))/2,2))</f>
        <v/>
      </c>
      <c r="I568" s="10">
        <f>Ekstra!U568</f>
        <v/>
      </c>
      <c r="J568" s="18">
        <f>IF(B568="","",IF(Murid!F568="TL","TL",IF(H568="","",MIN(100,ROUND(H568+N(I568),2)))))</f>
        <v/>
      </c>
      <c r="K568" s="19">
        <f>IF(J568="","",IF(J568="TL","TL",IF(J568&gt;=80,"A",IF(J568&gt;=60,"B",IF(J568&gt;=40,"C",IF(J568&gt;=20,"D","E"))))))</f>
        <v/>
      </c>
      <c r="L568" s="15">
        <f>IF(K568="","",IF(K568="A","Cemerlang",IF(K568="B","Kepujian",IF(K568="C","Baik",IF(K568="D","Kurang Memuaskan",IF(K568="E","Tidak Memuaskan","Tidak Laksana"))))))</f>
        <v/>
      </c>
    </row>
    <row r="569">
      <c r="A569" s="15">
        <f>Murid!A569</f>
        <v/>
      </c>
      <c r="B569" s="15">
        <f>IF(Murid!B569="","",Murid!B569)</f>
        <v/>
      </c>
      <c r="C569" s="16">
        <f>IF(Murid!C569="","",Murid!C569)</f>
        <v/>
      </c>
      <c r="D569" s="15">
        <f>IF(Murid!E569="","",Murid!E569)</f>
        <v/>
      </c>
      <c r="E569" s="17">
        <f>KP!X569</f>
        <v/>
      </c>
      <c r="F569" s="17">
        <f>UB!X569</f>
        <v/>
      </c>
      <c r="G569" s="17">
        <f>SP!X569</f>
        <v/>
      </c>
      <c r="H569" s="17">
        <f>IF(COUNT(E569:G569)=0,"",ROUND((LARGE(E569:G569,1)+IF(COUNT(E569:G569)&gt;=2,LARGE(E569:G569,2),0))/2,2))</f>
        <v/>
      </c>
      <c r="I569" s="10">
        <f>Ekstra!U569</f>
        <v/>
      </c>
      <c r="J569" s="18">
        <f>IF(B569="","",IF(Murid!F569="TL","TL",IF(H569="","",MIN(100,ROUND(H569+N(I569),2)))))</f>
        <v/>
      </c>
      <c r="K569" s="19">
        <f>IF(J569="","",IF(J569="TL","TL",IF(J569&gt;=80,"A",IF(J569&gt;=60,"B",IF(J569&gt;=40,"C",IF(J569&gt;=20,"D","E"))))))</f>
        <v/>
      </c>
      <c r="L569" s="15">
        <f>IF(K569="","",IF(K569="A","Cemerlang",IF(K569="B","Kepujian",IF(K569="C","Baik",IF(K569="D","Kurang Memuaskan",IF(K569="E","Tidak Memuaskan","Tidak Laksana"))))))</f>
        <v/>
      </c>
    </row>
    <row r="570">
      <c r="A570" s="15">
        <f>Murid!A570</f>
        <v/>
      </c>
      <c r="B570" s="15">
        <f>IF(Murid!B570="","",Murid!B570)</f>
        <v/>
      </c>
      <c r="C570" s="16">
        <f>IF(Murid!C570="","",Murid!C570)</f>
        <v/>
      </c>
      <c r="D570" s="15">
        <f>IF(Murid!E570="","",Murid!E570)</f>
        <v/>
      </c>
      <c r="E570" s="17">
        <f>KP!X570</f>
        <v/>
      </c>
      <c r="F570" s="17">
        <f>UB!X570</f>
        <v/>
      </c>
      <c r="G570" s="17">
        <f>SP!X570</f>
        <v/>
      </c>
      <c r="H570" s="17">
        <f>IF(COUNT(E570:G570)=0,"",ROUND((LARGE(E570:G570,1)+IF(COUNT(E570:G570)&gt;=2,LARGE(E570:G570,2),0))/2,2))</f>
        <v/>
      </c>
      <c r="I570" s="10">
        <f>Ekstra!U570</f>
        <v/>
      </c>
      <c r="J570" s="18">
        <f>IF(B570="","",IF(Murid!F570="TL","TL",IF(H570="","",MIN(100,ROUND(H570+N(I570),2)))))</f>
        <v/>
      </c>
      <c r="K570" s="19">
        <f>IF(J570="","",IF(J570="TL","TL",IF(J570&gt;=80,"A",IF(J570&gt;=60,"B",IF(J570&gt;=40,"C",IF(J570&gt;=20,"D","E"))))))</f>
        <v/>
      </c>
      <c r="L570" s="15">
        <f>IF(K570="","",IF(K570="A","Cemerlang",IF(K570="B","Kepujian",IF(K570="C","Baik",IF(K570="D","Kurang Memuaskan",IF(K570="E","Tidak Memuaskan","Tidak Laksana"))))))</f>
        <v/>
      </c>
    </row>
    <row r="571">
      <c r="A571" s="15">
        <f>Murid!A571</f>
        <v/>
      </c>
      <c r="B571" s="15">
        <f>IF(Murid!B571="","",Murid!B571)</f>
        <v/>
      </c>
      <c r="C571" s="16">
        <f>IF(Murid!C571="","",Murid!C571)</f>
        <v/>
      </c>
      <c r="D571" s="15">
        <f>IF(Murid!E571="","",Murid!E571)</f>
        <v/>
      </c>
      <c r="E571" s="17">
        <f>KP!X571</f>
        <v/>
      </c>
      <c r="F571" s="17">
        <f>UB!X571</f>
        <v/>
      </c>
      <c r="G571" s="17">
        <f>SP!X571</f>
        <v/>
      </c>
      <c r="H571" s="17">
        <f>IF(COUNT(E571:G571)=0,"",ROUND((LARGE(E571:G571,1)+IF(COUNT(E571:G571)&gt;=2,LARGE(E571:G571,2),0))/2,2))</f>
        <v/>
      </c>
      <c r="I571" s="10">
        <f>Ekstra!U571</f>
        <v/>
      </c>
      <c r="J571" s="18">
        <f>IF(B571="","",IF(Murid!F571="TL","TL",IF(H571="","",MIN(100,ROUND(H571+N(I571),2)))))</f>
        <v/>
      </c>
      <c r="K571" s="19">
        <f>IF(J571="","",IF(J571="TL","TL",IF(J571&gt;=80,"A",IF(J571&gt;=60,"B",IF(J571&gt;=40,"C",IF(J571&gt;=20,"D","E"))))))</f>
        <v/>
      </c>
      <c r="L571" s="15">
        <f>IF(K571="","",IF(K571="A","Cemerlang",IF(K571="B","Kepujian",IF(K571="C","Baik",IF(K571="D","Kurang Memuaskan",IF(K571="E","Tidak Memuaskan","Tidak Laksana"))))))</f>
        <v/>
      </c>
    </row>
    <row r="572">
      <c r="A572" s="15">
        <f>Murid!A572</f>
        <v/>
      </c>
      <c r="B572" s="15">
        <f>IF(Murid!B572="","",Murid!B572)</f>
        <v/>
      </c>
      <c r="C572" s="16">
        <f>IF(Murid!C572="","",Murid!C572)</f>
        <v/>
      </c>
      <c r="D572" s="15">
        <f>IF(Murid!E572="","",Murid!E572)</f>
        <v/>
      </c>
      <c r="E572" s="17">
        <f>KP!X572</f>
        <v/>
      </c>
      <c r="F572" s="17">
        <f>UB!X572</f>
        <v/>
      </c>
      <c r="G572" s="17">
        <f>SP!X572</f>
        <v/>
      </c>
      <c r="H572" s="17">
        <f>IF(COUNT(E572:G572)=0,"",ROUND((LARGE(E572:G572,1)+IF(COUNT(E572:G572)&gt;=2,LARGE(E572:G572,2),0))/2,2))</f>
        <v/>
      </c>
      <c r="I572" s="10">
        <f>Ekstra!U572</f>
        <v/>
      </c>
      <c r="J572" s="18">
        <f>IF(B572="","",IF(Murid!F572="TL","TL",IF(H572="","",MIN(100,ROUND(H572+N(I572),2)))))</f>
        <v/>
      </c>
      <c r="K572" s="19">
        <f>IF(J572="","",IF(J572="TL","TL",IF(J572&gt;=80,"A",IF(J572&gt;=60,"B",IF(J572&gt;=40,"C",IF(J572&gt;=20,"D","E"))))))</f>
        <v/>
      </c>
      <c r="L572" s="15">
        <f>IF(K572="","",IF(K572="A","Cemerlang",IF(K572="B","Kepujian",IF(K572="C","Baik",IF(K572="D","Kurang Memuaskan",IF(K572="E","Tidak Memuaskan","Tidak Laksana"))))))</f>
        <v/>
      </c>
    </row>
    <row r="573">
      <c r="A573" s="15">
        <f>Murid!A573</f>
        <v/>
      </c>
      <c r="B573" s="15">
        <f>IF(Murid!B573="","",Murid!B573)</f>
        <v/>
      </c>
      <c r="C573" s="16">
        <f>IF(Murid!C573="","",Murid!C573)</f>
        <v/>
      </c>
      <c r="D573" s="15">
        <f>IF(Murid!E573="","",Murid!E573)</f>
        <v/>
      </c>
      <c r="E573" s="17">
        <f>KP!X573</f>
        <v/>
      </c>
      <c r="F573" s="17">
        <f>UB!X573</f>
        <v/>
      </c>
      <c r="G573" s="17">
        <f>SP!X573</f>
        <v/>
      </c>
      <c r="H573" s="17">
        <f>IF(COUNT(E573:G573)=0,"",ROUND((LARGE(E573:G573,1)+IF(COUNT(E573:G573)&gt;=2,LARGE(E573:G573,2),0))/2,2))</f>
        <v/>
      </c>
      <c r="I573" s="10">
        <f>Ekstra!U573</f>
        <v/>
      </c>
      <c r="J573" s="18">
        <f>IF(B573="","",IF(Murid!F573="TL","TL",IF(H573="","",MIN(100,ROUND(H573+N(I573),2)))))</f>
        <v/>
      </c>
      <c r="K573" s="19">
        <f>IF(J573="","",IF(J573="TL","TL",IF(J573&gt;=80,"A",IF(J573&gt;=60,"B",IF(J573&gt;=40,"C",IF(J573&gt;=20,"D","E"))))))</f>
        <v/>
      </c>
      <c r="L573" s="15">
        <f>IF(K573="","",IF(K573="A","Cemerlang",IF(K573="B","Kepujian",IF(K573="C","Baik",IF(K573="D","Kurang Memuaskan",IF(K573="E","Tidak Memuaskan","Tidak Laksana"))))))</f>
        <v/>
      </c>
    </row>
    <row r="574">
      <c r="A574" s="15">
        <f>Murid!A574</f>
        <v/>
      </c>
      <c r="B574" s="15">
        <f>IF(Murid!B574="","",Murid!B574)</f>
        <v/>
      </c>
      <c r="C574" s="16">
        <f>IF(Murid!C574="","",Murid!C574)</f>
        <v/>
      </c>
      <c r="D574" s="15">
        <f>IF(Murid!E574="","",Murid!E574)</f>
        <v/>
      </c>
      <c r="E574" s="17">
        <f>KP!X574</f>
        <v/>
      </c>
      <c r="F574" s="17">
        <f>UB!X574</f>
        <v/>
      </c>
      <c r="G574" s="17">
        <f>SP!X574</f>
        <v/>
      </c>
      <c r="H574" s="17">
        <f>IF(COUNT(E574:G574)=0,"",ROUND((LARGE(E574:G574,1)+IF(COUNT(E574:G574)&gt;=2,LARGE(E574:G574,2),0))/2,2))</f>
        <v/>
      </c>
      <c r="I574" s="10">
        <f>Ekstra!U574</f>
        <v/>
      </c>
      <c r="J574" s="18">
        <f>IF(B574="","",IF(Murid!F574="TL","TL",IF(H574="","",MIN(100,ROUND(H574+N(I574),2)))))</f>
        <v/>
      </c>
      <c r="K574" s="19">
        <f>IF(J574="","",IF(J574="TL","TL",IF(J574&gt;=80,"A",IF(J574&gt;=60,"B",IF(J574&gt;=40,"C",IF(J574&gt;=20,"D","E"))))))</f>
        <v/>
      </c>
      <c r="L574" s="15">
        <f>IF(K574="","",IF(K574="A","Cemerlang",IF(K574="B","Kepujian",IF(K574="C","Baik",IF(K574="D","Kurang Memuaskan",IF(K574="E","Tidak Memuaskan","Tidak Laksana"))))))</f>
        <v/>
      </c>
    </row>
    <row r="575">
      <c r="A575" s="15">
        <f>Murid!A575</f>
        <v/>
      </c>
      <c r="B575" s="15">
        <f>IF(Murid!B575="","",Murid!B575)</f>
        <v/>
      </c>
      <c r="C575" s="16">
        <f>IF(Murid!C575="","",Murid!C575)</f>
        <v/>
      </c>
      <c r="D575" s="15">
        <f>IF(Murid!E575="","",Murid!E575)</f>
        <v/>
      </c>
      <c r="E575" s="17">
        <f>KP!X575</f>
        <v/>
      </c>
      <c r="F575" s="17">
        <f>UB!X575</f>
        <v/>
      </c>
      <c r="G575" s="17">
        <f>SP!X575</f>
        <v/>
      </c>
      <c r="H575" s="17">
        <f>IF(COUNT(E575:G575)=0,"",ROUND((LARGE(E575:G575,1)+IF(COUNT(E575:G575)&gt;=2,LARGE(E575:G575,2),0))/2,2))</f>
        <v/>
      </c>
      <c r="I575" s="10">
        <f>Ekstra!U575</f>
        <v/>
      </c>
      <c r="J575" s="18">
        <f>IF(B575="","",IF(Murid!F575="TL","TL",IF(H575="","",MIN(100,ROUND(H575+N(I575),2)))))</f>
        <v/>
      </c>
      <c r="K575" s="19">
        <f>IF(J575="","",IF(J575="TL","TL",IF(J575&gt;=80,"A",IF(J575&gt;=60,"B",IF(J575&gt;=40,"C",IF(J575&gt;=20,"D","E"))))))</f>
        <v/>
      </c>
      <c r="L575" s="15">
        <f>IF(K575="","",IF(K575="A","Cemerlang",IF(K575="B","Kepujian",IF(K575="C","Baik",IF(K575="D","Kurang Memuaskan",IF(K575="E","Tidak Memuaskan","Tidak Laksana"))))))</f>
        <v/>
      </c>
    </row>
    <row r="576">
      <c r="A576" s="15">
        <f>Murid!A576</f>
        <v/>
      </c>
      <c r="B576" s="15">
        <f>IF(Murid!B576="","",Murid!B576)</f>
        <v/>
      </c>
      <c r="C576" s="16">
        <f>IF(Murid!C576="","",Murid!C576)</f>
        <v/>
      </c>
      <c r="D576" s="15">
        <f>IF(Murid!E576="","",Murid!E576)</f>
        <v/>
      </c>
      <c r="E576" s="17">
        <f>KP!X576</f>
        <v/>
      </c>
      <c r="F576" s="17">
        <f>UB!X576</f>
        <v/>
      </c>
      <c r="G576" s="17">
        <f>SP!X576</f>
        <v/>
      </c>
      <c r="H576" s="17">
        <f>IF(COUNT(E576:G576)=0,"",ROUND((LARGE(E576:G576,1)+IF(COUNT(E576:G576)&gt;=2,LARGE(E576:G576,2),0))/2,2))</f>
        <v/>
      </c>
      <c r="I576" s="10">
        <f>Ekstra!U576</f>
        <v/>
      </c>
      <c r="J576" s="18">
        <f>IF(B576="","",IF(Murid!F576="TL","TL",IF(H576="","",MIN(100,ROUND(H576+N(I576),2)))))</f>
        <v/>
      </c>
      <c r="K576" s="19">
        <f>IF(J576="","",IF(J576="TL","TL",IF(J576&gt;=80,"A",IF(J576&gt;=60,"B",IF(J576&gt;=40,"C",IF(J576&gt;=20,"D","E"))))))</f>
        <v/>
      </c>
      <c r="L576" s="15">
        <f>IF(K576="","",IF(K576="A","Cemerlang",IF(K576="B","Kepujian",IF(K576="C","Baik",IF(K576="D","Kurang Memuaskan",IF(K576="E","Tidak Memuaskan","Tidak Laksana"))))))</f>
        <v/>
      </c>
    </row>
    <row r="577">
      <c r="A577" s="15">
        <f>Murid!A577</f>
        <v/>
      </c>
      <c r="B577" s="15">
        <f>IF(Murid!B577="","",Murid!B577)</f>
        <v/>
      </c>
      <c r="C577" s="16">
        <f>IF(Murid!C577="","",Murid!C577)</f>
        <v/>
      </c>
      <c r="D577" s="15">
        <f>IF(Murid!E577="","",Murid!E577)</f>
        <v/>
      </c>
      <c r="E577" s="17">
        <f>KP!X577</f>
        <v/>
      </c>
      <c r="F577" s="17">
        <f>UB!X577</f>
        <v/>
      </c>
      <c r="G577" s="17">
        <f>SP!X577</f>
        <v/>
      </c>
      <c r="H577" s="17">
        <f>IF(COUNT(E577:G577)=0,"",ROUND((LARGE(E577:G577,1)+IF(COUNT(E577:G577)&gt;=2,LARGE(E577:G577,2),0))/2,2))</f>
        <v/>
      </c>
      <c r="I577" s="10">
        <f>Ekstra!U577</f>
        <v/>
      </c>
      <c r="J577" s="18">
        <f>IF(B577="","",IF(Murid!F577="TL","TL",IF(H577="","",MIN(100,ROUND(H577+N(I577),2)))))</f>
        <v/>
      </c>
      <c r="K577" s="19">
        <f>IF(J577="","",IF(J577="TL","TL",IF(J577&gt;=80,"A",IF(J577&gt;=60,"B",IF(J577&gt;=40,"C",IF(J577&gt;=20,"D","E"))))))</f>
        <v/>
      </c>
      <c r="L577" s="15">
        <f>IF(K577="","",IF(K577="A","Cemerlang",IF(K577="B","Kepujian",IF(K577="C","Baik",IF(K577="D","Kurang Memuaskan",IF(K577="E","Tidak Memuaskan","Tidak Laksana"))))))</f>
        <v/>
      </c>
    </row>
    <row r="578">
      <c r="A578" s="15">
        <f>Murid!A578</f>
        <v/>
      </c>
      <c r="B578" s="15">
        <f>IF(Murid!B578="","",Murid!B578)</f>
        <v/>
      </c>
      <c r="C578" s="16">
        <f>IF(Murid!C578="","",Murid!C578)</f>
        <v/>
      </c>
      <c r="D578" s="15">
        <f>IF(Murid!E578="","",Murid!E578)</f>
        <v/>
      </c>
      <c r="E578" s="17">
        <f>KP!X578</f>
        <v/>
      </c>
      <c r="F578" s="17">
        <f>UB!X578</f>
        <v/>
      </c>
      <c r="G578" s="17">
        <f>SP!X578</f>
        <v/>
      </c>
      <c r="H578" s="17">
        <f>IF(COUNT(E578:G578)=0,"",ROUND((LARGE(E578:G578,1)+IF(COUNT(E578:G578)&gt;=2,LARGE(E578:G578,2),0))/2,2))</f>
        <v/>
      </c>
      <c r="I578" s="10">
        <f>Ekstra!U578</f>
        <v/>
      </c>
      <c r="J578" s="18">
        <f>IF(B578="","",IF(Murid!F578="TL","TL",IF(H578="","",MIN(100,ROUND(H578+N(I578),2)))))</f>
        <v/>
      </c>
      <c r="K578" s="19">
        <f>IF(J578="","",IF(J578="TL","TL",IF(J578&gt;=80,"A",IF(J578&gt;=60,"B",IF(J578&gt;=40,"C",IF(J578&gt;=20,"D","E"))))))</f>
        <v/>
      </c>
      <c r="L578" s="15">
        <f>IF(K578="","",IF(K578="A","Cemerlang",IF(K578="B","Kepujian",IF(K578="C","Baik",IF(K578="D","Kurang Memuaskan",IF(K578="E","Tidak Memuaskan","Tidak Laksana"))))))</f>
        <v/>
      </c>
    </row>
    <row r="579">
      <c r="A579" s="15">
        <f>Murid!A579</f>
        <v/>
      </c>
      <c r="B579" s="15">
        <f>IF(Murid!B579="","",Murid!B579)</f>
        <v/>
      </c>
      <c r="C579" s="16">
        <f>IF(Murid!C579="","",Murid!C579)</f>
        <v/>
      </c>
      <c r="D579" s="15">
        <f>IF(Murid!E579="","",Murid!E579)</f>
        <v/>
      </c>
      <c r="E579" s="17">
        <f>KP!X579</f>
        <v/>
      </c>
      <c r="F579" s="17">
        <f>UB!X579</f>
        <v/>
      </c>
      <c r="G579" s="17">
        <f>SP!X579</f>
        <v/>
      </c>
      <c r="H579" s="17">
        <f>IF(COUNT(E579:G579)=0,"",ROUND((LARGE(E579:G579,1)+IF(COUNT(E579:G579)&gt;=2,LARGE(E579:G579,2),0))/2,2))</f>
        <v/>
      </c>
      <c r="I579" s="10">
        <f>Ekstra!U579</f>
        <v/>
      </c>
      <c r="J579" s="18">
        <f>IF(B579="","",IF(Murid!F579="TL","TL",IF(H579="","",MIN(100,ROUND(H579+N(I579),2)))))</f>
        <v/>
      </c>
      <c r="K579" s="19">
        <f>IF(J579="","",IF(J579="TL","TL",IF(J579&gt;=80,"A",IF(J579&gt;=60,"B",IF(J579&gt;=40,"C",IF(J579&gt;=20,"D","E"))))))</f>
        <v/>
      </c>
      <c r="L579" s="15">
        <f>IF(K579="","",IF(K579="A","Cemerlang",IF(K579="B","Kepujian",IF(K579="C","Baik",IF(K579="D","Kurang Memuaskan",IF(K579="E","Tidak Memuaskan","Tidak Laksana"))))))</f>
        <v/>
      </c>
    </row>
    <row r="580">
      <c r="A580" s="15">
        <f>Murid!A580</f>
        <v/>
      </c>
      <c r="B580" s="15">
        <f>IF(Murid!B580="","",Murid!B580)</f>
        <v/>
      </c>
      <c r="C580" s="16">
        <f>IF(Murid!C580="","",Murid!C580)</f>
        <v/>
      </c>
      <c r="D580" s="15">
        <f>IF(Murid!E580="","",Murid!E580)</f>
        <v/>
      </c>
      <c r="E580" s="17">
        <f>KP!X580</f>
        <v/>
      </c>
      <c r="F580" s="17">
        <f>UB!X580</f>
        <v/>
      </c>
      <c r="G580" s="17">
        <f>SP!X580</f>
        <v/>
      </c>
      <c r="H580" s="17">
        <f>IF(COUNT(E580:G580)=0,"",ROUND((LARGE(E580:G580,1)+IF(COUNT(E580:G580)&gt;=2,LARGE(E580:G580,2),0))/2,2))</f>
        <v/>
      </c>
      <c r="I580" s="10">
        <f>Ekstra!U580</f>
        <v/>
      </c>
      <c r="J580" s="18">
        <f>IF(B580="","",IF(Murid!F580="TL","TL",IF(H580="","",MIN(100,ROUND(H580+N(I580),2)))))</f>
        <v/>
      </c>
      <c r="K580" s="19">
        <f>IF(J580="","",IF(J580="TL","TL",IF(J580&gt;=80,"A",IF(J580&gt;=60,"B",IF(J580&gt;=40,"C",IF(J580&gt;=20,"D","E"))))))</f>
        <v/>
      </c>
      <c r="L580" s="15">
        <f>IF(K580="","",IF(K580="A","Cemerlang",IF(K580="B","Kepujian",IF(K580="C","Baik",IF(K580="D","Kurang Memuaskan",IF(K580="E","Tidak Memuaskan","Tidak Laksana"))))))</f>
        <v/>
      </c>
    </row>
    <row r="581">
      <c r="A581" s="15">
        <f>Murid!A581</f>
        <v/>
      </c>
      <c r="B581" s="15">
        <f>IF(Murid!B581="","",Murid!B581)</f>
        <v/>
      </c>
      <c r="C581" s="16">
        <f>IF(Murid!C581="","",Murid!C581)</f>
        <v/>
      </c>
      <c r="D581" s="15">
        <f>IF(Murid!E581="","",Murid!E581)</f>
        <v/>
      </c>
      <c r="E581" s="17">
        <f>KP!X581</f>
        <v/>
      </c>
      <c r="F581" s="17">
        <f>UB!X581</f>
        <v/>
      </c>
      <c r="G581" s="17">
        <f>SP!X581</f>
        <v/>
      </c>
      <c r="H581" s="17">
        <f>IF(COUNT(E581:G581)=0,"",ROUND((LARGE(E581:G581,1)+IF(COUNT(E581:G581)&gt;=2,LARGE(E581:G581,2),0))/2,2))</f>
        <v/>
      </c>
      <c r="I581" s="10">
        <f>Ekstra!U581</f>
        <v/>
      </c>
      <c r="J581" s="18">
        <f>IF(B581="","",IF(Murid!F581="TL","TL",IF(H581="","",MIN(100,ROUND(H581+N(I581),2)))))</f>
        <v/>
      </c>
      <c r="K581" s="19">
        <f>IF(J581="","",IF(J581="TL","TL",IF(J581&gt;=80,"A",IF(J581&gt;=60,"B",IF(J581&gt;=40,"C",IF(J581&gt;=20,"D","E"))))))</f>
        <v/>
      </c>
      <c r="L581" s="15">
        <f>IF(K581="","",IF(K581="A","Cemerlang",IF(K581="B","Kepujian",IF(K581="C","Baik",IF(K581="D","Kurang Memuaskan",IF(K581="E","Tidak Memuaskan","Tidak Laksana"))))))</f>
        <v/>
      </c>
    </row>
    <row r="582">
      <c r="A582" s="15">
        <f>Murid!A582</f>
        <v/>
      </c>
      <c r="B582" s="15">
        <f>IF(Murid!B582="","",Murid!B582)</f>
        <v/>
      </c>
      <c r="C582" s="16">
        <f>IF(Murid!C582="","",Murid!C582)</f>
        <v/>
      </c>
      <c r="D582" s="15">
        <f>IF(Murid!E582="","",Murid!E582)</f>
        <v/>
      </c>
      <c r="E582" s="17">
        <f>KP!X582</f>
        <v/>
      </c>
      <c r="F582" s="17">
        <f>UB!X582</f>
        <v/>
      </c>
      <c r="G582" s="17">
        <f>SP!X582</f>
        <v/>
      </c>
      <c r="H582" s="17">
        <f>IF(COUNT(E582:G582)=0,"",ROUND((LARGE(E582:G582,1)+IF(COUNT(E582:G582)&gt;=2,LARGE(E582:G582,2),0))/2,2))</f>
        <v/>
      </c>
      <c r="I582" s="10">
        <f>Ekstra!U582</f>
        <v/>
      </c>
      <c r="J582" s="18">
        <f>IF(B582="","",IF(Murid!F582="TL","TL",IF(H582="","",MIN(100,ROUND(H582+N(I582),2)))))</f>
        <v/>
      </c>
      <c r="K582" s="19">
        <f>IF(J582="","",IF(J582="TL","TL",IF(J582&gt;=80,"A",IF(J582&gt;=60,"B",IF(J582&gt;=40,"C",IF(J582&gt;=20,"D","E"))))))</f>
        <v/>
      </c>
      <c r="L582" s="15">
        <f>IF(K582="","",IF(K582="A","Cemerlang",IF(K582="B","Kepujian",IF(K582="C","Baik",IF(K582="D","Kurang Memuaskan",IF(K582="E","Tidak Memuaskan","Tidak Laksana"))))))</f>
        <v/>
      </c>
    </row>
    <row r="583">
      <c r="A583" s="15">
        <f>Murid!A583</f>
        <v/>
      </c>
      <c r="B583" s="15">
        <f>IF(Murid!B583="","",Murid!B583)</f>
        <v/>
      </c>
      <c r="C583" s="16">
        <f>IF(Murid!C583="","",Murid!C583)</f>
        <v/>
      </c>
      <c r="D583" s="15">
        <f>IF(Murid!E583="","",Murid!E583)</f>
        <v/>
      </c>
      <c r="E583" s="17">
        <f>KP!X583</f>
        <v/>
      </c>
      <c r="F583" s="17">
        <f>UB!X583</f>
        <v/>
      </c>
      <c r="G583" s="17">
        <f>SP!X583</f>
        <v/>
      </c>
      <c r="H583" s="17">
        <f>IF(COUNT(E583:G583)=0,"",ROUND((LARGE(E583:G583,1)+IF(COUNT(E583:G583)&gt;=2,LARGE(E583:G583,2),0))/2,2))</f>
        <v/>
      </c>
      <c r="I583" s="10">
        <f>Ekstra!U583</f>
        <v/>
      </c>
      <c r="J583" s="18">
        <f>IF(B583="","",IF(Murid!F583="TL","TL",IF(H583="","",MIN(100,ROUND(H583+N(I583),2)))))</f>
        <v/>
      </c>
      <c r="K583" s="19">
        <f>IF(J583="","",IF(J583="TL","TL",IF(J583&gt;=80,"A",IF(J583&gt;=60,"B",IF(J583&gt;=40,"C",IF(J583&gt;=20,"D","E"))))))</f>
        <v/>
      </c>
      <c r="L583" s="15">
        <f>IF(K583="","",IF(K583="A","Cemerlang",IF(K583="B","Kepujian",IF(K583="C","Baik",IF(K583="D","Kurang Memuaskan",IF(K583="E","Tidak Memuaskan","Tidak Laksana"))))))</f>
        <v/>
      </c>
    </row>
    <row r="584">
      <c r="A584" s="15">
        <f>Murid!A584</f>
        <v/>
      </c>
      <c r="B584" s="15">
        <f>IF(Murid!B584="","",Murid!B584)</f>
        <v/>
      </c>
      <c r="C584" s="16">
        <f>IF(Murid!C584="","",Murid!C584)</f>
        <v/>
      </c>
      <c r="D584" s="15">
        <f>IF(Murid!E584="","",Murid!E584)</f>
        <v/>
      </c>
      <c r="E584" s="17">
        <f>KP!X584</f>
        <v/>
      </c>
      <c r="F584" s="17">
        <f>UB!X584</f>
        <v/>
      </c>
      <c r="G584" s="17">
        <f>SP!X584</f>
        <v/>
      </c>
      <c r="H584" s="17">
        <f>IF(COUNT(E584:G584)=0,"",ROUND((LARGE(E584:G584,1)+IF(COUNT(E584:G584)&gt;=2,LARGE(E584:G584,2),0))/2,2))</f>
        <v/>
      </c>
      <c r="I584" s="10">
        <f>Ekstra!U584</f>
        <v/>
      </c>
      <c r="J584" s="18">
        <f>IF(B584="","",IF(Murid!F584="TL","TL",IF(H584="","",MIN(100,ROUND(H584+N(I584),2)))))</f>
        <v/>
      </c>
      <c r="K584" s="19">
        <f>IF(J584="","",IF(J584="TL","TL",IF(J584&gt;=80,"A",IF(J584&gt;=60,"B",IF(J584&gt;=40,"C",IF(J584&gt;=20,"D","E"))))))</f>
        <v/>
      </c>
      <c r="L584" s="15">
        <f>IF(K584="","",IF(K584="A","Cemerlang",IF(K584="B","Kepujian",IF(K584="C","Baik",IF(K584="D","Kurang Memuaskan",IF(K584="E","Tidak Memuaskan","Tidak Laksana"))))))</f>
        <v/>
      </c>
    </row>
    <row r="585">
      <c r="A585" s="15">
        <f>Murid!A585</f>
        <v/>
      </c>
      <c r="B585" s="15">
        <f>IF(Murid!B585="","",Murid!B585)</f>
        <v/>
      </c>
      <c r="C585" s="16">
        <f>IF(Murid!C585="","",Murid!C585)</f>
        <v/>
      </c>
      <c r="D585" s="15">
        <f>IF(Murid!E585="","",Murid!E585)</f>
        <v/>
      </c>
      <c r="E585" s="17">
        <f>KP!X585</f>
        <v/>
      </c>
      <c r="F585" s="17">
        <f>UB!X585</f>
        <v/>
      </c>
      <c r="G585" s="17">
        <f>SP!X585</f>
        <v/>
      </c>
      <c r="H585" s="17">
        <f>IF(COUNT(E585:G585)=0,"",ROUND((LARGE(E585:G585,1)+IF(COUNT(E585:G585)&gt;=2,LARGE(E585:G585,2),0))/2,2))</f>
        <v/>
      </c>
      <c r="I585" s="10">
        <f>Ekstra!U585</f>
        <v/>
      </c>
      <c r="J585" s="18">
        <f>IF(B585="","",IF(Murid!F585="TL","TL",IF(H585="","",MIN(100,ROUND(H585+N(I585),2)))))</f>
        <v/>
      </c>
      <c r="K585" s="19">
        <f>IF(J585="","",IF(J585="TL","TL",IF(J585&gt;=80,"A",IF(J585&gt;=60,"B",IF(J585&gt;=40,"C",IF(J585&gt;=20,"D","E"))))))</f>
        <v/>
      </c>
      <c r="L585" s="15">
        <f>IF(K585="","",IF(K585="A","Cemerlang",IF(K585="B","Kepujian",IF(K585="C","Baik",IF(K585="D","Kurang Memuaskan",IF(K585="E","Tidak Memuaskan","Tidak Laksana"))))))</f>
        <v/>
      </c>
    </row>
    <row r="586">
      <c r="A586" s="15">
        <f>Murid!A586</f>
        <v/>
      </c>
      <c r="B586" s="15">
        <f>IF(Murid!B586="","",Murid!B586)</f>
        <v/>
      </c>
      <c r="C586" s="16">
        <f>IF(Murid!C586="","",Murid!C586)</f>
        <v/>
      </c>
      <c r="D586" s="15">
        <f>IF(Murid!E586="","",Murid!E586)</f>
        <v/>
      </c>
      <c r="E586" s="17">
        <f>KP!X586</f>
        <v/>
      </c>
      <c r="F586" s="17">
        <f>UB!X586</f>
        <v/>
      </c>
      <c r="G586" s="17">
        <f>SP!X586</f>
        <v/>
      </c>
      <c r="H586" s="17">
        <f>IF(COUNT(E586:G586)=0,"",ROUND((LARGE(E586:G586,1)+IF(COUNT(E586:G586)&gt;=2,LARGE(E586:G586,2),0))/2,2))</f>
        <v/>
      </c>
      <c r="I586" s="10">
        <f>Ekstra!U586</f>
        <v/>
      </c>
      <c r="J586" s="18">
        <f>IF(B586="","",IF(Murid!F586="TL","TL",IF(H586="","",MIN(100,ROUND(H586+N(I586),2)))))</f>
        <v/>
      </c>
      <c r="K586" s="19">
        <f>IF(J586="","",IF(J586="TL","TL",IF(J586&gt;=80,"A",IF(J586&gt;=60,"B",IF(J586&gt;=40,"C",IF(J586&gt;=20,"D","E"))))))</f>
        <v/>
      </c>
      <c r="L586" s="15">
        <f>IF(K586="","",IF(K586="A","Cemerlang",IF(K586="B","Kepujian",IF(K586="C","Baik",IF(K586="D","Kurang Memuaskan",IF(K586="E","Tidak Memuaskan","Tidak Laksana"))))))</f>
        <v/>
      </c>
    </row>
    <row r="587">
      <c r="A587" s="15">
        <f>Murid!A587</f>
        <v/>
      </c>
      <c r="B587" s="15">
        <f>IF(Murid!B587="","",Murid!B587)</f>
        <v/>
      </c>
      <c r="C587" s="16">
        <f>IF(Murid!C587="","",Murid!C587)</f>
        <v/>
      </c>
      <c r="D587" s="15">
        <f>IF(Murid!E587="","",Murid!E587)</f>
        <v/>
      </c>
      <c r="E587" s="17">
        <f>KP!X587</f>
        <v/>
      </c>
      <c r="F587" s="17">
        <f>UB!X587</f>
        <v/>
      </c>
      <c r="G587" s="17">
        <f>SP!X587</f>
        <v/>
      </c>
      <c r="H587" s="17">
        <f>IF(COUNT(E587:G587)=0,"",ROUND((LARGE(E587:G587,1)+IF(COUNT(E587:G587)&gt;=2,LARGE(E587:G587,2),0))/2,2))</f>
        <v/>
      </c>
      <c r="I587" s="10">
        <f>Ekstra!U587</f>
        <v/>
      </c>
      <c r="J587" s="18">
        <f>IF(B587="","",IF(Murid!F587="TL","TL",IF(H587="","",MIN(100,ROUND(H587+N(I587),2)))))</f>
        <v/>
      </c>
      <c r="K587" s="19">
        <f>IF(J587="","",IF(J587="TL","TL",IF(J587&gt;=80,"A",IF(J587&gt;=60,"B",IF(J587&gt;=40,"C",IF(J587&gt;=20,"D","E"))))))</f>
        <v/>
      </c>
      <c r="L587" s="15">
        <f>IF(K587="","",IF(K587="A","Cemerlang",IF(K587="B","Kepujian",IF(K587="C","Baik",IF(K587="D","Kurang Memuaskan",IF(K587="E","Tidak Memuaskan","Tidak Laksana"))))))</f>
        <v/>
      </c>
    </row>
    <row r="588">
      <c r="A588" s="15">
        <f>Murid!A588</f>
        <v/>
      </c>
      <c r="B588" s="15">
        <f>IF(Murid!B588="","",Murid!B588)</f>
        <v/>
      </c>
      <c r="C588" s="16">
        <f>IF(Murid!C588="","",Murid!C588)</f>
        <v/>
      </c>
      <c r="D588" s="15">
        <f>IF(Murid!E588="","",Murid!E588)</f>
        <v/>
      </c>
      <c r="E588" s="17">
        <f>KP!X588</f>
        <v/>
      </c>
      <c r="F588" s="17">
        <f>UB!X588</f>
        <v/>
      </c>
      <c r="G588" s="17">
        <f>SP!X588</f>
        <v/>
      </c>
      <c r="H588" s="17">
        <f>IF(COUNT(E588:G588)=0,"",ROUND((LARGE(E588:G588,1)+IF(COUNT(E588:G588)&gt;=2,LARGE(E588:G588,2),0))/2,2))</f>
        <v/>
      </c>
      <c r="I588" s="10">
        <f>Ekstra!U588</f>
        <v/>
      </c>
      <c r="J588" s="18">
        <f>IF(B588="","",IF(Murid!F588="TL","TL",IF(H588="","",MIN(100,ROUND(H588+N(I588),2)))))</f>
        <v/>
      </c>
      <c r="K588" s="19">
        <f>IF(J588="","",IF(J588="TL","TL",IF(J588&gt;=80,"A",IF(J588&gt;=60,"B",IF(J588&gt;=40,"C",IF(J588&gt;=20,"D","E"))))))</f>
        <v/>
      </c>
      <c r="L588" s="15">
        <f>IF(K588="","",IF(K588="A","Cemerlang",IF(K588="B","Kepujian",IF(K588="C","Baik",IF(K588="D","Kurang Memuaskan",IF(K588="E","Tidak Memuaskan","Tidak Laksana"))))))</f>
        <v/>
      </c>
    </row>
    <row r="589">
      <c r="A589" s="15">
        <f>Murid!A589</f>
        <v/>
      </c>
      <c r="B589" s="15">
        <f>IF(Murid!B589="","",Murid!B589)</f>
        <v/>
      </c>
      <c r="C589" s="16">
        <f>IF(Murid!C589="","",Murid!C589)</f>
        <v/>
      </c>
      <c r="D589" s="15">
        <f>IF(Murid!E589="","",Murid!E589)</f>
        <v/>
      </c>
      <c r="E589" s="17">
        <f>KP!X589</f>
        <v/>
      </c>
      <c r="F589" s="17">
        <f>UB!X589</f>
        <v/>
      </c>
      <c r="G589" s="17">
        <f>SP!X589</f>
        <v/>
      </c>
      <c r="H589" s="17">
        <f>IF(COUNT(E589:G589)=0,"",ROUND((LARGE(E589:G589,1)+IF(COUNT(E589:G589)&gt;=2,LARGE(E589:G589,2),0))/2,2))</f>
        <v/>
      </c>
      <c r="I589" s="10">
        <f>Ekstra!U589</f>
        <v/>
      </c>
      <c r="J589" s="18">
        <f>IF(B589="","",IF(Murid!F589="TL","TL",IF(H589="","",MIN(100,ROUND(H589+N(I589),2)))))</f>
        <v/>
      </c>
      <c r="K589" s="19">
        <f>IF(J589="","",IF(J589="TL","TL",IF(J589&gt;=80,"A",IF(J589&gt;=60,"B",IF(J589&gt;=40,"C",IF(J589&gt;=20,"D","E"))))))</f>
        <v/>
      </c>
      <c r="L589" s="15">
        <f>IF(K589="","",IF(K589="A","Cemerlang",IF(K589="B","Kepujian",IF(K589="C","Baik",IF(K589="D","Kurang Memuaskan",IF(K589="E","Tidak Memuaskan","Tidak Laksana"))))))</f>
        <v/>
      </c>
    </row>
    <row r="590">
      <c r="A590" s="15">
        <f>Murid!A590</f>
        <v/>
      </c>
      <c r="B590" s="15">
        <f>IF(Murid!B590="","",Murid!B590)</f>
        <v/>
      </c>
      <c r="C590" s="16">
        <f>IF(Murid!C590="","",Murid!C590)</f>
        <v/>
      </c>
      <c r="D590" s="15">
        <f>IF(Murid!E590="","",Murid!E590)</f>
        <v/>
      </c>
      <c r="E590" s="17">
        <f>KP!X590</f>
        <v/>
      </c>
      <c r="F590" s="17">
        <f>UB!X590</f>
        <v/>
      </c>
      <c r="G590" s="17">
        <f>SP!X590</f>
        <v/>
      </c>
      <c r="H590" s="17">
        <f>IF(COUNT(E590:G590)=0,"",ROUND((LARGE(E590:G590,1)+IF(COUNT(E590:G590)&gt;=2,LARGE(E590:G590,2),0))/2,2))</f>
        <v/>
      </c>
      <c r="I590" s="10">
        <f>Ekstra!U590</f>
        <v/>
      </c>
      <c r="J590" s="18">
        <f>IF(B590="","",IF(Murid!F590="TL","TL",IF(H590="","",MIN(100,ROUND(H590+N(I590),2)))))</f>
        <v/>
      </c>
      <c r="K590" s="19">
        <f>IF(J590="","",IF(J590="TL","TL",IF(J590&gt;=80,"A",IF(J590&gt;=60,"B",IF(J590&gt;=40,"C",IF(J590&gt;=20,"D","E"))))))</f>
        <v/>
      </c>
      <c r="L590" s="15">
        <f>IF(K590="","",IF(K590="A","Cemerlang",IF(K590="B","Kepujian",IF(K590="C","Baik",IF(K590="D","Kurang Memuaskan",IF(K590="E","Tidak Memuaskan","Tidak Laksana"))))))</f>
        <v/>
      </c>
    </row>
    <row r="591">
      <c r="A591" s="15">
        <f>Murid!A591</f>
        <v/>
      </c>
      <c r="B591" s="15">
        <f>IF(Murid!B591="","",Murid!B591)</f>
        <v/>
      </c>
      <c r="C591" s="16">
        <f>IF(Murid!C591="","",Murid!C591)</f>
        <v/>
      </c>
      <c r="D591" s="15">
        <f>IF(Murid!E591="","",Murid!E591)</f>
        <v/>
      </c>
      <c r="E591" s="17">
        <f>KP!X591</f>
        <v/>
      </c>
      <c r="F591" s="17">
        <f>UB!X591</f>
        <v/>
      </c>
      <c r="G591" s="17">
        <f>SP!X591</f>
        <v/>
      </c>
      <c r="H591" s="17">
        <f>IF(COUNT(E591:G591)=0,"",ROUND((LARGE(E591:G591,1)+IF(COUNT(E591:G591)&gt;=2,LARGE(E591:G591,2),0))/2,2))</f>
        <v/>
      </c>
      <c r="I591" s="10">
        <f>Ekstra!U591</f>
        <v/>
      </c>
      <c r="J591" s="18">
        <f>IF(B591="","",IF(Murid!F591="TL","TL",IF(H591="","",MIN(100,ROUND(H591+N(I591),2)))))</f>
        <v/>
      </c>
      <c r="K591" s="19">
        <f>IF(J591="","",IF(J591="TL","TL",IF(J591&gt;=80,"A",IF(J591&gt;=60,"B",IF(J591&gt;=40,"C",IF(J591&gt;=20,"D","E"))))))</f>
        <v/>
      </c>
      <c r="L591" s="15">
        <f>IF(K591="","",IF(K591="A","Cemerlang",IF(K591="B","Kepujian",IF(K591="C","Baik",IF(K591="D","Kurang Memuaskan",IF(K591="E","Tidak Memuaskan","Tidak Laksana"))))))</f>
        <v/>
      </c>
    </row>
    <row r="592">
      <c r="A592" s="15">
        <f>Murid!A592</f>
        <v/>
      </c>
      <c r="B592" s="15">
        <f>IF(Murid!B592="","",Murid!B592)</f>
        <v/>
      </c>
      <c r="C592" s="16">
        <f>IF(Murid!C592="","",Murid!C592)</f>
        <v/>
      </c>
      <c r="D592" s="15">
        <f>IF(Murid!E592="","",Murid!E592)</f>
        <v/>
      </c>
      <c r="E592" s="17">
        <f>KP!X592</f>
        <v/>
      </c>
      <c r="F592" s="17">
        <f>UB!X592</f>
        <v/>
      </c>
      <c r="G592" s="17">
        <f>SP!X592</f>
        <v/>
      </c>
      <c r="H592" s="17">
        <f>IF(COUNT(E592:G592)=0,"",ROUND((LARGE(E592:G592,1)+IF(COUNT(E592:G592)&gt;=2,LARGE(E592:G592,2),0))/2,2))</f>
        <v/>
      </c>
      <c r="I592" s="10">
        <f>Ekstra!U592</f>
        <v/>
      </c>
      <c r="J592" s="18">
        <f>IF(B592="","",IF(Murid!F592="TL","TL",IF(H592="","",MIN(100,ROUND(H592+N(I592),2)))))</f>
        <v/>
      </c>
      <c r="K592" s="19">
        <f>IF(J592="","",IF(J592="TL","TL",IF(J592&gt;=80,"A",IF(J592&gt;=60,"B",IF(J592&gt;=40,"C",IF(J592&gt;=20,"D","E"))))))</f>
        <v/>
      </c>
      <c r="L592" s="15">
        <f>IF(K592="","",IF(K592="A","Cemerlang",IF(K592="B","Kepujian",IF(K592="C","Baik",IF(K592="D","Kurang Memuaskan",IF(K592="E","Tidak Memuaskan","Tidak Laksana"))))))</f>
        <v/>
      </c>
    </row>
    <row r="593">
      <c r="A593" s="15">
        <f>Murid!A593</f>
        <v/>
      </c>
      <c r="B593" s="15">
        <f>IF(Murid!B593="","",Murid!B593)</f>
        <v/>
      </c>
      <c r="C593" s="16">
        <f>IF(Murid!C593="","",Murid!C593)</f>
        <v/>
      </c>
      <c r="D593" s="15">
        <f>IF(Murid!E593="","",Murid!E593)</f>
        <v/>
      </c>
      <c r="E593" s="17">
        <f>KP!X593</f>
        <v/>
      </c>
      <c r="F593" s="17">
        <f>UB!X593</f>
        <v/>
      </c>
      <c r="G593" s="17">
        <f>SP!X593</f>
        <v/>
      </c>
      <c r="H593" s="17">
        <f>IF(COUNT(E593:G593)=0,"",ROUND((LARGE(E593:G593,1)+IF(COUNT(E593:G593)&gt;=2,LARGE(E593:G593,2),0))/2,2))</f>
        <v/>
      </c>
      <c r="I593" s="10">
        <f>Ekstra!U593</f>
        <v/>
      </c>
      <c r="J593" s="18">
        <f>IF(B593="","",IF(Murid!F593="TL","TL",IF(H593="","",MIN(100,ROUND(H593+N(I593),2)))))</f>
        <v/>
      </c>
      <c r="K593" s="19">
        <f>IF(J593="","",IF(J593="TL","TL",IF(J593&gt;=80,"A",IF(J593&gt;=60,"B",IF(J593&gt;=40,"C",IF(J593&gt;=20,"D","E"))))))</f>
        <v/>
      </c>
      <c r="L593" s="15">
        <f>IF(K593="","",IF(K593="A","Cemerlang",IF(K593="B","Kepujian",IF(K593="C","Baik",IF(K593="D","Kurang Memuaskan",IF(K593="E","Tidak Memuaskan","Tidak Laksana"))))))</f>
        <v/>
      </c>
    </row>
    <row r="594">
      <c r="A594" s="15">
        <f>Murid!A594</f>
        <v/>
      </c>
      <c r="B594" s="15">
        <f>IF(Murid!B594="","",Murid!B594)</f>
        <v/>
      </c>
      <c r="C594" s="16">
        <f>IF(Murid!C594="","",Murid!C594)</f>
        <v/>
      </c>
      <c r="D594" s="15">
        <f>IF(Murid!E594="","",Murid!E594)</f>
        <v/>
      </c>
      <c r="E594" s="17">
        <f>KP!X594</f>
        <v/>
      </c>
      <c r="F594" s="17">
        <f>UB!X594</f>
        <v/>
      </c>
      <c r="G594" s="17">
        <f>SP!X594</f>
        <v/>
      </c>
      <c r="H594" s="17">
        <f>IF(COUNT(E594:G594)=0,"",ROUND((LARGE(E594:G594,1)+IF(COUNT(E594:G594)&gt;=2,LARGE(E594:G594,2),0))/2,2))</f>
        <v/>
      </c>
      <c r="I594" s="10">
        <f>Ekstra!U594</f>
        <v/>
      </c>
      <c r="J594" s="18">
        <f>IF(B594="","",IF(Murid!F594="TL","TL",IF(H594="","",MIN(100,ROUND(H594+N(I594),2)))))</f>
        <v/>
      </c>
      <c r="K594" s="19">
        <f>IF(J594="","",IF(J594="TL","TL",IF(J594&gt;=80,"A",IF(J594&gt;=60,"B",IF(J594&gt;=40,"C",IF(J594&gt;=20,"D","E"))))))</f>
        <v/>
      </c>
      <c r="L594" s="15">
        <f>IF(K594="","",IF(K594="A","Cemerlang",IF(K594="B","Kepujian",IF(K594="C","Baik",IF(K594="D","Kurang Memuaskan",IF(K594="E","Tidak Memuaskan","Tidak Laksana"))))))</f>
        <v/>
      </c>
    </row>
    <row r="595">
      <c r="A595" s="15">
        <f>Murid!A595</f>
        <v/>
      </c>
      <c r="B595" s="15">
        <f>IF(Murid!B595="","",Murid!B595)</f>
        <v/>
      </c>
      <c r="C595" s="16">
        <f>IF(Murid!C595="","",Murid!C595)</f>
        <v/>
      </c>
      <c r="D595" s="15">
        <f>IF(Murid!E595="","",Murid!E595)</f>
        <v/>
      </c>
      <c r="E595" s="17">
        <f>KP!X595</f>
        <v/>
      </c>
      <c r="F595" s="17">
        <f>UB!X595</f>
        <v/>
      </c>
      <c r="G595" s="17">
        <f>SP!X595</f>
        <v/>
      </c>
      <c r="H595" s="17">
        <f>IF(COUNT(E595:G595)=0,"",ROUND((LARGE(E595:G595,1)+IF(COUNT(E595:G595)&gt;=2,LARGE(E595:G595,2),0))/2,2))</f>
        <v/>
      </c>
      <c r="I595" s="10">
        <f>Ekstra!U595</f>
        <v/>
      </c>
      <c r="J595" s="18">
        <f>IF(B595="","",IF(Murid!F595="TL","TL",IF(H595="","",MIN(100,ROUND(H595+N(I595),2)))))</f>
        <v/>
      </c>
      <c r="K595" s="19">
        <f>IF(J595="","",IF(J595="TL","TL",IF(J595&gt;=80,"A",IF(J595&gt;=60,"B",IF(J595&gt;=40,"C",IF(J595&gt;=20,"D","E"))))))</f>
        <v/>
      </c>
      <c r="L595" s="15">
        <f>IF(K595="","",IF(K595="A","Cemerlang",IF(K595="B","Kepujian",IF(K595="C","Baik",IF(K595="D","Kurang Memuaskan",IF(K595="E","Tidak Memuaskan","Tidak Laksana"))))))</f>
        <v/>
      </c>
    </row>
    <row r="596">
      <c r="A596" s="15">
        <f>Murid!A596</f>
        <v/>
      </c>
      <c r="B596" s="15">
        <f>IF(Murid!B596="","",Murid!B596)</f>
        <v/>
      </c>
      <c r="C596" s="16">
        <f>IF(Murid!C596="","",Murid!C596)</f>
        <v/>
      </c>
      <c r="D596" s="15">
        <f>IF(Murid!E596="","",Murid!E596)</f>
        <v/>
      </c>
      <c r="E596" s="17">
        <f>KP!X596</f>
        <v/>
      </c>
      <c r="F596" s="17">
        <f>UB!X596</f>
        <v/>
      </c>
      <c r="G596" s="17">
        <f>SP!X596</f>
        <v/>
      </c>
      <c r="H596" s="17">
        <f>IF(COUNT(E596:G596)=0,"",ROUND((LARGE(E596:G596,1)+IF(COUNT(E596:G596)&gt;=2,LARGE(E596:G596,2),0))/2,2))</f>
        <v/>
      </c>
      <c r="I596" s="10">
        <f>Ekstra!U596</f>
        <v/>
      </c>
      <c r="J596" s="18">
        <f>IF(B596="","",IF(Murid!F596="TL","TL",IF(H596="","",MIN(100,ROUND(H596+N(I596),2)))))</f>
        <v/>
      </c>
      <c r="K596" s="19">
        <f>IF(J596="","",IF(J596="TL","TL",IF(J596&gt;=80,"A",IF(J596&gt;=60,"B",IF(J596&gt;=40,"C",IF(J596&gt;=20,"D","E"))))))</f>
        <v/>
      </c>
      <c r="L596" s="15">
        <f>IF(K596="","",IF(K596="A","Cemerlang",IF(K596="B","Kepujian",IF(K596="C","Baik",IF(K596="D","Kurang Memuaskan",IF(K596="E","Tidak Memuaskan","Tidak Laksana"))))))</f>
        <v/>
      </c>
    </row>
    <row r="597">
      <c r="A597" s="15">
        <f>Murid!A597</f>
        <v/>
      </c>
      <c r="B597" s="15">
        <f>IF(Murid!B597="","",Murid!B597)</f>
        <v/>
      </c>
      <c r="C597" s="16">
        <f>IF(Murid!C597="","",Murid!C597)</f>
        <v/>
      </c>
      <c r="D597" s="15">
        <f>IF(Murid!E597="","",Murid!E597)</f>
        <v/>
      </c>
      <c r="E597" s="17">
        <f>KP!X597</f>
        <v/>
      </c>
      <c r="F597" s="17">
        <f>UB!X597</f>
        <v/>
      </c>
      <c r="G597" s="17">
        <f>SP!X597</f>
        <v/>
      </c>
      <c r="H597" s="17">
        <f>IF(COUNT(E597:G597)=0,"",ROUND((LARGE(E597:G597,1)+IF(COUNT(E597:G597)&gt;=2,LARGE(E597:G597,2),0))/2,2))</f>
        <v/>
      </c>
      <c r="I597" s="10">
        <f>Ekstra!U597</f>
        <v/>
      </c>
      <c r="J597" s="18">
        <f>IF(B597="","",IF(Murid!F597="TL","TL",IF(H597="","",MIN(100,ROUND(H597+N(I597),2)))))</f>
        <v/>
      </c>
      <c r="K597" s="19">
        <f>IF(J597="","",IF(J597="TL","TL",IF(J597&gt;=80,"A",IF(J597&gt;=60,"B",IF(J597&gt;=40,"C",IF(J597&gt;=20,"D","E"))))))</f>
        <v/>
      </c>
      <c r="L597" s="15">
        <f>IF(K597="","",IF(K597="A","Cemerlang",IF(K597="B","Kepujian",IF(K597="C","Baik",IF(K597="D","Kurang Memuaskan",IF(K597="E","Tidak Memuaskan","Tidak Laksana"))))))</f>
        <v/>
      </c>
    </row>
    <row r="598">
      <c r="A598" s="15">
        <f>Murid!A598</f>
        <v/>
      </c>
      <c r="B598" s="15">
        <f>IF(Murid!B598="","",Murid!B598)</f>
        <v/>
      </c>
      <c r="C598" s="16">
        <f>IF(Murid!C598="","",Murid!C598)</f>
        <v/>
      </c>
      <c r="D598" s="15">
        <f>IF(Murid!E598="","",Murid!E598)</f>
        <v/>
      </c>
      <c r="E598" s="17">
        <f>KP!X598</f>
        <v/>
      </c>
      <c r="F598" s="17">
        <f>UB!X598</f>
        <v/>
      </c>
      <c r="G598" s="17">
        <f>SP!X598</f>
        <v/>
      </c>
      <c r="H598" s="17">
        <f>IF(COUNT(E598:G598)=0,"",ROUND((LARGE(E598:G598,1)+IF(COUNT(E598:G598)&gt;=2,LARGE(E598:G598,2),0))/2,2))</f>
        <v/>
      </c>
      <c r="I598" s="10">
        <f>Ekstra!U598</f>
        <v/>
      </c>
      <c r="J598" s="18">
        <f>IF(B598="","",IF(Murid!F598="TL","TL",IF(H598="","",MIN(100,ROUND(H598+N(I598),2)))))</f>
        <v/>
      </c>
      <c r="K598" s="19">
        <f>IF(J598="","",IF(J598="TL","TL",IF(J598&gt;=80,"A",IF(J598&gt;=60,"B",IF(J598&gt;=40,"C",IF(J598&gt;=20,"D","E"))))))</f>
        <v/>
      </c>
      <c r="L598" s="15">
        <f>IF(K598="","",IF(K598="A","Cemerlang",IF(K598="B","Kepujian",IF(K598="C","Baik",IF(K598="D","Kurang Memuaskan",IF(K598="E","Tidak Memuaskan","Tidak Laksana"))))))</f>
        <v/>
      </c>
    </row>
    <row r="599">
      <c r="A599" s="15">
        <f>Murid!A599</f>
        <v/>
      </c>
      <c r="B599" s="15">
        <f>IF(Murid!B599="","",Murid!B599)</f>
        <v/>
      </c>
      <c r="C599" s="16">
        <f>IF(Murid!C599="","",Murid!C599)</f>
        <v/>
      </c>
      <c r="D599" s="15">
        <f>IF(Murid!E599="","",Murid!E599)</f>
        <v/>
      </c>
      <c r="E599" s="17">
        <f>KP!X599</f>
        <v/>
      </c>
      <c r="F599" s="17">
        <f>UB!X599</f>
        <v/>
      </c>
      <c r="G599" s="17">
        <f>SP!X599</f>
        <v/>
      </c>
      <c r="H599" s="17">
        <f>IF(COUNT(E599:G599)=0,"",ROUND((LARGE(E599:G599,1)+IF(COUNT(E599:G599)&gt;=2,LARGE(E599:G599,2),0))/2,2))</f>
        <v/>
      </c>
      <c r="I599" s="10">
        <f>Ekstra!U599</f>
        <v/>
      </c>
      <c r="J599" s="18">
        <f>IF(B599="","",IF(Murid!F599="TL","TL",IF(H599="","",MIN(100,ROUND(H599+N(I599),2)))))</f>
        <v/>
      </c>
      <c r="K599" s="19">
        <f>IF(J599="","",IF(J599="TL","TL",IF(J599&gt;=80,"A",IF(J599&gt;=60,"B",IF(J599&gt;=40,"C",IF(J599&gt;=20,"D","E"))))))</f>
        <v/>
      </c>
      <c r="L599" s="15">
        <f>IF(K599="","",IF(K599="A","Cemerlang",IF(K599="B","Kepujian",IF(K599="C","Baik",IF(K599="D","Kurang Memuaskan",IF(K599="E","Tidak Memuaskan","Tidak Laksana"))))))</f>
        <v/>
      </c>
    </row>
    <row r="600">
      <c r="A600" s="15">
        <f>Murid!A600</f>
        <v/>
      </c>
      <c r="B600" s="15">
        <f>IF(Murid!B600="","",Murid!B600)</f>
        <v/>
      </c>
      <c r="C600" s="16">
        <f>IF(Murid!C600="","",Murid!C600)</f>
        <v/>
      </c>
      <c r="D600" s="15">
        <f>IF(Murid!E600="","",Murid!E600)</f>
        <v/>
      </c>
      <c r="E600" s="17">
        <f>KP!X600</f>
        <v/>
      </c>
      <c r="F600" s="17">
        <f>UB!X600</f>
        <v/>
      </c>
      <c r="G600" s="17">
        <f>SP!X600</f>
        <v/>
      </c>
      <c r="H600" s="17">
        <f>IF(COUNT(E600:G600)=0,"",ROUND((LARGE(E600:G600,1)+IF(COUNT(E600:G600)&gt;=2,LARGE(E600:G600,2),0))/2,2))</f>
        <v/>
      </c>
      <c r="I600" s="10">
        <f>Ekstra!U600</f>
        <v/>
      </c>
      <c r="J600" s="18">
        <f>IF(B600="","",IF(Murid!F600="TL","TL",IF(H600="","",MIN(100,ROUND(H600+N(I600),2)))))</f>
        <v/>
      </c>
      <c r="K600" s="19">
        <f>IF(J600="","",IF(J600="TL","TL",IF(J600&gt;=80,"A",IF(J600&gt;=60,"B",IF(J600&gt;=40,"C",IF(J600&gt;=20,"D","E"))))))</f>
        <v/>
      </c>
      <c r="L600" s="15">
        <f>IF(K600="","",IF(K600="A","Cemerlang",IF(K600="B","Kepujian",IF(K600="C","Baik",IF(K600="D","Kurang Memuaskan",IF(K600="E","Tidak Memuaskan","Tidak Laksana"))))))</f>
        <v/>
      </c>
    </row>
    <row r="601">
      <c r="A601" s="15">
        <f>Murid!A601</f>
        <v/>
      </c>
      <c r="B601" s="15">
        <f>IF(Murid!B601="","",Murid!B601)</f>
        <v/>
      </c>
      <c r="C601" s="16">
        <f>IF(Murid!C601="","",Murid!C601)</f>
        <v/>
      </c>
      <c r="D601" s="15">
        <f>IF(Murid!E601="","",Murid!E601)</f>
        <v/>
      </c>
      <c r="E601" s="17">
        <f>KP!X601</f>
        <v/>
      </c>
      <c r="F601" s="17">
        <f>UB!X601</f>
        <v/>
      </c>
      <c r="G601" s="17">
        <f>SP!X601</f>
        <v/>
      </c>
      <c r="H601" s="17">
        <f>IF(COUNT(E601:G601)=0,"",ROUND((LARGE(E601:G601,1)+IF(COUNT(E601:G601)&gt;=2,LARGE(E601:G601,2),0))/2,2))</f>
        <v/>
      </c>
      <c r="I601" s="10">
        <f>Ekstra!U601</f>
        <v/>
      </c>
      <c r="J601" s="18">
        <f>IF(B601="","",IF(Murid!F601="TL","TL",IF(H601="","",MIN(100,ROUND(H601+N(I601),2)))))</f>
        <v/>
      </c>
      <c r="K601" s="19">
        <f>IF(J601="","",IF(J601="TL","TL",IF(J601&gt;=80,"A",IF(J601&gt;=60,"B",IF(J601&gt;=40,"C",IF(J601&gt;=20,"D","E"))))))</f>
        <v/>
      </c>
      <c r="L601" s="15">
        <f>IF(K601="","",IF(K601="A","Cemerlang",IF(K601="B","Kepujian",IF(K601="C","Baik",IF(K601="D","Kurang Memuaskan",IF(K601="E","Tidak Memuaskan","Tidak Laksana"))))))</f>
        <v/>
      </c>
    </row>
    <row r="602">
      <c r="A602" s="15">
        <f>Murid!A602</f>
        <v/>
      </c>
      <c r="B602" s="15">
        <f>IF(Murid!B602="","",Murid!B602)</f>
        <v/>
      </c>
      <c r="C602" s="16">
        <f>IF(Murid!C602="","",Murid!C602)</f>
        <v/>
      </c>
      <c r="D602" s="15">
        <f>IF(Murid!E602="","",Murid!E602)</f>
        <v/>
      </c>
      <c r="E602" s="17">
        <f>KP!X602</f>
        <v/>
      </c>
      <c r="F602" s="17">
        <f>UB!X602</f>
        <v/>
      </c>
      <c r="G602" s="17">
        <f>SP!X602</f>
        <v/>
      </c>
      <c r="H602" s="17">
        <f>IF(COUNT(E602:G602)=0,"",ROUND((LARGE(E602:G602,1)+IF(COUNT(E602:G602)&gt;=2,LARGE(E602:G602,2),0))/2,2))</f>
        <v/>
      </c>
      <c r="I602" s="10">
        <f>Ekstra!U602</f>
        <v/>
      </c>
      <c r="J602" s="18">
        <f>IF(B602="","",IF(Murid!F602="TL","TL",IF(H602="","",MIN(100,ROUND(H602+N(I602),2)))))</f>
        <v/>
      </c>
      <c r="K602" s="19">
        <f>IF(J602="","",IF(J602="TL","TL",IF(J602&gt;=80,"A",IF(J602&gt;=60,"B",IF(J602&gt;=40,"C",IF(J602&gt;=20,"D","E"))))))</f>
        <v/>
      </c>
      <c r="L602" s="15">
        <f>IF(K602="","",IF(K602="A","Cemerlang",IF(K602="B","Kepujian",IF(K602="C","Baik",IF(K602="D","Kurang Memuaskan",IF(K602="E","Tidak Memuaskan","Tidak Laksana"))))))</f>
        <v/>
      </c>
    </row>
    <row r="603">
      <c r="A603" s="15">
        <f>Murid!A603</f>
        <v/>
      </c>
      <c r="B603" s="15">
        <f>IF(Murid!B603="","",Murid!B603)</f>
        <v/>
      </c>
      <c r="C603" s="16">
        <f>IF(Murid!C603="","",Murid!C603)</f>
        <v/>
      </c>
      <c r="D603" s="15">
        <f>IF(Murid!E603="","",Murid!E603)</f>
        <v/>
      </c>
      <c r="E603" s="17">
        <f>KP!X603</f>
        <v/>
      </c>
      <c r="F603" s="17">
        <f>UB!X603</f>
        <v/>
      </c>
      <c r="G603" s="17">
        <f>SP!X603</f>
        <v/>
      </c>
      <c r="H603" s="17">
        <f>IF(COUNT(E603:G603)=0,"",ROUND((LARGE(E603:G603,1)+IF(COUNT(E603:G603)&gt;=2,LARGE(E603:G603,2),0))/2,2))</f>
        <v/>
      </c>
      <c r="I603" s="10">
        <f>Ekstra!U603</f>
        <v/>
      </c>
      <c r="J603" s="18">
        <f>IF(B603="","",IF(Murid!F603="TL","TL",IF(H603="","",MIN(100,ROUND(H603+N(I603),2)))))</f>
        <v/>
      </c>
      <c r="K603" s="19">
        <f>IF(J603="","",IF(J603="TL","TL",IF(J603&gt;=80,"A",IF(J603&gt;=60,"B",IF(J603&gt;=40,"C",IF(J603&gt;=20,"D","E"))))))</f>
        <v/>
      </c>
      <c r="L603" s="15">
        <f>IF(K603="","",IF(K603="A","Cemerlang",IF(K603="B","Kepujian",IF(K603="C","Baik",IF(K603="D","Kurang Memuaskan",IF(K603="E","Tidak Memuaskan","Tidak Laksana"))))))</f>
        <v/>
      </c>
    </row>
    <row r="604">
      <c r="A604" s="15">
        <f>Murid!A604</f>
        <v/>
      </c>
      <c r="B604" s="15">
        <f>IF(Murid!B604="","",Murid!B604)</f>
        <v/>
      </c>
      <c r="C604" s="16">
        <f>IF(Murid!C604="","",Murid!C604)</f>
        <v/>
      </c>
      <c r="D604" s="15">
        <f>IF(Murid!E604="","",Murid!E604)</f>
        <v/>
      </c>
      <c r="E604" s="17">
        <f>KP!X604</f>
        <v/>
      </c>
      <c r="F604" s="17">
        <f>UB!X604</f>
        <v/>
      </c>
      <c r="G604" s="17">
        <f>SP!X604</f>
        <v/>
      </c>
      <c r="H604" s="17">
        <f>IF(COUNT(E604:G604)=0,"",ROUND((LARGE(E604:G604,1)+IF(COUNT(E604:G604)&gt;=2,LARGE(E604:G604,2),0))/2,2))</f>
        <v/>
      </c>
      <c r="I604" s="10">
        <f>Ekstra!U604</f>
        <v/>
      </c>
      <c r="J604" s="18">
        <f>IF(B604="","",IF(Murid!F604="TL","TL",IF(H604="","",MIN(100,ROUND(H604+N(I604),2)))))</f>
        <v/>
      </c>
      <c r="K604" s="19">
        <f>IF(J604="","",IF(J604="TL","TL",IF(J604&gt;=80,"A",IF(J604&gt;=60,"B",IF(J604&gt;=40,"C",IF(J604&gt;=20,"D","E"))))))</f>
        <v/>
      </c>
      <c r="L604" s="15">
        <f>IF(K604="","",IF(K604="A","Cemerlang",IF(K604="B","Kepujian",IF(K604="C","Baik",IF(K604="D","Kurang Memuaskan",IF(K604="E","Tidak Memuaskan","Tidak Laksana"))))))</f>
        <v/>
      </c>
    </row>
    <row r="605">
      <c r="A605" s="15">
        <f>Murid!A605</f>
        <v/>
      </c>
      <c r="B605" s="15">
        <f>IF(Murid!B605="","",Murid!B605)</f>
        <v/>
      </c>
      <c r="C605" s="16">
        <f>IF(Murid!C605="","",Murid!C605)</f>
        <v/>
      </c>
      <c r="D605" s="15">
        <f>IF(Murid!E605="","",Murid!E605)</f>
        <v/>
      </c>
      <c r="E605" s="17">
        <f>KP!X605</f>
        <v/>
      </c>
      <c r="F605" s="17">
        <f>UB!X605</f>
        <v/>
      </c>
      <c r="G605" s="17">
        <f>SP!X605</f>
        <v/>
      </c>
      <c r="H605" s="17">
        <f>IF(COUNT(E605:G605)=0,"",ROUND((LARGE(E605:G605,1)+IF(COUNT(E605:G605)&gt;=2,LARGE(E605:G605,2),0))/2,2))</f>
        <v/>
      </c>
      <c r="I605" s="10">
        <f>Ekstra!U605</f>
        <v/>
      </c>
      <c r="J605" s="18">
        <f>IF(B605="","",IF(Murid!F605="TL","TL",IF(H605="","",MIN(100,ROUND(H605+N(I605),2)))))</f>
        <v/>
      </c>
      <c r="K605" s="19">
        <f>IF(J605="","",IF(J605="TL","TL",IF(J605&gt;=80,"A",IF(J605&gt;=60,"B",IF(J605&gt;=40,"C",IF(J605&gt;=20,"D","E"))))))</f>
        <v/>
      </c>
      <c r="L605" s="15">
        <f>IF(K605="","",IF(K605="A","Cemerlang",IF(K605="B","Kepujian",IF(K605="C","Baik",IF(K605="D","Kurang Memuaskan",IF(K605="E","Tidak Memuaskan","Tidak Laksana"))))))</f>
        <v/>
      </c>
    </row>
    <row r="606">
      <c r="A606" s="15">
        <f>Murid!A606</f>
        <v/>
      </c>
      <c r="B606" s="15">
        <f>IF(Murid!B606="","",Murid!B606)</f>
        <v/>
      </c>
      <c r="C606" s="16">
        <f>IF(Murid!C606="","",Murid!C606)</f>
        <v/>
      </c>
      <c r="D606" s="15">
        <f>IF(Murid!E606="","",Murid!E606)</f>
        <v/>
      </c>
      <c r="E606" s="17">
        <f>KP!X606</f>
        <v/>
      </c>
      <c r="F606" s="17">
        <f>UB!X606</f>
        <v/>
      </c>
      <c r="G606" s="17">
        <f>SP!X606</f>
        <v/>
      </c>
      <c r="H606" s="17">
        <f>IF(COUNT(E606:G606)=0,"",ROUND((LARGE(E606:G606,1)+IF(COUNT(E606:G606)&gt;=2,LARGE(E606:G606,2),0))/2,2))</f>
        <v/>
      </c>
      <c r="I606" s="10">
        <f>Ekstra!U606</f>
        <v/>
      </c>
      <c r="J606" s="18">
        <f>IF(B606="","",IF(Murid!F606="TL","TL",IF(H606="","",MIN(100,ROUND(H606+N(I606),2)))))</f>
        <v/>
      </c>
      <c r="K606" s="19">
        <f>IF(J606="","",IF(J606="TL","TL",IF(J606&gt;=80,"A",IF(J606&gt;=60,"B",IF(J606&gt;=40,"C",IF(J606&gt;=20,"D","E"))))))</f>
        <v/>
      </c>
      <c r="L606" s="15">
        <f>IF(K606="","",IF(K606="A","Cemerlang",IF(K606="B","Kepujian",IF(K606="C","Baik",IF(K606="D","Kurang Memuaskan",IF(K606="E","Tidak Memuaskan","Tidak Laksana"))))))</f>
        <v/>
      </c>
    </row>
    <row r="607">
      <c r="A607" s="15">
        <f>Murid!A607</f>
        <v/>
      </c>
      <c r="B607" s="15">
        <f>IF(Murid!B607="","",Murid!B607)</f>
        <v/>
      </c>
      <c r="C607" s="16">
        <f>IF(Murid!C607="","",Murid!C607)</f>
        <v/>
      </c>
      <c r="D607" s="15">
        <f>IF(Murid!E607="","",Murid!E607)</f>
        <v/>
      </c>
      <c r="E607" s="17">
        <f>KP!X607</f>
        <v/>
      </c>
      <c r="F607" s="17">
        <f>UB!X607</f>
        <v/>
      </c>
      <c r="G607" s="17">
        <f>SP!X607</f>
        <v/>
      </c>
      <c r="H607" s="17">
        <f>IF(COUNT(E607:G607)=0,"",ROUND((LARGE(E607:G607,1)+IF(COUNT(E607:G607)&gt;=2,LARGE(E607:G607,2),0))/2,2))</f>
        <v/>
      </c>
      <c r="I607" s="10">
        <f>Ekstra!U607</f>
        <v/>
      </c>
      <c r="J607" s="18">
        <f>IF(B607="","",IF(Murid!F607="TL","TL",IF(H607="","",MIN(100,ROUND(H607+N(I607),2)))))</f>
        <v/>
      </c>
      <c r="K607" s="19">
        <f>IF(J607="","",IF(J607="TL","TL",IF(J607&gt;=80,"A",IF(J607&gt;=60,"B",IF(J607&gt;=40,"C",IF(J607&gt;=20,"D","E"))))))</f>
        <v/>
      </c>
      <c r="L607" s="15">
        <f>IF(K607="","",IF(K607="A","Cemerlang",IF(K607="B","Kepujian",IF(K607="C","Baik",IF(K607="D","Kurang Memuaskan",IF(K607="E","Tidak Memuaskan","Tidak Laksana"))))))</f>
        <v/>
      </c>
    </row>
    <row r="608">
      <c r="A608" s="15">
        <f>Murid!A608</f>
        <v/>
      </c>
      <c r="B608" s="15">
        <f>IF(Murid!B608="","",Murid!B608)</f>
        <v/>
      </c>
      <c r="C608" s="16">
        <f>IF(Murid!C608="","",Murid!C608)</f>
        <v/>
      </c>
      <c r="D608" s="15">
        <f>IF(Murid!E608="","",Murid!E608)</f>
        <v/>
      </c>
      <c r="E608" s="17">
        <f>KP!X608</f>
        <v/>
      </c>
      <c r="F608" s="17">
        <f>UB!X608</f>
        <v/>
      </c>
      <c r="G608" s="17">
        <f>SP!X608</f>
        <v/>
      </c>
      <c r="H608" s="17">
        <f>IF(COUNT(E608:G608)=0,"",ROUND((LARGE(E608:G608,1)+IF(COUNT(E608:G608)&gt;=2,LARGE(E608:G608,2),0))/2,2))</f>
        <v/>
      </c>
      <c r="I608" s="10">
        <f>Ekstra!U608</f>
        <v/>
      </c>
      <c r="J608" s="18">
        <f>IF(B608="","",IF(Murid!F608="TL","TL",IF(H608="","",MIN(100,ROUND(H608+N(I608),2)))))</f>
        <v/>
      </c>
      <c r="K608" s="19">
        <f>IF(J608="","",IF(J608="TL","TL",IF(J608&gt;=80,"A",IF(J608&gt;=60,"B",IF(J608&gt;=40,"C",IF(J608&gt;=20,"D","E"))))))</f>
        <v/>
      </c>
      <c r="L608" s="15">
        <f>IF(K608="","",IF(K608="A","Cemerlang",IF(K608="B","Kepujian",IF(K608="C","Baik",IF(K608="D","Kurang Memuaskan",IF(K608="E","Tidak Memuaskan","Tidak Laksana"))))))</f>
        <v/>
      </c>
    </row>
    <row r="609">
      <c r="A609" s="15">
        <f>Murid!A609</f>
        <v/>
      </c>
      <c r="B609" s="15">
        <f>IF(Murid!B609="","",Murid!B609)</f>
        <v/>
      </c>
      <c r="C609" s="16">
        <f>IF(Murid!C609="","",Murid!C609)</f>
        <v/>
      </c>
      <c r="D609" s="15">
        <f>IF(Murid!E609="","",Murid!E609)</f>
        <v/>
      </c>
      <c r="E609" s="17">
        <f>KP!X609</f>
        <v/>
      </c>
      <c r="F609" s="17">
        <f>UB!X609</f>
        <v/>
      </c>
      <c r="G609" s="17">
        <f>SP!X609</f>
        <v/>
      </c>
      <c r="H609" s="17">
        <f>IF(COUNT(E609:G609)=0,"",ROUND((LARGE(E609:G609,1)+IF(COUNT(E609:G609)&gt;=2,LARGE(E609:G609,2),0))/2,2))</f>
        <v/>
      </c>
      <c r="I609" s="10">
        <f>Ekstra!U609</f>
        <v/>
      </c>
      <c r="J609" s="18">
        <f>IF(B609="","",IF(Murid!F609="TL","TL",IF(H609="","",MIN(100,ROUND(H609+N(I609),2)))))</f>
        <v/>
      </c>
      <c r="K609" s="19">
        <f>IF(J609="","",IF(J609="TL","TL",IF(J609&gt;=80,"A",IF(J609&gt;=60,"B",IF(J609&gt;=40,"C",IF(J609&gt;=20,"D","E"))))))</f>
        <v/>
      </c>
      <c r="L609" s="15">
        <f>IF(K609="","",IF(K609="A","Cemerlang",IF(K609="B","Kepujian",IF(K609="C","Baik",IF(K609="D","Kurang Memuaskan",IF(K609="E","Tidak Memuaskan","Tidak Laksana"))))))</f>
        <v/>
      </c>
    </row>
    <row r="610">
      <c r="A610" s="15">
        <f>Murid!A610</f>
        <v/>
      </c>
      <c r="B610" s="15">
        <f>IF(Murid!B610="","",Murid!B610)</f>
        <v/>
      </c>
      <c r="C610" s="16">
        <f>IF(Murid!C610="","",Murid!C610)</f>
        <v/>
      </c>
      <c r="D610" s="15">
        <f>IF(Murid!E610="","",Murid!E610)</f>
        <v/>
      </c>
      <c r="E610" s="17">
        <f>KP!X610</f>
        <v/>
      </c>
      <c r="F610" s="17">
        <f>UB!X610</f>
        <v/>
      </c>
      <c r="G610" s="17">
        <f>SP!X610</f>
        <v/>
      </c>
      <c r="H610" s="17">
        <f>IF(COUNT(E610:G610)=0,"",ROUND((LARGE(E610:G610,1)+IF(COUNT(E610:G610)&gt;=2,LARGE(E610:G610,2),0))/2,2))</f>
        <v/>
      </c>
      <c r="I610" s="10">
        <f>Ekstra!U610</f>
        <v/>
      </c>
      <c r="J610" s="18">
        <f>IF(B610="","",IF(Murid!F610="TL","TL",IF(H610="","",MIN(100,ROUND(H610+N(I610),2)))))</f>
        <v/>
      </c>
      <c r="K610" s="19">
        <f>IF(J610="","",IF(J610="TL","TL",IF(J610&gt;=80,"A",IF(J610&gt;=60,"B",IF(J610&gt;=40,"C",IF(J610&gt;=20,"D","E"))))))</f>
        <v/>
      </c>
      <c r="L610" s="15">
        <f>IF(K610="","",IF(K610="A","Cemerlang",IF(K610="B","Kepujian",IF(K610="C","Baik",IF(K610="D","Kurang Memuaskan",IF(K610="E","Tidak Memuaskan","Tidak Laksana"))))))</f>
        <v/>
      </c>
    </row>
    <row r="611">
      <c r="A611" s="15">
        <f>Murid!A611</f>
        <v/>
      </c>
      <c r="B611" s="15">
        <f>IF(Murid!B611="","",Murid!B611)</f>
        <v/>
      </c>
      <c r="C611" s="16">
        <f>IF(Murid!C611="","",Murid!C611)</f>
        <v/>
      </c>
      <c r="D611" s="15">
        <f>IF(Murid!E611="","",Murid!E611)</f>
        <v/>
      </c>
      <c r="E611" s="17">
        <f>KP!X611</f>
        <v/>
      </c>
      <c r="F611" s="17">
        <f>UB!X611</f>
        <v/>
      </c>
      <c r="G611" s="17">
        <f>SP!X611</f>
        <v/>
      </c>
      <c r="H611" s="17">
        <f>IF(COUNT(E611:G611)=0,"",ROUND((LARGE(E611:G611,1)+IF(COUNT(E611:G611)&gt;=2,LARGE(E611:G611,2),0))/2,2))</f>
        <v/>
      </c>
      <c r="I611" s="10">
        <f>Ekstra!U611</f>
        <v/>
      </c>
      <c r="J611" s="18">
        <f>IF(B611="","",IF(Murid!F611="TL","TL",IF(H611="","",MIN(100,ROUND(H611+N(I611),2)))))</f>
        <v/>
      </c>
      <c r="K611" s="19">
        <f>IF(J611="","",IF(J611="TL","TL",IF(J611&gt;=80,"A",IF(J611&gt;=60,"B",IF(J611&gt;=40,"C",IF(J611&gt;=20,"D","E"))))))</f>
        <v/>
      </c>
      <c r="L611" s="15">
        <f>IF(K611="","",IF(K611="A","Cemerlang",IF(K611="B","Kepujian",IF(K611="C","Baik",IF(K611="D","Kurang Memuaskan",IF(K611="E","Tidak Memuaskan","Tidak Laksana"))))))</f>
        <v/>
      </c>
    </row>
    <row r="612">
      <c r="A612" s="15">
        <f>Murid!A612</f>
        <v/>
      </c>
      <c r="B612" s="15">
        <f>IF(Murid!B612="","",Murid!B612)</f>
        <v/>
      </c>
      <c r="C612" s="16">
        <f>IF(Murid!C612="","",Murid!C612)</f>
        <v/>
      </c>
      <c r="D612" s="15">
        <f>IF(Murid!E612="","",Murid!E612)</f>
        <v/>
      </c>
      <c r="E612" s="17">
        <f>KP!X612</f>
        <v/>
      </c>
      <c r="F612" s="17">
        <f>UB!X612</f>
        <v/>
      </c>
      <c r="G612" s="17">
        <f>SP!X612</f>
        <v/>
      </c>
      <c r="H612" s="17">
        <f>IF(COUNT(E612:G612)=0,"",ROUND((LARGE(E612:G612,1)+IF(COUNT(E612:G612)&gt;=2,LARGE(E612:G612,2),0))/2,2))</f>
        <v/>
      </c>
      <c r="I612" s="10">
        <f>Ekstra!U612</f>
        <v/>
      </c>
      <c r="J612" s="18">
        <f>IF(B612="","",IF(Murid!F612="TL","TL",IF(H612="","",MIN(100,ROUND(H612+N(I612),2)))))</f>
        <v/>
      </c>
      <c r="K612" s="19">
        <f>IF(J612="","",IF(J612="TL","TL",IF(J612&gt;=80,"A",IF(J612&gt;=60,"B",IF(J612&gt;=40,"C",IF(J612&gt;=20,"D","E"))))))</f>
        <v/>
      </c>
      <c r="L612" s="15">
        <f>IF(K612="","",IF(K612="A","Cemerlang",IF(K612="B","Kepujian",IF(K612="C","Baik",IF(K612="D","Kurang Memuaskan",IF(K612="E","Tidak Memuaskan","Tidak Laksana"))))))</f>
        <v/>
      </c>
    </row>
    <row r="613">
      <c r="A613" s="15">
        <f>Murid!A613</f>
        <v/>
      </c>
      <c r="B613" s="15">
        <f>IF(Murid!B613="","",Murid!B613)</f>
        <v/>
      </c>
      <c r="C613" s="16">
        <f>IF(Murid!C613="","",Murid!C613)</f>
        <v/>
      </c>
      <c r="D613" s="15">
        <f>IF(Murid!E613="","",Murid!E613)</f>
        <v/>
      </c>
      <c r="E613" s="17">
        <f>KP!X613</f>
        <v/>
      </c>
      <c r="F613" s="17">
        <f>UB!X613</f>
        <v/>
      </c>
      <c r="G613" s="17">
        <f>SP!X613</f>
        <v/>
      </c>
      <c r="H613" s="17">
        <f>IF(COUNT(E613:G613)=0,"",ROUND((LARGE(E613:G613,1)+IF(COUNT(E613:G613)&gt;=2,LARGE(E613:G613,2),0))/2,2))</f>
        <v/>
      </c>
      <c r="I613" s="10">
        <f>Ekstra!U613</f>
        <v/>
      </c>
      <c r="J613" s="18">
        <f>IF(B613="","",IF(Murid!F613="TL","TL",IF(H613="","",MIN(100,ROUND(H613+N(I613),2)))))</f>
        <v/>
      </c>
      <c r="K613" s="19">
        <f>IF(J613="","",IF(J613="TL","TL",IF(J613&gt;=80,"A",IF(J613&gt;=60,"B",IF(J613&gt;=40,"C",IF(J613&gt;=20,"D","E"))))))</f>
        <v/>
      </c>
      <c r="L613" s="15">
        <f>IF(K613="","",IF(K613="A","Cemerlang",IF(K613="B","Kepujian",IF(K613="C","Baik",IF(K613="D","Kurang Memuaskan",IF(K613="E","Tidak Memuaskan","Tidak Laksana"))))))</f>
        <v/>
      </c>
    </row>
    <row r="614">
      <c r="A614" s="15">
        <f>Murid!A614</f>
        <v/>
      </c>
      <c r="B614" s="15">
        <f>IF(Murid!B614="","",Murid!B614)</f>
        <v/>
      </c>
      <c r="C614" s="16">
        <f>IF(Murid!C614="","",Murid!C614)</f>
        <v/>
      </c>
      <c r="D614" s="15">
        <f>IF(Murid!E614="","",Murid!E614)</f>
        <v/>
      </c>
      <c r="E614" s="17">
        <f>KP!X614</f>
        <v/>
      </c>
      <c r="F614" s="17">
        <f>UB!X614</f>
        <v/>
      </c>
      <c r="G614" s="17">
        <f>SP!X614</f>
        <v/>
      </c>
      <c r="H614" s="17">
        <f>IF(COUNT(E614:G614)=0,"",ROUND((LARGE(E614:G614,1)+IF(COUNT(E614:G614)&gt;=2,LARGE(E614:G614,2),0))/2,2))</f>
        <v/>
      </c>
      <c r="I614" s="10">
        <f>Ekstra!U614</f>
        <v/>
      </c>
      <c r="J614" s="18">
        <f>IF(B614="","",IF(Murid!F614="TL","TL",IF(H614="","",MIN(100,ROUND(H614+N(I614),2)))))</f>
        <v/>
      </c>
      <c r="K614" s="19">
        <f>IF(J614="","",IF(J614="TL","TL",IF(J614&gt;=80,"A",IF(J614&gt;=60,"B",IF(J614&gt;=40,"C",IF(J614&gt;=20,"D","E"))))))</f>
        <v/>
      </c>
      <c r="L614" s="15">
        <f>IF(K614="","",IF(K614="A","Cemerlang",IF(K614="B","Kepujian",IF(K614="C","Baik",IF(K614="D","Kurang Memuaskan",IF(K614="E","Tidak Memuaskan","Tidak Laksana"))))))</f>
        <v/>
      </c>
    </row>
    <row r="615">
      <c r="A615" s="15">
        <f>Murid!A615</f>
        <v/>
      </c>
      <c r="B615" s="15">
        <f>IF(Murid!B615="","",Murid!B615)</f>
        <v/>
      </c>
      <c r="C615" s="16">
        <f>IF(Murid!C615="","",Murid!C615)</f>
        <v/>
      </c>
      <c r="D615" s="15">
        <f>IF(Murid!E615="","",Murid!E615)</f>
        <v/>
      </c>
      <c r="E615" s="17">
        <f>KP!X615</f>
        <v/>
      </c>
      <c r="F615" s="17">
        <f>UB!X615</f>
        <v/>
      </c>
      <c r="G615" s="17">
        <f>SP!X615</f>
        <v/>
      </c>
      <c r="H615" s="17">
        <f>IF(COUNT(E615:G615)=0,"",ROUND((LARGE(E615:G615,1)+IF(COUNT(E615:G615)&gt;=2,LARGE(E615:G615,2),0))/2,2))</f>
        <v/>
      </c>
      <c r="I615" s="10">
        <f>Ekstra!U615</f>
        <v/>
      </c>
      <c r="J615" s="18">
        <f>IF(B615="","",IF(Murid!F615="TL","TL",IF(H615="","",MIN(100,ROUND(H615+N(I615),2)))))</f>
        <v/>
      </c>
      <c r="K615" s="19">
        <f>IF(J615="","",IF(J615="TL","TL",IF(J615&gt;=80,"A",IF(J615&gt;=60,"B",IF(J615&gt;=40,"C",IF(J615&gt;=20,"D","E"))))))</f>
        <v/>
      </c>
      <c r="L615" s="15">
        <f>IF(K615="","",IF(K615="A","Cemerlang",IF(K615="B","Kepujian",IF(K615="C","Baik",IF(K615="D","Kurang Memuaskan",IF(K615="E","Tidak Memuaskan","Tidak Laksana"))))))</f>
        <v/>
      </c>
    </row>
    <row r="616">
      <c r="A616" s="15">
        <f>Murid!A616</f>
        <v/>
      </c>
      <c r="B616" s="15">
        <f>IF(Murid!B616="","",Murid!B616)</f>
        <v/>
      </c>
      <c r="C616" s="16">
        <f>IF(Murid!C616="","",Murid!C616)</f>
        <v/>
      </c>
      <c r="D616" s="15">
        <f>IF(Murid!E616="","",Murid!E616)</f>
        <v/>
      </c>
      <c r="E616" s="17">
        <f>KP!X616</f>
        <v/>
      </c>
      <c r="F616" s="17">
        <f>UB!X616</f>
        <v/>
      </c>
      <c r="G616" s="17">
        <f>SP!X616</f>
        <v/>
      </c>
      <c r="H616" s="17">
        <f>IF(COUNT(E616:G616)=0,"",ROUND((LARGE(E616:G616,1)+IF(COUNT(E616:G616)&gt;=2,LARGE(E616:G616,2),0))/2,2))</f>
        <v/>
      </c>
      <c r="I616" s="10">
        <f>Ekstra!U616</f>
        <v/>
      </c>
      <c r="J616" s="18">
        <f>IF(B616="","",IF(Murid!F616="TL","TL",IF(H616="","",MIN(100,ROUND(H616+N(I616),2)))))</f>
        <v/>
      </c>
      <c r="K616" s="19">
        <f>IF(J616="","",IF(J616="TL","TL",IF(J616&gt;=80,"A",IF(J616&gt;=60,"B",IF(J616&gt;=40,"C",IF(J616&gt;=20,"D","E"))))))</f>
        <v/>
      </c>
      <c r="L616" s="15">
        <f>IF(K616="","",IF(K616="A","Cemerlang",IF(K616="B","Kepujian",IF(K616="C","Baik",IF(K616="D","Kurang Memuaskan",IF(K616="E","Tidak Memuaskan","Tidak Laksana"))))))</f>
        <v/>
      </c>
    </row>
    <row r="617">
      <c r="A617" s="15">
        <f>Murid!A617</f>
        <v/>
      </c>
      <c r="B617" s="15">
        <f>IF(Murid!B617="","",Murid!B617)</f>
        <v/>
      </c>
      <c r="C617" s="16">
        <f>IF(Murid!C617="","",Murid!C617)</f>
        <v/>
      </c>
      <c r="D617" s="15">
        <f>IF(Murid!E617="","",Murid!E617)</f>
        <v/>
      </c>
      <c r="E617" s="17">
        <f>KP!X617</f>
        <v/>
      </c>
      <c r="F617" s="17">
        <f>UB!X617</f>
        <v/>
      </c>
      <c r="G617" s="17">
        <f>SP!X617</f>
        <v/>
      </c>
      <c r="H617" s="17">
        <f>IF(COUNT(E617:G617)=0,"",ROUND((LARGE(E617:G617,1)+IF(COUNT(E617:G617)&gt;=2,LARGE(E617:G617,2),0))/2,2))</f>
        <v/>
      </c>
      <c r="I617" s="10">
        <f>Ekstra!U617</f>
        <v/>
      </c>
      <c r="J617" s="18">
        <f>IF(B617="","",IF(Murid!F617="TL","TL",IF(H617="","",MIN(100,ROUND(H617+N(I617),2)))))</f>
        <v/>
      </c>
      <c r="K617" s="19">
        <f>IF(J617="","",IF(J617="TL","TL",IF(J617&gt;=80,"A",IF(J617&gt;=60,"B",IF(J617&gt;=40,"C",IF(J617&gt;=20,"D","E"))))))</f>
        <v/>
      </c>
      <c r="L617" s="15">
        <f>IF(K617="","",IF(K617="A","Cemerlang",IF(K617="B","Kepujian",IF(K617="C","Baik",IF(K617="D","Kurang Memuaskan",IF(K617="E","Tidak Memuaskan","Tidak Laksana"))))))</f>
        <v/>
      </c>
    </row>
    <row r="618">
      <c r="A618" s="15">
        <f>Murid!A618</f>
        <v/>
      </c>
      <c r="B618" s="15">
        <f>IF(Murid!B618="","",Murid!B618)</f>
        <v/>
      </c>
      <c r="C618" s="16">
        <f>IF(Murid!C618="","",Murid!C618)</f>
        <v/>
      </c>
      <c r="D618" s="15">
        <f>IF(Murid!E618="","",Murid!E618)</f>
        <v/>
      </c>
      <c r="E618" s="17">
        <f>KP!X618</f>
        <v/>
      </c>
      <c r="F618" s="17">
        <f>UB!X618</f>
        <v/>
      </c>
      <c r="G618" s="17">
        <f>SP!X618</f>
        <v/>
      </c>
      <c r="H618" s="17">
        <f>IF(COUNT(E618:G618)=0,"",ROUND((LARGE(E618:G618,1)+IF(COUNT(E618:G618)&gt;=2,LARGE(E618:G618,2),0))/2,2))</f>
        <v/>
      </c>
      <c r="I618" s="10">
        <f>Ekstra!U618</f>
        <v/>
      </c>
      <c r="J618" s="18">
        <f>IF(B618="","",IF(Murid!F618="TL","TL",IF(H618="","",MIN(100,ROUND(H618+N(I618),2)))))</f>
        <v/>
      </c>
      <c r="K618" s="19">
        <f>IF(J618="","",IF(J618="TL","TL",IF(J618&gt;=80,"A",IF(J618&gt;=60,"B",IF(J618&gt;=40,"C",IF(J618&gt;=20,"D","E"))))))</f>
        <v/>
      </c>
      <c r="L618" s="15">
        <f>IF(K618="","",IF(K618="A","Cemerlang",IF(K618="B","Kepujian",IF(K618="C","Baik",IF(K618="D","Kurang Memuaskan",IF(K618="E","Tidak Memuaskan","Tidak Laksana"))))))</f>
        <v/>
      </c>
    </row>
    <row r="619">
      <c r="A619" s="15">
        <f>Murid!A619</f>
        <v/>
      </c>
      <c r="B619" s="15">
        <f>IF(Murid!B619="","",Murid!B619)</f>
        <v/>
      </c>
      <c r="C619" s="16">
        <f>IF(Murid!C619="","",Murid!C619)</f>
        <v/>
      </c>
      <c r="D619" s="15">
        <f>IF(Murid!E619="","",Murid!E619)</f>
        <v/>
      </c>
      <c r="E619" s="17">
        <f>KP!X619</f>
        <v/>
      </c>
      <c r="F619" s="17">
        <f>UB!X619</f>
        <v/>
      </c>
      <c r="G619" s="17">
        <f>SP!X619</f>
        <v/>
      </c>
      <c r="H619" s="17">
        <f>IF(COUNT(E619:G619)=0,"",ROUND((LARGE(E619:G619,1)+IF(COUNT(E619:G619)&gt;=2,LARGE(E619:G619,2),0))/2,2))</f>
        <v/>
      </c>
      <c r="I619" s="10">
        <f>Ekstra!U619</f>
        <v/>
      </c>
      <c r="J619" s="18">
        <f>IF(B619="","",IF(Murid!F619="TL","TL",IF(H619="","",MIN(100,ROUND(H619+N(I619),2)))))</f>
        <v/>
      </c>
      <c r="K619" s="19">
        <f>IF(J619="","",IF(J619="TL","TL",IF(J619&gt;=80,"A",IF(J619&gt;=60,"B",IF(J619&gt;=40,"C",IF(J619&gt;=20,"D","E"))))))</f>
        <v/>
      </c>
      <c r="L619" s="15">
        <f>IF(K619="","",IF(K619="A","Cemerlang",IF(K619="B","Kepujian",IF(K619="C","Baik",IF(K619="D","Kurang Memuaskan",IF(K619="E","Tidak Memuaskan","Tidak Laksana"))))))</f>
        <v/>
      </c>
    </row>
    <row r="620">
      <c r="A620" s="15">
        <f>Murid!A620</f>
        <v/>
      </c>
      <c r="B620" s="15">
        <f>IF(Murid!B620="","",Murid!B620)</f>
        <v/>
      </c>
      <c r="C620" s="16">
        <f>IF(Murid!C620="","",Murid!C620)</f>
        <v/>
      </c>
      <c r="D620" s="15">
        <f>IF(Murid!E620="","",Murid!E620)</f>
        <v/>
      </c>
      <c r="E620" s="17">
        <f>KP!X620</f>
        <v/>
      </c>
      <c r="F620" s="17">
        <f>UB!X620</f>
        <v/>
      </c>
      <c r="G620" s="17">
        <f>SP!X620</f>
        <v/>
      </c>
      <c r="H620" s="17">
        <f>IF(COUNT(E620:G620)=0,"",ROUND((LARGE(E620:G620,1)+IF(COUNT(E620:G620)&gt;=2,LARGE(E620:G620,2),0))/2,2))</f>
        <v/>
      </c>
      <c r="I620" s="10">
        <f>Ekstra!U620</f>
        <v/>
      </c>
      <c r="J620" s="18">
        <f>IF(B620="","",IF(Murid!F620="TL","TL",IF(H620="","",MIN(100,ROUND(H620+N(I620),2)))))</f>
        <v/>
      </c>
      <c r="K620" s="19">
        <f>IF(J620="","",IF(J620="TL","TL",IF(J620&gt;=80,"A",IF(J620&gt;=60,"B",IF(J620&gt;=40,"C",IF(J620&gt;=20,"D","E"))))))</f>
        <v/>
      </c>
      <c r="L620" s="15">
        <f>IF(K620="","",IF(K620="A","Cemerlang",IF(K620="B","Kepujian",IF(K620="C","Baik",IF(K620="D","Kurang Memuaskan",IF(K620="E","Tidak Memuaskan","Tidak Laksana"))))))</f>
        <v/>
      </c>
    </row>
    <row r="621">
      <c r="A621" s="15">
        <f>Murid!A621</f>
        <v/>
      </c>
      <c r="B621" s="15">
        <f>IF(Murid!B621="","",Murid!B621)</f>
        <v/>
      </c>
      <c r="C621" s="16">
        <f>IF(Murid!C621="","",Murid!C621)</f>
        <v/>
      </c>
      <c r="D621" s="15">
        <f>IF(Murid!E621="","",Murid!E621)</f>
        <v/>
      </c>
      <c r="E621" s="17">
        <f>KP!X621</f>
        <v/>
      </c>
      <c r="F621" s="17">
        <f>UB!X621</f>
        <v/>
      </c>
      <c r="G621" s="17">
        <f>SP!X621</f>
        <v/>
      </c>
      <c r="H621" s="17">
        <f>IF(COUNT(E621:G621)=0,"",ROUND((LARGE(E621:G621,1)+IF(COUNT(E621:G621)&gt;=2,LARGE(E621:G621,2),0))/2,2))</f>
        <v/>
      </c>
      <c r="I621" s="10">
        <f>Ekstra!U621</f>
        <v/>
      </c>
      <c r="J621" s="18">
        <f>IF(B621="","",IF(Murid!F621="TL","TL",IF(H621="","",MIN(100,ROUND(H621+N(I621),2)))))</f>
        <v/>
      </c>
      <c r="K621" s="19">
        <f>IF(J621="","",IF(J621="TL","TL",IF(J621&gt;=80,"A",IF(J621&gt;=60,"B",IF(J621&gt;=40,"C",IF(J621&gt;=20,"D","E"))))))</f>
        <v/>
      </c>
      <c r="L621" s="15">
        <f>IF(K621="","",IF(K621="A","Cemerlang",IF(K621="B","Kepujian",IF(K621="C","Baik",IF(K621="D","Kurang Memuaskan",IF(K621="E","Tidak Memuaskan","Tidak Laksana"))))))</f>
        <v/>
      </c>
    </row>
    <row r="622">
      <c r="A622" s="15">
        <f>Murid!A622</f>
        <v/>
      </c>
      <c r="B622" s="15">
        <f>IF(Murid!B622="","",Murid!B622)</f>
        <v/>
      </c>
      <c r="C622" s="16">
        <f>IF(Murid!C622="","",Murid!C622)</f>
        <v/>
      </c>
      <c r="D622" s="15">
        <f>IF(Murid!E622="","",Murid!E622)</f>
        <v/>
      </c>
      <c r="E622" s="17">
        <f>KP!X622</f>
        <v/>
      </c>
      <c r="F622" s="17">
        <f>UB!X622</f>
        <v/>
      </c>
      <c r="G622" s="17">
        <f>SP!X622</f>
        <v/>
      </c>
      <c r="H622" s="17">
        <f>IF(COUNT(E622:G622)=0,"",ROUND((LARGE(E622:G622,1)+IF(COUNT(E622:G622)&gt;=2,LARGE(E622:G622,2),0))/2,2))</f>
        <v/>
      </c>
      <c r="I622" s="10">
        <f>Ekstra!U622</f>
        <v/>
      </c>
      <c r="J622" s="18">
        <f>IF(B622="","",IF(Murid!F622="TL","TL",IF(H622="","",MIN(100,ROUND(H622+N(I622),2)))))</f>
        <v/>
      </c>
      <c r="K622" s="19">
        <f>IF(J622="","",IF(J622="TL","TL",IF(J622&gt;=80,"A",IF(J622&gt;=60,"B",IF(J622&gt;=40,"C",IF(J622&gt;=20,"D","E"))))))</f>
        <v/>
      </c>
      <c r="L622" s="15">
        <f>IF(K622="","",IF(K622="A","Cemerlang",IF(K622="B","Kepujian",IF(K622="C","Baik",IF(K622="D","Kurang Memuaskan",IF(K622="E","Tidak Memuaskan","Tidak Laksana"))))))</f>
        <v/>
      </c>
    </row>
    <row r="623">
      <c r="A623" s="15">
        <f>Murid!A623</f>
        <v/>
      </c>
      <c r="B623" s="15">
        <f>IF(Murid!B623="","",Murid!B623)</f>
        <v/>
      </c>
      <c r="C623" s="16">
        <f>IF(Murid!C623="","",Murid!C623)</f>
        <v/>
      </c>
      <c r="D623" s="15">
        <f>IF(Murid!E623="","",Murid!E623)</f>
        <v/>
      </c>
      <c r="E623" s="17">
        <f>KP!X623</f>
        <v/>
      </c>
      <c r="F623" s="17">
        <f>UB!X623</f>
        <v/>
      </c>
      <c r="G623" s="17">
        <f>SP!X623</f>
        <v/>
      </c>
      <c r="H623" s="17">
        <f>IF(COUNT(E623:G623)=0,"",ROUND((LARGE(E623:G623,1)+IF(COUNT(E623:G623)&gt;=2,LARGE(E623:G623,2),0))/2,2))</f>
        <v/>
      </c>
      <c r="I623" s="10">
        <f>Ekstra!U623</f>
        <v/>
      </c>
      <c r="J623" s="18">
        <f>IF(B623="","",IF(Murid!F623="TL","TL",IF(H623="","",MIN(100,ROUND(H623+N(I623),2)))))</f>
        <v/>
      </c>
      <c r="K623" s="19">
        <f>IF(J623="","",IF(J623="TL","TL",IF(J623&gt;=80,"A",IF(J623&gt;=60,"B",IF(J623&gt;=40,"C",IF(J623&gt;=20,"D","E"))))))</f>
        <v/>
      </c>
      <c r="L623" s="15">
        <f>IF(K623="","",IF(K623="A","Cemerlang",IF(K623="B","Kepujian",IF(K623="C","Baik",IF(K623="D","Kurang Memuaskan",IF(K623="E","Tidak Memuaskan","Tidak Laksana"))))))</f>
        <v/>
      </c>
    </row>
    <row r="624">
      <c r="A624" s="15">
        <f>Murid!A624</f>
        <v/>
      </c>
      <c r="B624" s="15">
        <f>IF(Murid!B624="","",Murid!B624)</f>
        <v/>
      </c>
      <c r="C624" s="16">
        <f>IF(Murid!C624="","",Murid!C624)</f>
        <v/>
      </c>
      <c r="D624" s="15">
        <f>IF(Murid!E624="","",Murid!E624)</f>
        <v/>
      </c>
      <c r="E624" s="17">
        <f>KP!X624</f>
        <v/>
      </c>
      <c r="F624" s="17">
        <f>UB!X624</f>
        <v/>
      </c>
      <c r="G624" s="17">
        <f>SP!X624</f>
        <v/>
      </c>
      <c r="H624" s="17">
        <f>IF(COUNT(E624:G624)=0,"",ROUND((LARGE(E624:G624,1)+IF(COUNT(E624:G624)&gt;=2,LARGE(E624:G624,2),0))/2,2))</f>
        <v/>
      </c>
      <c r="I624" s="10">
        <f>Ekstra!U624</f>
        <v/>
      </c>
      <c r="J624" s="18">
        <f>IF(B624="","",IF(Murid!F624="TL","TL",IF(H624="","",MIN(100,ROUND(H624+N(I624),2)))))</f>
        <v/>
      </c>
      <c r="K624" s="19">
        <f>IF(J624="","",IF(J624="TL","TL",IF(J624&gt;=80,"A",IF(J624&gt;=60,"B",IF(J624&gt;=40,"C",IF(J624&gt;=20,"D","E"))))))</f>
        <v/>
      </c>
      <c r="L624" s="15">
        <f>IF(K624="","",IF(K624="A","Cemerlang",IF(K624="B","Kepujian",IF(K624="C","Baik",IF(K624="D","Kurang Memuaskan",IF(K624="E","Tidak Memuaskan","Tidak Laksana"))))))</f>
        <v/>
      </c>
    </row>
    <row r="625">
      <c r="A625" s="15">
        <f>Murid!A625</f>
        <v/>
      </c>
      <c r="B625" s="15">
        <f>IF(Murid!B625="","",Murid!B625)</f>
        <v/>
      </c>
      <c r="C625" s="16">
        <f>IF(Murid!C625="","",Murid!C625)</f>
        <v/>
      </c>
      <c r="D625" s="15">
        <f>IF(Murid!E625="","",Murid!E625)</f>
        <v/>
      </c>
      <c r="E625" s="17">
        <f>KP!X625</f>
        <v/>
      </c>
      <c r="F625" s="17">
        <f>UB!X625</f>
        <v/>
      </c>
      <c r="G625" s="17">
        <f>SP!X625</f>
        <v/>
      </c>
      <c r="H625" s="17">
        <f>IF(COUNT(E625:G625)=0,"",ROUND((LARGE(E625:G625,1)+IF(COUNT(E625:G625)&gt;=2,LARGE(E625:G625,2),0))/2,2))</f>
        <v/>
      </c>
      <c r="I625" s="10">
        <f>Ekstra!U625</f>
        <v/>
      </c>
      <c r="J625" s="18">
        <f>IF(B625="","",IF(Murid!F625="TL","TL",IF(H625="","",MIN(100,ROUND(H625+N(I625),2)))))</f>
        <v/>
      </c>
      <c r="K625" s="19">
        <f>IF(J625="","",IF(J625="TL","TL",IF(J625&gt;=80,"A",IF(J625&gt;=60,"B",IF(J625&gt;=40,"C",IF(J625&gt;=20,"D","E"))))))</f>
        <v/>
      </c>
      <c r="L625" s="15">
        <f>IF(K625="","",IF(K625="A","Cemerlang",IF(K625="B","Kepujian",IF(K625="C","Baik",IF(K625="D","Kurang Memuaskan",IF(K625="E","Tidak Memuaskan","Tidak Laksana"))))))</f>
        <v/>
      </c>
    </row>
    <row r="626">
      <c r="A626" s="15">
        <f>Murid!A626</f>
        <v/>
      </c>
      <c r="B626" s="15">
        <f>IF(Murid!B626="","",Murid!B626)</f>
        <v/>
      </c>
      <c r="C626" s="16">
        <f>IF(Murid!C626="","",Murid!C626)</f>
        <v/>
      </c>
      <c r="D626" s="15">
        <f>IF(Murid!E626="","",Murid!E626)</f>
        <v/>
      </c>
      <c r="E626" s="17">
        <f>KP!X626</f>
        <v/>
      </c>
      <c r="F626" s="17">
        <f>UB!X626</f>
        <v/>
      </c>
      <c r="G626" s="17">
        <f>SP!X626</f>
        <v/>
      </c>
      <c r="H626" s="17">
        <f>IF(COUNT(E626:G626)=0,"",ROUND((LARGE(E626:G626,1)+IF(COUNT(E626:G626)&gt;=2,LARGE(E626:G626,2),0))/2,2))</f>
        <v/>
      </c>
      <c r="I626" s="10">
        <f>Ekstra!U626</f>
        <v/>
      </c>
      <c r="J626" s="18">
        <f>IF(B626="","",IF(Murid!F626="TL","TL",IF(H626="","",MIN(100,ROUND(H626+N(I626),2)))))</f>
        <v/>
      </c>
      <c r="K626" s="19">
        <f>IF(J626="","",IF(J626="TL","TL",IF(J626&gt;=80,"A",IF(J626&gt;=60,"B",IF(J626&gt;=40,"C",IF(J626&gt;=20,"D","E"))))))</f>
        <v/>
      </c>
      <c r="L626" s="15">
        <f>IF(K626="","",IF(K626="A","Cemerlang",IF(K626="B","Kepujian",IF(K626="C","Baik",IF(K626="D","Kurang Memuaskan",IF(K626="E","Tidak Memuaskan","Tidak Laksana"))))))</f>
        <v/>
      </c>
    </row>
    <row r="627">
      <c r="A627" s="15">
        <f>Murid!A627</f>
        <v/>
      </c>
      <c r="B627" s="15">
        <f>IF(Murid!B627="","",Murid!B627)</f>
        <v/>
      </c>
      <c r="C627" s="16">
        <f>IF(Murid!C627="","",Murid!C627)</f>
        <v/>
      </c>
      <c r="D627" s="15">
        <f>IF(Murid!E627="","",Murid!E627)</f>
        <v/>
      </c>
      <c r="E627" s="17">
        <f>KP!X627</f>
        <v/>
      </c>
      <c r="F627" s="17">
        <f>UB!X627</f>
        <v/>
      </c>
      <c r="G627" s="17">
        <f>SP!X627</f>
        <v/>
      </c>
      <c r="H627" s="17">
        <f>IF(COUNT(E627:G627)=0,"",ROUND((LARGE(E627:G627,1)+IF(COUNT(E627:G627)&gt;=2,LARGE(E627:G627,2),0))/2,2))</f>
        <v/>
      </c>
      <c r="I627" s="10">
        <f>Ekstra!U627</f>
        <v/>
      </c>
      <c r="J627" s="18">
        <f>IF(B627="","",IF(Murid!F627="TL","TL",IF(H627="","",MIN(100,ROUND(H627+N(I627),2)))))</f>
        <v/>
      </c>
      <c r="K627" s="19">
        <f>IF(J627="","",IF(J627="TL","TL",IF(J627&gt;=80,"A",IF(J627&gt;=60,"B",IF(J627&gt;=40,"C",IF(J627&gt;=20,"D","E"))))))</f>
        <v/>
      </c>
      <c r="L627" s="15">
        <f>IF(K627="","",IF(K627="A","Cemerlang",IF(K627="B","Kepujian",IF(K627="C","Baik",IF(K627="D","Kurang Memuaskan",IF(K627="E","Tidak Memuaskan","Tidak Laksana"))))))</f>
        <v/>
      </c>
    </row>
    <row r="628">
      <c r="A628" s="15">
        <f>Murid!A628</f>
        <v/>
      </c>
      <c r="B628" s="15">
        <f>IF(Murid!B628="","",Murid!B628)</f>
        <v/>
      </c>
      <c r="C628" s="16">
        <f>IF(Murid!C628="","",Murid!C628)</f>
        <v/>
      </c>
      <c r="D628" s="15">
        <f>IF(Murid!E628="","",Murid!E628)</f>
        <v/>
      </c>
      <c r="E628" s="17">
        <f>KP!X628</f>
        <v/>
      </c>
      <c r="F628" s="17">
        <f>UB!X628</f>
        <v/>
      </c>
      <c r="G628" s="17">
        <f>SP!X628</f>
        <v/>
      </c>
      <c r="H628" s="17">
        <f>IF(COUNT(E628:G628)=0,"",ROUND((LARGE(E628:G628,1)+IF(COUNT(E628:G628)&gt;=2,LARGE(E628:G628,2),0))/2,2))</f>
        <v/>
      </c>
      <c r="I628" s="10">
        <f>Ekstra!U628</f>
        <v/>
      </c>
      <c r="J628" s="18">
        <f>IF(B628="","",IF(Murid!F628="TL","TL",IF(H628="","",MIN(100,ROUND(H628+N(I628),2)))))</f>
        <v/>
      </c>
      <c r="K628" s="19">
        <f>IF(J628="","",IF(J628="TL","TL",IF(J628&gt;=80,"A",IF(J628&gt;=60,"B",IF(J628&gt;=40,"C",IF(J628&gt;=20,"D","E"))))))</f>
        <v/>
      </c>
      <c r="L628" s="15">
        <f>IF(K628="","",IF(K628="A","Cemerlang",IF(K628="B","Kepujian",IF(K628="C","Baik",IF(K628="D","Kurang Memuaskan",IF(K628="E","Tidak Memuaskan","Tidak Laksana"))))))</f>
        <v/>
      </c>
    </row>
    <row r="629">
      <c r="A629" s="15">
        <f>Murid!A629</f>
        <v/>
      </c>
      <c r="B629" s="15">
        <f>IF(Murid!B629="","",Murid!B629)</f>
        <v/>
      </c>
      <c r="C629" s="16">
        <f>IF(Murid!C629="","",Murid!C629)</f>
        <v/>
      </c>
      <c r="D629" s="15">
        <f>IF(Murid!E629="","",Murid!E629)</f>
        <v/>
      </c>
      <c r="E629" s="17">
        <f>KP!X629</f>
        <v/>
      </c>
      <c r="F629" s="17">
        <f>UB!X629</f>
        <v/>
      </c>
      <c r="G629" s="17">
        <f>SP!X629</f>
        <v/>
      </c>
      <c r="H629" s="17">
        <f>IF(COUNT(E629:G629)=0,"",ROUND((LARGE(E629:G629,1)+IF(COUNT(E629:G629)&gt;=2,LARGE(E629:G629,2),0))/2,2))</f>
        <v/>
      </c>
      <c r="I629" s="10">
        <f>Ekstra!U629</f>
        <v/>
      </c>
      <c r="J629" s="18">
        <f>IF(B629="","",IF(Murid!F629="TL","TL",IF(H629="","",MIN(100,ROUND(H629+N(I629),2)))))</f>
        <v/>
      </c>
      <c r="K629" s="19">
        <f>IF(J629="","",IF(J629="TL","TL",IF(J629&gt;=80,"A",IF(J629&gt;=60,"B",IF(J629&gt;=40,"C",IF(J629&gt;=20,"D","E"))))))</f>
        <v/>
      </c>
      <c r="L629" s="15">
        <f>IF(K629="","",IF(K629="A","Cemerlang",IF(K629="B","Kepujian",IF(K629="C","Baik",IF(K629="D","Kurang Memuaskan",IF(K629="E","Tidak Memuaskan","Tidak Laksana"))))))</f>
        <v/>
      </c>
    </row>
    <row r="630">
      <c r="A630" s="15">
        <f>Murid!A630</f>
        <v/>
      </c>
      <c r="B630" s="15">
        <f>IF(Murid!B630="","",Murid!B630)</f>
        <v/>
      </c>
      <c r="C630" s="16">
        <f>IF(Murid!C630="","",Murid!C630)</f>
        <v/>
      </c>
      <c r="D630" s="15">
        <f>IF(Murid!E630="","",Murid!E630)</f>
        <v/>
      </c>
      <c r="E630" s="17">
        <f>KP!X630</f>
        <v/>
      </c>
      <c r="F630" s="17">
        <f>UB!X630</f>
        <v/>
      </c>
      <c r="G630" s="17">
        <f>SP!X630</f>
        <v/>
      </c>
      <c r="H630" s="17">
        <f>IF(COUNT(E630:G630)=0,"",ROUND((LARGE(E630:G630,1)+IF(COUNT(E630:G630)&gt;=2,LARGE(E630:G630,2),0))/2,2))</f>
        <v/>
      </c>
      <c r="I630" s="10">
        <f>Ekstra!U630</f>
        <v/>
      </c>
      <c r="J630" s="18">
        <f>IF(B630="","",IF(Murid!F630="TL","TL",IF(H630="","",MIN(100,ROUND(H630+N(I630),2)))))</f>
        <v/>
      </c>
      <c r="K630" s="19">
        <f>IF(J630="","",IF(J630="TL","TL",IF(J630&gt;=80,"A",IF(J630&gt;=60,"B",IF(J630&gt;=40,"C",IF(J630&gt;=20,"D","E"))))))</f>
        <v/>
      </c>
      <c r="L630" s="15">
        <f>IF(K630="","",IF(K630="A","Cemerlang",IF(K630="B","Kepujian",IF(K630="C","Baik",IF(K630="D","Kurang Memuaskan",IF(K630="E","Tidak Memuaskan","Tidak Laksana"))))))</f>
        <v/>
      </c>
    </row>
    <row r="631">
      <c r="A631" s="15">
        <f>Murid!A631</f>
        <v/>
      </c>
      <c r="B631" s="15">
        <f>IF(Murid!B631="","",Murid!B631)</f>
        <v/>
      </c>
      <c r="C631" s="16">
        <f>IF(Murid!C631="","",Murid!C631)</f>
        <v/>
      </c>
      <c r="D631" s="15">
        <f>IF(Murid!E631="","",Murid!E631)</f>
        <v/>
      </c>
      <c r="E631" s="17">
        <f>KP!X631</f>
        <v/>
      </c>
      <c r="F631" s="17">
        <f>UB!X631</f>
        <v/>
      </c>
      <c r="G631" s="17">
        <f>SP!X631</f>
        <v/>
      </c>
      <c r="H631" s="17">
        <f>IF(COUNT(E631:G631)=0,"",ROUND((LARGE(E631:G631,1)+IF(COUNT(E631:G631)&gt;=2,LARGE(E631:G631,2),0))/2,2))</f>
        <v/>
      </c>
      <c r="I631" s="10">
        <f>Ekstra!U631</f>
        <v/>
      </c>
      <c r="J631" s="18">
        <f>IF(B631="","",IF(Murid!F631="TL","TL",IF(H631="","",MIN(100,ROUND(H631+N(I631),2)))))</f>
        <v/>
      </c>
      <c r="K631" s="19">
        <f>IF(J631="","",IF(J631="TL","TL",IF(J631&gt;=80,"A",IF(J631&gt;=60,"B",IF(J631&gt;=40,"C",IF(J631&gt;=20,"D","E"))))))</f>
        <v/>
      </c>
      <c r="L631" s="15">
        <f>IF(K631="","",IF(K631="A","Cemerlang",IF(K631="B","Kepujian",IF(K631="C","Baik",IF(K631="D","Kurang Memuaskan",IF(K631="E","Tidak Memuaskan","Tidak Laksana"))))))</f>
        <v/>
      </c>
    </row>
    <row r="632">
      <c r="A632" s="15">
        <f>Murid!A632</f>
        <v/>
      </c>
      <c r="B632" s="15">
        <f>IF(Murid!B632="","",Murid!B632)</f>
        <v/>
      </c>
      <c r="C632" s="16">
        <f>IF(Murid!C632="","",Murid!C632)</f>
        <v/>
      </c>
      <c r="D632" s="15">
        <f>IF(Murid!E632="","",Murid!E632)</f>
        <v/>
      </c>
      <c r="E632" s="17">
        <f>KP!X632</f>
        <v/>
      </c>
      <c r="F632" s="17">
        <f>UB!X632</f>
        <v/>
      </c>
      <c r="G632" s="17">
        <f>SP!X632</f>
        <v/>
      </c>
      <c r="H632" s="17">
        <f>IF(COUNT(E632:G632)=0,"",ROUND((LARGE(E632:G632,1)+IF(COUNT(E632:G632)&gt;=2,LARGE(E632:G632,2),0))/2,2))</f>
        <v/>
      </c>
      <c r="I632" s="10">
        <f>Ekstra!U632</f>
        <v/>
      </c>
      <c r="J632" s="18">
        <f>IF(B632="","",IF(Murid!F632="TL","TL",IF(H632="","",MIN(100,ROUND(H632+N(I632),2)))))</f>
        <v/>
      </c>
      <c r="K632" s="19">
        <f>IF(J632="","",IF(J632="TL","TL",IF(J632&gt;=80,"A",IF(J632&gt;=60,"B",IF(J632&gt;=40,"C",IF(J632&gt;=20,"D","E"))))))</f>
        <v/>
      </c>
      <c r="L632" s="15">
        <f>IF(K632="","",IF(K632="A","Cemerlang",IF(K632="B","Kepujian",IF(K632="C","Baik",IF(K632="D","Kurang Memuaskan",IF(K632="E","Tidak Memuaskan","Tidak Laksana"))))))</f>
        <v/>
      </c>
    </row>
    <row r="633">
      <c r="A633" s="15">
        <f>Murid!A633</f>
        <v/>
      </c>
      <c r="B633" s="15">
        <f>IF(Murid!B633="","",Murid!B633)</f>
        <v/>
      </c>
      <c r="C633" s="16">
        <f>IF(Murid!C633="","",Murid!C633)</f>
        <v/>
      </c>
      <c r="D633" s="15">
        <f>IF(Murid!E633="","",Murid!E633)</f>
        <v/>
      </c>
      <c r="E633" s="17">
        <f>KP!X633</f>
        <v/>
      </c>
      <c r="F633" s="17">
        <f>UB!X633</f>
        <v/>
      </c>
      <c r="G633" s="17">
        <f>SP!X633</f>
        <v/>
      </c>
      <c r="H633" s="17">
        <f>IF(COUNT(E633:G633)=0,"",ROUND((LARGE(E633:G633,1)+IF(COUNT(E633:G633)&gt;=2,LARGE(E633:G633,2),0))/2,2))</f>
        <v/>
      </c>
      <c r="I633" s="10">
        <f>Ekstra!U633</f>
        <v/>
      </c>
      <c r="J633" s="18">
        <f>IF(B633="","",IF(Murid!F633="TL","TL",IF(H633="","",MIN(100,ROUND(H633+N(I633),2)))))</f>
        <v/>
      </c>
      <c r="K633" s="19">
        <f>IF(J633="","",IF(J633="TL","TL",IF(J633&gt;=80,"A",IF(J633&gt;=60,"B",IF(J633&gt;=40,"C",IF(J633&gt;=20,"D","E"))))))</f>
        <v/>
      </c>
      <c r="L633" s="15">
        <f>IF(K633="","",IF(K633="A","Cemerlang",IF(K633="B","Kepujian",IF(K633="C","Baik",IF(K633="D","Kurang Memuaskan",IF(K633="E","Tidak Memuaskan","Tidak Laksana"))))))</f>
        <v/>
      </c>
    </row>
    <row r="634">
      <c r="A634" s="15">
        <f>Murid!A634</f>
        <v/>
      </c>
      <c r="B634" s="15">
        <f>IF(Murid!B634="","",Murid!B634)</f>
        <v/>
      </c>
      <c r="C634" s="16">
        <f>IF(Murid!C634="","",Murid!C634)</f>
        <v/>
      </c>
      <c r="D634" s="15">
        <f>IF(Murid!E634="","",Murid!E634)</f>
        <v/>
      </c>
      <c r="E634" s="17">
        <f>KP!X634</f>
        <v/>
      </c>
      <c r="F634" s="17">
        <f>UB!X634</f>
        <v/>
      </c>
      <c r="G634" s="17">
        <f>SP!X634</f>
        <v/>
      </c>
      <c r="H634" s="17">
        <f>IF(COUNT(E634:G634)=0,"",ROUND((LARGE(E634:G634,1)+IF(COUNT(E634:G634)&gt;=2,LARGE(E634:G634,2),0))/2,2))</f>
        <v/>
      </c>
      <c r="I634" s="10">
        <f>Ekstra!U634</f>
        <v/>
      </c>
      <c r="J634" s="18">
        <f>IF(B634="","",IF(Murid!F634="TL","TL",IF(H634="","",MIN(100,ROUND(H634+N(I634),2)))))</f>
        <v/>
      </c>
      <c r="K634" s="19">
        <f>IF(J634="","",IF(J634="TL","TL",IF(J634&gt;=80,"A",IF(J634&gt;=60,"B",IF(J634&gt;=40,"C",IF(J634&gt;=20,"D","E"))))))</f>
        <v/>
      </c>
      <c r="L634" s="15">
        <f>IF(K634="","",IF(K634="A","Cemerlang",IF(K634="B","Kepujian",IF(K634="C","Baik",IF(K634="D","Kurang Memuaskan",IF(K634="E","Tidak Memuaskan","Tidak Laksana"))))))</f>
        <v/>
      </c>
    </row>
    <row r="635">
      <c r="A635" s="15">
        <f>Murid!A635</f>
        <v/>
      </c>
      <c r="B635" s="15">
        <f>IF(Murid!B635="","",Murid!B635)</f>
        <v/>
      </c>
      <c r="C635" s="16">
        <f>IF(Murid!C635="","",Murid!C635)</f>
        <v/>
      </c>
      <c r="D635" s="15">
        <f>IF(Murid!E635="","",Murid!E635)</f>
        <v/>
      </c>
      <c r="E635" s="17">
        <f>KP!X635</f>
        <v/>
      </c>
      <c r="F635" s="17">
        <f>UB!X635</f>
        <v/>
      </c>
      <c r="G635" s="17">
        <f>SP!X635</f>
        <v/>
      </c>
      <c r="H635" s="17">
        <f>IF(COUNT(E635:G635)=0,"",ROUND((LARGE(E635:G635,1)+IF(COUNT(E635:G635)&gt;=2,LARGE(E635:G635,2),0))/2,2))</f>
        <v/>
      </c>
      <c r="I635" s="10">
        <f>Ekstra!U635</f>
        <v/>
      </c>
      <c r="J635" s="18">
        <f>IF(B635="","",IF(Murid!F635="TL","TL",IF(H635="","",MIN(100,ROUND(H635+N(I635),2)))))</f>
        <v/>
      </c>
      <c r="K635" s="19">
        <f>IF(J635="","",IF(J635="TL","TL",IF(J635&gt;=80,"A",IF(J635&gt;=60,"B",IF(J635&gt;=40,"C",IF(J635&gt;=20,"D","E"))))))</f>
        <v/>
      </c>
      <c r="L635" s="15">
        <f>IF(K635="","",IF(K635="A","Cemerlang",IF(K635="B","Kepujian",IF(K635="C","Baik",IF(K635="D","Kurang Memuaskan",IF(K635="E","Tidak Memuaskan","Tidak Laksana"))))))</f>
        <v/>
      </c>
    </row>
    <row r="636">
      <c r="A636" s="15">
        <f>Murid!A636</f>
        <v/>
      </c>
      <c r="B636" s="15">
        <f>IF(Murid!B636="","",Murid!B636)</f>
        <v/>
      </c>
      <c r="C636" s="16">
        <f>IF(Murid!C636="","",Murid!C636)</f>
        <v/>
      </c>
      <c r="D636" s="15">
        <f>IF(Murid!E636="","",Murid!E636)</f>
        <v/>
      </c>
      <c r="E636" s="17">
        <f>KP!X636</f>
        <v/>
      </c>
      <c r="F636" s="17">
        <f>UB!X636</f>
        <v/>
      </c>
      <c r="G636" s="17">
        <f>SP!X636</f>
        <v/>
      </c>
      <c r="H636" s="17">
        <f>IF(COUNT(E636:G636)=0,"",ROUND((LARGE(E636:G636,1)+IF(COUNT(E636:G636)&gt;=2,LARGE(E636:G636,2),0))/2,2))</f>
        <v/>
      </c>
      <c r="I636" s="10">
        <f>Ekstra!U636</f>
        <v/>
      </c>
      <c r="J636" s="18">
        <f>IF(B636="","",IF(Murid!F636="TL","TL",IF(H636="","",MIN(100,ROUND(H636+N(I636),2)))))</f>
        <v/>
      </c>
      <c r="K636" s="19">
        <f>IF(J636="","",IF(J636="TL","TL",IF(J636&gt;=80,"A",IF(J636&gt;=60,"B",IF(J636&gt;=40,"C",IF(J636&gt;=20,"D","E"))))))</f>
        <v/>
      </c>
      <c r="L636" s="15">
        <f>IF(K636="","",IF(K636="A","Cemerlang",IF(K636="B","Kepujian",IF(K636="C","Baik",IF(K636="D","Kurang Memuaskan",IF(K636="E","Tidak Memuaskan","Tidak Laksana"))))))</f>
        <v/>
      </c>
    </row>
    <row r="637">
      <c r="A637" s="15">
        <f>Murid!A637</f>
        <v/>
      </c>
      <c r="B637" s="15">
        <f>IF(Murid!B637="","",Murid!B637)</f>
        <v/>
      </c>
      <c r="C637" s="16">
        <f>IF(Murid!C637="","",Murid!C637)</f>
        <v/>
      </c>
      <c r="D637" s="15">
        <f>IF(Murid!E637="","",Murid!E637)</f>
        <v/>
      </c>
      <c r="E637" s="17">
        <f>KP!X637</f>
        <v/>
      </c>
      <c r="F637" s="17">
        <f>UB!X637</f>
        <v/>
      </c>
      <c r="G637" s="17">
        <f>SP!X637</f>
        <v/>
      </c>
      <c r="H637" s="17">
        <f>IF(COUNT(E637:G637)=0,"",ROUND((LARGE(E637:G637,1)+IF(COUNT(E637:G637)&gt;=2,LARGE(E637:G637,2),0))/2,2))</f>
        <v/>
      </c>
      <c r="I637" s="10">
        <f>Ekstra!U637</f>
        <v/>
      </c>
      <c r="J637" s="18">
        <f>IF(B637="","",IF(Murid!F637="TL","TL",IF(H637="","",MIN(100,ROUND(H637+N(I637),2)))))</f>
        <v/>
      </c>
      <c r="K637" s="19">
        <f>IF(J637="","",IF(J637="TL","TL",IF(J637&gt;=80,"A",IF(J637&gt;=60,"B",IF(J637&gt;=40,"C",IF(J637&gt;=20,"D","E"))))))</f>
        <v/>
      </c>
      <c r="L637" s="15">
        <f>IF(K637="","",IF(K637="A","Cemerlang",IF(K637="B","Kepujian",IF(K637="C","Baik",IF(K637="D","Kurang Memuaskan",IF(K637="E","Tidak Memuaskan","Tidak Laksana"))))))</f>
        <v/>
      </c>
    </row>
    <row r="638">
      <c r="A638" s="15">
        <f>Murid!A638</f>
        <v/>
      </c>
      <c r="B638" s="15">
        <f>IF(Murid!B638="","",Murid!B638)</f>
        <v/>
      </c>
      <c r="C638" s="16">
        <f>IF(Murid!C638="","",Murid!C638)</f>
        <v/>
      </c>
      <c r="D638" s="15">
        <f>IF(Murid!E638="","",Murid!E638)</f>
        <v/>
      </c>
      <c r="E638" s="17">
        <f>KP!X638</f>
        <v/>
      </c>
      <c r="F638" s="17">
        <f>UB!X638</f>
        <v/>
      </c>
      <c r="G638" s="17">
        <f>SP!X638</f>
        <v/>
      </c>
      <c r="H638" s="17">
        <f>IF(COUNT(E638:G638)=0,"",ROUND((LARGE(E638:G638,1)+IF(COUNT(E638:G638)&gt;=2,LARGE(E638:G638,2),0))/2,2))</f>
        <v/>
      </c>
      <c r="I638" s="10">
        <f>Ekstra!U638</f>
        <v/>
      </c>
      <c r="J638" s="18">
        <f>IF(B638="","",IF(Murid!F638="TL","TL",IF(H638="","",MIN(100,ROUND(H638+N(I638),2)))))</f>
        <v/>
      </c>
      <c r="K638" s="19">
        <f>IF(J638="","",IF(J638="TL","TL",IF(J638&gt;=80,"A",IF(J638&gt;=60,"B",IF(J638&gt;=40,"C",IF(J638&gt;=20,"D","E"))))))</f>
        <v/>
      </c>
      <c r="L638" s="15">
        <f>IF(K638="","",IF(K638="A","Cemerlang",IF(K638="B","Kepujian",IF(K638="C","Baik",IF(K638="D","Kurang Memuaskan",IF(K638="E","Tidak Memuaskan","Tidak Laksana"))))))</f>
        <v/>
      </c>
    </row>
    <row r="639">
      <c r="A639" s="15">
        <f>Murid!A639</f>
        <v/>
      </c>
      <c r="B639" s="15">
        <f>IF(Murid!B639="","",Murid!B639)</f>
        <v/>
      </c>
      <c r="C639" s="16">
        <f>IF(Murid!C639="","",Murid!C639)</f>
        <v/>
      </c>
      <c r="D639" s="15">
        <f>IF(Murid!E639="","",Murid!E639)</f>
        <v/>
      </c>
      <c r="E639" s="17">
        <f>KP!X639</f>
        <v/>
      </c>
      <c r="F639" s="17">
        <f>UB!X639</f>
        <v/>
      </c>
      <c r="G639" s="17">
        <f>SP!X639</f>
        <v/>
      </c>
      <c r="H639" s="17">
        <f>IF(COUNT(E639:G639)=0,"",ROUND((LARGE(E639:G639,1)+IF(COUNT(E639:G639)&gt;=2,LARGE(E639:G639,2),0))/2,2))</f>
        <v/>
      </c>
      <c r="I639" s="10">
        <f>Ekstra!U639</f>
        <v/>
      </c>
      <c r="J639" s="18">
        <f>IF(B639="","",IF(Murid!F639="TL","TL",IF(H639="","",MIN(100,ROUND(H639+N(I639),2)))))</f>
        <v/>
      </c>
      <c r="K639" s="19">
        <f>IF(J639="","",IF(J639="TL","TL",IF(J639&gt;=80,"A",IF(J639&gt;=60,"B",IF(J639&gt;=40,"C",IF(J639&gt;=20,"D","E"))))))</f>
        <v/>
      </c>
      <c r="L639" s="15">
        <f>IF(K639="","",IF(K639="A","Cemerlang",IF(K639="B","Kepujian",IF(K639="C","Baik",IF(K639="D","Kurang Memuaskan",IF(K639="E","Tidak Memuaskan","Tidak Laksana"))))))</f>
        <v/>
      </c>
    </row>
    <row r="640">
      <c r="A640" s="15">
        <f>Murid!A640</f>
        <v/>
      </c>
      <c r="B640" s="15">
        <f>IF(Murid!B640="","",Murid!B640)</f>
        <v/>
      </c>
      <c r="C640" s="16">
        <f>IF(Murid!C640="","",Murid!C640)</f>
        <v/>
      </c>
      <c r="D640" s="15">
        <f>IF(Murid!E640="","",Murid!E640)</f>
        <v/>
      </c>
      <c r="E640" s="17">
        <f>KP!X640</f>
        <v/>
      </c>
      <c r="F640" s="17">
        <f>UB!X640</f>
        <v/>
      </c>
      <c r="G640" s="17">
        <f>SP!X640</f>
        <v/>
      </c>
      <c r="H640" s="17">
        <f>IF(COUNT(E640:G640)=0,"",ROUND((LARGE(E640:G640,1)+IF(COUNT(E640:G640)&gt;=2,LARGE(E640:G640,2),0))/2,2))</f>
        <v/>
      </c>
      <c r="I640" s="10">
        <f>Ekstra!U640</f>
        <v/>
      </c>
      <c r="J640" s="18">
        <f>IF(B640="","",IF(Murid!F640="TL","TL",IF(H640="","",MIN(100,ROUND(H640+N(I640),2)))))</f>
        <v/>
      </c>
      <c r="K640" s="19">
        <f>IF(J640="","",IF(J640="TL","TL",IF(J640&gt;=80,"A",IF(J640&gt;=60,"B",IF(J640&gt;=40,"C",IF(J640&gt;=20,"D","E"))))))</f>
        <v/>
      </c>
      <c r="L640" s="15">
        <f>IF(K640="","",IF(K640="A","Cemerlang",IF(K640="B","Kepujian",IF(K640="C","Baik",IF(K640="D","Kurang Memuaskan",IF(K640="E","Tidak Memuaskan","Tidak Laksana"))))))</f>
        <v/>
      </c>
    </row>
    <row r="641">
      <c r="A641" s="15">
        <f>Murid!A641</f>
        <v/>
      </c>
      <c r="B641" s="15">
        <f>IF(Murid!B641="","",Murid!B641)</f>
        <v/>
      </c>
      <c r="C641" s="16">
        <f>IF(Murid!C641="","",Murid!C641)</f>
        <v/>
      </c>
      <c r="D641" s="15">
        <f>IF(Murid!E641="","",Murid!E641)</f>
        <v/>
      </c>
      <c r="E641" s="17">
        <f>KP!X641</f>
        <v/>
      </c>
      <c r="F641" s="17">
        <f>UB!X641</f>
        <v/>
      </c>
      <c r="G641" s="17">
        <f>SP!X641</f>
        <v/>
      </c>
      <c r="H641" s="17">
        <f>IF(COUNT(E641:G641)=0,"",ROUND((LARGE(E641:G641,1)+IF(COUNT(E641:G641)&gt;=2,LARGE(E641:G641,2),0))/2,2))</f>
        <v/>
      </c>
      <c r="I641" s="10">
        <f>Ekstra!U641</f>
        <v/>
      </c>
      <c r="J641" s="18">
        <f>IF(B641="","",IF(Murid!F641="TL","TL",IF(H641="","",MIN(100,ROUND(H641+N(I641),2)))))</f>
        <v/>
      </c>
      <c r="K641" s="19">
        <f>IF(J641="","",IF(J641="TL","TL",IF(J641&gt;=80,"A",IF(J641&gt;=60,"B",IF(J641&gt;=40,"C",IF(J641&gt;=20,"D","E"))))))</f>
        <v/>
      </c>
      <c r="L641" s="15">
        <f>IF(K641="","",IF(K641="A","Cemerlang",IF(K641="B","Kepujian",IF(K641="C","Baik",IF(K641="D","Kurang Memuaskan",IF(K641="E","Tidak Memuaskan","Tidak Laksana"))))))</f>
        <v/>
      </c>
    </row>
    <row r="642">
      <c r="A642" s="15">
        <f>Murid!A642</f>
        <v/>
      </c>
      <c r="B642" s="15">
        <f>IF(Murid!B642="","",Murid!B642)</f>
        <v/>
      </c>
      <c r="C642" s="16">
        <f>IF(Murid!C642="","",Murid!C642)</f>
        <v/>
      </c>
      <c r="D642" s="15">
        <f>IF(Murid!E642="","",Murid!E642)</f>
        <v/>
      </c>
      <c r="E642" s="17">
        <f>KP!X642</f>
        <v/>
      </c>
      <c r="F642" s="17">
        <f>UB!X642</f>
        <v/>
      </c>
      <c r="G642" s="17">
        <f>SP!X642</f>
        <v/>
      </c>
      <c r="H642" s="17">
        <f>IF(COUNT(E642:G642)=0,"",ROUND((LARGE(E642:G642,1)+IF(COUNT(E642:G642)&gt;=2,LARGE(E642:G642,2),0))/2,2))</f>
        <v/>
      </c>
      <c r="I642" s="10">
        <f>Ekstra!U642</f>
        <v/>
      </c>
      <c r="J642" s="18">
        <f>IF(B642="","",IF(Murid!F642="TL","TL",IF(H642="","",MIN(100,ROUND(H642+N(I642),2)))))</f>
        <v/>
      </c>
      <c r="K642" s="19">
        <f>IF(J642="","",IF(J642="TL","TL",IF(J642&gt;=80,"A",IF(J642&gt;=60,"B",IF(J642&gt;=40,"C",IF(J642&gt;=20,"D","E"))))))</f>
        <v/>
      </c>
      <c r="L642" s="15">
        <f>IF(K642="","",IF(K642="A","Cemerlang",IF(K642="B","Kepujian",IF(K642="C","Baik",IF(K642="D","Kurang Memuaskan",IF(K642="E","Tidak Memuaskan","Tidak Laksana"))))))</f>
        <v/>
      </c>
    </row>
    <row r="643">
      <c r="A643" s="15">
        <f>Murid!A643</f>
        <v/>
      </c>
      <c r="B643" s="15">
        <f>IF(Murid!B643="","",Murid!B643)</f>
        <v/>
      </c>
      <c r="C643" s="16">
        <f>IF(Murid!C643="","",Murid!C643)</f>
        <v/>
      </c>
      <c r="D643" s="15">
        <f>IF(Murid!E643="","",Murid!E643)</f>
        <v/>
      </c>
      <c r="E643" s="17">
        <f>KP!X643</f>
        <v/>
      </c>
      <c r="F643" s="17">
        <f>UB!X643</f>
        <v/>
      </c>
      <c r="G643" s="17">
        <f>SP!X643</f>
        <v/>
      </c>
      <c r="H643" s="17">
        <f>IF(COUNT(E643:G643)=0,"",ROUND((LARGE(E643:G643,1)+IF(COUNT(E643:G643)&gt;=2,LARGE(E643:G643,2),0))/2,2))</f>
        <v/>
      </c>
      <c r="I643" s="10">
        <f>Ekstra!U643</f>
        <v/>
      </c>
      <c r="J643" s="18">
        <f>IF(B643="","",IF(Murid!F643="TL","TL",IF(H643="","",MIN(100,ROUND(H643+N(I643),2)))))</f>
        <v/>
      </c>
      <c r="K643" s="19">
        <f>IF(J643="","",IF(J643="TL","TL",IF(J643&gt;=80,"A",IF(J643&gt;=60,"B",IF(J643&gt;=40,"C",IF(J643&gt;=20,"D","E"))))))</f>
        <v/>
      </c>
      <c r="L643" s="15">
        <f>IF(K643="","",IF(K643="A","Cemerlang",IF(K643="B","Kepujian",IF(K643="C","Baik",IF(K643="D","Kurang Memuaskan",IF(K643="E","Tidak Memuaskan","Tidak Laksana"))))))</f>
        <v/>
      </c>
    </row>
    <row r="644">
      <c r="A644" s="15">
        <f>Murid!A644</f>
        <v/>
      </c>
      <c r="B644" s="15">
        <f>IF(Murid!B644="","",Murid!B644)</f>
        <v/>
      </c>
      <c r="C644" s="16">
        <f>IF(Murid!C644="","",Murid!C644)</f>
        <v/>
      </c>
      <c r="D644" s="15">
        <f>IF(Murid!E644="","",Murid!E644)</f>
        <v/>
      </c>
      <c r="E644" s="17">
        <f>KP!X644</f>
        <v/>
      </c>
      <c r="F644" s="17">
        <f>UB!X644</f>
        <v/>
      </c>
      <c r="G644" s="17">
        <f>SP!X644</f>
        <v/>
      </c>
      <c r="H644" s="17">
        <f>IF(COUNT(E644:G644)=0,"",ROUND((LARGE(E644:G644,1)+IF(COUNT(E644:G644)&gt;=2,LARGE(E644:G644,2),0))/2,2))</f>
        <v/>
      </c>
      <c r="I644" s="10">
        <f>Ekstra!U644</f>
        <v/>
      </c>
      <c r="J644" s="18">
        <f>IF(B644="","",IF(Murid!F644="TL","TL",IF(H644="","",MIN(100,ROUND(H644+N(I644),2)))))</f>
        <v/>
      </c>
      <c r="K644" s="19">
        <f>IF(J644="","",IF(J644="TL","TL",IF(J644&gt;=80,"A",IF(J644&gt;=60,"B",IF(J644&gt;=40,"C",IF(J644&gt;=20,"D","E"))))))</f>
        <v/>
      </c>
      <c r="L644" s="15">
        <f>IF(K644="","",IF(K644="A","Cemerlang",IF(K644="B","Kepujian",IF(K644="C","Baik",IF(K644="D","Kurang Memuaskan",IF(K644="E","Tidak Memuaskan","Tidak Laksana"))))))</f>
        <v/>
      </c>
    </row>
    <row r="645">
      <c r="A645" s="15">
        <f>Murid!A645</f>
        <v/>
      </c>
      <c r="B645" s="15">
        <f>IF(Murid!B645="","",Murid!B645)</f>
        <v/>
      </c>
      <c r="C645" s="16">
        <f>IF(Murid!C645="","",Murid!C645)</f>
        <v/>
      </c>
      <c r="D645" s="15">
        <f>IF(Murid!E645="","",Murid!E645)</f>
        <v/>
      </c>
      <c r="E645" s="17">
        <f>KP!X645</f>
        <v/>
      </c>
      <c r="F645" s="17">
        <f>UB!X645</f>
        <v/>
      </c>
      <c r="G645" s="17">
        <f>SP!X645</f>
        <v/>
      </c>
      <c r="H645" s="17">
        <f>IF(COUNT(E645:G645)=0,"",ROUND((LARGE(E645:G645,1)+IF(COUNT(E645:G645)&gt;=2,LARGE(E645:G645,2),0))/2,2))</f>
        <v/>
      </c>
      <c r="I645" s="10">
        <f>Ekstra!U645</f>
        <v/>
      </c>
      <c r="J645" s="18">
        <f>IF(B645="","",IF(Murid!F645="TL","TL",IF(H645="","",MIN(100,ROUND(H645+N(I645),2)))))</f>
        <v/>
      </c>
      <c r="K645" s="19">
        <f>IF(J645="","",IF(J645="TL","TL",IF(J645&gt;=80,"A",IF(J645&gt;=60,"B",IF(J645&gt;=40,"C",IF(J645&gt;=20,"D","E"))))))</f>
        <v/>
      </c>
      <c r="L645" s="15">
        <f>IF(K645="","",IF(K645="A","Cemerlang",IF(K645="B","Kepujian",IF(K645="C","Baik",IF(K645="D","Kurang Memuaskan",IF(K645="E","Tidak Memuaskan","Tidak Laksana"))))))</f>
        <v/>
      </c>
    </row>
    <row r="646">
      <c r="A646" s="15">
        <f>Murid!A646</f>
        <v/>
      </c>
      <c r="B646" s="15">
        <f>IF(Murid!B646="","",Murid!B646)</f>
        <v/>
      </c>
      <c r="C646" s="16">
        <f>IF(Murid!C646="","",Murid!C646)</f>
        <v/>
      </c>
      <c r="D646" s="15">
        <f>IF(Murid!E646="","",Murid!E646)</f>
        <v/>
      </c>
      <c r="E646" s="17">
        <f>KP!X646</f>
        <v/>
      </c>
      <c r="F646" s="17">
        <f>UB!X646</f>
        <v/>
      </c>
      <c r="G646" s="17">
        <f>SP!X646</f>
        <v/>
      </c>
      <c r="H646" s="17">
        <f>IF(COUNT(E646:G646)=0,"",ROUND((LARGE(E646:G646,1)+IF(COUNT(E646:G646)&gt;=2,LARGE(E646:G646,2),0))/2,2))</f>
        <v/>
      </c>
      <c r="I646" s="10">
        <f>Ekstra!U646</f>
        <v/>
      </c>
      <c r="J646" s="18">
        <f>IF(B646="","",IF(Murid!F646="TL","TL",IF(H646="","",MIN(100,ROUND(H646+N(I646),2)))))</f>
        <v/>
      </c>
      <c r="K646" s="19">
        <f>IF(J646="","",IF(J646="TL","TL",IF(J646&gt;=80,"A",IF(J646&gt;=60,"B",IF(J646&gt;=40,"C",IF(J646&gt;=20,"D","E"))))))</f>
        <v/>
      </c>
      <c r="L646" s="15">
        <f>IF(K646="","",IF(K646="A","Cemerlang",IF(K646="B","Kepujian",IF(K646="C","Baik",IF(K646="D","Kurang Memuaskan",IF(K646="E","Tidak Memuaskan","Tidak Laksana"))))))</f>
        <v/>
      </c>
    </row>
    <row r="647">
      <c r="A647" s="15">
        <f>Murid!A647</f>
        <v/>
      </c>
      <c r="B647" s="15">
        <f>IF(Murid!B647="","",Murid!B647)</f>
        <v/>
      </c>
      <c r="C647" s="16">
        <f>IF(Murid!C647="","",Murid!C647)</f>
        <v/>
      </c>
      <c r="D647" s="15">
        <f>IF(Murid!E647="","",Murid!E647)</f>
        <v/>
      </c>
      <c r="E647" s="17">
        <f>KP!X647</f>
        <v/>
      </c>
      <c r="F647" s="17">
        <f>UB!X647</f>
        <v/>
      </c>
      <c r="G647" s="17">
        <f>SP!X647</f>
        <v/>
      </c>
      <c r="H647" s="17">
        <f>IF(COUNT(E647:G647)=0,"",ROUND((LARGE(E647:G647,1)+IF(COUNT(E647:G647)&gt;=2,LARGE(E647:G647,2),0))/2,2))</f>
        <v/>
      </c>
      <c r="I647" s="10">
        <f>Ekstra!U647</f>
        <v/>
      </c>
      <c r="J647" s="18">
        <f>IF(B647="","",IF(Murid!F647="TL","TL",IF(H647="","",MIN(100,ROUND(H647+N(I647),2)))))</f>
        <v/>
      </c>
      <c r="K647" s="19">
        <f>IF(J647="","",IF(J647="TL","TL",IF(J647&gt;=80,"A",IF(J647&gt;=60,"B",IF(J647&gt;=40,"C",IF(J647&gt;=20,"D","E"))))))</f>
        <v/>
      </c>
      <c r="L647" s="15">
        <f>IF(K647="","",IF(K647="A","Cemerlang",IF(K647="B","Kepujian",IF(K647="C","Baik",IF(K647="D","Kurang Memuaskan",IF(K647="E","Tidak Memuaskan","Tidak Laksana"))))))</f>
        <v/>
      </c>
    </row>
    <row r="648">
      <c r="A648" s="15">
        <f>Murid!A648</f>
        <v/>
      </c>
      <c r="B648" s="15">
        <f>IF(Murid!B648="","",Murid!B648)</f>
        <v/>
      </c>
      <c r="C648" s="16">
        <f>IF(Murid!C648="","",Murid!C648)</f>
        <v/>
      </c>
      <c r="D648" s="15">
        <f>IF(Murid!E648="","",Murid!E648)</f>
        <v/>
      </c>
      <c r="E648" s="17">
        <f>KP!X648</f>
        <v/>
      </c>
      <c r="F648" s="17">
        <f>UB!X648</f>
        <v/>
      </c>
      <c r="G648" s="17">
        <f>SP!X648</f>
        <v/>
      </c>
      <c r="H648" s="17">
        <f>IF(COUNT(E648:G648)=0,"",ROUND((LARGE(E648:G648,1)+IF(COUNT(E648:G648)&gt;=2,LARGE(E648:G648,2),0))/2,2))</f>
        <v/>
      </c>
      <c r="I648" s="10">
        <f>Ekstra!U648</f>
        <v/>
      </c>
      <c r="J648" s="18">
        <f>IF(B648="","",IF(Murid!F648="TL","TL",IF(H648="","",MIN(100,ROUND(H648+N(I648),2)))))</f>
        <v/>
      </c>
      <c r="K648" s="19">
        <f>IF(J648="","",IF(J648="TL","TL",IF(J648&gt;=80,"A",IF(J648&gt;=60,"B",IF(J648&gt;=40,"C",IF(J648&gt;=20,"D","E"))))))</f>
        <v/>
      </c>
      <c r="L648" s="15">
        <f>IF(K648="","",IF(K648="A","Cemerlang",IF(K648="B","Kepujian",IF(K648="C","Baik",IF(K648="D","Kurang Memuaskan",IF(K648="E","Tidak Memuaskan","Tidak Laksana"))))))</f>
        <v/>
      </c>
    </row>
    <row r="649">
      <c r="A649" s="15">
        <f>Murid!A649</f>
        <v/>
      </c>
      <c r="B649" s="15">
        <f>IF(Murid!B649="","",Murid!B649)</f>
        <v/>
      </c>
      <c r="C649" s="16">
        <f>IF(Murid!C649="","",Murid!C649)</f>
        <v/>
      </c>
      <c r="D649" s="15">
        <f>IF(Murid!E649="","",Murid!E649)</f>
        <v/>
      </c>
      <c r="E649" s="17">
        <f>KP!X649</f>
        <v/>
      </c>
      <c r="F649" s="17">
        <f>UB!X649</f>
        <v/>
      </c>
      <c r="G649" s="17">
        <f>SP!X649</f>
        <v/>
      </c>
      <c r="H649" s="17">
        <f>IF(COUNT(E649:G649)=0,"",ROUND((LARGE(E649:G649,1)+IF(COUNT(E649:G649)&gt;=2,LARGE(E649:G649,2),0))/2,2))</f>
        <v/>
      </c>
      <c r="I649" s="10">
        <f>Ekstra!U649</f>
        <v/>
      </c>
      <c r="J649" s="18">
        <f>IF(B649="","",IF(Murid!F649="TL","TL",IF(H649="","",MIN(100,ROUND(H649+N(I649),2)))))</f>
        <v/>
      </c>
      <c r="K649" s="19">
        <f>IF(J649="","",IF(J649="TL","TL",IF(J649&gt;=80,"A",IF(J649&gt;=60,"B",IF(J649&gt;=40,"C",IF(J649&gt;=20,"D","E"))))))</f>
        <v/>
      </c>
      <c r="L649" s="15">
        <f>IF(K649="","",IF(K649="A","Cemerlang",IF(K649="B","Kepujian",IF(K649="C","Baik",IF(K649="D","Kurang Memuaskan",IF(K649="E","Tidak Memuaskan","Tidak Laksana"))))))</f>
        <v/>
      </c>
    </row>
    <row r="650">
      <c r="A650" s="15">
        <f>Murid!A650</f>
        <v/>
      </c>
      <c r="B650" s="15">
        <f>IF(Murid!B650="","",Murid!B650)</f>
        <v/>
      </c>
      <c r="C650" s="16">
        <f>IF(Murid!C650="","",Murid!C650)</f>
        <v/>
      </c>
      <c r="D650" s="15">
        <f>IF(Murid!E650="","",Murid!E650)</f>
        <v/>
      </c>
      <c r="E650" s="17">
        <f>KP!X650</f>
        <v/>
      </c>
      <c r="F650" s="17">
        <f>UB!X650</f>
        <v/>
      </c>
      <c r="G650" s="17">
        <f>SP!X650</f>
        <v/>
      </c>
      <c r="H650" s="17">
        <f>IF(COUNT(E650:G650)=0,"",ROUND((LARGE(E650:G650,1)+IF(COUNT(E650:G650)&gt;=2,LARGE(E650:G650,2),0))/2,2))</f>
        <v/>
      </c>
      <c r="I650" s="10">
        <f>Ekstra!U650</f>
        <v/>
      </c>
      <c r="J650" s="18">
        <f>IF(B650="","",IF(Murid!F650="TL","TL",IF(H650="","",MIN(100,ROUND(H650+N(I650),2)))))</f>
        <v/>
      </c>
      <c r="K650" s="19">
        <f>IF(J650="","",IF(J650="TL","TL",IF(J650&gt;=80,"A",IF(J650&gt;=60,"B",IF(J650&gt;=40,"C",IF(J650&gt;=20,"D","E"))))))</f>
        <v/>
      </c>
      <c r="L650" s="15">
        <f>IF(K650="","",IF(K650="A","Cemerlang",IF(K650="B","Kepujian",IF(K650="C","Baik",IF(K650="D","Kurang Memuaskan",IF(K650="E","Tidak Memuaskan","Tidak Laksana"))))))</f>
        <v/>
      </c>
    </row>
    <row r="651">
      <c r="A651" s="15">
        <f>Murid!A651</f>
        <v/>
      </c>
      <c r="B651" s="15">
        <f>IF(Murid!B651="","",Murid!B651)</f>
        <v/>
      </c>
      <c r="C651" s="16">
        <f>IF(Murid!C651="","",Murid!C651)</f>
        <v/>
      </c>
      <c r="D651" s="15">
        <f>IF(Murid!E651="","",Murid!E651)</f>
        <v/>
      </c>
      <c r="E651" s="17">
        <f>KP!X651</f>
        <v/>
      </c>
      <c r="F651" s="17">
        <f>UB!X651</f>
        <v/>
      </c>
      <c r="G651" s="17">
        <f>SP!X651</f>
        <v/>
      </c>
      <c r="H651" s="17">
        <f>IF(COUNT(E651:G651)=0,"",ROUND((LARGE(E651:G651,1)+IF(COUNT(E651:G651)&gt;=2,LARGE(E651:G651,2),0))/2,2))</f>
        <v/>
      </c>
      <c r="I651" s="10">
        <f>Ekstra!U651</f>
        <v/>
      </c>
      <c r="J651" s="18">
        <f>IF(B651="","",IF(Murid!F651="TL","TL",IF(H651="","",MIN(100,ROUND(H651+N(I651),2)))))</f>
        <v/>
      </c>
      <c r="K651" s="19">
        <f>IF(J651="","",IF(J651="TL","TL",IF(J651&gt;=80,"A",IF(J651&gt;=60,"B",IF(J651&gt;=40,"C",IF(J651&gt;=20,"D","E"))))))</f>
        <v/>
      </c>
      <c r="L651" s="15">
        <f>IF(K651="","",IF(K651="A","Cemerlang",IF(K651="B","Kepujian",IF(K651="C","Baik",IF(K651="D","Kurang Memuaskan",IF(K651="E","Tidak Memuaskan","Tidak Laksana"))))))</f>
        <v/>
      </c>
    </row>
    <row r="652">
      <c r="A652" s="15">
        <f>Murid!A652</f>
        <v/>
      </c>
      <c r="B652" s="15">
        <f>IF(Murid!B652="","",Murid!B652)</f>
        <v/>
      </c>
      <c r="C652" s="16">
        <f>IF(Murid!C652="","",Murid!C652)</f>
        <v/>
      </c>
      <c r="D652" s="15">
        <f>IF(Murid!E652="","",Murid!E652)</f>
        <v/>
      </c>
      <c r="E652" s="17">
        <f>KP!X652</f>
        <v/>
      </c>
      <c r="F652" s="17">
        <f>UB!X652</f>
        <v/>
      </c>
      <c r="G652" s="17">
        <f>SP!X652</f>
        <v/>
      </c>
      <c r="H652" s="17">
        <f>IF(COUNT(E652:G652)=0,"",ROUND((LARGE(E652:G652,1)+IF(COUNT(E652:G652)&gt;=2,LARGE(E652:G652,2),0))/2,2))</f>
        <v/>
      </c>
      <c r="I652" s="10">
        <f>Ekstra!U652</f>
        <v/>
      </c>
      <c r="J652" s="18">
        <f>IF(B652="","",IF(Murid!F652="TL","TL",IF(H652="","",MIN(100,ROUND(H652+N(I652),2)))))</f>
        <v/>
      </c>
      <c r="K652" s="19">
        <f>IF(J652="","",IF(J652="TL","TL",IF(J652&gt;=80,"A",IF(J652&gt;=60,"B",IF(J652&gt;=40,"C",IF(J652&gt;=20,"D","E"))))))</f>
        <v/>
      </c>
      <c r="L652" s="15">
        <f>IF(K652="","",IF(K652="A","Cemerlang",IF(K652="B","Kepujian",IF(K652="C","Baik",IF(K652="D","Kurang Memuaskan",IF(K652="E","Tidak Memuaskan","Tidak Laksana"))))))</f>
        <v/>
      </c>
    </row>
    <row r="653">
      <c r="A653" s="15">
        <f>Murid!A653</f>
        <v/>
      </c>
      <c r="B653" s="15">
        <f>IF(Murid!B653="","",Murid!B653)</f>
        <v/>
      </c>
      <c r="C653" s="16">
        <f>IF(Murid!C653="","",Murid!C653)</f>
        <v/>
      </c>
      <c r="D653" s="15">
        <f>IF(Murid!E653="","",Murid!E653)</f>
        <v/>
      </c>
      <c r="E653" s="17">
        <f>KP!X653</f>
        <v/>
      </c>
      <c r="F653" s="17">
        <f>UB!X653</f>
        <v/>
      </c>
      <c r="G653" s="17">
        <f>SP!X653</f>
        <v/>
      </c>
      <c r="H653" s="17">
        <f>IF(COUNT(E653:G653)=0,"",ROUND((LARGE(E653:G653,1)+IF(COUNT(E653:G653)&gt;=2,LARGE(E653:G653,2),0))/2,2))</f>
        <v/>
      </c>
      <c r="I653" s="10">
        <f>Ekstra!U653</f>
        <v/>
      </c>
      <c r="J653" s="18">
        <f>IF(B653="","",IF(Murid!F653="TL","TL",IF(H653="","",MIN(100,ROUND(H653+N(I653),2)))))</f>
        <v/>
      </c>
      <c r="K653" s="19">
        <f>IF(J653="","",IF(J653="TL","TL",IF(J653&gt;=80,"A",IF(J653&gt;=60,"B",IF(J653&gt;=40,"C",IF(J653&gt;=20,"D","E"))))))</f>
        <v/>
      </c>
      <c r="L653" s="15">
        <f>IF(K653="","",IF(K653="A","Cemerlang",IF(K653="B","Kepujian",IF(K653="C","Baik",IF(K653="D","Kurang Memuaskan",IF(K653="E","Tidak Memuaskan","Tidak Laksana"))))))</f>
        <v/>
      </c>
    </row>
    <row r="654">
      <c r="A654" s="15">
        <f>Murid!A654</f>
        <v/>
      </c>
      <c r="B654" s="15">
        <f>IF(Murid!B654="","",Murid!B654)</f>
        <v/>
      </c>
      <c r="C654" s="16">
        <f>IF(Murid!C654="","",Murid!C654)</f>
        <v/>
      </c>
      <c r="D654" s="15">
        <f>IF(Murid!E654="","",Murid!E654)</f>
        <v/>
      </c>
      <c r="E654" s="17">
        <f>KP!X654</f>
        <v/>
      </c>
      <c r="F654" s="17">
        <f>UB!X654</f>
        <v/>
      </c>
      <c r="G654" s="17">
        <f>SP!X654</f>
        <v/>
      </c>
      <c r="H654" s="17">
        <f>IF(COUNT(E654:G654)=0,"",ROUND((LARGE(E654:G654,1)+IF(COUNT(E654:G654)&gt;=2,LARGE(E654:G654,2),0))/2,2))</f>
        <v/>
      </c>
      <c r="I654" s="10">
        <f>Ekstra!U654</f>
        <v/>
      </c>
      <c r="J654" s="18">
        <f>IF(B654="","",IF(Murid!F654="TL","TL",IF(H654="","",MIN(100,ROUND(H654+N(I654),2)))))</f>
        <v/>
      </c>
      <c r="K654" s="19">
        <f>IF(J654="","",IF(J654="TL","TL",IF(J654&gt;=80,"A",IF(J654&gt;=60,"B",IF(J654&gt;=40,"C",IF(J654&gt;=20,"D","E"))))))</f>
        <v/>
      </c>
      <c r="L654" s="15">
        <f>IF(K654="","",IF(K654="A","Cemerlang",IF(K654="B","Kepujian",IF(K654="C","Baik",IF(K654="D","Kurang Memuaskan",IF(K654="E","Tidak Memuaskan","Tidak Laksana"))))))</f>
        <v/>
      </c>
    </row>
    <row r="655">
      <c r="A655" s="15">
        <f>Murid!A655</f>
        <v/>
      </c>
      <c r="B655" s="15">
        <f>IF(Murid!B655="","",Murid!B655)</f>
        <v/>
      </c>
      <c r="C655" s="16">
        <f>IF(Murid!C655="","",Murid!C655)</f>
        <v/>
      </c>
      <c r="D655" s="15">
        <f>IF(Murid!E655="","",Murid!E655)</f>
        <v/>
      </c>
      <c r="E655" s="17">
        <f>KP!X655</f>
        <v/>
      </c>
      <c r="F655" s="17">
        <f>UB!X655</f>
        <v/>
      </c>
      <c r="G655" s="17">
        <f>SP!X655</f>
        <v/>
      </c>
      <c r="H655" s="17">
        <f>IF(COUNT(E655:G655)=0,"",ROUND((LARGE(E655:G655,1)+IF(COUNT(E655:G655)&gt;=2,LARGE(E655:G655,2),0))/2,2))</f>
        <v/>
      </c>
      <c r="I655" s="10">
        <f>Ekstra!U655</f>
        <v/>
      </c>
      <c r="J655" s="18">
        <f>IF(B655="","",IF(Murid!F655="TL","TL",IF(H655="","",MIN(100,ROUND(H655+N(I655),2)))))</f>
        <v/>
      </c>
      <c r="K655" s="19">
        <f>IF(J655="","",IF(J655="TL","TL",IF(J655&gt;=80,"A",IF(J655&gt;=60,"B",IF(J655&gt;=40,"C",IF(J655&gt;=20,"D","E"))))))</f>
        <v/>
      </c>
      <c r="L655" s="15">
        <f>IF(K655="","",IF(K655="A","Cemerlang",IF(K655="B","Kepujian",IF(K655="C","Baik",IF(K655="D","Kurang Memuaskan",IF(K655="E","Tidak Memuaskan","Tidak Laksana"))))))</f>
        <v/>
      </c>
    </row>
    <row r="656">
      <c r="A656" s="15">
        <f>Murid!A656</f>
        <v/>
      </c>
      <c r="B656" s="15">
        <f>IF(Murid!B656="","",Murid!B656)</f>
        <v/>
      </c>
      <c r="C656" s="16">
        <f>IF(Murid!C656="","",Murid!C656)</f>
        <v/>
      </c>
      <c r="D656" s="15">
        <f>IF(Murid!E656="","",Murid!E656)</f>
        <v/>
      </c>
      <c r="E656" s="17">
        <f>KP!X656</f>
        <v/>
      </c>
      <c r="F656" s="17">
        <f>UB!X656</f>
        <v/>
      </c>
      <c r="G656" s="17">
        <f>SP!X656</f>
        <v/>
      </c>
      <c r="H656" s="17">
        <f>IF(COUNT(E656:G656)=0,"",ROUND((LARGE(E656:G656,1)+IF(COUNT(E656:G656)&gt;=2,LARGE(E656:G656,2),0))/2,2))</f>
        <v/>
      </c>
      <c r="I656" s="10">
        <f>Ekstra!U656</f>
        <v/>
      </c>
      <c r="J656" s="18">
        <f>IF(B656="","",IF(Murid!F656="TL","TL",IF(H656="","",MIN(100,ROUND(H656+N(I656),2)))))</f>
        <v/>
      </c>
      <c r="K656" s="19">
        <f>IF(J656="","",IF(J656="TL","TL",IF(J656&gt;=80,"A",IF(J656&gt;=60,"B",IF(J656&gt;=40,"C",IF(J656&gt;=20,"D","E"))))))</f>
        <v/>
      </c>
      <c r="L656" s="15">
        <f>IF(K656="","",IF(K656="A","Cemerlang",IF(K656="B","Kepujian",IF(K656="C","Baik",IF(K656="D","Kurang Memuaskan",IF(K656="E","Tidak Memuaskan","Tidak Laksana"))))))</f>
        <v/>
      </c>
    </row>
    <row r="657">
      <c r="A657" s="15">
        <f>Murid!A657</f>
        <v/>
      </c>
      <c r="B657" s="15">
        <f>IF(Murid!B657="","",Murid!B657)</f>
        <v/>
      </c>
      <c r="C657" s="16">
        <f>IF(Murid!C657="","",Murid!C657)</f>
        <v/>
      </c>
      <c r="D657" s="15">
        <f>IF(Murid!E657="","",Murid!E657)</f>
        <v/>
      </c>
      <c r="E657" s="17">
        <f>KP!X657</f>
        <v/>
      </c>
      <c r="F657" s="17">
        <f>UB!X657</f>
        <v/>
      </c>
      <c r="G657" s="17">
        <f>SP!X657</f>
        <v/>
      </c>
      <c r="H657" s="17">
        <f>IF(COUNT(E657:G657)=0,"",ROUND((LARGE(E657:G657,1)+IF(COUNT(E657:G657)&gt;=2,LARGE(E657:G657,2),0))/2,2))</f>
        <v/>
      </c>
      <c r="I657" s="10">
        <f>Ekstra!U657</f>
        <v/>
      </c>
      <c r="J657" s="18">
        <f>IF(B657="","",IF(Murid!F657="TL","TL",IF(H657="","",MIN(100,ROUND(H657+N(I657),2)))))</f>
        <v/>
      </c>
      <c r="K657" s="19">
        <f>IF(J657="","",IF(J657="TL","TL",IF(J657&gt;=80,"A",IF(J657&gt;=60,"B",IF(J657&gt;=40,"C",IF(J657&gt;=20,"D","E"))))))</f>
        <v/>
      </c>
      <c r="L657" s="15">
        <f>IF(K657="","",IF(K657="A","Cemerlang",IF(K657="B","Kepujian",IF(K657="C","Baik",IF(K657="D","Kurang Memuaskan",IF(K657="E","Tidak Memuaskan","Tidak Laksana"))))))</f>
        <v/>
      </c>
    </row>
    <row r="658">
      <c r="A658" s="15">
        <f>Murid!A658</f>
        <v/>
      </c>
      <c r="B658" s="15">
        <f>IF(Murid!B658="","",Murid!B658)</f>
        <v/>
      </c>
      <c r="C658" s="16">
        <f>IF(Murid!C658="","",Murid!C658)</f>
        <v/>
      </c>
      <c r="D658" s="15">
        <f>IF(Murid!E658="","",Murid!E658)</f>
        <v/>
      </c>
      <c r="E658" s="17">
        <f>KP!X658</f>
        <v/>
      </c>
      <c r="F658" s="17">
        <f>UB!X658</f>
        <v/>
      </c>
      <c r="G658" s="17">
        <f>SP!X658</f>
        <v/>
      </c>
      <c r="H658" s="17">
        <f>IF(COUNT(E658:G658)=0,"",ROUND((LARGE(E658:G658,1)+IF(COUNT(E658:G658)&gt;=2,LARGE(E658:G658,2),0))/2,2))</f>
        <v/>
      </c>
      <c r="I658" s="10">
        <f>Ekstra!U658</f>
        <v/>
      </c>
      <c r="J658" s="18">
        <f>IF(B658="","",IF(Murid!F658="TL","TL",IF(H658="","",MIN(100,ROUND(H658+N(I658),2)))))</f>
        <v/>
      </c>
      <c r="K658" s="19">
        <f>IF(J658="","",IF(J658="TL","TL",IF(J658&gt;=80,"A",IF(J658&gt;=60,"B",IF(J658&gt;=40,"C",IF(J658&gt;=20,"D","E"))))))</f>
        <v/>
      </c>
      <c r="L658" s="15">
        <f>IF(K658="","",IF(K658="A","Cemerlang",IF(K658="B","Kepujian",IF(K658="C","Baik",IF(K658="D","Kurang Memuaskan",IF(K658="E","Tidak Memuaskan","Tidak Laksana"))))))</f>
        <v/>
      </c>
    </row>
    <row r="659">
      <c r="A659" s="15">
        <f>Murid!A659</f>
        <v/>
      </c>
      <c r="B659" s="15">
        <f>IF(Murid!B659="","",Murid!B659)</f>
        <v/>
      </c>
      <c r="C659" s="16">
        <f>IF(Murid!C659="","",Murid!C659)</f>
        <v/>
      </c>
      <c r="D659" s="15">
        <f>IF(Murid!E659="","",Murid!E659)</f>
        <v/>
      </c>
      <c r="E659" s="17">
        <f>KP!X659</f>
        <v/>
      </c>
      <c r="F659" s="17">
        <f>UB!X659</f>
        <v/>
      </c>
      <c r="G659" s="17">
        <f>SP!X659</f>
        <v/>
      </c>
      <c r="H659" s="17">
        <f>IF(COUNT(E659:G659)=0,"",ROUND((LARGE(E659:G659,1)+IF(COUNT(E659:G659)&gt;=2,LARGE(E659:G659,2),0))/2,2))</f>
        <v/>
      </c>
      <c r="I659" s="10">
        <f>Ekstra!U659</f>
        <v/>
      </c>
      <c r="J659" s="18">
        <f>IF(B659="","",IF(Murid!F659="TL","TL",IF(H659="","",MIN(100,ROUND(H659+N(I659),2)))))</f>
        <v/>
      </c>
      <c r="K659" s="19">
        <f>IF(J659="","",IF(J659="TL","TL",IF(J659&gt;=80,"A",IF(J659&gt;=60,"B",IF(J659&gt;=40,"C",IF(J659&gt;=20,"D","E"))))))</f>
        <v/>
      </c>
      <c r="L659" s="15">
        <f>IF(K659="","",IF(K659="A","Cemerlang",IF(K659="B","Kepujian",IF(K659="C","Baik",IF(K659="D","Kurang Memuaskan",IF(K659="E","Tidak Memuaskan","Tidak Laksana"))))))</f>
        <v/>
      </c>
    </row>
    <row r="660">
      <c r="A660" s="15">
        <f>Murid!A660</f>
        <v/>
      </c>
      <c r="B660" s="15">
        <f>IF(Murid!B660="","",Murid!B660)</f>
        <v/>
      </c>
      <c r="C660" s="16">
        <f>IF(Murid!C660="","",Murid!C660)</f>
        <v/>
      </c>
      <c r="D660" s="15">
        <f>IF(Murid!E660="","",Murid!E660)</f>
        <v/>
      </c>
      <c r="E660" s="17">
        <f>KP!X660</f>
        <v/>
      </c>
      <c r="F660" s="17">
        <f>UB!X660</f>
        <v/>
      </c>
      <c r="G660" s="17">
        <f>SP!X660</f>
        <v/>
      </c>
      <c r="H660" s="17">
        <f>IF(COUNT(E660:G660)=0,"",ROUND((LARGE(E660:G660,1)+IF(COUNT(E660:G660)&gt;=2,LARGE(E660:G660,2),0))/2,2))</f>
        <v/>
      </c>
      <c r="I660" s="10">
        <f>Ekstra!U660</f>
        <v/>
      </c>
      <c r="J660" s="18">
        <f>IF(B660="","",IF(Murid!F660="TL","TL",IF(H660="","",MIN(100,ROUND(H660+N(I660),2)))))</f>
        <v/>
      </c>
      <c r="K660" s="19">
        <f>IF(J660="","",IF(J660="TL","TL",IF(J660&gt;=80,"A",IF(J660&gt;=60,"B",IF(J660&gt;=40,"C",IF(J660&gt;=20,"D","E"))))))</f>
        <v/>
      </c>
      <c r="L660" s="15">
        <f>IF(K660="","",IF(K660="A","Cemerlang",IF(K660="B","Kepujian",IF(K660="C","Baik",IF(K660="D","Kurang Memuaskan",IF(K660="E","Tidak Memuaskan","Tidak Laksana"))))))</f>
        <v/>
      </c>
    </row>
    <row r="661">
      <c r="A661" s="15">
        <f>Murid!A661</f>
        <v/>
      </c>
      <c r="B661" s="15">
        <f>IF(Murid!B661="","",Murid!B661)</f>
        <v/>
      </c>
      <c r="C661" s="16">
        <f>IF(Murid!C661="","",Murid!C661)</f>
        <v/>
      </c>
      <c r="D661" s="15">
        <f>IF(Murid!E661="","",Murid!E661)</f>
        <v/>
      </c>
      <c r="E661" s="17">
        <f>KP!X661</f>
        <v/>
      </c>
      <c r="F661" s="17">
        <f>UB!X661</f>
        <v/>
      </c>
      <c r="G661" s="17">
        <f>SP!X661</f>
        <v/>
      </c>
      <c r="H661" s="17">
        <f>IF(COUNT(E661:G661)=0,"",ROUND((LARGE(E661:G661,1)+IF(COUNT(E661:G661)&gt;=2,LARGE(E661:G661,2),0))/2,2))</f>
        <v/>
      </c>
      <c r="I661" s="10">
        <f>Ekstra!U661</f>
        <v/>
      </c>
      <c r="J661" s="18">
        <f>IF(B661="","",IF(Murid!F661="TL","TL",IF(H661="","",MIN(100,ROUND(H661+N(I661),2)))))</f>
        <v/>
      </c>
      <c r="K661" s="19">
        <f>IF(J661="","",IF(J661="TL","TL",IF(J661&gt;=80,"A",IF(J661&gt;=60,"B",IF(J661&gt;=40,"C",IF(J661&gt;=20,"D","E"))))))</f>
        <v/>
      </c>
      <c r="L661" s="15">
        <f>IF(K661="","",IF(K661="A","Cemerlang",IF(K661="B","Kepujian",IF(K661="C","Baik",IF(K661="D","Kurang Memuaskan",IF(K661="E","Tidak Memuaskan","Tidak Laksana"))))))</f>
        <v/>
      </c>
    </row>
    <row r="662">
      <c r="A662" s="15">
        <f>Murid!A662</f>
        <v/>
      </c>
      <c r="B662" s="15">
        <f>IF(Murid!B662="","",Murid!B662)</f>
        <v/>
      </c>
      <c r="C662" s="16">
        <f>IF(Murid!C662="","",Murid!C662)</f>
        <v/>
      </c>
      <c r="D662" s="15">
        <f>IF(Murid!E662="","",Murid!E662)</f>
        <v/>
      </c>
      <c r="E662" s="17">
        <f>KP!X662</f>
        <v/>
      </c>
      <c r="F662" s="17">
        <f>UB!X662</f>
        <v/>
      </c>
      <c r="G662" s="17">
        <f>SP!X662</f>
        <v/>
      </c>
      <c r="H662" s="17">
        <f>IF(COUNT(E662:G662)=0,"",ROUND((LARGE(E662:G662,1)+IF(COUNT(E662:G662)&gt;=2,LARGE(E662:G662,2),0))/2,2))</f>
        <v/>
      </c>
      <c r="I662" s="10">
        <f>Ekstra!U662</f>
        <v/>
      </c>
      <c r="J662" s="18">
        <f>IF(B662="","",IF(Murid!F662="TL","TL",IF(H662="","",MIN(100,ROUND(H662+N(I662),2)))))</f>
        <v/>
      </c>
      <c r="K662" s="19">
        <f>IF(J662="","",IF(J662="TL","TL",IF(J662&gt;=80,"A",IF(J662&gt;=60,"B",IF(J662&gt;=40,"C",IF(J662&gt;=20,"D","E"))))))</f>
        <v/>
      </c>
      <c r="L662" s="15">
        <f>IF(K662="","",IF(K662="A","Cemerlang",IF(K662="B","Kepujian",IF(K662="C","Baik",IF(K662="D","Kurang Memuaskan",IF(K662="E","Tidak Memuaskan","Tidak Laksana"))))))</f>
        <v/>
      </c>
    </row>
    <row r="663">
      <c r="A663" s="15">
        <f>Murid!A663</f>
        <v/>
      </c>
      <c r="B663" s="15">
        <f>IF(Murid!B663="","",Murid!B663)</f>
        <v/>
      </c>
      <c r="C663" s="16">
        <f>IF(Murid!C663="","",Murid!C663)</f>
        <v/>
      </c>
      <c r="D663" s="15">
        <f>IF(Murid!E663="","",Murid!E663)</f>
        <v/>
      </c>
      <c r="E663" s="17">
        <f>KP!X663</f>
        <v/>
      </c>
      <c r="F663" s="17">
        <f>UB!X663</f>
        <v/>
      </c>
      <c r="G663" s="17">
        <f>SP!X663</f>
        <v/>
      </c>
      <c r="H663" s="17">
        <f>IF(COUNT(E663:G663)=0,"",ROUND((LARGE(E663:G663,1)+IF(COUNT(E663:G663)&gt;=2,LARGE(E663:G663,2),0))/2,2))</f>
        <v/>
      </c>
      <c r="I663" s="10">
        <f>Ekstra!U663</f>
        <v/>
      </c>
      <c r="J663" s="18">
        <f>IF(B663="","",IF(Murid!F663="TL","TL",IF(H663="","",MIN(100,ROUND(H663+N(I663),2)))))</f>
        <v/>
      </c>
      <c r="K663" s="19">
        <f>IF(J663="","",IF(J663="TL","TL",IF(J663&gt;=80,"A",IF(J663&gt;=60,"B",IF(J663&gt;=40,"C",IF(J663&gt;=20,"D","E"))))))</f>
        <v/>
      </c>
      <c r="L663" s="15">
        <f>IF(K663="","",IF(K663="A","Cemerlang",IF(K663="B","Kepujian",IF(K663="C","Baik",IF(K663="D","Kurang Memuaskan",IF(K663="E","Tidak Memuaskan","Tidak Laksana"))))))</f>
        <v/>
      </c>
    </row>
    <row r="664">
      <c r="A664" s="15">
        <f>Murid!A664</f>
        <v/>
      </c>
      <c r="B664" s="15">
        <f>IF(Murid!B664="","",Murid!B664)</f>
        <v/>
      </c>
      <c r="C664" s="16">
        <f>IF(Murid!C664="","",Murid!C664)</f>
        <v/>
      </c>
      <c r="D664" s="15">
        <f>IF(Murid!E664="","",Murid!E664)</f>
        <v/>
      </c>
      <c r="E664" s="17">
        <f>KP!X664</f>
        <v/>
      </c>
      <c r="F664" s="17">
        <f>UB!X664</f>
        <v/>
      </c>
      <c r="G664" s="17">
        <f>SP!X664</f>
        <v/>
      </c>
      <c r="H664" s="17">
        <f>IF(COUNT(E664:G664)=0,"",ROUND((LARGE(E664:G664,1)+IF(COUNT(E664:G664)&gt;=2,LARGE(E664:G664,2),0))/2,2))</f>
        <v/>
      </c>
      <c r="I664" s="10">
        <f>Ekstra!U664</f>
        <v/>
      </c>
      <c r="J664" s="18">
        <f>IF(B664="","",IF(Murid!F664="TL","TL",IF(H664="","",MIN(100,ROUND(H664+N(I664),2)))))</f>
        <v/>
      </c>
      <c r="K664" s="19">
        <f>IF(J664="","",IF(J664="TL","TL",IF(J664&gt;=80,"A",IF(J664&gt;=60,"B",IF(J664&gt;=40,"C",IF(J664&gt;=20,"D","E"))))))</f>
        <v/>
      </c>
      <c r="L664" s="15">
        <f>IF(K664="","",IF(K664="A","Cemerlang",IF(K664="B","Kepujian",IF(K664="C","Baik",IF(K664="D","Kurang Memuaskan",IF(K664="E","Tidak Memuaskan","Tidak Laksana"))))))</f>
        <v/>
      </c>
    </row>
    <row r="665">
      <c r="A665" s="15">
        <f>Murid!A665</f>
        <v/>
      </c>
      <c r="B665" s="15">
        <f>IF(Murid!B665="","",Murid!B665)</f>
        <v/>
      </c>
      <c r="C665" s="16">
        <f>IF(Murid!C665="","",Murid!C665)</f>
        <v/>
      </c>
      <c r="D665" s="15">
        <f>IF(Murid!E665="","",Murid!E665)</f>
        <v/>
      </c>
      <c r="E665" s="17">
        <f>KP!X665</f>
        <v/>
      </c>
      <c r="F665" s="17">
        <f>UB!X665</f>
        <v/>
      </c>
      <c r="G665" s="17">
        <f>SP!X665</f>
        <v/>
      </c>
      <c r="H665" s="17">
        <f>IF(COUNT(E665:G665)=0,"",ROUND((LARGE(E665:G665,1)+IF(COUNT(E665:G665)&gt;=2,LARGE(E665:G665,2),0))/2,2))</f>
        <v/>
      </c>
      <c r="I665" s="10">
        <f>Ekstra!U665</f>
        <v/>
      </c>
      <c r="J665" s="18">
        <f>IF(B665="","",IF(Murid!F665="TL","TL",IF(H665="","",MIN(100,ROUND(H665+N(I665),2)))))</f>
        <v/>
      </c>
      <c r="K665" s="19">
        <f>IF(J665="","",IF(J665="TL","TL",IF(J665&gt;=80,"A",IF(J665&gt;=60,"B",IF(J665&gt;=40,"C",IF(J665&gt;=20,"D","E"))))))</f>
        <v/>
      </c>
      <c r="L665" s="15">
        <f>IF(K665="","",IF(K665="A","Cemerlang",IF(K665="B","Kepujian",IF(K665="C","Baik",IF(K665="D","Kurang Memuaskan",IF(K665="E","Tidak Memuaskan","Tidak Laksana"))))))</f>
        <v/>
      </c>
    </row>
    <row r="666">
      <c r="A666" s="15">
        <f>Murid!A666</f>
        <v/>
      </c>
      <c r="B666" s="15">
        <f>IF(Murid!B666="","",Murid!B666)</f>
        <v/>
      </c>
      <c r="C666" s="16">
        <f>IF(Murid!C666="","",Murid!C666)</f>
        <v/>
      </c>
      <c r="D666" s="15">
        <f>IF(Murid!E666="","",Murid!E666)</f>
        <v/>
      </c>
      <c r="E666" s="17">
        <f>KP!X666</f>
        <v/>
      </c>
      <c r="F666" s="17">
        <f>UB!X666</f>
        <v/>
      </c>
      <c r="G666" s="17">
        <f>SP!X666</f>
        <v/>
      </c>
      <c r="H666" s="17">
        <f>IF(COUNT(E666:G666)=0,"",ROUND((LARGE(E666:G666,1)+IF(COUNT(E666:G666)&gt;=2,LARGE(E666:G666,2),0))/2,2))</f>
        <v/>
      </c>
      <c r="I666" s="10">
        <f>Ekstra!U666</f>
        <v/>
      </c>
      <c r="J666" s="18">
        <f>IF(B666="","",IF(Murid!F666="TL","TL",IF(H666="","",MIN(100,ROUND(H666+N(I666),2)))))</f>
        <v/>
      </c>
      <c r="K666" s="19">
        <f>IF(J666="","",IF(J666="TL","TL",IF(J666&gt;=80,"A",IF(J666&gt;=60,"B",IF(J666&gt;=40,"C",IF(J666&gt;=20,"D","E"))))))</f>
        <v/>
      </c>
      <c r="L666" s="15">
        <f>IF(K666="","",IF(K666="A","Cemerlang",IF(K666="B","Kepujian",IF(K666="C","Baik",IF(K666="D","Kurang Memuaskan",IF(K666="E","Tidak Memuaskan","Tidak Laksana"))))))</f>
        <v/>
      </c>
    </row>
    <row r="667">
      <c r="A667" s="15">
        <f>Murid!A667</f>
        <v/>
      </c>
      <c r="B667" s="15">
        <f>IF(Murid!B667="","",Murid!B667)</f>
        <v/>
      </c>
      <c r="C667" s="16">
        <f>IF(Murid!C667="","",Murid!C667)</f>
        <v/>
      </c>
      <c r="D667" s="15">
        <f>IF(Murid!E667="","",Murid!E667)</f>
        <v/>
      </c>
      <c r="E667" s="17">
        <f>KP!X667</f>
        <v/>
      </c>
      <c r="F667" s="17">
        <f>UB!X667</f>
        <v/>
      </c>
      <c r="G667" s="17">
        <f>SP!X667</f>
        <v/>
      </c>
      <c r="H667" s="17">
        <f>IF(COUNT(E667:G667)=0,"",ROUND((LARGE(E667:G667,1)+IF(COUNT(E667:G667)&gt;=2,LARGE(E667:G667,2),0))/2,2))</f>
        <v/>
      </c>
      <c r="I667" s="10">
        <f>Ekstra!U667</f>
        <v/>
      </c>
      <c r="J667" s="18">
        <f>IF(B667="","",IF(Murid!F667="TL","TL",IF(H667="","",MIN(100,ROUND(H667+N(I667),2)))))</f>
        <v/>
      </c>
      <c r="K667" s="19">
        <f>IF(J667="","",IF(J667="TL","TL",IF(J667&gt;=80,"A",IF(J667&gt;=60,"B",IF(J667&gt;=40,"C",IF(J667&gt;=20,"D","E"))))))</f>
        <v/>
      </c>
      <c r="L667" s="15">
        <f>IF(K667="","",IF(K667="A","Cemerlang",IF(K667="B","Kepujian",IF(K667="C","Baik",IF(K667="D","Kurang Memuaskan",IF(K667="E","Tidak Memuaskan","Tidak Laksana"))))))</f>
        <v/>
      </c>
    </row>
    <row r="668">
      <c r="A668" s="15">
        <f>Murid!A668</f>
        <v/>
      </c>
      <c r="B668" s="15">
        <f>IF(Murid!B668="","",Murid!B668)</f>
        <v/>
      </c>
      <c r="C668" s="16">
        <f>IF(Murid!C668="","",Murid!C668)</f>
        <v/>
      </c>
      <c r="D668" s="15">
        <f>IF(Murid!E668="","",Murid!E668)</f>
        <v/>
      </c>
      <c r="E668" s="17">
        <f>KP!X668</f>
        <v/>
      </c>
      <c r="F668" s="17">
        <f>UB!X668</f>
        <v/>
      </c>
      <c r="G668" s="17">
        <f>SP!X668</f>
        <v/>
      </c>
      <c r="H668" s="17">
        <f>IF(COUNT(E668:G668)=0,"",ROUND((LARGE(E668:G668,1)+IF(COUNT(E668:G668)&gt;=2,LARGE(E668:G668,2),0))/2,2))</f>
        <v/>
      </c>
      <c r="I668" s="10">
        <f>Ekstra!U668</f>
        <v/>
      </c>
      <c r="J668" s="18">
        <f>IF(B668="","",IF(Murid!F668="TL","TL",IF(H668="","",MIN(100,ROUND(H668+N(I668),2)))))</f>
        <v/>
      </c>
      <c r="K668" s="19">
        <f>IF(J668="","",IF(J668="TL","TL",IF(J668&gt;=80,"A",IF(J668&gt;=60,"B",IF(J668&gt;=40,"C",IF(J668&gt;=20,"D","E"))))))</f>
        <v/>
      </c>
      <c r="L668" s="15">
        <f>IF(K668="","",IF(K668="A","Cemerlang",IF(K668="B","Kepujian",IF(K668="C","Baik",IF(K668="D","Kurang Memuaskan",IF(K668="E","Tidak Memuaskan","Tidak Laksana"))))))</f>
        <v/>
      </c>
    </row>
    <row r="669">
      <c r="A669" s="15">
        <f>Murid!A669</f>
        <v/>
      </c>
      <c r="B669" s="15">
        <f>IF(Murid!B669="","",Murid!B669)</f>
        <v/>
      </c>
      <c r="C669" s="16">
        <f>IF(Murid!C669="","",Murid!C669)</f>
        <v/>
      </c>
      <c r="D669" s="15">
        <f>IF(Murid!E669="","",Murid!E669)</f>
        <v/>
      </c>
      <c r="E669" s="17">
        <f>KP!X669</f>
        <v/>
      </c>
      <c r="F669" s="17">
        <f>UB!X669</f>
        <v/>
      </c>
      <c r="G669" s="17">
        <f>SP!X669</f>
        <v/>
      </c>
      <c r="H669" s="17">
        <f>IF(COUNT(E669:G669)=0,"",ROUND((LARGE(E669:G669,1)+IF(COUNT(E669:G669)&gt;=2,LARGE(E669:G669,2),0))/2,2))</f>
        <v/>
      </c>
      <c r="I669" s="10">
        <f>Ekstra!U669</f>
        <v/>
      </c>
      <c r="J669" s="18">
        <f>IF(B669="","",IF(Murid!F669="TL","TL",IF(H669="","",MIN(100,ROUND(H669+N(I669),2)))))</f>
        <v/>
      </c>
      <c r="K669" s="19">
        <f>IF(J669="","",IF(J669="TL","TL",IF(J669&gt;=80,"A",IF(J669&gt;=60,"B",IF(J669&gt;=40,"C",IF(J669&gt;=20,"D","E"))))))</f>
        <v/>
      </c>
      <c r="L669" s="15">
        <f>IF(K669="","",IF(K669="A","Cemerlang",IF(K669="B","Kepujian",IF(K669="C","Baik",IF(K669="D","Kurang Memuaskan",IF(K669="E","Tidak Memuaskan","Tidak Laksana"))))))</f>
        <v/>
      </c>
    </row>
    <row r="670">
      <c r="A670" s="15">
        <f>Murid!A670</f>
        <v/>
      </c>
      <c r="B670" s="15">
        <f>IF(Murid!B670="","",Murid!B670)</f>
        <v/>
      </c>
      <c r="C670" s="16">
        <f>IF(Murid!C670="","",Murid!C670)</f>
        <v/>
      </c>
      <c r="D670" s="15">
        <f>IF(Murid!E670="","",Murid!E670)</f>
        <v/>
      </c>
      <c r="E670" s="17">
        <f>KP!X670</f>
        <v/>
      </c>
      <c r="F670" s="17">
        <f>UB!X670</f>
        <v/>
      </c>
      <c r="G670" s="17">
        <f>SP!X670</f>
        <v/>
      </c>
      <c r="H670" s="17">
        <f>IF(COUNT(E670:G670)=0,"",ROUND((LARGE(E670:G670,1)+IF(COUNT(E670:G670)&gt;=2,LARGE(E670:G670,2),0))/2,2))</f>
        <v/>
      </c>
      <c r="I670" s="10">
        <f>Ekstra!U670</f>
        <v/>
      </c>
      <c r="J670" s="18">
        <f>IF(B670="","",IF(Murid!F670="TL","TL",IF(H670="","",MIN(100,ROUND(H670+N(I670),2)))))</f>
        <v/>
      </c>
      <c r="K670" s="19">
        <f>IF(J670="","",IF(J670="TL","TL",IF(J670&gt;=80,"A",IF(J670&gt;=60,"B",IF(J670&gt;=40,"C",IF(J670&gt;=20,"D","E"))))))</f>
        <v/>
      </c>
      <c r="L670" s="15">
        <f>IF(K670="","",IF(K670="A","Cemerlang",IF(K670="B","Kepujian",IF(K670="C","Baik",IF(K670="D","Kurang Memuaskan",IF(K670="E","Tidak Memuaskan","Tidak Laksana"))))))</f>
        <v/>
      </c>
    </row>
    <row r="671">
      <c r="A671" s="15">
        <f>Murid!A671</f>
        <v/>
      </c>
      <c r="B671" s="15">
        <f>IF(Murid!B671="","",Murid!B671)</f>
        <v/>
      </c>
      <c r="C671" s="16">
        <f>IF(Murid!C671="","",Murid!C671)</f>
        <v/>
      </c>
      <c r="D671" s="15">
        <f>IF(Murid!E671="","",Murid!E671)</f>
        <v/>
      </c>
      <c r="E671" s="17">
        <f>KP!X671</f>
        <v/>
      </c>
      <c r="F671" s="17">
        <f>UB!X671</f>
        <v/>
      </c>
      <c r="G671" s="17">
        <f>SP!X671</f>
        <v/>
      </c>
      <c r="H671" s="17">
        <f>IF(COUNT(E671:G671)=0,"",ROUND((LARGE(E671:G671,1)+IF(COUNT(E671:G671)&gt;=2,LARGE(E671:G671,2),0))/2,2))</f>
        <v/>
      </c>
      <c r="I671" s="10">
        <f>Ekstra!U671</f>
        <v/>
      </c>
      <c r="J671" s="18">
        <f>IF(B671="","",IF(Murid!F671="TL","TL",IF(H671="","",MIN(100,ROUND(H671+N(I671),2)))))</f>
        <v/>
      </c>
      <c r="K671" s="19">
        <f>IF(J671="","",IF(J671="TL","TL",IF(J671&gt;=80,"A",IF(J671&gt;=60,"B",IF(J671&gt;=40,"C",IF(J671&gt;=20,"D","E"))))))</f>
        <v/>
      </c>
      <c r="L671" s="15">
        <f>IF(K671="","",IF(K671="A","Cemerlang",IF(K671="B","Kepujian",IF(K671="C","Baik",IF(K671="D","Kurang Memuaskan",IF(K671="E","Tidak Memuaskan","Tidak Laksana"))))))</f>
        <v/>
      </c>
    </row>
    <row r="672">
      <c r="A672" s="15">
        <f>Murid!A672</f>
        <v/>
      </c>
      <c r="B672" s="15">
        <f>IF(Murid!B672="","",Murid!B672)</f>
        <v/>
      </c>
      <c r="C672" s="16">
        <f>IF(Murid!C672="","",Murid!C672)</f>
        <v/>
      </c>
      <c r="D672" s="15">
        <f>IF(Murid!E672="","",Murid!E672)</f>
        <v/>
      </c>
      <c r="E672" s="17">
        <f>KP!X672</f>
        <v/>
      </c>
      <c r="F672" s="17">
        <f>UB!X672</f>
        <v/>
      </c>
      <c r="G672" s="17">
        <f>SP!X672</f>
        <v/>
      </c>
      <c r="H672" s="17">
        <f>IF(COUNT(E672:G672)=0,"",ROUND((LARGE(E672:G672,1)+IF(COUNT(E672:G672)&gt;=2,LARGE(E672:G672,2),0))/2,2))</f>
        <v/>
      </c>
      <c r="I672" s="10">
        <f>Ekstra!U672</f>
        <v/>
      </c>
      <c r="J672" s="18">
        <f>IF(B672="","",IF(Murid!F672="TL","TL",IF(H672="","",MIN(100,ROUND(H672+N(I672),2)))))</f>
        <v/>
      </c>
      <c r="K672" s="19">
        <f>IF(J672="","",IF(J672="TL","TL",IF(J672&gt;=80,"A",IF(J672&gt;=60,"B",IF(J672&gt;=40,"C",IF(J672&gt;=20,"D","E"))))))</f>
        <v/>
      </c>
      <c r="L672" s="15">
        <f>IF(K672="","",IF(K672="A","Cemerlang",IF(K672="B","Kepujian",IF(K672="C","Baik",IF(K672="D","Kurang Memuaskan",IF(K672="E","Tidak Memuaskan","Tidak Laksana"))))))</f>
        <v/>
      </c>
    </row>
    <row r="673">
      <c r="A673" s="15">
        <f>Murid!A673</f>
        <v/>
      </c>
      <c r="B673" s="15">
        <f>IF(Murid!B673="","",Murid!B673)</f>
        <v/>
      </c>
      <c r="C673" s="16">
        <f>IF(Murid!C673="","",Murid!C673)</f>
        <v/>
      </c>
      <c r="D673" s="15">
        <f>IF(Murid!E673="","",Murid!E673)</f>
        <v/>
      </c>
      <c r="E673" s="17">
        <f>KP!X673</f>
        <v/>
      </c>
      <c r="F673" s="17">
        <f>UB!X673</f>
        <v/>
      </c>
      <c r="G673" s="17">
        <f>SP!X673</f>
        <v/>
      </c>
      <c r="H673" s="17">
        <f>IF(COUNT(E673:G673)=0,"",ROUND((LARGE(E673:G673,1)+IF(COUNT(E673:G673)&gt;=2,LARGE(E673:G673,2),0))/2,2))</f>
        <v/>
      </c>
      <c r="I673" s="10">
        <f>Ekstra!U673</f>
        <v/>
      </c>
      <c r="J673" s="18">
        <f>IF(B673="","",IF(Murid!F673="TL","TL",IF(H673="","",MIN(100,ROUND(H673+N(I673),2)))))</f>
        <v/>
      </c>
      <c r="K673" s="19">
        <f>IF(J673="","",IF(J673="TL","TL",IF(J673&gt;=80,"A",IF(J673&gt;=60,"B",IF(J673&gt;=40,"C",IF(J673&gt;=20,"D","E"))))))</f>
        <v/>
      </c>
      <c r="L673" s="15">
        <f>IF(K673="","",IF(K673="A","Cemerlang",IF(K673="B","Kepujian",IF(K673="C","Baik",IF(K673="D","Kurang Memuaskan",IF(K673="E","Tidak Memuaskan","Tidak Laksana"))))))</f>
        <v/>
      </c>
    </row>
    <row r="674">
      <c r="A674" s="15">
        <f>Murid!A674</f>
        <v/>
      </c>
      <c r="B674" s="15">
        <f>IF(Murid!B674="","",Murid!B674)</f>
        <v/>
      </c>
      <c r="C674" s="16">
        <f>IF(Murid!C674="","",Murid!C674)</f>
        <v/>
      </c>
      <c r="D674" s="15">
        <f>IF(Murid!E674="","",Murid!E674)</f>
        <v/>
      </c>
      <c r="E674" s="17">
        <f>KP!X674</f>
        <v/>
      </c>
      <c r="F674" s="17">
        <f>UB!X674</f>
        <v/>
      </c>
      <c r="G674" s="17">
        <f>SP!X674</f>
        <v/>
      </c>
      <c r="H674" s="17">
        <f>IF(COUNT(E674:G674)=0,"",ROUND((LARGE(E674:G674,1)+IF(COUNT(E674:G674)&gt;=2,LARGE(E674:G674,2),0))/2,2))</f>
        <v/>
      </c>
      <c r="I674" s="10">
        <f>Ekstra!U674</f>
        <v/>
      </c>
      <c r="J674" s="18">
        <f>IF(B674="","",IF(Murid!F674="TL","TL",IF(H674="","",MIN(100,ROUND(H674+N(I674),2)))))</f>
        <v/>
      </c>
      <c r="K674" s="19">
        <f>IF(J674="","",IF(J674="TL","TL",IF(J674&gt;=80,"A",IF(J674&gt;=60,"B",IF(J674&gt;=40,"C",IF(J674&gt;=20,"D","E"))))))</f>
        <v/>
      </c>
      <c r="L674" s="15">
        <f>IF(K674="","",IF(K674="A","Cemerlang",IF(K674="B","Kepujian",IF(K674="C","Baik",IF(K674="D","Kurang Memuaskan",IF(K674="E","Tidak Memuaskan","Tidak Laksana"))))))</f>
        <v/>
      </c>
    </row>
    <row r="675">
      <c r="A675" s="15">
        <f>Murid!A675</f>
        <v/>
      </c>
      <c r="B675" s="15">
        <f>IF(Murid!B675="","",Murid!B675)</f>
        <v/>
      </c>
      <c r="C675" s="16">
        <f>IF(Murid!C675="","",Murid!C675)</f>
        <v/>
      </c>
      <c r="D675" s="15">
        <f>IF(Murid!E675="","",Murid!E675)</f>
        <v/>
      </c>
      <c r="E675" s="17">
        <f>KP!X675</f>
        <v/>
      </c>
      <c r="F675" s="17">
        <f>UB!X675</f>
        <v/>
      </c>
      <c r="G675" s="17">
        <f>SP!X675</f>
        <v/>
      </c>
      <c r="H675" s="17">
        <f>IF(COUNT(E675:G675)=0,"",ROUND((LARGE(E675:G675,1)+IF(COUNT(E675:G675)&gt;=2,LARGE(E675:G675,2),0))/2,2))</f>
        <v/>
      </c>
      <c r="I675" s="10">
        <f>Ekstra!U675</f>
        <v/>
      </c>
      <c r="J675" s="18">
        <f>IF(B675="","",IF(Murid!F675="TL","TL",IF(H675="","",MIN(100,ROUND(H675+N(I675),2)))))</f>
        <v/>
      </c>
      <c r="K675" s="19">
        <f>IF(J675="","",IF(J675="TL","TL",IF(J675&gt;=80,"A",IF(J675&gt;=60,"B",IF(J675&gt;=40,"C",IF(J675&gt;=20,"D","E"))))))</f>
        <v/>
      </c>
      <c r="L675" s="15">
        <f>IF(K675="","",IF(K675="A","Cemerlang",IF(K675="B","Kepujian",IF(K675="C","Baik",IF(K675="D","Kurang Memuaskan",IF(K675="E","Tidak Memuaskan","Tidak Laksana"))))))</f>
        <v/>
      </c>
    </row>
    <row r="676">
      <c r="A676" s="15">
        <f>Murid!A676</f>
        <v/>
      </c>
      <c r="B676" s="15">
        <f>IF(Murid!B676="","",Murid!B676)</f>
        <v/>
      </c>
      <c r="C676" s="16">
        <f>IF(Murid!C676="","",Murid!C676)</f>
        <v/>
      </c>
      <c r="D676" s="15">
        <f>IF(Murid!E676="","",Murid!E676)</f>
        <v/>
      </c>
      <c r="E676" s="17">
        <f>KP!X676</f>
        <v/>
      </c>
      <c r="F676" s="17">
        <f>UB!X676</f>
        <v/>
      </c>
      <c r="G676" s="17">
        <f>SP!X676</f>
        <v/>
      </c>
      <c r="H676" s="17">
        <f>IF(COUNT(E676:G676)=0,"",ROUND((LARGE(E676:G676,1)+IF(COUNT(E676:G676)&gt;=2,LARGE(E676:G676,2),0))/2,2))</f>
        <v/>
      </c>
      <c r="I676" s="10">
        <f>Ekstra!U676</f>
        <v/>
      </c>
      <c r="J676" s="18">
        <f>IF(B676="","",IF(Murid!F676="TL","TL",IF(H676="","",MIN(100,ROUND(H676+N(I676),2)))))</f>
        <v/>
      </c>
      <c r="K676" s="19">
        <f>IF(J676="","",IF(J676="TL","TL",IF(J676&gt;=80,"A",IF(J676&gt;=60,"B",IF(J676&gt;=40,"C",IF(J676&gt;=20,"D","E"))))))</f>
        <v/>
      </c>
      <c r="L676" s="15">
        <f>IF(K676="","",IF(K676="A","Cemerlang",IF(K676="B","Kepujian",IF(K676="C","Baik",IF(K676="D","Kurang Memuaskan",IF(K676="E","Tidak Memuaskan","Tidak Laksana"))))))</f>
        <v/>
      </c>
    </row>
    <row r="677">
      <c r="A677" s="15">
        <f>Murid!A677</f>
        <v/>
      </c>
      <c r="B677" s="15">
        <f>IF(Murid!B677="","",Murid!B677)</f>
        <v/>
      </c>
      <c r="C677" s="16">
        <f>IF(Murid!C677="","",Murid!C677)</f>
        <v/>
      </c>
      <c r="D677" s="15">
        <f>IF(Murid!E677="","",Murid!E677)</f>
        <v/>
      </c>
      <c r="E677" s="17">
        <f>KP!X677</f>
        <v/>
      </c>
      <c r="F677" s="17">
        <f>UB!X677</f>
        <v/>
      </c>
      <c r="G677" s="17">
        <f>SP!X677</f>
        <v/>
      </c>
      <c r="H677" s="17">
        <f>IF(COUNT(E677:G677)=0,"",ROUND((LARGE(E677:G677,1)+IF(COUNT(E677:G677)&gt;=2,LARGE(E677:G677,2),0))/2,2))</f>
        <v/>
      </c>
      <c r="I677" s="10">
        <f>Ekstra!U677</f>
        <v/>
      </c>
      <c r="J677" s="18">
        <f>IF(B677="","",IF(Murid!F677="TL","TL",IF(H677="","",MIN(100,ROUND(H677+N(I677),2)))))</f>
        <v/>
      </c>
      <c r="K677" s="19">
        <f>IF(J677="","",IF(J677="TL","TL",IF(J677&gt;=80,"A",IF(J677&gt;=60,"B",IF(J677&gt;=40,"C",IF(J677&gt;=20,"D","E"))))))</f>
        <v/>
      </c>
      <c r="L677" s="15">
        <f>IF(K677="","",IF(K677="A","Cemerlang",IF(K677="B","Kepujian",IF(K677="C","Baik",IF(K677="D","Kurang Memuaskan",IF(K677="E","Tidak Memuaskan","Tidak Laksana"))))))</f>
        <v/>
      </c>
    </row>
    <row r="678">
      <c r="A678" s="15">
        <f>Murid!A678</f>
        <v/>
      </c>
      <c r="B678" s="15">
        <f>IF(Murid!B678="","",Murid!B678)</f>
        <v/>
      </c>
      <c r="C678" s="16">
        <f>IF(Murid!C678="","",Murid!C678)</f>
        <v/>
      </c>
      <c r="D678" s="15">
        <f>IF(Murid!E678="","",Murid!E678)</f>
        <v/>
      </c>
      <c r="E678" s="17">
        <f>KP!X678</f>
        <v/>
      </c>
      <c r="F678" s="17">
        <f>UB!X678</f>
        <v/>
      </c>
      <c r="G678" s="17">
        <f>SP!X678</f>
        <v/>
      </c>
      <c r="H678" s="17">
        <f>IF(COUNT(E678:G678)=0,"",ROUND((LARGE(E678:G678,1)+IF(COUNT(E678:G678)&gt;=2,LARGE(E678:G678,2),0))/2,2))</f>
        <v/>
      </c>
      <c r="I678" s="10">
        <f>Ekstra!U678</f>
        <v/>
      </c>
      <c r="J678" s="18">
        <f>IF(B678="","",IF(Murid!F678="TL","TL",IF(H678="","",MIN(100,ROUND(H678+N(I678),2)))))</f>
        <v/>
      </c>
      <c r="K678" s="19">
        <f>IF(J678="","",IF(J678="TL","TL",IF(J678&gt;=80,"A",IF(J678&gt;=60,"B",IF(J678&gt;=40,"C",IF(J678&gt;=20,"D","E"))))))</f>
        <v/>
      </c>
      <c r="L678" s="15">
        <f>IF(K678="","",IF(K678="A","Cemerlang",IF(K678="B","Kepujian",IF(K678="C","Baik",IF(K678="D","Kurang Memuaskan",IF(K678="E","Tidak Memuaskan","Tidak Laksana"))))))</f>
        <v/>
      </c>
    </row>
    <row r="679">
      <c r="A679" s="15">
        <f>Murid!A679</f>
        <v/>
      </c>
      <c r="B679" s="15">
        <f>IF(Murid!B679="","",Murid!B679)</f>
        <v/>
      </c>
      <c r="C679" s="16">
        <f>IF(Murid!C679="","",Murid!C679)</f>
        <v/>
      </c>
      <c r="D679" s="15">
        <f>IF(Murid!E679="","",Murid!E679)</f>
        <v/>
      </c>
      <c r="E679" s="17">
        <f>KP!X679</f>
        <v/>
      </c>
      <c r="F679" s="17">
        <f>UB!X679</f>
        <v/>
      </c>
      <c r="G679" s="17">
        <f>SP!X679</f>
        <v/>
      </c>
      <c r="H679" s="17">
        <f>IF(COUNT(E679:G679)=0,"",ROUND((LARGE(E679:G679,1)+IF(COUNT(E679:G679)&gt;=2,LARGE(E679:G679,2),0))/2,2))</f>
        <v/>
      </c>
      <c r="I679" s="10">
        <f>Ekstra!U679</f>
        <v/>
      </c>
      <c r="J679" s="18">
        <f>IF(B679="","",IF(Murid!F679="TL","TL",IF(H679="","",MIN(100,ROUND(H679+N(I679),2)))))</f>
        <v/>
      </c>
      <c r="K679" s="19">
        <f>IF(J679="","",IF(J679="TL","TL",IF(J679&gt;=80,"A",IF(J679&gt;=60,"B",IF(J679&gt;=40,"C",IF(J679&gt;=20,"D","E"))))))</f>
        <v/>
      </c>
      <c r="L679" s="15">
        <f>IF(K679="","",IF(K679="A","Cemerlang",IF(K679="B","Kepujian",IF(K679="C","Baik",IF(K679="D","Kurang Memuaskan",IF(K679="E","Tidak Memuaskan","Tidak Laksana"))))))</f>
        <v/>
      </c>
    </row>
    <row r="680">
      <c r="A680" s="15">
        <f>Murid!A680</f>
        <v/>
      </c>
      <c r="B680" s="15">
        <f>IF(Murid!B680="","",Murid!B680)</f>
        <v/>
      </c>
      <c r="C680" s="16">
        <f>IF(Murid!C680="","",Murid!C680)</f>
        <v/>
      </c>
      <c r="D680" s="15">
        <f>IF(Murid!E680="","",Murid!E680)</f>
        <v/>
      </c>
      <c r="E680" s="17">
        <f>KP!X680</f>
        <v/>
      </c>
      <c r="F680" s="17">
        <f>UB!X680</f>
        <v/>
      </c>
      <c r="G680" s="17">
        <f>SP!X680</f>
        <v/>
      </c>
      <c r="H680" s="17">
        <f>IF(COUNT(E680:G680)=0,"",ROUND((LARGE(E680:G680,1)+IF(COUNT(E680:G680)&gt;=2,LARGE(E680:G680,2),0))/2,2))</f>
        <v/>
      </c>
      <c r="I680" s="10">
        <f>Ekstra!U680</f>
        <v/>
      </c>
      <c r="J680" s="18">
        <f>IF(B680="","",IF(Murid!F680="TL","TL",IF(H680="","",MIN(100,ROUND(H680+N(I680),2)))))</f>
        <v/>
      </c>
      <c r="K680" s="19">
        <f>IF(J680="","",IF(J680="TL","TL",IF(J680&gt;=80,"A",IF(J680&gt;=60,"B",IF(J680&gt;=40,"C",IF(J680&gt;=20,"D","E"))))))</f>
        <v/>
      </c>
      <c r="L680" s="15">
        <f>IF(K680="","",IF(K680="A","Cemerlang",IF(K680="B","Kepujian",IF(K680="C","Baik",IF(K680="D","Kurang Memuaskan",IF(K680="E","Tidak Memuaskan","Tidak Laksana"))))))</f>
        <v/>
      </c>
    </row>
    <row r="681">
      <c r="A681" s="15">
        <f>Murid!A681</f>
        <v/>
      </c>
      <c r="B681" s="15">
        <f>IF(Murid!B681="","",Murid!B681)</f>
        <v/>
      </c>
      <c r="C681" s="16">
        <f>IF(Murid!C681="","",Murid!C681)</f>
        <v/>
      </c>
      <c r="D681" s="15">
        <f>IF(Murid!E681="","",Murid!E681)</f>
        <v/>
      </c>
      <c r="E681" s="17">
        <f>KP!X681</f>
        <v/>
      </c>
      <c r="F681" s="17">
        <f>UB!X681</f>
        <v/>
      </c>
      <c r="G681" s="17">
        <f>SP!X681</f>
        <v/>
      </c>
      <c r="H681" s="17">
        <f>IF(COUNT(E681:G681)=0,"",ROUND((LARGE(E681:G681,1)+IF(COUNT(E681:G681)&gt;=2,LARGE(E681:G681,2),0))/2,2))</f>
        <v/>
      </c>
      <c r="I681" s="10">
        <f>Ekstra!U681</f>
        <v/>
      </c>
      <c r="J681" s="18">
        <f>IF(B681="","",IF(Murid!F681="TL","TL",IF(H681="","",MIN(100,ROUND(H681+N(I681),2)))))</f>
        <v/>
      </c>
      <c r="K681" s="19">
        <f>IF(J681="","",IF(J681="TL","TL",IF(J681&gt;=80,"A",IF(J681&gt;=60,"B",IF(J681&gt;=40,"C",IF(J681&gt;=20,"D","E"))))))</f>
        <v/>
      </c>
      <c r="L681" s="15">
        <f>IF(K681="","",IF(K681="A","Cemerlang",IF(K681="B","Kepujian",IF(K681="C","Baik",IF(K681="D","Kurang Memuaskan",IF(K681="E","Tidak Memuaskan","Tidak Laksana"))))))</f>
        <v/>
      </c>
    </row>
    <row r="682">
      <c r="A682" s="15">
        <f>Murid!A682</f>
        <v/>
      </c>
      <c r="B682" s="15">
        <f>IF(Murid!B682="","",Murid!B682)</f>
        <v/>
      </c>
      <c r="C682" s="16">
        <f>IF(Murid!C682="","",Murid!C682)</f>
        <v/>
      </c>
      <c r="D682" s="15">
        <f>IF(Murid!E682="","",Murid!E682)</f>
        <v/>
      </c>
      <c r="E682" s="17">
        <f>KP!X682</f>
        <v/>
      </c>
      <c r="F682" s="17">
        <f>UB!X682</f>
        <v/>
      </c>
      <c r="G682" s="17">
        <f>SP!X682</f>
        <v/>
      </c>
      <c r="H682" s="17">
        <f>IF(COUNT(E682:G682)=0,"",ROUND((LARGE(E682:G682,1)+IF(COUNT(E682:G682)&gt;=2,LARGE(E682:G682,2),0))/2,2))</f>
        <v/>
      </c>
      <c r="I682" s="10">
        <f>Ekstra!U682</f>
        <v/>
      </c>
      <c r="J682" s="18">
        <f>IF(B682="","",IF(Murid!F682="TL","TL",IF(H682="","",MIN(100,ROUND(H682+N(I682),2)))))</f>
        <v/>
      </c>
      <c r="K682" s="19">
        <f>IF(J682="","",IF(J682="TL","TL",IF(J682&gt;=80,"A",IF(J682&gt;=60,"B",IF(J682&gt;=40,"C",IF(J682&gt;=20,"D","E"))))))</f>
        <v/>
      </c>
      <c r="L682" s="15">
        <f>IF(K682="","",IF(K682="A","Cemerlang",IF(K682="B","Kepujian",IF(K682="C","Baik",IF(K682="D","Kurang Memuaskan",IF(K682="E","Tidak Memuaskan","Tidak Laksana"))))))</f>
        <v/>
      </c>
    </row>
    <row r="683">
      <c r="A683" s="15">
        <f>Murid!A683</f>
        <v/>
      </c>
      <c r="B683" s="15">
        <f>IF(Murid!B683="","",Murid!B683)</f>
        <v/>
      </c>
      <c r="C683" s="16">
        <f>IF(Murid!C683="","",Murid!C683)</f>
        <v/>
      </c>
      <c r="D683" s="15">
        <f>IF(Murid!E683="","",Murid!E683)</f>
        <v/>
      </c>
      <c r="E683" s="17">
        <f>KP!X683</f>
        <v/>
      </c>
      <c r="F683" s="17">
        <f>UB!X683</f>
        <v/>
      </c>
      <c r="G683" s="17">
        <f>SP!X683</f>
        <v/>
      </c>
      <c r="H683" s="17">
        <f>IF(COUNT(E683:G683)=0,"",ROUND((LARGE(E683:G683,1)+IF(COUNT(E683:G683)&gt;=2,LARGE(E683:G683,2),0))/2,2))</f>
        <v/>
      </c>
      <c r="I683" s="10">
        <f>Ekstra!U683</f>
        <v/>
      </c>
      <c r="J683" s="18">
        <f>IF(B683="","",IF(Murid!F683="TL","TL",IF(H683="","",MIN(100,ROUND(H683+N(I683),2)))))</f>
        <v/>
      </c>
      <c r="K683" s="19">
        <f>IF(J683="","",IF(J683="TL","TL",IF(J683&gt;=80,"A",IF(J683&gt;=60,"B",IF(J683&gt;=40,"C",IF(J683&gt;=20,"D","E"))))))</f>
        <v/>
      </c>
      <c r="L683" s="15">
        <f>IF(K683="","",IF(K683="A","Cemerlang",IF(K683="B","Kepujian",IF(K683="C","Baik",IF(K683="D","Kurang Memuaskan",IF(K683="E","Tidak Memuaskan","Tidak Laksana"))))))</f>
        <v/>
      </c>
    </row>
    <row r="684">
      <c r="A684" s="15">
        <f>Murid!A684</f>
        <v/>
      </c>
      <c r="B684" s="15">
        <f>IF(Murid!B684="","",Murid!B684)</f>
        <v/>
      </c>
      <c r="C684" s="16">
        <f>IF(Murid!C684="","",Murid!C684)</f>
        <v/>
      </c>
      <c r="D684" s="15">
        <f>IF(Murid!E684="","",Murid!E684)</f>
        <v/>
      </c>
      <c r="E684" s="17">
        <f>KP!X684</f>
        <v/>
      </c>
      <c r="F684" s="17">
        <f>UB!X684</f>
        <v/>
      </c>
      <c r="G684" s="17">
        <f>SP!X684</f>
        <v/>
      </c>
      <c r="H684" s="17">
        <f>IF(COUNT(E684:G684)=0,"",ROUND((LARGE(E684:G684,1)+IF(COUNT(E684:G684)&gt;=2,LARGE(E684:G684,2),0))/2,2))</f>
        <v/>
      </c>
      <c r="I684" s="10">
        <f>Ekstra!U684</f>
        <v/>
      </c>
      <c r="J684" s="18">
        <f>IF(B684="","",IF(Murid!F684="TL","TL",IF(H684="","",MIN(100,ROUND(H684+N(I684),2)))))</f>
        <v/>
      </c>
      <c r="K684" s="19">
        <f>IF(J684="","",IF(J684="TL","TL",IF(J684&gt;=80,"A",IF(J684&gt;=60,"B",IF(J684&gt;=40,"C",IF(J684&gt;=20,"D","E"))))))</f>
        <v/>
      </c>
      <c r="L684" s="15">
        <f>IF(K684="","",IF(K684="A","Cemerlang",IF(K684="B","Kepujian",IF(K684="C","Baik",IF(K684="D","Kurang Memuaskan",IF(K684="E","Tidak Memuaskan","Tidak Laksana"))))))</f>
        <v/>
      </c>
    </row>
    <row r="685">
      <c r="A685" s="15">
        <f>Murid!A685</f>
        <v/>
      </c>
      <c r="B685" s="15">
        <f>IF(Murid!B685="","",Murid!B685)</f>
        <v/>
      </c>
      <c r="C685" s="16">
        <f>IF(Murid!C685="","",Murid!C685)</f>
        <v/>
      </c>
      <c r="D685" s="15">
        <f>IF(Murid!E685="","",Murid!E685)</f>
        <v/>
      </c>
      <c r="E685" s="17">
        <f>KP!X685</f>
        <v/>
      </c>
      <c r="F685" s="17">
        <f>UB!X685</f>
        <v/>
      </c>
      <c r="G685" s="17">
        <f>SP!X685</f>
        <v/>
      </c>
      <c r="H685" s="17">
        <f>IF(COUNT(E685:G685)=0,"",ROUND((LARGE(E685:G685,1)+IF(COUNT(E685:G685)&gt;=2,LARGE(E685:G685,2),0))/2,2))</f>
        <v/>
      </c>
      <c r="I685" s="10">
        <f>Ekstra!U685</f>
        <v/>
      </c>
      <c r="J685" s="18">
        <f>IF(B685="","",IF(Murid!F685="TL","TL",IF(H685="","",MIN(100,ROUND(H685+N(I685),2)))))</f>
        <v/>
      </c>
      <c r="K685" s="19">
        <f>IF(J685="","",IF(J685="TL","TL",IF(J685&gt;=80,"A",IF(J685&gt;=60,"B",IF(J685&gt;=40,"C",IF(J685&gt;=20,"D","E"))))))</f>
        <v/>
      </c>
      <c r="L685" s="15">
        <f>IF(K685="","",IF(K685="A","Cemerlang",IF(K685="B","Kepujian",IF(K685="C","Baik",IF(K685="D","Kurang Memuaskan",IF(K685="E","Tidak Memuaskan","Tidak Laksana"))))))</f>
        <v/>
      </c>
    </row>
    <row r="686">
      <c r="A686" s="15">
        <f>Murid!A686</f>
        <v/>
      </c>
      <c r="B686" s="15">
        <f>IF(Murid!B686="","",Murid!B686)</f>
        <v/>
      </c>
      <c r="C686" s="16">
        <f>IF(Murid!C686="","",Murid!C686)</f>
        <v/>
      </c>
      <c r="D686" s="15">
        <f>IF(Murid!E686="","",Murid!E686)</f>
        <v/>
      </c>
      <c r="E686" s="17">
        <f>KP!X686</f>
        <v/>
      </c>
      <c r="F686" s="17">
        <f>UB!X686</f>
        <v/>
      </c>
      <c r="G686" s="17">
        <f>SP!X686</f>
        <v/>
      </c>
      <c r="H686" s="17">
        <f>IF(COUNT(E686:G686)=0,"",ROUND((LARGE(E686:G686,1)+IF(COUNT(E686:G686)&gt;=2,LARGE(E686:G686,2),0))/2,2))</f>
        <v/>
      </c>
      <c r="I686" s="10">
        <f>Ekstra!U686</f>
        <v/>
      </c>
      <c r="J686" s="18">
        <f>IF(B686="","",IF(Murid!F686="TL","TL",IF(H686="","",MIN(100,ROUND(H686+N(I686),2)))))</f>
        <v/>
      </c>
      <c r="K686" s="19">
        <f>IF(J686="","",IF(J686="TL","TL",IF(J686&gt;=80,"A",IF(J686&gt;=60,"B",IF(J686&gt;=40,"C",IF(J686&gt;=20,"D","E"))))))</f>
        <v/>
      </c>
      <c r="L686" s="15">
        <f>IF(K686="","",IF(K686="A","Cemerlang",IF(K686="B","Kepujian",IF(K686="C","Baik",IF(K686="D","Kurang Memuaskan",IF(K686="E","Tidak Memuaskan","Tidak Laksana"))))))</f>
        <v/>
      </c>
    </row>
    <row r="687">
      <c r="A687" s="15">
        <f>Murid!A687</f>
        <v/>
      </c>
      <c r="B687" s="15">
        <f>IF(Murid!B687="","",Murid!B687)</f>
        <v/>
      </c>
      <c r="C687" s="16">
        <f>IF(Murid!C687="","",Murid!C687)</f>
        <v/>
      </c>
      <c r="D687" s="15">
        <f>IF(Murid!E687="","",Murid!E687)</f>
        <v/>
      </c>
      <c r="E687" s="17">
        <f>KP!X687</f>
        <v/>
      </c>
      <c r="F687" s="17">
        <f>UB!X687</f>
        <v/>
      </c>
      <c r="G687" s="17">
        <f>SP!X687</f>
        <v/>
      </c>
      <c r="H687" s="17">
        <f>IF(COUNT(E687:G687)=0,"",ROUND((LARGE(E687:G687,1)+IF(COUNT(E687:G687)&gt;=2,LARGE(E687:G687,2),0))/2,2))</f>
        <v/>
      </c>
      <c r="I687" s="10">
        <f>Ekstra!U687</f>
        <v/>
      </c>
      <c r="J687" s="18">
        <f>IF(B687="","",IF(Murid!F687="TL","TL",IF(H687="","",MIN(100,ROUND(H687+N(I687),2)))))</f>
        <v/>
      </c>
      <c r="K687" s="19">
        <f>IF(J687="","",IF(J687="TL","TL",IF(J687&gt;=80,"A",IF(J687&gt;=60,"B",IF(J687&gt;=40,"C",IF(J687&gt;=20,"D","E"))))))</f>
        <v/>
      </c>
      <c r="L687" s="15">
        <f>IF(K687="","",IF(K687="A","Cemerlang",IF(K687="B","Kepujian",IF(K687="C","Baik",IF(K687="D","Kurang Memuaskan",IF(K687="E","Tidak Memuaskan","Tidak Laksana"))))))</f>
        <v/>
      </c>
    </row>
    <row r="688">
      <c r="A688" s="15">
        <f>Murid!A688</f>
        <v/>
      </c>
      <c r="B688" s="15">
        <f>IF(Murid!B688="","",Murid!B688)</f>
        <v/>
      </c>
      <c r="C688" s="16">
        <f>IF(Murid!C688="","",Murid!C688)</f>
        <v/>
      </c>
      <c r="D688" s="15">
        <f>IF(Murid!E688="","",Murid!E688)</f>
        <v/>
      </c>
      <c r="E688" s="17">
        <f>KP!X688</f>
        <v/>
      </c>
      <c r="F688" s="17">
        <f>UB!X688</f>
        <v/>
      </c>
      <c r="G688" s="17">
        <f>SP!X688</f>
        <v/>
      </c>
      <c r="H688" s="17">
        <f>IF(COUNT(E688:G688)=0,"",ROUND((LARGE(E688:G688,1)+IF(COUNT(E688:G688)&gt;=2,LARGE(E688:G688,2),0))/2,2))</f>
        <v/>
      </c>
      <c r="I688" s="10">
        <f>Ekstra!U688</f>
        <v/>
      </c>
      <c r="J688" s="18">
        <f>IF(B688="","",IF(Murid!F688="TL","TL",IF(H688="","",MIN(100,ROUND(H688+N(I688),2)))))</f>
        <v/>
      </c>
      <c r="K688" s="19">
        <f>IF(J688="","",IF(J688="TL","TL",IF(J688&gt;=80,"A",IF(J688&gt;=60,"B",IF(J688&gt;=40,"C",IF(J688&gt;=20,"D","E"))))))</f>
        <v/>
      </c>
      <c r="L688" s="15">
        <f>IF(K688="","",IF(K688="A","Cemerlang",IF(K688="B","Kepujian",IF(K688="C","Baik",IF(K688="D","Kurang Memuaskan",IF(K688="E","Tidak Memuaskan","Tidak Laksana"))))))</f>
        <v/>
      </c>
    </row>
    <row r="689">
      <c r="A689" s="15">
        <f>Murid!A689</f>
        <v/>
      </c>
      <c r="B689" s="15">
        <f>IF(Murid!B689="","",Murid!B689)</f>
        <v/>
      </c>
      <c r="C689" s="16">
        <f>IF(Murid!C689="","",Murid!C689)</f>
        <v/>
      </c>
      <c r="D689" s="15">
        <f>IF(Murid!E689="","",Murid!E689)</f>
        <v/>
      </c>
      <c r="E689" s="17">
        <f>KP!X689</f>
        <v/>
      </c>
      <c r="F689" s="17">
        <f>UB!X689</f>
        <v/>
      </c>
      <c r="G689" s="17">
        <f>SP!X689</f>
        <v/>
      </c>
      <c r="H689" s="17">
        <f>IF(COUNT(E689:G689)=0,"",ROUND((LARGE(E689:G689,1)+IF(COUNT(E689:G689)&gt;=2,LARGE(E689:G689,2),0))/2,2))</f>
        <v/>
      </c>
      <c r="I689" s="10">
        <f>Ekstra!U689</f>
        <v/>
      </c>
      <c r="J689" s="18">
        <f>IF(B689="","",IF(Murid!F689="TL","TL",IF(H689="","",MIN(100,ROUND(H689+N(I689),2)))))</f>
        <v/>
      </c>
      <c r="K689" s="19">
        <f>IF(J689="","",IF(J689="TL","TL",IF(J689&gt;=80,"A",IF(J689&gt;=60,"B",IF(J689&gt;=40,"C",IF(J689&gt;=20,"D","E"))))))</f>
        <v/>
      </c>
      <c r="L689" s="15">
        <f>IF(K689="","",IF(K689="A","Cemerlang",IF(K689="B","Kepujian",IF(K689="C","Baik",IF(K689="D","Kurang Memuaskan",IF(K689="E","Tidak Memuaskan","Tidak Laksana"))))))</f>
        <v/>
      </c>
    </row>
    <row r="690">
      <c r="A690" s="15">
        <f>Murid!A690</f>
        <v/>
      </c>
      <c r="B690" s="15">
        <f>IF(Murid!B690="","",Murid!B690)</f>
        <v/>
      </c>
      <c r="C690" s="16">
        <f>IF(Murid!C690="","",Murid!C690)</f>
        <v/>
      </c>
      <c r="D690" s="15">
        <f>IF(Murid!E690="","",Murid!E690)</f>
        <v/>
      </c>
      <c r="E690" s="17">
        <f>KP!X690</f>
        <v/>
      </c>
      <c r="F690" s="17">
        <f>UB!X690</f>
        <v/>
      </c>
      <c r="G690" s="17">
        <f>SP!X690</f>
        <v/>
      </c>
      <c r="H690" s="17">
        <f>IF(COUNT(E690:G690)=0,"",ROUND((LARGE(E690:G690,1)+IF(COUNT(E690:G690)&gt;=2,LARGE(E690:G690,2),0))/2,2))</f>
        <v/>
      </c>
      <c r="I690" s="10">
        <f>Ekstra!U690</f>
        <v/>
      </c>
      <c r="J690" s="18">
        <f>IF(B690="","",IF(Murid!F690="TL","TL",IF(H690="","",MIN(100,ROUND(H690+N(I690),2)))))</f>
        <v/>
      </c>
      <c r="K690" s="19">
        <f>IF(J690="","",IF(J690="TL","TL",IF(J690&gt;=80,"A",IF(J690&gt;=60,"B",IF(J690&gt;=40,"C",IF(J690&gt;=20,"D","E"))))))</f>
        <v/>
      </c>
      <c r="L690" s="15">
        <f>IF(K690="","",IF(K690="A","Cemerlang",IF(K690="B","Kepujian",IF(K690="C","Baik",IF(K690="D","Kurang Memuaskan",IF(K690="E","Tidak Memuaskan","Tidak Laksana"))))))</f>
        <v/>
      </c>
    </row>
    <row r="691">
      <c r="A691" s="15">
        <f>Murid!A691</f>
        <v/>
      </c>
      <c r="B691" s="15">
        <f>IF(Murid!B691="","",Murid!B691)</f>
        <v/>
      </c>
      <c r="C691" s="16">
        <f>IF(Murid!C691="","",Murid!C691)</f>
        <v/>
      </c>
      <c r="D691" s="15">
        <f>IF(Murid!E691="","",Murid!E691)</f>
        <v/>
      </c>
      <c r="E691" s="17">
        <f>KP!X691</f>
        <v/>
      </c>
      <c r="F691" s="17">
        <f>UB!X691</f>
        <v/>
      </c>
      <c r="G691" s="17">
        <f>SP!X691</f>
        <v/>
      </c>
      <c r="H691" s="17">
        <f>IF(COUNT(E691:G691)=0,"",ROUND((LARGE(E691:G691,1)+IF(COUNT(E691:G691)&gt;=2,LARGE(E691:G691,2),0))/2,2))</f>
        <v/>
      </c>
      <c r="I691" s="10">
        <f>Ekstra!U691</f>
        <v/>
      </c>
      <c r="J691" s="18">
        <f>IF(B691="","",IF(Murid!F691="TL","TL",IF(H691="","",MIN(100,ROUND(H691+N(I691),2)))))</f>
        <v/>
      </c>
      <c r="K691" s="19">
        <f>IF(J691="","",IF(J691="TL","TL",IF(J691&gt;=80,"A",IF(J691&gt;=60,"B",IF(J691&gt;=40,"C",IF(J691&gt;=20,"D","E"))))))</f>
        <v/>
      </c>
      <c r="L691" s="15">
        <f>IF(K691="","",IF(K691="A","Cemerlang",IF(K691="B","Kepujian",IF(K691="C","Baik",IF(K691="D","Kurang Memuaskan",IF(K691="E","Tidak Memuaskan","Tidak Laksana"))))))</f>
        <v/>
      </c>
    </row>
    <row r="692">
      <c r="A692" s="15">
        <f>Murid!A692</f>
        <v/>
      </c>
      <c r="B692" s="15">
        <f>IF(Murid!B692="","",Murid!B692)</f>
        <v/>
      </c>
      <c r="C692" s="16">
        <f>IF(Murid!C692="","",Murid!C692)</f>
        <v/>
      </c>
      <c r="D692" s="15">
        <f>IF(Murid!E692="","",Murid!E692)</f>
        <v/>
      </c>
      <c r="E692" s="17">
        <f>KP!X692</f>
        <v/>
      </c>
      <c r="F692" s="17">
        <f>UB!X692</f>
        <v/>
      </c>
      <c r="G692" s="17">
        <f>SP!X692</f>
        <v/>
      </c>
      <c r="H692" s="17">
        <f>IF(COUNT(E692:G692)=0,"",ROUND((LARGE(E692:G692,1)+IF(COUNT(E692:G692)&gt;=2,LARGE(E692:G692,2),0))/2,2))</f>
        <v/>
      </c>
      <c r="I692" s="10">
        <f>Ekstra!U692</f>
        <v/>
      </c>
      <c r="J692" s="18">
        <f>IF(B692="","",IF(Murid!F692="TL","TL",IF(H692="","",MIN(100,ROUND(H692+N(I692),2)))))</f>
        <v/>
      </c>
      <c r="K692" s="19">
        <f>IF(J692="","",IF(J692="TL","TL",IF(J692&gt;=80,"A",IF(J692&gt;=60,"B",IF(J692&gt;=40,"C",IF(J692&gt;=20,"D","E"))))))</f>
        <v/>
      </c>
      <c r="L692" s="15">
        <f>IF(K692="","",IF(K692="A","Cemerlang",IF(K692="B","Kepujian",IF(K692="C","Baik",IF(K692="D","Kurang Memuaskan",IF(K692="E","Tidak Memuaskan","Tidak Laksana"))))))</f>
        <v/>
      </c>
    </row>
    <row r="693">
      <c r="A693" s="15">
        <f>Murid!A693</f>
        <v/>
      </c>
      <c r="B693" s="15">
        <f>IF(Murid!B693="","",Murid!B693)</f>
        <v/>
      </c>
      <c r="C693" s="16">
        <f>IF(Murid!C693="","",Murid!C693)</f>
        <v/>
      </c>
      <c r="D693" s="15">
        <f>IF(Murid!E693="","",Murid!E693)</f>
        <v/>
      </c>
      <c r="E693" s="17">
        <f>KP!X693</f>
        <v/>
      </c>
      <c r="F693" s="17">
        <f>UB!X693</f>
        <v/>
      </c>
      <c r="G693" s="17">
        <f>SP!X693</f>
        <v/>
      </c>
      <c r="H693" s="17">
        <f>IF(COUNT(E693:G693)=0,"",ROUND((LARGE(E693:G693,1)+IF(COUNT(E693:G693)&gt;=2,LARGE(E693:G693,2),0))/2,2))</f>
        <v/>
      </c>
      <c r="I693" s="10">
        <f>Ekstra!U693</f>
        <v/>
      </c>
      <c r="J693" s="18">
        <f>IF(B693="","",IF(Murid!F693="TL","TL",IF(H693="","",MIN(100,ROUND(H693+N(I693),2)))))</f>
        <v/>
      </c>
      <c r="K693" s="19">
        <f>IF(J693="","",IF(J693="TL","TL",IF(J693&gt;=80,"A",IF(J693&gt;=60,"B",IF(J693&gt;=40,"C",IF(J693&gt;=20,"D","E"))))))</f>
        <v/>
      </c>
      <c r="L693" s="15">
        <f>IF(K693="","",IF(K693="A","Cemerlang",IF(K693="B","Kepujian",IF(K693="C","Baik",IF(K693="D","Kurang Memuaskan",IF(K693="E","Tidak Memuaskan","Tidak Laksana"))))))</f>
        <v/>
      </c>
    </row>
    <row r="694">
      <c r="A694" s="15">
        <f>Murid!A694</f>
        <v/>
      </c>
      <c r="B694" s="15">
        <f>IF(Murid!B694="","",Murid!B694)</f>
        <v/>
      </c>
      <c r="C694" s="16">
        <f>IF(Murid!C694="","",Murid!C694)</f>
        <v/>
      </c>
      <c r="D694" s="15">
        <f>IF(Murid!E694="","",Murid!E694)</f>
        <v/>
      </c>
      <c r="E694" s="17">
        <f>KP!X694</f>
        <v/>
      </c>
      <c r="F694" s="17">
        <f>UB!X694</f>
        <v/>
      </c>
      <c r="G694" s="17">
        <f>SP!X694</f>
        <v/>
      </c>
      <c r="H694" s="17">
        <f>IF(COUNT(E694:G694)=0,"",ROUND((LARGE(E694:G694,1)+IF(COUNT(E694:G694)&gt;=2,LARGE(E694:G694,2),0))/2,2))</f>
        <v/>
      </c>
      <c r="I694" s="10">
        <f>Ekstra!U694</f>
        <v/>
      </c>
      <c r="J694" s="18">
        <f>IF(B694="","",IF(Murid!F694="TL","TL",IF(H694="","",MIN(100,ROUND(H694+N(I694),2)))))</f>
        <v/>
      </c>
      <c r="K694" s="19">
        <f>IF(J694="","",IF(J694="TL","TL",IF(J694&gt;=80,"A",IF(J694&gt;=60,"B",IF(J694&gt;=40,"C",IF(J694&gt;=20,"D","E"))))))</f>
        <v/>
      </c>
      <c r="L694" s="15">
        <f>IF(K694="","",IF(K694="A","Cemerlang",IF(K694="B","Kepujian",IF(K694="C","Baik",IF(K694="D","Kurang Memuaskan",IF(K694="E","Tidak Memuaskan","Tidak Laksana"))))))</f>
        <v/>
      </c>
    </row>
    <row r="695">
      <c r="A695" s="15">
        <f>Murid!A695</f>
        <v/>
      </c>
      <c r="B695" s="15">
        <f>IF(Murid!B695="","",Murid!B695)</f>
        <v/>
      </c>
      <c r="C695" s="16">
        <f>IF(Murid!C695="","",Murid!C695)</f>
        <v/>
      </c>
      <c r="D695" s="15">
        <f>IF(Murid!E695="","",Murid!E695)</f>
        <v/>
      </c>
      <c r="E695" s="17">
        <f>KP!X695</f>
        <v/>
      </c>
      <c r="F695" s="17">
        <f>UB!X695</f>
        <v/>
      </c>
      <c r="G695" s="17">
        <f>SP!X695</f>
        <v/>
      </c>
      <c r="H695" s="17">
        <f>IF(COUNT(E695:G695)=0,"",ROUND((LARGE(E695:G695,1)+IF(COUNT(E695:G695)&gt;=2,LARGE(E695:G695,2),0))/2,2))</f>
        <v/>
      </c>
      <c r="I695" s="10">
        <f>Ekstra!U695</f>
        <v/>
      </c>
      <c r="J695" s="18">
        <f>IF(B695="","",IF(Murid!F695="TL","TL",IF(H695="","",MIN(100,ROUND(H695+N(I695),2)))))</f>
        <v/>
      </c>
      <c r="K695" s="19">
        <f>IF(J695="","",IF(J695="TL","TL",IF(J695&gt;=80,"A",IF(J695&gt;=60,"B",IF(J695&gt;=40,"C",IF(J695&gt;=20,"D","E"))))))</f>
        <v/>
      </c>
      <c r="L695" s="15">
        <f>IF(K695="","",IF(K695="A","Cemerlang",IF(K695="B","Kepujian",IF(K695="C","Baik",IF(K695="D","Kurang Memuaskan",IF(K695="E","Tidak Memuaskan","Tidak Laksana"))))))</f>
        <v/>
      </c>
    </row>
    <row r="696">
      <c r="A696" s="15">
        <f>Murid!A696</f>
        <v/>
      </c>
      <c r="B696" s="15">
        <f>IF(Murid!B696="","",Murid!B696)</f>
        <v/>
      </c>
      <c r="C696" s="16">
        <f>IF(Murid!C696="","",Murid!C696)</f>
        <v/>
      </c>
      <c r="D696" s="15">
        <f>IF(Murid!E696="","",Murid!E696)</f>
        <v/>
      </c>
      <c r="E696" s="17">
        <f>KP!X696</f>
        <v/>
      </c>
      <c r="F696" s="17">
        <f>UB!X696</f>
        <v/>
      </c>
      <c r="G696" s="17">
        <f>SP!X696</f>
        <v/>
      </c>
      <c r="H696" s="17">
        <f>IF(COUNT(E696:G696)=0,"",ROUND((LARGE(E696:G696,1)+IF(COUNT(E696:G696)&gt;=2,LARGE(E696:G696,2),0))/2,2))</f>
        <v/>
      </c>
      <c r="I696" s="10">
        <f>Ekstra!U696</f>
        <v/>
      </c>
      <c r="J696" s="18">
        <f>IF(B696="","",IF(Murid!F696="TL","TL",IF(H696="","",MIN(100,ROUND(H696+N(I696),2)))))</f>
        <v/>
      </c>
      <c r="K696" s="19">
        <f>IF(J696="","",IF(J696="TL","TL",IF(J696&gt;=80,"A",IF(J696&gt;=60,"B",IF(J696&gt;=40,"C",IF(J696&gt;=20,"D","E"))))))</f>
        <v/>
      </c>
      <c r="L696" s="15">
        <f>IF(K696="","",IF(K696="A","Cemerlang",IF(K696="B","Kepujian",IF(K696="C","Baik",IF(K696="D","Kurang Memuaskan",IF(K696="E","Tidak Memuaskan","Tidak Laksana"))))))</f>
        <v/>
      </c>
    </row>
    <row r="697">
      <c r="A697" s="15">
        <f>Murid!A697</f>
        <v/>
      </c>
      <c r="B697" s="15">
        <f>IF(Murid!B697="","",Murid!B697)</f>
        <v/>
      </c>
      <c r="C697" s="16">
        <f>IF(Murid!C697="","",Murid!C697)</f>
        <v/>
      </c>
      <c r="D697" s="15">
        <f>IF(Murid!E697="","",Murid!E697)</f>
        <v/>
      </c>
      <c r="E697" s="17">
        <f>KP!X697</f>
        <v/>
      </c>
      <c r="F697" s="17">
        <f>UB!X697</f>
        <v/>
      </c>
      <c r="G697" s="17">
        <f>SP!X697</f>
        <v/>
      </c>
      <c r="H697" s="17">
        <f>IF(COUNT(E697:G697)=0,"",ROUND((LARGE(E697:G697,1)+IF(COUNT(E697:G697)&gt;=2,LARGE(E697:G697,2),0))/2,2))</f>
        <v/>
      </c>
      <c r="I697" s="10">
        <f>Ekstra!U697</f>
        <v/>
      </c>
      <c r="J697" s="18">
        <f>IF(B697="","",IF(Murid!F697="TL","TL",IF(H697="","",MIN(100,ROUND(H697+N(I697),2)))))</f>
        <v/>
      </c>
      <c r="K697" s="19">
        <f>IF(J697="","",IF(J697="TL","TL",IF(J697&gt;=80,"A",IF(J697&gt;=60,"B",IF(J697&gt;=40,"C",IF(J697&gt;=20,"D","E"))))))</f>
        <v/>
      </c>
      <c r="L697" s="15">
        <f>IF(K697="","",IF(K697="A","Cemerlang",IF(K697="B","Kepujian",IF(K697="C","Baik",IF(K697="D","Kurang Memuaskan",IF(K697="E","Tidak Memuaskan","Tidak Laksana"))))))</f>
        <v/>
      </c>
    </row>
    <row r="698">
      <c r="A698" s="15">
        <f>Murid!A698</f>
        <v/>
      </c>
      <c r="B698" s="15">
        <f>IF(Murid!B698="","",Murid!B698)</f>
        <v/>
      </c>
      <c r="C698" s="16">
        <f>IF(Murid!C698="","",Murid!C698)</f>
        <v/>
      </c>
      <c r="D698" s="15">
        <f>IF(Murid!E698="","",Murid!E698)</f>
        <v/>
      </c>
      <c r="E698" s="17">
        <f>KP!X698</f>
        <v/>
      </c>
      <c r="F698" s="17">
        <f>UB!X698</f>
        <v/>
      </c>
      <c r="G698" s="17">
        <f>SP!X698</f>
        <v/>
      </c>
      <c r="H698" s="17">
        <f>IF(COUNT(E698:G698)=0,"",ROUND((LARGE(E698:G698,1)+IF(COUNT(E698:G698)&gt;=2,LARGE(E698:G698,2),0))/2,2))</f>
        <v/>
      </c>
      <c r="I698" s="10">
        <f>Ekstra!U698</f>
        <v/>
      </c>
      <c r="J698" s="18">
        <f>IF(B698="","",IF(Murid!F698="TL","TL",IF(H698="","",MIN(100,ROUND(H698+N(I698),2)))))</f>
        <v/>
      </c>
      <c r="K698" s="19">
        <f>IF(J698="","",IF(J698="TL","TL",IF(J698&gt;=80,"A",IF(J698&gt;=60,"B",IF(J698&gt;=40,"C",IF(J698&gt;=20,"D","E"))))))</f>
        <v/>
      </c>
      <c r="L698" s="15">
        <f>IF(K698="","",IF(K698="A","Cemerlang",IF(K698="B","Kepujian",IF(K698="C","Baik",IF(K698="D","Kurang Memuaskan",IF(K698="E","Tidak Memuaskan","Tidak Laksana"))))))</f>
        <v/>
      </c>
    </row>
    <row r="699">
      <c r="A699" s="15">
        <f>Murid!A699</f>
        <v/>
      </c>
      <c r="B699" s="15">
        <f>IF(Murid!B699="","",Murid!B699)</f>
        <v/>
      </c>
      <c r="C699" s="16">
        <f>IF(Murid!C699="","",Murid!C699)</f>
        <v/>
      </c>
      <c r="D699" s="15">
        <f>IF(Murid!E699="","",Murid!E699)</f>
        <v/>
      </c>
      <c r="E699" s="17">
        <f>KP!X699</f>
        <v/>
      </c>
      <c r="F699" s="17">
        <f>UB!X699</f>
        <v/>
      </c>
      <c r="G699" s="17">
        <f>SP!X699</f>
        <v/>
      </c>
      <c r="H699" s="17">
        <f>IF(COUNT(E699:G699)=0,"",ROUND((LARGE(E699:G699,1)+IF(COUNT(E699:G699)&gt;=2,LARGE(E699:G699,2),0))/2,2))</f>
        <v/>
      </c>
      <c r="I699" s="10">
        <f>Ekstra!U699</f>
        <v/>
      </c>
      <c r="J699" s="18">
        <f>IF(B699="","",IF(Murid!F699="TL","TL",IF(H699="","",MIN(100,ROUND(H699+N(I699),2)))))</f>
        <v/>
      </c>
      <c r="K699" s="19">
        <f>IF(J699="","",IF(J699="TL","TL",IF(J699&gt;=80,"A",IF(J699&gt;=60,"B",IF(J699&gt;=40,"C",IF(J699&gt;=20,"D","E"))))))</f>
        <v/>
      </c>
      <c r="L699" s="15">
        <f>IF(K699="","",IF(K699="A","Cemerlang",IF(K699="B","Kepujian",IF(K699="C","Baik",IF(K699="D","Kurang Memuaskan",IF(K699="E","Tidak Memuaskan","Tidak Laksana"))))))</f>
        <v/>
      </c>
    </row>
    <row r="700">
      <c r="A700" s="15">
        <f>Murid!A700</f>
        <v/>
      </c>
      <c r="B700" s="15">
        <f>IF(Murid!B700="","",Murid!B700)</f>
        <v/>
      </c>
      <c r="C700" s="16">
        <f>IF(Murid!C700="","",Murid!C700)</f>
        <v/>
      </c>
      <c r="D700" s="15">
        <f>IF(Murid!E700="","",Murid!E700)</f>
        <v/>
      </c>
      <c r="E700" s="17">
        <f>KP!X700</f>
        <v/>
      </c>
      <c r="F700" s="17">
        <f>UB!X700</f>
        <v/>
      </c>
      <c r="G700" s="17">
        <f>SP!X700</f>
        <v/>
      </c>
      <c r="H700" s="17">
        <f>IF(COUNT(E700:G700)=0,"",ROUND((LARGE(E700:G700,1)+IF(COUNT(E700:G700)&gt;=2,LARGE(E700:G700,2),0))/2,2))</f>
        <v/>
      </c>
      <c r="I700" s="10">
        <f>Ekstra!U700</f>
        <v/>
      </c>
      <c r="J700" s="18">
        <f>IF(B700="","",IF(Murid!F700="TL","TL",IF(H700="","",MIN(100,ROUND(H700+N(I700),2)))))</f>
        <v/>
      </c>
      <c r="K700" s="19">
        <f>IF(J700="","",IF(J700="TL","TL",IF(J700&gt;=80,"A",IF(J700&gt;=60,"B",IF(J700&gt;=40,"C",IF(J700&gt;=20,"D","E"))))))</f>
        <v/>
      </c>
      <c r="L700" s="15">
        <f>IF(K700="","",IF(K700="A","Cemerlang",IF(K700="B","Kepujian",IF(K700="C","Baik",IF(K700="D","Kurang Memuaskan",IF(K700="E","Tidak Memuaskan","Tidak Laksana"))))))</f>
        <v/>
      </c>
    </row>
    <row r="701">
      <c r="A701" s="15">
        <f>Murid!A701</f>
        <v/>
      </c>
      <c r="B701" s="15">
        <f>IF(Murid!B701="","",Murid!B701)</f>
        <v/>
      </c>
      <c r="C701" s="16">
        <f>IF(Murid!C701="","",Murid!C701)</f>
        <v/>
      </c>
      <c r="D701" s="15">
        <f>IF(Murid!E701="","",Murid!E701)</f>
        <v/>
      </c>
      <c r="E701" s="17">
        <f>KP!X701</f>
        <v/>
      </c>
      <c r="F701" s="17">
        <f>UB!X701</f>
        <v/>
      </c>
      <c r="G701" s="17">
        <f>SP!X701</f>
        <v/>
      </c>
      <c r="H701" s="17">
        <f>IF(COUNT(E701:G701)=0,"",ROUND((LARGE(E701:G701,1)+IF(COUNT(E701:G701)&gt;=2,LARGE(E701:G701,2),0))/2,2))</f>
        <v/>
      </c>
      <c r="I701" s="10">
        <f>Ekstra!U701</f>
        <v/>
      </c>
      <c r="J701" s="18">
        <f>IF(B701="","",IF(Murid!F701="TL","TL",IF(H701="","",MIN(100,ROUND(H701+N(I701),2)))))</f>
        <v/>
      </c>
      <c r="K701" s="19">
        <f>IF(J701="","",IF(J701="TL","TL",IF(J701&gt;=80,"A",IF(J701&gt;=60,"B",IF(J701&gt;=40,"C",IF(J701&gt;=20,"D","E"))))))</f>
        <v/>
      </c>
      <c r="L701" s="15">
        <f>IF(K701="","",IF(K701="A","Cemerlang",IF(K701="B","Kepujian",IF(K701="C","Baik",IF(K701="D","Kurang Memuaskan",IF(K701="E","Tidak Memuaskan","Tidak Laksana"))))))</f>
        <v/>
      </c>
    </row>
    <row r="702">
      <c r="A702" s="15">
        <f>Murid!A702</f>
        <v/>
      </c>
      <c r="B702" s="15">
        <f>IF(Murid!B702="","",Murid!B702)</f>
        <v/>
      </c>
      <c r="C702" s="16">
        <f>IF(Murid!C702="","",Murid!C702)</f>
        <v/>
      </c>
      <c r="D702" s="15">
        <f>IF(Murid!E702="","",Murid!E702)</f>
        <v/>
      </c>
      <c r="E702" s="17">
        <f>KP!X702</f>
        <v/>
      </c>
      <c r="F702" s="17">
        <f>UB!X702</f>
        <v/>
      </c>
      <c r="G702" s="17">
        <f>SP!X702</f>
        <v/>
      </c>
      <c r="H702" s="17">
        <f>IF(COUNT(E702:G702)=0,"",ROUND((LARGE(E702:G702,1)+IF(COUNT(E702:G702)&gt;=2,LARGE(E702:G702,2),0))/2,2))</f>
        <v/>
      </c>
      <c r="I702" s="10">
        <f>Ekstra!U702</f>
        <v/>
      </c>
      <c r="J702" s="18">
        <f>IF(B702="","",IF(Murid!F702="TL","TL",IF(H702="","",MIN(100,ROUND(H702+N(I702),2)))))</f>
        <v/>
      </c>
      <c r="K702" s="19">
        <f>IF(J702="","",IF(J702="TL","TL",IF(J702&gt;=80,"A",IF(J702&gt;=60,"B",IF(J702&gt;=40,"C",IF(J702&gt;=20,"D","E"))))))</f>
        <v/>
      </c>
      <c r="L702" s="15">
        <f>IF(K702="","",IF(K702="A","Cemerlang",IF(K702="B","Kepujian",IF(K702="C","Baik",IF(K702="D","Kurang Memuaskan",IF(K702="E","Tidak Memuaskan","Tidak Laksana"))))))</f>
        <v/>
      </c>
    </row>
    <row r="703">
      <c r="A703" s="15">
        <f>Murid!A703</f>
        <v/>
      </c>
      <c r="B703" s="15">
        <f>IF(Murid!B703="","",Murid!B703)</f>
        <v/>
      </c>
      <c r="C703" s="16">
        <f>IF(Murid!C703="","",Murid!C703)</f>
        <v/>
      </c>
      <c r="D703" s="15">
        <f>IF(Murid!E703="","",Murid!E703)</f>
        <v/>
      </c>
      <c r="E703" s="17">
        <f>KP!X703</f>
        <v/>
      </c>
      <c r="F703" s="17">
        <f>UB!X703</f>
        <v/>
      </c>
      <c r="G703" s="17">
        <f>SP!X703</f>
        <v/>
      </c>
      <c r="H703" s="17">
        <f>IF(COUNT(E703:G703)=0,"",ROUND((LARGE(E703:G703,1)+IF(COUNT(E703:G703)&gt;=2,LARGE(E703:G703,2),0))/2,2))</f>
        <v/>
      </c>
      <c r="I703" s="10">
        <f>Ekstra!U703</f>
        <v/>
      </c>
      <c r="J703" s="18">
        <f>IF(B703="","",IF(Murid!F703="TL","TL",IF(H703="","",MIN(100,ROUND(H703+N(I703),2)))))</f>
        <v/>
      </c>
      <c r="K703" s="19">
        <f>IF(J703="","",IF(J703="TL","TL",IF(J703&gt;=80,"A",IF(J703&gt;=60,"B",IF(J703&gt;=40,"C",IF(J703&gt;=20,"D","E"))))))</f>
        <v/>
      </c>
      <c r="L703" s="15">
        <f>IF(K703="","",IF(K703="A","Cemerlang",IF(K703="B","Kepujian",IF(K703="C","Baik",IF(K703="D","Kurang Memuaskan",IF(K703="E","Tidak Memuaskan","Tidak Laksana"))))))</f>
        <v/>
      </c>
    </row>
    <row r="704">
      <c r="A704" s="15">
        <f>Murid!A704</f>
        <v/>
      </c>
      <c r="B704" s="15">
        <f>IF(Murid!B704="","",Murid!B704)</f>
        <v/>
      </c>
      <c r="C704" s="16">
        <f>IF(Murid!C704="","",Murid!C704)</f>
        <v/>
      </c>
      <c r="D704" s="15">
        <f>IF(Murid!E704="","",Murid!E704)</f>
        <v/>
      </c>
      <c r="E704" s="17">
        <f>KP!X704</f>
        <v/>
      </c>
      <c r="F704" s="17">
        <f>UB!X704</f>
        <v/>
      </c>
      <c r="G704" s="17">
        <f>SP!X704</f>
        <v/>
      </c>
      <c r="H704" s="17">
        <f>IF(COUNT(E704:G704)=0,"",ROUND((LARGE(E704:G704,1)+IF(COUNT(E704:G704)&gt;=2,LARGE(E704:G704,2),0))/2,2))</f>
        <v/>
      </c>
      <c r="I704" s="10">
        <f>Ekstra!U704</f>
        <v/>
      </c>
      <c r="J704" s="18">
        <f>IF(B704="","",IF(Murid!F704="TL","TL",IF(H704="","",MIN(100,ROUND(H704+N(I704),2)))))</f>
        <v/>
      </c>
      <c r="K704" s="19">
        <f>IF(J704="","",IF(J704="TL","TL",IF(J704&gt;=80,"A",IF(J704&gt;=60,"B",IF(J704&gt;=40,"C",IF(J704&gt;=20,"D","E"))))))</f>
        <v/>
      </c>
      <c r="L704" s="15">
        <f>IF(K704="","",IF(K704="A","Cemerlang",IF(K704="B","Kepujian",IF(K704="C","Baik",IF(K704="D","Kurang Memuaskan",IF(K704="E","Tidak Memuaskan","Tidak Laksana"))))))</f>
        <v/>
      </c>
    </row>
    <row r="705">
      <c r="A705" s="15">
        <f>Murid!A705</f>
        <v/>
      </c>
      <c r="B705" s="15">
        <f>IF(Murid!B705="","",Murid!B705)</f>
        <v/>
      </c>
      <c r="C705" s="16">
        <f>IF(Murid!C705="","",Murid!C705)</f>
        <v/>
      </c>
      <c r="D705" s="15">
        <f>IF(Murid!E705="","",Murid!E705)</f>
        <v/>
      </c>
      <c r="E705" s="17">
        <f>KP!X705</f>
        <v/>
      </c>
      <c r="F705" s="17">
        <f>UB!X705</f>
        <v/>
      </c>
      <c r="G705" s="17">
        <f>SP!X705</f>
        <v/>
      </c>
      <c r="H705" s="17">
        <f>IF(COUNT(E705:G705)=0,"",ROUND((LARGE(E705:G705,1)+IF(COUNT(E705:G705)&gt;=2,LARGE(E705:G705,2),0))/2,2))</f>
        <v/>
      </c>
      <c r="I705" s="10">
        <f>Ekstra!U705</f>
        <v/>
      </c>
      <c r="J705" s="18">
        <f>IF(B705="","",IF(Murid!F705="TL","TL",IF(H705="","",MIN(100,ROUND(H705+N(I705),2)))))</f>
        <v/>
      </c>
      <c r="K705" s="19">
        <f>IF(J705="","",IF(J705="TL","TL",IF(J705&gt;=80,"A",IF(J705&gt;=60,"B",IF(J705&gt;=40,"C",IF(J705&gt;=20,"D","E"))))))</f>
        <v/>
      </c>
      <c r="L705" s="15">
        <f>IF(K705="","",IF(K705="A","Cemerlang",IF(K705="B","Kepujian",IF(K705="C","Baik",IF(K705="D","Kurang Memuaskan",IF(K705="E","Tidak Memuaskan","Tidak Laksana"))))))</f>
        <v/>
      </c>
    </row>
    <row r="706">
      <c r="A706" s="15">
        <f>Murid!A706</f>
        <v/>
      </c>
      <c r="B706" s="15">
        <f>IF(Murid!B706="","",Murid!B706)</f>
        <v/>
      </c>
      <c r="C706" s="16">
        <f>IF(Murid!C706="","",Murid!C706)</f>
        <v/>
      </c>
      <c r="D706" s="15">
        <f>IF(Murid!E706="","",Murid!E706)</f>
        <v/>
      </c>
      <c r="E706" s="17">
        <f>KP!X706</f>
        <v/>
      </c>
      <c r="F706" s="17">
        <f>UB!X706</f>
        <v/>
      </c>
      <c r="G706" s="17">
        <f>SP!X706</f>
        <v/>
      </c>
      <c r="H706" s="17">
        <f>IF(COUNT(E706:G706)=0,"",ROUND((LARGE(E706:G706,1)+IF(COUNT(E706:G706)&gt;=2,LARGE(E706:G706,2),0))/2,2))</f>
        <v/>
      </c>
      <c r="I706" s="10">
        <f>Ekstra!U706</f>
        <v/>
      </c>
      <c r="J706" s="18">
        <f>IF(B706="","",IF(Murid!F706="TL","TL",IF(H706="","",MIN(100,ROUND(H706+N(I706),2)))))</f>
        <v/>
      </c>
      <c r="K706" s="19">
        <f>IF(J706="","",IF(J706="TL","TL",IF(J706&gt;=80,"A",IF(J706&gt;=60,"B",IF(J706&gt;=40,"C",IF(J706&gt;=20,"D","E"))))))</f>
        <v/>
      </c>
      <c r="L706" s="15">
        <f>IF(K706="","",IF(K706="A","Cemerlang",IF(K706="B","Kepujian",IF(K706="C","Baik",IF(K706="D","Kurang Memuaskan",IF(K706="E","Tidak Memuaskan","Tidak Laksana"))))))</f>
        <v/>
      </c>
    </row>
    <row r="707">
      <c r="A707" s="15">
        <f>Murid!A707</f>
        <v/>
      </c>
      <c r="B707" s="15">
        <f>IF(Murid!B707="","",Murid!B707)</f>
        <v/>
      </c>
      <c r="C707" s="16">
        <f>IF(Murid!C707="","",Murid!C707)</f>
        <v/>
      </c>
      <c r="D707" s="15">
        <f>IF(Murid!E707="","",Murid!E707)</f>
        <v/>
      </c>
      <c r="E707" s="17">
        <f>KP!X707</f>
        <v/>
      </c>
      <c r="F707" s="17">
        <f>UB!X707</f>
        <v/>
      </c>
      <c r="G707" s="17">
        <f>SP!X707</f>
        <v/>
      </c>
      <c r="H707" s="17">
        <f>IF(COUNT(E707:G707)=0,"",ROUND((LARGE(E707:G707,1)+IF(COUNT(E707:G707)&gt;=2,LARGE(E707:G707,2),0))/2,2))</f>
        <v/>
      </c>
      <c r="I707" s="10">
        <f>Ekstra!U707</f>
        <v/>
      </c>
      <c r="J707" s="18">
        <f>IF(B707="","",IF(Murid!F707="TL","TL",IF(H707="","",MIN(100,ROUND(H707+N(I707),2)))))</f>
        <v/>
      </c>
      <c r="K707" s="19">
        <f>IF(J707="","",IF(J707="TL","TL",IF(J707&gt;=80,"A",IF(J707&gt;=60,"B",IF(J707&gt;=40,"C",IF(J707&gt;=20,"D","E"))))))</f>
        <v/>
      </c>
      <c r="L707" s="15">
        <f>IF(K707="","",IF(K707="A","Cemerlang",IF(K707="B","Kepujian",IF(K707="C","Baik",IF(K707="D","Kurang Memuaskan",IF(K707="E","Tidak Memuaskan","Tidak Laksana"))))))</f>
        <v/>
      </c>
    </row>
    <row r="708">
      <c r="A708" s="15">
        <f>Murid!A708</f>
        <v/>
      </c>
      <c r="B708" s="15">
        <f>IF(Murid!B708="","",Murid!B708)</f>
        <v/>
      </c>
      <c r="C708" s="16">
        <f>IF(Murid!C708="","",Murid!C708)</f>
        <v/>
      </c>
      <c r="D708" s="15">
        <f>IF(Murid!E708="","",Murid!E708)</f>
        <v/>
      </c>
      <c r="E708" s="17">
        <f>KP!X708</f>
        <v/>
      </c>
      <c r="F708" s="17">
        <f>UB!X708</f>
        <v/>
      </c>
      <c r="G708" s="17">
        <f>SP!X708</f>
        <v/>
      </c>
      <c r="H708" s="17">
        <f>IF(COUNT(E708:G708)=0,"",ROUND((LARGE(E708:G708,1)+IF(COUNT(E708:G708)&gt;=2,LARGE(E708:G708,2),0))/2,2))</f>
        <v/>
      </c>
      <c r="I708" s="10">
        <f>Ekstra!U708</f>
        <v/>
      </c>
      <c r="J708" s="18">
        <f>IF(B708="","",IF(Murid!F708="TL","TL",IF(H708="","",MIN(100,ROUND(H708+N(I708),2)))))</f>
        <v/>
      </c>
      <c r="K708" s="19">
        <f>IF(J708="","",IF(J708="TL","TL",IF(J708&gt;=80,"A",IF(J708&gt;=60,"B",IF(J708&gt;=40,"C",IF(J708&gt;=20,"D","E"))))))</f>
        <v/>
      </c>
      <c r="L708" s="15">
        <f>IF(K708="","",IF(K708="A","Cemerlang",IF(K708="B","Kepujian",IF(K708="C","Baik",IF(K708="D","Kurang Memuaskan",IF(K708="E","Tidak Memuaskan","Tidak Laksana"))))))</f>
        <v/>
      </c>
    </row>
    <row r="709">
      <c r="A709" s="15">
        <f>Murid!A709</f>
        <v/>
      </c>
      <c r="B709" s="15">
        <f>IF(Murid!B709="","",Murid!B709)</f>
        <v/>
      </c>
      <c r="C709" s="16">
        <f>IF(Murid!C709="","",Murid!C709)</f>
        <v/>
      </c>
      <c r="D709" s="15">
        <f>IF(Murid!E709="","",Murid!E709)</f>
        <v/>
      </c>
      <c r="E709" s="17">
        <f>KP!X709</f>
        <v/>
      </c>
      <c r="F709" s="17">
        <f>UB!X709</f>
        <v/>
      </c>
      <c r="G709" s="17">
        <f>SP!X709</f>
        <v/>
      </c>
      <c r="H709" s="17">
        <f>IF(COUNT(E709:G709)=0,"",ROUND((LARGE(E709:G709,1)+IF(COUNT(E709:G709)&gt;=2,LARGE(E709:G709,2),0))/2,2))</f>
        <v/>
      </c>
      <c r="I709" s="10">
        <f>Ekstra!U709</f>
        <v/>
      </c>
      <c r="J709" s="18">
        <f>IF(B709="","",IF(Murid!F709="TL","TL",IF(H709="","",MIN(100,ROUND(H709+N(I709),2)))))</f>
        <v/>
      </c>
      <c r="K709" s="19">
        <f>IF(J709="","",IF(J709="TL","TL",IF(J709&gt;=80,"A",IF(J709&gt;=60,"B",IF(J709&gt;=40,"C",IF(J709&gt;=20,"D","E"))))))</f>
        <v/>
      </c>
      <c r="L709" s="15">
        <f>IF(K709="","",IF(K709="A","Cemerlang",IF(K709="B","Kepujian",IF(K709="C","Baik",IF(K709="D","Kurang Memuaskan",IF(K709="E","Tidak Memuaskan","Tidak Laksana"))))))</f>
        <v/>
      </c>
    </row>
    <row r="710">
      <c r="A710" s="15">
        <f>Murid!A710</f>
        <v/>
      </c>
      <c r="B710" s="15">
        <f>IF(Murid!B710="","",Murid!B710)</f>
        <v/>
      </c>
      <c r="C710" s="16">
        <f>IF(Murid!C710="","",Murid!C710)</f>
        <v/>
      </c>
      <c r="D710" s="15">
        <f>IF(Murid!E710="","",Murid!E710)</f>
        <v/>
      </c>
      <c r="E710" s="17">
        <f>KP!X710</f>
        <v/>
      </c>
      <c r="F710" s="17">
        <f>UB!X710</f>
        <v/>
      </c>
      <c r="G710" s="17">
        <f>SP!X710</f>
        <v/>
      </c>
      <c r="H710" s="17">
        <f>IF(COUNT(E710:G710)=0,"",ROUND((LARGE(E710:G710,1)+IF(COUNT(E710:G710)&gt;=2,LARGE(E710:G710,2),0))/2,2))</f>
        <v/>
      </c>
      <c r="I710" s="10">
        <f>Ekstra!U710</f>
        <v/>
      </c>
      <c r="J710" s="18">
        <f>IF(B710="","",IF(Murid!F710="TL","TL",IF(H710="","",MIN(100,ROUND(H710+N(I710),2)))))</f>
        <v/>
      </c>
      <c r="K710" s="19">
        <f>IF(J710="","",IF(J710="TL","TL",IF(J710&gt;=80,"A",IF(J710&gt;=60,"B",IF(J710&gt;=40,"C",IF(J710&gt;=20,"D","E"))))))</f>
        <v/>
      </c>
      <c r="L710" s="15">
        <f>IF(K710="","",IF(K710="A","Cemerlang",IF(K710="B","Kepujian",IF(K710="C","Baik",IF(K710="D","Kurang Memuaskan",IF(K710="E","Tidak Memuaskan","Tidak Laksana"))))))</f>
        <v/>
      </c>
    </row>
    <row r="711">
      <c r="A711" s="15">
        <f>Murid!A711</f>
        <v/>
      </c>
      <c r="B711" s="15">
        <f>IF(Murid!B711="","",Murid!B711)</f>
        <v/>
      </c>
      <c r="C711" s="16">
        <f>IF(Murid!C711="","",Murid!C711)</f>
        <v/>
      </c>
      <c r="D711" s="15">
        <f>IF(Murid!E711="","",Murid!E711)</f>
        <v/>
      </c>
      <c r="E711" s="17">
        <f>KP!X711</f>
        <v/>
      </c>
      <c r="F711" s="17">
        <f>UB!X711</f>
        <v/>
      </c>
      <c r="G711" s="17">
        <f>SP!X711</f>
        <v/>
      </c>
      <c r="H711" s="17">
        <f>IF(COUNT(E711:G711)=0,"",ROUND((LARGE(E711:G711,1)+IF(COUNT(E711:G711)&gt;=2,LARGE(E711:G711,2),0))/2,2))</f>
        <v/>
      </c>
      <c r="I711" s="10">
        <f>Ekstra!U711</f>
        <v/>
      </c>
      <c r="J711" s="18">
        <f>IF(B711="","",IF(Murid!F711="TL","TL",IF(H711="","",MIN(100,ROUND(H711+N(I711),2)))))</f>
        <v/>
      </c>
      <c r="K711" s="19">
        <f>IF(J711="","",IF(J711="TL","TL",IF(J711&gt;=80,"A",IF(J711&gt;=60,"B",IF(J711&gt;=40,"C",IF(J711&gt;=20,"D","E"))))))</f>
        <v/>
      </c>
      <c r="L711" s="15">
        <f>IF(K711="","",IF(K711="A","Cemerlang",IF(K711="B","Kepujian",IF(K711="C","Baik",IF(K711="D","Kurang Memuaskan",IF(K711="E","Tidak Memuaskan","Tidak Laksana"))))))</f>
        <v/>
      </c>
    </row>
    <row r="712">
      <c r="A712" s="15">
        <f>Murid!A712</f>
        <v/>
      </c>
      <c r="B712" s="15">
        <f>IF(Murid!B712="","",Murid!B712)</f>
        <v/>
      </c>
      <c r="C712" s="16">
        <f>IF(Murid!C712="","",Murid!C712)</f>
        <v/>
      </c>
      <c r="D712" s="15">
        <f>IF(Murid!E712="","",Murid!E712)</f>
        <v/>
      </c>
      <c r="E712" s="17">
        <f>KP!X712</f>
        <v/>
      </c>
      <c r="F712" s="17">
        <f>UB!X712</f>
        <v/>
      </c>
      <c r="G712" s="17">
        <f>SP!X712</f>
        <v/>
      </c>
      <c r="H712" s="17">
        <f>IF(COUNT(E712:G712)=0,"",ROUND((LARGE(E712:G712,1)+IF(COUNT(E712:G712)&gt;=2,LARGE(E712:G712,2),0))/2,2))</f>
        <v/>
      </c>
      <c r="I712" s="10">
        <f>Ekstra!U712</f>
        <v/>
      </c>
      <c r="J712" s="18">
        <f>IF(B712="","",IF(Murid!F712="TL","TL",IF(H712="","",MIN(100,ROUND(H712+N(I712),2)))))</f>
        <v/>
      </c>
      <c r="K712" s="19">
        <f>IF(J712="","",IF(J712="TL","TL",IF(J712&gt;=80,"A",IF(J712&gt;=60,"B",IF(J712&gt;=40,"C",IF(J712&gt;=20,"D","E"))))))</f>
        <v/>
      </c>
      <c r="L712" s="15">
        <f>IF(K712="","",IF(K712="A","Cemerlang",IF(K712="B","Kepujian",IF(K712="C","Baik",IF(K712="D","Kurang Memuaskan",IF(K712="E","Tidak Memuaskan","Tidak Laksana"))))))</f>
        <v/>
      </c>
    </row>
    <row r="713">
      <c r="A713" s="15">
        <f>Murid!A713</f>
        <v/>
      </c>
      <c r="B713" s="15">
        <f>IF(Murid!B713="","",Murid!B713)</f>
        <v/>
      </c>
      <c r="C713" s="16">
        <f>IF(Murid!C713="","",Murid!C713)</f>
        <v/>
      </c>
      <c r="D713" s="15">
        <f>IF(Murid!E713="","",Murid!E713)</f>
        <v/>
      </c>
      <c r="E713" s="17">
        <f>KP!X713</f>
        <v/>
      </c>
      <c r="F713" s="17">
        <f>UB!X713</f>
        <v/>
      </c>
      <c r="G713" s="17">
        <f>SP!X713</f>
        <v/>
      </c>
      <c r="H713" s="17">
        <f>IF(COUNT(E713:G713)=0,"",ROUND((LARGE(E713:G713,1)+IF(COUNT(E713:G713)&gt;=2,LARGE(E713:G713,2),0))/2,2))</f>
        <v/>
      </c>
      <c r="I713" s="10">
        <f>Ekstra!U713</f>
        <v/>
      </c>
      <c r="J713" s="18">
        <f>IF(B713="","",IF(Murid!F713="TL","TL",IF(H713="","",MIN(100,ROUND(H713+N(I713),2)))))</f>
        <v/>
      </c>
      <c r="K713" s="19">
        <f>IF(J713="","",IF(J713="TL","TL",IF(J713&gt;=80,"A",IF(J713&gt;=60,"B",IF(J713&gt;=40,"C",IF(J713&gt;=20,"D","E"))))))</f>
        <v/>
      </c>
      <c r="L713" s="15">
        <f>IF(K713="","",IF(K713="A","Cemerlang",IF(K713="B","Kepujian",IF(K713="C","Baik",IF(K713="D","Kurang Memuaskan",IF(K713="E","Tidak Memuaskan","Tidak Laksana"))))))</f>
        <v/>
      </c>
    </row>
    <row r="714">
      <c r="A714" s="15">
        <f>Murid!A714</f>
        <v/>
      </c>
      <c r="B714" s="15">
        <f>IF(Murid!B714="","",Murid!B714)</f>
        <v/>
      </c>
      <c r="C714" s="16">
        <f>IF(Murid!C714="","",Murid!C714)</f>
        <v/>
      </c>
      <c r="D714" s="15">
        <f>IF(Murid!E714="","",Murid!E714)</f>
        <v/>
      </c>
      <c r="E714" s="17">
        <f>KP!X714</f>
        <v/>
      </c>
      <c r="F714" s="17">
        <f>UB!X714</f>
        <v/>
      </c>
      <c r="G714" s="17">
        <f>SP!X714</f>
        <v/>
      </c>
      <c r="H714" s="17">
        <f>IF(COUNT(E714:G714)=0,"",ROUND((LARGE(E714:G714,1)+IF(COUNT(E714:G714)&gt;=2,LARGE(E714:G714,2),0))/2,2))</f>
        <v/>
      </c>
      <c r="I714" s="10">
        <f>Ekstra!U714</f>
        <v/>
      </c>
      <c r="J714" s="18">
        <f>IF(B714="","",IF(Murid!F714="TL","TL",IF(H714="","",MIN(100,ROUND(H714+N(I714),2)))))</f>
        <v/>
      </c>
      <c r="K714" s="19">
        <f>IF(J714="","",IF(J714="TL","TL",IF(J714&gt;=80,"A",IF(J714&gt;=60,"B",IF(J714&gt;=40,"C",IF(J714&gt;=20,"D","E"))))))</f>
        <v/>
      </c>
      <c r="L714" s="15">
        <f>IF(K714="","",IF(K714="A","Cemerlang",IF(K714="B","Kepujian",IF(K714="C","Baik",IF(K714="D","Kurang Memuaskan",IF(K714="E","Tidak Memuaskan","Tidak Laksana"))))))</f>
        <v/>
      </c>
    </row>
    <row r="715">
      <c r="A715" s="15">
        <f>Murid!A715</f>
        <v/>
      </c>
      <c r="B715" s="15">
        <f>IF(Murid!B715="","",Murid!B715)</f>
        <v/>
      </c>
      <c r="C715" s="16">
        <f>IF(Murid!C715="","",Murid!C715)</f>
        <v/>
      </c>
      <c r="D715" s="15">
        <f>IF(Murid!E715="","",Murid!E715)</f>
        <v/>
      </c>
      <c r="E715" s="17">
        <f>KP!X715</f>
        <v/>
      </c>
      <c r="F715" s="17">
        <f>UB!X715</f>
        <v/>
      </c>
      <c r="G715" s="17">
        <f>SP!X715</f>
        <v/>
      </c>
      <c r="H715" s="17">
        <f>IF(COUNT(E715:G715)=0,"",ROUND((LARGE(E715:G715,1)+IF(COUNT(E715:G715)&gt;=2,LARGE(E715:G715,2),0))/2,2))</f>
        <v/>
      </c>
      <c r="I715" s="10">
        <f>Ekstra!U715</f>
        <v/>
      </c>
      <c r="J715" s="18">
        <f>IF(B715="","",IF(Murid!F715="TL","TL",IF(H715="","",MIN(100,ROUND(H715+N(I715),2)))))</f>
        <v/>
      </c>
      <c r="K715" s="19">
        <f>IF(J715="","",IF(J715="TL","TL",IF(J715&gt;=80,"A",IF(J715&gt;=60,"B",IF(J715&gt;=40,"C",IF(J715&gt;=20,"D","E"))))))</f>
        <v/>
      </c>
      <c r="L715" s="15">
        <f>IF(K715="","",IF(K715="A","Cemerlang",IF(K715="B","Kepujian",IF(K715="C","Baik",IF(K715="D","Kurang Memuaskan",IF(K715="E","Tidak Memuaskan","Tidak Laksana"))))))</f>
        <v/>
      </c>
    </row>
    <row r="716">
      <c r="A716" s="15">
        <f>Murid!A716</f>
        <v/>
      </c>
      <c r="B716" s="15">
        <f>IF(Murid!B716="","",Murid!B716)</f>
        <v/>
      </c>
      <c r="C716" s="16">
        <f>IF(Murid!C716="","",Murid!C716)</f>
        <v/>
      </c>
      <c r="D716" s="15">
        <f>IF(Murid!E716="","",Murid!E716)</f>
        <v/>
      </c>
      <c r="E716" s="17">
        <f>KP!X716</f>
        <v/>
      </c>
      <c r="F716" s="17">
        <f>UB!X716</f>
        <v/>
      </c>
      <c r="G716" s="17">
        <f>SP!X716</f>
        <v/>
      </c>
      <c r="H716" s="17">
        <f>IF(COUNT(E716:G716)=0,"",ROUND((LARGE(E716:G716,1)+IF(COUNT(E716:G716)&gt;=2,LARGE(E716:G716,2),0))/2,2))</f>
        <v/>
      </c>
      <c r="I716" s="10">
        <f>Ekstra!U716</f>
        <v/>
      </c>
      <c r="J716" s="18">
        <f>IF(B716="","",IF(Murid!F716="TL","TL",IF(H716="","",MIN(100,ROUND(H716+N(I716),2)))))</f>
        <v/>
      </c>
      <c r="K716" s="19">
        <f>IF(J716="","",IF(J716="TL","TL",IF(J716&gt;=80,"A",IF(J716&gt;=60,"B",IF(J716&gt;=40,"C",IF(J716&gt;=20,"D","E"))))))</f>
        <v/>
      </c>
      <c r="L716" s="15">
        <f>IF(K716="","",IF(K716="A","Cemerlang",IF(K716="B","Kepujian",IF(K716="C","Baik",IF(K716="D","Kurang Memuaskan",IF(K716="E","Tidak Memuaskan","Tidak Laksana"))))))</f>
        <v/>
      </c>
    </row>
    <row r="717">
      <c r="A717" s="15">
        <f>Murid!A717</f>
        <v/>
      </c>
      <c r="B717" s="15">
        <f>IF(Murid!B717="","",Murid!B717)</f>
        <v/>
      </c>
      <c r="C717" s="16">
        <f>IF(Murid!C717="","",Murid!C717)</f>
        <v/>
      </c>
      <c r="D717" s="15">
        <f>IF(Murid!E717="","",Murid!E717)</f>
        <v/>
      </c>
      <c r="E717" s="17">
        <f>KP!X717</f>
        <v/>
      </c>
      <c r="F717" s="17">
        <f>UB!X717</f>
        <v/>
      </c>
      <c r="G717" s="17">
        <f>SP!X717</f>
        <v/>
      </c>
      <c r="H717" s="17">
        <f>IF(COUNT(E717:G717)=0,"",ROUND((LARGE(E717:G717,1)+IF(COUNT(E717:G717)&gt;=2,LARGE(E717:G717,2),0))/2,2))</f>
        <v/>
      </c>
      <c r="I717" s="10">
        <f>Ekstra!U717</f>
        <v/>
      </c>
      <c r="J717" s="18">
        <f>IF(B717="","",IF(Murid!F717="TL","TL",IF(H717="","",MIN(100,ROUND(H717+N(I717),2)))))</f>
        <v/>
      </c>
      <c r="K717" s="19">
        <f>IF(J717="","",IF(J717="TL","TL",IF(J717&gt;=80,"A",IF(J717&gt;=60,"B",IF(J717&gt;=40,"C",IF(J717&gt;=20,"D","E"))))))</f>
        <v/>
      </c>
      <c r="L717" s="15">
        <f>IF(K717="","",IF(K717="A","Cemerlang",IF(K717="B","Kepujian",IF(K717="C","Baik",IF(K717="D","Kurang Memuaskan",IF(K717="E","Tidak Memuaskan","Tidak Laksana"))))))</f>
        <v/>
      </c>
    </row>
    <row r="718">
      <c r="A718" s="15">
        <f>Murid!A718</f>
        <v/>
      </c>
      <c r="B718" s="15">
        <f>IF(Murid!B718="","",Murid!B718)</f>
        <v/>
      </c>
      <c r="C718" s="16">
        <f>IF(Murid!C718="","",Murid!C718)</f>
        <v/>
      </c>
      <c r="D718" s="15">
        <f>IF(Murid!E718="","",Murid!E718)</f>
        <v/>
      </c>
      <c r="E718" s="17">
        <f>KP!X718</f>
        <v/>
      </c>
      <c r="F718" s="17">
        <f>UB!X718</f>
        <v/>
      </c>
      <c r="G718" s="17">
        <f>SP!X718</f>
        <v/>
      </c>
      <c r="H718" s="17">
        <f>IF(COUNT(E718:G718)=0,"",ROUND((LARGE(E718:G718,1)+IF(COUNT(E718:G718)&gt;=2,LARGE(E718:G718,2),0))/2,2))</f>
        <v/>
      </c>
      <c r="I718" s="10">
        <f>Ekstra!U718</f>
        <v/>
      </c>
      <c r="J718" s="18">
        <f>IF(B718="","",IF(Murid!F718="TL","TL",IF(H718="","",MIN(100,ROUND(H718+N(I718),2)))))</f>
        <v/>
      </c>
      <c r="K718" s="19">
        <f>IF(J718="","",IF(J718="TL","TL",IF(J718&gt;=80,"A",IF(J718&gt;=60,"B",IF(J718&gt;=40,"C",IF(J718&gt;=20,"D","E"))))))</f>
        <v/>
      </c>
      <c r="L718" s="15">
        <f>IF(K718="","",IF(K718="A","Cemerlang",IF(K718="B","Kepujian",IF(K718="C","Baik",IF(K718="D","Kurang Memuaskan",IF(K718="E","Tidak Memuaskan","Tidak Laksana"))))))</f>
        <v/>
      </c>
    </row>
    <row r="719">
      <c r="A719" s="15">
        <f>Murid!A719</f>
        <v/>
      </c>
      <c r="B719" s="15">
        <f>IF(Murid!B719="","",Murid!B719)</f>
        <v/>
      </c>
      <c r="C719" s="16">
        <f>IF(Murid!C719="","",Murid!C719)</f>
        <v/>
      </c>
      <c r="D719" s="15">
        <f>IF(Murid!E719="","",Murid!E719)</f>
        <v/>
      </c>
      <c r="E719" s="17">
        <f>KP!X719</f>
        <v/>
      </c>
      <c r="F719" s="17">
        <f>UB!X719</f>
        <v/>
      </c>
      <c r="G719" s="17">
        <f>SP!X719</f>
        <v/>
      </c>
      <c r="H719" s="17">
        <f>IF(COUNT(E719:G719)=0,"",ROUND((LARGE(E719:G719,1)+IF(COUNT(E719:G719)&gt;=2,LARGE(E719:G719,2),0))/2,2))</f>
        <v/>
      </c>
      <c r="I719" s="10">
        <f>Ekstra!U719</f>
        <v/>
      </c>
      <c r="J719" s="18">
        <f>IF(B719="","",IF(Murid!F719="TL","TL",IF(H719="","",MIN(100,ROUND(H719+N(I719),2)))))</f>
        <v/>
      </c>
      <c r="K719" s="19">
        <f>IF(J719="","",IF(J719="TL","TL",IF(J719&gt;=80,"A",IF(J719&gt;=60,"B",IF(J719&gt;=40,"C",IF(J719&gt;=20,"D","E"))))))</f>
        <v/>
      </c>
      <c r="L719" s="15">
        <f>IF(K719="","",IF(K719="A","Cemerlang",IF(K719="B","Kepujian",IF(K719="C","Baik",IF(K719="D","Kurang Memuaskan",IF(K719="E","Tidak Memuaskan","Tidak Laksana"))))))</f>
        <v/>
      </c>
    </row>
    <row r="720">
      <c r="A720" s="15">
        <f>Murid!A720</f>
        <v/>
      </c>
      <c r="B720" s="15">
        <f>IF(Murid!B720="","",Murid!B720)</f>
        <v/>
      </c>
      <c r="C720" s="16">
        <f>IF(Murid!C720="","",Murid!C720)</f>
        <v/>
      </c>
      <c r="D720" s="15">
        <f>IF(Murid!E720="","",Murid!E720)</f>
        <v/>
      </c>
      <c r="E720" s="17">
        <f>KP!X720</f>
        <v/>
      </c>
      <c r="F720" s="17">
        <f>UB!X720</f>
        <v/>
      </c>
      <c r="G720" s="17">
        <f>SP!X720</f>
        <v/>
      </c>
      <c r="H720" s="17">
        <f>IF(COUNT(E720:G720)=0,"",ROUND((LARGE(E720:G720,1)+IF(COUNT(E720:G720)&gt;=2,LARGE(E720:G720,2),0))/2,2))</f>
        <v/>
      </c>
      <c r="I720" s="10">
        <f>Ekstra!U720</f>
        <v/>
      </c>
      <c r="J720" s="18">
        <f>IF(B720="","",IF(Murid!F720="TL","TL",IF(H720="","",MIN(100,ROUND(H720+N(I720),2)))))</f>
        <v/>
      </c>
      <c r="K720" s="19">
        <f>IF(J720="","",IF(J720="TL","TL",IF(J720&gt;=80,"A",IF(J720&gt;=60,"B",IF(J720&gt;=40,"C",IF(J720&gt;=20,"D","E"))))))</f>
        <v/>
      </c>
      <c r="L720" s="15">
        <f>IF(K720="","",IF(K720="A","Cemerlang",IF(K720="B","Kepujian",IF(K720="C","Baik",IF(K720="D","Kurang Memuaskan",IF(K720="E","Tidak Memuaskan","Tidak Laksana"))))))</f>
        <v/>
      </c>
    </row>
    <row r="721">
      <c r="A721" s="15">
        <f>Murid!A721</f>
        <v/>
      </c>
      <c r="B721" s="15">
        <f>IF(Murid!B721="","",Murid!B721)</f>
        <v/>
      </c>
      <c r="C721" s="16">
        <f>IF(Murid!C721="","",Murid!C721)</f>
        <v/>
      </c>
      <c r="D721" s="15">
        <f>IF(Murid!E721="","",Murid!E721)</f>
        <v/>
      </c>
      <c r="E721" s="17">
        <f>KP!X721</f>
        <v/>
      </c>
      <c r="F721" s="17">
        <f>UB!X721</f>
        <v/>
      </c>
      <c r="G721" s="17">
        <f>SP!X721</f>
        <v/>
      </c>
      <c r="H721" s="17">
        <f>IF(COUNT(E721:G721)=0,"",ROUND((LARGE(E721:G721,1)+IF(COUNT(E721:G721)&gt;=2,LARGE(E721:G721,2),0))/2,2))</f>
        <v/>
      </c>
      <c r="I721" s="10">
        <f>Ekstra!U721</f>
        <v/>
      </c>
      <c r="J721" s="18">
        <f>IF(B721="","",IF(Murid!F721="TL","TL",IF(H721="","",MIN(100,ROUND(H721+N(I721),2)))))</f>
        <v/>
      </c>
      <c r="K721" s="19">
        <f>IF(J721="","",IF(J721="TL","TL",IF(J721&gt;=80,"A",IF(J721&gt;=60,"B",IF(J721&gt;=40,"C",IF(J721&gt;=20,"D","E"))))))</f>
        <v/>
      </c>
      <c r="L721" s="15">
        <f>IF(K721="","",IF(K721="A","Cemerlang",IF(K721="B","Kepujian",IF(K721="C","Baik",IF(K721="D","Kurang Memuaskan",IF(K721="E","Tidak Memuaskan","Tidak Laksana"))))))</f>
        <v/>
      </c>
    </row>
    <row r="722">
      <c r="A722" s="15">
        <f>Murid!A722</f>
        <v/>
      </c>
      <c r="B722" s="15">
        <f>IF(Murid!B722="","",Murid!B722)</f>
        <v/>
      </c>
      <c r="C722" s="16">
        <f>IF(Murid!C722="","",Murid!C722)</f>
        <v/>
      </c>
      <c r="D722" s="15">
        <f>IF(Murid!E722="","",Murid!E722)</f>
        <v/>
      </c>
      <c r="E722" s="17">
        <f>KP!X722</f>
        <v/>
      </c>
      <c r="F722" s="17">
        <f>UB!X722</f>
        <v/>
      </c>
      <c r="G722" s="17">
        <f>SP!X722</f>
        <v/>
      </c>
      <c r="H722" s="17">
        <f>IF(COUNT(E722:G722)=0,"",ROUND((LARGE(E722:G722,1)+IF(COUNT(E722:G722)&gt;=2,LARGE(E722:G722,2),0))/2,2))</f>
        <v/>
      </c>
      <c r="I722" s="10">
        <f>Ekstra!U722</f>
        <v/>
      </c>
      <c r="J722" s="18">
        <f>IF(B722="","",IF(Murid!F722="TL","TL",IF(H722="","",MIN(100,ROUND(H722+N(I722),2)))))</f>
        <v/>
      </c>
      <c r="K722" s="19">
        <f>IF(J722="","",IF(J722="TL","TL",IF(J722&gt;=80,"A",IF(J722&gt;=60,"B",IF(J722&gt;=40,"C",IF(J722&gt;=20,"D","E"))))))</f>
        <v/>
      </c>
      <c r="L722" s="15">
        <f>IF(K722="","",IF(K722="A","Cemerlang",IF(K722="B","Kepujian",IF(K722="C","Baik",IF(K722="D","Kurang Memuaskan",IF(K722="E","Tidak Memuaskan","Tidak Laksana"))))))</f>
        <v/>
      </c>
    </row>
    <row r="723">
      <c r="A723" s="15">
        <f>Murid!A723</f>
        <v/>
      </c>
      <c r="B723" s="15">
        <f>IF(Murid!B723="","",Murid!B723)</f>
        <v/>
      </c>
      <c r="C723" s="16">
        <f>IF(Murid!C723="","",Murid!C723)</f>
        <v/>
      </c>
      <c r="D723" s="15">
        <f>IF(Murid!E723="","",Murid!E723)</f>
        <v/>
      </c>
      <c r="E723" s="17">
        <f>KP!X723</f>
        <v/>
      </c>
      <c r="F723" s="17">
        <f>UB!X723</f>
        <v/>
      </c>
      <c r="G723" s="17">
        <f>SP!X723</f>
        <v/>
      </c>
      <c r="H723" s="17">
        <f>IF(COUNT(E723:G723)=0,"",ROUND((LARGE(E723:G723,1)+IF(COUNT(E723:G723)&gt;=2,LARGE(E723:G723,2),0))/2,2))</f>
        <v/>
      </c>
      <c r="I723" s="10">
        <f>Ekstra!U723</f>
        <v/>
      </c>
      <c r="J723" s="18">
        <f>IF(B723="","",IF(Murid!F723="TL","TL",IF(H723="","",MIN(100,ROUND(H723+N(I723),2)))))</f>
        <v/>
      </c>
      <c r="K723" s="19">
        <f>IF(J723="","",IF(J723="TL","TL",IF(J723&gt;=80,"A",IF(J723&gt;=60,"B",IF(J723&gt;=40,"C",IF(J723&gt;=20,"D","E"))))))</f>
        <v/>
      </c>
      <c r="L723" s="15">
        <f>IF(K723="","",IF(K723="A","Cemerlang",IF(K723="B","Kepujian",IF(K723="C","Baik",IF(K723="D","Kurang Memuaskan",IF(K723="E","Tidak Memuaskan","Tidak Laksana"))))))</f>
        <v/>
      </c>
    </row>
    <row r="724">
      <c r="A724" s="15">
        <f>Murid!A724</f>
        <v/>
      </c>
      <c r="B724" s="15">
        <f>IF(Murid!B724="","",Murid!B724)</f>
        <v/>
      </c>
      <c r="C724" s="16">
        <f>IF(Murid!C724="","",Murid!C724)</f>
        <v/>
      </c>
      <c r="D724" s="15">
        <f>IF(Murid!E724="","",Murid!E724)</f>
        <v/>
      </c>
      <c r="E724" s="17">
        <f>KP!X724</f>
        <v/>
      </c>
      <c r="F724" s="17">
        <f>UB!X724</f>
        <v/>
      </c>
      <c r="G724" s="17">
        <f>SP!X724</f>
        <v/>
      </c>
      <c r="H724" s="17">
        <f>IF(COUNT(E724:G724)=0,"",ROUND((LARGE(E724:G724,1)+IF(COUNT(E724:G724)&gt;=2,LARGE(E724:G724,2),0))/2,2))</f>
        <v/>
      </c>
      <c r="I724" s="10">
        <f>Ekstra!U724</f>
        <v/>
      </c>
      <c r="J724" s="18">
        <f>IF(B724="","",IF(Murid!F724="TL","TL",IF(H724="","",MIN(100,ROUND(H724+N(I724),2)))))</f>
        <v/>
      </c>
      <c r="K724" s="19">
        <f>IF(J724="","",IF(J724="TL","TL",IF(J724&gt;=80,"A",IF(J724&gt;=60,"B",IF(J724&gt;=40,"C",IF(J724&gt;=20,"D","E"))))))</f>
        <v/>
      </c>
      <c r="L724" s="15">
        <f>IF(K724="","",IF(K724="A","Cemerlang",IF(K724="B","Kepujian",IF(K724="C","Baik",IF(K724="D","Kurang Memuaskan",IF(K724="E","Tidak Memuaskan","Tidak Laksana"))))))</f>
        <v/>
      </c>
    </row>
    <row r="725">
      <c r="A725" s="15">
        <f>Murid!A725</f>
        <v/>
      </c>
      <c r="B725" s="15">
        <f>IF(Murid!B725="","",Murid!B725)</f>
        <v/>
      </c>
      <c r="C725" s="16">
        <f>IF(Murid!C725="","",Murid!C725)</f>
        <v/>
      </c>
      <c r="D725" s="15">
        <f>IF(Murid!E725="","",Murid!E725)</f>
        <v/>
      </c>
      <c r="E725" s="17">
        <f>KP!X725</f>
        <v/>
      </c>
      <c r="F725" s="17">
        <f>UB!X725</f>
        <v/>
      </c>
      <c r="G725" s="17">
        <f>SP!X725</f>
        <v/>
      </c>
      <c r="H725" s="17">
        <f>IF(COUNT(E725:G725)=0,"",ROUND((LARGE(E725:G725,1)+IF(COUNT(E725:G725)&gt;=2,LARGE(E725:G725,2),0))/2,2))</f>
        <v/>
      </c>
      <c r="I725" s="10">
        <f>Ekstra!U725</f>
        <v/>
      </c>
      <c r="J725" s="18">
        <f>IF(B725="","",IF(Murid!F725="TL","TL",IF(H725="","",MIN(100,ROUND(H725+N(I725),2)))))</f>
        <v/>
      </c>
      <c r="K725" s="19">
        <f>IF(J725="","",IF(J725="TL","TL",IF(J725&gt;=80,"A",IF(J725&gt;=60,"B",IF(J725&gt;=40,"C",IF(J725&gt;=20,"D","E"))))))</f>
        <v/>
      </c>
      <c r="L725" s="15">
        <f>IF(K725="","",IF(K725="A","Cemerlang",IF(K725="B","Kepujian",IF(K725="C","Baik",IF(K725="D","Kurang Memuaskan",IF(K725="E","Tidak Memuaskan","Tidak Laksana"))))))</f>
        <v/>
      </c>
    </row>
    <row r="726">
      <c r="A726" s="15">
        <f>Murid!A726</f>
        <v/>
      </c>
      <c r="B726" s="15">
        <f>IF(Murid!B726="","",Murid!B726)</f>
        <v/>
      </c>
      <c r="C726" s="16">
        <f>IF(Murid!C726="","",Murid!C726)</f>
        <v/>
      </c>
      <c r="D726" s="15">
        <f>IF(Murid!E726="","",Murid!E726)</f>
        <v/>
      </c>
      <c r="E726" s="17">
        <f>KP!X726</f>
        <v/>
      </c>
      <c r="F726" s="17">
        <f>UB!X726</f>
        <v/>
      </c>
      <c r="G726" s="17">
        <f>SP!X726</f>
        <v/>
      </c>
      <c r="H726" s="17">
        <f>IF(COUNT(E726:G726)=0,"",ROUND((LARGE(E726:G726,1)+IF(COUNT(E726:G726)&gt;=2,LARGE(E726:G726,2),0))/2,2))</f>
        <v/>
      </c>
      <c r="I726" s="10">
        <f>Ekstra!U726</f>
        <v/>
      </c>
      <c r="J726" s="18">
        <f>IF(B726="","",IF(Murid!F726="TL","TL",IF(H726="","",MIN(100,ROUND(H726+N(I726),2)))))</f>
        <v/>
      </c>
      <c r="K726" s="19">
        <f>IF(J726="","",IF(J726="TL","TL",IF(J726&gt;=80,"A",IF(J726&gt;=60,"B",IF(J726&gt;=40,"C",IF(J726&gt;=20,"D","E"))))))</f>
        <v/>
      </c>
      <c r="L726" s="15">
        <f>IF(K726="","",IF(K726="A","Cemerlang",IF(K726="B","Kepujian",IF(K726="C","Baik",IF(K726="D","Kurang Memuaskan",IF(K726="E","Tidak Memuaskan","Tidak Laksana"))))))</f>
        <v/>
      </c>
    </row>
    <row r="727">
      <c r="A727" s="15">
        <f>Murid!A727</f>
        <v/>
      </c>
      <c r="B727" s="15">
        <f>IF(Murid!B727="","",Murid!B727)</f>
        <v/>
      </c>
      <c r="C727" s="16">
        <f>IF(Murid!C727="","",Murid!C727)</f>
        <v/>
      </c>
      <c r="D727" s="15">
        <f>IF(Murid!E727="","",Murid!E727)</f>
        <v/>
      </c>
      <c r="E727" s="17">
        <f>KP!X727</f>
        <v/>
      </c>
      <c r="F727" s="17">
        <f>UB!X727</f>
        <v/>
      </c>
      <c r="G727" s="17">
        <f>SP!X727</f>
        <v/>
      </c>
      <c r="H727" s="17">
        <f>IF(COUNT(E727:G727)=0,"",ROUND((LARGE(E727:G727,1)+IF(COUNT(E727:G727)&gt;=2,LARGE(E727:G727,2),0))/2,2))</f>
        <v/>
      </c>
      <c r="I727" s="10">
        <f>Ekstra!U727</f>
        <v/>
      </c>
      <c r="J727" s="18">
        <f>IF(B727="","",IF(Murid!F727="TL","TL",IF(H727="","",MIN(100,ROUND(H727+N(I727),2)))))</f>
        <v/>
      </c>
      <c r="K727" s="19">
        <f>IF(J727="","",IF(J727="TL","TL",IF(J727&gt;=80,"A",IF(J727&gt;=60,"B",IF(J727&gt;=40,"C",IF(J727&gt;=20,"D","E"))))))</f>
        <v/>
      </c>
      <c r="L727" s="15">
        <f>IF(K727="","",IF(K727="A","Cemerlang",IF(K727="B","Kepujian",IF(K727="C","Baik",IF(K727="D","Kurang Memuaskan",IF(K727="E","Tidak Memuaskan","Tidak Laksana"))))))</f>
        <v/>
      </c>
    </row>
    <row r="728">
      <c r="A728" s="15">
        <f>Murid!A728</f>
        <v/>
      </c>
      <c r="B728" s="15">
        <f>IF(Murid!B728="","",Murid!B728)</f>
        <v/>
      </c>
      <c r="C728" s="16">
        <f>IF(Murid!C728="","",Murid!C728)</f>
        <v/>
      </c>
      <c r="D728" s="15">
        <f>IF(Murid!E728="","",Murid!E728)</f>
        <v/>
      </c>
      <c r="E728" s="17">
        <f>KP!X728</f>
        <v/>
      </c>
      <c r="F728" s="17">
        <f>UB!X728</f>
        <v/>
      </c>
      <c r="G728" s="17">
        <f>SP!X728</f>
        <v/>
      </c>
      <c r="H728" s="17">
        <f>IF(COUNT(E728:G728)=0,"",ROUND((LARGE(E728:G728,1)+IF(COUNT(E728:G728)&gt;=2,LARGE(E728:G728,2),0))/2,2))</f>
        <v/>
      </c>
      <c r="I728" s="10">
        <f>Ekstra!U728</f>
        <v/>
      </c>
      <c r="J728" s="18">
        <f>IF(B728="","",IF(Murid!F728="TL","TL",IF(H728="","",MIN(100,ROUND(H728+N(I728),2)))))</f>
        <v/>
      </c>
      <c r="K728" s="19">
        <f>IF(J728="","",IF(J728="TL","TL",IF(J728&gt;=80,"A",IF(J728&gt;=60,"B",IF(J728&gt;=40,"C",IF(J728&gt;=20,"D","E"))))))</f>
        <v/>
      </c>
      <c r="L728" s="15">
        <f>IF(K728="","",IF(K728="A","Cemerlang",IF(K728="B","Kepujian",IF(K728="C","Baik",IF(K728="D","Kurang Memuaskan",IF(K728="E","Tidak Memuaskan","Tidak Laksana"))))))</f>
        <v/>
      </c>
    </row>
    <row r="729">
      <c r="A729" s="15">
        <f>Murid!A729</f>
        <v/>
      </c>
      <c r="B729" s="15">
        <f>IF(Murid!B729="","",Murid!B729)</f>
        <v/>
      </c>
      <c r="C729" s="16">
        <f>IF(Murid!C729="","",Murid!C729)</f>
        <v/>
      </c>
      <c r="D729" s="15">
        <f>IF(Murid!E729="","",Murid!E729)</f>
        <v/>
      </c>
      <c r="E729" s="17">
        <f>KP!X729</f>
        <v/>
      </c>
      <c r="F729" s="17">
        <f>UB!X729</f>
        <v/>
      </c>
      <c r="G729" s="17">
        <f>SP!X729</f>
        <v/>
      </c>
      <c r="H729" s="17">
        <f>IF(COUNT(E729:G729)=0,"",ROUND((LARGE(E729:G729,1)+IF(COUNT(E729:G729)&gt;=2,LARGE(E729:G729,2),0))/2,2))</f>
        <v/>
      </c>
      <c r="I729" s="10">
        <f>Ekstra!U729</f>
        <v/>
      </c>
      <c r="J729" s="18">
        <f>IF(B729="","",IF(Murid!F729="TL","TL",IF(H729="","",MIN(100,ROUND(H729+N(I729),2)))))</f>
        <v/>
      </c>
      <c r="K729" s="19">
        <f>IF(J729="","",IF(J729="TL","TL",IF(J729&gt;=80,"A",IF(J729&gt;=60,"B",IF(J729&gt;=40,"C",IF(J729&gt;=20,"D","E"))))))</f>
        <v/>
      </c>
      <c r="L729" s="15">
        <f>IF(K729="","",IF(K729="A","Cemerlang",IF(K729="B","Kepujian",IF(K729="C","Baik",IF(K729="D","Kurang Memuaskan",IF(K729="E","Tidak Memuaskan","Tidak Laksana"))))))</f>
        <v/>
      </c>
    </row>
    <row r="730">
      <c r="A730" s="15">
        <f>Murid!A730</f>
        <v/>
      </c>
      <c r="B730" s="15">
        <f>IF(Murid!B730="","",Murid!B730)</f>
        <v/>
      </c>
      <c r="C730" s="16">
        <f>IF(Murid!C730="","",Murid!C730)</f>
        <v/>
      </c>
      <c r="D730" s="15">
        <f>IF(Murid!E730="","",Murid!E730)</f>
        <v/>
      </c>
      <c r="E730" s="17">
        <f>KP!X730</f>
        <v/>
      </c>
      <c r="F730" s="17">
        <f>UB!X730</f>
        <v/>
      </c>
      <c r="G730" s="17">
        <f>SP!X730</f>
        <v/>
      </c>
      <c r="H730" s="17">
        <f>IF(COUNT(E730:G730)=0,"",ROUND((LARGE(E730:G730,1)+IF(COUNT(E730:G730)&gt;=2,LARGE(E730:G730,2),0))/2,2))</f>
        <v/>
      </c>
      <c r="I730" s="10">
        <f>Ekstra!U730</f>
        <v/>
      </c>
      <c r="J730" s="18">
        <f>IF(B730="","",IF(Murid!F730="TL","TL",IF(H730="","",MIN(100,ROUND(H730+N(I730),2)))))</f>
        <v/>
      </c>
      <c r="K730" s="19">
        <f>IF(J730="","",IF(J730="TL","TL",IF(J730&gt;=80,"A",IF(J730&gt;=60,"B",IF(J730&gt;=40,"C",IF(J730&gt;=20,"D","E"))))))</f>
        <v/>
      </c>
      <c r="L730" s="15">
        <f>IF(K730="","",IF(K730="A","Cemerlang",IF(K730="B","Kepujian",IF(K730="C","Baik",IF(K730="D","Kurang Memuaskan",IF(K730="E","Tidak Memuaskan","Tidak Laksana"))))))</f>
        <v/>
      </c>
    </row>
    <row r="731">
      <c r="A731" s="15">
        <f>Murid!A731</f>
        <v/>
      </c>
      <c r="B731" s="15">
        <f>IF(Murid!B731="","",Murid!B731)</f>
        <v/>
      </c>
      <c r="C731" s="16">
        <f>IF(Murid!C731="","",Murid!C731)</f>
        <v/>
      </c>
      <c r="D731" s="15">
        <f>IF(Murid!E731="","",Murid!E731)</f>
        <v/>
      </c>
      <c r="E731" s="17">
        <f>KP!X731</f>
        <v/>
      </c>
      <c r="F731" s="17">
        <f>UB!X731</f>
        <v/>
      </c>
      <c r="G731" s="17">
        <f>SP!X731</f>
        <v/>
      </c>
      <c r="H731" s="17">
        <f>IF(COUNT(E731:G731)=0,"",ROUND((LARGE(E731:G731,1)+IF(COUNT(E731:G731)&gt;=2,LARGE(E731:G731,2),0))/2,2))</f>
        <v/>
      </c>
      <c r="I731" s="10">
        <f>Ekstra!U731</f>
        <v/>
      </c>
      <c r="J731" s="18">
        <f>IF(B731="","",IF(Murid!F731="TL","TL",IF(H731="","",MIN(100,ROUND(H731+N(I731),2)))))</f>
        <v/>
      </c>
      <c r="K731" s="19">
        <f>IF(J731="","",IF(J731="TL","TL",IF(J731&gt;=80,"A",IF(J731&gt;=60,"B",IF(J731&gt;=40,"C",IF(J731&gt;=20,"D","E"))))))</f>
        <v/>
      </c>
      <c r="L731" s="15">
        <f>IF(K731="","",IF(K731="A","Cemerlang",IF(K731="B","Kepujian",IF(K731="C","Baik",IF(K731="D","Kurang Memuaskan",IF(K731="E","Tidak Memuaskan","Tidak Laksana"))))))</f>
        <v/>
      </c>
    </row>
    <row r="732">
      <c r="A732" s="15">
        <f>Murid!A732</f>
        <v/>
      </c>
      <c r="B732" s="15">
        <f>IF(Murid!B732="","",Murid!B732)</f>
        <v/>
      </c>
      <c r="C732" s="16">
        <f>IF(Murid!C732="","",Murid!C732)</f>
        <v/>
      </c>
      <c r="D732" s="15">
        <f>IF(Murid!E732="","",Murid!E732)</f>
        <v/>
      </c>
      <c r="E732" s="17">
        <f>KP!X732</f>
        <v/>
      </c>
      <c r="F732" s="17">
        <f>UB!X732</f>
        <v/>
      </c>
      <c r="G732" s="17">
        <f>SP!X732</f>
        <v/>
      </c>
      <c r="H732" s="17">
        <f>IF(COUNT(E732:G732)=0,"",ROUND((LARGE(E732:G732,1)+IF(COUNT(E732:G732)&gt;=2,LARGE(E732:G732,2),0))/2,2))</f>
        <v/>
      </c>
      <c r="I732" s="10">
        <f>Ekstra!U732</f>
        <v/>
      </c>
      <c r="J732" s="18">
        <f>IF(B732="","",IF(Murid!F732="TL","TL",IF(H732="","",MIN(100,ROUND(H732+N(I732),2)))))</f>
        <v/>
      </c>
      <c r="K732" s="19">
        <f>IF(J732="","",IF(J732="TL","TL",IF(J732&gt;=80,"A",IF(J732&gt;=60,"B",IF(J732&gt;=40,"C",IF(J732&gt;=20,"D","E"))))))</f>
        <v/>
      </c>
      <c r="L732" s="15">
        <f>IF(K732="","",IF(K732="A","Cemerlang",IF(K732="B","Kepujian",IF(K732="C","Baik",IF(K732="D","Kurang Memuaskan",IF(K732="E","Tidak Memuaskan","Tidak Laksana"))))))</f>
        <v/>
      </c>
    </row>
    <row r="733">
      <c r="A733" s="15">
        <f>Murid!A733</f>
        <v/>
      </c>
      <c r="B733" s="15">
        <f>IF(Murid!B733="","",Murid!B733)</f>
        <v/>
      </c>
      <c r="C733" s="16">
        <f>IF(Murid!C733="","",Murid!C733)</f>
        <v/>
      </c>
      <c r="D733" s="15">
        <f>IF(Murid!E733="","",Murid!E733)</f>
        <v/>
      </c>
      <c r="E733" s="17">
        <f>KP!X733</f>
        <v/>
      </c>
      <c r="F733" s="17">
        <f>UB!X733</f>
        <v/>
      </c>
      <c r="G733" s="17">
        <f>SP!X733</f>
        <v/>
      </c>
      <c r="H733" s="17">
        <f>IF(COUNT(E733:G733)=0,"",ROUND((LARGE(E733:G733,1)+IF(COUNT(E733:G733)&gt;=2,LARGE(E733:G733,2),0))/2,2))</f>
        <v/>
      </c>
      <c r="I733" s="10">
        <f>Ekstra!U733</f>
        <v/>
      </c>
      <c r="J733" s="18">
        <f>IF(B733="","",IF(Murid!F733="TL","TL",IF(H733="","",MIN(100,ROUND(H733+N(I733),2)))))</f>
        <v/>
      </c>
      <c r="K733" s="19">
        <f>IF(J733="","",IF(J733="TL","TL",IF(J733&gt;=80,"A",IF(J733&gt;=60,"B",IF(J733&gt;=40,"C",IF(J733&gt;=20,"D","E"))))))</f>
        <v/>
      </c>
      <c r="L733" s="15">
        <f>IF(K733="","",IF(K733="A","Cemerlang",IF(K733="B","Kepujian",IF(K733="C","Baik",IF(K733="D","Kurang Memuaskan",IF(K733="E","Tidak Memuaskan","Tidak Laksana"))))))</f>
        <v/>
      </c>
    </row>
    <row r="734">
      <c r="A734" s="15">
        <f>Murid!A734</f>
        <v/>
      </c>
      <c r="B734" s="15">
        <f>IF(Murid!B734="","",Murid!B734)</f>
        <v/>
      </c>
      <c r="C734" s="16">
        <f>IF(Murid!C734="","",Murid!C734)</f>
        <v/>
      </c>
      <c r="D734" s="15">
        <f>IF(Murid!E734="","",Murid!E734)</f>
        <v/>
      </c>
      <c r="E734" s="17">
        <f>KP!X734</f>
        <v/>
      </c>
      <c r="F734" s="17">
        <f>UB!X734</f>
        <v/>
      </c>
      <c r="G734" s="17">
        <f>SP!X734</f>
        <v/>
      </c>
      <c r="H734" s="17">
        <f>IF(COUNT(E734:G734)=0,"",ROUND((LARGE(E734:G734,1)+IF(COUNT(E734:G734)&gt;=2,LARGE(E734:G734,2),0))/2,2))</f>
        <v/>
      </c>
      <c r="I734" s="10">
        <f>Ekstra!U734</f>
        <v/>
      </c>
      <c r="J734" s="18">
        <f>IF(B734="","",IF(Murid!F734="TL","TL",IF(H734="","",MIN(100,ROUND(H734+N(I734),2)))))</f>
        <v/>
      </c>
      <c r="K734" s="19">
        <f>IF(J734="","",IF(J734="TL","TL",IF(J734&gt;=80,"A",IF(J734&gt;=60,"B",IF(J734&gt;=40,"C",IF(J734&gt;=20,"D","E"))))))</f>
        <v/>
      </c>
      <c r="L734" s="15">
        <f>IF(K734="","",IF(K734="A","Cemerlang",IF(K734="B","Kepujian",IF(K734="C","Baik",IF(K734="D","Kurang Memuaskan",IF(K734="E","Tidak Memuaskan","Tidak Laksana"))))))</f>
        <v/>
      </c>
    </row>
    <row r="735">
      <c r="A735" s="15">
        <f>Murid!A735</f>
        <v/>
      </c>
      <c r="B735" s="15">
        <f>IF(Murid!B735="","",Murid!B735)</f>
        <v/>
      </c>
      <c r="C735" s="16">
        <f>IF(Murid!C735="","",Murid!C735)</f>
        <v/>
      </c>
      <c r="D735" s="15">
        <f>IF(Murid!E735="","",Murid!E735)</f>
        <v/>
      </c>
      <c r="E735" s="17">
        <f>KP!X735</f>
        <v/>
      </c>
      <c r="F735" s="17">
        <f>UB!X735</f>
        <v/>
      </c>
      <c r="G735" s="17">
        <f>SP!X735</f>
        <v/>
      </c>
      <c r="H735" s="17">
        <f>IF(COUNT(E735:G735)=0,"",ROUND((LARGE(E735:G735,1)+IF(COUNT(E735:G735)&gt;=2,LARGE(E735:G735,2),0))/2,2))</f>
        <v/>
      </c>
      <c r="I735" s="10">
        <f>Ekstra!U735</f>
        <v/>
      </c>
      <c r="J735" s="18">
        <f>IF(B735="","",IF(Murid!F735="TL","TL",IF(H735="","",MIN(100,ROUND(H735+N(I735),2)))))</f>
        <v/>
      </c>
      <c r="K735" s="19">
        <f>IF(J735="","",IF(J735="TL","TL",IF(J735&gt;=80,"A",IF(J735&gt;=60,"B",IF(J735&gt;=40,"C",IF(J735&gt;=20,"D","E"))))))</f>
        <v/>
      </c>
      <c r="L735" s="15">
        <f>IF(K735="","",IF(K735="A","Cemerlang",IF(K735="B","Kepujian",IF(K735="C","Baik",IF(K735="D","Kurang Memuaskan",IF(K735="E","Tidak Memuaskan","Tidak Laksana"))))))</f>
        <v/>
      </c>
    </row>
    <row r="736">
      <c r="A736" s="15">
        <f>Murid!A736</f>
        <v/>
      </c>
      <c r="B736" s="15">
        <f>IF(Murid!B736="","",Murid!B736)</f>
        <v/>
      </c>
      <c r="C736" s="16">
        <f>IF(Murid!C736="","",Murid!C736)</f>
        <v/>
      </c>
      <c r="D736" s="15">
        <f>IF(Murid!E736="","",Murid!E736)</f>
        <v/>
      </c>
      <c r="E736" s="17">
        <f>KP!X736</f>
        <v/>
      </c>
      <c r="F736" s="17">
        <f>UB!X736</f>
        <v/>
      </c>
      <c r="G736" s="17">
        <f>SP!X736</f>
        <v/>
      </c>
      <c r="H736" s="17">
        <f>IF(COUNT(E736:G736)=0,"",ROUND((LARGE(E736:G736,1)+IF(COUNT(E736:G736)&gt;=2,LARGE(E736:G736,2),0))/2,2))</f>
        <v/>
      </c>
      <c r="I736" s="10">
        <f>Ekstra!U736</f>
        <v/>
      </c>
      <c r="J736" s="18">
        <f>IF(B736="","",IF(Murid!F736="TL","TL",IF(H736="","",MIN(100,ROUND(H736+N(I736),2)))))</f>
        <v/>
      </c>
      <c r="K736" s="19">
        <f>IF(J736="","",IF(J736="TL","TL",IF(J736&gt;=80,"A",IF(J736&gt;=60,"B",IF(J736&gt;=40,"C",IF(J736&gt;=20,"D","E"))))))</f>
        <v/>
      </c>
      <c r="L736" s="15">
        <f>IF(K736="","",IF(K736="A","Cemerlang",IF(K736="B","Kepujian",IF(K736="C","Baik",IF(K736="D","Kurang Memuaskan",IF(K736="E","Tidak Memuaskan","Tidak Laksana"))))))</f>
        <v/>
      </c>
    </row>
    <row r="737">
      <c r="A737" s="15">
        <f>Murid!A737</f>
        <v/>
      </c>
      <c r="B737" s="15">
        <f>IF(Murid!B737="","",Murid!B737)</f>
        <v/>
      </c>
      <c r="C737" s="16">
        <f>IF(Murid!C737="","",Murid!C737)</f>
        <v/>
      </c>
      <c r="D737" s="15">
        <f>IF(Murid!E737="","",Murid!E737)</f>
        <v/>
      </c>
      <c r="E737" s="17">
        <f>KP!X737</f>
        <v/>
      </c>
      <c r="F737" s="17">
        <f>UB!X737</f>
        <v/>
      </c>
      <c r="G737" s="17">
        <f>SP!X737</f>
        <v/>
      </c>
      <c r="H737" s="17">
        <f>IF(COUNT(E737:G737)=0,"",ROUND((LARGE(E737:G737,1)+IF(COUNT(E737:G737)&gt;=2,LARGE(E737:G737,2),0))/2,2))</f>
        <v/>
      </c>
      <c r="I737" s="10">
        <f>Ekstra!U737</f>
        <v/>
      </c>
      <c r="J737" s="18">
        <f>IF(B737="","",IF(Murid!F737="TL","TL",IF(H737="","",MIN(100,ROUND(H737+N(I737),2)))))</f>
        <v/>
      </c>
      <c r="K737" s="19">
        <f>IF(J737="","",IF(J737="TL","TL",IF(J737&gt;=80,"A",IF(J737&gt;=60,"B",IF(J737&gt;=40,"C",IF(J737&gt;=20,"D","E"))))))</f>
        <v/>
      </c>
      <c r="L737" s="15">
        <f>IF(K737="","",IF(K737="A","Cemerlang",IF(K737="B","Kepujian",IF(K737="C","Baik",IF(K737="D","Kurang Memuaskan",IF(K737="E","Tidak Memuaskan","Tidak Laksana"))))))</f>
        <v/>
      </c>
    </row>
    <row r="738">
      <c r="A738" s="15">
        <f>Murid!A738</f>
        <v/>
      </c>
      <c r="B738" s="15">
        <f>IF(Murid!B738="","",Murid!B738)</f>
        <v/>
      </c>
      <c r="C738" s="16">
        <f>IF(Murid!C738="","",Murid!C738)</f>
        <v/>
      </c>
      <c r="D738" s="15">
        <f>IF(Murid!E738="","",Murid!E738)</f>
        <v/>
      </c>
      <c r="E738" s="17">
        <f>KP!X738</f>
        <v/>
      </c>
      <c r="F738" s="17">
        <f>UB!X738</f>
        <v/>
      </c>
      <c r="G738" s="17">
        <f>SP!X738</f>
        <v/>
      </c>
      <c r="H738" s="17">
        <f>IF(COUNT(E738:G738)=0,"",ROUND((LARGE(E738:G738,1)+IF(COUNT(E738:G738)&gt;=2,LARGE(E738:G738,2),0))/2,2))</f>
        <v/>
      </c>
      <c r="I738" s="10">
        <f>Ekstra!U738</f>
        <v/>
      </c>
      <c r="J738" s="18">
        <f>IF(B738="","",IF(Murid!F738="TL","TL",IF(H738="","",MIN(100,ROUND(H738+N(I738),2)))))</f>
        <v/>
      </c>
      <c r="K738" s="19">
        <f>IF(J738="","",IF(J738="TL","TL",IF(J738&gt;=80,"A",IF(J738&gt;=60,"B",IF(J738&gt;=40,"C",IF(J738&gt;=20,"D","E"))))))</f>
        <v/>
      </c>
      <c r="L738" s="15">
        <f>IF(K738="","",IF(K738="A","Cemerlang",IF(K738="B","Kepujian",IF(K738="C","Baik",IF(K738="D","Kurang Memuaskan",IF(K738="E","Tidak Memuaskan","Tidak Laksana"))))))</f>
        <v/>
      </c>
    </row>
    <row r="739">
      <c r="A739" s="15">
        <f>Murid!A739</f>
        <v/>
      </c>
      <c r="B739" s="15">
        <f>IF(Murid!B739="","",Murid!B739)</f>
        <v/>
      </c>
      <c r="C739" s="16">
        <f>IF(Murid!C739="","",Murid!C739)</f>
        <v/>
      </c>
      <c r="D739" s="15">
        <f>IF(Murid!E739="","",Murid!E739)</f>
        <v/>
      </c>
      <c r="E739" s="17">
        <f>KP!X739</f>
        <v/>
      </c>
      <c r="F739" s="17">
        <f>UB!X739</f>
        <v/>
      </c>
      <c r="G739" s="17">
        <f>SP!X739</f>
        <v/>
      </c>
      <c r="H739" s="17">
        <f>IF(COUNT(E739:G739)=0,"",ROUND((LARGE(E739:G739,1)+IF(COUNT(E739:G739)&gt;=2,LARGE(E739:G739,2),0))/2,2))</f>
        <v/>
      </c>
      <c r="I739" s="10">
        <f>Ekstra!U739</f>
        <v/>
      </c>
      <c r="J739" s="18">
        <f>IF(B739="","",IF(Murid!F739="TL","TL",IF(H739="","",MIN(100,ROUND(H739+N(I739),2)))))</f>
        <v/>
      </c>
      <c r="K739" s="19">
        <f>IF(J739="","",IF(J739="TL","TL",IF(J739&gt;=80,"A",IF(J739&gt;=60,"B",IF(J739&gt;=40,"C",IF(J739&gt;=20,"D","E"))))))</f>
        <v/>
      </c>
      <c r="L739" s="15">
        <f>IF(K739="","",IF(K739="A","Cemerlang",IF(K739="B","Kepujian",IF(K739="C","Baik",IF(K739="D","Kurang Memuaskan",IF(K739="E","Tidak Memuaskan","Tidak Laksana"))))))</f>
        <v/>
      </c>
    </row>
    <row r="740">
      <c r="A740" s="15">
        <f>Murid!A740</f>
        <v/>
      </c>
      <c r="B740" s="15">
        <f>IF(Murid!B740="","",Murid!B740)</f>
        <v/>
      </c>
      <c r="C740" s="16">
        <f>IF(Murid!C740="","",Murid!C740)</f>
        <v/>
      </c>
      <c r="D740" s="15">
        <f>IF(Murid!E740="","",Murid!E740)</f>
        <v/>
      </c>
      <c r="E740" s="17">
        <f>KP!X740</f>
        <v/>
      </c>
      <c r="F740" s="17">
        <f>UB!X740</f>
        <v/>
      </c>
      <c r="G740" s="17">
        <f>SP!X740</f>
        <v/>
      </c>
      <c r="H740" s="17">
        <f>IF(COUNT(E740:G740)=0,"",ROUND((LARGE(E740:G740,1)+IF(COUNT(E740:G740)&gt;=2,LARGE(E740:G740,2),0))/2,2))</f>
        <v/>
      </c>
      <c r="I740" s="10">
        <f>Ekstra!U740</f>
        <v/>
      </c>
      <c r="J740" s="18">
        <f>IF(B740="","",IF(Murid!F740="TL","TL",IF(H740="","",MIN(100,ROUND(H740+N(I740),2)))))</f>
        <v/>
      </c>
      <c r="K740" s="19">
        <f>IF(J740="","",IF(J740="TL","TL",IF(J740&gt;=80,"A",IF(J740&gt;=60,"B",IF(J740&gt;=40,"C",IF(J740&gt;=20,"D","E"))))))</f>
        <v/>
      </c>
      <c r="L740" s="15">
        <f>IF(K740="","",IF(K740="A","Cemerlang",IF(K740="B","Kepujian",IF(K740="C","Baik",IF(K740="D","Kurang Memuaskan",IF(K740="E","Tidak Memuaskan","Tidak Laksana"))))))</f>
        <v/>
      </c>
    </row>
    <row r="741">
      <c r="A741" s="15">
        <f>Murid!A741</f>
        <v/>
      </c>
      <c r="B741" s="15">
        <f>IF(Murid!B741="","",Murid!B741)</f>
        <v/>
      </c>
      <c r="C741" s="16">
        <f>IF(Murid!C741="","",Murid!C741)</f>
        <v/>
      </c>
      <c r="D741" s="15">
        <f>IF(Murid!E741="","",Murid!E741)</f>
        <v/>
      </c>
      <c r="E741" s="17">
        <f>KP!X741</f>
        <v/>
      </c>
      <c r="F741" s="17">
        <f>UB!X741</f>
        <v/>
      </c>
      <c r="G741" s="17">
        <f>SP!X741</f>
        <v/>
      </c>
      <c r="H741" s="17">
        <f>IF(COUNT(E741:G741)=0,"",ROUND((LARGE(E741:G741,1)+IF(COUNT(E741:G741)&gt;=2,LARGE(E741:G741,2),0))/2,2))</f>
        <v/>
      </c>
      <c r="I741" s="10">
        <f>Ekstra!U741</f>
        <v/>
      </c>
      <c r="J741" s="18">
        <f>IF(B741="","",IF(Murid!F741="TL","TL",IF(H741="","",MIN(100,ROUND(H741+N(I741),2)))))</f>
        <v/>
      </c>
      <c r="K741" s="19">
        <f>IF(J741="","",IF(J741="TL","TL",IF(J741&gt;=80,"A",IF(J741&gt;=60,"B",IF(J741&gt;=40,"C",IF(J741&gt;=20,"D","E"))))))</f>
        <v/>
      </c>
      <c r="L741" s="15">
        <f>IF(K741="","",IF(K741="A","Cemerlang",IF(K741="B","Kepujian",IF(K741="C","Baik",IF(K741="D","Kurang Memuaskan",IF(K741="E","Tidak Memuaskan","Tidak Laksana"))))))</f>
        <v/>
      </c>
    </row>
    <row r="742">
      <c r="A742" s="15">
        <f>Murid!A742</f>
        <v/>
      </c>
      <c r="B742" s="15">
        <f>IF(Murid!B742="","",Murid!B742)</f>
        <v/>
      </c>
      <c r="C742" s="16">
        <f>IF(Murid!C742="","",Murid!C742)</f>
        <v/>
      </c>
      <c r="D742" s="15">
        <f>IF(Murid!E742="","",Murid!E742)</f>
        <v/>
      </c>
      <c r="E742" s="17">
        <f>KP!X742</f>
        <v/>
      </c>
      <c r="F742" s="17">
        <f>UB!X742</f>
        <v/>
      </c>
      <c r="G742" s="17">
        <f>SP!X742</f>
        <v/>
      </c>
      <c r="H742" s="17">
        <f>IF(COUNT(E742:G742)=0,"",ROUND((LARGE(E742:G742,1)+IF(COUNT(E742:G742)&gt;=2,LARGE(E742:G742,2),0))/2,2))</f>
        <v/>
      </c>
      <c r="I742" s="10">
        <f>Ekstra!U742</f>
        <v/>
      </c>
      <c r="J742" s="18">
        <f>IF(B742="","",IF(Murid!F742="TL","TL",IF(H742="","",MIN(100,ROUND(H742+N(I742),2)))))</f>
        <v/>
      </c>
      <c r="K742" s="19">
        <f>IF(J742="","",IF(J742="TL","TL",IF(J742&gt;=80,"A",IF(J742&gt;=60,"B",IF(J742&gt;=40,"C",IF(J742&gt;=20,"D","E"))))))</f>
        <v/>
      </c>
      <c r="L742" s="15">
        <f>IF(K742="","",IF(K742="A","Cemerlang",IF(K742="B","Kepujian",IF(K742="C","Baik",IF(K742="D","Kurang Memuaskan",IF(K742="E","Tidak Memuaskan","Tidak Laksana"))))))</f>
        <v/>
      </c>
    </row>
    <row r="743">
      <c r="A743" s="15">
        <f>Murid!A743</f>
        <v/>
      </c>
      <c r="B743" s="15">
        <f>IF(Murid!B743="","",Murid!B743)</f>
        <v/>
      </c>
      <c r="C743" s="16">
        <f>IF(Murid!C743="","",Murid!C743)</f>
        <v/>
      </c>
      <c r="D743" s="15">
        <f>IF(Murid!E743="","",Murid!E743)</f>
        <v/>
      </c>
      <c r="E743" s="17">
        <f>KP!X743</f>
        <v/>
      </c>
      <c r="F743" s="17">
        <f>UB!X743</f>
        <v/>
      </c>
      <c r="G743" s="17">
        <f>SP!X743</f>
        <v/>
      </c>
      <c r="H743" s="17">
        <f>IF(COUNT(E743:G743)=0,"",ROUND((LARGE(E743:G743,1)+IF(COUNT(E743:G743)&gt;=2,LARGE(E743:G743,2),0))/2,2))</f>
        <v/>
      </c>
      <c r="I743" s="10">
        <f>Ekstra!U743</f>
        <v/>
      </c>
      <c r="J743" s="18">
        <f>IF(B743="","",IF(Murid!F743="TL","TL",IF(H743="","",MIN(100,ROUND(H743+N(I743),2)))))</f>
        <v/>
      </c>
      <c r="K743" s="19">
        <f>IF(J743="","",IF(J743="TL","TL",IF(J743&gt;=80,"A",IF(J743&gt;=60,"B",IF(J743&gt;=40,"C",IF(J743&gt;=20,"D","E"))))))</f>
        <v/>
      </c>
      <c r="L743" s="15">
        <f>IF(K743="","",IF(K743="A","Cemerlang",IF(K743="B","Kepujian",IF(K743="C","Baik",IF(K743="D","Kurang Memuaskan",IF(K743="E","Tidak Memuaskan","Tidak Laksana"))))))</f>
        <v/>
      </c>
    </row>
    <row r="744">
      <c r="A744" s="15">
        <f>Murid!A744</f>
        <v/>
      </c>
      <c r="B744" s="15">
        <f>IF(Murid!B744="","",Murid!B744)</f>
        <v/>
      </c>
      <c r="C744" s="16">
        <f>IF(Murid!C744="","",Murid!C744)</f>
        <v/>
      </c>
      <c r="D744" s="15">
        <f>IF(Murid!E744="","",Murid!E744)</f>
        <v/>
      </c>
      <c r="E744" s="17">
        <f>KP!X744</f>
        <v/>
      </c>
      <c r="F744" s="17">
        <f>UB!X744</f>
        <v/>
      </c>
      <c r="G744" s="17">
        <f>SP!X744</f>
        <v/>
      </c>
      <c r="H744" s="17">
        <f>IF(COUNT(E744:G744)=0,"",ROUND((LARGE(E744:G744,1)+IF(COUNT(E744:G744)&gt;=2,LARGE(E744:G744,2),0))/2,2))</f>
        <v/>
      </c>
      <c r="I744" s="10">
        <f>Ekstra!U744</f>
        <v/>
      </c>
      <c r="J744" s="18">
        <f>IF(B744="","",IF(Murid!F744="TL","TL",IF(H744="","",MIN(100,ROUND(H744+N(I744),2)))))</f>
        <v/>
      </c>
      <c r="K744" s="19">
        <f>IF(J744="","",IF(J744="TL","TL",IF(J744&gt;=80,"A",IF(J744&gt;=60,"B",IF(J744&gt;=40,"C",IF(J744&gt;=20,"D","E"))))))</f>
        <v/>
      </c>
      <c r="L744" s="15">
        <f>IF(K744="","",IF(K744="A","Cemerlang",IF(K744="B","Kepujian",IF(K744="C","Baik",IF(K744="D","Kurang Memuaskan",IF(K744="E","Tidak Memuaskan","Tidak Laksana"))))))</f>
        <v/>
      </c>
    </row>
    <row r="745">
      <c r="A745" s="15">
        <f>Murid!A745</f>
        <v/>
      </c>
      <c r="B745" s="15">
        <f>IF(Murid!B745="","",Murid!B745)</f>
        <v/>
      </c>
      <c r="C745" s="16">
        <f>IF(Murid!C745="","",Murid!C745)</f>
        <v/>
      </c>
      <c r="D745" s="15">
        <f>IF(Murid!E745="","",Murid!E745)</f>
        <v/>
      </c>
      <c r="E745" s="17">
        <f>KP!X745</f>
        <v/>
      </c>
      <c r="F745" s="17">
        <f>UB!X745</f>
        <v/>
      </c>
      <c r="G745" s="17">
        <f>SP!X745</f>
        <v/>
      </c>
      <c r="H745" s="17">
        <f>IF(COUNT(E745:G745)=0,"",ROUND((LARGE(E745:G745,1)+IF(COUNT(E745:G745)&gt;=2,LARGE(E745:G745,2),0))/2,2))</f>
        <v/>
      </c>
      <c r="I745" s="10">
        <f>Ekstra!U745</f>
        <v/>
      </c>
      <c r="J745" s="18">
        <f>IF(B745="","",IF(Murid!F745="TL","TL",IF(H745="","",MIN(100,ROUND(H745+N(I745),2)))))</f>
        <v/>
      </c>
      <c r="K745" s="19">
        <f>IF(J745="","",IF(J745="TL","TL",IF(J745&gt;=80,"A",IF(J745&gt;=60,"B",IF(J745&gt;=40,"C",IF(J745&gt;=20,"D","E"))))))</f>
        <v/>
      </c>
      <c r="L745" s="15">
        <f>IF(K745="","",IF(K745="A","Cemerlang",IF(K745="B","Kepujian",IF(K745="C","Baik",IF(K745="D","Kurang Memuaskan",IF(K745="E","Tidak Memuaskan","Tidak Laksana"))))))</f>
        <v/>
      </c>
    </row>
    <row r="746">
      <c r="A746" s="15">
        <f>Murid!A746</f>
        <v/>
      </c>
      <c r="B746" s="15">
        <f>IF(Murid!B746="","",Murid!B746)</f>
        <v/>
      </c>
      <c r="C746" s="16">
        <f>IF(Murid!C746="","",Murid!C746)</f>
        <v/>
      </c>
      <c r="D746" s="15">
        <f>IF(Murid!E746="","",Murid!E746)</f>
        <v/>
      </c>
      <c r="E746" s="17">
        <f>KP!X746</f>
        <v/>
      </c>
      <c r="F746" s="17">
        <f>UB!X746</f>
        <v/>
      </c>
      <c r="G746" s="17">
        <f>SP!X746</f>
        <v/>
      </c>
      <c r="H746" s="17">
        <f>IF(COUNT(E746:G746)=0,"",ROUND((LARGE(E746:G746,1)+IF(COUNT(E746:G746)&gt;=2,LARGE(E746:G746,2),0))/2,2))</f>
        <v/>
      </c>
      <c r="I746" s="10">
        <f>Ekstra!U746</f>
        <v/>
      </c>
      <c r="J746" s="18">
        <f>IF(B746="","",IF(Murid!F746="TL","TL",IF(H746="","",MIN(100,ROUND(H746+N(I746),2)))))</f>
        <v/>
      </c>
      <c r="K746" s="19">
        <f>IF(J746="","",IF(J746="TL","TL",IF(J746&gt;=80,"A",IF(J746&gt;=60,"B",IF(J746&gt;=40,"C",IF(J746&gt;=20,"D","E"))))))</f>
        <v/>
      </c>
      <c r="L746" s="15">
        <f>IF(K746="","",IF(K746="A","Cemerlang",IF(K746="B","Kepujian",IF(K746="C","Baik",IF(K746="D","Kurang Memuaskan",IF(K746="E","Tidak Memuaskan","Tidak Laksana"))))))</f>
        <v/>
      </c>
    </row>
    <row r="747">
      <c r="A747" s="15">
        <f>Murid!A747</f>
        <v/>
      </c>
      <c r="B747" s="15">
        <f>IF(Murid!B747="","",Murid!B747)</f>
        <v/>
      </c>
      <c r="C747" s="16">
        <f>IF(Murid!C747="","",Murid!C747)</f>
        <v/>
      </c>
      <c r="D747" s="15">
        <f>IF(Murid!E747="","",Murid!E747)</f>
        <v/>
      </c>
      <c r="E747" s="17">
        <f>KP!X747</f>
        <v/>
      </c>
      <c r="F747" s="17">
        <f>UB!X747</f>
        <v/>
      </c>
      <c r="G747" s="17">
        <f>SP!X747</f>
        <v/>
      </c>
      <c r="H747" s="17">
        <f>IF(COUNT(E747:G747)=0,"",ROUND((LARGE(E747:G747,1)+IF(COUNT(E747:G747)&gt;=2,LARGE(E747:G747,2),0))/2,2))</f>
        <v/>
      </c>
      <c r="I747" s="10">
        <f>Ekstra!U747</f>
        <v/>
      </c>
      <c r="J747" s="18">
        <f>IF(B747="","",IF(Murid!F747="TL","TL",IF(H747="","",MIN(100,ROUND(H747+N(I747),2)))))</f>
        <v/>
      </c>
      <c r="K747" s="19">
        <f>IF(J747="","",IF(J747="TL","TL",IF(J747&gt;=80,"A",IF(J747&gt;=60,"B",IF(J747&gt;=40,"C",IF(J747&gt;=20,"D","E"))))))</f>
        <v/>
      </c>
      <c r="L747" s="15">
        <f>IF(K747="","",IF(K747="A","Cemerlang",IF(K747="B","Kepujian",IF(K747="C","Baik",IF(K747="D","Kurang Memuaskan",IF(K747="E","Tidak Memuaskan","Tidak Laksana"))))))</f>
        <v/>
      </c>
    </row>
    <row r="748">
      <c r="A748" s="15">
        <f>Murid!A748</f>
        <v/>
      </c>
      <c r="B748" s="15">
        <f>IF(Murid!B748="","",Murid!B748)</f>
        <v/>
      </c>
      <c r="C748" s="16">
        <f>IF(Murid!C748="","",Murid!C748)</f>
        <v/>
      </c>
      <c r="D748" s="15">
        <f>IF(Murid!E748="","",Murid!E748)</f>
        <v/>
      </c>
      <c r="E748" s="17">
        <f>KP!X748</f>
        <v/>
      </c>
      <c r="F748" s="17">
        <f>UB!X748</f>
        <v/>
      </c>
      <c r="G748" s="17">
        <f>SP!X748</f>
        <v/>
      </c>
      <c r="H748" s="17">
        <f>IF(COUNT(E748:G748)=0,"",ROUND((LARGE(E748:G748,1)+IF(COUNT(E748:G748)&gt;=2,LARGE(E748:G748,2),0))/2,2))</f>
        <v/>
      </c>
      <c r="I748" s="10">
        <f>Ekstra!U748</f>
        <v/>
      </c>
      <c r="J748" s="18">
        <f>IF(B748="","",IF(Murid!F748="TL","TL",IF(H748="","",MIN(100,ROUND(H748+N(I748),2)))))</f>
        <v/>
      </c>
      <c r="K748" s="19">
        <f>IF(J748="","",IF(J748="TL","TL",IF(J748&gt;=80,"A",IF(J748&gt;=60,"B",IF(J748&gt;=40,"C",IF(J748&gt;=20,"D","E"))))))</f>
        <v/>
      </c>
      <c r="L748" s="15">
        <f>IF(K748="","",IF(K748="A","Cemerlang",IF(K748="B","Kepujian",IF(K748="C","Baik",IF(K748="D","Kurang Memuaskan",IF(K748="E","Tidak Memuaskan","Tidak Laksana"))))))</f>
        <v/>
      </c>
    </row>
    <row r="749">
      <c r="A749" s="15">
        <f>Murid!A749</f>
        <v/>
      </c>
      <c r="B749" s="15">
        <f>IF(Murid!B749="","",Murid!B749)</f>
        <v/>
      </c>
      <c r="C749" s="16">
        <f>IF(Murid!C749="","",Murid!C749)</f>
        <v/>
      </c>
      <c r="D749" s="15">
        <f>IF(Murid!E749="","",Murid!E749)</f>
        <v/>
      </c>
      <c r="E749" s="17">
        <f>KP!X749</f>
        <v/>
      </c>
      <c r="F749" s="17">
        <f>UB!X749</f>
        <v/>
      </c>
      <c r="G749" s="17">
        <f>SP!X749</f>
        <v/>
      </c>
      <c r="H749" s="17">
        <f>IF(COUNT(E749:G749)=0,"",ROUND((LARGE(E749:G749,1)+IF(COUNT(E749:G749)&gt;=2,LARGE(E749:G749,2),0))/2,2))</f>
        <v/>
      </c>
      <c r="I749" s="10">
        <f>Ekstra!U749</f>
        <v/>
      </c>
      <c r="J749" s="18">
        <f>IF(B749="","",IF(Murid!F749="TL","TL",IF(H749="","",MIN(100,ROUND(H749+N(I749),2)))))</f>
        <v/>
      </c>
      <c r="K749" s="19">
        <f>IF(J749="","",IF(J749="TL","TL",IF(J749&gt;=80,"A",IF(J749&gt;=60,"B",IF(J749&gt;=40,"C",IF(J749&gt;=20,"D","E"))))))</f>
        <v/>
      </c>
      <c r="L749" s="15">
        <f>IF(K749="","",IF(K749="A","Cemerlang",IF(K749="B","Kepujian",IF(K749="C","Baik",IF(K749="D","Kurang Memuaskan",IF(K749="E","Tidak Memuaskan","Tidak Laksana"))))))</f>
        <v/>
      </c>
    </row>
    <row r="750">
      <c r="A750" s="15">
        <f>Murid!A750</f>
        <v/>
      </c>
      <c r="B750" s="15">
        <f>IF(Murid!B750="","",Murid!B750)</f>
        <v/>
      </c>
      <c r="C750" s="16">
        <f>IF(Murid!C750="","",Murid!C750)</f>
        <v/>
      </c>
      <c r="D750" s="15">
        <f>IF(Murid!E750="","",Murid!E750)</f>
        <v/>
      </c>
      <c r="E750" s="17">
        <f>KP!X750</f>
        <v/>
      </c>
      <c r="F750" s="17">
        <f>UB!X750</f>
        <v/>
      </c>
      <c r="G750" s="17">
        <f>SP!X750</f>
        <v/>
      </c>
      <c r="H750" s="17">
        <f>IF(COUNT(E750:G750)=0,"",ROUND((LARGE(E750:G750,1)+IF(COUNT(E750:G750)&gt;=2,LARGE(E750:G750,2),0))/2,2))</f>
        <v/>
      </c>
      <c r="I750" s="10">
        <f>Ekstra!U750</f>
        <v/>
      </c>
      <c r="J750" s="18">
        <f>IF(B750="","",IF(Murid!F750="TL","TL",IF(H750="","",MIN(100,ROUND(H750+N(I750),2)))))</f>
        <v/>
      </c>
      <c r="K750" s="19">
        <f>IF(J750="","",IF(J750="TL","TL",IF(J750&gt;=80,"A",IF(J750&gt;=60,"B",IF(J750&gt;=40,"C",IF(J750&gt;=20,"D","E"))))))</f>
        <v/>
      </c>
      <c r="L750" s="15">
        <f>IF(K750="","",IF(K750="A","Cemerlang",IF(K750="B","Kepujian",IF(K750="C","Baik",IF(K750="D","Kurang Memuaskan",IF(K750="E","Tidak Memuaskan","Tidak Laksana"))))))</f>
        <v/>
      </c>
    </row>
    <row r="751">
      <c r="A751" s="15">
        <f>Murid!A751</f>
        <v/>
      </c>
      <c r="B751" s="15">
        <f>IF(Murid!B751="","",Murid!B751)</f>
        <v/>
      </c>
      <c r="C751" s="16">
        <f>IF(Murid!C751="","",Murid!C751)</f>
        <v/>
      </c>
      <c r="D751" s="15">
        <f>IF(Murid!E751="","",Murid!E751)</f>
        <v/>
      </c>
      <c r="E751" s="17">
        <f>KP!X751</f>
        <v/>
      </c>
      <c r="F751" s="17">
        <f>UB!X751</f>
        <v/>
      </c>
      <c r="G751" s="17">
        <f>SP!X751</f>
        <v/>
      </c>
      <c r="H751" s="17">
        <f>IF(COUNT(E751:G751)=0,"",ROUND((LARGE(E751:G751,1)+IF(COUNT(E751:G751)&gt;=2,LARGE(E751:G751,2),0))/2,2))</f>
        <v/>
      </c>
      <c r="I751" s="10">
        <f>Ekstra!U751</f>
        <v/>
      </c>
      <c r="J751" s="18">
        <f>IF(B751="","",IF(Murid!F751="TL","TL",IF(H751="","",MIN(100,ROUND(H751+N(I751),2)))))</f>
        <v/>
      </c>
      <c r="K751" s="19">
        <f>IF(J751="","",IF(J751="TL","TL",IF(J751&gt;=80,"A",IF(J751&gt;=60,"B",IF(J751&gt;=40,"C",IF(J751&gt;=20,"D","E"))))))</f>
        <v/>
      </c>
      <c r="L751" s="15">
        <f>IF(K751="","",IF(K751="A","Cemerlang",IF(K751="B","Kepujian",IF(K751="C","Baik",IF(K751="D","Kurang Memuaskan",IF(K751="E","Tidak Memuaskan","Tidak Laksana"))))))</f>
        <v/>
      </c>
    </row>
    <row r="752">
      <c r="A752" s="15">
        <f>Murid!A752</f>
        <v/>
      </c>
      <c r="B752" s="15">
        <f>IF(Murid!B752="","",Murid!B752)</f>
        <v/>
      </c>
      <c r="C752" s="16">
        <f>IF(Murid!C752="","",Murid!C752)</f>
        <v/>
      </c>
      <c r="D752" s="15">
        <f>IF(Murid!E752="","",Murid!E752)</f>
        <v/>
      </c>
      <c r="E752" s="17">
        <f>KP!X752</f>
        <v/>
      </c>
      <c r="F752" s="17">
        <f>UB!X752</f>
        <v/>
      </c>
      <c r="G752" s="17">
        <f>SP!X752</f>
        <v/>
      </c>
      <c r="H752" s="17">
        <f>IF(COUNT(E752:G752)=0,"",ROUND((LARGE(E752:G752,1)+IF(COUNT(E752:G752)&gt;=2,LARGE(E752:G752,2),0))/2,2))</f>
        <v/>
      </c>
      <c r="I752" s="10">
        <f>Ekstra!U752</f>
        <v/>
      </c>
      <c r="J752" s="18">
        <f>IF(B752="","",IF(Murid!F752="TL","TL",IF(H752="","",MIN(100,ROUND(H752+N(I752),2)))))</f>
        <v/>
      </c>
      <c r="K752" s="19">
        <f>IF(J752="","",IF(J752="TL","TL",IF(J752&gt;=80,"A",IF(J752&gt;=60,"B",IF(J752&gt;=40,"C",IF(J752&gt;=20,"D","E"))))))</f>
        <v/>
      </c>
      <c r="L752" s="15">
        <f>IF(K752="","",IF(K752="A","Cemerlang",IF(K752="B","Kepujian",IF(K752="C","Baik",IF(K752="D","Kurang Memuaskan",IF(K752="E","Tidak Memuaskan","Tidak Laksana"))))))</f>
        <v/>
      </c>
    </row>
    <row r="753">
      <c r="A753" s="15">
        <f>Murid!A753</f>
        <v/>
      </c>
      <c r="B753" s="15">
        <f>IF(Murid!B753="","",Murid!B753)</f>
        <v/>
      </c>
      <c r="C753" s="16">
        <f>IF(Murid!C753="","",Murid!C753)</f>
        <v/>
      </c>
      <c r="D753" s="15">
        <f>IF(Murid!E753="","",Murid!E753)</f>
        <v/>
      </c>
      <c r="E753" s="17">
        <f>KP!X753</f>
        <v/>
      </c>
      <c r="F753" s="17">
        <f>UB!X753</f>
        <v/>
      </c>
      <c r="G753" s="17">
        <f>SP!X753</f>
        <v/>
      </c>
      <c r="H753" s="17">
        <f>IF(COUNT(E753:G753)=0,"",ROUND((LARGE(E753:G753,1)+IF(COUNT(E753:G753)&gt;=2,LARGE(E753:G753,2),0))/2,2))</f>
        <v/>
      </c>
      <c r="I753" s="10">
        <f>Ekstra!U753</f>
        <v/>
      </c>
      <c r="J753" s="18">
        <f>IF(B753="","",IF(Murid!F753="TL","TL",IF(H753="","",MIN(100,ROUND(H753+N(I753),2)))))</f>
        <v/>
      </c>
      <c r="K753" s="19">
        <f>IF(J753="","",IF(J753="TL","TL",IF(J753&gt;=80,"A",IF(J753&gt;=60,"B",IF(J753&gt;=40,"C",IF(J753&gt;=20,"D","E"))))))</f>
        <v/>
      </c>
      <c r="L753" s="15">
        <f>IF(K753="","",IF(K753="A","Cemerlang",IF(K753="B","Kepujian",IF(K753="C","Baik",IF(K753="D","Kurang Memuaskan",IF(K753="E","Tidak Memuaskan","Tidak Laksana"))))))</f>
        <v/>
      </c>
    </row>
    <row r="754">
      <c r="A754" s="15">
        <f>Murid!A754</f>
        <v/>
      </c>
      <c r="B754" s="15">
        <f>IF(Murid!B754="","",Murid!B754)</f>
        <v/>
      </c>
      <c r="C754" s="16">
        <f>IF(Murid!C754="","",Murid!C754)</f>
        <v/>
      </c>
      <c r="D754" s="15">
        <f>IF(Murid!E754="","",Murid!E754)</f>
        <v/>
      </c>
      <c r="E754" s="17">
        <f>KP!X754</f>
        <v/>
      </c>
      <c r="F754" s="17">
        <f>UB!X754</f>
        <v/>
      </c>
      <c r="G754" s="17">
        <f>SP!X754</f>
        <v/>
      </c>
      <c r="H754" s="17">
        <f>IF(COUNT(E754:G754)=0,"",ROUND((LARGE(E754:G754,1)+IF(COUNT(E754:G754)&gt;=2,LARGE(E754:G754,2),0))/2,2))</f>
        <v/>
      </c>
      <c r="I754" s="10">
        <f>Ekstra!U754</f>
        <v/>
      </c>
      <c r="J754" s="18">
        <f>IF(B754="","",IF(Murid!F754="TL","TL",IF(H754="","",MIN(100,ROUND(H754+N(I754),2)))))</f>
        <v/>
      </c>
      <c r="K754" s="19">
        <f>IF(J754="","",IF(J754="TL","TL",IF(J754&gt;=80,"A",IF(J754&gt;=60,"B",IF(J754&gt;=40,"C",IF(J754&gt;=20,"D","E"))))))</f>
        <v/>
      </c>
      <c r="L754" s="15">
        <f>IF(K754="","",IF(K754="A","Cemerlang",IF(K754="B","Kepujian",IF(K754="C","Baik",IF(K754="D","Kurang Memuaskan",IF(K754="E","Tidak Memuaskan","Tidak Laksana"))))))</f>
        <v/>
      </c>
    </row>
    <row r="755">
      <c r="A755" s="15">
        <f>Murid!A755</f>
        <v/>
      </c>
      <c r="B755" s="15">
        <f>IF(Murid!B755="","",Murid!B755)</f>
        <v/>
      </c>
      <c r="C755" s="16">
        <f>IF(Murid!C755="","",Murid!C755)</f>
        <v/>
      </c>
      <c r="D755" s="15">
        <f>IF(Murid!E755="","",Murid!E755)</f>
        <v/>
      </c>
      <c r="E755" s="17">
        <f>KP!X755</f>
        <v/>
      </c>
      <c r="F755" s="17">
        <f>UB!X755</f>
        <v/>
      </c>
      <c r="G755" s="17">
        <f>SP!X755</f>
        <v/>
      </c>
      <c r="H755" s="17">
        <f>IF(COUNT(E755:G755)=0,"",ROUND((LARGE(E755:G755,1)+IF(COUNT(E755:G755)&gt;=2,LARGE(E755:G755,2),0))/2,2))</f>
        <v/>
      </c>
      <c r="I755" s="10">
        <f>Ekstra!U755</f>
        <v/>
      </c>
      <c r="J755" s="18">
        <f>IF(B755="","",IF(Murid!F755="TL","TL",IF(H755="","",MIN(100,ROUND(H755+N(I755),2)))))</f>
        <v/>
      </c>
      <c r="K755" s="19">
        <f>IF(J755="","",IF(J755="TL","TL",IF(J755&gt;=80,"A",IF(J755&gt;=60,"B",IF(J755&gt;=40,"C",IF(J755&gt;=20,"D","E"))))))</f>
        <v/>
      </c>
      <c r="L755" s="15">
        <f>IF(K755="","",IF(K755="A","Cemerlang",IF(K755="B","Kepujian",IF(K755="C","Baik",IF(K755="D","Kurang Memuaskan",IF(K755="E","Tidak Memuaskan","Tidak Laksana"))))))</f>
        <v/>
      </c>
    </row>
    <row r="756">
      <c r="A756" s="15">
        <f>Murid!A756</f>
        <v/>
      </c>
      <c r="B756" s="15">
        <f>IF(Murid!B756="","",Murid!B756)</f>
        <v/>
      </c>
      <c r="C756" s="16">
        <f>IF(Murid!C756="","",Murid!C756)</f>
        <v/>
      </c>
      <c r="D756" s="15">
        <f>IF(Murid!E756="","",Murid!E756)</f>
        <v/>
      </c>
      <c r="E756" s="17">
        <f>KP!X756</f>
        <v/>
      </c>
      <c r="F756" s="17">
        <f>UB!X756</f>
        <v/>
      </c>
      <c r="G756" s="17">
        <f>SP!X756</f>
        <v/>
      </c>
      <c r="H756" s="17">
        <f>IF(COUNT(E756:G756)=0,"",ROUND((LARGE(E756:G756,1)+IF(COUNT(E756:G756)&gt;=2,LARGE(E756:G756,2),0))/2,2))</f>
        <v/>
      </c>
      <c r="I756" s="10">
        <f>Ekstra!U756</f>
        <v/>
      </c>
      <c r="J756" s="18">
        <f>IF(B756="","",IF(Murid!F756="TL","TL",IF(H756="","",MIN(100,ROUND(H756+N(I756),2)))))</f>
        <v/>
      </c>
      <c r="K756" s="19">
        <f>IF(J756="","",IF(J756="TL","TL",IF(J756&gt;=80,"A",IF(J756&gt;=60,"B",IF(J756&gt;=40,"C",IF(J756&gt;=20,"D","E"))))))</f>
        <v/>
      </c>
      <c r="L756" s="15">
        <f>IF(K756="","",IF(K756="A","Cemerlang",IF(K756="B","Kepujian",IF(K756="C","Baik",IF(K756="D","Kurang Memuaskan",IF(K756="E","Tidak Memuaskan","Tidak Laksana"))))))</f>
        <v/>
      </c>
    </row>
    <row r="757">
      <c r="A757" s="15">
        <f>Murid!A757</f>
        <v/>
      </c>
      <c r="B757" s="15">
        <f>IF(Murid!B757="","",Murid!B757)</f>
        <v/>
      </c>
      <c r="C757" s="16">
        <f>IF(Murid!C757="","",Murid!C757)</f>
        <v/>
      </c>
      <c r="D757" s="15">
        <f>IF(Murid!E757="","",Murid!E757)</f>
        <v/>
      </c>
      <c r="E757" s="17">
        <f>KP!X757</f>
        <v/>
      </c>
      <c r="F757" s="17">
        <f>UB!X757</f>
        <v/>
      </c>
      <c r="G757" s="17">
        <f>SP!X757</f>
        <v/>
      </c>
      <c r="H757" s="17">
        <f>IF(COUNT(E757:G757)=0,"",ROUND((LARGE(E757:G757,1)+IF(COUNT(E757:G757)&gt;=2,LARGE(E757:G757,2),0))/2,2))</f>
        <v/>
      </c>
      <c r="I757" s="10">
        <f>Ekstra!U757</f>
        <v/>
      </c>
      <c r="J757" s="18">
        <f>IF(B757="","",IF(Murid!F757="TL","TL",IF(H757="","",MIN(100,ROUND(H757+N(I757),2)))))</f>
        <v/>
      </c>
      <c r="K757" s="19">
        <f>IF(J757="","",IF(J757="TL","TL",IF(J757&gt;=80,"A",IF(J757&gt;=60,"B",IF(J757&gt;=40,"C",IF(J757&gt;=20,"D","E"))))))</f>
        <v/>
      </c>
      <c r="L757" s="15">
        <f>IF(K757="","",IF(K757="A","Cemerlang",IF(K757="B","Kepujian",IF(K757="C","Baik",IF(K757="D","Kurang Memuaskan",IF(K757="E","Tidak Memuaskan","Tidak Laksana"))))))</f>
        <v/>
      </c>
    </row>
    <row r="758">
      <c r="A758" s="15">
        <f>Murid!A758</f>
        <v/>
      </c>
      <c r="B758" s="15">
        <f>IF(Murid!B758="","",Murid!B758)</f>
        <v/>
      </c>
      <c r="C758" s="16">
        <f>IF(Murid!C758="","",Murid!C758)</f>
        <v/>
      </c>
      <c r="D758" s="15">
        <f>IF(Murid!E758="","",Murid!E758)</f>
        <v/>
      </c>
      <c r="E758" s="17">
        <f>KP!X758</f>
        <v/>
      </c>
      <c r="F758" s="17">
        <f>UB!X758</f>
        <v/>
      </c>
      <c r="G758" s="17">
        <f>SP!X758</f>
        <v/>
      </c>
      <c r="H758" s="17">
        <f>IF(COUNT(E758:G758)=0,"",ROUND((LARGE(E758:G758,1)+IF(COUNT(E758:G758)&gt;=2,LARGE(E758:G758,2),0))/2,2))</f>
        <v/>
      </c>
      <c r="I758" s="10">
        <f>Ekstra!U758</f>
        <v/>
      </c>
      <c r="J758" s="18">
        <f>IF(B758="","",IF(Murid!F758="TL","TL",IF(H758="","",MIN(100,ROUND(H758+N(I758),2)))))</f>
        <v/>
      </c>
      <c r="K758" s="19">
        <f>IF(J758="","",IF(J758="TL","TL",IF(J758&gt;=80,"A",IF(J758&gt;=60,"B",IF(J758&gt;=40,"C",IF(J758&gt;=20,"D","E"))))))</f>
        <v/>
      </c>
      <c r="L758" s="15">
        <f>IF(K758="","",IF(K758="A","Cemerlang",IF(K758="B","Kepujian",IF(K758="C","Baik",IF(K758="D","Kurang Memuaskan",IF(K758="E","Tidak Memuaskan","Tidak Laksana"))))))</f>
        <v/>
      </c>
    </row>
    <row r="759">
      <c r="A759" s="15">
        <f>Murid!A759</f>
        <v/>
      </c>
      <c r="B759" s="15">
        <f>IF(Murid!B759="","",Murid!B759)</f>
        <v/>
      </c>
      <c r="C759" s="16">
        <f>IF(Murid!C759="","",Murid!C759)</f>
        <v/>
      </c>
      <c r="D759" s="15">
        <f>IF(Murid!E759="","",Murid!E759)</f>
        <v/>
      </c>
      <c r="E759" s="17">
        <f>KP!X759</f>
        <v/>
      </c>
      <c r="F759" s="17">
        <f>UB!X759</f>
        <v/>
      </c>
      <c r="G759" s="17">
        <f>SP!X759</f>
        <v/>
      </c>
      <c r="H759" s="17">
        <f>IF(COUNT(E759:G759)=0,"",ROUND((LARGE(E759:G759,1)+IF(COUNT(E759:G759)&gt;=2,LARGE(E759:G759,2),0))/2,2))</f>
        <v/>
      </c>
      <c r="I759" s="10">
        <f>Ekstra!U759</f>
        <v/>
      </c>
      <c r="J759" s="18">
        <f>IF(B759="","",IF(Murid!F759="TL","TL",IF(H759="","",MIN(100,ROUND(H759+N(I759),2)))))</f>
        <v/>
      </c>
      <c r="K759" s="19">
        <f>IF(J759="","",IF(J759="TL","TL",IF(J759&gt;=80,"A",IF(J759&gt;=60,"B",IF(J759&gt;=40,"C",IF(J759&gt;=20,"D","E"))))))</f>
        <v/>
      </c>
      <c r="L759" s="15">
        <f>IF(K759="","",IF(K759="A","Cemerlang",IF(K759="B","Kepujian",IF(K759="C","Baik",IF(K759="D","Kurang Memuaskan",IF(K759="E","Tidak Memuaskan","Tidak Laksana"))))))</f>
        <v/>
      </c>
    </row>
    <row r="760">
      <c r="A760" s="15">
        <f>Murid!A760</f>
        <v/>
      </c>
      <c r="B760" s="15">
        <f>IF(Murid!B760="","",Murid!B760)</f>
        <v/>
      </c>
      <c r="C760" s="16">
        <f>IF(Murid!C760="","",Murid!C760)</f>
        <v/>
      </c>
      <c r="D760" s="15">
        <f>IF(Murid!E760="","",Murid!E760)</f>
        <v/>
      </c>
      <c r="E760" s="17">
        <f>KP!X760</f>
        <v/>
      </c>
      <c r="F760" s="17">
        <f>UB!X760</f>
        <v/>
      </c>
      <c r="G760" s="17">
        <f>SP!X760</f>
        <v/>
      </c>
      <c r="H760" s="17">
        <f>IF(COUNT(E760:G760)=0,"",ROUND((LARGE(E760:G760,1)+IF(COUNT(E760:G760)&gt;=2,LARGE(E760:G760,2),0))/2,2))</f>
        <v/>
      </c>
      <c r="I760" s="10">
        <f>Ekstra!U760</f>
        <v/>
      </c>
      <c r="J760" s="18">
        <f>IF(B760="","",IF(Murid!F760="TL","TL",IF(H760="","",MIN(100,ROUND(H760+N(I760),2)))))</f>
        <v/>
      </c>
      <c r="K760" s="19">
        <f>IF(J760="","",IF(J760="TL","TL",IF(J760&gt;=80,"A",IF(J760&gt;=60,"B",IF(J760&gt;=40,"C",IF(J760&gt;=20,"D","E"))))))</f>
        <v/>
      </c>
      <c r="L760" s="15">
        <f>IF(K760="","",IF(K760="A","Cemerlang",IF(K760="B","Kepujian",IF(K760="C","Baik",IF(K760="D","Kurang Memuaskan",IF(K760="E","Tidak Memuaskan","Tidak Laksana"))))))</f>
        <v/>
      </c>
    </row>
    <row r="761">
      <c r="A761" s="15">
        <f>Murid!A761</f>
        <v/>
      </c>
      <c r="B761" s="15">
        <f>IF(Murid!B761="","",Murid!B761)</f>
        <v/>
      </c>
      <c r="C761" s="16">
        <f>IF(Murid!C761="","",Murid!C761)</f>
        <v/>
      </c>
      <c r="D761" s="15">
        <f>IF(Murid!E761="","",Murid!E761)</f>
        <v/>
      </c>
      <c r="E761" s="17">
        <f>KP!X761</f>
        <v/>
      </c>
      <c r="F761" s="17">
        <f>UB!X761</f>
        <v/>
      </c>
      <c r="G761" s="17">
        <f>SP!X761</f>
        <v/>
      </c>
      <c r="H761" s="17">
        <f>IF(COUNT(E761:G761)=0,"",ROUND((LARGE(E761:G761,1)+IF(COUNT(E761:G761)&gt;=2,LARGE(E761:G761,2),0))/2,2))</f>
        <v/>
      </c>
      <c r="I761" s="10">
        <f>Ekstra!U761</f>
        <v/>
      </c>
      <c r="J761" s="18">
        <f>IF(B761="","",IF(Murid!F761="TL","TL",IF(H761="","",MIN(100,ROUND(H761+N(I761),2)))))</f>
        <v/>
      </c>
      <c r="K761" s="19">
        <f>IF(J761="","",IF(J761="TL","TL",IF(J761&gt;=80,"A",IF(J761&gt;=60,"B",IF(J761&gt;=40,"C",IF(J761&gt;=20,"D","E"))))))</f>
        <v/>
      </c>
      <c r="L761" s="15">
        <f>IF(K761="","",IF(K761="A","Cemerlang",IF(K761="B","Kepujian",IF(K761="C","Baik",IF(K761="D","Kurang Memuaskan",IF(K761="E","Tidak Memuaskan","Tidak Laksana"))))))</f>
        <v/>
      </c>
    </row>
    <row r="762">
      <c r="A762" s="15">
        <f>Murid!A762</f>
        <v/>
      </c>
      <c r="B762" s="15">
        <f>IF(Murid!B762="","",Murid!B762)</f>
        <v/>
      </c>
      <c r="C762" s="16">
        <f>IF(Murid!C762="","",Murid!C762)</f>
        <v/>
      </c>
      <c r="D762" s="15">
        <f>IF(Murid!E762="","",Murid!E762)</f>
        <v/>
      </c>
      <c r="E762" s="17">
        <f>KP!X762</f>
        <v/>
      </c>
      <c r="F762" s="17">
        <f>UB!X762</f>
        <v/>
      </c>
      <c r="G762" s="17">
        <f>SP!X762</f>
        <v/>
      </c>
      <c r="H762" s="17">
        <f>IF(COUNT(E762:G762)=0,"",ROUND((LARGE(E762:G762,1)+IF(COUNT(E762:G762)&gt;=2,LARGE(E762:G762,2),0))/2,2))</f>
        <v/>
      </c>
      <c r="I762" s="10">
        <f>Ekstra!U762</f>
        <v/>
      </c>
      <c r="J762" s="18">
        <f>IF(B762="","",IF(Murid!F762="TL","TL",IF(H762="","",MIN(100,ROUND(H762+N(I762),2)))))</f>
        <v/>
      </c>
      <c r="K762" s="19">
        <f>IF(J762="","",IF(J762="TL","TL",IF(J762&gt;=80,"A",IF(J762&gt;=60,"B",IF(J762&gt;=40,"C",IF(J762&gt;=20,"D","E"))))))</f>
        <v/>
      </c>
      <c r="L762" s="15">
        <f>IF(K762="","",IF(K762="A","Cemerlang",IF(K762="B","Kepujian",IF(K762="C","Baik",IF(K762="D","Kurang Memuaskan",IF(K762="E","Tidak Memuaskan","Tidak Laksana"))))))</f>
        <v/>
      </c>
    </row>
    <row r="763">
      <c r="A763" s="15">
        <f>Murid!A763</f>
        <v/>
      </c>
      <c r="B763" s="15">
        <f>IF(Murid!B763="","",Murid!B763)</f>
        <v/>
      </c>
      <c r="C763" s="16">
        <f>IF(Murid!C763="","",Murid!C763)</f>
        <v/>
      </c>
      <c r="D763" s="15">
        <f>IF(Murid!E763="","",Murid!E763)</f>
        <v/>
      </c>
      <c r="E763" s="17">
        <f>KP!X763</f>
        <v/>
      </c>
      <c r="F763" s="17">
        <f>UB!X763</f>
        <v/>
      </c>
      <c r="G763" s="17">
        <f>SP!X763</f>
        <v/>
      </c>
      <c r="H763" s="17">
        <f>IF(COUNT(E763:G763)=0,"",ROUND((LARGE(E763:G763,1)+IF(COUNT(E763:G763)&gt;=2,LARGE(E763:G763,2),0))/2,2))</f>
        <v/>
      </c>
      <c r="I763" s="10">
        <f>Ekstra!U763</f>
        <v/>
      </c>
      <c r="J763" s="18">
        <f>IF(B763="","",IF(Murid!F763="TL","TL",IF(H763="","",MIN(100,ROUND(H763+N(I763),2)))))</f>
        <v/>
      </c>
      <c r="K763" s="19">
        <f>IF(J763="","",IF(J763="TL","TL",IF(J763&gt;=80,"A",IF(J763&gt;=60,"B",IF(J763&gt;=40,"C",IF(J763&gt;=20,"D","E"))))))</f>
        <v/>
      </c>
      <c r="L763" s="15">
        <f>IF(K763="","",IF(K763="A","Cemerlang",IF(K763="B","Kepujian",IF(K763="C","Baik",IF(K763="D","Kurang Memuaskan",IF(K763="E","Tidak Memuaskan","Tidak Laksana"))))))</f>
        <v/>
      </c>
    </row>
    <row r="764">
      <c r="A764" s="15">
        <f>Murid!A764</f>
        <v/>
      </c>
      <c r="B764" s="15">
        <f>IF(Murid!B764="","",Murid!B764)</f>
        <v/>
      </c>
      <c r="C764" s="16">
        <f>IF(Murid!C764="","",Murid!C764)</f>
        <v/>
      </c>
      <c r="D764" s="15">
        <f>IF(Murid!E764="","",Murid!E764)</f>
        <v/>
      </c>
      <c r="E764" s="17">
        <f>KP!X764</f>
        <v/>
      </c>
      <c r="F764" s="17">
        <f>UB!X764</f>
        <v/>
      </c>
      <c r="G764" s="17">
        <f>SP!X764</f>
        <v/>
      </c>
      <c r="H764" s="17">
        <f>IF(COUNT(E764:G764)=0,"",ROUND((LARGE(E764:G764,1)+IF(COUNT(E764:G764)&gt;=2,LARGE(E764:G764,2),0))/2,2))</f>
        <v/>
      </c>
      <c r="I764" s="10">
        <f>Ekstra!U764</f>
        <v/>
      </c>
      <c r="J764" s="18">
        <f>IF(B764="","",IF(Murid!F764="TL","TL",IF(H764="","",MIN(100,ROUND(H764+N(I764),2)))))</f>
        <v/>
      </c>
      <c r="K764" s="19">
        <f>IF(J764="","",IF(J764="TL","TL",IF(J764&gt;=80,"A",IF(J764&gt;=60,"B",IF(J764&gt;=40,"C",IF(J764&gt;=20,"D","E"))))))</f>
        <v/>
      </c>
      <c r="L764" s="15">
        <f>IF(K764="","",IF(K764="A","Cemerlang",IF(K764="B","Kepujian",IF(K764="C","Baik",IF(K764="D","Kurang Memuaskan",IF(K764="E","Tidak Memuaskan","Tidak Laksana"))))))</f>
        <v/>
      </c>
    </row>
    <row r="765">
      <c r="A765" s="15">
        <f>Murid!A765</f>
        <v/>
      </c>
      <c r="B765" s="15">
        <f>IF(Murid!B765="","",Murid!B765)</f>
        <v/>
      </c>
      <c r="C765" s="16">
        <f>IF(Murid!C765="","",Murid!C765)</f>
        <v/>
      </c>
      <c r="D765" s="15">
        <f>IF(Murid!E765="","",Murid!E765)</f>
        <v/>
      </c>
      <c r="E765" s="17">
        <f>KP!X765</f>
        <v/>
      </c>
      <c r="F765" s="17">
        <f>UB!X765</f>
        <v/>
      </c>
      <c r="G765" s="17">
        <f>SP!X765</f>
        <v/>
      </c>
      <c r="H765" s="17">
        <f>IF(COUNT(E765:G765)=0,"",ROUND((LARGE(E765:G765,1)+IF(COUNT(E765:G765)&gt;=2,LARGE(E765:G765,2),0))/2,2))</f>
        <v/>
      </c>
      <c r="I765" s="10">
        <f>Ekstra!U765</f>
        <v/>
      </c>
      <c r="J765" s="18">
        <f>IF(B765="","",IF(Murid!F765="TL","TL",IF(H765="","",MIN(100,ROUND(H765+N(I765),2)))))</f>
        <v/>
      </c>
      <c r="K765" s="19">
        <f>IF(J765="","",IF(J765="TL","TL",IF(J765&gt;=80,"A",IF(J765&gt;=60,"B",IF(J765&gt;=40,"C",IF(J765&gt;=20,"D","E"))))))</f>
        <v/>
      </c>
      <c r="L765" s="15">
        <f>IF(K765="","",IF(K765="A","Cemerlang",IF(K765="B","Kepujian",IF(K765="C","Baik",IF(K765="D","Kurang Memuaskan",IF(K765="E","Tidak Memuaskan","Tidak Laksana"))))))</f>
        <v/>
      </c>
    </row>
    <row r="766">
      <c r="A766" s="15">
        <f>Murid!A766</f>
        <v/>
      </c>
      <c r="B766" s="15">
        <f>IF(Murid!B766="","",Murid!B766)</f>
        <v/>
      </c>
      <c r="C766" s="16">
        <f>IF(Murid!C766="","",Murid!C766)</f>
        <v/>
      </c>
      <c r="D766" s="15">
        <f>IF(Murid!E766="","",Murid!E766)</f>
        <v/>
      </c>
      <c r="E766" s="17">
        <f>KP!X766</f>
        <v/>
      </c>
      <c r="F766" s="17">
        <f>UB!X766</f>
        <v/>
      </c>
      <c r="G766" s="17">
        <f>SP!X766</f>
        <v/>
      </c>
      <c r="H766" s="17">
        <f>IF(COUNT(E766:G766)=0,"",ROUND((LARGE(E766:G766,1)+IF(COUNT(E766:G766)&gt;=2,LARGE(E766:G766,2),0))/2,2))</f>
        <v/>
      </c>
      <c r="I766" s="10">
        <f>Ekstra!U766</f>
        <v/>
      </c>
      <c r="J766" s="18">
        <f>IF(B766="","",IF(Murid!F766="TL","TL",IF(H766="","",MIN(100,ROUND(H766+N(I766),2)))))</f>
        <v/>
      </c>
      <c r="K766" s="19">
        <f>IF(J766="","",IF(J766="TL","TL",IF(J766&gt;=80,"A",IF(J766&gt;=60,"B",IF(J766&gt;=40,"C",IF(J766&gt;=20,"D","E"))))))</f>
        <v/>
      </c>
      <c r="L766" s="15">
        <f>IF(K766="","",IF(K766="A","Cemerlang",IF(K766="B","Kepujian",IF(K766="C","Baik",IF(K766="D","Kurang Memuaskan",IF(K766="E","Tidak Memuaskan","Tidak Laksana"))))))</f>
        <v/>
      </c>
    </row>
    <row r="767">
      <c r="A767" s="15">
        <f>Murid!A767</f>
        <v/>
      </c>
      <c r="B767" s="15">
        <f>IF(Murid!B767="","",Murid!B767)</f>
        <v/>
      </c>
      <c r="C767" s="16">
        <f>IF(Murid!C767="","",Murid!C767)</f>
        <v/>
      </c>
      <c r="D767" s="15">
        <f>IF(Murid!E767="","",Murid!E767)</f>
        <v/>
      </c>
      <c r="E767" s="17">
        <f>KP!X767</f>
        <v/>
      </c>
      <c r="F767" s="17">
        <f>UB!X767</f>
        <v/>
      </c>
      <c r="G767" s="17">
        <f>SP!X767</f>
        <v/>
      </c>
      <c r="H767" s="17">
        <f>IF(COUNT(E767:G767)=0,"",ROUND((LARGE(E767:G767,1)+IF(COUNT(E767:G767)&gt;=2,LARGE(E767:G767,2),0))/2,2))</f>
        <v/>
      </c>
      <c r="I767" s="10">
        <f>Ekstra!U767</f>
        <v/>
      </c>
      <c r="J767" s="18">
        <f>IF(B767="","",IF(Murid!F767="TL","TL",IF(H767="","",MIN(100,ROUND(H767+N(I767),2)))))</f>
        <v/>
      </c>
      <c r="K767" s="19">
        <f>IF(J767="","",IF(J767="TL","TL",IF(J767&gt;=80,"A",IF(J767&gt;=60,"B",IF(J767&gt;=40,"C",IF(J767&gt;=20,"D","E"))))))</f>
        <v/>
      </c>
      <c r="L767" s="15">
        <f>IF(K767="","",IF(K767="A","Cemerlang",IF(K767="B","Kepujian",IF(K767="C","Baik",IF(K767="D","Kurang Memuaskan",IF(K767="E","Tidak Memuaskan","Tidak Laksana"))))))</f>
        <v/>
      </c>
    </row>
    <row r="768">
      <c r="A768" s="15">
        <f>Murid!A768</f>
        <v/>
      </c>
      <c r="B768" s="15">
        <f>IF(Murid!B768="","",Murid!B768)</f>
        <v/>
      </c>
      <c r="C768" s="16">
        <f>IF(Murid!C768="","",Murid!C768)</f>
        <v/>
      </c>
      <c r="D768" s="15">
        <f>IF(Murid!E768="","",Murid!E768)</f>
        <v/>
      </c>
      <c r="E768" s="17">
        <f>KP!X768</f>
        <v/>
      </c>
      <c r="F768" s="17">
        <f>UB!X768</f>
        <v/>
      </c>
      <c r="G768" s="17">
        <f>SP!X768</f>
        <v/>
      </c>
      <c r="H768" s="17">
        <f>IF(COUNT(E768:G768)=0,"",ROUND((LARGE(E768:G768,1)+IF(COUNT(E768:G768)&gt;=2,LARGE(E768:G768,2),0))/2,2))</f>
        <v/>
      </c>
      <c r="I768" s="10">
        <f>Ekstra!U768</f>
        <v/>
      </c>
      <c r="J768" s="18">
        <f>IF(B768="","",IF(Murid!F768="TL","TL",IF(H768="","",MIN(100,ROUND(H768+N(I768),2)))))</f>
        <v/>
      </c>
      <c r="K768" s="19">
        <f>IF(J768="","",IF(J768="TL","TL",IF(J768&gt;=80,"A",IF(J768&gt;=60,"B",IF(J768&gt;=40,"C",IF(J768&gt;=20,"D","E"))))))</f>
        <v/>
      </c>
      <c r="L768" s="15">
        <f>IF(K768="","",IF(K768="A","Cemerlang",IF(K768="B","Kepujian",IF(K768="C","Baik",IF(K768="D","Kurang Memuaskan",IF(K768="E","Tidak Memuaskan","Tidak Laksana"))))))</f>
        <v/>
      </c>
    </row>
    <row r="769">
      <c r="A769" s="15">
        <f>Murid!A769</f>
        <v/>
      </c>
      <c r="B769" s="15">
        <f>IF(Murid!B769="","",Murid!B769)</f>
        <v/>
      </c>
      <c r="C769" s="16">
        <f>IF(Murid!C769="","",Murid!C769)</f>
        <v/>
      </c>
      <c r="D769" s="15">
        <f>IF(Murid!E769="","",Murid!E769)</f>
        <v/>
      </c>
      <c r="E769" s="17">
        <f>KP!X769</f>
        <v/>
      </c>
      <c r="F769" s="17">
        <f>UB!X769</f>
        <v/>
      </c>
      <c r="G769" s="17">
        <f>SP!X769</f>
        <v/>
      </c>
      <c r="H769" s="17">
        <f>IF(COUNT(E769:G769)=0,"",ROUND((LARGE(E769:G769,1)+IF(COUNT(E769:G769)&gt;=2,LARGE(E769:G769,2),0))/2,2))</f>
        <v/>
      </c>
      <c r="I769" s="10">
        <f>Ekstra!U769</f>
        <v/>
      </c>
      <c r="J769" s="18">
        <f>IF(B769="","",IF(Murid!F769="TL","TL",IF(H769="","",MIN(100,ROUND(H769+N(I769),2)))))</f>
        <v/>
      </c>
      <c r="K769" s="19">
        <f>IF(J769="","",IF(J769="TL","TL",IF(J769&gt;=80,"A",IF(J769&gt;=60,"B",IF(J769&gt;=40,"C",IF(J769&gt;=20,"D","E"))))))</f>
        <v/>
      </c>
      <c r="L769" s="15">
        <f>IF(K769="","",IF(K769="A","Cemerlang",IF(K769="B","Kepujian",IF(K769="C","Baik",IF(K769="D","Kurang Memuaskan",IF(K769="E","Tidak Memuaskan","Tidak Laksana"))))))</f>
        <v/>
      </c>
    </row>
    <row r="770">
      <c r="A770" s="15">
        <f>Murid!A770</f>
        <v/>
      </c>
      <c r="B770" s="15">
        <f>IF(Murid!B770="","",Murid!B770)</f>
        <v/>
      </c>
      <c r="C770" s="16">
        <f>IF(Murid!C770="","",Murid!C770)</f>
        <v/>
      </c>
      <c r="D770" s="15">
        <f>IF(Murid!E770="","",Murid!E770)</f>
        <v/>
      </c>
      <c r="E770" s="17">
        <f>KP!X770</f>
        <v/>
      </c>
      <c r="F770" s="17">
        <f>UB!X770</f>
        <v/>
      </c>
      <c r="G770" s="17">
        <f>SP!X770</f>
        <v/>
      </c>
      <c r="H770" s="17">
        <f>IF(COUNT(E770:G770)=0,"",ROUND((LARGE(E770:G770,1)+IF(COUNT(E770:G770)&gt;=2,LARGE(E770:G770,2),0))/2,2))</f>
        <v/>
      </c>
      <c r="I770" s="10">
        <f>Ekstra!U770</f>
        <v/>
      </c>
      <c r="J770" s="18">
        <f>IF(B770="","",IF(Murid!F770="TL","TL",IF(H770="","",MIN(100,ROUND(H770+N(I770),2)))))</f>
        <v/>
      </c>
      <c r="K770" s="19">
        <f>IF(J770="","",IF(J770="TL","TL",IF(J770&gt;=80,"A",IF(J770&gt;=60,"B",IF(J770&gt;=40,"C",IF(J770&gt;=20,"D","E"))))))</f>
        <v/>
      </c>
      <c r="L770" s="15">
        <f>IF(K770="","",IF(K770="A","Cemerlang",IF(K770="B","Kepujian",IF(K770="C","Baik",IF(K770="D","Kurang Memuaskan",IF(K770="E","Tidak Memuaskan","Tidak Laksana"))))))</f>
        <v/>
      </c>
    </row>
    <row r="771">
      <c r="A771" s="15">
        <f>Murid!A771</f>
        <v/>
      </c>
      <c r="B771" s="15">
        <f>IF(Murid!B771="","",Murid!B771)</f>
        <v/>
      </c>
      <c r="C771" s="16">
        <f>IF(Murid!C771="","",Murid!C771)</f>
        <v/>
      </c>
      <c r="D771" s="15">
        <f>IF(Murid!E771="","",Murid!E771)</f>
        <v/>
      </c>
      <c r="E771" s="17">
        <f>KP!X771</f>
        <v/>
      </c>
      <c r="F771" s="17">
        <f>UB!X771</f>
        <v/>
      </c>
      <c r="G771" s="17">
        <f>SP!X771</f>
        <v/>
      </c>
      <c r="H771" s="17">
        <f>IF(COUNT(E771:G771)=0,"",ROUND((LARGE(E771:G771,1)+IF(COUNT(E771:G771)&gt;=2,LARGE(E771:G771,2),0))/2,2))</f>
        <v/>
      </c>
      <c r="I771" s="10">
        <f>Ekstra!U771</f>
        <v/>
      </c>
      <c r="J771" s="18">
        <f>IF(B771="","",IF(Murid!F771="TL","TL",IF(H771="","",MIN(100,ROUND(H771+N(I771),2)))))</f>
        <v/>
      </c>
      <c r="K771" s="19">
        <f>IF(J771="","",IF(J771="TL","TL",IF(J771&gt;=80,"A",IF(J771&gt;=60,"B",IF(J771&gt;=40,"C",IF(J771&gt;=20,"D","E"))))))</f>
        <v/>
      </c>
      <c r="L771" s="15">
        <f>IF(K771="","",IF(K771="A","Cemerlang",IF(K771="B","Kepujian",IF(K771="C","Baik",IF(K771="D","Kurang Memuaskan",IF(K771="E","Tidak Memuaskan","Tidak Laksana"))))))</f>
        <v/>
      </c>
    </row>
    <row r="772">
      <c r="A772" s="15">
        <f>Murid!A772</f>
        <v/>
      </c>
      <c r="B772" s="15">
        <f>IF(Murid!B772="","",Murid!B772)</f>
        <v/>
      </c>
      <c r="C772" s="16">
        <f>IF(Murid!C772="","",Murid!C772)</f>
        <v/>
      </c>
      <c r="D772" s="15">
        <f>IF(Murid!E772="","",Murid!E772)</f>
        <v/>
      </c>
      <c r="E772" s="17">
        <f>KP!X772</f>
        <v/>
      </c>
      <c r="F772" s="17">
        <f>UB!X772</f>
        <v/>
      </c>
      <c r="G772" s="17">
        <f>SP!X772</f>
        <v/>
      </c>
      <c r="H772" s="17">
        <f>IF(COUNT(E772:G772)=0,"",ROUND((LARGE(E772:G772,1)+IF(COUNT(E772:G772)&gt;=2,LARGE(E772:G772,2),0))/2,2))</f>
        <v/>
      </c>
      <c r="I772" s="10">
        <f>Ekstra!U772</f>
        <v/>
      </c>
      <c r="J772" s="18">
        <f>IF(B772="","",IF(Murid!F772="TL","TL",IF(H772="","",MIN(100,ROUND(H772+N(I772),2)))))</f>
        <v/>
      </c>
      <c r="K772" s="19">
        <f>IF(J772="","",IF(J772="TL","TL",IF(J772&gt;=80,"A",IF(J772&gt;=60,"B",IF(J772&gt;=40,"C",IF(J772&gt;=20,"D","E"))))))</f>
        <v/>
      </c>
      <c r="L772" s="15">
        <f>IF(K772="","",IF(K772="A","Cemerlang",IF(K772="B","Kepujian",IF(K772="C","Baik",IF(K772="D","Kurang Memuaskan",IF(K772="E","Tidak Memuaskan","Tidak Laksana"))))))</f>
        <v/>
      </c>
    </row>
    <row r="773">
      <c r="A773" s="15">
        <f>Murid!A773</f>
        <v/>
      </c>
      <c r="B773" s="15">
        <f>IF(Murid!B773="","",Murid!B773)</f>
        <v/>
      </c>
      <c r="C773" s="16">
        <f>IF(Murid!C773="","",Murid!C773)</f>
        <v/>
      </c>
      <c r="D773" s="15">
        <f>IF(Murid!E773="","",Murid!E773)</f>
        <v/>
      </c>
      <c r="E773" s="17">
        <f>KP!X773</f>
        <v/>
      </c>
      <c r="F773" s="17">
        <f>UB!X773</f>
        <v/>
      </c>
      <c r="G773" s="17">
        <f>SP!X773</f>
        <v/>
      </c>
      <c r="H773" s="17">
        <f>IF(COUNT(E773:G773)=0,"",ROUND((LARGE(E773:G773,1)+IF(COUNT(E773:G773)&gt;=2,LARGE(E773:G773,2),0))/2,2))</f>
        <v/>
      </c>
      <c r="I773" s="10">
        <f>Ekstra!U773</f>
        <v/>
      </c>
      <c r="J773" s="18">
        <f>IF(B773="","",IF(Murid!F773="TL","TL",IF(H773="","",MIN(100,ROUND(H773+N(I773),2)))))</f>
        <v/>
      </c>
      <c r="K773" s="19">
        <f>IF(J773="","",IF(J773="TL","TL",IF(J773&gt;=80,"A",IF(J773&gt;=60,"B",IF(J773&gt;=40,"C",IF(J773&gt;=20,"D","E"))))))</f>
        <v/>
      </c>
      <c r="L773" s="15">
        <f>IF(K773="","",IF(K773="A","Cemerlang",IF(K773="B","Kepujian",IF(K773="C","Baik",IF(K773="D","Kurang Memuaskan",IF(K773="E","Tidak Memuaskan","Tidak Laksana"))))))</f>
        <v/>
      </c>
    </row>
    <row r="774">
      <c r="A774" s="15">
        <f>Murid!A774</f>
        <v/>
      </c>
      <c r="B774" s="15">
        <f>IF(Murid!B774="","",Murid!B774)</f>
        <v/>
      </c>
      <c r="C774" s="16">
        <f>IF(Murid!C774="","",Murid!C774)</f>
        <v/>
      </c>
      <c r="D774" s="15">
        <f>IF(Murid!E774="","",Murid!E774)</f>
        <v/>
      </c>
      <c r="E774" s="17">
        <f>KP!X774</f>
        <v/>
      </c>
      <c r="F774" s="17">
        <f>UB!X774</f>
        <v/>
      </c>
      <c r="G774" s="17">
        <f>SP!X774</f>
        <v/>
      </c>
      <c r="H774" s="17">
        <f>IF(COUNT(E774:G774)=0,"",ROUND((LARGE(E774:G774,1)+IF(COUNT(E774:G774)&gt;=2,LARGE(E774:G774,2),0))/2,2))</f>
        <v/>
      </c>
      <c r="I774" s="10">
        <f>Ekstra!U774</f>
        <v/>
      </c>
      <c r="J774" s="18">
        <f>IF(B774="","",IF(Murid!F774="TL","TL",IF(H774="","",MIN(100,ROUND(H774+N(I774),2)))))</f>
        <v/>
      </c>
      <c r="K774" s="19">
        <f>IF(J774="","",IF(J774="TL","TL",IF(J774&gt;=80,"A",IF(J774&gt;=60,"B",IF(J774&gt;=40,"C",IF(J774&gt;=20,"D","E"))))))</f>
        <v/>
      </c>
      <c r="L774" s="15">
        <f>IF(K774="","",IF(K774="A","Cemerlang",IF(K774="B","Kepujian",IF(K774="C","Baik",IF(K774="D","Kurang Memuaskan",IF(K774="E","Tidak Memuaskan","Tidak Laksana"))))))</f>
        <v/>
      </c>
    </row>
    <row r="775">
      <c r="A775" s="15">
        <f>Murid!A775</f>
        <v/>
      </c>
      <c r="B775" s="15">
        <f>IF(Murid!B775="","",Murid!B775)</f>
        <v/>
      </c>
      <c r="C775" s="16">
        <f>IF(Murid!C775="","",Murid!C775)</f>
        <v/>
      </c>
      <c r="D775" s="15">
        <f>IF(Murid!E775="","",Murid!E775)</f>
        <v/>
      </c>
      <c r="E775" s="17">
        <f>KP!X775</f>
        <v/>
      </c>
      <c r="F775" s="17">
        <f>UB!X775</f>
        <v/>
      </c>
      <c r="G775" s="17">
        <f>SP!X775</f>
        <v/>
      </c>
      <c r="H775" s="17">
        <f>IF(COUNT(E775:G775)=0,"",ROUND((LARGE(E775:G775,1)+IF(COUNT(E775:G775)&gt;=2,LARGE(E775:G775,2),0))/2,2))</f>
        <v/>
      </c>
      <c r="I775" s="10">
        <f>Ekstra!U775</f>
        <v/>
      </c>
      <c r="J775" s="18">
        <f>IF(B775="","",IF(Murid!F775="TL","TL",IF(H775="","",MIN(100,ROUND(H775+N(I775),2)))))</f>
        <v/>
      </c>
      <c r="K775" s="19">
        <f>IF(J775="","",IF(J775="TL","TL",IF(J775&gt;=80,"A",IF(J775&gt;=60,"B",IF(J775&gt;=40,"C",IF(J775&gt;=20,"D","E"))))))</f>
        <v/>
      </c>
      <c r="L775" s="15">
        <f>IF(K775="","",IF(K775="A","Cemerlang",IF(K775="B","Kepujian",IF(K775="C","Baik",IF(K775="D","Kurang Memuaskan",IF(K775="E","Tidak Memuaskan","Tidak Laksana"))))))</f>
        <v/>
      </c>
    </row>
    <row r="776">
      <c r="A776" s="15">
        <f>Murid!A776</f>
        <v/>
      </c>
      <c r="B776" s="15">
        <f>IF(Murid!B776="","",Murid!B776)</f>
        <v/>
      </c>
      <c r="C776" s="16">
        <f>IF(Murid!C776="","",Murid!C776)</f>
        <v/>
      </c>
      <c r="D776" s="15">
        <f>IF(Murid!E776="","",Murid!E776)</f>
        <v/>
      </c>
      <c r="E776" s="17">
        <f>KP!X776</f>
        <v/>
      </c>
      <c r="F776" s="17">
        <f>UB!X776</f>
        <v/>
      </c>
      <c r="G776" s="17">
        <f>SP!X776</f>
        <v/>
      </c>
      <c r="H776" s="17">
        <f>IF(COUNT(E776:G776)=0,"",ROUND((LARGE(E776:G776,1)+IF(COUNT(E776:G776)&gt;=2,LARGE(E776:G776,2),0))/2,2))</f>
        <v/>
      </c>
      <c r="I776" s="10">
        <f>Ekstra!U776</f>
        <v/>
      </c>
      <c r="J776" s="18">
        <f>IF(B776="","",IF(Murid!F776="TL","TL",IF(H776="","",MIN(100,ROUND(H776+N(I776),2)))))</f>
        <v/>
      </c>
      <c r="K776" s="19">
        <f>IF(J776="","",IF(J776="TL","TL",IF(J776&gt;=80,"A",IF(J776&gt;=60,"B",IF(J776&gt;=40,"C",IF(J776&gt;=20,"D","E"))))))</f>
        <v/>
      </c>
      <c r="L776" s="15">
        <f>IF(K776="","",IF(K776="A","Cemerlang",IF(K776="B","Kepujian",IF(K776="C","Baik",IF(K776="D","Kurang Memuaskan",IF(K776="E","Tidak Memuaskan","Tidak Laksana"))))))</f>
        <v/>
      </c>
    </row>
    <row r="777">
      <c r="A777" s="15">
        <f>Murid!A777</f>
        <v/>
      </c>
      <c r="B777" s="15">
        <f>IF(Murid!B777="","",Murid!B777)</f>
        <v/>
      </c>
      <c r="C777" s="16">
        <f>IF(Murid!C777="","",Murid!C777)</f>
        <v/>
      </c>
      <c r="D777" s="15">
        <f>IF(Murid!E777="","",Murid!E777)</f>
        <v/>
      </c>
      <c r="E777" s="17">
        <f>KP!X777</f>
        <v/>
      </c>
      <c r="F777" s="17">
        <f>UB!X777</f>
        <v/>
      </c>
      <c r="G777" s="17">
        <f>SP!X777</f>
        <v/>
      </c>
      <c r="H777" s="17">
        <f>IF(COUNT(E777:G777)=0,"",ROUND((LARGE(E777:G777,1)+IF(COUNT(E777:G777)&gt;=2,LARGE(E777:G777,2),0))/2,2))</f>
        <v/>
      </c>
      <c r="I777" s="10">
        <f>Ekstra!U777</f>
        <v/>
      </c>
      <c r="J777" s="18">
        <f>IF(B777="","",IF(Murid!F777="TL","TL",IF(H777="","",MIN(100,ROUND(H777+N(I777),2)))))</f>
        <v/>
      </c>
      <c r="K777" s="19">
        <f>IF(J777="","",IF(J777="TL","TL",IF(J777&gt;=80,"A",IF(J777&gt;=60,"B",IF(J777&gt;=40,"C",IF(J777&gt;=20,"D","E"))))))</f>
        <v/>
      </c>
      <c r="L777" s="15">
        <f>IF(K777="","",IF(K777="A","Cemerlang",IF(K777="B","Kepujian",IF(K777="C","Baik",IF(K777="D","Kurang Memuaskan",IF(K777="E","Tidak Memuaskan","Tidak Laksana"))))))</f>
        <v/>
      </c>
    </row>
    <row r="778">
      <c r="A778" s="15">
        <f>Murid!A778</f>
        <v/>
      </c>
      <c r="B778" s="15">
        <f>IF(Murid!B778="","",Murid!B778)</f>
        <v/>
      </c>
      <c r="C778" s="16">
        <f>IF(Murid!C778="","",Murid!C778)</f>
        <v/>
      </c>
      <c r="D778" s="15">
        <f>IF(Murid!E778="","",Murid!E778)</f>
        <v/>
      </c>
      <c r="E778" s="17">
        <f>KP!X778</f>
        <v/>
      </c>
      <c r="F778" s="17">
        <f>UB!X778</f>
        <v/>
      </c>
      <c r="G778" s="17">
        <f>SP!X778</f>
        <v/>
      </c>
      <c r="H778" s="17">
        <f>IF(COUNT(E778:G778)=0,"",ROUND((LARGE(E778:G778,1)+IF(COUNT(E778:G778)&gt;=2,LARGE(E778:G778,2),0))/2,2))</f>
        <v/>
      </c>
      <c r="I778" s="10">
        <f>Ekstra!U778</f>
        <v/>
      </c>
      <c r="J778" s="18">
        <f>IF(B778="","",IF(Murid!F778="TL","TL",IF(H778="","",MIN(100,ROUND(H778+N(I778),2)))))</f>
        <v/>
      </c>
      <c r="K778" s="19">
        <f>IF(J778="","",IF(J778="TL","TL",IF(J778&gt;=80,"A",IF(J778&gt;=60,"B",IF(J778&gt;=40,"C",IF(J778&gt;=20,"D","E"))))))</f>
        <v/>
      </c>
      <c r="L778" s="15">
        <f>IF(K778="","",IF(K778="A","Cemerlang",IF(K778="B","Kepujian",IF(K778="C","Baik",IF(K778="D","Kurang Memuaskan",IF(K778="E","Tidak Memuaskan","Tidak Laksana"))))))</f>
        <v/>
      </c>
    </row>
    <row r="779">
      <c r="A779" s="15">
        <f>Murid!A779</f>
        <v/>
      </c>
      <c r="B779" s="15">
        <f>IF(Murid!B779="","",Murid!B779)</f>
        <v/>
      </c>
      <c r="C779" s="16">
        <f>IF(Murid!C779="","",Murid!C779)</f>
        <v/>
      </c>
      <c r="D779" s="15">
        <f>IF(Murid!E779="","",Murid!E779)</f>
        <v/>
      </c>
      <c r="E779" s="17">
        <f>KP!X779</f>
        <v/>
      </c>
      <c r="F779" s="17">
        <f>UB!X779</f>
        <v/>
      </c>
      <c r="G779" s="17">
        <f>SP!X779</f>
        <v/>
      </c>
      <c r="H779" s="17">
        <f>IF(COUNT(E779:G779)=0,"",ROUND((LARGE(E779:G779,1)+IF(COUNT(E779:G779)&gt;=2,LARGE(E779:G779,2),0))/2,2))</f>
        <v/>
      </c>
      <c r="I779" s="10">
        <f>Ekstra!U779</f>
        <v/>
      </c>
      <c r="J779" s="18">
        <f>IF(B779="","",IF(Murid!F779="TL","TL",IF(H779="","",MIN(100,ROUND(H779+N(I779),2)))))</f>
        <v/>
      </c>
      <c r="K779" s="19">
        <f>IF(J779="","",IF(J779="TL","TL",IF(J779&gt;=80,"A",IF(J779&gt;=60,"B",IF(J779&gt;=40,"C",IF(J779&gt;=20,"D","E"))))))</f>
        <v/>
      </c>
      <c r="L779" s="15">
        <f>IF(K779="","",IF(K779="A","Cemerlang",IF(K779="B","Kepujian",IF(K779="C","Baik",IF(K779="D","Kurang Memuaskan",IF(K779="E","Tidak Memuaskan","Tidak Laksana"))))))</f>
        <v/>
      </c>
    </row>
    <row r="780">
      <c r="A780" s="15">
        <f>Murid!A780</f>
        <v/>
      </c>
      <c r="B780" s="15">
        <f>IF(Murid!B780="","",Murid!B780)</f>
        <v/>
      </c>
      <c r="C780" s="16">
        <f>IF(Murid!C780="","",Murid!C780)</f>
        <v/>
      </c>
      <c r="D780" s="15">
        <f>IF(Murid!E780="","",Murid!E780)</f>
        <v/>
      </c>
      <c r="E780" s="17">
        <f>KP!X780</f>
        <v/>
      </c>
      <c r="F780" s="17">
        <f>UB!X780</f>
        <v/>
      </c>
      <c r="G780" s="17">
        <f>SP!X780</f>
        <v/>
      </c>
      <c r="H780" s="17">
        <f>IF(COUNT(E780:G780)=0,"",ROUND((LARGE(E780:G780,1)+IF(COUNT(E780:G780)&gt;=2,LARGE(E780:G780,2),0))/2,2))</f>
        <v/>
      </c>
      <c r="I780" s="10">
        <f>Ekstra!U780</f>
        <v/>
      </c>
      <c r="J780" s="18">
        <f>IF(B780="","",IF(Murid!F780="TL","TL",IF(H780="","",MIN(100,ROUND(H780+N(I780),2)))))</f>
        <v/>
      </c>
      <c r="K780" s="19">
        <f>IF(J780="","",IF(J780="TL","TL",IF(J780&gt;=80,"A",IF(J780&gt;=60,"B",IF(J780&gt;=40,"C",IF(J780&gt;=20,"D","E"))))))</f>
        <v/>
      </c>
      <c r="L780" s="15">
        <f>IF(K780="","",IF(K780="A","Cemerlang",IF(K780="B","Kepujian",IF(K780="C","Baik",IF(K780="D","Kurang Memuaskan",IF(K780="E","Tidak Memuaskan","Tidak Laksana"))))))</f>
        <v/>
      </c>
    </row>
    <row r="781">
      <c r="A781" s="15">
        <f>Murid!A781</f>
        <v/>
      </c>
      <c r="B781" s="15">
        <f>IF(Murid!B781="","",Murid!B781)</f>
        <v/>
      </c>
      <c r="C781" s="16">
        <f>IF(Murid!C781="","",Murid!C781)</f>
        <v/>
      </c>
      <c r="D781" s="15">
        <f>IF(Murid!E781="","",Murid!E781)</f>
        <v/>
      </c>
      <c r="E781" s="17">
        <f>KP!X781</f>
        <v/>
      </c>
      <c r="F781" s="17">
        <f>UB!X781</f>
        <v/>
      </c>
      <c r="G781" s="17">
        <f>SP!X781</f>
        <v/>
      </c>
      <c r="H781" s="17">
        <f>IF(COUNT(E781:G781)=0,"",ROUND((LARGE(E781:G781,1)+IF(COUNT(E781:G781)&gt;=2,LARGE(E781:G781,2),0))/2,2))</f>
        <v/>
      </c>
      <c r="I781" s="10">
        <f>Ekstra!U781</f>
        <v/>
      </c>
      <c r="J781" s="18">
        <f>IF(B781="","",IF(Murid!F781="TL","TL",IF(H781="","",MIN(100,ROUND(H781+N(I781),2)))))</f>
        <v/>
      </c>
      <c r="K781" s="19">
        <f>IF(J781="","",IF(J781="TL","TL",IF(J781&gt;=80,"A",IF(J781&gt;=60,"B",IF(J781&gt;=40,"C",IF(J781&gt;=20,"D","E"))))))</f>
        <v/>
      </c>
      <c r="L781" s="15">
        <f>IF(K781="","",IF(K781="A","Cemerlang",IF(K781="B","Kepujian",IF(K781="C","Baik",IF(K781="D","Kurang Memuaskan",IF(K781="E","Tidak Memuaskan","Tidak Laksana"))))))</f>
        <v/>
      </c>
    </row>
    <row r="782">
      <c r="A782" s="15">
        <f>Murid!A782</f>
        <v/>
      </c>
      <c r="B782" s="15">
        <f>IF(Murid!B782="","",Murid!B782)</f>
        <v/>
      </c>
      <c r="C782" s="16">
        <f>IF(Murid!C782="","",Murid!C782)</f>
        <v/>
      </c>
      <c r="D782" s="15">
        <f>IF(Murid!E782="","",Murid!E782)</f>
        <v/>
      </c>
      <c r="E782" s="17">
        <f>KP!X782</f>
        <v/>
      </c>
      <c r="F782" s="17">
        <f>UB!X782</f>
        <v/>
      </c>
      <c r="G782" s="17">
        <f>SP!X782</f>
        <v/>
      </c>
      <c r="H782" s="17">
        <f>IF(COUNT(E782:G782)=0,"",ROUND((LARGE(E782:G782,1)+IF(COUNT(E782:G782)&gt;=2,LARGE(E782:G782,2),0))/2,2))</f>
        <v/>
      </c>
      <c r="I782" s="10">
        <f>Ekstra!U782</f>
        <v/>
      </c>
      <c r="J782" s="18">
        <f>IF(B782="","",IF(Murid!F782="TL","TL",IF(H782="","",MIN(100,ROUND(H782+N(I782),2)))))</f>
        <v/>
      </c>
      <c r="K782" s="19">
        <f>IF(J782="","",IF(J782="TL","TL",IF(J782&gt;=80,"A",IF(J782&gt;=60,"B",IF(J782&gt;=40,"C",IF(J782&gt;=20,"D","E"))))))</f>
        <v/>
      </c>
      <c r="L782" s="15">
        <f>IF(K782="","",IF(K782="A","Cemerlang",IF(K782="B","Kepujian",IF(K782="C","Baik",IF(K782="D","Kurang Memuaskan",IF(K782="E","Tidak Memuaskan","Tidak Laksana"))))))</f>
        <v/>
      </c>
    </row>
    <row r="783">
      <c r="A783" s="15">
        <f>Murid!A783</f>
        <v/>
      </c>
      <c r="B783" s="15">
        <f>IF(Murid!B783="","",Murid!B783)</f>
        <v/>
      </c>
      <c r="C783" s="16">
        <f>IF(Murid!C783="","",Murid!C783)</f>
        <v/>
      </c>
      <c r="D783" s="15">
        <f>IF(Murid!E783="","",Murid!E783)</f>
        <v/>
      </c>
      <c r="E783" s="17">
        <f>KP!X783</f>
        <v/>
      </c>
      <c r="F783" s="17">
        <f>UB!X783</f>
        <v/>
      </c>
      <c r="G783" s="17">
        <f>SP!X783</f>
        <v/>
      </c>
      <c r="H783" s="17">
        <f>IF(COUNT(E783:G783)=0,"",ROUND((LARGE(E783:G783,1)+IF(COUNT(E783:G783)&gt;=2,LARGE(E783:G783,2),0))/2,2))</f>
        <v/>
      </c>
      <c r="I783" s="10">
        <f>Ekstra!U783</f>
        <v/>
      </c>
      <c r="J783" s="18">
        <f>IF(B783="","",IF(Murid!F783="TL","TL",IF(H783="","",MIN(100,ROUND(H783+N(I783),2)))))</f>
        <v/>
      </c>
      <c r="K783" s="19">
        <f>IF(J783="","",IF(J783="TL","TL",IF(J783&gt;=80,"A",IF(J783&gt;=60,"B",IF(J783&gt;=40,"C",IF(J783&gt;=20,"D","E"))))))</f>
        <v/>
      </c>
      <c r="L783" s="15">
        <f>IF(K783="","",IF(K783="A","Cemerlang",IF(K783="B","Kepujian",IF(K783="C","Baik",IF(K783="D","Kurang Memuaskan",IF(K783="E","Tidak Memuaskan","Tidak Laksana"))))))</f>
        <v/>
      </c>
    </row>
    <row r="784">
      <c r="A784" s="15">
        <f>Murid!A784</f>
        <v/>
      </c>
      <c r="B784" s="15">
        <f>IF(Murid!B784="","",Murid!B784)</f>
        <v/>
      </c>
      <c r="C784" s="16">
        <f>IF(Murid!C784="","",Murid!C784)</f>
        <v/>
      </c>
      <c r="D784" s="15">
        <f>IF(Murid!E784="","",Murid!E784)</f>
        <v/>
      </c>
      <c r="E784" s="17">
        <f>KP!X784</f>
        <v/>
      </c>
      <c r="F784" s="17">
        <f>UB!X784</f>
        <v/>
      </c>
      <c r="G784" s="17">
        <f>SP!X784</f>
        <v/>
      </c>
      <c r="H784" s="17">
        <f>IF(COUNT(E784:G784)=0,"",ROUND((LARGE(E784:G784,1)+IF(COUNT(E784:G784)&gt;=2,LARGE(E784:G784,2),0))/2,2))</f>
        <v/>
      </c>
      <c r="I784" s="10">
        <f>Ekstra!U784</f>
        <v/>
      </c>
      <c r="J784" s="18">
        <f>IF(B784="","",IF(Murid!F784="TL","TL",IF(H784="","",MIN(100,ROUND(H784+N(I784),2)))))</f>
        <v/>
      </c>
      <c r="K784" s="19">
        <f>IF(J784="","",IF(J784="TL","TL",IF(J784&gt;=80,"A",IF(J784&gt;=60,"B",IF(J784&gt;=40,"C",IF(J784&gt;=20,"D","E"))))))</f>
        <v/>
      </c>
      <c r="L784" s="15">
        <f>IF(K784="","",IF(K784="A","Cemerlang",IF(K784="B","Kepujian",IF(K784="C","Baik",IF(K784="D","Kurang Memuaskan",IF(K784="E","Tidak Memuaskan","Tidak Laksana"))))))</f>
        <v/>
      </c>
    </row>
    <row r="785">
      <c r="A785" s="15">
        <f>Murid!A785</f>
        <v/>
      </c>
      <c r="B785" s="15">
        <f>IF(Murid!B785="","",Murid!B785)</f>
        <v/>
      </c>
      <c r="C785" s="16">
        <f>IF(Murid!C785="","",Murid!C785)</f>
        <v/>
      </c>
      <c r="D785" s="15">
        <f>IF(Murid!E785="","",Murid!E785)</f>
        <v/>
      </c>
      <c r="E785" s="17">
        <f>KP!X785</f>
        <v/>
      </c>
      <c r="F785" s="17">
        <f>UB!X785</f>
        <v/>
      </c>
      <c r="G785" s="17">
        <f>SP!X785</f>
        <v/>
      </c>
      <c r="H785" s="17">
        <f>IF(COUNT(E785:G785)=0,"",ROUND((LARGE(E785:G785,1)+IF(COUNT(E785:G785)&gt;=2,LARGE(E785:G785,2),0))/2,2))</f>
        <v/>
      </c>
      <c r="I785" s="10">
        <f>Ekstra!U785</f>
        <v/>
      </c>
      <c r="J785" s="18">
        <f>IF(B785="","",IF(Murid!F785="TL","TL",IF(H785="","",MIN(100,ROUND(H785+N(I785),2)))))</f>
        <v/>
      </c>
      <c r="K785" s="19">
        <f>IF(J785="","",IF(J785="TL","TL",IF(J785&gt;=80,"A",IF(J785&gt;=60,"B",IF(J785&gt;=40,"C",IF(J785&gt;=20,"D","E"))))))</f>
        <v/>
      </c>
      <c r="L785" s="15">
        <f>IF(K785="","",IF(K785="A","Cemerlang",IF(K785="B","Kepujian",IF(K785="C","Baik",IF(K785="D","Kurang Memuaskan",IF(K785="E","Tidak Memuaskan","Tidak Laksana"))))))</f>
        <v/>
      </c>
    </row>
    <row r="786">
      <c r="A786" s="15">
        <f>Murid!A786</f>
        <v/>
      </c>
      <c r="B786" s="15">
        <f>IF(Murid!B786="","",Murid!B786)</f>
        <v/>
      </c>
      <c r="C786" s="16">
        <f>IF(Murid!C786="","",Murid!C786)</f>
        <v/>
      </c>
      <c r="D786" s="15">
        <f>IF(Murid!E786="","",Murid!E786)</f>
        <v/>
      </c>
      <c r="E786" s="17">
        <f>KP!X786</f>
        <v/>
      </c>
      <c r="F786" s="17">
        <f>UB!X786</f>
        <v/>
      </c>
      <c r="G786" s="17">
        <f>SP!X786</f>
        <v/>
      </c>
      <c r="H786" s="17">
        <f>IF(COUNT(E786:G786)=0,"",ROUND((LARGE(E786:G786,1)+IF(COUNT(E786:G786)&gt;=2,LARGE(E786:G786,2),0))/2,2))</f>
        <v/>
      </c>
      <c r="I786" s="10">
        <f>Ekstra!U786</f>
        <v/>
      </c>
      <c r="J786" s="18">
        <f>IF(B786="","",IF(Murid!F786="TL","TL",IF(H786="","",MIN(100,ROUND(H786+N(I786),2)))))</f>
        <v/>
      </c>
      <c r="K786" s="19">
        <f>IF(J786="","",IF(J786="TL","TL",IF(J786&gt;=80,"A",IF(J786&gt;=60,"B",IF(J786&gt;=40,"C",IF(J786&gt;=20,"D","E"))))))</f>
        <v/>
      </c>
      <c r="L786" s="15">
        <f>IF(K786="","",IF(K786="A","Cemerlang",IF(K786="B","Kepujian",IF(K786="C","Baik",IF(K786="D","Kurang Memuaskan",IF(K786="E","Tidak Memuaskan","Tidak Laksana"))))))</f>
        <v/>
      </c>
    </row>
    <row r="787">
      <c r="A787" s="15">
        <f>Murid!A787</f>
        <v/>
      </c>
      <c r="B787" s="15">
        <f>IF(Murid!B787="","",Murid!B787)</f>
        <v/>
      </c>
      <c r="C787" s="16">
        <f>IF(Murid!C787="","",Murid!C787)</f>
        <v/>
      </c>
      <c r="D787" s="15">
        <f>IF(Murid!E787="","",Murid!E787)</f>
        <v/>
      </c>
      <c r="E787" s="17">
        <f>KP!X787</f>
        <v/>
      </c>
      <c r="F787" s="17">
        <f>UB!X787</f>
        <v/>
      </c>
      <c r="G787" s="17">
        <f>SP!X787</f>
        <v/>
      </c>
      <c r="H787" s="17">
        <f>IF(COUNT(E787:G787)=0,"",ROUND((LARGE(E787:G787,1)+IF(COUNT(E787:G787)&gt;=2,LARGE(E787:G787,2),0))/2,2))</f>
        <v/>
      </c>
      <c r="I787" s="10">
        <f>Ekstra!U787</f>
        <v/>
      </c>
      <c r="J787" s="18">
        <f>IF(B787="","",IF(Murid!F787="TL","TL",IF(H787="","",MIN(100,ROUND(H787+N(I787),2)))))</f>
        <v/>
      </c>
      <c r="K787" s="19">
        <f>IF(J787="","",IF(J787="TL","TL",IF(J787&gt;=80,"A",IF(J787&gt;=60,"B",IF(J787&gt;=40,"C",IF(J787&gt;=20,"D","E"))))))</f>
        <v/>
      </c>
      <c r="L787" s="15">
        <f>IF(K787="","",IF(K787="A","Cemerlang",IF(K787="B","Kepujian",IF(K787="C","Baik",IF(K787="D","Kurang Memuaskan",IF(K787="E","Tidak Memuaskan","Tidak Laksana"))))))</f>
        <v/>
      </c>
    </row>
    <row r="788">
      <c r="A788" s="15">
        <f>Murid!A788</f>
        <v/>
      </c>
      <c r="B788" s="15">
        <f>IF(Murid!B788="","",Murid!B788)</f>
        <v/>
      </c>
      <c r="C788" s="16">
        <f>IF(Murid!C788="","",Murid!C788)</f>
        <v/>
      </c>
      <c r="D788" s="15">
        <f>IF(Murid!E788="","",Murid!E788)</f>
        <v/>
      </c>
      <c r="E788" s="17">
        <f>KP!X788</f>
        <v/>
      </c>
      <c r="F788" s="17">
        <f>UB!X788</f>
        <v/>
      </c>
      <c r="G788" s="17">
        <f>SP!X788</f>
        <v/>
      </c>
      <c r="H788" s="17">
        <f>IF(COUNT(E788:G788)=0,"",ROUND((LARGE(E788:G788,1)+IF(COUNT(E788:G788)&gt;=2,LARGE(E788:G788,2),0))/2,2))</f>
        <v/>
      </c>
      <c r="I788" s="10">
        <f>Ekstra!U788</f>
        <v/>
      </c>
      <c r="J788" s="18">
        <f>IF(B788="","",IF(Murid!F788="TL","TL",IF(H788="","",MIN(100,ROUND(H788+N(I788),2)))))</f>
        <v/>
      </c>
      <c r="K788" s="19">
        <f>IF(J788="","",IF(J788="TL","TL",IF(J788&gt;=80,"A",IF(J788&gt;=60,"B",IF(J788&gt;=40,"C",IF(J788&gt;=20,"D","E"))))))</f>
        <v/>
      </c>
      <c r="L788" s="15">
        <f>IF(K788="","",IF(K788="A","Cemerlang",IF(K788="B","Kepujian",IF(K788="C","Baik",IF(K788="D","Kurang Memuaskan",IF(K788="E","Tidak Memuaskan","Tidak Laksana"))))))</f>
        <v/>
      </c>
    </row>
    <row r="789">
      <c r="A789" s="15">
        <f>Murid!A789</f>
        <v/>
      </c>
      <c r="B789" s="15">
        <f>IF(Murid!B789="","",Murid!B789)</f>
        <v/>
      </c>
      <c r="C789" s="16">
        <f>IF(Murid!C789="","",Murid!C789)</f>
        <v/>
      </c>
      <c r="D789" s="15">
        <f>IF(Murid!E789="","",Murid!E789)</f>
        <v/>
      </c>
      <c r="E789" s="17">
        <f>KP!X789</f>
        <v/>
      </c>
      <c r="F789" s="17">
        <f>UB!X789</f>
        <v/>
      </c>
      <c r="G789" s="17">
        <f>SP!X789</f>
        <v/>
      </c>
      <c r="H789" s="17">
        <f>IF(COUNT(E789:G789)=0,"",ROUND((LARGE(E789:G789,1)+IF(COUNT(E789:G789)&gt;=2,LARGE(E789:G789,2),0))/2,2))</f>
        <v/>
      </c>
      <c r="I789" s="10">
        <f>Ekstra!U789</f>
        <v/>
      </c>
      <c r="J789" s="18">
        <f>IF(B789="","",IF(Murid!F789="TL","TL",IF(H789="","",MIN(100,ROUND(H789+N(I789),2)))))</f>
        <v/>
      </c>
      <c r="K789" s="19">
        <f>IF(J789="","",IF(J789="TL","TL",IF(J789&gt;=80,"A",IF(J789&gt;=60,"B",IF(J789&gt;=40,"C",IF(J789&gt;=20,"D","E"))))))</f>
        <v/>
      </c>
      <c r="L789" s="15">
        <f>IF(K789="","",IF(K789="A","Cemerlang",IF(K789="B","Kepujian",IF(K789="C","Baik",IF(K789="D","Kurang Memuaskan",IF(K789="E","Tidak Memuaskan","Tidak Laksana"))))))</f>
        <v/>
      </c>
    </row>
    <row r="790">
      <c r="A790" s="15">
        <f>Murid!A790</f>
        <v/>
      </c>
      <c r="B790" s="15">
        <f>IF(Murid!B790="","",Murid!B790)</f>
        <v/>
      </c>
      <c r="C790" s="16">
        <f>IF(Murid!C790="","",Murid!C790)</f>
        <v/>
      </c>
      <c r="D790" s="15">
        <f>IF(Murid!E790="","",Murid!E790)</f>
        <v/>
      </c>
      <c r="E790" s="17">
        <f>KP!X790</f>
        <v/>
      </c>
      <c r="F790" s="17">
        <f>UB!X790</f>
        <v/>
      </c>
      <c r="G790" s="17">
        <f>SP!X790</f>
        <v/>
      </c>
      <c r="H790" s="17">
        <f>IF(COUNT(E790:G790)=0,"",ROUND((LARGE(E790:G790,1)+IF(COUNT(E790:G790)&gt;=2,LARGE(E790:G790,2),0))/2,2))</f>
        <v/>
      </c>
      <c r="I790" s="10">
        <f>Ekstra!U790</f>
        <v/>
      </c>
      <c r="J790" s="18">
        <f>IF(B790="","",IF(Murid!F790="TL","TL",IF(H790="","",MIN(100,ROUND(H790+N(I790),2)))))</f>
        <v/>
      </c>
      <c r="K790" s="19">
        <f>IF(J790="","",IF(J790="TL","TL",IF(J790&gt;=80,"A",IF(J790&gt;=60,"B",IF(J790&gt;=40,"C",IF(J790&gt;=20,"D","E"))))))</f>
        <v/>
      </c>
      <c r="L790" s="15">
        <f>IF(K790="","",IF(K790="A","Cemerlang",IF(K790="B","Kepujian",IF(K790="C","Baik",IF(K790="D","Kurang Memuaskan",IF(K790="E","Tidak Memuaskan","Tidak Laksana"))))))</f>
        <v/>
      </c>
    </row>
    <row r="791">
      <c r="A791" s="15">
        <f>Murid!A791</f>
        <v/>
      </c>
      <c r="B791" s="15">
        <f>IF(Murid!B791="","",Murid!B791)</f>
        <v/>
      </c>
      <c r="C791" s="16">
        <f>IF(Murid!C791="","",Murid!C791)</f>
        <v/>
      </c>
      <c r="D791" s="15">
        <f>IF(Murid!E791="","",Murid!E791)</f>
        <v/>
      </c>
      <c r="E791" s="17">
        <f>KP!X791</f>
        <v/>
      </c>
      <c r="F791" s="17">
        <f>UB!X791</f>
        <v/>
      </c>
      <c r="G791" s="17">
        <f>SP!X791</f>
        <v/>
      </c>
      <c r="H791" s="17">
        <f>IF(COUNT(E791:G791)=0,"",ROUND((LARGE(E791:G791,1)+IF(COUNT(E791:G791)&gt;=2,LARGE(E791:G791,2),0))/2,2))</f>
        <v/>
      </c>
      <c r="I791" s="10">
        <f>Ekstra!U791</f>
        <v/>
      </c>
      <c r="J791" s="18">
        <f>IF(B791="","",IF(Murid!F791="TL","TL",IF(H791="","",MIN(100,ROUND(H791+N(I791),2)))))</f>
        <v/>
      </c>
      <c r="K791" s="19">
        <f>IF(J791="","",IF(J791="TL","TL",IF(J791&gt;=80,"A",IF(J791&gt;=60,"B",IF(J791&gt;=40,"C",IF(J791&gt;=20,"D","E"))))))</f>
        <v/>
      </c>
      <c r="L791" s="15">
        <f>IF(K791="","",IF(K791="A","Cemerlang",IF(K791="B","Kepujian",IF(K791="C","Baik",IF(K791="D","Kurang Memuaskan",IF(K791="E","Tidak Memuaskan","Tidak Laksana"))))))</f>
        <v/>
      </c>
    </row>
    <row r="792">
      <c r="A792" s="15">
        <f>Murid!A792</f>
        <v/>
      </c>
      <c r="B792" s="15">
        <f>IF(Murid!B792="","",Murid!B792)</f>
        <v/>
      </c>
      <c r="C792" s="16">
        <f>IF(Murid!C792="","",Murid!C792)</f>
        <v/>
      </c>
      <c r="D792" s="15">
        <f>IF(Murid!E792="","",Murid!E792)</f>
        <v/>
      </c>
      <c r="E792" s="17">
        <f>KP!X792</f>
        <v/>
      </c>
      <c r="F792" s="17">
        <f>UB!X792</f>
        <v/>
      </c>
      <c r="G792" s="17">
        <f>SP!X792</f>
        <v/>
      </c>
      <c r="H792" s="17">
        <f>IF(COUNT(E792:G792)=0,"",ROUND((LARGE(E792:G792,1)+IF(COUNT(E792:G792)&gt;=2,LARGE(E792:G792,2),0))/2,2))</f>
        <v/>
      </c>
      <c r="I792" s="10">
        <f>Ekstra!U792</f>
        <v/>
      </c>
      <c r="J792" s="18">
        <f>IF(B792="","",IF(Murid!F792="TL","TL",IF(H792="","",MIN(100,ROUND(H792+N(I792),2)))))</f>
        <v/>
      </c>
      <c r="K792" s="19">
        <f>IF(J792="","",IF(J792="TL","TL",IF(J792&gt;=80,"A",IF(J792&gt;=60,"B",IF(J792&gt;=40,"C",IF(J792&gt;=20,"D","E"))))))</f>
        <v/>
      </c>
      <c r="L792" s="15">
        <f>IF(K792="","",IF(K792="A","Cemerlang",IF(K792="B","Kepujian",IF(K792="C","Baik",IF(K792="D","Kurang Memuaskan",IF(K792="E","Tidak Memuaskan","Tidak Laksana"))))))</f>
        <v/>
      </c>
    </row>
    <row r="793">
      <c r="A793" s="15">
        <f>Murid!A793</f>
        <v/>
      </c>
      <c r="B793" s="15">
        <f>IF(Murid!B793="","",Murid!B793)</f>
        <v/>
      </c>
      <c r="C793" s="16">
        <f>IF(Murid!C793="","",Murid!C793)</f>
        <v/>
      </c>
      <c r="D793" s="15">
        <f>IF(Murid!E793="","",Murid!E793)</f>
        <v/>
      </c>
      <c r="E793" s="17">
        <f>KP!X793</f>
        <v/>
      </c>
      <c r="F793" s="17">
        <f>UB!X793</f>
        <v/>
      </c>
      <c r="G793" s="17">
        <f>SP!X793</f>
        <v/>
      </c>
      <c r="H793" s="17">
        <f>IF(COUNT(E793:G793)=0,"",ROUND((LARGE(E793:G793,1)+IF(COUNT(E793:G793)&gt;=2,LARGE(E793:G793,2),0))/2,2))</f>
        <v/>
      </c>
      <c r="I793" s="10">
        <f>Ekstra!U793</f>
        <v/>
      </c>
      <c r="J793" s="18">
        <f>IF(B793="","",IF(Murid!F793="TL","TL",IF(H793="","",MIN(100,ROUND(H793+N(I793),2)))))</f>
        <v/>
      </c>
      <c r="K793" s="19">
        <f>IF(J793="","",IF(J793="TL","TL",IF(J793&gt;=80,"A",IF(J793&gt;=60,"B",IF(J793&gt;=40,"C",IF(J793&gt;=20,"D","E"))))))</f>
        <v/>
      </c>
      <c r="L793" s="15">
        <f>IF(K793="","",IF(K793="A","Cemerlang",IF(K793="B","Kepujian",IF(K793="C","Baik",IF(K793="D","Kurang Memuaskan",IF(K793="E","Tidak Memuaskan","Tidak Laksana"))))))</f>
        <v/>
      </c>
    </row>
    <row r="794">
      <c r="A794" s="15">
        <f>Murid!A794</f>
        <v/>
      </c>
      <c r="B794" s="15">
        <f>IF(Murid!B794="","",Murid!B794)</f>
        <v/>
      </c>
      <c r="C794" s="16">
        <f>IF(Murid!C794="","",Murid!C794)</f>
        <v/>
      </c>
      <c r="D794" s="15">
        <f>IF(Murid!E794="","",Murid!E794)</f>
        <v/>
      </c>
      <c r="E794" s="17">
        <f>KP!X794</f>
        <v/>
      </c>
      <c r="F794" s="17">
        <f>UB!X794</f>
        <v/>
      </c>
      <c r="G794" s="17">
        <f>SP!X794</f>
        <v/>
      </c>
      <c r="H794" s="17">
        <f>IF(COUNT(E794:G794)=0,"",ROUND((LARGE(E794:G794,1)+IF(COUNT(E794:G794)&gt;=2,LARGE(E794:G794,2),0))/2,2))</f>
        <v/>
      </c>
      <c r="I794" s="10">
        <f>Ekstra!U794</f>
        <v/>
      </c>
      <c r="J794" s="18">
        <f>IF(B794="","",IF(Murid!F794="TL","TL",IF(H794="","",MIN(100,ROUND(H794+N(I794),2)))))</f>
        <v/>
      </c>
      <c r="K794" s="19">
        <f>IF(J794="","",IF(J794="TL","TL",IF(J794&gt;=80,"A",IF(J794&gt;=60,"B",IF(J794&gt;=40,"C",IF(J794&gt;=20,"D","E"))))))</f>
        <v/>
      </c>
      <c r="L794" s="15">
        <f>IF(K794="","",IF(K794="A","Cemerlang",IF(K794="B","Kepujian",IF(K794="C","Baik",IF(K794="D","Kurang Memuaskan",IF(K794="E","Tidak Memuaskan","Tidak Laksana"))))))</f>
        <v/>
      </c>
    </row>
    <row r="795">
      <c r="A795" s="15">
        <f>Murid!A795</f>
        <v/>
      </c>
      <c r="B795" s="15">
        <f>IF(Murid!B795="","",Murid!B795)</f>
        <v/>
      </c>
      <c r="C795" s="16">
        <f>IF(Murid!C795="","",Murid!C795)</f>
        <v/>
      </c>
      <c r="D795" s="15">
        <f>IF(Murid!E795="","",Murid!E795)</f>
        <v/>
      </c>
      <c r="E795" s="17">
        <f>KP!X795</f>
        <v/>
      </c>
      <c r="F795" s="17">
        <f>UB!X795</f>
        <v/>
      </c>
      <c r="G795" s="17">
        <f>SP!X795</f>
        <v/>
      </c>
      <c r="H795" s="17">
        <f>IF(COUNT(E795:G795)=0,"",ROUND((LARGE(E795:G795,1)+IF(COUNT(E795:G795)&gt;=2,LARGE(E795:G795,2),0))/2,2))</f>
        <v/>
      </c>
      <c r="I795" s="10">
        <f>Ekstra!U795</f>
        <v/>
      </c>
      <c r="J795" s="18">
        <f>IF(B795="","",IF(Murid!F795="TL","TL",IF(H795="","",MIN(100,ROUND(H795+N(I795),2)))))</f>
        <v/>
      </c>
      <c r="K795" s="19">
        <f>IF(J795="","",IF(J795="TL","TL",IF(J795&gt;=80,"A",IF(J795&gt;=60,"B",IF(J795&gt;=40,"C",IF(J795&gt;=20,"D","E"))))))</f>
        <v/>
      </c>
      <c r="L795" s="15">
        <f>IF(K795="","",IF(K795="A","Cemerlang",IF(K795="B","Kepujian",IF(K795="C","Baik",IF(K795="D","Kurang Memuaskan",IF(K795="E","Tidak Memuaskan","Tidak Laksana"))))))</f>
        <v/>
      </c>
    </row>
    <row r="796">
      <c r="A796" s="15">
        <f>Murid!A796</f>
        <v/>
      </c>
      <c r="B796" s="15">
        <f>IF(Murid!B796="","",Murid!B796)</f>
        <v/>
      </c>
      <c r="C796" s="16">
        <f>IF(Murid!C796="","",Murid!C796)</f>
        <v/>
      </c>
      <c r="D796" s="15">
        <f>IF(Murid!E796="","",Murid!E796)</f>
        <v/>
      </c>
      <c r="E796" s="17">
        <f>KP!X796</f>
        <v/>
      </c>
      <c r="F796" s="17">
        <f>UB!X796</f>
        <v/>
      </c>
      <c r="G796" s="17">
        <f>SP!X796</f>
        <v/>
      </c>
      <c r="H796" s="17">
        <f>IF(COUNT(E796:G796)=0,"",ROUND((LARGE(E796:G796,1)+IF(COUNT(E796:G796)&gt;=2,LARGE(E796:G796,2),0))/2,2))</f>
        <v/>
      </c>
      <c r="I796" s="10">
        <f>Ekstra!U796</f>
        <v/>
      </c>
      <c r="J796" s="18">
        <f>IF(B796="","",IF(Murid!F796="TL","TL",IF(H796="","",MIN(100,ROUND(H796+N(I796),2)))))</f>
        <v/>
      </c>
      <c r="K796" s="19">
        <f>IF(J796="","",IF(J796="TL","TL",IF(J796&gt;=80,"A",IF(J796&gt;=60,"B",IF(J796&gt;=40,"C",IF(J796&gt;=20,"D","E"))))))</f>
        <v/>
      </c>
      <c r="L796" s="15">
        <f>IF(K796="","",IF(K796="A","Cemerlang",IF(K796="B","Kepujian",IF(K796="C","Baik",IF(K796="D","Kurang Memuaskan",IF(K796="E","Tidak Memuaskan","Tidak Laksana"))))))</f>
        <v/>
      </c>
    </row>
    <row r="797">
      <c r="A797" s="15">
        <f>Murid!A797</f>
        <v/>
      </c>
      <c r="B797" s="15">
        <f>IF(Murid!B797="","",Murid!B797)</f>
        <v/>
      </c>
      <c r="C797" s="16">
        <f>IF(Murid!C797="","",Murid!C797)</f>
        <v/>
      </c>
      <c r="D797" s="15">
        <f>IF(Murid!E797="","",Murid!E797)</f>
        <v/>
      </c>
      <c r="E797" s="17">
        <f>KP!X797</f>
        <v/>
      </c>
      <c r="F797" s="17">
        <f>UB!X797</f>
        <v/>
      </c>
      <c r="G797" s="17">
        <f>SP!X797</f>
        <v/>
      </c>
      <c r="H797" s="17">
        <f>IF(COUNT(E797:G797)=0,"",ROUND((LARGE(E797:G797,1)+IF(COUNT(E797:G797)&gt;=2,LARGE(E797:G797,2),0))/2,2))</f>
        <v/>
      </c>
      <c r="I797" s="10">
        <f>Ekstra!U797</f>
        <v/>
      </c>
      <c r="J797" s="18">
        <f>IF(B797="","",IF(Murid!F797="TL","TL",IF(H797="","",MIN(100,ROUND(H797+N(I797),2)))))</f>
        <v/>
      </c>
      <c r="K797" s="19">
        <f>IF(J797="","",IF(J797="TL","TL",IF(J797&gt;=80,"A",IF(J797&gt;=60,"B",IF(J797&gt;=40,"C",IF(J797&gt;=20,"D","E"))))))</f>
        <v/>
      </c>
      <c r="L797" s="15">
        <f>IF(K797="","",IF(K797="A","Cemerlang",IF(K797="B","Kepujian",IF(K797="C","Baik",IF(K797="D","Kurang Memuaskan",IF(K797="E","Tidak Memuaskan","Tidak Laksana"))))))</f>
        <v/>
      </c>
    </row>
    <row r="798">
      <c r="A798" s="15">
        <f>Murid!A798</f>
        <v/>
      </c>
      <c r="B798" s="15">
        <f>IF(Murid!B798="","",Murid!B798)</f>
        <v/>
      </c>
      <c r="C798" s="16">
        <f>IF(Murid!C798="","",Murid!C798)</f>
        <v/>
      </c>
      <c r="D798" s="15">
        <f>IF(Murid!E798="","",Murid!E798)</f>
        <v/>
      </c>
      <c r="E798" s="17">
        <f>KP!X798</f>
        <v/>
      </c>
      <c r="F798" s="17">
        <f>UB!X798</f>
        <v/>
      </c>
      <c r="G798" s="17">
        <f>SP!X798</f>
        <v/>
      </c>
      <c r="H798" s="17">
        <f>IF(COUNT(E798:G798)=0,"",ROUND((LARGE(E798:G798,1)+IF(COUNT(E798:G798)&gt;=2,LARGE(E798:G798,2),0))/2,2))</f>
        <v/>
      </c>
      <c r="I798" s="10">
        <f>Ekstra!U798</f>
        <v/>
      </c>
      <c r="J798" s="18">
        <f>IF(B798="","",IF(Murid!F798="TL","TL",IF(H798="","",MIN(100,ROUND(H798+N(I798),2)))))</f>
        <v/>
      </c>
      <c r="K798" s="19">
        <f>IF(J798="","",IF(J798="TL","TL",IF(J798&gt;=80,"A",IF(J798&gt;=60,"B",IF(J798&gt;=40,"C",IF(J798&gt;=20,"D","E"))))))</f>
        <v/>
      </c>
      <c r="L798" s="15">
        <f>IF(K798="","",IF(K798="A","Cemerlang",IF(K798="B","Kepujian",IF(K798="C","Baik",IF(K798="D","Kurang Memuaskan",IF(K798="E","Tidak Memuaskan","Tidak Laksana"))))))</f>
        <v/>
      </c>
    </row>
    <row r="799">
      <c r="A799" s="15">
        <f>Murid!A799</f>
        <v/>
      </c>
      <c r="B799" s="15">
        <f>IF(Murid!B799="","",Murid!B799)</f>
        <v/>
      </c>
      <c r="C799" s="16">
        <f>IF(Murid!C799="","",Murid!C799)</f>
        <v/>
      </c>
      <c r="D799" s="15">
        <f>IF(Murid!E799="","",Murid!E799)</f>
        <v/>
      </c>
      <c r="E799" s="17">
        <f>KP!X799</f>
        <v/>
      </c>
      <c r="F799" s="17">
        <f>UB!X799</f>
        <v/>
      </c>
      <c r="G799" s="17">
        <f>SP!X799</f>
        <v/>
      </c>
      <c r="H799" s="17">
        <f>IF(COUNT(E799:G799)=0,"",ROUND((LARGE(E799:G799,1)+IF(COUNT(E799:G799)&gt;=2,LARGE(E799:G799,2),0))/2,2))</f>
        <v/>
      </c>
      <c r="I799" s="10">
        <f>Ekstra!U799</f>
        <v/>
      </c>
      <c r="J799" s="18">
        <f>IF(B799="","",IF(Murid!F799="TL","TL",IF(H799="","",MIN(100,ROUND(H799+N(I799),2)))))</f>
        <v/>
      </c>
      <c r="K799" s="19">
        <f>IF(J799="","",IF(J799="TL","TL",IF(J799&gt;=80,"A",IF(J799&gt;=60,"B",IF(J799&gt;=40,"C",IF(J799&gt;=20,"D","E"))))))</f>
        <v/>
      </c>
      <c r="L799" s="15">
        <f>IF(K799="","",IF(K799="A","Cemerlang",IF(K799="B","Kepujian",IF(K799="C","Baik",IF(K799="D","Kurang Memuaskan",IF(K799="E","Tidak Memuaskan","Tidak Laksana"))))))</f>
        <v/>
      </c>
    </row>
    <row r="800">
      <c r="A800" s="15">
        <f>Murid!A800</f>
        <v/>
      </c>
      <c r="B800" s="15">
        <f>IF(Murid!B800="","",Murid!B800)</f>
        <v/>
      </c>
      <c r="C800" s="16">
        <f>IF(Murid!C800="","",Murid!C800)</f>
        <v/>
      </c>
      <c r="D800" s="15">
        <f>IF(Murid!E800="","",Murid!E800)</f>
        <v/>
      </c>
      <c r="E800" s="17">
        <f>KP!X800</f>
        <v/>
      </c>
      <c r="F800" s="17">
        <f>UB!X800</f>
        <v/>
      </c>
      <c r="G800" s="17">
        <f>SP!X800</f>
        <v/>
      </c>
      <c r="H800" s="17">
        <f>IF(COUNT(E800:G800)=0,"",ROUND((LARGE(E800:G800,1)+IF(COUNT(E800:G800)&gt;=2,LARGE(E800:G800,2),0))/2,2))</f>
        <v/>
      </c>
      <c r="I800" s="10">
        <f>Ekstra!U800</f>
        <v/>
      </c>
      <c r="J800" s="18">
        <f>IF(B800="","",IF(Murid!F800="TL","TL",IF(H800="","",MIN(100,ROUND(H800+N(I800),2)))))</f>
        <v/>
      </c>
      <c r="K800" s="19">
        <f>IF(J800="","",IF(J800="TL","TL",IF(J800&gt;=80,"A",IF(J800&gt;=60,"B",IF(J800&gt;=40,"C",IF(J800&gt;=20,"D","E"))))))</f>
        <v/>
      </c>
      <c r="L800" s="15">
        <f>IF(K800="","",IF(K800="A","Cemerlang",IF(K800="B","Kepujian",IF(K800="C","Baik",IF(K800="D","Kurang Memuaskan",IF(K800="E","Tidak Memuaskan","Tidak Laksana"))))))</f>
        <v/>
      </c>
    </row>
    <row r="801">
      <c r="A801" s="15">
        <f>Murid!A801</f>
        <v/>
      </c>
      <c r="B801" s="15">
        <f>IF(Murid!B801="","",Murid!B801)</f>
        <v/>
      </c>
      <c r="C801" s="16">
        <f>IF(Murid!C801="","",Murid!C801)</f>
        <v/>
      </c>
      <c r="D801" s="15">
        <f>IF(Murid!E801="","",Murid!E801)</f>
        <v/>
      </c>
      <c r="E801" s="17">
        <f>KP!X801</f>
        <v/>
      </c>
      <c r="F801" s="17">
        <f>UB!X801</f>
        <v/>
      </c>
      <c r="G801" s="17">
        <f>SP!X801</f>
        <v/>
      </c>
      <c r="H801" s="17">
        <f>IF(COUNT(E801:G801)=0,"",ROUND((LARGE(E801:G801,1)+IF(COUNT(E801:G801)&gt;=2,LARGE(E801:G801,2),0))/2,2))</f>
        <v/>
      </c>
      <c r="I801" s="10">
        <f>Ekstra!U801</f>
        <v/>
      </c>
      <c r="J801" s="18">
        <f>IF(B801="","",IF(Murid!F801="TL","TL",IF(H801="","",MIN(100,ROUND(H801+N(I801),2)))))</f>
        <v/>
      </c>
      <c r="K801" s="19">
        <f>IF(J801="","",IF(J801="TL","TL",IF(J801&gt;=80,"A",IF(J801&gt;=60,"B",IF(J801&gt;=40,"C",IF(J801&gt;=20,"D","E"))))))</f>
        <v/>
      </c>
      <c r="L801" s="15">
        <f>IF(K801="","",IF(K801="A","Cemerlang",IF(K801="B","Kepujian",IF(K801="C","Baik",IF(K801="D","Kurang Memuaskan",IF(K801="E","Tidak Memuaskan","Tidak Laksana"))))))</f>
        <v/>
      </c>
    </row>
    <row r="802">
      <c r="A802" s="15">
        <f>Murid!A802</f>
        <v/>
      </c>
      <c r="B802" s="15">
        <f>IF(Murid!B802="","",Murid!B802)</f>
        <v/>
      </c>
      <c r="C802" s="16">
        <f>IF(Murid!C802="","",Murid!C802)</f>
        <v/>
      </c>
      <c r="D802" s="15">
        <f>IF(Murid!E802="","",Murid!E802)</f>
        <v/>
      </c>
      <c r="E802" s="17">
        <f>KP!X802</f>
        <v/>
      </c>
      <c r="F802" s="17">
        <f>UB!X802</f>
        <v/>
      </c>
      <c r="G802" s="17">
        <f>SP!X802</f>
        <v/>
      </c>
      <c r="H802" s="17">
        <f>IF(COUNT(E802:G802)=0,"",ROUND((LARGE(E802:G802,1)+IF(COUNT(E802:G802)&gt;=2,LARGE(E802:G802,2),0))/2,2))</f>
        <v/>
      </c>
      <c r="I802" s="10">
        <f>Ekstra!U802</f>
        <v/>
      </c>
      <c r="J802" s="18">
        <f>IF(B802="","",IF(Murid!F802="TL","TL",IF(H802="","",MIN(100,ROUND(H802+N(I802),2)))))</f>
        <v/>
      </c>
      <c r="K802" s="19">
        <f>IF(J802="","",IF(J802="TL","TL",IF(J802&gt;=80,"A",IF(J802&gt;=60,"B",IF(J802&gt;=40,"C",IF(J802&gt;=20,"D","E"))))))</f>
        <v/>
      </c>
      <c r="L802" s="15">
        <f>IF(K802="","",IF(K802="A","Cemerlang",IF(K802="B","Kepujian",IF(K802="C","Baik",IF(K802="D","Kurang Memuaskan",IF(K802="E","Tidak Memuaskan","Tidak Laksana"))))))</f>
        <v/>
      </c>
    </row>
    <row r="803">
      <c r="A803" s="15">
        <f>Murid!A803</f>
        <v/>
      </c>
      <c r="B803" s="15">
        <f>IF(Murid!B803="","",Murid!B803)</f>
        <v/>
      </c>
      <c r="C803" s="16">
        <f>IF(Murid!C803="","",Murid!C803)</f>
        <v/>
      </c>
      <c r="D803" s="15">
        <f>IF(Murid!E803="","",Murid!E803)</f>
        <v/>
      </c>
      <c r="E803" s="17">
        <f>KP!X803</f>
        <v/>
      </c>
      <c r="F803" s="17">
        <f>UB!X803</f>
        <v/>
      </c>
      <c r="G803" s="17">
        <f>SP!X803</f>
        <v/>
      </c>
      <c r="H803" s="17">
        <f>IF(COUNT(E803:G803)=0,"",ROUND((LARGE(E803:G803,1)+IF(COUNT(E803:G803)&gt;=2,LARGE(E803:G803,2),0))/2,2))</f>
        <v/>
      </c>
      <c r="I803" s="10">
        <f>Ekstra!U803</f>
        <v/>
      </c>
      <c r="J803" s="18">
        <f>IF(B803="","",IF(Murid!F803="TL","TL",IF(H803="","",MIN(100,ROUND(H803+N(I803),2)))))</f>
        <v/>
      </c>
      <c r="K803" s="19">
        <f>IF(J803="","",IF(J803="TL","TL",IF(J803&gt;=80,"A",IF(J803&gt;=60,"B",IF(J803&gt;=40,"C",IF(J803&gt;=20,"D","E"))))))</f>
        <v/>
      </c>
      <c r="L803" s="15">
        <f>IF(K803="","",IF(K803="A","Cemerlang",IF(K803="B","Kepujian",IF(K803="C","Baik",IF(K803="D","Kurang Memuaskan",IF(K803="E","Tidak Memuaskan","Tidak Laksana"))))))</f>
        <v/>
      </c>
    </row>
    <row r="804">
      <c r="A804" s="15">
        <f>Murid!A804</f>
        <v/>
      </c>
      <c r="B804" s="15">
        <f>IF(Murid!B804="","",Murid!B804)</f>
        <v/>
      </c>
      <c r="C804" s="16">
        <f>IF(Murid!C804="","",Murid!C804)</f>
        <v/>
      </c>
      <c r="D804" s="15">
        <f>IF(Murid!E804="","",Murid!E804)</f>
        <v/>
      </c>
      <c r="E804" s="17">
        <f>KP!X804</f>
        <v/>
      </c>
      <c r="F804" s="17">
        <f>UB!X804</f>
        <v/>
      </c>
      <c r="G804" s="17">
        <f>SP!X804</f>
        <v/>
      </c>
      <c r="H804" s="17">
        <f>IF(COUNT(E804:G804)=0,"",ROUND((LARGE(E804:G804,1)+IF(COUNT(E804:G804)&gt;=2,LARGE(E804:G804,2),0))/2,2))</f>
        <v/>
      </c>
      <c r="I804" s="10">
        <f>Ekstra!U804</f>
        <v/>
      </c>
      <c r="J804" s="18">
        <f>IF(B804="","",IF(Murid!F804="TL","TL",IF(H804="","",MIN(100,ROUND(H804+N(I804),2)))))</f>
        <v/>
      </c>
      <c r="K804" s="19">
        <f>IF(J804="","",IF(J804="TL","TL",IF(J804&gt;=80,"A",IF(J804&gt;=60,"B",IF(J804&gt;=40,"C",IF(J804&gt;=20,"D","E"))))))</f>
        <v/>
      </c>
      <c r="L804" s="15">
        <f>IF(K804="","",IF(K804="A","Cemerlang",IF(K804="B","Kepujian",IF(K804="C","Baik",IF(K804="D","Kurang Memuaskan",IF(K804="E","Tidak Memuaskan","Tidak Laksana"))))))</f>
        <v/>
      </c>
    </row>
    <row r="805">
      <c r="A805" s="15">
        <f>Murid!A805</f>
        <v/>
      </c>
      <c r="B805" s="15">
        <f>IF(Murid!B805="","",Murid!B805)</f>
        <v/>
      </c>
      <c r="C805" s="16">
        <f>IF(Murid!C805="","",Murid!C805)</f>
        <v/>
      </c>
      <c r="D805" s="15">
        <f>IF(Murid!E805="","",Murid!E805)</f>
        <v/>
      </c>
      <c r="E805" s="17">
        <f>KP!X805</f>
        <v/>
      </c>
      <c r="F805" s="17">
        <f>UB!X805</f>
        <v/>
      </c>
      <c r="G805" s="17">
        <f>SP!X805</f>
        <v/>
      </c>
      <c r="H805" s="17">
        <f>IF(COUNT(E805:G805)=0,"",ROUND((LARGE(E805:G805,1)+IF(COUNT(E805:G805)&gt;=2,LARGE(E805:G805,2),0))/2,2))</f>
        <v/>
      </c>
      <c r="I805" s="10">
        <f>Ekstra!U805</f>
        <v/>
      </c>
      <c r="J805" s="18">
        <f>IF(B805="","",IF(Murid!F805="TL","TL",IF(H805="","",MIN(100,ROUND(H805+N(I805),2)))))</f>
        <v/>
      </c>
      <c r="K805" s="19">
        <f>IF(J805="","",IF(J805="TL","TL",IF(J805&gt;=80,"A",IF(J805&gt;=60,"B",IF(J805&gt;=40,"C",IF(J805&gt;=20,"D","E"))))))</f>
        <v/>
      </c>
      <c r="L805" s="15">
        <f>IF(K805="","",IF(K805="A","Cemerlang",IF(K805="B","Kepujian",IF(K805="C","Baik",IF(K805="D","Kurang Memuaskan",IF(K805="E","Tidak Memuaskan","Tidak Laksana"))))))</f>
        <v/>
      </c>
    </row>
    <row r="806">
      <c r="A806" s="15">
        <f>Murid!A806</f>
        <v/>
      </c>
      <c r="B806" s="15">
        <f>IF(Murid!B806="","",Murid!B806)</f>
        <v/>
      </c>
      <c r="C806" s="16">
        <f>IF(Murid!C806="","",Murid!C806)</f>
        <v/>
      </c>
      <c r="D806" s="15">
        <f>IF(Murid!E806="","",Murid!E806)</f>
        <v/>
      </c>
      <c r="E806" s="17">
        <f>KP!X806</f>
        <v/>
      </c>
      <c r="F806" s="17">
        <f>UB!X806</f>
        <v/>
      </c>
      <c r="G806" s="17">
        <f>SP!X806</f>
        <v/>
      </c>
      <c r="H806" s="17">
        <f>IF(COUNT(E806:G806)=0,"",ROUND((LARGE(E806:G806,1)+IF(COUNT(E806:G806)&gt;=2,LARGE(E806:G806,2),0))/2,2))</f>
        <v/>
      </c>
      <c r="I806" s="10">
        <f>Ekstra!U806</f>
        <v/>
      </c>
      <c r="J806" s="18">
        <f>IF(B806="","",IF(Murid!F806="TL","TL",IF(H806="","",MIN(100,ROUND(H806+N(I806),2)))))</f>
        <v/>
      </c>
      <c r="K806" s="19">
        <f>IF(J806="","",IF(J806="TL","TL",IF(J806&gt;=80,"A",IF(J806&gt;=60,"B",IF(J806&gt;=40,"C",IF(J806&gt;=20,"D","E"))))))</f>
        <v/>
      </c>
      <c r="L806" s="15">
        <f>IF(K806="","",IF(K806="A","Cemerlang",IF(K806="B","Kepujian",IF(K806="C","Baik",IF(K806="D","Kurang Memuaskan",IF(K806="E","Tidak Memuaskan","Tidak Laksana"))))))</f>
        <v/>
      </c>
    </row>
    <row r="807">
      <c r="A807" s="15">
        <f>Murid!A807</f>
        <v/>
      </c>
      <c r="B807" s="15">
        <f>IF(Murid!B807="","",Murid!B807)</f>
        <v/>
      </c>
      <c r="C807" s="16">
        <f>IF(Murid!C807="","",Murid!C807)</f>
        <v/>
      </c>
      <c r="D807" s="15">
        <f>IF(Murid!E807="","",Murid!E807)</f>
        <v/>
      </c>
      <c r="E807" s="17">
        <f>KP!X807</f>
        <v/>
      </c>
      <c r="F807" s="17">
        <f>UB!X807</f>
        <v/>
      </c>
      <c r="G807" s="17">
        <f>SP!X807</f>
        <v/>
      </c>
      <c r="H807" s="17">
        <f>IF(COUNT(E807:G807)=0,"",ROUND((LARGE(E807:G807,1)+IF(COUNT(E807:G807)&gt;=2,LARGE(E807:G807,2),0))/2,2))</f>
        <v/>
      </c>
      <c r="I807" s="10">
        <f>Ekstra!U807</f>
        <v/>
      </c>
      <c r="J807" s="18">
        <f>IF(B807="","",IF(Murid!F807="TL","TL",IF(H807="","",MIN(100,ROUND(H807+N(I807),2)))))</f>
        <v/>
      </c>
      <c r="K807" s="19">
        <f>IF(J807="","",IF(J807="TL","TL",IF(J807&gt;=80,"A",IF(J807&gt;=60,"B",IF(J807&gt;=40,"C",IF(J807&gt;=20,"D","E"))))))</f>
        <v/>
      </c>
      <c r="L807" s="15">
        <f>IF(K807="","",IF(K807="A","Cemerlang",IF(K807="B","Kepujian",IF(K807="C","Baik",IF(K807="D","Kurang Memuaskan",IF(K807="E","Tidak Memuaskan","Tidak Laksana"))))))</f>
        <v/>
      </c>
    </row>
    <row r="808">
      <c r="A808" s="15">
        <f>Murid!A808</f>
        <v/>
      </c>
      <c r="B808" s="15">
        <f>IF(Murid!B808="","",Murid!B808)</f>
        <v/>
      </c>
      <c r="C808" s="16">
        <f>IF(Murid!C808="","",Murid!C808)</f>
        <v/>
      </c>
      <c r="D808" s="15">
        <f>IF(Murid!E808="","",Murid!E808)</f>
        <v/>
      </c>
      <c r="E808" s="17">
        <f>KP!X808</f>
        <v/>
      </c>
      <c r="F808" s="17">
        <f>UB!X808</f>
        <v/>
      </c>
      <c r="G808" s="17">
        <f>SP!X808</f>
        <v/>
      </c>
      <c r="H808" s="17">
        <f>IF(COUNT(E808:G808)=0,"",ROUND((LARGE(E808:G808,1)+IF(COUNT(E808:G808)&gt;=2,LARGE(E808:G808,2),0))/2,2))</f>
        <v/>
      </c>
      <c r="I808" s="10">
        <f>Ekstra!U808</f>
        <v/>
      </c>
      <c r="J808" s="18">
        <f>IF(B808="","",IF(Murid!F808="TL","TL",IF(H808="","",MIN(100,ROUND(H808+N(I808),2)))))</f>
        <v/>
      </c>
      <c r="K808" s="19">
        <f>IF(J808="","",IF(J808="TL","TL",IF(J808&gt;=80,"A",IF(J808&gt;=60,"B",IF(J808&gt;=40,"C",IF(J808&gt;=20,"D","E"))))))</f>
        <v/>
      </c>
      <c r="L808" s="15">
        <f>IF(K808="","",IF(K808="A","Cemerlang",IF(K808="B","Kepujian",IF(K808="C","Baik",IF(K808="D","Kurang Memuaskan",IF(K808="E","Tidak Memuaskan","Tidak Laksana"))))))</f>
        <v/>
      </c>
    </row>
    <row r="809">
      <c r="A809" s="15">
        <f>Murid!A809</f>
        <v/>
      </c>
      <c r="B809" s="15">
        <f>IF(Murid!B809="","",Murid!B809)</f>
        <v/>
      </c>
      <c r="C809" s="16">
        <f>IF(Murid!C809="","",Murid!C809)</f>
        <v/>
      </c>
      <c r="D809" s="15">
        <f>IF(Murid!E809="","",Murid!E809)</f>
        <v/>
      </c>
      <c r="E809" s="17">
        <f>KP!X809</f>
        <v/>
      </c>
      <c r="F809" s="17">
        <f>UB!X809</f>
        <v/>
      </c>
      <c r="G809" s="17">
        <f>SP!X809</f>
        <v/>
      </c>
      <c r="H809" s="17">
        <f>IF(COUNT(E809:G809)=0,"",ROUND((LARGE(E809:G809,1)+IF(COUNT(E809:G809)&gt;=2,LARGE(E809:G809,2),0))/2,2))</f>
        <v/>
      </c>
      <c r="I809" s="10">
        <f>Ekstra!U809</f>
        <v/>
      </c>
      <c r="J809" s="18">
        <f>IF(B809="","",IF(Murid!F809="TL","TL",IF(H809="","",MIN(100,ROUND(H809+N(I809),2)))))</f>
        <v/>
      </c>
      <c r="K809" s="19">
        <f>IF(J809="","",IF(J809="TL","TL",IF(J809&gt;=80,"A",IF(J809&gt;=60,"B",IF(J809&gt;=40,"C",IF(J809&gt;=20,"D","E"))))))</f>
        <v/>
      </c>
      <c r="L809" s="15">
        <f>IF(K809="","",IF(K809="A","Cemerlang",IF(K809="B","Kepujian",IF(K809="C","Baik",IF(K809="D","Kurang Memuaskan",IF(K809="E","Tidak Memuaskan","Tidak Laksana"))))))</f>
        <v/>
      </c>
    </row>
    <row r="810">
      <c r="A810" s="15">
        <f>Murid!A810</f>
        <v/>
      </c>
      <c r="B810" s="15">
        <f>IF(Murid!B810="","",Murid!B810)</f>
        <v/>
      </c>
      <c r="C810" s="16">
        <f>IF(Murid!C810="","",Murid!C810)</f>
        <v/>
      </c>
      <c r="D810" s="15">
        <f>IF(Murid!E810="","",Murid!E810)</f>
        <v/>
      </c>
      <c r="E810" s="17">
        <f>KP!X810</f>
        <v/>
      </c>
      <c r="F810" s="17">
        <f>UB!X810</f>
        <v/>
      </c>
      <c r="G810" s="17">
        <f>SP!X810</f>
        <v/>
      </c>
      <c r="H810" s="17">
        <f>IF(COUNT(E810:G810)=0,"",ROUND((LARGE(E810:G810,1)+IF(COUNT(E810:G810)&gt;=2,LARGE(E810:G810,2),0))/2,2))</f>
        <v/>
      </c>
      <c r="I810" s="10">
        <f>Ekstra!U810</f>
        <v/>
      </c>
      <c r="J810" s="18">
        <f>IF(B810="","",IF(Murid!F810="TL","TL",IF(H810="","",MIN(100,ROUND(H810+N(I810),2)))))</f>
        <v/>
      </c>
      <c r="K810" s="19">
        <f>IF(J810="","",IF(J810="TL","TL",IF(J810&gt;=80,"A",IF(J810&gt;=60,"B",IF(J810&gt;=40,"C",IF(J810&gt;=20,"D","E"))))))</f>
        <v/>
      </c>
      <c r="L810" s="15">
        <f>IF(K810="","",IF(K810="A","Cemerlang",IF(K810="B","Kepujian",IF(K810="C","Baik",IF(K810="D","Kurang Memuaskan",IF(K810="E","Tidak Memuaskan","Tidak Laksana"))))))</f>
        <v/>
      </c>
    </row>
    <row r="811">
      <c r="A811" s="15">
        <f>Murid!A811</f>
        <v/>
      </c>
      <c r="B811" s="15">
        <f>IF(Murid!B811="","",Murid!B811)</f>
        <v/>
      </c>
      <c r="C811" s="16">
        <f>IF(Murid!C811="","",Murid!C811)</f>
        <v/>
      </c>
      <c r="D811" s="15">
        <f>IF(Murid!E811="","",Murid!E811)</f>
        <v/>
      </c>
      <c r="E811" s="17">
        <f>KP!X811</f>
        <v/>
      </c>
      <c r="F811" s="17">
        <f>UB!X811</f>
        <v/>
      </c>
      <c r="G811" s="17">
        <f>SP!X811</f>
        <v/>
      </c>
      <c r="H811" s="17">
        <f>IF(COUNT(E811:G811)=0,"",ROUND((LARGE(E811:G811,1)+IF(COUNT(E811:G811)&gt;=2,LARGE(E811:G811,2),0))/2,2))</f>
        <v/>
      </c>
      <c r="I811" s="10">
        <f>Ekstra!U811</f>
        <v/>
      </c>
      <c r="J811" s="18">
        <f>IF(B811="","",IF(Murid!F811="TL","TL",IF(H811="","",MIN(100,ROUND(H811+N(I811),2)))))</f>
        <v/>
      </c>
      <c r="K811" s="19">
        <f>IF(J811="","",IF(J811="TL","TL",IF(J811&gt;=80,"A",IF(J811&gt;=60,"B",IF(J811&gt;=40,"C",IF(J811&gt;=20,"D","E"))))))</f>
        <v/>
      </c>
      <c r="L811" s="15">
        <f>IF(K811="","",IF(K811="A","Cemerlang",IF(K811="B","Kepujian",IF(K811="C","Baik",IF(K811="D","Kurang Memuaskan",IF(K811="E","Tidak Memuaskan","Tidak Laksana"))))))</f>
        <v/>
      </c>
    </row>
    <row r="812">
      <c r="A812" s="15">
        <f>Murid!A812</f>
        <v/>
      </c>
      <c r="B812" s="15">
        <f>IF(Murid!B812="","",Murid!B812)</f>
        <v/>
      </c>
      <c r="C812" s="16">
        <f>IF(Murid!C812="","",Murid!C812)</f>
        <v/>
      </c>
      <c r="D812" s="15">
        <f>IF(Murid!E812="","",Murid!E812)</f>
        <v/>
      </c>
      <c r="E812" s="17">
        <f>KP!X812</f>
        <v/>
      </c>
      <c r="F812" s="17">
        <f>UB!X812</f>
        <v/>
      </c>
      <c r="G812" s="17">
        <f>SP!X812</f>
        <v/>
      </c>
      <c r="H812" s="17">
        <f>IF(COUNT(E812:G812)=0,"",ROUND((LARGE(E812:G812,1)+IF(COUNT(E812:G812)&gt;=2,LARGE(E812:G812,2),0))/2,2))</f>
        <v/>
      </c>
      <c r="I812" s="10">
        <f>Ekstra!U812</f>
        <v/>
      </c>
      <c r="J812" s="18">
        <f>IF(B812="","",IF(Murid!F812="TL","TL",IF(H812="","",MIN(100,ROUND(H812+N(I812),2)))))</f>
        <v/>
      </c>
      <c r="K812" s="19">
        <f>IF(J812="","",IF(J812="TL","TL",IF(J812&gt;=80,"A",IF(J812&gt;=60,"B",IF(J812&gt;=40,"C",IF(J812&gt;=20,"D","E"))))))</f>
        <v/>
      </c>
      <c r="L812" s="15">
        <f>IF(K812="","",IF(K812="A","Cemerlang",IF(K812="B","Kepujian",IF(K812="C","Baik",IF(K812="D","Kurang Memuaskan",IF(K812="E","Tidak Memuaskan","Tidak Laksana"))))))</f>
        <v/>
      </c>
    </row>
    <row r="813">
      <c r="A813" s="15">
        <f>Murid!A813</f>
        <v/>
      </c>
      <c r="B813" s="15">
        <f>IF(Murid!B813="","",Murid!B813)</f>
        <v/>
      </c>
      <c r="C813" s="16">
        <f>IF(Murid!C813="","",Murid!C813)</f>
        <v/>
      </c>
      <c r="D813" s="15">
        <f>IF(Murid!E813="","",Murid!E813)</f>
        <v/>
      </c>
      <c r="E813" s="17">
        <f>KP!X813</f>
        <v/>
      </c>
      <c r="F813" s="17">
        <f>UB!X813</f>
        <v/>
      </c>
      <c r="G813" s="17">
        <f>SP!X813</f>
        <v/>
      </c>
      <c r="H813" s="17">
        <f>IF(COUNT(E813:G813)=0,"",ROUND((LARGE(E813:G813,1)+IF(COUNT(E813:G813)&gt;=2,LARGE(E813:G813,2),0))/2,2))</f>
        <v/>
      </c>
      <c r="I813" s="10">
        <f>Ekstra!U813</f>
        <v/>
      </c>
      <c r="J813" s="18">
        <f>IF(B813="","",IF(Murid!F813="TL","TL",IF(H813="","",MIN(100,ROUND(H813+N(I813),2)))))</f>
        <v/>
      </c>
      <c r="K813" s="19">
        <f>IF(J813="","",IF(J813="TL","TL",IF(J813&gt;=80,"A",IF(J813&gt;=60,"B",IF(J813&gt;=40,"C",IF(J813&gt;=20,"D","E"))))))</f>
        <v/>
      </c>
      <c r="L813" s="15">
        <f>IF(K813="","",IF(K813="A","Cemerlang",IF(K813="B","Kepujian",IF(K813="C","Baik",IF(K813="D","Kurang Memuaskan",IF(K813="E","Tidak Memuaskan","Tidak Laksana"))))))</f>
        <v/>
      </c>
    </row>
    <row r="814">
      <c r="A814" s="15">
        <f>Murid!A814</f>
        <v/>
      </c>
      <c r="B814" s="15">
        <f>IF(Murid!B814="","",Murid!B814)</f>
        <v/>
      </c>
      <c r="C814" s="16">
        <f>IF(Murid!C814="","",Murid!C814)</f>
        <v/>
      </c>
      <c r="D814" s="15">
        <f>IF(Murid!E814="","",Murid!E814)</f>
        <v/>
      </c>
      <c r="E814" s="17">
        <f>KP!X814</f>
        <v/>
      </c>
      <c r="F814" s="17">
        <f>UB!X814</f>
        <v/>
      </c>
      <c r="G814" s="17">
        <f>SP!X814</f>
        <v/>
      </c>
      <c r="H814" s="17">
        <f>IF(COUNT(E814:G814)=0,"",ROUND((LARGE(E814:G814,1)+IF(COUNT(E814:G814)&gt;=2,LARGE(E814:G814,2),0))/2,2))</f>
        <v/>
      </c>
      <c r="I814" s="10">
        <f>Ekstra!U814</f>
        <v/>
      </c>
      <c r="J814" s="18">
        <f>IF(B814="","",IF(Murid!F814="TL","TL",IF(H814="","",MIN(100,ROUND(H814+N(I814),2)))))</f>
        <v/>
      </c>
      <c r="K814" s="19">
        <f>IF(J814="","",IF(J814="TL","TL",IF(J814&gt;=80,"A",IF(J814&gt;=60,"B",IF(J814&gt;=40,"C",IF(J814&gt;=20,"D","E"))))))</f>
        <v/>
      </c>
      <c r="L814" s="15">
        <f>IF(K814="","",IF(K814="A","Cemerlang",IF(K814="B","Kepujian",IF(K814="C","Baik",IF(K814="D","Kurang Memuaskan",IF(K814="E","Tidak Memuaskan","Tidak Laksana"))))))</f>
        <v/>
      </c>
    </row>
    <row r="815">
      <c r="A815" s="15">
        <f>Murid!A815</f>
        <v/>
      </c>
      <c r="B815" s="15">
        <f>IF(Murid!B815="","",Murid!B815)</f>
        <v/>
      </c>
      <c r="C815" s="16">
        <f>IF(Murid!C815="","",Murid!C815)</f>
        <v/>
      </c>
      <c r="D815" s="15">
        <f>IF(Murid!E815="","",Murid!E815)</f>
        <v/>
      </c>
      <c r="E815" s="17">
        <f>KP!X815</f>
        <v/>
      </c>
      <c r="F815" s="17">
        <f>UB!X815</f>
        <v/>
      </c>
      <c r="G815" s="17">
        <f>SP!X815</f>
        <v/>
      </c>
      <c r="H815" s="17">
        <f>IF(COUNT(E815:G815)=0,"",ROUND((LARGE(E815:G815,1)+IF(COUNT(E815:G815)&gt;=2,LARGE(E815:G815,2),0))/2,2))</f>
        <v/>
      </c>
      <c r="I815" s="10">
        <f>Ekstra!U815</f>
        <v/>
      </c>
      <c r="J815" s="18">
        <f>IF(B815="","",IF(Murid!F815="TL","TL",IF(H815="","",MIN(100,ROUND(H815+N(I815),2)))))</f>
        <v/>
      </c>
      <c r="K815" s="19">
        <f>IF(J815="","",IF(J815="TL","TL",IF(J815&gt;=80,"A",IF(J815&gt;=60,"B",IF(J815&gt;=40,"C",IF(J815&gt;=20,"D","E"))))))</f>
        <v/>
      </c>
      <c r="L815" s="15">
        <f>IF(K815="","",IF(K815="A","Cemerlang",IF(K815="B","Kepujian",IF(K815="C","Baik",IF(K815="D","Kurang Memuaskan",IF(K815="E","Tidak Memuaskan","Tidak Laksana"))))))</f>
        <v/>
      </c>
    </row>
    <row r="816">
      <c r="A816" s="15">
        <f>Murid!A816</f>
        <v/>
      </c>
      <c r="B816" s="15">
        <f>IF(Murid!B816="","",Murid!B816)</f>
        <v/>
      </c>
      <c r="C816" s="16">
        <f>IF(Murid!C816="","",Murid!C816)</f>
        <v/>
      </c>
      <c r="D816" s="15">
        <f>IF(Murid!E816="","",Murid!E816)</f>
        <v/>
      </c>
      <c r="E816" s="17">
        <f>KP!X816</f>
        <v/>
      </c>
      <c r="F816" s="17">
        <f>UB!X816</f>
        <v/>
      </c>
      <c r="G816" s="17">
        <f>SP!X816</f>
        <v/>
      </c>
      <c r="H816" s="17">
        <f>IF(COUNT(E816:G816)=0,"",ROUND((LARGE(E816:G816,1)+IF(COUNT(E816:G816)&gt;=2,LARGE(E816:G816,2),0))/2,2))</f>
        <v/>
      </c>
      <c r="I816" s="10">
        <f>Ekstra!U816</f>
        <v/>
      </c>
      <c r="J816" s="18">
        <f>IF(B816="","",IF(Murid!F816="TL","TL",IF(H816="","",MIN(100,ROUND(H816+N(I816),2)))))</f>
        <v/>
      </c>
      <c r="K816" s="19">
        <f>IF(J816="","",IF(J816="TL","TL",IF(J816&gt;=80,"A",IF(J816&gt;=60,"B",IF(J816&gt;=40,"C",IF(J816&gt;=20,"D","E"))))))</f>
        <v/>
      </c>
      <c r="L816" s="15">
        <f>IF(K816="","",IF(K816="A","Cemerlang",IF(K816="B","Kepujian",IF(K816="C","Baik",IF(K816="D","Kurang Memuaskan",IF(K816="E","Tidak Memuaskan","Tidak Laksana"))))))</f>
        <v/>
      </c>
    </row>
    <row r="817">
      <c r="A817" s="15">
        <f>Murid!A817</f>
        <v/>
      </c>
      <c r="B817" s="15">
        <f>IF(Murid!B817="","",Murid!B817)</f>
        <v/>
      </c>
      <c r="C817" s="16">
        <f>IF(Murid!C817="","",Murid!C817)</f>
        <v/>
      </c>
      <c r="D817" s="15">
        <f>IF(Murid!E817="","",Murid!E817)</f>
        <v/>
      </c>
      <c r="E817" s="17">
        <f>KP!X817</f>
        <v/>
      </c>
      <c r="F817" s="17">
        <f>UB!X817</f>
        <v/>
      </c>
      <c r="G817" s="17">
        <f>SP!X817</f>
        <v/>
      </c>
      <c r="H817" s="17">
        <f>IF(COUNT(E817:G817)=0,"",ROUND((LARGE(E817:G817,1)+IF(COUNT(E817:G817)&gt;=2,LARGE(E817:G817,2),0))/2,2))</f>
        <v/>
      </c>
      <c r="I817" s="10">
        <f>Ekstra!U817</f>
        <v/>
      </c>
      <c r="J817" s="18">
        <f>IF(B817="","",IF(Murid!F817="TL","TL",IF(H817="","",MIN(100,ROUND(H817+N(I817),2)))))</f>
        <v/>
      </c>
      <c r="K817" s="19">
        <f>IF(J817="","",IF(J817="TL","TL",IF(J817&gt;=80,"A",IF(J817&gt;=60,"B",IF(J817&gt;=40,"C",IF(J817&gt;=20,"D","E"))))))</f>
        <v/>
      </c>
      <c r="L817" s="15">
        <f>IF(K817="","",IF(K817="A","Cemerlang",IF(K817="B","Kepujian",IF(K817="C","Baik",IF(K817="D","Kurang Memuaskan",IF(K817="E","Tidak Memuaskan","Tidak Laksana"))))))</f>
        <v/>
      </c>
    </row>
    <row r="818">
      <c r="A818" s="15">
        <f>Murid!A818</f>
        <v/>
      </c>
      <c r="B818" s="15">
        <f>IF(Murid!B818="","",Murid!B818)</f>
        <v/>
      </c>
      <c r="C818" s="16">
        <f>IF(Murid!C818="","",Murid!C818)</f>
        <v/>
      </c>
      <c r="D818" s="15">
        <f>IF(Murid!E818="","",Murid!E818)</f>
        <v/>
      </c>
      <c r="E818" s="17">
        <f>KP!X818</f>
        <v/>
      </c>
      <c r="F818" s="17">
        <f>UB!X818</f>
        <v/>
      </c>
      <c r="G818" s="17">
        <f>SP!X818</f>
        <v/>
      </c>
      <c r="H818" s="17">
        <f>IF(COUNT(E818:G818)=0,"",ROUND((LARGE(E818:G818,1)+IF(COUNT(E818:G818)&gt;=2,LARGE(E818:G818,2),0))/2,2))</f>
        <v/>
      </c>
      <c r="I818" s="10">
        <f>Ekstra!U818</f>
        <v/>
      </c>
      <c r="J818" s="18">
        <f>IF(B818="","",IF(Murid!F818="TL","TL",IF(H818="","",MIN(100,ROUND(H818+N(I818),2)))))</f>
        <v/>
      </c>
      <c r="K818" s="19">
        <f>IF(J818="","",IF(J818="TL","TL",IF(J818&gt;=80,"A",IF(J818&gt;=60,"B",IF(J818&gt;=40,"C",IF(J818&gt;=20,"D","E"))))))</f>
        <v/>
      </c>
      <c r="L818" s="15">
        <f>IF(K818="","",IF(K818="A","Cemerlang",IF(K818="B","Kepujian",IF(K818="C","Baik",IF(K818="D","Kurang Memuaskan",IF(K818="E","Tidak Memuaskan","Tidak Laksana"))))))</f>
        <v/>
      </c>
    </row>
    <row r="819">
      <c r="A819" s="15">
        <f>Murid!A819</f>
        <v/>
      </c>
      <c r="B819" s="15">
        <f>IF(Murid!B819="","",Murid!B819)</f>
        <v/>
      </c>
      <c r="C819" s="16">
        <f>IF(Murid!C819="","",Murid!C819)</f>
        <v/>
      </c>
      <c r="D819" s="15">
        <f>IF(Murid!E819="","",Murid!E819)</f>
        <v/>
      </c>
      <c r="E819" s="17">
        <f>KP!X819</f>
        <v/>
      </c>
      <c r="F819" s="17">
        <f>UB!X819</f>
        <v/>
      </c>
      <c r="G819" s="17">
        <f>SP!X819</f>
        <v/>
      </c>
      <c r="H819" s="17">
        <f>IF(COUNT(E819:G819)=0,"",ROUND((LARGE(E819:G819,1)+IF(COUNT(E819:G819)&gt;=2,LARGE(E819:G819,2),0))/2,2))</f>
        <v/>
      </c>
      <c r="I819" s="10">
        <f>Ekstra!U819</f>
        <v/>
      </c>
      <c r="J819" s="18">
        <f>IF(B819="","",IF(Murid!F819="TL","TL",IF(H819="","",MIN(100,ROUND(H819+N(I819),2)))))</f>
        <v/>
      </c>
      <c r="K819" s="19">
        <f>IF(J819="","",IF(J819="TL","TL",IF(J819&gt;=80,"A",IF(J819&gt;=60,"B",IF(J819&gt;=40,"C",IF(J819&gt;=20,"D","E"))))))</f>
        <v/>
      </c>
      <c r="L819" s="15">
        <f>IF(K819="","",IF(K819="A","Cemerlang",IF(K819="B","Kepujian",IF(K819="C","Baik",IF(K819="D","Kurang Memuaskan",IF(K819="E","Tidak Memuaskan","Tidak Laksana"))))))</f>
        <v/>
      </c>
    </row>
    <row r="820">
      <c r="A820" s="15">
        <f>Murid!A820</f>
        <v/>
      </c>
      <c r="B820" s="15">
        <f>IF(Murid!B820="","",Murid!B820)</f>
        <v/>
      </c>
      <c r="C820" s="16">
        <f>IF(Murid!C820="","",Murid!C820)</f>
        <v/>
      </c>
      <c r="D820" s="15">
        <f>IF(Murid!E820="","",Murid!E820)</f>
        <v/>
      </c>
      <c r="E820" s="17">
        <f>KP!X820</f>
        <v/>
      </c>
      <c r="F820" s="17">
        <f>UB!X820</f>
        <v/>
      </c>
      <c r="G820" s="17">
        <f>SP!X820</f>
        <v/>
      </c>
      <c r="H820" s="17">
        <f>IF(COUNT(E820:G820)=0,"",ROUND((LARGE(E820:G820,1)+IF(COUNT(E820:G820)&gt;=2,LARGE(E820:G820,2),0))/2,2))</f>
        <v/>
      </c>
      <c r="I820" s="10">
        <f>Ekstra!U820</f>
        <v/>
      </c>
      <c r="J820" s="18">
        <f>IF(B820="","",IF(Murid!F820="TL","TL",IF(H820="","",MIN(100,ROUND(H820+N(I820),2)))))</f>
        <v/>
      </c>
      <c r="K820" s="19">
        <f>IF(J820="","",IF(J820="TL","TL",IF(J820&gt;=80,"A",IF(J820&gt;=60,"B",IF(J820&gt;=40,"C",IF(J820&gt;=20,"D","E"))))))</f>
        <v/>
      </c>
      <c r="L820" s="15">
        <f>IF(K820="","",IF(K820="A","Cemerlang",IF(K820="B","Kepujian",IF(K820="C","Baik",IF(K820="D","Kurang Memuaskan",IF(K820="E","Tidak Memuaskan","Tidak Laksana"))))))</f>
        <v/>
      </c>
    </row>
    <row r="821">
      <c r="A821" s="15">
        <f>Murid!A821</f>
        <v/>
      </c>
      <c r="B821" s="15">
        <f>IF(Murid!B821="","",Murid!B821)</f>
        <v/>
      </c>
      <c r="C821" s="16">
        <f>IF(Murid!C821="","",Murid!C821)</f>
        <v/>
      </c>
      <c r="D821" s="15">
        <f>IF(Murid!E821="","",Murid!E821)</f>
        <v/>
      </c>
      <c r="E821" s="17">
        <f>KP!X821</f>
        <v/>
      </c>
      <c r="F821" s="17">
        <f>UB!X821</f>
        <v/>
      </c>
      <c r="G821" s="17">
        <f>SP!X821</f>
        <v/>
      </c>
      <c r="H821" s="17">
        <f>IF(COUNT(E821:G821)=0,"",ROUND((LARGE(E821:G821,1)+IF(COUNT(E821:G821)&gt;=2,LARGE(E821:G821,2),0))/2,2))</f>
        <v/>
      </c>
      <c r="I821" s="10">
        <f>Ekstra!U821</f>
        <v/>
      </c>
      <c r="J821" s="18">
        <f>IF(B821="","",IF(Murid!F821="TL","TL",IF(H821="","",MIN(100,ROUND(H821+N(I821),2)))))</f>
        <v/>
      </c>
      <c r="K821" s="19">
        <f>IF(J821="","",IF(J821="TL","TL",IF(J821&gt;=80,"A",IF(J821&gt;=60,"B",IF(J821&gt;=40,"C",IF(J821&gt;=20,"D","E"))))))</f>
        <v/>
      </c>
      <c r="L821" s="15">
        <f>IF(K821="","",IF(K821="A","Cemerlang",IF(K821="B","Kepujian",IF(K821="C","Baik",IF(K821="D","Kurang Memuaskan",IF(K821="E","Tidak Memuaskan","Tidak Laksana"))))))</f>
        <v/>
      </c>
    </row>
    <row r="822">
      <c r="A822" s="15">
        <f>Murid!A822</f>
        <v/>
      </c>
      <c r="B822" s="15">
        <f>IF(Murid!B822="","",Murid!B822)</f>
        <v/>
      </c>
      <c r="C822" s="16">
        <f>IF(Murid!C822="","",Murid!C822)</f>
        <v/>
      </c>
      <c r="D822" s="15">
        <f>IF(Murid!E822="","",Murid!E822)</f>
        <v/>
      </c>
      <c r="E822" s="17">
        <f>KP!X822</f>
        <v/>
      </c>
      <c r="F822" s="17">
        <f>UB!X822</f>
        <v/>
      </c>
      <c r="G822" s="17">
        <f>SP!X822</f>
        <v/>
      </c>
      <c r="H822" s="17">
        <f>IF(COUNT(E822:G822)=0,"",ROUND((LARGE(E822:G822,1)+IF(COUNT(E822:G822)&gt;=2,LARGE(E822:G822,2),0))/2,2))</f>
        <v/>
      </c>
      <c r="I822" s="10">
        <f>Ekstra!U822</f>
        <v/>
      </c>
      <c r="J822" s="18">
        <f>IF(B822="","",IF(Murid!F822="TL","TL",IF(H822="","",MIN(100,ROUND(H822+N(I822),2)))))</f>
        <v/>
      </c>
      <c r="K822" s="19">
        <f>IF(J822="","",IF(J822="TL","TL",IF(J822&gt;=80,"A",IF(J822&gt;=60,"B",IF(J822&gt;=40,"C",IF(J822&gt;=20,"D","E"))))))</f>
        <v/>
      </c>
      <c r="L822" s="15">
        <f>IF(K822="","",IF(K822="A","Cemerlang",IF(K822="B","Kepujian",IF(K822="C","Baik",IF(K822="D","Kurang Memuaskan",IF(K822="E","Tidak Memuaskan","Tidak Laksana"))))))</f>
        <v/>
      </c>
    </row>
    <row r="823">
      <c r="A823" s="15">
        <f>Murid!A823</f>
        <v/>
      </c>
      <c r="B823" s="15">
        <f>IF(Murid!B823="","",Murid!B823)</f>
        <v/>
      </c>
      <c r="C823" s="16">
        <f>IF(Murid!C823="","",Murid!C823)</f>
        <v/>
      </c>
      <c r="D823" s="15">
        <f>IF(Murid!E823="","",Murid!E823)</f>
        <v/>
      </c>
      <c r="E823" s="17">
        <f>KP!X823</f>
        <v/>
      </c>
      <c r="F823" s="17">
        <f>UB!X823</f>
        <v/>
      </c>
      <c r="G823" s="17">
        <f>SP!X823</f>
        <v/>
      </c>
      <c r="H823" s="17">
        <f>IF(COUNT(E823:G823)=0,"",ROUND((LARGE(E823:G823,1)+IF(COUNT(E823:G823)&gt;=2,LARGE(E823:G823,2),0))/2,2))</f>
        <v/>
      </c>
      <c r="I823" s="10">
        <f>Ekstra!U823</f>
        <v/>
      </c>
      <c r="J823" s="18">
        <f>IF(B823="","",IF(Murid!F823="TL","TL",IF(H823="","",MIN(100,ROUND(H823+N(I823),2)))))</f>
        <v/>
      </c>
      <c r="K823" s="19">
        <f>IF(J823="","",IF(J823="TL","TL",IF(J823&gt;=80,"A",IF(J823&gt;=60,"B",IF(J823&gt;=40,"C",IF(J823&gt;=20,"D","E"))))))</f>
        <v/>
      </c>
      <c r="L823" s="15">
        <f>IF(K823="","",IF(K823="A","Cemerlang",IF(K823="B","Kepujian",IF(K823="C","Baik",IF(K823="D","Kurang Memuaskan",IF(K823="E","Tidak Memuaskan","Tidak Laksana"))))))</f>
        <v/>
      </c>
    </row>
    <row r="824">
      <c r="A824" s="15">
        <f>Murid!A824</f>
        <v/>
      </c>
      <c r="B824" s="15">
        <f>IF(Murid!B824="","",Murid!B824)</f>
        <v/>
      </c>
      <c r="C824" s="16">
        <f>IF(Murid!C824="","",Murid!C824)</f>
        <v/>
      </c>
      <c r="D824" s="15">
        <f>IF(Murid!E824="","",Murid!E824)</f>
        <v/>
      </c>
      <c r="E824" s="17">
        <f>KP!X824</f>
        <v/>
      </c>
      <c r="F824" s="17">
        <f>UB!X824</f>
        <v/>
      </c>
      <c r="G824" s="17">
        <f>SP!X824</f>
        <v/>
      </c>
      <c r="H824" s="17">
        <f>IF(COUNT(E824:G824)=0,"",ROUND((LARGE(E824:G824,1)+IF(COUNT(E824:G824)&gt;=2,LARGE(E824:G824,2),0))/2,2))</f>
        <v/>
      </c>
      <c r="I824" s="10">
        <f>Ekstra!U824</f>
        <v/>
      </c>
      <c r="J824" s="18">
        <f>IF(B824="","",IF(Murid!F824="TL","TL",IF(H824="","",MIN(100,ROUND(H824+N(I824),2)))))</f>
        <v/>
      </c>
      <c r="K824" s="19">
        <f>IF(J824="","",IF(J824="TL","TL",IF(J824&gt;=80,"A",IF(J824&gt;=60,"B",IF(J824&gt;=40,"C",IF(J824&gt;=20,"D","E"))))))</f>
        <v/>
      </c>
      <c r="L824" s="15">
        <f>IF(K824="","",IF(K824="A","Cemerlang",IF(K824="B","Kepujian",IF(K824="C","Baik",IF(K824="D","Kurang Memuaskan",IF(K824="E","Tidak Memuaskan","Tidak Laksana"))))))</f>
        <v/>
      </c>
    </row>
    <row r="825">
      <c r="A825" s="15">
        <f>Murid!A825</f>
        <v/>
      </c>
      <c r="B825" s="15">
        <f>IF(Murid!B825="","",Murid!B825)</f>
        <v/>
      </c>
      <c r="C825" s="16">
        <f>IF(Murid!C825="","",Murid!C825)</f>
        <v/>
      </c>
      <c r="D825" s="15">
        <f>IF(Murid!E825="","",Murid!E825)</f>
        <v/>
      </c>
      <c r="E825" s="17">
        <f>KP!X825</f>
        <v/>
      </c>
      <c r="F825" s="17">
        <f>UB!X825</f>
        <v/>
      </c>
      <c r="G825" s="17">
        <f>SP!X825</f>
        <v/>
      </c>
      <c r="H825" s="17">
        <f>IF(COUNT(E825:G825)=0,"",ROUND((LARGE(E825:G825,1)+IF(COUNT(E825:G825)&gt;=2,LARGE(E825:G825,2),0))/2,2))</f>
        <v/>
      </c>
      <c r="I825" s="10">
        <f>Ekstra!U825</f>
        <v/>
      </c>
      <c r="J825" s="18">
        <f>IF(B825="","",IF(Murid!F825="TL","TL",IF(H825="","",MIN(100,ROUND(H825+N(I825),2)))))</f>
        <v/>
      </c>
      <c r="K825" s="19">
        <f>IF(J825="","",IF(J825="TL","TL",IF(J825&gt;=80,"A",IF(J825&gt;=60,"B",IF(J825&gt;=40,"C",IF(J825&gt;=20,"D","E"))))))</f>
        <v/>
      </c>
      <c r="L825" s="15">
        <f>IF(K825="","",IF(K825="A","Cemerlang",IF(K825="B","Kepujian",IF(K825="C","Baik",IF(K825="D","Kurang Memuaskan",IF(K825="E","Tidak Memuaskan","Tidak Laksana"))))))</f>
        <v/>
      </c>
    </row>
    <row r="826">
      <c r="A826" s="15">
        <f>Murid!A826</f>
        <v/>
      </c>
      <c r="B826" s="15">
        <f>IF(Murid!B826="","",Murid!B826)</f>
        <v/>
      </c>
      <c r="C826" s="16">
        <f>IF(Murid!C826="","",Murid!C826)</f>
        <v/>
      </c>
      <c r="D826" s="15">
        <f>IF(Murid!E826="","",Murid!E826)</f>
        <v/>
      </c>
      <c r="E826" s="17">
        <f>KP!X826</f>
        <v/>
      </c>
      <c r="F826" s="17">
        <f>UB!X826</f>
        <v/>
      </c>
      <c r="G826" s="17">
        <f>SP!X826</f>
        <v/>
      </c>
      <c r="H826" s="17">
        <f>IF(COUNT(E826:G826)=0,"",ROUND((LARGE(E826:G826,1)+IF(COUNT(E826:G826)&gt;=2,LARGE(E826:G826,2),0))/2,2))</f>
        <v/>
      </c>
      <c r="I826" s="10">
        <f>Ekstra!U826</f>
        <v/>
      </c>
      <c r="J826" s="18">
        <f>IF(B826="","",IF(Murid!F826="TL","TL",IF(H826="","",MIN(100,ROUND(H826+N(I826),2)))))</f>
        <v/>
      </c>
      <c r="K826" s="19">
        <f>IF(J826="","",IF(J826="TL","TL",IF(J826&gt;=80,"A",IF(J826&gt;=60,"B",IF(J826&gt;=40,"C",IF(J826&gt;=20,"D","E"))))))</f>
        <v/>
      </c>
      <c r="L826" s="15">
        <f>IF(K826="","",IF(K826="A","Cemerlang",IF(K826="B","Kepujian",IF(K826="C","Baik",IF(K826="D","Kurang Memuaskan",IF(K826="E","Tidak Memuaskan","Tidak Laksana"))))))</f>
        <v/>
      </c>
    </row>
    <row r="827">
      <c r="A827" s="15">
        <f>Murid!A827</f>
        <v/>
      </c>
      <c r="B827" s="15">
        <f>IF(Murid!B827="","",Murid!B827)</f>
        <v/>
      </c>
      <c r="C827" s="16">
        <f>IF(Murid!C827="","",Murid!C827)</f>
        <v/>
      </c>
      <c r="D827" s="15">
        <f>IF(Murid!E827="","",Murid!E827)</f>
        <v/>
      </c>
      <c r="E827" s="17">
        <f>KP!X827</f>
        <v/>
      </c>
      <c r="F827" s="17">
        <f>UB!X827</f>
        <v/>
      </c>
      <c r="G827" s="17">
        <f>SP!X827</f>
        <v/>
      </c>
      <c r="H827" s="17">
        <f>IF(COUNT(E827:G827)=0,"",ROUND((LARGE(E827:G827,1)+IF(COUNT(E827:G827)&gt;=2,LARGE(E827:G827,2),0))/2,2))</f>
        <v/>
      </c>
      <c r="I827" s="10">
        <f>Ekstra!U827</f>
        <v/>
      </c>
      <c r="J827" s="18">
        <f>IF(B827="","",IF(Murid!F827="TL","TL",IF(H827="","",MIN(100,ROUND(H827+N(I827),2)))))</f>
        <v/>
      </c>
      <c r="K827" s="19">
        <f>IF(J827="","",IF(J827="TL","TL",IF(J827&gt;=80,"A",IF(J827&gt;=60,"B",IF(J827&gt;=40,"C",IF(J827&gt;=20,"D","E"))))))</f>
        <v/>
      </c>
      <c r="L827" s="15">
        <f>IF(K827="","",IF(K827="A","Cemerlang",IF(K827="B","Kepujian",IF(K827="C","Baik",IF(K827="D","Kurang Memuaskan",IF(K827="E","Tidak Memuaskan","Tidak Laksana"))))))</f>
        <v/>
      </c>
    </row>
    <row r="828">
      <c r="A828" s="15">
        <f>Murid!A828</f>
        <v/>
      </c>
      <c r="B828" s="15">
        <f>IF(Murid!B828="","",Murid!B828)</f>
        <v/>
      </c>
      <c r="C828" s="16">
        <f>IF(Murid!C828="","",Murid!C828)</f>
        <v/>
      </c>
      <c r="D828" s="15">
        <f>IF(Murid!E828="","",Murid!E828)</f>
        <v/>
      </c>
      <c r="E828" s="17">
        <f>KP!X828</f>
        <v/>
      </c>
      <c r="F828" s="17">
        <f>UB!X828</f>
        <v/>
      </c>
      <c r="G828" s="17">
        <f>SP!X828</f>
        <v/>
      </c>
      <c r="H828" s="17">
        <f>IF(COUNT(E828:G828)=0,"",ROUND((LARGE(E828:G828,1)+IF(COUNT(E828:G828)&gt;=2,LARGE(E828:G828,2),0))/2,2))</f>
        <v/>
      </c>
      <c r="I828" s="10">
        <f>Ekstra!U828</f>
        <v/>
      </c>
      <c r="J828" s="18">
        <f>IF(B828="","",IF(Murid!F828="TL","TL",IF(H828="","",MIN(100,ROUND(H828+N(I828),2)))))</f>
        <v/>
      </c>
      <c r="K828" s="19">
        <f>IF(J828="","",IF(J828="TL","TL",IF(J828&gt;=80,"A",IF(J828&gt;=60,"B",IF(J828&gt;=40,"C",IF(J828&gt;=20,"D","E"))))))</f>
        <v/>
      </c>
      <c r="L828" s="15">
        <f>IF(K828="","",IF(K828="A","Cemerlang",IF(K828="B","Kepujian",IF(K828="C","Baik",IF(K828="D","Kurang Memuaskan",IF(K828="E","Tidak Memuaskan","Tidak Laksana"))))))</f>
        <v/>
      </c>
    </row>
    <row r="829">
      <c r="A829" s="15">
        <f>Murid!A829</f>
        <v/>
      </c>
      <c r="B829" s="15">
        <f>IF(Murid!B829="","",Murid!B829)</f>
        <v/>
      </c>
      <c r="C829" s="16">
        <f>IF(Murid!C829="","",Murid!C829)</f>
        <v/>
      </c>
      <c r="D829" s="15">
        <f>IF(Murid!E829="","",Murid!E829)</f>
        <v/>
      </c>
      <c r="E829" s="17">
        <f>KP!X829</f>
        <v/>
      </c>
      <c r="F829" s="17">
        <f>UB!X829</f>
        <v/>
      </c>
      <c r="G829" s="17">
        <f>SP!X829</f>
        <v/>
      </c>
      <c r="H829" s="17">
        <f>IF(COUNT(E829:G829)=0,"",ROUND((LARGE(E829:G829,1)+IF(COUNT(E829:G829)&gt;=2,LARGE(E829:G829,2),0))/2,2))</f>
        <v/>
      </c>
      <c r="I829" s="10">
        <f>Ekstra!U829</f>
        <v/>
      </c>
      <c r="J829" s="18">
        <f>IF(B829="","",IF(Murid!F829="TL","TL",IF(H829="","",MIN(100,ROUND(H829+N(I829),2)))))</f>
        <v/>
      </c>
      <c r="K829" s="19">
        <f>IF(J829="","",IF(J829="TL","TL",IF(J829&gt;=80,"A",IF(J829&gt;=60,"B",IF(J829&gt;=40,"C",IF(J829&gt;=20,"D","E"))))))</f>
        <v/>
      </c>
      <c r="L829" s="15">
        <f>IF(K829="","",IF(K829="A","Cemerlang",IF(K829="B","Kepujian",IF(K829="C","Baik",IF(K829="D","Kurang Memuaskan",IF(K829="E","Tidak Memuaskan","Tidak Laksana"))))))</f>
        <v/>
      </c>
    </row>
    <row r="830">
      <c r="A830" s="15">
        <f>Murid!A830</f>
        <v/>
      </c>
      <c r="B830" s="15">
        <f>IF(Murid!B830="","",Murid!B830)</f>
        <v/>
      </c>
      <c r="C830" s="16">
        <f>IF(Murid!C830="","",Murid!C830)</f>
        <v/>
      </c>
      <c r="D830" s="15">
        <f>IF(Murid!E830="","",Murid!E830)</f>
        <v/>
      </c>
      <c r="E830" s="17">
        <f>KP!X830</f>
        <v/>
      </c>
      <c r="F830" s="17">
        <f>UB!X830</f>
        <v/>
      </c>
      <c r="G830" s="17">
        <f>SP!X830</f>
        <v/>
      </c>
      <c r="H830" s="17">
        <f>IF(COUNT(E830:G830)=0,"",ROUND((LARGE(E830:G830,1)+IF(COUNT(E830:G830)&gt;=2,LARGE(E830:G830,2),0))/2,2))</f>
        <v/>
      </c>
      <c r="I830" s="10">
        <f>Ekstra!U830</f>
        <v/>
      </c>
      <c r="J830" s="18">
        <f>IF(B830="","",IF(Murid!F830="TL","TL",IF(H830="","",MIN(100,ROUND(H830+N(I830),2)))))</f>
        <v/>
      </c>
      <c r="K830" s="19">
        <f>IF(J830="","",IF(J830="TL","TL",IF(J830&gt;=80,"A",IF(J830&gt;=60,"B",IF(J830&gt;=40,"C",IF(J830&gt;=20,"D","E"))))))</f>
        <v/>
      </c>
      <c r="L830" s="15">
        <f>IF(K830="","",IF(K830="A","Cemerlang",IF(K830="B","Kepujian",IF(K830="C","Baik",IF(K830="D","Kurang Memuaskan",IF(K830="E","Tidak Memuaskan","Tidak Laksana"))))))</f>
        <v/>
      </c>
    </row>
    <row r="831">
      <c r="A831" s="15">
        <f>Murid!A831</f>
        <v/>
      </c>
      <c r="B831" s="15">
        <f>IF(Murid!B831="","",Murid!B831)</f>
        <v/>
      </c>
      <c r="C831" s="16">
        <f>IF(Murid!C831="","",Murid!C831)</f>
        <v/>
      </c>
      <c r="D831" s="15">
        <f>IF(Murid!E831="","",Murid!E831)</f>
        <v/>
      </c>
      <c r="E831" s="17">
        <f>KP!X831</f>
        <v/>
      </c>
      <c r="F831" s="17">
        <f>UB!X831</f>
        <v/>
      </c>
      <c r="G831" s="17">
        <f>SP!X831</f>
        <v/>
      </c>
      <c r="H831" s="17">
        <f>IF(COUNT(E831:G831)=0,"",ROUND((LARGE(E831:G831,1)+IF(COUNT(E831:G831)&gt;=2,LARGE(E831:G831,2),0))/2,2))</f>
        <v/>
      </c>
      <c r="I831" s="10">
        <f>Ekstra!U831</f>
        <v/>
      </c>
      <c r="J831" s="18">
        <f>IF(B831="","",IF(Murid!F831="TL","TL",IF(H831="","",MIN(100,ROUND(H831+N(I831),2)))))</f>
        <v/>
      </c>
      <c r="K831" s="19">
        <f>IF(J831="","",IF(J831="TL","TL",IF(J831&gt;=80,"A",IF(J831&gt;=60,"B",IF(J831&gt;=40,"C",IF(J831&gt;=20,"D","E"))))))</f>
        <v/>
      </c>
      <c r="L831" s="15">
        <f>IF(K831="","",IF(K831="A","Cemerlang",IF(K831="B","Kepujian",IF(K831="C","Baik",IF(K831="D","Kurang Memuaskan",IF(K831="E","Tidak Memuaskan","Tidak Laksana"))))))</f>
        <v/>
      </c>
    </row>
    <row r="832">
      <c r="A832" s="15">
        <f>Murid!A832</f>
        <v/>
      </c>
      <c r="B832" s="15">
        <f>IF(Murid!B832="","",Murid!B832)</f>
        <v/>
      </c>
      <c r="C832" s="16">
        <f>IF(Murid!C832="","",Murid!C832)</f>
        <v/>
      </c>
      <c r="D832" s="15">
        <f>IF(Murid!E832="","",Murid!E832)</f>
        <v/>
      </c>
      <c r="E832" s="17">
        <f>KP!X832</f>
        <v/>
      </c>
      <c r="F832" s="17">
        <f>UB!X832</f>
        <v/>
      </c>
      <c r="G832" s="17">
        <f>SP!X832</f>
        <v/>
      </c>
      <c r="H832" s="17">
        <f>IF(COUNT(E832:G832)=0,"",ROUND((LARGE(E832:G832,1)+IF(COUNT(E832:G832)&gt;=2,LARGE(E832:G832,2),0))/2,2))</f>
        <v/>
      </c>
      <c r="I832" s="10">
        <f>Ekstra!U832</f>
        <v/>
      </c>
      <c r="J832" s="18">
        <f>IF(B832="","",IF(Murid!F832="TL","TL",IF(H832="","",MIN(100,ROUND(H832+N(I832),2)))))</f>
        <v/>
      </c>
      <c r="K832" s="19">
        <f>IF(J832="","",IF(J832="TL","TL",IF(J832&gt;=80,"A",IF(J832&gt;=60,"B",IF(J832&gt;=40,"C",IF(J832&gt;=20,"D","E"))))))</f>
        <v/>
      </c>
      <c r="L832" s="15">
        <f>IF(K832="","",IF(K832="A","Cemerlang",IF(K832="B","Kepujian",IF(K832="C","Baik",IF(K832="D","Kurang Memuaskan",IF(K832="E","Tidak Memuaskan","Tidak Laksana"))))))</f>
        <v/>
      </c>
    </row>
    <row r="833">
      <c r="A833" s="15">
        <f>Murid!A833</f>
        <v/>
      </c>
      <c r="B833" s="15">
        <f>IF(Murid!B833="","",Murid!B833)</f>
        <v/>
      </c>
      <c r="C833" s="16">
        <f>IF(Murid!C833="","",Murid!C833)</f>
        <v/>
      </c>
      <c r="D833" s="15">
        <f>IF(Murid!E833="","",Murid!E833)</f>
        <v/>
      </c>
      <c r="E833" s="17">
        <f>KP!X833</f>
        <v/>
      </c>
      <c r="F833" s="17">
        <f>UB!X833</f>
        <v/>
      </c>
      <c r="G833" s="17">
        <f>SP!X833</f>
        <v/>
      </c>
      <c r="H833" s="17">
        <f>IF(COUNT(E833:G833)=0,"",ROUND((LARGE(E833:G833,1)+IF(COUNT(E833:G833)&gt;=2,LARGE(E833:G833,2),0))/2,2))</f>
        <v/>
      </c>
      <c r="I833" s="10">
        <f>Ekstra!U833</f>
        <v/>
      </c>
      <c r="J833" s="18">
        <f>IF(B833="","",IF(Murid!F833="TL","TL",IF(H833="","",MIN(100,ROUND(H833+N(I833),2)))))</f>
        <v/>
      </c>
      <c r="K833" s="19">
        <f>IF(J833="","",IF(J833="TL","TL",IF(J833&gt;=80,"A",IF(J833&gt;=60,"B",IF(J833&gt;=40,"C",IF(J833&gt;=20,"D","E"))))))</f>
        <v/>
      </c>
      <c r="L833" s="15">
        <f>IF(K833="","",IF(K833="A","Cemerlang",IF(K833="B","Kepujian",IF(K833="C","Baik",IF(K833="D","Kurang Memuaskan",IF(K833="E","Tidak Memuaskan","Tidak Laksana"))))))</f>
        <v/>
      </c>
    </row>
    <row r="834">
      <c r="A834" s="15">
        <f>Murid!A834</f>
        <v/>
      </c>
      <c r="B834" s="15">
        <f>IF(Murid!B834="","",Murid!B834)</f>
        <v/>
      </c>
      <c r="C834" s="16">
        <f>IF(Murid!C834="","",Murid!C834)</f>
        <v/>
      </c>
      <c r="D834" s="15">
        <f>IF(Murid!E834="","",Murid!E834)</f>
        <v/>
      </c>
      <c r="E834" s="17">
        <f>KP!X834</f>
        <v/>
      </c>
      <c r="F834" s="17">
        <f>UB!X834</f>
        <v/>
      </c>
      <c r="G834" s="17">
        <f>SP!X834</f>
        <v/>
      </c>
      <c r="H834" s="17">
        <f>IF(COUNT(E834:G834)=0,"",ROUND((LARGE(E834:G834,1)+IF(COUNT(E834:G834)&gt;=2,LARGE(E834:G834,2),0))/2,2))</f>
        <v/>
      </c>
      <c r="I834" s="10">
        <f>Ekstra!U834</f>
        <v/>
      </c>
      <c r="J834" s="18">
        <f>IF(B834="","",IF(Murid!F834="TL","TL",IF(H834="","",MIN(100,ROUND(H834+N(I834),2)))))</f>
        <v/>
      </c>
      <c r="K834" s="19">
        <f>IF(J834="","",IF(J834="TL","TL",IF(J834&gt;=80,"A",IF(J834&gt;=60,"B",IF(J834&gt;=40,"C",IF(J834&gt;=20,"D","E"))))))</f>
        <v/>
      </c>
      <c r="L834" s="15">
        <f>IF(K834="","",IF(K834="A","Cemerlang",IF(K834="B","Kepujian",IF(K834="C","Baik",IF(K834="D","Kurang Memuaskan",IF(K834="E","Tidak Memuaskan","Tidak Laksana"))))))</f>
        <v/>
      </c>
    </row>
    <row r="835">
      <c r="A835" s="15">
        <f>Murid!A835</f>
        <v/>
      </c>
      <c r="B835" s="15">
        <f>IF(Murid!B835="","",Murid!B835)</f>
        <v/>
      </c>
      <c r="C835" s="16">
        <f>IF(Murid!C835="","",Murid!C835)</f>
        <v/>
      </c>
      <c r="D835" s="15">
        <f>IF(Murid!E835="","",Murid!E835)</f>
        <v/>
      </c>
      <c r="E835" s="17">
        <f>KP!X835</f>
        <v/>
      </c>
      <c r="F835" s="17">
        <f>UB!X835</f>
        <v/>
      </c>
      <c r="G835" s="17">
        <f>SP!X835</f>
        <v/>
      </c>
      <c r="H835" s="17">
        <f>IF(COUNT(E835:G835)=0,"",ROUND((LARGE(E835:G835,1)+IF(COUNT(E835:G835)&gt;=2,LARGE(E835:G835,2),0))/2,2))</f>
        <v/>
      </c>
      <c r="I835" s="10">
        <f>Ekstra!U835</f>
        <v/>
      </c>
      <c r="J835" s="18">
        <f>IF(B835="","",IF(Murid!F835="TL","TL",IF(H835="","",MIN(100,ROUND(H835+N(I835),2)))))</f>
        <v/>
      </c>
      <c r="K835" s="19">
        <f>IF(J835="","",IF(J835="TL","TL",IF(J835&gt;=80,"A",IF(J835&gt;=60,"B",IF(J835&gt;=40,"C",IF(J835&gt;=20,"D","E"))))))</f>
        <v/>
      </c>
      <c r="L835" s="15">
        <f>IF(K835="","",IF(K835="A","Cemerlang",IF(K835="B","Kepujian",IF(K835="C","Baik",IF(K835="D","Kurang Memuaskan",IF(K835="E","Tidak Memuaskan","Tidak Laksana"))))))</f>
        <v/>
      </c>
    </row>
    <row r="836">
      <c r="A836" s="15">
        <f>Murid!A836</f>
        <v/>
      </c>
      <c r="B836" s="15">
        <f>IF(Murid!B836="","",Murid!B836)</f>
        <v/>
      </c>
      <c r="C836" s="16">
        <f>IF(Murid!C836="","",Murid!C836)</f>
        <v/>
      </c>
      <c r="D836" s="15">
        <f>IF(Murid!E836="","",Murid!E836)</f>
        <v/>
      </c>
      <c r="E836" s="17">
        <f>KP!X836</f>
        <v/>
      </c>
      <c r="F836" s="17">
        <f>UB!X836</f>
        <v/>
      </c>
      <c r="G836" s="17">
        <f>SP!X836</f>
        <v/>
      </c>
      <c r="H836" s="17">
        <f>IF(COUNT(E836:G836)=0,"",ROUND((LARGE(E836:G836,1)+IF(COUNT(E836:G836)&gt;=2,LARGE(E836:G836,2),0))/2,2))</f>
        <v/>
      </c>
      <c r="I836" s="10">
        <f>Ekstra!U836</f>
        <v/>
      </c>
      <c r="J836" s="18">
        <f>IF(B836="","",IF(Murid!F836="TL","TL",IF(H836="","",MIN(100,ROUND(H836+N(I836),2)))))</f>
        <v/>
      </c>
      <c r="K836" s="19">
        <f>IF(J836="","",IF(J836="TL","TL",IF(J836&gt;=80,"A",IF(J836&gt;=60,"B",IF(J836&gt;=40,"C",IF(J836&gt;=20,"D","E"))))))</f>
        <v/>
      </c>
      <c r="L836" s="15">
        <f>IF(K836="","",IF(K836="A","Cemerlang",IF(K836="B","Kepujian",IF(K836="C","Baik",IF(K836="D","Kurang Memuaskan",IF(K836="E","Tidak Memuaskan","Tidak Laksana"))))))</f>
        <v/>
      </c>
    </row>
    <row r="837">
      <c r="A837" s="15">
        <f>Murid!A837</f>
        <v/>
      </c>
      <c r="B837" s="15">
        <f>IF(Murid!B837="","",Murid!B837)</f>
        <v/>
      </c>
      <c r="C837" s="16">
        <f>IF(Murid!C837="","",Murid!C837)</f>
        <v/>
      </c>
      <c r="D837" s="15">
        <f>IF(Murid!E837="","",Murid!E837)</f>
        <v/>
      </c>
      <c r="E837" s="17">
        <f>KP!X837</f>
        <v/>
      </c>
      <c r="F837" s="17">
        <f>UB!X837</f>
        <v/>
      </c>
      <c r="G837" s="17">
        <f>SP!X837</f>
        <v/>
      </c>
      <c r="H837" s="17">
        <f>IF(COUNT(E837:G837)=0,"",ROUND((LARGE(E837:G837,1)+IF(COUNT(E837:G837)&gt;=2,LARGE(E837:G837,2),0))/2,2))</f>
        <v/>
      </c>
      <c r="I837" s="10">
        <f>Ekstra!U837</f>
        <v/>
      </c>
      <c r="J837" s="18">
        <f>IF(B837="","",IF(Murid!F837="TL","TL",IF(H837="","",MIN(100,ROUND(H837+N(I837),2)))))</f>
        <v/>
      </c>
      <c r="K837" s="19">
        <f>IF(J837="","",IF(J837="TL","TL",IF(J837&gt;=80,"A",IF(J837&gt;=60,"B",IF(J837&gt;=40,"C",IF(J837&gt;=20,"D","E"))))))</f>
        <v/>
      </c>
      <c r="L837" s="15">
        <f>IF(K837="","",IF(K837="A","Cemerlang",IF(K837="B","Kepujian",IF(K837="C","Baik",IF(K837="D","Kurang Memuaskan",IF(K837="E","Tidak Memuaskan","Tidak Laksana"))))))</f>
        <v/>
      </c>
    </row>
    <row r="838">
      <c r="A838" s="15">
        <f>Murid!A838</f>
        <v/>
      </c>
      <c r="B838" s="15">
        <f>IF(Murid!B838="","",Murid!B838)</f>
        <v/>
      </c>
      <c r="C838" s="16">
        <f>IF(Murid!C838="","",Murid!C838)</f>
        <v/>
      </c>
      <c r="D838" s="15">
        <f>IF(Murid!E838="","",Murid!E838)</f>
        <v/>
      </c>
      <c r="E838" s="17">
        <f>KP!X838</f>
        <v/>
      </c>
      <c r="F838" s="17">
        <f>UB!X838</f>
        <v/>
      </c>
      <c r="G838" s="17">
        <f>SP!X838</f>
        <v/>
      </c>
      <c r="H838" s="17">
        <f>IF(COUNT(E838:G838)=0,"",ROUND((LARGE(E838:G838,1)+IF(COUNT(E838:G838)&gt;=2,LARGE(E838:G838,2),0))/2,2))</f>
        <v/>
      </c>
      <c r="I838" s="10">
        <f>Ekstra!U838</f>
        <v/>
      </c>
      <c r="J838" s="18">
        <f>IF(B838="","",IF(Murid!F838="TL","TL",IF(H838="","",MIN(100,ROUND(H838+N(I838),2)))))</f>
        <v/>
      </c>
      <c r="K838" s="19">
        <f>IF(J838="","",IF(J838="TL","TL",IF(J838&gt;=80,"A",IF(J838&gt;=60,"B",IF(J838&gt;=40,"C",IF(J838&gt;=20,"D","E"))))))</f>
        <v/>
      </c>
      <c r="L838" s="15">
        <f>IF(K838="","",IF(K838="A","Cemerlang",IF(K838="B","Kepujian",IF(K838="C","Baik",IF(K838="D","Kurang Memuaskan",IF(K838="E","Tidak Memuaskan","Tidak Laksana"))))))</f>
        <v/>
      </c>
    </row>
    <row r="839">
      <c r="A839" s="15">
        <f>Murid!A839</f>
        <v/>
      </c>
      <c r="B839" s="15">
        <f>IF(Murid!B839="","",Murid!B839)</f>
        <v/>
      </c>
      <c r="C839" s="16">
        <f>IF(Murid!C839="","",Murid!C839)</f>
        <v/>
      </c>
      <c r="D839" s="15">
        <f>IF(Murid!E839="","",Murid!E839)</f>
        <v/>
      </c>
      <c r="E839" s="17">
        <f>KP!X839</f>
        <v/>
      </c>
      <c r="F839" s="17">
        <f>UB!X839</f>
        <v/>
      </c>
      <c r="G839" s="17">
        <f>SP!X839</f>
        <v/>
      </c>
      <c r="H839" s="17">
        <f>IF(COUNT(E839:G839)=0,"",ROUND((LARGE(E839:G839,1)+IF(COUNT(E839:G839)&gt;=2,LARGE(E839:G839,2),0))/2,2))</f>
        <v/>
      </c>
      <c r="I839" s="10">
        <f>Ekstra!U839</f>
        <v/>
      </c>
      <c r="J839" s="18">
        <f>IF(B839="","",IF(Murid!F839="TL","TL",IF(H839="","",MIN(100,ROUND(H839+N(I839),2)))))</f>
        <v/>
      </c>
      <c r="K839" s="19">
        <f>IF(J839="","",IF(J839="TL","TL",IF(J839&gt;=80,"A",IF(J839&gt;=60,"B",IF(J839&gt;=40,"C",IF(J839&gt;=20,"D","E"))))))</f>
        <v/>
      </c>
      <c r="L839" s="15">
        <f>IF(K839="","",IF(K839="A","Cemerlang",IF(K839="B","Kepujian",IF(K839="C","Baik",IF(K839="D","Kurang Memuaskan",IF(K839="E","Tidak Memuaskan","Tidak Laksana"))))))</f>
        <v/>
      </c>
    </row>
    <row r="840">
      <c r="A840" s="15">
        <f>Murid!A840</f>
        <v/>
      </c>
      <c r="B840" s="15">
        <f>IF(Murid!B840="","",Murid!B840)</f>
        <v/>
      </c>
      <c r="C840" s="16">
        <f>IF(Murid!C840="","",Murid!C840)</f>
        <v/>
      </c>
      <c r="D840" s="15">
        <f>IF(Murid!E840="","",Murid!E840)</f>
        <v/>
      </c>
      <c r="E840" s="17">
        <f>KP!X840</f>
        <v/>
      </c>
      <c r="F840" s="17">
        <f>UB!X840</f>
        <v/>
      </c>
      <c r="G840" s="17">
        <f>SP!X840</f>
        <v/>
      </c>
      <c r="H840" s="17">
        <f>IF(COUNT(E840:G840)=0,"",ROUND((LARGE(E840:G840,1)+IF(COUNT(E840:G840)&gt;=2,LARGE(E840:G840,2),0))/2,2))</f>
        <v/>
      </c>
      <c r="I840" s="10">
        <f>Ekstra!U840</f>
        <v/>
      </c>
      <c r="J840" s="18">
        <f>IF(B840="","",IF(Murid!F840="TL","TL",IF(H840="","",MIN(100,ROUND(H840+N(I840),2)))))</f>
        <v/>
      </c>
      <c r="K840" s="19">
        <f>IF(J840="","",IF(J840="TL","TL",IF(J840&gt;=80,"A",IF(J840&gt;=60,"B",IF(J840&gt;=40,"C",IF(J840&gt;=20,"D","E"))))))</f>
        <v/>
      </c>
      <c r="L840" s="15">
        <f>IF(K840="","",IF(K840="A","Cemerlang",IF(K840="B","Kepujian",IF(K840="C","Baik",IF(K840="D","Kurang Memuaskan",IF(K840="E","Tidak Memuaskan","Tidak Laksana"))))))</f>
        <v/>
      </c>
    </row>
    <row r="841">
      <c r="A841" s="15">
        <f>Murid!A841</f>
        <v/>
      </c>
      <c r="B841" s="15">
        <f>IF(Murid!B841="","",Murid!B841)</f>
        <v/>
      </c>
      <c r="C841" s="16">
        <f>IF(Murid!C841="","",Murid!C841)</f>
        <v/>
      </c>
      <c r="D841" s="15">
        <f>IF(Murid!E841="","",Murid!E841)</f>
        <v/>
      </c>
      <c r="E841" s="17">
        <f>KP!X841</f>
        <v/>
      </c>
      <c r="F841" s="17">
        <f>UB!X841</f>
        <v/>
      </c>
      <c r="G841" s="17">
        <f>SP!X841</f>
        <v/>
      </c>
      <c r="H841" s="17">
        <f>IF(COUNT(E841:G841)=0,"",ROUND((LARGE(E841:G841,1)+IF(COUNT(E841:G841)&gt;=2,LARGE(E841:G841,2),0))/2,2))</f>
        <v/>
      </c>
      <c r="I841" s="10">
        <f>Ekstra!U841</f>
        <v/>
      </c>
      <c r="J841" s="18">
        <f>IF(B841="","",IF(Murid!F841="TL","TL",IF(H841="","",MIN(100,ROUND(H841+N(I841),2)))))</f>
        <v/>
      </c>
      <c r="K841" s="19">
        <f>IF(J841="","",IF(J841="TL","TL",IF(J841&gt;=80,"A",IF(J841&gt;=60,"B",IF(J841&gt;=40,"C",IF(J841&gt;=20,"D","E"))))))</f>
        <v/>
      </c>
      <c r="L841" s="15">
        <f>IF(K841="","",IF(K841="A","Cemerlang",IF(K841="B","Kepujian",IF(K841="C","Baik",IF(K841="D","Kurang Memuaskan",IF(K841="E","Tidak Memuaskan","Tidak Laksana"))))))</f>
        <v/>
      </c>
    </row>
    <row r="842">
      <c r="A842" s="15">
        <f>Murid!A842</f>
        <v/>
      </c>
      <c r="B842" s="15">
        <f>IF(Murid!B842="","",Murid!B842)</f>
        <v/>
      </c>
      <c r="C842" s="16">
        <f>IF(Murid!C842="","",Murid!C842)</f>
        <v/>
      </c>
      <c r="D842" s="15">
        <f>IF(Murid!E842="","",Murid!E842)</f>
        <v/>
      </c>
      <c r="E842" s="17">
        <f>KP!X842</f>
        <v/>
      </c>
      <c r="F842" s="17">
        <f>UB!X842</f>
        <v/>
      </c>
      <c r="G842" s="17">
        <f>SP!X842</f>
        <v/>
      </c>
      <c r="H842" s="17">
        <f>IF(COUNT(E842:G842)=0,"",ROUND((LARGE(E842:G842,1)+IF(COUNT(E842:G842)&gt;=2,LARGE(E842:G842,2),0))/2,2))</f>
        <v/>
      </c>
      <c r="I842" s="10">
        <f>Ekstra!U842</f>
        <v/>
      </c>
      <c r="J842" s="18">
        <f>IF(B842="","",IF(Murid!F842="TL","TL",IF(H842="","",MIN(100,ROUND(H842+N(I842),2)))))</f>
        <v/>
      </c>
      <c r="K842" s="19">
        <f>IF(J842="","",IF(J842="TL","TL",IF(J842&gt;=80,"A",IF(J842&gt;=60,"B",IF(J842&gt;=40,"C",IF(J842&gt;=20,"D","E"))))))</f>
        <v/>
      </c>
      <c r="L842" s="15">
        <f>IF(K842="","",IF(K842="A","Cemerlang",IF(K842="B","Kepujian",IF(K842="C","Baik",IF(K842="D","Kurang Memuaskan",IF(K842="E","Tidak Memuaskan","Tidak Laksana"))))))</f>
        <v/>
      </c>
    </row>
    <row r="843">
      <c r="A843" s="15">
        <f>Murid!A843</f>
        <v/>
      </c>
      <c r="B843" s="15">
        <f>IF(Murid!B843="","",Murid!B843)</f>
        <v/>
      </c>
      <c r="C843" s="16">
        <f>IF(Murid!C843="","",Murid!C843)</f>
        <v/>
      </c>
      <c r="D843" s="15">
        <f>IF(Murid!E843="","",Murid!E843)</f>
        <v/>
      </c>
      <c r="E843" s="17">
        <f>KP!X843</f>
        <v/>
      </c>
      <c r="F843" s="17">
        <f>UB!X843</f>
        <v/>
      </c>
      <c r="G843" s="17">
        <f>SP!X843</f>
        <v/>
      </c>
      <c r="H843" s="17">
        <f>IF(COUNT(E843:G843)=0,"",ROUND((LARGE(E843:G843,1)+IF(COUNT(E843:G843)&gt;=2,LARGE(E843:G843,2),0))/2,2))</f>
        <v/>
      </c>
      <c r="I843" s="10">
        <f>Ekstra!U843</f>
        <v/>
      </c>
      <c r="J843" s="18">
        <f>IF(B843="","",IF(Murid!F843="TL","TL",IF(H843="","",MIN(100,ROUND(H843+N(I843),2)))))</f>
        <v/>
      </c>
      <c r="K843" s="19">
        <f>IF(J843="","",IF(J843="TL","TL",IF(J843&gt;=80,"A",IF(J843&gt;=60,"B",IF(J843&gt;=40,"C",IF(J843&gt;=20,"D","E"))))))</f>
        <v/>
      </c>
      <c r="L843" s="15">
        <f>IF(K843="","",IF(K843="A","Cemerlang",IF(K843="B","Kepujian",IF(K843="C","Baik",IF(K843="D","Kurang Memuaskan",IF(K843="E","Tidak Memuaskan","Tidak Laksana"))))))</f>
        <v/>
      </c>
    </row>
    <row r="844">
      <c r="A844" s="15">
        <f>Murid!A844</f>
        <v/>
      </c>
      <c r="B844" s="15">
        <f>IF(Murid!B844="","",Murid!B844)</f>
        <v/>
      </c>
      <c r="C844" s="16">
        <f>IF(Murid!C844="","",Murid!C844)</f>
        <v/>
      </c>
      <c r="D844" s="15">
        <f>IF(Murid!E844="","",Murid!E844)</f>
        <v/>
      </c>
      <c r="E844" s="17">
        <f>KP!X844</f>
        <v/>
      </c>
      <c r="F844" s="17">
        <f>UB!X844</f>
        <v/>
      </c>
      <c r="G844" s="17">
        <f>SP!X844</f>
        <v/>
      </c>
      <c r="H844" s="17">
        <f>IF(COUNT(E844:G844)=0,"",ROUND((LARGE(E844:G844,1)+IF(COUNT(E844:G844)&gt;=2,LARGE(E844:G844,2),0))/2,2))</f>
        <v/>
      </c>
      <c r="I844" s="10">
        <f>Ekstra!U844</f>
        <v/>
      </c>
      <c r="J844" s="18">
        <f>IF(B844="","",IF(Murid!F844="TL","TL",IF(H844="","",MIN(100,ROUND(H844+N(I844),2)))))</f>
        <v/>
      </c>
      <c r="K844" s="19">
        <f>IF(J844="","",IF(J844="TL","TL",IF(J844&gt;=80,"A",IF(J844&gt;=60,"B",IF(J844&gt;=40,"C",IF(J844&gt;=20,"D","E"))))))</f>
        <v/>
      </c>
      <c r="L844" s="15">
        <f>IF(K844="","",IF(K844="A","Cemerlang",IF(K844="B","Kepujian",IF(K844="C","Baik",IF(K844="D","Kurang Memuaskan",IF(K844="E","Tidak Memuaskan","Tidak Laksana"))))))</f>
        <v/>
      </c>
    </row>
    <row r="845">
      <c r="A845" s="15">
        <f>Murid!A845</f>
        <v/>
      </c>
      <c r="B845" s="15">
        <f>IF(Murid!B845="","",Murid!B845)</f>
        <v/>
      </c>
      <c r="C845" s="16">
        <f>IF(Murid!C845="","",Murid!C845)</f>
        <v/>
      </c>
      <c r="D845" s="15">
        <f>IF(Murid!E845="","",Murid!E845)</f>
        <v/>
      </c>
      <c r="E845" s="17">
        <f>KP!X845</f>
        <v/>
      </c>
      <c r="F845" s="17">
        <f>UB!X845</f>
        <v/>
      </c>
      <c r="G845" s="17">
        <f>SP!X845</f>
        <v/>
      </c>
      <c r="H845" s="17">
        <f>IF(COUNT(E845:G845)=0,"",ROUND((LARGE(E845:G845,1)+IF(COUNT(E845:G845)&gt;=2,LARGE(E845:G845,2),0))/2,2))</f>
        <v/>
      </c>
      <c r="I845" s="10">
        <f>Ekstra!U845</f>
        <v/>
      </c>
      <c r="J845" s="18">
        <f>IF(B845="","",IF(Murid!F845="TL","TL",IF(H845="","",MIN(100,ROUND(H845+N(I845),2)))))</f>
        <v/>
      </c>
      <c r="K845" s="19">
        <f>IF(J845="","",IF(J845="TL","TL",IF(J845&gt;=80,"A",IF(J845&gt;=60,"B",IF(J845&gt;=40,"C",IF(J845&gt;=20,"D","E"))))))</f>
        <v/>
      </c>
      <c r="L845" s="15">
        <f>IF(K845="","",IF(K845="A","Cemerlang",IF(K845="B","Kepujian",IF(K845="C","Baik",IF(K845="D","Kurang Memuaskan",IF(K845="E","Tidak Memuaskan","Tidak Laksana"))))))</f>
        <v/>
      </c>
    </row>
    <row r="846">
      <c r="A846" s="15">
        <f>Murid!A846</f>
        <v/>
      </c>
      <c r="B846" s="15">
        <f>IF(Murid!B846="","",Murid!B846)</f>
        <v/>
      </c>
      <c r="C846" s="16">
        <f>IF(Murid!C846="","",Murid!C846)</f>
        <v/>
      </c>
      <c r="D846" s="15">
        <f>IF(Murid!E846="","",Murid!E846)</f>
        <v/>
      </c>
      <c r="E846" s="17">
        <f>KP!X846</f>
        <v/>
      </c>
      <c r="F846" s="17">
        <f>UB!X846</f>
        <v/>
      </c>
      <c r="G846" s="17">
        <f>SP!X846</f>
        <v/>
      </c>
      <c r="H846" s="17">
        <f>IF(COUNT(E846:G846)=0,"",ROUND((LARGE(E846:G846,1)+IF(COUNT(E846:G846)&gt;=2,LARGE(E846:G846,2),0))/2,2))</f>
        <v/>
      </c>
      <c r="I846" s="10">
        <f>Ekstra!U846</f>
        <v/>
      </c>
      <c r="J846" s="18">
        <f>IF(B846="","",IF(Murid!F846="TL","TL",IF(H846="","",MIN(100,ROUND(H846+N(I846),2)))))</f>
        <v/>
      </c>
      <c r="K846" s="19">
        <f>IF(J846="","",IF(J846="TL","TL",IF(J846&gt;=80,"A",IF(J846&gt;=60,"B",IF(J846&gt;=40,"C",IF(J846&gt;=20,"D","E"))))))</f>
        <v/>
      </c>
      <c r="L846" s="15">
        <f>IF(K846="","",IF(K846="A","Cemerlang",IF(K846="B","Kepujian",IF(K846="C","Baik",IF(K846="D","Kurang Memuaskan",IF(K846="E","Tidak Memuaskan","Tidak Laksana"))))))</f>
        <v/>
      </c>
    </row>
    <row r="847">
      <c r="A847" s="15">
        <f>Murid!A847</f>
        <v/>
      </c>
      <c r="B847" s="15">
        <f>IF(Murid!B847="","",Murid!B847)</f>
        <v/>
      </c>
      <c r="C847" s="16">
        <f>IF(Murid!C847="","",Murid!C847)</f>
        <v/>
      </c>
      <c r="D847" s="15">
        <f>IF(Murid!E847="","",Murid!E847)</f>
        <v/>
      </c>
      <c r="E847" s="17">
        <f>KP!X847</f>
        <v/>
      </c>
      <c r="F847" s="17">
        <f>UB!X847</f>
        <v/>
      </c>
      <c r="G847" s="17">
        <f>SP!X847</f>
        <v/>
      </c>
      <c r="H847" s="17">
        <f>IF(COUNT(E847:G847)=0,"",ROUND((LARGE(E847:G847,1)+IF(COUNT(E847:G847)&gt;=2,LARGE(E847:G847,2),0))/2,2))</f>
        <v/>
      </c>
      <c r="I847" s="10">
        <f>Ekstra!U847</f>
        <v/>
      </c>
      <c r="J847" s="18">
        <f>IF(B847="","",IF(Murid!F847="TL","TL",IF(H847="","",MIN(100,ROUND(H847+N(I847),2)))))</f>
        <v/>
      </c>
      <c r="K847" s="19">
        <f>IF(J847="","",IF(J847="TL","TL",IF(J847&gt;=80,"A",IF(J847&gt;=60,"B",IF(J847&gt;=40,"C",IF(J847&gt;=20,"D","E"))))))</f>
        <v/>
      </c>
      <c r="L847" s="15">
        <f>IF(K847="","",IF(K847="A","Cemerlang",IF(K847="B","Kepujian",IF(K847="C","Baik",IF(K847="D","Kurang Memuaskan",IF(K847="E","Tidak Memuaskan","Tidak Laksana"))))))</f>
        <v/>
      </c>
    </row>
    <row r="848">
      <c r="A848" s="15">
        <f>Murid!A848</f>
        <v/>
      </c>
      <c r="B848" s="15">
        <f>IF(Murid!B848="","",Murid!B848)</f>
        <v/>
      </c>
      <c r="C848" s="16">
        <f>IF(Murid!C848="","",Murid!C848)</f>
        <v/>
      </c>
      <c r="D848" s="15">
        <f>IF(Murid!E848="","",Murid!E848)</f>
        <v/>
      </c>
      <c r="E848" s="17">
        <f>KP!X848</f>
        <v/>
      </c>
      <c r="F848" s="17">
        <f>UB!X848</f>
        <v/>
      </c>
      <c r="G848" s="17">
        <f>SP!X848</f>
        <v/>
      </c>
      <c r="H848" s="17">
        <f>IF(COUNT(E848:G848)=0,"",ROUND((LARGE(E848:G848,1)+IF(COUNT(E848:G848)&gt;=2,LARGE(E848:G848,2),0))/2,2))</f>
        <v/>
      </c>
      <c r="I848" s="10">
        <f>Ekstra!U848</f>
        <v/>
      </c>
      <c r="J848" s="18">
        <f>IF(B848="","",IF(Murid!F848="TL","TL",IF(H848="","",MIN(100,ROUND(H848+N(I848),2)))))</f>
        <v/>
      </c>
      <c r="K848" s="19">
        <f>IF(J848="","",IF(J848="TL","TL",IF(J848&gt;=80,"A",IF(J848&gt;=60,"B",IF(J848&gt;=40,"C",IF(J848&gt;=20,"D","E"))))))</f>
        <v/>
      </c>
      <c r="L848" s="15">
        <f>IF(K848="","",IF(K848="A","Cemerlang",IF(K848="B","Kepujian",IF(K848="C","Baik",IF(K848="D","Kurang Memuaskan",IF(K848="E","Tidak Memuaskan","Tidak Laksana"))))))</f>
        <v/>
      </c>
    </row>
    <row r="849">
      <c r="A849" s="15">
        <f>Murid!A849</f>
        <v/>
      </c>
      <c r="B849" s="15">
        <f>IF(Murid!B849="","",Murid!B849)</f>
        <v/>
      </c>
      <c r="C849" s="16">
        <f>IF(Murid!C849="","",Murid!C849)</f>
        <v/>
      </c>
      <c r="D849" s="15">
        <f>IF(Murid!E849="","",Murid!E849)</f>
        <v/>
      </c>
      <c r="E849" s="17">
        <f>KP!X849</f>
        <v/>
      </c>
      <c r="F849" s="17">
        <f>UB!X849</f>
        <v/>
      </c>
      <c r="G849" s="17">
        <f>SP!X849</f>
        <v/>
      </c>
      <c r="H849" s="17">
        <f>IF(COUNT(E849:G849)=0,"",ROUND((LARGE(E849:G849,1)+IF(COUNT(E849:G849)&gt;=2,LARGE(E849:G849,2),0))/2,2))</f>
        <v/>
      </c>
      <c r="I849" s="10">
        <f>Ekstra!U849</f>
        <v/>
      </c>
      <c r="J849" s="18">
        <f>IF(B849="","",IF(Murid!F849="TL","TL",IF(H849="","",MIN(100,ROUND(H849+N(I849),2)))))</f>
        <v/>
      </c>
      <c r="K849" s="19">
        <f>IF(J849="","",IF(J849="TL","TL",IF(J849&gt;=80,"A",IF(J849&gt;=60,"B",IF(J849&gt;=40,"C",IF(J849&gt;=20,"D","E"))))))</f>
        <v/>
      </c>
      <c r="L849" s="15">
        <f>IF(K849="","",IF(K849="A","Cemerlang",IF(K849="B","Kepujian",IF(K849="C","Baik",IF(K849="D","Kurang Memuaskan",IF(K849="E","Tidak Memuaskan","Tidak Laksana"))))))</f>
        <v/>
      </c>
    </row>
    <row r="850">
      <c r="A850" s="15">
        <f>Murid!A850</f>
        <v/>
      </c>
      <c r="B850" s="15">
        <f>IF(Murid!B850="","",Murid!B850)</f>
        <v/>
      </c>
      <c r="C850" s="16">
        <f>IF(Murid!C850="","",Murid!C850)</f>
        <v/>
      </c>
      <c r="D850" s="15">
        <f>IF(Murid!E850="","",Murid!E850)</f>
        <v/>
      </c>
      <c r="E850" s="17">
        <f>KP!X850</f>
        <v/>
      </c>
      <c r="F850" s="17">
        <f>UB!X850</f>
        <v/>
      </c>
      <c r="G850" s="17">
        <f>SP!X850</f>
        <v/>
      </c>
      <c r="H850" s="17">
        <f>IF(COUNT(E850:G850)=0,"",ROUND((LARGE(E850:G850,1)+IF(COUNT(E850:G850)&gt;=2,LARGE(E850:G850,2),0))/2,2))</f>
        <v/>
      </c>
      <c r="I850" s="10">
        <f>Ekstra!U850</f>
        <v/>
      </c>
      <c r="J850" s="18">
        <f>IF(B850="","",IF(Murid!F850="TL","TL",IF(H850="","",MIN(100,ROUND(H850+N(I850),2)))))</f>
        <v/>
      </c>
      <c r="K850" s="19">
        <f>IF(J850="","",IF(J850="TL","TL",IF(J850&gt;=80,"A",IF(J850&gt;=60,"B",IF(J850&gt;=40,"C",IF(J850&gt;=20,"D","E"))))))</f>
        <v/>
      </c>
      <c r="L850" s="15">
        <f>IF(K850="","",IF(K850="A","Cemerlang",IF(K850="B","Kepujian",IF(K850="C","Baik",IF(K850="D","Kurang Memuaskan",IF(K850="E","Tidak Memuaskan","Tidak Laksana"))))))</f>
        <v/>
      </c>
    </row>
    <row r="851">
      <c r="A851" s="15">
        <f>Murid!A851</f>
        <v/>
      </c>
      <c r="B851" s="15">
        <f>IF(Murid!B851="","",Murid!B851)</f>
        <v/>
      </c>
      <c r="C851" s="16">
        <f>IF(Murid!C851="","",Murid!C851)</f>
        <v/>
      </c>
      <c r="D851" s="15">
        <f>IF(Murid!E851="","",Murid!E851)</f>
        <v/>
      </c>
      <c r="E851" s="17">
        <f>KP!X851</f>
        <v/>
      </c>
      <c r="F851" s="17">
        <f>UB!X851</f>
        <v/>
      </c>
      <c r="G851" s="17">
        <f>SP!X851</f>
        <v/>
      </c>
      <c r="H851" s="17">
        <f>IF(COUNT(E851:G851)=0,"",ROUND((LARGE(E851:G851,1)+IF(COUNT(E851:G851)&gt;=2,LARGE(E851:G851,2),0))/2,2))</f>
        <v/>
      </c>
      <c r="I851" s="10">
        <f>Ekstra!U851</f>
        <v/>
      </c>
      <c r="J851" s="18">
        <f>IF(B851="","",IF(Murid!F851="TL","TL",IF(H851="","",MIN(100,ROUND(H851+N(I851),2)))))</f>
        <v/>
      </c>
      <c r="K851" s="19">
        <f>IF(J851="","",IF(J851="TL","TL",IF(J851&gt;=80,"A",IF(J851&gt;=60,"B",IF(J851&gt;=40,"C",IF(J851&gt;=20,"D","E"))))))</f>
        <v/>
      </c>
      <c r="L851" s="15">
        <f>IF(K851="","",IF(K851="A","Cemerlang",IF(K851="B","Kepujian",IF(K851="C","Baik",IF(K851="D","Kurang Memuaskan",IF(K851="E","Tidak Memuaskan","Tidak Laksana"))))))</f>
        <v/>
      </c>
    </row>
    <row r="852">
      <c r="A852" s="15">
        <f>Murid!A852</f>
        <v/>
      </c>
      <c r="B852" s="15">
        <f>IF(Murid!B852="","",Murid!B852)</f>
        <v/>
      </c>
      <c r="C852" s="16">
        <f>IF(Murid!C852="","",Murid!C852)</f>
        <v/>
      </c>
      <c r="D852" s="15">
        <f>IF(Murid!E852="","",Murid!E852)</f>
        <v/>
      </c>
      <c r="E852" s="17">
        <f>KP!X852</f>
        <v/>
      </c>
      <c r="F852" s="17">
        <f>UB!X852</f>
        <v/>
      </c>
      <c r="G852" s="17">
        <f>SP!X852</f>
        <v/>
      </c>
      <c r="H852" s="17">
        <f>IF(COUNT(E852:G852)=0,"",ROUND((LARGE(E852:G852,1)+IF(COUNT(E852:G852)&gt;=2,LARGE(E852:G852,2),0))/2,2))</f>
        <v/>
      </c>
      <c r="I852" s="10">
        <f>Ekstra!U852</f>
        <v/>
      </c>
      <c r="J852" s="18">
        <f>IF(B852="","",IF(Murid!F852="TL","TL",IF(H852="","",MIN(100,ROUND(H852+N(I852),2)))))</f>
        <v/>
      </c>
      <c r="K852" s="19">
        <f>IF(J852="","",IF(J852="TL","TL",IF(J852&gt;=80,"A",IF(J852&gt;=60,"B",IF(J852&gt;=40,"C",IF(J852&gt;=20,"D","E"))))))</f>
        <v/>
      </c>
      <c r="L852" s="15">
        <f>IF(K852="","",IF(K852="A","Cemerlang",IF(K852="B","Kepujian",IF(K852="C","Baik",IF(K852="D","Kurang Memuaskan",IF(K852="E","Tidak Memuaskan","Tidak Laksana"))))))</f>
        <v/>
      </c>
    </row>
    <row r="853">
      <c r="A853" s="15">
        <f>Murid!A853</f>
        <v/>
      </c>
      <c r="B853" s="15">
        <f>IF(Murid!B853="","",Murid!B853)</f>
        <v/>
      </c>
      <c r="C853" s="16">
        <f>IF(Murid!C853="","",Murid!C853)</f>
        <v/>
      </c>
      <c r="D853" s="15">
        <f>IF(Murid!E853="","",Murid!E853)</f>
        <v/>
      </c>
      <c r="E853" s="17">
        <f>KP!X853</f>
        <v/>
      </c>
      <c r="F853" s="17">
        <f>UB!X853</f>
        <v/>
      </c>
      <c r="G853" s="17">
        <f>SP!X853</f>
        <v/>
      </c>
      <c r="H853" s="17">
        <f>IF(COUNT(E853:G853)=0,"",ROUND((LARGE(E853:G853,1)+IF(COUNT(E853:G853)&gt;=2,LARGE(E853:G853,2),0))/2,2))</f>
        <v/>
      </c>
      <c r="I853" s="10">
        <f>Ekstra!U853</f>
        <v/>
      </c>
      <c r="J853" s="18">
        <f>IF(B853="","",IF(Murid!F853="TL","TL",IF(H853="","",MIN(100,ROUND(H853+N(I853),2)))))</f>
        <v/>
      </c>
      <c r="K853" s="19">
        <f>IF(J853="","",IF(J853="TL","TL",IF(J853&gt;=80,"A",IF(J853&gt;=60,"B",IF(J853&gt;=40,"C",IF(J853&gt;=20,"D","E"))))))</f>
        <v/>
      </c>
      <c r="L853" s="15">
        <f>IF(K853="","",IF(K853="A","Cemerlang",IF(K853="B","Kepujian",IF(K853="C","Baik",IF(K853="D","Kurang Memuaskan",IF(K853="E","Tidak Memuaskan","Tidak Laksana"))))))</f>
        <v/>
      </c>
    </row>
    <row r="854">
      <c r="A854" s="15">
        <f>Murid!A854</f>
        <v/>
      </c>
      <c r="B854" s="15">
        <f>IF(Murid!B854="","",Murid!B854)</f>
        <v/>
      </c>
      <c r="C854" s="16">
        <f>IF(Murid!C854="","",Murid!C854)</f>
        <v/>
      </c>
      <c r="D854" s="15">
        <f>IF(Murid!E854="","",Murid!E854)</f>
        <v/>
      </c>
      <c r="E854" s="17">
        <f>KP!X854</f>
        <v/>
      </c>
      <c r="F854" s="17">
        <f>UB!X854</f>
        <v/>
      </c>
      <c r="G854" s="17">
        <f>SP!X854</f>
        <v/>
      </c>
      <c r="H854" s="17">
        <f>IF(COUNT(E854:G854)=0,"",ROUND((LARGE(E854:G854,1)+IF(COUNT(E854:G854)&gt;=2,LARGE(E854:G854,2),0))/2,2))</f>
        <v/>
      </c>
      <c r="I854" s="10">
        <f>Ekstra!U854</f>
        <v/>
      </c>
      <c r="J854" s="18">
        <f>IF(B854="","",IF(Murid!F854="TL","TL",IF(H854="","",MIN(100,ROUND(H854+N(I854),2)))))</f>
        <v/>
      </c>
      <c r="K854" s="19">
        <f>IF(J854="","",IF(J854="TL","TL",IF(J854&gt;=80,"A",IF(J854&gt;=60,"B",IF(J854&gt;=40,"C",IF(J854&gt;=20,"D","E"))))))</f>
        <v/>
      </c>
      <c r="L854" s="15">
        <f>IF(K854="","",IF(K854="A","Cemerlang",IF(K854="B","Kepujian",IF(K854="C","Baik",IF(K854="D","Kurang Memuaskan",IF(K854="E","Tidak Memuaskan","Tidak Laksana"))))))</f>
        <v/>
      </c>
    </row>
    <row r="855">
      <c r="A855" s="15">
        <f>Murid!A855</f>
        <v/>
      </c>
      <c r="B855" s="15">
        <f>IF(Murid!B855="","",Murid!B855)</f>
        <v/>
      </c>
      <c r="C855" s="16">
        <f>IF(Murid!C855="","",Murid!C855)</f>
        <v/>
      </c>
      <c r="D855" s="15">
        <f>IF(Murid!E855="","",Murid!E855)</f>
        <v/>
      </c>
      <c r="E855" s="17">
        <f>KP!X855</f>
        <v/>
      </c>
      <c r="F855" s="17">
        <f>UB!X855</f>
        <v/>
      </c>
      <c r="G855" s="17">
        <f>SP!X855</f>
        <v/>
      </c>
      <c r="H855" s="17">
        <f>IF(COUNT(E855:G855)=0,"",ROUND((LARGE(E855:G855,1)+IF(COUNT(E855:G855)&gt;=2,LARGE(E855:G855,2),0))/2,2))</f>
        <v/>
      </c>
      <c r="I855" s="10">
        <f>Ekstra!U855</f>
        <v/>
      </c>
      <c r="J855" s="18">
        <f>IF(B855="","",IF(Murid!F855="TL","TL",IF(H855="","",MIN(100,ROUND(H855+N(I855),2)))))</f>
        <v/>
      </c>
      <c r="K855" s="19">
        <f>IF(J855="","",IF(J855="TL","TL",IF(J855&gt;=80,"A",IF(J855&gt;=60,"B",IF(J855&gt;=40,"C",IF(J855&gt;=20,"D","E"))))))</f>
        <v/>
      </c>
      <c r="L855" s="15">
        <f>IF(K855="","",IF(K855="A","Cemerlang",IF(K855="B","Kepujian",IF(K855="C","Baik",IF(K855="D","Kurang Memuaskan",IF(K855="E","Tidak Memuaskan","Tidak Laksana"))))))</f>
        <v/>
      </c>
    </row>
    <row r="856">
      <c r="A856" s="15">
        <f>Murid!A856</f>
        <v/>
      </c>
      <c r="B856" s="15">
        <f>IF(Murid!B856="","",Murid!B856)</f>
        <v/>
      </c>
      <c r="C856" s="16">
        <f>IF(Murid!C856="","",Murid!C856)</f>
        <v/>
      </c>
      <c r="D856" s="15">
        <f>IF(Murid!E856="","",Murid!E856)</f>
        <v/>
      </c>
      <c r="E856" s="17">
        <f>KP!X856</f>
        <v/>
      </c>
      <c r="F856" s="17">
        <f>UB!X856</f>
        <v/>
      </c>
      <c r="G856" s="17">
        <f>SP!X856</f>
        <v/>
      </c>
      <c r="H856" s="17">
        <f>IF(COUNT(E856:G856)=0,"",ROUND((LARGE(E856:G856,1)+IF(COUNT(E856:G856)&gt;=2,LARGE(E856:G856,2),0))/2,2))</f>
        <v/>
      </c>
      <c r="I856" s="10">
        <f>Ekstra!U856</f>
        <v/>
      </c>
      <c r="J856" s="18">
        <f>IF(B856="","",IF(Murid!F856="TL","TL",IF(H856="","",MIN(100,ROUND(H856+N(I856),2)))))</f>
        <v/>
      </c>
      <c r="K856" s="19">
        <f>IF(J856="","",IF(J856="TL","TL",IF(J856&gt;=80,"A",IF(J856&gt;=60,"B",IF(J856&gt;=40,"C",IF(J856&gt;=20,"D","E"))))))</f>
        <v/>
      </c>
      <c r="L856" s="15">
        <f>IF(K856="","",IF(K856="A","Cemerlang",IF(K856="B","Kepujian",IF(K856="C","Baik",IF(K856="D","Kurang Memuaskan",IF(K856="E","Tidak Memuaskan","Tidak Laksana"))))))</f>
        <v/>
      </c>
    </row>
    <row r="857">
      <c r="A857" s="15">
        <f>Murid!A857</f>
        <v/>
      </c>
      <c r="B857" s="15">
        <f>IF(Murid!B857="","",Murid!B857)</f>
        <v/>
      </c>
      <c r="C857" s="16">
        <f>IF(Murid!C857="","",Murid!C857)</f>
        <v/>
      </c>
      <c r="D857" s="15">
        <f>IF(Murid!E857="","",Murid!E857)</f>
        <v/>
      </c>
      <c r="E857" s="17">
        <f>KP!X857</f>
        <v/>
      </c>
      <c r="F857" s="17">
        <f>UB!X857</f>
        <v/>
      </c>
      <c r="G857" s="17">
        <f>SP!X857</f>
        <v/>
      </c>
      <c r="H857" s="17">
        <f>IF(COUNT(E857:G857)=0,"",ROUND((LARGE(E857:G857,1)+IF(COUNT(E857:G857)&gt;=2,LARGE(E857:G857,2),0))/2,2))</f>
        <v/>
      </c>
      <c r="I857" s="10">
        <f>Ekstra!U857</f>
        <v/>
      </c>
      <c r="J857" s="18">
        <f>IF(B857="","",IF(Murid!F857="TL","TL",IF(H857="","",MIN(100,ROUND(H857+N(I857),2)))))</f>
        <v/>
      </c>
      <c r="K857" s="19">
        <f>IF(J857="","",IF(J857="TL","TL",IF(J857&gt;=80,"A",IF(J857&gt;=60,"B",IF(J857&gt;=40,"C",IF(J857&gt;=20,"D","E"))))))</f>
        <v/>
      </c>
      <c r="L857" s="15">
        <f>IF(K857="","",IF(K857="A","Cemerlang",IF(K857="B","Kepujian",IF(K857="C","Baik",IF(K857="D","Kurang Memuaskan",IF(K857="E","Tidak Memuaskan","Tidak Laksana"))))))</f>
        <v/>
      </c>
    </row>
    <row r="858">
      <c r="A858" s="15">
        <f>Murid!A858</f>
        <v/>
      </c>
      <c r="B858" s="15">
        <f>IF(Murid!B858="","",Murid!B858)</f>
        <v/>
      </c>
      <c r="C858" s="16">
        <f>IF(Murid!C858="","",Murid!C858)</f>
        <v/>
      </c>
      <c r="D858" s="15">
        <f>IF(Murid!E858="","",Murid!E858)</f>
        <v/>
      </c>
      <c r="E858" s="17">
        <f>KP!X858</f>
        <v/>
      </c>
      <c r="F858" s="17">
        <f>UB!X858</f>
        <v/>
      </c>
      <c r="G858" s="17">
        <f>SP!X858</f>
        <v/>
      </c>
      <c r="H858" s="17">
        <f>IF(COUNT(E858:G858)=0,"",ROUND((LARGE(E858:G858,1)+IF(COUNT(E858:G858)&gt;=2,LARGE(E858:G858,2),0))/2,2))</f>
        <v/>
      </c>
      <c r="I858" s="10">
        <f>Ekstra!U858</f>
        <v/>
      </c>
      <c r="J858" s="18">
        <f>IF(B858="","",IF(Murid!F858="TL","TL",IF(H858="","",MIN(100,ROUND(H858+N(I858),2)))))</f>
        <v/>
      </c>
      <c r="K858" s="19">
        <f>IF(J858="","",IF(J858="TL","TL",IF(J858&gt;=80,"A",IF(J858&gt;=60,"B",IF(J858&gt;=40,"C",IF(J858&gt;=20,"D","E"))))))</f>
        <v/>
      </c>
      <c r="L858" s="15">
        <f>IF(K858="","",IF(K858="A","Cemerlang",IF(K858="B","Kepujian",IF(K858="C","Baik",IF(K858="D","Kurang Memuaskan",IF(K858="E","Tidak Memuaskan","Tidak Laksana"))))))</f>
        <v/>
      </c>
    </row>
    <row r="859">
      <c r="A859" s="15">
        <f>Murid!A859</f>
        <v/>
      </c>
      <c r="B859" s="15">
        <f>IF(Murid!B859="","",Murid!B859)</f>
        <v/>
      </c>
      <c r="C859" s="16">
        <f>IF(Murid!C859="","",Murid!C859)</f>
        <v/>
      </c>
      <c r="D859" s="15">
        <f>IF(Murid!E859="","",Murid!E859)</f>
        <v/>
      </c>
      <c r="E859" s="17">
        <f>KP!X859</f>
        <v/>
      </c>
      <c r="F859" s="17">
        <f>UB!X859</f>
        <v/>
      </c>
      <c r="G859" s="17">
        <f>SP!X859</f>
        <v/>
      </c>
      <c r="H859" s="17">
        <f>IF(COUNT(E859:G859)=0,"",ROUND((LARGE(E859:G859,1)+IF(COUNT(E859:G859)&gt;=2,LARGE(E859:G859,2),0))/2,2))</f>
        <v/>
      </c>
      <c r="I859" s="10">
        <f>Ekstra!U859</f>
        <v/>
      </c>
      <c r="J859" s="18">
        <f>IF(B859="","",IF(Murid!F859="TL","TL",IF(H859="","",MIN(100,ROUND(H859+N(I859),2)))))</f>
        <v/>
      </c>
      <c r="K859" s="19">
        <f>IF(J859="","",IF(J859="TL","TL",IF(J859&gt;=80,"A",IF(J859&gt;=60,"B",IF(J859&gt;=40,"C",IF(J859&gt;=20,"D","E"))))))</f>
        <v/>
      </c>
      <c r="L859" s="15">
        <f>IF(K859="","",IF(K859="A","Cemerlang",IF(K859="B","Kepujian",IF(K859="C","Baik",IF(K859="D","Kurang Memuaskan",IF(K859="E","Tidak Memuaskan","Tidak Laksana"))))))</f>
        <v/>
      </c>
    </row>
    <row r="860">
      <c r="A860" s="15">
        <f>Murid!A860</f>
        <v/>
      </c>
      <c r="B860" s="15">
        <f>IF(Murid!B860="","",Murid!B860)</f>
        <v/>
      </c>
      <c r="C860" s="16">
        <f>IF(Murid!C860="","",Murid!C860)</f>
        <v/>
      </c>
      <c r="D860" s="15">
        <f>IF(Murid!E860="","",Murid!E860)</f>
        <v/>
      </c>
      <c r="E860" s="17">
        <f>KP!X860</f>
        <v/>
      </c>
      <c r="F860" s="17">
        <f>UB!X860</f>
        <v/>
      </c>
      <c r="G860" s="17">
        <f>SP!X860</f>
        <v/>
      </c>
      <c r="H860" s="17">
        <f>IF(COUNT(E860:G860)=0,"",ROUND((LARGE(E860:G860,1)+IF(COUNT(E860:G860)&gt;=2,LARGE(E860:G860,2),0))/2,2))</f>
        <v/>
      </c>
      <c r="I860" s="10">
        <f>Ekstra!U860</f>
        <v/>
      </c>
      <c r="J860" s="18">
        <f>IF(B860="","",IF(Murid!F860="TL","TL",IF(H860="","",MIN(100,ROUND(H860+N(I860),2)))))</f>
        <v/>
      </c>
      <c r="K860" s="19">
        <f>IF(J860="","",IF(J860="TL","TL",IF(J860&gt;=80,"A",IF(J860&gt;=60,"B",IF(J860&gt;=40,"C",IF(J860&gt;=20,"D","E"))))))</f>
        <v/>
      </c>
      <c r="L860" s="15">
        <f>IF(K860="","",IF(K860="A","Cemerlang",IF(K860="B","Kepujian",IF(K860="C","Baik",IF(K860="D","Kurang Memuaskan",IF(K860="E","Tidak Memuaskan","Tidak Laksana"))))))</f>
        <v/>
      </c>
    </row>
    <row r="861">
      <c r="A861" s="15">
        <f>Murid!A861</f>
        <v/>
      </c>
      <c r="B861" s="15">
        <f>IF(Murid!B861="","",Murid!B861)</f>
        <v/>
      </c>
      <c r="C861" s="16">
        <f>IF(Murid!C861="","",Murid!C861)</f>
        <v/>
      </c>
      <c r="D861" s="15">
        <f>IF(Murid!E861="","",Murid!E861)</f>
        <v/>
      </c>
      <c r="E861" s="17">
        <f>KP!X861</f>
        <v/>
      </c>
      <c r="F861" s="17">
        <f>UB!X861</f>
        <v/>
      </c>
      <c r="G861" s="17">
        <f>SP!X861</f>
        <v/>
      </c>
      <c r="H861" s="17">
        <f>IF(COUNT(E861:G861)=0,"",ROUND((LARGE(E861:G861,1)+IF(COUNT(E861:G861)&gt;=2,LARGE(E861:G861,2),0))/2,2))</f>
        <v/>
      </c>
      <c r="I861" s="10">
        <f>Ekstra!U861</f>
        <v/>
      </c>
      <c r="J861" s="18">
        <f>IF(B861="","",IF(Murid!F861="TL","TL",IF(H861="","",MIN(100,ROUND(H861+N(I861),2)))))</f>
        <v/>
      </c>
      <c r="K861" s="19">
        <f>IF(J861="","",IF(J861="TL","TL",IF(J861&gt;=80,"A",IF(J861&gt;=60,"B",IF(J861&gt;=40,"C",IF(J861&gt;=20,"D","E"))))))</f>
        <v/>
      </c>
      <c r="L861" s="15">
        <f>IF(K861="","",IF(K861="A","Cemerlang",IF(K861="B","Kepujian",IF(K861="C","Baik",IF(K861="D","Kurang Memuaskan",IF(K861="E","Tidak Memuaskan","Tidak Laksana"))))))</f>
        <v/>
      </c>
    </row>
    <row r="862">
      <c r="A862" s="15">
        <f>Murid!A862</f>
        <v/>
      </c>
      <c r="B862" s="15">
        <f>IF(Murid!B862="","",Murid!B862)</f>
        <v/>
      </c>
      <c r="C862" s="16">
        <f>IF(Murid!C862="","",Murid!C862)</f>
        <v/>
      </c>
      <c r="D862" s="15">
        <f>IF(Murid!E862="","",Murid!E862)</f>
        <v/>
      </c>
      <c r="E862" s="17">
        <f>KP!X862</f>
        <v/>
      </c>
      <c r="F862" s="17">
        <f>UB!X862</f>
        <v/>
      </c>
      <c r="G862" s="17">
        <f>SP!X862</f>
        <v/>
      </c>
      <c r="H862" s="17">
        <f>IF(COUNT(E862:G862)=0,"",ROUND((LARGE(E862:G862,1)+IF(COUNT(E862:G862)&gt;=2,LARGE(E862:G862,2),0))/2,2))</f>
        <v/>
      </c>
      <c r="I862" s="10">
        <f>Ekstra!U862</f>
        <v/>
      </c>
      <c r="J862" s="18">
        <f>IF(B862="","",IF(Murid!F862="TL","TL",IF(H862="","",MIN(100,ROUND(H862+N(I862),2)))))</f>
        <v/>
      </c>
      <c r="K862" s="19">
        <f>IF(J862="","",IF(J862="TL","TL",IF(J862&gt;=80,"A",IF(J862&gt;=60,"B",IF(J862&gt;=40,"C",IF(J862&gt;=20,"D","E"))))))</f>
        <v/>
      </c>
      <c r="L862" s="15">
        <f>IF(K862="","",IF(K862="A","Cemerlang",IF(K862="B","Kepujian",IF(K862="C","Baik",IF(K862="D","Kurang Memuaskan",IF(K862="E","Tidak Memuaskan","Tidak Laksana"))))))</f>
        <v/>
      </c>
    </row>
    <row r="863">
      <c r="A863" s="15">
        <f>Murid!A863</f>
        <v/>
      </c>
      <c r="B863" s="15">
        <f>IF(Murid!B863="","",Murid!B863)</f>
        <v/>
      </c>
      <c r="C863" s="16">
        <f>IF(Murid!C863="","",Murid!C863)</f>
        <v/>
      </c>
      <c r="D863" s="15">
        <f>IF(Murid!E863="","",Murid!E863)</f>
        <v/>
      </c>
      <c r="E863" s="17">
        <f>KP!X863</f>
        <v/>
      </c>
      <c r="F863" s="17">
        <f>UB!X863</f>
        <v/>
      </c>
      <c r="G863" s="17">
        <f>SP!X863</f>
        <v/>
      </c>
      <c r="H863" s="17">
        <f>IF(COUNT(E863:G863)=0,"",ROUND((LARGE(E863:G863,1)+IF(COUNT(E863:G863)&gt;=2,LARGE(E863:G863,2),0))/2,2))</f>
        <v/>
      </c>
      <c r="I863" s="10">
        <f>Ekstra!U863</f>
        <v/>
      </c>
      <c r="J863" s="18">
        <f>IF(B863="","",IF(Murid!F863="TL","TL",IF(H863="","",MIN(100,ROUND(H863+N(I863),2)))))</f>
        <v/>
      </c>
      <c r="K863" s="19">
        <f>IF(J863="","",IF(J863="TL","TL",IF(J863&gt;=80,"A",IF(J863&gt;=60,"B",IF(J863&gt;=40,"C",IF(J863&gt;=20,"D","E"))))))</f>
        <v/>
      </c>
      <c r="L863" s="15">
        <f>IF(K863="","",IF(K863="A","Cemerlang",IF(K863="B","Kepujian",IF(K863="C","Baik",IF(K863="D","Kurang Memuaskan",IF(K863="E","Tidak Memuaskan","Tidak Laksana"))))))</f>
        <v/>
      </c>
    </row>
    <row r="864">
      <c r="A864" s="15">
        <f>Murid!A864</f>
        <v/>
      </c>
      <c r="B864" s="15">
        <f>IF(Murid!B864="","",Murid!B864)</f>
        <v/>
      </c>
      <c r="C864" s="16">
        <f>IF(Murid!C864="","",Murid!C864)</f>
        <v/>
      </c>
      <c r="D864" s="15">
        <f>IF(Murid!E864="","",Murid!E864)</f>
        <v/>
      </c>
      <c r="E864" s="17">
        <f>KP!X864</f>
        <v/>
      </c>
      <c r="F864" s="17">
        <f>UB!X864</f>
        <v/>
      </c>
      <c r="G864" s="17">
        <f>SP!X864</f>
        <v/>
      </c>
      <c r="H864" s="17">
        <f>IF(COUNT(E864:G864)=0,"",ROUND((LARGE(E864:G864,1)+IF(COUNT(E864:G864)&gt;=2,LARGE(E864:G864,2),0))/2,2))</f>
        <v/>
      </c>
      <c r="I864" s="10">
        <f>Ekstra!U864</f>
        <v/>
      </c>
      <c r="J864" s="18">
        <f>IF(B864="","",IF(Murid!F864="TL","TL",IF(H864="","",MIN(100,ROUND(H864+N(I864),2)))))</f>
        <v/>
      </c>
      <c r="K864" s="19">
        <f>IF(J864="","",IF(J864="TL","TL",IF(J864&gt;=80,"A",IF(J864&gt;=60,"B",IF(J864&gt;=40,"C",IF(J864&gt;=20,"D","E"))))))</f>
        <v/>
      </c>
      <c r="L864" s="15">
        <f>IF(K864="","",IF(K864="A","Cemerlang",IF(K864="B","Kepujian",IF(K864="C","Baik",IF(K864="D","Kurang Memuaskan",IF(K864="E","Tidak Memuaskan","Tidak Laksana"))))))</f>
        <v/>
      </c>
    </row>
    <row r="865">
      <c r="A865" s="15">
        <f>Murid!A865</f>
        <v/>
      </c>
      <c r="B865" s="15">
        <f>IF(Murid!B865="","",Murid!B865)</f>
        <v/>
      </c>
      <c r="C865" s="16">
        <f>IF(Murid!C865="","",Murid!C865)</f>
        <v/>
      </c>
      <c r="D865" s="15">
        <f>IF(Murid!E865="","",Murid!E865)</f>
        <v/>
      </c>
      <c r="E865" s="17">
        <f>KP!X865</f>
        <v/>
      </c>
      <c r="F865" s="17">
        <f>UB!X865</f>
        <v/>
      </c>
      <c r="G865" s="17">
        <f>SP!X865</f>
        <v/>
      </c>
      <c r="H865" s="17">
        <f>IF(COUNT(E865:G865)=0,"",ROUND((LARGE(E865:G865,1)+IF(COUNT(E865:G865)&gt;=2,LARGE(E865:G865,2),0))/2,2))</f>
        <v/>
      </c>
      <c r="I865" s="10">
        <f>Ekstra!U865</f>
        <v/>
      </c>
      <c r="J865" s="18">
        <f>IF(B865="","",IF(Murid!F865="TL","TL",IF(H865="","",MIN(100,ROUND(H865+N(I865),2)))))</f>
        <v/>
      </c>
      <c r="K865" s="19">
        <f>IF(J865="","",IF(J865="TL","TL",IF(J865&gt;=80,"A",IF(J865&gt;=60,"B",IF(J865&gt;=40,"C",IF(J865&gt;=20,"D","E"))))))</f>
        <v/>
      </c>
      <c r="L865" s="15">
        <f>IF(K865="","",IF(K865="A","Cemerlang",IF(K865="B","Kepujian",IF(K865="C","Baik",IF(K865="D","Kurang Memuaskan",IF(K865="E","Tidak Memuaskan","Tidak Laksana"))))))</f>
        <v/>
      </c>
    </row>
    <row r="866">
      <c r="A866" s="15">
        <f>Murid!A866</f>
        <v/>
      </c>
      <c r="B866" s="15">
        <f>IF(Murid!B866="","",Murid!B866)</f>
        <v/>
      </c>
      <c r="C866" s="16">
        <f>IF(Murid!C866="","",Murid!C866)</f>
        <v/>
      </c>
      <c r="D866" s="15">
        <f>IF(Murid!E866="","",Murid!E866)</f>
        <v/>
      </c>
      <c r="E866" s="17">
        <f>KP!X866</f>
        <v/>
      </c>
      <c r="F866" s="17">
        <f>UB!X866</f>
        <v/>
      </c>
      <c r="G866" s="17">
        <f>SP!X866</f>
        <v/>
      </c>
      <c r="H866" s="17">
        <f>IF(COUNT(E866:G866)=0,"",ROUND((LARGE(E866:G866,1)+IF(COUNT(E866:G866)&gt;=2,LARGE(E866:G866,2),0))/2,2))</f>
        <v/>
      </c>
      <c r="I866" s="10">
        <f>Ekstra!U866</f>
        <v/>
      </c>
      <c r="J866" s="18">
        <f>IF(B866="","",IF(Murid!F866="TL","TL",IF(H866="","",MIN(100,ROUND(H866+N(I866),2)))))</f>
        <v/>
      </c>
      <c r="K866" s="19">
        <f>IF(J866="","",IF(J866="TL","TL",IF(J866&gt;=80,"A",IF(J866&gt;=60,"B",IF(J866&gt;=40,"C",IF(J866&gt;=20,"D","E"))))))</f>
        <v/>
      </c>
      <c r="L866" s="15">
        <f>IF(K866="","",IF(K866="A","Cemerlang",IF(K866="B","Kepujian",IF(K866="C","Baik",IF(K866="D","Kurang Memuaskan",IF(K866="E","Tidak Memuaskan","Tidak Laksana"))))))</f>
        <v/>
      </c>
    </row>
    <row r="867">
      <c r="A867" s="15">
        <f>Murid!A867</f>
        <v/>
      </c>
      <c r="B867" s="15">
        <f>IF(Murid!B867="","",Murid!B867)</f>
        <v/>
      </c>
      <c r="C867" s="16">
        <f>IF(Murid!C867="","",Murid!C867)</f>
        <v/>
      </c>
      <c r="D867" s="15">
        <f>IF(Murid!E867="","",Murid!E867)</f>
        <v/>
      </c>
      <c r="E867" s="17">
        <f>KP!X867</f>
        <v/>
      </c>
      <c r="F867" s="17">
        <f>UB!X867</f>
        <v/>
      </c>
      <c r="G867" s="17">
        <f>SP!X867</f>
        <v/>
      </c>
      <c r="H867" s="17">
        <f>IF(COUNT(E867:G867)=0,"",ROUND((LARGE(E867:G867,1)+IF(COUNT(E867:G867)&gt;=2,LARGE(E867:G867,2),0))/2,2))</f>
        <v/>
      </c>
      <c r="I867" s="10">
        <f>Ekstra!U867</f>
        <v/>
      </c>
      <c r="J867" s="18">
        <f>IF(B867="","",IF(Murid!F867="TL","TL",IF(H867="","",MIN(100,ROUND(H867+N(I867),2)))))</f>
        <v/>
      </c>
      <c r="K867" s="19">
        <f>IF(J867="","",IF(J867="TL","TL",IF(J867&gt;=80,"A",IF(J867&gt;=60,"B",IF(J867&gt;=40,"C",IF(J867&gt;=20,"D","E"))))))</f>
        <v/>
      </c>
      <c r="L867" s="15">
        <f>IF(K867="","",IF(K867="A","Cemerlang",IF(K867="B","Kepujian",IF(K867="C","Baik",IF(K867="D","Kurang Memuaskan",IF(K867="E","Tidak Memuaskan","Tidak Laksana"))))))</f>
        <v/>
      </c>
    </row>
    <row r="868">
      <c r="A868" s="15">
        <f>Murid!A868</f>
        <v/>
      </c>
      <c r="B868" s="15">
        <f>IF(Murid!B868="","",Murid!B868)</f>
        <v/>
      </c>
      <c r="C868" s="16">
        <f>IF(Murid!C868="","",Murid!C868)</f>
        <v/>
      </c>
      <c r="D868" s="15">
        <f>IF(Murid!E868="","",Murid!E868)</f>
        <v/>
      </c>
      <c r="E868" s="17">
        <f>KP!X868</f>
        <v/>
      </c>
      <c r="F868" s="17">
        <f>UB!X868</f>
        <v/>
      </c>
      <c r="G868" s="17">
        <f>SP!X868</f>
        <v/>
      </c>
      <c r="H868" s="17">
        <f>IF(COUNT(E868:G868)=0,"",ROUND((LARGE(E868:G868,1)+IF(COUNT(E868:G868)&gt;=2,LARGE(E868:G868,2),0))/2,2))</f>
        <v/>
      </c>
      <c r="I868" s="10">
        <f>Ekstra!U868</f>
        <v/>
      </c>
      <c r="J868" s="18">
        <f>IF(B868="","",IF(Murid!F868="TL","TL",IF(H868="","",MIN(100,ROUND(H868+N(I868),2)))))</f>
        <v/>
      </c>
      <c r="K868" s="19">
        <f>IF(J868="","",IF(J868="TL","TL",IF(J868&gt;=80,"A",IF(J868&gt;=60,"B",IF(J868&gt;=40,"C",IF(J868&gt;=20,"D","E"))))))</f>
        <v/>
      </c>
      <c r="L868" s="15">
        <f>IF(K868="","",IF(K868="A","Cemerlang",IF(K868="B","Kepujian",IF(K868="C","Baik",IF(K868="D","Kurang Memuaskan",IF(K868="E","Tidak Memuaskan","Tidak Laksana"))))))</f>
        <v/>
      </c>
    </row>
    <row r="869">
      <c r="A869" s="15">
        <f>Murid!A869</f>
        <v/>
      </c>
      <c r="B869" s="15">
        <f>IF(Murid!B869="","",Murid!B869)</f>
        <v/>
      </c>
      <c r="C869" s="16">
        <f>IF(Murid!C869="","",Murid!C869)</f>
        <v/>
      </c>
      <c r="D869" s="15">
        <f>IF(Murid!E869="","",Murid!E869)</f>
        <v/>
      </c>
      <c r="E869" s="17">
        <f>KP!X869</f>
        <v/>
      </c>
      <c r="F869" s="17">
        <f>UB!X869</f>
        <v/>
      </c>
      <c r="G869" s="17">
        <f>SP!X869</f>
        <v/>
      </c>
      <c r="H869" s="17">
        <f>IF(COUNT(E869:G869)=0,"",ROUND((LARGE(E869:G869,1)+IF(COUNT(E869:G869)&gt;=2,LARGE(E869:G869,2),0))/2,2))</f>
        <v/>
      </c>
      <c r="I869" s="10">
        <f>Ekstra!U869</f>
        <v/>
      </c>
      <c r="J869" s="18">
        <f>IF(B869="","",IF(Murid!F869="TL","TL",IF(H869="","",MIN(100,ROUND(H869+N(I869),2)))))</f>
        <v/>
      </c>
      <c r="K869" s="19">
        <f>IF(J869="","",IF(J869="TL","TL",IF(J869&gt;=80,"A",IF(J869&gt;=60,"B",IF(J869&gt;=40,"C",IF(J869&gt;=20,"D","E"))))))</f>
        <v/>
      </c>
      <c r="L869" s="15">
        <f>IF(K869="","",IF(K869="A","Cemerlang",IF(K869="B","Kepujian",IF(K869="C","Baik",IF(K869="D","Kurang Memuaskan",IF(K869="E","Tidak Memuaskan","Tidak Laksana"))))))</f>
        <v/>
      </c>
    </row>
    <row r="870">
      <c r="A870" s="15">
        <f>Murid!A870</f>
        <v/>
      </c>
      <c r="B870" s="15">
        <f>IF(Murid!B870="","",Murid!B870)</f>
        <v/>
      </c>
      <c r="C870" s="16">
        <f>IF(Murid!C870="","",Murid!C870)</f>
        <v/>
      </c>
      <c r="D870" s="15">
        <f>IF(Murid!E870="","",Murid!E870)</f>
        <v/>
      </c>
      <c r="E870" s="17">
        <f>KP!X870</f>
        <v/>
      </c>
      <c r="F870" s="17">
        <f>UB!X870</f>
        <v/>
      </c>
      <c r="G870" s="17">
        <f>SP!X870</f>
        <v/>
      </c>
      <c r="H870" s="17">
        <f>IF(COUNT(E870:G870)=0,"",ROUND((LARGE(E870:G870,1)+IF(COUNT(E870:G870)&gt;=2,LARGE(E870:G870,2),0))/2,2))</f>
        <v/>
      </c>
      <c r="I870" s="10">
        <f>Ekstra!U870</f>
        <v/>
      </c>
      <c r="J870" s="18">
        <f>IF(B870="","",IF(Murid!F870="TL","TL",IF(H870="","",MIN(100,ROUND(H870+N(I870),2)))))</f>
        <v/>
      </c>
      <c r="K870" s="19">
        <f>IF(J870="","",IF(J870="TL","TL",IF(J870&gt;=80,"A",IF(J870&gt;=60,"B",IF(J870&gt;=40,"C",IF(J870&gt;=20,"D","E"))))))</f>
        <v/>
      </c>
      <c r="L870" s="15">
        <f>IF(K870="","",IF(K870="A","Cemerlang",IF(K870="B","Kepujian",IF(K870="C","Baik",IF(K870="D","Kurang Memuaskan",IF(K870="E","Tidak Memuaskan","Tidak Laksana"))))))</f>
        <v/>
      </c>
    </row>
    <row r="871">
      <c r="A871" s="15">
        <f>Murid!A871</f>
        <v/>
      </c>
      <c r="B871" s="15">
        <f>IF(Murid!B871="","",Murid!B871)</f>
        <v/>
      </c>
      <c r="C871" s="16">
        <f>IF(Murid!C871="","",Murid!C871)</f>
        <v/>
      </c>
      <c r="D871" s="15">
        <f>IF(Murid!E871="","",Murid!E871)</f>
        <v/>
      </c>
      <c r="E871" s="17">
        <f>KP!X871</f>
        <v/>
      </c>
      <c r="F871" s="17">
        <f>UB!X871</f>
        <v/>
      </c>
      <c r="G871" s="17">
        <f>SP!X871</f>
        <v/>
      </c>
      <c r="H871" s="17">
        <f>IF(COUNT(E871:G871)=0,"",ROUND((LARGE(E871:G871,1)+IF(COUNT(E871:G871)&gt;=2,LARGE(E871:G871,2),0))/2,2))</f>
        <v/>
      </c>
      <c r="I871" s="10">
        <f>Ekstra!U871</f>
        <v/>
      </c>
      <c r="J871" s="18">
        <f>IF(B871="","",IF(Murid!F871="TL","TL",IF(H871="","",MIN(100,ROUND(H871+N(I871),2)))))</f>
        <v/>
      </c>
      <c r="K871" s="19">
        <f>IF(J871="","",IF(J871="TL","TL",IF(J871&gt;=80,"A",IF(J871&gt;=60,"B",IF(J871&gt;=40,"C",IF(J871&gt;=20,"D","E"))))))</f>
        <v/>
      </c>
      <c r="L871" s="15">
        <f>IF(K871="","",IF(K871="A","Cemerlang",IF(K871="B","Kepujian",IF(K871="C","Baik",IF(K871="D","Kurang Memuaskan",IF(K871="E","Tidak Memuaskan","Tidak Laksana"))))))</f>
        <v/>
      </c>
    </row>
    <row r="872">
      <c r="A872" s="15">
        <f>Murid!A872</f>
        <v/>
      </c>
      <c r="B872" s="15">
        <f>IF(Murid!B872="","",Murid!B872)</f>
        <v/>
      </c>
      <c r="C872" s="16">
        <f>IF(Murid!C872="","",Murid!C872)</f>
        <v/>
      </c>
      <c r="D872" s="15">
        <f>IF(Murid!E872="","",Murid!E872)</f>
        <v/>
      </c>
      <c r="E872" s="17">
        <f>KP!X872</f>
        <v/>
      </c>
      <c r="F872" s="17">
        <f>UB!X872</f>
        <v/>
      </c>
      <c r="G872" s="17">
        <f>SP!X872</f>
        <v/>
      </c>
      <c r="H872" s="17">
        <f>IF(COUNT(E872:G872)=0,"",ROUND((LARGE(E872:G872,1)+IF(COUNT(E872:G872)&gt;=2,LARGE(E872:G872,2),0))/2,2))</f>
        <v/>
      </c>
      <c r="I872" s="10">
        <f>Ekstra!U872</f>
        <v/>
      </c>
      <c r="J872" s="18">
        <f>IF(B872="","",IF(Murid!F872="TL","TL",IF(H872="","",MIN(100,ROUND(H872+N(I872),2)))))</f>
        <v/>
      </c>
      <c r="K872" s="19">
        <f>IF(J872="","",IF(J872="TL","TL",IF(J872&gt;=80,"A",IF(J872&gt;=60,"B",IF(J872&gt;=40,"C",IF(J872&gt;=20,"D","E"))))))</f>
        <v/>
      </c>
      <c r="L872" s="15">
        <f>IF(K872="","",IF(K872="A","Cemerlang",IF(K872="B","Kepujian",IF(K872="C","Baik",IF(K872="D","Kurang Memuaskan",IF(K872="E","Tidak Memuaskan","Tidak Laksana"))))))</f>
        <v/>
      </c>
    </row>
    <row r="873">
      <c r="A873" s="15">
        <f>Murid!A873</f>
        <v/>
      </c>
      <c r="B873" s="15">
        <f>IF(Murid!B873="","",Murid!B873)</f>
        <v/>
      </c>
      <c r="C873" s="16">
        <f>IF(Murid!C873="","",Murid!C873)</f>
        <v/>
      </c>
      <c r="D873" s="15">
        <f>IF(Murid!E873="","",Murid!E873)</f>
        <v/>
      </c>
      <c r="E873" s="17">
        <f>KP!X873</f>
        <v/>
      </c>
      <c r="F873" s="17">
        <f>UB!X873</f>
        <v/>
      </c>
      <c r="G873" s="17">
        <f>SP!X873</f>
        <v/>
      </c>
      <c r="H873" s="17">
        <f>IF(COUNT(E873:G873)=0,"",ROUND((LARGE(E873:G873,1)+IF(COUNT(E873:G873)&gt;=2,LARGE(E873:G873,2),0))/2,2))</f>
        <v/>
      </c>
      <c r="I873" s="10">
        <f>Ekstra!U873</f>
        <v/>
      </c>
      <c r="J873" s="18">
        <f>IF(B873="","",IF(Murid!F873="TL","TL",IF(H873="","",MIN(100,ROUND(H873+N(I873),2)))))</f>
        <v/>
      </c>
      <c r="K873" s="19">
        <f>IF(J873="","",IF(J873="TL","TL",IF(J873&gt;=80,"A",IF(J873&gt;=60,"B",IF(J873&gt;=40,"C",IF(J873&gt;=20,"D","E"))))))</f>
        <v/>
      </c>
      <c r="L873" s="15">
        <f>IF(K873="","",IF(K873="A","Cemerlang",IF(K873="B","Kepujian",IF(K873="C","Baik",IF(K873="D","Kurang Memuaskan",IF(K873="E","Tidak Memuaskan","Tidak Laksana"))))))</f>
        <v/>
      </c>
    </row>
    <row r="874">
      <c r="A874" s="15">
        <f>Murid!A874</f>
        <v/>
      </c>
      <c r="B874" s="15">
        <f>IF(Murid!B874="","",Murid!B874)</f>
        <v/>
      </c>
      <c r="C874" s="16">
        <f>IF(Murid!C874="","",Murid!C874)</f>
        <v/>
      </c>
      <c r="D874" s="15">
        <f>IF(Murid!E874="","",Murid!E874)</f>
        <v/>
      </c>
      <c r="E874" s="17">
        <f>KP!X874</f>
        <v/>
      </c>
      <c r="F874" s="17">
        <f>UB!X874</f>
        <v/>
      </c>
      <c r="G874" s="17">
        <f>SP!X874</f>
        <v/>
      </c>
      <c r="H874" s="17">
        <f>IF(COUNT(E874:G874)=0,"",ROUND((LARGE(E874:G874,1)+IF(COUNT(E874:G874)&gt;=2,LARGE(E874:G874,2),0))/2,2))</f>
        <v/>
      </c>
      <c r="I874" s="10">
        <f>Ekstra!U874</f>
        <v/>
      </c>
      <c r="J874" s="18">
        <f>IF(B874="","",IF(Murid!F874="TL","TL",IF(H874="","",MIN(100,ROUND(H874+N(I874),2)))))</f>
        <v/>
      </c>
      <c r="K874" s="19">
        <f>IF(J874="","",IF(J874="TL","TL",IF(J874&gt;=80,"A",IF(J874&gt;=60,"B",IF(J874&gt;=40,"C",IF(J874&gt;=20,"D","E"))))))</f>
        <v/>
      </c>
      <c r="L874" s="15">
        <f>IF(K874="","",IF(K874="A","Cemerlang",IF(K874="B","Kepujian",IF(K874="C","Baik",IF(K874="D","Kurang Memuaskan",IF(K874="E","Tidak Memuaskan","Tidak Laksana"))))))</f>
        <v/>
      </c>
    </row>
    <row r="875">
      <c r="A875" s="15">
        <f>Murid!A875</f>
        <v/>
      </c>
      <c r="B875" s="15">
        <f>IF(Murid!B875="","",Murid!B875)</f>
        <v/>
      </c>
      <c r="C875" s="16">
        <f>IF(Murid!C875="","",Murid!C875)</f>
        <v/>
      </c>
      <c r="D875" s="15">
        <f>IF(Murid!E875="","",Murid!E875)</f>
        <v/>
      </c>
      <c r="E875" s="17">
        <f>KP!X875</f>
        <v/>
      </c>
      <c r="F875" s="17">
        <f>UB!X875</f>
        <v/>
      </c>
      <c r="G875" s="17">
        <f>SP!X875</f>
        <v/>
      </c>
      <c r="H875" s="17">
        <f>IF(COUNT(E875:G875)=0,"",ROUND((LARGE(E875:G875,1)+IF(COUNT(E875:G875)&gt;=2,LARGE(E875:G875,2),0))/2,2))</f>
        <v/>
      </c>
      <c r="I875" s="10">
        <f>Ekstra!U875</f>
        <v/>
      </c>
      <c r="J875" s="18">
        <f>IF(B875="","",IF(Murid!F875="TL","TL",IF(H875="","",MIN(100,ROUND(H875+N(I875),2)))))</f>
        <v/>
      </c>
      <c r="K875" s="19">
        <f>IF(J875="","",IF(J875="TL","TL",IF(J875&gt;=80,"A",IF(J875&gt;=60,"B",IF(J875&gt;=40,"C",IF(J875&gt;=20,"D","E"))))))</f>
        <v/>
      </c>
      <c r="L875" s="15">
        <f>IF(K875="","",IF(K875="A","Cemerlang",IF(K875="B","Kepujian",IF(K875="C","Baik",IF(K875="D","Kurang Memuaskan",IF(K875="E","Tidak Memuaskan","Tidak Laksana"))))))</f>
        <v/>
      </c>
    </row>
    <row r="876">
      <c r="A876" s="15">
        <f>Murid!A876</f>
        <v/>
      </c>
      <c r="B876" s="15">
        <f>IF(Murid!B876="","",Murid!B876)</f>
        <v/>
      </c>
      <c r="C876" s="16">
        <f>IF(Murid!C876="","",Murid!C876)</f>
        <v/>
      </c>
      <c r="D876" s="15">
        <f>IF(Murid!E876="","",Murid!E876)</f>
        <v/>
      </c>
      <c r="E876" s="17">
        <f>KP!X876</f>
        <v/>
      </c>
      <c r="F876" s="17">
        <f>UB!X876</f>
        <v/>
      </c>
      <c r="G876" s="17">
        <f>SP!X876</f>
        <v/>
      </c>
      <c r="H876" s="17">
        <f>IF(COUNT(E876:G876)=0,"",ROUND((LARGE(E876:G876,1)+IF(COUNT(E876:G876)&gt;=2,LARGE(E876:G876,2),0))/2,2))</f>
        <v/>
      </c>
      <c r="I876" s="10">
        <f>Ekstra!U876</f>
        <v/>
      </c>
      <c r="J876" s="18">
        <f>IF(B876="","",IF(Murid!F876="TL","TL",IF(H876="","",MIN(100,ROUND(H876+N(I876),2)))))</f>
        <v/>
      </c>
      <c r="K876" s="19">
        <f>IF(J876="","",IF(J876="TL","TL",IF(J876&gt;=80,"A",IF(J876&gt;=60,"B",IF(J876&gt;=40,"C",IF(J876&gt;=20,"D","E"))))))</f>
        <v/>
      </c>
      <c r="L876" s="15">
        <f>IF(K876="","",IF(K876="A","Cemerlang",IF(K876="B","Kepujian",IF(K876="C","Baik",IF(K876="D","Kurang Memuaskan",IF(K876="E","Tidak Memuaskan","Tidak Laksana"))))))</f>
        <v/>
      </c>
    </row>
    <row r="877">
      <c r="A877" s="15">
        <f>Murid!A877</f>
        <v/>
      </c>
      <c r="B877" s="15">
        <f>IF(Murid!B877="","",Murid!B877)</f>
        <v/>
      </c>
      <c r="C877" s="16">
        <f>IF(Murid!C877="","",Murid!C877)</f>
        <v/>
      </c>
      <c r="D877" s="15">
        <f>IF(Murid!E877="","",Murid!E877)</f>
        <v/>
      </c>
      <c r="E877" s="17">
        <f>KP!X877</f>
        <v/>
      </c>
      <c r="F877" s="17">
        <f>UB!X877</f>
        <v/>
      </c>
      <c r="G877" s="17">
        <f>SP!X877</f>
        <v/>
      </c>
      <c r="H877" s="17">
        <f>IF(COUNT(E877:G877)=0,"",ROUND((LARGE(E877:G877,1)+IF(COUNT(E877:G877)&gt;=2,LARGE(E877:G877,2),0))/2,2))</f>
        <v/>
      </c>
      <c r="I877" s="10">
        <f>Ekstra!U877</f>
        <v/>
      </c>
      <c r="J877" s="18">
        <f>IF(B877="","",IF(Murid!F877="TL","TL",IF(H877="","",MIN(100,ROUND(H877+N(I877),2)))))</f>
        <v/>
      </c>
      <c r="K877" s="19">
        <f>IF(J877="","",IF(J877="TL","TL",IF(J877&gt;=80,"A",IF(J877&gt;=60,"B",IF(J877&gt;=40,"C",IF(J877&gt;=20,"D","E"))))))</f>
        <v/>
      </c>
      <c r="L877" s="15">
        <f>IF(K877="","",IF(K877="A","Cemerlang",IF(K877="B","Kepujian",IF(K877="C","Baik",IF(K877="D","Kurang Memuaskan",IF(K877="E","Tidak Memuaskan","Tidak Laksana"))))))</f>
        <v/>
      </c>
    </row>
    <row r="878">
      <c r="A878" s="15">
        <f>Murid!A878</f>
        <v/>
      </c>
      <c r="B878" s="15">
        <f>IF(Murid!B878="","",Murid!B878)</f>
        <v/>
      </c>
      <c r="C878" s="16">
        <f>IF(Murid!C878="","",Murid!C878)</f>
        <v/>
      </c>
      <c r="D878" s="15">
        <f>IF(Murid!E878="","",Murid!E878)</f>
        <v/>
      </c>
      <c r="E878" s="17">
        <f>KP!X878</f>
        <v/>
      </c>
      <c r="F878" s="17">
        <f>UB!X878</f>
        <v/>
      </c>
      <c r="G878" s="17">
        <f>SP!X878</f>
        <v/>
      </c>
      <c r="H878" s="17">
        <f>IF(COUNT(E878:G878)=0,"",ROUND((LARGE(E878:G878,1)+IF(COUNT(E878:G878)&gt;=2,LARGE(E878:G878,2),0))/2,2))</f>
        <v/>
      </c>
      <c r="I878" s="10">
        <f>Ekstra!U878</f>
        <v/>
      </c>
      <c r="J878" s="18">
        <f>IF(B878="","",IF(Murid!F878="TL","TL",IF(H878="","",MIN(100,ROUND(H878+N(I878),2)))))</f>
        <v/>
      </c>
      <c r="K878" s="19">
        <f>IF(J878="","",IF(J878="TL","TL",IF(J878&gt;=80,"A",IF(J878&gt;=60,"B",IF(J878&gt;=40,"C",IF(J878&gt;=20,"D","E"))))))</f>
        <v/>
      </c>
      <c r="L878" s="15">
        <f>IF(K878="","",IF(K878="A","Cemerlang",IF(K878="B","Kepujian",IF(K878="C","Baik",IF(K878="D","Kurang Memuaskan",IF(K878="E","Tidak Memuaskan","Tidak Laksana"))))))</f>
        <v/>
      </c>
    </row>
    <row r="879">
      <c r="A879" s="15">
        <f>Murid!A879</f>
        <v/>
      </c>
      <c r="B879" s="15">
        <f>IF(Murid!B879="","",Murid!B879)</f>
        <v/>
      </c>
      <c r="C879" s="16">
        <f>IF(Murid!C879="","",Murid!C879)</f>
        <v/>
      </c>
      <c r="D879" s="15">
        <f>IF(Murid!E879="","",Murid!E879)</f>
        <v/>
      </c>
      <c r="E879" s="17">
        <f>KP!X879</f>
        <v/>
      </c>
      <c r="F879" s="17">
        <f>UB!X879</f>
        <v/>
      </c>
      <c r="G879" s="17">
        <f>SP!X879</f>
        <v/>
      </c>
      <c r="H879" s="17">
        <f>IF(COUNT(E879:G879)=0,"",ROUND((LARGE(E879:G879,1)+IF(COUNT(E879:G879)&gt;=2,LARGE(E879:G879,2),0))/2,2))</f>
        <v/>
      </c>
      <c r="I879" s="10">
        <f>Ekstra!U879</f>
        <v/>
      </c>
      <c r="J879" s="18">
        <f>IF(B879="","",IF(Murid!F879="TL","TL",IF(H879="","",MIN(100,ROUND(H879+N(I879),2)))))</f>
        <v/>
      </c>
      <c r="K879" s="19">
        <f>IF(J879="","",IF(J879="TL","TL",IF(J879&gt;=80,"A",IF(J879&gt;=60,"B",IF(J879&gt;=40,"C",IF(J879&gt;=20,"D","E"))))))</f>
        <v/>
      </c>
      <c r="L879" s="15">
        <f>IF(K879="","",IF(K879="A","Cemerlang",IF(K879="B","Kepujian",IF(K879="C","Baik",IF(K879="D","Kurang Memuaskan",IF(K879="E","Tidak Memuaskan","Tidak Laksana"))))))</f>
        <v/>
      </c>
    </row>
    <row r="880">
      <c r="A880" s="15">
        <f>Murid!A880</f>
        <v/>
      </c>
      <c r="B880" s="15">
        <f>IF(Murid!B880="","",Murid!B880)</f>
        <v/>
      </c>
      <c r="C880" s="16">
        <f>IF(Murid!C880="","",Murid!C880)</f>
        <v/>
      </c>
      <c r="D880" s="15">
        <f>IF(Murid!E880="","",Murid!E880)</f>
        <v/>
      </c>
      <c r="E880" s="17">
        <f>KP!X880</f>
        <v/>
      </c>
      <c r="F880" s="17">
        <f>UB!X880</f>
        <v/>
      </c>
      <c r="G880" s="17">
        <f>SP!X880</f>
        <v/>
      </c>
      <c r="H880" s="17">
        <f>IF(COUNT(E880:G880)=0,"",ROUND((LARGE(E880:G880,1)+IF(COUNT(E880:G880)&gt;=2,LARGE(E880:G880,2),0))/2,2))</f>
        <v/>
      </c>
      <c r="I880" s="10">
        <f>Ekstra!U880</f>
        <v/>
      </c>
      <c r="J880" s="18">
        <f>IF(B880="","",IF(Murid!F880="TL","TL",IF(H880="","",MIN(100,ROUND(H880+N(I880),2)))))</f>
        <v/>
      </c>
      <c r="K880" s="19">
        <f>IF(J880="","",IF(J880="TL","TL",IF(J880&gt;=80,"A",IF(J880&gt;=60,"B",IF(J880&gt;=40,"C",IF(J880&gt;=20,"D","E"))))))</f>
        <v/>
      </c>
      <c r="L880" s="15">
        <f>IF(K880="","",IF(K880="A","Cemerlang",IF(K880="B","Kepujian",IF(K880="C","Baik",IF(K880="D","Kurang Memuaskan",IF(K880="E","Tidak Memuaskan","Tidak Laksana"))))))</f>
        <v/>
      </c>
    </row>
    <row r="881">
      <c r="A881" s="15">
        <f>Murid!A881</f>
        <v/>
      </c>
      <c r="B881" s="15">
        <f>IF(Murid!B881="","",Murid!B881)</f>
        <v/>
      </c>
      <c r="C881" s="16">
        <f>IF(Murid!C881="","",Murid!C881)</f>
        <v/>
      </c>
      <c r="D881" s="15">
        <f>IF(Murid!E881="","",Murid!E881)</f>
        <v/>
      </c>
      <c r="E881" s="17">
        <f>KP!X881</f>
        <v/>
      </c>
      <c r="F881" s="17">
        <f>UB!X881</f>
        <v/>
      </c>
      <c r="G881" s="17">
        <f>SP!X881</f>
        <v/>
      </c>
      <c r="H881" s="17">
        <f>IF(COUNT(E881:G881)=0,"",ROUND((LARGE(E881:G881,1)+IF(COUNT(E881:G881)&gt;=2,LARGE(E881:G881,2),0))/2,2))</f>
        <v/>
      </c>
      <c r="I881" s="10">
        <f>Ekstra!U881</f>
        <v/>
      </c>
      <c r="J881" s="18">
        <f>IF(B881="","",IF(Murid!F881="TL","TL",IF(H881="","",MIN(100,ROUND(H881+N(I881),2)))))</f>
        <v/>
      </c>
      <c r="K881" s="19">
        <f>IF(J881="","",IF(J881="TL","TL",IF(J881&gt;=80,"A",IF(J881&gt;=60,"B",IF(J881&gt;=40,"C",IF(J881&gt;=20,"D","E"))))))</f>
        <v/>
      </c>
      <c r="L881" s="15">
        <f>IF(K881="","",IF(K881="A","Cemerlang",IF(K881="B","Kepujian",IF(K881="C","Baik",IF(K881="D","Kurang Memuaskan",IF(K881="E","Tidak Memuaskan","Tidak Laksana"))))))</f>
        <v/>
      </c>
    </row>
    <row r="882">
      <c r="A882" s="15">
        <f>Murid!A882</f>
        <v/>
      </c>
      <c r="B882" s="15">
        <f>IF(Murid!B882="","",Murid!B882)</f>
        <v/>
      </c>
      <c r="C882" s="16">
        <f>IF(Murid!C882="","",Murid!C882)</f>
        <v/>
      </c>
      <c r="D882" s="15">
        <f>IF(Murid!E882="","",Murid!E882)</f>
        <v/>
      </c>
      <c r="E882" s="17">
        <f>KP!X882</f>
        <v/>
      </c>
      <c r="F882" s="17">
        <f>UB!X882</f>
        <v/>
      </c>
      <c r="G882" s="17">
        <f>SP!X882</f>
        <v/>
      </c>
      <c r="H882" s="17">
        <f>IF(COUNT(E882:G882)=0,"",ROUND((LARGE(E882:G882,1)+IF(COUNT(E882:G882)&gt;=2,LARGE(E882:G882,2),0))/2,2))</f>
        <v/>
      </c>
      <c r="I882" s="10">
        <f>Ekstra!U882</f>
        <v/>
      </c>
      <c r="J882" s="18">
        <f>IF(B882="","",IF(Murid!F882="TL","TL",IF(H882="","",MIN(100,ROUND(H882+N(I882),2)))))</f>
        <v/>
      </c>
      <c r="K882" s="19">
        <f>IF(J882="","",IF(J882="TL","TL",IF(J882&gt;=80,"A",IF(J882&gt;=60,"B",IF(J882&gt;=40,"C",IF(J882&gt;=20,"D","E"))))))</f>
        <v/>
      </c>
      <c r="L882" s="15">
        <f>IF(K882="","",IF(K882="A","Cemerlang",IF(K882="B","Kepujian",IF(K882="C","Baik",IF(K882="D","Kurang Memuaskan",IF(K882="E","Tidak Memuaskan","Tidak Laksana"))))))</f>
        <v/>
      </c>
    </row>
    <row r="883">
      <c r="A883" s="15">
        <f>Murid!A883</f>
        <v/>
      </c>
      <c r="B883" s="15">
        <f>IF(Murid!B883="","",Murid!B883)</f>
        <v/>
      </c>
      <c r="C883" s="16">
        <f>IF(Murid!C883="","",Murid!C883)</f>
        <v/>
      </c>
      <c r="D883" s="15">
        <f>IF(Murid!E883="","",Murid!E883)</f>
        <v/>
      </c>
      <c r="E883" s="17">
        <f>KP!X883</f>
        <v/>
      </c>
      <c r="F883" s="17">
        <f>UB!X883</f>
        <v/>
      </c>
      <c r="G883" s="17">
        <f>SP!X883</f>
        <v/>
      </c>
      <c r="H883" s="17">
        <f>IF(COUNT(E883:G883)=0,"",ROUND((LARGE(E883:G883,1)+IF(COUNT(E883:G883)&gt;=2,LARGE(E883:G883,2),0))/2,2))</f>
        <v/>
      </c>
      <c r="I883" s="10">
        <f>Ekstra!U883</f>
        <v/>
      </c>
      <c r="J883" s="18">
        <f>IF(B883="","",IF(Murid!F883="TL","TL",IF(H883="","",MIN(100,ROUND(H883+N(I883),2)))))</f>
        <v/>
      </c>
      <c r="K883" s="19">
        <f>IF(J883="","",IF(J883="TL","TL",IF(J883&gt;=80,"A",IF(J883&gt;=60,"B",IF(J883&gt;=40,"C",IF(J883&gt;=20,"D","E"))))))</f>
        <v/>
      </c>
      <c r="L883" s="15">
        <f>IF(K883="","",IF(K883="A","Cemerlang",IF(K883="B","Kepujian",IF(K883="C","Baik",IF(K883="D","Kurang Memuaskan",IF(K883="E","Tidak Memuaskan","Tidak Laksana"))))))</f>
        <v/>
      </c>
    </row>
    <row r="884">
      <c r="A884" s="15">
        <f>Murid!A884</f>
        <v/>
      </c>
      <c r="B884" s="15">
        <f>IF(Murid!B884="","",Murid!B884)</f>
        <v/>
      </c>
      <c r="C884" s="16">
        <f>IF(Murid!C884="","",Murid!C884)</f>
        <v/>
      </c>
      <c r="D884" s="15">
        <f>IF(Murid!E884="","",Murid!E884)</f>
        <v/>
      </c>
      <c r="E884" s="17">
        <f>KP!X884</f>
        <v/>
      </c>
      <c r="F884" s="17">
        <f>UB!X884</f>
        <v/>
      </c>
      <c r="G884" s="17">
        <f>SP!X884</f>
        <v/>
      </c>
      <c r="H884" s="17">
        <f>IF(COUNT(E884:G884)=0,"",ROUND((LARGE(E884:G884,1)+IF(COUNT(E884:G884)&gt;=2,LARGE(E884:G884,2),0))/2,2))</f>
        <v/>
      </c>
      <c r="I884" s="10">
        <f>Ekstra!U884</f>
        <v/>
      </c>
      <c r="J884" s="18">
        <f>IF(B884="","",IF(Murid!F884="TL","TL",IF(H884="","",MIN(100,ROUND(H884+N(I884),2)))))</f>
        <v/>
      </c>
      <c r="K884" s="19">
        <f>IF(J884="","",IF(J884="TL","TL",IF(J884&gt;=80,"A",IF(J884&gt;=60,"B",IF(J884&gt;=40,"C",IF(J884&gt;=20,"D","E"))))))</f>
        <v/>
      </c>
      <c r="L884" s="15">
        <f>IF(K884="","",IF(K884="A","Cemerlang",IF(K884="B","Kepujian",IF(K884="C","Baik",IF(K884="D","Kurang Memuaskan",IF(K884="E","Tidak Memuaskan","Tidak Laksana"))))))</f>
        <v/>
      </c>
    </row>
    <row r="885">
      <c r="A885" s="15">
        <f>Murid!A885</f>
        <v/>
      </c>
      <c r="B885" s="15">
        <f>IF(Murid!B885="","",Murid!B885)</f>
        <v/>
      </c>
      <c r="C885" s="16">
        <f>IF(Murid!C885="","",Murid!C885)</f>
        <v/>
      </c>
      <c r="D885" s="15">
        <f>IF(Murid!E885="","",Murid!E885)</f>
        <v/>
      </c>
      <c r="E885" s="17">
        <f>KP!X885</f>
        <v/>
      </c>
      <c r="F885" s="17">
        <f>UB!X885</f>
        <v/>
      </c>
      <c r="G885" s="17">
        <f>SP!X885</f>
        <v/>
      </c>
      <c r="H885" s="17">
        <f>IF(COUNT(E885:G885)=0,"",ROUND((LARGE(E885:G885,1)+IF(COUNT(E885:G885)&gt;=2,LARGE(E885:G885,2),0))/2,2))</f>
        <v/>
      </c>
      <c r="I885" s="10">
        <f>Ekstra!U885</f>
        <v/>
      </c>
      <c r="J885" s="18">
        <f>IF(B885="","",IF(Murid!F885="TL","TL",IF(H885="","",MIN(100,ROUND(H885+N(I885),2)))))</f>
        <v/>
      </c>
      <c r="K885" s="19">
        <f>IF(J885="","",IF(J885="TL","TL",IF(J885&gt;=80,"A",IF(J885&gt;=60,"B",IF(J885&gt;=40,"C",IF(J885&gt;=20,"D","E"))))))</f>
        <v/>
      </c>
      <c r="L885" s="15">
        <f>IF(K885="","",IF(K885="A","Cemerlang",IF(K885="B","Kepujian",IF(K885="C","Baik",IF(K885="D","Kurang Memuaskan",IF(K885="E","Tidak Memuaskan","Tidak Laksana"))))))</f>
        <v/>
      </c>
    </row>
    <row r="886">
      <c r="A886" s="15">
        <f>Murid!A886</f>
        <v/>
      </c>
      <c r="B886" s="15">
        <f>IF(Murid!B886="","",Murid!B886)</f>
        <v/>
      </c>
      <c r="C886" s="16">
        <f>IF(Murid!C886="","",Murid!C886)</f>
        <v/>
      </c>
      <c r="D886" s="15">
        <f>IF(Murid!E886="","",Murid!E886)</f>
        <v/>
      </c>
      <c r="E886" s="17">
        <f>KP!X886</f>
        <v/>
      </c>
      <c r="F886" s="17">
        <f>UB!X886</f>
        <v/>
      </c>
      <c r="G886" s="17">
        <f>SP!X886</f>
        <v/>
      </c>
      <c r="H886" s="17">
        <f>IF(COUNT(E886:G886)=0,"",ROUND((LARGE(E886:G886,1)+IF(COUNT(E886:G886)&gt;=2,LARGE(E886:G886,2),0))/2,2))</f>
        <v/>
      </c>
      <c r="I886" s="10">
        <f>Ekstra!U886</f>
        <v/>
      </c>
      <c r="J886" s="18">
        <f>IF(B886="","",IF(Murid!F886="TL","TL",IF(H886="","",MIN(100,ROUND(H886+N(I886),2)))))</f>
        <v/>
      </c>
      <c r="K886" s="19">
        <f>IF(J886="","",IF(J886="TL","TL",IF(J886&gt;=80,"A",IF(J886&gt;=60,"B",IF(J886&gt;=40,"C",IF(J886&gt;=20,"D","E"))))))</f>
        <v/>
      </c>
      <c r="L886" s="15">
        <f>IF(K886="","",IF(K886="A","Cemerlang",IF(K886="B","Kepujian",IF(K886="C","Baik",IF(K886="D","Kurang Memuaskan",IF(K886="E","Tidak Memuaskan","Tidak Laksana"))))))</f>
        <v/>
      </c>
    </row>
    <row r="887">
      <c r="A887" s="15">
        <f>Murid!A887</f>
        <v/>
      </c>
      <c r="B887" s="15">
        <f>IF(Murid!B887="","",Murid!B887)</f>
        <v/>
      </c>
      <c r="C887" s="16">
        <f>IF(Murid!C887="","",Murid!C887)</f>
        <v/>
      </c>
      <c r="D887" s="15">
        <f>IF(Murid!E887="","",Murid!E887)</f>
        <v/>
      </c>
      <c r="E887" s="17">
        <f>KP!X887</f>
        <v/>
      </c>
      <c r="F887" s="17">
        <f>UB!X887</f>
        <v/>
      </c>
      <c r="G887" s="17">
        <f>SP!X887</f>
        <v/>
      </c>
      <c r="H887" s="17">
        <f>IF(COUNT(E887:G887)=0,"",ROUND((LARGE(E887:G887,1)+IF(COUNT(E887:G887)&gt;=2,LARGE(E887:G887,2),0))/2,2))</f>
        <v/>
      </c>
      <c r="I887" s="10">
        <f>Ekstra!U887</f>
        <v/>
      </c>
      <c r="J887" s="18">
        <f>IF(B887="","",IF(Murid!F887="TL","TL",IF(H887="","",MIN(100,ROUND(H887+N(I887),2)))))</f>
        <v/>
      </c>
      <c r="K887" s="19">
        <f>IF(J887="","",IF(J887="TL","TL",IF(J887&gt;=80,"A",IF(J887&gt;=60,"B",IF(J887&gt;=40,"C",IF(J887&gt;=20,"D","E"))))))</f>
        <v/>
      </c>
      <c r="L887" s="15">
        <f>IF(K887="","",IF(K887="A","Cemerlang",IF(K887="B","Kepujian",IF(K887="C","Baik",IF(K887="D","Kurang Memuaskan",IF(K887="E","Tidak Memuaskan","Tidak Laksana"))))))</f>
        <v/>
      </c>
    </row>
    <row r="888">
      <c r="A888" s="15">
        <f>Murid!A888</f>
        <v/>
      </c>
      <c r="B888" s="15">
        <f>IF(Murid!B888="","",Murid!B888)</f>
        <v/>
      </c>
      <c r="C888" s="16">
        <f>IF(Murid!C888="","",Murid!C888)</f>
        <v/>
      </c>
      <c r="D888" s="15">
        <f>IF(Murid!E888="","",Murid!E888)</f>
        <v/>
      </c>
      <c r="E888" s="17">
        <f>KP!X888</f>
        <v/>
      </c>
      <c r="F888" s="17">
        <f>UB!X888</f>
        <v/>
      </c>
      <c r="G888" s="17">
        <f>SP!X888</f>
        <v/>
      </c>
      <c r="H888" s="17">
        <f>IF(COUNT(E888:G888)=0,"",ROUND((LARGE(E888:G888,1)+IF(COUNT(E888:G888)&gt;=2,LARGE(E888:G888,2),0))/2,2))</f>
        <v/>
      </c>
      <c r="I888" s="10">
        <f>Ekstra!U888</f>
        <v/>
      </c>
      <c r="J888" s="18">
        <f>IF(B888="","",IF(Murid!F888="TL","TL",IF(H888="","",MIN(100,ROUND(H888+N(I888),2)))))</f>
        <v/>
      </c>
      <c r="K888" s="19">
        <f>IF(J888="","",IF(J888="TL","TL",IF(J888&gt;=80,"A",IF(J888&gt;=60,"B",IF(J888&gt;=40,"C",IF(J888&gt;=20,"D","E"))))))</f>
        <v/>
      </c>
      <c r="L888" s="15">
        <f>IF(K888="","",IF(K888="A","Cemerlang",IF(K888="B","Kepujian",IF(K888="C","Baik",IF(K888="D","Kurang Memuaskan",IF(K888="E","Tidak Memuaskan","Tidak Laksana"))))))</f>
        <v/>
      </c>
    </row>
    <row r="889">
      <c r="A889" s="15">
        <f>Murid!A889</f>
        <v/>
      </c>
      <c r="B889" s="15">
        <f>IF(Murid!B889="","",Murid!B889)</f>
        <v/>
      </c>
      <c r="C889" s="16">
        <f>IF(Murid!C889="","",Murid!C889)</f>
        <v/>
      </c>
      <c r="D889" s="15">
        <f>IF(Murid!E889="","",Murid!E889)</f>
        <v/>
      </c>
      <c r="E889" s="17">
        <f>KP!X889</f>
        <v/>
      </c>
      <c r="F889" s="17">
        <f>UB!X889</f>
        <v/>
      </c>
      <c r="G889" s="17">
        <f>SP!X889</f>
        <v/>
      </c>
      <c r="H889" s="17">
        <f>IF(COUNT(E889:G889)=0,"",ROUND((LARGE(E889:G889,1)+IF(COUNT(E889:G889)&gt;=2,LARGE(E889:G889,2),0))/2,2))</f>
        <v/>
      </c>
      <c r="I889" s="10">
        <f>Ekstra!U889</f>
        <v/>
      </c>
      <c r="J889" s="18">
        <f>IF(B889="","",IF(Murid!F889="TL","TL",IF(H889="","",MIN(100,ROUND(H889+N(I889),2)))))</f>
        <v/>
      </c>
      <c r="K889" s="19">
        <f>IF(J889="","",IF(J889="TL","TL",IF(J889&gt;=80,"A",IF(J889&gt;=60,"B",IF(J889&gt;=40,"C",IF(J889&gt;=20,"D","E"))))))</f>
        <v/>
      </c>
      <c r="L889" s="15">
        <f>IF(K889="","",IF(K889="A","Cemerlang",IF(K889="B","Kepujian",IF(K889="C","Baik",IF(K889="D","Kurang Memuaskan",IF(K889="E","Tidak Memuaskan","Tidak Laksana"))))))</f>
        <v/>
      </c>
    </row>
    <row r="890">
      <c r="A890" s="15">
        <f>Murid!A890</f>
        <v/>
      </c>
      <c r="B890" s="15">
        <f>IF(Murid!B890="","",Murid!B890)</f>
        <v/>
      </c>
      <c r="C890" s="16">
        <f>IF(Murid!C890="","",Murid!C890)</f>
        <v/>
      </c>
      <c r="D890" s="15">
        <f>IF(Murid!E890="","",Murid!E890)</f>
        <v/>
      </c>
      <c r="E890" s="17">
        <f>KP!X890</f>
        <v/>
      </c>
      <c r="F890" s="17">
        <f>UB!X890</f>
        <v/>
      </c>
      <c r="G890" s="17">
        <f>SP!X890</f>
        <v/>
      </c>
      <c r="H890" s="17">
        <f>IF(COUNT(E890:G890)=0,"",ROUND((LARGE(E890:G890,1)+IF(COUNT(E890:G890)&gt;=2,LARGE(E890:G890,2),0))/2,2))</f>
        <v/>
      </c>
      <c r="I890" s="10">
        <f>Ekstra!U890</f>
        <v/>
      </c>
      <c r="J890" s="18">
        <f>IF(B890="","",IF(Murid!F890="TL","TL",IF(H890="","",MIN(100,ROUND(H890+N(I890),2)))))</f>
        <v/>
      </c>
      <c r="K890" s="19">
        <f>IF(J890="","",IF(J890="TL","TL",IF(J890&gt;=80,"A",IF(J890&gt;=60,"B",IF(J890&gt;=40,"C",IF(J890&gt;=20,"D","E"))))))</f>
        <v/>
      </c>
      <c r="L890" s="15">
        <f>IF(K890="","",IF(K890="A","Cemerlang",IF(K890="B","Kepujian",IF(K890="C","Baik",IF(K890="D","Kurang Memuaskan",IF(K890="E","Tidak Memuaskan","Tidak Laksana"))))))</f>
        <v/>
      </c>
    </row>
    <row r="891">
      <c r="A891" s="15">
        <f>Murid!A891</f>
        <v/>
      </c>
      <c r="B891" s="15">
        <f>IF(Murid!B891="","",Murid!B891)</f>
        <v/>
      </c>
      <c r="C891" s="16">
        <f>IF(Murid!C891="","",Murid!C891)</f>
        <v/>
      </c>
      <c r="D891" s="15">
        <f>IF(Murid!E891="","",Murid!E891)</f>
        <v/>
      </c>
      <c r="E891" s="17">
        <f>KP!X891</f>
        <v/>
      </c>
      <c r="F891" s="17">
        <f>UB!X891</f>
        <v/>
      </c>
      <c r="G891" s="17">
        <f>SP!X891</f>
        <v/>
      </c>
      <c r="H891" s="17">
        <f>IF(COUNT(E891:G891)=0,"",ROUND((LARGE(E891:G891,1)+IF(COUNT(E891:G891)&gt;=2,LARGE(E891:G891,2),0))/2,2))</f>
        <v/>
      </c>
      <c r="I891" s="10">
        <f>Ekstra!U891</f>
        <v/>
      </c>
      <c r="J891" s="18">
        <f>IF(B891="","",IF(Murid!F891="TL","TL",IF(H891="","",MIN(100,ROUND(H891+N(I891),2)))))</f>
        <v/>
      </c>
      <c r="K891" s="19">
        <f>IF(J891="","",IF(J891="TL","TL",IF(J891&gt;=80,"A",IF(J891&gt;=60,"B",IF(J891&gt;=40,"C",IF(J891&gt;=20,"D","E"))))))</f>
        <v/>
      </c>
      <c r="L891" s="15">
        <f>IF(K891="","",IF(K891="A","Cemerlang",IF(K891="B","Kepujian",IF(K891="C","Baik",IF(K891="D","Kurang Memuaskan",IF(K891="E","Tidak Memuaskan","Tidak Laksana"))))))</f>
        <v/>
      </c>
    </row>
    <row r="892">
      <c r="A892" s="15">
        <f>Murid!A892</f>
        <v/>
      </c>
      <c r="B892" s="15">
        <f>IF(Murid!B892="","",Murid!B892)</f>
        <v/>
      </c>
      <c r="C892" s="16">
        <f>IF(Murid!C892="","",Murid!C892)</f>
        <v/>
      </c>
      <c r="D892" s="15">
        <f>IF(Murid!E892="","",Murid!E892)</f>
        <v/>
      </c>
      <c r="E892" s="17">
        <f>KP!X892</f>
        <v/>
      </c>
      <c r="F892" s="17">
        <f>UB!X892</f>
        <v/>
      </c>
      <c r="G892" s="17">
        <f>SP!X892</f>
        <v/>
      </c>
      <c r="H892" s="17">
        <f>IF(COUNT(E892:G892)=0,"",ROUND((LARGE(E892:G892,1)+IF(COUNT(E892:G892)&gt;=2,LARGE(E892:G892,2),0))/2,2))</f>
        <v/>
      </c>
      <c r="I892" s="10">
        <f>Ekstra!U892</f>
        <v/>
      </c>
      <c r="J892" s="18">
        <f>IF(B892="","",IF(Murid!F892="TL","TL",IF(H892="","",MIN(100,ROUND(H892+N(I892),2)))))</f>
        <v/>
      </c>
      <c r="K892" s="19">
        <f>IF(J892="","",IF(J892="TL","TL",IF(J892&gt;=80,"A",IF(J892&gt;=60,"B",IF(J892&gt;=40,"C",IF(J892&gt;=20,"D","E"))))))</f>
        <v/>
      </c>
      <c r="L892" s="15">
        <f>IF(K892="","",IF(K892="A","Cemerlang",IF(K892="B","Kepujian",IF(K892="C","Baik",IF(K892="D","Kurang Memuaskan",IF(K892="E","Tidak Memuaskan","Tidak Laksana"))))))</f>
        <v/>
      </c>
    </row>
    <row r="893">
      <c r="A893" s="15">
        <f>Murid!A893</f>
        <v/>
      </c>
      <c r="B893" s="15">
        <f>IF(Murid!B893="","",Murid!B893)</f>
        <v/>
      </c>
      <c r="C893" s="16">
        <f>IF(Murid!C893="","",Murid!C893)</f>
        <v/>
      </c>
      <c r="D893" s="15">
        <f>IF(Murid!E893="","",Murid!E893)</f>
        <v/>
      </c>
      <c r="E893" s="17">
        <f>KP!X893</f>
        <v/>
      </c>
      <c r="F893" s="17">
        <f>UB!X893</f>
        <v/>
      </c>
      <c r="G893" s="17">
        <f>SP!X893</f>
        <v/>
      </c>
      <c r="H893" s="17">
        <f>IF(COUNT(E893:G893)=0,"",ROUND((LARGE(E893:G893,1)+IF(COUNT(E893:G893)&gt;=2,LARGE(E893:G893,2),0))/2,2))</f>
        <v/>
      </c>
      <c r="I893" s="10">
        <f>Ekstra!U893</f>
        <v/>
      </c>
      <c r="J893" s="18">
        <f>IF(B893="","",IF(Murid!F893="TL","TL",IF(H893="","",MIN(100,ROUND(H893+N(I893),2)))))</f>
        <v/>
      </c>
      <c r="K893" s="19">
        <f>IF(J893="","",IF(J893="TL","TL",IF(J893&gt;=80,"A",IF(J893&gt;=60,"B",IF(J893&gt;=40,"C",IF(J893&gt;=20,"D","E"))))))</f>
        <v/>
      </c>
      <c r="L893" s="15">
        <f>IF(K893="","",IF(K893="A","Cemerlang",IF(K893="B","Kepujian",IF(K893="C","Baik",IF(K893="D","Kurang Memuaskan",IF(K893="E","Tidak Memuaskan","Tidak Laksana"))))))</f>
        <v/>
      </c>
    </row>
    <row r="894">
      <c r="A894" s="15">
        <f>Murid!A894</f>
        <v/>
      </c>
      <c r="B894" s="15">
        <f>IF(Murid!B894="","",Murid!B894)</f>
        <v/>
      </c>
      <c r="C894" s="16">
        <f>IF(Murid!C894="","",Murid!C894)</f>
        <v/>
      </c>
      <c r="D894" s="15">
        <f>IF(Murid!E894="","",Murid!E894)</f>
        <v/>
      </c>
      <c r="E894" s="17">
        <f>KP!X894</f>
        <v/>
      </c>
      <c r="F894" s="17">
        <f>UB!X894</f>
        <v/>
      </c>
      <c r="G894" s="17">
        <f>SP!X894</f>
        <v/>
      </c>
      <c r="H894" s="17">
        <f>IF(COUNT(E894:G894)=0,"",ROUND((LARGE(E894:G894,1)+IF(COUNT(E894:G894)&gt;=2,LARGE(E894:G894,2),0))/2,2))</f>
        <v/>
      </c>
      <c r="I894" s="10">
        <f>Ekstra!U894</f>
        <v/>
      </c>
      <c r="J894" s="18">
        <f>IF(B894="","",IF(Murid!F894="TL","TL",IF(H894="","",MIN(100,ROUND(H894+N(I894),2)))))</f>
        <v/>
      </c>
      <c r="K894" s="19">
        <f>IF(J894="","",IF(J894="TL","TL",IF(J894&gt;=80,"A",IF(J894&gt;=60,"B",IF(J894&gt;=40,"C",IF(J894&gt;=20,"D","E"))))))</f>
        <v/>
      </c>
      <c r="L894" s="15">
        <f>IF(K894="","",IF(K894="A","Cemerlang",IF(K894="B","Kepujian",IF(K894="C","Baik",IF(K894="D","Kurang Memuaskan",IF(K894="E","Tidak Memuaskan","Tidak Laksana"))))))</f>
        <v/>
      </c>
    </row>
    <row r="895">
      <c r="A895" s="15">
        <f>Murid!A895</f>
        <v/>
      </c>
      <c r="B895" s="15">
        <f>IF(Murid!B895="","",Murid!B895)</f>
        <v/>
      </c>
      <c r="C895" s="16">
        <f>IF(Murid!C895="","",Murid!C895)</f>
        <v/>
      </c>
      <c r="D895" s="15">
        <f>IF(Murid!E895="","",Murid!E895)</f>
        <v/>
      </c>
      <c r="E895" s="17">
        <f>KP!X895</f>
        <v/>
      </c>
      <c r="F895" s="17">
        <f>UB!X895</f>
        <v/>
      </c>
      <c r="G895" s="17">
        <f>SP!X895</f>
        <v/>
      </c>
      <c r="H895" s="17">
        <f>IF(COUNT(E895:G895)=0,"",ROUND((LARGE(E895:G895,1)+IF(COUNT(E895:G895)&gt;=2,LARGE(E895:G895,2),0))/2,2))</f>
        <v/>
      </c>
      <c r="I895" s="10">
        <f>Ekstra!U895</f>
        <v/>
      </c>
      <c r="J895" s="18">
        <f>IF(B895="","",IF(Murid!F895="TL","TL",IF(H895="","",MIN(100,ROUND(H895+N(I895),2)))))</f>
        <v/>
      </c>
      <c r="K895" s="19">
        <f>IF(J895="","",IF(J895="TL","TL",IF(J895&gt;=80,"A",IF(J895&gt;=60,"B",IF(J895&gt;=40,"C",IF(J895&gt;=20,"D","E"))))))</f>
        <v/>
      </c>
      <c r="L895" s="15">
        <f>IF(K895="","",IF(K895="A","Cemerlang",IF(K895="B","Kepujian",IF(K895="C","Baik",IF(K895="D","Kurang Memuaskan",IF(K895="E","Tidak Memuaskan","Tidak Laksana"))))))</f>
        <v/>
      </c>
    </row>
    <row r="896">
      <c r="A896" s="15">
        <f>Murid!A896</f>
        <v/>
      </c>
      <c r="B896" s="15">
        <f>IF(Murid!B896="","",Murid!B896)</f>
        <v/>
      </c>
      <c r="C896" s="16">
        <f>IF(Murid!C896="","",Murid!C896)</f>
        <v/>
      </c>
      <c r="D896" s="15">
        <f>IF(Murid!E896="","",Murid!E896)</f>
        <v/>
      </c>
      <c r="E896" s="17">
        <f>KP!X896</f>
        <v/>
      </c>
      <c r="F896" s="17">
        <f>UB!X896</f>
        <v/>
      </c>
      <c r="G896" s="17">
        <f>SP!X896</f>
        <v/>
      </c>
      <c r="H896" s="17">
        <f>IF(COUNT(E896:G896)=0,"",ROUND((LARGE(E896:G896,1)+IF(COUNT(E896:G896)&gt;=2,LARGE(E896:G896,2),0))/2,2))</f>
        <v/>
      </c>
      <c r="I896" s="10">
        <f>Ekstra!U896</f>
        <v/>
      </c>
      <c r="J896" s="18">
        <f>IF(B896="","",IF(Murid!F896="TL","TL",IF(H896="","",MIN(100,ROUND(H896+N(I896),2)))))</f>
        <v/>
      </c>
      <c r="K896" s="19">
        <f>IF(J896="","",IF(J896="TL","TL",IF(J896&gt;=80,"A",IF(J896&gt;=60,"B",IF(J896&gt;=40,"C",IF(J896&gt;=20,"D","E"))))))</f>
        <v/>
      </c>
      <c r="L896" s="15">
        <f>IF(K896="","",IF(K896="A","Cemerlang",IF(K896="B","Kepujian",IF(K896="C","Baik",IF(K896="D","Kurang Memuaskan",IF(K896="E","Tidak Memuaskan","Tidak Laksana"))))))</f>
        <v/>
      </c>
    </row>
    <row r="897">
      <c r="A897" s="15">
        <f>Murid!A897</f>
        <v/>
      </c>
      <c r="B897" s="15">
        <f>IF(Murid!B897="","",Murid!B897)</f>
        <v/>
      </c>
      <c r="C897" s="16">
        <f>IF(Murid!C897="","",Murid!C897)</f>
        <v/>
      </c>
      <c r="D897" s="15">
        <f>IF(Murid!E897="","",Murid!E897)</f>
        <v/>
      </c>
      <c r="E897" s="17">
        <f>KP!X897</f>
        <v/>
      </c>
      <c r="F897" s="17">
        <f>UB!X897</f>
        <v/>
      </c>
      <c r="G897" s="17">
        <f>SP!X897</f>
        <v/>
      </c>
      <c r="H897" s="17">
        <f>IF(COUNT(E897:G897)=0,"",ROUND((LARGE(E897:G897,1)+IF(COUNT(E897:G897)&gt;=2,LARGE(E897:G897,2),0))/2,2))</f>
        <v/>
      </c>
      <c r="I897" s="10">
        <f>Ekstra!U897</f>
        <v/>
      </c>
      <c r="J897" s="18">
        <f>IF(B897="","",IF(Murid!F897="TL","TL",IF(H897="","",MIN(100,ROUND(H897+N(I897),2)))))</f>
        <v/>
      </c>
      <c r="K897" s="19">
        <f>IF(J897="","",IF(J897="TL","TL",IF(J897&gt;=80,"A",IF(J897&gt;=60,"B",IF(J897&gt;=40,"C",IF(J897&gt;=20,"D","E"))))))</f>
        <v/>
      </c>
      <c r="L897" s="15">
        <f>IF(K897="","",IF(K897="A","Cemerlang",IF(K897="B","Kepujian",IF(K897="C","Baik",IF(K897="D","Kurang Memuaskan",IF(K897="E","Tidak Memuaskan","Tidak Laksana"))))))</f>
        <v/>
      </c>
    </row>
    <row r="898">
      <c r="A898" s="15">
        <f>Murid!A898</f>
        <v/>
      </c>
      <c r="B898" s="15">
        <f>IF(Murid!B898="","",Murid!B898)</f>
        <v/>
      </c>
      <c r="C898" s="16">
        <f>IF(Murid!C898="","",Murid!C898)</f>
        <v/>
      </c>
      <c r="D898" s="15">
        <f>IF(Murid!E898="","",Murid!E898)</f>
        <v/>
      </c>
      <c r="E898" s="17">
        <f>KP!X898</f>
        <v/>
      </c>
      <c r="F898" s="17">
        <f>UB!X898</f>
        <v/>
      </c>
      <c r="G898" s="17">
        <f>SP!X898</f>
        <v/>
      </c>
      <c r="H898" s="17">
        <f>IF(COUNT(E898:G898)=0,"",ROUND((LARGE(E898:G898,1)+IF(COUNT(E898:G898)&gt;=2,LARGE(E898:G898,2),0))/2,2))</f>
        <v/>
      </c>
      <c r="I898" s="10">
        <f>Ekstra!U898</f>
        <v/>
      </c>
      <c r="J898" s="18">
        <f>IF(B898="","",IF(Murid!F898="TL","TL",IF(H898="","",MIN(100,ROUND(H898+N(I898),2)))))</f>
        <v/>
      </c>
      <c r="K898" s="19">
        <f>IF(J898="","",IF(J898="TL","TL",IF(J898&gt;=80,"A",IF(J898&gt;=60,"B",IF(J898&gt;=40,"C",IF(J898&gt;=20,"D","E"))))))</f>
        <v/>
      </c>
      <c r="L898" s="15">
        <f>IF(K898="","",IF(K898="A","Cemerlang",IF(K898="B","Kepujian",IF(K898="C","Baik",IF(K898="D","Kurang Memuaskan",IF(K898="E","Tidak Memuaskan","Tidak Laksana"))))))</f>
        <v/>
      </c>
    </row>
    <row r="899">
      <c r="A899" s="15">
        <f>Murid!A899</f>
        <v/>
      </c>
      <c r="B899" s="15">
        <f>IF(Murid!B899="","",Murid!B899)</f>
        <v/>
      </c>
      <c r="C899" s="16">
        <f>IF(Murid!C899="","",Murid!C899)</f>
        <v/>
      </c>
      <c r="D899" s="15">
        <f>IF(Murid!E899="","",Murid!E899)</f>
        <v/>
      </c>
      <c r="E899" s="17">
        <f>KP!X899</f>
        <v/>
      </c>
      <c r="F899" s="17">
        <f>UB!X899</f>
        <v/>
      </c>
      <c r="G899" s="17">
        <f>SP!X899</f>
        <v/>
      </c>
      <c r="H899" s="17">
        <f>IF(COUNT(E899:G899)=0,"",ROUND((LARGE(E899:G899,1)+IF(COUNT(E899:G899)&gt;=2,LARGE(E899:G899,2),0))/2,2))</f>
        <v/>
      </c>
      <c r="I899" s="10">
        <f>Ekstra!U899</f>
        <v/>
      </c>
      <c r="J899" s="18">
        <f>IF(B899="","",IF(Murid!F899="TL","TL",IF(H899="","",MIN(100,ROUND(H899+N(I899),2)))))</f>
        <v/>
      </c>
      <c r="K899" s="19">
        <f>IF(J899="","",IF(J899="TL","TL",IF(J899&gt;=80,"A",IF(J899&gt;=60,"B",IF(J899&gt;=40,"C",IF(J899&gt;=20,"D","E"))))))</f>
        <v/>
      </c>
      <c r="L899" s="15">
        <f>IF(K899="","",IF(K899="A","Cemerlang",IF(K899="B","Kepujian",IF(K899="C","Baik",IF(K899="D","Kurang Memuaskan",IF(K899="E","Tidak Memuaskan","Tidak Laksana"))))))</f>
        <v/>
      </c>
    </row>
    <row r="900">
      <c r="A900" s="15">
        <f>Murid!A900</f>
        <v/>
      </c>
      <c r="B900" s="15">
        <f>IF(Murid!B900="","",Murid!B900)</f>
        <v/>
      </c>
      <c r="C900" s="16">
        <f>IF(Murid!C900="","",Murid!C900)</f>
        <v/>
      </c>
      <c r="D900" s="15">
        <f>IF(Murid!E900="","",Murid!E900)</f>
        <v/>
      </c>
      <c r="E900" s="17">
        <f>KP!X900</f>
        <v/>
      </c>
      <c r="F900" s="17">
        <f>UB!X900</f>
        <v/>
      </c>
      <c r="G900" s="17">
        <f>SP!X900</f>
        <v/>
      </c>
      <c r="H900" s="17">
        <f>IF(COUNT(E900:G900)=0,"",ROUND((LARGE(E900:G900,1)+IF(COUNT(E900:G900)&gt;=2,LARGE(E900:G900,2),0))/2,2))</f>
        <v/>
      </c>
      <c r="I900" s="10">
        <f>Ekstra!U900</f>
        <v/>
      </c>
      <c r="J900" s="18">
        <f>IF(B900="","",IF(Murid!F900="TL","TL",IF(H900="","",MIN(100,ROUND(H900+N(I900),2)))))</f>
        <v/>
      </c>
      <c r="K900" s="19">
        <f>IF(J900="","",IF(J900="TL","TL",IF(J900&gt;=80,"A",IF(J900&gt;=60,"B",IF(J900&gt;=40,"C",IF(J900&gt;=20,"D","E"))))))</f>
        <v/>
      </c>
      <c r="L900" s="15">
        <f>IF(K900="","",IF(K900="A","Cemerlang",IF(K900="B","Kepujian",IF(K900="C","Baik",IF(K900="D","Kurang Memuaskan",IF(K900="E","Tidak Memuaskan","Tidak Laksana"))))))</f>
        <v/>
      </c>
    </row>
    <row r="901">
      <c r="A901" s="15">
        <f>Murid!A901</f>
        <v/>
      </c>
      <c r="B901" s="15">
        <f>IF(Murid!B901="","",Murid!B901)</f>
        <v/>
      </c>
      <c r="C901" s="16">
        <f>IF(Murid!C901="","",Murid!C901)</f>
        <v/>
      </c>
      <c r="D901" s="15">
        <f>IF(Murid!E901="","",Murid!E901)</f>
        <v/>
      </c>
      <c r="E901" s="17">
        <f>KP!X901</f>
        <v/>
      </c>
      <c r="F901" s="17">
        <f>UB!X901</f>
        <v/>
      </c>
      <c r="G901" s="17">
        <f>SP!X901</f>
        <v/>
      </c>
      <c r="H901" s="17">
        <f>IF(COUNT(E901:G901)=0,"",ROUND((LARGE(E901:G901,1)+IF(COUNT(E901:G901)&gt;=2,LARGE(E901:G901,2),0))/2,2))</f>
        <v/>
      </c>
      <c r="I901" s="10">
        <f>Ekstra!U901</f>
        <v/>
      </c>
      <c r="J901" s="18">
        <f>IF(B901="","",IF(Murid!F901="TL","TL",IF(H901="","",MIN(100,ROUND(H901+N(I901),2)))))</f>
        <v/>
      </c>
      <c r="K901" s="19">
        <f>IF(J901="","",IF(J901="TL","TL",IF(J901&gt;=80,"A",IF(J901&gt;=60,"B",IF(J901&gt;=40,"C",IF(J901&gt;=20,"D","E"))))))</f>
        <v/>
      </c>
      <c r="L901" s="15">
        <f>IF(K901="","",IF(K901="A","Cemerlang",IF(K901="B","Kepujian",IF(K901="C","Baik",IF(K901="D","Kurang Memuaskan",IF(K901="E","Tidak Memuaskan","Tidak Laksana"))))))</f>
        <v/>
      </c>
    </row>
    <row r="902">
      <c r="A902" s="15">
        <f>Murid!A902</f>
        <v/>
      </c>
      <c r="B902" s="15">
        <f>IF(Murid!B902="","",Murid!B902)</f>
        <v/>
      </c>
      <c r="C902" s="16">
        <f>IF(Murid!C902="","",Murid!C902)</f>
        <v/>
      </c>
      <c r="D902" s="15">
        <f>IF(Murid!E902="","",Murid!E902)</f>
        <v/>
      </c>
      <c r="E902" s="17">
        <f>KP!X902</f>
        <v/>
      </c>
      <c r="F902" s="17">
        <f>UB!X902</f>
        <v/>
      </c>
      <c r="G902" s="17">
        <f>SP!X902</f>
        <v/>
      </c>
      <c r="H902" s="17">
        <f>IF(COUNT(E902:G902)=0,"",ROUND((LARGE(E902:G902,1)+IF(COUNT(E902:G902)&gt;=2,LARGE(E902:G902,2),0))/2,2))</f>
        <v/>
      </c>
      <c r="I902" s="10">
        <f>Ekstra!U902</f>
        <v/>
      </c>
      <c r="J902" s="18">
        <f>IF(B902="","",IF(Murid!F902="TL","TL",IF(H902="","",MIN(100,ROUND(H902+N(I902),2)))))</f>
        <v/>
      </c>
      <c r="K902" s="19">
        <f>IF(J902="","",IF(J902="TL","TL",IF(J902&gt;=80,"A",IF(J902&gt;=60,"B",IF(J902&gt;=40,"C",IF(J902&gt;=20,"D","E"))))))</f>
        <v/>
      </c>
      <c r="L902" s="15">
        <f>IF(K902="","",IF(K902="A","Cemerlang",IF(K902="B","Kepujian",IF(K902="C","Baik",IF(K902="D","Kurang Memuaskan",IF(K902="E","Tidak Memuaskan","Tidak Laksana"))))))</f>
        <v/>
      </c>
    </row>
    <row r="903">
      <c r="A903" s="15">
        <f>Murid!A903</f>
        <v/>
      </c>
      <c r="B903" s="15">
        <f>IF(Murid!B903="","",Murid!B903)</f>
        <v/>
      </c>
      <c r="C903" s="16">
        <f>IF(Murid!C903="","",Murid!C903)</f>
        <v/>
      </c>
      <c r="D903" s="15">
        <f>IF(Murid!E903="","",Murid!E903)</f>
        <v/>
      </c>
      <c r="E903" s="17">
        <f>KP!X903</f>
        <v/>
      </c>
      <c r="F903" s="17">
        <f>UB!X903</f>
        <v/>
      </c>
      <c r="G903" s="17">
        <f>SP!X903</f>
        <v/>
      </c>
      <c r="H903" s="17">
        <f>IF(COUNT(E903:G903)=0,"",ROUND((LARGE(E903:G903,1)+IF(COUNT(E903:G903)&gt;=2,LARGE(E903:G903,2),0))/2,2))</f>
        <v/>
      </c>
      <c r="I903" s="10">
        <f>Ekstra!U903</f>
        <v/>
      </c>
      <c r="J903" s="18">
        <f>IF(B903="","",IF(Murid!F903="TL","TL",IF(H903="","",MIN(100,ROUND(H903+N(I903),2)))))</f>
        <v/>
      </c>
      <c r="K903" s="19">
        <f>IF(J903="","",IF(J903="TL","TL",IF(J903&gt;=80,"A",IF(J903&gt;=60,"B",IF(J903&gt;=40,"C",IF(J903&gt;=20,"D","E"))))))</f>
        <v/>
      </c>
      <c r="L903" s="15">
        <f>IF(K903="","",IF(K903="A","Cemerlang",IF(K903="B","Kepujian",IF(K903="C","Baik",IF(K903="D","Kurang Memuaskan",IF(K903="E","Tidak Memuaskan","Tidak Laksana"))))))</f>
        <v/>
      </c>
    </row>
    <row r="904">
      <c r="A904" s="15">
        <f>Murid!A904</f>
        <v/>
      </c>
      <c r="B904" s="15">
        <f>IF(Murid!B904="","",Murid!B904)</f>
        <v/>
      </c>
      <c r="C904" s="16">
        <f>IF(Murid!C904="","",Murid!C904)</f>
        <v/>
      </c>
      <c r="D904" s="15">
        <f>IF(Murid!E904="","",Murid!E904)</f>
        <v/>
      </c>
      <c r="E904" s="17">
        <f>KP!X904</f>
        <v/>
      </c>
      <c r="F904" s="17">
        <f>UB!X904</f>
        <v/>
      </c>
      <c r="G904" s="17">
        <f>SP!X904</f>
        <v/>
      </c>
      <c r="H904" s="17">
        <f>IF(COUNT(E904:G904)=0,"",ROUND((LARGE(E904:G904,1)+IF(COUNT(E904:G904)&gt;=2,LARGE(E904:G904,2),0))/2,2))</f>
        <v/>
      </c>
      <c r="I904" s="10">
        <f>Ekstra!U904</f>
        <v/>
      </c>
      <c r="J904" s="18">
        <f>IF(B904="","",IF(Murid!F904="TL","TL",IF(H904="","",MIN(100,ROUND(H904+N(I904),2)))))</f>
        <v/>
      </c>
      <c r="K904" s="19">
        <f>IF(J904="","",IF(J904="TL","TL",IF(J904&gt;=80,"A",IF(J904&gt;=60,"B",IF(J904&gt;=40,"C",IF(J904&gt;=20,"D","E"))))))</f>
        <v/>
      </c>
      <c r="L904" s="15">
        <f>IF(K904="","",IF(K904="A","Cemerlang",IF(K904="B","Kepujian",IF(K904="C","Baik",IF(K904="D","Kurang Memuaskan",IF(K904="E","Tidak Memuaskan","Tidak Laksana"))))))</f>
        <v/>
      </c>
    </row>
    <row r="905">
      <c r="A905" s="15">
        <f>Murid!A905</f>
        <v/>
      </c>
      <c r="B905" s="15">
        <f>IF(Murid!B905="","",Murid!B905)</f>
        <v/>
      </c>
      <c r="C905" s="16">
        <f>IF(Murid!C905="","",Murid!C905)</f>
        <v/>
      </c>
      <c r="D905" s="15">
        <f>IF(Murid!E905="","",Murid!E905)</f>
        <v/>
      </c>
      <c r="E905" s="17">
        <f>KP!X905</f>
        <v/>
      </c>
      <c r="F905" s="17">
        <f>UB!X905</f>
        <v/>
      </c>
      <c r="G905" s="17">
        <f>SP!X905</f>
        <v/>
      </c>
      <c r="H905" s="17">
        <f>IF(COUNT(E905:G905)=0,"",ROUND((LARGE(E905:G905,1)+IF(COUNT(E905:G905)&gt;=2,LARGE(E905:G905,2),0))/2,2))</f>
        <v/>
      </c>
      <c r="I905" s="10">
        <f>Ekstra!U905</f>
        <v/>
      </c>
      <c r="J905" s="18">
        <f>IF(B905="","",IF(Murid!F905="TL","TL",IF(H905="","",MIN(100,ROUND(H905+N(I905),2)))))</f>
        <v/>
      </c>
      <c r="K905" s="19">
        <f>IF(J905="","",IF(J905="TL","TL",IF(J905&gt;=80,"A",IF(J905&gt;=60,"B",IF(J905&gt;=40,"C",IF(J905&gt;=20,"D","E"))))))</f>
        <v/>
      </c>
      <c r="L905" s="15">
        <f>IF(K905="","",IF(K905="A","Cemerlang",IF(K905="B","Kepujian",IF(K905="C","Baik",IF(K905="D","Kurang Memuaskan",IF(K905="E","Tidak Memuaskan","Tidak Laksana"))))))</f>
        <v/>
      </c>
    </row>
    <row r="906">
      <c r="A906" s="15">
        <f>Murid!A906</f>
        <v/>
      </c>
      <c r="B906" s="15">
        <f>IF(Murid!B906="","",Murid!B906)</f>
        <v/>
      </c>
      <c r="C906" s="16">
        <f>IF(Murid!C906="","",Murid!C906)</f>
        <v/>
      </c>
      <c r="D906" s="15">
        <f>IF(Murid!E906="","",Murid!E906)</f>
        <v/>
      </c>
      <c r="E906" s="17">
        <f>KP!X906</f>
        <v/>
      </c>
      <c r="F906" s="17">
        <f>UB!X906</f>
        <v/>
      </c>
      <c r="G906" s="17">
        <f>SP!X906</f>
        <v/>
      </c>
      <c r="H906" s="17">
        <f>IF(COUNT(E906:G906)=0,"",ROUND((LARGE(E906:G906,1)+IF(COUNT(E906:G906)&gt;=2,LARGE(E906:G906,2),0))/2,2))</f>
        <v/>
      </c>
      <c r="I906" s="10">
        <f>Ekstra!U906</f>
        <v/>
      </c>
      <c r="J906" s="18">
        <f>IF(B906="","",IF(Murid!F906="TL","TL",IF(H906="","",MIN(100,ROUND(H906+N(I906),2)))))</f>
        <v/>
      </c>
      <c r="K906" s="19">
        <f>IF(J906="","",IF(J906="TL","TL",IF(J906&gt;=80,"A",IF(J906&gt;=60,"B",IF(J906&gt;=40,"C",IF(J906&gt;=20,"D","E"))))))</f>
        <v/>
      </c>
      <c r="L906" s="15">
        <f>IF(K906="","",IF(K906="A","Cemerlang",IF(K906="B","Kepujian",IF(K906="C","Baik",IF(K906="D","Kurang Memuaskan",IF(K906="E","Tidak Memuaskan","Tidak Laksana"))))))</f>
        <v/>
      </c>
    </row>
    <row r="907">
      <c r="A907" s="15">
        <f>Murid!A907</f>
        <v/>
      </c>
      <c r="B907" s="15">
        <f>IF(Murid!B907="","",Murid!B907)</f>
        <v/>
      </c>
      <c r="C907" s="16">
        <f>IF(Murid!C907="","",Murid!C907)</f>
        <v/>
      </c>
      <c r="D907" s="15">
        <f>IF(Murid!E907="","",Murid!E907)</f>
        <v/>
      </c>
      <c r="E907" s="17">
        <f>KP!X907</f>
        <v/>
      </c>
      <c r="F907" s="17">
        <f>UB!X907</f>
        <v/>
      </c>
      <c r="G907" s="17">
        <f>SP!X907</f>
        <v/>
      </c>
      <c r="H907" s="17">
        <f>IF(COUNT(E907:G907)=0,"",ROUND((LARGE(E907:G907,1)+IF(COUNT(E907:G907)&gt;=2,LARGE(E907:G907,2),0))/2,2))</f>
        <v/>
      </c>
      <c r="I907" s="10">
        <f>Ekstra!U907</f>
        <v/>
      </c>
      <c r="J907" s="18">
        <f>IF(B907="","",IF(Murid!F907="TL","TL",IF(H907="","",MIN(100,ROUND(H907+N(I907),2)))))</f>
        <v/>
      </c>
      <c r="K907" s="19">
        <f>IF(J907="","",IF(J907="TL","TL",IF(J907&gt;=80,"A",IF(J907&gt;=60,"B",IF(J907&gt;=40,"C",IF(J907&gt;=20,"D","E"))))))</f>
        <v/>
      </c>
      <c r="L907" s="15">
        <f>IF(K907="","",IF(K907="A","Cemerlang",IF(K907="B","Kepujian",IF(K907="C","Baik",IF(K907="D","Kurang Memuaskan",IF(K907="E","Tidak Memuaskan","Tidak Laksana"))))))</f>
        <v/>
      </c>
    </row>
    <row r="908">
      <c r="A908" s="15">
        <f>Murid!A908</f>
        <v/>
      </c>
      <c r="B908" s="15">
        <f>IF(Murid!B908="","",Murid!B908)</f>
        <v/>
      </c>
      <c r="C908" s="16">
        <f>IF(Murid!C908="","",Murid!C908)</f>
        <v/>
      </c>
      <c r="D908" s="15">
        <f>IF(Murid!E908="","",Murid!E908)</f>
        <v/>
      </c>
      <c r="E908" s="17">
        <f>KP!X908</f>
        <v/>
      </c>
      <c r="F908" s="17">
        <f>UB!X908</f>
        <v/>
      </c>
      <c r="G908" s="17">
        <f>SP!X908</f>
        <v/>
      </c>
      <c r="H908" s="17">
        <f>IF(COUNT(E908:G908)=0,"",ROUND((LARGE(E908:G908,1)+IF(COUNT(E908:G908)&gt;=2,LARGE(E908:G908,2),0))/2,2))</f>
        <v/>
      </c>
      <c r="I908" s="10">
        <f>Ekstra!U908</f>
        <v/>
      </c>
      <c r="J908" s="18">
        <f>IF(B908="","",IF(Murid!F908="TL","TL",IF(H908="","",MIN(100,ROUND(H908+N(I908),2)))))</f>
        <v/>
      </c>
      <c r="K908" s="19">
        <f>IF(J908="","",IF(J908="TL","TL",IF(J908&gt;=80,"A",IF(J908&gt;=60,"B",IF(J908&gt;=40,"C",IF(J908&gt;=20,"D","E"))))))</f>
        <v/>
      </c>
      <c r="L908" s="15">
        <f>IF(K908="","",IF(K908="A","Cemerlang",IF(K908="B","Kepujian",IF(K908="C","Baik",IF(K908="D","Kurang Memuaskan",IF(K908="E","Tidak Memuaskan","Tidak Laksana"))))))</f>
        <v/>
      </c>
    </row>
    <row r="909">
      <c r="A909" s="15">
        <f>Murid!A909</f>
        <v/>
      </c>
      <c r="B909" s="15">
        <f>IF(Murid!B909="","",Murid!B909)</f>
        <v/>
      </c>
      <c r="C909" s="16">
        <f>IF(Murid!C909="","",Murid!C909)</f>
        <v/>
      </c>
      <c r="D909" s="15">
        <f>IF(Murid!E909="","",Murid!E909)</f>
        <v/>
      </c>
      <c r="E909" s="17">
        <f>KP!X909</f>
        <v/>
      </c>
      <c r="F909" s="17">
        <f>UB!X909</f>
        <v/>
      </c>
      <c r="G909" s="17">
        <f>SP!X909</f>
        <v/>
      </c>
      <c r="H909" s="17">
        <f>IF(COUNT(E909:G909)=0,"",ROUND((LARGE(E909:G909,1)+IF(COUNT(E909:G909)&gt;=2,LARGE(E909:G909,2),0))/2,2))</f>
        <v/>
      </c>
      <c r="I909" s="10">
        <f>Ekstra!U909</f>
        <v/>
      </c>
      <c r="J909" s="18">
        <f>IF(B909="","",IF(Murid!F909="TL","TL",IF(H909="","",MIN(100,ROUND(H909+N(I909),2)))))</f>
        <v/>
      </c>
      <c r="K909" s="19">
        <f>IF(J909="","",IF(J909="TL","TL",IF(J909&gt;=80,"A",IF(J909&gt;=60,"B",IF(J909&gt;=40,"C",IF(J909&gt;=20,"D","E"))))))</f>
        <v/>
      </c>
      <c r="L909" s="15">
        <f>IF(K909="","",IF(K909="A","Cemerlang",IF(K909="B","Kepujian",IF(K909="C","Baik",IF(K909="D","Kurang Memuaskan",IF(K909="E","Tidak Memuaskan","Tidak Laksana"))))))</f>
        <v/>
      </c>
    </row>
    <row r="910">
      <c r="A910" s="15">
        <f>Murid!A910</f>
        <v/>
      </c>
      <c r="B910" s="15">
        <f>IF(Murid!B910="","",Murid!B910)</f>
        <v/>
      </c>
      <c r="C910" s="16">
        <f>IF(Murid!C910="","",Murid!C910)</f>
        <v/>
      </c>
      <c r="D910" s="15">
        <f>IF(Murid!E910="","",Murid!E910)</f>
        <v/>
      </c>
      <c r="E910" s="17">
        <f>KP!X910</f>
        <v/>
      </c>
      <c r="F910" s="17">
        <f>UB!X910</f>
        <v/>
      </c>
      <c r="G910" s="17">
        <f>SP!X910</f>
        <v/>
      </c>
      <c r="H910" s="17">
        <f>IF(COUNT(E910:G910)=0,"",ROUND((LARGE(E910:G910,1)+IF(COUNT(E910:G910)&gt;=2,LARGE(E910:G910,2),0))/2,2))</f>
        <v/>
      </c>
      <c r="I910" s="10">
        <f>Ekstra!U910</f>
        <v/>
      </c>
      <c r="J910" s="18">
        <f>IF(B910="","",IF(Murid!F910="TL","TL",IF(H910="","",MIN(100,ROUND(H910+N(I910),2)))))</f>
        <v/>
      </c>
      <c r="K910" s="19">
        <f>IF(J910="","",IF(J910="TL","TL",IF(J910&gt;=80,"A",IF(J910&gt;=60,"B",IF(J910&gt;=40,"C",IF(J910&gt;=20,"D","E"))))))</f>
        <v/>
      </c>
      <c r="L910" s="15">
        <f>IF(K910="","",IF(K910="A","Cemerlang",IF(K910="B","Kepujian",IF(K910="C","Baik",IF(K910="D","Kurang Memuaskan",IF(K910="E","Tidak Memuaskan","Tidak Laksana"))))))</f>
        <v/>
      </c>
    </row>
    <row r="911">
      <c r="A911" s="15">
        <f>Murid!A911</f>
        <v/>
      </c>
      <c r="B911" s="15">
        <f>IF(Murid!B911="","",Murid!B911)</f>
        <v/>
      </c>
      <c r="C911" s="16">
        <f>IF(Murid!C911="","",Murid!C911)</f>
        <v/>
      </c>
      <c r="D911" s="15">
        <f>IF(Murid!E911="","",Murid!E911)</f>
        <v/>
      </c>
      <c r="E911" s="17">
        <f>KP!X911</f>
        <v/>
      </c>
      <c r="F911" s="17">
        <f>UB!X911</f>
        <v/>
      </c>
      <c r="G911" s="17">
        <f>SP!X911</f>
        <v/>
      </c>
      <c r="H911" s="17">
        <f>IF(COUNT(E911:G911)=0,"",ROUND((LARGE(E911:G911,1)+IF(COUNT(E911:G911)&gt;=2,LARGE(E911:G911,2),0))/2,2))</f>
        <v/>
      </c>
      <c r="I911" s="10">
        <f>Ekstra!U911</f>
        <v/>
      </c>
      <c r="J911" s="18">
        <f>IF(B911="","",IF(Murid!F911="TL","TL",IF(H911="","",MIN(100,ROUND(H911+N(I911),2)))))</f>
        <v/>
      </c>
      <c r="K911" s="19">
        <f>IF(J911="","",IF(J911="TL","TL",IF(J911&gt;=80,"A",IF(J911&gt;=60,"B",IF(J911&gt;=40,"C",IF(J911&gt;=20,"D","E"))))))</f>
        <v/>
      </c>
      <c r="L911" s="15">
        <f>IF(K911="","",IF(K911="A","Cemerlang",IF(K911="B","Kepujian",IF(K911="C","Baik",IF(K911="D","Kurang Memuaskan",IF(K911="E","Tidak Memuaskan","Tidak Laksana"))))))</f>
        <v/>
      </c>
    </row>
    <row r="912">
      <c r="A912" s="15">
        <f>Murid!A912</f>
        <v/>
      </c>
      <c r="B912" s="15">
        <f>IF(Murid!B912="","",Murid!B912)</f>
        <v/>
      </c>
      <c r="C912" s="16">
        <f>IF(Murid!C912="","",Murid!C912)</f>
        <v/>
      </c>
      <c r="D912" s="15">
        <f>IF(Murid!E912="","",Murid!E912)</f>
        <v/>
      </c>
      <c r="E912" s="17">
        <f>KP!X912</f>
        <v/>
      </c>
      <c r="F912" s="17">
        <f>UB!X912</f>
        <v/>
      </c>
      <c r="G912" s="17">
        <f>SP!X912</f>
        <v/>
      </c>
      <c r="H912" s="17">
        <f>IF(COUNT(E912:G912)=0,"",ROUND((LARGE(E912:G912,1)+IF(COUNT(E912:G912)&gt;=2,LARGE(E912:G912,2),0))/2,2))</f>
        <v/>
      </c>
      <c r="I912" s="10">
        <f>Ekstra!U912</f>
        <v/>
      </c>
      <c r="J912" s="18">
        <f>IF(B912="","",IF(Murid!F912="TL","TL",IF(H912="","",MIN(100,ROUND(H912+N(I912),2)))))</f>
        <v/>
      </c>
      <c r="K912" s="19">
        <f>IF(J912="","",IF(J912="TL","TL",IF(J912&gt;=80,"A",IF(J912&gt;=60,"B",IF(J912&gt;=40,"C",IF(J912&gt;=20,"D","E"))))))</f>
        <v/>
      </c>
      <c r="L912" s="15">
        <f>IF(K912="","",IF(K912="A","Cemerlang",IF(K912="B","Kepujian",IF(K912="C","Baik",IF(K912="D","Kurang Memuaskan",IF(K912="E","Tidak Memuaskan","Tidak Laksana"))))))</f>
        <v/>
      </c>
    </row>
    <row r="913">
      <c r="A913" s="15">
        <f>Murid!A913</f>
        <v/>
      </c>
      <c r="B913" s="15">
        <f>IF(Murid!B913="","",Murid!B913)</f>
        <v/>
      </c>
      <c r="C913" s="16">
        <f>IF(Murid!C913="","",Murid!C913)</f>
        <v/>
      </c>
      <c r="D913" s="15">
        <f>IF(Murid!E913="","",Murid!E913)</f>
        <v/>
      </c>
      <c r="E913" s="17">
        <f>KP!X913</f>
        <v/>
      </c>
      <c r="F913" s="17">
        <f>UB!X913</f>
        <v/>
      </c>
      <c r="G913" s="17">
        <f>SP!X913</f>
        <v/>
      </c>
      <c r="H913" s="17">
        <f>IF(COUNT(E913:G913)=0,"",ROUND((LARGE(E913:G913,1)+IF(COUNT(E913:G913)&gt;=2,LARGE(E913:G913,2),0))/2,2))</f>
        <v/>
      </c>
      <c r="I913" s="10">
        <f>Ekstra!U913</f>
        <v/>
      </c>
      <c r="J913" s="18">
        <f>IF(B913="","",IF(Murid!F913="TL","TL",IF(H913="","",MIN(100,ROUND(H913+N(I913),2)))))</f>
        <v/>
      </c>
      <c r="K913" s="19">
        <f>IF(J913="","",IF(J913="TL","TL",IF(J913&gt;=80,"A",IF(J913&gt;=60,"B",IF(J913&gt;=40,"C",IF(J913&gt;=20,"D","E"))))))</f>
        <v/>
      </c>
      <c r="L913" s="15">
        <f>IF(K913="","",IF(K913="A","Cemerlang",IF(K913="B","Kepujian",IF(K913="C","Baik",IF(K913="D","Kurang Memuaskan",IF(K913="E","Tidak Memuaskan","Tidak Laksana"))))))</f>
        <v/>
      </c>
    </row>
    <row r="914">
      <c r="A914" s="15">
        <f>Murid!A914</f>
        <v/>
      </c>
      <c r="B914" s="15">
        <f>IF(Murid!B914="","",Murid!B914)</f>
        <v/>
      </c>
      <c r="C914" s="16">
        <f>IF(Murid!C914="","",Murid!C914)</f>
        <v/>
      </c>
      <c r="D914" s="15">
        <f>IF(Murid!E914="","",Murid!E914)</f>
        <v/>
      </c>
      <c r="E914" s="17">
        <f>KP!X914</f>
        <v/>
      </c>
      <c r="F914" s="17">
        <f>UB!X914</f>
        <v/>
      </c>
      <c r="G914" s="17">
        <f>SP!X914</f>
        <v/>
      </c>
      <c r="H914" s="17">
        <f>IF(COUNT(E914:G914)=0,"",ROUND((LARGE(E914:G914,1)+IF(COUNT(E914:G914)&gt;=2,LARGE(E914:G914,2),0))/2,2))</f>
        <v/>
      </c>
      <c r="I914" s="10">
        <f>Ekstra!U914</f>
        <v/>
      </c>
      <c r="J914" s="18">
        <f>IF(B914="","",IF(Murid!F914="TL","TL",IF(H914="","",MIN(100,ROUND(H914+N(I914),2)))))</f>
        <v/>
      </c>
      <c r="K914" s="19">
        <f>IF(J914="","",IF(J914="TL","TL",IF(J914&gt;=80,"A",IF(J914&gt;=60,"B",IF(J914&gt;=40,"C",IF(J914&gt;=20,"D","E"))))))</f>
        <v/>
      </c>
      <c r="L914" s="15">
        <f>IF(K914="","",IF(K914="A","Cemerlang",IF(K914="B","Kepujian",IF(K914="C","Baik",IF(K914="D","Kurang Memuaskan",IF(K914="E","Tidak Memuaskan","Tidak Laksana"))))))</f>
        <v/>
      </c>
    </row>
    <row r="915">
      <c r="A915" s="15">
        <f>Murid!A915</f>
        <v/>
      </c>
      <c r="B915" s="15">
        <f>IF(Murid!B915="","",Murid!B915)</f>
        <v/>
      </c>
      <c r="C915" s="16">
        <f>IF(Murid!C915="","",Murid!C915)</f>
        <v/>
      </c>
      <c r="D915" s="15">
        <f>IF(Murid!E915="","",Murid!E915)</f>
        <v/>
      </c>
      <c r="E915" s="17">
        <f>KP!X915</f>
        <v/>
      </c>
      <c r="F915" s="17">
        <f>UB!X915</f>
        <v/>
      </c>
      <c r="G915" s="17">
        <f>SP!X915</f>
        <v/>
      </c>
      <c r="H915" s="17">
        <f>IF(COUNT(E915:G915)=0,"",ROUND((LARGE(E915:G915,1)+IF(COUNT(E915:G915)&gt;=2,LARGE(E915:G915,2),0))/2,2))</f>
        <v/>
      </c>
      <c r="I915" s="10">
        <f>Ekstra!U915</f>
        <v/>
      </c>
      <c r="J915" s="18">
        <f>IF(B915="","",IF(Murid!F915="TL","TL",IF(H915="","",MIN(100,ROUND(H915+N(I915),2)))))</f>
        <v/>
      </c>
      <c r="K915" s="19">
        <f>IF(J915="","",IF(J915="TL","TL",IF(J915&gt;=80,"A",IF(J915&gt;=60,"B",IF(J915&gt;=40,"C",IF(J915&gt;=20,"D","E"))))))</f>
        <v/>
      </c>
      <c r="L915" s="15">
        <f>IF(K915="","",IF(K915="A","Cemerlang",IF(K915="B","Kepujian",IF(K915="C","Baik",IF(K915="D","Kurang Memuaskan",IF(K915="E","Tidak Memuaskan","Tidak Laksana"))))))</f>
        <v/>
      </c>
    </row>
    <row r="916">
      <c r="A916" s="15">
        <f>Murid!A916</f>
        <v/>
      </c>
      <c r="B916" s="15">
        <f>IF(Murid!B916="","",Murid!B916)</f>
        <v/>
      </c>
      <c r="C916" s="16">
        <f>IF(Murid!C916="","",Murid!C916)</f>
        <v/>
      </c>
      <c r="D916" s="15">
        <f>IF(Murid!E916="","",Murid!E916)</f>
        <v/>
      </c>
      <c r="E916" s="17">
        <f>KP!X916</f>
        <v/>
      </c>
      <c r="F916" s="17">
        <f>UB!X916</f>
        <v/>
      </c>
      <c r="G916" s="17">
        <f>SP!X916</f>
        <v/>
      </c>
      <c r="H916" s="17">
        <f>IF(COUNT(E916:G916)=0,"",ROUND((LARGE(E916:G916,1)+IF(COUNT(E916:G916)&gt;=2,LARGE(E916:G916,2),0))/2,2))</f>
        <v/>
      </c>
      <c r="I916" s="10">
        <f>Ekstra!U916</f>
        <v/>
      </c>
      <c r="J916" s="18">
        <f>IF(B916="","",IF(Murid!F916="TL","TL",IF(H916="","",MIN(100,ROUND(H916+N(I916),2)))))</f>
        <v/>
      </c>
      <c r="K916" s="19">
        <f>IF(J916="","",IF(J916="TL","TL",IF(J916&gt;=80,"A",IF(J916&gt;=60,"B",IF(J916&gt;=40,"C",IF(J916&gt;=20,"D","E"))))))</f>
        <v/>
      </c>
      <c r="L916" s="15">
        <f>IF(K916="","",IF(K916="A","Cemerlang",IF(K916="B","Kepujian",IF(K916="C","Baik",IF(K916="D","Kurang Memuaskan",IF(K916="E","Tidak Memuaskan","Tidak Laksana"))))))</f>
        <v/>
      </c>
    </row>
    <row r="917">
      <c r="A917" s="15">
        <f>Murid!A917</f>
        <v/>
      </c>
      <c r="B917" s="15">
        <f>IF(Murid!B917="","",Murid!B917)</f>
        <v/>
      </c>
      <c r="C917" s="16">
        <f>IF(Murid!C917="","",Murid!C917)</f>
        <v/>
      </c>
      <c r="D917" s="15">
        <f>IF(Murid!E917="","",Murid!E917)</f>
        <v/>
      </c>
      <c r="E917" s="17">
        <f>KP!X917</f>
        <v/>
      </c>
      <c r="F917" s="17">
        <f>UB!X917</f>
        <v/>
      </c>
      <c r="G917" s="17">
        <f>SP!X917</f>
        <v/>
      </c>
      <c r="H917" s="17">
        <f>IF(COUNT(E917:G917)=0,"",ROUND((LARGE(E917:G917,1)+IF(COUNT(E917:G917)&gt;=2,LARGE(E917:G917,2),0))/2,2))</f>
        <v/>
      </c>
      <c r="I917" s="10">
        <f>Ekstra!U917</f>
        <v/>
      </c>
      <c r="J917" s="18">
        <f>IF(B917="","",IF(Murid!F917="TL","TL",IF(H917="","",MIN(100,ROUND(H917+N(I917),2)))))</f>
        <v/>
      </c>
      <c r="K917" s="19">
        <f>IF(J917="","",IF(J917="TL","TL",IF(J917&gt;=80,"A",IF(J917&gt;=60,"B",IF(J917&gt;=40,"C",IF(J917&gt;=20,"D","E"))))))</f>
        <v/>
      </c>
      <c r="L917" s="15">
        <f>IF(K917="","",IF(K917="A","Cemerlang",IF(K917="B","Kepujian",IF(K917="C","Baik",IF(K917="D","Kurang Memuaskan",IF(K917="E","Tidak Memuaskan","Tidak Laksana"))))))</f>
        <v/>
      </c>
    </row>
    <row r="918">
      <c r="A918" s="15">
        <f>Murid!A918</f>
        <v/>
      </c>
      <c r="B918" s="15">
        <f>IF(Murid!B918="","",Murid!B918)</f>
        <v/>
      </c>
      <c r="C918" s="16">
        <f>IF(Murid!C918="","",Murid!C918)</f>
        <v/>
      </c>
      <c r="D918" s="15">
        <f>IF(Murid!E918="","",Murid!E918)</f>
        <v/>
      </c>
      <c r="E918" s="17">
        <f>KP!X918</f>
        <v/>
      </c>
      <c r="F918" s="17">
        <f>UB!X918</f>
        <v/>
      </c>
      <c r="G918" s="17">
        <f>SP!X918</f>
        <v/>
      </c>
      <c r="H918" s="17">
        <f>IF(COUNT(E918:G918)=0,"",ROUND((LARGE(E918:G918,1)+IF(COUNT(E918:G918)&gt;=2,LARGE(E918:G918,2),0))/2,2))</f>
        <v/>
      </c>
      <c r="I918" s="10">
        <f>Ekstra!U918</f>
        <v/>
      </c>
      <c r="J918" s="18">
        <f>IF(B918="","",IF(Murid!F918="TL","TL",IF(H918="","",MIN(100,ROUND(H918+N(I918),2)))))</f>
        <v/>
      </c>
      <c r="K918" s="19">
        <f>IF(J918="","",IF(J918="TL","TL",IF(J918&gt;=80,"A",IF(J918&gt;=60,"B",IF(J918&gt;=40,"C",IF(J918&gt;=20,"D","E"))))))</f>
        <v/>
      </c>
      <c r="L918" s="15">
        <f>IF(K918="","",IF(K918="A","Cemerlang",IF(K918="B","Kepujian",IF(K918="C","Baik",IF(K918="D","Kurang Memuaskan",IF(K918="E","Tidak Memuaskan","Tidak Laksana"))))))</f>
        <v/>
      </c>
    </row>
    <row r="919">
      <c r="A919" s="15">
        <f>Murid!A919</f>
        <v/>
      </c>
      <c r="B919" s="15">
        <f>IF(Murid!B919="","",Murid!B919)</f>
        <v/>
      </c>
      <c r="C919" s="16">
        <f>IF(Murid!C919="","",Murid!C919)</f>
        <v/>
      </c>
      <c r="D919" s="15">
        <f>IF(Murid!E919="","",Murid!E919)</f>
        <v/>
      </c>
      <c r="E919" s="17">
        <f>KP!X919</f>
        <v/>
      </c>
      <c r="F919" s="17">
        <f>UB!X919</f>
        <v/>
      </c>
      <c r="G919" s="17">
        <f>SP!X919</f>
        <v/>
      </c>
      <c r="H919" s="17">
        <f>IF(COUNT(E919:G919)=0,"",ROUND((LARGE(E919:G919,1)+IF(COUNT(E919:G919)&gt;=2,LARGE(E919:G919,2),0))/2,2))</f>
        <v/>
      </c>
      <c r="I919" s="10">
        <f>Ekstra!U919</f>
        <v/>
      </c>
      <c r="J919" s="18">
        <f>IF(B919="","",IF(Murid!F919="TL","TL",IF(H919="","",MIN(100,ROUND(H919+N(I919),2)))))</f>
        <v/>
      </c>
      <c r="K919" s="19">
        <f>IF(J919="","",IF(J919="TL","TL",IF(J919&gt;=80,"A",IF(J919&gt;=60,"B",IF(J919&gt;=40,"C",IF(J919&gt;=20,"D","E"))))))</f>
        <v/>
      </c>
      <c r="L919" s="15">
        <f>IF(K919="","",IF(K919="A","Cemerlang",IF(K919="B","Kepujian",IF(K919="C","Baik",IF(K919="D","Kurang Memuaskan",IF(K919="E","Tidak Memuaskan","Tidak Laksana"))))))</f>
        <v/>
      </c>
    </row>
    <row r="920">
      <c r="A920" s="15">
        <f>Murid!A920</f>
        <v/>
      </c>
      <c r="B920" s="15">
        <f>IF(Murid!B920="","",Murid!B920)</f>
        <v/>
      </c>
      <c r="C920" s="16">
        <f>IF(Murid!C920="","",Murid!C920)</f>
        <v/>
      </c>
      <c r="D920" s="15">
        <f>IF(Murid!E920="","",Murid!E920)</f>
        <v/>
      </c>
      <c r="E920" s="17">
        <f>KP!X920</f>
        <v/>
      </c>
      <c r="F920" s="17">
        <f>UB!X920</f>
        <v/>
      </c>
      <c r="G920" s="17">
        <f>SP!X920</f>
        <v/>
      </c>
      <c r="H920" s="17">
        <f>IF(COUNT(E920:G920)=0,"",ROUND((LARGE(E920:G920,1)+IF(COUNT(E920:G920)&gt;=2,LARGE(E920:G920,2),0))/2,2))</f>
        <v/>
      </c>
      <c r="I920" s="10">
        <f>Ekstra!U920</f>
        <v/>
      </c>
      <c r="J920" s="18">
        <f>IF(B920="","",IF(Murid!F920="TL","TL",IF(H920="","",MIN(100,ROUND(H920+N(I920),2)))))</f>
        <v/>
      </c>
      <c r="K920" s="19">
        <f>IF(J920="","",IF(J920="TL","TL",IF(J920&gt;=80,"A",IF(J920&gt;=60,"B",IF(J920&gt;=40,"C",IF(J920&gt;=20,"D","E"))))))</f>
        <v/>
      </c>
      <c r="L920" s="15">
        <f>IF(K920="","",IF(K920="A","Cemerlang",IF(K920="B","Kepujian",IF(K920="C","Baik",IF(K920="D","Kurang Memuaskan",IF(K920="E","Tidak Memuaskan","Tidak Laksana"))))))</f>
        <v/>
      </c>
    </row>
    <row r="921">
      <c r="A921" s="15">
        <f>Murid!A921</f>
        <v/>
      </c>
      <c r="B921" s="15">
        <f>IF(Murid!B921="","",Murid!B921)</f>
        <v/>
      </c>
      <c r="C921" s="16">
        <f>IF(Murid!C921="","",Murid!C921)</f>
        <v/>
      </c>
      <c r="D921" s="15">
        <f>IF(Murid!E921="","",Murid!E921)</f>
        <v/>
      </c>
      <c r="E921" s="17">
        <f>KP!X921</f>
        <v/>
      </c>
      <c r="F921" s="17">
        <f>UB!X921</f>
        <v/>
      </c>
      <c r="G921" s="17">
        <f>SP!X921</f>
        <v/>
      </c>
      <c r="H921" s="17">
        <f>IF(COUNT(E921:G921)=0,"",ROUND((LARGE(E921:G921,1)+IF(COUNT(E921:G921)&gt;=2,LARGE(E921:G921,2),0))/2,2))</f>
        <v/>
      </c>
      <c r="I921" s="10">
        <f>Ekstra!U921</f>
        <v/>
      </c>
      <c r="J921" s="18">
        <f>IF(B921="","",IF(Murid!F921="TL","TL",IF(H921="","",MIN(100,ROUND(H921+N(I921),2)))))</f>
        <v/>
      </c>
      <c r="K921" s="19">
        <f>IF(J921="","",IF(J921="TL","TL",IF(J921&gt;=80,"A",IF(J921&gt;=60,"B",IF(J921&gt;=40,"C",IF(J921&gt;=20,"D","E"))))))</f>
        <v/>
      </c>
      <c r="L921" s="15">
        <f>IF(K921="","",IF(K921="A","Cemerlang",IF(K921="B","Kepujian",IF(K921="C","Baik",IF(K921="D","Kurang Memuaskan",IF(K921="E","Tidak Memuaskan","Tidak Laksana"))))))</f>
        <v/>
      </c>
    </row>
    <row r="922">
      <c r="A922" s="15">
        <f>Murid!A922</f>
        <v/>
      </c>
      <c r="B922" s="15">
        <f>IF(Murid!B922="","",Murid!B922)</f>
        <v/>
      </c>
      <c r="C922" s="16">
        <f>IF(Murid!C922="","",Murid!C922)</f>
        <v/>
      </c>
      <c r="D922" s="15">
        <f>IF(Murid!E922="","",Murid!E922)</f>
        <v/>
      </c>
      <c r="E922" s="17">
        <f>KP!X922</f>
        <v/>
      </c>
      <c r="F922" s="17">
        <f>UB!X922</f>
        <v/>
      </c>
      <c r="G922" s="17">
        <f>SP!X922</f>
        <v/>
      </c>
      <c r="H922" s="17">
        <f>IF(COUNT(E922:G922)=0,"",ROUND((LARGE(E922:G922,1)+IF(COUNT(E922:G922)&gt;=2,LARGE(E922:G922,2),0))/2,2))</f>
        <v/>
      </c>
      <c r="I922" s="10">
        <f>Ekstra!U922</f>
        <v/>
      </c>
      <c r="J922" s="18">
        <f>IF(B922="","",IF(Murid!F922="TL","TL",IF(H922="","",MIN(100,ROUND(H922+N(I922),2)))))</f>
        <v/>
      </c>
      <c r="K922" s="19">
        <f>IF(J922="","",IF(J922="TL","TL",IF(J922&gt;=80,"A",IF(J922&gt;=60,"B",IF(J922&gt;=40,"C",IF(J922&gt;=20,"D","E"))))))</f>
        <v/>
      </c>
      <c r="L922" s="15">
        <f>IF(K922="","",IF(K922="A","Cemerlang",IF(K922="B","Kepujian",IF(K922="C","Baik",IF(K922="D","Kurang Memuaskan",IF(K922="E","Tidak Memuaskan","Tidak Laksana"))))))</f>
        <v/>
      </c>
    </row>
    <row r="923">
      <c r="A923" s="15">
        <f>Murid!A923</f>
        <v/>
      </c>
      <c r="B923" s="15">
        <f>IF(Murid!B923="","",Murid!B923)</f>
        <v/>
      </c>
      <c r="C923" s="16">
        <f>IF(Murid!C923="","",Murid!C923)</f>
        <v/>
      </c>
      <c r="D923" s="15">
        <f>IF(Murid!E923="","",Murid!E923)</f>
        <v/>
      </c>
      <c r="E923" s="17">
        <f>KP!X923</f>
        <v/>
      </c>
      <c r="F923" s="17">
        <f>UB!X923</f>
        <v/>
      </c>
      <c r="G923" s="17">
        <f>SP!X923</f>
        <v/>
      </c>
      <c r="H923" s="17">
        <f>IF(COUNT(E923:G923)=0,"",ROUND((LARGE(E923:G923,1)+IF(COUNT(E923:G923)&gt;=2,LARGE(E923:G923,2),0))/2,2))</f>
        <v/>
      </c>
      <c r="I923" s="10">
        <f>Ekstra!U923</f>
        <v/>
      </c>
      <c r="J923" s="18">
        <f>IF(B923="","",IF(Murid!F923="TL","TL",IF(H923="","",MIN(100,ROUND(H923+N(I923),2)))))</f>
        <v/>
      </c>
      <c r="K923" s="19">
        <f>IF(J923="","",IF(J923="TL","TL",IF(J923&gt;=80,"A",IF(J923&gt;=60,"B",IF(J923&gt;=40,"C",IF(J923&gt;=20,"D","E"))))))</f>
        <v/>
      </c>
      <c r="L923" s="15">
        <f>IF(K923="","",IF(K923="A","Cemerlang",IF(K923="B","Kepujian",IF(K923="C","Baik",IF(K923="D","Kurang Memuaskan",IF(K923="E","Tidak Memuaskan","Tidak Laksana"))))))</f>
        <v/>
      </c>
    </row>
    <row r="924">
      <c r="A924" s="15">
        <f>Murid!A924</f>
        <v/>
      </c>
      <c r="B924" s="15">
        <f>IF(Murid!B924="","",Murid!B924)</f>
        <v/>
      </c>
      <c r="C924" s="16">
        <f>IF(Murid!C924="","",Murid!C924)</f>
        <v/>
      </c>
      <c r="D924" s="15">
        <f>IF(Murid!E924="","",Murid!E924)</f>
        <v/>
      </c>
      <c r="E924" s="17">
        <f>KP!X924</f>
        <v/>
      </c>
      <c r="F924" s="17">
        <f>UB!X924</f>
        <v/>
      </c>
      <c r="G924" s="17">
        <f>SP!X924</f>
        <v/>
      </c>
      <c r="H924" s="17">
        <f>IF(COUNT(E924:G924)=0,"",ROUND((LARGE(E924:G924,1)+IF(COUNT(E924:G924)&gt;=2,LARGE(E924:G924,2),0))/2,2))</f>
        <v/>
      </c>
      <c r="I924" s="10">
        <f>Ekstra!U924</f>
        <v/>
      </c>
      <c r="J924" s="18">
        <f>IF(B924="","",IF(Murid!F924="TL","TL",IF(H924="","",MIN(100,ROUND(H924+N(I924),2)))))</f>
        <v/>
      </c>
      <c r="K924" s="19">
        <f>IF(J924="","",IF(J924="TL","TL",IF(J924&gt;=80,"A",IF(J924&gt;=60,"B",IF(J924&gt;=40,"C",IF(J924&gt;=20,"D","E"))))))</f>
        <v/>
      </c>
      <c r="L924" s="15">
        <f>IF(K924="","",IF(K924="A","Cemerlang",IF(K924="B","Kepujian",IF(K924="C","Baik",IF(K924="D","Kurang Memuaskan",IF(K924="E","Tidak Memuaskan","Tidak Laksana"))))))</f>
        <v/>
      </c>
    </row>
    <row r="925">
      <c r="A925" s="15">
        <f>Murid!A925</f>
        <v/>
      </c>
      <c r="B925" s="15">
        <f>IF(Murid!B925="","",Murid!B925)</f>
        <v/>
      </c>
      <c r="C925" s="16">
        <f>IF(Murid!C925="","",Murid!C925)</f>
        <v/>
      </c>
      <c r="D925" s="15">
        <f>IF(Murid!E925="","",Murid!E925)</f>
        <v/>
      </c>
      <c r="E925" s="17">
        <f>KP!X925</f>
        <v/>
      </c>
      <c r="F925" s="17">
        <f>UB!X925</f>
        <v/>
      </c>
      <c r="G925" s="17">
        <f>SP!X925</f>
        <v/>
      </c>
      <c r="H925" s="17">
        <f>IF(COUNT(E925:G925)=0,"",ROUND((LARGE(E925:G925,1)+IF(COUNT(E925:G925)&gt;=2,LARGE(E925:G925,2),0))/2,2))</f>
        <v/>
      </c>
      <c r="I925" s="10">
        <f>Ekstra!U925</f>
        <v/>
      </c>
      <c r="J925" s="18">
        <f>IF(B925="","",IF(Murid!F925="TL","TL",IF(H925="","",MIN(100,ROUND(H925+N(I925),2)))))</f>
        <v/>
      </c>
      <c r="K925" s="19">
        <f>IF(J925="","",IF(J925="TL","TL",IF(J925&gt;=80,"A",IF(J925&gt;=60,"B",IF(J925&gt;=40,"C",IF(J925&gt;=20,"D","E"))))))</f>
        <v/>
      </c>
      <c r="L925" s="15">
        <f>IF(K925="","",IF(K925="A","Cemerlang",IF(K925="B","Kepujian",IF(K925="C","Baik",IF(K925="D","Kurang Memuaskan",IF(K925="E","Tidak Memuaskan","Tidak Laksana"))))))</f>
        <v/>
      </c>
    </row>
    <row r="926">
      <c r="A926" s="15">
        <f>Murid!A926</f>
        <v/>
      </c>
      <c r="B926" s="15">
        <f>IF(Murid!B926="","",Murid!B926)</f>
        <v/>
      </c>
      <c r="C926" s="16">
        <f>IF(Murid!C926="","",Murid!C926)</f>
        <v/>
      </c>
      <c r="D926" s="15">
        <f>IF(Murid!E926="","",Murid!E926)</f>
        <v/>
      </c>
      <c r="E926" s="17">
        <f>KP!X926</f>
        <v/>
      </c>
      <c r="F926" s="17">
        <f>UB!X926</f>
        <v/>
      </c>
      <c r="G926" s="17">
        <f>SP!X926</f>
        <v/>
      </c>
      <c r="H926" s="17">
        <f>IF(COUNT(E926:G926)=0,"",ROUND((LARGE(E926:G926,1)+IF(COUNT(E926:G926)&gt;=2,LARGE(E926:G926,2),0))/2,2))</f>
        <v/>
      </c>
      <c r="I926" s="10">
        <f>Ekstra!U926</f>
        <v/>
      </c>
      <c r="J926" s="18">
        <f>IF(B926="","",IF(Murid!F926="TL","TL",IF(H926="","",MIN(100,ROUND(H926+N(I926),2)))))</f>
        <v/>
      </c>
      <c r="K926" s="19">
        <f>IF(J926="","",IF(J926="TL","TL",IF(J926&gt;=80,"A",IF(J926&gt;=60,"B",IF(J926&gt;=40,"C",IF(J926&gt;=20,"D","E"))))))</f>
        <v/>
      </c>
      <c r="L926" s="15">
        <f>IF(K926="","",IF(K926="A","Cemerlang",IF(K926="B","Kepujian",IF(K926="C","Baik",IF(K926="D","Kurang Memuaskan",IF(K926="E","Tidak Memuaskan","Tidak Laksana"))))))</f>
        <v/>
      </c>
    </row>
    <row r="927">
      <c r="A927" s="15">
        <f>Murid!A927</f>
        <v/>
      </c>
      <c r="B927" s="15">
        <f>IF(Murid!B927="","",Murid!B927)</f>
        <v/>
      </c>
      <c r="C927" s="16">
        <f>IF(Murid!C927="","",Murid!C927)</f>
        <v/>
      </c>
      <c r="D927" s="15">
        <f>IF(Murid!E927="","",Murid!E927)</f>
        <v/>
      </c>
      <c r="E927" s="17">
        <f>KP!X927</f>
        <v/>
      </c>
      <c r="F927" s="17">
        <f>UB!X927</f>
        <v/>
      </c>
      <c r="G927" s="17">
        <f>SP!X927</f>
        <v/>
      </c>
      <c r="H927" s="17">
        <f>IF(COUNT(E927:G927)=0,"",ROUND((LARGE(E927:G927,1)+IF(COUNT(E927:G927)&gt;=2,LARGE(E927:G927,2),0))/2,2))</f>
        <v/>
      </c>
      <c r="I927" s="10">
        <f>Ekstra!U927</f>
        <v/>
      </c>
      <c r="J927" s="18">
        <f>IF(B927="","",IF(Murid!F927="TL","TL",IF(H927="","",MIN(100,ROUND(H927+N(I927),2)))))</f>
        <v/>
      </c>
      <c r="K927" s="19">
        <f>IF(J927="","",IF(J927="TL","TL",IF(J927&gt;=80,"A",IF(J927&gt;=60,"B",IF(J927&gt;=40,"C",IF(J927&gt;=20,"D","E"))))))</f>
        <v/>
      </c>
      <c r="L927" s="15">
        <f>IF(K927="","",IF(K927="A","Cemerlang",IF(K927="B","Kepujian",IF(K927="C","Baik",IF(K927="D","Kurang Memuaskan",IF(K927="E","Tidak Memuaskan","Tidak Laksana"))))))</f>
        <v/>
      </c>
    </row>
    <row r="928">
      <c r="A928" s="15">
        <f>Murid!A928</f>
        <v/>
      </c>
      <c r="B928" s="15">
        <f>IF(Murid!B928="","",Murid!B928)</f>
        <v/>
      </c>
      <c r="C928" s="16">
        <f>IF(Murid!C928="","",Murid!C928)</f>
        <v/>
      </c>
      <c r="D928" s="15">
        <f>IF(Murid!E928="","",Murid!E928)</f>
        <v/>
      </c>
      <c r="E928" s="17">
        <f>KP!X928</f>
        <v/>
      </c>
      <c r="F928" s="17">
        <f>UB!X928</f>
        <v/>
      </c>
      <c r="G928" s="17">
        <f>SP!X928</f>
        <v/>
      </c>
      <c r="H928" s="17">
        <f>IF(COUNT(E928:G928)=0,"",ROUND((LARGE(E928:G928,1)+IF(COUNT(E928:G928)&gt;=2,LARGE(E928:G928,2),0))/2,2))</f>
        <v/>
      </c>
      <c r="I928" s="10">
        <f>Ekstra!U928</f>
        <v/>
      </c>
      <c r="J928" s="18">
        <f>IF(B928="","",IF(Murid!F928="TL","TL",IF(H928="","",MIN(100,ROUND(H928+N(I928),2)))))</f>
        <v/>
      </c>
      <c r="K928" s="19">
        <f>IF(J928="","",IF(J928="TL","TL",IF(J928&gt;=80,"A",IF(J928&gt;=60,"B",IF(J928&gt;=40,"C",IF(J928&gt;=20,"D","E"))))))</f>
        <v/>
      </c>
      <c r="L928" s="15">
        <f>IF(K928="","",IF(K928="A","Cemerlang",IF(K928="B","Kepujian",IF(K928="C","Baik",IF(K928="D","Kurang Memuaskan",IF(K928="E","Tidak Memuaskan","Tidak Laksana"))))))</f>
        <v/>
      </c>
    </row>
    <row r="929">
      <c r="A929" s="15">
        <f>Murid!A929</f>
        <v/>
      </c>
      <c r="B929" s="15">
        <f>IF(Murid!B929="","",Murid!B929)</f>
        <v/>
      </c>
      <c r="C929" s="16">
        <f>IF(Murid!C929="","",Murid!C929)</f>
        <v/>
      </c>
      <c r="D929" s="15">
        <f>IF(Murid!E929="","",Murid!E929)</f>
        <v/>
      </c>
      <c r="E929" s="17">
        <f>KP!X929</f>
        <v/>
      </c>
      <c r="F929" s="17">
        <f>UB!X929</f>
        <v/>
      </c>
      <c r="G929" s="17">
        <f>SP!X929</f>
        <v/>
      </c>
      <c r="H929" s="17">
        <f>IF(COUNT(E929:G929)=0,"",ROUND((LARGE(E929:G929,1)+IF(COUNT(E929:G929)&gt;=2,LARGE(E929:G929,2),0))/2,2))</f>
        <v/>
      </c>
      <c r="I929" s="10">
        <f>Ekstra!U929</f>
        <v/>
      </c>
      <c r="J929" s="18">
        <f>IF(B929="","",IF(Murid!F929="TL","TL",IF(H929="","",MIN(100,ROUND(H929+N(I929),2)))))</f>
        <v/>
      </c>
      <c r="K929" s="19">
        <f>IF(J929="","",IF(J929="TL","TL",IF(J929&gt;=80,"A",IF(J929&gt;=60,"B",IF(J929&gt;=40,"C",IF(J929&gt;=20,"D","E"))))))</f>
        <v/>
      </c>
      <c r="L929" s="15">
        <f>IF(K929="","",IF(K929="A","Cemerlang",IF(K929="B","Kepujian",IF(K929="C","Baik",IF(K929="D","Kurang Memuaskan",IF(K929="E","Tidak Memuaskan","Tidak Laksana"))))))</f>
        <v/>
      </c>
    </row>
    <row r="930">
      <c r="A930" s="15">
        <f>Murid!A930</f>
        <v/>
      </c>
      <c r="B930" s="15">
        <f>IF(Murid!B930="","",Murid!B930)</f>
        <v/>
      </c>
      <c r="C930" s="16">
        <f>IF(Murid!C930="","",Murid!C930)</f>
        <v/>
      </c>
      <c r="D930" s="15">
        <f>IF(Murid!E930="","",Murid!E930)</f>
        <v/>
      </c>
      <c r="E930" s="17">
        <f>KP!X930</f>
        <v/>
      </c>
      <c r="F930" s="17">
        <f>UB!X930</f>
        <v/>
      </c>
      <c r="G930" s="17">
        <f>SP!X930</f>
        <v/>
      </c>
      <c r="H930" s="17">
        <f>IF(COUNT(E930:G930)=0,"",ROUND((LARGE(E930:G930,1)+IF(COUNT(E930:G930)&gt;=2,LARGE(E930:G930,2),0))/2,2))</f>
        <v/>
      </c>
      <c r="I930" s="10">
        <f>Ekstra!U930</f>
        <v/>
      </c>
      <c r="J930" s="18">
        <f>IF(B930="","",IF(Murid!F930="TL","TL",IF(H930="","",MIN(100,ROUND(H930+N(I930),2)))))</f>
        <v/>
      </c>
      <c r="K930" s="19">
        <f>IF(J930="","",IF(J930="TL","TL",IF(J930&gt;=80,"A",IF(J930&gt;=60,"B",IF(J930&gt;=40,"C",IF(J930&gt;=20,"D","E"))))))</f>
        <v/>
      </c>
      <c r="L930" s="15">
        <f>IF(K930="","",IF(K930="A","Cemerlang",IF(K930="B","Kepujian",IF(K930="C","Baik",IF(K930="D","Kurang Memuaskan",IF(K930="E","Tidak Memuaskan","Tidak Laksana"))))))</f>
        <v/>
      </c>
    </row>
    <row r="931">
      <c r="A931" s="15">
        <f>Murid!A931</f>
        <v/>
      </c>
      <c r="B931" s="15">
        <f>IF(Murid!B931="","",Murid!B931)</f>
        <v/>
      </c>
      <c r="C931" s="16">
        <f>IF(Murid!C931="","",Murid!C931)</f>
        <v/>
      </c>
      <c r="D931" s="15">
        <f>IF(Murid!E931="","",Murid!E931)</f>
        <v/>
      </c>
      <c r="E931" s="17">
        <f>KP!X931</f>
        <v/>
      </c>
      <c r="F931" s="17">
        <f>UB!X931</f>
        <v/>
      </c>
      <c r="G931" s="17">
        <f>SP!X931</f>
        <v/>
      </c>
      <c r="H931" s="17">
        <f>IF(COUNT(E931:G931)=0,"",ROUND((LARGE(E931:G931,1)+IF(COUNT(E931:G931)&gt;=2,LARGE(E931:G931,2),0))/2,2))</f>
        <v/>
      </c>
      <c r="I931" s="10">
        <f>Ekstra!U931</f>
        <v/>
      </c>
      <c r="J931" s="18">
        <f>IF(B931="","",IF(Murid!F931="TL","TL",IF(H931="","",MIN(100,ROUND(H931+N(I931),2)))))</f>
        <v/>
      </c>
      <c r="K931" s="19">
        <f>IF(J931="","",IF(J931="TL","TL",IF(J931&gt;=80,"A",IF(J931&gt;=60,"B",IF(J931&gt;=40,"C",IF(J931&gt;=20,"D","E"))))))</f>
        <v/>
      </c>
      <c r="L931" s="15">
        <f>IF(K931="","",IF(K931="A","Cemerlang",IF(K931="B","Kepujian",IF(K931="C","Baik",IF(K931="D","Kurang Memuaskan",IF(K931="E","Tidak Memuaskan","Tidak Laksana"))))))</f>
        <v/>
      </c>
    </row>
    <row r="932">
      <c r="A932" s="15">
        <f>Murid!A932</f>
        <v/>
      </c>
      <c r="B932" s="15">
        <f>IF(Murid!B932="","",Murid!B932)</f>
        <v/>
      </c>
      <c r="C932" s="16">
        <f>IF(Murid!C932="","",Murid!C932)</f>
        <v/>
      </c>
      <c r="D932" s="15">
        <f>IF(Murid!E932="","",Murid!E932)</f>
        <v/>
      </c>
      <c r="E932" s="17">
        <f>KP!X932</f>
        <v/>
      </c>
      <c r="F932" s="17">
        <f>UB!X932</f>
        <v/>
      </c>
      <c r="G932" s="17">
        <f>SP!X932</f>
        <v/>
      </c>
      <c r="H932" s="17">
        <f>IF(COUNT(E932:G932)=0,"",ROUND((LARGE(E932:G932,1)+IF(COUNT(E932:G932)&gt;=2,LARGE(E932:G932,2),0))/2,2))</f>
        <v/>
      </c>
      <c r="I932" s="10">
        <f>Ekstra!U932</f>
        <v/>
      </c>
      <c r="J932" s="18">
        <f>IF(B932="","",IF(Murid!F932="TL","TL",IF(H932="","",MIN(100,ROUND(H932+N(I932),2)))))</f>
        <v/>
      </c>
      <c r="K932" s="19">
        <f>IF(J932="","",IF(J932="TL","TL",IF(J932&gt;=80,"A",IF(J932&gt;=60,"B",IF(J932&gt;=40,"C",IF(J932&gt;=20,"D","E"))))))</f>
        <v/>
      </c>
      <c r="L932" s="15">
        <f>IF(K932="","",IF(K932="A","Cemerlang",IF(K932="B","Kepujian",IF(K932="C","Baik",IF(K932="D","Kurang Memuaskan",IF(K932="E","Tidak Memuaskan","Tidak Laksana"))))))</f>
        <v/>
      </c>
    </row>
    <row r="933">
      <c r="A933" s="15">
        <f>Murid!A933</f>
        <v/>
      </c>
      <c r="B933" s="15">
        <f>IF(Murid!B933="","",Murid!B933)</f>
        <v/>
      </c>
      <c r="C933" s="16">
        <f>IF(Murid!C933="","",Murid!C933)</f>
        <v/>
      </c>
      <c r="D933" s="15">
        <f>IF(Murid!E933="","",Murid!E933)</f>
        <v/>
      </c>
      <c r="E933" s="17">
        <f>KP!X933</f>
        <v/>
      </c>
      <c r="F933" s="17">
        <f>UB!X933</f>
        <v/>
      </c>
      <c r="G933" s="17">
        <f>SP!X933</f>
        <v/>
      </c>
      <c r="H933" s="17">
        <f>IF(COUNT(E933:G933)=0,"",ROUND((LARGE(E933:G933,1)+IF(COUNT(E933:G933)&gt;=2,LARGE(E933:G933,2),0))/2,2))</f>
        <v/>
      </c>
      <c r="I933" s="10">
        <f>Ekstra!U933</f>
        <v/>
      </c>
      <c r="J933" s="18">
        <f>IF(B933="","",IF(Murid!F933="TL","TL",IF(H933="","",MIN(100,ROUND(H933+N(I933),2)))))</f>
        <v/>
      </c>
      <c r="K933" s="19">
        <f>IF(J933="","",IF(J933="TL","TL",IF(J933&gt;=80,"A",IF(J933&gt;=60,"B",IF(J933&gt;=40,"C",IF(J933&gt;=20,"D","E"))))))</f>
        <v/>
      </c>
      <c r="L933" s="15">
        <f>IF(K933="","",IF(K933="A","Cemerlang",IF(K933="B","Kepujian",IF(K933="C","Baik",IF(K933="D","Kurang Memuaskan",IF(K933="E","Tidak Memuaskan","Tidak Laksana"))))))</f>
        <v/>
      </c>
    </row>
    <row r="934">
      <c r="A934" s="15">
        <f>Murid!A934</f>
        <v/>
      </c>
      <c r="B934" s="15">
        <f>IF(Murid!B934="","",Murid!B934)</f>
        <v/>
      </c>
      <c r="C934" s="16">
        <f>IF(Murid!C934="","",Murid!C934)</f>
        <v/>
      </c>
      <c r="D934" s="15">
        <f>IF(Murid!E934="","",Murid!E934)</f>
        <v/>
      </c>
      <c r="E934" s="17">
        <f>KP!X934</f>
        <v/>
      </c>
      <c r="F934" s="17">
        <f>UB!X934</f>
        <v/>
      </c>
      <c r="G934" s="17">
        <f>SP!X934</f>
        <v/>
      </c>
      <c r="H934" s="17">
        <f>IF(COUNT(E934:G934)=0,"",ROUND((LARGE(E934:G934,1)+IF(COUNT(E934:G934)&gt;=2,LARGE(E934:G934,2),0))/2,2))</f>
        <v/>
      </c>
      <c r="I934" s="10">
        <f>Ekstra!U934</f>
        <v/>
      </c>
      <c r="J934" s="18">
        <f>IF(B934="","",IF(Murid!F934="TL","TL",IF(H934="","",MIN(100,ROUND(H934+N(I934),2)))))</f>
        <v/>
      </c>
      <c r="K934" s="19">
        <f>IF(J934="","",IF(J934="TL","TL",IF(J934&gt;=80,"A",IF(J934&gt;=60,"B",IF(J934&gt;=40,"C",IF(J934&gt;=20,"D","E"))))))</f>
        <v/>
      </c>
      <c r="L934" s="15">
        <f>IF(K934="","",IF(K934="A","Cemerlang",IF(K934="B","Kepujian",IF(K934="C","Baik",IF(K934="D","Kurang Memuaskan",IF(K934="E","Tidak Memuaskan","Tidak Laksana"))))))</f>
        <v/>
      </c>
    </row>
    <row r="935">
      <c r="A935" s="15">
        <f>Murid!A935</f>
        <v/>
      </c>
      <c r="B935" s="15">
        <f>IF(Murid!B935="","",Murid!B935)</f>
        <v/>
      </c>
      <c r="C935" s="16">
        <f>IF(Murid!C935="","",Murid!C935)</f>
        <v/>
      </c>
      <c r="D935" s="15">
        <f>IF(Murid!E935="","",Murid!E935)</f>
        <v/>
      </c>
      <c r="E935" s="17">
        <f>KP!X935</f>
        <v/>
      </c>
      <c r="F935" s="17">
        <f>UB!X935</f>
        <v/>
      </c>
      <c r="G935" s="17">
        <f>SP!X935</f>
        <v/>
      </c>
      <c r="H935" s="17">
        <f>IF(COUNT(E935:G935)=0,"",ROUND((LARGE(E935:G935,1)+IF(COUNT(E935:G935)&gt;=2,LARGE(E935:G935,2),0))/2,2))</f>
        <v/>
      </c>
      <c r="I935" s="10">
        <f>Ekstra!U935</f>
        <v/>
      </c>
      <c r="J935" s="18">
        <f>IF(B935="","",IF(Murid!F935="TL","TL",IF(H935="","",MIN(100,ROUND(H935+N(I935),2)))))</f>
        <v/>
      </c>
      <c r="K935" s="19">
        <f>IF(J935="","",IF(J935="TL","TL",IF(J935&gt;=80,"A",IF(J935&gt;=60,"B",IF(J935&gt;=40,"C",IF(J935&gt;=20,"D","E"))))))</f>
        <v/>
      </c>
      <c r="L935" s="15">
        <f>IF(K935="","",IF(K935="A","Cemerlang",IF(K935="B","Kepujian",IF(K935="C","Baik",IF(K935="D","Kurang Memuaskan",IF(K935="E","Tidak Memuaskan","Tidak Laksana"))))))</f>
        <v/>
      </c>
    </row>
    <row r="936">
      <c r="A936" s="15">
        <f>Murid!A936</f>
        <v/>
      </c>
      <c r="B936" s="15">
        <f>IF(Murid!B936="","",Murid!B936)</f>
        <v/>
      </c>
      <c r="C936" s="16">
        <f>IF(Murid!C936="","",Murid!C936)</f>
        <v/>
      </c>
      <c r="D936" s="15">
        <f>IF(Murid!E936="","",Murid!E936)</f>
        <v/>
      </c>
      <c r="E936" s="17">
        <f>KP!X936</f>
        <v/>
      </c>
      <c r="F936" s="17">
        <f>UB!X936</f>
        <v/>
      </c>
      <c r="G936" s="17">
        <f>SP!X936</f>
        <v/>
      </c>
      <c r="H936" s="17">
        <f>IF(COUNT(E936:G936)=0,"",ROUND((LARGE(E936:G936,1)+IF(COUNT(E936:G936)&gt;=2,LARGE(E936:G936,2),0))/2,2))</f>
        <v/>
      </c>
      <c r="I936" s="10">
        <f>Ekstra!U936</f>
        <v/>
      </c>
      <c r="J936" s="18">
        <f>IF(B936="","",IF(Murid!F936="TL","TL",IF(H936="","",MIN(100,ROUND(H936+N(I936),2)))))</f>
        <v/>
      </c>
      <c r="K936" s="19">
        <f>IF(J936="","",IF(J936="TL","TL",IF(J936&gt;=80,"A",IF(J936&gt;=60,"B",IF(J936&gt;=40,"C",IF(J936&gt;=20,"D","E"))))))</f>
        <v/>
      </c>
      <c r="L936" s="15">
        <f>IF(K936="","",IF(K936="A","Cemerlang",IF(K936="B","Kepujian",IF(K936="C","Baik",IF(K936="D","Kurang Memuaskan",IF(K936="E","Tidak Memuaskan","Tidak Laksana"))))))</f>
        <v/>
      </c>
    </row>
    <row r="937">
      <c r="A937" s="15">
        <f>Murid!A937</f>
        <v/>
      </c>
      <c r="B937" s="15">
        <f>IF(Murid!B937="","",Murid!B937)</f>
        <v/>
      </c>
      <c r="C937" s="16">
        <f>IF(Murid!C937="","",Murid!C937)</f>
        <v/>
      </c>
      <c r="D937" s="15">
        <f>IF(Murid!E937="","",Murid!E937)</f>
        <v/>
      </c>
      <c r="E937" s="17">
        <f>KP!X937</f>
        <v/>
      </c>
      <c r="F937" s="17">
        <f>UB!X937</f>
        <v/>
      </c>
      <c r="G937" s="17">
        <f>SP!X937</f>
        <v/>
      </c>
      <c r="H937" s="17">
        <f>IF(COUNT(E937:G937)=0,"",ROUND((LARGE(E937:G937,1)+IF(COUNT(E937:G937)&gt;=2,LARGE(E937:G937,2),0))/2,2))</f>
        <v/>
      </c>
      <c r="I937" s="10">
        <f>Ekstra!U937</f>
        <v/>
      </c>
      <c r="J937" s="18">
        <f>IF(B937="","",IF(Murid!F937="TL","TL",IF(H937="","",MIN(100,ROUND(H937+N(I937),2)))))</f>
        <v/>
      </c>
      <c r="K937" s="19">
        <f>IF(J937="","",IF(J937="TL","TL",IF(J937&gt;=80,"A",IF(J937&gt;=60,"B",IF(J937&gt;=40,"C",IF(J937&gt;=20,"D","E"))))))</f>
        <v/>
      </c>
      <c r="L937" s="15">
        <f>IF(K937="","",IF(K937="A","Cemerlang",IF(K937="B","Kepujian",IF(K937="C","Baik",IF(K937="D","Kurang Memuaskan",IF(K937="E","Tidak Memuaskan","Tidak Laksana"))))))</f>
        <v/>
      </c>
    </row>
    <row r="938">
      <c r="A938" s="15">
        <f>Murid!A938</f>
        <v/>
      </c>
      <c r="B938" s="15">
        <f>IF(Murid!B938="","",Murid!B938)</f>
        <v/>
      </c>
      <c r="C938" s="16">
        <f>IF(Murid!C938="","",Murid!C938)</f>
        <v/>
      </c>
      <c r="D938" s="15">
        <f>IF(Murid!E938="","",Murid!E938)</f>
        <v/>
      </c>
      <c r="E938" s="17">
        <f>KP!X938</f>
        <v/>
      </c>
      <c r="F938" s="17">
        <f>UB!X938</f>
        <v/>
      </c>
      <c r="G938" s="17">
        <f>SP!X938</f>
        <v/>
      </c>
      <c r="H938" s="17">
        <f>IF(COUNT(E938:G938)=0,"",ROUND((LARGE(E938:G938,1)+IF(COUNT(E938:G938)&gt;=2,LARGE(E938:G938,2),0))/2,2))</f>
        <v/>
      </c>
      <c r="I938" s="10">
        <f>Ekstra!U938</f>
        <v/>
      </c>
      <c r="J938" s="18">
        <f>IF(B938="","",IF(Murid!F938="TL","TL",IF(H938="","",MIN(100,ROUND(H938+N(I938),2)))))</f>
        <v/>
      </c>
      <c r="K938" s="19">
        <f>IF(J938="","",IF(J938="TL","TL",IF(J938&gt;=80,"A",IF(J938&gt;=60,"B",IF(J938&gt;=40,"C",IF(J938&gt;=20,"D","E"))))))</f>
        <v/>
      </c>
      <c r="L938" s="15">
        <f>IF(K938="","",IF(K938="A","Cemerlang",IF(K938="B","Kepujian",IF(K938="C","Baik",IF(K938="D","Kurang Memuaskan",IF(K938="E","Tidak Memuaskan","Tidak Laksana"))))))</f>
        <v/>
      </c>
    </row>
    <row r="939">
      <c r="A939" s="15">
        <f>Murid!A939</f>
        <v/>
      </c>
      <c r="B939" s="15">
        <f>IF(Murid!B939="","",Murid!B939)</f>
        <v/>
      </c>
      <c r="C939" s="16">
        <f>IF(Murid!C939="","",Murid!C939)</f>
        <v/>
      </c>
      <c r="D939" s="15">
        <f>IF(Murid!E939="","",Murid!E939)</f>
        <v/>
      </c>
      <c r="E939" s="17">
        <f>KP!X939</f>
        <v/>
      </c>
      <c r="F939" s="17">
        <f>UB!X939</f>
        <v/>
      </c>
      <c r="G939" s="17">
        <f>SP!X939</f>
        <v/>
      </c>
      <c r="H939" s="17">
        <f>IF(COUNT(E939:G939)=0,"",ROUND((LARGE(E939:G939,1)+IF(COUNT(E939:G939)&gt;=2,LARGE(E939:G939,2),0))/2,2))</f>
        <v/>
      </c>
      <c r="I939" s="10">
        <f>Ekstra!U939</f>
        <v/>
      </c>
      <c r="J939" s="18">
        <f>IF(B939="","",IF(Murid!F939="TL","TL",IF(H939="","",MIN(100,ROUND(H939+N(I939),2)))))</f>
        <v/>
      </c>
      <c r="K939" s="19">
        <f>IF(J939="","",IF(J939="TL","TL",IF(J939&gt;=80,"A",IF(J939&gt;=60,"B",IF(J939&gt;=40,"C",IF(J939&gt;=20,"D","E"))))))</f>
        <v/>
      </c>
      <c r="L939" s="15">
        <f>IF(K939="","",IF(K939="A","Cemerlang",IF(K939="B","Kepujian",IF(K939="C","Baik",IF(K939="D","Kurang Memuaskan",IF(K939="E","Tidak Memuaskan","Tidak Laksana"))))))</f>
        <v/>
      </c>
    </row>
    <row r="940">
      <c r="A940" s="15">
        <f>Murid!A940</f>
        <v/>
      </c>
      <c r="B940" s="15">
        <f>IF(Murid!B940="","",Murid!B940)</f>
        <v/>
      </c>
      <c r="C940" s="16">
        <f>IF(Murid!C940="","",Murid!C940)</f>
        <v/>
      </c>
      <c r="D940" s="15">
        <f>IF(Murid!E940="","",Murid!E940)</f>
        <v/>
      </c>
      <c r="E940" s="17">
        <f>KP!X940</f>
        <v/>
      </c>
      <c r="F940" s="17">
        <f>UB!X940</f>
        <v/>
      </c>
      <c r="G940" s="17">
        <f>SP!X940</f>
        <v/>
      </c>
      <c r="H940" s="17">
        <f>IF(COUNT(E940:G940)=0,"",ROUND((LARGE(E940:G940,1)+IF(COUNT(E940:G940)&gt;=2,LARGE(E940:G940,2),0))/2,2))</f>
        <v/>
      </c>
      <c r="I940" s="10">
        <f>Ekstra!U940</f>
        <v/>
      </c>
      <c r="J940" s="18">
        <f>IF(B940="","",IF(Murid!F940="TL","TL",IF(H940="","",MIN(100,ROUND(H940+N(I940),2)))))</f>
        <v/>
      </c>
      <c r="K940" s="19">
        <f>IF(J940="","",IF(J940="TL","TL",IF(J940&gt;=80,"A",IF(J940&gt;=60,"B",IF(J940&gt;=40,"C",IF(J940&gt;=20,"D","E"))))))</f>
        <v/>
      </c>
      <c r="L940" s="15">
        <f>IF(K940="","",IF(K940="A","Cemerlang",IF(K940="B","Kepujian",IF(K940="C","Baik",IF(K940="D","Kurang Memuaskan",IF(K940="E","Tidak Memuaskan","Tidak Laksana"))))))</f>
        <v/>
      </c>
    </row>
    <row r="941">
      <c r="A941" s="15">
        <f>Murid!A941</f>
        <v/>
      </c>
      <c r="B941" s="15">
        <f>IF(Murid!B941="","",Murid!B941)</f>
        <v/>
      </c>
      <c r="C941" s="16">
        <f>IF(Murid!C941="","",Murid!C941)</f>
        <v/>
      </c>
      <c r="D941" s="15">
        <f>IF(Murid!E941="","",Murid!E941)</f>
        <v/>
      </c>
      <c r="E941" s="17">
        <f>KP!X941</f>
        <v/>
      </c>
      <c r="F941" s="17">
        <f>UB!X941</f>
        <v/>
      </c>
      <c r="G941" s="17">
        <f>SP!X941</f>
        <v/>
      </c>
      <c r="H941" s="17">
        <f>IF(COUNT(E941:G941)=0,"",ROUND((LARGE(E941:G941,1)+IF(COUNT(E941:G941)&gt;=2,LARGE(E941:G941,2),0))/2,2))</f>
        <v/>
      </c>
      <c r="I941" s="10">
        <f>Ekstra!U941</f>
        <v/>
      </c>
      <c r="J941" s="18">
        <f>IF(B941="","",IF(Murid!F941="TL","TL",IF(H941="","",MIN(100,ROUND(H941+N(I941),2)))))</f>
        <v/>
      </c>
      <c r="K941" s="19">
        <f>IF(J941="","",IF(J941="TL","TL",IF(J941&gt;=80,"A",IF(J941&gt;=60,"B",IF(J941&gt;=40,"C",IF(J941&gt;=20,"D","E"))))))</f>
        <v/>
      </c>
      <c r="L941" s="15">
        <f>IF(K941="","",IF(K941="A","Cemerlang",IF(K941="B","Kepujian",IF(K941="C","Baik",IF(K941="D","Kurang Memuaskan",IF(K941="E","Tidak Memuaskan","Tidak Laksana"))))))</f>
        <v/>
      </c>
    </row>
    <row r="942">
      <c r="A942" s="15">
        <f>Murid!A942</f>
        <v/>
      </c>
      <c r="B942" s="15">
        <f>IF(Murid!B942="","",Murid!B942)</f>
        <v/>
      </c>
      <c r="C942" s="16">
        <f>IF(Murid!C942="","",Murid!C942)</f>
        <v/>
      </c>
      <c r="D942" s="15">
        <f>IF(Murid!E942="","",Murid!E942)</f>
        <v/>
      </c>
      <c r="E942" s="17">
        <f>KP!X942</f>
        <v/>
      </c>
      <c r="F942" s="17">
        <f>UB!X942</f>
        <v/>
      </c>
      <c r="G942" s="17">
        <f>SP!X942</f>
        <v/>
      </c>
      <c r="H942" s="17">
        <f>IF(COUNT(E942:G942)=0,"",ROUND((LARGE(E942:G942,1)+IF(COUNT(E942:G942)&gt;=2,LARGE(E942:G942,2),0))/2,2))</f>
        <v/>
      </c>
      <c r="I942" s="10">
        <f>Ekstra!U942</f>
        <v/>
      </c>
      <c r="J942" s="18">
        <f>IF(B942="","",IF(Murid!F942="TL","TL",IF(H942="","",MIN(100,ROUND(H942+N(I942),2)))))</f>
        <v/>
      </c>
      <c r="K942" s="19">
        <f>IF(J942="","",IF(J942="TL","TL",IF(J942&gt;=80,"A",IF(J942&gt;=60,"B",IF(J942&gt;=40,"C",IF(J942&gt;=20,"D","E"))))))</f>
        <v/>
      </c>
      <c r="L942" s="15">
        <f>IF(K942="","",IF(K942="A","Cemerlang",IF(K942="B","Kepujian",IF(K942="C","Baik",IF(K942="D","Kurang Memuaskan",IF(K942="E","Tidak Memuaskan","Tidak Laksana"))))))</f>
        <v/>
      </c>
    </row>
    <row r="943">
      <c r="A943" s="15">
        <f>Murid!A943</f>
        <v/>
      </c>
      <c r="B943" s="15">
        <f>IF(Murid!B943="","",Murid!B943)</f>
        <v/>
      </c>
      <c r="C943" s="16">
        <f>IF(Murid!C943="","",Murid!C943)</f>
        <v/>
      </c>
      <c r="D943" s="15">
        <f>IF(Murid!E943="","",Murid!E943)</f>
        <v/>
      </c>
      <c r="E943" s="17">
        <f>KP!X943</f>
        <v/>
      </c>
      <c r="F943" s="17">
        <f>UB!X943</f>
        <v/>
      </c>
      <c r="G943" s="17">
        <f>SP!X943</f>
        <v/>
      </c>
      <c r="H943" s="17">
        <f>IF(COUNT(E943:G943)=0,"",ROUND((LARGE(E943:G943,1)+IF(COUNT(E943:G943)&gt;=2,LARGE(E943:G943,2),0))/2,2))</f>
        <v/>
      </c>
      <c r="I943" s="10">
        <f>Ekstra!U943</f>
        <v/>
      </c>
      <c r="J943" s="18">
        <f>IF(B943="","",IF(Murid!F943="TL","TL",IF(H943="","",MIN(100,ROUND(H943+N(I943),2)))))</f>
        <v/>
      </c>
      <c r="K943" s="19">
        <f>IF(J943="","",IF(J943="TL","TL",IF(J943&gt;=80,"A",IF(J943&gt;=60,"B",IF(J943&gt;=40,"C",IF(J943&gt;=20,"D","E"))))))</f>
        <v/>
      </c>
      <c r="L943" s="15">
        <f>IF(K943="","",IF(K943="A","Cemerlang",IF(K943="B","Kepujian",IF(K943="C","Baik",IF(K943="D","Kurang Memuaskan",IF(K943="E","Tidak Memuaskan","Tidak Laksana"))))))</f>
        <v/>
      </c>
    </row>
    <row r="944">
      <c r="A944" s="15">
        <f>Murid!A944</f>
        <v/>
      </c>
      <c r="B944" s="15">
        <f>IF(Murid!B944="","",Murid!B944)</f>
        <v/>
      </c>
      <c r="C944" s="16">
        <f>IF(Murid!C944="","",Murid!C944)</f>
        <v/>
      </c>
      <c r="D944" s="15">
        <f>IF(Murid!E944="","",Murid!E944)</f>
        <v/>
      </c>
      <c r="E944" s="17">
        <f>KP!X944</f>
        <v/>
      </c>
      <c r="F944" s="17">
        <f>UB!X944</f>
        <v/>
      </c>
      <c r="G944" s="17">
        <f>SP!X944</f>
        <v/>
      </c>
      <c r="H944" s="17">
        <f>IF(COUNT(E944:G944)=0,"",ROUND((LARGE(E944:G944,1)+IF(COUNT(E944:G944)&gt;=2,LARGE(E944:G944,2),0))/2,2))</f>
        <v/>
      </c>
      <c r="I944" s="10">
        <f>Ekstra!U944</f>
        <v/>
      </c>
      <c r="J944" s="18">
        <f>IF(B944="","",IF(Murid!F944="TL","TL",IF(H944="","",MIN(100,ROUND(H944+N(I944),2)))))</f>
        <v/>
      </c>
      <c r="K944" s="19">
        <f>IF(J944="","",IF(J944="TL","TL",IF(J944&gt;=80,"A",IF(J944&gt;=60,"B",IF(J944&gt;=40,"C",IF(J944&gt;=20,"D","E"))))))</f>
        <v/>
      </c>
      <c r="L944" s="15">
        <f>IF(K944="","",IF(K944="A","Cemerlang",IF(K944="B","Kepujian",IF(K944="C","Baik",IF(K944="D","Kurang Memuaskan",IF(K944="E","Tidak Memuaskan","Tidak Laksana"))))))</f>
        <v/>
      </c>
    </row>
    <row r="945">
      <c r="A945" s="15">
        <f>Murid!A945</f>
        <v/>
      </c>
      <c r="B945" s="15">
        <f>IF(Murid!B945="","",Murid!B945)</f>
        <v/>
      </c>
      <c r="C945" s="16">
        <f>IF(Murid!C945="","",Murid!C945)</f>
        <v/>
      </c>
      <c r="D945" s="15">
        <f>IF(Murid!E945="","",Murid!E945)</f>
        <v/>
      </c>
      <c r="E945" s="17">
        <f>KP!X945</f>
        <v/>
      </c>
      <c r="F945" s="17">
        <f>UB!X945</f>
        <v/>
      </c>
      <c r="G945" s="17">
        <f>SP!X945</f>
        <v/>
      </c>
      <c r="H945" s="17">
        <f>IF(COUNT(E945:G945)=0,"",ROUND((LARGE(E945:G945,1)+IF(COUNT(E945:G945)&gt;=2,LARGE(E945:G945,2),0))/2,2))</f>
        <v/>
      </c>
      <c r="I945" s="10">
        <f>Ekstra!U945</f>
        <v/>
      </c>
      <c r="J945" s="18">
        <f>IF(B945="","",IF(Murid!F945="TL","TL",IF(H945="","",MIN(100,ROUND(H945+N(I945),2)))))</f>
        <v/>
      </c>
      <c r="K945" s="19">
        <f>IF(J945="","",IF(J945="TL","TL",IF(J945&gt;=80,"A",IF(J945&gt;=60,"B",IF(J945&gt;=40,"C",IF(J945&gt;=20,"D","E"))))))</f>
        <v/>
      </c>
      <c r="L945" s="15">
        <f>IF(K945="","",IF(K945="A","Cemerlang",IF(K945="B","Kepujian",IF(K945="C","Baik",IF(K945="D","Kurang Memuaskan",IF(K945="E","Tidak Memuaskan","Tidak Laksana"))))))</f>
        <v/>
      </c>
    </row>
    <row r="946">
      <c r="A946" s="15">
        <f>Murid!A946</f>
        <v/>
      </c>
      <c r="B946" s="15">
        <f>IF(Murid!B946="","",Murid!B946)</f>
        <v/>
      </c>
      <c r="C946" s="16">
        <f>IF(Murid!C946="","",Murid!C946)</f>
        <v/>
      </c>
      <c r="D946" s="15">
        <f>IF(Murid!E946="","",Murid!E946)</f>
        <v/>
      </c>
      <c r="E946" s="17">
        <f>KP!X946</f>
        <v/>
      </c>
      <c r="F946" s="17">
        <f>UB!X946</f>
        <v/>
      </c>
      <c r="G946" s="17">
        <f>SP!X946</f>
        <v/>
      </c>
      <c r="H946" s="17">
        <f>IF(COUNT(E946:G946)=0,"",ROUND((LARGE(E946:G946,1)+IF(COUNT(E946:G946)&gt;=2,LARGE(E946:G946,2),0))/2,2))</f>
        <v/>
      </c>
      <c r="I946" s="10">
        <f>Ekstra!U946</f>
        <v/>
      </c>
      <c r="J946" s="18">
        <f>IF(B946="","",IF(Murid!F946="TL","TL",IF(H946="","",MIN(100,ROUND(H946+N(I946),2)))))</f>
        <v/>
      </c>
      <c r="K946" s="19">
        <f>IF(J946="","",IF(J946="TL","TL",IF(J946&gt;=80,"A",IF(J946&gt;=60,"B",IF(J946&gt;=40,"C",IF(J946&gt;=20,"D","E"))))))</f>
        <v/>
      </c>
      <c r="L946" s="15">
        <f>IF(K946="","",IF(K946="A","Cemerlang",IF(K946="B","Kepujian",IF(K946="C","Baik",IF(K946="D","Kurang Memuaskan",IF(K946="E","Tidak Memuaskan","Tidak Laksana"))))))</f>
        <v/>
      </c>
    </row>
    <row r="947">
      <c r="A947" s="15">
        <f>Murid!A947</f>
        <v/>
      </c>
      <c r="B947" s="15">
        <f>IF(Murid!B947="","",Murid!B947)</f>
        <v/>
      </c>
      <c r="C947" s="16">
        <f>IF(Murid!C947="","",Murid!C947)</f>
        <v/>
      </c>
      <c r="D947" s="15">
        <f>IF(Murid!E947="","",Murid!E947)</f>
        <v/>
      </c>
      <c r="E947" s="17">
        <f>KP!X947</f>
        <v/>
      </c>
      <c r="F947" s="17">
        <f>UB!X947</f>
        <v/>
      </c>
      <c r="G947" s="17">
        <f>SP!X947</f>
        <v/>
      </c>
      <c r="H947" s="17">
        <f>IF(COUNT(E947:G947)=0,"",ROUND((LARGE(E947:G947,1)+IF(COUNT(E947:G947)&gt;=2,LARGE(E947:G947,2),0))/2,2))</f>
        <v/>
      </c>
      <c r="I947" s="10">
        <f>Ekstra!U947</f>
        <v/>
      </c>
      <c r="J947" s="18">
        <f>IF(B947="","",IF(Murid!F947="TL","TL",IF(H947="","",MIN(100,ROUND(H947+N(I947),2)))))</f>
        <v/>
      </c>
      <c r="K947" s="19">
        <f>IF(J947="","",IF(J947="TL","TL",IF(J947&gt;=80,"A",IF(J947&gt;=60,"B",IF(J947&gt;=40,"C",IF(J947&gt;=20,"D","E"))))))</f>
        <v/>
      </c>
      <c r="L947" s="15">
        <f>IF(K947="","",IF(K947="A","Cemerlang",IF(K947="B","Kepujian",IF(K947="C","Baik",IF(K947="D","Kurang Memuaskan",IF(K947="E","Tidak Memuaskan","Tidak Laksana"))))))</f>
        <v/>
      </c>
    </row>
    <row r="948">
      <c r="A948" s="15">
        <f>Murid!A948</f>
        <v/>
      </c>
      <c r="B948" s="15">
        <f>IF(Murid!B948="","",Murid!B948)</f>
        <v/>
      </c>
      <c r="C948" s="16">
        <f>IF(Murid!C948="","",Murid!C948)</f>
        <v/>
      </c>
      <c r="D948" s="15">
        <f>IF(Murid!E948="","",Murid!E948)</f>
        <v/>
      </c>
      <c r="E948" s="17">
        <f>KP!X948</f>
        <v/>
      </c>
      <c r="F948" s="17">
        <f>UB!X948</f>
        <v/>
      </c>
      <c r="G948" s="17">
        <f>SP!X948</f>
        <v/>
      </c>
      <c r="H948" s="17">
        <f>IF(COUNT(E948:G948)=0,"",ROUND((LARGE(E948:G948,1)+IF(COUNT(E948:G948)&gt;=2,LARGE(E948:G948,2),0))/2,2))</f>
        <v/>
      </c>
      <c r="I948" s="10">
        <f>Ekstra!U948</f>
        <v/>
      </c>
      <c r="J948" s="18">
        <f>IF(B948="","",IF(Murid!F948="TL","TL",IF(H948="","",MIN(100,ROUND(H948+N(I948),2)))))</f>
        <v/>
      </c>
      <c r="K948" s="19">
        <f>IF(J948="","",IF(J948="TL","TL",IF(J948&gt;=80,"A",IF(J948&gt;=60,"B",IF(J948&gt;=40,"C",IF(J948&gt;=20,"D","E"))))))</f>
        <v/>
      </c>
      <c r="L948" s="15">
        <f>IF(K948="","",IF(K948="A","Cemerlang",IF(K948="B","Kepujian",IF(K948="C","Baik",IF(K948="D","Kurang Memuaskan",IF(K948="E","Tidak Memuaskan","Tidak Laksana"))))))</f>
        <v/>
      </c>
    </row>
    <row r="949">
      <c r="A949" s="15">
        <f>Murid!A949</f>
        <v/>
      </c>
      <c r="B949" s="15">
        <f>IF(Murid!B949="","",Murid!B949)</f>
        <v/>
      </c>
      <c r="C949" s="16">
        <f>IF(Murid!C949="","",Murid!C949)</f>
        <v/>
      </c>
      <c r="D949" s="15">
        <f>IF(Murid!E949="","",Murid!E949)</f>
        <v/>
      </c>
      <c r="E949" s="17">
        <f>KP!X949</f>
        <v/>
      </c>
      <c r="F949" s="17">
        <f>UB!X949</f>
        <v/>
      </c>
      <c r="G949" s="17">
        <f>SP!X949</f>
        <v/>
      </c>
      <c r="H949" s="17">
        <f>IF(COUNT(E949:G949)=0,"",ROUND((LARGE(E949:G949,1)+IF(COUNT(E949:G949)&gt;=2,LARGE(E949:G949,2),0))/2,2))</f>
        <v/>
      </c>
      <c r="I949" s="10">
        <f>Ekstra!U949</f>
        <v/>
      </c>
      <c r="J949" s="18">
        <f>IF(B949="","",IF(Murid!F949="TL","TL",IF(H949="","",MIN(100,ROUND(H949+N(I949),2)))))</f>
        <v/>
      </c>
      <c r="K949" s="19">
        <f>IF(J949="","",IF(J949="TL","TL",IF(J949&gt;=80,"A",IF(J949&gt;=60,"B",IF(J949&gt;=40,"C",IF(J949&gt;=20,"D","E"))))))</f>
        <v/>
      </c>
      <c r="L949" s="15">
        <f>IF(K949="","",IF(K949="A","Cemerlang",IF(K949="B","Kepujian",IF(K949="C","Baik",IF(K949="D","Kurang Memuaskan",IF(K949="E","Tidak Memuaskan","Tidak Laksana"))))))</f>
        <v/>
      </c>
    </row>
    <row r="950">
      <c r="A950" s="15">
        <f>Murid!A950</f>
        <v/>
      </c>
      <c r="B950" s="15">
        <f>IF(Murid!B950="","",Murid!B950)</f>
        <v/>
      </c>
      <c r="C950" s="16">
        <f>IF(Murid!C950="","",Murid!C950)</f>
        <v/>
      </c>
      <c r="D950" s="15">
        <f>IF(Murid!E950="","",Murid!E950)</f>
        <v/>
      </c>
      <c r="E950" s="17">
        <f>KP!X950</f>
        <v/>
      </c>
      <c r="F950" s="17">
        <f>UB!X950</f>
        <v/>
      </c>
      <c r="G950" s="17">
        <f>SP!X950</f>
        <v/>
      </c>
      <c r="H950" s="17">
        <f>IF(COUNT(E950:G950)=0,"",ROUND((LARGE(E950:G950,1)+IF(COUNT(E950:G950)&gt;=2,LARGE(E950:G950,2),0))/2,2))</f>
        <v/>
      </c>
      <c r="I950" s="10">
        <f>Ekstra!U950</f>
        <v/>
      </c>
      <c r="J950" s="18">
        <f>IF(B950="","",IF(Murid!F950="TL","TL",IF(H950="","",MIN(100,ROUND(H950+N(I950),2)))))</f>
        <v/>
      </c>
      <c r="K950" s="19">
        <f>IF(J950="","",IF(J950="TL","TL",IF(J950&gt;=80,"A",IF(J950&gt;=60,"B",IF(J950&gt;=40,"C",IF(J950&gt;=20,"D","E"))))))</f>
        <v/>
      </c>
      <c r="L950" s="15">
        <f>IF(K950="","",IF(K950="A","Cemerlang",IF(K950="B","Kepujian",IF(K950="C","Baik",IF(K950="D","Kurang Memuaskan",IF(K950="E","Tidak Memuaskan","Tidak Laksana"))))))</f>
        <v/>
      </c>
    </row>
    <row r="951">
      <c r="A951" s="15">
        <f>Murid!A951</f>
        <v/>
      </c>
      <c r="B951" s="15">
        <f>IF(Murid!B951="","",Murid!B951)</f>
        <v/>
      </c>
      <c r="C951" s="16">
        <f>IF(Murid!C951="","",Murid!C951)</f>
        <v/>
      </c>
      <c r="D951" s="15">
        <f>IF(Murid!E951="","",Murid!E951)</f>
        <v/>
      </c>
      <c r="E951" s="17">
        <f>KP!X951</f>
        <v/>
      </c>
      <c r="F951" s="17">
        <f>UB!X951</f>
        <v/>
      </c>
      <c r="G951" s="17">
        <f>SP!X951</f>
        <v/>
      </c>
      <c r="H951" s="17">
        <f>IF(COUNT(E951:G951)=0,"",ROUND((LARGE(E951:G951,1)+IF(COUNT(E951:G951)&gt;=2,LARGE(E951:G951,2),0))/2,2))</f>
        <v/>
      </c>
      <c r="I951" s="10">
        <f>Ekstra!U951</f>
        <v/>
      </c>
      <c r="J951" s="18">
        <f>IF(B951="","",IF(Murid!F951="TL","TL",IF(H951="","",MIN(100,ROUND(H951+N(I951),2)))))</f>
        <v/>
      </c>
      <c r="K951" s="19">
        <f>IF(J951="","",IF(J951="TL","TL",IF(J951&gt;=80,"A",IF(J951&gt;=60,"B",IF(J951&gt;=40,"C",IF(J951&gt;=20,"D","E"))))))</f>
        <v/>
      </c>
      <c r="L951" s="15">
        <f>IF(K951="","",IF(K951="A","Cemerlang",IF(K951="B","Kepujian",IF(K951="C","Baik",IF(K951="D","Kurang Memuaskan",IF(K951="E","Tidak Memuaskan","Tidak Laksana"))))))</f>
        <v/>
      </c>
    </row>
    <row r="952">
      <c r="A952" s="15">
        <f>Murid!A952</f>
        <v/>
      </c>
      <c r="B952" s="15">
        <f>IF(Murid!B952="","",Murid!B952)</f>
        <v/>
      </c>
      <c r="C952" s="16">
        <f>IF(Murid!C952="","",Murid!C952)</f>
        <v/>
      </c>
      <c r="D952" s="15">
        <f>IF(Murid!E952="","",Murid!E952)</f>
        <v/>
      </c>
      <c r="E952" s="17">
        <f>KP!X952</f>
        <v/>
      </c>
      <c r="F952" s="17">
        <f>UB!X952</f>
        <v/>
      </c>
      <c r="G952" s="17">
        <f>SP!X952</f>
        <v/>
      </c>
      <c r="H952" s="17">
        <f>IF(COUNT(E952:G952)=0,"",ROUND((LARGE(E952:G952,1)+IF(COUNT(E952:G952)&gt;=2,LARGE(E952:G952,2),0))/2,2))</f>
        <v/>
      </c>
      <c r="I952" s="10">
        <f>Ekstra!U952</f>
        <v/>
      </c>
      <c r="J952" s="18">
        <f>IF(B952="","",IF(Murid!F952="TL","TL",IF(H952="","",MIN(100,ROUND(H952+N(I952),2)))))</f>
        <v/>
      </c>
      <c r="K952" s="19">
        <f>IF(J952="","",IF(J952="TL","TL",IF(J952&gt;=80,"A",IF(J952&gt;=60,"B",IF(J952&gt;=40,"C",IF(J952&gt;=20,"D","E"))))))</f>
        <v/>
      </c>
      <c r="L952" s="15">
        <f>IF(K952="","",IF(K952="A","Cemerlang",IF(K952="B","Kepujian",IF(K952="C","Baik",IF(K952="D","Kurang Memuaskan",IF(K952="E","Tidak Memuaskan","Tidak Laksana"))))))</f>
        <v/>
      </c>
    </row>
    <row r="953">
      <c r="A953" s="15">
        <f>Murid!A953</f>
        <v/>
      </c>
      <c r="B953" s="15">
        <f>IF(Murid!B953="","",Murid!B953)</f>
        <v/>
      </c>
      <c r="C953" s="16">
        <f>IF(Murid!C953="","",Murid!C953)</f>
        <v/>
      </c>
      <c r="D953" s="15">
        <f>IF(Murid!E953="","",Murid!E953)</f>
        <v/>
      </c>
      <c r="E953" s="17">
        <f>KP!X953</f>
        <v/>
      </c>
      <c r="F953" s="17">
        <f>UB!X953</f>
        <v/>
      </c>
      <c r="G953" s="17">
        <f>SP!X953</f>
        <v/>
      </c>
      <c r="H953" s="17">
        <f>IF(COUNT(E953:G953)=0,"",ROUND((LARGE(E953:G953,1)+IF(COUNT(E953:G953)&gt;=2,LARGE(E953:G953,2),0))/2,2))</f>
        <v/>
      </c>
      <c r="I953" s="10">
        <f>Ekstra!U953</f>
        <v/>
      </c>
      <c r="J953" s="18">
        <f>IF(B953="","",IF(Murid!F953="TL","TL",IF(H953="","",MIN(100,ROUND(H953+N(I953),2)))))</f>
        <v/>
      </c>
      <c r="K953" s="19">
        <f>IF(J953="","",IF(J953="TL","TL",IF(J953&gt;=80,"A",IF(J953&gt;=60,"B",IF(J953&gt;=40,"C",IF(J953&gt;=20,"D","E"))))))</f>
        <v/>
      </c>
      <c r="L953" s="15">
        <f>IF(K953="","",IF(K953="A","Cemerlang",IF(K953="B","Kepujian",IF(K953="C","Baik",IF(K953="D","Kurang Memuaskan",IF(K953="E","Tidak Memuaskan","Tidak Laksana"))))))</f>
        <v/>
      </c>
    </row>
    <row r="954">
      <c r="A954" s="15">
        <f>Murid!A954</f>
        <v/>
      </c>
      <c r="B954" s="15">
        <f>IF(Murid!B954="","",Murid!B954)</f>
        <v/>
      </c>
      <c r="C954" s="16">
        <f>IF(Murid!C954="","",Murid!C954)</f>
        <v/>
      </c>
      <c r="D954" s="15">
        <f>IF(Murid!E954="","",Murid!E954)</f>
        <v/>
      </c>
      <c r="E954" s="17">
        <f>KP!X954</f>
        <v/>
      </c>
      <c r="F954" s="17">
        <f>UB!X954</f>
        <v/>
      </c>
      <c r="G954" s="17">
        <f>SP!X954</f>
        <v/>
      </c>
      <c r="H954" s="17">
        <f>IF(COUNT(E954:G954)=0,"",ROUND((LARGE(E954:G954,1)+IF(COUNT(E954:G954)&gt;=2,LARGE(E954:G954,2),0))/2,2))</f>
        <v/>
      </c>
      <c r="I954" s="10">
        <f>Ekstra!U954</f>
        <v/>
      </c>
      <c r="J954" s="18">
        <f>IF(B954="","",IF(Murid!F954="TL","TL",IF(H954="","",MIN(100,ROUND(H954+N(I954),2)))))</f>
        <v/>
      </c>
      <c r="K954" s="19">
        <f>IF(J954="","",IF(J954="TL","TL",IF(J954&gt;=80,"A",IF(J954&gt;=60,"B",IF(J954&gt;=40,"C",IF(J954&gt;=20,"D","E"))))))</f>
        <v/>
      </c>
      <c r="L954" s="15">
        <f>IF(K954="","",IF(K954="A","Cemerlang",IF(K954="B","Kepujian",IF(K954="C","Baik",IF(K954="D","Kurang Memuaskan",IF(K954="E","Tidak Memuaskan","Tidak Laksana"))))))</f>
        <v/>
      </c>
    </row>
    <row r="955">
      <c r="A955" s="15">
        <f>Murid!A955</f>
        <v/>
      </c>
      <c r="B955" s="15">
        <f>IF(Murid!B955="","",Murid!B955)</f>
        <v/>
      </c>
      <c r="C955" s="16">
        <f>IF(Murid!C955="","",Murid!C955)</f>
        <v/>
      </c>
      <c r="D955" s="15">
        <f>IF(Murid!E955="","",Murid!E955)</f>
        <v/>
      </c>
      <c r="E955" s="17">
        <f>KP!X955</f>
        <v/>
      </c>
      <c r="F955" s="17">
        <f>UB!X955</f>
        <v/>
      </c>
      <c r="G955" s="17">
        <f>SP!X955</f>
        <v/>
      </c>
      <c r="H955" s="17">
        <f>IF(COUNT(E955:G955)=0,"",ROUND((LARGE(E955:G955,1)+IF(COUNT(E955:G955)&gt;=2,LARGE(E955:G955,2),0))/2,2))</f>
        <v/>
      </c>
      <c r="I955" s="10">
        <f>Ekstra!U955</f>
        <v/>
      </c>
      <c r="J955" s="18">
        <f>IF(B955="","",IF(Murid!F955="TL","TL",IF(H955="","",MIN(100,ROUND(H955+N(I955),2)))))</f>
        <v/>
      </c>
      <c r="K955" s="19">
        <f>IF(J955="","",IF(J955="TL","TL",IF(J955&gt;=80,"A",IF(J955&gt;=60,"B",IF(J955&gt;=40,"C",IF(J955&gt;=20,"D","E"))))))</f>
        <v/>
      </c>
      <c r="L955" s="15">
        <f>IF(K955="","",IF(K955="A","Cemerlang",IF(K955="B","Kepujian",IF(K955="C","Baik",IF(K955="D","Kurang Memuaskan",IF(K955="E","Tidak Memuaskan","Tidak Laksana"))))))</f>
        <v/>
      </c>
    </row>
    <row r="956">
      <c r="A956" s="15">
        <f>Murid!A956</f>
        <v/>
      </c>
      <c r="B956" s="15">
        <f>IF(Murid!B956="","",Murid!B956)</f>
        <v/>
      </c>
      <c r="C956" s="16">
        <f>IF(Murid!C956="","",Murid!C956)</f>
        <v/>
      </c>
      <c r="D956" s="15">
        <f>IF(Murid!E956="","",Murid!E956)</f>
        <v/>
      </c>
      <c r="E956" s="17">
        <f>KP!X956</f>
        <v/>
      </c>
      <c r="F956" s="17">
        <f>UB!X956</f>
        <v/>
      </c>
      <c r="G956" s="17">
        <f>SP!X956</f>
        <v/>
      </c>
      <c r="H956" s="17">
        <f>IF(COUNT(E956:G956)=0,"",ROUND((LARGE(E956:G956,1)+IF(COUNT(E956:G956)&gt;=2,LARGE(E956:G956,2),0))/2,2))</f>
        <v/>
      </c>
      <c r="I956" s="10">
        <f>Ekstra!U956</f>
        <v/>
      </c>
      <c r="J956" s="18">
        <f>IF(B956="","",IF(Murid!F956="TL","TL",IF(H956="","",MIN(100,ROUND(H956+N(I956),2)))))</f>
        <v/>
      </c>
      <c r="K956" s="19">
        <f>IF(J956="","",IF(J956="TL","TL",IF(J956&gt;=80,"A",IF(J956&gt;=60,"B",IF(J956&gt;=40,"C",IF(J956&gt;=20,"D","E"))))))</f>
        <v/>
      </c>
      <c r="L956" s="15">
        <f>IF(K956="","",IF(K956="A","Cemerlang",IF(K956="B","Kepujian",IF(K956="C","Baik",IF(K956="D","Kurang Memuaskan",IF(K956="E","Tidak Memuaskan","Tidak Laksana"))))))</f>
        <v/>
      </c>
    </row>
    <row r="957">
      <c r="A957" s="15">
        <f>Murid!A957</f>
        <v/>
      </c>
      <c r="B957" s="15">
        <f>IF(Murid!B957="","",Murid!B957)</f>
        <v/>
      </c>
      <c r="C957" s="16">
        <f>IF(Murid!C957="","",Murid!C957)</f>
        <v/>
      </c>
      <c r="D957" s="15">
        <f>IF(Murid!E957="","",Murid!E957)</f>
        <v/>
      </c>
      <c r="E957" s="17">
        <f>KP!X957</f>
        <v/>
      </c>
      <c r="F957" s="17">
        <f>UB!X957</f>
        <v/>
      </c>
      <c r="G957" s="17">
        <f>SP!X957</f>
        <v/>
      </c>
      <c r="H957" s="17">
        <f>IF(COUNT(E957:G957)=0,"",ROUND((LARGE(E957:G957,1)+IF(COUNT(E957:G957)&gt;=2,LARGE(E957:G957,2),0))/2,2))</f>
        <v/>
      </c>
      <c r="I957" s="10">
        <f>Ekstra!U957</f>
        <v/>
      </c>
      <c r="J957" s="18">
        <f>IF(B957="","",IF(Murid!F957="TL","TL",IF(H957="","",MIN(100,ROUND(H957+N(I957),2)))))</f>
        <v/>
      </c>
      <c r="K957" s="19">
        <f>IF(J957="","",IF(J957="TL","TL",IF(J957&gt;=80,"A",IF(J957&gt;=60,"B",IF(J957&gt;=40,"C",IF(J957&gt;=20,"D","E"))))))</f>
        <v/>
      </c>
      <c r="L957" s="15">
        <f>IF(K957="","",IF(K957="A","Cemerlang",IF(K957="B","Kepujian",IF(K957="C","Baik",IF(K957="D","Kurang Memuaskan",IF(K957="E","Tidak Memuaskan","Tidak Laksana"))))))</f>
        <v/>
      </c>
    </row>
    <row r="958">
      <c r="A958" s="15">
        <f>Murid!A958</f>
        <v/>
      </c>
      <c r="B958" s="15">
        <f>IF(Murid!B958="","",Murid!B958)</f>
        <v/>
      </c>
      <c r="C958" s="16">
        <f>IF(Murid!C958="","",Murid!C958)</f>
        <v/>
      </c>
      <c r="D958" s="15">
        <f>IF(Murid!E958="","",Murid!E958)</f>
        <v/>
      </c>
      <c r="E958" s="17">
        <f>KP!X958</f>
        <v/>
      </c>
      <c r="F958" s="17">
        <f>UB!X958</f>
        <v/>
      </c>
      <c r="G958" s="17">
        <f>SP!X958</f>
        <v/>
      </c>
      <c r="H958" s="17">
        <f>IF(COUNT(E958:G958)=0,"",ROUND((LARGE(E958:G958,1)+IF(COUNT(E958:G958)&gt;=2,LARGE(E958:G958,2),0))/2,2))</f>
        <v/>
      </c>
      <c r="I958" s="10">
        <f>Ekstra!U958</f>
        <v/>
      </c>
      <c r="J958" s="18">
        <f>IF(B958="","",IF(Murid!F958="TL","TL",IF(H958="","",MIN(100,ROUND(H958+N(I958),2)))))</f>
        <v/>
      </c>
      <c r="K958" s="19">
        <f>IF(J958="","",IF(J958="TL","TL",IF(J958&gt;=80,"A",IF(J958&gt;=60,"B",IF(J958&gt;=40,"C",IF(J958&gt;=20,"D","E"))))))</f>
        <v/>
      </c>
      <c r="L958" s="15">
        <f>IF(K958="","",IF(K958="A","Cemerlang",IF(K958="B","Kepujian",IF(K958="C","Baik",IF(K958="D","Kurang Memuaskan",IF(K958="E","Tidak Memuaskan","Tidak Laksana"))))))</f>
        <v/>
      </c>
    </row>
    <row r="959">
      <c r="A959" s="15">
        <f>Murid!A959</f>
        <v/>
      </c>
      <c r="B959" s="15">
        <f>IF(Murid!B959="","",Murid!B959)</f>
        <v/>
      </c>
      <c r="C959" s="16">
        <f>IF(Murid!C959="","",Murid!C959)</f>
        <v/>
      </c>
      <c r="D959" s="15">
        <f>IF(Murid!E959="","",Murid!E959)</f>
        <v/>
      </c>
      <c r="E959" s="17">
        <f>KP!X959</f>
        <v/>
      </c>
      <c r="F959" s="17">
        <f>UB!X959</f>
        <v/>
      </c>
      <c r="G959" s="17">
        <f>SP!X959</f>
        <v/>
      </c>
      <c r="H959" s="17">
        <f>IF(COUNT(E959:G959)=0,"",ROUND((LARGE(E959:G959,1)+IF(COUNT(E959:G959)&gt;=2,LARGE(E959:G959,2),0))/2,2))</f>
        <v/>
      </c>
      <c r="I959" s="10">
        <f>Ekstra!U959</f>
        <v/>
      </c>
      <c r="J959" s="18">
        <f>IF(B959="","",IF(Murid!F959="TL","TL",IF(H959="","",MIN(100,ROUND(H959+N(I959),2)))))</f>
        <v/>
      </c>
      <c r="K959" s="19">
        <f>IF(J959="","",IF(J959="TL","TL",IF(J959&gt;=80,"A",IF(J959&gt;=60,"B",IF(J959&gt;=40,"C",IF(J959&gt;=20,"D","E"))))))</f>
        <v/>
      </c>
      <c r="L959" s="15">
        <f>IF(K959="","",IF(K959="A","Cemerlang",IF(K959="B","Kepujian",IF(K959="C","Baik",IF(K959="D","Kurang Memuaskan",IF(K959="E","Tidak Memuaskan","Tidak Laksana"))))))</f>
        <v/>
      </c>
    </row>
    <row r="960">
      <c r="A960" s="15">
        <f>Murid!A960</f>
        <v/>
      </c>
      <c r="B960" s="15">
        <f>IF(Murid!B960="","",Murid!B960)</f>
        <v/>
      </c>
      <c r="C960" s="16">
        <f>IF(Murid!C960="","",Murid!C960)</f>
        <v/>
      </c>
      <c r="D960" s="15">
        <f>IF(Murid!E960="","",Murid!E960)</f>
        <v/>
      </c>
      <c r="E960" s="17">
        <f>KP!X960</f>
        <v/>
      </c>
      <c r="F960" s="17">
        <f>UB!X960</f>
        <v/>
      </c>
      <c r="G960" s="17">
        <f>SP!X960</f>
        <v/>
      </c>
      <c r="H960" s="17">
        <f>IF(COUNT(E960:G960)=0,"",ROUND((LARGE(E960:G960,1)+IF(COUNT(E960:G960)&gt;=2,LARGE(E960:G960,2),0))/2,2))</f>
        <v/>
      </c>
      <c r="I960" s="10">
        <f>Ekstra!U960</f>
        <v/>
      </c>
      <c r="J960" s="18">
        <f>IF(B960="","",IF(Murid!F960="TL","TL",IF(H960="","",MIN(100,ROUND(H960+N(I960),2)))))</f>
        <v/>
      </c>
      <c r="K960" s="19">
        <f>IF(J960="","",IF(J960="TL","TL",IF(J960&gt;=80,"A",IF(J960&gt;=60,"B",IF(J960&gt;=40,"C",IF(J960&gt;=20,"D","E"))))))</f>
        <v/>
      </c>
      <c r="L960" s="15">
        <f>IF(K960="","",IF(K960="A","Cemerlang",IF(K960="B","Kepujian",IF(K960="C","Baik",IF(K960="D","Kurang Memuaskan",IF(K960="E","Tidak Memuaskan","Tidak Laksana"))))))</f>
        <v/>
      </c>
    </row>
    <row r="961">
      <c r="A961" s="15">
        <f>Murid!A961</f>
        <v/>
      </c>
      <c r="B961" s="15">
        <f>IF(Murid!B961="","",Murid!B961)</f>
        <v/>
      </c>
      <c r="C961" s="16">
        <f>IF(Murid!C961="","",Murid!C961)</f>
        <v/>
      </c>
      <c r="D961" s="15">
        <f>IF(Murid!E961="","",Murid!E961)</f>
        <v/>
      </c>
      <c r="E961" s="17">
        <f>KP!X961</f>
        <v/>
      </c>
      <c r="F961" s="17">
        <f>UB!X961</f>
        <v/>
      </c>
      <c r="G961" s="17">
        <f>SP!X961</f>
        <v/>
      </c>
      <c r="H961" s="17">
        <f>IF(COUNT(E961:G961)=0,"",ROUND((LARGE(E961:G961,1)+IF(COUNT(E961:G961)&gt;=2,LARGE(E961:G961,2),0))/2,2))</f>
        <v/>
      </c>
      <c r="I961" s="10">
        <f>Ekstra!U961</f>
        <v/>
      </c>
      <c r="J961" s="18">
        <f>IF(B961="","",IF(Murid!F961="TL","TL",IF(H961="","",MIN(100,ROUND(H961+N(I961),2)))))</f>
        <v/>
      </c>
      <c r="K961" s="19">
        <f>IF(J961="","",IF(J961="TL","TL",IF(J961&gt;=80,"A",IF(J961&gt;=60,"B",IF(J961&gt;=40,"C",IF(J961&gt;=20,"D","E"))))))</f>
        <v/>
      </c>
      <c r="L961" s="15">
        <f>IF(K961="","",IF(K961="A","Cemerlang",IF(K961="B","Kepujian",IF(K961="C","Baik",IF(K961="D","Kurang Memuaskan",IF(K961="E","Tidak Memuaskan","Tidak Laksana"))))))</f>
        <v/>
      </c>
    </row>
    <row r="962">
      <c r="A962" s="15">
        <f>Murid!A962</f>
        <v/>
      </c>
      <c r="B962" s="15">
        <f>IF(Murid!B962="","",Murid!B962)</f>
        <v/>
      </c>
      <c r="C962" s="16">
        <f>IF(Murid!C962="","",Murid!C962)</f>
        <v/>
      </c>
      <c r="D962" s="15">
        <f>IF(Murid!E962="","",Murid!E962)</f>
        <v/>
      </c>
      <c r="E962" s="17">
        <f>KP!X962</f>
        <v/>
      </c>
      <c r="F962" s="17">
        <f>UB!X962</f>
        <v/>
      </c>
      <c r="G962" s="17">
        <f>SP!X962</f>
        <v/>
      </c>
      <c r="H962" s="17">
        <f>IF(COUNT(E962:G962)=0,"",ROUND((LARGE(E962:G962,1)+IF(COUNT(E962:G962)&gt;=2,LARGE(E962:G962,2),0))/2,2))</f>
        <v/>
      </c>
      <c r="I962" s="10">
        <f>Ekstra!U962</f>
        <v/>
      </c>
      <c r="J962" s="18">
        <f>IF(B962="","",IF(Murid!F962="TL","TL",IF(H962="","",MIN(100,ROUND(H962+N(I962),2)))))</f>
        <v/>
      </c>
      <c r="K962" s="19">
        <f>IF(J962="","",IF(J962="TL","TL",IF(J962&gt;=80,"A",IF(J962&gt;=60,"B",IF(J962&gt;=40,"C",IF(J962&gt;=20,"D","E"))))))</f>
        <v/>
      </c>
      <c r="L962" s="15">
        <f>IF(K962="","",IF(K962="A","Cemerlang",IF(K962="B","Kepujian",IF(K962="C","Baik",IF(K962="D","Kurang Memuaskan",IF(K962="E","Tidak Memuaskan","Tidak Laksana"))))))</f>
        <v/>
      </c>
    </row>
    <row r="963">
      <c r="A963" s="15">
        <f>Murid!A963</f>
        <v/>
      </c>
      <c r="B963" s="15">
        <f>IF(Murid!B963="","",Murid!B963)</f>
        <v/>
      </c>
      <c r="C963" s="16">
        <f>IF(Murid!C963="","",Murid!C963)</f>
        <v/>
      </c>
      <c r="D963" s="15">
        <f>IF(Murid!E963="","",Murid!E963)</f>
        <v/>
      </c>
      <c r="E963" s="17">
        <f>KP!X963</f>
        <v/>
      </c>
      <c r="F963" s="17">
        <f>UB!X963</f>
        <v/>
      </c>
      <c r="G963" s="17">
        <f>SP!X963</f>
        <v/>
      </c>
      <c r="H963" s="17">
        <f>IF(COUNT(E963:G963)=0,"",ROUND((LARGE(E963:G963,1)+IF(COUNT(E963:G963)&gt;=2,LARGE(E963:G963,2),0))/2,2))</f>
        <v/>
      </c>
      <c r="I963" s="10">
        <f>Ekstra!U963</f>
        <v/>
      </c>
      <c r="J963" s="18">
        <f>IF(B963="","",IF(Murid!F963="TL","TL",IF(H963="","",MIN(100,ROUND(H963+N(I963),2)))))</f>
        <v/>
      </c>
      <c r="K963" s="19">
        <f>IF(J963="","",IF(J963="TL","TL",IF(J963&gt;=80,"A",IF(J963&gt;=60,"B",IF(J963&gt;=40,"C",IF(J963&gt;=20,"D","E"))))))</f>
        <v/>
      </c>
      <c r="L963" s="15">
        <f>IF(K963="","",IF(K963="A","Cemerlang",IF(K963="B","Kepujian",IF(K963="C","Baik",IF(K963="D","Kurang Memuaskan",IF(K963="E","Tidak Memuaskan","Tidak Laksana"))))))</f>
        <v/>
      </c>
    </row>
    <row r="964">
      <c r="A964" s="15">
        <f>Murid!A964</f>
        <v/>
      </c>
      <c r="B964" s="15">
        <f>IF(Murid!B964="","",Murid!B964)</f>
        <v/>
      </c>
      <c r="C964" s="16">
        <f>IF(Murid!C964="","",Murid!C964)</f>
        <v/>
      </c>
      <c r="D964" s="15">
        <f>IF(Murid!E964="","",Murid!E964)</f>
        <v/>
      </c>
      <c r="E964" s="17">
        <f>KP!X964</f>
        <v/>
      </c>
      <c r="F964" s="17">
        <f>UB!X964</f>
        <v/>
      </c>
      <c r="G964" s="17">
        <f>SP!X964</f>
        <v/>
      </c>
      <c r="H964" s="17">
        <f>IF(COUNT(E964:G964)=0,"",ROUND((LARGE(E964:G964,1)+IF(COUNT(E964:G964)&gt;=2,LARGE(E964:G964,2),0))/2,2))</f>
        <v/>
      </c>
      <c r="I964" s="10">
        <f>Ekstra!U964</f>
        <v/>
      </c>
      <c r="J964" s="18">
        <f>IF(B964="","",IF(Murid!F964="TL","TL",IF(H964="","",MIN(100,ROUND(H964+N(I964),2)))))</f>
        <v/>
      </c>
      <c r="K964" s="19">
        <f>IF(J964="","",IF(J964="TL","TL",IF(J964&gt;=80,"A",IF(J964&gt;=60,"B",IF(J964&gt;=40,"C",IF(J964&gt;=20,"D","E"))))))</f>
        <v/>
      </c>
      <c r="L964" s="15">
        <f>IF(K964="","",IF(K964="A","Cemerlang",IF(K964="B","Kepujian",IF(K964="C","Baik",IF(K964="D","Kurang Memuaskan",IF(K964="E","Tidak Memuaskan","Tidak Laksana"))))))</f>
        <v/>
      </c>
    </row>
    <row r="965">
      <c r="A965" s="15">
        <f>Murid!A965</f>
        <v/>
      </c>
      <c r="B965" s="15">
        <f>IF(Murid!B965="","",Murid!B965)</f>
        <v/>
      </c>
      <c r="C965" s="16">
        <f>IF(Murid!C965="","",Murid!C965)</f>
        <v/>
      </c>
      <c r="D965" s="15">
        <f>IF(Murid!E965="","",Murid!E965)</f>
        <v/>
      </c>
      <c r="E965" s="17">
        <f>KP!X965</f>
        <v/>
      </c>
      <c r="F965" s="17">
        <f>UB!X965</f>
        <v/>
      </c>
      <c r="G965" s="17">
        <f>SP!X965</f>
        <v/>
      </c>
      <c r="H965" s="17">
        <f>IF(COUNT(E965:G965)=0,"",ROUND((LARGE(E965:G965,1)+IF(COUNT(E965:G965)&gt;=2,LARGE(E965:G965,2),0))/2,2))</f>
        <v/>
      </c>
      <c r="I965" s="10">
        <f>Ekstra!U965</f>
        <v/>
      </c>
      <c r="J965" s="18">
        <f>IF(B965="","",IF(Murid!F965="TL","TL",IF(H965="","",MIN(100,ROUND(H965+N(I965),2)))))</f>
        <v/>
      </c>
      <c r="K965" s="19">
        <f>IF(J965="","",IF(J965="TL","TL",IF(J965&gt;=80,"A",IF(J965&gt;=60,"B",IF(J965&gt;=40,"C",IF(J965&gt;=20,"D","E"))))))</f>
        <v/>
      </c>
      <c r="L965" s="15">
        <f>IF(K965="","",IF(K965="A","Cemerlang",IF(K965="B","Kepujian",IF(K965="C","Baik",IF(K965="D","Kurang Memuaskan",IF(K965="E","Tidak Memuaskan","Tidak Laksana"))))))</f>
        <v/>
      </c>
    </row>
    <row r="966">
      <c r="A966" s="15">
        <f>Murid!A966</f>
        <v/>
      </c>
      <c r="B966" s="15">
        <f>IF(Murid!B966="","",Murid!B966)</f>
        <v/>
      </c>
      <c r="C966" s="16">
        <f>IF(Murid!C966="","",Murid!C966)</f>
        <v/>
      </c>
      <c r="D966" s="15">
        <f>IF(Murid!E966="","",Murid!E966)</f>
        <v/>
      </c>
      <c r="E966" s="17">
        <f>KP!X966</f>
        <v/>
      </c>
      <c r="F966" s="17">
        <f>UB!X966</f>
        <v/>
      </c>
      <c r="G966" s="17">
        <f>SP!X966</f>
        <v/>
      </c>
      <c r="H966" s="17">
        <f>IF(COUNT(E966:G966)=0,"",ROUND((LARGE(E966:G966,1)+IF(COUNT(E966:G966)&gt;=2,LARGE(E966:G966,2),0))/2,2))</f>
        <v/>
      </c>
      <c r="I966" s="10">
        <f>Ekstra!U966</f>
        <v/>
      </c>
      <c r="J966" s="18">
        <f>IF(B966="","",IF(Murid!F966="TL","TL",IF(H966="","",MIN(100,ROUND(H966+N(I966),2)))))</f>
        <v/>
      </c>
      <c r="K966" s="19">
        <f>IF(J966="","",IF(J966="TL","TL",IF(J966&gt;=80,"A",IF(J966&gt;=60,"B",IF(J966&gt;=40,"C",IF(J966&gt;=20,"D","E"))))))</f>
        <v/>
      </c>
      <c r="L966" s="15">
        <f>IF(K966="","",IF(K966="A","Cemerlang",IF(K966="B","Kepujian",IF(K966="C","Baik",IF(K966="D","Kurang Memuaskan",IF(K966="E","Tidak Memuaskan","Tidak Laksana"))))))</f>
        <v/>
      </c>
    </row>
    <row r="967">
      <c r="A967" s="15">
        <f>Murid!A967</f>
        <v/>
      </c>
      <c r="B967" s="15">
        <f>IF(Murid!B967="","",Murid!B967)</f>
        <v/>
      </c>
      <c r="C967" s="16">
        <f>IF(Murid!C967="","",Murid!C967)</f>
        <v/>
      </c>
      <c r="D967" s="15">
        <f>IF(Murid!E967="","",Murid!E967)</f>
        <v/>
      </c>
      <c r="E967" s="17">
        <f>KP!X967</f>
        <v/>
      </c>
      <c r="F967" s="17">
        <f>UB!X967</f>
        <v/>
      </c>
      <c r="G967" s="17">
        <f>SP!X967</f>
        <v/>
      </c>
      <c r="H967" s="17">
        <f>IF(COUNT(E967:G967)=0,"",ROUND((LARGE(E967:G967,1)+IF(COUNT(E967:G967)&gt;=2,LARGE(E967:G967,2),0))/2,2))</f>
        <v/>
      </c>
      <c r="I967" s="10">
        <f>Ekstra!U967</f>
        <v/>
      </c>
      <c r="J967" s="18">
        <f>IF(B967="","",IF(Murid!F967="TL","TL",IF(H967="","",MIN(100,ROUND(H967+N(I967),2)))))</f>
        <v/>
      </c>
      <c r="K967" s="19">
        <f>IF(J967="","",IF(J967="TL","TL",IF(J967&gt;=80,"A",IF(J967&gt;=60,"B",IF(J967&gt;=40,"C",IF(J967&gt;=20,"D","E"))))))</f>
        <v/>
      </c>
      <c r="L967" s="15">
        <f>IF(K967="","",IF(K967="A","Cemerlang",IF(K967="B","Kepujian",IF(K967="C","Baik",IF(K967="D","Kurang Memuaskan",IF(K967="E","Tidak Memuaskan","Tidak Laksana"))))))</f>
        <v/>
      </c>
    </row>
    <row r="968">
      <c r="A968" s="15">
        <f>Murid!A968</f>
        <v/>
      </c>
      <c r="B968" s="15">
        <f>IF(Murid!B968="","",Murid!B968)</f>
        <v/>
      </c>
      <c r="C968" s="16">
        <f>IF(Murid!C968="","",Murid!C968)</f>
        <v/>
      </c>
      <c r="D968" s="15">
        <f>IF(Murid!E968="","",Murid!E968)</f>
        <v/>
      </c>
      <c r="E968" s="17">
        <f>KP!X968</f>
        <v/>
      </c>
      <c r="F968" s="17">
        <f>UB!X968</f>
        <v/>
      </c>
      <c r="G968" s="17">
        <f>SP!X968</f>
        <v/>
      </c>
      <c r="H968" s="17">
        <f>IF(COUNT(E968:G968)=0,"",ROUND((LARGE(E968:G968,1)+IF(COUNT(E968:G968)&gt;=2,LARGE(E968:G968,2),0))/2,2))</f>
        <v/>
      </c>
      <c r="I968" s="10">
        <f>Ekstra!U968</f>
        <v/>
      </c>
      <c r="J968" s="18">
        <f>IF(B968="","",IF(Murid!F968="TL","TL",IF(H968="","",MIN(100,ROUND(H968+N(I968),2)))))</f>
        <v/>
      </c>
      <c r="K968" s="19">
        <f>IF(J968="","",IF(J968="TL","TL",IF(J968&gt;=80,"A",IF(J968&gt;=60,"B",IF(J968&gt;=40,"C",IF(J968&gt;=20,"D","E"))))))</f>
        <v/>
      </c>
      <c r="L968" s="15">
        <f>IF(K968="","",IF(K968="A","Cemerlang",IF(K968="B","Kepujian",IF(K968="C","Baik",IF(K968="D","Kurang Memuaskan",IF(K968="E","Tidak Memuaskan","Tidak Laksana"))))))</f>
        <v/>
      </c>
    </row>
    <row r="969">
      <c r="A969" s="15">
        <f>Murid!A969</f>
        <v/>
      </c>
      <c r="B969" s="15">
        <f>IF(Murid!B969="","",Murid!B969)</f>
        <v/>
      </c>
      <c r="C969" s="16">
        <f>IF(Murid!C969="","",Murid!C969)</f>
        <v/>
      </c>
      <c r="D969" s="15">
        <f>IF(Murid!E969="","",Murid!E969)</f>
        <v/>
      </c>
      <c r="E969" s="17">
        <f>KP!X969</f>
        <v/>
      </c>
      <c r="F969" s="17">
        <f>UB!X969</f>
        <v/>
      </c>
      <c r="G969" s="17">
        <f>SP!X969</f>
        <v/>
      </c>
      <c r="H969" s="17">
        <f>IF(COUNT(E969:G969)=0,"",ROUND((LARGE(E969:G969,1)+IF(COUNT(E969:G969)&gt;=2,LARGE(E969:G969,2),0))/2,2))</f>
        <v/>
      </c>
      <c r="I969" s="10">
        <f>Ekstra!U969</f>
        <v/>
      </c>
      <c r="J969" s="18">
        <f>IF(B969="","",IF(Murid!F969="TL","TL",IF(H969="","",MIN(100,ROUND(H969+N(I969),2)))))</f>
        <v/>
      </c>
      <c r="K969" s="19">
        <f>IF(J969="","",IF(J969="TL","TL",IF(J969&gt;=80,"A",IF(J969&gt;=60,"B",IF(J969&gt;=40,"C",IF(J969&gt;=20,"D","E"))))))</f>
        <v/>
      </c>
      <c r="L969" s="15">
        <f>IF(K969="","",IF(K969="A","Cemerlang",IF(K969="B","Kepujian",IF(K969="C","Baik",IF(K969="D","Kurang Memuaskan",IF(K969="E","Tidak Memuaskan","Tidak Laksana"))))))</f>
        <v/>
      </c>
    </row>
    <row r="970">
      <c r="A970" s="15">
        <f>Murid!A970</f>
        <v/>
      </c>
      <c r="B970" s="15">
        <f>IF(Murid!B970="","",Murid!B970)</f>
        <v/>
      </c>
      <c r="C970" s="16">
        <f>IF(Murid!C970="","",Murid!C970)</f>
        <v/>
      </c>
      <c r="D970" s="15">
        <f>IF(Murid!E970="","",Murid!E970)</f>
        <v/>
      </c>
      <c r="E970" s="17">
        <f>KP!X970</f>
        <v/>
      </c>
      <c r="F970" s="17">
        <f>UB!X970</f>
        <v/>
      </c>
      <c r="G970" s="17">
        <f>SP!X970</f>
        <v/>
      </c>
      <c r="H970" s="17">
        <f>IF(COUNT(E970:G970)=0,"",ROUND((LARGE(E970:G970,1)+IF(COUNT(E970:G970)&gt;=2,LARGE(E970:G970,2),0))/2,2))</f>
        <v/>
      </c>
      <c r="I970" s="10">
        <f>Ekstra!U970</f>
        <v/>
      </c>
      <c r="J970" s="18">
        <f>IF(B970="","",IF(Murid!F970="TL","TL",IF(H970="","",MIN(100,ROUND(H970+N(I970),2)))))</f>
        <v/>
      </c>
      <c r="K970" s="19">
        <f>IF(J970="","",IF(J970="TL","TL",IF(J970&gt;=80,"A",IF(J970&gt;=60,"B",IF(J970&gt;=40,"C",IF(J970&gt;=20,"D","E"))))))</f>
        <v/>
      </c>
      <c r="L970" s="15">
        <f>IF(K970="","",IF(K970="A","Cemerlang",IF(K970="B","Kepujian",IF(K970="C","Baik",IF(K970="D","Kurang Memuaskan",IF(K970="E","Tidak Memuaskan","Tidak Laksana"))))))</f>
        <v/>
      </c>
    </row>
    <row r="971">
      <c r="A971" s="15">
        <f>Murid!A971</f>
        <v/>
      </c>
      <c r="B971" s="15">
        <f>IF(Murid!B971="","",Murid!B971)</f>
        <v/>
      </c>
      <c r="C971" s="16">
        <f>IF(Murid!C971="","",Murid!C971)</f>
        <v/>
      </c>
      <c r="D971" s="15">
        <f>IF(Murid!E971="","",Murid!E971)</f>
        <v/>
      </c>
      <c r="E971" s="17">
        <f>KP!X971</f>
        <v/>
      </c>
      <c r="F971" s="17">
        <f>UB!X971</f>
        <v/>
      </c>
      <c r="G971" s="17">
        <f>SP!X971</f>
        <v/>
      </c>
      <c r="H971" s="17">
        <f>IF(COUNT(E971:G971)=0,"",ROUND((LARGE(E971:G971,1)+IF(COUNT(E971:G971)&gt;=2,LARGE(E971:G971,2),0))/2,2))</f>
        <v/>
      </c>
      <c r="I971" s="10">
        <f>Ekstra!U971</f>
        <v/>
      </c>
      <c r="J971" s="18">
        <f>IF(B971="","",IF(Murid!F971="TL","TL",IF(H971="","",MIN(100,ROUND(H971+N(I971),2)))))</f>
        <v/>
      </c>
      <c r="K971" s="19">
        <f>IF(J971="","",IF(J971="TL","TL",IF(J971&gt;=80,"A",IF(J971&gt;=60,"B",IF(J971&gt;=40,"C",IF(J971&gt;=20,"D","E"))))))</f>
        <v/>
      </c>
      <c r="L971" s="15">
        <f>IF(K971="","",IF(K971="A","Cemerlang",IF(K971="B","Kepujian",IF(K971="C","Baik",IF(K971="D","Kurang Memuaskan",IF(K971="E","Tidak Memuaskan","Tidak Laksana"))))))</f>
        <v/>
      </c>
    </row>
    <row r="972">
      <c r="A972" s="15">
        <f>Murid!A972</f>
        <v/>
      </c>
      <c r="B972" s="15">
        <f>IF(Murid!B972="","",Murid!B972)</f>
        <v/>
      </c>
      <c r="C972" s="16">
        <f>IF(Murid!C972="","",Murid!C972)</f>
        <v/>
      </c>
      <c r="D972" s="15">
        <f>IF(Murid!E972="","",Murid!E972)</f>
        <v/>
      </c>
      <c r="E972" s="17">
        <f>KP!X972</f>
        <v/>
      </c>
      <c r="F972" s="17">
        <f>UB!X972</f>
        <v/>
      </c>
      <c r="G972" s="17">
        <f>SP!X972</f>
        <v/>
      </c>
      <c r="H972" s="17">
        <f>IF(COUNT(E972:G972)=0,"",ROUND((LARGE(E972:G972,1)+IF(COUNT(E972:G972)&gt;=2,LARGE(E972:G972,2),0))/2,2))</f>
        <v/>
      </c>
      <c r="I972" s="10">
        <f>Ekstra!U972</f>
        <v/>
      </c>
      <c r="J972" s="18">
        <f>IF(B972="","",IF(Murid!F972="TL","TL",IF(H972="","",MIN(100,ROUND(H972+N(I972),2)))))</f>
        <v/>
      </c>
      <c r="K972" s="19">
        <f>IF(J972="","",IF(J972="TL","TL",IF(J972&gt;=80,"A",IF(J972&gt;=60,"B",IF(J972&gt;=40,"C",IF(J972&gt;=20,"D","E"))))))</f>
        <v/>
      </c>
      <c r="L972" s="15">
        <f>IF(K972="","",IF(K972="A","Cemerlang",IF(K972="B","Kepujian",IF(K972="C","Baik",IF(K972="D","Kurang Memuaskan",IF(K972="E","Tidak Memuaskan","Tidak Laksana"))))))</f>
        <v/>
      </c>
    </row>
    <row r="973">
      <c r="A973" s="15">
        <f>Murid!A973</f>
        <v/>
      </c>
      <c r="B973" s="15">
        <f>IF(Murid!B973="","",Murid!B973)</f>
        <v/>
      </c>
      <c r="C973" s="16">
        <f>IF(Murid!C973="","",Murid!C973)</f>
        <v/>
      </c>
      <c r="D973" s="15">
        <f>IF(Murid!E973="","",Murid!E973)</f>
        <v/>
      </c>
      <c r="E973" s="17">
        <f>KP!X973</f>
        <v/>
      </c>
      <c r="F973" s="17">
        <f>UB!X973</f>
        <v/>
      </c>
      <c r="G973" s="17">
        <f>SP!X973</f>
        <v/>
      </c>
      <c r="H973" s="17">
        <f>IF(COUNT(E973:G973)=0,"",ROUND((LARGE(E973:G973,1)+IF(COUNT(E973:G973)&gt;=2,LARGE(E973:G973,2),0))/2,2))</f>
        <v/>
      </c>
      <c r="I973" s="10">
        <f>Ekstra!U973</f>
        <v/>
      </c>
      <c r="J973" s="18">
        <f>IF(B973="","",IF(Murid!F973="TL","TL",IF(H973="","",MIN(100,ROUND(H973+N(I973),2)))))</f>
        <v/>
      </c>
      <c r="K973" s="19">
        <f>IF(J973="","",IF(J973="TL","TL",IF(J973&gt;=80,"A",IF(J973&gt;=60,"B",IF(J973&gt;=40,"C",IF(J973&gt;=20,"D","E"))))))</f>
        <v/>
      </c>
      <c r="L973" s="15">
        <f>IF(K973="","",IF(K973="A","Cemerlang",IF(K973="B","Kepujian",IF(K973="C","Baik",IF(K973="D","Kurang Memuaskan",IF(K973="E","Tidak Memuaskan","Tidak Laksana"))))))</f>
        <v/>
      </c>
    </row>
    <row r="974">
      <c r="A974" s="15">
        <f>Murid!A974</f>
        <v/>
      </c>
      <c r="B974" s="15">
        <f>IF(Murid!B974="","",Murid!B974)</f>
        <v/>
      </c>
      <c r="C974" s="16">
        <f>IF(Murid!C974="","",Murid!C974)</f>
        <v/>
      </c>
      <c r="D974" s="15">
        <f>IF(Murid!E974="","",Murid!E974)</f>
        <v/>
      </c>
      <c r="E974" s="17">
        <f>KP!X974</f>
        <v/>
      </c>
      <c r="F974" s="17">
        <f>UB!X974</f>
        <v/>
      </c>
      <c r="G974" s="17">
        <f>SP!X974</f>
        <v/>
      </c>
      <c r="H974" s="17">
        <f>IF(COUNT(E974:G974)=0,"",ROUND((LARGE(E974:G974,1)+IF(COUNT(E974:G974)&gt;=2,LARGE(E974:G974,2),0))/2,2))</f>
        <v/>
      </c>
      <c r="I974" s="10">
        <f>Ekstra!U974</f>
        <v/>
      </c>
      <c r="J974" s="18">
        <f>IF(B974="","",IF(Murid!F974="TL","TL",IF(H974="","",MIN(100,ROUND(H974+N(I974),2)))))</f>
        <v/>
      </c>
      <c r="K974" s="19">
        <f>IF(J974="","",IF(J974="TL","TL",IF(J974&gt;=80,"A",IF(J974&gt;=60,"B",IF(J974&gt;=40,"C",IF(J974&gt;=20,"D","E"))))))</f>
        <v/>
      </c>
      <c r="L974" s="15">
        <f>IF(K974="","",IF(K974="A","Cemerlang",IF(K974="B","Kepujian",IF(K974="C","Baik",IF(K974="D","Kurang Memuaskan",IF(K974="E","Tidak Memuaskan","Tidak Laksana"))))))</f>
        <v/>
      </c>
    </row>
    <row r="975">
      <c r="A975" s="15">
        <f>Murid!A975</f>
        <v/>
      </c>
      <c r="B975" s="15">
        <f>IF(Murid!B975="","",Murid!B975)</f>
        <v/>
      </c>
      <c r="C975" s="16">
        <f>IF(Murid!C975="","",Murid!C975)</f>
        <v/>
      </c>
      <c r="D975" s="15">
        <f>IF(Murid!E975="","",Murid!E975)</f>
        <v/>
      </c>
      <c r="E975" s="17">
        <f>KP!X975</f>
        <v/>
      </c>
      <c r="F975" s="17">
        <f>UB!X975</f>
        <v/>
      </c>
      <c r="G975" s="17">
        <f>SP!X975</f>
        <v/>
      </c>
      <c r="H975" s="17">
        <f>IF(COUNT(E975:G975)=0,"",ROUND((LARGE(E975:G975,1)+IF(COUNT(E975:G975)&gt;=2,LARGE(E975:G975,2),0))/2,2))</f>
        <v/>
      </c>
      <c r="I975" s="10">
        <f>Ekstra!U975</f>
        <v/>
      </c>
      <c r="J975" s="18">
        <f>IF(B975="","",IF(Murid!F975="TL","TL",IF(H975="","",MIN(100,ROUND(H975+N(I975),2)))))</f>
        <v/>
      </c>
      <c r="K975" s="19">
        <f>IF(J975="","",IF(J975="TL","TL",IF(J975&gt;=80,"A",IF(J975&gt;=60,"B",IF(J975&gt;=40,"C",IF(J975&gt;=20,"D","E"))))))</f>
        <v/>
      </c>
      <c r="L975" s="15">
        <f>IF(K975="","",IF(K975="A","Cemerlang",IF(K975="B","Kepujian",IF(K975="C","Baik",IF(K975="D","Kurang Memuaskan",IF(K975="E","Tidak Memuaskan","Tidak Laksana"))))))</f>
        <v/>
      </c>
    </row>
    <row r="976">
      <c r="A976" s="15">
        <f>Murid!A976</f>
        <v/>
      </c>
      <c r="B976" s="15">
        <f>IF(Murid!B976="","",Murid!B976)</f>
        <v/>
      </c>
      <c r="C976" s="16">
        <f>IF(Murid!C976="","",Murid!C976)</f>
        <v/>
      </c>
      <c r="D976" s="15">
        <f>IF(Murid!E976="","",Murid!E976)</f>
        <v/>
      </c>
      <c r="E976" s="17">
        <f>KP!X976</f>
        <v/>
      </c>
      <c r="F976" s="17">
        <f>UB!X976</f>
        <v/>
      </c>
      <c r="G976" s="17">
        <f>SP!X976</f>
        <v/>
      </c>
      <c r="H976" s="17">
        <f>IF(COUNT(E976:G976)=0,"",ROUND((LARGE(E976:G976,1)+IF(COUNT(E976:G976)&gt;=2,LARGE(E976:G976,2),0))/2,2))</f>
        <v/>
      </c>
      <c r="I976" s="10">
        <f>Ekstra!U976</f>
        <v/>
      </c>
      <c r="J976" s="18">
        <f>IF(B976="","",IF(Murid!F976="TL","TL",IF(H976="","",MIN(100,ROUND(H976+N(I976),2)))))</f>
        <v/>
      </c>
      <c r="K976" s="19">
        <f>IF(J976="","",IF(J976="TL","TL",IF(J976&gt;=80,"A",IF(J976&gt;=60,"B",IF(J976&gt;=40,"C",IF(J976&gt;=20,"D","E"))))))</f>
        <v/>
      </c>
      <c r="L976" s="15">
        <f>IF(K976="","",IF(K976="A","Cemerlang",IF(K976="B","Kepujian",IF(K976="C","Baik",IF(K976="D","Kurang Memuaskan",IF(K976="E","Tidak Memuaskan","Tidak Laksana"))))))</f>
        <v/>
      </c>
    </row>
    <row r="977">
      <c r="A977" s="15">
        <f>Murid!A977</f>
        <v/>
      </c>
      <c r="B977" s="15">
        <f>IF(Murid!B977="","",Murid!B977)</f>
        <v/>
      </c>
      <c r="C977" s="16">
        <f>IF(Murid!C977="","",Murid!C977)</f>
        <v/>
      </c>
      <c r="D977" s="15">
        <f>IF(Murid!E977="","",Murid!E977)</f>
        <v/>
      </c>
      <c r="E977" s="17">
        <f>KP!X977</f>
        <v/>
      </c>
      <c r="F977" s="17">
        <f>UB!X977</f>
        <v/>
      </c>
      <c r="G977" s="17">
        <f>SP!X977</f>
        <v/>
      </c>
      <c r="H977" s="17">
        <f>IF(COUNT(E977:G977)=0,"",ROUND((LARGE(E977:G977,1)+IF(COUNT(E977:G977)&gt;=2,LARGE(E977:G977,2),0))/2,2))</f>
        <v/>
      </c>
      <c r="I977" s="10">
        <f>Ekstra!U977</f>
        <v/>
      </c>
      <c r="J977" s="18">
        <f>IF(B977="","",IF(Murid!F977="TL","TL",IF(H977="","",MIN(100,ROUND(H977+N(I977),2)))))</f>
        <v/>
      </c>
      <c r="K977" s="19">
        <f>IF(J977="","",IF(J977="TL","TL",IF(J977&gt;=80,"A",IF(J977&gt;=60,"B",IF(J977&gt;=40,"C",IF(J977&gt;=20,"D","E"))))))</f>
        <v/>
      </c>
      <c r="L977" s="15">
        <f>IF(K977="","",IF(K977="A","Cemerlang",IF(K977="B","Kepujian",IF(K977="C","Baik",IF(K977="D","Kurang Memuaskan",IF(K977="E","Tidak Memuaskan","Tidak Laksana"))))))</f>
        <v/>
      </c>
    </row>
    <row r="978">
      <c r="A978" s="15">
        <f>Murid!A978</f>
        <v/>
      </c>
      <c r="B978" s="15">
        <f>IF(Murid!B978="","",Murid!B978)</f>
        <v/>
      </c>
      <c r="C978" s="16">
        <f>IF(Murid!C978="","",Murid!C978)</f>
        <v/>
      </c>
      <c r="D978" s="15">
        <f>IF(Murid!E978="","",Murid!E978)</f>
        <v/>
      </c>
      <c r="E978" s="17">
        <f>KP!X978</f>
        <v/>
      </c>
      <c r="F978" s="17">
        <f>UB!X978</f>
        <v/>
      </c>
      <c r="G978" s="17">
        <f>SP!X978</f>
        <v/>
      </c>
      <c r="H978" s="17">
        <f>IF(COUNT(E978:G978)=0,"",ROUND((LARGE(E978:G978,1)+IF(COUNT(E978:G978)&gt;=2,LARGE(E978:G978,2),0))/2,2))</f>
        <v/>
      </c>
      <c r="I978" s="10">
        <f>Ekstra!U978</f>
        <v/>
      </c>
      <c r="J978" s="18">
        <f>IF(B978="","",IF(Murid!F978="TL","TL",IF(H978="","",MIN(100,ROUND(H978+N(I978),2)))))</f>
        <v/>
      </c>
      <c r="K978" s="19">
        <f>IF(J978="","",IF(J978="TL","TL",IF(J978&gt;=80,"A",IF(J978&gt;=60,"B",IF(J978&gt;=40,"C",IF(J978&gt;=20,"D","E"))))))</f>
        <v/>
      </c>
      <c r="L978" s="15">
        <f>IF(K978="","",IF(K978="A","Cemerlang",IF(K978="B","Kepujian",IF(K978="C","Baik",IF(K978="D","Kurang Memuaskan",IF(K978="E","Tidak Memuaskan","Tidak Laksana"))))))</f>
        <v/>
      </c>
    </row>
    <row r="979">
      <c r="A979" s="15">
        <f>Murid!A979</f>
        <v/>
      </c>
      <c r="B979" s="15">
        <f>IF(Murid!B979="","",Murid!B979)</f>
        <v/>
      </c>
      <c r="C979" s="16">
        <f>IF(Murid!C979="","",Murid!C979)</f>
        <v/>
      </c>
      <c r="D979" s="15">
        <f>IF(Murid!E979="","",Murid!E979)</f>
        <v/>
      </c>
      <c r="E979" s="17">
        <f>KP!X979</f>
        <v/>
      </c>
      <c r="F979" s="17">
        <f>UB!X979</f>
        <v/>
      </c>
      <c r="G979" s="17">
        <f>SP!X979</f>
        <v/>
      </c>
      <c r="H979" s="17">
        <f>IF(COUNT(E979:G979)=0,"",ROUND((LARGE(E979:G979,1)+IF(COUNT(E979:G979)&gt;=2,LARGE(E979:G979,2),0))/2,2))</f>
        <v/>
      </c>
      <c r="I979" s="10">
        <f>Ekstra!U979</f>
        <v/>
      </c>
      <c r="J979" s="18">
        <f>IF(B979="","",IF(Murid!F979="TL","TL",IF(H979="","",MIN(100,ROUND(H979+N(I979),2)))))</f>
        <v/>
      </c>
      <c r="K979" s="19">
        <f>IF(J979="","",IF(J979="TL","TL",IF(J979&gt;=80,"A",IF(J979&gt;=60,"B",IF(J979&gt;=40,"C",IF(J979&gt;=20,"D","E"))))))</f>
        <v/>
      </c>
      <c r="L979" s="15">
        <f>IF(K979="","",IF(K979="A","Cemerlang",IF(K979="B","Kepujian",IF(K979="C","Baik",IF(K979="D","Kurang Memuaskan",IF(K979="E","Tidak Memuaskan","Tidak Laksana"))))))</f>
        <v/>
      </c>
    </row>
    <row r="980">
      <c r="A980" s="15">
        <f>Murid!A980</f>
        <v/>
      </c>
      <c r="B980" s="15">
        <f>IF(Murid!B980="","",Murid!B980)</f>
        <v/>
      </c>
      <c r="C980" s="16">
        <f>IF(Murid!C980="","",Murid!C980)</f>
        <v/>
      </c>
      <c r="D980" s="15">
        <f>IF(Murid!E980="","",Murid!E980)</f>
        <v/>
      </c>
      <c r="E980" s="17">
        <f>KP!X980</f>
        <v/>
      </c>
      <c r="F980" s="17">
        <f>UB!X980</f>
        <v/>
      </c>
      <c r="G980" s="17">
        <f>SP!X980</f>
        <v/>
      </c>
      <c r="H980" s="17">
        <f>IF(COUNT(E980:G980)=0,"",ROUND((LARGE(E980:G980,1)+IF(COUNT(E980:G980)&gt;=2,LARGE(E980:G980,2),0))/2,2))</f>
        <v/>
      </c>
      <c r="I980" s="10">
        <f>Ekstra!U980</f>
        <v/>
      </c>
      <c r="J980" s="18">
        <f>IF(B980="","",IF(Murid!F980="TL","TL",IF(H980="","",MIN(100,ROUND(H980+N(I980),2)))))</f>
        <v/>
      </c>
      <c r="K980" s="19">
        <f>IF(J980="","",IF(J980="TL","TL",IF(J980&gt;=80,"A",IF(J980&gt;=60,"B",IF(J980&gt;=40,"C",IF(J980&gt;=20,"D","E"))))))</f>
        <v/>
      </c>
      <c r="L980" s="15">
        <f>IF(K980="","",IF(K980="A","Cemerlang",IF(K980="B","Kepujian",IF(K980="C","Baik",IF(K980="D","Kurang Memuaskan",IF(K980="E","Tidak Memuaskan","Tidak Laksana"))))))</f>
        <v/>
      </c>
    </row>
    <row r="981">
      <c r="A981" s="15">
        <f>Murid!A981</f>
        <v/>
      </c>
      <c r="B981" s="15">
        <f>IF(Murid!B981="","",Murid!B981)</f>
        <v/>
      </c>
      <c r="C981" s="16">
        <f>IF(Murid!C981="","",Murid!C981)</f>
        <v/>
      </c>
      <c r="D981" s="15">
        <f>IF(Murid!E981="","",Murid!E981)</f>
        <v/>
      </c>
      <c r="E981" s="17">
        <f>KP!X981</f>
        <v/>
      </c>
      <c r="F981" s="17">
        <f>UB!X981</f>
        <v/>
      </c>
      <c r="G981" s="17">
        <f>SP!X981</f>
        <v/>
      </c>
      <c r="H981" s="17">
        <f>IF(COUNT(E981:G981)=0,"",ROUND((LARGE(E981:G981,1)+IF(COUNT(E981:G981)&gt;=2,LARGE(E981:G981,2),0))/2,2))</f>
        <v/>
      </c>
      <c r="I981" s="10">
        <f>Ekstra!U981</f>
        <v/>
      </c>
      <c r="J981" s="18">
        <f>IF(B981="","",IF(Murid!F981="TL","TL",IF(H981="","",MIN(100,ROUND(H981+N(I981),2)))))</f>
        <v/>
      </c>
      <c r="K981" s="19">
        <f>IF(J981="","",IF(J981="TL","TL",IF(J981&gt;=80,"A",IF(J981&gt;=60,"B",IF(J981&gt;=40,"C",IF(J981&gt;=20,"D","E"))))))</f>
        <v/>
      </c>
      <c r="L981" s="15">
        <f>IF(K981="","",IF(K981="A","Cemerlang",IF(K981="B","Kepujian",IF(K981="C","Baik",IF(K981="D","Kurang Memuaskan",IF(K981="E","Tidak Memuaskan","Tidak Laksana"))))))</f>
        <v/>
      </c>
    </row>
    <row r="982">
      <c r="A982" s="15">
        <f>Murid!A982</f>
        <v/>
      </c>
      <c r="B982" s="15">
        <f>IF(Murid!B982="","",Murid!B982)</f>
        <v/>
      </c>
      <c r="C982" s="16">
        <f>IF(Murid!C982="","",Murid!C982)</f>
        <v/>
      </c>
      <c r="D982" s="15">
        <f>IF(Murid!E982="","",Murid!E982)</f>
        <v/>
      </c>
      <c r="E982" s="17">
        <f>KP!X982</f>
        <v/>
      </c>
      <c r="F982" s="17">
        <f>UB!X982</f>
        <v/>
      </c>
      <c r="G982" s="17">
        <f>SP!X982</f>
        <v/>
      </c>
      <c r="H982" s="17">
        <f>IF(COUNT(E982:G982)=0,"",ROUND((LARGE(E982:G982,1)+IF(COUNT(E982:G982)&gt;=2,LARGE(E982:G982,2),0))/2,2))</f>
        <v/>
      </c>
      <c r="I982" s="10">
        <f>Ekstra!U982</f>
        <v/>
      </c>
      <c r="J982" s="18">
        <f>IF(B982="","",IF(Murid!F982="TL","TL",IF(H982="","",MIN(100,ROUND(H982+N(I982),2)))))</f>
        <v/>
      </c>
      <c r="K982" s="19">
        <f>IF(J982="","",IF(J982="TL","TL",IF(J982&gt;=80,"A",IF(J982&gt;=60,"B",IF(J982&gt;=40,"C",IF(J982&gt;=20,"D","E"))))))</f>
        <v/>
      </c>
      <c r="L982" s="15">
        <f>IF(K982="","",IF(K982="A","Cemerlang",IF(K982="B","Kepujian",IF(K982="C","Baik",IF(K982="D","Kurang Memuaskan",IF(K982="E","Tidak Memuaskan","Tidak Laksana"))))))</f>
        <v/>
      </c>
    </row>
    <row r="983">
      <c r="A983" s="15">
        <f>Murid!A983</f>
        <v/>
      </c>
      <c r="B983" s="15">
        <f>IF(Murid!B983="","",Murid!B983)</f>
        <v/>
      </c>
      <c r="C983" s="16">
        <f>IF(Murid!C983="","",Murid!C983)</f>
        <v/>
      </c>
      <c r="D983" s="15">
        <f>IF(Murid!E983="","",Murid!E983)</f>
        <v/>
      </c>
      <c r="E983" s="17">
        <f>KP!X983</f>
        <v/>
      </c>
      <c r="F983" s="17">
        <f>UB!X983</f>
        <v/>
      </c>
      <c r="G983" s="17">
        <f>SP!X983</f>
        <v/>
      </c>
      <c r="H983" s="17">
        <f>IF(COUNT(E983:G983)=0,"",ROUND((LARGE(E983:G983,1)+IF(COUNT(E983:G983)&gt;=2,LARGE(E983:G983,2),0))/2,2))</f>
        <v/>
      </c>
      <c r="I983" s="10">
        <f>Ekstra!U983</f>
        <v/>
      </c>
      <c r="J983" s="18">
        <f>IF(B983="","",IF(Murid!F983="TL","TL",IF(H983="","",MIN(100,ROUND(H983+N(I983),2)))))</f>
        <v/>
      </c>
      <c r="K983" s="19">
        <f>IF(J983="","",IF(J983="TL","TL",IF(J983&gt;=80,"A",IF(J983&gt;=60,"B",IF(J983&gt;=40,"C",IF(J983&gt;=20,"D","E"))))))</f>
        <v/>
      </c>
      <c r="L983" s="15">
        <f>IF(K983="","",IF(K983="A","Cemerlang",IF(K983="B","Kepujian",IF(K983="C","Baik",IF(K983="D","Kurang Memuaskan",IF(K983="E","Tidak Memuaskan","Tidak Laksana"))))))</f>
        <v/>
      </c>
    </row>
    <row r="984">
      <c r="A984" s="15">
        <f>Murid!A984</f>
        <v/>
      </c>
      <c r="B984" s="15">
        <f>IF(Murid!B984="","",Murid!B984)</f>
        <v/>
      </c>
      <c r="C984" s="16">
        <f>IF(Murid!C984="","",Murid!C984)</f>
        <v/>
      </c>
      <c r="D984" s="15">
        <f>IF(Murid!E984="","",Murid!E984)</f>
        <v/>
      </c>
      <c r="E984" s="17">
        <f>KP!X984</f>
        <v/>
      </c>
      <c r="F984" s="17">
        <f>UB!X984</f>
        <v/>
      </c>
      <c r="G984" s="17">
        <f>SP!X984</f>
        <v/>
      </c>
      <c r="H984" s="17">
        <f>IF(COUNT(E984:G984)=0,"",ROUND((LARGE(E984:G984,1)+IF(COUNT(E984:G984)&gt;=2,LARGE(E984:G984,2),0))/2,2))</f>
        <v/>
      </c>
      <c r="I984" s="10">
        <f>Ekstra!U984</f>
        <v/>
      </c>
      <c r="J984" s="18">
        <f>IF(B984="","",IF(Murid!F984="TL","TL",IF(H984="","",MIN(100,ROUND(H984+N(I984),2)))))</f>
        <v/>
      </c>
      <c r="K984" s="19">
        <f>IF(J984="","",IF(J984="TL","TL",IF(J984&gt;=80,"A",IF(J984&gt;=60,"B",IF(J984&gt;=40,"C",IF(J984&gt;=20,"D","E"))))))</f>
        <v/>
      </c>
      <c r="L984" s="15">
        <f>IF(K984="","",IF(K984="A","Cemerlang",IF(K984="B","Kepujian",IF(K984="C","Baik",IF(K984="D","Kurang Memuaskan",IF(K984="E","Tidak Memuaskan","Tidak Laksana"))))))</f>
        <v/>
      </c>
    </row>
    <row r="985">
      <c r="A985" s="15">
        <f>Murid!A985</f>
        <v/>
      </c>
      <c r="B985" s="15">
        <f>IF(Murid!B985="","",Murid!B985)</f>
        <v/>
      </c>
      <c r="C985" s="16">
        <f>IF(Murid!C985="","",Murid!C985)</f>
        <v/>
      </c>
      <c r="D985" s="15">
        <f>IF(Murid!E985="","",Murid!E985)</f>
        <v/>
      </c>
      <c r="E985" s="17">
        <f>KP!X985</f>
        <v/>
      </c>
      <c r="F985" s="17">
        <f>UB!X985</f>
        <v/>
      </c>
      <c r="G985" s="17">
        <f>SP!X985</f>
        <v/>
      </c>
      <c r="H985" s="17">
        <f>IF(COUNT(E985:G985)=0,"",ROUND((LARGE(E985:G985,1)+IF(COUNT(E985:G985)&gt;=2,LARGE(E985:G985,2),0))/2,2))</f>
        <v/>
      </c>
      <c r="I985" s="10">
        <f>Ekstra!U985</f>
        <v/>
      </c>
      <c r="J985" s="18">
        <f>IF(B985="","",IF(Murid!F985="TL","TL",IF(H985="","",MIN(100,ROUND(H985+N(I985),2)))))</f>
        <v/>
      </c>
      <c r="K985" s="19">
        <f>IF(J985="","",IF(J985="TL","TL",IF(J985&gt;=80,"A",IF(J985&gt;=60,"B",IF(J985&gt;=40,"C",IF(J985&gt;=20,"D","E"))))))</f>
        <v/>
      </c>
      <c r="L985" s="15">
        <f>IF(K985="","",IF(K985="A","Cemerlang",IF(K985="B","Kepujian",IF(K985="C","Baik",IF(K985="D","Kurang Memuaskan",IF(K985="E","Tidak Memuaskan","Tidak Laksana"))))))</f>
        <v/>
      </c>
    </row>
    <row r="986">
      <c r="A986" s="15">
        <f>Murid!A986</f>
        <v/>
      </c>
      <c r="B986" s="15">
        <f>IF(Murid!B986="","",Murid!B986)</f>
        <v/>
      </c>
      <c r="C986" s="16">
        <f>IF(Murid!C986="","",Murid!C986)</f>
        <v/>
      </c>
      <c r="D986" s="15">
        <f>IF(Murid!E986="","",Murid!E986)</f>
        <v/>
      </c>
      <c r="E986" s="17">
        <f>KP!X986</f>
        <v/>
      </c>
      <c r="F986" s="17">
        <f>UB!X986</f>
        <v/>
      </c>
      <c r="G986" s="17">
        <f>SP!X986</f>
        <v/>
      </c>
      <c r="H986" s="17">
        <f>IF(COUNT(E986:G986)=0,"",ROUND((LARGE(E986:G986,1)+IF(COUNT(E986:G986)&gt;=2,LARGE(E986:G986,2),0))/2,2))</f>
        <v/>
      </c>
      <c r="I986" s="10">
        <f>Ekstra!U986</f>
        <v/>
      </c>
      <c r="J986" s="18">
        <f>IF(B986="","",IF(Murid!F986="TL","TL",IF(H986="","",MIN(100,ROUND(H986+N(I986),2)))))</f>
        <v/>
      </c>
      <c r="K986" s="19">
        <f>IF(J986="","",IF(J986="TL","TL",IF(J986&gt;=80,"A",IF(J986&gt;=60,"B",IF(J986&gt;=40,"C",IF(J986&gt;=20,"D","E"))))))</f>
        <v/>
      </c>
      <c r="L986" s="15">
        <f>IF(K986="","",IF(K986="A","Cemerlang",IF(K986="B","Kepujian",IF(K986="C","Baik",IF(K986="D","Kurang Memuaskan",IF(K986="E","Tidak Memuaskan","Tidak Laksana"))))))</f>
        <v/>
      </c>
    </row>
    <row r="987">
      <c r="A987" s="15">
        <f>Murid!A987</f>
        <v/>
      </c>
      <c r="B987" s="15">
        <f>IF(Murid!B987="","",Murid!B987)</f>
        <v/>
      </c>
      <c r="C987" s="16">
        <f>IF(Murid!C987="","",Murid!C987)</f>
        <v/>
      </c>
      <c r="D987" s="15">
        <f>IF(Murid!E987="","",Murid!E987)</f>
        <v/>
      </c>
      <c r="E987" s="17">
        <f>KP!X987</f>
        <v/>
      </c>
      <c r="F987" s="17">
        <f>UB!X987</f>
        <v/>
      </c>
      <c r="G987" s="17">
        <f>SP!X987</f>
        <v/>
      </c>
      <c r="H987" s="17">
        <f>IF(COUNT(E987:G987)=0,"",ROUND((LARGE(E987:G987,1)+IF(COUNT(E987:G987)&gt;=2,LARGE(E987:G987,2),0))/2,2))</f>
        <v/>
      </c>
      <c r="I987" s="10">
        <f>Ekstra!U987</f>
        <v/>
      </c>
      <c r="J987" s="18">
        <f>IF(B987="","",IF(Murid!F987="TL","TL",IF(H987="","",MIN(100,ROUND(H987+N(I987),2)))))</f>
        <v/>
      </c>
      <c r="K987" s="19">
        <f>IF(J987="","",IF(J987="TL","TL",IF(J987&gt;=80,"A",IF(J987&gt;=60,"B",IF(J987&gt;=40,"C",IF(J987&gt;=20,"D","E"))))))</f>
        <v/>
      </c>
      <c r="L987" s="15">
        <f>IF(K987="","",IF(K987="A","Cemerlang",IF(K987="B","Kepujian",IF(K987="C","Baik",IF(K987="D","Kurang Memuaskan",IF(K987="E","Tidak Memuaskan","Tidak Laksana"))))))</f>
        <v/>
      </c>
    </row>
    <row r="988">
      <c r="A988" s="15">
        <f>Murid!A988</f>
        <v/>
      </c>
      <c r="B988" s="15">
        <f>IF(Murid!B988="","",Murid!B988)</f>
        <v/>
      </c>
      <c r="C988" s="16">
        <f>IF(Murid!C988="","",Murid!C988)</f>
        <v/>
      </c>
      <c r="D988" s="15">
        <f>IF(Murid!E988="","",Murid!E988)</f>
        <v/>
      </c>
      <c r="E988" s="17">
        <f>KP!X988</f>
        <v/>
      </c>
      <c r="F988" s="17">
        <f>UB!X988</f>
        <v/>
      </c>
      <c r="G988" s="17">
        <f>SP!X988</f>
        <v/>
      </c>
      <c r="H988" s="17">
        <f>IF(COUNT(E988:G988)=0,"",ROUND((LARGE(E988:G988,1)+IF(COUNT(E988:G988)&gt;=2,LARGE(E988:G988,2),0))/2,2))</f>
        <v/>
      </c>
      <c r="I988" s="10">
        <f>Ekstra!U988</f>
        <v/>
      </c>
      <c r="J988" s="18">
        <f>IF(B988="","",IF(Murid!F988="TL","TL",IF(H988="","",MIN(100,ROUND(H988+N(I988),2)))))</f>
        <v/>
      </c>
      <c r="K988" s="19">
        <f>IF(J988="","",IF(J988="TL","TL",IF(J988&gt;=80,"A",IF(J988&gt;=60,"B",IF(J988&gt;=40,"C",IF(J988&gt;=20,"D","E"))))))</f>
        <v/>
      </c>
      <c r="L988" s="15">
        <f>IF(K988="","",IF(K988="A","Cemerlang",IF(K988="B","Kepujian",IF(K988="C","Baik",IF(K988="D","Kurang Memuaskan",IF(K988="E","Tidak Memuaskan","Tidak Laksana"))))))</f>
        <v/>
      </c>
    </row>
    <row r="989">
      <c r="A989" s="15">
        <f>Murid!A989</f>
        <v/>
      </c>
      <c r="B989" s="15">
        <f>IF(Murid!B989="","",Murid!B989)</f>
        <v/>
      </c>
      <c r="C989" s="16">
        <f>IF(Murid!C989="","",Murid!C989)</f>
        <v/>
      </c>
      <c r="D989" s="15">
        <f>IF(Murid!E989="","",Murid!E989)</f>
        <v/>
      </c>
      <c r="E989" s="17">
        <f>KP!X989</f>
        <v/>
      </c>
      <c r="F989" s="17">
        <f>UB!X989</f>
        <v/>
      </c>
      <c r="G989" s="17">
        <f>SP!X989</f>
        <v/>
      </c>
      <c r="H989" s="17">
        <f>IF(COUNT(E989:G989)=0,"",ROUND((LARGE(E989:G989,1)+IF(COUNT(E989:G989)&gt;=2,LARGE(E989:G989,2),0))/2,2))</f>
        <v/>
      </c>
      <c r="I989" s="10">
        <f>Ekstra!U989</f>
        <v/>
      </c>
      <c r="J989" s="18">
        <f>IF(B989="","",IF(Murid!F989="TL","TL",IF(H989="","",MIN(100,ROUND(H989+N(I989),2)))))</f>
        <v/>
      </c>
      <c r="K989" s="19">
        <f>IF(J989="","",IF(J989="TL","TL",IF(J989&gt;=80,"A",IF(J989&gt;=60,"B",IF(J989&gt;=40,"C",IF(J989&gt;=20,"D","E"))))))</f>
        <v/>
      </c>
      <c r="L989" s="15">
        <f>IF(K989="","",IF(K989="A","Cemerlang",IF(K989="B","Kepujian",IF(K989="C","Baik",IF(K989="D","Kurang Memuaskan",IF(K989="E","Tidak Memuaskan","Tidak Laksana"))))))</f>
        <v/>
      </c>
    </row>
    <row r="990">
      <c r="A990" s="15">
        <f>Murid!A990</f>
        <v/>
      </c>
      <c r="B990" s="15">
        <f>IF(Murid!B990="","",Murid!B990)</f>
        <v/>
      </c>
      <c r="C990" s="16">
        <f>IF(Murid!C990="","",Murid!C990)</f>
        <v/>
      </c>
      <c r="D990" s="15">
        <f>IF(Murid!E990="","",Murid!E990)</f>
        <v/>
      </c>
      <c r="E990" s="17">
        <f>KP!X990</f>
        <v/>
      </c>
      <c r="F990" s="17">
        <f>UB!X990</f>
        <v/>
      </c>
      <c r="G990" s="17">
        <f>SP!X990</f>
        <v/>
      </c>
      <c r="H990" s="17">
        <f>IF(COUNT(E990:G990)=0,"",ROUND((LARGE(E990:G990,1)+IF(COUNT(E990:G990)&gt;=2,LARGE(E990:G990,2),0))/2,2))</f>
        <v/>
      </c>
      <c r="I990" s="10">
        <f>Ekstra!U990</f>
        <v/>
      </c>
      <c r="J990" s="18">
        <f>IF(B990="","",IF(Murid!F990="TL","TL",IF(H990="","",MIN(100,ROUND(H990+N(I990),2)))))</f>
        <v/>
      </c>
      <c r="K990" s="19">
        <f>IF(J990="","",IF(J990="TL","TL",IF(J990&gt;=80,"A",IF(J990&gt;=60,"B",IF(J990&gt;=40,"C",IF(J990&gt;=20,"D","E"))))))</f>
        <v/>
      </c>
      <c r="L990" s="15">
        <f>IF(K990="","",IF(K990="A","Cemerlang",IF(K990="B","Kepujian",IF(K990="C","Baik",IF(K990="D","Kurang Memuaskan",IF(K990="E","Tidak Memuaskan","Tidak Laksana"))))))</f>
        <v/>
      </c>
    </row>
    <row r="991">
      <c r="A991" s="15">
        <f>Murid!A991</f>
        <v/>
      </c>
      <c r="B991" s="15">
        <f>IF(Murid!B991="","",Murid!B991)</f>
        <v/>
      </c>
      <c r="C991" s="16">
        <f>IF(Murid!C991="","",Murid!C991)</f>
        <v/>
      </c>
      <c r="D991" s="15">
        <f>IF(Murid!E991="","",Murid!E991)</f>
        <v/>
      </c>
      <c r="E991" s="17">
        <f>KP!X991</f>
        <v/>
      </c>
      <c r="F991" s="17">
        <f>UB!X991</f>
        <v/>
      </c>
      <c r="G991" s="17">
        <f>SP!X991</f>
        <v/>
      </c>
      <c r="H991" s="17">
        <f>IF(COUNT(E991:G991)=0,"",ROUND((LARGE(E991:G991,1)+IF(COUNT(E991:G991)&gt;=2,LARGE(E991:G991,2),0))/2,2))</f>
        <v/>
      </c>
      <c r="I991" s="10">
        <f>Ekstra!U991</f>
        <v/>
      </c>
      <c r="J991" s="18">
        <f>IF(B991="","",IF(Murid!F991="TL","TL",IF(H991="","",MIN(100,ROUND(H991+N(I991),2)))))</f>
        <v/>
      </c>
      <c r="K991" s="19">
        <f>IF(J991="","",IF(J991="TL","TL",IF(J991&gt;=80,"A",IF(J991&gt;=60,"B",IF(J991&gt;=40,"C",IF(J991&gt;=20,"D","E"))))))</f>
        <v/>
      </c>
      <c r="L991" s="15">
        <f>IF(K991="","",IF(K991="A","Cemerlang",IF(K991="B","Kepujian",IF(K991="C","Baik",IF(K991="D","Kurang Memuaskan",IF(K991="E","Tidak Memuaskan","Tidak Laksana"))))))</f>
        <v/>
      </c>
    </row>
    <row r="992">
      <c r="A992" s="15">
        <f>Murid!A992</f>
        <v/>
      </c>
      <c r="B992" s="15">
        <f>IF(Murid!B992="","",Murid!B992)</f>
        <v/>
      </c>
      <c r="C992" s="16">
        <f>IF(Murid!C992="","",Murid!C992)</f>
        <v/>
      </c>
      <c r="D992" s="15">
        <f>IF(Murid!E992="","",Murid!E992)</f>
        <v/>
      </c>
      <c r="E992" s="17">
        <f>KP!X992</f>
        <v/>
      </c>
      <c r="F992" s="17">
        <f>UB!X992</f>
        <v/>
      </c>
      <c r="G992" s="17">
        <f>SP!X992</f>
        <v/>
      </c>
      <c r="H992" s="17">
        <f>IF(COUNT(E992:G992)=0,"",ROUND((LARGE(E992:G992,1)+IF(COUNT(E992:G992)&gt;=2,LARGE(E992:G992,2),0))/2,2))</f>
        <v/>
      </c>
      <c r="I992" s="10">
        <f>Ekstra!U992</f>
        <v/>
      </c>
      <c r="J992" s="18">
        <f>IF(B992="","",IF(Murid!F992="TL","TL",IF(H992="","",MIN(100,ROUND(H992+N(I992),2)))))</f>
        <v/>
      </c>
      <c r="K992" s="19">
        <f>IF(J992="","",IF(J992="TL","TL",IF(J992&gt;=80,"A",IF(J992&gt;=60,"B",IF(J992&gt;=40,"C",IF(J992&gt;=20,"D","E"))))))</f>
        <v/>
      </c>
      <c r="L992" s="15">
        <f>IF(K992="","",IF(K992="A","Cemerlang",IF(K992="B","Kepujian",IF(K992="C","Baik",IF(K992="D","Kurang Memuaskan",IF(K992="E","Tidak Memuaskan","Tidak Laksana"))))))</f>
        <v/>
      </c>
    </row>
    <row r="993">
      <c r="A993" s="15">
        <f>Murid!A993</f>
        <v/>
      </c>
      <c r="B993" s="15">
        <f>IF(Murid!B993="","",Murid!B993)</f>
        <v/>
      </c>
      <c r="C993" s="16">
        <f>IF(Murid!C993="","",Murid!C993)</f>
        <v/>
      </c>
      <c r="D993" s="15">
        <f>IF(Murid!E993="","",Murid!E993)</f>
        <v/>
      </c>
      <c r="E993" s="17">
        <f>KP!X993</f>
        <v/>
      </c>
      <c r="F993" s="17">
        <f>UB!X993</f>
        <v/>
      </c>
      <c r="G993" s="17">
        <f>SP!X993</f>
        <v/>
      </c>
      <c r="H993" s="17">
        <f>IF(COUNT(E993:G993)=0,"",ROUND((LARGE(E993:G993,1)+IF(COUNT(E993:G993)&gt;=2,LARGE(E993:G993,2),0))/2,2))</f>
        <v/>
      </c>
      <c r="I993" s="10">
        <f>Ekstra!U993</f>
        <v/>
      </c>
      <c r="J993" s="18">
        <f>IF(B993="","",IF(Murid!F993="TL","TL",IF(H993="","",MIN(100,ROUND(H993+N(I993),2)))))</f>
        <v/>
      </c>
      <c r="K993" s="19">
        <f>IF(J993="","",IF(J993="TL","TL",IF(J993&gt;=80,"A",IF(J993&gt;=60,"B",IF(J993&gt;=40,"C",IF(J993&gt;=20,"D","E"))))))</f>
        <v/>
      </c>
      <c r="L993" s="15">
        <f>IF(K993="","",IF(K993="A","Cemerlang",IF(K993="B","Kepujian",IF(K993="C","Baik",IF(K993="D","Kurang Memuaskan",IF(K993="E","Tidak Memuaskan","Tidak Laksana"))))))</f>
        <v/>
      </c>
    </row>
    <row r="994">
      <c r="A994" s="15">
        <f>Murid!A994</f>
        <v/>
      </c>
      <c r="B994" s="15">
        <f>IF(Murid!B994="","",Murid!B994)</f>
        <v/>
      </c>
      <c r="C994" s="16">
        <f>IF(Murid!C994="","",Murid!C994)</f>
        <v/>
      </c>
      <c r="D994" s="15">
        <f>IF(Murid!E994="","",Murid!E994)</f>
        <v/>
      </c>
      <c r="E994" s="17">
        <f>KP!X994</f>
        <v/>
      </c>
      <c r="F994" s="17">
        <f>UB!X994</f>
        <v/>
      </c>
      <c r="G994" s="17">
        <f>SP!X994</f>
        <v/>
      </c>
      <c r="H994" s="17">
        <f>IF(COUNT(E994:G994)=0,"",ROUND((LARGE(E994:G994,1)+IF(COUNT(E994:G994)&gt;=2,LARGE(E994:G994,2),0))/2,2))</f>
        <v/>
      </c>
      <c r="I994" s="10">
        <f>Ekstra!U994</f>
        <v/>
      </c>
      <c r="J994" s="18">
        <f>IF(B994="","",IF(Murid!F994="TL","TL",IF(H994="","",MIN(100,ROUND(H994+N(I994),2)))))</f>
        <v/>
      </c>
      <c r="K994" s="19">
        <f>IF(J994="","",IF(J994="TL","TL",IF(J994&gt;=80,"A",IF(J994&gt;=60,"B",IF(J994&gt;=40,"C",IF(J994&gt;=20,"D","E"))))))</f>
        <v/>
      </c>
      <c r="L994" s="15">
        <f>IF(K994="","",IF(K994="A","Cemerlang",IF(K994="B","Kepujian",IF(K994="C","Baik",IF(K994="D","Kurang Memuaskan",IF(K994="E","Tidak Memuaskan","Tidak Laksana"))))))</f>
        <v/>
      </c>
    </row>
    <row r="995">
      <c r="A995" s="15">
        <f>Murid!A995</f>
        <v/>
      </c>
      <c r="B995" s="15">
        <f>IF(Murid!B995="","",Murid!B995)</f>
        <v/>
      </c>
      <c r="C995" s="16">
        <f>IF(Murid!C995="","",Murid!C995)</f>
        <v/>
      </c>
      <c r="D995" s="15">
        <f>IF(Murid!E995="","",Murid!E995)</f>
        <v/>
      </c>
      <c r="E995" s="17">
        <f>KP!X995</f>
        <v/>
      </c>
      <c r="F995" s="17">
        <f>UB!X995</f>
        <v/>
      </c>
      <c r="G995" s="17">
        <f>SP!X995</f>
        <v/>
      </c>
      <c r="H995" s="17">
        <f>IF(COUNT(E995:G995)=0,"",ROUND((LARGE(E995:G995,1)+IF(COUNT(E995:G995)&gt;=2,LARGE(E995:G995,2),0))/2,2))</f>
        <v/>
      </c>
      <c r="I995" s="10">
        <f>Ekstra!U995</f>
        <v/>
      </c>
      <c r="J995" s="18">
        <f>IF(B995="","",IF(Murid!F995="TL","TL",IF(H995="","",MIN(100,ROUND(H995+N(I995),2)))))</f>
        <v/>
      </c>
      <c r="K995" s="19">
        <f>IF(J995="","",IF(J995="TL","TL",IF(J995&gt;=80,"A",IF(J995&gt;=60,"B",IF(J995&gt;=40,"C",IF(J995&gt;=20,"D","E"))))))</f>
        <v/>
      </c>
      <c r="L995" s="15">
        <f>IF(K995="","",IF(K995="A","Cemerlang",IF(K995="B","Kepujian",IF(K995="C","Baik",IF(K995="D","Kurang Memuaskan",IF(K995="E","Tidak Memuaskan","Tidak Laksana"))))))</f>
        <v/>
      </c>
    </row>
    <row r="996">
      <c r="A996" s="15">
        <f>Murid!A996</f>
        <v/>
      </c>
      <c r="B996" s="15">
        <f>IF(Murid!B996="","",Murid!B996)</f>
        <v/>
      </c>
      <c r="C996" s="16">
        <f>IF(Murid!C996="","",Murid!C996)</f>
        <v/>
      </c>
      <c r="D996" s="15">
        <f>IF(Murid!E996="","",Murid!E996)</f>
        <v/>
      </c>
      <c r="E996" s="17">
        <f>KP!X996</f>
        <v/>
      </c>
      <c r="F996" s="17">
        <f>UB!X996</f>
        <v/>
      </c>
      <c r="G996" s="17">
        <f>SP!X996</f>
        <v/>
      </c>
      <c r="H996" s="17">
        <f>IF(COUNT(E996:G996)=0,"",ROUND((LARGE(E996:G996,1)+IF(COUNT(E996:G996)&gt;=2,LARGE(E996:G996,2),0))/2,2))</f>
        <v/>
      </c>
      <c r="I996" s="10">
        <f>Ekstra!U996</f>
        <v/>
      </c>
      <c r="J996" s="18">
        <f>IF(B996="","",IF(Murid!F996="TL","TL",IF(H996="","",MIN(100,ROUND(H996+N(I996),2)))))</f>
        <v/>
      </c>
      <c r="K996" s="19">
        <f>IF(J996="","",IF(J996="TL","TL",IF(J996&gt;=80,"A",IF(J996&gt;=60,"B",IF(J996&gt;=40,"C",IF(J996&gt;=20,"D","E"))))))</f>
        <v/>
      </c>
      <c r="L996" s="15">
        <f>IF(K996="","",IF(K996="A","Cemerlang",IF(K996="B","Kepujian",IF(K996="C","Baik",IF(K996="D","Kurang Memuaskan",IF(K996="E","Tidak Memuaskan","Tidak Laksana"))))))</f>
        <v/>
      </c>
    </row>
    <row r="997">
      <c r="A997" s="15">
        <f>Murid!A997</f>
        <v/>
      </c>
      <c r="B997" s="15">
        <f>IF(Murid!B997="","",Murid!B997)</f>
        <v/>
      </c>
      <c r="C997" s="16">
        <f>IF(Murid!C997="","",Murid!C997)</f>
        <v/>
      </c>
      <c r="D997" s="15">
        <f>IF(Murid!E997="","",Murid!E997)</f>
        <v/>
      </c>
      <c r="E997" s="17">
        <f>KP!X997</f>
        <v/>
      </c>
      <c r="F997" s="17">
        <f>UB!X997</f>
        <v/>
      </c>
      <c r="G997" s="17">
        <f>SP!X997</f>
        <v/>
      </c>
      <c r="H997" s="17">
        <f>IF(COUNT(E997:G997)=0,"",ROUND((LARGE(E997:G997,1)+IF(COUNT(E997:G997)&gt;=2,LARGE(E997:G997,2),0))/2,2))</f>
        <v/>
      </c>
      <c r="I997" s="10">
        <f>Ekstra!U997</f>
        <v/>
      </c>
      <c r="J997" s="18">
        <f>IF(B997="","",IF(Murid!F997="TL","TL",IF(H997="","",MIN(100,ROUND(H997+N(I997),2)))))</f>
        <v/>
      </c>
      <c r="K997" s="19">
        <f>IF(J997="","",IF(J997="TL","TL",IF(J997&gt;=80,"A",IF(J997&gt;=60,"B",IF(J997&gt;=40,"C",IF(J997&gt;=20,"D","E"))))))</f>
        <v/>
      </c>
      <c r="L997" s="15">
        <f>IF(K997="","",IF(K997="A","Cemerlang",IF(K997="B","Kepujian",IF(K997="C","Baik",IF(K997="D","Kurang Memuaskan",IF(K997="E","Tidak Memuaskan","Tidak Laksana"))))))</f>
        <v/>
      </c>
    </row>
    <row r="998">
      <c r="A998" s="15">
        <f>Murid!A998</f>
        <v/>
      </c>
      <c r="B998" s="15">
        <f>IF(Murid!B998="","",Murid!B998)</f>
        <v/>
      </c>
      <c r="C998" s="16">
        <f>IF(Murid!C998="","",Murid!C998)</f>
        <v/>
      </c>
      <c r="D998" s="15">
        <f>IF(Murid!E998="","",Murid!E998)</f>
        <v/>
      </c>
      <c r="E998" s="17">
        <f>KP!X998</f>
        <v/>
      </c>
      <c r="F998" s="17">
        <f>UB!X998</f>
        <v/>
      </c>
      <c r="G998" s="17">
        <f>SP!X998</f>
        <v/>
      </c>
      <c r="H998" s="17">
        <f>IF(COUNT(E998:G998)=0,"",ROUND((LARGE(E998:G998,1)+IF(COUNT(E998:G998)&gt;=2,LARGE(E998:G998,2),0))/2,2))</f>
        <v/>
      </c>
      <c r="I998" s="10">
        <f>Ekstra!U998</f>
        <v/>
      </c>
      <c r="J998" s="18">
        <f>IF(B998="","",IF(Murid!F998="TL","TL",IF(H998="","",MIN(100,ROUND(H998+N(I998),2)))))</f>
        <v/>
      </c>
      <c r="K998" s="19">
        <f>IF(J998="","",IF(J998="TL","TL",IF(J998&gt;=80,"A",IF(J998&gt;=60,"B",IF(J998&gt;=40,"C",IF(J998&gt;=20,"D","E"))))))</f>
        <v/>
      </c>
      <c r="L998" s="15">
        <f>IF(K998="","",IF(K998="A","Cemerlang",IF(K998="B","Kepujian",IF(K998="C","Baik",IF(K998="D","Kurang Memuaskan",IF(K998="E","Tidak Memuaskan","Tidak Laksana"))))))</f>
        <v/>
      </c>
    </row>
    <row r="999">
      <c r="A999" s="15">
        <f>Murid!A999</f>
        <v/>
      </c>
      <c r="B999" s="15">
        <f>IF(Murid!B999="","",Murid!B999)</f>
        <v/>
      </c>
      <c r="C999" s="16">
        <f>IF(Murid!C999="","",Murid!C999)</f>
        <v/>
      </c>
      <c r="D999" s="15">
        <f>IF(Murid!E999="","",Murid!E999)</f>
        <v/>
      </c>
      <c r="E999" s="17">
        <f>KP!X999</f>
        <v/>
      </c>
      <c r="F999" s="17">
        <f>UB!X999</f>
        <v/>
      </c>
      <c r="G999" s="17">
        <f>SP!X999</f>
        <v/>
      </c>
      <c r="H999" s="17">
        <f>IF(COUNT(E999:G999)=0,"",ROUND((LARGE(E999:G999,1)+IF(COUNT(E999:G999)&gt;=2,LARGE(E999:G999,2),0))/2,2))</f>
        <v/>
      </c>
      <c r="I999" s="10">
        <f>Ekstra!U999</f>
        <v/>
      </c>
      <c r="J999" s="18">
        <f>IF(B999="","",IF(Murid!F999="TL","TL",IF(H999="","",MIN(100,ROUND(H999+N(I999),2)))))</f>
        <v/>
      </c>
      <c r="K999" s="19">
        <f>IF(J999="","",IF(J999="TL","TL",IF(J999&gt;=80,"A",IF(J999&gt;=60,"B",IF(J999&gt;=40,"C",IF(J999&gt;=20,"D","E"))))))</f>
        <v/>
      </c>
      <c r="L999" s="15">
        <f>IF(K999="","",IF(K999="A","Cemerlang",IF(K999="B","Kepujian",IF(K999="C","Baik",IF(K999="D","Kurang Memuaskan",IF(K999="E","Tidak Memuaskan","Tidak Laksana"))))))</f>
        <v/>
      </c>
    </row>
    <row r="1000">
      <c r="A1000" s="15">
        <f>Murid!A1000</f>
        <v/>
      </c>
      <c r="B1000" s="15">
        <f>IF(Murid!B1000="","",Murid!B1000)</f>
        <v/>
      </c>
      <c r="C1000" s="16">
        <f>IF(Murid!C1000="","",Murid!C1000)</f>
        <v/>
      </c>
      <c r="D1000" s="15">
        <f>IF(Murid!E1000="","",Murid!E1000)</f>
        <v/>
      </c>
      <c r="E1000" s="17">
        <f>KP!X1000</f>
        <v/>
      </c>
      <c r="F1000" s="17">
        <f>UB!X1000</f>
        <v/>
      </c>
      <c r="G1000" s="17">
        <f>SP!X1000</f>
        <v/>
      </c>
      <c r="H1000" s="17">
        <f>IF(COUNT(E1000:G1000)=0,"",ROUND((LARGE(E1000:G1000,1)+IF(COUNT(E1000:G1000)&gt;=2,LARGE(E1000:G1000,2),0))/2,2))</f>
        <v/>
      </c>
      <c r="I1000" s="10">
        <f>Ekstra!U1000</f>
        <v/>
      </c>
      <c r="J1000" s="18">
        <f>IF(B1000="","",IF(Murid!F1000="TL","TL",IF(H1000="","",MIN(100,ROUND(H1000+N(I1000),2)))))</f>
        <v/>
      </c>
      <c r="K1000" s="19">
        <f>IF(J1000="","",IF(J1000="TL","TL",IF(J1000&gt;=80,"A",IF(J1000&gt;=60,"B",IF(J1000&gt;=40,"C",IF(J1000&gt;=20,"D","E"))))))</f>
        <v/>
      </c>
      <c r="L1000" s="15">
        <f>IF(K1000="","",IF(K1000="A","Cemerlang",IF(K1000="B","Kepujian",IF(K1000="C","Baik",IF(K1000="D","Kurang Memuaskan",IF(K1000="E","Tidak Memuaskan","Tidak Laksana"))))))</f>
        <v/>
      </c>
    </row>
    <row r="1001">
      <c r="A1001" s="15">
        <f>Murid!A1001</f>
        <v/>
      </c>
      <c r="B1001" s="15">
        <f>IF(Murid!B1001="","",Murid!B1001)</f>
        <v/>
      </c>
      <c r="C1001" s="16">
        <f>IF(Murid!C1001="","",Murid!C1001)</f>
        <v/>
      </c>
      <c r="D1001" s="15">
        <f>IF(Murid!E1001="","",Murid!E1001)</f>
        <v/>
      </c>
      <c r="E1001" s="17">
        <f>KP!X1001</f>
        <v/>
      </c>
      <c r="F1001" s="17">
        <f>UB!X1001</f>
        <v/>
      </c>
      <c r="G1001" s="17">
        <f>SP!X1001</f>
        <v/>
      </c>
      <c r="H1001" s="17">
        <f>IF(COUNT(E1001:G1001)=0,"",ROUND((LARGE(E1001:G1001,1)+IF(COUNT(E1001:G1001)&gt;=2,LARGE(E1001:G1001,2),0))/2,2))</f>
        <v/>
      </c>
      <c r="I1001" s="10">
        <f>Ekstra!U1001</f>
        <v/>
      </c>
      <c r="J1001" s="18">
        <f>IF(B1001="","",IF(Murid!F1001="TL","TL",IF(H1001="","",MIN(100,ROUND(H1001+N(I1001),2)))))</f>
        <v/>
      </c>
      <c r="K1001" s="19">
        <f>IF(J1001="","",IF(J1001="TL","TL",IF(J1001&gt;=80,"A",IF(J1001&gt;=60,"B",IF(J1001&gt;=40,"C",IF(J1001&gt;=20,"D","E"))))))</f>
        <v/>
      </c>
      <c r="L1001" s="15">
        <f>IF(K1001="","",IF(K1001="A","Cemerlang",IF(K1001="B","Kepujian",IF(K1001="C","Baik",IF(K1001="D","Kurang Memuaskan",IF(K1001="E","Tidak Memuaskan","Tidak Laksana"))))))</f>
        <v/>
      </c>
    </row>
    <row r="1002">
      <c r="A1002" s="15">
        <f>Murid!A1002</f>
        <v/>
      </c>
      <c r="B1002" s="15">
        <f>IF(Murid!B1002="","",Murid!B1002)</f>
        <v/>
      </c>
      <c r="C1002" s="16">
        <f>IF(Murid!C1002="","",Murid!C1002)</f>
        <v/>
      </c>
      <c r="D1002" s="15">
        <f>IF(Murid!E1002="","",Murid!E1002)</f>
        <v/>
      </c>
      <c r="E1002" s="17">
        <f>KP!X1002</f>
        <v/>
      </c>
      <c r="F1002" s="17">
        <f>UB!X1002</f>
        <v/>
      </c>
      <c r="G1002" s="17">
        <f>SP!X1002</f>
        <v/>
      </c>
      <c r="H1002" s="17">
        <f>IF(COUNT(E1002:G1002)=0,"",ROUND((LARGE(E1002:G1002,1)+IF(COUNT(E1002:G1002)&gt;=2,LARGE(E1002:G1002,2),0))/2,2))</f>
        <v/>
      </c>
      <c r="I1002" s="10">
        <f>Ekstra!U1002</f>
        <v/>
      </c>
      <c r="J1002" s="18">
        <f>IF(B1002="","",IF(Murid!F1002="TL","TL",IF(H1002="","",MIN(100,ROUND(H1002+N(I1002),2)))))</f>
        <v/>
      </c>
      <c r="K1002" s="19">
        <f>IF(J1002="","",IF(J1002="TL","TL",IF(J1002&gt;=80,"A",IF(J1002&gt;=60,"B",IF(J1002&gt;=40,"C",IF(J1002&gt;=20,"D","E"))))))</f>
        <v/>
      </c>
      <c r="L1002" s="15">
        <f>IF(K1002="","",IF(K1002="A","Cemerlang",IF(K1002="B","Kepujian",IF(K1002="C","Baik",IF(K1002="D","Kurang Memuaskan",IF(K1002="E","Tidak Memuaskan","Tidak Laksana"))))))</f>
        <v/>
      </c>
    </row>
    <row r="1003">
      <c r="A1003" s="15">
        <f>Murid!A1003</f>
        <v/>
      </c>
      <c r="B1003" s="15">
        <f>IF(Murid!B1003="","",Murid!B1003)</f>
        <v/>
      </c>
      <c r="C1003" s="16">
        <f>IF(Murid!C1003="","",Murid!C1003)</f>
        <v/>
      </c>
      <c r="D1003" s="15">
        <f>IF(Murid!E1003="","",Murid!E1003)</f>
        <v/>
      </c>
      <c r="E1003" s="17">
        <f>KP!X1003</f>
        <v/>
      </c>
      <c r="F1003" s="17">
        <f>UB!X1003</f>
        <v/>
      </c>
      <c r="G1003" s="17">
        <f>SP!X1003</f>
        <v/>
      </c>
      <c r="H1003" s="17">
        <f>IF(COUNT(E1003:G1003)=0,"",ROUND((LARGE(E1003:G1003,1)+IF(COUNT(E1003:G1003)&gt;=2,LARGE(E1003:G1003,2),0))/2,2))</f>
        <v/>
      </c>
      <c r="I1003" s="10">
        <f>Ekstra!U1003</f>
        <v/>
      </c>
      <c r="J1003" s="18">
        <f>IF(B1003="","",IF(Murid!F1003="TL","TL",IF(H1003="","",MIN(100,ROUND(H1003+N(I1003),2)))))</f>
        <v/>
      </c>
      <c r="K1003" s="19">
        <f>IF(J1003="","",IF(J1003="TL","TL",IF(J1003&gt;=80,"A",IF(J1003&gt;=60,"B",IF(J1003&gt;=40,"C",IF(J1003&gt;=20,"D","E"))))))</f>
        <v/>
      </c>
      <c r="L1003" s="15">
        <f>IF(K1003="","",IF(K1003="A","Cemerlang",IF(K1003="B","Kepujian",IF(K1003="C","Baik",IF(K1003="D","Kurang Memuaskan",IF(K1003="E","Tidak Memuaskan","Tidak Laksana"))))))</f>
        <v/>
      </c>
    </row>
    <row r="1004">
      <c r="A1004" s="15">
        <f>Murid!A1004</f>
        <v/>
      </c>
      <c r="B1004" s="15">
        <f>IF(Murid!B1004="","",Murid!B1004)</f>
        <v/>
      </c>
      <c r="C1004" s="16">
        <f>IF(Murid!C1004="","",Murid!C1004)</f>
        <v/>
      </c>
      <c r="D1004" s="15">
        <f>IF(Murid!E1004="","",Murid!E1004)</f>
        <v/>
      </c>
      <c r="E1004" s="17">
        <f>KP!X1004</f>
        <v/>
      </c>
      <c r="F1004" s="17">
        <f>UB!X1004</f>
        <v/>
      </c>
      <c r="G1004" s="17">
        <f>SP!X1004</f>
        <v/>
      </c>
      <c r="H1004" s="17">
        <f>IF(COUNT(E1004:G1004)=0,"",ROUND((LARGE(E1004:G1004,1)+IF(COUNT(E1004:G1004)&gt;=2,LARGE(E1004:G1004,2),0))/2,2))</f>
        <v/>
      </c>
      <c r="I1004" s="10">
        <f>Ekstra!U1004</f>
        <v/>
      </c>
      <c r="J1004" s="18">
        <f>IF(B1004="","",IF(Murid!F1004="TL","TL",IF(H1004="","",MIN(100,ROUND(H1004+N(I1004),2)))))</f>
        <v/>
      </c>
      <c r="K1004" s="19">
        <f>IF(J1004="","",IF(J1004="TL","TL",IF(J1004&gt;=80,"A",IF(J1004&gt;=60,"B",IF(J1004&gt;=40,"C",IF(J1004&gt;=20,"D","E"))))))</f>
        <v/>
      </c>
      <c r="L1004" s="15">
        <f>IF(K1004="","",IF(K1004="A","Cemerlang",IF(K1004="B","Kepujian",IF(K1004="C","Baik",IF(K1004="D","Kurang Memuaskan",IF(K1004="E","Tidak Memuaskan","Tidak Laksana"))))))</f>
        <v/>
      </c>
    </row>
  </sheetData>
  <autoFilter ref="A4:L1004"/>
  <conditionalFormatting sqref="K5:K1004">
    <cfRule type="expression" priority="1" dxfId="1">
      <formula>K5="A"</formula>
    </cfRule>
    <cfRule type="expression" priority="2" dxfId="2">
      <formula>K5="B"</formula>
    </cfRule>
    <cfRule type="expression" priority="3" dxfId="3">
      <formula>K5="C"</formula>
    </cfRule>
    <cfRule type="expression" priority="4" dxfId="4">
      <formula>K5="D"</formula>
    </cfRule>
    <cfRule type="expression" priority="5" dxfId="0">
      <formula>K5="E"</formula>
    </cfRule>
  </conditionalFormatting>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BK72"/>
  <sheetViews>
    <sheetView showGridLines="0" workbookViewId="0">
      <selection activeCell="A1" sqref="A1"/>
    </sheetView>
  </sheetViews>
  <sheetFormatPr baseColWidth="8" defaultRowHeight="15"/>
  <cols>
    <col width="22" customWidth="1" min="1" max="1"/>
    <col width="6" customWidth="1" min="2" max="2"/>
    <col width="12" customWidth="1" min="3" max="3"/>
    <col width="2" customWidth="1" min="4" max="4"/>
    <col width="40" customWidth="1" min="5" max="5"/>
    <col width="6" customWidth="1" min="6" max="6"/>
    <col width="12" customWidth="1" min="7" max="7"/>
    <col width="2" customWidth="1" min="8" max="8"/>
    <col width="36" customWidth="1" min="9" max="9"/>
    <col width="6" customWidth="1" min="10" max="10"/>
    <col width="12" customWidth="1" min="11" max="11"/>
    <col width="2" customWidth="1" min="12" max="12"/>
    <col width="44" customWidth="1" min="13" max="13"/>
    <col width="6" customWidth="1" min="14" max="14"/>
    <col width="12" customWidth="1" min="15" max="15"/>
    <col width="2" customWidth="1" min="16" max="16"/>
    <col width="50" customWidth="1" min="17" max="17"/>
    <col width="6" customWidth="1" min="18" max="18"/>
    <col width="12" customWidth="1" min="19" max="19"/>
    <col width="2" customWidth="1" min="20" max="20"/>
    <col width="26" customWidth="1" min="21" max="21"/>
    <col width="6" customWidth="1" min="22" max="22"/>
    <col width="12" customWidth="1" min="23" max="23"/>
    <col width="2" customWidth="1" min="24" max="24"/>
    <col width="36" customWidth="1" min="25" max="25"/>
    <col width="6" customWidth="1" min="26" max="26"/>
    <col width="12" customWidth="1" min="27" max="27"/>
    <col width="2" customWidth="1" min="28" max="28"/>
    <col width="12" customWidth="1" min="29" max="29"/>
    <col width="6" customWidth="1" min="30" max="30"/>
    <col width="12" customWidth="1" min="31" max="31"/>
    <col width="2" customWidth="1" min="32" max="32"/>
    <col width="26" customWidth="1" min="33" max="33"/>
    <col width="12" customWidth="1" min="34" max="34"/>
    <col width="12" customWidth="1" min="35" max="35"/>
    <col width="12" customWidth="1" min="36" max="36"/>
    <col width="2" customWidth="1" min="37" max="37"/>
    <col width="26" customWidth="1" min="38" max="38"/>
    <col width="12" customWidth="1" min="39" max="39"/>
    <col width="12" customWidth="1" min="40" max="40"/>
    <col width="12" customWidth="1" min="41" max="41"/>
    <col width="12" customWidth="1" min="42" max="42"/>
    <col width="12" customWidth="1" min="43" max="43"/>
    <col width="2" customWidth="1" min="44" max="44"/>
    <col width="60" customWidth="1" min="45" max="45"/>
    <col width="6" customWidth="1" min="46" max="46"/>
    <col width="12" customWidth="1" min="47" max="47"/>
    <col width="2" customWidth="1" min="48" max="48"/>
    <col width="60" customWidth="1" min="49" max="49"/>
    <col width="6" customWidth="1" min="50" max="50"/>
    <col width="12" customWidth="1" min="51" max="51"/>
    <col width="2" customWidth="1" min="52" max="52"/>
    <col width="12" customWidth="1" min="53" max="53"/>
    <col width="6" customWidth="1" min="54" max="54"/>
    <col width="12" customWidth="1" min="55" max="55"/>
    <col width="2" customWidth="1" min="56" max="56"/>
    <col width="32" customWidth="1" min="57" max="57"/>
    <col width="6" customWidth="1" min="58" max="58"/>
    <col width="12" customWidth="1" min="59" max="59"/>
    <col width="2" customWidth="1" min="60" max="60"/>
    <col width="10" customWidth="1" min="61" max="61"/>
    <col width="6" customWidth="1" min="62" max="62"/>
    <col width="12" customWidth="1" min="63" max="63"/>
    <col width="2" customWidth="1" min="64" max="64"/>
  </cols>
  <sheetData>
    <row r="1">
      <c r="A1" s="1" t="inlineStr">
        <is>
          <t>JADUAL RUJUKAN SKOR</t>
        </is>
      </c>
    </row>
    <row r="2">
      <c r="A2" s="2" t="inlineStr">
        <is>
          <t>Teks pilihan sama seperti MOEIS. Sumber skor: MOEIS = disahkan pada skrin MOEIS; Garis panduan = jadual PAJSK SM; Anggaran = belum disahkan. Jangan ubah sheet ini.</t>
        </is>
      </c>
    </row>
    <row r="3">
      <c r="AG3" s="20" t="inlineStr">
        <is>
          <t>Skor Pelibatan</t>
        </is>
      </c>
      <c r="AL3" s="20" t="inlineStr">
        <is>
          <t>Skor Pencapaian</t>
        </is>
      </c>
    </row>
    <row r="4">
      <c r="A4" s="20" t="inlineStr">
        <is>
          <t>Jawatan KP</t>
        </is>
      </c>
      <c r="B4" s="20" t="inlineStr">
        <is>
          <t>Skor</t>
        </is>
      </c>
      <c r="C4" s="20" t="inlineStr">
        <is>
          <t>Sumber</t>
        </is>
      </c>
      <c r="E4" s="20" t="inlineStr">
        <is>
          <t>Jawatan SP</t>
        </is>
      </c>
      <c r="F4" s="20" t="inlineStr">
        <is>
          <t>Skor</t>
        </is>
      </c>
      <c r="G4" s="20" t="inlineStr">
        <is>
          <t>Sumber</t>
        </is>
      </c>
      <c r="I4" s="20" t="inlineStr">
        <is>
          <t>Jawatan UB</t>
        </is>
      </c>
      <c r="J4" s="20" t="inlineStr">
        <is>
          <t>Skor</t>
        </is>
      </c>
      <c r="K4" s="20" t="inlineStr">
        <is>
          <t>Sumber</t>
        </is>
      </c>
      <c r="M4" s="20" t="inlineStr">
        <is>
          <t>Komitmen</t>
        </is>
      </c>
      <c r="N4" s="20" t="inlineStr">
        <is>
          <t>Skor</t>
        </is>
      </c>
      <c r="O4" s="20" t="inlineStr">
        <is>
          <t>Sumber</t>
        </is>
      </c>
      <c r="Q4" s="20" t="inlineStr">
        <is>
          <t>Khidmat Sumbangan</t>
        </is>
      </c>
      <c r="R4" s="20" t="inlineStr">
        <is>
          <t>Skor</t>
        </is>
      </c>
      <c r="S4" s="20" t="inlineStr">
        <is>
          <t>Sumber</t>
        </is>
      </c>
      <c r="U4" s="20" t="inlineStr">
        <is>
          <t>Peringkat</t>
        </is>
      </c>
      <c r="V4" s="20" t="inlineStr">
        <is>
          <t>Skor</t>
        </is>
      </c>
      <c r="W4" s="20" t="inlineStr">
        <is>
          <t>Sumber</t>
        </is>
      </c>
      <c r="Y4" s="20" t="inlineStr">
        <is>
          <t>Jenis Pelibatan</t>
        </is>
      </c>
      <c r="Z4" s="20" t="inlineStr">
        <is>
          <t>Skor</t>
        </is>
      </c>
      <c r="AA4" s="20" t="inlineStr">
        <is>
          <t>Sumber</t>
        </is>
      </c>
      <c r="AC4" s="20" t="inlineStr">
        <is>
          <t>Kedudukan</t>
        </is>
      </c>
      <c r="AD4" s="20" t="inlineStr">
        <is>
          <t>Skor</t>
        </is>
      </c>
      <c r="AE4" s="20" t="inlineStr">
        <is>
          <t>Sumber</t>
        </is>
      </c>
      <c r="AH4" s="21" t="inlineStr">
        <is>
          <t>PELIBATAN 1</t>
        </is>
      </c>
      <c r="AI4" s="21" t="inlineStr">
        <is>
          <t>PELIBATAN 2</t>
        </is>
      </c>
      <c r="AJ4" s="21" t="inlineStr">
        <is>
          <t>PELIBATAN 3</t>
        </is>
      </c>
      <c r="AM4" s="21" t="inlineStr">
        <is>
          <t>JOHAN</t>
        </is>
      </c>
      <c r="AN4" s="21" t="inlineStr">
        <is>
          <t>NAIB JOHAN</t>
        </is>
      </c>
      <c r="AO4" s="21" t="inlineStr">
        <is>
          <t>KETIGA</t>
        </is>
      </c>
      <c r="AP4" s="21" t="inlineStr">
        <is>
          <t>KEEMPAT</t>
        </is>
      </c>
      <c r="AQ4" s="21" t="inlineStr">
        <is>
          <t>KELIMA</t>
        </is>
      </c>
      <c r="AS4" s="20" t="inlineStr">
        <is>
          <t>Perkhidmatan</t>
        </is>
      </c>
      <c r="AT4" s="20" t="inlineStr">
        <is>
          <t>Skor</t>
        </is>
      </c>
      <c r="AU4" s="20" t="inlineStr">
        <is>
          <t>Sumber</t>
        </is>
      </c>
      <c r="AW4" s="20" t="inlineStr">
        <is>
          <t>Anugerah Khas</t>
        </is>
      </c>
      <c r="AX4" s="20" t="inlineStr">
        <is>
          <t>Skor</t>
        </is>
      </c>
      <c r="AY4" s="20" t="inlineStr">
        <is>
          <t>Sumber</t>
        </is>
      </c>
      <c r="BA4" s="20" t="inlineStr">
        <is>
          <t>NILAM</t>
        </is>
      </c>
      <c r="BB4" s="20" t="inlineStr">
        <is>
          <t>Skor</t>
        </is>
      </c>
      <c r="BC4" s="20" t="inlineStr">
        <is>
          <t>Sumber</t>
        </is>
      </c>
      <c r="BE4" s="20" t="inlineStr">
        <is>
          <t>TIMSS dan PISA</t>
        </is>
      </c>
      <c r="BF4" s="20" t="inlineStr">
        <is>
          <t>Skor</t>
        </is>
      </c>
      <c r="BG4" s="20" t="inlineStr">
        <is>
          <t>Sumber</t>
        </is>
      </c>
      <c r="BI4" s="20" t="inlineStr">
        <is>
          <t>Status murid</t>
        </is>
      </c>
      <c r="BJ4" s="20" t="inlineStr">
        <is>
          <t>Skor</t>
        </is>
      </c>
      <c r="BK4" s="20" t="inlineStr">
        <is>
          <t>Sumber</t>
        </is>
      </c>
    </row>
    <row r="5">
      <c r="A5" s="22" t="inlineStr">
        <is>
          <t>PENGERUSI</t>
        </is>
      </c>
      <c r="B5" s="22" t="n">
        <v>10</v>
      </c>
      <c r="C5" s="23" t="inlineStr">
        <is>
          <t>Anggaran</t>
        </is>
      </c>
      <c r="E5" s="22" t="inlineStr">
        <is>
          <t>PENGERUSI</t>
        </is>
      </c>
      <c r="F5" s="22" t="n">
        <v>10</v>
      </c>
      <c r="G5" s="23" t="inlineStr">
        <is>
          <t>Anggaran</t>
        </is>
      </c>
      <c r="I5" s="22" t="inlineStr">
        <is>
          <t>PENGERUSI</t>
        </is>
      </c>
      <c r="J5" s="22" t="n">
        <v>10</v>
      </c>
      <c r="K5" s="23" t="inlineStr">
        <is>
          <t>Anggaran</t>
        </is>
      </c>
      <c r="M5" s="22" t="inlineStr">
        <is>
          <t>MENUNJUKKAN KEPIMPINAN</t>
        </is>
      </c>
      <c r="N5" s="22" t="n">
        <v>3</v>
      </c>
      <c r="O5" s="24" t="inlineStr">
        <is>
          <t>Garis panduan</t>
        </is>
      </c>
      <c r="Q5" s="22" t="inlineStr">
        <is>
          <t>1 - ATLET / PESERTA PROGRAM / PERTANDINGAN / KARNIVAL / KURSUS</t>
        </is>
      </c>
      <c r="R5" s="22" t="n">
        <v>10</v>
      </c>
      <c r="S5" s="24" t="inlineStr">
        <is>
          <t>Garis panduan</t>
        </is>
      </c>
      <c r="U5" s="22" t="inlineStr">
        <is>
          <t>ANTARABANGSA</t>
        </is>
      </c>
      <c r="V5" s="22" t="inlineStr"/>
      <c r="W5" s="24" t="inlineStr"/>
      <c r="Y5" s="22" t="inlineStr">
        <is>
          <t>PELIBATAN 1 - Atlet/Peserta</t>
        </is>
      </c>
      <c r="Z5" s="22" t="inlineStr"/>
      <c r="AA5" s="24" t="inlineStr"/>
      <c r="AC5" s="22" t="inlineStr">
        <is>
          <t>JOHAN</t>
        </is>
      </c>
      <c r="AD5" s="22" t="inlineStr"/>
      <c r="AE5" s="24" t="inlineStr"/>
      <c r="AG5" s="22" t="inlineStr">
        <is>
          <t>ANTARABANGSA</t>
        </is>
      </c>
      <c r="AH5" s="22" t="n">
        <v>20</v>
      </c>
      <c r="AI5" s="22" t="n">
        <v>15</v>
      </c>
      <c r="AJ5" s="22" t="n">
        <v>10</v>
      </c>
      <c r="AL5" s="22" t="inlineStr">
        <is>
          <t>ANTARABANGSA</t>
        </is>
      </c>
      <c r="AM5" s="22" t="n">
        <v>20</v>
      </c>
      <c r="AN5" s="22" t="n">
        <v>19</v>
      </c>
      <c r="AO5" s="22" t="n">
        <v>18</v>
      </c>
      <c r="AP5" s="22" t="n">
        <v>17</v>
      </c>
      <c r="AQ5" s="22" t="n">
        <v>16</v>
      </c>
      <c r="AS5" s="22" t="inlineStr">
        <is>
          <t>KETUA MURID/PENGERUSI</t>
        </is>
      </c>
      <c r="AT5" s="22" t="n">
        <v>10</v>
      </c>
      <c r="AU5" s="24" t="inlineStr">
        <is>
          <t>MOEIS</t>
        </is>
      </c>
      <c r="AW5" s="22" t="inlineStr">
        <is>
          <t>ANUGERAH REMAJA PERDANA - EMAS</t>
        </is>
      </c>
      <c r="AX5" s="22" t="n">
        <v>10</v>
      </c>
      <c r="AY5" s="24" t="inlineStr">
        <is>
          <t>Garis panduan</t>
        </is>
      </c>
      <c r="BA5" s="22" t="inlineStr">
        <is>
          <t>5 BINTANG</t>
        </is>
      </c>
      <c r="BB5" s="22" t="n">
        <v>7</v>
      </c>
      <c r="BC5" s="23" t="inlineStr">
        <is>
          <t>Anggaran</t>
        </is>
      </c>
      <c r="BE5" s="22" t="inlineStr">
        <is>
          <t>ANTARABANGSA - TAHAP CEMERLANG</t>
        </is>
      </c>
      <c r="BF5" s="22" t="n">
        <v>10</v>
      </c>
      <c r="BG5" s="24" t="inlineStr">
        <is>
          <t>Garis panduan</t>
        </is>
      </c>
      <c r="BI5" s="22" t="inlineStr">
        <is>
          <t>TL</t>
        </is>
      </c>
      <c r="BJ5" s="22" t="inlineStr"/>
      <c r="BK5" s="24" t="inlineStr">
        <is>
          <t>DITAKSIR = OFF</t>
        </is>
      </c>
    </row>
    <row r="6">
      <c r="A6" s="22" t="inlineStr">
        <is>
          <t>NAIB PENGERUSI</t>
        </is>
      </c>
      <c r="B6" s="22" t="n">
        <v>8</v>
      </c>
      <c r="C6" s="23" t="inlineStr">
        <is>
          <t>Anggaran</t>
        </is>
      </c>
      <c r="E6" s="22" t="inlineStr">
        <is>
          <t>KAPTEN PASUKAN</t>
        </is>
      </c>
      <c r="F6" s="22" t="n">
        <v>10</v>
      </c>
      <c r="G6" s="23" t="inlineStr">
        <is>
          <t>Anggaran</t>
        </is>
      </c>
      <c r="I6" s="22" t="inlineStr">
        <is>
          <t>NAIB PENGERUSI</t>
        </is>
      </c>
      <c r="J6" s="22" t="n">
        <v>8</v>
      </c>
      <c r="K6" s="23" t="inlineStr">
        <is>
          <t>Anggaran</t>
        </is>
      </c>
      <c r="M6" s="22" t="inlineStr">
        <is>
          <t>MENGURUS AKTIVITI</t>
        </is>
      </c>
      <c r="N6" s="22" t="n">
        <v>3</v>
      </c>
      <c r="O6" s="24" t="inlineStr">
        <is>
          <t>Garis panduan</t>
        </is>
      </c>
      <c r="Q6" s="22" t="inlineStr">
        <is>
          <t>2 - KEMAHIRAN KHUSUS (PENGADIL, JURULATIH, TEKNIKAL)</t>
        </is>
      </c>
      <c r="R6" s="22" t="n">
        <v>10</v>
      </c>
      <c r="S6" s="24" t="inlineStr">
        <is>
          <t>Garis panduan</t>
        </is>
      </c>
      <c r="U6" s="22" t="inlineStr">
        <is>
          <t>KEBANGSAAN</t>
        </is>
      </c>
      <c r="V6" s="22" t="inlineStr"/>
      <c r="W6" s="24" t="inlineStr"/>
      <c r="Y6" s="22" t="inlineStr">
        <is>
          <t>PELIBATAN 2 - AJK/Teknikal/Persembahan</t>
        </is>
      </c>
      <c r="Z6" s="22" t="inlineStr"/>
      <c r="AA6" s="24" t="inlineStr"/>
      <c r="AC6" s="22" t="inlineStr">
        <is>
          <t>NAIB JOHAN</t>
        </is>
      </c>
      <c r="AD6" s="22" t="inlineStr"/>
      <c r="AE6" s="24" t="inlineStr"/>
      <c r="AG6" s="22" t="inlineStr">
        <is>
          <t>KEBANGSAAN</t>
        </is>
      </c>
      <c r="AH6" s="22" t="n">
        <v>17</v>
      </c>
      <c r="AI6" s="22" t="n">
        <v>12</v>
      </c>
      <c r="AJ6" s="22" t="n">
        <v>8</v>
      </c>
      <c r="AL6" s="22" t="inlineStr">
        <is>
          <t>KEBANGSAAN</t>
        </is>
      </c>
      <c r="AM6" s="22" t="n">
        <v>17</v>
      </c>
      <c r="AN6" s="22" t="n">
        <v>16</v>
      </c>
      <c r="AO6" s="22" t="n">
        <v>15</v>
      </c>
      <c r="AP6" s="22" t="n">
        <v>14</v>
      </c>
      <c r="AQ6" s="22" t="n">
        <v>13</v>
      </c>
      <c r="AS6" s="22" t="inlineStr">
        <is>
          <t>TIMBALAN/PENOLONG KETUA MURID</t>
        </is>
      </c>
      <c r="AT6" s="22" t="n">
        <v>8</v>
      </c>
      <c r="AU6" s="24" t="inlineStr">
        <is>
          <t>MOEIS</t>
        </is>
      </c>
      <c r="AW6" s="22" t="inlineStr">
        <is>
          <t>ANUGERAH REMAJA PERDANA - PERAK</t>
        </is>
      </c>
      <c r="AX6" s="22" t="n">
        <v>7</v>
      </c>
      <c r="AY6" s="24" t="inlineStr">
        <is>
          <t>Garis panduan</t>
        </is>
      </c>
      <c r="BA6" s="22" t="inlineStr">
        <is>
          <t>4 BINTANG</t>
        </is>
      </c>
      <c r="BB6" s="22" t="n">
        <v>6</v>
      </c>
      <c r="BC6" s="23" t="inlineStr">
        <is>
          <t>Anggaran</t>
        </is>
      </c>
      <c r="BE6" s="22" t="inlineStr">
        <is>
          <t>ANTARABANGSA</t>
        </is>
      </c>
      <c r="BF6" s="22" t="n">
        <v>8</v>
      </c>
      <c r="BG6" s="24" t="inlineStr">
        <is>
          <t>Garis panduan</t>
        </is>
      </c>
      <c r="BI6" s="22" t="inlineStr">
        <is>
          <t>KELUAR</t>
        </is>
      </c>
      <c r="BJ6" s="22" t="inlineStr"/>
      <c r="BK6" s="24" t="inlineStr">
        <is>
          <t>Maklumat sahaja</t>
        </is>
      </c>
    </row>
    <row r="7">
      <c r="A7" s="22" t="inlineStr">
        <is>
          <t>SETIAUSAHA</t>
        </is>
      </c>
      <c r="B7" s="22" t="n">
        <v>7</v>
      </c>
      <c r="C7" s="24" t="inlineStr">
        <is>
          <t>MOEIS</t>
        </is>
      </c>
      <c r="E7" s="22" t="inlineStr">
        <is>
          <t>KETUA RUMAH</t>
        </is>
      </c>
      <c r="F7" s="22" t="n">
        <v>10</v>
      </c>
      <c r="G7" s="23" t="inlineStr">
        <is>
          <t>Anggaran</t>
        </is>
      </c>
      <c r="I7" s="22" t="inlineStr">
        <is>
          <t>SETIAUSAHA</t>
        </is>
      </c>
      <c r="J7" s="22" t="n">
        <v>7</v>
      </c>
      <c r="K7" s="23" t="inlineStr">
        <is>
          <t>Anggaran</t>
        </is>
      </c>
      <c r="M7" s="22" t="inlineStr">
        <is>
          <t>MENYEDIA PERALATAN</t>
        </is>
      </c>
      <c r="N7" s="22" t="n">
        <v>2</v>
      </c>
      <c r="O7" s="24" t="inlineStr">
        <is>
          <t>Garis panduan</t>
        </is>
      </c>
      <c r="Q7" s="22" t="inlineStr">
        <is>
          <t>3 - PERSEMBAHAN SELINGAN</t>
        </is>
      </c>
      <c r="R7" s="22" t="n">
        <v>8</v>
      </c>
      <c r="S7" s="24" t="inlineStr">
        <is>
          <t>Garis panduan</t>
        </is>
      </c>
      <c r="U7" s="22" t="inlineStr">
        <is>
          <t>NEGERI</t>
        </is>
      </c>
      <c r="V7" s="22" t="inlineStr"/>
      <c r="W7" s="24" t="inlineStr"/>
      <c r="Y7" s="22" t="inlineStr">
        <is>
          <t>PELIBATAN 3 - Penyokong/Sorak</t>
        </is>
      </c>
      <c r="Z7" s="22" t="inlineStr"/>
      <c r="AA7" s="24" t="inlineStr"/>
      <c r="AC7" s="22" t="inlineStr">
        <is>
          <t>KETIGA</t>
        </is>
      </c>
      <c r="AD7" s="22" t="inlineStr"/>
      <c r="AE7" s="24" t="inlineStr"/>
      <c r="AG7" s="22" t="inlineStr">
        <is>
          <t>NEGERI</t>
        </is>
      </c>
      <c r="AH7" s="22" t="n">
        <v>14</v>
      </c>
      <c r="AI7" s="22" t="n">
        <v>10</v>
      </c>
      <c r="AJ7" s="22" t="n">
        <v>6</v>
      </c>
      <c r="AL7" s="22" t="inlineStr">
        <is>
          <t>NEGERI</t>
        </is>
      </c>
      <c r="AM7" s="22" t="n">
        <v>14</v>
      </c>
      <c r="AN7" s="22" t="n">
        <v>13</v>
      </c>
      <c r="AO7" s="22" t="n">
        <v>12</v>
      </c>
      <c r="AP7" s="22" t="n">
        <v>11</v>
      </c>
      <c r="AQ7" s="22" t="n">
        <v>10</v>
      </c>
      <c r="AS7" s="22" t="inlineStr">
        <is>
          <t>PENGAWAS/PENGAWAS PUSAT SUMBER/KETUA ASRAMA/KETUA PRS/KETUA BADAR/KUARTERMASTER/PENGERUSI BADAN PERKHIDMATAN SEKOLAH</t>
        </is>
      </c>
      <c r="AT7" s="22" t="n">
        <v>7</v>
      </c>
      <c r="AU7" s="24" t="inlineStr">
        <is>
          <t>MOEIS</t>
        </is>
      </c>
      <c r="AW7" s="22" t="inlineStr">
        <is>
          <t>ANUGERAH REMAJA PERDANA - GANGSA</t>
        </is>
      </c>
      <c r="AX7" s="22" t="n">
        <v>5</v>
      </c>
      <c r="AY7" s="24" t="inlineStr">
        <is>
          <t>Garis panduan</t>
        </is>
      </c>
      <c r="BA7" s="22" t="inlineStr">
        <is>
          <t>3 BINTANG</t>
        </is>
      </c>
      <c r="BB7" s="22" t="n">
        <v>5</v>
      </c>
      <c r="BC7" s="23" t="inlineStr">
        <is>
          <t>Anggaran</t>
        </is>
      </c>
      <c r="BE7" s="22" t="inlineStr">
        <is>
          <t>KEBANGSAAN</t>
        </is>
      </c>
      <c r="BF7" s="22" t="n">
        <v>6</v>
      </c>
      <c r="BG7" s="24" t="inlineStr">
        <is>
          <t>Garis panduan</t>
        </is>
      </c>
    </row>
    <row r="8">
      <c r="A8" s="22" t="inlineStr">
        <is>
          <t>BENDAHARI</t>
        </is>
      </c>
      <c r="B8" s="22" t="n">
        <v>7</v>
      </c>
      <c r="C8" s="23" t="inlineStr">
        <is>
          <t>Anggaran</t>
        </is>
      </c>
      <c r="E8" s="22" t="inlineStr">
        <is>
          <t>NAIB PENGERUSI</t>
        </is>
      </c>
      <c r="F8" s="22" t="n">
        <v>8</v>
      </c>
      <c r="G8" s="23" t="inlineStr">
        <is>
          <t>Anggaran</t>
        </is>
      </c>
      <c r="I8" s="22" t="inlineStr">
        <is>
          <t>BENDAHARI</t>
        </is>
      </c>
      <c r="J8" s="22" t="n">
        <v>7</v>
      </c>
      <c r="K8" s="23" t="inlineStr">
        <is>
          <t>Anggaran</t>
        </is>
      </c>
      <c r="M8" s="22" t="inlineStr">
        <is>
          <t>MEMBANTU GURU ATAU RAKAN</t>
        </is>
      </c>
      <c r="N8" s="22" t="n">
        <v>2</v>
      </c>
      <c r="O8" s="24" t="inlineStr">
        <is>
          <t>Garis panduan</t>
        </is>
      </c>
      <c r="Q8" s="22" t="inlineStr">
        <is>
          <t>4 - SOKONGAN (PERBARISAN, PERSEMBAHAN, SORAK / PENYOKONG)</t>
        </is>
      </c>
      <c r="R8" s="22" t="n">
        <v>5</v>
      </c>
      <c r="S8" s="24" t="inlineStr">
        <is>
          <t>Garis panduan</t>
        </is>
      </c>
      <c r="U8" s="22" t="inlineStr">
        <is>
          <t>BAHAGIAN (SABAH/SARAWAK)</t>
        </is>
      </c>
      <c r="V8" s="22" t="inlineStr"/>
      <c r="W8" s="24" t="inlineStr"/>
      <c r="AC8" s="22" t="inlineStr">
        <is>
          <t>KEEMPAT</t>
        </is>
      </c>
      <c r="AD8" s="22" t="inlineStr"/>
      <c r="AE8" s="24" t="inlineStr"/>
      <c r="AG8" s="22" t="inlineStr">
        <is>
          <t>BAHAGIAN (SABAH/SARAWAK)</t>
        </is>
      </c>
      <c r="AH8" s="22" t="n">
        <v>12</v>
      </c>
      <c r="AI8" s="22" t="n">
        <v>9</v>
      </c>
      <c r="AJ8" s="22" t="n">
        <v>5</v>
      </c>
      <c r="AL8" s="22" t="inlineStr">
        <is>
          <t>BAHAGIAN (SABAH/SARAWAK)</t>
        </is>
      </c>
      <c r="AM8" s="22" t="n">
        <v>12</v>
      </c>
      <c r="AN8" s="22" t="n">
        <v>11</v>
      </c>
      <c r="AO8" s="22" t="n">
        <v>10</v>
      </c>
      <c r="AP8" s="22" t="n">
        <v>9</v>
      </c>
      <c r="AQ8" s="22" t="n">
        <v>8</v>
      </c>
      <c r="AS8" s="22" t="inlineStr">
        <is>
          <t>PENOLONG KETUA ASRAMA/PENOLONG KETUA BADAR/AHLI LEMBAGA PENGARAH KOPERASI SEKOLAH</t>
        </is>
      </c>
      <c r="AT8" s="22" t="n">
        <v>6</v>
      </c>
      <c r="AU8" s="24" t="inlineStr">
        <is>
          <t>MOEIS</t>
        </is>
      </c>
      <c r="AW8" s="22" t="inlineStr">
        <is>
          <t>PROGRAM KEPIMPINAN GENERASI MADANI - TIER 3</t>
        </is>
      </c>
      <c r="AX8" s="22" t="n">
        <v>7</v>
      </c>
      <c r="AY8" s="24" t="inlineStr">
        <is>
          <t>Garis panduan</t>
        </is>
      </c>
      <c r="BA8" s="22" t="inlineStr">
        <is>
          <t>2 BINTANG</t>
        </is>
      </c>
      <c r="BB8" s="22" t="n">
        <v>4</v>
      </c>
      <c r="BC8" s="23" t="inlineStr">
        <is>
          <t>Anggaran</t>
        </is>
      </c>
    </row>
    <row r="9">
      <c r="A9" s="22" t="inlineStr">
        <is>
          <t>NAIB SETIAUSAHA</t>
        </is>
      </c>
      <c r="B9" s="22" t="n">
        <v>6</v>
      </c>
      <c r="C9" s="23" t="inlineStr">
        <is>
          <t>Anggaran</t>
        </is>
      </c>
      <c r="E9" s="22" t="inlineStr">
        <is>
          <t>PENOLONG KETUA RUMAH</t>
        </is>
      </c>
      <c r="F9" s="22" t="n">
        <v>8</v>
      </c>
      <c r="G9" s="23" t="inlineStr">
        <is>
          <t>Anggaran</t>
        </is>
      </c>
      <c r="I9" s="22" t="inlineStr">
        <is>
          <t>NAIB SETIAUSAHA</t>
        </is>
      </c>
      <c r="J9" s="22" t="n">
        <v>6</v>
      </c>
      <c r="K9" s="23" t="inlineStr">
        <is>
          <t>Anggaran</t>
        </is>
      </c>
      <c r="M9" s="22" t="inlineStr">
        <is>
          <t>MENGEMAS PERALATAN</t>
        </is>
      </c>
      <c r="N9" s="22" t="n">
        <v>2</v>
      </c>
      <c r="O9" s="24" t="inlineStr">
        <is>
          <t>Garis panduan</t>
        </is>
      </c>
      <c r="U9" s="22" t="inlineStr">
        <is>
          <t>ZON/DAERAH</t>
        </is>
      </c>
      <c r="V9" s="22" t="inlineStr"/>
      <c r="W9" s="24" t="inlineStr"/>
      <c r="AC9" s="22" t="inlineStr">
        <is>
          <t>KELIMA</t>
        </is>
      </c>
      <c r="AD9" s="22" t="inlineStr"/>
      <c r="AE9" s="24" t="inlineStr"/>
      <c r="AG9" s="22" t="inlineStr">
        <is>
          <t>ZON/DAERAH</t>
        </is>
      </c>
      <c r="AH9" s="22" t="n">
        <v>11</v>
      </c>
      <c r="AI9" s="22" t="n">
        <v>8</v>
      </c>
      <c r="AJ9" s="22" t="n">
        <v>4</v>
      </c>
      <c r="AL9" s="22" t="inlineStr">
        <is>
          <t>ZON/DAERAH</t>
        </is>
      </c>
      <c r="AM9" s="22" t="n">
        <v>11</v>
      </c>
      <c r="AN9" s="22" t="n">
        <v>10</v>
      </c>
      <c r="AO9" s="22" t="n">
        <v>9</v>
      </c>
      <c r="AP9" s="22" t="n">
        <v>8</v>
      </c>
      <c r="AQ9" s="22" t="n">
        <v>7</v>
      </c>
      <c r="AS9" s="22" t="inlineStr">
        <is>
          <t>AJK UTAMA BADAN-BADAN PERKHIDMATAN ATAU PENGURUSAN/BENDAHARI/SETIAUSAHA/KETUA BIRO-ASRAMA/PRS/PENERIMA SIJIL DAN LENCANA SLAD/PROSTAR/PENGAWAS KOPERASI/KETUA KELAS/KETUA TINGKATAN</t>
        </is>
      </c>
      <c r="AT9" s="22" t="n">
        <v>5</v>
      </c>
      <c r="AU9" s="24" t="inlineStr">
        <is>
          <t>MOEIS</t>
        </is>
      </c>
      <c r="AW9" s="22" t="inlineStr">
        <is>
          <t>PROGRAM KEPIMPINAN GENERASI MADANI - TIER 2</t>
        </is>
      </c>
      <c r="AX9" s="22" t="n">
        <v>4</v>
      </c>
      <c r="AY9" s="24" t="inlineStr">
        <is>
          <t>Garis panduan</t>
        </is>
      </c>
      <c r="BA9" s="22" t="inlineStr">
        <is>
          <t>1 BINTANG</t>
        </is>
      </c>
      <c r="BB9" s="22" t="n">
        <v>3</v>
      </c>
      <c r="BC9" s="23" t="inlineStr">
        <is>
          <t>Anggaran</t>
        </is>
      </c>
    </row>
    <row r="10">
      <c r="A10" s="22" t="inlineStr">
        <is>
          <t>NAIB BENDAHARI</t>
        </is>
      </c>
      <c r="B10" s="22" t="n">
        <v>6</v>
      </c>
      <c r="C10" s="23" t="inlineStr">
        <is>
          <t>Anggaran</t>
        </is>
      </c>
      <c r="E10" s="22" t="inlineStr">
        <is>
          <t>PENOLONG KAPTEN</t>
        </is>
      </c>
      <c r="F10" s="22" t="n">
        <v>8</v>
      </c>
      <c r="G10" s="23" t="inlineStr">
        <is>
          <t>Anggaran</t>
        </is>
      </c>
      <c r="I10" s="22" t="inlineStr">
        <is>
          <t>NAIB BENDAHARI</t>
        </is>
      </c>
      <c r="J10" s="22" t="n">
        <v>6</v>
      </c>
      <c r="K10" s="23" t="inlineStr">
        <is>
          <t>Anggaran</t>
        </is>
      </c>
      <c r="M10" s="22" t="inlineStr">
        <is>
          <t>MEMBERSIH KAWASAN</t>
        </is>
      </c>
      <c r="N10" s="22" t="n">
        <v>2</v>
      </c>
      <c r="O10" s="24" t="inlineStr">
        <is>
          <t>Garis panduan</t>
        </is>
      </c>
      <c r="U10" s="22" t="inlineStr">
        <is>
          <t>SEKOLAH</t>
        </is>
      </c>
      <c r="V10" s="22" t="inlineStr"/>
      <c r="W10" s="24" t="inlineStr"/>
      <c r="AG10" s="22" t="inlineStr">
        <is>
          <t>SEKOLAH</t>
        </is>
      </c>
      <c r="AH10" s="22" t="n">
        <v>0</v>
      </c>
      <c r="AI10" s="22" t="n">
        <v>0</v>
      </c>
      <c r="AJ10" s="22" t="n">
        <v>0</v>
      </c>
      <c r="AL10" s="22" t="inlineStr">
        <is>
          <t>SEKOLAH</t>
        </is>
      </c>
      <c r="AM10" s="22" t="n">
        <v>8</v>
      </c>
      <c r="AN10" s="22" t="n">
        <v>7</v>
      </c>
      <c r="AO10" s="22" t="n">
        <v>6</v>
      </c>
      <c r="AP10" s="22" t="n">
        <v>5</v>
      </c>
      <c r="AQ10" s="22" t="n">
        <v>4</v>
      </c>
      <c r="AS10" s="22" t="inlineStr">
        <is>
          <t>AJK KECIL BIRO/KETUA BILIK/KETUA DORM/AJK BADAR/PENERIMA SIJIL SLAD/PENOLONG KETUA KELAS/PENOLONG KETUA BILIK</t>
        </is>
      </c>
      <c r="AT10" s="22" t="n">
        <v>3</v>
      </c>
      <c r="AU10" s="24" t="inlineStr">
        <is>
          <t>MOEIS</t>
        </is>
      </c>
      <c r="AW10" s="22" t="inlineStr">
        <is>
          <t>ANUGERAH PENGAKAP RAJA / RAMBU PENGAKAP KANAK-KANAK</t>
        </is>
      </c>
      <c r="AX10" s="22" t="n">
        <v>10</v>
      </c>
      <c r="AY10" s="24" t="inlineStr">
        <is>
          <t>Garis panduan</t>
        </is>
      </c>
    </row>
    <row r="11">
      <c r="A11" s="22" t="inlineStr">
        <is>
          <t>AHLI JAWATANKUASA</t>
        </is>
      </c>
      <c r="B11" s="22" t="n">
        <v>5</v>
      </c>
      <c r="C11" s="23" t="inlineStr">
        <is>
          <t>Anggaran</t>
        </is>
      </c>
      <c r="E11" s="22" t="inlineStr">
        <is>
          <t>SETIAUSAHA</t>
        </is>
      </c>
      <c r="F11" s="22" t="n">
        <v>7</v>
      </c>
      <c r="G11" s="23" t="inlineStr">
        <is>
          <t>Anggaran</t>
        </is>
      </c>
      <c r="I11" s="22" t="inlineStr">
        <is>
          <t>PEGAWAI WARAN KRS I &amp; II</t>
        </is>
      </c>
      <c r="J11" s="22" t="n">
        <v>10</v>
      </c>
      <c r="K11" s="24" t="inlineStr">
        <is>
          <t>Garis panduan</t>
        </is>
      </c>
      <c r="M11" s="22" t="inlineStr">
        <is>
          <t>MENEPATI WAKTU</t>
        </is>
      </c>
      <c r="N11" s="22" t="n">
        <v>2</v>
      </c>
      <c r="O11" s="24" t="inlineStr">
        <is>
          <t>Garis panduan</t>
        </is>
      </c>
      <c r="AS11" s="22" t="inlineStr">
        <is>
          <t>PENGAWAS PUSAT SUMBER (TINGKATAN 6)</t>
        </is>
      </c>
      <c r="AT11" s="22" t="n">
        <v>6</v>
      </c>
      <c r="AU11" s="24" t="inlineStr">
        <is>
          <t>MOEIS</t>
        </is>
      </c>
      <c r="AW11" s="22" t="inlineStr">
        <is>
          <t>ANUGERAH PANDU PUTERI RAJA / PANDU PUTERI TUNAS KETUA PESURUHJAYA</t>
        </is>
      </c>
      <c r="AX11" s="22" t="n">
        <v>10</v>
      </c>
      <c r="AY11" s="24" t="inlineStr">
        <is>
          <t>Garis panduan</t>
        </is>
      </c>
    </row>
    <row r="12">
      <c r="A12" s="22" t="inlineStr">
        <is>
          <t>AHLI AKTIF</t>
        </is>
      </c>
      <c r="B12" s="22" t="n">
        <v>4</v>
      </c>
      <c r="C12" s="24" t="inlineStr">
        <is>
          <t>MOEIS</t>
        </is>
      </c>
      <c r="E12" s="22" t="inlineStr">
        <is>
          <t>BENDAHARI</t>
        </is>
      </c>
      <c r="F12" s="22" t="n">
        <v>7</v>
      </c>
      <c r="G12" s="23" t="inlineStr">
        <is>
          <t>Anggaran</t>
        </is>
      </c>
      <c r="I12" s="22" t="inlineStr">
        <is>
          <t>STAF SARJAN KRS</t>
        </is>
      </c>
      <c r="J12" s="22" t="n">
        <v>8</v>
      </c>
      <c r="K12" s="24" t="inlineStr">
        <is>
          <t>Garis panduan</t>
        </is>
      </c>
      <c r="M12" s="22" t="inlineStr">
        <is>
          <t>MENUNJUKKAN MINAT</t>
        </is>
      </c>
      <c r="N12" s="22" t="n">
        <v>2</v>
      </c>
      <c r="O12" s="24" t="inlineStr">
        <is>
          <t>Garis panduan</t>
        </is>
      </c>
      <c r="AG12" s="25" t="inlineStr"/>
      <c r="AL12" s="25" t="inlineStr">
        <is>
          <t>Baris BAHAGIAN: anggaran (tiada dalam garis panduan)</t>
        </is>
      </c>
      <c r="AW12" s="22" t="inlineStr">
        <is>
          <t>ANUGERAH PUTERI AZ-ZAHRA / PUTERI BONGSU - PPIM</t>
        </is>
      </c>
      <c r="AX12" s="22" t="n">
        <v>10</v>
      </c>
      <c r="AY12" s="24" t="inlineStr">
        <is>
          <t>Garis panduan</t>
        </is>
      </c>
    </row>
    <row r="13">
      <c r="A13" s="22" t="inlineStr">
        <is>
          <t>AHLI BIASA</t>
        </is>
      </c>
      <c r="B13" s="22" t="n">
        <v>2</v>
      </c>
      <c r="C13" s="24" t="inlineStr">
        <is>
          <t>MOEIS</t>
        </is>
      </c>
      <c r="E13" s="22" t="inlineStr">
        <is>
          <t>NAIB SETIAUSAHA</t>
        </is>
      </c>
      <c r="F13" s="22" t="n">
        <v>6</v>
      </c>
      <c r="G13" s="23" t="inlineStr">
        <is>
          <t>Anggaran</t>
        </is>
      </c>
      <c r="I13" s="22" t="inlineStr">
        <is>
          <t>SARJAN KRS</t>
        </is>
      </c>
      <c r="J13" s="22" t="n">
        <v>7</v>
      </c>
      <c r="K13" s="24" t="inlineStr">
        <is>
          <t>Garis panduan</t>
        </is>
      </c>
      <c r="M13" s="22" t="inlineStr">
        <is>
          <t>MENUNJUKKAN KESUNGGUHAN</t>
        </is>
      </c>
      <c r="N13" s="22" t="n">
        <v>2</v>
      </c>
      <c r="O13" s="24" t="inlineStr">
        <is>
          <t>Garis panduan</t>
        </is>
      </c>
      <c r="AW13" s="22" t="inlineStr">
        <is>
          <t>ANUGERAH GRAND PRIOR / PERISAI PERKHIDMATAN KHAS 1000 JAM EMAS - SJAM</t>
        </is>
      </c>
      <c r="AX13" s="22" t="n">
        <v>10</v>
      </c>
      <c r="AY13" s="24" t="inlineStr">
        <is>
          <t>Garis panduan</t>
        </is>
      </c>
    </row>
    <row r="14">
      <c r="E14" s="22" t="inlineStr">
        <is>
          <t>NAIB BENDAHARI</t>
        </is>
      </c>
      <c r="F14" s="22" t="n">
        <v>6</v>
      </c>
      <c r="G14" s="23" t="inlineStr">
        <is>
          <t>Anggaran</t>
        </is>
      </c>
      <c r="I14" s="22" t="inlineStr">
        <is>
          <t>KOPERAL KRS</t>
        </is>
      </c>
      <c r="J14" s="22" t="n">
        <v>6</v>
      </c>
      <c r="K14" s="24" t="inlineStr">
        <is>
          <t>Garis panduan</t>
        </is>
      </c>
      <c r="M14" s="22" t="inlineStr">
        <is>
          <t>MENGIKUT ARAHAN</t>
        </is>
      </c>
      <c r="N14" s="22" t="n">
        <v>2</v>
      </c>
      <c r="O14" s="24" t="inlineStr">
        <is>
          <t>Garis panduan</t>
        </is>
      </c>
      <c r="AW14" s="22" t="inlineStr">
        <is>
          <t>ANUGERAH KHAS KOKURIKULUM DAN SUKAN - KEBANGSAAN</t>
        </is>
      </c>
      <c r="AX14" s="22" t="n">
        <v>10</v>
      </c>
      <c r="AY14" s="24" t="inlineStr">
        <is>
          <t>Garis panduan</t>
        </is>
      </c>
    </row>
    <row r="15">
      <c r="E15" s="22" t="inlineStr">
        <is>
          <t>AHLI JAWATANKUASA</t>
        </is>
      </c>
      <c r="F15" s="22" t="n">
        <v>5</v>
      </c>
      <c r="G15" s="23" t="inlineStr">
        <is>
          <t>Anggaran</t>
        </is>
      </c>
      <c r="I15" s="22" t="inlineStr">
        <is>
          <t>LANS KOPERAL KRS</t>
        </is>
      </c>
      <c r="J15" s="22" t="n">
        <v>5</v>
      </c>
      <c r="K15" s="24" t="inlineStr">
        <is>
          <t>Garis panduan</t>
        </is>
      </c>
      <c r="M15" s="22" t="inlineStr">
        <is>
          <t>MENCUBA</t>
        </is>
      </c>
      <c r="N15" s="22" t="n">
        <v>2</v>
      </c>
      <c r="O15" s="24" t="inlineStr">
        <is>
          <t>Garis panduan</t>
        </is>
      </c>
      <c r="AW15" s="22" t="inlineStr">
        <is>
          <t>ANUGERAH KHAS KOKURIKULUM DAN SUKAN - NEGERI</t>
        </is>
      </c>
      <c r="AX15" s="22" t="n">
        <v>8</v>
      </c>
      <c r="AY15" s="24" t="inlineStr">
        <is>
          <t>Garis panduan</t>
        </is>
      </c>
    </row>
    <row r="16">
      <c r="E16" s="22" t="inlineStr">
        <is>
          <t>AHLI AKTIF</t>
        </is>
      </c>
      <c r="F16" s="22" t="n">
        <v>4</v>
      </c>
      <c r="G16" s="23" t="inlineStr">
        <is>
          <t>Anggaran</t>
        </is>
      </c>
      <c r="I16" s="22" t="inlineStr">
        <is>
          <t>SARJAN TKRS</t>
        </is>
      </c>
      <c r="J16" s="22" t="n">
        <v>7</v>
      </c>
      <c r="K16" s="23" t="inlineStr">
        <is>
          <t>Anggaran</t>
        </is>
      </c>
      <c r="M16" s="22" t="inlineStr">
        <is>
          <t>MEMBERI KERJASAMA</t>
        </is>
      </c>
      <c r="N16" s="22" t="n">
        <v>2</v>
      </c>
      <c r="O16" s="24" t="inlineStr">
        <is>
          <t>Garis panduan</t>
        </is>
      </c>
      <c r="AW16" s="22" t="inlineStr">
        <is>
          <t>ANUGERAH KHAS KOKURIKULUM DAN SUKAN - ZON/DAERAH/BAHAGIAN</t>
        </is>
      </c>
      <c r="AX16" s="22" t="n">
        <v>6</v>
      </c>
      <c r="AY16" s="24" t="inlineStr">
        <is>
          <t>Garis panduan</t>
        </is>
      </c>
    </row>
    <row r="17">
      <c r="E17" s="22" t="inlineStr">
        <is>
          <t>AHLI BIASA</t>
        </is>
      </c>
      <c r="F17" s="22" t="n">
        <v>2</v>
      </c>
      <c r="G17" s="23" t="inlineStr">
        <is>
          <t>Anggaran</t>
        </is>
      </c>
      <c r="I17" s="22" t="inlineStr">
        <is>
          <t>KOPERAL TKRS</t>
        </is>
      </c>
      <c r="J17" s="22" t="n">
        <v>6</v>
      </c>
      <c r="K17" s="23" t="inlineStr">
        <is>
          <t>Anggaran</t>
        </is>
      </c>
      <c r="M17" s="22" t="inlineStr">
        <is>
          <t>MANA-MANA NILAI MURNI YANG BOLEH DIPERHATIKAN</t>
        </is>
      </c>
      <c r="N17" s="22" t="n">
        <v>2</v>
      </c>
      <c r="O17" s="24" t="inlineStr">
        <is>
          <t>Garis panduan</t>
        </is>
      </c>
      <c r="AW17" s="22" t="inlineStr">
        <is>
          <t>ANUGERAH KHAS KOKURIKULUM DAN SUKAN - SEKOLAH</t>
        </is>
      </c>
      <c r="AX17" s="22" t="n">
        <v>4</v>
      </c>
      <c r="AY17" s="24" t="inlineStr">
        <is>
          <t>Garis panduan</t>
        </is>
      </c>
    </row>
    <row r="18">
      <c r="E18" s="22" t="inlineStr">
        <is>
          <t>BENGKUNG MERAH / TALI PINGGANG HITAM</t>
        </is>
      </c>
      <c r="F18" s="22" t="n">
        <v>10</v>
      </c>
      <c r="G18" s="24" t="inlineStr">
        <is>
          <t>Garis panduan</t>
        </is>
      </c>
      <c r="I18" s="22" t="inlineStr">
        <is>
          <t>LANS KOPERAL TKRS</t>
        </is>
      </c>
      <c r="J18" s="22" t="n">
        <v>5</v>
      </c>
      <c r="K18" s="23" t="inlineStr">
        <is>
          <t>Anggaran</t>
        </is>
      </c>
      <c r="AW18" s="22" t="inlineStr">
        <is>
          <t>ANUGERAH-ANUGERAH LAIN/PENGHARGAAN KHAS SETARA - KEBANGSAAN</t>
        </is>
      </c>
      <c r="AX18" s="22" t="n">
        <v>10</v>
      </c>
      <c r="AY18" s="24" t="inlineStr">
        <is>
          <t>Garis panduan</t>
        </is>
      </c>
    </row>
    <row r="19">
      <c r="E19" s="22" t="inlineStr">
        <is>
          <t>BENGKUNG HIJAU 3 / TALI PINGGANG MERAH 2</t>
        </is>
      </c>
      <c r="F19" s="22" t="n">
        <v>8</v>
      </c>
      <c r="G19" s="24" t="inlineStr">
        <is>
          <t>Garis panduan</t>
        </is>
      </c>
      <c r="I19" s="22" t="inlineStr">
        <is>
          <t>WARAN II</t>
        </is>
      </c>
      <c r="J19" s="22" t="n">
        <v>10</v>
      </c>
      <c r="K19" s="24" t="inlineStr">
        <is>
          <t>Garis panduan</t>
        </is>
      </c>
      <c r="AW19" s="22" t="inlineStr">
        <is>
          <t>ANUGERAH-ANUGERAH LAIN/PENGHARGAAN KHAS SETARA - NEGERI</t>
        </is>
      </c>
      <c r="AX19" s="22" t="n">
        <v>7</v>
      </c>
      <c r="AY19" s="24" t="inlineStr">
        <is>
          <t>Garis panduan</t>
        </is>
      </c>
    </row>
    <row r="20">
      <c r="E20" s="22" t="inlineStr">
        <is>
          <t>BENGKUNG HIJAU 2 / TALI PINGGANG MERAH 1</t>
        </is>
      </c>
      <c r="F20" s="22" t="n">
        <v>7</v>
      </c>
      <c r="G20" s="24" t="inlineStr">
        <is>
          <t>Garis panduan</t>
        </is>
      </c>
      <c r="I20" s="22" t="inlineStr">
        <is>
          <t>STAF SARJAN</t>
        </is>
      </c>
      <c r="J20" s="22" t="n">
        <v>8</v>
      </c>
      <c r="K20" s="24" t="inlineStr">
        <is>
          <t>Garis panduan</t>
        </is>
      </c>
      <c r="AW20" s="22" t="inlineStr">
        <is>
          <t>ANUGERAH-ANUGERAH LAIN/PENGHARGAAN KHAS SETARA - ZON/DAERAH/BAHAGIAN</t>
        </is>
      </c>
      <c r="AX20" s="22" t="n">
        <v>5</v>
      </c>
      <c r="AY20" s="24" t="inlineStr">
        <is>
          <t>Garis panduan</t>
        </is>
      </c>
    </row>
    <row r="21">
      <c r="E21" s="22" t="inlineStr">
        <is>
          <t>BENGKUNG HIJAU 1 / TALI PINGGANG BIRU 2</t>
        </is>
      </c>
      <c r="F21" s="22" t="n">
        <v>6</v>
      </c>
      <c r="G21" s="24" t="inlineStr">
        <is>
          <t>Garis panduan</t>
        </is>
      </c>
      <c r="I21" s="22" t="inlineStr">
        <is>
          <t>BINTARA KANAN</t>
        </is>
      </c>
      <c r="J21" s="22" t="n">
        <v>8</v>
      </c>
      <c r="K21" s="24" t="inlineStr">
        <is>
          <t>Garis panduan</t>
        </is>
      </c>
    </row>
    <row r="22">
      <c r="E22" s="22" t="inlineStr">
        <is>
          <t>CULA 3 / TALI PINGGANG BIRU 1</t>
        </is>
      </c>
      <c r="F22" s="22" t="n">
        <v>5</v>
      </c>
      <c r="G22" s="24" t="inlineStr">
        <is>
          <t>Garis panduan</t>
        </is>
      </c>
      <c r="I22" s="22" t="inlineStr">
        <is>
          <t>FLIGHT SARJAN</t>
        </is>
      </c>
      <c r="J22" s="22" t="n">
        <v>8</v>
      </c>
      <c r="K22" s="24" t="inlineStr">
        <is>
          <t>Garis panduan</t>
        </is>
      </c>
    </row>
    <row r="23">
      <c r="E23" s="22" t="inlineStr">
        <is>
          <t>CLASS 3 / CULA 2 / TALI PINGGANG HIJAU</t>
        </is>
      </c>
      <c r="F23" s="22" t="n">
        <v>4</v>
      </c>
      <c r="G23" s="24" t="inlineStr">
        <is>
          <t>Garis panduan</t>
        </is>
      </c>
      <c r="I23" s="22" t="inlineStr">
        <is>
          <t>SARJAN</t>
        </is>
      </c>
      <c r="J23" s="22" t="n">
        <v>7</v>
      </c>
      <c r="K23" s="24" t="inlineStr">
        <is>
          <t>Garis panduan</t>
        </is>
      </c>
    </row>
    <row r="24">
      <c r="E24" s="22" t="inlineStr">
        <is>
          <t>TALI PINGGANG KUNING</t>
        </is>
      </c>
      <c r="F24" s="22" t="n">
        <v>2</v>
      </c>
      <c r="G24" s="24" t="inlineStr">
        <is>
          <t>Garis panduan</t>
        </is>
      </c>
      <c r="I24" s="22" t="inlineStr">
        <is>
          <t>BINTARA MUDA</t>
        </is>
      </c>
      <c r="J24" s="22" t="n">
        <v>7</v>
      </c>
      <c r="K24" s="24" t="inlineStr">
        <is>
          <t>Garis panduan</t>
        </is>
      </c>
    </row>
    <row r="25">
      <c r="I25" s="22" t="inlineStr">
        <is>
          <t>SARJAN UDARA</t>
        </is>
      </c>
      <c r="J25" s="22" t="n">
        <v>7</v>
      </c>
      <c r="K25" s="24" t="inlineStr">
        <is>
          <t>Garis panduan</t>
        </is>
      </c>
    </row>
    <row r="26">
      <c r="I26" s="22" t="inlineStr">
        <is>
          <t>KOPERAL</t>
        </is>
      </c>
      <c r="J26" s="22" t="n">
        <v>6</v>
      </c>
      <c r="K26" s="24" t="inlineStr">
        <is>
          <t>Garis panduan</t>
        </is>
      </c>
    </row>
    <row r="27">
      <c r="I27" s="22" t="inlineStr">
        <is>
          <t>LASKAR KANAN</t>
        </is>
      </c>
      <c r="J27" s="22" t="n">
        <v>6</v>
      </c>
      <c r="K27" s="24" t="inlineStr">
        <is>
          <t>Garis panduan</t>
        </is>
      </c>
    </row>
    <row r="28">
      <c r="I28" s="22" t="inlineStr">
        <is>
          <t>KOPERAL UDARA</t>
        </is>
      </c>
      <c r="J28" s="22" t="n">
        <v>6</v>
      </c>
      <c r="K28" s="24" t="inlineStr">
        <is>
          <t>Garis panduan</t>
        </is>
      </c>
    </row>
    <row r="29">
      <c r="I29" s="22" t="inlineStr">
        <is>
          <t>LANS KOPERAL</t>
        </is>
      </c>
      <c r="J29" s="22" t="n">
        <v>5</v>
      </c>
      <c r="K29" s="24" t="inlineStr">
        <is>
          <t>Garis panduan</t>
        </is>
      </c>
    </row>
    <row r="30">
      <c r="I30" s="22" t="inlineStr">
        <is>
          <t>LASKAR MUDA</t>
        </is>
      </c>
      <c r="J30" s="22" t="n">
        <v>5</v>
      </c>
      <c r="K30" s="24" t="inlineStr">
        <is>
          <t>Garis panduan</t>
        </is>
      </c>
    </row>
    <row r="31">
      <c r="I31" s="22" t="inlineStr">
        <is>
          <t>SUB INSPEKTOR</t>
        </is>
      </c>
      <c r="J31" s="22" t="n">
        <v>10</v>
      </c>
      <c r="K31" s="24" t="inlineStr">
        <is>
          <t>Garis panduan</t>
        </is>
      </c>
    </row>
    <row r="32">
      <c r="I32" s="22" t="inlineStr">
        <is>
          <t>SARJAN MEJAR</t>
        </is>
      </c>
      <c r="J32" s="22" t="n">
        <v>8</v>
      </c>
      <c r="K32" s="24" t="inlineStr">
        <is>
          <t>Garis panduan</t>
        </is>
      </c>
    </row>
    <row r="33">
      <c r="I33" s="22" t="inlineStr">
        <is>
          <t>PEGAWAI KADET</t>
        </is>
      </c>
      <c r="J33" s="22" t="n">
        <v>10</v>
      </c>
      <c r="K33" s="24" t="inlineStr">
        <is>
          <t>Garis panduan</t>
        </is>
      </c>
    </row>
    <row r="34">
      <c r="I34" s="22" t="inlineStr">
        <is>
          <t>KETUA BOMBA JUNIOR</t>
        </is>
      </c>
      <c r="J34" s="22" t="n">
        <v>7</v>
      </c>
      <c r="K34" s="23" t="inlineStr">
        <is>
          <t>Anggaran</t>
        </is>
      </c>
    </row>
    <row r="35">
      <c r="I35" s="22" t="inlineStr">
        <is>
          <t>PENOLONG KETUA BOMBA JUNIOR</t>
        </is>
      </c>
      <c r="J35" s="22" t="n">
        <v>6</v>
      </c>
      <c r="K35" s="23" t="inlineStr">
        <is>
          <t>Anggaran</t>
        </is>
      </c>
    </row>
    <row r="36">
      <c r="I36" s="22" t="inlineStr">
        <is>
          <t>KETUA PASUKAN</t>
        </is>
      </c>
      <c r="J36" s="22" t="n">
        <v>5</v>
      </c>
      <c r="K36" s="23" t="inlineStr">
        <is>
          <t>Anggaran</t>
        </is>
      </c>
    </row>
    <row r="37">
      <c r="I37" s="22" t="inlineStr">
        <is>
          <t>PEGAWAI KANAN KADET</t>
        </is>
      </c>
      <c r="J37" s="22" t="n">
        <v>10</v>
      </c>
      <c r="K37" s="24" t="inlineStr">
        <is>
          <t>Garis panduan</t>
        </is>
      </c>
    </row>
    <row r="38">
      <c r="I38" s="22" t="inlineStr">
        <is>
          <t>PEGAWAI WARAN KADET</t>
        </is>
      </c>
      <c r="J38" s="22" t="n">
        <v>8</v>
      </c>
      <c r="K38" s="24" t="inlineStr">
        <is>
          <t>Garis panduan</t>
        </is>
      </c>
    </row>
    <row r="39">
      <c r="I39" s="22" t="inlineStr">
        <is>
          <t>SARJAN KADET</t>
        </is>
      </c>
      <c r="J39" s="22" t="n">
        <v>7</v>
      </c>
      <c r="K39" s="24" t="inlineStr">
        <is>
          <t>Garis panduan</t>
        </is>
      </c>
    </row>
    <row r="40">
      <c r="I40" s="22" t="inlineStr">
        <is>
          <t>KOPERAL KADET</t>
        </is>
      </c>
      <c r="J40" s="22" t="n">
        <v>6</v>
      </c>
      <c r="K40" s="24" t="inlineStr">
        <is>
          <t>Garis panduan</t>
        </is>
      </c>
    </row>
    <row r="41">
      <c r="I41" s="22" t="inlineStr">
        <is>
          <t>LANS KOPERAL KADET</t>
        </is>
      </c>
      <c r="J41" s="22" t="n">
        <v>5</v>
      </c>
      <c r="K41" s="24" t="inlineStr">
        <is>
          <t>Garis panduan</t>
        </is>
      </c>
    </row>
    <row r="42">
      <c r="I42" s="22" t="inlineStr">
        <is>
          <t>TUSPA (SARJAN)</t>
        </is>
      </c>
      <c r="J42" s="22" t="n">
        <v>7</v>
      </c>
      <c r="K42" s="23" t="inlineStr">
        <is>
          <t>Anggaran</t>
        </is>
      </c>
    </row>
    <row r="43">
      <c r="I43" s="22" t="inlineStr">
        <is>
          <t>TUSPA (KOPERAL)</t>
        </is>
      </c>
      <c r="J43" s="22" t="n">
        <v>6</v>
      </c>
      <c r="K43" s="23" t="inlineStr">
        <is>
          <t>Anggaran</t>
        </is>
      </c>
    </row>
    <row r="44">
      <c r="I44" s="22" t="inlineStr">
        <is>
          <t>TUSPA (LANS KOPERAL)</t>
        </is>
      </c>
      <c r="J44" s="22" t="n">
        <v>5</v>
      </c>
      <c r="K44" s="23" t="inlineStr">
        <is>
          <t>Anggaran</t>
        </is>
      </c>
    </row>
    <row r="45">
      <c r="I45" s="22" t="inlineStr">
        <is>
          <t>KETUA TRUP</t>
        </is>
      </c>
      <c r="J45" s="22" t="n">
        <v>10</v>
      </c>
      <c r="K45" s="24" t="inlineStr">
        <is>
          <t>Garis panduan</t>
        </is>
      </c>
    </row>
    <row r="46">
      <c r="I46" s="22" t="inlineStr">
        <is>
          <t>PENOLONG KETUA TRUP</t>
        </is>
      </c>
      <c r="J46" s="22" t="n">
        <v>8</v>
      </c>
      <c r="K46" s="24" t="inlineStr">
        <is>
          <t>Garis panduan</t>
        </is>
      </c>
    </row>
    <row r="47">
      <c r="I47" s="22" t="inlineStr">
        <is>
          <t>KETUA PATROL</t>
        </is>
      </c>
      <c r="J47" s="22" t="n">
        <v>7</v>
      </c>
      <c r="K47" s="24" t="inlineStr">
        <is>
          <t>Garis panduan</t>
        </is>
      </c>
    </row>
    <row r="48">
      <c r="I48" s="22" t="inlineStr">
        <is>
          <t>PENOLONG KETUA PATROL</t>
        </is>
      </c>
      <c r="J48" s="22" t="n">
        <v>6</v>
      </c>
      <c r="K48" s="24" t="inlineStr">
        <is>
          <t>Garis panduan</t>
        </is>
      </c>
    </row>
    <row r="49">
      <c r="I49" s="22" t="inlineStr">
        <is>
          <t>PENGAKAP (KUATERMASTER)</t>
        </is>
      </c>
      <c r="J49" s="22" t="n">
        <v>5</v>
      </c>
      <c r="K49" s="24" t="inlineStr">
        <is>
          <t>Garis panduan</t>
        </is>
      </c>
    </row>
    <row r="50">
      <c r="I50" s="22" t="inlineStr">
        <is>
          <t>KETUA PEK</t>
        </is>
      </c>
      <c r="J50" s="22" t="n">
        <v>7</v>
      </c>
      <c r="K50" s="23" t="inlineStr">
        <is>
          <t>Anggaran</t>
        </is>
      </c>
    </row>
    <row r="51">
      <c r="I51" s="22" t="inlineStr">
        <is>
          <t>PENOLONG KETUA PEK</t>
        </is>
      </c>
      <c r="J51" s="22" t="n">
        <v>6</v>
      </c>
      <c r="K51" s="23" t="inlineStr">
        <is>
          <t>Anggaran</t>
        </is>
      </c>
    </row>
    <row r="52">
      <c r="I52" s="22" t="inlineStr">
        <is>
          <t>KETUA SEKAWAN</t>
        </is>
      </c>
      <c r="J52" s="22" t="n">
        <v>7</v>
      </c>
      <c r="K52" s="23" t="inlineStr">
        <is>
          <t>Anggaran</t>
        </is>
      </c>
    </row>
    <row r="53">
      <c r="I53" s="22" t="inlineStr">
        <is>
          <t>PENOLONG KETUA SEKAWAN</t>
        </is>
      </c>
      <c r="J53" s="22" t="n">
        <v>6</v>
      </c>
      <c r="K53" s="23" t="inlineStr">
        <is>
          <t>Anggaran</t>
        </is>
      </c>
    </row>
    <row r="54">
      <c r="I54" s="22" t="inlineStr">
        <is>
          <t>MEGA PUTERI</t>
        </is>
      </c>
      <c r="J54" s="22" t="n">
        <v>10</v>
      </c>
      <c r="K54" s="24" t="inlineStr">
        <is>
          <t>Garis panduan</t>
        </is>
      </c>
    </row>
    <row r="55">
      <c r="I55" s="22" t="inlineStr">
        <is>
          <t>PUTERI MEGASARI</t>
        </is>
      </c>
      <c r="J55" s="22" t="n">
        <v>8</v>
      </c>
      <c r="K55" s="24" t="inlineStr">
        <is>
          <t>Garis panduan</t>
        </is>
      </c>
    </row>
    <row r="56">
      <c r="I56" s="22" t="inlineStr">
        <is>
          <t>PUTERI BISTARIA</t>
        </is>
      </c>
      <c r="J56" s="22" t="n">
        <v>7</v>
      </c>
      <c r="K56" s="24" t="inlineStr">
        <is>
          <t>Garis panduan</t>
        </is>
      </c>
    </row>
    <row r="57">
      <c r="I57" s="22" t="inlineStr">
        <is>
          <t>PUTERI KEJORA</t>
        </is>
      </c>
      <c r="J57" s="22" t="n">
        <v>6</v>
      </c>
      <c r="K57" s="24" t="inlineStr">
        <is>
          <t>Garis panduan</t>
        </is>
      </c>
    </row>
    <row r="58">
      <c r="I58" s="22" t="inlineStr">
        <is>
          <t>PUTERI SAUJANA /KETUA PASUKAN</t>
        </is>
      </c>
      <c r="J58" s="22" t="n">
        <v>5</v>
      </c>
      <c r="K58" s="24" t="inlineStr">
        <is>
          <t>Garis panduan</t>
        </is>
      </c>
    </row>
    <row r="59">
      <c r="I59" s="22" t="inlineStr">
        <is>
          <t>PUTERI MESTIKA</t>
        </is>
      </c>
      <c r="J59" s="22" t="n">
        <v>4</v>
      </c>
      <c r="K59" s="24" t="inlineStr">
        <is>
          <t>Garis panduan</t>
        </is>
      </c>
    </row>
    <row r="60">
      <c r="I60" s="22" t="inlineStr">
        <is>
          <t>KETUA SEKSYEN UTAMA</t>
        </is>
      </c>
      <c r="J60" s="22" t="n">
        <v>10</v>
      </c>
      <c r="K60" s="24" t="inlineStr">
        <is>
          <t>Garis panduan</t>
        </is>
      </c>
    </row>
    <row r="61">
      <c r="I61" s="22" t="inlineStr">
        <is>
          <t>PENOLONG KETUA SEKSYEN</t>
        </is>
      </c>
      <c r="J61" s="22" t="n">
        <v>8</v>
      </c>
      <c r="K61" s="24" t="inlineStr">
        <is>
          <t>Garis panduan</t>
        </is>
      </c>
    </row>
    <row r="62">
      <c r="I62" s="22" t="inlineStr">
        <is>
          <t>KETUA PLATUN</t>
        </is>
      </c>
      <c r="J62" s="22" t="n">
        <v>7</v>
      </c>
      <c r="K62" s="24" t="inlineStr">
        <is>
          <t>Garis panduan</t>
        </is>
      </c>
    </row>
    <row r="63">
      <c r="I63" s="22" t="inlineStr">
        <is>
          <t>PENOLONG KETUA PLATUN</t>
        </is>
      </c>
      <c r="J63" s="22" t="n">
        <v>6</v>
      </c>
      <c r="K63" s="24" t="inlineStr">
        <is>
          <t>Garis panduan</t>
        </is>
      </c>
    </row>
    <row r="64">
      <c r="I64" s="22" t="inlineStr">
        <is>
          <t>SARJAN DEWASA / KETUA KADET</t>
        </is>
      </c>
      <c r="J64" s="22" t="n">
        <v>10</v>
      </c>
      <c r="K64" s="24" t="inlineStr">
        <is>
          <t>Garis panduan</t>
        </is>
      </c>
    </row>
    <row r="65">
      <c r="I65" s="22" t="inlineStr">
        <is>
          <t>LANS KOPERAL DEWASA / KOPERAL KADET</t>
        </is>
      </c>
      <c r="J65" s="22" t="n">
        <v>7</v>
      </c>
      <c r="K65" s="24" t="inlineStr">
        <is>
          <t>Garis panduan</t>
        </is>
      </c>
    </row>
    <row r="66">
      <c r="I66" s="22" t="inlineStr">
        <is>
          <t>BRASS BAND (DRUM MAJOR)</t>
        </is>
      </c>
      <c r="J66" s="22" t="n">
        <v>10</v>
      </c>
      <c r="K66" s="24" t="inlineStr">
        <is>
          <t>Garis panduan</t>
        </is>
      </c>
    </row>
    <row r="67">
      <c r="I67" s="22" t="inlineStr">
        <is>
          <t>BRASS BAND (KETUA SEKSYEN)</t>
        </is>
      </c>
      <c r="J67" s="22" t="n">
        <v>8</v>
      </c>
      <c r="K67" s="24" t="inlineStr">
        <is>
          <t>Garis panduan</t>
        </is>
      </c>
    </row>
    <row r="68">
      <c r="I68" s="22" t="inlineStr">
        <is>
          <t>BRASS BAND (PENOLONG KETUA SEKSYEN)</t>
        </is>
      </c>
      <c r="J68" s="22" t="n">
        <v>7</v>
      </c>
      <c r="K68" s="24" t="inlineStr">
        <is>
          <t>Garis panduan</t>
        </is>
      </c>
    </row>
    <row r="69">
      <c r="I69" s="22" t="inlineStr">
        <is>
          <t>BRASS BAND (KUATERMASTER)</t>
        </is>
      </c>
      <c r="J69" s="22" t="n">
        <v>6</v>
      </c>
      <c r="K69" s="24" t="inlineStr">
        <is>
          <t>Garis panduan</t>
        </is>
      </c>
    </row>
    <row r="70">
      <c r="I70" s="22" t="inlineStr">
        <is>
          <t>AHLI JAWATANKUASA</t>
        </is>
      </c>
      <c r="J70" s="22" t="n">
        <v>5</v>
      </c>
      <c r="K70" s="24" t="inlineStr">
        <is>
          <t>Garis panduan</t>
        </is>
      </c>
    </row>
    <row r="71">
      <c r="I71" s="22" t="inlineStr">
        <is>
          <t>AHLI AKTIF</t>
        </is>
      </c>
      <c r="J71" s="22" t="n">
        <v>4</v>
      </c>
      <c r="K71" s="24" t="inlineStr">
        <is>
          <t>Garis panduan</t>
        </is>
      </c>
    </row>
    <row r="72">
      <c r="I72" s="22" t="inlineStr">
        <is>
          <t>AHLI BIASA</t>
        </is>
      </c>
      <c r="J72" s="22" t="n">
        <v>2</v>
      </c>
      <c r="K72" s="24" t="inlineStr">
        <is>
          <t>MOEIS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2026-10-13T02:08:39Z</dcterms:created>
  <dcterms:modified xmlns:dcterms="http://purl.org/dc/terms/" xmlns:xsi="http://www.w3.org/2001/XMLSchema-instance" xsi:type="dcterms:W3CDTF">2026-10-13T02:08:48Z</dcterms:modified>
</cp:coreProperties>
</file>